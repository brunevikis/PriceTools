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0185" yWindow="-15" windowWidth="10305" windowHeight="8400"/>
  </bookViews>
  <sheets>
    <sheet name="Geral" sheetId="4" r:id="rId1"/>
    <sheet name="Hidrologia - 1" sheetId="24" r:id="rId2"/>
    <sheet name="XML" sheetId="15" state="hidden" r:id="rId3"/>
  </sheets>
  <functionGroups builtInGroupCount="17"/>
  <definedNames>
    <definedName name="_alteracao">Geral!$B$119:$J$131</definedName>
    <definedName name="_arvore">Geral!$C$113:$N$113</definedName>
    <definedName name="_CaminhoXml">Geral!$C$5</definedName>
    <definedName name="_DecompBase">Geral!$C$9</definedName>
    <definedName name="_earm">Geral!$B$15:$O$23</definedName>
    <definedName name="_ena" localSheetId="1">'Hidrologia - 1'!$D$38:$O$41</definedName>
    <definedName name="_enaMeta" localSheetId="1">'Hidrologia - 1'!$D$26:$O$29</definedName>
    <definedName name="_NewaveBase">Geral!$C$8</definedName>
    <definedName name="_nome" localSheetId="1">'Hidrologia - 1'!$C$4</definedName>
    <definedName name="_NomeDoEstudo">Geral!$C$3</definedName>
    <definedName name="_redat">Geral!$AE$36:$AL$108</definedName>
    <definedName name="_rhe">Geral!$C$36</definedName>
    <definedName name="_rhq">Geral!$N$36</definedName>
    <definedName name="_rhv">Geral!$Y$36</definedName>
    <definedName name="_tipoEarm">Geral!$B$14</definedName>
    <definedName name="_var" localSheetId="1">'Hidrologia - 1'!$D$32:$O$35</definedName>
    <definedName name="_varInf" localSheetId="1">'Hidrologia - 1'!$R$35</definedName>
    <definedName name="_varInfMatriz">'Hidrologia - 1'!$W$32:$W$35</definedName>
    <definedName name="_varSup" localSheetId="1">'Hidrologia - 1'!$R$34</definedName>
    <definedName name="_varSupMatriz">'Hidrologia - 1'!$X$32:$X$35</definedName>
    <definedName name="_vazoes" localSheetId="1">'Hidrologia - 1'!$B$44:$O$363</definedName>
    <definedName name="_ve">Geral!$B$139:$N$171</definedName>
    <definedName name="_wbCen">Geral!$B$174</definedName>
  </definedNames>
  <calcPr calcId="145621"/>
</workbook>
</file>

<file path=xl/calcChain.xml><?xml version="1.0" encoding="utf-8"?>
<calcChain xmlns="http://schemas.openxmlformats.org/spreadsheetml/2006/main">
  <c r="AG82" i="4" l="1"/>
  <c r="AG81" i="4"/>
  <c r="AI81" i="4" s="1"/>
  <c r="AI80" i="4"/>
  <c r="AG80" i="4"/>
  <c r="AG79" i="4"/>
  <c r="AI79" i="4" s="1"/>
  <c r="AI78" i="4"/>
  <c r="AG78" i="4"/>
  <c r="AG77" i="4"/>
  <c r="AI77" i="4" s="1"/>
  <c r="AI76" i="4"/>
  <c r="AG76" i="4"/>
  <c r="AG75" i="4"/>
  <c r="AI75" i="4" s="1"/>
  <c r="AI74" i="4"/>
  <c r="AG74" i="4"/>
  <c r="AG73" i="4"/>
  <c r="AI73" i="4" s="1"/>
  <c r="AI72" i="4"/>
  <c r="AG72" i="4"/>
  <c r="AG71" i="4"/>
  <c r="AG70" i="4"/>
  <c r="AI70" i="4" s="1"/>
  <c r="AG69" i="4"/>
  <c r="AI69" i="4" s="1"/>
  <c r="AG68" i="4"/>
  <c r="AI68" i="4" s="1"/>
  <c r="AI67" i="4"/>
  <c r="AG67" i="4"/>
  <c r="AG66" i="4"/>
  <c r="AI66" i="4" s="1"/>
  <c r="AI65" i="4"/>
  <c r="AG65" i="4"/>
  <c r="AG64" i="4"/>
  <c r="AI64" i="4" s="1"/>
  <c r="AI63" i="4"/>
  <c r="AG63" i="4"/>
  <c r="AG62" i="4"/>
  <c r="AI62" i="4" s="1"/>
  <c r="AI61" i="4"/>
  <c r="AG61" i="4"/>
  <c r="AG60" i="4"/>
  <c r="AI60" i="4" s="1"/>
  <c r="AG59" i="4"/>
  <c r="AG58" i="4"/>
  <c r="AI58" i="4" s="1"/>
  <c r="AI57" i="4"/>
  <c r="AG57" i="4"/>
  <c r="AI56" i="4"/>
  <c r="AG56" i="4"/>
  <c r="AI55" i="4"/>
  <c r="AG55" i="4"/>
  <c r="AI54" i="4"/>
  <c r="AG54" i="4"/>
  <c r="AI53" i="4"/>
  <c r="AG53" i="4"/>
  <c r="AI52" i="4"/>
  <c r="AG52" i="4"/>
  <c r="AI51" i="4"/>
  <c r="AG51" i="4"/>
  <c r="AI50" i="4"/>
  <c r="AG50" i="4"/>
  <c r="AI49" i="4"/>
  <c r="AG49" i="4"/>
  <c r="AI48" i="4"/>
  <c r="AG48" i="4"/>
  <c r="AI36" i="4"/>
  <c r="AI37" i="4"/>
  <c r="AI38" i="4"/>
  <c r="AI39" i="4"/>
  <c r="AI40" i="4"/>
  <c r="AI41" i="4"/>
  <c r="AI42" i="4"/>
  <c r="AI43" i="4"/>
  <c r="AI44" i="4"/>
  <c r="AI45" i="4"/>
  <c r="AI46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C4" i="24" l="1"/>
  <c r="Q5" i="4" l="1"/>
  <c r="A37" i="15" s="1"/>
  <c r="A19" i="15" l="1"/>
  <c r="A16" i="15"/>
  <c r="A13" i="15"/>
  <c r="C4" i="4" l="1"/>
  <c r="C5" i="4" l="1"/>
  <c r="A104" i="15" l="1"/>
  <c r="A107" i="15"/>
  <c r="A90" i="15"/>
  <c r="A89" i="15"/>
  <c r="A88" i="15"/>
  <c r="A87" i="15"/>
  <c r="C83" i="15"/>
  <c r="A83" i="15" s="1"/>
  <c r="C84" i="15"/>
  <c r="A84" i="15" s="1"/>
  <c r="C85" i="15"/>
  <c r="A85" i="15" s="1"/>
  <c r="C86" i="15"/>
  <c r="A86" i="15" s="1"/>
  <c r="C87" i="15"/>
  <c r="C88" i="15"/>
  <c r="C89" i="15"/>
  <c r="C90" i="15"/>
  <c r="C91" i="15"/>
  <c r="A82" i="15"/>
  <c r="C8" i="4"/>
  <c r="A10" i="15" s="1"/>
  <c r="A7" i="15"/>
  <c r="C383" i="15" l="1"/>
  <c r="C225" i="15"/>
  <c r="C406" i="15"/>
  <c r="C263" i="15"/>
  <c r="C290" i="15"/>
  <c r="C385" i="15"/>
  <c r="C293" i="15"/>
  <c r="C314" i="15"/>
  <c r="C458" i="15"/>
  <c r="C193" i="15"/>
  <c r="C399" i="15"/>
  <c r="C324" i="15"/>
  <c r="C276" i="15"/>
  <c r="C162" i="15"/>
  <c r="C164" i="15"/>
  <c r="C393" i="15"/>
  <c r="C308" i="15"/>
  <c r="C310" i="15"/>
  <c r="C176" i="15"/>
  <c r="C325" i="15"/>
  <c r="C224" i="15"/>
  <c r="C311" i="15"/>
  <c r="C227" i="15"/>
  <c r="C389" i="15"/>
  <c r="C436" i="15"/>
  <c r="C332" i="15"/>
  <c r="C375" i="15"/>
  <c r="C384" i="15"/>
  <c r="C358" i="15"/>
  <c r="C348" i="15"/>
  <c r="C427" i="15"/>
  <c r="C171" i="15"/>
  <c r="C221" i="15"/>
  <c r="C198" i="15"/>
  <c r="C403" i="15"/>
  <c r="C386" i="15"/>
  <c r="C378" i="15"/>
  <c r="C343" i="15"/>
  <c r="C405" i="15"/>
  <c r="C291" i="15"/>
  <c r="C145" i="15"/>
  <c r="C213" i="15"/>
  <c r="C359" i="15"/>
  <c r="C253" i="15"/>
  <c r="C269" i="15"/>
  <c r="C331" i="15"/>
  <c r="C445" i="15"/>
  <c r="C368" i="15"/>
  <c r="C454" i="15"/>
  <c r="C345" i="15"/>
  <c r="C367" i="15"/>
  <c r="C440" i="15"/>
  <c r="C148" i="15"/>
  <c r="C459" i="15"/>
  <c r="C344" i="15"/>
  <c r="C272" i="15"/>
  <c r="C283" i="15"/>
  <c r="C219" i="15"/>
  <c r="C142" i="15"/>
  <c r="C234" i="15"/>
  <c r="C400" i="15"/>
  <c r="C437" i="15"/>
  <c r="C379" i="15"/>
  <c r="C341" i="15"/>
  <c r="C158" i="15"/>
  <c r="C432" i="15"/>
  <c r="C320" i="15"/>
  <c r="C360" i="15"/>
  <c r="C353" i="15"/>
  <c r="C335" i="15"/>
  <c r="C208" i="15"/>
  <c r="C316" i="15"/>
  <c r="C421" i="15"/>
  <c r="C161" i="15"/>
  <c r="C425" i="15"/>
  <c r="C426" i="15"/>
  <c r="C402" i="15"/>
  <c r="C217" i="15"/>
  <c r="C288" i="15"/>
  <c r="C248" i="15"/>
  <c r="C296" i="15"/>
  <c r="C371" i="15"/>
  <c r="C305" i="15"/>
  <c r="C428" i="15"/>
  <c r="C207" i="15"/>
  <c r="C382" i="15"/>
  <c r="C301" i="15"/>
  <c r="C449" i="15"/>
  <c r="C340" i="15"/>
  <c r="C323" i="15"/>
  <c r="C232" i="15"/>
  <c r="C411" i="15"/>
  <c r="C192" i="15"/>
  <c r="C395" i="15"/>
  <c r="C372" i="15"/>
  <c r="C247" i="15"/>
  <c r="C216" i="15"/>
  <c r="C420" i="15"/>
  <c r="C295" i="15"/>
  <c r="C422" i="15"/>
  <c r="C376" i="15"/>
  <c r="C215" i="15"/>
  <c r="C229" i="15"/>
  <c r="C339" i="15"/>
  <c r="C448" i="15"/>
  <c r="C455" i="15"/>
  <c r="C430" i="15"/>
  <c r="C169" i="15"/>
  <c r="C163" i="15"/>
  <c r="C307" i="15"/>
  <c r="C144" i="15"/>
  <c r="C330" i="15"/>
  <c r="C271" i="15"/>
  <c r="C398" i="15"/>
  <c r="C365" i="15"/>
  <c r="C327" i="15"/>
  <c r="C346" i="15"/>
  <c r="C396" i="15"/>
  <c r="C212" i="15"/>
  <c r="C397" i="15"/>
  <c r="C356" i="15"/>
  <c r="C240" i="15"/>
  <c r="C182" i="15"/>
  <c r="C408" i="15"/>
  <c r="C446" i="15"/>
  <c r="C258" i="15"/>
  <c r="C412" i="15"/>
  <c r="C431" i="15"/>
  <c r="C239" i="15"/>
  <c r="C433" i="15"/>
  <c r="C452" i="15"/>
  <c r="C200" i="15"/>
  <c r="C259" i="15"/>
  <c r="C202" i="15"/>
  <c r="C317" i="15"/>
  <c r="C151" i="15"/>
  <c r="C374" i="15"/>
  <c r="C306" i="15"/>
  <c r="C392" i="15"/>
  <c r="C418" i="15"/>
  <c r="C456" i="15"/>
  <c r="C407" i="15"/>
  <c r="C255" i="15"/>
  <c r="C150" i="15"/>
  <c r="C434" i="15"/>
  <c r="C194" i="15"/>
  <c r="C423" i="15"/>
  <c r="C181" i="15"/>
  <c r="C357" i="15"/>
  <c r="C237" i="15"/>
  <c r="C243" i="15"/>
  <c r="C424" i="15"/>
  <c r="C364" i="15"/>
  <c r="C199" i="15"/>
  <c r="C204" i="15"/>
  <c r="C189" i="15"/>
  <c r="C196" i="15"/>
  <c r="C302" i="15"/>
  <c r="C249" i="15"/>
  <c r="C450" i="15"/>
  <c r="C413" i="15"/>
  <c r="C241" i="15"/>
  <c r="C369" i="15"/>
  <c r="C415" i="15"/>
  <c r="C297" i="15"/>
  <c r="C245" i="15"/>
  <c r="C228" i="15"/>
  <c r="C299" i="15"/>
  <c r="C326" i="15"/>
  <c r="C244" i="15"/>
  <c r="C159" i="15"/>
  <c r="C256" i="15"/>
  <c r="C178" i="15"/>
  <c r="C179" i="15"/>
  <c r="C285" i="15"/>
  <c r="C223" i="15"/>
  <c r="C184" i="15"/>
  <c r="C274" i="15"/>
  <c r="C287" i="15"/>
  <c r="C443" i="15"/>
  <c r="C160" i="15"/>
  <c r="C206" i="15"/>
  <c r="C409" i="15"/>
  <c r="C233" i="15"/>
  <c r="C394" i="15"/>
  <c r="C273" i="15"/>
  <c r="C391" i="15"/>
  <c r="C289" i="15"/>
  <c r="C173" i="15"/>
  <c r="C410" i="15"/>
  <c r="C262" i="15"/>
  <c r="C377" i="15"/>
  <c r="C183" i="15"/>
  <c r="C203" i="15"/>
  <c r="C242" i="15"/>
  <c r="C190" i="15"/>
  <c r="C361" i="15"/>
  <c r="C280" i="15"/>
  <c r="C275" i="15"/>
  <c r="C268" i="15"/>
  <c r="C260" i="15"/>
  <c r="C195" i="15"/>
  <c r="C154" i="15"/>
  <c r="C167" i="15"/>
  <c r="C201" i="15"/>
  <c r="C177" i="15"/>
  <c r="C168" i="15"/>
  <c r="C366" i="15"/>
  <c r="C444" i="15"/>
  <c r="C294" i="15"/>
  <c r="C329" i="15"/>
  <c r="C211" i="15"/>
  <c r="C266" i="15"/>
  <c r="C349" i="15"/>
  <c r="C186" i="15"/>
  <c r="C231" i="15"/>
  <c r="C362" i="15"/>
  <c r="C175" i="15"/>
  <c r="C417" i="15"/>
  <c r="C146" i="15"/>
  <c r="C277" i="15"/>
  <c r="C303" i="15"/>
  <c r="C292" i="15"/>
  <c r="C351" i="15"/>
  <c r="C270" i="15"/>
  <c r="C460" i="15"/>
  <c r="C230" i="15"/>
  <c r="C300" i="15"/>
  <c r="C401" i="15"/>
  <c r="C252" i="15"/>
  <c r="C419" i="15"/>
  <c r="C265" i="15"/>
  <c r="C363" i="15"/>
  <c r="C166" i="15"/>
  <c r="C334" i="15"/>
  <c r="C278" i="15"/>
  <c r="C328" i="15"/>
  <c r="C210" i="15"/>
  <c r="C191" i="15"/>
  <c r="C442" i="15"/>
  <c r="C267" i="15"/>
  <c r="C387" i="15"/>
  <c r="C155" i="15"/>
  <c r="C257" i="15"/>
  <c r="C157" i="15"/>
  <c r="C441" i="15"/>
  <c r="C414" i="15"/>
  <c r="C404" i="15"/>
  <c r="C312" i="15"/>
  <c r="C338" i="15"/>
  <c r="C321" i="15"/>
  <c r="C380" i="15"/>
  <c r="C451" i="15"/>
  <c r="C250" i="15"/>
  <c r="C156" i="15"/>
  <c r="C336" i="15"/>
  <c r="C284" i="15"/>
  <c r="C313" i="15"/>
  <c r="C309" i="15"/>
  <c r="C318" i="15"/>
  <c r="C388" i="15"/>
  <c r="C170" i="15"/>
  <c r="C149" i="15"/>
  <c r="C453" i="15"/>
  <c r="C354" i="15"/>
  <c r="C218" i="15"/>
  <c r="C172" i="15"/>
  <c r="C220" i="15"/>
  <c r="C355" i="15"/>
  <c r="C197" i="15"/>
  <c r="C187" i="15"/>
  <c r="C165" i="15"/>
  <c r="C281" i="15"/>
  <c r="C264" i="15"/>
  <c r="C304" i="15"/>
  <c r="C174" i="15"/>
  <c r="C222" i="15"/>
  <c r="C251" i="15"/>
  <c r="C298" i="15"/>
  <c r="C180" i="15"/>
  <c r="C286" i="15"/>
  <c r="C188" i="15"/>
  <c r="C333" i="15"/>
  <c r="C141" i="15"/>
  <c r="C342" i="15"/>
  <c r="C352" i="15"/>
  <c r="C319" i="15"/>
  <c r="C347" i="15"/>
  <c r="C205" i="15"/>
  <c r="C214" i="15"/>
  <c r="C322" i="15"/>
  <c r="C447" i="15"/>
  <c r="C209" i="15"/>
  <c r="C381" i="15"/>
  <c r="C238" i="15"/>
  <c r="C315" i="15"/>
  <c r="C246" i="15"/>
  <c r="C143" i="15"/>
  <c r="C185" i="15"/>
  <c r="C416" i="15"/>
  <c r="C457" i="15"/>
  <c r="C337" i="15"/>
  <c r="C254" i="15"/>
  <c r="C439" i="15"/>
  <c r="C226" i="15"/>
  <c r="C152" i="15"/>
  <c r="C438" i="15"/>
  <c r="C279" i="15"/>
  <c r="C370" i="15"/>
  <c r="C282" i="15"/>
  <c r="C147" i="15"/>
  <c r="C429" i="15"/>
  <c r="C350" i="15"/>
  <c r="C153" i="15"/>
  <c r="C261" i="15"/>
  <c r="C435" i="15"/>
  <c r="C373" i="15"/>
  <c r="C390" i="15"/>
  <c r="C236" i="15"/>
  <c r="C235" i="15"/>
  <c r="A235" i="15"/>
  <c r="A435" i="15"/>
  <c r="A429" i="15"/>
  <c r="A279" i="15"/>
  <c r="A439" i="15"/>
  <c r="A416" i="15"/>
  <c r="A315" i="15"/>
  <c r="A447" i="15"/>
  <c r="A347" i="15"/>
  <c r="A141" i="15"/>
  <c r="A180" i="15"/>
  <c r="A174" i="15"/>
  <c r="A165" i="15"/>
  <c r="A220" i="15"/>
  <c r="A453" i="15"/>
  <c r="A318" i="15"/>
  <c r="A336" i="15"/>
  <c r="A380" i="15"/>
  <c r="A404" i="15"/>
  <c r="A257" i="15"/>
  <c r="A442" i="15"/>
  <c r="A278" i="15"/>
  <c r="A265" i="15"/>
  <c r="A300" i="15"/>
  <c r="A351" i="15"/>
  <c r="A146" i="15"/>
  <c r="A231" i="15"/>
  <c r="A211" i="15"/>
  <c r="A366" i="15"/>
  <c r="A167" i="15"/>
  <c r="A268" i="15"/>
  <c r="A190" i="15"/>
  <c r="A377" i="15"/>
  <c r="A289" i="15"/>
  <c r="A233" i="15"/>
  <c r="A443" i="15"/>
  <c r="A223" i="15"/>
  <c r="A256" i="15"/>
  <c r="A299" i="15"/>
  <c r="A415" i="15"/>
  <c r="A450" i="15"/>
  <c r="A189" i="15"/>
  <c r="A424" i="15"/>
  <c r="A181" i="15"/>
  <c r="A150" i="15"/>
  <c r="A418" i="15"/>
  <c r="A151" i="15"/>
  <c r="A200" i="15"/>
  <c r="A431" i="15"/>
  <c r="A408" i="15"/>
  <c r="A397" i="15"/>
  <c r="A327" i="15"/>
  <c r="A330" i="15"/>
  <c r="A169" i="15"/>
  <c r="A339" i="15"/>
  <c r="A422" i="15"/>
  <c r="A247" i="15"/>
  <c r="A411" i="15"/>
  <c r="A449" i="15"/>
  <c r="A428" i="15"/>
  <c r="A248" i="15"/>
  <c r="A426" i="15"/>
  <c r="A316" i="15"/>
  <c r="A360" i="15"/>
  <c r="A341" i="15"/>
  <c r="A234" i="15"/>
  <c r="A272" i="15"/>
  <c r="A440" i="15"/>
  <c r="A368" i="15"/>
  <c r="A253" i="15"/>
  <c r="A291" i="15"/>
  <c r="A386" i="15"/>
  <c r="A171" i="15"/>
  <c r="A384" i="15"/>
  <c r="A389" i="15"/>
  <c r="A325" i="15"/>
  <c r="A393" i="15"/>
  <c r="A324" i="15"/>
  <c r="A314" i="15"/>
  <c r="A263" i="15"/>
  <c r="A153" i="15"/>
  <c r="A282" i="15"/>
  <c r="A152" i="15"/>
  <c r="A337" i="15"/>
  <c r="A143" i="15"/>
  <c r="A381" i="15"/>
  <c r="A352" i="15"/>
  <c r="A251" i="15"/>
  <c r="A197" i="15"/>
  <c r="A170" i="15"/>
  <c r="A250" i="15"/>
  <c r="A441" i="15"/>
  <c r="A210" i="15"/>
  <c r="A252" i="15"/>
  <c r="A303" i="15"/>
  <c r="A349" i="15"/>
  <c r="A177" i="15"/>
  <c r="A280" i="15"/>
  <c r="A410" i="15"/>
  <c r="A206" i="15"/>
  <c r="A179" i="15"/>
  <c r="A245" i="15"/>
  <c r="A302" i="15"/>
  <c r="A237" i="15"/>
  <c r="A407" i="15"/>
  <c r="A202" i="15"/>
  <c r="A258" i="15"/>
  <c r="A240" i="15"/>
  <c r="A398" i="15"/>
  <c r="A455" i="15"/>
  <c r="A420" i="15"/>
  <c r="A323" i="15"/>
  <c r="A371" i="15"/>
  <c r="A161" i="15"/>
  <c r="A432" i="15"/>
  <c r="A219" i="15"/>
  <c r="A345" i="15"/>
  <c r="A213" i="15"/>
  <c r="A198" i="15"/>
  <c r="A332" i="15"/>
  <c r="A310" i="15"/>
  <c r="A193" i="15"/>
  <c r="A225" i="15"/>
  <c r="A350" i="15"/>
  <c r="A246" i="15"/>
  <c r="A205" i="15"/>
  <c r="A342" i="15"/>
  <c r="A222" i="15"/>
  <c r="A355" i="15"/>
  <c r="A388" i="15"/>
  <c r="A451" i="15"/>
  <c r="A157" i="15"/>
  <c r="A236" i="15"/>
  <c r="A261" i="15"/>
  <c r="A147" i="15"/>
  <c r="A438" i="15"/>
  <c r="A254" i="15"/>
  <c r="A185" i="15"/>
  <c r="A238" i="15"/>
  <c r="A322" i="15"/>
  <c r="A319" i="15"/>
  <c r="A333" i="15"/>
  <c r="A298" i="15"/>
  <c r="A304" i="15"/>
  <c r="A187" i="15"/>
  <c r="A172" i="15"/>
  <c r="A149" i="15"/>
  <c r="A309" i="15"/>
  <c r="A156" i="15"/>
  <c r="A321" i="15"/>
  <c r="A414" i="15"/>
  <c r="A155" i="15"/>
  <c r="A191" i="15"/>
  <c r="A334" i="15"/>
  <c r="A419" i="15"/>
  <c r="A230" i="15"/>
  <c r="A292" i="15"/>
  <c r="A417" i="15"/>
  <c r="A186" i="15"/>
  <c r="A329" i="15"/>
  <c r="A168" i="15"/>
  <c r="A154" i="15"/>
  <c r="A275" i="15"/>
  <c r="A242" i="15"/>
  <c r="A262" i="15"/>
  <c r="A391" i="15"/>
  <c r="A409" i="15"/>
  <c r="A287" i="15"/>
  <c r="A285" i="15"/>
  <c r="A159" i="15"/>
  <c r="A228" i="15"/>
  <c r="A369" i="15"/>
  <c r="A249" i="15"/>
  <c r="A204" i="15"/>
  <c r="A243" i="15"/>
  <c r="A423" i="15"/>
  <c r="A255" i="15"/>
  <c r="A392" i="15"/>
  <c r="A317" i="15"/>
  <c r="A452" i="15"/>
  <c r="A412" i="15"/>
  <c r="A182" i="15"/>
  <c r="A212" i="15"/>
  <c r="A365" i="15"/>
  <c r="A144" i="15"/>
  <c r="A430" i="15"/>
  <c r="A229" i="15"/>
  <c r="A295" i="15"/>
  <c r="A372" i="15"/>
  <c r="A232" i="15"/>
  <c r="A301" i="15"/>
  <c r="A305" i="15"/>
  <c r="A288" i="15"/>
  <c r="A425" i="15"/>
  <c r="A208" i="15"/>
  <c r="A320" i="15"/>
  <c r="A379" i="15"/>
  <c r="A142" i="15"/>
  <c r="A344" i="15"/>
  <c r="A367" i="15"/>
  <c r="A445" i="15"/>
  <c r="A359" i="15"/>
  <c r="A405" i="15"/>
  <c r="A403" i="15"/>
  <c r="A427" i="15"/>
  <c r="A375" i="15"/>
  <c r="A227" i="15"/>
  <c r="A176" i="15"/>
  <c r="A164" i="15"/>
  <c r="A399" i="15"/>
  <c r="A293" i="15"/>
  <c r="A406" i="15"/>
  <c r="A390" i="15"/>
  <c r="A214" i="15"/>
  <c r="A188" i="15"/>
  <c r="A264" i="15"/>
  <c r="A218" i="15"/>
  <c r="A313" i="15"/>
  <c r="A338" i="15"/>
  <c r="A387" i="15"/>
  <c r="A166" i="15"/>
  <c r="A460" i="15"/>
  <c r="A175" i="15"/>
  <c r="A294" i="15"/>
  <c r="A195" i="15"/>
  <c r="A203" i="15"/>
  <c r="A273" i="15"/>
  <c r="A274" i="15"/>
  <c r="A244" i="15"/>
  <c r="A241" i="15"/>
  <c r="A199" i="15"/>
  <c r="A194" i="15"/>
  <c r="A306" i="15"/>
  <c r="A433" i="15"/>
  <c r="A396" i="15"/>
  <c r="A307" i="15"/>
  <c r="A215" i="15"/>
  <c r="A395" i="15"/>
  <c r="A382" i="15"/>
  <c r="A217" i="15"/>
  <c r="A335" i="15"/>
  <c r="A437" i="15"/>
  <c r="A459" i="15"/>
  <c r="A331" i="15"/>
  <c r="A343" i="15"/>
  <c r="A348" i="15"/>
  <c r="A311" i="15"/>
  <c r="A162" i="15"/>
  <c r="A385" i="15"/>
  <c r="A373" i="15"/>
  <c r="A370" i="15"/>
  <c r="A226" i="15"/>
  <c r="A457" i="15"/>
  <c r="A209" i="15"/>
  <c r="A286" i="15"/>
  <c r="A281" i="15"/>
  <c r="A354" i="15"/>
  <c r="A284" i="15"/>
  <c r="A312" i="15"/>
  <c r="A267" i="15"/>
  <c r="A270" i="15"/>
  <c r="A444" i="15"/>
  <c r="A183" i="15"/>
  <c r="A184" i="15"/>
  <c r="A413" i="15"/>
  <c r="A434" i="15"/>
  <c r="A239" i="15"/>
  <c r="A271" i="15"/>
  <c r="A216" i="15"/>
  <c r="A296" i="15"/>
  <c r="A158" i="15"/>
  <c r="A454" i="15"/>
  <c r="A221" i="15"/>
  <c r="A308" i="15"/>
  <c r="A383" i="15"/>
  <c r="A328" i="15"/>
  <c r="A277" i="15"/>
  <c r="A201" i="15"/>
  <c r="A173" i="15"/>
  <c r="A178" i="15"/>
  <c r="A196" i="15"/>
  <c r="A456" i="15"/>
  <c r="A446" i="15"/>
  <c r="A192" i="15"/>
  <c r="A269" i="15"/>
  <c r="A276" i="15"/>
  <c r="A363" i="15"/>
  <c r="A362" i="15"/>
  <c r="A260" i="15"/>
  <c r="A394" i="15"/>
  <c r="A326" i="15"/>
  <c r="A364" i="15"/>
  <c r="A374" i="15"/>
  <c r="A356" i="15"/>
  <c r="A448" i="15"/>
  <c r="A340" i="15"/>
  <c r="A421" i="15"/>
  <c r="A283" i="15"/>
  <c r="A145" i="15"/>
  <c r="A436" i="15"/>
  <c r="A458" i="15"/>
  <c r="A401" i="15"/>
  <c r="A266" i="15"/>
  <c r="A361" i="15"/>
  <c r="A160" i="15"/>
  <c r="A297" i="15"/>
  <c r="A357" i="15"/>
  <c r="A259" i="15"/>
  <c r="A346" i="15"/>
  <c r="A376" i="15"/>
  <c r="A207" i="15"/>
  <c r="A353" i="15"/>
  <c r="A148" i="15"/>
  <c r="A378" i="15"/>
  <c r="A224" i="15"/>
  <c r="A290" i="15"/>
  <c r="A163" i="15"/>
  <c r="A402" i="15"/>
  <c r="A400" i="15"/>
  <c r="A358" i="15"/>
</calcChain>
</file>

<file path=xl/comments1.xml><?xml version="1.0" encoding="utf-8"?>
<comments xmlns="http://schemas.openxmlformats.org/spreadsheetml/2006/main">
  <authors>
    <author>Douglas Canducci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Douglas Canducci:</t>
        </r>
        <r>
          <rPr>
            <sz val="8"/>
            <color indexed="81"/>
            <rFont val="Tahoma"/>
            <family val="2"/>
          </rPr>
          <t xml:space="preserve">
Inserir caminho com resultados do encadeado newave</t>
        </r>
      </text>
    </comment>
    <comment ref="B10" authorId="0">
      <text>
        <r>
          <rPr>
            <b/>
            <sz val="8"/>
            <color indexed="81"/>
            <rFont val="Tahoma"/>
            <family val="2"/>
          </rPr>
          <t>Douglas Canducci:</t>
        </r>
        <r>
          <rPr>
            <sz val="8"/>
            <color indexed="81"/>
            <rFont val="Tahoma"/>
            <family val="2"/>
          </rPr>
          <t xml:space="preserve">
Sem uso nessa versão</t>
        </r>
      </text>
    </comment>
    <comment ref="D118" authorId="0">
      <text>
        <r>
          <rPr>
            <b/>
            <sz val="8"/>
            <color indexed="81"/>
            <rFont val="Tahoma"/>
            <family val="2"/>
          </rPr>
          <t>Douglas Canducci:</t>
        </r>
        <r>
          <rPr>
            <sz val="8"/>
            <color indexed="81"/>
            <rFont val="Tahoma"/>
            <family val="2"/>
          </rPr>
          <t xml:space="preserve">
Para aplicar a todos os meses, usar "*"</t>
        </r>
      </text>
    </comment>
  </commentList>
</comments>
</file>

<file path=xl/sharedStrings.xml><?xml version="1.0" encoding="utf-8"?>
<sst xmlns="http://schemas.openxmlformats.org/spreadsheetml/2006/main" count="305" uniqueCount="141">
  <si>
    <t>LQ</t>
  </si>
  <si>
    <t>LV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</si>
  <si>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</si>
  <si>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</si>
  <si>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</si>
  <si>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</si>
  <si>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</si>
  <si>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</si>
  <si>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</si>
  <si>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</si>
  <si>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</si>
  <si>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</si>
  <si>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</si>
  <si>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</si>
  <si>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LU</t>
  </si>
  <si>
    <t>Decomp</t>
  </si>
  <si>
    <t>Patamar 1</t>
  </si>
  <si>
    <t>Patamar 2</t>
  </si>
  <si>
    <t>Patamar 3</t>
  </si>
  <si>
    <t>Inferior</t>
  </si>
  <si>
    <t>Superior</t>
  </si>
  <si>
    <t>Elétrica (MWmed)</t>
  </si>
  <si>
    <t>Volume (hm³)</t>
  </si>
  <si>
    <t>Vazões Previstas (m³/s) por posto</t>
  </si>
  <si>
    <t>Armazenamento Final (%) por</t>
  </si>
  <si>
    <t>MERCADO</t>
  </si>
  <si>
    <t>Encad Newave</t>
  </si>
  <si>
    <t>Usina</t>
  </si>
  <si>
    <t>Mês</t>
  </si>
  <si>
    <t>Volume Espera (%) por UH</t>
  </si>
  <si>
    <r>
      <t>Vazão (m</t>
    </r>
    <r>
      <rPr>
        <b/>
        <sz val="11"/>
        <color theme="0"/>
        <rFont val="Calibri"/>
        <family val="2"/>
      </rPr>
      <t>³</t>
    </r>
    <r>
      <rPr>
        <b/>
        <sz val="11"/>
        <color theme="0"/>
        <rFont val="Calibri"/>
        <family val="2"/>
        <scheme val="minor"/>
      </rPr>
      <t>/s)</t>
    </r>
  </si>
  <si>
    <t>Árvore de Cenários 2o mês</t>
  </si>
  <si>
    <t>Alterações de Cadastro</t>
  </si>
  <si>
    <t>Valor 1</t>
  </si>
  <si>
    <t>Valor 2</t>
  </si>
  <si>
    <t>Valor 3</t>
  </si>
  <si>
    <t>Mnemonico</t>
  </si>
  <si>
    <t>*</t>
  </si>
  <si>
    <t>Exemplo:</t>
  </si>
  <si>
    <t>NUMPOS</t>
  </si>
  <si>
    <t>S</t>
  </si>
  <si>
    <t>NE</t>
  </si>
  <si>
    <t>N</t>
  </si>
  <si>
    <t>Estágio</t>
  </si>
  <si>
    <t>Para referenciar a restrição pelo seu número (NUM) utilize #NUM, exemplo: #144</t>
  </si>
  <si>
    <t>Entrada</t>
  </si>
  <si>
    <t>SE/CO</t>
  </si>
  <si>
    <t>Nome</t>
  </si>
  <si>
    <t>285;287</t>
  </si>
  <si>
    <t>FC-NE;SE-NE</t>
  </si>
  <si>
    <t>%MLT META do cenário</t>
  </si>
  <si>
    <t>%MLT Cálculado</t>
  </si>
  <si>
    <t>Passos para cima</t>
  </si>
  <si>
    <t>Passos para baixo</t>
  </si>
  <si>
    <t>DEZ (ano -1)</t>
  </si>
  <si>
    <t>Variação entre cenários</t>
  </si>
  <si>
    <t>&lt;?xml version="1.0" encoding="UTF-8" standalone="no" ?&gt;</t>
  </si>
  <si>
    <t>&lt;Configuracoes xmlns=""&gt;</t>
  </si>
  <si>
    <t>&lt;!-- Nome padrão do arquivo de caso do caso NEWAVE. --&gt;</t>
  </si>
  <si>
    <t>&lt;NomeArquivoCaso&gt;caso.dat&lt;/NomeArquivoCaso&gt;</t>
  </si>
  <si>
    <t>&lt;!-- Caminho completo do diretório com o deck inicial. --&gt;</t>
  </si>
  <si>
    <t>&lt;!-- Caminho completo do diretório no qual serão gravados os decks gerados. --&gt;</t>
  </si>
  <si>
    <t>&lt;!-- Caminho completo do executável do NEWAVE. --&gt;</t>
  </si>
  <si>
    <t>&lt;!-- Caminho completo do executável do NEWDESP. --&gt;</t>
  </si>
  <si>
    <t>&lt;!-- Caminho completo do executável do NWLISTOP. --&gt;</t>
  </si>
  <si>
    <t>&lt;!-- Valor máximo de PLD para ser usado de filtro para gravar saídas. --&gt;</t>
  </si>
  <si>
    <t>&lt;PLDMaximo&gt;822.83&lt;/PLDMaximo&gt;</t>
  </si>
  <si>
    <t>&lt;!-- Valor mínimo de PLD para ser usado de filtro para gravar saídas. --&gt;</t>
  </si>
  <si>
    <t>&lt;PLDMinimo&gt;15.62&lt;/PLDMinimo&gt;</t>
  </si>
  <si>
    <t>&lt;!-- Tipo de simulação final a ser executada em cada caso (0 = não simula nada; 2 = simulação histórica; 1 = simulação sintética; 3 = checar consistência). --&gt;</t>
  </si>
  <si>
    <t>&lt;!-- Utilizar o resultado de uma simulação do NEWDESP para obtenção do volume inicial de cada estágio posterior, ao invés dos resultados por série do NEWAVE. --&gt;</t>
  </si>
  <si>
    <t>&lt;UsarNEWDESP&gt;1&lt;/UsarNEWDESP&gt;</t>
  </si>
  <si>
    <t>&lt;!-- Utilizar o resultado de uma simulação do NEWDESP para obtenção do CMO de cada mês, ao invés dos resultados por série do NEWAVE. --&gt;</t>
  </si>
  <si>
    <t>&lt;PrecoNEWDESP&gt;1&lt;/PrecoNEWDESP&gt;</t>
  </si>
  <si>
    <t>&lt;!-- Número de meses a avançar na simulação, sem incluir o mês inicial. --&gt;</t>
  </si>
  <si>
    <t>&lt;!-- Decidir se utiliza uma série de ENA definida para cada submercado, bem como fornecer as séries. Valores em MWmês. --&gt;</t>
  </si>
  <si>
    <t>&lt;DefinirPrevisaoENA&gt;0&lt;/DefinirPrevisaoENA&gt;</t>
  </si>
  <si>
    <t>&lt;!-- Decidir se utiliza uma série de mercados de consumo para cada submercado, bem como fornecer as séries. Valores em MWmês. --&gt;</t>
  </si>
  <si>
    <t>&lt;DefinirMercados&gt;0&lt;/DefinirMercados&gt;</t>
  </si>
  <si>
    <t>&lt;Mercado SubMercado="1" MesReferencia="1"&gt;  &lt;/Mercado&gt;</t>
  </si>
  <si>
    <t>&lt;Mercado SubMercado="2" MesReferencia="1"&gt;  &lt;/Mercado&gt;</t>
  </si>
  <si>
    <t>&lt;Mercado SubMercado="3" MesReferencia="1"&gt;  &lt;/Mercado&gt;</t>
  </si>
  <si>
    <t>&lt;Mercado SubMercado="4" MesReferencia="1"&gt;  &lt;/Mercado&gt;</t>
  </si>
  <si>
    <t>&lt;!-- Definir os volumes armazenados iniciais por submercado, para execução do NEWDESP no primeiro mês. Níveis em MWmês --&gt;</t>
  </si>
  <si>
    <t>&lt;VolumeInicial SubMercado=""&gt; 0 &lt;/VolumeInicial&gt;</t>
  </si>
  <si>
    <t>&lt;!-- Decidir se utiliza uma série de volumes mínimos de Procedimento Operativo para cada submercado, bem como fornecer as séries. Valores em %. --&gt;</t>
  </si>
  <si>
    <t>&lt;DefinirVolumesPO&gt;1&lt;/DefinirVolumesPO&gt;</t>
  </si>
  <si>
    <t>&lt;!-- Ler apenas os resultados, ao invés de executar as simulações (útil para testes e para se reescrever resultados. --&gt;</t>
  </si>
  <si>
    <t>&lt;Leitura&gt;0&lt;/Leitura&gt;</t>
  </si>
  <si>
    <t>&lt;!-- Nome do arquivo com dados de resultados do encadeado. O arquivo com séries resultantes terá um sufixo adicionado a este nome. --&gt;</t>
  </si>
  <si>
    <t>&lt;!-- Nome do arquivo de atividades do encadeado. --&gt;</t>
  </si>
  <si>
    <t>&lt;!-- Nome do arquivo de formatos do NEWAVE. Deve estar presente no deck de entrada utilizado. --&gt;</t>
  </si>
  <si>
    <t>&lt;ArquivoFormatos&gt;format.tmp&lt;/ArquivoFormatos&gt;</t>
  </si>
  <si>
    <t>&lt;!-- Nome do arquivo de mensagens do NEWAVE. Deve estar presente no deck de entrada utilizado. --&gt;</t>
  </si>
  <si>
    <t>&lt;ArquivoMensagens&gt;mensag.tmp&lt;/ArquivoMensagens&gt;</t>
  </si>
  <si>
    <t>&lt;!-- pamaral: Campos novos no arquivo de XML de entrada --&gt;</t>
  </si>
  <si>
    <t>&lt;!-- Caminho clompleto do gerenciador de processos. --&gt;</t>
  </si>
  <si>
    <t>&lt;ExecutavelGERENCIADOR&gt;/opt/aplicacoes/newave/bin/&lt;/ExecutavelGERENCIADOR&gt;</t>
  </si>
  <si>
    <t>&lt;!-- Flag para utilização do gerenciador externo de processos --&gt;</t>
  </si>
  <si>
    <t>&lt;UsarGerenciamentoPLS&gt;1&lt;/UsarGerenciamentoPLS&gt;</t>
  </si>
  <si>
    <t>&lt;!-- Flag para utilização da comunicação em dois níveis --&gt;</t>
  </si>
  <si>
    <t>&lt;ComunicarEmDoisNiveis&gt;1&lt;/ComunicarEmDoisNiveis&gt;</t>
  </si>
  <si>
    <t>&lt;!-- Flag para utilização de armazenamento local de arquivos temporários --&gt;</t>
  </si>
  <si>
    <t>&lt;!-- Flag para utilização de alocação em memória da energia natural afluente --&gt;</t>
  </si>
  <si>
    <t>&lt;AlocaEnaEmMemoria&gt;0&lt;/AlocaEnaEmMemoria&gt;</t>
  </si>
  <si>
    <t>&lt;!-- Flag para utilização de alocação em memória dos cortes da função de custo futuro --&gt;</t>
  </si>
  <si>
    <t>&lt;AlocaCortesEmMemoria&gt;0&lt;/AlocaCortesEmMemoria&gt;</t>
  </si>
  <si>
    <t>&lt;/Configuracoes&gt;</t>
  </si>
  <si>
    <t>Nome do caso</t>
  </si>
  <si>
    <t>Newave Base</t>
  </si>
  <si>
    <t>Camino xml</t>
  </si>
  <si>
    <t>&lt;TipoSimulacaoFinal&gt;3&lt;/TipoSimulacaoFinal&gt;</t>
  </si>
  <si>
    <t>&lt;PrevisaoENA SubMercado="1" MesReferencia="1"&gt; 0 0 0 0 0 0 0 0 0 0 0 0 &lt;/PrevisaoENA&gt;</t>
  </si>
  <si>
    <t>&lt;PrevisaoENA SubMercado="2" MesReferencia="1"&gt; 0 0 0 0 0 0 0 0 0 0 0 0 &lt;/PrevisaoENA&gt;</t>
  </si>
  <si>
    <t>&lt;PrevisaoENA SubMercado="3" MesReferencia="1"&gt; 0 0 0 0 0 0 0 0 0 0 0 0 &lt;/PrevisaoENA&gt;</t>
  </si>
  <si>
    <t>&lt;PrevisaoENA SubMercado="4" MesReferencia="1"&gt; 0 0 0 0 0 0 0 0 0 0 0 0 &lt;/PrevisaoENA&gt;</t>
  </si>
  <si>
    <t>&lt;ArquivosTemporarios&gt;1&lt;/ArquivosTemporarios&gt;</t>
  </si>
  <si>
    <t>201708_jul_e_base_140717_DOUG</t>
  </si>
  <si>
    <t>H:\Middle - Preço\Resultados_Modelos\DECOMP\CCEE_DC\2017\DC201707\DC201707-sem3</t>
  </si>
  <si>
    <t>&lt;- ALTERAR AQUI PARA AS METAS</t>
  </si>
  <si>
    <t>EXEMPLOS:</t>
  </si>
  <si>
    <t>Base</t>
  </si>
  <si>
    <t>Nome Decomps</t>
  </si>
  <si>
    <t>Meses a avançar</t>
  </si>
  <si>
    <t>Versão NW</t>
  </si>
  <si>
    <t>Caso</t>
  </si>
  <si>
    <t>Limite</t>
  </si>
  <si>
    <t>DC</t>
  </si>
  <si>
    <t>USINAS</t>
  </si>
  <si>
    <t>P</t>
  </si>
  <si>
    <t>RESTRIÇÂO</t>
  </si>
  <si>
    <t>Eletrica NEWAVE (RE.DAT) (MWmed)</t>
  </si>
  <si>
    <t>Mês INI</t>
  </si>
  <si>
    <t>ANO INI</t>
  </si>
  <si>
    <t>Mês FIM</t>
  </si>
  <si>
    <t>ANO FIM</t>
  </si>
  <si>
    <t>MES ESTUDO</t>
  </si>
  <si>
    <t>TRES MARIAS</t>
  </si>
  <si>
    <t>XINGO</t>
  </si>
  <si>
    <t>ITAPARICA</t>
  </si>
  <si>
    <t>COMP PAF-MOX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</si>
</sst>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0.0%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40">
    <xf numFmtId="0" fontId="0" fillId="0" borderId="0" xfId="0"/>
    <xf numFmtId="0" fontId="1" fillId="3" borderId="0" xfId="0" applyFont="1" applyFill="1"/>
    <xf numFmtId="0" fontId="0" fillId="4" borderId="0" xfId="0" applyFill="1"/>
    <xf numFmtId="0" fontId="1" fillId="3" borderId="3" xfId="0" applyFont="1" applyFill="1" applyBorder="1"/>
    <xf numFmtId="0" fontId="0" fillId="4" borderId="3" xfId="0" applyFill="1" applyBorder="1"/>
    <xf numFmtId="0" fontId="0" fillId="4" borderId="2" xfId="0" applyFill="1" applyBorder="1"/>
    <xf numFmtId="0" fontId="0" fillId="4" borderId="1" xfId="0" applyFill="1" applyBorder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4" borderId="1" xfId="0" applyFont="1" applyFill="1" applyBorder="1"/>
    <xf numFmtId="0" fontId="0" fillId="3" borderId="0" xfId="0" applyFont="1" applyFill="1" applyAlignment="1">
      <alignment horizontal="left"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0" fillId="4" borderId="3" xfId="0" applyFill="1" applyBorder="1" applyAlignment="1">
      <alignment horizontal="center"/>
    </xf>
    <xf numFmtId="9" fontId="0" fillId="4" borderId="3" xfId="1" applyFont="1" applyFill="1" applyBorder="1"/>
    <xf numFmtId="9" fontId="0" fillId="4" borderId="1" xfId="1" applyFont="1" applyFill="1" applyBorder="1"/>
    <xf numFmtId="0" fontId="1" fillId="3" borderId="0" xfId="0" applyFont="1" applyFill="1" applyAlignment="1">
      <alignment horizontal="center"/>
    </xf>
    <xf numFmtId="1" fontId="0" fillId="4" borderId="3" xfId="2" applyNumberFormat="1" applyFont="1" applyFill="1" applyBorder="1"/>
    <xf numFmtId="0" fontId="0" fillId="4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right"/>
    </xf>
    <xf numFmtId="0" fontId="1" fillId="3" borderId="0" xfId="0" applyFont="1" applyFill="1" applyAlignment="1">
      <alignment horizontal="center"/>
    </xf>
    <xf numFmtId="0" fontId="2" fillId="2" borderId="0" xfId="0" applyFont="1" applyFill="1" applyAlignment="1">
      <alignment wrapText="1"/>
    </xf>
    <xf numFmtId="0" fontId="8" fillId="7" borderId="0" xfId="0" applyFont="1" applyFill="1"/>
    <xf numFmtId="0" fontId="10" fillId="8" borderId="4" xfId="0" applyFont="1" applyFill="1" applyBorder="1" applyAlignment="1">
      <alignment horizontal="center"/>
    </xf>
    <xf numFmtId="0" fontId="11" fillId="2" borderId="0" xfId="0" applyFont="1" applyFill="1"/>
    <xf numFmtId="9" fontId="6" fillId="4" borderId="0" xfId="1" applyNumberFormat="1" applyFill="1" applyBorder="1" applyAlignment="1">
      <alignment horizontal="center" vertical="center"/>
    </xf>
    <xf numFmtId="9" fontId="6" fillId="4" borderId="10" xfId="1" applyNumberFormat="1" applyFill="1" applyBorder="1" applyAlignment="1">
      <alignment horizontal="center" vertical="center"/>
    </xf>
    <xf numFmtId="9" fontId="6" fillId="4" borderId="8" xfId="1" applyNumberFormat="1" applyFill="1" applyBorder="1" applyAlignment="1">
      <alignment horizontal="center" vertical="center"/>
    </xf>
    <xf numFmtId="9" fontId="6" fillId="4" borderId="11" xfId="1" applyNumberFormat="1" applyFill="1" applyBorder="1" applyAlignment="1">
      <alignment horizontal="center" vertical="center"/>
    </xf>
    <xf numFmtId="9" fontId="12" fillId="4" borderId="0" xfId="1" applyNumberFormat="1" applyFont="1" applyFill="1" applyBorder="1" applyAlignment="1">
      <alignment horizontal="center" vertical="center"/>
    </xf>
    <xf numFmtId="9" fontId="6" fillId="4" borderId="2" xfId="1" applyNumberFormat="1" applyFill="1" applyBorder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16" fillId="3" borderId="0" xfId="0" applyFont="1" applyFill="1"/>
    <xf numFmtId="0" fontId="14" fillId="4" borderId="3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9" fontId="15" fillId="2" borderId="7" xfId="1" applyNumberFormat="1" applyFont="1" applyFill="1" applyBorder="1" applyAlignment="1">
      <alignment horizontal="center" vertical="center"/>
    </xf>
    <xf numFmtId="9" fontId="15" fillId="2" borderId="9" xfId="1" applyNumberFormat="1" applyFont="1" applyFill="1" applyBorder="1" applyAlignment="1">
      <alignment horizontal="center" vertical="center"/>
    </xf>
    <xf numFmtId="9" fontId="15" fillId="2" borderId="0" xfId="1" applyNumberFormat="1" applyFont="1" applyFill="1" applyBorder="1" applyAlignment="1">
      <alignment horizontal="center" vertical="center"/>
    </xf>
    <xf numFmtId="9" fontId="15" fillId="2" borderId="10" xfId="1" applyNumberFormat="1" applyFont="1" applyFill="1" applyBorder="1" applyAlignment="1">
      <alignment horizontal="center" vertical="center"/>
    </xf>
    <xf numFmtId="9" fontId="15" fillId="2" borderId="8" xfId="1" applyNumberFormat="1" applyFont="1" applyFill="1" applyBorder="1" applyAlignment="1">
      <alignment horizontal="center" vertical="center"/>
    </xf>
    <xf numFmtId="9" fontId="15" fillId="2" borderId="11" xfId="1" applyNumberFormat="1" applyFont="1" applyFill="1" applyBorder="1" applyAlignment="1">
      <alignment horizontal="center" vertical="center"/>
    </xf>
    <xf numFmtId="9" fontId="6" fillId="4" borderId="7" xfId="1" applyNumberFormat="1" applyFont="1" applyFill="1" applyBorder="1" applyAlignment="1">
      <alignment horizontal="center" vertical="center"/>
    </xf>
    <xf numFmtId="9" fontId="6" fillId="4" borderId="9" xfId="1" applyNumberFormat="1" applyFont="1" applyFill="1" applyBorder="1" applyAlignment="1">
      <alignment horizontal="center" vertical="center"/>
    </xf>
    <xf numFmtId="9" fontId="6" fillId="4" borderId="0" xfId="1" applyNumberFormat="1" applyFont="1" applyFill="1" applyBorder="1" applyAlignment="1">
      <alignment horizontal="center" vertical="center"/>
    </xf>
    <xf numFmtId="9" fontId="6" fillId="4" borderId="10" xfId="1" applyNumberFormat="1" applyFont="1" applyFill="1" applyBorder="1" applyAlignment="1">
      <alignment horizontal="center" vertical="center"/>
    </xf>
    <xf numFmtId="9" fontId="6" fillId="4" borderId="8" xfId="1" applyNumberFormat="1" applyFont="1" applyFill="1" applyBorder="1" applyAlignment="1">
      <alignment horizontal="center" vertical="center"/>
    </xf>
    <xf numFmtId="9" fontId="6" fillId="4" borderId="11" xfId="1" applyNumberFormat="1" applyFont="1" applyFill="1" applyBorder="1" applyAlignment="1">
      <alignment horizontal="center" vertical="center"/>
    </xf>
    <xf numFmtId="0" fontId="2" fillId="2" borderId="7" xfId="0" applyFont="1" applyFill="1" applyBorder="1"/>
    <xf numFmtId="0" fontId="1" fillId="3" borderId="7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9" fontId="6" fillId="4" borderId="12" xfId="1" applyNumberFormat="1" applyFill="1" applyBorder="1" applyAlignment="1">
      <alignment horizontal="center" vertical="center"/>
    </xf>
    <xf numFmtId="0" fontId="0" fillId="0" borderId="0" xfId="0" applyFont="1" applyBorder="1"/>
    <xf numFmtId="0" fontId="0" fillId="0" borderId="8" xfId="0" applyFont="1" applyBorder="1"/>
    <xf numFmtId="0" fontId="2" fillId="2" borderId="4" xfId="0" applyFont="1" applyFill="1" applyBorder="1"/>
    <xf numFmtId="0" fontId="0" fillId="3" borderId="5" xfId="0" applyFont="1" applyFill="1" applyBorder="1" applyAlignment="1">
      <alignment horizontal="left" vertical="center"/>
    </xf>
    <xf numFmtId="0" fontId="0" fillId="3" borderId="0" xfId="0" applyFont="1" applyFill="1" applyBorder="1" applyAlignment="1">
      <alignment horizontal="left" vertical="center"/>
    </xf>
    <xf numFmtId="0" fontId="0" fillId="4" borderId="13" xfId="0" applyFill="1" applyBorder="1"/>
    <xf numFmtId="0" fontId="0" fillId="4" borderId="14" xfId="0" applyFill="1" applyBorder="1"/>
    <xf numFmtId="0" fontId="0" fillId="3" borderId="6" xfId="0" applyFont="1" applyFill="1" applyBorder="1" applyAlignment="1">
      <alignment horizontal="left" vertical="center"/>
    </xf>
    <xf numFmtId="0" fontId="0" fillId="3" borderId="8" xfId="0" applyFont="1" applyFill="1" applyBorder="1" applyAlignment="1">
      <alignment horizontal="left" vertical="center"/>
    </xf>
    <xf numFmtId="0" fontId="0" fillId="4" borderId="15" xfId="0" applyFill="1" applyBorder="1"/>
    <xf numFmtId="0" fontId="0" fillId="4" borderId="16" xfId="0" applyFill="1" applyBorder="1"/>
    <xf numFmtId="165" fontId="0" fillId="4" borderId="3" xfId="1" applyNumberFormat="1" applyFont="1" applyFill="1" applyBorder="1" applyAlignment="1">
      <alignment horizontal="center"/>
    </xf>
    <xf numFmtId="165" fontId="0" fillId="4" borderId="1" xfId="1" applyNumberFormat="1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9" fontId="0" fillId="0" borderId="0" xfId="0" applyNumberFormat="1"/>
    <xf numFmtId="0" fontId="0" fillId="8" borderId="0" xfId="0" applyFill="1"/>
    <xf numFmtId="0" fontId="0" fillId="0" borderId="0" xfId="0"/>
    <xf numFmtId="9" fontId="0" fillId="0" borderId="0" xfId="0" applyNumberFormat="1"/>
    <xf numFmtId="165" fontId="0" fillId="4" borderId="3" xfId="1" applyNumberFormat="1" applyFont="1" applyFill="1" applyBorder="1"/>
    <xf numFmtId="165" fontId="0" fillId="4" borderId="1" xfId="1" applyNumberFormat="1" applyFont="1" applyFill="1" applyBorder="1"/>
    <xf numFmtId="0" fontId="1" fillId="3" borderId="0" xfId="0" applyFont="1" applyFill="1" applyAlignment="1">
      <alignment horizontal="center"/>
    </xf>
    <xf numFmtId="0" fontId="1" fillId="13" borderId="3" xfId="0" applyFont="1" applyFill="1" applyBorder="1"/>
    <xf numFmtId="9" fontId="0" fillId="14" borderId="0" xfId="0" applyNumberFormat="1" applyFill="1"/>
    <xf numFmtId="0" fontId="0" fillId="14" borderId="0" xfId="0" applyFill="1"/>
    <xf numFmtId="0" fontId="18" fillId="2" borderId="0" xfId="0" applyFont="1" applyFill="1"/>
    <xf numFmtId="0" fontId="2" fillId="2" borderId="17" xfId="0" applyFont="1" applyFill="1" applyBorder="1"/>
    <xf numFmtId="0" fontId="0" fillId="15" borderId="0" xfId="0" applyFill="1"/>
    <xf numFmtId="0" fontId="0" fillId="16" borderId="0" xfId="0" applyFill="1"/>
    <xf numFmtId="0" fontId="20" fillId="17" borderId="0" xfId="0" applyFont="1" applyFill="1"/>
    <xf numFmtId="0" fontId="10" fillId="9" borderId="5" xfId="0" applyFont="1" applyFill="1" applyBorder="1" applyAlignment="1">
      <alignment horizontal="center"/>
    </xf>
    <xf numFmtId="0" fontId="10" fillId="10" borderId="5" xfId="0" applyFont="1" applyFill="1" applyBorder="1" applyAlignment="1">
      <alignment horizontal="center"/>
    </xf>
    <xf numFmtId="0" fontId="10" fillId="6" borderId="6" xfId="0" applyFont="1" applyFill="1" applyBorder="1" applyAlignment="1">
      <alignment horizontal="center"/>
    </xf>
    <xf numFmtId="0" fontId="2" fillId="2" borderId="4" xfId="0" applyFont="1" applyFill="1" applyBorder="1" applyAlignment="1">
      <alignment vertical="center"/>
    </xf>
    <xf numFmtId="0" fontId="0" fillId="0" borderId="4" xfId="0" applyBorder="1"/>
    <xf numFmtId="0" fontId="0" fillId="0" borderId="9" xfId="0" applyBorder="1"/>
    <xf numFmtId="0" fontId="0" fillId="0" borderId="5" xfId="0" applyBorder="1"/>
    <xf numFmtId="0" fontId="0" fillId="0" borderId="10" xfId="0" applyBorder="1"/>
    <xf numFmtId="0" fontId="2" fillId="2" borderId="4" xfId="0" applyFont="1" applyFill="1" applyBorder="1" applyAlignment="1">
      <alignment horizontal="right" vertical="center"/>
    </xf>
    <xf numFmtId="0" fontId="2" fillId="2" borderId="18" xfId="0" applyFont="1" applyFill="1" applyBorder="1" applyAlignment="1">
      <alignment horizontal="right" vertical="center"/>
    </xf>
    <xf numFmtId="0" fontId="0" fillId="0" borderId="7" xfId="0" applyBorder="1"/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0" fillId="17" borderId="4" xfId="0" applyFill="1" applyBorder="1"/>
    <xf numFmtId="0" fontId="0" fillId="17" borderId="5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0" xfId="0" applyFill="1" applyBorder="1"/>
    <xf numFmtId="0" fontId="0" fillId="17" borderId="8" xfId="0" applyFill="1" applyBorder="1"/>
    <xf numFmtId="0" fontId="2" fillId="2" borderId="9" xfId="0" applyFont="1" applyFill="1" applyBorder="1" applyAlignment="1">
      <alignment vertical="center"/>
    </xf>
    <xf numFmtId="0" fontId="0" fillId="0" borderId="11" xfId="0" applyBorder="1"/>
    <xf numFmtId="0" fontId="6" fillId="4" borderId="2" xfId="1" applyNumberFormat="1" applyFill="1" applyBorder="1" applyAlignment="1">
      <alignment horizontal="center" vertical="center"/>
    </xf>
    <xf numFmtId="0" fontId="6" fillId="4" borderId="12" xfId="1" applyNumberFormat="1" applyFill="1" applyBorder="1" applyAlignment="1">
      <alignment horizontal="center" vertical="center"/>
    </xf>
    <xf numFmtId="0" fontId="6" fillId="4" borderId="0" xfId="1" applyNumberFormat="1" applyFill="1" applyBorder="1" applyAlignment="1">
      <alignment horizontal="center" vertical="center"/>
    </xf>
    <xf numFmtId="0" fontId="6" fillId="4" borderId="10" xfId="1" applyNumberFormat="1" applyFill="1" applyBorder="1" applyAlignment="1">
      <alignment horizontal="center" vertical="center"/>
    </xf>
    <xf numFmtId="0" fontId="6" fillId="4" borderId="8" xfId="1" applyNumberFormat="1" applyFill="1" applyBorder="1" applyAlignment="1">
      <alignment horizontal="center" vertical="center"/>
    </xf>
    <xf numFmtId="0" fontId="6" fillId="4" borderId="11" xfId="1" applyNumberFormat="1" applyFill="1" applyBorder="1" applyAlignment="1">
      <alignment horizontal="center" vertical="center"/>
    </xf>
    <xf numFmtId="0" fontId="6" fillId="4" borderId="9" xfId="1" applyNumberFormat="1" applyFill="1" applyBorder="1" applyAlignment="1">
      <alignment horizontal="center" vertical="center"/>
    </xf>
    <xf numFmtId="0" fontId="21" fillId="17" borderId="0" xfId="0" applyFont="1" applyFill="1" applyBorder="1" applyAlignment="1">
      <alignment horizontal="center" vertical="center"/>
    </xf>
    <xf numFmtId="0" fontId="17" fillId="4" borderId="3" xfId="0" applyFont="1" applyFill="1" applyBorder="1" applyAlignment="1">
      <alignment horizontal="center" vertical="center"/>
    </xf>
    <xf numFmtId="0" fontId="19" fillId="4" borderId="3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10" fillId="10" borderId="5" xfId="0" applyFont="1" applyFill="1" applyBorder="1" applyAlignment="1">
      <alignment horizontal="center"/>
    </xf>
    <xf numFmtId="0" fontId="10" fillId="10" borderId="0" xfId="0" applyFont="1" applyFill="1" applyBorder="1" applyAlignment="1">
      <alignment horizontal="center"/>
    </xf>
    <xf numFmtId="0" fontId="10" fillId="6" borderId="6" xfId="0" applyFont="1" applyFill="1" applyBorder="1" applyAlignment="1">
      <alignment horizontal="center"/>
    </xf>
    <xf numFmtId="0" fontId="10" fillId="6" borderId="8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9" fontId="18" fillId="18" borderId="0" xfId="1" applyNumberFormat="1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10" fillId="9" borderId="0" xfId="0" applyFont="1" applyFill="1" applyBorder="1" applyAlignment="1">
      <alignment horizontal="center"/>
    </xf>
    <xf numFmtId="0" fontId="2" fillId="7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center"/>
    </xf>
    <xf numFmtId="0" fontId="0" fillId="20" borderId="3" xfId="0" applyFill="1" applyBorder="1" applyAlignment="1">
      <alignment horizontal="center"/>
    </xf>
    <xf numFmtId="164" fontId="0" fillId="20" borderId="3" xfId="2" applyFont="1" applyFill="1" applyBorder="1" applyAlignment="1">
      <alignment horizontal="center"/>
    </xf>
  </cellXfs>
  <cellStyles count="4">
    <cellStyle name="Normal" xfId="0" builtinId="0"/>
    <cellStyle name="Porcentagem" xfId="1" builtinId="5"/>
    <cellStyle name="Vírgula" xfId="2" builtinId="3"/>
    <cellStyle name="Vírgula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180975</xdr:rowOff>
        </xdr:from>
        <xdr:to>
          <xdr:col>1</xdr:col>
          <xdr:colOff>733425</xdr:colOff>
          <xdr:row>23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Carregar Vazpast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1162050</xdr:colOff>
          <xdr:row>20</xdr:row>
          <xdr:rowOff>180975</xdr:rowOff>
        </xdr:from>
        <xdr:to>
          <xdr:col>1</xdr:col>
          <xdr:colOff>1752600</xdr:colOff>
          <xdr:row>23</xdr:row>
          <xdr:rowOff>152400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Carregar Prevs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20</xdr:row>
          <xdr:rowOff>171450</xdr:rowOff>
        </xdr:from>
        <xdr:to>
          <xdr:col>3</xdr:col>
          <xdr:colOff>9525</xdr:colOff>
          <xdr:row>23</xdr:row>
          <xdr:rowOff>142875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Copiar Referencia (MLT)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19050</xdr:rowOff>
        </xdr:from>
        <xdr:to>
          <xdr:col>2</xdr:col>
          <xdr:colOff>1123950</xdr:colOff>
          <xdr:row>28</xdr:row>
          <xdr:rowOff>180975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Atingir meta e atuailzar Vazoes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0</xdr:row>
          <xdr:rowOff>66675</xdr:rowOff>
        </xdr:from>
        <xdr:to>
          <xdr:col>3</xdr:col>
          <xdr:colOff>752475</xdr:colOff>
          <xdr:row>1</xdr:row>
          <xdr:rowOff>19050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Novo 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30</xdr:row>
          <xdr:rowOff>38100</xdr:rowOff>
        </xdr:from>
        <xdr:to>
          <xdr:col>17</xdr:col>
          <xdr:colOff>571500</xdr:colOff>
          <xdr:row>32</xdr:row>
          <xdr:rowOff>133350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1" u="none" strike="noStrike" baseline="0">
                  <a:solidFill>
                    <a:srgbClr val="000000"/>
                  </a:solidFill>
                  <a:latin typeface="Calibri"/>
                </a:rPr>
                <a:t>Criar Cenários (Linear)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57150</xdr:rowOff>
        </xdr:from>
        <xdr:to>
          <xdr:col>1</xdr:col>
          <xdr:colOff>1047750</xdr:colOff>
          <xdr:row>1</xdr:row>
          <xdr:rowOff>95250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Tornar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19050</xdr:rowOff>
        </xdr:from>
        <xdr:to>
          <xdr:col>20</xdr:col>
          <xdr:colOff>571500</xdr:colOff>
          <xdr:row>34</xdr:row>
          <xdr:rowOff>200025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1" u="none" strike="noStrike" baseline="0">
                  <a:solidFill>
                    <a:srgbClr val="000000"/>
                  </a:solidFill>
                  <a:latin typeface="Calibri"/>
                </a:rPr>
                <a:t>Criar Cenários (Matricial)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M461"/>
  <sheetViews>
    <sheetView showGridLines="0" tabSelected="1" topLeftCell="P22" zoomScale="85" zoomScaleNormal="85" workbookViewId="0">
      <selection activeCell="AL36" sqref="AE36:AL36"/>
    </sheetView>
  </sheetViews>
  <sheetFormatPr defaultRowHeight="15" zeroHeight="1" x14ac:dyDescent="0.25"/>
  <cols>
    <col min="1" max="1" width="20.7109375" customWidth="1"/>
    <col min="2" max="2" width="19.7109375" customWidth="1"/>
    <col min="3" max="3" width="14.85546875" customWidth="1"/>
    <col min="8" max="8" width="9.7109375" bestFit="1" customWidth="1"/>
    <col min="9" max="9" width="11.42578125" bestFit="1" customWidth="1"/>
    <col min="10" max="10" width="9.7109375" bestFit="1" customWidth="1"/>
    <col min="15" max="15" width="13.140625" customWidth="1"/>
    <col min="31" max="31" width="11.5703125" bestFit="1" customWidth="1"/>
    <col min="32" max="32" width="12.42578125" bestFit="1" customWidth="1"/>
    <col min="33" max="33" width="7.85546875" bestFit="1" customWidth="1"/>
    <col min="34" max="34" width="8.140625" bestFit="1" customWidth="1"/>
    <col min="35" max="35" width="8.7109375" bestFit="1" customWidth="1"/>
    <col min="36" max="36" width="9" bestFit="1" customWidth="1"/>
    <col min="37" max="37" width="2.140625" bestFit="1" customWidth="1"/>
    <col min="38" max="38" width="12.42578125" customWidth="1"/>
  </cols>
  <sheetData>
    <row r="1" spans="2:18" x14ac:dyDescent="0.25"/>
    <row r="2" spans="2:18" x14ac:dyDescent="0.25">
      <c r="B2" s="120" t="s">
        <v>45</v>
      </c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</row>
    <row r="3" spans="2:18" ht="15.75" x14ac:dyDescent="0.25">
      <c r="B3" s="3" t="s">
        <v>108</v>
      </c>
      <c r="C3" s="119" t="s">
        <v>117</v>
      </c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</row>
    <row r="4" spans="2:18" x14ac:dyDescent="0.25">
      <c r="B4" s="3" t="s">
        <v>109</v>
      </c>
      <c r="C4" s="118" t="str">
        <f>"L:\3_decks_entrada\"&amp;C3</f>
        <v>L:\3_decks_entrada\201708_jul_e_base_140717_DOUG</v>
      </c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Q4" s="3" t="s">
        <v>123</v>
      </c>
      <c r="R4" s="3"/>
    </row>
    <row r="5" spans="2:18" x14ac:dyDescent="0.25">
      <c r="B5" s="3" t="s">
        <v>110</v>
      </c>
      <c r="C5" s="118" t="str">
        <f>"L:\2_xml\"&amp;C3</f>
        <v>L:\2_xml\201708_jul_e_base_140717_DOUG</v>
      </c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Q5" s="86">
        <f>(13 - RIGHT(LEFT(Geral!$C$3,6),2))</f>
        <v>5</v>
      </c>
    </row>
    <row r="6" spans="2:18" x14ac:dyDescent="0.25">
      <c r="B6" s="80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</row>
    <row r="7" spans="2:18" x14ac:dyDescent="0.25">
      <c r="B7" s="80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Q7" s="3" t="s">
        <v>124</v>
      </c>
      <c r="R7" s="3"/>
    </row>
    <row r="8" spans="2:18" x14ac:dyDescent="0.25">
      <c r="B8" s="3" t="s">
        <v>26</v>
      </c>
      <c r="C8" s="118" t="str">
        <f>"L:\4_resultados\"&amp;C3</f>
        <v>L:\4_resultados\201708_jul_e_base_140717_DOUG</v>
      </c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Q8" s="86">
        <v>24</v>
      </c>
    </row>
    <row r="9" spans="2:18" ht="15.75" x14ac:dyDescent="0.25">
      <c r="B9" s="3" t="s">
        <v>15</v>
      </c>
      <c r="C9" s="119" t="s">
        <v>118</v>
      </c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</row>
    <row r="10" spans="2:18" ht="15.75" x14ac:dyDescent="0.25">
      <c r="B10" s="87" t="s">
        <v>122</v>
      </c>
      <c r="C10" s="117" t="s">
        <v>121</v>
      </c>
      <c r="D10" s="117"/>
      <c r="E10" s="117"/>
      <c r="F10" s="117"/>
      <c r="G10" s="117"/>
      <c r="H10" s="117"/>
      <c r="I10" s="117"/>
      <c r="J10" s="117"/>
      <c r="K10" s="117"/>
      <c r="L10" s="117"/>
      <c r="M10" s="117"/>
      <c r="N10" s="117"/>
      <c r="O10" s="117"/>
    </row>
    <row r="11" spans="2:18" x14ac:dyDescent="0.25"/>
    <row r="12" spans="2:18" x14ac:dyDescent="0.25"/>
    <row r="13" spans="2:18" ht="30" x14ac:dyDescent="0.25">
      <c r="B13" s="23" t="s">
        <v>24</v>
      </c>
    </row>
    <row r="14" spans="2:18" x14ac:dyDescent="0.25">
      <c r="B14" s="13" t="s">
        <v>25</v>
      </c>
      <c r="C14" s="8" t="s">
        <v>54</v>
      </c>
      <c r="D14" s="8" t="s">
        <v>2</v>
      </c>
      <c r="E14" s="8" t="s">
        <v>3</v>
      </c>
      <c r="F14" s="8" t="s">
        <v>4</v>
      </c>
      <c r="G14" s="8" t="s">
        <v>5</v>
      </c>
      <c r="H14" s="8" t="s">
        <v>6</v>
      </c>
      <c r="I14" s="8" t="s">
        <v>7</v>
      </c>
      <c r="J14" s="8" t="s">
        <v>8</v>
      </c>
      <c r="K14" s="8" t="s">
        <v>9</v>
      </c>
      <c r="L14" s="8" t="s">
        <v>10</v>
      </c>
      <c r="M14" s="8" t="s">
        <v>11</v>
      </c>
      <c r="N14" s="8" t="s">
        <v>12</v>
      </c>
      <c r="O14" s="8" t="s">
        <v>13</v>
      </c>
    </row>
    <row r="15" spans="2:18" x14ac:dyDescent="0.25">
      <c r="B15" s="10">
        <v>1</v>
      </c>
      <c r="C15" s="69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</row>
    <row r="16" spans="2:18" x14ac:dyDescent="0.25">
      <c r="B16" s="10">
        <v>2</v>
      </c>
      <c r="C16" s="70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</row>
    <row r="17" spans="1:29" x14ac:dyDescent="0.25">
      <c r="B17" s="10">
        <v>3</v>
      </c>
      <c r="C17" s="70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</row>
    <row r="18" spans="1:29" x14ac:dyDescent="0.25">
      <c r="B18" s="10">
        <v>4</v>
      </c>
      <c r="C18" s="70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</row>
    <row r="19" spans="1:29" x14ac:dyDescent="0.25">
      <c r="B19" s="10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</row>
    <row r="20" spans="1:29" x14ac:dyDescent="0.25">
      <c r="B20" s="10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</row>
    <row r="21" spans="1:29" x14ac:dyDescent="0.25">
      <c r="B21" s="10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</row>
    <row r="22" spans="1:29" x14ac:dyDescent="0.25">
      <c r="B22" s="10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</row>
    <row r="23" spans="1:29" x14ac:dyDescent="0.25">
      <c r="B23" s="10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29" x14ac:dyDescent="0.25"/>
    <row r="25" spans="1:29" x14ac:dyDescent="0.25"/>
    <row r="26" spans="1:29" s="75" customFormat="1" ht="18.75" x14ac:dyDescent="0.3">
      <c r="A26" s="83" t="s">
        <v>120</v>
      </c>
      <c r="B26" s="84" t="s">
        <v>14</v>
      </c>
      <c r="C26" s="84">
        <v>275</v>
      </c>
      <c r="D26" s="84">
        <v>11</v>
      </c>
      <c r="E26" s="84"/>
      <c r="F26" s="84">
        <v>1500</v>
      </c>
      <c r="G26" s="84"/>
      <c r="H26" s="84">
        <v>1500</v>
      </c>
      <c r="I26" s="84"/>
      <c r="J26" s="84">
        <v>1500</v>
      </c>
      <c r="K26" s="84"/>
      <c r="M26" s="84" t="s">
        <v>0</v>
      </c>
      <c r="N26" s="84">
        <v>178</v>
      </c>
      <c r="O26" s="84">
        <v>12</v>
      </c>
      <c r="P26" s="84"/>
      <c r="Q26" s="84">
        <v>600</v>
      </c>
      <c r="R26" s="84">
        <v>600</v>
      </c>
      <c r="S26" s="84">
        <v>600</v>
      </c>
      <c r="T26" s="84">
        <v>600</v>
      </c>
      <c r="U26" s="84">
        <v>600</v>
      </c>
      <c r="V26" s="84">
        <v>600</v>
      </c>
      <c r="X26" s="84" t="s">
        <v>1</v>
      </c>
      <c r="Y26" s="84">
        <v>275</v>
      </c>
      <c r="Z26" s="84">
        <v>11</v>
      </c>
      <c r="AA26" s="84">
        <v>1</v>
      </c>
      <c r="AB26" s="84">
        <v>9239</v>
      </c>
      <c r="AC26" s="84">
        <v>9239</v>
      </c>
    </row>
    <row r="27" spans="1:29" s="75" customFormat="1" x14ac:dyDescent="0.25">
      <c r="B27" s="84" t="s">
        <v>14</v>
      </c>
      <c r="C27" s="84">
        <v>275</v>
      </c>
      <c r="D27" s="84">
        <v>12</v>
      </c>
      <c r="E27" s="84">
        <v>1</v>
      </c>
      <c r="F27" s="84">
        <v>1400</v>
      </c>
      <c r="G27" s="84"/>
      <c r="H27" s="84">
        <v>1400</v>
      </c>
      <c r="I27" s="84"/>
      <c r="J27" s="84">
        <v>1400</v>
      </c>
      <c r="K27" s="84"/>
      <c r="M27" s="84" t="s">
        <v>0</v>
      </c>
      <c r="N27" s="84">
        <v>314</v>
      </c>
      <c r="O27" s="84">
        <v>10</v>
      </c>
      <c r="P27" s="84">
        <v>1</v>
      </c>
      <c r="Q27" s="84">
        <v>700</v>
      </c>
      <c r="R27" s="84"/>
      <c r="S27" s="84">
        <v>700</v>
      </c>
      <c r="T27" s="84"/>
      <c r="U27" s="84">
        <v>700</v>
      </c>
      <c r="V27" s="84"/>
      <c r="X27" s="84" t="s">
        <v>1</v>
      </c>
      <c r="Y27" s="84">
        <v>275</v>
      </c>
      <c r="Z27" s="84">
        <v>11</v>
      </c>
      <c r="AA27" s="84">
        <v>2</v>
      </c>
      <c r="AB27" s="84">
        <v>3976</v>
      </c>
      <c r="AC27" s="84">
        <v>3976</v>
      </c>
    </row>
    <row r="28" spans="1:29" s="75" customFormat="1" x14ac:dyDescent="0.25">
      <c r="B28" s="84" t="s">
        <v>14</v>
      </c>
      <c r="C28" s="84" t="s">
        <v>48</v>
      </c>
      <c r="D28" s="84">
        <v>12</v>
      </c>
      <c r="E28" s="84"/>
      <c r="F28" s="84">
        <v>5824.26</v>
      </c>
      <c r="G28" s="84"/>
      <c r="H28" s="84">
        <v>5824.26</v>
      </c>
      <c r="I28" s="84"/>
      <c r="J28" s="84">
        <v>5824.26</v>
      </c>
      <c r="K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X28" s="84" t="s">
        <v>1</v>
      </c>
      <c r="Y28" s="84">
        <v>275</v>
      </c>
      <c r="Z28" s="84">
        <v>12</v>
      </c>
      <c r="AA28" s="84"/>
      <c r="AB28" s="84">
        <v>3976</v>
      </c>
      <c r="AC28" s="84"/>
    </row>
    <row r="29" spans="1:29" s="75" customFormat="1" x14ac:dyDescent="0.25">
      <c r="B29" s="84" t="s">
        <v>14</v>
      </c>
      <c r="C29" s="84" t="s">
        <v>49</v>
      </c>
      <c r="D29" s="84">
        <v>11</v>
      </c>
      <c r="E29" s="84"/>
      <c r="F29" s="84">
        <v>4000</v>
      </c>
      <c r="G29" s="84"/>
      <c r="H29" s="84">
        <v>4000</v>
      </c>
      <c r="I29" s="84"/>
      <c r="J29" s="84">
        <v>4400</v>
      </c>
      <c r="K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X29" s="84"/>
      <c r="Y29" s="84"/>
      <c r="Z29" s="84"/>
      <c r="AA29" s="84"/>
      <c r="AB29" s="84"/>
      <c r="AC29" s="84"/>
    </row>
    <row r="30" spans="1:29" s="75" customFormat="1" x14ac:dyDescent="0.25"/>
    <row r="31" spans="1:29" x14ac:dyDescent="0.25">
      <c r="C31" t="s">
        <v>44</v>
      </c>
    </row>
    <row r="32" spans="1:29" x14ac:dyDescent="0.25"/>
    <row r="33" spans="2:39" x14ac:dyDescent="0.25">
      <c r="B33" s="120" t="s">
        <v>21</v>
      </c>
      <c r="C33" s="120"/>
      <c r="D33" s="120"/>
      <c r="E33" s="120"/>
      <c r="F33" s="120"/>
      <c r="G33" s="120"/>
      <c r="H33" s="120"/>
      <c r="I33" s="120"/>
      <c r="J33" s="120"/>
      <c r="K33" s="120"/>
      <c r="M33" s="120" t="s">
        <v>30</v>
      </c>
      <c r="N33" s="120"/>
      <c r="O33" s="120"/>
      <c r="P33" s="120"/>
      <c r="Q33" s="120"/>
      <c r="R33" s="120"/>
      <c r="S33" s="120"/>
      <c r="T33" s="120"/>
      <c r="U33" s="120"/>
      <c r="V33" s="120"/>
      <c r="X33" s="120" t="s">
        <v>22</v>
      </c>
      <c r="Y33" s="120"/>
      <c r="Z33" s="120"/>
      <c r="AA33" s="120"/>
      <c r="AB33" s="120"/>
      <c r="AC33" s="120"/>
      <c r="AE33" s="136" t="s">
        <v>131</v>
      </c>
      <c r="AF33" s="136"/>
      <c r="AG33" s="136"/>
      <c r="AH33" s="136"/>
      <c r="AI33" s="136"/>
      <c r="AJ33" s="136"/>
      <c r="AK33" s="136"/>
    </row>
    <row r="34" spans="2:39" x14ac:dyDescent="0.25">
      <c r="F34" s="122" t="s">
        <v>16</v>
      </c>
      <c r="G34" s="122"/>
      <c r="H34" s="122" t="s">
        <v>17</v>
      </c>
      <c r="I34" s="122"/>
      <c r="J34" s="122" t="s">
        <v>18</v>
      </c>
      <c r="K34" s="122"/>
      <c r="Q34" s="122" t="s">
        <v>16</v>
      </c>
      <c r="R34" s="122"/>
      <c r="S34" s="122" t="s">
        <v>17</v>
      </c>
      <c r="T34" s="122"/>
      <c r="U34" s="122" t="s">
        <v>18</v>
      </c>
      <c r="V34" s="122"/>
    </row>
    <row r="35" spans="2:39" x14ac:dyDescent="0.25">
      <c r="B35" s="79" t="s">
        <v>14</v>
      </c>
      <c r="C35" s="7" t="s">
        <v>27</v>
      </c>
      <c r="D35" s="7" t="s">
        <v>28</v>
      </c>
      <c r="E35" s="22" t="s">
        <v>43</v>
      </c>
      <c r="F35" s="7" t="s">
        <v>19</v>
      </c>
      <c r="G35" s="7" t="s">
        <v>20</v>
      </c>
      <c r="H35" s="7" t="s">
        <v>19</v>
      </c>
      <c r="I35" s="7" t="s">
        <v>20</v>
      </c>
      <c r="J35" s="7" t="s">
        <v>19</v>
      </c>
      <c r="K35" s="7" t="s">
        <v>20</v>
      </c>
      <c r="M35" s="79" t="s">
        <v>0</v>
      </c>
      <c r="N35" s="16" t="s">
        <v>27</v>
      </c>
      <c r="O35" s="16" t="s">
        <v>28</v>
      </c>
      <c r="P35" s="22" t="s">
        <v>43</v>
      </c>
      <c r="Q35" s="7" t="s">
        <v>19</v>
      </c>
      <c r="R35" s="7" t="s">
        <v>20</v>
      </c>
      <c r="S35" s="7" t="s">
        <v>19</v>
      </c>
      <c r="T35" s="7" t="s">
        <v>20</v>
      </c>
      <c r="U35" s="7" t="s">
        <v>19</v>
      </c>
      <c r="V35" s="7" t="s">
        <v>20</v>
      </c>
      <c r="X35" s="79" t="s">
        <v>1</v>
      </c>
      <c r="Y35" s="16" t="s">
        <v>27</v>
      </c>
      <c r="Z35" s="16" t="s">
        <v>28</v>
      </c>
      <c r="AA35" s="22" t="s">
        <v>43</v>
      </c>
      <c r="AB35" s="7" t="s">
        <v>19</v>
      </c>
      <c r="AC35" s="7" t="s">
        <v>20</v>
      </c>
      <c r="AE35" s="137" t="s">
        <v>128</v>
      </c>
      <c r="AF35" s="137" t="s">
        <v>136</v>
      </c>
      <c r="AG35" s="137" t="s">
        <v>132</v>
      </c>
      <c r="AH35" s="137" t="s">
        <v>133</v>
      </c>
      <c r="AI35" s="137" t="s">
        <v>134</v>
      </c>
      <c r="AJ35" s="137" t="s">
        <v>135</v>
      </c>
      <c r="AK35" s="137" t="s">
        <v>129</v>
      </c>
      <c r="AL35" s="137" t="s">
        <v>130</v>
      </c>
    </row>
    <row r="36" spans="2:39" x14ac:dyDescent="0.25">
      <c r="B36" s="1"/>
      <c r="C36" s="4"/>
      <c r="D36" s="4"/>
      <c r="E36" s="4"/>
      <c r="F36" s="4"/>
      <c r="G36" s="4"/>
      <c r="H36" s="4"/>
      <c r="I36" s="4"/>
      <c r="J36" s="4"/>
      <c r="K36" s="4"/>
      <c r="M36" s="33"/>
      <c r="N36" s="13"/>
      <c r="O36" s="13"/>
      <c r="P36" s="13"/>
      <c r="Q36" s="13"/>
      <c r="R36" s="13"/>
      <c r="S36" s="13"/>
      <c r="T36" s="13"/>
      <c r="U36" s="13"/>
      <c r="V36" s="13"/>
      <c r="X36" s="1"/>
      <c r="Y36" s="13"/>
      <c r="Z36" s="13"/>
      <c r="AA36" s="13"/>
      <c r="AB36" s="13"/>
      <c r="AC36" s="13"/>
      <c r="AE36" s="138">
        <v>156</v>
      </c>
      <c r="AF36" s="138">
        <v>1</v>
      </c>
      <c r="AG36" s="138">
        <f t="shared" ref="AG36:AG82" si="0">AF36</f>
        <v>1</v>
      </c>
      <c r="AH36" s="138">
        <v>2018</v>
      </c>
      <c r="AI36" s="138">
        <f t="shared" ref="AI36:AI47" si="1">AG36+1</f>
        <v>2</v>
      </c>
      <c r="AJ36" s="138">
        <v>2018</v>
      </c>
      <c r="AK36" s="138">
        <v>0</v>
      </c>
      <c r="AL36" s="139">
        <v>34.409999999999997</v>
      </c>
      <c r="AM36" t="s">
        <v>137</v>
      </c>
    </row>
    <row r="37" spans="2:39" x14ac:dyDescent="0.25">
      <c r="B37" s="1"/>
      <c r="C37" s="6"/>
      <c r="D37" s="6"/>
      <c r="E37" s="6"/>
      <c r="F37" s="6"/>
      <c r="G37" s="6"/>
      <c r="H37" s="6"/>
      <c r="I37" s="6"/>
      <c r="J37" s="6"/>
      <c r="K37" s="6"/>
      <c r="M37" s="33"/>
      <c r="N37" s="13"/>
      <c r="O37" s="13"/>
      <c r="P37" s="13"/>
      <c r="Q37" s="13"/>
      <c r="R37" s="13"/>
      <c r="S37" s="13"/>
      <c r="T37" s="13"/>
      <c r="U37" s="13"/>
      <c r="V37" s="13"/>
      <c r="X37" s="38"/>
      <c r="Y37" s="39"/>
      <c r="Z37" s="39"/>
      <c r="AA37" s="39"/>
      <c r="AB37" s="39"/>
      <c r="AC37" s="39"/>
      <c r="AE37" s="138">
        <v>156</v>
      </c>
      <c r="AF37" s="138">
        <v>2</v>
      </c>
      <c r="AG37" s="138">
        <f t="shared" si="0"/>
        <v>2</v>
      </c>
      <c r="AH37" s="138">
        <v>2018</v>
      </c>
      <c r="AI37" s="138">
        <f t="shared" si="1"/>
        <v>3</v>
      </c>
      <c r="AJ37" s="138">
        <v>2018</v>
      </c>
      <c r="AK37" s="138">
        <v>0</v>
      </c>
      <c r="AL37" s="139">
        <v>34.409999999999997</v>
      </c>
      <c r="AM37" t="s">
        <v>137</v>
      </c>
    </row>
    <row r="38" spans="2:39" x14ac:dyDescent="0.25">
      <c r="B38" s="1"/>
      <c r="C38" s="6"/>
      <c r="D38" s="6"/>
      <c r="E38" s="6"/>
      <c r="F38" s="6"/>
      <c r="G38" s="6"/>
      <c r="H38" s="6"/>
      <c r="I38" s="6"/>
      <c r="J38" s="6"/>
      <c r="K38" s="6"/>
      <c r="M38" s="33"/>
      <c r="N38" s="13"/>
      <c r="O38" s="13"/>
      <c r="P38" s="13"/>
      <c r="Q38" s="13"/>
      <c r="R38" s="13"/>
      <c r="S38" s="13"/>
      <c r="T38" s="13"/>
      <c r="U38" s="13"/>
      <c r="V38" s="13"/>
      <c r="X38" s="38"/>
      <c r="Y38" s="40"/>
      <c r="Z38" s="40"/>
      <c r="AA38" s="39"/>
      <c r="AB38" s="39"/>
      <c r="AC38" s="39"/>
      <c r="AE38" s="138">
        <v>156</v>
      </c>
      <c r="AF38" s="138">
        <v>3</v>
      </c>
      <c r="AG38" s="138">
        <f t="shared" si="0"/>
        <v>3</v>
      </c>
      <c r="AH38" s="138">
        <v>2018</v>
      </c>
      <c r="AI38" s="138">
        <f t="shared" si="1"/>
        <v>4</v>
      </c>
      <c r="AJ38" s="138">
        <v>2018</v>
      </c>
      <c r="AK38" s="138">
        <v>0</v>
      </c>
      <c r="AL38" s="139">
        <v>34.409999999999997</v>
      </c>
      <c r="AM38" t="s">
        <v>137</v>
      </c>
    </row>
    <row r="39" spans="2:39" x14ac:dyDescent="0.25">
      <c r="B39" s="1"/>
      <c r="C39" s="6"/>
      <c r="D39" s="6"/>
      <c r="E39" s="6"/>
      <c r="F39" s="6"/>
      <c r="G39" s="6"/>
      <c r="H39" s="6"/>
      <c r="I39" s="6"/>
      <c r="J39" s="6"/>
      <c r="K39" s="6"/>
      <c r="M39" s="33"/>
      <c r="N39" s="13"/>
      <c r="O39" s="13"/>
      <c r="P39" s="13"/>
      <c r="Q39" s="13"/>
      <c r="R39" s="13"/>
      <c r="S39" s="13"/>
      <c r="T39" s="13"/>
      <c r="U39" s="13"/>
      <c r="V39" s="13"/>
      <c r="X39" s="1"/>
      <c r="Y39" s="13"/>
      <c r="Z39" s="13"/>
      <c r="AA39" s="13"/>
      <c r="AB39" s="13"/>
      <c r="AC39" s="13"/>
      <c r="AE39" s="138">
        <v>156</v>
      </c>
      <c r="AF39" s="138">
        <v>4</v>
      </c>
      <c r="AG39" s="138">
        <f t="shared" si="0"/>
        <v>4</v>
      </c>
      <c r="AH39" s="138">
        <v>2018</v>
      </c>
      <c r="AI39" s="138">
        <f t="shared" si="1"/>
        <v>5</v>
      </c>
      <c r="AJ39" s="138">
        <v>2018</v>
      </c>
      <c r="AK39" s="138">
        <v>0</v>
      </c>
      <c r="AL39" s="139">
        <v>34.409999999999997</v>
      </c>
      <c r="AM39" t="s">
        <v>137</v>
      </c>
    </row>
    <row r="40" spans="2:39" x14ac:dyDescent="0.25">
      <c r="B40" s="1"/>
      <c r="C40" s="6"/>
      <c r="D40" s="6"/>
      <c r="E40" s="6"/>
      <c r="F40" s="6"/>
      <c r="G40" s="6"/>
      <c r="H40" s="6"/>
      <c r="I40" s="6"/>
      <c r="J40" s="6"/>
      <c r="K40" s="6"/>
      <c r="M40" s="33"/>
      <c r="N40" s="13"/>
      <c r="O40" s="13"/>
      <c r="P40" s="13"/>
      <c r="Q40" s="13"/>
      <c r="R40" s="13"/>
      <c r="S40" s="13"/>
      <c r="T40" s="13"/>
      <c r="U40" s="13"/>
      <c r="V40" s="13"/>
      <c r="X40" s="1"/>
      <c r="Y40" s="35"/>
      <c r="Z40" s="35"/>
      <c r="AA40" s="13"/>
      <c r="AB40" s="13"/>
      <c r="AC40" s="13"/>
      <c r="AE40" s="138">
        <v>156</v>
      </c>
      <c r="AF40" s="138">
        <v>5</v>
      </c>
      <c r="AG40" s="138">
        <f t="shared" si="0"/>
        <v>5</v>
      </c>
      <c r="AH40" s="138">
        <v>2018</v>
      </c>
      <c r="AI40" s="138">
        <f t="shared" si="1"/>
        <v>6</v>
      </c>
      <c r="AJ40" s="138">
        <v>2018</v>
      </c>
      <c r="AK40" s="138">
        <v>0</v>
      </c>
      <c r="AL40" s="139">
        <v>34.409999999999997</v>
      </c>
      <c r="AM40" t="s">
        <v>137</v>
      </c>
    </row>
    <row r="41" spans="2:39" x14ac:dyDescent="0.25">
      <c r="B41" s="1"/>
      <c r="C41" s="6"/>
      <c r="D41" s="6"/>
      <c r="E41" s="6"/>
      <c r="F41" s="6"/>
      <c r="G41" s="6"/>
      <c r="H41" s="6"/>
      <c r="I41" s="6"/>
      <c r="J41" s="6"/>
      <c r="K41" s="6"/>
      <c r="M41" s="33"/>
      <c r="N41" s="13"/>
      <c r="O41" s="13"/>
      <c r="P41" s="13"/>
      <c r="Q41" s="13"/>
      <c r="R41" s="13"/>
      <c r="S41" s="13"/>
      <c r="T41" s="13"/>
      <c r="U41" s="13"/>
      <c r="V41" s="13"/>
      <c r="X41" s="1"/>
      <c r="Y41" s="13"/>
      <c r="Z41" s="13"/>
      <c r="AA41" s="13"/>
      <c r="AB41" s="13"/>
      <c r="AC41" s="13"/>
      <c r="AE41" s="138">
        <v>156</v>
      </c>
      <c r="AF41" s="138">
        <v>6</v>
      </c>
      <c r="AG41" s="138">
        <f t="shared" si="0"/>
        <v>6</v>
      </c>
      <c r="AH41" s="138">
        <v>2018</v>
      </c>
      <c r="AI41" s="138">
        <f t="shared" si="1"/>
        <v>7</v>
      </c>
      <c r="AJ41" s="138">
        <v>2018</v>
      </c>
      <c r="AK41" s="138">
        <v>0</v>
      </c>
      <c r="AL41" s="139">
        <v>34.409999999999997</v>
      </c>
      <c r="AM41" t="s">
        <v>137</v>
      </c>
    </row>
    <row r="42" spans="2:39" x14ac:dyDescent="0.25">
      <c r="B42" s="1"/>
      <c r="C42" s="6"/>
      <c r="D42" s="6"/>
      <c r="E42" s="6"/>
      <c r="F42" s="6"/>
      <c r="G42" s="6"/>
      <c r="H42" s="6"/>
      <c r="I42" s="6"/>
      <c r="J42" s="6"/>
      <c r="K42" s="6"/>
      <c r="M42" s="33"/>
      <c r="N42" s="13"/>
      <c r="O42" s="13"/>
      <c r="P42" s="13"/>
      <c r="Q42" s="13"/>
      <c r="R42" s="13"/>
      <c r="S42" s="13"/>
      <c r="T42" s="13"/>
      <c r="U42" s="13"/>
      <c r="V42" s="13"/>
      <c r="X42" s="1"/>
      <c r="Y42" s="35"/>
      <c r="Z42" s="35"/>
      <c r="AA42" s="13"/>
      <c r="AB42" s="41"/>
      <c r="AC42" s="41"/>
      <c r="AE42" s="138">
        <v>156</v>
      </c>
      <c r="AF42" s="138">
        <v>7</v>
      </c>
      <c r="AG42" s="138">
        <f t="shared" si="0"/>
        <v>7</v>
      </c>
      <c r="AH42" s="138">
        <v>2018</v>
      </c>
      <c r="AI42" s="138">
        <f t="shared" si="1"/>
        <v>8</v>
      </c>
      <c r="AJ42" s="138">
        <v>2018</v>
      </c>
      <c r="AK42" s="138">
        <v>0</v>
      </c>
      <c r="AL42" s="139">
        <v>34.409999999999997</v>
      </c>
      <c r="AM42" t="s">
        <v>137</v>
      </c>
    </row>
    <row r="43" spans="2:39" x14ac:dyDescent="0.25">
      <c r="B43" s="1"/>
      <c r="C43" s="6"/>
      <c r="D43" s="6"/>
      <c r="E43" s="6"/>
      <c r="F43" s="6"/>
      <c r="G43" s="6"/>
      <c r="H43" s="6"/>
      <c r="I43" s="6"/>
      <c r="J43" s="6"/>
      <c r="K43" s="6"/>
      <c r="M43" s="33"/>
      <c r="N43" s="13"/>
      <c r="O43" s="13"/>
      <c r="P43" s="13"/>
      <c r="Q43" s="13"/>
      <c r="R43" s="13"/>
      <c r="S43" s="13"/>
      <c r="T43" s="13"/>
      <c r="U43" s="13"/>
      <c r="V43" s="13"/>
      <c r="X43" s="1"/>
      <c r="Y43" s="13"/>
      <c r="Z43" s="13"/>
      <c r="AA43" s="13"/>
      <c r="AB43" s="41"/>
      <c r="AC43" s="41"/>
      <c r="AE43" s="138">
        <v>156</v>
      </c>
      <c r="AF43" s="138">
        <v>8</v>
      </c>
      <c r="AG43" s="138">
        <f t="shared" si="0"/>
        <v>8</v>
      </c>
      <c r="AH43" s="138">
        <v>2018</v>
      </c>
      <c r="AI43" s="138">
        <f t="shared" si="1"/>
        <v>9</v>
      </c>
      <c r="AJ43" s="138">
        <v>2018</v>
      </c>
      <c r="AK43" s="138">
        <v>0</v>
      </c>
      <c r="AL43" s="139">
        <v>34.409999999999997</v>
      </c>
      <c r="AM43" t="s">
        <v>137</v>
      </c>
    </row>
    <row r="44" spans="2:39" x14ac:dyDescent="0.25">
      <c r="B44" s="1"/>
      <c r="C44" s="6"/>
      <c r="D44" s="6"/>
      <c r="E44" s="6"/>
      <c r="F44" s="6"/>
      <c r="G44" s="6"/>
      <c r="H44" s="6"/>
      <c r="I44" s="6"/>
      <c r="J44" s="6"/>
      <c r="K44" s="6"/>
      <c r="M44" s="33"/>
      <c r="N44" s="13"/>
      <c r="O44" s="13"/>
      <c r="P44" s="13"/>
      <c r="Q44" s="13"/>
      <c r="R44" s="13"/>
      <c r="S44" s="13"/>
      <c r="T44" s="13"/>
      <c r="U44" s="13"/>
      <c r="V44" s="13"/>
      <c r="X44" s="1"/>
      <c r="Y44" s="35"/>
      <c r="Z44" s="35"/>
      <c r="AA44" s="13"/>
      <c r="AB44" s="41"/>
      <c r="AC44" s="41"/>
      <c r="AE44" s="138">
        <v>156</v>
      </c>
      <c r="AF44" s="138">
        <v>9</v>
      </c>
      <c r="AG44" s="138">
        <f t="shared" si="0"/>
        <v>9</v>
      </c>
      <c r="AH44" s="138">
        <v>2018</v>
      </c>
      <c r="AI44" s="138">
        <f t="shared" si="1"/>
        <v>10</v>
      </c>
      <c r="AJ44" s="138">
        <v>2018</v>
      </c>
      <c r="AK44" s="138">
        <v>0</v>
      </c>
      <c r="AL44" s="139">
        <v>34.409999999999997</v>
      </c>
      <c r="AM44" t="s">
        <v>137</v>
      </c>
    </row>
    <row r="45" spans="2:39" x14ac:dyDescent="0.25">
      <c r="B45" s="1"/>
      <c r="C45" s="6"/>
      <c r="D45" s="6"/>
      <c r="E45" s="6"/>
      <c r="F45" s="6"/>
      <c r="G45" s="6"/>
      <c r="H45" s="6"/>
      <c r="I45" s="6"/>
      <c r="J45" s="6"/>
      <c r="K45" s="6"/>
      <c r="M45" s="33"/>
      <c r="N45" s="13"/>
      <c r="O45" s="13"/>
      <c r="P45" s="13"/>
      <c r="Q45" s="13"/>
      <c r="R45" s="13"/>
      <c r="S45" s="13"/>
      <c r="T45" s="13"/>
      <c r="U45" s="13"/>
      <c r="V45" s="13"/>
      <c r="X45" s="1"/>
      <c r="Y45" s="13"/>
      <c r="Z45" s="13"/>
      <c r="AA45" s="13"/>
      <c r="AB45" s="41"/>
      <c r="AC45" s="41"/>
      <c r="AE45" s="138">
        <v>156</v>
      </c>
      <c r="AF45" s="138">
        <v>10</v>
      </c>
      <c r="AG45" s="138">
        <f t="shared" si="0"/>
        <v>10</v>
      </c>
      <c r="AH45" s="138">
        <v>2018</v>
      </c>
      <c r="AI45" s="138">
        <f t="shared" si="1"/>
        <v>11</v>
      </c>
      <c r="AJ45" s="138">
        <v>2018</v>
      </c>
      <c r="AK45" s="138">
        <v>0</v>
      </c>
      <c r="AL45" s="139">
        <v>34.409999999999997</v>
      </c>
      <c r="AM45" t="s">
        <v>137</v>
      </c>
    </row>
    <row r="46" spans="2:39" x14ac:dyDescent="0.25">
      <c r="B46" s="1"/>
      <c r="C46" s="6"/>
      <c r="D46" s="6"/>
      <c r="E46" s="6"/>
      <c r="F46" s="6"/>
      <c r="G46" s="6"/>
      <c r="H46" s="6"/>
      <c r="I46" s="6"/>
      <c r="J46" s="6"/>
      <c r="K46" s="6"/>
      <c r="M46" s="33"/>
      <c r="N46" s="13"/>
      <c r="O46" s="13"/>
      <c r="P46" s="13"/>
      <c r="Q46" s="13"/>
      <c r="R46" s="13"/>
      <c r="S46" s="13"/>
      <c r="T46" s="13"/>
      <c r="U46" s="13"/>
      <c r="V46" s="13"/>
      <c r="X46" s="1"/>
      <c r="Y46" s="13"/>
      <c r="Z46" s="13"/>
      <c r="AA46" s="13"/>
      <c r="AB46" s="41"/>
      <c r="AC46" s="41"/>
      <c r="AE46" s="138">
        <v>156</v>
      </c>
      <c r="AF46" s="138">
        <v>11</v>
      </c>
      <c r="AG46" s="138">
        <f t="shared" si="0"/>
        <v>11</v>
      </c>
      <c r="AH46" s="138">
        <v>2018</v>
      </c>
      <c r="AI46" s="138">
        <f t="shared" si="1"/>
        <v>12</v>
      </c>
      <c r="AJ46" s="138">
        <v>2018</v>
      </c>
      <c r="AK46" s="138">
        <v>0</v>
      </c>
      <c r="AL46" s="139">
        <v>34.409999999999997</v>
      </c>
      <c r="AM46" t="s">
        <v>137</v>
      </c>
    </row>
    <row r="47" spans="2:39" x14ac:dyDescent="0.25">
      <c r="B47" s="1"/>
      <c r="C47" s="6"/>
      <c r="D47" s="6"/>
      <c r="E47" s="6"/>
      <c r="F47" s="6"/>
      <c r="G47" s="6"/>
      <c r="H47" s="6"/>
      <c r="I47" s="6"/>
      <c r="J47" s="6"/>
      <c r="K47" s="6"/>
      <c r="M47" s="33"/>
      <c r="N47" s="13"/>
      <c r="O47" s="13"/>
      <c r="P47" s="13"/>
      <c r="Q47" s="13"/>
      <c r="R47" s="13"/>
      <c r="S47" s="13"/>
      <c r="T47" s="13"/>
      <c r="U47" s="13"/>
      <c r="V47" s="13"/>
      <c r="X47" s="1"/>
      <c r="Y47" s="13"/>
      <c r="Z47" s="13"/>
      <c r="AA47" s="13"/>
      <c r="AB47" s="41"/>
      <c r="AC47" s="41"/>
      <c r="AE47" s="138">
        <v>156</v>
      </c>
      <c r="AF47" s="138">
        <v>12</v>
      </c>
      <c r="AG47" s="138">
        <f t="shared" si="0"/>
        <v>12</v>
      </c>
      <c r="AH47" s="138">
        <v>2018</v>
      </c>
      <c r="AI47" s="138">
        <v>1</v>
      </c>
      <c r="AJ47" s="138">
        <v>2019</v>
      </c>
      <c r="AK47" s="138">
        <v>0</v>
      </c>
      <c r="AL47" s="139">
        <v>34.409999999999997</v>
      </c>
      <c r="AM47" t="s">
        <v>137</v>
      </c>
    </row>
    <row r="48" spans="2:39" x14ac:dyDescent="0.25">
      <c r="B48" s="1"/>
      <c r="C48" s="6"/>
      <c r="D48" s="6"/>
      <c r="E48" s="6"/>
      <c r="F48" s="6"/>
      <c r="G48" s="6"/>
      <c r="H48" s="6"/>
      <c r="I48" s="6"/>
      <c r="J48" s="6"/>
      <c r="K48" s="6"/>
      <c r="M48" s="33"/>
      <c r="N48" s="13"/>
      <c r="O48" s="13"/>
      <c r="P48" s="13"/>
      <c r="Q48" s="13"/>
      <c r="R48" s="13"/>
      <c r="S48" s="13"/>
      <c r="T48" s="13"/>
      <c r="U48" s="13"/>
      <c r="V48" s="13"/>
      <c r="X48" s="1"/>
      <c r="Y48" s="13"/>
      <c r="Z48" s="13"/>
      <c r="AA48" s="13"/>
      <c r="AB48" s="41"/>
      <c r="AC48" s="41"/>
      <c r="AE48" s="138">
        <v>178</v>
      </c>
      <c r="AF48" s="138">
        <v>1</v>
      </c>
      <c r="AG48" s="138">
        <f t="shared" si="0"/>
        <v>1</v>
      </c>
      <c r="AH48" s="138">
        <v>2018</v>
      </c>
      <c r="AI48" s="138">
        <f t="shared" ref="AI48:AI59" si="2">AG48+1</f>
        <v>2</v>
      </c>
      <c r="AJ48" s="138">
        <v>2018</v>
      </c>
      <c r="AK48" s="138">
        <v>0</v>
      </c>
      <c r="AL48" s="139">
        <v>650.76</v>
      </c>
      <c r="AM48" t="s">
        <v>138</v>
      </c>
    </row>
    <row r="49" spans="2:39" x14ac:dyDescent="0.25">
      <c r="B49" s="1"/>
      <c r="C49" s="6"/>
      <c r="D49" s="6"/>
      <c r="E49" s="6"/>
      <c r="F49" s="6"/>
      <c r="G49" s="6"/>
      <c r="H49" s="6"/>
      <c r="I49" s="6"/>
      <c r="J49" s="6"/>
      <c r="K49" s="6"/>
      <c r="M49" s="33"/>
      <c r="N49" s="13"/>
      <c r="O49" s="13"/>
      <c r="P49" s="13"/>
      <c r="Q49" s="13"/>
      <c r="R49" s="13"/>
      <c r="S49" s="13"/>
      <c r="T49" s="13"/>
      <c r="U49" s="13"/>
      <c r="V49" s="13"/>
      <c r="X49" s="1"/>
      <c r="Y49" s="13"/>
      <c r="Z49" s="13"/>
      <c r="AA49" s="13"/>
      <c r="AB49" s="13"/>
      <c r="AC49" s="13"/>
      <c r="AE49" s="138">
        <v>178</v>
      </c>
      <c r="AF49" s="138">
        <v>2</v>
      </c>
      <c r="AG49" s="138">
        <f t="shared" si="0"/>
        <v>2</v>
      </c>
      <c r="AH49" s="138">
        <v>2018</v>
      </c>
      <c r="AI49" s="138">
        <f t="shared" si="2"/>
        <v>3</v>
      </c>
      <c r="AJ49" s="138">
        <v>2018</v>
      </c>
      <c r="AK49" s="138">
        <v>0</v>
      </c>
      <c r="AL49" s="139">
        <v>650.76</v>
      </c>
      <c r="AM49" t="s">
        <v>138</v>
      </c>
    </row>
    <row r="50" spans="2:39" x14ac:dyDescent="0.25">
      <c r="B50" s="1"/>
      <c r="C50" s="6"/>
      <c r="D50" s="6"/>
      <c r="E50" s="6"/>
      <c r="F50" s="6"/>
      <c r="G50" s="6"/>
      <c r="H50" s="6"/>
      <c r="I50" s="6"/>
      <c r="J50" s="6"/>
      <c r="K50" s="6"/>
      <c r="M50" s="33"/>
      <c r="N50" s="13"/>
      <c r="O50" s="13"/>
      <c r="P50" s="13"/>
      <c r="Q50" s="13"/>
      <c r="R50" s="13"/>
      <c r="S50" s="13"/>
      <c r="T50" s="13"/>
      <c r="U50" s="13"/>
      <c r="V50" s="13"/>
      <c r="X50" s="1"/>
      <c r="Y50" s="6"/>
      <c r="Z50" s="6"/>
      <c r="AA50" s="6"/>
      <c r="AB50" s="11"/>
      <c r="AC50" s="11"/>
      <c r="AE50" s="138">
        <v>178</v>
      </c>
      <c r="AF50" s="138">
        <v>3</v>
      </c>
      <c r="AG50" s="138">
        <f t="shared" si="0"/>
        <v>3</v>
      </c>
      <c r="AH50" s="138">
        <v>2018</v>
      </c>
      <c r="AI50" s="138">
        <f t="shared" si="2"/>
        <v>4</v>
      </c>
      <c r="AJ50" s="138">
        <v>2018</v>
      </c>
      <c r="AK50" s="138">
        <v>0</v>
      </c>
      <c r="AL50" s="139">
        <v>650.76</v>
      </c>
      <c r="AM50" t="s">
        <v>138</v>
      </c>
    </row>
    <row r="51" spans="2:39" x14ac:dyDescent="0.25">
      <c r="B51" s="1"/>
      <c r="C51" s="6"/>
      <c r="D51" s="6"/>
      <c r="E51" s="6"/>
      <c r="F51" s="6"/>
      <c r="G51" s="6"/>
      <c r="H51" s="6"/>
      <c r="I51" s="6"/>
      <c r="J51" s="6"/>
      <c r="K51" s="6"/>
      <c r="M51" s="33"/>
      <c r="N51" s="13"/>
      <c r="O51" s="13"/>
      <c r="P51" s="13"/>
      <c r="Q51" s="13"/>
      <c r="R51" s="13"/>
      <c r="S51" s="13"/>
      <c r="T51" s="13"/>
      <c r="U51" s="13"/>
      <c r="V51" s="13"/>
      <c r="X51" s="1"/>
      <c r="Y51" s="6"/>
      <c r="Z51" s="6"/>
      <c r="AA51" s="6"/>
      <c r="AB51" s="11"/>
      <c r="AC51" s="11"/>
      <c r="AE51" s="138">
        <v>178</v>
      </c>
      <c r="AF51" s="138">
        <v>4</v>
      </c>
      <c r="AG51" s="138">
        <f t="shared" si="0"/>
        <v>4</v>
      </c>
      <c r="AH51" s="138">
        <v>2018</v>
      </c>
      <c r="AI51" s="138">
        <f t="shared" si="2"/>
        <v>5</v>
      </c>
      <c r="AJ51" s="138">
        <v>2018</v>
      </c>
      <c r="AK51" s="138">
        <v>0</v>
      </c>
      <c r="AL51" s="139">
        <v>650.76</v>
      </c>
      <c r="AM51" t="s">
        <v>138</v>
      </c>
    </row>
    <row r="52" spans="2:39" x14ac:dyDescent="0.25">
      <c r="B52" s="1"/>
      <c r="C52" s="6"/>
      <c r="D52" s="6"/>
      <c r="E52" s="6"/>
      <c r="F52" s="6"/>
      <c r="G52" s="6"/>
      <c r="H52" s="6"/>
      <c r="I52" s="6"/>
      <c r="J52" s="6"/>
      <c r="K52" s="6"/>
      <c r="M52" s="33"/>
      <c r="N52" s="13"/>
      <c r="O52" s="13"/>
      <c r="P52" s="13"/>
      <c r="Q52" s="13"/>
      <c r="R52" s="13"/>
      <c r="S52" s="13"/>
      <c r="T52" s="13"/>
      <c r="U52" s="13"/>
      <c r="V52" s="13"/>
      <c r="X52" s="1"/>
      <c r="Y52" s="6"/>
      <c r="Z52" s="6"/>
      <c r="AA52" s="6"/>
      <c r="AB52" s="11"/>
      <c r="AC52" s="11"/>
      <c r="AE52" s="138">
        <v>178</v>
      </c>
      <c r="AF52" s="138">
        <v>5</v>
      </c>
      <c r="AG52" s="138">
        <f t="shared" si="0"/>
        <v>5</v>
      </c>
      <c r="AH52" s="138">
        <v>2018</v>
      </c>
      <c r="AI52" s="138">
        <f t="shared" si="2"/>
        <v>6</v>
      </c>
      <c r="AJ52" s="138">
        <v>2018</v>
      </c>
      <c r="AK52" s="138">
        <v>0</v>
      </c>
      <c r="AL52" s="139">
        <v>650.76</v>
      </c>
      <c r="AM52" t="s">
        <v>138</v>
      </c>
    </row>
    <row r="53" spans="2:39" x14ac:dyDescent="0.25">
      <c r="B53" s="1"/>
      <c r="C53" s="6"/>
      <c r="D53" s="6"/>
      <c r="E53" s="6"/>
      <c r="F53" s="6"/>
      <c r="G53" s="6"/>
      <c r="H53" s="6"/>
      <c r="I53" s="6"/>
      <c r="J53" s="6"/>
      <c r="K53" s="6"/>
      <c r="M53" s="33"/>
      <c r="N53" s="13"/>
      <c r="O53" s="13"/>
      <c r="P53" s="13"/>
      <c r="Q53" s="13"/>
      <c r="R53" s="13"/>
      <c r="S53" s="13"/>
      <c r="T53" s="13"/>
      <c r="U53" s="13"/>
      <c r="V53" s="13"/>
      <c r="X53" s="1"/>
      <c r="Y53" s="6"/>
      <c r="Z53" s="6"/>
      <c r="AA53" s="6"/>
      <c r="AB53" s="11"/>
      <c r="AC53" s="11"/>
      <c r="AE53" s="138">
        <v>178</v>
      </c>
      <c r="AF53" s="138">
        <v>6</v>
      </c>
      <c r="AG53" s="138">
        <f t="shared" si="0"/>
        <v>6</v>
      </c>
      <c r="AH53" s="138">
        <v>2018</v>
      </c>
      <c r="AI53" s="138">
        <f t="shared" si="2"/>
        <v>7</v>
      </c>
      <c r="AJ53" s="138">
        <v>2018</v>
      </c>
      <c r="AK53" s="138">
        <v>0</v>
      </c>
      <c r="AL53" s="139">
        <v>650.76</v>
      </c>
      <c r="AM53" t="s">
        <v>138</v>
      </c>
    </row>
    <row r="54" spans="2:39" x14ac:dyDescent="0.25">
      <c r="B54" s="1"/>
      <c r="C54" s="6"/>
      <c r="D54" s="6"/>
      <c r="E54" s="6"/>
      <c r="F54" s="6"/>
      <c r="G54" s="6"/>
      <c r="H54" s="6"/>
      <c r="I54" s="6"/>
      <c r="J54" s="6"/>
      <c r="K54" s="6"/>
      <c r="M54" s="33"/>
      <c r="N54" s="13"/>
      <c r="O54" s="13"/>
      <c r="P54" s="13"/>
      <c r="Q54" s="13"/>
      <c r="R54" s="13"/>
      <c r="S54" s="13"/>
      <c r="T54" s="13"/>
      <c r="U54" s="13"/>
      <c r="V54" s="13"/>
      <c r="X54" s="1"/>
      <c r="Y54" s="6"/>
      <c r="Z54" s="6"/>
      <c r="AA54" s="6"/>
      <c r="AB54" s="11"/>
      <c r="AC54" s="11"/>
      <c r="AE54" s="138">
        <v>178</v>
      </c>
      <c r="AF54" s="138">
        <v>7</v>
      </c>
      <c r="AG54" s="138">
        <f t="shared" si="0"/>
        <v>7</v>
      </c>
      <c r="AH54" s="138">
        <v>2018</v>
      </c>
      <c r="AI54" s="138">
        <f t="shared" si="2"/>
        <v>8</v>
      </c>
      <c r="AJ54" s="138">
        <v>2018</v>
      </c>
      <c r="AK54" s="138">
        <v>0</v>
      </c>
      <c r="AL54" s="139">
        <v>650.76</v>
      </c>
      <c r="AM54" t="s">
        <v>138</v>
      </c>
    </row>
    <row r="55" spans="2:39" x14ac:dyDescent="0.25">
      <c r="B55" s="1"/>
      <c r="C55" s="6"/>
      <c r="D55" s="6"/>
      <c r="E55" s="6"/>
      <c r="F55" s="6"/>
      <c r="G55" s="6"/>
      <c r="H55" s="6"/>
      <c r="I55" s="6"/>
      <c r="J55" s="6"/>
      <c r="K55" s="6"/>
      <c r="M55" s="33"/>
      <c r="N55" s="13"/>
      <c r="O55" s="13"/>
      <c r="P55" s="13"/>
      <c r="Q55" s="13"/>
      <c r="R55" s="13"/>
      <c r="S55" s="13"/>
      <c r="T55" s="13"/>
      <c r="U55" s="13"/>
      <c r="V55" s="13"/>
      <c r="X55" s="1"/>
      <c r="Y55" s="6"/>
      <c r="Z55" s="6"/>
      <c r="AA55" s="6"/>
      <c r="AB55" s="11"/>
      <c r="AC55" s="11"/>
      <c r="AE55" s="138">
        <v>178</v>
      </c>
      <c r="AF55" s="138">
        <v>8</v>
      </c>
      <c r="AG55" s="138">
        <f t="shared" si="0"/>
        <v>8</v>
      </c>
      <c r="AH55" s="138">
        <v>2018</v>
      </c>
      <c r="AI55" s="138">
        <f t="shared" si="2"/>
        <v>9</v>
      </c>
      <c r="AJ55" s="138">
        <v>2018</v>
      </c>
      <c r="AK55" s="138">
        <v>0</v>
      </c>
      <c r="AL55" s="139">
        <v>650.76</v>
      </c>
      <c r="AM55" t="s">
        <v>138</v>
      </c>
    </row>
    <row r="56" spans="2:39" x14ac:dyDescent="0.25">
      <c r="B56" s="1"/>
      <c r="C56" s="6"/>
      <c r="D56" s="6"/>
      <c r="E56" s="6"/>
      <c r="F56" s="6"/>
      <c r="G56" s="6"/>
      <c r="H56" s="6"/>
      <c r="I56" s="6"/>
      <c r="J56" s="6"/>
      <c r="K56" s="6"/>
      <c r="M56" s="33"/>
      <c r="N56" s="13"/>
      <c r="O56" s="13"/>
      <c r="P56" s="13"/>
      <c r="Q56" s="13"/>
      <c r="R56" s="13"/>
      <c r="S56" s="13"/>
      <c r="T56" s="13"/>
      <c r="U56" s="13"/>
      <c r="V56" s="13"/>
      <c r="X56" s="1"/>
      <c r="Y56" s="6"/>
      <c r="Z56" s="6"/>
      <c r="AA56" s="6"/>
      <c r="AB56" s="11"/>
      <c r="AC56" s="11"/>
      <c r="AE56" s="138">
        <v>178</v>
      </c>
      <c r="AF56" s="138">
        <v>9</v>
      </c>
      <c r="AG56" s="138">
        <f t="shared" si="0"/>
        <v>9</v>
      </c>
      <c r="AH56" s="138">
        <v>2018</v>
      </c>
      <c r="AI56" s="138">
        <f t="shared" si="2"/>
        <v>10</v>
      </c>
      <c r="AJ56" s="138">
        <v>2018</v>
      </c>
      <c r="AK56" s="138">
        <v>0</v>
      </c>
      <c r="AL56" s="139">
        <v>650.76</v>
      </c>
      <c r="AM56" t="s">
        <v>138</v>
      </c>
    </row>
    <row r="57" spans="2:39" x14ac:dyDescent="0.25">
      <c r="B57" s="1"/>
      <c r="C57" s="6"/>
      <c r="D57" s="6"/>
      <c r="E57" s="6"/>
      <c r="F57" s="6"/>
      <c r="G57" s="6"/>
      <c r="H57" s="6"/>
      <c r="I57" s="6"/>
      <c r="J57" s="6"/>
      <c r="K57" s="6"/>
      <c r="M57" s="33"/>
      <c r="N57" s="13"/>
      <c r="O57" s="13"/>
      <c r="P57" s="13"/>
      <c r="Q57" s="13"/>
      <c r="R57" s="13"/>
      <c r="S57" s="13"/>
      <c r="T57" s="13"/>
      <c r="U57" s="13"/>
      <c r="V57" s="13"/>
      <c r="X57" s="1"/>
      <c r="Y57" s="6"/>
      <c r="Z57" s="6"/>
      <c r="AA57" s="6"/>
      <c r="AB57" s="11"/>
      <c r="AC57" s="11"/>
      <c r="AE57" s="138">
        <v>178</v>
      </c>
      <c r="AF57" s="138">
        <v>10</v>
      </c>
      <c r="AG57" s="138">
        <f t="shared" si="0"/>
        <v>10</v>
      </c>
      <c r="AH57" s="138">
        <v>2018</v>
      </c>
      <c r="AI57" s="138">
        <f t="shared" si="2"/>
        <v>11</v>
      </c>
      <c r="AJ57" s="138">
        <v>2018</v>
      </c>
      <c r="AK57" s="138">
        <v>0</v>
      </c>
      <c r="AL57" s="139">
        <v>650.76</v>
      </c>
      <c r="AM57" t="s">
        <v>138</v>
      </c>
    </row>
    <row r="58" spans="2:39" x14ac:dyDescent="0.25">
      <c r="B58" s="1"/>
      <c r="C58" s="6"/>
      <c r="D58" s="6"/>
      <c r="E58" s="6"/>
      <c r="F58" s="6"/>
      <c r="G58" s="6"/>
      <c r="H58" s="6"/>
      <c r="I58" s="6"/>
      <c r="J58" s="6"/>
      <c r="K58" s="6"/>
      <c r="M58" s="33"/>
      <c r="N58" s="13"/>
      <c r="O58" s="13"/>
      <c r="P58" s="13"/>
      <c r="Q58" s="13"/>
      <c r="R58" s="13"/>
      <c r="S58" s="13"/>
      <c r="T58" s="13"/>
      <c r="U58" s="13"/>
      <c r="V58" s="13"/>
      <c r="X58" s="1"/>
      <c r="Y58" s="6"/>
      <c r="Z58" s="6"/>
      <c r="AA58" s="6"/>
      <c r="AB58" s="11"/>
      <c r="AC58" s="11"/>
      <c r="AE58" s="138">
        <v>178</v>
      </c>
      <c r="AF58" s="138">
        <v>11</v>
      </c>
      <c r="AG58" s="138">
        <f t="shared" si="0"/>
        <v>11</v>
      </c>
      <c r="AH58" s="138">
        <v>2018</v>
      </c>
      <c r="AI58" s="138">
        <f t="shared" si="2"/>
        <v>12</v>
      </c>
      <c r="AJ58" s="138">
        <v>2018</v>
      </c>
      <c r="AK58" s="138">
        <v>0</v>
      </c>
      <c r="AL58" s="139">
        <v>650.76</v>
      </c>
      <c r="AM58" t="s">
        <v>138</v>
      </c>
    </row>
    <row r="59" spans="2:39" x14ac:dyDescent="0.25">
      <c r="B59" s="1"/>
      <c r="C59" s="6"/>
      <c r="D59" s="6"/>
      <c r="E59" s="6"/>
      <c r="F59" s="6"/>
      <c r="G59" s="6"/>
      <c r="H59" s="6"/>
      <c r="I59" s="6"/>
      <c r="J59" s="6"/>
      <c r="K59" s="6"/>
      <c r="M59" s="33"/>
      <c r="N59" s="13"/>
      <c r="O59" s="13"/>
      <c r="P59" s="13"/>
      <c r="Q59" s="13"/>
      <c r="R59" s="13"/>
      <c r="S59" s="13"/>
      <c r="T59" s="13"/>
      <c r="U59" s="13"/>
      <c r="V59" s="13"/>
      <c r="X59" s="1"/>
      <c r="Y59" s="6"/>
      <c r="Z59" s="6"/>
      <c r="AA59" s="6"/>
      <c r="AB59" s="11"/>
      <c r="AC59" s="11"/>
      <c r="AE59" s="138">
        <v>178</v>
      </c>
      <c r="AF59" s="138">
        <v>12</v>
      </c>
      <c r="AG59" s="138">
        <f t="shared" si="0"/>
        <v>12</v>
      </c>
      <c r="AH59" s="138">
        <v>2018</v>
      </c>
      <c r="AI59" s="138">
        <v>1</v>
      </c>
      <c r="AJ59" s="138">
        <v>2019</v>
      </c>
      <c r="AK59" s="138">
        <v>0</v>
      </c>
      <c r="AL59" s="139">
        <v>650.76</v>
      </c>
      <c r="AM59" t="s">
        <v>138</v>
      </c>
    </row>
    <row r="60" spans="2:39" x14ac:dyDescent="0.25">
      <c r="B60" s="1"/>
      <c r="C60" s="6"/>
      <c r="D60" s="6"/>
      <c r="E60" s="6"/>
      <c r="F60" s="6"/>
      <c r="G60" s="6"/>
      <c r="H60" s="6"/>
      <c r="I60" s="6"/>
      <c r="J60" s="6"/>
      <c r="K60" s="6"/>
      <c r="M60" s="33"/>
      <c r="N60" s="13"/>
      <c r="O60" s="13"/>
      <c r="P60" s="13"/>
      <c r="Q60" s="13"/>
      <c r="R60" s="13"/>
      <c r="S60" s="13"/>
      <c r="T60" s="13"/>
      <c r="U60" s="13"/>
      <c r="V60" s="13"/>
      <c r="X60" s="1"/>
      <c r="Y60" s="6"/>
      <c r="Z60" s="6"/>
      <c r="AA60" s="6"/>
      <c r="AB60" s="11"/>
      <c r="AC60" s="11"/>
      <c r="AE60" s="138">
        <v>176</v>
      </c>
      <c r="AF60" s="138">
        <v>1</v>
      </c>
      <c r="AG60" s="138">
        <f t="shared" si="0"/>
        <v>1</v>
      </c>
      <c r="AH60" s="138">
        <v>2018</v>
      </c>
      <c r="AI60" s="138">
        <f t="shared" ref="AI60:AI71" si="3">AG60+1</f>
        <v>2</v>
      </c>
      <c r="AJ60" s="138">
        <v>2018</v>
      </c>
      <c r="AK60" s="138">
        <v>0</v>
      </c>
      <c r="AL60" s="139">
        <v>612.05999999999995</v>
      </c>
      <c r="AM60" s="75" t="s">
        <v>140</v>
      </c>
    </row>
    <row r="61" spans="2:39" x14ac:dyDescent="0.25">
      <c r="B61" s="1"/>
      <c r="C61" s="6"/>
      <c r="D61" s="6"/>
      <c r="E61" s="6"/>
      <c r="F61" s="6"/>
      <c r="G61" s="6"/>
      <c r="H61" s="6"/>
      <c r="I61" s="6"/>
      <c r="J61" s="6"/>
      <c r="K61" s="6"/>
      <c r="M61" s="33"/>
      <c r="N61" s="13"/>
      <c r="O61" s="13"/>
      <c r="P61" s="13"/>
      <c r="Q61" s="13"/>
      <c r="R61" s="13"/>
      <c r="S61" s="13"/>
      <c r="T61" s="13"/>
      <c r="U61" s="13"/>
      <c r="V61" s="13"/>
      <c r="X61" s="1"/>
      <c r="Y61" s="6"/>
      <c r="Z61" s="6"/>
      <c r="AA61" s="6"/>
      <c r="AB61" s="11"/>
      <c r="AC61" s="11"/>
      <c r="AE61" s="138">
        <v>176</v>
      </c>
      <c r="AF61" s="138">
        <v>2</v>
      </c>
      <c r="AG61" s="138">
        <f t="shared" si="0"/>
        <v>2</v>
      </c>
      <c r="AH61" s="138">
        <v>2018</v>
      </c>
      <c r="AI61" s="138">
        <f t="shared" si="3"/>
        <v>3</v>
      </c>
      <c r="AJ61" s="138">
        <v>2018</v>
      </c>
      <c r="AK61" s="138">
        <v>0</v>
      </c>
      <c r="AL61" s="139">
        <v>612.05999999999995</v>
      </c>
      <c r="AM61" s="75" t="s">
        <v>140</v>
      </c>
    </row>
    <row r="62" spans="2:39" x14ac:dyDescent="0.25">
      <c r="B62" s="1"/>
      <c r="C62" s="6"/>
      <c r="D62" s="6"/>
      <c r="E62" s="6"/>
      <c r="F62" s="6"/>
      <c r="G62" s="6"/>
      <c r="H62" s="6"/>
      <c r="I62" s="6"/>
      <c r="J62" s="6"/>
      <c r="K62" s="6"/>
      <c r="M62" s="33"/>
      <c r="N62" s="13"/>
      <c r="O62" s="13"/>
      <c r="P62" s="13"/>
      <c r="Q62" s="13"/>
      <c r="R62" s="13"/>
      <c r="S62" s="13"/>
      <c r="T62" s="13"/>
      <c r="U62" s="13"/>
      <c r="V62" s="13"/>
      <c r="X62" s="1"/>
      <c r="Y62" s="6"/>
      <c r="Z62" s="6"/>
      <c r="AA62" s="6"/>
      <c r="AB62" s="11"/>
      <c r="AC62" s="11"/>
      <c r="AE62" s="138">
        <v>176</v>
      </c>
      <c r="AF62" s="138">
        <v>3</v>
      </c>
      <c r="AG62" s="138">
        <f t="shared" si="0"/>
        <v>3</v>
      </c>
      <c r="AH62" s="138">
        <v>2018</v>
      </c>
      <c r="AI62" s="138">
        <f t="shared" si="3"/>
        <v>4</v>
      </c>
      <c r="AJ62" s="138">
        <v>2018</v>
      </c>
      <c r="AK62" s="138">
        <v>0</v>
      </c>
      <c r="AL62" s="139">
        <v>612.05999999999995</v>
      </c>
      <c r="AM62" s="75" t="s">
        <v>140</v>
      </c>
    </row>
    <row r="63" spans="2:39" x14ac:dyDescent="0.25">
      <c r="B63" s="1"/>
      <c r="C63" s="6"/>
      <c r="D63" s="6"/>
      <c r="E63" s="6"/>
      <c r="F63" s="6"/>
      <c r="G63" s="6"/>
      <c r="H63" s="6"/>
      <c r="I63" s="6"/>
      <c r="J63" s="6"/>
      <c r="K63" s="6"/>
      <c r="M63" s="33"/>
      <c r="N63" s="13"/>
      <c r="O63" s="13"/>
      <c r="P63" s="13"/>
      <c r="Q63" s="13"/>
      <c r="R63" s="13"/>
      <c r="S63" s="13"/>
      <c r="T63" s="13"/>
      <c r="U63" s="13"/>
      <c r="V63" s="13"/>
      <c r="X63" s="1"/>
      <c r="Y63" s="6"/>
      <c r="Z63" s="6"/>
      <c r="AA63" s="6"/>
      <c r="AB63" s="11"/>
      <c r="AC63" s="11"/>
      <c r="AE63" s="138">
        <v>176</v>
      </c>
      <c r="AF63" s="138">
        <v>4</v>
      </c>
      <c r="AG63" s="138">
        <f t="shared" si="0"/>
        <v>4</v>
      </c>
      <c r="AH63" s="138">
        <v>2018</v>
      </c>
      <c r="AI63" s="138">
        <f t="shared" si="3"/>
        <v>5</v>
      </c>
      <c r="AJ63" s="138">
        <v>2018</v>
      </c>
      <c r="AK63" s="138">
        <v>0</v>
      </c>
      <c r="AL63" s="139">
        <v>612.05999999999995</v>
      </c>
      <c r="AM63" s="75" t="s">
        <v>140</v>
      </c>
    </row>
    <row r="64" spans="2:39" x14ac:dyDescent="0.25">
      <c r="B64" s="1"/>
      <c r="C64" s="6"/>
      <c r="D64" s="6"/>
      <c r="E64" s="6"/>
      <c r="F64" s="6"/>
      <c r="G64" s="6"/>
      <c r="H64" s="6"/>
      <c r="I64" s="6"/>
      <c r="J64" s="6"/>
      <c r="K64" s="6"/>
      <c r="M64" s="33"/>
      <c r="N64" s="13"/>
      <c r="O64" s="13"/>
      <c r="P64" s="13"/>
      <c r="Q64" s="13"/>
      <c r="R64" s="13"/>
      <c r="S64" s="13"/>
      <c r="T64" s="13"/>
      <c r="U64" s="13"/>
      <c r="V64" s="13"/>
      <c r="X64" s="1"/>
      <c r="Y64" s="6"/>
      <c r="Z64" s="6"/>
      <c r="AA64" s="6"/>
      <c r="AB64" s="11"/>
      <c r="AC64" s="11"/>
      <c r="AE64" s="138">
        <v>176</v>
      </c>
      <c r="AF64" s="138">
        <v>5</v>
      </c>
      <c r="AG64" s="138">
        <f t="shared" si="0"/>
        <v>5</v>
      </c>
      <c r="AH64" s="138">
        <v>2018</v>
      </c>
      <c r="AI64" s="138">
        <f t="shared" si="3"/>
        <v>6</v>
      </c>
      <c r="AJ64" s="138">
        <v>2018</v>
      </c>
      <c r="AK64" s="138">
        <v>0</v>
      </c>
      <c r="AL64" s="139">
        <v>612.05999999999995</v>
      </c>
      <c r="AM64" s="75" t="s">
        <v>140</v>
      </c>
    </row>
    <row r="65" spans="2:39" x14ac:dyDescent="0.25">
      <c r="B65" s="1"/>
      <c r="C65" s="6"/>
      <c r="D65" s="6"/>
      <c r="E65" s="6"/>
      <c r="F65" s="6"/>
      <c r="G65" s="6"/>
      <c r="H65" s="6"/>
      <c r="I65" s="6"/>
      <c r="J65" s="6"/>
      <c r="K65" s="6"/>
      <c r="M65" s="33"/>
      <c r="N65" s="13"/>
      <c r="O65" s="13"/>
      <c r="P65" s="13"/>
      <c r="Q65" s="13"/>
      <c r="R65" s="13"/>
      <c r="S65" s="13"/>
      <c r="T65" s="13"/>
      <c r="U65" s="13"/>
      <c r="V65" s="13"/>
      <c r="X65" s="1"/>
      <c r="Y65" s="6"/>
      <c r="Z65" s="6"/>
      <c r="AA65" s="6"/>
      <c r="AB65" s="11"/>
      <c r="AC65" s="11"/>
      <c r="AE65" s="138">
        <v>176</v>
      </c>
      <c r="AF65" s="138">
        <v>6</v>
      </c>
      <c r="AG65" s="138">
        <f t="shared" si="0"/>
        <v>6</v>
      </c>
      <c r="AH65" s="138">
        <v>2018</v>
      </c>
      <c r="AI65" s="138">
        <f t="shared" si="3"/>
        <v>7</v>
      </c>
      <c r="AJ65" s="138">
        <v>2018</v>
      </c>
      <c r="AK65" s="138">
        <v>0</v>
      </c>
      <c r="AL65" s="139">
        <v>612.05999999999995</v>
      </c>
      <c r="AM65" s="75" t="s">
        <v>140</v>
      </c>
    </row>
    <row r="66" spans="2:39" x14ac:dyDescent="0.25">
      <c r="B66" s="1"/>
      <c r="C66" s="6"/>
      <c r="D66" s="6"/>
      <c r="E66" s="6"/>
      <c r="F66" s="6"/>
      <c r="G66" s="6"/>
      <c r="H66" s="6"/>
      <c r="I66" s="6"/>
      <c r="J66" s="6"/>
      <c r="K66" s="6"/>
      <c r="M66" s="33"/>
      <c r="N66" s="13"/>
      <c r="O66" s="13"/>
      <c r="P66" s="13"/>
      <c r="Q66" s="13"/>
      <c r="R66" s="13"/>
      <c r="S66" s="13"/>
      <c r="T66" s="13"/>
      <c r="U66" s="13"/>
      <c r="V66" s="13"/>
      <c r="X66" s="1"/>
      <c r="Y66" s="6"/>
      <c r="Z66" s="6"/>
      <c r="AA66" s="6"/>
      <c r="AB66" s="11"/>
      <c r="AC66" s="11"/>
      <c r="AE66" s="138">
        <v>176</v>
      </c>
      <c r="AF66" s="138">
        <v>7</v>
      </c>
      <c r="AG66" s="138">
        <f t="shared" si="0"/>
        <v>7</v>
      </c>
      <c r="AH66" s="138">
        <v>2018</v>
      </c>
      <c r="AI66" s="138">
        <f t="shared" si="3"/>
        <v>8</v>
      </c>
      <c r="AJ66" s="138">
        <v>2018</v>
      </c>
      <c r="AK66" s="138">
        <v>0</v>
      </c>
      <c r="AL66" s="139">
        <v>612.05999999999995</v>
      </c>
      <c r="AM66" s="75" t="s">
        <v>140</v>
      </c>
    </row>
    <row r="67" spans="2:39" x14ac:dyDescent="0.25">
      <c r="B67" s="1"/>
      <c r="C67" s="6"/>
      <c r="D67" s="6"/>
      <c r="E67" s="6"/>
      <c r="F67" s="6"/>
      <c r="G67" s="6"/>
      <c r="H67" s="6"/>
      <c r="I67" s="6"/>
      <c r="J67" s="6"/>
      <c r="K67" s="6"/>
      <c r="M67" s="33"/>
      <c r="N67" s="13"/>
      <c r="O67" s="13"/>
      <c r="P67" s="13"/>
      <c r="Q67" s="13"/>
      <c r="R67" s="13"/>
      <c r="S67" s="13"/>
      <c r="T67" s="13"/>
      <c r="U67" s="13"/>
      <c r="V67" s="13"/>
      <c r="X67" s="1"/>
      <c r="Y67" s="6"/>
      <c r="Z67" s="6"/>
      <c r="AA67" s="6"/>
      <c r="AB67" s="11"/>
      <c r="AC67" s="11"/>
      <c r="AE67" s="138">
        <v>176</v>
      </c>
      <c r="AF67" s="138">
        <v>8</v>
      </c>
      <c r="AG67" s="138">
        <f t="shared" si="0"/>
        <v>8</v>
      </c>
      <c r="AH67" s="138">
        <v>2018</v>
      </c>
      <c r="AI67" s="138">
        <f t="shared" si="3"/>
        <v>9</v>
      </c>
      <c r="AJ67" s="138">
        <v>2018</v>
      </c>
      <c r="AK67" s="138">
        <v>0</v>
      </c>
      <c r="AL67" s="139">
        <v>612.05999999999995</v>
      </c>
      <c r="AM67" s="75" t="s">
        <v>140</v>
      </c>
    </row>
    <row r="68" spans="2:39" x14ac:dyDescent="0.25">
      <c r="B68" s="1"/>
      <c r="C68" s="6"/>
      <c r="D68" s="6"/>
      <c r="E68" s="6"/>
      <c r="F68" s="6"/>
      <c r="G68" s="6"/>
      <c r="H68" s="6"/>
      <c r="I68" s="6"/>
      <c r="J68" s="6"/>
      <c r="K68" s="6"/>
      <c r="M68" s="33"/>
      <c r="N68" s="13"/>
      <c r="O68" s="13"/>
      <c r="P68" s="13"/>
      <c r="Q68" s="37"/>
      <c r="R68" s="37"/>
      <c r="S68" s="37"/>
      <c r="T68" s="37"/>
      <c r="U68" s="37"/>
      <c r="V68" s="37"/>
      <c r="X68" s="1"/>
      <c r="Y68" s="6"/>
      <c r="Z68" s="6"/>
      <c r="AA68" s="6"/>
      <c r="AB68" s="11"/>
      <c r="AC68" s="11"/>
      <c r="AE68" s="138">
        <v>176</v>
      </c>
      <c r="AF68" s="138">
        <v>9</v>
      </c>
      <c r="AG68" s="138">
        <f t="shared" si="0"/>
        <v>9</v>
      </c>
      <c r="AH68" s="138">
        <v>2018</v>
      </c>
      <c r="AI68" s="138">
        <f t="shared" si="3"/>
        <v>10</v>
      </c>
      <c r="AJ68" s="138">
        <v>2018</v>
      </c>
      <c r="AK68" s="138">
        <v>0</v>
      </c>
      <c r="AL68" s="139">
        <v>612.05999999999995</v>
      </c>
      <c r="AM68" s="75" t="s">
        <v>140</v>
      </c>
    </row>
    <row r="69" spans="2:39" x14ac:dyDescent="0.25">
      <c r="B69" s="1"/>
      <c r="C69" s="6"/>
      <c r="D69" s="6"/>
      <c r="E69" s="6"/>
      <c r="F69" s="6"/>
      <c r="G69" s="6"/>
      <c r="H69" s="6"/>
      <c r="I69" s="6"/>
      <c r="J69" s="6"/>
      <c r="K69" s="6"/>
      <c r="M69" s="33"/>
      <c r="N69" s="13"/>
      <c r="O69" s="13"/>
      <c r="P69" s="13"/>
      <c r="Q69" s="36"/>
      <c r="R69" s="36"/>
      <c r="S69" s="36"/>
      <c r="T69" s="36"/>
      <c r="U69" s="36"/>
      <c r="V69" s="36"/>
      <c r="X69" s="1"/>
      <c r="Y69" s="6"/>
      <c r="Z69" s="6"/>
      <c r="AA69" s="6"/>
      <c r="AB69" s="11"/>
      <c r="AC69" s="11"/>
      <c r="AE69" s="138">
        <v>176</v>
      </c>
      <c r="AF69" s="138">
        <v>10</v>
      </c>
      <c r="AG69" s="138">
        <f t="shared" si="0"/>
        <v>10</v>
      </c>
      <c r="AH69" s="138">
        <v>2018</v>
      </c>
      <c r="AI69" s="138">
        <f t="shared" si="3"/>
        <v>11</v>
      </c>
      <c r="AJ69" s="138">
        <v>2018</v>
      </c>
      <c r="AK69" s="138">
        <v>0</v>
      </c>
      <c r="AL69" s="139">
        <v>612.05999999999995</v>
      </c>
      <c r="AM69" s="75" t="s">
        <v>140</v>
      </c>
    </row>
    <row r="70" spans="2:39" x14ac:dyDescent="0.25">
      <c r="B70" s="1"/>
      <c r="C70" s="6"/>
      <c r="D70" s="6"/>
      <c r="E70" s="6"/>
      <c r="F70" s="6"/>
      <c r="G70" s="6"/>
      <c r="H70" s="6"/>
      <c r="I70" s="6"/>
      <c r="J70" s="6"/>
      <c r="K70" s="6"/>
      <c r="M70" s="33"/>
      <c r="N70" s="13"/>
      <c r="O70" s="13"/>
      <c r="P70" s="13"/>
      <c r="Q70" s="36"/>
      <c r="R70" s="36"/>
      <c r="S70" s="36"/>
      <c r="T70" s="36"/>
      <c r="U70" s="36"/>
      <c r="V70" s="36"/>
      <c r="X70" s="1"/>
      <c r="Y70" s="6"/>
      <c r="Z70" s="6"/>
      <c r="AA70" s="6"/>
      <c r="AB70" s="11"/>
      <c r="AC70" s="11"/>
      <c r="AE70" s="138">
        <v>176</v>
      </c>
      <c r="AF70" s="138">
        <v>11</v>
      </c>
      <c r="AG70" s="138">
        <f t="shared" si="0"/>
        <v>11</v>
      </c>
      <c r="AH70" s="138">
        <v>2018</v>
      </c>
      <c r="AI70" s="138">
        <f t="shared" si="3"/>
        <v>12</v>
      </c>
      <c r="AJ70" s="138">
        <v>2018</v>
      </c>
      <c r="AK70" s="138">
        <v>0</v>
      </c>
      <c r="AL70" s="139">
        <v>612.05999999999995</v>
      </c>
      <c r="AM70" s="75" t="s">
        <v>140</v>
      </c>
    </row>
    <row r="71" spans="2:39" x14ac:dyDescent="0.25">
      <c r="B71" s="1"/>
      <c r="C71" s="6"/>
      <c r="D71" s="6"/>
      <c r="E71" s="6"/>
      <c r="F71" s="6"/>
      <c r="G71" s="6"/>
      <c r="H71" s="6"/>
      <c r="I71" s="6"/>
      <c r="J71" s="6"/>
      <c r="K71" s="6"/>
      <c r="M71" s="33"/>
      <c r="N71" s="35"/>
      <c r="O71" s="35"/>
      <c r="P71" s="35"/>
      <c r="Q71" s="36"/>
      <c r="R71" s="36"/>
      <c r="S71" s="36"/>
      <c r="T71" s="36"/>
      <c r="U71" s="36"/>
      <c r="V71" s="36"/>
      <c r="X71" s="1"/>
      <c r="Y71" s="6"/>
      <c r="Z71" s="6"/>
      <c r="AA71" s="6"/>
      <c r="AB71" s="11"/>
      <c r="AC71" s="11"/>
      <c r="AE71" s="138">
        <v>176</v>
      </c>
      <c r="AF71" s="138">
        <v>12</v>
      </c>
      <c r="AG71" s="138">
        <f t="shared" si="0"/>
        <v>12</v>
      </c>
      <c r="AH71" s="138">
        <v>2018</v>
      </c>
      <c r="AI71" s="138">
        <v>1</v>
      </c>
      <c r="AJ71" s="138">
        <v>2019</v>
      </c>
      <c r="AK71" s="138">
        <v>0</v>
      </c>
      <c r="AL71" s="139">
        <v>612.05999999999995</v>
      </c>
      <c r="AM71" s="75" t="s">
        <v>140</v>
      </c>
    </row>
    <row r="72" spans="2:39" x14ac:dyDescent="0.25">
      <c r="B72" s="1"/>
      <c r="C72" s="6"/>
      <c r="D72" s="6"/>
      <c r="E72" s="6"/>
      <c r="F72" s="6"/>
      <c r="G72" s="6"/>
      <c r="H72" s="6"/>
      <c r="I72" s="6"/>
      <c r="J72" s="6"/>
      <c r="K72" s="6"/>
      <c r="M72" s="33"/>
      <c r="N72" s="13"/>
      <c r="O72" s="13"/>
      <c r="P72" s="13"/>
      <c r="Q72" s="36"/>
      <c r="R72" s="36"/>
      <c r="S72" s="36"/>
      <c r="T72" s="36"/>
      <c r="U72" s="36"/>
      <c r="V72" s="36"/>
      <c r="X72" s="1"/>
      <c r="Y72" s="6"/>
      <c r="Z72" s="6"/>
      <c r="AA72" s="6"/>
      <c r="AB72" s="11"/>
      <c r="AC72" s="11"/>
      <c r="AE72" s="138">
        <v>172</v>
      </c>
      <c r="AF72" s="138">
        <v>2</v>
      </c>
      <c r="AG72" s="138">
        <f t="shared" si="0"/>
        <v>2</v>
      </c>
      <c r="AH72" s="138">
        <v>2018</v>
      </c>
      <c r="AI72" s="138">
        <f t="shared" ref="AI72:AI82" si="4">AG72+1</f>
        <v>3</v>
      </c>
      <c r="AJ72" s="138">
        <v>2018</v>
      </c>
      <c r="AK72" s="138">
        <v>0</v>
      </c>
      <c r="AL72" s="139">
        <v>268.74</v>
      </c>
      <c r="AM72" s="75" t="s">
        <v>139</v>
      </c>
    </row>
    <row r="73" spans="2:39" x14ac:dyDescent="0.25">
      <c r="B73" s="1"/>
      <c r="C73" s="6"/>
      <c r="D73" s="6"/>
      <c r="E73" s="6"/>
      <c r="F73" s="6"/>
      <c r="G73" s="6"/>
      <c r="H73" s="6"/>
      <c r="I73" s="6"/>
      <c r="J73" s="6"/>
      <c r="K73" s="6"/>
      <c r="M73" s="33"/>
      <c r="N73" s="13"/>
      <c r="O73" s="13"/>
      <c r="P73" s="13"/>
      <c r="Q73" s="36"/>
      <c r="R73" s="36"/>
      <c r="S73" s="36"/>
      <c r="T73" s="36"/>
      <c r="U73" s="36"/>
      <c r="V73" s="36"/>
      <c r="X73" s="1"/>
      <c r="Y73" s="6"/>
      <c r="Z73" s="6"/>
      <c r="AA73" s="6"/>
      <c r="AB73" s="11"/>
      <c r="AC73" s="11"/>
      <c r="AE73" s="138">
        <v>172</v>
      </c>
      <c r="AF73" s="138">
        <v>3</v>
      </c>
      <c r="AG73" s="138">
        <f t="shared" si="0"/>
        <v>3</v>
      </c>
      <c r="AH73" s="138">
        <v>2018</v>
      </c>
      <c r="AI73" s="138">
        <f t="shared" si="4"/>
        <v>4</v>
      </c>
      <c r="AJ73" s="138">
        <v>2018</v>
      </c>
      <c r="AK73" s="138">
        <v>0</v>
      </c>
      <c r="AL73" s="139">
        <v>268.74</v>
      </c>
      <c r="AM73" s="75" t="s">
        <v>139</v>
      </c>
    </row>
    <row r="74" spans="2:39" x14ac:dyDescent="0.25">
      <c r="B74" s="1"/>
      <c r="C74" s="6"/>
      <c r="D74" s="6"/>
      <c r="E74" s="6"/>
      <c r="F74" s="6"/>
      <c r="G74" s="6"/>
      <c r="H74" s="6"/>
      <c r="I74" s="6"/>
      <c r="J74" s="6"/>
      <c r="K74" s="6"/>
      <c r="M74" s="33"/>
      <c r="N74" s="13"/>
      <c r="O74" s="13"/>
      <c r="P74" s="13"/>
      <c r="Q74" s="36"/>
      <c r="R74" s="36"/>
      <c r="S74" s="36"/>
      <c r="T74" s="36"/>
      <c r="U74" s="36"/>
      <c r="V74" s="36"/>
      <c r="X74" s="1"/>
      <c r="Y74" s="6"/>
      <c r="Z74" s="6"/>
      <c r="AA74" s="6"/>
      <c r="AB74" s="11"/>
      <c r="AC74" s="11"/>
      <c r="AE74" s="138">
        <v>172</v>
      </c>
      <c r="AF74" s="138">
        <v>4</v>
      </c>
      <c r="AG74" s="138">
        <f t="shared" si="0"/>
        <v>4</v>
      </c>
      <c r="AH74" s="138">
        <v>2018</v>
      </c>
      <c r="AI74" s="138">
        <f t="shared" si="4"/>
        <v>5</v>
      </c>
      <c r="AJ74" s="138">
        <v>2018</v>
      </c>
      <c r="AK74" s="138">
        <v>0</v>
      </c>
      <c r="AL74" s="139">
        <v>268.74</v>
      </c>
      <c r="AM74" s="75" t="s">
        <v>139</v>
      </c>
    </row>
    <row r="75" spans="2:39" x14ac:dyDescent="0.25">
      <c r="B75" s="1"/>
      <c r="C75" s="6"/>
      <c r="D75" s="6"/>
      <c r="E75" s="6"/>
      <c r="F75" s="6"/>
      <c r="G75" s="6"/>
      <c r="H75" s="6"/>
      <c r="I75" s="6"/>
      <c r="J75" s="6"/>
      <c r="K75" s="6"/>
      <c r="M75" s="33"/>
      <c r="N75" s="13"/>
      <c r="O75" s="13"/>
      <c r="P75" s="13"/>
      <c r="Q75" s="36"/>
      <c r="R75" s="36"/>
      <c r="S75" s="36"/>
      <c r="T75" s="36"/>
      <c r="U75" s="36"/>
      <c r="V75" s="36"/>
      <c r="X75" s="1"/>
      <c r="Y75" s="6"/>
      <c r="Z75" s="6"/>
      <c r="AA75" s="6"/>
      <c r="AB75" s="11"/>
      <c r="AC75" s="11"/>
      <c r="AE75" s="138">
        <v>172</v>
      </c>
      <c r="AF75" s="138">
        <v>5</v>
      </c>
      <c r="AG75" s="138">
        <f t="shared" si="0"/>
        <v>5</v>
      </c>
      <c r="AH75" s="138">
        <v>2018</v>
      </c>
      <c r="AI75" s="138">
        <f t="shared" si="4"/>
        <v>6</v>
      </c>
      <c r="AJ75" s="138">
        <v>2018</v>
      </c>
      <c r="AK75" s="138">
        <v>0</v>
      </c>
      <c r="AL75" s="139">
        <v>268.74</v>
      </c>
      <c r="AM75" s="75" t="s">
        <v>139</v>
      </c>
    </row>
    <row r="76" spans="2:39" x14ac:dyDescent="0.25">
      <c r="B76" s="1"/>
      <c r="C76" s="6"/>
      <c r="D76" s="6"/>
      <c r="E76" s="6"/>
      <c r="F76" s="6"/>
      <c r="G76" s="6"/>
      <c r="H76" s="6"/>
      <c r="I76" s="6"/>
      <c r="J76" s="6"/>
      <c r="K76" s="6"/>
      <c r="M76" s="33"/>
      <c r="N76" s="13"/>
      <c r="O76" s="13"/>
      <c r="P76" s="13"/>
      <c r="Q76" s="36"/>
      <c r="R76" s="36"/>
      <c r="S76" s="36"/>
      <c r="T76" s="36"/>
      <c r="U76" s="36"/>
      <c r="V76" s="36"/>
      <c r="X76" s="1"/>
      <c r="Y76" s="6"/>
      <c r="Z76" s="6"/>
      <c r="AA76" s="6"/>
      <c r="AB76" s="11"/>
      <c r="AC76" s="11"/>
      <c r="AE76" s="138">
        <v>172</v>
      </c>
      <c r="AF76" s="138">
        <v>6</v>
      </c>
      <c r="AG76" s="138">
        <f t="shared" si="0"/>
        <v>6</v>
      </c>
      <c r="AH76" s="138">
        <v>2018</v>
      </c>
      <c r="AI76" s="138">
        <f t="shared" si="4"/>
        <v>7</v>
      </c>
      <c r="AJ76" s="138">
        <v>2018</v>
      </c>
      <c r="AK76" s="138">
        <v>0</v>
      </c>
      <c r="AL76" s="139">
        <v>268.74</v>
      </c>
      <c r="AM76" s="75" t="s">
        <v>139</v>
      </c>
    </row>
    <row r="77" spans="2:39" x14ac:dyDescent="0.25">
      <c r="B77" s="1"/>
      <c r="C77" s="6"/>
      <c r="D77" s="6"/>
      <c r="E77" s="6"/>
      <c r="F77" s="6"/>
      <c r="G77" s="6"/>
      <c r="H77" s="6"/>
      <c r="I77" s="6"/>
      <c r="J77" s="6"/>
      <c r="K77" s="6"/>
      <c r="M77" s="33"/>
      <c r="N77" s="13"/>
      <c r="O77" s="13"/>
      <c r="P77" s="13"/>
      <c r="Q77" s="36"/>
      <c r="R77" s="36"/>
      <c r="S77" s="36"/>
      <c r="T77" s="36"/>
      <c r="U77" s="36"/>
      <c r="V77" s="36"/>
      <c r="X77" s="1"/>
      <c r="Y77" s="6"/>
      <c r="Z77" s="6"/>
      <c r="AA77" s="6"/>
      <c r="AB77" s="11"/>
      <c r="AC77" s="11"/>
      <c r="AE77" s="138">
        <v>172</v>
      </c>
      <c r="AF77" s="138">
        <v>7</v>
      </c>
      <c r="AG77" s="138">
        <f t="shared" si="0"/>
        <v>7</v>
      </c>
      <c r="AH77" s="138">
        <v>2018</v>
      </c>
      <c r="AI77" s="138">
        <f t="shared" si="4"/>
        <v>8</v>
      </c>
      <c r="AJ77" s="138">
        <v>2018</v>
      </c>
      <c r="AK77" s="138">
        <v>0</v>
      </c>
      <c r="AL77" s="139">
        <v>268.74</v>
      </c>
      <c r="AM77" s="75" t="s">
        <v>139</v>
      </c>
    </row>
    <row r="78" spans="2:39" x14ac:dyDescent="0.25">
      <c r="B78" s="1"/>
      <c r="C78" s="6"/>
      <c r="D78" s="6"/>
      <c r="E78" s="6"/>
      <c r="F78" s="6"/>
      <c r="G78" s="6"/>
      <c r="H78" s="6"/>
      <c r="I78" s="6"/>
      <c r="J78" s="6"/>
      <c r="K78" s="6"/>
      <c r="M78" s="33"/>
      <c r="N78" s="13"/>
      <c r="O78" s="13"/>
      <c r="P78" s="13"/>
      <c r="Q78" s="36"/>
      <c r="R78" s="36"/>
      <c r="S78" s="36"/>
      <c r="T78" s="36"/>
      <c r="U78" s="36"/>
      <c r="V78" s="36"/>
      <c r="X78" s="1"/>
      <c r="Y78" s="6"/>
      <c r="Z78" s="6"/>
      <c r="AA78" s="6"/>
      <c r="AB78" s="11"/>
      <c r="AC78" s="11"/>
      <c r="AE78" s="138">
        <v>172</v>
      </c>
      <c r="AF78" s="138">
        <v>8</v>
      </c>
      <c r="AG78" s="138">
        <f t="shared" si="0"/>
        <v>8</v>
      </c>
      <c r="AH78" s="138">
        <v>2018</v>
      </c>
      <c r="AI78" s="138">
        <f t="shared" si="4"/>
        <v>9</v>
      </c>
      <c r="AJ78" s="138">
        <v>2018</v>
      </c>
      <c r="AK78" s="138">
        <v>0</v>
      </c>
      <c r="AL78" s="139">
        <v>268.74</v>
      </c>
      <c r="AM78" s="75" t="s">
        <v>139</v>
      </c>
    </row>
    <row r="79" spans="2:39" x14ac:dyDescent="0.25">
      <c r="B79" s="1"/>
      <c r="C79" s="6"/>
      <c r="D79" s="6"/>
      <c r="E79" s="6"/>
      <c r="F79" s="6"/>
      <c r="G79" s="6"/>
      <c r="H79" s="6"/>
      <c r="I79" s="6"/>
      <c r="J79" s="6"/>
      <c r="K79" s="6"/>
      <c r="M79" s="33"/>
      <c r="N79" s="13"/>
      <c r="O79" s="13"/>
      <c r="P79" s="13"/>
      <c r="Q79" s="36"/>
      <c r="R79" s="36"/>
      <c r="S79" s="36"/>
      <c r="T79" s="36"/>
      <c r="U79" s="36"/>
      <c r="V79" s="36"/>
      <c r="X79" s="1"/>
      <c r="Y79" s="6"/>
      <c r="Z79" s="6"/>
      <c r="AA79" s="6"/>
      <c r="AB79" s="11"/>
      <c r="AC79" s="11"/>
      <c r="AE79" s="138">
        <v>172</v>
      </c>
      <c r="AF79" s="138">
        <v>9</v>
      </c>
      <c r="AG79" s="138">
        <f t="shared" si="0"/>
        <v>9</v>
      </c>
      <c r="AH79" s="138">
        <v>2018</v>
      </c>
      <c r="AI79" s="138">
        <f t="shared" si="4"/>
        <v>10</v>
      </c>
      <c r="AJ79" s="138">
        <v>2018</v>
      </c>
      <c r="AK79" s="138">
        <v>0</v>
      </c>
      <c r="AL79" s="139">
        <v>268.74</v>
      </c>
      <c r="AM79" s="75" t="s">
        <v>139</v>
      </c>
    </row>
    <row r="80" spans="2:39" x14ac:dyDescent="0.25">
      <c r="B80" s="1"/>
      <c r="C80" s="6"/>
      <c r="D80" s="6"/>
      <c r="E80" s="6"/>
      <c r="F80" s="6"/>
      <c r="G80" s="6"/>
      <c r="H80" s="6"/>
      <c r="I80" s="6"/>
      <c r="J80" s="6"/>
      <c r="K80" s="6"/>
      <c r="M80" s="33"/>
      <c r="N80" s="13"/>
      <c r="O80" s="13"/>
      <c r="P80" s="13"/>
      <c r="Q80" s="36"/>
      <c r="R80" s="36"/>
      <c r="S80" s="36"/>
      <c r="T80" s="36"/>
      <c r="U80" s="36"/>
      <c r="V80" s="36"/>
      <c r="X80" s="1"/>
      <c r="Y80" s="6"/>
      <c r="Z80" s="6"/>
      <c r="AA80" s="6"/>
      <c r="AB80" s="11"/>
      <c r="AC80" s="11"/>
      <c r="AE80" s="138">
        <v>172</v>
      </c>
      <c r="AF80" s="138">
        <v>10</v>
      </c>
      <c r="AG80" s="138">
        <f t="shared" si="0"/>
        <v>10</v>
      </c>
      <c r="AH80" s="138">
        <v>2018</v>
      </c>
      <c r="AI80" s="138">
        <f t="shared" si="4"/>
        <v>11</v>
      </c>
      <c r="AJ80" s="138">
        <v>2018</v>
      </c>
      <c r="AK80" s="138">
        <v>0</v>
      </c>
      <c r="AL80" s="139">
        <v>268.74</v>
      </c>
      <c r="AM80" s="75" t="s">
        <v>139</v>
      </c>
    </row>
    <row r="81" spans="2:39" x14ac:dyDescent="0.25">
      <c r="B81" s="1"/>
      <c r="C81" s="6"/>
      <c r="D81" s="6"/>
      <c r="E81" s="6"/>
      <c r="F81" s="6"/>
      <c r="G81" s="6"/>
      <c r="H81" s="6"/>
      <c r="I81" s="6"/>
      <c r="J81" s="6"/>
      <c r="K81" s="6"/>
      <c r="M81" s="33"/>
      <c r="N81" s="13"/>
      <c r="O81" s="13"/>
      <c r="P81" s="13"/>
      <c r="Q81" s="36"/>
      <c r="R81" s="36"/>
      <c r="S81" s="36"/>
      <c r="T81" s="36"/>
      <c r="U81" s="36"/>
      <c r="V81" s="36"/>
      <c r="X81" s="1"/>
      <c r="Y81" s="6"/>
      <c r="Z81" s="6"/>
      <c r="AA81" s="6"/>
      <c r="AB81" s="11"/>
      <c r="AC81" s="11"/>
      <c r="AE81" s="138">
        <v>172</v>
      </c>
      <c r="AF81" s="138">
        <v>11</v>
      </c>
      <c r="AG81" s="138">
        <f t="shared" si="0"/>
        <v>11</v>
      </c>
      <c r="AH81" s="138">
        <v>2018</v>
      </c>
      <c r="AI81" s="138">
        <f t="shared" si="4"/>
        <v>12</v>
      </c>
      <c r="AJ81" s="138">
        <v>2018</v>
      </c>
      <c r="AK81" s="138">
        <v>0</v>
      </c>
      <c r="AL81" s="139">
        <v>268.74</v>
      </c>
      <c r="AM81" s="75" t="s">
        <v>139</v>
      </c>
    </row>
    <row r="82" spans="2:39" x14ac:dyDescent="0.25">
      <c r="B82" s="1"/>
      <c r="C82" s="6"/>
      <c r="D82" s="6"/>
      <c r="E82" s="6"/>
      <c r="F82" s="6"/>
      <c r="G82" s="6"/>
      <c r="H82" s="6"/>
      <c r="I82" s="6"/>
      <c r="J82" s="6"/>
      <c r="K82" s="6"/>
      <c r="M82" s="33"/>
      <c r="N82" s="13"/>
      <c r="O82" s="13"/>
      <c r="P82" s="13"/>
      <c r="Q82" s="36"/>
      <c r="R82" s="36"/>
      <c r="S82" s="36"/>
      <c r="T82" s="36"/>
      <c r="U82" s="36"/>
      <c r="V82" s="36"/>
      <c r="X82" s="1"/>
      <c r="Y82" s="6"/>
      <c r="Z82" s="6"/>
      <c r="AA82" s="6"/>
      <c r="AB82" s="11"/>
      <c r="AC82" s="11"/>
      <c r="AE82" s="138">
        <v>172</v>
      </c>
      <c r="AF82" s="138">
        <v>12</v>
      </c>
      <c r="AG82" s="138">
        <f t="shared" si="0"/>
        <v>12</v>
      </c>
      <c r="AH82" s="138">
        <v>2018</v>
      </c>
      <c r="AI82" s="138">
        <v>1</v>
      </c>
      <c r="AJ82" s="138">
        <v>2019</v>
      </c>
      <c r="AK82" s="138">
        <v>0</v>
      </c>
      <c r="AL82" s="139">
        <v>268.74</v>
      </c>
      <c r="AM82" s="75" t="s">
        <v>139</v>
      </c>
    </row>
    <row r="83" spans="2:39" x14ac:dyDescent="0.25">
      <c r="B83" s="1"/>
      <c r="C83" s="6"/>
      <c r="D83" s="6"/>
      <c r="E83" s="6"/>
      <c r="F83" s="6"/>
      <c r="G83" s="6"/>
      <c r="H83" s="6"/>
      <c r="I83" s="6"/>
      <c r="J83" s="6"/>
      <c r="K83" s="6"/>
      <c r="M83" s="33"/>
      <c r="N83" s="13"/>
      <c r="O83" s="13"/>
      <c r="P83" s="13"/>
      <c r="Q83" s="36"/>
      <c r="R83" s="36"/>
      <c r="S83" s="36"/>
      <c r="T83" s="36"/>
      <c r="U83" s="36"/>
      <c r="V83" s="36"/>
      <c r="X83" s="1"/>
      <c r="Y83" s="6"/>
      <c r="Z83" s="6"/>
      <c r="AA83" s="6"/>
      <c r="AB83" s="11"/>
      <c r="AC83" s="11"/>
      <c r="AE83" s="138"/>
      <c r="AF83" s="138"/>
      <c r="AG83" s="138"/>
      <c r="AH83" s="138"/>
      <c r="AI83" s="138"/>
      <c r="AJ83" s="138"/>
      <c r="AK83" s="138"/>
      <c r="AL83" s="139"/>
    </row>
    <row r="84" spans="2:39" x14ac:dyDescent="0.25">
      <c r="B84" s="1"/>
      <c r="C84" s="6"/>
      <c r="D84" s="6"/>
      <c r="E84" s="6"/>
      <c r="F84" s="6"/>
      <c r="G84" s="6"/>
      <c r="H84" s="6"/>
      <c r="I84" s="6"/>
      <c r="J84" s="6"/>
      <c r="K84" s="6"/>
      <c r="M84" s="34"/>
      <c r="N84" s="13"/>
      <c r="O84" s="13"/>
      <c r="P84" s="13"/>
      <c r="Q84" s="36"/>
      <c r="R84" s="36"/>
      <c r="S84" s="36"/>
      <c r="T84" s="36"/>
      <c r="U84" s="36"/>
      <c r="V84" s="36"/>
      <c r="X84" s="1"/>
      <c r="Y84" s="6"/>
      <c r="Z84" s="6"/>
      <c r="AA84" s="6"/>
      <c r="AB84" s="11"/>
      <c r="AC84" s="11"/>
      <c r="AE84" s="138"/>
      <c r="AF84" s="138"/>
      <c r="AG84" s="138"/>
      <c r="AH84" s="138"/>
      <c r="AI84" s="138"/>
      <c r="AJ84" s="138"/>
      <c r="AK84" s="138"/>
      <c r="AL84" s="139"/>
    </row>
    <row r="85" spans="2:39" x14ac:dyDescent="0.25">
      <c r="B85" s="1"/>
      <c r="C85" s="6"/>
      <c r="D85" s="6"/>
      <c r="E85" s="6"/>
      <c r="F85" s="6"/>
      <c r="G85" s="6"/>
      <c r="H85" s="6"/>
      <c r="I85" s="6"/>
      <c r="J85" s="6"/>
      <c r="K85" s="6"/>
      <c r="M85" s="34"/>
      <c r="N85" s="13"/>
      <c r="O85" s="13"/>
      <c r="P85" s="13"/>
      <c r="Q85" s="36"/>
      <c r="R85" s="36"/>
      <c r="S85" s="36"/>
      <c r="T85" s="36"/>
      <c r="U85" s="36"/>
      <c r="V85" s="36"/>
      <c r="X85" s="1"/>
      <c r="Y85" s="6"/>
      <c r="Z85" s="6"/>
      <c r="AA85" s="6"/>
      <c r="AB85" s="11"/>
      <c r="AC85" s="11"/>
      <c r="AE85" s="138"/>
      <c r="AF85" s="138"/>
      <c r="AG85" s="138"/>
      <c r="AH85" s="138"/>
      <c r="AI85" s="138"/>
      <c r="AJ85" s="138"/>
      <c r="AK85" s="138"/>
      <c r="AL85" s="139"/>
    </row>
    <row r="86" spans="2:39" x14ac:dyDescent="0.25">
      <c r="B86" s="1"/>
      <c r="C86" s="6"/>
      <c r="D86" s="6"/>
      <c r="E86" s="6"/>
      <c r="F86" s="6"/>
      <c r="G86" s="6"/>
      <c r="H86" s="6"/>
      <c r="I86" s="6"/>
      <c r="J86" s="6"/>
      <c r="K86" s="6"/>
      <c r="M86" s="34"/>
      <c r="N86" s="13"/>
      <c r="O86" s="13"/>
      <c r="P86" s="13"/>
      <c r="Q86" s="35"/>
      <c r="R86" s="35"/>
      <c r="S86" s="35"/>
      <c r="T86" s="35"/>
      <c r="U86" s="35"/>
      <c r="V86" s="35"/>
      <c r="X86" s="1"/>
      <c r="Y86" s="6"/>
      <c r="Z86" s="6"/>
      <c r="AA86" s="6"/>
      <c r="AB86" s="11"/>
      <c r="AC86" s="11"/>
      <c r="AE86" s="138"/>
      <c r="AF86" s="138"/>
      <c r="AG86" s="138"/>
      <c r="AH86" s="138"/>
      <c r="AI86" s="138"/>
      <c r="AJ86" s="138"/>
      <c r="AK86" s="138"/>
      <c r="AL86" s="139"/>
    </row>
    <row r="87" spans="2:39" x14ac:dyDescent="0.25">
      <c r="B87" s="1"/>
      <c r="C87" s="6"/>
      <c r="D87" s="6"/>
      <c r="E87" s="6"/>
      <c r="F87" s="6"/>
      <c r="G87" s="6"/>
      <c r="H87" s="6"/>
      <c r="I87" s="6"/>
      <c r="J87" s="6"/>
      <c r="K87" s="6"/>
      <c r="M87" s="1"/>
      <c r="N87" s="6"/>
      <c r="O87" s="6"/>
      <c r="P87" s="6"/>
      <c r="Q87" s="6"/>
      <c r="R87" s="6"/>
      <c r="S87" s="6"/>
      <c r="T87" s="6"/>
      <c r="U87" s="6"/>
      <c r="V87" s="6"/>
      <c r="X87" s="1"/>
      <c r="Y87" s="6"/>
      <c r="Z87" s="6"/>
      <c r="AA87" s="6"/>
      <c r="AB87" s="11"/>
      <c r="AC87" s="11"/>
      <c r="AE87" s="138"/>
      <c r="AF87" s="138"/>
      <c r="AG87" s="138"/>
      <c r="AH87" s="138"/>
      <c r="AI87" s="138"/>
      <c r="AJ87" s="138"/>
      <c r="AK87" s="138"/>
      <c r="AL87" s="139"/>
    </row>
    <row r="88" spans="2:39" x14ac:dyDescent="0.25">
      <c r="B88" s="1"/>
      <c r="C88" s="6"/>
      <c r="D88" s="6"/>
      <c r="E88" s="6"/>
      <c r="F88" s="6"/>
      <c r="G88" s="6"/>
      <c r="H88" s="6"/>
      <c r="I88" s="6"/>
      <c r="J88" s="6"/>
      <c r="K88" s="6"/>
      <c r="M88" s="1"/>
      <c r="N88" s="6"/>
      <c r="O88" s="6"/>
      <c r="P88" s="6"/>
      <c r="Q88" s="6"/>
      <c r="R88" s="6"/>
      <c r="S88" s="6"/>
      <c r="T88" s="6"/>
      <c r="U88" s="6"/>
      <c r="V88" s="6"/>
      <c r="X88" s="1"/>
      <c r="Y88" s="6"/>
      <c r="Z88" s="6"/>
      <c r="AA88" s="6"/>
      <c r="AB88" s="11"/>
      <c r="AC88" s="11"/>
      <c r="AE88" s="138"/>
      <c r="AF88" s="138"/>
      <c r="AG88" s="138"/>
      <c r="AH88" s="138"/>
      <c r="AI88" s="138"/>
      <c r="AJ88" s="138"/>
      <c r="AK88" s="138"/>
      <c r="AL88" s="139"/>
    </row>
    <row r="89" spans="2:39" x14ac:dyDescent="0.25">
      <c r="B89" s="1"/>
      <c r="C89" s="6"/>
      <c r="D89" s="6"/>
      <c r="E89" s="6"/>
      <c r="F89" s="6"/>
      <c r="G89" s="6"/>
      <c r="H89" s="6"/>
      <c r="I89" s="6"/>
      <c r="J89" s="6"/>
      <c r="K89" s="6"/>
      <c r="M89" s="1"/>
      <c r="N89" s="6"/>
      <c r="O89" s="6"/>
      <c r="P89" s="6"/>
      <c r="Q89" s="6"/>
      <c r="R89" s="6"/>
      <c r="S89" s="6"/>
      <c r="T89" s="6"/>
      <c r="U89" s="6"/>
      <c r="V89" s="6"/>
      <c r="X89" s="1"/>
      <c r="Y89" s="6"/>
      <c r="Z89" s="6"/>
      <c r="AA89" s="6"/>
      <c r="AB89" s="11"/>
      <c r="AC89" s="11"/>
      <c r="AE89" s="138"/>
      <c r="AF89" s="138"/>
      <c r="AG89" s="138"/>
      <c r="AH89" s="138"/>
      <c r="AI89" s="138"/>
      <c r="AJ89" s="138"/>
      <c r="AK89" s="138"/>
      <c r="AL89" s="139"/>
    </row>
    <row r="90" spans="2:39" x14ac:dyDescent="0.25">
      <c r="B90" s="1"/>
      <c r="C90" s="6"/>
      <c r="D90" s="6"/>
      <c r="E90" s="6"/>
      <c r="F90" s="6"/>
      <c r="G90" s="6"/>
      <c r="H90" s="6"/>
      <c r="I90" s="6"/>
      <c r="J90" s="6"/>
      <c r="K90" s="6"/>
      <c r="M90" s="1"/>
      <c r="N90" s="6"/>
      <c r="O90" s="6"/>
      <c r="P90" s="6"/>
      <c r="Q90" s="6"/>
      <c r="R90" s="6"/>
      <c r="S90" s="6"/>
      <c r="T90" s="6"/>
      <c r="U90" s="6"/>
      <c r="V90" s="6"/>
      <c r="X90" s="1"/>
      <c r="Y90" s="6"/>
      <c r="Z90" s="6"/>
      <c r="AA90" s="6"/>
      <c r="AB90" s="11"/>
      <c r="AC90" s="11"/>
      <c r="AE90" s="138"/>
      <c r="AF90" s="138"/>
      <c r="AG90" s="138"/>
      <c r="AH90" s="138"/>
      <c r="AI90" s="138"/>
      <c r="AJ90" s="138"/>
      <c r="AK90" s="138"/>
      <c r="AL90" s="139"/>
    </row>
    <row r="91" spans="2:39" x14ac:dyDescent="0.25">
      <c r="B91" s="1"/>
      <c r="C91" s="6"/>
      <c r="D91" s="6"/>
      <c r="E91" s="6"/>
      <c r="F91" s="6"/>
      <c r="G91" s="6"/>
      <c r="H91" s="6"/>
      <c r="I91" s="6"/>
      <c r="J91" s="6"/>
      <c r="K91" s="6"/>
      <c r="M91" s="1"/>
      <c r="N91" s="6"/>
      <c r="O91" s="6"/>
      <c r="P91" s="6"/>
      <c r="Q91" s="6"/>
      <c r="R91" s="6"/>
      <c r="S91" s="6"/>
      <c r="T91" s="6"/>
      <c r="U91" s="6"/>
      <c r="V91" s="6"/>
      <c r="X91" s="1"/>
      <c r="Y91" s="6"/>
      <c r="Z91" s="6"/>
      <c r="AA91" s="6"/>
      <c r="AB91" s="11"/>
      <c r="AC91" s="11"/>
      <c r="AE91" s="138"/>
      <c r="AF91" s="138"/>
      <c r="AG91" s="138"/>
      <c r="AH91" s="138"/>
      <c r="AI91" s="138"/>
      <c r="AJ91" s="138"/>
      <c r="AK91" s="138"/>
      <c r="AL91" s="139"/>
    </row>
    <row r="92" spans="2:39" x14ac:dyDescent="0.25">
      <c r="B92" s="1"/>
      <c r="C92" s="6"/>
      <c r="D92" s="6"/>
      <c r="E92" s="6"/>
      <c r="F92" s="6"/>
      <c r="G92" s="6"/>
      <c r="H92" s="6"/>
      <c r="I92" s="6"/>
      <c r="J92" s="6"/>
      <c r="K92" s="6"/>
      <c r="M92" s="1"/>
      <c r="N92" s="6"/>
      <c r="O92" s="6"/>
      <c r="P92" s="6"/>
      <c r="Q92" s="6"/>
      <c r="R92" s="6"/>
      <c r="S92" s="6"/>
      <c r="T92" s="6"/>
      <c r="U92" s="6"/>
      <c r="V92" s="6"/>
      <c r="X92" s="1"/>
      <c r="Y92" s="6"/>
      <c r="Z92" s="6"/>
      <c r="AA92" s="6"/>
      <c r="AB92" s="11"/>
      <c r="AC92" s="11"/>
      <c r="AE92" s="138"/>
      <c r="AF92" s="138"/>
      <c r="AG92" s="138"/>
      <c r="AH92" s="138"/>
      <c r="AI92" s="138"/>
      <c r="AJ92" s="138"/>
      <c r="AK92" s="138"/>
      <c r="AL92" s="139"/>
    </row>
    <row r="93" spans="2:39" x14ac:dyDescent="0.25">
      <c r="B93" s="1"/>
      <c r="C93" s="6"/>
      <c r="D93" s="6"/>
      <c r="E93" s="6"/>
      <c r="F93" s="6"/>
      <c r="G93" s="6"/>
      <c r="H93" s="6"/>
      <c r="I93" s="6"/>
      <c r="J93" s="6"/>
      <c r="K93" s="6"/>
      <c r="M93" s="1"/>
      <c r="N93" s="6"/>
      <c r="O93" s="6"/>
      <c r="P93" s="6"/>
      <c r="Q93" s="6"/>
      <c r="R93" s="6"/>
      <c r="S93" s="6"/>
      <c r="T93" s="6"/>
      <c r="U93" s="6"/>
      <c r="V93" s="6"/>
      <c r="X93" s="1"/>
      <c r="Y93" s="6"/>
      <c r="Z93" s="6"/>
      <c r="AA93" s="6"/>
      <c r="AB93" s="11"/>
      <c r="AC93" s="11"/>
      <c r="AE93" s="138"/>
      <c r="AF93" s="138"/>
      <c r="AG93" s="138"/>
      <c r="AH93" s="138"/>
      <c r="AI93" s="138"/>
      <c r="AJ93" s="138"/>
      <c r="AK93" s="138"/>
      <c r="AL93" s="139"/>
    </row>
    <row r="94" spans="2:39" x14ac:dyDescent="0.25">
      <c r="B94" s="1"/>
      <c r="C94" s="6"/>
      <c r="D94" s="6"/>
      <c r="E94" s="6"/>
      <c r="F94" s="6"/>
      <c r="G94" s="6"/>
      <c r="H94" s="6"/>
      <c r="I94" s="6"/>
      <c r="J94" s="6"/>
      <c r="K94" s="6"/>
      <c r="M94" s="1"/>
      <c r="N94" s="6"/>
      <c r="O94" s="6"/>
      <c r="P94" s="6"/>
      <c r="Q94" s="6"/>
      <c r="R94" s="6"/>
      <c r="S94" s="6"/>
      <c r="T94" s="6"/>
      <c r="U94" s="6"/>
      <c r="V94" s="6"/>
      <c r="X94" s="1"/>
      <c r="Y94" s="6"/>
      <c r="Z94" s="6"/>
      <c r="AA94" s="6"/>
      <c r="AB94" s="11"/>
      <c r="AC94" s="11"/>
      <c r="AE94" s="138"/>
      <c r="AF94" s="138"/>
      <c r="AG94" s="138"/>
      <c r="AH94" s="138"/>
      <c r="AI94" s="138"/>
      <c r="AJ94" s="138"/>
      <c r="AK94" s="138"/>
      <c r="AL94" s="139"/>
    </row>
    <row r="95" spans="2:39" x14ac:dyDescent="0.25">
      <c r="B95" s="1"/>
      <c r="C95" s="6"/>
      <c r="D95" s="6"/>
      <c r="E95" s="6"/>
      <c r="F95" s="6"/>
      <c r="G95" s="6"/>
      <c r="H95" s="6"/>
      <c r="I95" s="6"/>
      <c r="J95" s="6"/>
      <c r="K95" s="6"/>
      <c r="M95" s="1"/>
      <c r="N95" s="6"/>
      <c r="O95" s="6"/>
      <c r="P95" s="6"/>
      <c r="Q95" s="6"/>
      <c r="R95" s="6"/>
      <c r="S95" s="6"/>
      <c r="T95" s="6"/>
      <c r="U95" s="6"/>
      <c r="V95" s="6"/>
      <c r="X95" s="1"/>
      <c r="Y95" s="6"/>
      <c r="Z95" s="6"/>
      <c r="AA95" s="6"/>
      <c r="AB95" s="11"/>
      <c r="AC95" s="11"/>
      <c r="AE95" s="138"/>
      <c r="AF95" s="138"/>
      <c r="AG95" s="138"/>
      <c r="AH95" s="138"/>
      <c r="AI95" s="138"/>
      <c r="AJ95" s="138"/>
      <c r="AK95" s="138"/>
      <c r="AL95" s="139"/>
    </row>
    <row r="96" spans="2:39" x14ac:dyDescent="0.25">
      <c r="B96" s="1"/>
      <c r="C96" s="6"/>
      <c r="D96" s="6"/>
      <c r="E96" s="6"/>
      <c r="F96" s="6"/>
      <c r="G96" s="6"/>
      <c r="H96" s="6"/>
      <c r="I96" s="6"/>
      <c r="J96" s="6"/>
      <c r="K96" s="6"/>
      <c r="M96" s="1"/>
      <c r="N96" s="6"/>
      <c r="O96" s="6"/>
      <c r="P96" s="6"/>
      <c r="Q96" s="6"/>
      <c r="R96" s="6"/>
      <c r="S96" s="6"/>
      <c r="T96" s="6"/>
      <c r="U96" s="6"/>
      <c r="V96" s="6"/>
      <c r="X96" s="1"/>
      <c r="Y96" s="6"/>
      <c r="Z96" s="6"/>
      <c r="AA96" s="6"/>
      <c r="AB96" s="11"/>
      <c r="AC96" s="11"/>
      <c r="AE96" s="138"/>
      <c r="AF96" s="138"/>
      <c r="AG96" s="138"/>
      <c r="AH96" s="138"/>
      <c r="AI96" s="138"/>
      <c r="AJ96" s="138"/>
      <c r="AK96" s="138"/>
      <c r="AL96" s="139"/>
    </row>
    <row r="97" spans="2:38" x14ac:dyDescent="0.25">
      <c r="B97" s="1"/>
      <c r="C97" s="6"/>
      <c r="D97" s="6"/>
      <c r="E97" s="6"/>
      <c r="F97" s="6"/>
      <c r="G97" s="6"/>
      <c r="H97" s="6"/>
      <c r="I97" s="6"/>
      <c r="J97" s="6"/>
      <c r="K97" s="6"/>
      <c r="M97" s="1"/>
      <c r="N97" s="6"/>
      <c r="O97" s="6"/>
      <c r="P97" s="6"/>
      <c r="Q97" s="6"/>
      <c r="R97" s="6"/>
      <c r="S97" s="6"/>
      <c r="T97" s="6"/>
      <c r="U97" s="6"/>
      <c r="V97" s="6"/>
      <c r="X97" s="1"/>
      <c r="Y97" s="6"/>
      <c r="Z97" s="6"/>
      <c r="AA97" s="6"/>
      <c r="AB97" s="11"/>
      <c r="AC97" s="11"/>
      <c r="AE97" s="138"/>
      <c r="AF97" s="138"/>
      <c r="AG97" s="138"/>
      <c r="AH97" s="138"/>
      <c r="AI97" s="138"/>
      <c r="AJ97" s="138"/>
      <c r="AK97" s="138"/>
      <c r="AL97" s="139"/>
    </row>
    <row r="98" spans="2:38" x14ac:dyDescent="0.25">
      <c r="B98" s="1"/>
      <c r="C98" s="6"/>
      <c r="D98" s="6"/>
      <c r="E98" s="6"/>
      <c r="F98" s="6"/>
      <c r="G98" s="6"/>
      <c r="H98" s="6"/>
      <c r="I98" s="6"/>
      <c r="J98" s="6"/>
      <c r="K98" s="6"/>
      <c r="M98" s="1"/>
      <c r="N98" s="6"/>
      <c r="O98" s="6"/>
      <c r="P98" s="6"/>
      <c r="Q98" s="6"/>
      <c r="R98" s="6"/>
      <c r="S98" s="6"/>
      <c r="T98" s="6"/>
      <c r="U98" s="6"/>
      <c r="V98" s="6"/>
      <c r="X98" s="1"/>
      <c r="Y98" s="6"/>
      <c r="Z98" s="6"/>
      <c r="AA98" s="6"/>
      <c r="AB98" s="11"/>
      <c r="AC98" s="11"/>
      <c r="AE98" s="138"/>
      <c r="AF98" s="138"/>
      <c r="AG98" s="138"/>
      <c r="AH98" s="138"/>
      <c r="AI98" s="138"/>
      <c r="AJ98" s="138"/>
      <c r="AK98" s="138"/>
      <c r="AL98" s="139"/>
    </row>
    <row r="99" spans="2:38" x14ac:dyDescent="0.25">
      <c r="B99" s="1"/>
      <c r="C99" s="6"/>
      <c r="D99" s="6"/>
      <c r="E99" s="6"/>
      <c r="F99" s="6"/>
      <c r="G99" s="6"/>
      <c r="H99" s="6"/>
      <c r="I99" s="6"/>
      <c r="J99" s="6"/>
      <c r="K99" s="6"/>
      <c r="M99" s="1"/>
      <c r="N99" s="6"/>
      <c r="O99" s="6"/>
      <c r="P99" s="6"/>
      <c r="Q99" s="6"/>
      <c r="R99" s="6"/>
      <c r="S99" s="6"/>
      <c r="T99" s="6"/>
      <c r="U99" s="6"/>
      <c r="V99" s="6"/>
      <c r="X99" s="1"/>
      <c r="Y99" s="6"/>
      <c r="Z99" s="6"/>
      <c r="AA99" s="6"/>
      <c r="AB99" s="11"/>
      <c r="AC99" s="11"/>
      <c r="AE99" s="138"/>
      <c r="AF99" s="138"/>
      <c r="AG99" s="138"/>
      <c r="AH99" s="138"/>
      <c r="AI99" s="138"/>
      <c r="AJ99" s="138"/>
      <c r="AK99" s="138"/>
      <c r="AL99" s="139"/>
    </row>
    <row r="100" spans="2:38" x14ac:dyDescent="0.25">
      <c r="B100" s="1"/>
      <c r="C100" s="6"/>
      <c r="D100" s="6"/>
      <c r="E100" s="6"/>
      <c r="F100" s="6"/>
      <c r="G100" s="6"/>
      <c r="H100" s="6"/>
      <c r="I100" s="6"/>
      <c r="J100" s="6"/>
      <c r="K100" s="6"/>
      <c r="M100" s="1"/>
      <c r="N100" s="6"/>
      <c r="O100" s="6"/>
      <c r="P100" s="6"/>
      <c r="Q100" s="6"/>
      <c r="R100" s="6"/>
      <c r="S100" s="6"/>
      <c r="T100" s="6"/>
      <c r="U100" s="6"/>
      <c r="V100" s="6"/>
      <c r="X100" s="1"/>
      <c r="Y100" s="6"/>
      <c r="Z100" s="6"/>
      <c r="AA100" s="6"/>
      <c r="AB100" s="11"/>
      <c r="AC100" s="11"/>
      <c r="AE100" s="138"/>
      <c r="AF100" s="138"/>
      <c r="AG100" s="138"/>
      <c r="AH100" s="138"/>
      <c r="AI100" s="138"/>
      <c r="AJ100" s="138"/>
      <c r="AK100" s="138"/>
      <c r="AL100" s="139"/>
    </row>
    <row r="101" spans="2:38" x14ac:dyDescent="0.25">
      <c r="B101" s="1"/>
      <c r="C101" s="6"/>
      <c r="D101" s="6"/>
      <c r="E101" s="6"/>
      <c r="F101" s="6"/>
      <c r="G101" s="6"/>
      <c r="H101" s="6"/>
      <c r="I101" s="6"/>
      <c r="J101" s="6"/>
      <c r="K101" s="6"/>
      <c r="M101" s="1"/>
      <c r="N101" s="6"/>
      <c r="O101" s="6"/>
      <c r="P101" s="6"/>
      <c r="Q101" s="6"/>
      <c r="R101" s="6"/>
      <c r="S101" s="6"/>
      <c r="T101" s="6"/>
      <c r="U101" s="6"/>
      <c r="V101" s="6"/>
      <c r="X101" s="1"/>
      <c r="Y101" s="6"/>
      <c r="Z101" s="6"/>
      <c r="AA101" s="6"/>
      <c r="AB101" s="11"/>
      <c r="AC101" s="11"/>
      <c r="AE101" s="138"/>
      <c r="AF101" s="138"/>
      <c r="AG101" s="138"/>
      <c r="AH101" s="138"/>
      <c r="AI101" s="138"/>
      <c r="AJ101" s="138"/>
      <c r="AK101" s="138"/>
      <c r="AL101" s="139"/>
    </row>
    <row r="102" spans="2:38" x14ac:dyDescent="0.25">
      <c r="B102" s="1"/>
      <c r="C102" s="6"/>
      <c r="D102" s="6"/>
      <c r="E102" s="6"/>
      <c r="F102" s="6"/>
      <c r="G102" s="6"/>
      <c r="H102" s="6"/>
      <c r="I102" s="6"/>
      <c r="J102" s="6"/>
      <c r="K102" s="6"/>
      <c r="M102" s="1"/>
      <c r="N102" s="6"/>
      <c r="O102" s="6"/>
      <c r="P102" s="6"/>
      <c r="Q102" s="6"/>
      <c r="R102" s="6"/>
      <c r="S102" s="6"/>
      <c r="T102" s="6"/>
      <c r="U102" s="6"/>
      <c r="V102" s="6"/>
      <c r="X102" s="1"/>
      <c r="Y102" s="6"/>
      <c r="Z102" s="6"/>
      <c r="AA102" s="6"/>
      <c r="AB102" s="11"/>
      <c r="AC102" s="11"/>
      <c r="AE102" s="138"/>
      <c r="AF102" s="138"/>
      <c r="AG102" s="138"/>
      <c r="AH102" s="138"/>
      <c r="AI102" s="138"/>
      <c r="AJ102" s="138"/>
      <c r="AK102" s="138"/>
      <c r="AL102" s="139"/>
    </row>
    <row r="103" spans="2:38" x14ac:dyDescent="0.25">
      <c r="B103" s="1"/>
      <c r="C103" s="6"/>
      <c r="D103" s="6"/>
      <c r="E103" s="6"/>
      <c r="F103" s="6"/>
      <c r="G103" s="6"/>
      <c r="H103" s="6"/>
      <c r="I103" s="6"/>
      <c r="J103" s="6"/>
      <c r="K103" s="6"/>
      <c r="M103" s="1"/>
      <c r="N103" s="6"/>
      <c r="O103" s="6"/>
      <c r="P103" s="6"/>
      <c r="Q103" s="6"/>
      <c r="R103" s="6"/>
      <c r="S103" s="6"/>
      <c r="T103" s="6"/>
      <c r="U103" s="6"/>
      <c r="V103" s="6"/>
      <c r="X103" s="1"/>
      <c r="Y103" s="6"/>
      <c r="Z103" s="6"/>
      <c r="AA103" s="6"/>
      <c r="AB103" s="11"/>
      <c r="AC103" s="11"/>
      <c r="AE103" s="138"/>
      <c r="AF103" s="138"/>
      <c r="AG103" s="138"/>
      <c r="AH103" s="138"/>
      <c r="AI103" s="138"/>
      <c r="AJ103" s="138"/>
      <c r="AK103" s="138"/>
      <c r="AL103" s="139"/>
    </row>
    <row r="104" spans="2:38" x14ac:dyDescent="0.25">
      <c r="B104" s="1"/>
      <c r="C104" s="6"/>
      <c r="D104" s="6"/>
      <c r="E104" s="6"/>
      <c r="F104" s="6"/>
      <c r="G104" s="6"/>
      <c r="H104" s="6"/>
      <c r="I104" s="6"/>
      <c r="J104" s="6"/>
      <c r="K104" s="6"/>
      <c r="M104" s="1"/>
      <c r="N104" s="6"/>
      <c r="O104" s="6"/>
      <c r="P104" s="6"/>
      <c r="Q104" s="6"/>
      <c r="R104" s="6"/>
      <c r="S104" s="6"/>
      <c r="T104" s="6"/>
      <c r="U104" s="6"/>
      <c r="V104" s="6"/>
      <c r="X104" s="1"/>
      <c r="Y104" s="6"/>
      <c r="Z104" s="6"/>
      <c r="AA104" s="6"/>
      <c r="AB104" s="11"/>
      <c r="AC104" s="11"/>
      <c r="AE104" s="138"/>
      <c r="AF104" s="138"/>
      <c r="AG104" s="138"/>
      <c r="AH104" s="138"/>
      <c r="AI104" s="138"/>
      <c r="AJ104" s="138"/>
      <c r="AK104" s="138"/>
      <c r="AL104" s="139"/>
    </row>
    <row r="105" spans="2:38" x14ac:dyDescent="0.25">
      <c r="B105" s="1"/>
      <c r="C105" s="6"/>
      <c r="D105" s="6"/>
      <c r="E105" s="6"/>
      <c r="F105" s="6"/>
      <c r="G105" s="6"/>
      <c r="H105" s="6"/>
      <c r="I105" s="6"/>
      <c r="J105" s="6"/>
      <c r="K105" s="6"/>
      <c r="M105" s="1"/>
      <c r="N105" s="6"/>
      <c r="O105" s="6"/>
      <c r="P105" s="6"/>
      <c r="Q105" s="6"/>
      <c r="R105" s="6"/>
      <c r="S105" s="6"/>
      <c r="T105" s="6"/>
      <c r="U105" s="6"/>
      <c r="V105" s="6"/>
      <c r="X105" s="1"/>
      <c r="Y105" s="6"/>
      <c r="Z105" s="6"/>
      <c r="AA105" s="6"/>
      <c r="AB105" s="11"/>
      <c r="AC105" s="11"/>
      <c r="AE105" s="138"/>
      <c r="AF105" s="138"/>
      <c r="AG105" s="138"/>
      <c r="AH105" s="138"/>
      <c r="AI105" s="138"/>
      <c r="AJ105" s="138"/>
      <c r="AK105" s="138"/>
      <c r="AL105" s="139"/>
    </row>
    <row r="106" spans="2:38" x14ac:dyDescent="0.25">
      <c r="B106" s="1"/>
      <c r="C106" s="6"/>
      <c r="D106" s="6"/>
      <c r="E106" s="6"/>
      <c r="F106" s="6"/>
      <c r="G106" s="6"/>
      <c r="H106" s="6"/>
      <c r="I106" s="6"/>
      <c r="J106" s="6"/>
      <c r="K106" s="6"/>
      <c r="M106" s="1"/>
      <c r="N106" s="6"/>
      <c r="O106" s="6"/>
      <c r="P106" s="6"/>
      <c r="Q106" s="6"/>
      <c r="R106" s="6"/>
      <c r="S106" s="6"/>
      <c r="T106" s="6"/>
      <c r="U106" s="6"/>
      <c r="V106" s="6"/>
      <c r="X106" s="1"/>
      <c r="Y106" s="6"/>
      <c r="Z106" s="6"/>
      <c r="AA106" s="6"/>
      <c r="AB106" s="11"/>
      <c r="AC106" s="11"/>
      <c r="AE106" s="138"/>
      <c r="AF106" s="138"/>
      <c r="AG106" s="138"/>
      <c r="AH106" s="138"/>
      <c r="AI106" s="138"/>
      <c r="AJ106" s="138"/>
      <c r="AK106" s="138"/>
      <c r="AL106" s="139"/>
    </row>
    <row r="107" spans="2:38" x14ac:dyDescent="0.25">
      <c r="B107" s="1"/>
      <c r="C107" s="6"/>
      <c r="D107" s="6"/>
      <c r="E107" s="6"/>
      <c r="F107" s="6"/>
      <c r="G107" s="6"/>
      <c r="H107" s="6"/>
      <c r="I107" s="6"/>
      <c r="J107" s="6"/>
      <c r="K107" s="6"/>
      <c r="M107" s="1"/>
      <c r="N107" s="6"/>
      <c r="O107" s="6"/>
      <c r="P107" s="6"/>
      <c r="Q107" s="6"/>
      <c r="R107" s="6"/>
      <c r="S107" s="6"/>
      <c r="T107" s="6"/>
      <c r="U107" s="6"/>
      <c r="V107" s="6"/>
      <c r="X107" s="1"/>
      <c r="Y107" s="6"/>
      <c r="Z107" s="6"/>
      <c r="AA107" s="6"/>
      <c r="AB107" s="11"/>
      <c r="AC107" s="11"/>
      <c r="AE107" s="138"/>
      <c r="AF107" s="138"/>
      <c r="AG107" s="138"/>
      <c r="AH107" s="138"/>
      <c r="AI107" s="138"/>
      <c r="AJ107" s="138"/>
      <c r="AK107" s="138"/>
      <c r="AL107" s="139"/>
    </row>
    <row r="108" spans="2:38" x14ac:dyDescent="0.25">
      <c r="B108" s="1"/>
      <c r="C108" s="5"/>
      <c r="D108" s="5"/>
      <c r="E108" s="5"/>
      <c r="F108" s="5"/>
      <c r="G108" s="5"/>
      <c r="H108" s="5"/>
      <c r="I108" s="5"/>
      <c r="J108" s="5"/>
      <c r="K108" s="5"/>
      <c r="M108" s="1"/>
      <c r="N108" s="5"/>
      <c r="O108" s="5"/>
      <c r="P108" s="5"/>
      <c r="Q108" s="5"/>
      <c r="R108" s="5"/>
      <c r="S108" s="5"/>
      <c r="T108" s="5"/>
      <c r="U108" s="5"/>
      <c r="V108" s="5"/>
      <c r="X108" s="1"/>
      <c r="Y108" s="5"/>
      <c r="Z108" s="5"/>
      <c r="AA108" s="5"/>
      <c r="AB108" s="12"/>
      <c r="AC108" s="12"/>
      <c r="AE108" s="138"/>
      <c r="AF108" s="138"/>
      <c r="AG108" s="138"/>
      <c r="AH108" s="138"/>
      <c r="AI108" s="138"/>
      <c r="AJ108" s="138"/>
      <c r="AK108" s="138"/>
      <c r="AL108" s="139"/>
    </row>
    <row r="109" spans="2:38" x14ac:dyDescent="0.25"/>
    <row r="110" spans="2:38" x14ac:dyDescent="0.25"/>
    <row r="111" spans="2:38" x14ac:dyDescent="0.25"/>
    <row r="112" spans="2:38" ht="33" customHeight="1" x14ac:dyDescent="0.25">
      <c r="B112" s="123" t="s">
        <v>31</v>
      </c>
      <c r="C112" s="8" t="s">
        <v>2</v>
      </c>
      <c r="D112" s="8" t="s">
        <v>3</v>
      </c>
      <c r="E112" s="8" t="s">
        <v>4</v>
      </c>
      <c r="F112" s="8" t="s">
        <v>5</v>
      </c>
      <c r="G112" s="8" t="s">
        <v>6</v>
      </c>
      <c r="H112" s="8" t="s">
        <v>7</v>
      </c>
      <c r="I112" s="8" t="s">
        <v>8</v>
      </c>
      <c r="J112" s="8" t="s">
        <v>9</v>
      </c>
      <c r="K112" s="8" t="s">
        <v>10</v>
      </c>
      <c r="L112" s="8" t="s">
        <v>11</v>
      </c>
      <c r="M112" s="8" t="s">
        <v>12</v>
      </c>
      <c r="N112" s="8" t="s">
        <v>13</v>
      </c>
    </row>
    <row r="113" spans="2:14" x14ac:dyDescent="0.25">
      <c r="B113" s="123"/>
      <c r="C113" s="17">
        <v>116</v>
      </c>
      <c r="D113" s="17">
        <v>143</v>
      </c>
      <c r="E113" s="17">
        <v>143</v>
      </c>
      <c r="F113" s="17">
        <v>193</v>
      </c>
      <c r="G113" s="17">
        <v>267</v>
      </c>
      <c r="H113" s="17">
        <v>513</v>
      </c>
      <c r="I113" s="17">
        <v>353</v>
      </c>
      <c r="J113" s="17">
        <v>303</v>
      </c>
      <c r="K113" s="17">
        <v>259</v>
      </c>
      <c r="L113" s="17">
        <v>228</v>
      </c>
      <c r="M113" s="17">
        <v>153</v>
      </c>
      <c r="N113" s="17">
        <v>136</v>
      </c>
    </row>
    <row r="114" spans="2:14" x14ac:dyDescent="0.25"/>
    <row r="115" spans="2:14" x14ac:dyDescent="0.25"/>
    <row r="116" spans="2:14" x14ac:dyDescent="0.25">
      <c r="B116" s="120" t="s">
        <v>32</v>
      </c>
      <c r="C116" s="120"/>
      <c r="D116" s="120"/>
      <c r="E116" s="120"/>
      <c r="F116" s="120"/>
      <c r="G116" s="120"/>
      <c r="H116" s="120"/>
      <c r="I116" s="120"/>
      <c r="J116" s="120"/>
    </row>
    <row r="117" spans="2:14" x14ac:dyDescent="0.25">
      <c r="E117" s="122"/>
      <c r="F117" s="122"/>
      <c r="G117" s="122"/>
      <c r="H117" s="122"/>
      <c r="I117" s="122"/>
      <c r="J117" s="122"/>
    </row>
    <row r="118" spans="2:14" x14ac:dyDescent="0.25">
      <c r="B118" s="33" t="s">
        <v>27</v>
      </c>
      <c r="C118" s="33" t="s">
        <v>36</v>
      </c>
      <c r="D118" s="33" t="s">
        <v>28</v>
      </c>
      <c r="E118" s="33" t="s">
        <v>33</v>
      </c>
      <c r="F118" s="33" t="s">
        <v>34</v>
      </c>
      <c r="G118" s="33" t="s">
        <v>35</v>
      </c>
      <c r="H118" s="33"/>
      <c r="I118" s="33"/>
      <c r="J118" s="33"/>
    </row>
    <row r="119" spans="2:14" x14ac:dyDescent="0.25">
      <c r="B119" s="18"/>
      <c r="C119" s="18"/>
      <c r="D119" s="18"/>
      <c r="E119" s="19"/>
      <c r="F119" s="19"/>
      <c r="G119" s="19"/>
      <c r="H119" s="19"/>
      <c r="I119" s="19"/>
      <c r="J119" s="19"/>
    </row>
    <row r="120" spans="2:14" x14ac:dyDescent="0.25">
      <c r="B120" s="18"/>
      <c r="C120" s="18"/>
      <c r="D120" s="18"/>
      <c r="E120" s="19"/>
      <c r="F120" s="19"/>
      <c r="G120" s="19"/>
      <c r="H120" s="19"/>
      <c r="I120" s="19"/>
      <c r="J120" s="19"/>
    </row>
    <row r="121" spans="2:14" x14ac:dyDescent="0.25">
      <c r="B121" s="18"/>
      <c r="C121" s="18"/>
      <c r="D121" s="18"/>
      <c r="E121" s="19"/>
      <c r="F121" s="19"/>
      <c r="G121" s="19"/>
      <c r="H121" s="19"/>
      <c r="I121" s="19"/>
      <c r="J121" s="19"/>
    </row>
    <row r="122" spans="2:14" x14ac:dyDescent="0.25">
      <c r="B122" s="18"/>
      <c r="C122" s="18"/>
      <c r="D122" s="18"/>
      <c r="E122" s="19"/>
      <c r="F122" s="19"/>
      <c r="G122" s="19"/>
      <c r="H122" s="19"/>
      <c r="I122" s="19"/>
      <c r="J122" s="19"/>
    </row>
    <row r="123" spans="2:14" x14ac:dyDescent="0.25">
      <c r="B123" s="18"/>
      <c r="C123" s="18"/>
      <c r="D123" s="18"/>
      <c r="E123" s="19"/>
      <c r="F123" s="19"/>
      <c r="G123" s="19"/>
      <c r="H123" s="19"/>
      <c r="I123" s="19"/>
      <c r="J123" s="19"/>
    </row>
    <row r="124" spans="2:14" x14ac:dyDescent="0.25">
      <c r="B124" s="18"/>
      <c r="C124" s="18"/>
      <c r="D124" s="18"/>
      <c r="E124" s="19"/>
      <c r="F124" s="19"/>
      <c r="G124" s="19"/>
      <c r="H124" s="19"/>
      <c r="I124" s="19"/>
      <c r="J124" s="19"/>
    </row>
    <row r="125" spans="2:14" x14ac:dyDescent="0.25">
      <c r="B125" s="18"/>
      <c r="C125" s="18"/>
      <c r="D125" s="18"/>
      <c r="E125" s="19"/>
      <c r="F125" s="19"/>
      <c r="G125" s="19"/>
      <c r="H125" s="19"/>
      <c r="I125" s="19"/>
      <c r="J125" s="19"/>
    </row>
    <row r="126" spans="2:14" x14ac:dyDescent="0.25">
      <c r="B126" s="18"/>
      <c r="C126" s="18"/>
      <c r="D126" s="18"/>
      <c r="E126" s="19"/>
      <c r="F126" s="19"/>
      <c r="G126" s="19"/>
      <c r="H126" s="19"/>
      <c r="I126" s="19"/>
      <c r="J126" s="19"/>
    </row>
    <row r="127" spans="2:14" x14ac:dyDescent="0.25">
      <c r="B127" s="18"/>
      <c r="C127" s="18"/>
      <c r="D127" s="18"/>
      <c r="E127" s="19"/>
      <c r="F127" s="19"/>
      <c r="G127" s="19"/>
      <c r="H127" s="19"/>
      <c r="I127" s="19"/>
      <c r="J127" s="19"/>
    </row>
    <row r="128" spans="2:14" x14ac:dyDescent="0.25">
      <c r="B128" s="18"/>
      <c r="C128" s="18"/>
      <c r="D128" s="18"/>
      <c r="E128" s="19"/>
      <c r="F128" s="19"/>
      <c r="G128" s="19"/>
      <c r="H128" s="19"/>
      <c r="I128" s="19"/>
      <c r="J128" s="19"/>
    </row>
    <row r="129" spans="1:14" x14ac:dyDescent="0.25">
      <c r="B129" s="18"/>
      <c r="C129" s="18"/>
      <c r="D129" s="18"/>
      <c r="E129" s="19"/>
      <c r="F129" s="19"/>
      <c r="G129" s="19"/>
      <c r="H129" s="19"/>
      <c r="I129" s="19"/>
      <c r="J129" s="19"/>
    </row>
    <row r="130" spans="1:14" x14ac:dyDescent="0.25">
      <c r="B130" s="18"/>
      <c r="C130" s="18"/>
      <c r="D130" s="18"/>
      <c r="E130" s="19"/>
      <c r="F130" s="19"/>
      <c r="G130" s="19"/>
      <c r="H130" s="19"/>
      <c r="I130" s="19"/>
      <c r="J130" s="19"/>
    </row>
    <row r="131" spans="1:14" x14ac:dyDescent="0.25">
      <c r="B131" s="18"/>
      <c r="C131" s="18"/>
      <c r="D131" s="18"/>
      <c r="E131" s="19"/>
      <c r="F131" s="19"/>
      <c r="G131" s="19"/>
      <c r="H131" s="19"/>
      <c r="I131" s="19"/>
      <c r="J131" s="19"/>
    </row>
    <row r="132" spans="1:14" x14ac:dyDescent="0.25">
      <c r="A132" t="s">
        <v>38</v>
      </c>
      <c r="B132" s="20">
        <v>288</v>
      </c>
      <c r="C132" s="20" t="s">
        <v>39</v>
      </c>
      <c r="D132" s="20" t="s">
        <v>37</v>
      </c>
      <c r="E132" s="21">
        <v>288</v>
      </c>
      <c r="F132" s="21"/>
      <c r="G132" s="21"/>
      <c r="H132" s="21"/>
      <c r="I132" s="21"/>
      <c r="J132" s="21"/>
    </row>
    <row r="133" spans="1:14" x14ac:dyDescent="0.25"/>
    <row r="134" spans="1:14" x14ac:dyDescent="0.25"/>
    <row r="135" spans="1:14" x14ac:dyDescent="0.25"/>
    <row r="136" spans="1:14" x14ac:dyDescent="0.25"/>
    <row r="137" spans="1:14" x14ac:dyDescent="0.25"/>
    <row r="138" spans="1:14" ht="27" customHeight="1" x14ac:dyDescent="0.25">
      <c r="B138" s="23" t="s">
        <v>29</v>
      </c>
      <c r="C138" s="8" t="s">
        <v>2</v>
      </c>
      <c r="D138" s="8" t="s">
        <v>3</v>
      </c>
      <c r="E138" s="8" t="s">
        <v>4</v>
      </c>
      <c r="F138" s="8" t="s">
        <v>5</v>
      </c>
      <c r="G138" s="8" t="s">
        <v>6</v>
      </c>
      <c r="H138" s="8" t="s">
        <v>7</v>
      </c>
      <c r="I138" s="8" t="s">
        <v>8</v>
      </c>
      <c r="J138" s="8" t="s">
        <v>9</v>
      </c>
      <c r="K138" s="8" t="s">
        <v>10</v>
      </c>
      <c r="L138" s="8" t="s">
        <v>11</v>
      </c>
      <c r="M138" s="8" t="s">
        <v>12</v>
      </c>
      <c r="N138" s="8" t="s">
        <v>13</v>
      </c>
    </row>
    <row r="139" spans="1:14" x14ac:dyDescent="0.25">
      <c r="B139" s="10">
        <v>1</v>
      </c>
      <c r="C139" s="14">
        <v>0.44939999999999997</v>
      </c>
      <c r="D139" s="14">
        <v>0.46429999999999999</v>
      </c>
      <c r="E139" s="14">
        <v>0.82140000000000002</v>
      </c>
      <c r="F139" s="14">
        <v>1</v>
      </c>
      <c r="G139" s="14">
        <v>1</v>
      </c>
      <c r="H139" s="14">
        <v>1</v>
      </c>
      <c r="I139" s="14">
        <v>1</v>
      </c>
      <c r="J139" s="14">
        <v>1</v>
      </c>
      <c r="K139" s="14">
        <v>1</v>
      </c>
      <c r="L139" s="14">
        <v>1</v>
      </c>
      <c r="M139" s="14">
        <v>0.49399999999999999</v>
      </c>
      <c r="N139" s="14">
        <v>0.44939999999999997</v>
      </c>
    </row>
    <row r="140" spans="1:14" x14ac:dyDescent="0.25">
      <c r="B140" s="10">
        <v>6</v>
      </c>
      <c r="C140" s="15">
        <v>0.94059999999999999</v>
      </c>
      <c r="D140" s="15">
        <v>0.96329999999999993</v>
      </c>
      <c r="E140" s="15">
        <v>0.97670000000000001</v>
      </c>
      <c r="F140" s="15">
        <v>1</v>
      </c>
      <c r="G140" s="15">
        <v>1</v>
      </c>
      <c r="H140" s="15">
        <v>1</v>
      </c>
      <c r="I140" s="15">
        <v>1</v>
      </c>
      <c r="J140" s="15">
        <v>1</v>
      </c>
      <c r="K140" s="15">
        <v>1</v>
      </c>
      <c r="L140" s="15">
        <v>1</v>
      </c>
      <c r="M140" s="15">
        <v>0.95819999999999994</v>
      </c>
      <c r="N140" s="15">
        <v>0.94590000000000007</v>
      </c>
    </row>
    <row r="141" spans="1:14" x14ac:dyDescent="0.25">
      <c r="B141" s="10">
        <v>7</v>
      </c>
      <c r="C141" s="15">
        <v>0.8</v>
      </c>
      <c r="D141" s="15">
        <v>0.85560000000000003</v>
      </c>
      <c r="E141" s="15">
        <v>0.91680000000000006</v>
      </c>
      <c r="F141" s="15">
        <v>1</v>
      </c>
      <c r="G141" s="15">
        <v>1</v>
      </c>
      <c r="H141" s="15">
        <v>1</v>
      </c>
      <c r="I141" s="15">
        <v>1</v>
      </c>
      <c r="J141" s="15">
        <v>1</v>
      </c>
      <c r="K141" s="15">
        <v>1</v>
      </c>
      <c r="L141" s="15">
        <v>1</v>
      </c>
      <c r="M141" s="15">
        <v>0.8</v>
      </c>
      <c r="N141" s="15">
        <v>0.8</v>
      </c>
    </row>
    <row r="142" spans="1:14" x14ac:dyDescent="0.25">
      <c r="B142" s="10">
        <v>14</v>
      </c>
      <c r="C142" s="15">
        <v>0.92059999999999997</v>
      </c>
      <c r="D142" s="15">
        <v>0.96030000000000004</v>
      </c>
      <c r="E142" s="15">
        <v>0.98019999999999996</v>
      </c>
      <c r="F142" s="15">
        <v>1</v>
      </c>
      <c r="G142" s="15">
        <v>1</v>
      </c>
      <c r="H142" s="15">
        <v>1</v>
      </c>
      <c r="I142" s="15">
        <v>1</v>
      </c>
      <c r="J142" s="15">
        <v>1</v>
      </c>
      <c r="K142" s="15">
        <v>1</v>
      </c>
      <c r="L142" s="15">
        <v>1</v>
      </c>
      <c r="M142" s="15">
        <v>0.88099999999999989</v>
      </c>
      <c r="N142" s="15">
        <v>0.90079999999999993</v>
      </c>
    </row>
    <row r="143" spans="1:14" x14ac:dyDescent="0.25">
      <c r="B143" s="10">
        <v>17</v>
      </c>
      <c r="C143" s="15">
        <v>0.77340000000000009</v>
      </c>
      <c r="D143" s="15">
        <v>0.8276</v>
      </c>
      <c r="E143" s="15">
        <v>0.87870000000000004</v>
      </c>
      <c r="F143" s="15">
        <v>0.95</v>
      </c>
      <c r="G143" s="15">
        <v>0.95</v>
      </c>
      <c r="H143" s="15">
        <v>0.95</v>
      </c>
      <c r="I143" s="15">
        <v>0.95</v>
      </c>
      <c r="J143" s="15">
        <v>0.95</v>
      </c>
      <c r="K143" s="15">
        <v>0.95</v>
      </c>
      <c r="L143" s="15">
        <v>0.95</v>
      </c>
      <c r="M143" s="15">
        <v>0.81330000000000002</v>
      </c>
      <c r="N143" s="15">
        <v>0.78839999999999999</v>
      </c>
    </row>
    <row r="144" spans="1:14" x14ac:dyDescent="0.25">
      <c r="B144" s="10">
        <v>18</v>
      </c>
      <c r="C144" s="15">
        <v>0.79920000000000002</v>
      </c>
      <c r="D144" s="15">
        <v>0.86109999999999998</v>
      </c>
      <c r="E144" s="15">
        <v>1</v>
      </c>
      <c r="F144" s="15">
        <v>1</v>
      </c>
      <c r="G144" s="15">
        <v>1</v>
      </c>
      <c r="H144" s="15">
        <v>1</v>
      </c>
      <c r="I144" s="15">
        <v>1</v>
      </c>
      <c r="J144" s="15">
        <v>1</v>
      </c>
      <c r="K144" s="15">
        <v>1</v>
      </c>
      <c r="L144" s="15">
        <v>1</v>
      </c>
      <c r="M144" s="15">
        <v>0.8448</v>
      </c>
      <c r="N144" s="15">
        <v>0.81640000000000001</v>
      </c>
    </row>
    <row r="145" spans="2:14" x14ac:dyDescent="0.25">
      <c r="B145" s="10">
        <v>24</v>
      </c>
      <c r="C145" s="15">
        <v>0.96400000000000008</v>
      </c>
      <c r="D145" s="15">
        <v>0.97239999999999993</v>
      </c>
      <c r="E145" s="15">
        <v>0.98019999999999996</v>
      </c>
      <c r="F145" s="15">
        <v>1</v>
      </c>
      <c r="G145" s="15">
        <v>1</v>
      </c>
      <c r="H145" s="15">
        <v>1</v>
      </c>
      <c r="I145" s="15">
        <v>1</v>
      </c>
      <c r="J145" s="15">
        <v>1</v>
      </c>
      <c r="K145" s="15">
        <v>1</v>
      </c>
      <c r="L145" s="15">
        <v>1</v>
      </c>
      <c r="M145" s="15">
        <v>0.97589999999999999</v>
      </c>
      <c r="N145" s="15">
        <v>0.97010000000000007</v>
      </c>
    </row>
    <row r="146" spans="2:14" x14ac:dyDescent="0.25">
      <c r="B146" s="10">
        <v>25</v>
      </c>
      <c r="C146" s="15">
        <v>0.97060000000000002</v>
      </c>
      <c r="D146" s="15">
        <v>0.97689999999999999</v>
      </c>
      <c r="E146" s="15">
        <v>0.98269999999999991</v>
      </c>
      <c r="F146" s="15">
        <v>1</v>
      </c>
      <c r="G146" s="15">
        <v>1</v>
      </c>
      <c r="H146" s="15">
        <v>1</v>
      </c>
      <c r="I146" s="15">
        <v>1</v>
      </c>
      <c r="J146" s="15">
        <v>1</v>
      </c>
      <c r="K146" s="15">
        <v>1</v>
      </c>
      <c r="L146" s="15">
        <v>1</v>
      </c>
      <c r="M146" s="15">
        <v>0.97950000000000004</v>
      </c>
      <c r="N146" s="15">
        <v>0.97510000000000008</v>
      </c>
    </row>
    <row r="147" spans="2:14" x14ac:dyDescent="0.25">
      <c r="B147" s="10">
        <v>31</v>
      </c>
      <c r="C147" s="15">
        <v>0.9042</v>
      </c>
      <c r="D147" s="15">
        <v>0.93189999999999995</v>
      </c>
      <c r="E147" s="15">
        <v>0.95739999999999992</v>
      </c>
      <c r="F147" s="15">
        <v>1</v>
      </c>
      <c r="G147" s="15">
        <v>1</v>
      </c>
      <c r="H147" s="15">
        <v>1</v>
      </c>
      <c r="I147" s="15">
        <v>1</v>
      </c>
      <c r="J147" s="15">
        <v>1</v>
      </c>
      <c r="K147" s="15">
        <v>1</v>
      </c>
      <c r="L147" s="15">
        <v>1</v>
      </c>
      <c r="M147" s="15">
        <v>0.94340000000000002</v>
      </c>
      <c r="N147" s="15">
        <v>0.9244</v>
      </c>
    </row>
    <row r="148" spans="2:14" x14ac:dyDescent="0.25">
      <c r="B148" s="10">
        <v>33</v>
      </c>
      <c r="C148" s="15">
        <v>0.78029999999999999</v>
      </c>
      <c r="D148" s="15">
        <v>0.84840000000000004</v>
      </c>
      <c r="E148" s="15">
        <v>0.92</v>
      </c>
      <c r="F148" s="15">
        <v>1</v>
      </c>
      <c r="G148" s="15">
        <v>1</v>
      </c>
      <c r="H148" s="15">
        <v>1</v>
      </c>
      <c r="I148" s="15">
        <v>1</v>
      </c>
      <c r="J148" s="15">
        <v>1</v>
      </c>
      <c r="K148" s="15">
        <v>1</v>
      </c>
      <c r="L148" s="15">
        <v>1</v>
      </c>
      <c r="M148" s="15">
        <v>0.83069999999999988</v>
      </c>
      <c r="N148" s="15">
        <v>0.74129999999999996</v>
      </c>
    </row>
    <row r="149" spans="2:14" x14ac:dyDescent="0.25">
      <c r="B149" s="10">
        <v>37</v>
      </c>
      <c r="C149" s="15">
        <v>0.53620000000000001</v>
      </c>
      <c r="D149" s="15">
        <v>0.69599999999999995</v>
      </c>
      <c r="E149" s="15">
        <v>0.86360000000000003</v>
      </c>
      <c r="F149" s="15">
        <v>0.94930000000000003</v>
      </c>
      <c r="G149" s="15">
        <v>0.96489999999999998</v>
      </c>
      <c r="H149" s="15">
        <v>1</v>
      </c>
      <c r="I149" s="15">
        <v>1</v>
      </c>
      <c r="J149" s="15">
        <v>1</v>
      </c>
      <c r="K149" s="15">
        <v>1</v>
      </c>
      <c r="L149" s="15">
        <v>1</v>
      </c>
      <c r="M149" s="15">
        <v>0.9104000000000001</v>
      </c>
      <c r="N149" s="15">
        <v>0.77400000000000002</v>
      </c>
    </row>
    <row r="150" spans="2:14" x14ac:dyDescent="0.25">
      <c r="B150" s="10">
        <v>40</v>
      </c>
      <c r="C150" s="15">
        <v>0.7</v>
      </c>
      <c r="D150" s="15">
        <v>0.8909999999999999</v>
      </c>
      <c r="E150" s="15">
        <v>0.97</v>
      </c>
      <c r="F150" s="15">
        <v>1</v>
      </c>
      <c r="G150" s="15">
        <v>1</v>
      </c>
      <c r="H150" s="15">
        <v>1</v>
      </c>
      <c r="I150" s="15">
        <v>1</v>
      </c>
      <c r="J150" s="15">
        <v>1</v>
      </c>
      <c r="K150" s="15">
        <v>1</v>
      </c>
      <c r="L150" s="15">
        <v>1</v>
      </c>
      <c r="M150" s="15">
        <v>0.87829999999999997</v>
      </c>
      <c r="N150" s="15">
        <v>0.55359999999999998</v>
      </c>
    </row>
    <row r="151" spans="2:14" x14ac:dyDescent="0.25">
      <c r="B151" s="10">
        <v>44</v>
      </c>
      <c r="C151" s="15">
        <v>0.45829999999999999</v>
      </c>
      <c r="D151" s="15">
        <v>0.56789999999999996</v>
      </c>
      <c r="E151" s="15">
        <v>0.91</v>
      </c>
      <c r="F151" s="15">
        <v>1</v>
      </c>
      <c r="G151" s="15">
        <v>1</v>
      </c>
      <c r="H151" s="15">
        <v>1</v>
      </c>
      <c r="I151" s="15">
        <v>1</v>
      </c>
      <c r="J151" s="15">
        <v>1</v>
      </c>
      <c r="K151" s="15">
        <v>1</v>
      </c>
      <c r="L151" s="15">
        <v>1</v>
      </c>
      <c r="M151" s="15">
        <v>0.47759999999999997</v>
      </c>
      <c r="N151" s="15">
        <v>0.45829999999999999</v>
      </c>
    </row>
    <row r="152" spans="2:14" x14ac:dyDescent="0.25">
      <c r="B152" s="10">
        <v>47</v>
      </c>
      <c r="C152" s="15">
        <v>0.85780000000000001</v>
      </c>
      <c r="D152" s="15">
        <v>0.8831</v>
      </c>
      <c r="E152" s="15">
        <v>1</v>
      </c>
      <c r="F152" s="15">
        <v>1</v>
      </c>
      <c r="G152" s="15">
        <v>0.85470000000000002</v>
      </c>
      <c r="H152" s="15">
        <v>0.92420000000000002</v>
      </c>
      <c r="I152" s="15">
        <v>0.95889999999999997</v>
      </c>
      <c r="J152" s="15">
        <v>0.99370000000000003</v>
      </c>
      <c r="K152" s="15">
        <v>0.9323999999999999</v>
      </c>
      <c r="L152" s="15">
        <v>1</v>
      </c>
      <c r="M152" s="15">
        <v>1</v>
      </c>
      <c r="N152" s="15">
        <v>0.88090000000000002</v>
      </c>
    </row>
    <row r="153" spans="2:14" x14ac:dyDescent="0.25">
      <c r="B153" s="10">
        <v>49</v>
      </c>
      <c r="C153" s="15">
        <v>0.77510000000000001</v>
      </c>
      <c r="D153" s="15">
        <v>0.96050000000000002</v>
      </c>
      <c r="E153" s="15">
        <v>1</v>
      </c>
      <c r="F153" s="15">
        <v>1</v>
      </c>
      <c r="G153" s="15">
        <v>0.86849999999999994</v>
      </c>
      <c r="H153" s="15">
        <v>0.9244</v>
      </c>
      <c r="I153" s="15">
        <v>0.96709999999999996</v>
      </c>
      <c r="J153" s="15">
        <v>1</v>
      </c>
      <c r="K153" s="15">
        <v>0.93230000000000002</v>
      </c>
      <c r="L153" s="15">
        <v>1</v>
      </c>
      <c r="M153" s="15">
        <v>1</v>
      </c>
      <c r="N153" s="15">
        <v>0.88060000000000005</v>
      </c>
    </row>
    <row r="154" spans="2:14" x14ac:dyDescent="0.25">
      <c r="B154" s="10">
        <v>61</v>
      </c>
      <c r="C154" s="15">
        <v>0.83400000000000007</v>
      </c>
      <c r="D154" s="15">
        <v>0.96069999999999989</v>
      </c>
      <c r="E154" s="15">
        <v>1</v>
      </c>
      <c r="F154" s="15">
        <v>1</v>
      </c>
      <c r="G154" s="15">
        <v>1</v>
      </c>
      <c r="H154" s="15">
        <v>1</v>
      </c>
      <c r="I154" s="15">
        <v>1</v>
      </c>
      <c r="J154" s="15">
        <v>1</v>
      </c>
      <c r="K154" s="15">
        <v>1</v>
      </c>
      <c r="L154" s="15">
        <v>1</v>
      </c>
      <c r="M154" s="15">
        <v>1</v>
      </c>
      <c r="N154" s="15">
        <v>0.83400000000000007</v>
      </c>
    </row>
    <row r="155" spans="2:14" x14ac:dyDescent="0.25">
      <c r="B155" s="10">
        <v>77</v>
      </c>
      <c r="C155" s="15">
        <v>1</v>
      </c>
      <c r="D155" s="15">
        <v>1</v>
      </c>
      <c r="E155" s="15">
        <v>1</v>
      </c>
      <c r="F155" s="15">
        <v>1</v>
      </c>
      <c r="G155" s="15">
        <v>0.9587</v>
      </c>
      <c r="H155" s="15">
        <v>0.9587</v>
      </c>
      <c r="I155" s="15">
        <v>1</v>
      </c>
      <c r="J155" s="15">
        <v>1</v>
      </c>
      <c r="K155" s="15">
        <v>1</v>
      </c>
      <c r="L155" s="15">
        <v>1</v>
      </c>
      <c r="M155" s="15">
        <v>1</v>
      </c>
      <c r="N155" s="15">
        <v>1</v>
      </c>
    </row>
    <row r="156" spans="2:14" x14ac:dyDescent="0.25">
      <c r="B156" s="10">
        <v>111</v>
      </c>
      <c r="C156" s="15">
        <v>0.90170000000000006</v>
      </c>
      <c r="D156" s="15">
        <v>0.90170000000000006</v>
      </c>
      <c r="E156" s="15">
        <v>0.90170000000000006</v>
      </c>
      <c r="F156" s="15">
        <v>0.87790000000000001</v>
      </c>
      <c r="G156" s="15">
        <v>0.89280000000000004</v>
      </c>
      <c r="H156" s="15">
        <v>0.89280000000000004</v>
      </c>
      <c r="I156" s="15">
        <v>0.89280000000000004</v>
      </c>
      <c r="J156" s="15">
        <v>0.89280000000000004</v>
      </c>
      <c r="K156" s="15">
        <v>0.89280000000000004</v>
      </c>
      <c r="L156" s="15">
        <v>0.88680000000000003</v>
      </c>
      <c r="M156" s="15">
        <v>0.90170000000000006</v>
      </c>
      <c r="N156" s="15">
        <v>0.90170000000000006</v>
      </c>
    </row>
    <row r="157" spans="2:14" x14ac:dyDescent="0.25">
      <c r="B157" s="10">
        <v>122</v>
      </c>
      <c r="C157" s="15">
        <v>0.92110000000000003</v>
      </c>
      <c r="D157" s="15">
        <v>0.94739999999999991</v>
      </c>
      <c r="E157" s="15">
        <v>1</v>
      </c>
      <c r="F157" s="15">
        <v>1</v>
      </c>
      <c r="G157" s="15">
        <v>1</v>
      </c>
      <c r="H157" s="15">
        <v>1</v>
      </c>
      <c r="I157" s="15">
        <v>1</v>
      </c>
      <c r="J157" s="15">
        <v>1</v>
      </c>
      <c r="K157" s="15">
        <v>1</v>
      </c>
      <c r="L157" s="15">
        <v>1</v>
      </c>
      <c r="M157" s="15">
        <v>1</v>
      </c>
      <c r="N157" s="15">
        <v>0.92110000000000003</v>
      </c>
    </row>
    <row r="158" spans="2:14" x14ac:dyDescent="0.25">
      <c r="B158" s="10">
        <v>123</v>
      </c>
      <c r="C158" s="15">
        <v>0.58750000000000002</v>
      </c>
      <c r="D158" s="15">
        <v>0.67</v>
      </c>
      <c r="E158" s="15">
        <v>0.80200000000000005</v>
      </c>
      <c r="F158" s="15">
        <v>1</v>
      </c>
      <c r="G158" s="15">
        <v>1</v>
      </c>
      <c r="H158" s="15">
        <v>1</v>
      </c>
      <c r="I158" s="15">
        <v>1</v>
      </c>
      <c r="J158" s="15">
        <v>1</v>
      </c>
      <c r="K158" s="15">
        <v>1</v>
      </c>
      <c r="L158" s="15">
        <v>0.95050000000000001</v>
      </c>
      <c r="M158" s="15">
        <v>0.73599999999999999</v>
      </c>
      <c r="N158" s="15">
        <v>0.53799999999999992</v>
      </c>
    </row>
    <row r="159" spans="2:14" x14ac:dyDescent="0.25">
      <c r="B159" s="10">
        <v>148</v>
      </c>
      <c r="C159" s="15">
        <v>0.9133</v>
      </c>
      <c r="D159" s="15">
        <v>0.94310000000000005</v>
      </c>
      <c r="E159" s="15">
        <v>0.96479999999999999</v>
      </c>
      <c r="F159" s="15">
        <v>1</v>
      </c>
      <c r="G159" s="15">
        <v>1</v>
      </c>
      <c r="H159" s="15">
        <v>1</v>
      </c>
      <c r="I159" s="15">
        <v>1</v>
      </c>
      <c r="J159" s="15">
        <v>1</v>
      </c>
      <c r="K159" s="15">
        <v>1</v>
      </c>
      <c r="L159" s="15">
        <v>0.94040000000000001</v>
      </c>
      <c r="M159" s="15">
        <v>0.94040000000000001</v>
      </c>
      <c r="N159" s="15">
        <v>0.88890000000000002</v>
      </c>
    </row>
    <row r="160" spans="2:14" x14ac:dyDescent="0.25">
      <c r="B160" s="10">
        <v>156</v>
      </c>
      <c r="C160" s="15">
        <v>0.96400000000000008</v>
      </c>
      <c r="D160" s="15">
        <v>0.92930000000000001</v>
      </c>
      <c r="E160" s="15">
        <v>1</v>
      </c>
      <c r="F160" s="15">
        <v>1</v>
      </c>
      <c r="G160" s="15">
        <v>1</v>
      </c>
      <c r="H160" s="15">
        <v>1</v>
      </c>
      <c r="I160" s="15">
        <v>1</v>
      </c>
      <c r="J160" s="15">
        <v>1</v>
      </c>
      <c r="K160" s="15">
        <v>1</v>
      </c>
      <c r="L160" s="15">
        <v>0.96599999999999997</v>
      </c>
      <c r="M160" s="15">
        <v>0.94169999999999998</v>
      </c>
      <c r="N160" s="15">
        <v>0.94499999999999995</v>
      </c>
    </row>
    <row r="161" spans="2:14" x14ac:dyDescent="0.25">
      <c r="B161" s="10">
        <v>162</v>
      </c>
      <c r="C161" s="15">
        <v>0.76890000000000003</v>
      </c>
      <c r="D161" s="15">
        <v>0.84589999999999999</v>
      </c>
      <c r="E161" s="15">
        <v>0.89729999999999999</v>
      </c>
      <c r="F161" s="15">
        <v>0.97430000000000005</v>
      </c>
      <c r="G161" s="15">
        <v>1</v>
      </c>
      <c r="H161" s="15">
        <v>1</v>
      </c>
      <c r="I161" s="15">
        <v>1</v>
      </c>
      <c r="J161" s="15">
        <v>1</v>
      </c>
      <c r="K161" s="15">
        <v>1</v>
      </c>
      <c r="L161" s="15">
        <v>0.79459999999999997</v>
      </c>
      <c r="M161" s="15">
        <v>0.69189999999999996</v>
      </c>
      <c r="N161" s="15">
        <v>0.77800000000000002</v>
      </c>
    </row>
    <row r="162" spans="2:14" x14ac:dyDescent="0.25">
      <c r="B162" s="10">
        <v>169</v>
      </c>
      <c r="C162" s="15">
        <v>0.77800000000000002</v>
      </c>
      <c r="D162" s="15">
        <v>0.77800000000000002</v>
      </c>
      <c r="E162" s="15">
        <v>0.77800000000000002</v>
      </c>
      <c r="F162" s="15">
        <v>0.77239999999999998</v>
      </c>
      <c r="G162" s="15">
        <v>1</v>
      </c>
      <c r="H162" s="15">
        <v>1</v>
      </c>
      <c r="I162" s="15">
        <v>1</v>
      </c>
      <c r="J162" s="15">
        <v>1</v>
      </c>
      <c r="K162" s="15">
        <v>1</v>
      </c>
      <c r="L162" s="15">
        <v>0.8640000000000001</v>
      </c>
      <c r="M162" s="15">
        <v>0.78500000000000003</v>
      </c>
      <c r="N162" s="15">
        <v>0.71760000000000002</v>
      </c>
    </row>
    <row r="163" spans="2:14" x14ac:dyDescent="0.25">
      <c r="B163" s="10">
        <v>172</v>
      </c>
      <c r="C163" s="15">
        <v>0.60740000000000005</v>
      </c>
      <c r="D163" s="15">
        <v>0.60740000000000005</v>
      </c>
      <c r="E163" s="15">
        <v>0.66180000000000005</v>
      </c>
      <c r="F163" s="15">
        <v>0.99010000000000009</v>
      </c>
      <c r="G163" s="15">
        <v>1</v>
      </c>
      <c r="H163" s="15">
        <v>1</v>
      </c>
      <c r="I163" s="15">
        <v>1</v>
      </c>
      <c r="J163" s="15">
        <v>1</v>
      </c>
      <c r="K163" s="15">
        <v>1</v>
      </c>
      <c r="L163" s="15">
        <v>0.86159999999999992</v>
      </c>
      <c r="M163" s="15">
        <v>0.60740000000000005</v>
      </c>
      <c r="N163" s="15">
        <v>0.60740000000000005</v>
      </c>
    </row>
    <row r="164" spans="2:14" x14ac:dyDescent="0.25">
      <c r="B164" s="10">
        <v>190</v>
      </c>
      <c r="C164" s="15">
        <v>0.62869999999999993</v>
      </c>
      <c r="D164" s="15">
        <v>0.62869999999999993</v>
      </c>
      <c r="E164" s="15">
        <v>0.62869999999999993</v>
      </c>
      <c r="F164" s="15">
        <v>0.65480000000000005</v>
      </c>
      <c r="G164" s="15">
        <v>1</v>
      </c>
      <c r="H164" s="15">
        <v>1</v>
      </c>
      <c r="I164" s="15">
        <v>1</v>
      </c>
      <c r="J164" s="15">
        <v>1</v>
      </c>
      <c r="K164" s="15">
        <v>1</v>
      </c>
      <c r="L164" s="15">
        <v>1</v>
      </c>
      <c r="M164" s="15">
        <v>0.64959999999999996</v>
      </c>
      <c r="N164" s="15">
        <v>0.6391</v>
      </c>
    </row>
    <row r="165" spans="2:14" x14ac:dyDescent="0.25">
      <c r="B165" s="10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</row>
    <row r="166" spans="2:14" x14ac:dyDescent="0.25">
      <c r="B166" s="10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</row>
    <row r="167" spans="2:14" x14ac:dyDescent="0.25">
      <c r="B167" s="10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</row>
    <row r="168" spans="2:14" x14ac:dyDescent="0.25">
      <c r="B168" s="10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</row>
    <row r="169" spans="2:14" x14ac:dyDescent="0.25">
      <c r="B169" s="10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</row>
    <row r="170" spans="2:14" x14ac:dyDescent="0.25">
      <c r="B170" s="10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</row>
    <row r="171" spans="2:14" x14ac:dyDescent="0.25">
      <c r="B171" s="10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</row>
    <row r="172" spans="2:14" x14ac:dyDescent="0.25"/>
    <row r="173" spans="2:14" x14ac:dyDescent="0.25"/>
    <row r="174" spans="2:14" x14ac:dyDescent="0.25">
      <c r="B174" s="24"/>
    </row>
    <row r="175" spans="2:14" x14ac:dyDescent="0.25"/>
    <row r="176" spans="2:14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</sheetData>
  <mergeCells count="24">
    <mergeCell ref="AE33:AK33"/>
    <mergeCell ref="B116:J116"/>
    <mergeCell ref="E117:F117"/>
    <mergeCell ref="G117:H117"/>
    <mergeCell ref="I117:J117"/>
    <mergeCell ref="B112:B113"/>
    <mergeCell ref="X33:AC33"/>
    <mergeCell ref="F34:G34"/>
    <mergeCell ref="H34:I34"/>
    <mergeCell ref="J34:K34"/>
    <mergeCell ref="Q34:R34"/>
    <mergeCell ref="S34:T34"/>
    <mergeCell ref="U34:V34"/>
    <mergeCell ref="B33:K33"/>
    <mergeCell ref="M33:V33"/>
    <mergeCell ref="C10:O10"/>
    <mergeCell ref="C8:O8"/>
    <mergeCell ref="C9:O9"/>
    <mergeCell ref="B2:O2"/>
    <mergeCell ref="C4:O4"/>
    <mergeCell ref="C3:O3"/>
    <mergeCell ref="C5:O5"/>
    <mergeCell ref="C6:O6"/>
    <mergeCell ref="C7:O7"/>
  </mergeCells>
  <dataValidations count="2">
    <dataValidation type="list" errorStyle="warning" allowBlank="1" showErrorMessage="1" sqref="C119:C132">
      <formula1>"ALTEFE,COFEVA,COTARE,COTVAZ,COTVOL,DESVIO,JUSENA,JUSMED,NCHAVE,NOMEUH,NUMBAS,NUMCON,NUMJUS,NUMMAQ,NUMPOS,PERHID,POTEFE,PROESP,TIPERH,TIPTUR,TIPUSI,VAZCCF,VAZEFE,VAZMIN,VERTJU,VMDESV,VOLMAX,VOLMIN,VSVERT"</formula1>
    </dataValidation>
    <dataValidation type="list" showInputMessage="1" showErrorMessage="1" sqref="B14">
      <formula1>"REE,MERCADO"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B1:XFD363"/>
  <sheetViews>
    <sheetView showGridLines="0" zoomScale="80" zoomScaleNormal="80" workbookViewId="0">
      <selection activeCell="D22" sqref="D22"/>
    </sheetView>
  </sheetViews>
  <sheetFormatPr defaultRowHeight="15" x14ac:dyDescent="0.25"/>
  <cols>
    <col min="1" max="1" width="4.140625" style="75" customWidth="1"/>
    <col min="2" max="2" width="31.5703125" style="75" bestFit="1" customWidth="1"/>
    <col min="3" max="3" width="17.28515625" style="75" customWidth="1"/>
    <col min="4" max="4" width="11.5703125" style="75" customWidth="1"/>
    <col min="5" max="5" width="11.42578125" style="75" customWidth="1"/>
    <col min="6" max="14" width="10.5703125" style="75" customWidth="1"/>
    <col min="15" max="16" width="9.140625" style="75"/>
    <col min="17" max="17" width="23.7109375" style="75" customWidth="1"/>
    <col min="18" max="16384" width="9.140625" style="75"/>
  </cols>
  <sheetData>
    <row r="1" spans="2:5 16384:16384" ht="44.25" customHeight="1" x14ac:dyDescent="0.25"/>
    <row r="3" spans="2:5 16384:16384" ht="18.75" x14ac:dyDescent="0.3">
      <c r="B3" s="26" t="s">
        <v>125</v>
      </c>
      <c r="C3" s="31" t="s">
        <v>127</v>
      </c>
      <c r="D3"/>
      <c r="E3"/>
    </row>
    <row r="4" spans="2:5 16384:16384" ht="18.75" x14ac:dyDescent="0.3">
      <c r="B4" s="26" t="s">
        <v>47</v>
      </c>
      <c r="C4" s="131" t="str">
        <f>CONCATENATE(C3,"_",TEXT(O38*100,"000"),"_",TEXT(O39*100,"000"),"_",TEXT(O40*100,"000"),"_",TEXT(O41*100,"000"))</f>
        <v>DC_100_100_100_100</v>
      </c>
      <c r="D4" s="131"/>
      <c r="E4"/>
    </row>
    <row r="7" spans="2:5 16384:16384" ht="6.75" hidden="1" customHeight="1" x14ac:dyDescent="0.25"/>
    <row r="8" spans="2:5 16384:16384" ht="6.75" hidden="1" customHeight="1" x14ac:dyDescent="0.25">
      <c r="XFD8" s="8"/>
    </row>
    <row r="9" spans="2:5 16384:16384" ht="6.75" hidden="1" customHeight="1" x14ac:dyDescent="0.25"/>
    <row r="10" spans="2:5 16384:16384" ht="6.75" hidden="1" customHeight="1" x14ac:dyDescent="0.25"/>
    <row r="11" spans="2:5 16384:16384" ht="6.75" hidden="1" customHeight="1" x14ac:dyDescent="0.25"/>
    <row r="12" spans="2:5 16384:16384" ht="6.75" hidden="1" customHeight="1" x14ac:dyDescent="0.25"/>
    <row r="13" spans="2:5 16384:16384" ht="6.75" hidden="1" customHeight="1" x14ac:dyDescent="0.25"/>
    <row r="14" spans="2:5 16384:16384" ht="6.75" hidden="1" customHeight="1" x14ac:dyDescent="0.25"/>
    <row r="15" spans="2:5 16384:16384" ht="6.75" hidden="1" customHeight="1" x14ac:dyDescent="0.25"/>
    <row r="16" spans="2:5 16384:16384" ht="6.75" hidden="1" customHeight="1" x14ac:dyDescent="0.25"/>
    <row r="17" spans="2:24" ht="6.75" hidden="1" customHeight="1" x14ac:dyDescent="0.25"/>
    <row r="18" spans="2:24" ht="6.75" hidden="1" customHeight="1" x14ac:dyDescent="0.25"/>
    <row r="19" spans="2:24" ht="6.75" hidden="1" customHeight="1" x14ac:dyDescent="0.25">
      <c r="P19" s="76"/>
      <c r="Q19" s="76"/>
      <c r="R19" s="76"/>
      <c r="S19" s="76"/>
    </row>
    <row r="20" spans="2:24" ht="6.75" hidden="1" customHeight="1" x14ac:dyDescent="0.25">
      <c r="P20" s="76"/>
      <c r="Q20" s="76"/>
      <c r="R20" s="76"/>
      <c r="S20" s="76"/>
    </row>
    <row r="21" spans="2:24" x14ac:dyDescent="0.25">
      <c r="P21" s="76"/>
      <c r="Q21" s="76"/>
      <c r="R21" s="76"/>
      <c r="S21" s="76"/>
    </row>
    <row r="22" spans="2:24" x14ac:dyDescent="0.25">
      <c r="P22" s="76"/>
      <c r="Q22" s="76"/>
      <c r="R22" s="76"/>
      <c r="S22" s="76"/>
    </row>
    <row r="23" spans="2:24" x14ac:dyDescent="0.25">
      <c r="P23" s="76"/>
      <c r="Q23" s="76"/>
      <c r="R23" s="76"/>
      <c r="S23" s="76"/>
    </row>
    <row r="24" spans="2:24" ht="15.75" thickBot="1" x14ac:dyDescent="0.3">
      <c r="P24" s="76"/>
      <c r="Q24" s="76"/>
      <c r="R24" s="76"/>
      <c r="S24" s="76"/>
    </row>
    <row r="25" spans="2:24" ht="15.75" thickBot="1" x14ac:dyDescent="0.3">
      <c r="B25" s="128" t="s">
        <v>50</v>
      </c>
      <c r="C25" s="129"/>
      <c r="D25" s="55" t="s">
        <v>2</v>
      </c>
      <c r="E25" s="55" t="s">
        <v>3</v>
      </c>
      <c r="F25" s="55" t="s">
        <v>4</v>
      </c>
      <c r="G25" s="55" t="s">
        <v>5</v>
      </c>
      <c r="H25" s="55" t="s">
        <v>6</v>
      </c>
      <c r="I25" s="55" t="s">
        <v>7</v>
      </c>
      <c r="J25" s="55" t="s">
        <v>8</v>
      </c>
      <c r="K25" s="55" t="s">
        <v>9</v>
      </c>
      <c r="L25" s="55" t="s">
        <v>10</v>
      </c>
      <c r="M25" s="55" t="s">
        <v>11</v>
      </c>
      <c r="N25" s="55" t="s">
        <v>12</v>
      </c>
      <c r="O25" s="56" t="s">
        <v>13</v>
      </c>
      <c r="P25" s="76"/>
      <c r="Q25" s="76"/>
      <c r="R25" s="76"/>
      <c r="S25" s="76"/>
    </row>
    <row r="26" spans="2:24" x14ac:dyDescent="0.25">
      <c r="B26" s="25" t="s">
        <v>46</v>
      </c>
      <c r="C26" s="5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9"/>
      <c r="P26" s="76"/>
      <c r="Q26" s="81" t="s">
        <v>119</v>
      </c>
      <c r="R26" s="82"/>
      <c r="S26" s="82"/>
      <c r="T26" s="82"/>
    </row>
    <row r="27" spans="2:24" x14ac:dyDescent="0.25">
      <c r="B27" s="88" t="s">
        <v>40</v>
      </c>
      <c r="C27" s="58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1"/>
    </row>
    <row r="28" spans="2:24" x14ac:dyDescent="0.25">
      <c r="B28" s="89" t="s">
        <v>41</v>
      </c>
      <c r="C28" s="58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1"/>
    </row>
    <row r="29" spans="2:24" ht="15.75" thickBot="1" x14ac:dyDescent="0.3">
      <c r="B29" s="90" t="s">
        <v>42</v>
      </c>
      <c r="C29" s="59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3"/>
    </row>
    <row r="30" spans="2:24" ht="15.75" thickBot="1" x14ac:dyDescent="0.3">
      <c r="W30" s="130" t="s">
        <v>126</v>
      </c>
      <c r="X30" s="130"/>
    </row>
    <row r="31" spans="2:24" ht="15.75" thickBot="1" x14ac:dyDescent="0.3">
      <c r="B31" s="91" t="s">
        <v>55</v>
      </c>
      <c r="C31" s="108"/>
      <c r="D31" s="55" t="s">
        <v>2</v>
      </c>
      <c r="E31" s="55" t="s">
        <v>3</v>
      </c>
      <c r="F31" s="55" t="s">
        <v>4</v>
      </c>
      <c r="G31" s="55" t="s">
        <v>5</v>
      </c>
      <c r="H31" s="55" t="s">
        <v>6</v>
      </c>
      <c r="I31" s="55" t="s">
        <v>7</v>
      </c>
      <c r="J31" s="55" t="s">
        <v>8</v>
      </c>
      <c r="K31" s="55" t="s">
        <v>9</v>
      </c>
      <c r="L31" s="55" t="s">
        <v>10</v>
      </c>
      <c r="M31" s="55" t="s">
        <v>11</v>
      </c>
      <c r="N31" s="55" t="s">
        <v>12</v>
      </c>
      <c r="O31" s="56" t="s">
        <v>13</v>
      </c>
      <c r="P31" s="102"/>
      <c r="Q31" s="92"/>
      <c r="R31" s="93"/>
      <c r="S31" s="105"/>
      <c r="T31" s="92"/>
      <c r="U31" s="98"/>
      <c r="V31" s="105"/>
      <c r="W31" s="55" t="s">
        <v>19</v>
      </c>
      <c r="X31" s="56" t="s">
        <v>20</v>
      </c>
    </row>
    <row r="32" spans="2:24" x14ac:dyDescent="0.25">
      <c r="B32" s="25" t="s">
        <v>46</v>
      </c>
      <c r="C32" s="95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57"/>
      <c r="P32" s="103"/>
      <c r="Q32" s="94"/>
      <c r="R32" s="95"/>
      <c r="S32" s="106"/>
      <c r="T32" s="94"/>
      <c r="U32" s="99"/>
      <c r="V32" s="25" t="s">
        <v>46</v>
      </c>
      <c r="W32" s="110">
        <v>0</v>
      </c>
      <c r="X32" s="111">
        <v>0</v>
      </c>
    </row>
    <row r="33" spans="2:24" ht="15.75" thickBot="1" x14ac:dyDescent="0.3">
      <c r="B33" s="88" t="s">
        <v>40</v>
      </c>
      <c r="C33" s="95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8"/>
      <c r="P33" s="103"/>
      <c r="Q33" s="94"/>
      <c r="R33" s="95"/>
      <c r="S33" s="106"/>
      <c r="T33" s="94"/>
      <c r="U33" s="99"/>
      <c r="V33" s="88" t="s">
        <v>40</v>
      </c>
      <c r="W33" s="112">
        <v>0</v>
      </c>
      <c r="X33" s="113">
        <v>0</v>
      </c>
    </row>
    <row r="34" spans="2:24" ht="15.75" thickBot="1" x14ac:dyDescent="0.3">
      <c r="B34" s="89" t="s">
        <v>41</v>
      </c>
      <c r="C34" s="95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8"/>
      <c r="P34" s="103"/>
      <c r="Q34" s="96" t="s">
        <v>52</v>
      </c>
      <c r="R34" s="116">
        <v>0</v>
      </c>
      <c r="S34" s="106"/>
      <c r="T34" s="94"/>
      <c r="U34" s="99"/>
      <c r="V34" s="89" t="s">
        <v>41</v>
      </c>
      <c r="W34" s="112">
        <v>0</v>
      </c>
      <c r="X34" s="113">
        <v>0</v>
      </c>
    </row>
    <row r="35" spans="2:24" ht="15.75" thickBot="1" x14ac:dyDescent="0.3">
      <c r="B35" s="90" t="s">
        <v>42</v>
      </c>
      <c r="C35" s="10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30"/>
      <c r="P35" s="104"/>
      <c r="Q35" s="97" t="s">
        <v>53</v>
      </c>
      <c r="R35" s="115">
        <v>0</v>
      </c>
      <c r="S35" s="107"/>
      <c r="T35" s="100"/>
      <c r="U35" s="101"/>
      <c r="V35" s="90" t="s">
        <v>42</v>
      </c>
      <c r="W35" s="114">
        <v>0</v>
      </c>
      <c r="X35" s="115">
        <v>0</v>
      </c>
    </row>
    <row r="36" spans="2:24" ht="15.75" thickBot="1" x14ac:dyDescent="0.3"/>
    <row r="37" spans="2:24" ht="15.75" thickBot="1" x14ac:dyDescent="0.3">
      <c r="B37" s="128" t="s">
        <v>51</v>
      </c>
      <c r="C37" s="129"/>
      <c r="D37" s="55" t="s">
        <v>2</v>
      </c>
      <c r="E37" s="55" t="s">
        <v>3</v>
      </c>
      <c r="F37" s="55" t="s">
        <v>4</v>
      </c>
      <c r="G37" s="55" t="s">
        <v>5</v>
      </c>
      <c r="H37" s="55" t="s">
        <v>6</v>
      </c>
      <c r="I37" s="55" t="s">
        <v>7</v>
      </c>
      <c r="J37" s="55" t="s">
        <v>8</v>
      </c>
      <c r="K37" s="55" t="s">
        <v>9</v>
      </c>
      <c r="L37" s="55" t="s">
        <v>10</v>
      </c>
      <c r="M37" s="55" t="s">
        <v>11</v>
      </c>
      <c r="N37" s="55" t="s">
        <v>12</v>
      </c>
      <c r="O37" s="56" t="s">
        <v>13</v>
      </c>
    </row>
    <row r="38" spans="2:24" x14ac:dyDescent="0.25">
      <c r="B38" s="132" t="s">
        <v>46</v>
      </c>
      <c r="C38" s="133"/>
      <c r="D38" s="42">
        <v>0.99999144278922825</v>
      </c>
      <c r="E38" s="42">
        <v>0.99995622706458442</v>
      </c>
      <c r="F38" s="42">
        <v>1.0000049568157738</v>
      </c>
      <c r="G38" s="42">
        <v>0.99994216076897657</v>
      </c>
      <c r="H38" s="42">
        <v>1.0000471150088937</v>
      </c>
      <c r="I38" s="42">
        <v>1.0000753198879435</v>
      </c>
      <c r="J38" s="42">
        <v>0.99995883936025953</v>
      </c>
      <c r="K38" s="42">
        <v>0.99994543131368563</v>
      </c>
      <c r="L38" s="42">
        <v>1.0000095547020507</v>
      </c>
      <c r="M38" s="42">
        <v>0.99996783510661302</v>
      </c>
      <c r="N38" s="42">
        <v>0.99977817395014201</v>
      </c>
      <c r="O38" s="43">
        <v>1.0000817017870012</v>
      </c>
    </row>
    <row r="39" spans="2:24" x14ac:dyDescent="0.25">
      <c r="B39" s="134" t="s">
        <v>40</v>
      </c>
      <c r="C39" s="135"/>
      <c r="D39" s="44">
        <v>0.99983291183716883</v>
      </c>
      <c r="E39" s="44">
        <v>0.99986502813204903</v>
      </c>
      <c r="F39" s="44">
        <v>0.99994202451821856</v>
      </c>
      <c r="G39" s="44">
        <v>1.0001835439129683</v>
      </c>
      <c r="H39" s="44">
        <v>0.99992123083099071</v>
      </c>
      <c r="I39" s="44">
        <v>1.0001402728785382</v>
      </c>
      <c r="J39" s="44">
        <v>1.0000315028647735</v>
      </c>
      <c r="K39" s="44">
        <v>0.99992701580233656</v>
      </c>
      <c r="L39" s="44">
        <v>0.999955730614699</v>
      </c>
      <c r="M39" s="44">
        <v>0.9999775445355612</v>
      </c>
      <c r="N39" s="44">
        <v>0.99952137985441902</v>
      </c>
      <c r="O39" s="45">
        <v>1.0004794929699863</v>
      </c>
    </row>
    <row r="40" spans="2:24" x14ac:dyDescent="0.25">
      <c r="B40" s="124" t="s">
        <v>41</v>
      </c>
      <c r="C40" s="125"/>
      <c r="D40" s="44">
        <v>1.0000866098915708</v>
      </c>
      <c r="E40" s="44">
        <v>0.99998255206968234</v>
      </c>
      <c r="F40" s="44">
        <v>1.0000167430878772</v>
      </c>
      <c r="G40" s="44">
        <v>0.99996436993299342</v>
      </c>
      <c r="H40" s="44">
        <v>0.99994254089079082</v>
      </c>
      <c r="I40" s="44">
        <v>1.0000383431023832</v>
      </c>
      <c r="J40" s="44">
        <v>1.0000348798235716</v>
      </c>
      <c r="K40" s="44">
        <v>0.99998338846803692</v>
      </c>
      <c r="L40" s="44">
        <v>0.99998826820086384</v>
      </c>
      <c r="M40" s="44">
        <v>0.99993951865914799</v>
      </c>
      <c r="N40" s="44">
        <v>1.000073511101468</v>
      </c>
      <c r="O40" s="45">
        <v>0.99998985744577928</v>
      </c>
    </row>
    <row r="41" spans="2:24" ht="15.75" thickBot="1" x14ac:dyDescent="0.3">
      <c r="B41" s="126" t="s">
        <v>42</v>
      </c>
      <c r="C41" s="127"/>
      <c r="D41" s="46">
        <v>0.99998889393167445</v>
      </c>
      <c r="E41" s="46">
        <v>0.99996573849911408</v>
      </c>
      <c r="F41" s="46">
        <v>0.99999749827844542</v>
      </c>
      <c r="G41" s="46">
        <v>1.0000148843718264</v>
      </c>
      <c r="H41" s="46">
        <v>1.0000103318371889</v>
      </c>
      <c r="I41" s="46">
        <v>0.99998132790708427</v>
      </c>
      <c r="J41" s="46">
        <v>0.99999295941054955</v>
      </c>
      <c r="K41" s="46">
        <v>0.99993114589997312</v>
      </c>
      <c r="L41" s="46">
        <v>0.9997800283158621</v>
      </c>
      <c r="M41" s="46">
        <v>1.000159443740791</v>
      </c>
      <c r="N41" s="46">
        <v>1.000015709586062</v>
      </c>
      <c r="O41" s="47">
        <v>0.99995034650449666</v>
      </c>
    </row>
    <row r="42" spans="2:24" ht="15.75" thickBot="1" x14ac:dyDescent="0.3"/>
    <row r="43" spans="2:24" x14ac:dyDescent="0.25">
      <c r="B43" s="60" t="s">
        <v>23</v>
      </c>
      <c r="C43" s="54"/>
      <c r="D43" s="55" t="s">
        <v>2</v>
      </c>
      <c r="E43" s="55" t="s">
        <v>3</v>
      </c>
      <c r="F43" s="55" t="s">
        <v>4</v>
      </c>
      <c r="G43" s="55" t="s">
        <v>5</v>
      </c>
      <c r="H43" s="55" t="s">
        <v>6</v>
      </c>
      <c r="I43" s="55" t="s">
        <v>7</v>
      </c>
      <c r="J43" s="55" t="s">
        <v>8</v>
      </c>
      <c r="K43" s="55" t="s">
        <v>9</v>
      </c>
      <c r="L43" s="55" t="s">
        <v>10</v>
      </c>
      <c r="M43" s="55" t="s">
        <v>11</v>
      </c>
      <c r="N43" s="55" t="s">
        <v>12</v>
      </c>
      <c r="O43" s="56" t="s">
        <v>13</v>
      </c>
    </row>
    <row r="44" spans="2:24" x14ac:dyDescent="0.25">
      <c r="B44" s="61">
        <v>1</v>
      </c>
      <c r="C44" s="62"/>
      <c r="D44" s="4">
        <v>249</v>
      </c>
      <c r="E44" s="4">
        <v>226</v>
      </c>
      <c r="F44" s="4">
        <v>201</v>
      </c>
      <c r="G44" s="4">
        <v>137</v>
      </c>
      <c r="H44" s="4">
        <v>103</v>
      </c>
      <c r="I44" s="4">
        <v>88</v>
      </c>
      <c r="J44" s="4">
        <v>73</v>
      </c>
      <c r="K44" s="4">
        <v>63</v>
      </c>
      <c r="L44" s="4">
        <v>66</v>
      </c>
      <c r="M44" s="4">
        <v>78</v>
      </c>
      <c r="N44" s="4">
        <v>110</v>
      </c>
      <c r="O44" s="63">
        <v>180</v>
      </c>
    </row>
    <row r="45" spans="2:24" x14ac:dyDescent="0.25">
      <c r="B45" s="61">
        <v>2</v>
      </c>
      <c r="C45" s="62"/>
      <c r="D45" s="6">
        <v>249</v>
      </c>
      <c r="E45" s="6">
        <v>226</v>
      </c>
      <c r="F45" s="6">
        <v>201</v>
      </c>
      <c r="G45" s="6">
        <v>137</v>
      </c>
      <c r="H45" s="6">
        <v>103</v>
      </c>
      <c r="I45" s="6">
        <v>88</v>
      </c>
      <c r="J45" s="6">
        <v>73</v>
      </c>
      <c r="K45" s="6">
        <v>63</v>
      </c>
      <c r="L45" s="6">
        <v>66</v>
      </c>
      <c r="M45" s="6">
        <v>78</v>
      </c>
      <c r="N45" s="6">
        <v>110</v>
      </c>
      <c r="O45" s="64">
        <v>180</v>
      </c>
    </row>
    <row r="46" spans="2:24" x14ac:dyDescent="0.25">
      <c r="B46" s="61">
        <v>3</v>
      </c>
      <c r="C46" s="62"/>
      <c r="D46" s="6">
        <v>0</v>
      </c>
      <c r="E46" s="9">
        <v>0</v>
      </c>
      <c r="F46" s="9">
        <v>0</v>
      </c>
      <c r="G46" s="9">
        <v>0</v>
      </c>
      <c r="H46" s="9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4">
        <v>0</v>
      </c>
    </row>
    <row r="47" spans="2:24" x14ac:dyDescent="0.25">
      <c r="B47" s="61">
        <v>4</v>
      </c>
      <c r="C47" s="62"/>
      <c r="D47" s="6">
        <v>0</v>
      </c>
      <c r="E47" s="6">
        <v>0</v>
      </c>
      <c r="F47" s="9">
        <v>0</v>
      </c>
      <c r="G47" s="9">
        <v>0</v>
      </c>
      <c r="H47" s="9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4">
        <v>0</v>
      </c>
    </row>
    <row r="48" spans="2:24" x14ac:dyDescent="0.25">
      <c r="B48" s="61">
        <v>5</v>
      </c>
      <c r="C48" s="62"/>
      <c r="D48" s="9">
        <v>0</v>
      </c>
      <c r="E48" s="9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4">
        <v>0</v>
      </c>
    </row>
    <row r="49" spans="2:15" x14ac:dyDescent="0.25">
      <c r="B49" s="61">
        <v>6</v>
      </c>
      <c r="C49" s="62"/>
      <c r="D49" s="6">
        <v>1749</v>
      </c>
      <c r="E49" s="6">
        <v>1625</v>
      </c>
      <c r="F49" s="9">
        <v>1449</v>
      </c>
      <c r="G49" s="9">
        <v>997</v>
      </c>
      <c r="H49" s="9">
        <v>729</v>
      </c>
      <c r="I49" s="6">
        <v>608</v>
      </c>
      <c r="J49" s="6">
        <v>500</v>
      </c>
      <c r="K49" s="6">
        <v>410</v>
      </c>
      <c r="L49" s="6">
        <v>430</v>
      </c>
      <c r="M49" s="6">
        <v>502</v>
      </c>
      <c r="N49" s="6">
        <v>715</v>
      </c>
      <c r="O49" s="64">
        <v>1232</v>
      </c>
    </row>
    <row r="50" spans="2:15" x14ac:dyDescent="0.25">
      <c r="B50" s="61">
        <v>7</v>
      </c>
      <c r="C50" s="62"/>
      <c r="D50" s="6">
        <v>1950</v>
      </c>
      <c r="E50" s="6">
        <v>1828</v>
      </c>
      <c r="F50" s="6">
        <v>1633</v>
      </c>
      <c r="G50" s="9">
        <v>1125</v>
      </c>
      <c r="H50" s="9">
        <v>820</v>
      </c>
      <c r="I50" s="6">
        <v>680</v>
      </c>
      <c r="J50" s="6">
        <v>558</v>
      </c>
      <c r="K50" s="6">
        <v>458</v>
      </c>
      <c r="L50" s="6">
        <v>476</v>
      </c>
      <c r="M50" s="6">
        <v>557</v>
      </c>
      <c r="N50" s="6">
        <v>788</v>
      </c>
      <c r="O50" s="64">
        <v>1358</v>
      </c>
    </row>
    <row r="51" spans="2:15" x14ac:dyDescent="0.25">
      <c r="B51" s="61">
        <v>8</v>
      </c>
      <c r="C51" s="62"/>
      <c r="D51" s="6">
        <v>1993</v>
      </c>
      <c r="E51" s="9">
        <v>1878</v>
      </c>
      <c r="F51" s="6">
        <v>1678</v>
      </c>
      <c r="G51" s="9">
        <v>1161</v>
      </c>
      <c r="H51" s="9">
        <v>843</v>
      </c>
      <c r="I51" s="6">
        <v>698</v>
      </c>
      <c r="J51" s="6">
        <v>572</v>
      </c>
      <c r="K51" s="6">
        <v>469</v>
      </c>
      <c r="L51" s="6">
        <v>486</v>
      </c>
      <c r="M51" s="6">
        <v>568</v>
      </c>
      <c r="N51" s="6">
        <v>802</v>
      </c>
      <c r="O51" s="64">
        <v>1380</v>
      </c>
    </row>
    <row r="52" spans="2:15" x14ac:dyDescent="0.25">
      <c r="B52" s="61">
        <v>9</v>
      </c>
      <c r="C52" s="62"/>
      <c r="D52" s="6">
        <v>2009</v>
      </c>
      <c r="E52" s="6">
        <v>1899</v>
      </c>
      <c r="F52" s="6">
        <v>1698</v>
      </c>
      <c r="G52" s="9">
        <v>1177</v>
      </c>
      <c r="H52" s="9">
        <v>853</v>
      </c>
      <c r="I52" s="6">
        <v>706</v>
      </c>
      <c r="J52" s="6">
        <v>578</v>
      </c>
      <c r="K52" s="6">
        <v>474</v>
      </c>
      <c r="L52" s="6">
        <v>490</v>
      </c>
      <c r="M52" s="6">
        <v>572</v>
      </c>
      <c r="N52" s="6">
        <v>807</v>
      </c>
      <c r="O52" s="64">
        <v>1387</v>
      </c>
    </row>
    <row r="53" spans="2:15" x14ac:dyDescent="0.25">
      <c r="B53" s="61">
        <v>10</v>
      </c>
      <c r="C53" s="62"/>
      <c r="D53" s="9">
        <v>2058</v>
      </c>
      <c r="E53" s="6">
        <v>1960</v>
      </c>
      <c r="F53" s="6">
        <v>1752</v>
      </c>
      <c r="G53" s="9">
        <v>1221</v>
      </c>
      <c r="H53" s="9">
        <v>880</v>
      </c>
      <c r="I53" s="6">
        <v>727</v>
      </c>
      <c r="J53" s="6">
        <v>595</v>
      </c>
      <c r="K53" s="6">
        <v>487</v>
      </c>
      <c r="L53" s="6">
        <v>501</v>
      </c>
      <c r="M53" s="6">
        <v>585</v>
      </c>
      <c r="N53" s="6">
        <v>823</v>
      </c>
      <c r="O53" s="64">
        <v>1410</v>
      </c>
    </row>
    <row r="54" spans="2:15" x14ac:dyDescent="0.25">
      <c r="B54" s="61">
        <v>11</v>
      </c>
      <c r="C54" s="62"/>
      <c r="D54" s="6">
        <v>2171</v>
      </c>
      <c r="E54" s="6">
        <v>2088</v>
      </c>
      <c r="F54" s="6">
        <v>1869</v>
      </c>
      <c r="G54" s="9">
        <v>1312</v>
      </c>
      <c r="H54" s="9">
        <v>940</v>
      </c>
      <c r="I54" s="6">
        <v>775</v>
      </c>
      <c r="J54" s="6">
        <v>633</v>
      </c>
      <c r="K54" s="6">
        <v>517</v>
      </c>
      <c r="L54" s="6">
        <v>528</v>
      </c>
      <c r="M54" s="6">
        <v>616</v>
      </c>
      <c r="N54" s="6">
        <v>863</v>
      </c>
      <c r="O54" s="64">
        <v>1475</v>
      </c>
    </row>
    <row r="55" spans="2:15" x14ac:dyDescent="0.25">
      <c r="B55" s="61">
        <v>12</v>
      </c>
      <c r="C55" s="62"/>
      <c r="D55" s="6">
        <v>2450</v>
      </c>
      <c r="E55" s="6">
        <v>2384</v>
      </c>
      <c r="F55" s="6">
        <v>2142</v>
      </c>
      <c r="G55" s="6">
        <v>1516</v>
      </c>
      <c r="H55" s="6">
        <v>1080</v>
      </c>
      <c r="I55" s="6">
        <v>885</v>
      </c>
      <c r="J55" s="6">
        <v>719</v>
      </c>
      <c r="K55" s="6">
        <v>586</v>
      </c>
      <c r="L55" s="6">
        <v>593</v>
      </c>
      <c r="M55" s="6">
        <v>693</v>
      </c>
      <c r="N55" s="6">
        <v>968</v>
      </c>
      <c r="O55" s="64">
        <v>1649</v>
      </c>
    </row>
    <row r="56" spans="2:15" x14ac:dyDescent="0.25">
      <c r="B56" s="61">
        <v>13</v>
      </c>
      <c r="C56" s="62"/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4">
        <v>0</v>
      </c>
    </row>
    <row r="57" spans="2:15" x14ac:dyDescent="0.25">
      <c r="B57" s="61">
        <v>14</v>
      </c>
      <c r="C57" s="62"/>
      <c r="D57" s="6">
        <v>96</v>
      </c>
      <c r="E57" s="6">
        <v>98</v>
      </c>
      <c r="F57" s="6">
        <v>86</v>
      </c>
      <c r="G57" s="6">
        <v>59</v>
      </c>
      <c r="H57" s="6">
        <v>44</v>
      </c>
      <c r="I57" s="6">
        <v>36</v>
      </c>
      <c r="J57" s="6">
        <v>29</v>
      </c>
      <c r="K57" s="6">
        <v>24</v>
      </c>
      <c r="L57" s="6">
        <v>25</v>
      </c>
      <c r="M57" s="6">
        <v>31</v>
      </c>
      <c r="N57" s="6">
        <v>40</v>
      </c>
      <c r="O57" s="64">
        <v>70</v>
      </c>
    </row>
    <row r="58" spans="2:15" x14ac:dyDescent="0.25">
      <c r="B58" s="61">
        <v>15</v>
      </c>
      <c r="C58" s="62"/>
      <c r="D58" s="6">
        <v>157</v>
      </c>
      <c r="E58" s="6">
        <v>161</v>
      </c>
      <c r="F58" s="6">
        <v>140</v>
      </c>
      <c r="G58" s="6">
        <v>96</v>
      </c>
      <c r="H58" s="6">
        <v>70</v>
      </c>
      <c r="I58" s="6">
        <v>59</v>
      </c>
      <c r="J58" s="6">
        <v>48</v>
      </c>
      <c r="K58" s="6">
        <v>41</v>
      </c>
      <c r="L58" s="6">
        <v>42</v>
      </c>
      <c r="M58" s="6">
        <v>50</v>
      </c>
      <c r="N58" s="6">
        <v>64</v>
      </c>
      <c r="O58" s="64">
        <v>113</v>
      </c>
    </row>
    <row r="59" spans="2:15" x14ac:dyDescent="0.25">
      <c r="B59" s="61">
        <v>16</v>
      </c>
      <c r="C59" s="62"/>
      <c r="D59" s="6">
        <v>159</v>
      </c>
      <c r="E59" s="6">
        <v>164</v>
      </c>
      <c r="F59" s="6">
        <v>142</v>
      </c>
      <c r="G59" s="6">
        <v>97</v>
      </c>
      <c r="H59" s="6">
        <v>71</v>
      </c>
      <c r="I59" s="6">
        <v>60</v>
      </c>
      <c r="J59" s="6">
        <v>49</v>
      </c>
      <c r="K59" s="6">
        <v>41</v>
      </c>
      <c r="L59" s="6">
        <v>43</v>
      </c>
      <c r="M59" s="6">
        <v>51</v>
      </c>
      <c r="N59" s="6">
        <v>65</v>
      </c>
      <c r="O59" s="64">
        <v>115</v>
      </c>
    </row>
    <row r="60" spans="2:15" x14ac:dyDescent="0.25">
      <c r="B60" s="61">
        <v>17</v>
      </c>
      <c r="C60" s="62"/>
      <c r="D60" s="6">
        <v>3257</v>
      </c>
      <c r="E60" s="6">
        <v>3335</v>
      </c>
      <c r="F60" s="6">
        <v>2996</v>
      </c>
      <c r="G60" s="6">
        <v>2171</v>
      </c>
      <c r="H60" s="6">
        <v>1556</v>
      </c>
      <c r="I60" s="6">
        <v>1300</v>
      </c>
      <c r="J60" s="6">
        <v>1062</v>
      </c>
      <c r="K60" s="6">
        <v>880</v>
      </c>
      <c r="L60" s="6">
        <v>875</v>
      </c>
      <c r="M60" s="6">
        <v>997</v>
      </c>
      <c r="N60" s="6">
        <v>1338</v>
      </c>
      <c r="O60" s="64">
        <v>2218</v>
      </c>
    </row>
    <row r="61" spans="2:15" x14ac:dyDescent="0.25">
      <c r="B61" s="61">
        <v>18</v>
      </c>
      <c r="C61" s="62"/>
      <c r="D61" s="6">
        <v>3631</v>
      </c>
      <c r="E61" s="6">
        <v>3779</v>
      </c>
      <c r="F61" s="6">
        <v>3415</v>
      </c>
      <c r="G61" s="6">
        <v>2492</v>
      </c>
      <c r="H61" s="6">
        <v>1777</v>
      </c>
      <c r="I61" s="6">
        <v>1490</v>
      </c>
      <c r="J61" s="6">
        <v>1220</v>
      </c>
      <c r="K61" s="6">
        <v>1017</v>
      </c>
      <c r="L61" s="6">
        <v>1003</v>
      </c>
      <c r="M61" s="6">
        <v>1146</v>
      </c>
      <c r="N61" s="6">
        <v>1506</v>
      </c>
      <c r="O61" s="64">
        <v>2451</v>
      </c>
    </row>
    <row r="62" spans="2:15" x14ac:dyDescent="0.25">
      <c r="B62" s="61">
        <v>19</v>
      </c>
      <c r="C62" s="62"/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4">
        <v>0</v>
      </c>
    </row>
    <row r="63" spans="2:15" x14ac:dyDescent="0.25">
      <c r="B63" s="61">
        <v>20</v>
      </c>
      <c r="C63" s="62"/>
      <c r="D63" s="6">
        <v>326</v>
      </c>
      <c r="E63" s="6">
        <v>328</v>
      </c>
      <c r="F63" s="6">
        <v>298</v>
      </c>
      <c r="G63" s="6">
        <v>215</v>
      </c>
      <c r="H63" s="6">
        <v>136</v>
      </c>
      <c r="I63" s="6">
        <v>103</v>
      </c>
      <c r="J63" s="6">
        <v>81</v>
      </c>
      <c r="K63" s="6">
        <v>65</v>
      </c>
      <c r="L63" s="6">
        <v>56</v>
      </c>
      <c r="M63" s="6">
        <v>69</v>
      </c>
      <c r="N63" s="6">
        <v>120</v>
      </c>
      <c r="O63" s="64">
        <v>234</v>
      </c>
    </row>
    <row r="64" spans="2:15" x14ac:dyDescent="0.25">
      <c r="B64" s="61">
        <v>21</v>
      </c>
      <c r="C64" s="62"/>
      <c r="D64" s="9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4">
        <v>0</v>
      </c>
    </row>
    <row r="65" spans="2:15" x14ac:dyDescent="0.25">
      <c r="B65" s="61">
        <v>22</v>
      </c>
      <c r="C65" s="62"/>
      <c r="D65" s="6">
        <v>190</v>
      </c>
      <c r="E65" s="6">
        <v>193</v>
      </c>
      <c r="F65" s="6">
        <v>197</v>
      </c>
      <c r="G65" s="6">
        <v>150</v>
      </c>
      <c r="H65" s="6">
        <v>96</v>
      </c>
      <c r="I65" s="6">
        <v>73</v>
      </c>
      <c r="J65" s="6">
        <v>57</v>
      </c>
      <c r="K65" s="6">
        <v>45</v>
      </c>
      <c r="L65" s="6">
        <v>39</v>
      </c>
      <c r="M65" s="6">
        <v>45</v>
      </c>
      <c r="N65" s="6">
        <v>77</v>
      </c>
      <c r="O65" s="64">
        <v>144</v>
      </c>
    </row>
    <row r="66" spans="2:15" x14ac:dyDescent="0.25">
      <c r="B66" s="61">
        <v>23</v>
      </c>
      <c r="C66" s="62"/>
      <c r="D66" s="6">
        <v>269</v>
      </c>
      <c r="E66" s="6">
        <v>295</v>
      </c>
      <c r="F66" s="6">
        <v>298</v>
      </c>
      <c r="G66" s="6">
        <v>236</v>
      </c>
      <c r="H66" s="6">
        <v>147</v>
      </c>
      <c r="I66" s="6">
        <v>108</v>
      </c>
      <c r="J66" s="6">
        <v>85</v>
      </c>
      <c r="K66" s="6">
        <v>67</v>
      </c>
      <c r="L66" s="6">
        <v>58</v>
      </c>
      <c r="M66" s="6">
        <v>75</v>
      </c>
      <c r="N66" s="6">
        <v>123</v>
      </c>
      <c r="O66" s="64">
        <v>199</v>
      </c>
    </row>
    <row r="67" spans="2:15" x14ac:dyDescent="0.25">
      <c r="B67" s="61">
        <v>24</v>
      </c>
      <c r="C67" s="62"/>
      <c r="D67" s="6">
        <v>889</v>
      </c>
      <c r="E67" s="6">
        <v>887</v>
      </c>
      <c r="F67" s="6">
        <v>852</v>
      </c>
      <c r="G67" s="6">
        <v>624</v>
      </c>
      <c r="H67" s="6">
        <v>396</v>
      </c>
      <c r="I67" s="6">
        <v>305</v>
      </c>
      <c r="J67" s="6">
        <v>243</v>
      </c>
      <c r="K67" s="6">
        <v>195</v>
      </c>
      <c r="L67" s="6">
        <v>172</v>
      </c>
      <c r="M67" s="6">
        <v>204</v>
      </c>
      <c r="N67" s="6">
        <v>349</v>
      </c>
      <c r="O67" s="64">
        <v>652</v>
      </c>
    </row>
    <row r="68" spans="2:15" x14ac:dyDescent="0.25">
      <c r="B68" s="61">
        <v>25</v>
      </c>
      <c r="C68" s="62"/>
      <c r="D68" s="6">
        <v>521</v>
      </c>
      <c r="E68" s="6">
        <v>525</v>
      </c>
      <c r="F68" s="6">
        <v>494</v>
      </c>
      <c r="G68" s="6">
        <v>372</v>
      </c>
      <c r="H68" s="6">
        <v>255</v>
      </c>
      <c r="I68" s="6">
        <v>199</v>
      </c>
      <c r="J68" s="6">
        <v>164</v>
      </c>
      <c r="K68" s="6">
        <v>134</v>
      </c>
      <c r="L68" s="6">
        <v>122</v>
      </c>
      <c r="M68" s="6">
        <v>150</v>
      </c>
      <c r="N68" s="6">
        <v>222</v>
      </c>
      <c r="O68" s="64">
        <v>372</v>
      </c>
    </row>
    <row r="69" spans="2:15" x14ac:dyDescent="0.25">
      <c r="B69" s="61">
        <v>26</v>
      </c>
      <c r="C69" s="62"/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4">
        <v>0</v>
      </c>
    </row>
    <row r="70" spans="2:15" x14ac:dyDescent="0.25">
      <c r="B70" s="61">
        <v>27</v>
      </c>
      <c r="C70" s="62"/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4">
        <v>0</v>
      </c>
    </row>
    <row r="71" spans="2:15" x14ac:dyDescent="0.25">
      <c r="B71" s="61">
        <v>28</v>
      </c>
      <c r="C71" s="62"/>
      <c r="D71" s="6">
        <v>633</v>
      </c>
      <c r="E71" s="6">
        <v>643</v>
      </c>
      <c r="F71" s="6">
        <v>606</v>
      </c>
      <c r="G71" s="6">
        <v>464</v>
      </c>
      <c r="H71" s="6">
        <v>318</v>
      </c>
      <c r="I71" s="6">
        <v>249</v>
      </c>
      <c r="J71" s="6">
        <v>206</v>
      </c>
      <c r="K71" s="6">
        <v>171</v>
      </c>
      <c r="L71" s="6">
        <v>157</v>
      </c>
      <c r="M71" s="6">
        <v>188</v>
      </c>
      <c r="N71" s="6">
        <v>275</v>
      </c>
      <c r="O71" s="64">
        <v>453</v>
      </c>
    </row>
    <row r="72" spans="2:15" x14ac:dyDescent="0.25">
      <c r="B72" s="61">
        <v>29</v>
      </c>
      <c r="C72" s="62"/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4">
        <v>0</v>
      </c>
    </row>
    <row r="73" spans="2:15" x14ac:dyDescent="0.25">
      <c r="B73" s="61">
        <v>30</v>
      </c>
      <c r="C73" s="62"/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4">
        <v>0</v>
      </c>
    </row>
    <row r="74" spans="2:15" x14ac:dyDescent="0.25">
      <c r="B74" s="61">
        <v>31</v>
      </c>
      <c r="C74" s="62"/>
      <c r="D74" s="6">
        <v>2699</v>
      </c>
      <c r="E74" s="6">
        <v>2795</v>
      </c>
      <c r="F74" s="6">
        <v>2736</v>
      </c>
      <c r="G74" s="6">
        <v>2056</v>
      </c>
      <c r="H74" s="6">
        <v>1327</v>
      </c>
      <c r="I74" s="6">
        <v>1023</v>
      </c>
      <c r="J74" s="6">
        <v>813</v>
      </c>
      <c r="K74" s="6">
        <v>651</v>
      </c>
      <c r="L74" s="6">
        <v>578</v>
      </c>
      <c r="M74" s="6">
        <v>697</v>
      </c>
      <c r="N74" s="6">
        <v>1127</v>
      </c>
      <c r="O74" s="64">
        <v>1956</v>
      </c>
    </row>
    <row r="75" spans="2:15" x14ac:dyDescent="0.25">
      <c r="B75" s="61">
        <v>32</v>
      </c>
      <c r="C75" s="62"/>
      <c r="D75" s="6">
        <v>2825</v>
      </c>
      <c r="E75" s="6">
        <v>2935</v>
      </c>
      <c r="F75" s="6">
        <v>2872</v>
      </c>
      <c r="G75" s="6">
        <v>2165</v>
      </c>
      <c r="H75" s="6">
        <v>1399</v>
      </c>
      <c r="I75" s="6">
        <v>1080</v>
      </c>
      <c r="J75" s="6">
        <v>862</v>
      </c>
      <c r="K75" s="6">
        <v>691</v>
      </c>
      <c r="L75" s="6">
        <v>614</v>
      </c>
      <c r="M75" s="6">
        <v>734</v>
      </c>
      <c r="N75" s="6">
        <v>1181</v>
      </c>
      <c r="O75" s="64">
        <v>2047</v>
      </c>
    </row>
    <row r="76" spans="2:15" x14ac:dyDescent="0.25">
      <c r="B76" s="61">
        <v>33</v>
      </c>
      <c r="C76" s="62"/>
      <c r="D76" s="6">
        <v>4048</v>
      </c>
      <c r="E76" s="6">
        <v>4227</v>
      </c>
      <c r="F76" s="6">
        <v>4208</v>
      </c>
      <c r="G76" s="6">
        <v>3230</v>
      </c>
      <c r="H76" s="6">
        <v>2107</v>
      </c>
      <c r="I76" s="6">
        <v>1645</v>
      </c>
      <c r="J76" s="6">
        <v>1323</v>
      </c>
      <c r="K76" s="6">
        <v>1078</v>
      </c>
      <c r="L76" s="6">
        <v>976</v>
      </c>
      <c r="M76" s="6">
        <v>1150</v>
      </c>
      <c r="N76" s="6">
        <v>1755</v>
      </c>
      <c r="O76" s="64">
        <v>2961</v>
      </c>
    </row>
    <row r="77" spans="2:15" x14ac:dyDescent="0.25">
      <c r="B77" s="61">
        <v>34</v>
      </c>
      <c r="C77" s="62"/>
      <c r="D77" s="6">
        <v>8837</v>
      </c>
      <c r="E77" s="6">
        <v>9298</v>
      </c>
      <c r="F77" s="6">
        <v>8937</v>
      </c>
      <c r="G77" s="6">
        <v>6758</v>
      </c>
      <c r="H77" s="6">
        <v>4629</v>
      </c>
      <c r="I77" s="6">
        <v>3781</v>
      </c>
      <c r="J77" s="6">
        <v>3096</v>
      </c>
      <c r="K77" s="6">
        <v>2592</v>
      </c>
      <c r="L77" s="6">
        <v>2472</v>
      </c>
      <c r="M77" s="6">
        <v>2841</v>
      </c>
      <c r="N77" s="6">
        <v>3888</v>
      </c>
      <c r="O77" s="64">
        <v>6255</v>
      </c>
    </row>
    <row r="78" spans="2:15" x14ac:dyDescent="0.25">
      <c r="B78" s="61">
        <v>35</v>
      </c>
      <c r="C78" s="62"/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4">
        <v>0</v>
      </c>
    </row>
    <row r="79" spans="2:15" x14ac:dyDescent="0.25">
      <c r="B79" s="61">
        <v>36</v>
      </c>
      <c r="C79" s="62"/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4">
        <v>0</v>
      </c>
    </row>
    <row r="80" spans="2:15" x14ac:dyDescent="0.25">
      <c r="B80" s="61">
        <v>37</v>
      </c>
      <c r="C80" s="62"/>
      <c r="D80" s="6">
        <v>684</v>
      </c>
      <c r="E80" s="6">
        <v>725</v>
      </c>
      <c r="F80" s="6">
        <v>614</v>
      </c>
      <c r="G80" s="6">
        <v>403</v>
      </c>
      <c r="H80" s="6">
        <v>319</v>
      </c>
      <c r="I80" s="6">
        <v>316</v>
      </c>
      <c r="J80" s="6">
        <v>252</v>
      </c>
      <c r="K80" s="6">
        <v>211</v>
      </c>
      <c r="L80" s="6">
        <v>230</v>
      </c>
      <c r="M80" s="6">
        <v>280</v>
      </c>
      <c r="N80" s="6">
        <v>306</v>
      </c>
      <c r="O80" s="64">
        <v>467</v>
      </c>
    </row>
    <row r="81" spans="2:15" x14ac:dyDescent="0.25">
      <c r="B81" s="61">
        <v>38</v>
      </c>
      <c r="C81" s="62"/>
      <c r="D81" s="6">
        <v>765</v>
      </c>
      <c r="E81" s="6">
        <v>816</v>
      </c>
      <c r="F81" s="6">
        <v>693</v>
      </c>
      <c r="G81" s="6">
        <v>460</v>
      </c>
      <c r="H81" s="6">
        <v>363</v>
      </c>
      <c r="I81" s="6">
        <v>360</v>
      </c>
      <c r="J81" s="6">
        <v>286</v>
      </c>
      <c r="K81" s="6">
        <v>242</v>
      </c>
      <c r="L81" s="6">
        <v>261</v>
      </c>
      <c r="M81" s="6">
        <v>314</v>
      </c>
      <c r="N81" s="6">
        <v>344</v>
      </c>
      <c r="O81" s="64">
        <v>522</v>
      </c>
    </row>
    <row r="82" spans="2:15" x14ac:dyDescent="0.25">
      <c r="B82" s="61">
        <v>39</v>
      </c>
      <c r="C82" s="62"/>
      <c r="D82" s="6">
        <v>910</v>
      </c>
      <c r="E82" s="6">
        <v>967</v>
      </c>
      <c r="F82" s="6">
        <v>828</v>
      </c>
      <c r="G82" s="6">
        <v>567</v>
      </c>
      <c r="H82" s="6">
        <v>451</v>
      </c>
      <c r="I82" s="6">
        <v>444</v>
      </c>
      <c r="J82" s="6">
        <v>360</v>
      </c>
      <c r="K82" s="6">
        <v>307</v>
      </c>
      <c r="L82" s="6">
        <v>327</v>
      </c>
      <c r="M82" s="6">
        <v>386</v>
      </c>
      <c r="N82" s="6">
        <v>421</v>
      </c>
      <c r="O82" s="64">
        <v>631</v>
      </c>
    </row>
    <row r="83" spans="2:15" x14ac:dyDescent="0.25">
      <c r="B83" s="61">
        <v>40</v>
      </c>
      <c r="C83" s="62"/>
      <c r="D83" s="6">
        <v>1098</v>
      </c>
      <c r="E83" s="6">
        <v>1171</v>
      </c>
      <c r="F83" s="6">
        <v>1014</v>
      </c>
      <c r="G83" s="6">
        <v>690</v>
      </c>
      <c r="H83" s="6">
        <v>550</v>
      </c>
      <c r="I83" s="6">
        <v>538</v>
      </c>
      <c r="J83" s="6">
        <v>441</v>
      </c>
      <c r="K83" s="6">
        <v>380</v>
      </c>
      <c r="L83" s="6">
        <v>405</v>
      </c>
      <c r="M83" s="6">
        <v>470</v>
      </c>
      <c r="N83" s="6">
        <v>509</v>
      </c>
      <c r="O83" s="64">
        <v>761</v>
      </c>
    </row>
    <row r="84" spans="2:15" x14ac:dyDescent="0.25">
      <c r="B84" s="61">
        <v>41</v>
      </c>
      <c r="C84" s="62"/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4">
        <v>0</v>
      </c>
    </row>
    <row r="85" spans="2:15" x14ac:dyDescent="0.25">
      <c r="B85" s="61">
        <v>42</v>
      </c>
      <c r="C85" s="62"/>
      <c r="D85" s="6">
        <v>1182</v>
      </c>
      <c r="E85" s="6">
        <v>1265</v>
      </c>
      <c r="F85" s="6">
        <v>1091</v>
      </c>
      <c r="G85" s="6">
        <v>740</v>
      </c>
      <c r="H85" s="6">
        <v>585</v>
      </c>
      <c r="I85" s="6">
        <v>575</v>
      </c>
      <c r="J85" s="6">
        <v>470</v>
      </c>
      <c r="K85" s="6">
        <v>404</v>
      </c>
      <c r="L85" s="6">
        <v>429</v>
      </c>
      <c r="M85" s="6">
        <v>501</v>
      </c>
      <c r="N85" s="6">
        <v>543</v>
      </c>
      <c r="O85" s="64">
        <v>814</v>
      </c>
    </row>
    <row r="86" spans="2:15" x14ac:dyDescent="0.25">
      <c r="B86" s="61">
        <v>43</v>
      </c>
      <c r="C86" s="62"/>
      <c r="D86" s="6">
        <v>1239</v>
      </c>
      <c r="E86" s="6">
        <v>1352</v>
      </c>
      <c r="F86" s="6">
        <v>1180</v>
      </c>
      <c r="G86" s="6">
        <v>811</v>
      </c>
      <c r="H86" s="6">
        <v>629</v>
      </c>
      <c r="I86" s="6">
        <v>621</v>
      </c>
      <c r="J86" s="6">
        <v>508</v>
      </c>
      <c r="K86" s="6">
        <v>438</v>
      </c>
      <c r="L86" s="6">
        <v>458</v>
      </c>
      <c r="M86" s="6">
        <v>534</v>
      </c>
      <c r="N86" s="6">
        <v>575</v>
      </c>
      <c r="O86" s="64">
        <v>852</v>
      </c>
    </row>
    <row r="87" spans="2:15" x14ac:dyDescent="0.25">
      <c r="B87" s="61">
        <v>44</v>
      </c>
      <c r="C87" s="62"/>
      <c r="D87" s="6">
        <v>10076</v>
      </c>
      <c r="E87" s="6">
        <v>10650</v>
      </c>
      <c r="F87" s="6">
        <v>10117</v>
      </c>
      <c r="G87" s="6">
        <v>7569</v>
      </c>
      <c r="H87" s="6">
        <v>5258</v>
      </c>
      <c r="I87" s="6">
        <v>4402</v>
      </c>
      <c r="J87" s="6">
        <v>3604</v>
      </c>
      <c r="K87" s="6">
        <v>3030</v>
      </c>
      <c r="L87" s="6">
        <v>2930</v>
      </c>
      <c r="M87" s="6">
        <v>3374</v>
      </c>
      <c r="N87" s="6">
        <v>4463</v>
      </c>
      <c r="O87" s="64">
        <v>7107</v>
      </c>
    </row>
    <row r="88" spans="2:15" x14ac:dyDescent="0.25">
      <c r="B88" s="61">
        <v>45</v>
      </c>
      <c r="C88" s="62"/>
      <c r="D88" s="6">
        <v>10491</v>
      </c>
      <c r="E88" s="6">
        <v>11111</v>
      </c>
      <c r="F88" s="6">
        <v>10550</v>
      </c>
      <c r="G88" s="6">
        <v>7936</v>
      </c>
      <c r="H88" s="6">
        <v>5572</v>
      </c>
      <c r="I88" s="6">
        <v>4705</v>
      </c>
      <c r="J88" s="6">
        <v>3886</v>
      </c>
      <c r="K88" s="6">
        <v>3309</v>
      </c>
      <c r="L88" s="6">
        <v>3198</v>
      </c>
      <c r="M88" s="6">
        <v>3648</v>
      </c>
      <c r="N88" s="6">
        <v>4759</v>
      </c>
      <c r="O88" s="64">
        <v>7443</v>
      </c>
    </row>
    <row r="89" spans="2:15" x14ac:dyDescent="0.25">
      <c r="B89" s="61">
        <v>46</v>
      </c>
      <c r="C89" s="62"/>
      <c r="D89" s="6">
        <v>11359</v>
      </c>
      <c r="E89" s="6">
        <v>12225</v>
      </c>
      <c r="F89" s="6">
        <v>11646</v>
      </c>
      <c r="G89" s="6">
        <v>8974</v>
      </c>
      <c r="H89" s="6">
        <v>6462</v>
      </c>
      <c r="I89" s="6">
        <v>5593</v>
      </c>
      <c r="J89" s="6">
        <v>4605</v>
      </c>
      <c r="K89" s="6">
        <v>3922</v>
      </c>
      <c r="L89" s="6">
        <v>3811</v>
      </c>
      <c r="M89" s="6">
        <v>4313</v>
      </c>
      <c r="N89" s="6">
        <v>5423</v>
      </c>
      <c r="O89" s="64">
        <v>8109</v>
      </c>
    </row>
    <row r="90" spans="2:15" x14ac:dyDescent="0.25">
      <c r="B90" s="61">
        <v>47</v>
      </c>
      <c r="C90" s="62"/>
      <c r="D90" s="6">
        <v>324</v>
      </c>
      <c r="E90" s="6">
        <v>365</v>
      </c>
      <c r="F90" s="6">
        <v>311</v>
      </c>
      <c r="G90" s="6">
        <v>219</v>
      </c>
      <c r="H90" s="6">
        <v>192</v>
      </c>
      <c r="I90" s="6">
        <v>201</v>
      </c>
      <c r="J90" s="6">
        <v>177</v>
      </c>
      <c r="K90" s="6">
        <v>147</v>
      </c>
      <c r="L90" s="6">
        <v>161</v>
      </c>
      <c r="M90" s="6">
        <v>191</v>
      </c>
      <c r="N90" s="6">
        <v>185</v>
      </c>
      <c r="O90" s="64">
        <v>235</v>
      </c>
    </row>
    <row r="91" spans="2:15" x14ac:dyDescent="0.25">
      <c r="B91" s="61">
        <v>48</v>
      </c>
      <c r="C91" s="62"/>
      <c r="D91" s="6">
        <v>331</v>
      </c>
      <c r="E91" s="6">
        <v>374</v>
      </c>
      <c r="F91" s="6">
        <v>319</v>
      </c>
      <c r="G91" s="6">
        <v>225</v>
      </c>
      <c r="H91" s="6">
        <v>196</v>
      </c>
      <c r="I91" s="6">
        <v>206</v>
      </c>
      <c r="J91" s="6">
        <v>181</v>
      </c>
      <c r="K91" s="6">
        <v>151</v>
      </c>
      <c r="L91" s="6">
        <v>165</v>
      </c>
      <c r="M91" s="6">
        <v>196</v>
      </c>
      <c r="N91" s="6">
        <v>189</v>
      </c>
      <c r="O91" s="64">
        <v>240</v>
      </c>
    </row>
    <row r="92" spans="2:15" x14ac:dyDescent="0.25">
      <c r="B92" s="61">
        <v>49</v>
      </c>
      <c r="C92" s="62"/>
      <c r="D92" s="6">
        <v>501</v>
      </c>
      <c r="E92" s="6">
        <v>542</v>
      </c>
      <c r="F92" s="6">
        <v>452</v>
      </c>
      <c r="G92" s="6">
        <v>325</v>
      </c>
      <c r="H92" s="6">
        <v>301</v>
      </c>
      <c r="I92" s="6">
        <v>314</v>
      </c>
      <c r="J92" s="6">
        <v>279</v>
      </c>
      <c r="K92" s="6">
        <v>228</v>
      </c>
      <c r="L92" s="6">
        <v>259</v>
      </c>
      <c r="M92" s="6">
        <v>307</v>
      </c>
      <c r="N92" s="6">
        <v>288</v>
      </c>
      <c r="O92" s="64">
        <v>355</v>
      </c>
    </row>
    <row r="93" spans="2:15" x14ac:dyDescent="0.25">
      <c r="B93" s="61">
        <v>50</v>
      </c>
      <c r="C93" s="62"/>
      <c r="D93" s="6">
        <v>649</v>
      </c>
      <c r="E93" s="6">
        <v>711</v>
      </c>
      <c r="F93" s="6">
        <v>604</v>
      </c>
      <c r="G93" s="6">
        <v>446</v>
      </c>
      <c r="H93" s="6">
        <v>408</v>
      </c>
      <c r="I93" s="6">
        <v>425</v>
      </c>
      <c r="J93" s="6">
        <v>371</v>
      </c>
      <c r="K93" s="6">
        <v>309</v>
      </c>
      <c r="L93" s="6">
        <v>343</v>
      </c>
      <c r="M93" s="6">
        <v>401</v>
      </c>
      <c r="N93" s="6">
        <v>383</v>
      </c>
      <c r="O93" s="64">
        <v>470</v>
      </c>
    </row>
    <row r="94" spans="2:15" x14ac:dyDescent="0.25">
      <c r="B94" s="61">
        <v>51</v>
      </c>
      <c r="C94" s="62"/>
      <c r="D94" s="6">
        <v>659</v>
      </c>
      <c r="E94" s="6">
        <v>723</v>
      </c>
      <c r="F94" s="6">
        <v>616</v>
      </c>
      <c r="G94" s="6">
        <v>456</v>
      </c>
      <c r="H94" s="6">
        <v>416</v>
      </c>
      <c r="I94" s="6">
        <v>433</v>
      </c>
      <c r="J94" s="6">
        <v>379</v>
      </c>
      <c r="K94" s="6">
        <v>315</v>
      </c>
      <c r="L94" s="6">
        <v>349</v>
      </c>
      <c r="M94" s="6">
        <v>408</v>
      </c>
      <c r="N94" s="6">
        <v>391</v>
      </c>
      <c r="O94" s="64">
        <v>478</v>
      </c>
    </row>
    <row r="95" spans="2:15" x14ac:dyDescent="0.25">
      <c r="B95" s="61">
        <v>52</v>
      </c>
      <c r="C95" s="62"/>
      <c r="D95" s="6">
        <v>682</v>
      </c>
      <c r="E95" s="6">
        <v>750</v>
      </c>
      <c r="F95" s="6">
        <v>641</v>
      </c>
      <c r="G95" s="6">
        <v>475</v>
      </c>
      <c r="H95" s="6">
        <v>433</v>
      </c>
      <c r="I95" s="6">
        <v>451</v>
      </c>
      <c r="J95" s="6">
        <v>394</v>
      </c>
      <c r="K95" s="6">
        <v>328</v>
      </c>
      <c r="L95" s="6">
        <v>362</v>
      </c>
      <c r="M95" s="6">
        <v>424</v>
      </c>
      <c r="N95" s="6">
        <v>406</v>
      </c>
      <c r="O95" s="64">
        <v>497</v>
      </c>
    </row>
    <row r="96" spans="2:15" x14ac:dyDescent="0.25">
      <c r="B96" s="61">
        <v>53</v>
      </c>
      <c r="C96" s="62"/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4">
        <v>0</v>
      </c>
    </row>
    <row r="97" spans="2:15" x14ac:dyDescent="0.25">
      <c r="B97" s="61">
        <v>54</v>
      </c>
      <c r="C97" s="62"/>
      <c r="D97" s="6">
        <v>156</v>
      </c>
      <c r="E97" s="6">
        <v>162</v>
      </c>
      <c r="F97" s="6">
        <v>138</v>
      </c>
      <c r="G97" s="6">
        <v>103</v>
      </c>
      <c r="H97" s="6">
        <v>129</v>
      </c>
      <c r="I97" s="6">
        <v>158</v>
      </c>
      <c r="J97" s="6">
        <v>169</v>
      </c>
      <c r="K97" s="6">
        <v>136</v>
      </c>
      <c r="L97" s="6">
        <v>152</v>
      </c>
      <c r="M97" s="6">
        <v>198</v>
      </c>
      <c r="N97" s="6">
        <v>159</v>
      </c>
      <c r="O97" s="64">
        <v>142</v>
      </c>
    </row>
    <row r="98" spans="2:15" x14ac:dyDescent="0.25">
      <c r="B98" s="61">
        <v>55</v>
      </c>
      <c r="C98" s="62"/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4">
        <v>0</v>
      </c>
    </row>
    <row r="99" spans="2:15" x14ac:dyDescent="0.25">
      <c r="B99" s="61">
        <v>56</v>
      </c>
      <c r="C99" s="62"/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4">
        <v>0</v>
      </c>
    </row>
    <row r="100" spans="2:15" x14ac:dyDescent="0.25">
      <c r="B100" s="61">
        <v>57</v>
      </c>
      <c r="C100" s="62"/>
      <c r="D100" s="6">
        <v>301</v>
      </c>
      <c r="E100" s="6">
        <v>311</v>
      </c>
      <c r="F100" s="6">
        <v>256</v>
      </c>
      <c r="G100" s="6">
        <v>193</v>
      </c>
      <c r="H100" s="6">
        <v>236</v>
      </c>
      <c r="I100" s="6">
        <v>284</v>
      </c>
      <c r="J100" s="6">
        <v>290</v>
      </c>
      <c r="K100" s="6">
        <v>229</v>
      </c>
      <c r="L100" s="6">
        <v>263</v>
      </c>
      <c r="M100" s="6">
        <v>343</v>
      </c>
      <c r="N100" s="6">
        <v>283</v>
      </c>
      <c r="O100" s="64">
        <v>258</v>
      </c>
    </row>
    <row r="101" spans="2:15" x14ac:dyDescent="0.25">
      <c r="B101" s="61">
        <v>58</v>
      </c>
      <c r="C101" s="62"/>
      <c r="D101" s="6">
        <v>363</v>
      </c>
      <c r="E101" s="6">
        <v>377</v>
      </c>
      <c r="F101" s="6">
        <v>307</v>
      </c>
      <c r="G101" s="6">
        <v>234</v>
      </c>
      <c r="H101" s="6">
        <v>276</v>
      </c>
      <c r="I101" s="6">
        <v>324</v>
      </c>
      <c r="J101" s="6">
        <v>329</v>
      </c>
      <c r="K101" s="6">
        <v>262</v>
      </c>
      <c r="L101" s="6">
        <v>305</v>
      </c>
      <c r="M101" s="6">
        <v>397</v>
      </c>
      <c r="N101" s="6">
        <v>334</v>
      </c>
      <c r="O101" s="64">
        <v>311</v>
      </c>
    </row>
    <row r="102" spans="2:15" x14ac:dyDescent="0.25">
      <c r="B102" s="61">
        <v>59</v>
      </c>
      <c r="C102" s="62"/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4">
        <v>0</v>
      </c>
    </row>
    <row r="103" spans="2:15" x14ac:dyDescent="0.25">
      <c r="B103" s="61">
        <v>60</v>
      </c>
      <c r="C103" s="62"/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4">
        <v>0</v>
      </c>
    </row>
    <row r="104" spans="2:15" x14ac:dyDescent="0.25">
      <c r="B104" s="61">
        <v>61</v>
      </c>
      <c r="C104" s="62"/>
      <c r="D104" s="6">
        <v>1481</v>
      </c>
      <c r="E104" s="6">
        <v>1561</v>
      </c>
      <c r="F104" s="6">
        <v>1286</v>
      </c>
      <c r="G104" s="6">
        <v>982</v>
      </c>
      <c r="H104" s="6">
        <v>983</v>
      </c>
      <c r="I104" s="6">
        <v>1080</v>
      </c>
      <c r="J104" s="6">
        <v>987</v>
      </c>
      <c r="K104" s="6">
        <v>799</v>
      </c>
      <c r="L104" s="6">
        <v>894</v>
      </c>
      <c r="M104" s="6">
        <v>1109</v>
      </c>
      <c r="N104" s="6">
        <v>1014</v>
      </c>
      <c r="O104" s="64">
        <v>1113</v>
      </c>
    </row>
    <row r="105" spans="2:15" x14ac:dyDescent="0.25">
      <c r="B105" s="61">
        <v>62</v>
      </c>
      <c r="C105" s="62"/>
      <c r="D105" s="6">
        <v>1554</v>
      </c>
      <c r="E105" s="6">
        <v>1640</v>
      </c>
      <c r="F105" s="6">
        <v>1356</v>
      </c>
      <c r="G105" s="6">
        <v>1036</v>
      </c>
      <c r="H105" s="6">
        <v>1036</v>
      </c>
      <c r="I105" s="6">
        <v>1139</v>
      </c>
      <c r="J105" s="6">
        <v>1045</v>
      </c>
      <c r="K105" s="6">
        <v>846</v>
      </c>
      <c r="L105" s="6">
        <v>941</v>
      </c>
      <c r="M105" s="6">
        <v>1173</v>
      </c>
      <c r="N105" s="6">
        <v>1073</v>
      </c>
      <c r="O105" s="64">
        <v>1170</v>
      </c>
    </row>
    <row r="106" spans="2:15" x14ac:dyDescent="0.25">
      <c r="B106" s="61">
        <v>63</v>
      </c>
      <c r="C106" s="62"/>
      <c r="D106" s="6">
        <v>1717</v>
      </c>
      <c r="E106" s="6">
        <v>1817</v>
      </c>
      <c r="F106" s="6">
        <v>1521</v>
      </c>
      <c r="G106" s="6">
        <v>1167</v>
      </c>
      <c r="H106" s="6">
        <v>1161</v>
      </c>
      <c r="I106" s="6">
        <v>1282</v>
      </c>
      <c r="J106" s="6">
        <v>1174</v>
      </c>
      <c r="K106" s="6">
        <v>961</v>
      </c>
      <c r="L106" s="6">
        <v>1055</v>
      </c>
      <c r="M106" s="6">
        <v>1317</v>
      </c>
      <c r="N106" s="6">
        <v>1215</v>
      </c>
      <c r="O106" s="64">
        <v>1311</v>
      </c>
    </row>
    <row r="107" spans="2:15" x14ac:dyDescent="0.25">
      <c r="B107" s="61">
        <v>64</v>
      </c>
      <c r="C107" s="62"/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4">
        <v>0</v>
      </c>
    </row>
    <row r="108" spans="2:15" x14ac:dyDescent="0.25">
      <c r="B108" s="61">
        <v>65</v>
      </c>
      <c r="C108" s="62"/>
      <c r="D108" s="6">
        <v>83</v>
      </c>
      <c r="E108" s="6">
        <v>88</v>
      </c>
      <c r="F108" s="6">
        <v>77</v>
      </c>
      <c r="G108" s="6">
        <v>82</v>
      </c>
      <c r="H108" s="6">
        <v>116</v>
      </c>
      <c r="I108" s="6">
        <v>142</v>
      </c>
      <c r="J108" s="6">
        <v>125</v>
      </c>
      <c r="K108" s="6">
        <v>102</v>
      </c>
      <c r="L108" s="6">
        <v>117</v>
      </c>
      <c r="M108" s="6">
        <v>158</v>
      </c>
      <c r="N108" s="6">
        <v>119</v>
      </c>
      <c r="O108" s="64">
        <v>91</v>
      </c>
    </row>
    <row r="109" spans="2:15" x14ac:dyDescent="0.25">
      <c r="B109" s="61">
        <v>66</v>
      </c>
      <c r="C109" s="62"/>
      <c r="D109" s="6">
        <v>14660</v>
      </c>
      <c r="E109" s="6">
        <v>15994</v>
      </c>
      <c r="F109" s="6">
        <v>14972</v>
      </c>
      <c r="G109" s="6">
        <v>11940</v>
      </c>
      <c r="H109" s="6">
        <v>9565</v>
      </c>
      <c r="I109" s="6">
        <v>8904</v>
      </c>
      <c r="J109" s="6">
        <v>7587</v>
      </c>
      <c r="K109" s="6">
        <v>6317</v>
      </c>
      <c r="L109" s="6">
        <v>6371</v>
      </c>
      <c r="M109" s="6">
        <v>7629</v>
      </c>
      <c r="N109" s="6">
        <v>8407</v>
      </c>
      <c r="O109" s="64">
        <v>11103</v>
      </c>
    </row>
    <row r="110" spans="2:15" x14ac:dyDescent="0.25">
      <c r="B110" s="61">
        <v>67</v>
      </c>
      <c r="C110" s="62"/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4">
        <v>0</v>
      </c>
    </row>
    <row r="111" spans="2:15" x14ac:dyDescent="0.25">
      <c r="B111" s="61">
        <v>68</v>
      </c>
      <c r="C111" s="62"/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4">
        <v>0</v>
      </c>
    </row>
    <row r="112" spans="2:15" x14ac:dyDescent="0.25">
      <c r="B112" s="61">
        <v>69</v>
      </c>
      <c r="C112" s="62"/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4">
        <v>0</v>
      </c>
    </row>
    <row r="113" spans="2:15" x14ac:dyDescent="0.25">
      <c r="B113" s="61">
        <v>70</v>
      </c>
      <c r="C113" s="62"/>
      <c r="D113" s="6">
        <v>20</v>
      </c>
      <c r="E113" s="6">
        <v>21</v>
      </c>
      <c r="F113" s="6">
        <v>14</v>
      </c>
      <c r="G113" s="6">
        <v>21</v>
      </c>
      <c r="H113" s="6">
        <v>41</v>
      </c>
      <c r="I113" s="6">
        <v>51</v>
      </c>
      <c r="J113" s="6">
        <v>44</v>
      </c>
      <c r="K113" s="6">
        <v>22</v>
      </c>
      <c r="L113" s="6">
        <v>39</v>
      </c>
      <c r="M113" s="6">
        <v>51</v>
      </c>
      <c r="N113" s="6">
        <v>26</v>
      </c>
      <c r="O113" s="64">
        <v>19</v>
      </c>
    </row>
    <row r="114" spans="2:15" x14ac:dyDescent="0.25">
      <c r="B114" s="61">
        <v>71</v>
      </c>
      <c r="C114" s="62"/>
      <c r="D114" s="6">
        <v>92</v>
      </c>
      <c r="E114" s="6">
        <v>95</v>
      </c>
      <c r="F114" s="6">
        <v>81</v>
      </c>
      <c r="G114" s="6">
        <v>80</v>
      </c>
      <c r="H114" s="6">
        <v>107</v>
      </c>
      <c r="I114" s="6">
        <v>131</v>
      </c>
      <c r="J114" s="6">
        <v>121</v>
      </c>
      <c r="K114" s="6">
        <v>90</v>
      </c>
      <c r="L114" s="6">
        <v>111</v>
      </c>
      <c r="M114" s="6">
        <v>141</v>
      </c>
      <c r="N114" s="6">
        <v>109</v>
      </c>
      <c r="O114" s="64">
        <v>93</v>
      </c>
    </row>
    <row r="115" spans="2:15" x14ac:dyDescent="0.25">
      <c r="B115" s="61">
        <v>72</v>
      </c>
      <c r="C115" s="62"/>
      <c r="D115" s="6">
        <v>97</v>
      </c>
      <c r="E115" s="6">
        <v>100</v>
      </c>
      <c r="F115" s="6">
        <v>85</v>
      </c>
      <c r="G115" s="6">
        <v>84</v>
      </c>
      <c r="H115" s="6">
        <v>112</v>
      </c>
      <c r="I115" s="6">
        <v>137</v>
      </c>
      <c r="J115" s="6">
        <v>127</v>
      </c>
      <c r="K115" s="6">
        <v>94</v>
      </c>
      <c r="L115" s="6">
        <v>117</v>
      </c>
      <c r="M115" s="6">
        <v>148</v>
      </c>
      <c r="N115" s="6">
        <v>114</v>
      </c>
      <c r="O115" s="64">
        <v>97</v>
      </c>
    </row>
    <row r="116" spans="2:15" x14ac:dyDescent="0.25">
      <c r="B116" s="61">
        <v>73</v>
      </c>
      <c r="C116" s="62"/>
      <c r="D116" s="6">
        <v>114</v>
      </c>
      <c r="E116" s="6">
        <v>117</v>
      </c>
      <c r="F116" s="6">
        <v>101</v>
      </c>
      <c r="G116" s="6">
        <v>100</v>
      </c>
      <c r="H116" s="6">
        <v>134</v>
      </c>
      <c r="I116" s="6">
        <v>164</v>
      </c>
      <c r="J116" s="6">
        <v>151</v>
      </c>
      <c r="K116" s="6">
        <v>112</v>
      </c>
      <c r="L116" s="6">
        <v>139</v>
      </c>
      <c r="M116" s="6">
        <v>173</v>
      </c>
      <c r="N116" s="6">
        <v>136</v>
      </c>
      <c r="O116" s="64">
        <v>115</v>
      </c>
    </row>
    <row r="117" spans="2:15" x14ac:dyDescent="0.25">
      <c r="B117" s="61">
        <v>74</v>
      </c>
      <c r="C117" s="62"/>
      <c r="D117" s="6">
        <v>604</v>
      </c>
      <c r="E117" s="6">
        <v>672</v>
      </c>
      <c r="F117" s="6">
        <v>607</v>
      </c>
      <c r="G117" s="6">
        <v>483</v>
      </c>
      <c r="H117" s="6">
        <v>582</v>
      </c>
      <c r="I117" s="6">
        <v>717</v>
      </c>
      <c r="J117" s="6">
        <v>740</v>
      </c>
      <c r="K117" s="6">
        <v>617</v>
      </c>
      <c r="L117" s="6">
        <v>730</v>
      </c>
      <c r="M117" s="6">
        <v>936</v>
      </c>
      <c r="N117" s="6">
        <v>698</v>
      </c>
      <c r="O117" s="64">
        <v>587</v>
      </c>
    </row>
    <row r="118" spans="2:15" x14ac:dyDescent="0.25">
      <c r="B118" s="61">
        <v>75</v>
      </c>
      <c r="C118" s="62"/>
      <c r="D118" s="6">
        <v>785</v>
      </c>
      <c r="E118" s="6">
        <v>860</v>
      </c>
      <c r="F118" s="6">
        <v>774</v>
      </c>
      <c r="G118" s="6">
        <v>643</v>
      </c>
      <c r="H118" s="6">
        <v>780</v>
      </c>
      <c r="I118" s="6">
        <v>961</v>
      </c>
      <c r="J118" s="6">
        <v>967</v>
      </c>
      <c r="K118" s="6">
        <v>800</v>
      </c>
      <c r="L118" s="6">
        <v>942</v>
      </c>
      <c r="M118" s="6">
        <v>1207</v>
      </c>
      <c r="N118" s="6">
        <v>920</v>
      </c>
      <c r="O118" s="64">
        <v>769</v>
      </c>
    </row>
    <row r="119" spans="2:15" x14ac:dyDescent="0.25">
      <c r="B119" s="61">
        <v>76</v>
      </c>
      <c r="C119" s="62"/>
      <c r="D119" s="6">
        <v>692</v>
      </c>
      <c r="E119" s="6">
        <v>764</v>
      </c>
      <c r="F119" s="6">
        <v>687</v>
      </c>
      <c r="G119" s="6">
        <v>564</v>
      </c>
      <c r="H119" s="6">
        <v>687</v>
      </c>
      <c r="I119" s="6">
        <v>848</v>
      </c>
      <c r="J119" s="6">
        <v>860</v>
      </c>
      <c r="K119" s="6">
        <v>709</v>
      </c>
      <c r="L119" s="6">
        <v>842</v>
      </c>
      <c r="M119" s="6">
        <v>1084</v>
      </c>
      <c r="N119" s="6">
        <v>811</v>
      </c>
      <c r="O119" s="64">
        <v>673</v>
      </c>
    </row>
    <row r="120" spans="2:15" x14ac:dyDescent="0.25">
      <c r="B120" s="61">
        <v>77</v>
      </c>
      <c r="C120" s="62"/>
      <c r="D120" s="6">
        <v>899</v>
      </c>
      <c r="E120" s="6">
        <v>980</v>
      </c>
      <c r="F120" s="6">
        <v>865</v>
      </c>
      <c r="G120" s="6">
        <v>758</v>
      </c>
      <c r="H120" s="6">
        <v>947</v>
      </c>
      <c r="I120" s="6">
        <v>1177</v>
      </c>
      <c r="J120" s="6">
        <v>1159</v>
      </c>
      <c r="K120" s="6">
        <v>932</v>
      </c>
      <c r="L120" s="6">
        <v>1109</v>
      </c>
      <c r="M120" s="6">
        <v>1444</v>
      </c>
      <c r="N120" s="6">
        <v>1081</v>
      </c>
      <c r="O120" s="64">
        <v>886</v>
      </c>
    </row>
    <row r="121" spans="2:15" x14ac:dyDescent="0.25">
      <c r="B121" s="61">
        <v>78</v>
      </c>
      <c r="C121" s="62"/>
      <c r="D121" s="6">
        <v>937</v>
      </c>
      <c r="E121" s="6">
        <v>1021</v>
      </c>
      <c r="F121" s="6">
        <v>903</v>
      </c>
      <c r="G121" s="6">
        <v>794</v>
      </c>
      <c r="H121" s="6">
        <v>995</v>
      </c>
      <c r="I121" s="6">
        <v>1235</v>
      </c>
      <c r="J121" s="6">
        <v>1214</v>
      </c>
      <c r="K121" s="6">
        <v>976</v>
      </c>
      <c r="L121" s="6">
        <v>1154</v>
      </c>
      <c r="M121" s="6">
        <v>1519</v>
      </c>
      <c r="N121" s="6">
        <v>1139</v>
      </c>
      <c r="O121" s="64">
        <v>929</v>
      </c>
    </row>
    <row r="122" spans="2:15" x14ac:dyDescent="0.25">
      <c r="B122" s="61">
        <v>79</v>
      </c>
      <c r="C122" s="62"/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4">
        <v>0</v>
      </c>
    </row>
    <row r="123" spans="2:15" x14ac:dyDescent="0.25">
      <c r="B123" s="61">
        <v>80</v>
      </c>
      <c r="C123" s="62"/>
      <c r="D123" s="6">
        <v>53</v>
      </c>
      <c r="E123" s="6">
        <v>59</v>
      </c>
      <c r="F123" s="6">
        <v>50</v>
      </c>
      <c r="G123" s="6">
        <v>53</v>
      </c>
      <c r="H123" s="6">
        <v>74</v>
      </c>
      <c r="I123" s="6">
        <v>91</v>
      </c>
      <c r="J123" s="6">
        <v>82</v>
      </c>
      <c r="K123" s="6">
        <v>66</v>
      </c>
      <c r="L123" s="6">
        <v>77</v>
      </c>
      <c r="M123" s="6">
        <v>101</v>
      </c>
      <c r="N123" s="6">
        <v>73</v>
      </c>
      <c r="O123" s="64">
        <v>56</v>
      </c>
    </row>
    <row r="124" spans="2:15" x14ac:dyDescent="0.25">
      <c r="B124" s="61">
        <v>81</v>
      </c>
      <c r="C124" s="62"/>
      <c r="D124" s="6">
        <v>1264</v>
      </c>
      <c r="E124" s="6">
        <v>1370</v>
      </c>
      <c r="F124" s="6">
        <v>1211</v>
      </c>
      <c r="G124" s="6">
        <v>1110</v>
      </c>
      <c r="H124" s="6">
        <v>1434</v>
      </c>
      <c r="I124" s="6">
        <v>1786</v>
      </c>
      <c r="J124" s="6">
        <v>1706</v>
      </c>
      <c r="K124" s="6">
        <v>1365</v>
      </c>
      <c r="L124" s="6">
        <v>1591</v>
      </c>
      <c r="M124" s="6">
        <v>2124</v>
      </c>
      <c r="N124" s="6">
        <v>1601</v>
      </c>
      <c r="O124" s="64">
        <v>1300</v>
      </c>
    </row>
    <row r="125" spans="2:15" x14ac:dyDescent="0.25">
      <c r="B125" s="61">
        <v>82</v>
      </c>
      <c r="C125" s="62"/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4">
        <v>0</v>
      </c>
    </row>
    <row r="126" spans="2:15" x14ac:dyDescent="0.25">
      <c r="B126" s="61">
        <v>83</v>
      </c>
      <c r="C126" s="62"/>
      <c r="D126" s="6">
        <v>57</v>
      </c>
      <c r="E126" s="6">
        <v>63</v>
      </c>
      <c r="F126" s="6">
        <v>53</v>
      </c>
      <c r="G126" s="6">
        <v>57</v>
      </c>
      <c r="H126" s="6">
        <v>79</v>
      </c>
      <c r="I126" s="6">
        <v>97</v>
      </c>
      <c r="J126" s="6">
        <v>88</v>
      </c>
      <c r="K126" s="6">
        <v>71</v>
      </c>
      <c r="L126" s="6">
        <v>83</v>
      </c>
      <c r="M126" s="6">
        <v>108</v>
      </c>
      <c r="N126" s="6">
        <v>79</v>
      </c>
      <c r="O126" s="64">
        <v>60</v>
      </c>
    </row>
    <row r="127" spans="2:15" x14ac:dyDescent="0.25">
      <c r="B127" s="61">
        <v>84</v>
      </c>
      <c r="C127" s="62"/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4">
        <v>0</v>
      </c>
    </row>
    <row r="128" spans="2:15" x14ac:dyDescent="0.25">
      <c r="B128" s="61">
        <v>85</v>
      </c>
      <c r="C128" s="62"/>
      <c r="D128" s="6">
        <v>109</v>
      </c>
      <c r="E128" s="6">
        <v>141</v>
      </c>
      <c r="F128" s="6">
        <v>107</v>
      </c>
      <c r="G128" s="6">
        <v>108</v>
      </c>
      <c r="H128" s="6">
        <v>139</v>
      </c>
      <c r="I128" s="6">
        <v>160</v>
      </c>
      <c r="J128" s="6">
        <v>205</v>
      </c>
      <c r="K128" s="6">
        <v>213</v>
      </c>
      <c r="L128" s="6">
        <v>247</v>
      </c>
      <c r="M128" s="6">
        <v>213</v>
      </c>
      <c r="N128" s="6">
        <v>128</v>
      </c>
      <c r="O128" s="64">
        <v>108</v>
      </c>
    </row>
    <row r="129" spans="2:15" x14ac:dyDescent="0.25">
      <c r="B129" s="61">
        <v>86</v>
      </c>
      <c r="C129" s="62"/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4">
        <v>0</v>
      </c>
    </row>
    <row r="130" spans="2:15" x14ac:dyDescent="0.25">
      <c r="B130" s="61">
        <v>87</v>
      </c>
      <c r="C130" s="62"/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4">
        <v>0</v>
      </c>
    </row>
    <row r="131" spans="2:15" x14ac:dyDescent="0.25">
      <c r="B131" s="61">
        <v>88</v>
      </c>
      <c r="C131" s="62"/>
      <c r="D131" s="6">
        <v>182</v>
      </c>
      <c r="E131" s="6">
        <v>223</v>
      </c>
      <c r="F131" s="6">
        <v>179</v>
      </c>
      <c r="G131" s="6">
        <v>157</v>
      </c>
      <c r="H131" s="6">
        <v>203</v>
      </c>
      <c r="I131" s="6">
        <v>230</v>
      </c>
      <c r="J131" s="6">
        <v>269</v>
      </c>
      <c r="K131" s="6">
        <v>281</v>
      </c>
      <c r="L131" s="6">
        <v>335</v>
      </c>
      <c r="M131" s="6">
        <v>357</v>
      </c>
      <c r="N131" s="6">
        <v>233</v>
      </c>
      <c r="O131" s="64">
        <v>171</v>
      </c>
    </row>
    <row r="132" spans="2:15" x14ac:dyDescent="0.25">
      <c r="B132" s="61">
        <v>89</v>
      </c>
      <c r="C132" s="62"/>
      <c r="D132" s="6">
        <v>214</v>
      </c>
      <c r="E132" s="6">
        <v>262</v>
      </c>
      <c r="F132" s="6">
        <v>211</v>
      </c>
      <c r="G132" s="6">
        <v>192</v>
      </c>
      <c r="H132" s="6">
        <v>252</v>
      </c>
      <c r="I132" s="6">
        <v>285</v>
      </c>
      <c r="J132" s="6">
        <v>338</v>
      </c>
      <c r="K132" s="6">
        <v>343</v>
      </c>
      <c r="L132" s="6">
        <v>416</v>
      </c>
      <c r="M132" s="6">
        <v>442</v>
      </c>
      <c r="N132" s="6">
        <v>287</v>
      </c>
      <c r="O132" s="64">
        <v>206</v>
      </c>
    </row>
    <row r="133" spans="2:15" x14ac:dyDescent="0.25">
      <c r="B133" s="61">
        <v>90</v>
      </c>
      <c r="C133" s="62"/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4">
        <v>0</v>
      </c>
    </row>
    <row r="134" spans="2:15" x14ac:dyDescent="0.25">
      <c r="B134" s="61">
        <v>91</v>
      </c>
      <c r="C134" s="62"/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4">
        <v>0</v>
      </c>
    </row>
    <row r="135" spans="2:15" x14ac:dyDescent="0.25">
      <c r="B135" s="61">
        <v>92</v>
      </c>
      <c r="C135" s="62"/>
      <c r="D135" s="6">
        <v>688</v>
      </c>
      <c r="E135" s="6">
        <v>856</v>
      </c>
      <c r="F135" s="6">
        <v>677</v>
      </c>
      <c r="G135" s="6">
        <v>705</v>
      </c>
      <c r="H135" s="6">
        <v>977</v>
      </c>
      <c r="I135" s="6">
        <v>1135</v>
      </c>
      <c r="J135" s="6">
        <v>1327</v>
      </c>
      <c r="K135" s="6">
        <v>1355</v>
      </c>
      <c r="L135" s="6">
        <v>1584</v>
      </c>
      <c r="M135" s="6">
        <v>1594</v>
      </c>
      <c r="N135" s="6">
        <v>997</v>
      </c>
      <c r="O135" s="64">
        <v>733</v>
      </c>
    </row>
    <row r="136" spans="2:15" x14ac:dyDescent="0.25">
      <c r="B136" s="61">
        <v>93</v>
      </c>
      <c r="C136" s="62"/>
      <c r="D136" s="6">
        <v>35</v>
      </c>
      <c r="E136" s="6">
        <v>34</v>
      </c>
      <c r="F136" s="6">
        <v>29</v>
      </c>
      <c r="G136" s="6">
        <v>36</v>
      </c>
      <c r="H136" s="6">
        <v>55</v>
      </c>
      <c r="I136" s="6">
        <v>71</v>
      </c>
      <c r="J136" s="6">
        <v>79</v>
      </c>
      <c r="K136" s="6">
        <v>71</v>
      </c>
      <c r="L136" s="6">
        <v>79</v>
      </c>
      <c r="M136" s="6">
        <v>85</v>
      </c>
      <c r="N136" s="6">
        <v>59</v>
      </c>
      <c r="O136" s="64">
        <v>46</v>
      </c>
    </row>
    <row r="137" spans="2:15" x14ac:dyDescent="0.25">
      <c r="B137" s="61">
        <v>94</v>
      </c>
      <c r="C137" s="62"/>
      <c r="D137" s="6">
        <v>832</v>
      </c>
      <c r="E137" s="6">
        <v>1010</v>
      </c>
      <c r="F137" s="6">
        <v>814</v>
      </c>
      <c r="G137" s="6">
        <v>865</v>
      </c>
      <c r="H137" s="6">
        <v>1208</v>
      </c>
      <c r="I137" s="6">
        <v>1421</v>
      </c>
      <c r="J137" s="6">
        <v>1647</v>
      </c>
      <c r="K137" s="6">
        <v>1660</v>
      </c>
      <c r="L137" s="6">
        <v>1911</v>
      </c>
      <c r="M137" s="6">
        <v>1940</v>
      </c>
      <c r="N137" s="6">
        <v>1247</v>
      </c>
      <c r="O137" s="64">
        <v>923</v>
      </c>
    </row>
    <row r="138" spans="2:15" x14ac:dyDescent="0.25">
      <c r="B138" s="61">
        <v>95</v>
      </c>
      <c r="C138" s="62"/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4">
        <v>0</v>
      </c>
    </row>
    <row r="139" spans="2:15" x14ac:dyDescent="0.25">
      <c r="B139" s="61">
        <v>96</v>
      </c>
      <c r="C139" s="62"/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4">
        <v>0</v>
      </c>
    </row>
    <row r="140" spans="2:15" x14ac:dyDescent="0.25">
      <c r="B140" s="61">
        <v>97</v>
      </c>
      <c r="C140" s="62"/>
      <c r="D140" s="6">
        <v>163</v>
      </c>
      <c r="E140" s="6">
        <v>204</v>
      </c>
      <c r="F140" s="6">
        <v>156</v>
      </c>
      <c r="G140" s="6">
        <v>175</v>
      </c>
      <c r="H140" s="6">
        <v>241</v>
      </c>
      <c r="I140" s="6">
        <v>324</v>
      </c>
      <c r="J140" s="6">
        <v>414</v>
      </c>
      <c r="K140" s="6">
        <v>418</v>
      </c>
      <c r="L140" s="6">
        <v>474</v>
      </c>
      <c r="M140" s="6">
        <v>397</v>
      </c>
      <c r="N140" s="6">
        <v>227</v>
      </c>
      <c r="O140" s="64">
        <v>183</v>
      </c>
    </row>
    <row r="141" spans="2:15" x14ac:dyDescent="0.25">
      <c r="B141" s="61">
        <v>98</v>
      </c>
      <c r="C141" s="62"/>
      <c r="D141" s="6">
        <v>95</v>
      </c>
      <c r="E141" s="6">
        <v>121</v>
      </c>
      <c r="F141" s="6">
        <v>92</v>
      </c>
      <c r="G141" s="6">
        <v>100</v>
      </c>
      <c r="H141" s="6">
        <v>128</v>
      </c>
      <c r="I141" s="6">
        <v>177</v>
      </c>
      <c r="J141" s="6">
        <v>224</v>
      </c>
      <c r="K141" s="6">
        <v>230</v>
      </c>
      <c r="L141" s="6">
        <v>255</v>
      </c>
      <c r="M141" s="6">
        <v>210</v>
      </c>
      <c r="N141" s="6">
        <v>124</v>
      </c>
      <c r="O141" s="64">
        <v>99</v>
      </c>
    </row>
    <row r="142" spans="2:15" x14ac:dyDescent="0.25">
      <c r="B142" s="61">
        <v>99</v>
      </c>
      <c r="C142" s="62"/>
      <c r="D142" s="6">
        <v>80</v>
      </c>
      <c r="E142" s="6">
        <v>85</v>
      </c>
      <c r="F142" s="6">
        <v>85</v>
      </c>
      <c r="G142" s="6">
        <v>73</v>
      </c>
      <c r="H142" s="6">
        <v>60</v>
      </c>
      <c r="I142" s="6">
        <v>54</v>
      </c>
      <c r="J142" s="6">
        <v>49</v>
      </c>
      <c r="K142" s="6">
        <v>46</v>
      </c>
      <c r="L142" s="6">
        <v>47</v>
      </c>
      <c r="M142" s="6">
        <v>51</v>
      </c>
      <c r="N142" s="6">
        <v>58</v>
      </c>
      <c r="O142" s="64">
        <v>70</v>
      </c>
    </row>
    <row r="143" spans="2:15" x14ac:dyDescent="0.25">
      <c r="B143" s="61">
        <v>100</v>
      </c>
      <c r="C143" s="62"/>
      <c r="D143" s="6">
        <v>5</v>
      </c>
      <c r="E143" s="6">
        <v>6</v>
      </c>
      <c r="F143" s="6">
        <v>6</v>
      </c>
      <c r="G143" s="6">
        <v>5</v>
      </c>
      <c r="H143" s="6">
        <v>4</v>
      </c>
      <c r="I143" s="6">
        <v>4</v>
      </c>
      <c r="J143" s="6">
        <v>4</v>
      </c>
      <c r="K143" s="6">
        <v>3</v>
      </c>
      <c r="L143" s="6">
        <v>4</v>
      </c>
      <c r="M143" s="6">
        <v>5</v>
      </c>
      <c r="N143" s="6">
        <v>5</v>
      </c>
      <c r="O143" s="64">
        <v>5</v>
      </c>
    </row>
    <row r="144" spans="2:15" x14ac:dyDescent="0.25">
      <c r="B144" s="61">
        <v>101</v>
      </c>
      <c r="C144" s="62"/>
      <c r="D144" s="6">
        <v>114</v>
      </c>
      <c r="E144" s="6">
        <v>135</v>
      </c>
      <c r="F144" s="6">
        <v>105</v>
      </c>
      <c r="G144" s="6">
        <v>76</v>
      </c>
      <c r="H144" s="6">
        <v>92</v>
      </c>
      <c r="I144" s="6">
        <v>95</v>
      </c>
      <c r="J144" s="6">
        <v>119</v>
      </c>
      <c r="K144" s="6">
        <v>130</v>
      </c>
      <c r="L144" s="6">
        <v>162</v>
      </c>
      <c r="M144" s="6">
        <v>174</v>
      </c>
      <c r="N144" s="6">
        <v>116</v>
      </c>
      <c r="O144" s="64">
        <v>97</v>
      </c>
    </row>
    <row r="145" spans="2:15" x14ac:dyDescent="0.25">
      <c r="B145" s="61">
        <v>102</v>
      </c>
      <c r="C145" s="62"/>
      <c r="D145" s="6">
        <v>160</v>
      </c>
      <c r="E145" s="6">
        <v>143</v>
      </c>
      <c r="F145" s="6">
        <v>121</v>
      </c>
      <c r="G145" s="6">
        <v>186</v>
      </c>
      <c r="H145" s="6">
        <v>245</v>
      </c>
      <c r="I145" s="6">
        <v>298</v>
      </c>
      <c r="J145" s="6">
        <v>295</v>
      </c>
      <c r="K145" s="6">
        <v>281</v>
      </c>
      <c r="L145" s="6">
        <v>328</v>
      </c>
      <c r="M145" s="6">
        <v>367</v>
      </c>
      <c r="N145" s="6">
        <v>271</v>
      </c>
      <c r="O145" s="64">
        <v>218</v>
      </c>
    </row>
    <row r="146" spans="2:15" x14ac:dyDescent="0.25">
      <c r="B146" s="61">
        <v>103</v>
      </c>
      <c r="C146" s="62"/>
      <c r="D146" s="6">
        <v>166</v>
      </c>
      <c r="E146" s="6">
        <v>149</v>
      </c>
      <c r="F146" s="6">
        <v>126</v>
      </c>
      <c r="G146" s="6">
        <v>192</v>
      </c>
      <c r="H146" s="6">
        <v>253</v>
      </c>
      <c r="I146" s="6">
        <v>309</v>
      </c>
      <c r="J146" s="6">
        <v>307</v>
      </c>
      <c r="K146" s="6">
        <v>292</v>
      </c>
      <c r="L146" s="6">
        <v>339</v>
      </c>
      <c r="M146" s="6">
        <v>381</v>
      </c>
      <c r="N146" s="6">
        <v>283</v>
      </c>
      <c r="O146" s="64">
        <v>227</v>
      </c>
    </row>
    <row r="147" spans="2:15" x14ac:dyDescent="0.25">
      <c r="B147" s="61">
        <v>104</v>
      </c>
      <c r="C147" s="62"/>
      <c r="D147" s="6">
        <v>45</v>
      </c>
      <c r="E147" s="6">
        <v>46</v>
      </c>
      <c r="F147" s="6">
        <v>41</v>
      </c>
      <c r="G147" s="6">
        <v>29</v>
      </c>
      <c r="H147" s="6">
        <v>23</v>
      </c>
      <c r="I147" s="6">
        <v>21</v>
      </c>
      <c r="J147" s="6">
        <v>18</v>
      </c>
      <c r="K147" s="6">
        <v>16</v>
      </c>
      <c r="L147" s="6">
        <v>21</v>
      </c>
      <c r="M147" s="6">
        <v>26</v>
      </c>
      <c r="N147" s="6">
        <v>27</v>
      </c>
      <c r="O147" s="64">
        <v>35</v>
      </c>
    </row>
    <row r="148" spans="2:15" x14ac:dyDescent="0.25">
      <c r="B148" s="61">
        <v>105</v>
      </c>
      <c r="C148" s="62"/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4">
        <v>0</v>
      </c>
    </row>
    <row r="149" spans="2:15" x14ac:dyDescent="0.25">
      <c r="B149" s="61">
        <v>106</v>
      </c>
      <c r="C149" s="62"/>
      <c r="D149" s="6">
        <v>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4">
        <v>0</v>
      </c>
    </row>
    <row r="150" spans="2:15" x14ac:dyDescent="0.25">
      <c r="B150" s="61">
        <v>107</v>
      </c>
      <c r="C150" s="62"/>
      <c r="D150" s="6">
        <v>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4">
        <v>0</v>
      </c>
    </row>
    <row r="151" spans="2:15" x14ac:dyDescent="0.25">
      <c r="B151" s="61">
        <v>108</v>
      </c>
      <c r="C151" s="62"/>
      <c r="D151" s="6">
        <v>0</v>
      </c>
      <c r="E151" s="6">
        <v>0</v>
      </c>
      <c r="F151" s="6">
        <v>0</v>
      </c>
      <c r="G151" s="6">
        <v>0</v>
      </c>
      <c r="H151" s="6">
        <v>0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6">
        <v>0</v>
      </c>
      <c r="O151" s="64">
        <v>0</v>
      </c>
    </row>
    <row r="152" spans="2:15" x14ac:dyDescent="0.25">
      <c r="B152" s="61">
        <v>109</v>
      </c>
      <c r="C152" s="62"/>
      <c r="D152" s="6">
        <v>26</v>
      </c>
      <c r="E152" s="6">
        <v>26</v>
      </c>
      <c r="F152" s="6">
        <v>23</v>
      </c>
      <c r="G152" s="6">
        <v>17</v>
      </c>
      <c r="H152" s="6">
        <v>12</v>
      </c>
      <c r="I152" s="6">
        <v>11</v>
      </c>
      <c r="J152" s="6">
        <v>9</v>
      </c>
      <c r="K152" s="6">
        <v>8</v>
      </c>
      <c r="L152" s="6">
        <v>12</v>
      </c>
      <c r="M152" s="6">
        <v>15</v>
      </c>
      <c r="N152" s="6">
        <v>15</v>
      </c>
      <c r="O152" s="64">
        <v>21</v>
      </c>
    </row>
    <row r="153" spans="2:15" x14ac:dyDescent="0.25">
      <c r="B153" s="61">
        <v>110</v>
      </c>
      <c r="C153" s="62"/>
      <c r="D153" s="6">
        <v>21</v>
      </c>
      <c r="E153" s="6">
        <v>20</v>
      </c>
      <c r="F153" s="6">
        <v>15</v>
      </c>
      <c r="G153" s="6">
        <v>20</v>
      </c>
      <c r="H153" s="6">
        <v>28</v>
      </c>
      <c r="I153" s="6">
        <v>34</v>
      </c>
      <c r="J153" s="6">
        <v>40</v>
      </c>
      <c r="K153" s="6">
        <v>40</v>
      </c>
      <c r="L153" s="6">
        <v>43</v>
      </c>
      <c r="M153" s="6">
        <v>46</v>
      </c>
      <c r="N153" s="6">
        <v>32</v>
      </c>
      <c r="O153" s="64">
        <v>25</v>
      </c>
    </row>
    <row r="154" spans="2:15" x14ac:dyDescent="0.25">
      <c r="B154" s="61">
        <v>111</v>
      </c>
      <c r="C154" s="62"/>
      <c r="D154" s="6">
        <v>135</v>
      </c>
      <c r="E154" s="6">
        <v>123</v>
      </c>
      <c r="F154" s="6">
        <v>104</v>
      </c>
      <c r="G154" s="6">
        <v>138</v>
      </c>
      <c r="H154" s="6">
        <v>193</v>
      </c>
      <c r="I154" s="6">
        <v>241</v>
      </c>
      <c r="J154" s="6">
        <v>273</v>
      </c>
      <c r="K154" s="6">
        <v>273</v>
      </c>
      <c r="L154" s="6">
        <v>313</v>
      </c>
      <c r="M154" s="6">
        <v>313</v>
      </c>
      <c r="N154" s="6">
        <v>221</v>
      </c>
      <c r="O154" s="64">
        <v>177</v>
      </c>
    </row>
    <row r="155" spans="2:15" x14ac:dyDescent="0.25">
      <c r="B155" s="61">
        <v>112</v>
      </c>
      <c r="C155" s="62"/>
      <c r="D155" s="6">
        <v>137</v>
      </c>
      <c r="E155" s="6">
        <v>124</v>
      </c>
      <c r="F155" s="6">
        <v>105</v>
      </c>
      <c r="G155" s="6">
        <v>139</v>
      </c>
      <c r="H155" s="6">
        <v>194</v>
      </c>
      <c r="I155" s="6">
        <v>243</v>
      </c>
      <c r="J155" s="6">
        <v>275</v>
      </c>
      <c r="K155" s="6">
        <v>275</v>
      </c>
      <c r="L155" s="6">
        <v>315</v>
      </c>
      <c r="M155" s="6">
        <v>316</v>
      </c>
      <c r="N155" s="6">
        <v>222</v>
      </c>
      <c r="O155" s="64">
        <v>178</v>
      </c>
    </row>
    <row r="156" spans="2:15" x14ac:dyDescent="0.25">
      <c r="B156" s="61">
        <v>113</v>
      </c>
      <c r="C156" s="62"/>
      <c r="D156" s="6">
        <v>170</v>
      </c>
      <c r="E156" s="6">
        <v>155</v>
      </c>
      <c r="F156" s="6">
        <v>132</v>
      </c>
      <c r="G156" s="6">
        <v>178</v>
      </c>
      <c r="H156" s="6">
        <v>248</v>
      </c>
      <c r="I156" s="6">
        <v>310</v>
      </c>
      <c r="J156" s="6">
        <v>354</v>
      </c>
      <c r="K156" s="6">
        <v>347</v>
      </c>
      <c r="L156" s="6">
        <v>400</v>
      </c>
      <c r="M156" s="6">
        <v>401</v>
      </c>
      <c r="N156" s="6">
        <v>287</v>
      </c>
      <c r="O156" s="64">
        <v>223</v>
      </c>
    </row>
    <row r="157" spans="2:15" x14ac:dyDescent="0.25">
      <c r="B157" s="61">
        <v>114</v>
      </c>
      <c r="C157" s="62"/>
      <c r="D157" s="6">
        <v>207</v>
      </c>
      <c r="E157" s="6">
        <v>193</v>
      </c>
      <c r="F157" s="6">
        <v>164</v>
      </c>
      <c r="G157" s="6">
        <v>227</v>
      </c>
      <c r="H157" s="6">
        <v>303</v>
      </c>
      <c r="I157" s="6">
        <v>395</v>
      </c>
      <c r="J157" s="6">
        <v>447</v>
      </c>
      <c r="K157" s="6">
        <v>424</v>
      </c>
      <c r="L157" s="6">
        <v>486</v>
      </c>
      <c r="M157" s="6">
        <v>485</v>
      </c>
      <c r="N157" s="6">
        <v>343</v>
      </c>
      <c r="O157" s="64">
        <v>269</v>
      </c>
    </row>
    <row r="158" spans="2:15" x14ac:dyDescent="0.25">
      <c r="B158" s="61">
        <v>115</v>
      </c>
      <c r="C158" s="62"/>
      <c r="D158" s="6">
        <v>25</v>
      </c>
      <c r="E158" s="6">
        <v>27</v>
      </c>
      <c r="F158" s="6">
        <v>24</v>
      </c>
      <c r="G158" s="6">
        <v>18</v>
      </c>
      <c r="H158" s="6">
        <v>17</v>
      </c>
      <c r="I158" s="6">
        <v>17</v>
      </c>
      <c r="J158" s="6">
        <v>17</v>
      </c>
      <c r="K158" s="6">
        <v>14</v>
      </c>
      <c r="L158" s="6">
        <v>18</v>
      </c>
      <c r="M158" s="6">
        <v>20</v>
      </c>
      <c r="N158" s="6">
        <v>19</v>
      </c>
      <c r="O158" s="64">
        <v>21</v>
      </c>
    </row>
    <row r="159" spans="2:15" x14ac:dyDescent="0.25">
      <c r="B159" s="61">
        <v>116</v>
      </c>
      <c r="C159" s="62"/>
      <c r="D159" s="6">
        <v>6</v>
      </c>
      <c r="E159" s="6">
        <v>6</v>
      </c>
      <c r="F159" s="6">
        <v>5</v>
      </c>
      <c r="G159" s="6">
        <v>4</v>
      </c>
      <c r="H159" s="6">
        <v>3</v>
      </c>
      <c r="I159" s="6">
        <v>2</v>
      </c>
      <c r="J159" s="6">
        <v>2</v>
      </c>
      <c r="K159" s="6">
        <v>2</v>
      </c>
      <c r="L159" s="6">
        <v>3</v>
      </c>
      <c r="M159" s="6">
        <v>3</v>
      </c>
      <c r="N159" s="6">
        <v>3</v>
      </c>
      <c r="O159" s="64">
        <v>5</v>
      </c>
    </row>
    <row r="160" spans="2:15" x14ac:dyDescent="0.25">
      <c r="B160" s="61">
        <v>117</v>
      </c>
      <c r="C160" s="62"/>
      <c r="D160" s="6">
        <v>19</v>
      </c>
      <c r="E160" s="6">
        <v>20</v>
      </c>
      <c r="F160" s="6">
        <v>18</v>
      </c>
      <c r="G160" s="6">
        <v>13</v>
      </c>
      <c r="H160" s="6">
        <v>10</v>
      </c>
      <c r="I160" s="6">
        <v>10</v>
      </c>
      <c r="J160" s="6">
        <v>9</v>
      </c>
      <c r="K160" s="6">
        <v>7</v>
      </c>
      <c r="L160" s="6">
        <v>9</v>
      </c>
      <c r="M160" s="6">
        <v>11</v>
      </c>
      <c r="N160" s="6">
        <v>11</v>
      </c>
      <c r="O160" s="64">
        <v>15</v>
      </c>
    </row>
    <row r="161" spans="2:15" x14ac:dyDescent="0.25">
      <c r="B161" s="61">
        <v>118</v>
      </c>
      <c r="C161" s="62"/>
      <c r="D161" s="6">
        <v>26</v>
      </c>
      <c r="E161" s="6">
        <v>26</v>
      </c>
      <c r="F161" s="6">
        <v>23</v>
      </c>
      <c r="G161" s="6">
        <v>17</v>
      </c>
      <c r="H161" s="6">
        <v>12</v>
      </c>
      <c r="I161" s="6">
        <v>11</v>
      </c>
      <c r="J161" s="6">
        <v>9</v>
      </c>
      <c r="K161" s="6">
        <v>8</v>
      </c>
      <c r="L161" s="6">
        <v>12</v>
      </c>
      <c r="M161" s="6">
        <v>15</v>
      </c>
      <c r="N161" s="6">
        <v>15</v>
      </c>
      <c r="O161" s="64">
        <v>21</v>
      </c>
    </row>
    <row r="162" spans="2:15" x14ac:dyDescent="0.25">
      <c r="B162" s="61">
        <v>119</v>
      </c>
      <c r="C162" s="62"/>
      <c r="D162" s="6">
        <v>32</v>
      </c>
      <c r="E162" s="6">
        <v>31</v>
      </c>
      <c r="F162" s="6">
        <v>29</v>
      </c>
      <c r="G162" s="6">
        <v>20</v>
      </c>
      <c r="H162" s="6">
        <v>15</v>
      </c>
      <c r="I162" s="6">
        <v>13</v>
      </c>
      <c r="J162" s="6">
        <v>11</v>
      </c>
      <c r="K162" s="6">
        <v>10</v>
      </c>
      <c r="L162" s="6">
        <v>15</v>
      </c>
      <c r="M162" s="6">
        <v>19</v>
      </c>
      <c r="N162" s="6">
        <v>19</v>
      </c>
      <c r="O162" s="64">
        <v>25</v>
      </c>
    </row>
    <row r="163" spans="2:15" x14ac:dyDescent="0.25">
      <c r="B163" s="61">
        <v>120</v>
      </c>
      <c r="C163" s="62"/>
      <c r="D163" s="6">
        <v>45</v>
      </c>
      <c r="E163" s="6">
        <v>48</v>
      </c>
      <c r="F163" s="6">
        <v>46</v>
      </c>
      <c r="G163" s="6">
        <v>33</v>
      </c>
      <c r="H163" s="6">
        <v>27</v>
      </c>
      <c r="I163" s="6">
        <v>23</v>
      </c>
      <c r="J163" s="6">
        <v>20</v>
      </c>
      <c r="K163" s="6">
        <v>17</v>
      </c>
      <c r="L163" s="6">
        <v>18</v>
      </c>
      <c r="M163" s="6">
        <v>20</v>
      </c>
      <c r="N163" s="6">
        <v>23</v>
      </c>
      <c r="O163" s="64">
        <v>34</v>
      </c>
    </row>
    <row r="164" spans="2:15" x14ac:dyDescent="0.25">
      <c r="B164" s="61">
        <v>121</v>
      </c>
      <c r="C164" s="62"/>
      <c r="D164" s="6">
        <v>105</v>
      </c>
      <c r="E164" s="6">
        <v>112</v>
      </c>
      <c r="F164" s="6">
        <v>102</v>
      </c>
      <c r="G164" s="6">
        <v>79</v>
      </c>
      <c r="H164" s="6">
        <v>61</v>
      </c>
      <c r="I164" s="6">
        <v>54</v>
      </c>
      <c r="J164" s="6">
        <v>48</v>
      </c>
      <c r="K164" s="6">
        <v>42</v>
      </c>
      <c r="L164" s="6">
        <v>45</v>
      </c>
      <c r="M164" s="6">
        <v>51</v>
      </c>
      <c r="N164" s="6">
        <v>58</v>
      </c>
      <c r="O164" s="64">
        <v>79</v>
      </c>
    </row>
    <row r="165" spans="2:15" x14ac:dyDescent="0.25">
      <c r="B165" s="61">
        <v>122</v>
      </c>
      <c r="C165" s="62"/>
      <c r="D165" s="6">
        <v>120</v>
      </c>
      <c r="E165" s="6">
        <v>128</v>
      </c>
      <c r="F165" s="6">
        <v>116</v>
      </c>
      <c r="G165" s="6">
        <v>90</v>
      </c>
      <c r="H165" s="6">
        <v>70</v>
      </c>
      <c r="I165" s="6">
        <v>62</v>
      </c>
      <c r="J165" s="6">
        <v>54</v>
      </c>
      <c r="K165" s="6">
        <v>48</v>
      </c>
      <c r="L165" s="6">
        <v>51</v>
      </c>
      <c r="M165" s="6">
        <v>58</v>
      </c>
      <c r="N165" s="6">
        <v>66</v>
      </c>
      <c r="O165" s="64">
        <v>90</v>
      </c>
    </row>
    <row r="166" spans="2:15" x14ac:dyDescent="0.25">
      <c r="B166" s="61">
        <v>123</v>
      </c>
      <c r="C166" s="62"/>
      <c r="D166" s="6">
        <v>376</v>
      </c>
      <c r="E166" s="6">
        <v>398</v>
      </c>
      <c r="F166" s="6">
        <v>383</v>
      </c>
      <c r="G166" s="6">
        <v>274</v>
      </c>
      <c r="H166" s="6">
        <v>190</v>
      </c>
      <c r="I166" s="6">
        <v>165</v>
      </c>
      <c r="J166" s="6">
        <v>141</v>
      </c>
      <c r="K166" s="6">
        <v>120</v>
      </c>
      <c r="L166" s="6">
        <v>125</v>
      </c>
      <c r="M166" s="6">
        <v>148</v>
      </c>
      <c r="N166" s="6">
        <v>185</v>
      </c>
      <c r="O166" s="64">
        <v>269</v>
      </c>
    </row>
    <row r="167" spans="2:15" x14ac:dyDescent="0.25">
      <c r="B167" s="61">
        <v>124</v>
      </c>
      <c r="C167" s="62"/>
      <c r="D167" s="6">
        <v>0</v>
      </c>
      <c r="E167" s="6">
        <v>0</v>
      </c>
      <c r="F167" s="6">
        <v>0</v>
      </c>
      <c r="G167" s="6">
        <v>0</v>
      </c>
      <c r="H167" s="6">
        <v>0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6">
        <v>0</v>
      </c>
      <c r="O167" s="64">
        <v>0</v>
      </c>
    </row>
    <row r="168" spans="2:15" x14ac:dyDescent="0.25">
      <c r="B168" s="61">
        <v>125</v>
      </c>
      <c r="C168" s="62"/>
      <c r="D168" s="6">
        <v>493</v>
      </c>
      <c r="E168" s="6">
        <v>516</v>
      </c>
      <c r="F168" s="6">
        <v>490</v>
      </c>
      <c r="G168" s="6">
        <v>346</v>
      </c>
      <c r="H168" s="6">
        <v>242</v>
      </c>
      <c r="I168" s="6">
        <v>208</v>
      </c>
      <c r="J168" s="6">
        <v>174</v>
      </c>
      <c r="K168" s="6">
        <v>148</v>
      </c>
      <c r="L168" s="6">
        <v>154</v>
      </c>
      <c r="M168" s="6">
        <v>184</v>
      </c>
      <c r="N168" s="6">
        <v>240</v>
      </c>
      <c r="O168" s="64">
        <v>351</v>
      </c>
    </row>
    <row r="169" spans="2:15" x14ac:dyDescent="0.25">
      <c r="B169" s="61">
        <v>126</v>
      </c>
      <c r="C169" s="62"/>
      <c r="D169" s="6">
        <v>324</v>
      </c>
      <c r="E169" s="6">
        <v>323</v>
      </c>
      <c r="F169" s="6">
        <v>327</v>
      </c>
      <c r="G169" s="6">
        <v>293</v>
      </c>
      <c r="H169" s="6">
        <v>215</v>
      </c>
      <c r="I169" s="6">
        <v>161</v>
      </c>
      <c r="J169" s="6">
        <v>124</v>
      </c>
      <c r="K169" s="6">
        <v>92</v>
      </c>
      <c r="L169" s="6">
        <v>93</v>
      </c>
      <c r="M169" s="6">
        <v>127</v>
      </c>
      <c r="N169" s="6">
        <v>210</v>
      </c>
      <c r="O169" s="64">
        <v>303</v>
      </c>
    </row>
    <row r="170" spans="2:15" x14ac:dyDescent="0.25">
      <c r="B170" s="61">
        <v>127</v>
      </c>
      <c r="C170" s="62"/>
      <c r="D170" s="6">
        <v>762</v>
      </c>
      <c r="E170" s="6">
        <v>762</v>
      </c>
      <c r="F170" s="6">
        <v>701</v>
      </c>
      <c r="G170" s="6">
        <v>471</v>
      </c>
      <c r="H170" s="6">
        <v>309</v>
      </c>
      <c r="I170" s="6">
        <v>257</v>
      </c>
      <c r="J170" s="6">
        <v>215</v>
      </c>
      <c r="K170" s="6">
        <v>182</v>
      </c>
      <c r="L170" s="6">
        <v>186</v>
      </c>
      <c r="M170" s="6">
        <v>219</v>
      </c>
      <c r="N170" s="6">
        <v>313</v>
      </c>
      <c r="O170" s="64">
        <v>515</v>
      </c>
    </row>
    <row r="171" spans="2:15" x14ac:dyDescent="0.25">
      <c r="B171" s="61">
        <v>128</v>
      </c>
      <c r="C171" s="62"/>
      <c r="D171" s="6">
        <v>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4">
        <v>0</v>
      </c>
    </row>
    <row r="172" spans="2:15" x14ac:dyDescent="0.25">
      <c r="B172" s="61">
        <v>129</v>
      </c>
      <c r="C172" s="62"/>
      <c r="D172" s="6">
        <v>957</v>
      </c>
      <c r="E172" s="6">
        <v>956</v>
      </c>
      <c r="F172" s="6">
        <v>896</v>
      </c>
      <c r="G172" s="6">
        <v>655</v>
      </c>
      <c r="H172" s="6">
        <v>468</v>
      </c>
      <c r="I172" s="6">
        <v>393</v>
      </c>
      <c r="J172" s="6">
        <v>332</v>
      </c>
      <c r="K172" s="6">
        <v>285</v>
      </c>
      <c r="L172" s="6">
        <v>290</v>
      </c>
      <c r="M172" s="6">
        <v>342</v>
      </c>
      <c r="N172" s="6">
        <v>467</v>
      </c>
      <c r="O172" s="64">
        <v>699</v>
      </c>
    </row>
    <row r="173" spans="2:15" x14ac:dyDescent="0.25">
      <c r="B173" s="61">
        <v>130</v>
      </c>
      <c r="C173" s="62"/>
      <c r="D173" s="6">
        <v>1069</v>
      </c>
      <c r="E173" s="6">
        <v>1071</v>
      </c>
      <c r="F173" s="6">
        <v>1004</v>
      </c>
      <c r="G173" s="6">
        <v>729</v>
      </c>
      <c r="H173" s="6">
        <v>516</v>
      </c>
      <c r="I173" s="6">
        <v>433</v>
      </c>
      <c r="J173" s="6">
        <v>365</v>
      </c>
      <c r="K173" s="6">
        <v>312</v>
      </c>
      <c r="L173" s="6">
        <v>319</v>
      </c>
      <c r="M173" s="6">
        <v>379</v>
      </c>
      <c r="N173" s="6">
        <v>517</v>
      </c>
      <c r="O173" s="64">
        <v>781</v>
      </c>
    </row>
    <row r="174" spans="2:15" x14ac:dyDescent="0.25">
      <c r="B174" s="61">
        <v>131</v>
      </c>
      <c r="C174" s="62"/>
      <c r="D174" s="6">
        <v>143</v>
      </c>
      <c r="E174" s="6">
        <v>142</v>
      </c>
      <c r="F174" s="6">
        <v>144</v>
      </c>
      <c r="G174" s="6">
        <v>142</v>
      </c>
      <c r="H174" s="6">
        <v>134</v>
      </c>
      <c r="I174" s="6">
        <v>121</v>
      </c>
      <c r="J174" s="6">
        <v>109</v>
      </c>
      <c r="K174" s="6">
        <v>95</v>
      </c>
      <c r="L174" s="6">
        <v>96</v>
      </c>
      <c r="M174" s="6">
        <v>111</v>
      </c>
      <c r="N174" s="6">
        <v>130</v>
      </c>
      <c r="O174" s="64">
        <v>141</v>
      </c>
    </row>
    <row r="175" spans="2:15" x14ac:dyDescent="0.25">
      <c r="B175" s="61">
        <v>132</v>
      </c>
      <c r="C175" s="62"/>
      <c r="D175" s="6">
        <v>30</v>
      </c>
      <c r="E175" s="6">
        <v>29</v>
      </c>
      <c r="F175" s="6">
        <v>29</v>
      </c>
      <c r="G175" s="6">
        <v>24</v>
      </c>
      <c r="H175" s="6">
        <v>17</v>
      </c>
      <c r="I175" s="6">
        <v>12</v>
      </c>
      <c r="J175" s="6">
        <v>10</v>
      </c>
      <c r="K175" s="6">
        <v>9</v>
      </c>
      <c r="L175" s="6">
        <v>9</v>
      </c>
      <c r="M175" s="6">
        <v>11</v>
      </c>
      <c r="N175" s="6">
        <v>16</v>
      </c>
      <c r="O175" s="64">
        <v>25</v>
      </c>
    </row>
    <row r="176" spans="2:15" x14ac:dyDescent="0.25">
      <c r="B176" s="61">
        <v>133</v>
      </c>
      <c r="C176" s="62"/>
      <c r="D176" s="6">
        <v>0</v>
      </c>
      <c r="E176" s="6">
        <v>0</v>
      </c>
      <c r="F176" s="6">
        <v>0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4">
        <v>0</v>
      </c>
    </row>
    <row r="177" spans="2:15" x14ac:dyDescent="0.25">
      <c r="B177" s="61">
        <v>134</v>
      </c>
      <c r="C177" s="62"/>
      <c r="D177" s="6">
        <v>292</v>
      </c>
      <c r="E177" s="6">
        <v>236</v>
      </c>
      <c r="F177" s="6">
        <v>212</v>
      </c>
      <c r="G177" s="6">
        <v>161</v>
      </c>
      <c r="H177" s="6">
        <v>115</v>
      </c>
      <c r="I177" s="6">
        <v>95</v>
      </c>
      <c r="J177" s="6">
        <v>81</v>
      </c>
      <c r="K177" s="6">
        <v>70</v>
      </c>
      <c r="L177" s="6">
        <v>67</v>
      </c>
      <c r="M177" s="6">
        <v>85</v>
      </c>
      <c r="N177" s="6">
        <v>160</v>
      </c>
      <c r="O177" s="64">
        <v>254</v>
      </c>
    </row>
    <row r="178" spans="2:15" x14ac:dyDescent="0.25">
      <c r="B178" s="61">
        <v>135</v>
      </c>
      <c r="C178" s="62"/>
      <c r="D178" s="6">
        <v>0</v>
      </c>
      <c r="E178" s="6">
        <v>0</v>
      </c>
      <c r="F178" s="6">
        <v>0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4">
        <v>0</v>
      </c>
    </row>
    <row r="179" spans="2:15" x14ac:dyDescent="0.25">
      <c r="B179" s="61">
        <v>136</v>
      </c>
      <c r="C179" s="62"/>
      <c r="D179" s="6">
        <v>0</v>
      </c>
      <c r="E179" s="6">
        <v>0</v>
      </c>
      <c r="F179" s="6">
        <v>0</v>
      </c>
      <c r="G179" s="6">
        <v>0</v>
      </c>
      <c r="H179" s="6">
        <v>0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6">
        <v>0</v>
      </c>
      <c r="O179" s="64">
        <v>0</v>
      </c>
    </row>
    <row r="180" spans="2:15" x14ac:dyDescent="0.25">
      <c r="B180" s="61">
        <v>137</v>
      </c>
      <c r="C180" s="62"/>
      <c r="D180" s="6">
        <v>0</v>
      </c>
      <c r="E180" s="6">
        <v>0</v>
      </c>
      <c r="F180" s="6">
        <v>0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4">
        <v>0</v>
      </c>
    </row>
    <row r="181" spans="2:15" x14ac:dyDescent="0.25">
      <c r="B181" s="61">
        <v>138</v>
      </c>
      <c r="C181" s="62"/>
      <c r="D181" s="6">
        <v>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6">
        <v>0</v>
      </c>
      <c r="O181" s="64">
        <v>0</v>
      </c>
    </row>
    <row r="182" spans="2:15" x14ac:dyDescent="0.25">
      <c r="B182" s="61">
        <v>139</v>
      </c>
      <c r="C182" s="62"/>
      <c r="D182" s="6">
        <v>0</v>
      </c>
      <c r="E182" s="6">
        <v>0</v>
      </c>
      <c r="F182" s="6">
        <v>0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4">
        <v>0</v>
      </c>
    </row>
    <row r="183" spans="2:15" x14ac:dyDescent="0.25">
      <c r="B183" s="61">
        <v>140</v>
      </c>
      <c r="C183" s="62"/>
      <c r="D183" s="6">
        <v>0</v>
      </c>
      <c r="E183" s="6">
        <v>0</v>
      </c>
      <c r="F183" s="6">
        <v>0</v>
      </c>
      <c r="G183" s="6">
        <v>0</v>
      </c>
      <c r="H183" s="6">
        <v>0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6">
        <v>0</v>
      </c>
      <c r="O183" s="64">
        <v>0</v>
      </c>
    </row>
    <row r="184" spans="2:15" x14ac:dyDescent="0.25">
      <c r="B184" s="61">
        <v>141</v>
      </c>
      <c r="C184" s="62"/>
      <c r="D184" s="6">
        <v>1035</v>
      </c>
      <c r="E184" s="6">
        <v>842</v>
      </c>
      <c r="F184" s="6">
        <v>745</v>
      </c>
      <c r="G184" s="6">
        <v>585</v>
      </c>
      <c r="H184" s="6">
        <v>438</v>
      </c>
      <c r="I184" s="6">
        <v>373</v>
      </c>
      <c r="J184" s="6">
        <v>330</v>
      </c>
      <c r="K184" s="6">
        <v>296</v>
      </c>
      <c r="L184" s="6">
        <v>288</v>
      </c>
      <c r="M184" s="6">
        <v>346</v>
      </c>
      <c r="N184" s="6">
        <v>556</v>
      </c>
      <c r="O184" s="64">
        <v>898</v>
      </c>
    </row>
    <row r="185" spans="2:15" x14ac:dyDescent="0.25">
      <c r="B185" s="61">
        <v>142</v>
      </c>
      <c r="C185" s="62"/>
      <c r="D185" s="6">
        <v>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 s="6">
        <v>0</v>
      </c>
      <c r="O185" s="64">
        <v>0</v>
      </c>
    </row>
    <row r="186" spans="2:15" x14ac:dyDescent="0.25">
      <c r="B186" s="61">
        <v>143</v>
      </c>
      <c r="C186" s="62"/>
      <c r="D186" s="6">
        <v>0</v>
      </c>
      <c r="E186" s="6">
        <v>0</v>
      </c>
      <c r="F186" s="6">
        <v>0</v>
      </c>
      <c r="G186" s="6">
        <v>0</v>
      </c>
      <c r="H186" s="6">
        <v>0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64">
        <v>0</v>
      </c>
    </row>
    <row r="187" spans="2:15" x14ac:dyDescent="0.25">
      <c r="B187" s="61">
        <v>144</v>
      </c>
      <c r="C187" s="62"/>
      <c r="D187" s="6">
        <v>1856</v>
      </c>
      <c r="E187" s="6">
        <v>1439</v>
      </c>
      <c r="F187" s="6">
        <v>1266</v>
      </c>
      <c r="G187" s="6">
        <v>979</v>
      </c>
      <c r="H187" s="6">
        <v>711</v>
      </c>
      <c r="I187" s="6">
        <v>594</v>
      </c>
      <c r="J187" s="6">
        <v>525</v>
      </c>
      <c r="K187" s="6">
        <v>465</v>
      </c>
      <c r="L187" s="6">
        <v>447</v>
      </c>
      <c r="M187" s="6">
        <v>561</v>
      </c>
      <c r="N187" s="6">
        <v>959</v>
      </c>
      <c r="O187" s="64">
        <v>1625</v>
      </c>
    </row>
    <row r="188" spans="2:15" x14ac:dyDescent="0.25">
      <c r="B188" s="61">
        <v>145</v>
      </c>
      <c r="C188" s="62"/>
      <c r="D188" s="6">
        <v>117</v>
      </c>
      <c r="E188" s="6">
        <v>135</v>
      </c>
      <c r="F188" s="6">
        <v>148</v>
      </c>
      <c r="G188" s="6">
        <v>111</v>
      </c>
      <c r="H188" s="6">
        <v>79</v>
      </c>
      <c r="I188" s="6">
        <v>64</v>
      </c>
      <c r="J188" s="6">
        <v>58</v>
      </c>
      <c r="K188" s="6">
        <v>54</v>
      </c>
      <c r="L188" s="6">
        <v>53</v>
      </c>
      <c r="M188" s="6">
        <v>57</v>
      </c>
      <c r="N188" s="6">
        <v>66</v>
      </c>
      <c r="O188" s="64">
        <v>88</v>
      </c>
    </row>
    <row r="189" spans="2:15" x14ac:dyDescent="0.25">
      <c r="B189" s="61">
        <v>146</v>
      </c>
      <c r="C189" s="62"/>
      <c r="D189" s="6">
        <v>0</v>
      </c>
      <c r="E189" s="6">
        <v>0</v>
      </c>
      <c r="F189" s="6">
        <v>0</v>
      </c>
      <c r="G189" s="6">
        <v>0</v>
      </c>
      <c r="H189" s="6">
        <v>0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6">
        <v>0</v>
      </c>
      <c r="O189" s="64">
        <v>0</v>
      </c>
    </row>
    <row r="190" spans="2:15" x14ac:dyDescent="0.25">
      <c r="B190" s="61">
        <v>147</v>
      </c>
      <c r="C190" s="62"/>
      <c r="D190" s="6">
        <v>0</v>
      </c>
      <c r="E190" s="6">
        <v>0</v>
      </c>
      <c r="F190" s="6">
        <v>0</v>
      </c>
      <c r="G190" s="6">
        <v>0</v>
      </c>
      <c r="H190" s="6">
        <v>0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6">
        <v>0</v>
      </c>
      <c r="O190" s="64">
        <v>0</v>
      </c>
    </row>
    <row r="191" spans="2:15" x14ac:dyDescent="0.25">
      <c r="B191" s="61">
        <v>148</v>
      </c>
      <c r="C191" s="62"/>
      <c r="D191" s="6">
        <v>1593</v>
      </c>
      <c r="E191" s="6">
        <v>1239</v>
      </c>
      <c r="F191" s="6">
        <v>1090</v>
      </c>
      <c r="G191" s="6">
        <v>844</v>
      </c>
      <c r="H191" s="6">
        <v>613</v>
      </c>
      <c r="I191" s="6">
        <v>514</v>
      </c>
      <c r="J191" s="6">
        <v>455</v>
      </c>
      <c r="K191" s="6">
        <v>405</v>
      </c>
      <c r="L191" s="6">
        <v>390</v>
      </c>
      <c r="M191" s="6">
        <v>487</v>
      </c>
      <c r="N191" s="6">
        <v>826</v>
      </c>
      <c r="O191" s="64">
        <v>1394</v>
      </c>
    </row>
    <row r="192" spans="2:15" x14ac:dyDescent="0.25">
      <c r="B192" s="61">
        <v>149</v>
      </c>
      <c r="C192" s="62"/>
      <c r="D192" s="6">
        <v>269</v>
      </c>
      <c r="E192" s="6">
        <v>228</v>
      </c>
      <c r="F192" s="6">
        <v>204</v>
      </c>
      <c r="G192" s="6">
        <v>158</v>
      </c>
      <c r="H192" s="6">
        <v>122</v>
      </c>
      <c r="I192" s="6">
        <v>106</v>
      </c>
      <c r="J192" s="6">
        <v>95</v>
      </c>
      <c r="K192" s="6">
        <v>85</v>
      </c>
      <c r="L192" s="6">
        <v>84</v>
      </c>
      <c r="M192" s="6">
        <v>99</v>
      </c>
      <c r="N192" s="6">
        <v>145</v>
      </c>
      <c r="O192" s="64">
        <v>228</v>
      </c>
    </row>
    <row r="193" spans="2:15" x14ac:dyDescent="0.25">
      <c r="B193" s="61">
        <v>150</v>
      </c>
      <c r="C193" s="62"/>
      <c r="D193" s="6">
        <v>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6">
        <v>0</v>
      </c>
      <c r="O193" s="64">
        <v>0</v>
      </c>
    </row>
    <row r="194" spans="2:15" x14ac:dyDescent="0.25">
      <c r="B194" s="61">
        <v>151</v>
      </c>
      <c r="C194" s="62"/>
      <c r="D194" s="6">
        <v>0</v>
      </c>
      <c r="E194" s="6">
        <v>0</v>
      </c>
      <c r="F194" s="6">
        <v>0</v>
      </c>
      <c r="G194" s="6">
        <v>0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6">
        <v>0</v>
      </c>
      <c r="O194" s="64">
        <v>0</v>
      </c>
    </row>
    <row r="195" spans="2:15" x14ac:dyDescent="0.25">
      <c r="B195" s="61">
        <v>152</v>
      </c>
      <c r="C195" s="62"/>
      <c r="D195" s="6">
        <v>0</v>
      </c>
      <c r="E195" s="6">
        <v>0</v>
      </c>
      <c r="F195" s="6">
        <v>0</v>
      </c>
      <c r="G195" s="6">
        <v>0</v>
      </c>
      <c r="H195" s="6">
        <v>0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6">
        <v>0</v>
      </c>
      <c r="O195" s="64">
        <v>0</v>
      </c>
    </row>
    <row r="196" spans="2:15" x14ac:dyDescent="0.25">
      <c r="B196" s="61">
        <v>153</v>
      </c>
      <c r="C196" s="62"/>
      <c r="D196" s="6">
        <v>0</v>
      </c>
      <c r="E196" s="6">
        <v>0</v>
      </c>
      <c r="F196" s="6">
        <v>0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64">
        <v>0</v>
      </c>
    </row>
    <row r="197" spans="2:15" x14ac:dyDescent="0.25">
      <c r="B197" s="61">
        <v>154</v>
      </c>
      <c r="C197" s="62"/>
      <c r="D197" s="6">
        <v>0</v>
      </c>
      <c r="E197" s="6">
        <v>0</v>
      </c>
      <c r="F197" s="6">
        <v>0</v>
      </c>
      <c r="G197" s="6">
        <v>0</v>
      </c>
      <c r="H197" s="6">
        <v>0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6">
        <v>0</v>
      </c>
      <c r="O197" s="64">
        <v>0</v>
      </c>
    </row>
    <row r="198" spans="2:15" x14ac:dyDescent="0.25">
      <c r="B198" s="61">
        <v>155</v>
      </c>
      <c r="C198" s="62"/>
      <c r="D198" s="6">
        <v>326</v>
      </c>
      <c r="E198" s="6">
        <v>279</v>
      </c>
      <c r="F198" s="6">
        <v>239</v>
      </c>
      <c r="G198" s="6">
        <v>157</v>
      </c>
      <c r="H198" s="6">
        <v>109</v>
      </c>
      <c r="I198" s="6">
        <v>89</v>
      </c>
      <c r="J198" s="6">
        <v>72</v>
      </c>
      <c r="K198" s="6">
        <v>62</v>
      </c>
      <c r="L198" s="6">
        <v>60</v>
      </c>
      <c r="M198" s="6">
        <v>76</v>
      </c>
      <c r="N198" s="6">
        <v>130</v>
      </c>
      <c r="O198" s="64">
        <v>248</v>
      </c>
    </row>
    <row r="199" spans="2:15" x14ac:dyDescent="0.25">
      <c r="B199" s="61">
        <v>156</v>
      </c>
      <c r="C199" s="62"/>
      <c r="D199" s="6">
        <v>1447</v>
      </c>
      <c r="E199" s="6">
        <v>1345</v>
      </c>
      <c r="F199" s="6">
        <v>1123</v>
      </c>
      <c r="G199" s="6">
        <v>745</v>
      </c>
      <c r="H199" s="6">
        <v>446</v>
      </c>
      <c r="I199" s="6">
        <v>337</v>
      </c>
      <c r="J199" s="6">
        <v>270</v>
      </c>
      <c r="K199" s="6">
        <v>221</v>
      </c>
      <c r="L199" s="6">
        <v>216</v>
      </c>
      <c r="M199" s="6">
        <v>293</v>
      </c>
      <c r="N199" s="6">
        <v>588</v>
      </c>
      <c r="O199" s="64">
        <v>1097</v>
      </c>
    </row>
    <row r="200" spans="2:15" x14ac:dyDescent="0.25">
      <c r="B200" s="61">
        <v>157</v>
      </c>
      <c r="C200" s="62"/>
      <c r="D200" s="6">
        <v>0</v>
      </c>
      <c r="E200" s="6">
        <v>0</v>
      </c>
      <c r="F200" s="6">
        <v>0</v>
      </c>
      <c r="G200" s="6">
        <v>0</v>
      </c>
      <c r="H200" s="6">
        <v>0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6">
        <v>0</v>
      </c>
      <c r="O200" s="64">
        <v>0</v>
      </c>
    </row>
    <row r="201" spans="2:15" x14ac:dyDescent="0.25">
      <c r="B201" s="61">
        <v>158</v>
      </c>
      <c r="C201" s="62"/>
      <c r="D201" s="6">
        <v>81</v>
      </c>
      <c r="E201" s="6">
        <v>82</v>
      </c>
      <c r="F201" s="6">
        <v>86</v>
      </c>
      <c r="G201" s="6">
        <v>68</v>
      </c>
      <c r="H201" s="6">
        <v>47</v>
      </c>
      <c r="I201" s="6">
        <v>40</v>
      </c>
      <c r="J201" s="6">
        <v>34</v>
      </c>
      <c r="K201" s="6">
        <v>29</v>
      </c>
      <c r="L201" s="6">
        <v>27</v>
      </c>
      <c r="M201" s="6">
        <v>32</v>
      </c>
      <c r="N201" s="6">
        <v>51</v>
      </c>
      <c r="O201" s="64">
        <v>78</v>
      </c>
    </row>
    <row r="202" spans="2:15" x14ac:dyDescent="0.25">
      <c r="B202" s="61">
        <v>159</v>
      </c>
      <c r="C202" s="62"/>
      <c r="D202" s="6">
        <v>0</v>
      </c>
      <c r="E202" s="6">
        <v>0</v>
      </c>
      <c r="F202" s="6">
        <v>0</v>
      </c>
      <c r="G202" s="6">
        <v>0</v>
      </c>
      <c r="H202" s="6">
        <v>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4">
        <v>0</v>
      </c>
    </row>
    <row r="203" spans="2:15" x14ac:dyDescent="0.25">
      <c r="B203" s="61">
        <v>160</v>
      </c>
      <c r="C203" s="62"/>
      <c r="D203" s="6">
        <v>11</v>
      </c>
      <c r="E203" s="6">
        <v>11</v>
      </c>
      <c r="F203" s="6">
        <v>11</v>
      </c>
      <c r="G203" s="6">
        <v>9</v>
      </c>
      <c r="H203" s="6">
        <v>7</v>
      </c>
      <c r="I203" s="6">
        <v>6</v>
      </c>
      <c r="J203" s="6">
        <v>6</v>
      </c>
      <c r="K203" s="6">
        <v>5</v>
      </c>
      <c r="L203" s="6">
        <v>6</v>
      </c>
      <c r="M203" s="6">
        <v>7</v>
      </c>
      <c r="N203" s="6">
        <v>7</v>
      </c>
      <c r="O203" s="64">
        <v>9</v>
      </c>
    </row>
    <row r="204" spans="2:15" x14ac:dyDescent="0.25">
      <c r="B204" s="61">
        <v>161</v>
      </c>
      <c r="C204" s="62"/>
      <c r="D204" s="6">
        <v>176</v>
      </c>
      <c r="E204" s="6">
        <v>184</v>
      </c>
      <c r="F204" s="6">
        <v>161</v>
      </c>
      <c r="G204" s="6">
        <v>107</v>
      </c>
      <c r="H204" s="6">
        <v>83</v>
      </c>
      <c r="I204" s="6">
        <v>77</v>
      </c>
      <c r="J204" s="6">
        <v>65</v>
      </c>
      <c r="K204" s="6">
        <v>55</v>
      </c>
      <c r="L204" s="6">
        <v>71</v>
      </c>
      <c r="M204" s="6">
        <v>90</v>
      </c>
      <c r="N204" s="6">
        <v>99</v>
      </c>
      <c r="O204" s="64">
        <v>131</v>
      </c>
    </row>
    <row r="205" spans="2:15" x14ac:dyDescent="0.25">
      <c r="B205" s="61">
        <v>162</v>
      </c>
      <c r="C205" s="62"/>
      <c r="D205" s="6">
        <v>0</v>
      </c>
      <c r="E205" s="6">
        <v>0</v>
      </c>
      <c r="F205" s="6">
        <v>0</v>
      </c>
      <c r="G205" s="6">
        <v>0</v>
      </c>
      <c r="H205" s="6">
        <v>0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6">
        <v>0</v>
      </c>
      <c r="O205" s="64">
        <v>0</v>
      </c>
    </row>
    <row r="206" spans="2:15" x14ac:dyDescent="0.25">
      <c r="B206" s="61">
        <v>163</v>
      </c>
      <c r="C206" s="62"/>
      <c r="D206" s="6">
        <v>0</v>
      </c>
      <c r="E206" s="6">
        <v>0</v>
      </c>
      <c r="F206" s="6">
        <v>0</v>
      </c>
      <c r="G206" s="6">
        <v>0</v>
      </c>
      <c r="H206" s="6">
        <v>0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6">
        <v>0</v>
      </c>
      <c r="O206" s="64">
        <v>0</v>
      </c>
    </row>
    <row r="207" spans="2:15" x14ac:dyDescent="0.25">
      <c r="B207" s="61">
        <v>164</v>
      </c>
      <c r="C207" s="62"/>
      <c r="D207" s="6">
        <v>131</v>
      </c>
      <c r="E207" s="6">
        <v>139</v>
      </c>
      <c r="F207" s="6">
        <v>120</v>
      </c>
      <c r="G207" s="6">
        <v>78</v>
      </c>
      <c r="H207" s="6">
        <v>60</v>
      </c>
      <c r="I207" s="6">
        <v>56</v>
      </c>
      <c r="J207" s="6">
        <v>47</v>
      </c>
      <c r="K207" s="6">
        <v>39</v>
      </c>
      <c r="L207" s="6">
        <v>50</v>
      </c>
      <c r="M207" s="6">
        <v>64</v>
      </c>
      <c r="N207" s="6">
        <v>72</v>
      </c>
      <c r="O207" s="64">
        <v>96</v>
      </c>
    </row>
    <row r="208" spans="2:15" x14ac:dyDescent="0.25">
      <c r="B208" s="61">
        <v>165</v>
      </c>
      <c r="C208" s="62"/>
      <c r="D208" s="6">
        <v>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6">
        <v>0</v>
      </c>
      <c r="O208" s="64">
        <v>0</v>
      </c>
    </row>
    <row r="209" spans="2:15" x14ac:dyDescent="0.25">
      <c r="B209" s="61">
        <v>166</v>
      </c>
      <c r="C209" s="62"/>
      <c r="D209" s="6">
        <v>0</v>
      </c>
      <c r="E209" s="6">
        <v>0</v>
      </c>
      <c r="F209" s="6">
        <v>0</v>
      </c>
      <c r="G209" s="6">
        <v>0</v>
      </c>
      <c r="H209" s="6">
        <v>0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 s="6">
        <v>0</v>
      </c>
      <c r="O209" s="64">
        <v>0</v>
      </c>
    </row>
    <row r="210" spans="2:15" x14ac:dyDescent="0.25">
      <c r="B210" s="61">
        <v>167</v>
      </c>
      <c r="C210" s="62"/>
      <c r="D210" s="6">
        <v>0</v>
      </c>
      <c r="E210" s="6">
        <v>0</v>
      </c>
      <c r="F210" s="6">
        <v>0</v>
      </c>
      <c r="G210" s="6">
        <v>0</v>
      </c>
      <c r="H210" s="6">
        <v>0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6">
        <v>0</v>
      </c>
      <c r="O210" s="64">
        <v>0</v>
      </c>
    </row>
    <row r="211" spans="2:15" x14ac:dyDescent="0.25">
      <c r="B211" s="61">
        <v>168</v>
      </c>
      <c r="C211" s="62"/>
      <c r="D211" s="6">
        <v>3240</v>
      </c>
      <c r="E211" s="6">
        <v>3336</v>
      </c>
      <c r="F211" s="6">
        <v>3357</v>
      </c>
      <c r="G211" s="6">
        <v>2697</v>
      </c>
      <c r="H211" s="6">
        <v>1633</v>
      </c>
      <c r="I211" s="6">
        <v>1114</v>
      </c>
      <c r="J211" s="6">
        <v>953</v>
      </c>
      <c r="K211" s="6">
        <v>842</v>
      </c>
      <c r="L211" s="6">
        <v>753</v>
      </c>
      <c r="M211" s="6">
        <v>823</v>
      </c>
      <c r="N211" s="6">
        <v>1336</v>
      </c>
      <c r="O211" s="64">
        <v>2404</v>
      </c>
    </row>
    <row r="212" spans="2:15" x14ac:dyDescent="0.25">
      <c r="B212" s="61">
        <v>169</v>
      </c>
      <c r="C212" s="62"/>
      <c r="D212" s="6">
        <v>4635</v>
      </c>
      <c r="E212" s="6">
        <v>4821</v>
      </c>
      <c r="F212" s="6">
        <v>4670</v>
      </c>
      <c r="G212" s="6">
        <v>3715</v>
      </c>
      <c r="H212" s="6">
        <v>2248</v>
      </c>
      <c r="I212" s="6">
        <v>1536</v>
      </c>
      <c r="J212" s="6">
        <v>1283</v>
      </c>
      <c r="K212" s="6">
        <v>1111</v>
      </c>
      <c r="L212" s="6">
        <v>994</v>
      </c>
      <c r="M212" s="6">
        <v>1110</v>
      </c>
      <c r="N212" s="6">
        <v>1834</v>
      </c>
      <c r="O212" s="64">
        <v>3318</v>
      </c>
    </row>
    <row r="213" spans="2:15" x14ac:dyDescent="0.25">
      <c r="B213" s="61">
        <v>170</v>
      </c>
      <c r="C213" s="62"/>
      <c r="D213" s="6">
        <v>0</v>
      </c>
      <c r="E213" s="6">
        <v>0</v>
      </c>
      <c r="F213" s="6">
        <v>0</v>
      </c>
      <c r="G213" s="6">
        <v>0</v>
      </c>
      <c r="H213" s="6">
        <v>0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 s="6">
        <v>0</v>
      </c>
      <c r="O213" s="64">
        <v>0</v>
      </c>
    </row>
    <row r="214" spans="2:15" x14ac:dyDescent="0.25">
      <c r="B214" s="61">
        <v>171</v>
      </c>
      <c r="C214" s="62"/>
      <c r="D214" s="6">
        <v>109</v>
      </c>
      <c r="E214" s="6">
        <v>140</v>
      </c>
      <c r="F214" s="6">
        <v>219</v>
      </c>
      <c r="G214" s="6">
        <v>192</v>
      </c>
      <c r="H214" s="6">
        <v>64</v>
      </c>
      <c r="I214" s="6">
        <v>18</v>
      </c>
      <c r="J214" s="6">
        <v>11</v>
      </c>
      <c r="K214" s="6">
        <v>14</v>
      </c>
      <c r="L214" s="6">
        <v>21</v>
      </c>
      <c r="M214" s="6">
        <v>22</v>
      </c>
      <c r="N214" s="6">
        <v>37</v>
      </c>
      <c r="O214" s="64">
        <v>83</v>
      </c>
    </row>
    <row r="215" spans="2:15" x14ac:dyDescent="0.25">
      <c r="B215" s="61">
        <v>172</v>
      </c>
      <c r="C215" s="62"/>
      <c r="D215" s="6">
        <v>4672</v>
      </c>
      <c r="E215" s="6">
        <v>4938</v>
      </c>
      <c r="F215" s="6">
        <v>4934</v>
      </c>
      <c r="G215" s="6">
        <v>4025</v>
      </c>
      <c r="H215" s="6">
        <v>2426</v>
      </c>
      <c r="I215" s="6">
        <v>1596</v>
      </c>
      <c r="J215" s="6">
        <v>1312</v>
      </c>
      <c r="K215" s="6">
        <v>1143</v>
      </c>
      <c r="L215" s="6">
        <v>1022</v>
      </c>
      <c r="M215" s="6">
        <v>1102</v>
      </c>
      <c r="N215" s="6">
        <v>1763</v>
      </c>
      <c r="O215" s="64">
        <v>3262</v>
      </c>
    </row>
    <row r="216" spans="2:15" x14ac:dyDescent="0.25">
      <c r="B216" s="61">
        <v>173</v>
      </c>
      <c r="C216" s="62"/>
      <c r="D216" s="6">
        <v>4669</v>
      </c>
      <c r="E216" s="6">
        <v>4955</v>
      </c>
      <c r="F216" s="6">
        <v>4978</v>
      </c>
      <c r="G216" s="6">
        <v>4095</v>
      </c>
      <c r="H216" s="6">
        <v>2478</v>
      </c>
      <c r="I216" s="6">
        <v>1616</v>
      </c>
      <c r="J216" s="6">
        <v>1324</v>
      </c>
      <c r="K216" s="6">
        <v>1155</v>
      </c>
      <c r="L216" s="6">
        <v>1032</v>
      </c>
      <c r="M216" s="6">
        <v>1103</v>
      </c>
      <c r="N216" s="6">
        <v>1741</v>
      </c>
      <c r="O216" s="64">
        <v>3239</v>
      </c>
    </row>
    <row r="217" spans="2:15" x14ac:dyDescent="0.25">
      <c r="B217" s="61">
        <v>174</v>
      </c>
      <c r="C217" s="62"/>
      <c r="D217" s="6">
        <v>0</v>
      </c>
      <c r="E217" s="6">
        <v>0</v>
      </c>
      <c r="F217" s="6">
        <v>0</v>
      </c>
      <c r="G217" s="6">
        <v>0</v>
      </c>
      <c r="H217" s="6">
        <v>0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6">
        <v>0</v>
      </c>
      <c r="O217" s="64">
        <v>0</v>
      </c>
    </row>
    <row r="218" spans="2:15" x14ac:dyDescent="0.25">
      <c r="B218" s="61">
        <v>175</v>
      </c>
      <c r="C218" s="62"/>
      <c r="D218" s="6">
        <v>4669</v>
      </c>
      <c r="E218" s="6">
        <v>4955</v>
      </c>
      <c r="F218" s="6">
        <v>4978</v>
      </c>
      <c r="G218" s="6">
        <v>4095</v>
      </c>
      <c r="H218" s="6">
        <v>2478</v>
      </c>
      <c r="I218" s="6">
        <v>1616</v>
      </c>
      <c r="J218" s="6">
        <v>1324</v>
      </c>
      <c r="K218" s="6">
        <v>1155</v>
      </c>
      <c r="L218" s="6">
        <v>1032</v>
      </c>
      <c r="M218" s="6">
        <v>1103</v>
      </c>
      <c r="N218" s="6">
        <v>1741</v>
      </c>
      <c r="O218" s="64">
        <v>3239</v>
      </c>
    </row>
    <row r="219" spans="2:15" x14ac:dyDescent="0.25">
      <c r="B219" s="61">
        <v>176</v>
      </c>
      <c r="C219" s="62"/>
      <c r="D219" s="6">
        <v>4669</v>
      </c>
      <c r="E219" s="6">
        <v>4955</v>
      </c>
      <c r="F219" s="6">
        <v>4978</v>
      </c>
      <c r="G219" s="6">
        <v>4095</v>
      </c>
      <c r="H219" s="6">
        <v>2478</v>
      </c>
      <c r="I219" s="6">
        <v>1616</v>
      </c>
      <c r="J219" s="6">
        <v>1324</v>
      </c>
      <c r="K219" s="6">
        <v>1155</v>
      </c>
      <c r="L219" s="6">
        <v>1032</v>
      </c>
      <c r="M219" s="6">
        <v>1103</v>
      </c>
      <c r="N219" s="6">
        <v>1741</v>
      </c>
      <c r="O219" s="64">
        <v>3239</v>
      </c>
    </row>
    <row r="220" spans="2:15" x14ac:dyDescent="0.25">
      <c r="B220" s="61">
        <v>177</v>
      </c>
      <c r="C220" s="62"/>
      <c r="D220" s="6">
        <v>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6">
        <v>0</v>
      </c>
      <c r="O220" s="64">
        <v>0</v>
      </c>
    </row>
    <row r="221" spans="2:15" x14ac:dyDescent="0.25">
      <c r="B221" s="61">
        <v>178</v>
      </c>
      <c r="C221" s="62"/>
      <c r="D221" s="6">
        <v>4668</v>
      </c>
      <c r="E221" s="6">
        <v>4955</v>
      </c>
      <c r="F221" s="6">
        <v>4978</v>
      </c>
      <c r="G221" s="6">
        <v>4095</v>
      </c>
      <c r="H221" s="6">
        <v>2479</v>
      </c>
      <c r="I221" s="6">
        <v>1616</v>
      </c>
      <c r="J221" s="6">
        <v>1324</v>
      </c>
      <c r="K221" s="6">
        <v>1155</v>
      </c>
      <c r="L221" s="6">
        <v>1033</v>
      </c>
      <c r="M221" s="6">
        <v>1103</v>
      </c>
      <c r="N221" s="6">
        <v>1740</v>
      </c>
      <c r="O221" s="64">
        <v>3238</v>
      </c>
    </row>
    <row r="222" spans="2:15" x14ac:dyDescent="0.25">
      <c r="B222" s="61">
        <v>179</v>
      </c>
      <c r="C222" s="62"/>
      <c r="D222" s="6">
        <v>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6">
        <v>0</v>
      </c>
      <c r="O222" s="64">
        <v>0</v>
      </c>
    </row>
    <row r="223" spans="2:15" x14ac:dyDescent="0.25">
      <c r="B223" s="61">
        <v>180</v>
      </c>
      <c r="C223" s="62"/>
      <c r="D223" s="6">
        <v>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 s="6">
        <v>0</v>
      </c>
      <c r="O223" s="64">
        <v>0</v>
      </c>
    </row>
    <row r="224" spans="2:15" x14ac:dyDescent="0.25">
      <c r="B224" s="61">
        <v>181</v>
      </c>
      <c r="C224" s="62"/>
      <c r="D224" s="6">
        <v>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6">
        <v>0</v>
      </c>
      <c r="O224" s="64">
        <v>0</v>
      </c>
    </row>
    <row r="225" spans="2:15" x14ac:dyDescent="0.25">
      <c r="B225" s="61">
        <v>182</v>
      </c>
      <c r="C225" s="62"/>
      <c r="D225" s="6">
        <v>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6">
        <v>0</v>
      </c>
      <c r="O225" s="64">
        <v>0</v>
      </c>
    </row>
    <row r="226" spans="2:15" x14ac:dyDescent="0.25">
      <c r="B226" s="61">
        <v>183</v>
      </c>
      <c r="C226" s="62"/>
      <c r="D226" s="6">
        <v>165</v>
      </c>
      <c r="E226" s="6">
        <v>126</v>
      </c>
      <c r="F226" s="6">
        <v>114</v>
      </c>
      <c r="G226" s="6">
        <v>82</v>
      </c>
      <c r="H226" s="6">
        <v>62</v>
      </c>
      <c r="I226" s="6">
        <v>53</v>
      </c>
      <c r="J226" s="6">
        <v>46</v>
      </c>
      <c r="K226" s="6">
        <v>41</v>
      </c>
      <c r="L226" s="6">
        <v>41</v>
      </c>
      <c r="M226" s="6">
        <v>52</v>
      </c>
      <c r="N226" s="6">
        <v>85</v>
      </c>
      <c r="O226" s="64">
        <v>142</v>
      </c>
    </row>
    <row r="227" spans="2:15" x14ac:dyDescent="0.25">
      <c r="B227" s="61">
        <v>184</v>
      </c>
      <c r="C227" s="62"/>
      <c r="D227" s="6">
        <v>0</v>
      </c>
      <c r="E227" s="6">
        <v>0</v>
      </c>
      <c r="F227" s="6">
        <v>0</v>
      </c>
      <c r="G227" s="6">
        <v>0</v>
      </c>
      <c r="H227" s="6">
        <v>0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 s="6">
        <v>0</v>
      </c>
      <c r="O227" s="64">
        <v>0</v>
      </c>
    </row>
    <row r="228" spans="2:15" x14ac:dyDescent="0.25">
      <c r="B228" s="61">
        <v>185</v>
      </c>
      <c r="C228" s="62"/>
      <c r="D228" s="6">
        <v>0</v>
      </c>
      <c r="E228" s="6">
        <v>0</v>
      </c>
      <c r="F228" s="6">
        <v>0</v>
      </c>
      <c r="G228" s="6">
        <v>0</v>
      </c>
      <c r="H228" s="6">
        <v>0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6">
        <v>0</v>
      </c>
      <c r="O228" s="64">
        <v>0</v>
      </c>
    </row>
    <row r="229" spans="2:15" x14ac:dyDescent="0.25">
      <c r="B229" s="61">
        <v>186</v>
      </c>
      <c r="C229" s="62"/>
      <c r="D229" s="6">
        <v>0</v>
      </c>
      <c r="E229" s="6">
        <v>0</v>
      </c>
      <c r="F229" s="6">
        <v>0</v>
      </c>
      <c r="G229" s="6">
        <v>0</v>
      </c>
      <c r="H229" s="6">
        <v>0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 s="6">
        <v>0</v>
      </c>
      <c r="O229" s="64">
        <v>0</v>
      </c>
    </row>
    <row r="230" spans="2:15" x14ac:dyDescent="0.25">
      <c r="B230" s="61">
        <v>187</v>
      </c>
      <c r="C230" s="62"/>
      <c r="D230" s="6">
        <v>122</v>
      </c>
      <c r="E230" s="6">
        <v>123</v>
      </c>
      <c r="F230" s="6">
        <v>122</v>
      </c>
      <c r="G230" s="6">
        <v>101</v>
      </c>
      <c r="H230" s="6">
        <v>87</v>
      </c>
      <c r="I230" s="6">
        <v>77</v>
      </c>
      <c r="J230" s="6">
        <v>68</v>
      </c>
      <c r="K230" s="6">
        <v>62</v>
      </c>
      <c r="L230" s="6">
        <v>61</v>
      </c>
      <c r="M230" s="6">
        <v>68</v>
      </c>
      <c r="N230" s="6">
        <v>86</v>
      </c>
      <c r="O230" s="64">
        <v>112</v>
      </c>
    </row>
    <row r="231" spans="2:15" x14ac:dyDescent="0.25">
      <c r="B231" s="61">
        <v>188</v>
      </c>
      <c r="C231" s="62"/>
      <c r="D231" s="6">
        <v>812</v>
      </c>
      <c r="E231" s="6">
        <v>594</v>
      </c>
      <c r="F231" s="6">
        <v>492</v>
      </c>
      <c r="G231" s="6">
        <v>339</v>
      </c>
      <c r="H231" s="6">
        <v>206</v>
      </c>
      <c r="I231" s="6">
        <v>164</v>
      </c>
      <c r="J231" s="6">
        <v>138</v>
      </c>
      <c r="K231" s="6">
        <v>117</v>
      </c>
      <c r="L231" s="6">
        <v>106</v>
      </c>
      <c r="M231" s="6">
        <v>169</v>
      </c>
      <c r="N231" s="6">
        <v>466</v>
      </c>
      <c r="O231" s="64">
        <v>876</v>
      </c>
    </row>
    <row r="232" spans="2:15" x14ac:dyDescent="0.25">
      <c r="B232" s="61">
        <v>189</v>
      </c>
      <c r="C232" s="62"/>
      <c r="D232" s="6">
        <v>0</v>
      </c>
      <c r="E232" s="6">
        <v>0</v>
      </c>
      <c r="F232" s="6">
        <v>0</v>
      </c>
      <c r="G232" s="6">
        <v>0</v>
      </c>
      <c r="H232" s="6">
        <v>0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6">
        <v>0</v>
      </c>
      <c r="O232" s="64">
        <v>0</v>
      </c>
    </row>
    <row r="233" spans="2:15" x14ac:dyDescent="0.25">
      <c r="B233" s="61">
        <v>190</v>
      </c>
      <c r="C233" s="62"/>
      <c r="D233" s="6">
        <v>647</v>
      </c>
      <c r="E233" s="6">
        <v>721</v>
      </c>
      <c r="F233" s="6">
        <v>765</v>
      </c>
      <c r="G233" s="6">
        <v>675</v>
      </c>
      <c r="H233" s="6">
        <v>439</v>
      </c>
      <c r="I233" s="6">
        <v>304</v>
      </c>
      <c r="J233" s="6">
        <v>263</v>
      </c>
      <c r="K233" s="6">
        <v>240</v>
      </c>
      <c r="L233" s="6">
        <v>235</v>
      </c>
      <c r="M233" s="6">
        <v>285</v>
      </c>
      <c r="N233" s="6">
        <v>397</v>
      </c>
      <c r="O233" s="64">
        <v>528</v>
      </c>
    </row>
    <row r="234" spans="2:15" x14ac:dyDescent="0.25">
      <c r="B234" s="61">
        <v>191</v>
      </c>
      <c r="C234" s="62"/>
      <c r="D234" s="6">
        <v>1577</v>
      </c>
      <c r="E234" s="6">
        <v>1789</v>
      </c>
      <c r="F234" s="6">
        <v>1665</v>
      </c>
      <c r="G234" s="6">
        <v>1185</v>
      </c>
      <c r="H234" s="6">
        <v>632</v>
      </c>
      <c r="I234" s="6">
        <v>437</v>
      </c>
      <c r="J234" s="6">
        <v>331</v>
      </c>
      <c r="K234" s="6">
        <v>258</v>
      </c>
      <c r="L234" s="6">
        <v>243</v>
      </c>
      <c r="M234" s="6">
        <v>353</v>
      </c>
      <c r="N234" s="6">
        <v>635</v>
      </c>
      <c r="O234" s="64">
        <v>1172</v>
      </c>
    </row>
    <row r="235" spans="2:15" x14ac:dyDescent="0.25">
      <c r="B235" s="61">
        <v>192</v>
      </c>
      <c r="C235" s="62"/>
      <c r="D235" s="6">
        <v>0</v>
      </c>
      <c r="E235" s="6">
        <v>0</v>
      </c>
      <c r="F235" s="6">
        <v>0</v>
      </c>
      <c r="G235" s="6">
        <v>0</v>
      </c>
      <c r="H235" s="6">
        <v>0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 s="6">
        <v>0</v>
      </c>
      <c r="O235" s="64">
        <v>0</v>
      </c>
    </row>
    <row r="236" spans="2:15" x14ac:dyDescent="0.25">
      <c r="B236" s="61">
        <v>193</v>
      </c>
      <c r="C236" s="62"/>
      <c r="D236" s="6">
        <v>0</v>
      </c>
      <c r="E236" s="6">
        <v>0</v>
      </c>
      <c r="F236" s="6">
        <v>0</v>
      </c>
      <c r="G236" s="6">
        <v>0</v>
      </c>
      <c r="H236" s="6">
        <v>0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6">
        <v>0</v>
      </c>
      <c r="O236" s="64">
        <v>0</v>
      </c>
    </row>
    <row r="237" spans="2:15" x14ac:dyDescent="0.25">
      <c r="B237" s="61">
        <v>194</v>
      </c>
      <c r="C237" s="62"/>
      <c r="D237" s="6">
        <v>0</v>
      </c>
      <c r="E237" s="6">
        <v>0</v>
      </c>
      <c r="F237" s="6">
        <v>0</v>
      </c>
      <c r="G237" s="6">
        <v>0</v>
      </c>
      <c r="H237" s="6">
        <v>0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 s="6">
        <v>0</v>
      </c>
      <c r="O237" s="64">
        <v>0</v>
      </c>
    </row>
    <row r="238" spans="2:15" x14ac:dyDescent="0.25">
      <c r="B238" s="61">
        <v>195</v>
      </c>
      <c r="C238" s="62"/>
      <c r="D238" s="6">
        <v>0</v>
      </c>
      <c r="E238" s="6">
        <v>0</v>
      </c>
      <c r="F238" s="6">
        <v>0</v>
      </c>
      <c r="G238" s="6">
        <v>0</v>
      </c>
      <c r="H238" s="6">
        <v>0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6">
        <v>0</v>
      </c>
      <c r="O238" s="64">
        <v>0</v>
      </c>
    </row>
    <row r="239" spans="2:15" x14ac:dyDescent="0.25">
      <c r="B239" s="61">
        <v>196</v>
      </c>
      <c r="C239" s="62"/>
      <c r="D239" s="6">
        <v>62</v>
      </c>
      <c r="E239" s="6">
        <v>46</v>
      </c>
      <c r="F239" s="6">
        <v>45</v>
      </c>
      <c r="G239" s="6">
        <v>37</v>
      </c>
      <c r="H239" s="6">
        <v>26</v>
      </c>
      <c r="I239" s="6">
        <v>20</v>
      </c>
      <c r="J239" s="6">
        <v>18</v>
      </c>
      <c r="K239" s="6">
        <v>15</v>
      </c>
      <c r="L239" s="6">
        <v>15</v>
      </c>
      <c r="M239" s="6">
        <v>19</v>
      </c>
      <c r="N239" s="6">
        <v>37</v>
      </c>
      <c r="O239" s="64">
        <v>57</v>
      </c>
    </row>
    <row r="240" spans="2:15" x14ac:dyDescent="0.25">
      <c r="B240" s="61">
        <v>197</v>
      </c>
      <c r="C240" s="62"/>
      <c r="D240" s="6">
        <v>64</v>
      </c>
      <c r="E240" s="6">
        <v>63</v>
      </c>
      <c r="F240" s="6">
        <v>57</v>
      </c>
      <c r="G240" s="6">
        <v>42</v>
      </c>
      <c r="H240" s="6">
        <v>33</v>
      </c>
      <c r="I240" s="6">
        <v>28</v>
      </c>
      <c r="J240" s="6">
        <v>25</v>
      </c>
      <c r="K240" s="6">
        <v>22</v>
      </c>
      <c r="L240" s="6">
        <v>21</v>
      </c>
      <c r="M240" s="6">
        <v>24</v>
      </c>
      <c r="N240" s="6">
        <v>34</v>
      </c>
      <c r="O240" s="64">
        <v>49</v>
      </c>
    </row>
    <row r="241" spans="2:15" x14ac:dyDescent="0.25">
      <c r="B241" s="61">
        <v>198</v>
      </c>
      <c r="C241" s="62"/>
      <c r="D241" s="6">
        <v>128</v>
      </c>
      <c r="E241" s="6">
        <v>123</v>
      </c>
      <c r="F241" s="6">
        <v>112</v>
      </c>
      <c r="G241" s="6">
        <v>83</v>
      </c>
      <c r="H241" s="6">
        <v>65</v>
      </c>
      <c r="I241" s="6">
        <v>56</v>
      </c>
      <c r="J241" s="6">
        <v>49</v>
      </c>
      <c r="K241" s="6">
        <v>43</v>
      </c>
      <c r="L241" s="6">
        <v>44</v>
      </c>
      <c r="M241" s="6">
        <v>50</v>
      </c>
      <c r="N241" s="6">
        <v>69</v>
      </c>
      <c r="O241" s="64">
        <v>102</v>
      </c>
    </row>
    <row r="242" spans="2:15" x14ac:dyDescent="0.25">
      <c r="B242" s="61">
        <v>199</v>
      </c>
      <c r="C242" s="62"/>
      <c r="D242" s="6">
        <v>1121</v>
      </c>
      <c r="E242" s="6">
        <v>1126</v>
      </c>
      <c r="F242" s="6">
        <v>1058</v>
      </c>
      <c r="G242" s="6">
        <v>771</v>
      </c>
      <c r="H242" s="6">
        <v>544</v>
      </c>
      <c r="I242" s="6">
        <v>456</v>
      </c>
      <c r="J242" s="6">
        <v>385</v>
      </c>
      <c r="K242" s="6">
        <v>329</v>
      </c>
      <c r="L242" s="6">
        <v>335</v>
      </c>
      <c r="M242" s="6">
        <v>397</v>
      </c>
      <c r="N242" s="6">
        <v>541</v>
      </c>
      <c r="O242" s="64">
        <v>815</v>
      </c>
    </row>
    <row r="243" spans="2:15" x14ac:dyDescent="0.25">
      <c r="B243" s="61">
        <v>200</v>
      </c>
      <c r="C243" s="62"/>
      <c r="D243" s="6">
        <v>0</v>
      </c>
      <c r="E243" s="6">
        <v>0</v>
      </c>
      <c r="F243" s="6">
        <v>0</v>
      </c>
      <c r="G243" s="6">
        <v>0</v>
      </c>
      <c r="H243" s="6">
        <v>0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 s="6">
        <v>0</v>
      </c>
      <c r="O243" s="64">
        <v>0</v>
      </c>
    </row>
    <row r="244" spans="2:15" x14ac:dyDescent="0.25">
      <c r="B244" s="61">
        <v>201</v>
      </c>
      <c r="C244" s="62"/>
      <c r="D244" s="6">
        <v>24</v>
      </c>
      <c r="E244" s="6">
        <v>25</v>
      </c>
      <c r="F244" s="6">
        <v>23</v>
      </c>
      <c r="G244" s="6">
        <v>18</v>
      </c>
      <c r="H244" s="6">
        <v>12</v>
      </c>
      <c r="I244" s="6">
        <v>9</v>
      </c>
      <c r="J244" s="6">
        <v>7</v>
      </c>
      <c r="K244" s="6">
        <v>6</v>
      </c>
      <c r="L244" s="6">
        <v>6</v>
      </c>
      <c r="M244" s="6">
        <v>8</v>
      </c>
      <c r="N244" s="6">
        <v>12</v>
      </c>
      <c r="O244" s="64">
        <v>18</v>
      </c>
    </row>
    <row r="245" spans="2:15" x14ac:dyDescent="0.25">
      <c r="B245" s="61">
        <v>202</v>
      </c>
      <c r="C245" s="62"/>
      <c r="D245" s="6">
        <v>10</v>
      </c>
      <c r="E245" s="6">
        <v>9</v>
      </c>
      <c r="F245" s="6">
        <v>9</v>
      </c>
      <c r="G245" s="6">
        <v>7</v>
      </c>
      <c r="H245" s="6">
        <v>5</v>
      </c>
      <c r="I245" s="6">
        <v>3</v>
      </c>
      <c r="J245" s="6">
        <v>3</v>
      </c>
      <c r="K245" s="6">
        <v>2</v>
      </c>
      <c r="L245" s="6">
        <v>3</v>
      </c>
      <c r="M245" s="6">
        <v>3</v>
      </c>
      <c r="N245" s="6">
        <v>5</v>
      </c>
      <c r="O245" s="64">
        <v>8</v>
      </c>
    </row>
    <row r="246" spans="2:15" x14ac:dyDescent="0.25">
      <c r="B246" s="61">
        <v>203</v>
      </c>
      <c r="C246" s="62"/>
      <c r="D246" s="6">
        <v>41</v>
      </c>
      <c r="E246" s="6">
        <v>41</v>
      </c>
      <c r="F246" s="6">
        <v>38</v>
      </c>
      <c r="G246" s="6">
        <v>30</v>
      </c>
      <c r="H246" s="6">
        <v>21</v>
      </c>
      <c r="I246" s="6">
        <v>15</v>
      </c>
      <c r="J246" s="6">
        <v>12</v>
      </c>
      <c r="K246" s="6">
        <v>11</v>
      </c>
      <c r="L246" s="6">
        <v>11</v>
      </c>
      <c r="M246" s="6">
        <v>13</v>
      </c>
      <c r="N246" s="6">
        <v>20</v>
      </c>
      <c r="O246" s="64">
        <v>31</v>
      </c>
    </row>
    <row r="247" spans="2:15" x14ac:dyDescent="0.25">
      <c r="B247" s="61">
        <v>204</v>
      </c>
      <c r="C247" s="62"/>
      <c r="D247" s="6">
        <v>528</v>
      </c>
      <c r="E247" s="6">
        <v>995</v>
      </c>
      <c r="F247" s="6">
        <v>1515</v>
      </c>
      <c r="G247" s="6">
        <v>1869</v>
      </c>
      <c r="H247" s="6">
        <v>2013</v>
      </c>
      <c r="I247" s="6">
        <v>1586</v>
      </c>
      <c r="J247" s="6">
        <v>1171</v>
      </c>
      <c r="K247" s="6">
        <v>787</v>
      </c>
      <c r="L247" s="6">
        <v>455</v>
      </c>
      <c r="M247" s="6">
        <v>275</v>
      </c>
      <c r="N247" s="6">
        <v>197</v>
      </c>
      <c r="O247" s="64">
        <v>228</v>
      </c>
    </row>
    <row r="248" spans="2:15" x14ac:dyDescent="0.25">
      <c r="B248" s="61">
        <v>205</v>
      </c>
      <c r="C248" s="62"/>
      <c r="D248" s="6">
        <v>216</v>
      </c>
      <c r="E248" s="6">
        <v>238</v>
      </c>
      <c r="F248" s="6">
        <v>239</v>
      </c>
      <c r="G248" s="6">
        <v>191</v>
      </c>
      <c r="H248" s="6">
        <v>119</v>
      </c>
      <c r="I248" s="6">
        <v>87</v>
      </c>
      <c r="J248" s="6">
        <v>68</v>
      </c>
      <c r="K248" s="6">
        <v>53</v>
      </c>
      <c r="L248" s="6">
        <v>46</v>
      </c>
      <c r="M248" s="6">
        <v>60</v>
      </c>
      <c r="N248" s="6">
        <v>99</v>
      </c>
      <c r="O248" s="64">
        <v>159</v>
      </c>
    </row>
    <row r="249" spans="2:15" x14ac:dyDescent="0.25">
      <c r="B249" s="61">
        <v>206</v>
      </c>
      <c r="C249" s="62"/>
      <c r="D249" s="6">
        <v>599</v>
      </c>
      <c r="E249" s="6">
        <v>605</v>
      </c>
      <c r="F249" s="6">
        <v>571</v>
      </c>
      <c r="G249" s="6">
        <v>434</v>
      </c>
      <c r="H249" s="6">
        <v>298</v>
      </c>
      <c r="I249" s="6">
        <v>233</v>
      </c>
      <c r="J249" s="6">
        <v>193</v>
      </c>
      <c r="K249" s="6">
        <v>159</v>
      </c>
      <c r="L249" s="6">
        <v>146</v>
      </c>
      <c r="M249" s="6">
        <v>177</v>
      </c>
      <c r="N249" s="6">
        <v>260</v>
      </c>
      <c r="O249" s="64">
        <v>430</v>
      </c>
    </row>
    <row r="250" spans="2:15" x14ac:dyDescent="0.25">
      <c r="B250" s="61">
        <v>207</v>
      </c>
      <c r="C250" s="62"/>
      <c r="D250" s="6">
        <v>609</v>
      </c>
      <c r="E250" s="6">
        <v>617</v>
      </c>
      <c r="F250" s="6">
        <v>582</v>
      </c>
      <c r="G250" s="6">
        <v>444</v>
      </c>
      <c r="H250" s="6">
        <v>304</v>
      </c>
      <c r="I250" s="6">
        <v>238</v>
      </c>
      <c r="J250" s="6">
        <v>197</v>
      </c>
      <c r="K250" s="6">
        <v>163</v>
      </c>
      <c r="L250" s="6">
        <v>149</v>
      </c>
      <c r="M250" s="6">
        <v>180</v>
      </c>
      <c r="N250" s="6">
        <v>265</v>
      </c>
      <c r="O250" s="64">
        <v>437</v>
      </c>
    </row>
    <row r="251" spans="2:15" x14ac:dyDescent="0.25">
      <c r="B251" s="61">
        <v>208</v>
      </c>
      <c r="C251" s="62"/>
      <c r="D251" s="6">
        <v>0</v>
      </c>
      <c r="E251" s="6">
        <v>0</v>
      </c>
      <c r="F251" s="6">
        <v>0</v>
      </c>
      <c r="G251" s="6">
        <v>0</v>
      </c>
      <c r="H251" s="6">
        <v>0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 s="6">
        <v>0</v>
      </c>
      <c r="O251" s="64">
        <v>0</v>
      </c>
    </row>
    <row r="252" spans="2:15" x14ac:dyDescent="0.25">
      <c r="B252" s="61">
        <v>209</v>
      </c>
      <c r="C252" s="62"/>
      <c r="D252" s="6">
        <v>746</v>
      </c>
      <c r="E252" s="6">
        <v>821</v>
      </c>
      <c r="F252" s="6">
        <v>829</v>
      </c>
      <c r="G252" s="6">
        <v>645</v>
      </c>
      <c r="H252" s="6">
        <v>406</v>
      </c>
      <c r="I252" s="6">
        <v>301</v>
      </c>
      <c r="J252" s="6">
        <v>237</v>
      </c>
      <c r="K252" s="6">
        <v>186</v>
      </c>
      <c r="L252" s="6">
        <v>161</v>
      </c>
      <c r="M252" s="6">
        <v>201</v>
      </c>
      <c r="N252" s="6">
        <v>336</v>
      </c>
      <c r="O252" s="64">
        <v>550</v>
      </c>
    </row>
    <row r="253" spans="2:15" x14ac:dyDescent="0.25">
      <c r="B253" s="61">
        <v>210</v>
      </c>
      <c r="C253" s="62"/>
      <c r="D253" s="6">
        <v>0</v>
      </c>
      <c r="E253" s="6">
        <v>0</v>
      </c>
      <c r="F253" s="6">
        <v>0</v>
      </c>
      <c r="G253" s="6">
        <v>0</v>
      </c>
      <c r="H253" s="6">
        <v>0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 s="6">
        <v>0</v>
      </c>
      <c r="O253" s="64">
        <v>0</v>
      </c>
    </row>
    <row r="254" spans="2:15" x14ac:dyDescent="0.25">
      <c r="B254" s="61">
        <v>211</v>
      </c>
      <c r="C254" s="62"/>
      <c r="D254" s="6">
        <v>585</v>
      </c>
      <c r="E254" s="6">
        <v>519</v>
      </c>
      <c r="F254" s="6">
        <v>460</v>
      </c>
      <c r="G254" s="6">
        <v>319</v>
      </c>
      <c r="H254" s="6">
        <v>234</v>
      </c>
      <c r="I254" s="6">
        <v>196</v>
      </c>
      <c r="J254" s="6">
        <v>165</v>
      </c>
      <c r="K254" s="6">
        <v>140</v>
      </c>
      <c r="L254" s="6">
        <v>144</v>
      </c>
      <c r="M254" s="6">
        <v>171</v>
      </c>
      <c r="N254" s="6">
        <v>253</v>
      </c>
      <c r="O254" s="64">
        <v>428</v>
      </c>
    </row>
    <row r="255" spans="2:15" x14ac:dyDescent="0.25">
      <c r="B255" s="61">
        <v>212</v>
      </c>
      <c r="C255" s="62"/>
      <c r="D255" s="6">
        <v>0</v>
      </c>
      <c r="E255" s="6">
        <v>0</v>
      </c>
      <c r="F255" s="6">
        <v>0</v>
      </c>
      <c r="G255" s="6">
        <v>0</v>
      </c>
      <c r="H255" s="6">
        <v>0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 s="6">
        <v>0</v>
      </c>
      <c r="O255" s="64">
        <v>0</v>
      </c>
    </row>
    <row r="256" spans="2:15" x14ac:dyDescent="0.25">
      <c r="B256" s="61">
        <v>213</v>
      </c>
      <c r="C256" s="62"/>
      <c r="D256" s="6">
        <v>0</v>
      </c>
      <c r="E256" s="6">
        <v>0</v>
      </c>
      <c r="F256" s="6">
        <v>0</v>
      </c>
      <c r="G256" s="6">
        <v>0</v>
      </c>
      <c r="H256" s="6">
        <v>0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6">
        <v>0</v>
      </c>
      <c r="O256" s="64">
        <v>0</v>
      </c>
    </row>
    <row r="257" spans="2:15" x14ac:dyDescent="0.25">
      <c r="B257" s="61">
        <v>214</v>
      </c>
      <c r="C257" s="62"/>
      <c r="D257" s="6">
        <v>0</v>
      </c>
      <c r="E257" s="6">
        <v>0</v>
      </c>
      <c r="F257" s="6">
        <v>0</v>
      </c>
      <c r="G257" s="6">
        <v>0</v>
      </c>
      <c r="H257" s="6">
        <v>0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 s="6">
        <v>0</v>
      </c>
      <c r="O257" s="64">
        <v>0</v>
      </c>
    </row>
    <row r="258" spans="2:15" x14ac:dyDescent="0.25">
      <c r="B258" s="61">
        <v>215</v>
      </c>
      <c r="C258" s="62"/>
      <c r="D258" s="6">
        <v>184</v>
      </c>
      <c r="E258" s="6">
        <v>236</v>
      </c>
      <c r="F258" s="6">
        <v>179</v>
      </c>
      <c r="G258" s="6">
        <v>187</v>
      </c>
      <c r="H258" s="6">
        <v>253</v>
      </c>
      <c r="I258" s="6">
        <v>291</v>
      </c>
      <c r="J258" s="6">
        <v>363</v>
      </c>
      <c r="K258" s="6">
        <v>379</v>
      </c>
      <c r="L258" s="6">
        <v>438</v>
      </c>
      <c r="M258" s="6">
        <v>395</v>
      </c>
      <c r="N258" s="6">
        <v>236</v>
      </c>
      <c r="O258" s="64">
        <v>189</v>
      </c>
    </row>
    <row r="259" spans="2:15" x14ac:dyDescent="0.25">
      <c r="B259" s="61">
        <v>216</v>
      </c>
      <c r="C259" s="62"/>
      <c r="D259" s="6">
        <v>232</v>
      </c>
      <c r="E259" s="6">
        <v>284</v>
      </c>
      <c r="F259" s="6">
        <v>229</v>
      </c>
      <c r="G259" s="6">
        <v>212</v>
      </c>
      <c r="H259" s="6">
        <v>280</v>
      </c>
      <c r="I259" s="6">
        <v>318</v>
      </c>
      <c r="J259" s="6">
        <v>377</v>
      </c>
      <c r="K259" s="6">
        <v>381</v>
      </c>
      <c r="L259" s="6">
        <v>462</v>
      </c>
      <c r="M259" s="6">
        <v>491</v>
      </c>
      <c r="N259" s="6">
        <v>316</v>
      </c>
      <c r="O259" s="64">
        <v>227</v>
      </c>
    </row>
    <row r="260" spans="2:15" x14ac:dyDescent="0.25">
      <c r="B260" s="61">
        <v>217</v>
      </c>
      <c r="C260" s="62"/>
      <c r="D260" s="6">
        <v>505</v>
      </c>
      <c r="E260" s="6">
        <v>632</v>
      </c>
      <c r="F260" s="6">
        <v>497</v>
      </c>
      <c r="G260" s="6">
        <v>499</v>
      </c>
      <c r="H260" s="6">
        <v>680</v>
      </c>
      <c r="I260" s="6">
        <v>777</v>
      </c>
      <c r="J260" s="6">
        <v>936</v>
      </c>
      <c r="K260" s="6">
        <v>955</v>
      </c>
      <c r="L260" s="6">
        <v>1123</v>
      </c>
      <c r="M260" s="6">
        <v>1124</v>
      </c>
      <c r="N260" s="6">
        <v>698</v>
      </c>
      <c r="O260" s="64">
        <v>519</v>
      </c>
    </row>
    <row r="261" spans="2:15" x14ac:dyDescent="0.25">
      <c r="B261" s="61">
        <v>218</v>
      </c>
      <c r="C261" s="62"/>
      <c r="D261" s="6">
        <v>0</v>
      </c>
      <c r="E261" s="6">
        <v>0</v>
      </c>
      <c r="F261" s="6">
        <v>0</v>
      </c>
      <c r="G261" s="6">
        <v>0</v>
      </c>
      <c r="H261" s="6">
        <v>0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 s="6">
        <v>0</v>
      </c>
      <c r="O261" s="64">
        <v>0</v>
      </c>
    </row>
    <row r="262" spans="2:15" x14ac:dyDescent="0.25">
      <c r="B262" s="61">
        <v>219</v>
      </c>
      <c r="C262" s="62"/>
      <c r="D262" s="6">
        <v>0</v>
      </c>
      <c r="E262" s="6">
        <v>0</v>
      </c>
      <c r="F262" s="6">
        <v>0</v>
      </c>
      <c r="G262" s="6">
        <v>0</v>
      </c>
      <c r="H262" s="6">
        <v>0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6">
        <v>0</v>
      </c>
      <c r="O262" s="64">
        <v>0</v>
      </c>
    </row>
    <row r="263" spans="2:15" x14ac:dyDescent="0.25">
      <c r="B263" s="61">
        <v>220</v>
      </c>
      <c r="C263" s="62"/>
      <c r="D263" s="6">
        <v>61</v>
      </c>
      <c r="E263" s="6">
        <v>58</v>
      </c>
      <c r="F263" s="6">
        <v>50</v>
      </c>
      <c r="G263" s="6">
        <v>63</v>
      </c>
      <c r="H263" s="6">
        <v>96</v>
      </c>
      <c r="I263" s="6">
        <v>121</v>
      </c>
      <c r="J263" s="6">
        <v>136</v>
      </c>
      <c r="K263" s="6">
        <v>119</v>
      </c>
      <c r="L263" s="6">
        <v>131</v>
      </c>
      <c r="M263" s="6">
        <v>148</v>
      </c>
      <c r="N263" s="6">
        <v>103</v>
      </c>
      <c r="O263" s="64">
        <v>80</v>
      </c>
    </row>
    <row r="264" spans="2:15" x14ac:dyDescent="0.25">
      <c r="B264" s="61">
        <v>221</v>
      </c>
      <c r="C264" s="62"/>
      <c r="D264" s="6">
        <v>0</v>
      </c>
      <c r="E264" s="6">
        <v>0</v>
      </c>
      <c r="F264" s="6">
        <v>0</v>
      </c>
      <c r="G264" s="6">
        <v>0</v>
      </c>
      <c r="H264" s="6">
        <v>0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6">
        <v>0</v>
      </c>
      <c r="O264" s="64">
        <v>0</v>
      </c>
    </row>
    <row r="265" spans="2:15" x14ac:dyDescent="0.25">
      <c r="B265" s="61">
        <v>222</v>
      </c>
      <c r="C265" s="62"/>
      <c r="D265" s="6">
        <v>1162</v>
      </c>
      <c r="E265" s="6">
        <v>1262</v>
      </c>
      <c r="F265" s="6">
        <v>1115</v>
      </c>
      <c r="G265" s="6">
        <v>1024</v>
      </c>
      <c r="H265" s="6">
        <v>1325</v>
      </c>
      <c r="I265" s="6">
        <v>1643</v>
      </c>
      <c r="J265" s="6">
        <v>1564</v>
      </c>
      <c r="K265" s="6">
        <v>1259</v>
      </c>
      <c r="L265" s="6">
        <v>1466</v>
      </c>
      <c r="M265" s="6">
        <v>1960</v>
      </c>
      <c r="N265" s="6">
        <v>1474</v>
      </c>
      <c r="O265" s="64">
        <v>1189</v>
      </c>
    </row>
    <row r="266" spans="2:15" x14ac:dyDescent="0.25">
      <c r="B266" s="61">
        <v>223</v>
      </c>
      <c r="C266" s="62"/>
      <c r="D266" s="6">
        <v>0</v>
      </c>
      <c r="E266" s="6">
        <v>0</v>
      </c>
      <c r="F266" s="6">
        <v>0</v>
      </c>
      <c r="G266" s="6">
        <v>0</v>
      </c>
      <c r="H266" s="6">
        <v>0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6">
        <v>0</v>
      </c>
      <c r="O266" s="64">
        <v>0</v>
      </c>
    </row>
    <row r="267" spans="2:15" x14ac:dyDescent="0.25">
      <c r="B267" s="61">
        <v>224</v>
      </c>
      <c r="C267" s="62"/>
      <c r="D267" s="6">
        <v>0</v>
      </c>
      <c r="E267" s="6">
        <v>0</v>
      </c>
      <c r="F267" s="6">
        <v>0</v>
      </c>
      <c r="G267" s="6">
        <v>0</v>
      </c>
      <c r="H267" s="6">
        <v>0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 s="6">
        <v>0</v>
      </c>
      <c r="O267" s="64">
        <v>0</v>
      </c>
    </row>
    <row r="268" spans="2:15" x14ac:dyDescent="0.25">
      <c r="B268" s="61">
        <v>225</v>
      </c>
      <c r="C268" s="62"/>
      <c r="D268" s="6">
        <v>379</v>
      </c>
      <c r="E268" s="6">
        <v>476</v>
      </c>
      <c r="F268" s="6">
        <v>511</v>
      </c>
      <c r="G268" s="6">
        <v>376</v>
      </c>
      <c r="H268" s="6">
        <v>187</v>
      </c>
      <c r="I268" s="6">
        <v>75</v>
      </c>
      <c r="J268" s="6">
        <v>40</v>
      </c>
      <c r="K268" s="6">
        <v>25</v>
      </c>
      <c r="L268" s="6">
        <v>20</v>
      </c>
      <c r="M268" s="6">
        <v>31</v>
      </c>
      <c r="N268" s="6">
        <v>76</v>
      </c>
      <c r="O268" s="64">
        <v>213</v>
      </c>
    </row>
    <row r="269" spans="2:15" x14ac:dyDescent="0.25">
      <c r="B269" s="61">
        <v>226</v>
      </c>
      <c r="C269" s="62"/>
      <c r="D269" s="6">
        <v>0</v>
      </c>
      <c r="E269" s="6">
        <v>0</v>
      </c>
      <c r="F269" s="6">
        <v>0</v>
      </c>
      <c r="G269" s="6">
        <v>0</v>
      </c>
      <c r="H269" s="6">
        <v>0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 s="6">
        <v>0</v>
      </c>
      <c r="O269" s="64">
        <v>0</v>
      </c>
    </row>
    <row r="270" spans="2:15" x14ac:dyDescent="0.25">
      <c r="B270" s="61">
        <v>227</v>
      </c>
      <c r="C270" s="62"/>
      <c r="D270" s="6">
        <v>1449</v>
      </c>
      <c r="E270" s="6">
        <v>1616</v>
      </c>
      <c r="F270" s="6">
        <v>1627</v>
      </c>
      <c r="G270" s="6">
        <v>1292</v>
      </c>
      <c r="H270" s="6">
        <v>891</v>
      </c>
      <c r="I270" s="6">
        <v>663</v>
      </c>
      <c r="J270" s="6">
        <v>529</v>
      </c>
      <c r="K270" s="6">
        <v>448</v>
      </c>
      <c r="L270" s="6">
        <v>412</v>
      </c>
      <c r="M270" s="6">
        <v>480</v>
      </c>
      <c r="N270" s="6">
        <v>702</v>
      </c>
      <c r="O270" s="64">
        <v>1085</v>
      </c>
    </row>
    <row r="271" spans="2:15" x14ac:dyDescent="0.25">
      <c r="B271" s="61">
        <v>228</v>
      </c>
      <c r="C271" s="62"/>
      <c r="D271" s="6">
        <v>1584</v>
      </c>
      <c r="E271" s="6">
        <v>1766</v>
      </c>
      <c r="F271" s="6">
        <v>1778</v>
      </c>
      <c r="G271" s="6">
        <v>1412</v>
      </c>
      <c r="H271" s="6">
        <v>973</v>
      </c>
      <c r="I271" s="6">
        <v>725</v>
      </c>
      <c r="J271" s="6">
        <v>578</v>
      </c>
      <c r="K271" s="6">
        <v>490</v>
      </c>
      <c r="L271" s="6">
        <v>451</v>
      </c>
      <c r="M271" s="6">
        <v>525</v>
      </c>
      <c r="N271" s="6">
        <v>767</v>
      </c>
      <c r="O271" s="64">
        <v>1186</v>
      </c>
    </row>
    <row r="272" spans="2:15" x14ac:dyDescent="0.25">
      <c r="B272" s="61">
        <v>229</v>
      </c>
      <c r="C272" s="62"/>
      <c r="D272" s="6">
        <v>3699</v>
      </c>
      <c r="E272" s="6">
        <v>4313</v>
      </c>
      <c r="F272" s="6">
        <v>4503</v>
      </c>
      <c r="G272" s="6">
        <v>3605</v>
      </c>
      <c r="H272" s="6">
        <v>2314</v>
      </c>
      <c r="I272" s="6">
        <v>1485</v>
      </c>
      <c r="J272" s="6">
        <v>1054</v>
      </c>
      <c r="K272" s="6">
        <v>811</v>
      </c>
      <c r="L272" s="6">
        <v>706</v>
      </c>
      <c r="M272" s="6">
        <v>887</v>
      </c>
      <c r="N272" s="6">
        <v>1478</v>
      </c>
      <c r="O272" s="64">
        <v>2564</v>
      </c>
    </row>
    <row r="273" spans="2:15" x14ac:dyDescent="0.25">
      <c r="B273" s="61">
        <v>230</v>
      </c>
      <c r="C273" s="62"/>
      <c r="D273" s="6">
        <v>3732</v>
      </c>
      <c r="E273" s="6">
        <v>4352</v>
      </c>
      <c r="F273" s="6">
        <v>4543</v>
      </c>
      <c r="G273" s="6">
        <v>3637</v>
      </c>
      <c r="H273" s="6">
        <v>2335</v>
      </c>
      <c r="I273" s="6">
        <v>1498</v>
      </c>
      <c r="J273" s="6">
        <v>1064</v>
      </c>
      <c r="K273" s="6">
        <v>819</v>
      </c>
      <c r="L273" s="6">
        <v>712</v>
      </c>
      <c r="M273" s="6">
        <v>896</v>
      </c>
      <c r="N273" s="6">
        <v>1493</v>
      </c>
      <c r="O273" s="64">
        <v>2588</v>
      </c>
    </row>
    <row r="274" spans="2:15" x14ac:dyDescent="0.25">
      <c r="B274" s="61">
        <v>231</v>
      </c>
      <c r="C274" s="62"/>
      <c r="D274" s="6">
        <v>0</v>
      </c>
      <c r="E274" s="6">
        <v>0</v>
      </c>
      <c r="F274" s="6">
        <v>0</v>
      </c>
      <c r="G274" s="6">
        <v>0</v>
      </c>
      <c r="H274" s="6">
        <v>0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6">
        <v>0</v>
      </c>
      <c r="O274" s="64">
        <v>0</v>
      </c>
    </row>
    <row r="275" spans="2:15" x14ac:dyDescent="0.25">
      <c r="B275" s="61">
        <v>232</v>
      </c>
      <c r="C275" s="62"/>
      <c r="D275" s="6">
        <v>0</v>
      </c>
      <c r="E275" s="6">
        <v>0</v>
      </c>
      <c r="F275" s="6">
        <v>0</v>
      </c>
      <c r="G275" s="6">
        <v>0</v>
      </c>
      <c r="H275" s="6">
        <v>0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 s="6">
        <v>0</v>
      </c>
      <c r="O275" s="64">
        <v>0</v>
      </c>
    </row>
    <row r="276" spans="2:15" x14ac:dyDescent="0.25">
      <c r="B276" s="61">
        <v>233</v>
      </c>
      <c r="C276" s="62"/>
      <c r="D276" s="6">
        <v>0</v>
      </c>
      <c r="E276" s="6">
        <v>0</v>
      </c>
      <c r="F276" s="6">
        <v>0</v>
      </c>
      <c r="G276" s="6">
        <v>0</v>
      </c>
      <c r="H276" s="6">
        <v>0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6">
        <v>0</v>
      </c>
      <c r="O276" s="64">
        <v>0</v>
      </c>
    </row>
    <row r="277" spans="2:15" x14ac:dyDescent="0.25">
      <c r="B277" s="61">
        <v>234</v>
      </c>
      <c r="C277" s="62"/>
      <c r="D277" s="6">
        <v>0</v>
      </c>
      <c r="E277" s="6">
        <v>0</v>
      </c>
      <c r="F277" s="6">
        <v>0</v>
      </c>
      <c r="G277" s="6">
        <v>0</v>
      </c>
      <c r="H277" s="6">
        <v>0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 s="6">
        <v>0</v>
      </c>
      <c r="O277" s="64">
        <v>0</v>
      </c>
    </row>
    <row r="278" spans="2:15" x14ac:dyDescent="0.25">
      <c r="B278" s="61">
        <v>235</v>
      </c>
      <c r="C278" s="62"/>
      <c r="D278" s="6">
        <v>0</v>
      </c>
      <c r="E278" s="6">
        <v>0</v>
      </c>
      <c r="F278" s="6">
        <v>0</v>
      </c>
      <c r="G278" s="6">
        <v>0</v>
      </c>
      <c r="H278" s="6">
        <v>0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6">
        <v>0</v>
      </c>
      <c r="O278" s="64">
        <v>0</v>
      </c>
    </row>
    <row r="279" spans="2:15" x14ac:dyDescent="0.25">
      <c r="B279" s="61">
        <v>236</v>
      </c>
      <c r="C279" s="62"/>
      <c r="D279" s="6">
        <v>0</v>
      </c>
      <c r="E279" s="6">
        <v>0</v>
      </c>
      <c r="F279" s="6">
        <v>0</v>
      </c>
      <c r="G279" s="6">
        <v>0</v>
      </c>
      <c r="H279" s="6">
        <v>0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 s="6">
        <v>0</v>
      </c>
      <c r="O279" s="64">
        <v>0</v>
      </c>
    </row>
    <row r="280" spans="2:15" x14ac:dyDescent="0.25">
      <c r="B280" s="61">
        <v>237</v>
      </c>
      <c r="C280" s="62"/>
      <c r="D280" s="6">
        <v>742</v>
      </c>
      <c r="E280" s="6">
        <v>785</v>
      </c>
      <c r="F280" s="6">
        <v>667</v>
      </c>
      <c r="G280" s="6">
        <v>441</v>
      </c>
      <c r="H280" s="6">
        <v>347</v>
      </c>
      <c r="I280" s="6">
        <v>342</v>
      </c>
      <c r="J280" s="6">
        <v>274</v>
      </c>
      <c r="K280" s="6">
        <v>231</v>
      </c>
      <c r="L280" s="6">
        <v>257</v>
      </c>
      <c r="M280" s="6">
        <v>313</v>
      </c>
      <c r="N280" s="6">
        <v>340</v>
      </c>
      <c r="O280" s="64">
        <v>512</v>
      </c>
    </row>
    <row r="281" spans="2:15" x14ac:dyDescent="0.25">
      <c r="B281" s="61">
        <v>238</v>
      </c>
      <c r="C281" s="62"/>
      <c r="D281" s="6">
        <v>824</v>
      </c>
      <c r="E281" s="6">
        <v>875</v>
      </c>
      <c r="F281" s="6">
        <v>746</v>
      </c>
      <c r="G281" s="6">
        <v>497</v>
      </c>
      <c r="H281" s="6">
        <v>392</v>
      </c>
      <c r="I281" s="6">
        <v>387</v>
      </c>
      <c r="J281" s="6">
        <v>309</v>
      </c>
      <c r="K281" s="6">
        <v>261</v>
      </c>
      <c r="L281" s="6">
        <v>288</v>
      </c>
      <c r="M281" s="6">
        <v>347</v>
      </c>
      <c r="N281" s="6">
        <v>378</v>
      </c>
      <c r="O281" s="64">
        <v>566</v>
      </c>
    </row>
    <row r="282" spans="2:15" x14ac:dyDescent="0.25">
      <c r="B282" s="61">
        <v>239</v>
      </c>
      <c r="C282" s="62"/>
      <c r="D282" s="6">
        <v>968</v>
      </c>
      <c r="E282" s="6">
        <v>1026</v>
      </c>
      <c r="F282" s="6">
        <v>882</v>
      </c>
      <c r="G282" s="6">
        <v>604</v>
      </c>
      <c r="H282" s="6">
        <v>480</v>
      </c>
      <c r="I282" s="6">
        <v>470</v>
      </c>
      <c r="J282" s="6">
        <v>382</v>
      </c>
      <c r="K282" s="6">
        <v>326</v>
      </c>
      <c r="L282" s="6">
        <v>354</v>
      </c>
      <c r="M282" s="6">
        <v>418</v>
      </c>
      <c r="N282" s="6">
        <v>455</v>
      </c>
      <c r="O282" s="64">
        <v>676</v>
      </c>
    </row>
    <row r="283" spans="2:15" x14ac:dyDescent="0.25">
      <c r="B283" s="61">
        <v>240</v>
      </c>
      <c r="C283" s="62"/>
      <c r="D283" s="6">
        <v>1157</v>
      </c>
      <c r="E283" s="6">
        <v>1231</v>
      </c>
      <c r="F283" s="6">
        <v>1067</v>
      </c>
      <c r="G283" s="6">
        <v>727</v>
      </c>
      <c r="H283" s="6">
        <v>578</v>
      </c>
      <c r="I283" s="6">
        <v>565</v>
      </c>
      <c r="J283" s="6">
        <v>464</v>
      </c>
      <c r="K283" s="6">
        <v>400</v>
      </c>
      <c r="L283" s="6">
        <v>431</v>
      </c>
      <c r="M283" s="6">
        <v>503</v>
      </c>
      <c r="N283" s="6">
        <v>543</v>
      </c>
      <c r="O283" s="64">
        <v>806</v>
      </c>
    </row>
    <row r="284" spans="2:15" x14ac:dyDescent="0.25">
      <c r="B284" s="61">
        <v>241</v>
      </c>
      <c r="C284" s="62"/>
      <c r="D284" s="6">
        <v>262</v>
      </c>
      <c r="E284" s="6">
        <v>284</v>
      </c>
      <c r="F284" s="6">
        <v>286</v>
      </c>
      <c r="G284" s="6">
        <v>231</v>
      </c>
      <c r="H284" s="6">
        <v>180</v>
      </c>
      <c r="I284" s="6">
        <v>156</v>
      </c>
      <c r="J284" s="6">
        <v>140</v>
      </c>
      <c r="K284" s="6">
        <v>129</v>
      </c>
      <c r="L284" s="6">
        <v>133</v>
      </c>
      <c r="M284" s="6">
        <v>151</v>
      </c>
      <c r="N284" s="6">
        <v>179</v>
      </c>
      <c r="O284" s="64">
        <v>224</v>
      </c>
    </row>
    <row r="285" spans="2:15" x14ac:dyDescent="0.25">
      <c r="B285" s="61">
        <v>242</v>
      </c>
      <c r="C285" s="62"/>
      <c r="D285" s="6">
        <v>1240</v>
      </c>
      <c r="E285" s="6">
        <v>1324</v>
      </c>
      <c r="F285" s="6">
        <v>1144</v>
      </c>
      <c r="G285" s="6">
        <v>777</v>
      </c>
      <c r="H285" s="6">
        <v>614</v>
      </c>
      <c r="I285" s="6">
        <v>601</v>
      </c>
      <c r="J285" s="6">
        <v>492</v>
      </c>
      <c r="K285" s="6">
        <v>424</v>
      </c>
      <c r="L285" s="6">
        <v>455</v>
      </c>
      <c r="M285" s="6">
        <v>533</v>
      </c>
      <c r="N285" s="6">
        <v>577</v>
      </c>
      <c r="O285" s="64">
        <v>859</v>
      </c>
    </row>
    <row r="286" spans="2:15" x14ac:dyDescent="0.25">
      <c r="B286" s="61">
        <v>243</v>
      </c>
      <c r="C286" s="62"/>
      <c r="D286" s="6">
        <v>1297</v>
      </c>
      <c r="E286" s="6">
        <v>1412</v>
      </c>
      <c r="F286" s="6">
        <v>1233</v>
      </c>
      <c r="G286" s="6">
        <v>848</v>
      </c>
      <c r="H286" s="6">
        <v>658</v>
      </c>
      <c r="I286" s="6">
        <v>648</v>
      </c>
      <c r="J286" s="6">
        <v>530</v>
      </c>
      <c r="K286" s="6">
        <v>458</v>
      </c>
      <c r="L286" s="6">
        <v>484</v>
      </c>
      <c r="M286" s="6">
        <v>566</v>
      </c>
      <c r="N286" s="6">
        <v>609</v>
      </c>
      <c r="O286" s="64">
        <v>897</v>
      </c>
    </row>
    <row r="287" spans="2:15" x14ac:dyDescent="0.25">
      <c r="B287" s="61">
        <v>244</v>
      </c>
      <c r="C287" s="62"/>
      <c r="D287" s="6">
        <v>10134</v>
      </c>
      <c r="E287" s="6">
        <v>10710</v>
      </c>
      <c r="F287" s="6">
        <v>10170</v>
      </c>
      <c r="G287" s="6">
        <v>7606</v>
      </c>
      <c r="H287" s="6">
        <v>5287</v>
      </c>
      <c r="I287" s="6">
        <v>4429</v>
      </c>
      <c r="J287" s="6">
        <v>3626</v>
      </c>
      <c r="K287" s="6">
        <v>3050</v>
      </c>
      <c r="L287" s="6">
        <v>2956</v>
      </c>
      <c r="M287" s="6">
        <v>3407</v>
      </c>
      <c r="N287" s="6">
        <v>4497</v>
      </c>
      <c r="O287" s="64">
        <v>7151</v>
      </c>
    </row>
    <row r="288" spans="2:15" x14ac:dyDescent="0.25">
      <c r="B288" s="61">
        <v>245</v>
      </c>
      <c r="C288" s="62"/>
      <c r="D288" s="6">
        <v>10549</v>
      </c>
      <c r="E288" s="6">
        <v>11170</v>
      </c>
      <c r="F288" s="6">
        <v>10603</v>
      </c>
      <c r="G288" s="6">
        <v>7973</v>
      </c>
      <c r="H288" s="6">
        <v>5601</v>
      </c>
      <c r="I288" s="6">
        <v>4732</v>
      </c>
      <c r="J288" s="6">
        <v>3908</v>
      </c>
      <c r="K288" s="6">
        <v>3328</v>
      </c>
      <c r="L288" s="6">
        <v>3225</v>
      </c>
      <c r="M288" s="6">
        <v>3681</v>
      </c>
      <c r="N288" s="6">
        <v>4793</v>
      </c>
      <c r="O288" s="64">
        <v>7488</v>
      </c>
    </row>
    <row r="289" spans="2:15" x14ac:dyDescent="0.25">
      <c r="B289" s="61">
        <v>246</v>
      </c>
      <c r="C289" s="62"/>
      <c r="D289" s="6">
        <v>11417</v>
      </c>
      <c r="E289" s="6">
        <v>12284</v>
      </c>
      <c r="F289" s="6">
        <v>11700</v>
      </c>
      <c r="G289" s="6">
        <v>9012</v>
      </c>
      <c r="H289" s="6">
        <v>6491</v>
      </c>
      <c r="I289" s="6">
        <v>5620</v>
      </c>
      <c r="J289" s="6">
        <v>4627</v>
      </c>
      <c r="K289" s="6">
        <v>3941</v>
      </c>
      <c r="L289" s="6">
        <v>3837</v>
      </c>
      <c r="M289" s="6">
        <v>4345</v>
      </c>
      <c r="N289" s="6">
        <v>5457</v>
      </c>
      <c r="O289" s="64">
        <v>8154</v>
      </c>
    </row>
    <row r="290" spans="2:15" x14ac:dyDescent="0.25">
      <c r="B290" s="61">
        <v>247</v>
      </c>
      <c r="C290" s="62"/>
      <c r="D290" s="6">
        <v>286</v>
      </c>
      <c r="E290" s="6">
        <v>319</v>
      </c>
      <c r="F290" s="6">
        <v>327</v>
      </c>
      <c r="G290" s="6">
        <v>253</v>
      </c>
      <c r="H290" s="6">
        <v>177</v>
      </c>
      <c r="I290" s="6">
        <v>139</v>
      </c>
      <c r="J290" s="6">
        <v>116</v>
      </c>
      <c r="K290" s="6">
        <v>101</v>
      </c>
      <c r="L290" s="6">
        <v>103</v>
      </c>
      <c r="M290" s="6">
        <v>126</v>
      </c>
      <c r="N290" s="6">
        <v>165</v>
      </c>
      <c r="O290" s="64">
        <v>231</v>
      </c>
    </row>
    <row r="291" spans="2:15" x14ac:dyDescent="0.25">
      <c r="B291" s="61">
        <v>248</v>
      </c>
      <c r="C291" s="62"/>
      <c r="D291" s="6">
        <v>297</v>
      </c>
      <c r="E291" s="6">
        <v>332</v>
      </c>
      <c r="F291" s="6">
        <v>340</v>
      </c>
      <c r="G291" s="6">
        <v>263</v>
      </c>
      <c r="H291" s="6">
        <v>184</v>
      </c>
      <c r="I291" s="6">
        <v>145</v>
      </c>
      <c r="J291" s="6">
        <v>121</v>
      </c>
      <c r="K291" s="6">
        <v>105</v>
      </c>
      <c r="L291" s="6">
        <v>107</v>
      </c>
      <c r="M291" s="6">
        <v>132</v>
      </c>
      <c r="N291" s="6">
        <v>172</v>
      </c>
      <c r="O291" s="64">
        <v>241</v>
      </c>
    </row>
    <row r="292" spans="2:15" x14ac:dyDescent="0.25">
      <c r="B292" s="61">
        <v>249</v>
      </c>
      <c r="C292" s="62"/>
      <c r="D292" s="6">
        <v>506</v>
      </c>
      <c r="E292" s="6">
        <v>549</v>
      </c>
      <c r="F292" s="6">
        <v>457</v>
      </c>
      <c r="G292" s="6">
        <v>330</v>
      </c>
      <c r="H292" s="6">
        <v>304</v>
      </c>
      <c r="I292" s="6">
        <v>318</v>
      </c>
      <c r="J292" s="6">
        <v>282</v>
      </c>
      <c r="K292" s="6">
        <v>231</v>
      </c>
      <c r="L292" s="6">
        <v>262</v>
      </c>
      <c r="M292" s="6">
        <v>311</v>
      </c>
      <c r="N292" s="6">
        <v>292</v>
      </c>
      <c r="O292" s="64">
        <v>359</v>
      </c>
    </row>
    <row r="293" spans="2:15" x14ac:dyDescent="0.25">
      <c r="B293" s="61">
        <v>250</v>
      </c>
      <c r="C293" s="62"/>
      <c r="D293" s="6">
        <v>0</v>
      </c>
      <c r="E293" s="6">
        <v>0</v>
      </c>
      <c r="F293" s="6">
        <v>0</v>
      </c>
      <c r="G293" s="6">
        <v>0</v>
      </c>
      <c r="H293" s="6">
        <v>0</v>
      </c>
      <c r="I293" s="6">
        <v>0</v>
      </c>
      <c r="J293" s="6">
        <v>0</v>
      </c>
      <c r="K293" s="6">
        <v>0</v>
      </c>
      <c r="L293" s="6">
        <v>0</v>
      </c>
      <c r="M293" s="6">
        <v>0</v>
      </c>
      <c r="N293" s="6">
        <v>0</v>
      </c>
      <c r="O293" s="64">
        <v>0</v>
      </c>
    </row>
    <row r="294" spans="2:15" x14ac:dyDescent="0.25">
      <c r="B294" s="61">
        <v>251</v>
      </c>
      <c r="C294" s="62"/>
      <c r="D294" s="6">
        <v>317</v>
      </c>
      <c r="E294" s="6">
        <v>317</v>
      </c>
      <c r="F294" s="6">
        <v>320</v>
      </c>
      <c r="G294" s="6">
        <v>242</v>
      </c>
      <c r="H294" s="6">
        <v>152</v>
      </c>
      <c r="I294" s="6">
        <v>115</v>
      </c>
      <c r="J294" s="6">
        <v>91</v>
      </c>
      <c r="K294" s="6">
        <v>71</v>
      </c>
      <c r="L294" s="6">
        <v>61</v>
      </c>
      <c r="M294" s="6">
        <v>72</v>
      </c>
      <c r="N294" s="6">
        <v>125</v>
      </c>
      <c r="O294" s="64">
        <v>239</v>
      </c>
    </row>
    <row r="295" spans="2:15" x14ac:dyDescent="0.25">
      <c r="B295" s="61">
        <v>252</v>
      </c>
      <c r="C295" s="62"/>
      <c r="D295" s="6">
        <v>101</v>
      </c>
      <c r="E295" s="6">
        <v>115</v>
      </c>
      <c r="F295" s="6">
        <v>112</v>
      </c>
      <c r="G295" s="6">
        <v>89</v>
      </c>
      <c r="H295" s="6">
        <v>67</v>
      </c>
      <c r="I295" s="6">
        <v>57</v>
      </c>
      <c r="J295" s="6">
        <v>51</v>
      </c>
      <c r="K295" s="6">
        <v>47</v>
      </c>
      <c r="L295" s="6">
        <v>48</v>
      </c>
      <c r="M295" s="6">
        <v>52</v>
      </c>
      <c r="N295" s="6">
        <v>61</v>
      </c>
      <c r="O295" s="64">
        <v>80</v>
      </c>
    </row>
    <row r="296" spans="2:15" x14ac:dyDescent="0.25">
      <c r="B296" s="61">
        <v>253</v>
      </c>
      <c r="C296" s="62"/>
      <c r="D296" s="6">
        <v>1734</v>
      </c>
      <c r="E296" s="6">
        <v>1973</v>
      </c>
      <c r="F296" s="6">
        <v>1852</v>
      </c>
      <c r="G296" s="6">
        <v>1340</v>
      </c>
      <c r="H296" s="6">
        <v>710</v>
      </c>
      <c r="I296" s="6">
        <v>479</v>
      </c>
      <c r="J296" s="6">
        <v>362</v>
      </c>
      <c r="K296" s="6">
        <v>282</v>
      </c>
      <c r="L296" s="6">
        <v>266</v>
      </c>
      <c r="M296" s="6">
        <v>380</v>
      </c>
      <c r="N296" s="6">
        <v>689</v>
      </c>
      <c r="O296" s="64">
        <v>1291</v>
      </c>
    </row>
    <row r="297" spans="2:15" x14ac:dyDescent="0.25">
      <c r="B297" s="61">
        <v>254</v>
      </c>
      <c r="C297" s="62"/>
      <c r="D297" s="6">
        <v>156</v>
      </c>
      <c r="E297" s="6">
        <v>156</v>
      </c>
      <c r="F297" s="6">
        <v>156</v>
      </c>
      <c r="G297" s="6">
        <v>131</v>
      </c>
      <c r="H297" s="6">
        <v>80</v>
      </c>
      <c r="I297" s="6">
        <v>54</v>
      </c>
      <c r="J297" s="6">
        <v>55</v>
      </c>
      <c r="K297" s="6">
        <v>44</v>
      </c>
      <c r="L297" s="6">
        <v>30</v>
      </c>
      <c r="M297" s="6">
        <v>36</v>
      </c>
      <c r="N297" s="6">
        <v>95</v>
      </c>
      <c r="O297" s="64">
        <v>199</v>
      </c>
    </row>
    <row r="298" spans="2:15" x14ac:dyDescent="0.25">
      <c r="B298" s="61">
        <v>255</v>
      </c>
      <c r="C298" s="62"/>
      <c r="D298" s="6">
        <v>341</v>
      </c>
      <c r="E298" s="6">
        <v>231</v>
      </c>
      <c r="F298" s="6">
        <v>209</v>
      </c>
      <c r="G298" s="6">
        <v>132</v>
      </c>
      <c r="H298" s="6">
        <v>70</v>
      </c>
      <c r="I298" s="6">
        <v>52</v>
      </c>
      <c r="J298" s="6">
        <v>43</v>
      </c>
      <c r="K298" s="6">
        <v>36</v>
      </c>
      <c r="L298" s="6">
        <v>35</v>
      </c>
      <c r="M298" s="6">
        <v>67</v>
      </c>
      <c r="N298" s="6">
        <v>198</v>
      </c>
      <c r="O298" s="64">
        <v>354</v>
      </c>
    </row>
    <row r="299" spans="2:15" x14ac:dyDescent="0.25">
      <c r="B299" s="61">
        <v>256</v>
      </c>
      <c r="C299" s="62"/>
      <c r="D299" s="6">
        <v>0</v>
      </c>
      <c r="E299" s="6">
        <v>0</v>
      </c>
      <c r="F299" s="6">
        <v>0</v>
      </c>
      <c r="G299" s="6">
        <v>0</v>
      </c>
      <c r="H299" s="6">
        <v>0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 s="6">
        <v>0</v>
      </c>
      <c r="O299" s="64">
        <v>0</v>
      </c>
    </row>
    <row r="300" spans="2:15" x14ac:dyDescent="0.25">
      <c r="B300" s="61">
        <v>257</v>
      </c>
      <c r="C300" s="62"/>
      <c r="D300" s="6">
        <v>3083</v>
      </c>
      <c r="E300" s="6">
        <v>3478</v>
      </c>
      <c r="F300" s="6">
        <v>3347</v>
      </c>
      <c r="G300" s="6">
        <v>2381</v>
      </c>
      <c r="H300" s="6">
        <v>1189</v>
      </c>
      <c r="I300" s="6">
        <v>779</v>
      </c>
      <c r="J300" s="6">
        <v>596</v>
      </c>
      <c r="K300" s="6">
        <v>477</v>
      </c>
      <c r="L300" s="6">
        <v>454</v>
      </c>
      <c r="M300" s="6">
        <v>626</v>
      </c>
      <c r="N300" s="6">
        <v>1181</v>
      </c>
      <c r="O300" s="64">
        <v>2302</v>
      </c>
    </row>
    <row r="301" spans="2:15" x14ac:dyDescent="0.25">
      <c r="B301" s="61">
        <v>258</v>
      </c>
      <c r="C301" s="62"/>
      <c r="D301" s="6">
        <v>407</v>
      </c>
      <c r="E301" s="6">
        <v>281</v>
      </c>
      <c r="F301" s="6">
        <v>245</v>
      </c>
      <c r="G301" s="6">
        <v>156</v>
      </c>
      <c r="H301" s="6">
        <v>83</v>
      </c>
      <c r="I301" s="6">
        <v>62</v>
      </c>
      <c r="J301" s="6">
        <v>52</v>
      </c>
      <c r="K301" s="6">
        <v>44</v>
      </c>
      <c r="L301" s="6">
        <v>42</v>
      </c>
      <c r="M301" s="6">
        <v>77</v>
      </c>
      <c r="N301" s="6">
        <v>232</v>
      </c>
      <c r="O301" s="64">
        <v>422</v>
      </c>
    </row>
    <row r="302" spans="2:15" x14ac:dyDescent="0.25">
      <c r="B302" s="61">
        <v>259</v>
      </c>
      <c r="C302" s="62"/>
      <c r="D302" s="6">
        <v>101</v>
      </c>
      <c r="E302" s="6">
        <v>115</v>
      </c>
      <c r="F302" s="6">
        <v>112</v>
      </c>
      <c r="G302" s="6">
        <v>89</v>
      </c>
      <c r="H302" s="6">
        <v>67</v>
      </c>
      <c r="I302" s="6">
        <v>57</v>
      </c>
      <c r="J302" s="6">
        <v>51</v>
      </c>
      <c r="K302" s="6">
        <v>47</v>
      </c>
      <c r="L302" s="6">
        <v>48</v>
      </c>
      <c r="M302" s="6">
        <v>52</v>
      </c>
      <c r="N302" s="6">
        <v>61</v>
      </c>
      <c r="O302" s="64">
        <v>80</v>
      </c>
    </row>
    <row r="303" spans="2:15" x14ac:dyDescent="0.25">
      <c r="B303" s="61">
        <v>260</v>
      </c>
      <c r="C303" s="62"/>
      <c r="D303" s="6">
        <v>0</v>
      </c>
      <c r="E303" s="6">
        <v>0</v>
      </c>
      <c r="F303" s="6">
        <v>0</v>
      </c>
      <c r="G303" s="6">
        <v>0</v>
      </c>
      <c r="H303" s="6">
        <v>0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 s="6">
        <v>0</v>
      </c>
      <c r="O303" s="64">
        <v>0</v>
      </c>
    </row>
    <row r="304" spans="2:15" x14ac:dyDescent="0.25">
      <c r="B304" s="61">
        <v>261</v>
      </c>
      <c r="C304" s="62"/>
      <c r="D304" s="6">
        <v>318</v>
      </c>
      <c r="E304" s="6">
        <v>356</v>
      </c>
      <c r="F304" s="6">
        <v>364</v>
      </c>
      <c r="G304" s="6">
        <v>283</v>
      </c>
      <c r="H304" s="6">
        <v>198</v>
      </c>
      <c r="I304" s="6">
        <v>156</v>
      </c>
      <c r="J304" s="6">
        <v>130</v>
      </c>
      <c r="K304" s="6">
        <v>113</v>
      </c>
      <c r="L304" s="6">
        <v>115</v>
      </c>
      <c r="M304" s="6">
        <v>141</v>
      </c>
      <c r="N304" s="6">
        <v>184</v>
      </c>
      <c r="O304" s="64">
        <v>257</v>
      </c>
    </row>
    <row r="305" spans="2:15" x14ac:dyDescent="0.25">
      <c r="B305" s="61">
        <v>262</v>
      </c>
      <c r="C305" s="62"/>
      <c r="D305" s="6">
        <v>151</v>
      </c>
      <c r="E305" s="6">
        <v>115</v>
      </c>
      <c r="F305" s="6">
        <v>104</v>
      </c>
      <c r="G305" s="6">
        <v>75</v>
      </c>
      <c r="H305" s="6">
        <v>57</v>
      </c>
      <c r="I305" s="6">
        <v>48</v>
      </c>
      <c r="J305" s="6">
        <v>43</v>
      </c>
      <c r="K305" s="6">
        <v>38</v>
      </c>
      <c r="L305" s="6">
        <v>38</v>
      </c>
      <c r="M305" s="6">
        <v>47</v>
      </c>
      <c r="N305" s="6">
        <v>78</v>
      </c>
      <c r="O305" s="64">
        <v>129</v>
      </c>
    </row>
    <row r="306" spans="2:15" x14ac:dyDescent="0.25">
      <c r="B306" s="61">
        <v>263</v>
      </c>
      <c r="C306" s="62"/>
      <c r="D306" s="6">
        <v>305</v>
      </c>
      <c r="E306" s="6">
        <v>247</v>
      </c>
      <c r="F306" s="6">
        <v>221</v>
      </c>
      <c r="G306" s="6">
        <v>168</v>
      </c>
      <c r="H306" s="6">
        <v>120</v>
      </c>
      <c r="I306" s="6">
        <v>99</v>
      </c>
      <c r="J306" s="6">
        <v>84</v>
      </c>
      <c r="K306" s="6">
        <v>73</v>
      </c>
      <c r="L306" s="6">
        <v>70</v>
      </c>
      <c r="M306" s="6">
        <v>89</v>
      </c>
      <c r="N306" s="6">
        <v>166</v>
      </c>
      <c r="O306" s="64">
        <v>265</v>
      </c>
    </row>
    <row r="307" spans="2:15" x14ac:dyDescent="0.25">
      <c r="B307" s="61">
        <v>264</v>
      </c>
      <c r="C307" s="62"/>
      <c r="D307" s="6">
        <v>0</v>
      </c>
      <c r="E307" s="6">
        <v>0</v>
      </c>
      <c r="F307" s="6">
        <v>0</v>
      </c>
      <c r="G307" s="6">
        <v>0</v>
      </c>
      <c r="H307" s="6">
        <v>0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 s="6">
        <v>0</v>
      </c>
      <c r="O307" s="64">
        <v>0</v>
      </c>
    </row>
    <row r="308" spans="2:15" x14ac:dyDescent="0.25">
      <c r="B308" s="61">
        <v>265</v>
      </c>
      <c r="C308" s="62"/>
      <c r="D308" s="6">
        <v>68</v>
      </c>
      <c r="E308" s="6">
        <v>54</v>
      </c>
      <c r="F308" s="6">
        <v>48</v>
      </c>
      <c r="G308" s="6">
        <v>41</v>
      </c>
      <c r="H308" s="6">
        <v>31</v>
      </c>
      <c r="I308" s="6">
        <v>27</v>
      </c>
      <c r="J308" s="6">
        <v>24</v>
      </c>
      <c r="K308" s="6">
        <v>22</v>
      </c>
      <c r="L308" s="6">
        <v>21</v>
      </c>
      <c r="M308" s="6">
        <v>25</v>
      </c>
      <c r="N308" s="6">
        <v>39</v>
      </c>
      <c r="O308" s="64">
        <v>61</v>
      </c>
    </row>
    <row r="309" spans="2:15" x14ac:dyDescent="0.25">
      <c r="B309" s="61">
        <v>266</v>
      </c>
      <c r="C309" s="62"/>
      <c r="D309" s="6">
        <v>14718</v>
      </c>
      <c r="E309" s="6">
        <v>16054</v>
      </c>
      <c r="F309" s="6">
        <v>15026</v>
      </c>
      <c r="G309" s="6">
        <v>11978</v>
      </c>
      <c r="H309" s="6">
        <v>9594</v>
      </c>
      <c r="I309" s="6">
        <v>8931</v>
      </c>
      <c r="J309" s="6">
        <v>7610</v>
      </c>
      <c r="K309" s="6">
        <v>6336</v>
      </c>
      <c r="L309" s="6">
        <v>6398</v>
      </c>
      <c r="M309" s="6">
        <v>7662</v>
      </c>
      <c r="N309" s="6">
        <v>8441</v>
      </c>
      <c r="O309" s="64">
        <v>11148</v>
      </c>
    </row>
    <row r="310" spans="2:15" x14ac:dyDescent="0.25">
      <c r="B310" s="61">
        <v>267</v>
      </c>
      <c r="C310" s="62"/>
      <c r="D310" s="6">
        <v>267</v>
      </c>
      <c r="E310" s="6">
        <v>226</v>
      </c>
      <c r="F310" s="6">
        <v>202</v>
      </c>
      <c r="G310" s="6">
        <v>157</v>
      </c>
      <c r="H310" s="6">
        <v>121</v>
      </c>
      <c r="I310" s="6">
        <v>105</v>
      </c>
      <c r="J310" s="6">
        <v>94</v>
      </c>
      <c r="K310" s="6">
        <v>84</v>
      </c>
      <c r="L310" s="6">
        <v>84</v>
      </c>
      <c r="M310" s="6">
        <v>99</v>
      </c>
      <c r="N310" s="6">
        <v>144</v>
      </c>
      <c r="O310" s="64">
        <v>227</v>
      </c>
    </row>
    <row r="311" spans="2:15" x14ac:dyDescent="0.25">
      <c r="B311" s="61">
        <v>268</v>
      </c>
      <c r="C311" s="62"/>
      <c r="D311" s="6">
        <v>0</v>
      </c>
      <c r="E311" s="6">
        <v>0</v>
      </c>
      <c r="F311" s="6">
        <v>0</v>
      </c>
      <c r="G311" s="6">
        <v>0</v>
      </c>
      <c r="H311" s="6">
        <v>0</v>
      </c>
      <c r="I311" s="6">
        <v>0</v>
      </c>
      <c r="J311" s="6">
        <v>0</v>
      </c>
      <c r="K311" s="6">
        <v>0</v>
      </c>
      <c r="L311" s="6">
        <v>0</v>
      </c>
      <c r="M311" s="6">
        <v>0</v>
      </c>
      <c r="N311" s="6">
        <v>0</v>
      </c>
      <c r="O311" s="64">
        <v>0</v>
      </c>
    </row>
    <row r="312" spans="2:15" x14ac:dyDescent="0.25">
      <c r="B312" s="61">
        <v>269</v>
      </c>
      <c r="C312" s="62"/>
      <c r="D312" s="6">
        <v>387</v>
      </c>
      <c r="E312" s="6">
        <v>586</v>
      </c>
      <c r="F312" s="6">
        <v>752</v>
      </c>
      <c r="G312" s="6">
        <v>1021</v>
      </c>
      <c r="H312" s="6">
        <v>1189</v>
      </c>
      <c r="I312" s="6">
        <v>1050</v>
      </c>
      <c r="J312" s="6">
        <v>672</v>
      </c>
      <c r="K312" s="6">
        <v>423</v>
      </c>
      <c r="L312" s="6">
        <v>313</v>
      </c>
      <c r="M312" s="6">
        <v>269</v>
      </c>
      <c r="N312" s="6">
        <v>264</v>
      </c>
      <c r="O312" s="64">
        <v>292</v>
      </c>
    </row>
    <row r="313" spans="2:15" x14ac:dyDescent="0.25">
      <c r="B313" s="61">
        <v>270</v>
      </c>
      <c r="C313" s="62"/>
      <c r="D313" s="6">
        <v>1414</v>
      </c>
      <c r="E313" s="6">
        <v>1607</v>
      </c>
      <c r="F313" s="6">
        <v>1491</v>
      </c>
      <c r="G313" s="6">
        <v>1060</v>
      </c>
      <c r="H313" s="6">
        <v>562</v>
      </c>
      <c r="I313" s="6">
        <v>388</v>
      </c>
      <c r="J313" s="6">
        <v>292</v>
      </c>
      <c r="K313" s="6">
        <v>225</v>
      </c>
      <c r="L313" s="6">
        <v>214</v>
      </c>
      <c r="M313" s="6">
        <v>312</v>
      </c>
      <c r="N313" s="6">
        <v>563</v>
      </c>
      <c r="O313" s="64">
        <v>1052</v>
      </c>
    </row>
    <row r="314" spans="2:15" x14ac:dyDescent="0.25">
      <c r="B314" s="61">
        <v>271</v>
      </c>
      <c r="C314" s="62"/>
      <c r="D314" s="6">
        <v>6839</v>
      </c>
      <c r="E314" s="6">
        <v>8220</v>
      </c>
      <c r="F314" s="6">
        <v>8751</v>
      </c>
      <c r="G314" s="6">
        <v>7294</v>
      </c>
      <c r="H314" s="6">
        <v>4108</v>
      </c>
      <c r="I314" s="6">
        <v>2337</v>
      </c>
      <c r="J314" s="6">
        <v>1654</v>
      </c>
      <c r="K314" s="6">
        <v>1273</v>
      </c>
      <c r="L314" s="6">
        <v>1148</v>
      </c>
      <c r="M314" s="6">
        <v>1481</v>
      </c>
      <c r="N314" s="6">
        <v>2575</v>
      </c>
      <c r="O314" s="64">
        <v>4725</v>
      </c>
    </row>
    <row r="315" spans="2:15" x14ac:dyDescent="0.25">
      <c r="B315" s="61">
        <v>272</v>
      </c>
      <c r="C315" s="62"/>
      <c r="D315" s="6">
        <v>0</v>
      </c>
      <c r="E315" s="6">
        <v>0</v>
      </c>
      <c r="F315" s="6">
        <v>0</v>
      </c>
      <c r="G315" s="6">
        <v>0</v>
      </c>
      <c r="H315" s="6">
        <v>0</v>
      </c>
      <c r="I315" s="6">
        <v>0</v>
      </c>
      <c r="J315" s="6">
        <v>0</v>
      </c>
      <c r="K315" s="6">
        <v>0</v>
      </c>
      <c r="L315" s="6">
        <v>0</v>
      </c>
      <c r="M315" s="6">
        <v>0</v>
      </c>
      <c r="N315" s="6">
        <v>0</v>
      </c>
      <c r="O315" s="64">
        <v>0</v>
      </c>
    </row>
    <row r="316" spans="2:15" x14ac:dyDescent="0.25">
      <c r="B316" s="61">
        <v>273</v>
      </c>
      <c r="C316" s="62"/>
      <c r="D316" s="6">
        <v>4402</v>
      </c>
      <c r="E316" s="6">
        <v>5062</v>
      </c>
      <c r="F316" s="6">
        <v>5107</v>
      </c>
      <c r="G316" s="6">
        <v>3819</v>
      </c>
      <c r="H316" s="6">
        <v>1891</v>
      </c>
      <c r="I316" s="6">
        <v>1122</v>
      </c>
      <c r="J316" s="6">
        <v>806</v>
      </c>
      <c r="K316" s="6">
        <v>617</v>
      </c>
      <c r="L316" s="6">
        <v>561</v>
      </c>
      <c r="M316" s="6">
        <v>784</v>
      </c>
      <c r="N316" s="6">
        <v>1553</v>
      </c>
      <c r="O316" s="64">
        <v>3139</v>
      </c>
    </row>
    <row r="317" spans="2:15" x14ac:dyDescent="0.25">
      <c r="B317" s="61">
        <v>274</v>
      </c>
      <c r="C317" s="62"/>
      <c r="D317" s="6">
        <v>7125</v>
      </c>
      <c r="E317" s="6">
        <v>8686</v>
      </c>
      <c r="F317" s="6">
        <v>9293</v>
      </c>
      <c r="G317" s="6">
        <v>8028</v>
      </c>
      <c r="H317" s="6">
        <v>4627</v>
      </c>
      <c r="I317" s="6">
        <v>2676</v>
      </c>
      <c r="J317" s="6">
        <v>1913</v>
      </c>
      <c r="K317" s="6">
        <v>1507</v>
      </c>
      <c r="L317" s="6">
        <v>1368</v>
      </c>
      <c r="M317" s="6">
        <v>1681</v>
      </c>
      <c r="N317" s="6">
        <v>2736</v>
      </c>
      <c r="O317" s="64">
        <v>4815</v>
      </c>
    </row>
    <row r="318" spans="2:15" x14ac:dyDescent="0.25">
      <c r="B318" s="61">
        <v>275</v>
      </c>
      <c r="C318" s="62"/>
      <c r="D318" s="6">
        <v>15098</v>
      </c>
      <c r="E318" s="6">
        <v>20427</v>
      </c>
      <c r="F318" s="6">
        <v>23954</v>
      </c>
      <c r="G318" s="6">
        <v>23960</v>
      </c>
      <c r="H318" s="6">
        <v>15634</v>
      </c>
      <c r="I318" s="6">
        <v>7312</v>
      </c>
      <c r="J318" s="6">
        <v>4195</v>
      </c>
      <c r="K318" s="6">
        <v>2939</v>
      </c>
      <c r="L318" s="6">
        <v>2317</v>
      </c>
      <c r="M318" s="6">
        <v>2600</v>
      </c>
      <c r="N318" s="6">
        <v>4307</v>
      </c>
      <c r="O318" s="64">
        <v>8479</v>
      </c>
    </row>
    <row r="319" spans="2:15" x14ac:dyDescent="0.25">
      <c r="B319" s="61">
        <v>276</v>
      </c>
      <c r="C319" s="62"/>
      <c r="D319" s="6">
        <v>6624</v>
      </c>
      <c r="E319" s="6">
        <v>10102</v>
      </c>
      <c r="F319" s="6">
        <v>12551</v>
      </c>
      <c r="G319" s="6">
        <v>13214</v>
      </c>
      <c r="H319" s="6">
        <v>8851</v>
      </c>
      <c r="I319" s="6">
        <v>3668</v>
      </c>
      <c r="J319" s="6">
        <v>1798</v>
      </c>
      <c r="K319" s="6">
        <v>1113</v>
      </c>
      <c r="L319" s="6">
        <v>824</v>
      </c>
      <c r="M319" s="6">
        <v>953</v>
      </c>
      <c r="N319" s="6">
        <v>1644</v>
      </c>
      <c r="O319" s="64">
        <v>3327</v>
      </c>
    </row>
    <row r="320" spans="2:15" x14ac:dyDescent="0.25">
      <c r="B320" s="61">
        <v>277</v>
      </c>
      <c r="C320" s="62"/>
      <c r="D320" s="6">
        <v>144</v>
      </c>
      <c r="E320" s="6">
        <v>210</v>
      </c>
      <c r="F320" s="6">
        <v>322</v>
      </c>
      <c r="G320" s="6">
        <v>406</v>
      </c>
      <c r="H320" s="6">
        <v>389</v>
      </c>
      <c r="I320" s="6">
        <v>268</v>
      </c>
      <c r="J320" s="6">
        <v>198</v>
      </c>
      <c r="K320" s="6">
        <v>149</v>
      </c>
      <c r="L320" s="6">
        <v>129</v>
      </c>
      <c r="M320" s="6">
        <v>116</v>
      </c>
      <c r="N320" s="6">
        <v>115</v>
      </c>
      <c r="O320" s="64">
        <v>118</v>
      </c>
    </row>
    <row r="321" spans="2:15" x14ac:dyDescent="0.25">
      <c r="B321" s="61">
        <v>278</v>
      </c>
      <c r="C321" s="62"/>
      <c r="D321" s="6">
        <v>303</v>
      </c>
      <c r="E321" s="6">
        <v>344</v>
      </c>
      <c r="F321" s="6">
        <v>322</v>
      </c>
      <c r="G321" s="6">
        <v>216</v>
      </c>
      <c r="H321" s="6">
        <v>123</v>
      </c>
      <c r="I321" s="6">
        <v>92</v>
      </c>
      <c r="J321" s="6">
        <v>78</v>
      </c>
      <c r="K321" s="6">
        <v>69</v>
      </c>
      <c r="L321" s="6">
        <v>70</v>
      </c>
      <c r="M321" s="6">
        <v>94</v>
      </c>
      <c r="N321" s="6">
        <v>130</v>
      </c>
      <c r="O321" s="64">
        <v>208</v>
      </c>
    </row>
    <row r="322" spans="2:15" x14ac:dyDescent="0.25">
      <c r="B322" s="61">
        <v>279</v>
      </c>
      <c r="C322" s="62"/>
      <c r="D322" s="6">
        <v>481</v>
      </c>
      <c r="E322" s="6">
        <v>745</v>
      </c>
      <c r="F322" s="6">
        <v>846</v>
      </c>
      <c r="G322" s="6">
        <v>759</v>
      </c>
      <c r="H322" s="6">
        <v>466</v>
      </c>
      <c r="I322" s="6">
        <v>245</v>
      </c>
      <c r="J322" s="6">
        <v>144</v>
      </c>
      <c r="K322" s="6">
        <v>89</v>
      </c>
      <c r="L322" s="6">
        <v>63</v>
      </c>
      <c r="M322" s="6">
        <v>61</v>
      </c>
      <c r="N322" s="6">
        <v>117</v>
      </c>
      <c r="O322" s="64">
        <v>241</v>
      </c>
    </row>
    <row r="323" spans="2:15" x14ac:dyDescent="0.25">
      <c r="B323" s="61">
        <v>280</v>
      </c>
      <c r="C323" s="62"/>
      <c r="D323" s="6">
        <v>529</v>
      </c>
      <c r="E323" s="6">
        <v>998</v>
      </c>
      <c r="F323" s="6">
        <v>1519</v>
      </c>
      <c r="G323" s="6">
        <v>1874</v>
      </c>
      <c r="H323" s="6">
        <v>2019</v>
      </c>
      <c r="I323" s="6">
        <v>1590</v>
      </c>
      <c r="J323" s="6">
        <v>1174</v>
      </c>
      <c r="K323" s="6">
        <v>789</v>
      </c>
      <c r="L323" s="6">
        <v>456</v>
      </c>
      <c r="M323" s="6">
        <v>276</v>
      </c>
      <c r="N323" s="6">
        <v>197</v>
      </c>
      <c r="O323" s="64">
        <v>229</v>
      </c>
    </row>
    <row r="324" spans="2:15" x14ac:dyDescent="0.25">
      <c r="B324" s="61">
        <v>281</v>
      </c>
      <c r="C324" s="62"/>
      <c r="D324" s="6">
        <v>86</v>
      </c>
      <c r="E324" s="6">
        <v>91</v>
      </c>
      <c r="F324" s="6">
        <v>92</v>
      </c>
      <c r="G324" s="6">
        <v>85</v>
      </c>
      <c r="H324" s="6">
        <v>77</v>
      </c>
      <c r="I324" s="6">
        <v>71</v>
      </c>
      <c r="J324" s="6">
        <v>67</v>
      </c>
      <c r="K324" s="6">
        <v>64</v>
      </c>
      <c r="L324" s="6">
        <v>63</v>
      </c>
      <c r="M324" s="6">
        <v>67</v>
      </c>
      <c r="N324" s="6">
        <v>72</v>
      </c>
      <c r="O324" s="64">
        <v>79</v>
      </c>
    </row>
    <row r="325" spans="2:15" x14ac:dyDescent="0.25">
      <c r="B325" s="61">
        <v>282</v>
      </c>
      <c r="C325" s="62"/>
      <c r="D325" s="6">
        <v>99</v>
      </c>
      <c r="E325" s="6">
        <v>105</v>
      </c>
      <c r="F325" s="6">
        <v>106</v>
      </c>
      <c r="G325" s="6">
        <v>90</v>
      </c>
      <c r="H325" s="6">
        <v>74</v>
      </c>
      <c r="I325" s="6">
        <v>66</v>
      </c>
      <c r="J325" s="6">
        <v>60</v>
      </c>
      <c r="K325" s="6">
        <v>56</v>
      </c>
      <c r="L325" s="6">
        <v>57</v>
      </c>
      <c r="M325" s="6">
        <v>62</v>
      </c>
      <c r="N325" s="6">
        <v>71</v>
      </c>
      <c r="O325" s="64">
        <v>86</v>
      </c>
    </row>
    <row r="326" spans="2:15" x14ac:dyDescent="0.25">
      <c r="B326" s="61">
        <v>283</v>
      </c>
      <c r="C326" s="62"/>
      <c r="D326" s="6">
        <v>174</v>
      </c>
      <c r="E326" s="6">
        <v>122</v>
      </c>
      <c r="F326" s="6">
        <v>120</v>
      </c>
      <c r="G326" s="6">
        <v>106</v>
      </c>
      <c r="H326" s="6">
        <v>73</v>
      </c>
      <c r="I326" s="6">
        <v>62</v>
      </c>
      <c r="J326" s="6">
        <v>60</v>
      </c>
      <c r="K326" s="6">
        <v>50</v>
      </c>
      <c r="L326" s="6">
        <v>44</v>
      </c>
      <c r="M326" s="6">
        <v>61</v>
      </c>
      <c r="N326" s="6">
        <v>122</v>
      </c>
      <c r="O326" s="64">
        <v>182</v>
      </c>
    </row>
    <row r="327" spans="2:15" x14ac:dyDescent="0.25">
      <c r="B327" s="61">
        <v>284</v>
      </c>
      <c r="C327" s="62"/>
      <c r="D327" s="6">
        <v>168</v>
      </c>
      <c r="E327" s="6">
        <v>211</v>
      </c>
      <c r="F327" s="6">
        <v>162</v>
      </c>
      <c r="G327" s="6">
        <v>180</v>
      </c>
      <c r="H327" s="6">
        <v>248</v>
      </c>
      <c r="I327" s="6">
        <v>335</v>
      </c>
      <c r="J327" s="6">
        <v>428</v>
      </c>
      <c r="K327" s="6">
        <v>433</v>
      </c>
      <c r="L327" s="6">
        <v>490</v>
      </c>
      <c r="M327" s="6">
        <v>412</v>
      </c>
      <c r="N327" s="6">
        <v>236</v>
      </c>
      <c r="O327" s="64">
        <v>189</v>
      </c>
    </row>
    <row r="328" spans="2:15" x14ac:dyDescent="0.25">
      <c r="B328" s="61">
        <v>285</v>
      </c>
      <c r="C328" s="62"/>
      <c r="D328" s="6">
        <v>23637</v>
      </c>
      <c r="E328" s="6">
        <v>30398</v>
      </c>
      <c r="F328" s="6">
        <v>35067</v>
      </c>
      <c r="G328" s="6">
        <v>33941</v>
      </c>
      <c r="H328" s="6">
        <v>26178</v>
      </c>
      <c r="I328" s="6">
        <v>18283</v>
      </c>
      <c r="J328" s="6">
        <v>11723</v>
      </c>
      <c r="K328" s="6">
        <v>7204</v>
      </c>
      <c r="L328" s="6">
        <v>5333</v>
      </c>
      <c r="M328" s="6">
        <v>6402</v>
      </c>
      <c r="N328" s="6">
        <v>10100</v>
      </c>
      <c r="O328" s="64">
        <v>16124</v>
      </c>
    </row>
    <row r="329" spans="2:15" x14ac:dyDescent="0.25">
      <c r="B329" s="61">
        <v>286</v>
      </c>
      <c r="C329" s="62"/>
      <c r="D329" s="6">
        <v>57</v>
      </c>
      <c r="E329" s="6">
        <v>66</v>
      </c>
      <c r="F329" s="6">
        <v>56</v>
      </c>
      <c r="G329" s="6">
        <v>58</v>
      </c>
      <c r="H329" s="6">
        <v>83</v>
      </c>
      <c r="I329" s="6">
        <v>96</v>
      </c>
      <c r="J329" s="6">
        <v>94</v>
      </c>
      <c r="K329" s="6">
        <v>88</v>
      </c>
      <c r="L329" s="6">
        <v>99</v>
      </c>
      <c r="M329" s="6">
        <v>123</v>
      </c>
      <c r="N329" s="6">
        <v>83</v>
      </c>
      <c r="O329" s="64">
        <v>63</v>
      </c>
    </row>
    <row r="330" spans="2:15" x14ac:dyDescent="0.25">
      <c r="B330" s="61">
        <v>287</v>
      </c>
      <c r="C330" s="62"/>
      <c r="D330" s="6">
        <v>23988</v>
      </c>
      <c r="E330" s="6">
        <v>30844</v>
      </c>
      <c r="F330" s="6">
        <v>35597</v>
      </c>
      <c r="G330" s="6">
        <v>34466</v>
      </c>
      <c r="H330" s="6">
        <v>26580</v>
      </c>
      <c r="I330" s="6">
        <v>18571</v>
      </c>
      <c r="J330" s="6">
        <v>11909</v>
      </c>
      <c r="K330" s="6">
        <v>7319</v>
      </c>
      <c r="L330" s="6">
        <v>5416</v>
      </c>
      <c r="M330" s="6">
        <v>6496</v>
      </c>
      <c r="N330" s="6">
        <v>10247</v>
      </c>
      <c r="O330" s="64">
        <v>16359</v>
      </c>
    </row>
    <row r="331" spans="2:15" x14ac:dyDescent="0.25">
      <c r="B331" s="61">
        <v>288</v>
      </c>
      <c r="C331" s="62"/>
      <c r="D331" s="6">
        <v>8121</v>
      </c>
      <c r="E331" s="6">
        <v>13374</v>
      </c>
      <c r="F331" s="6">
        <v>18219</v>
      </c>
      <c r="G331" s="6">
        <v>21412</v>
      </c>
      <c r="H331" s="6">
        <v>15520</v>
      </c>
      <c r="I331" s="6">
        <v>7393</v>
      </c>
      <c r="J331" s="6">
        <v>2959</v>
      </c>
      <c r="K331" s="6">
        <v>1598</v>
      </c>
      <c r="L331" s="6">
        <v>1091</v>
      </c>
      <c r="M331" s="6">
        <v>1114</v>
      </c>
      <c r="N331" s="6">
        <v>1896</v>
      </c>
      <c r="O331" s="64">
        <v>3853</v>
      </c>
    </row>
    <row r="332" spans="2:15" x14ac:dyDescent="0.25">
      <c r="B332" s="61">
        <v>289</v>
      </c>
      <c r="C332" s="62"/>
      <c r="D332" s="6">
        <v>64</v>
      </c>
      <c r="E332" s="6">
        <v>68</v>
      </c>
      <c r="F332" s="6">
        <v>69</v>
      </c>
      <c r="G332" s="6">
        <v>59</v>
      </c>
      <c r="H332" s="6">
        <v>49</v>
      </c>
      <c r="I332" s="6">
        <v>44</v>
      </c>
      <c r="J332" s="6">
        <v>40</v>
      </c>
      <c r="K332" s="6">
        <v>38</v>
      </c>
      <c r="L332" s="6">
        <v>38</v>
      </c>
      <c r="M332" s="6">
        <v>42</v>
      </c>
      <c r="N332" s="6">
        <v>47</v>
      </c>
      <c r="O332" s="64">
        <v>57</v>
      </c>
    </row>
    <row r="333" spans="2:15" x14ac:dyDescent="0.25">
      <c r="B333" s="61">
        <v>290</v>
      </c>
      <c r="C333" s="62"/>
      <c r="D333" s="6">
        <v>687</v>
      </c>
      <c r="E333" s="6">
        <v>1076</v>
      </c>
      <c r="F333" s="6">
        <v>1372</v>
      </c>
      <c r="G333" s="6">
        <v>1820</v>
      </c>
      <c r="H333" s="6">
        <v>2135</v>
      </c>
      <c r="I333" s="6">
        <v>2082</v>
      </c>
      <c r="J333" s="6">
        <v>1454</v>
      </c>
      <c r="K333" s="6">
        <v>965</v>
      </c>
      <c r="L333" s="6">
        <v>597</v>
      </c>
      <c r="M333" s="6">
        <v>341</v>
      </c>
      <c r="N333" s="6">
        <v>248</v>
      </c>
      <c r="O333" s="64">
        <v>347</v>
      </c>
    </row>
    <row r="334" spans="2:15" x14ac:dyDescent="0.25">
      <c r="B334" s="61">
        <v>291</v>
      </c>
      <c r="C334" s="62"/>
      <c r="D334" s="6">
        <v>503</v>
      </c>
      <c r="E334" s="6">
        <v>745</v>
      </c>
      <c r="F334" s="6">
        <v>835</v>
      </c>
      <c r="G334" s="6">
        <v>729</v>
      </c>
      <c r="H334" s="6">
        <v>463</v>
      </c>
      <c r="I334" s="6">
        <v>217</v>
      </c>
      <c r="J334" s="6">
        <v>100</v>
      </c>
      <c r="K334" s="6">
        <v>58</v>
      </c>
      <c r="L334" s="6">
        <v>47</v>
      </c>
      <c r="M334" s="6">
        <v>54</v>
      </c>
      <c r="N334" s="6">
        <v>93</v>
      </c>
      <c r="O334" s="64">
        <v>227</v>
      </c>
    </row>
    <row r="335" spans="2:15" x14ac:dyDescent="0.25">
      <c r="B335" s="61">
        <v>292</v>
      </c>
      <c r="C335" s="62"/>
      <c r="D335" s="6">
        <v>6932</v>
      </c>
      <c r="E335" s="6">
        <v>10948</v>
      </c>
      <c r="F335" s="6">
        <v>11987</v>
      </c>
      <c r="G335" s="6">
        <v>11177</v>
      </c>
      <c r="H335" s="6">
        <v>10366</v>
      </c>
      <c r="I335" s="6">
        <v>5393</v>
      </c>
      <c r="J335" s="6">
        <v>1759</v>
      </c>
      <c r="K335" s="6">
        <v>698</v>
      </c>
      <c r="L335" s="6">
        <v>348</v>
      </c>
      <c r="M335" s="6">
        <v>427</v>
      </c>
      <c r="N335" s="6">
        <v>1099</v>
      </c>
      <c r="O335" s="64">
        <v>2953</v>
      </c>
    </row>
    <row r="336" spans="2:15" x14ac:dyDescent="0.25">
      <c r="B336" s="61">
        <v>293</v>
      </c>
      <c r="C336" s="62"/>
      <c r="D336" s="6">
        <v>1757</v>
      </c>
      <c r="E336" s="6">
        <v>3361</v>
      </c>
      <c r="F336" s="6">
        <v>7507</v>
      </c>
      <c r="G336" s="6">
        <v>11733</v>
      </c>
      <c r="H336" s="6">
        <v>6240</v>
      </c>
      <c r="I336" s="6">
        <v>2517</v>
      </c>
      <c r="J336" s="6">
        <v>1407</v>
      </c>
      <c r="K336" s="6">
        <v>1012</v>
      </c>
      <c r="L336" s="6">
        <v>820</v>
      </c>
      <c r="M336" s="6">
        <v>765</v>
      </c>
      <c r="N336" s="6">
        <v>930</v>
      </c>
      <c r="O336" s="64">
        <v>1170</v>
      </c>
    </row>
    <row r="337" spans="2:15" x14ac:dyDescent="0.25">
      <c r="B337" s="61">
        <v>294</v>
      </c>
      <c r="C337" s="62"/>
      <c r="D337" s="6">
        <v>241</v>
      </c>
      <c r="E337" s="6">
        <v>261</v>
      </c>
      <c r="F337" s="6">
        <v>263</v>
      </c>
      <c r="G337" s="6">
        <v>212</v>
      </c>
      <c r="H337" s="6">
        <v>165</v>
      </c>
      <c r="I337" s="6">
        <v>143</v>
      </c>
      <c r="J337" s="6">
        <v>128</v>
      </c>
      <c r="K337" s="6">
        <v>119</v>
      </c>
      <c r="L337" s="6">
        <v>122</v>
      </c>
      <c r="M337" s="6">
        <v>139</v>
      </c>
      <c r="N337" s="6">
        <v>165</v>
      </c>
      <c r="O337" s="64">
        <v>206</v>
      </c>
    </row>
    <row r="338" spans="2:15" x14ac:dyDescent="0.25">
      <c r="B338" s="61">
        <v>295</v>
      </c>
      <c r="C338" s="62"/>
      <c r="D338" s="6">
        <v>98</v>
      </c>
      <c r="E338" s="6">
        <v>102</v>
      </c>
      <c r="F338" s="6">
        <v>110</v>
      </c>
      <c r="G338" s="6">
        <v>96</v>
      </c>
      <c r="H338" s="6">
        <v>84</v>
      </c>
      <c r="I338" s="6">
        <v>79</v>
      </c>
      <c r="J338" s="6">
        <v>76</v>
      </c>
      <c r="K338" s="6">
        <v>72</v>
      </c>
      <c r="L338" s="6">
        <v>71</v>
      </c>
      <c r="M338" s="6">
        <v>75</v>
      </c>
      <c r="N338" s="6">
        <v>79</v>
      </c>
      <c r="O338" s="64">
        <v>87</v>
      </c>
    </row>
    <row r="339" spans="2:15" x14ac:dyDescent="0.25">
      <c r="B339" s="61">
        <v>296</v>
      </c>
      <c r="C339" s="62"/>
      <c r="D339" s="6">
        <v>35</v>
      </c>
      <c r="E339" s="6">
        <v>37</v>
      </c>
      <c r="F339" s="6">
        <v>39</v>
      </c>
      <c r="G339" s="6">
        <v>37</v>
      </c>
      <c r="H339" s="6">
        <v>34</v>
      </c>
      <c r="I339" s="6">
        <v>32</v>
      </c>
      <c r="J339" s="6">
        <v>30</v>
      </c>
      <c r="K339" s="6">
        <v>30</v>
      </c>
      <c r="L339" s="6">
        <v>29</v>
      </c>
      <c r="M339" s="6">
        <v>30</v>
      </c>
      <c r="N339" s="6">
        <v>31</v>
      </c>
      <c r="O339" s="64">
        <v>33</v>
      </c>
    </row>
    <row r="340" spans="2:15" x14ac:dyDescent="0.25">
      <c r="B340" s="61">
        <v>297</v>
      </c>
      <c r="C340" s="62"/>
      <c r="D340" s="6">
        <v>534</v>
      </c>
      <c r="E340" s="6">
        <v>1007</v>
      </c>
      <c r="F340" s="6">
        <v>1533</v>
      </c>
      <c r="G340" s="6">
        <v>1890</v>
      </c>
      <c r="H340" s="6">
        <v>2037</v>
      </c>
      <c r="I340" s="6">
        <v>1605</v>
      </c>
      <c r="J340" s="6">
        <v>1184</v>
      </c>
      <c r="K340" s="6">
        <v>796</v>
      </c>
      <c r="L340" s="6">
        <v>460</v>
      </c>
      <c r="M340" s="6">
        <v>279</v>
      </c>
      <c r="N340" s="6">
        <v>199</v>
      </c>
      <c r="O340" s="64">
        <v>231</v>
      </c>
    </row>
    <row r="341" spans="2:15" x14ac:dyDescent="0.25">
      <c r="B341" s="61">
        <v>298</v>
      </c>
      <c r="C341" s="62"/>
      <c r="D341" s="6">
        <v>157</v>
      </c>
      <c r="E341" s="6">
        <v>157</v>
      </c>
      <c r="F341" s="6">
        <v>159</v>
      </c>
      <c r="G341" s="6">
        <v>155</v>
      </c>
      <c r="H341" s="6">
        <v>138</v>
      </c>
      <c r="I341" s="6">
        <v>120</v>
      </c>
      <c r="J341" s="6">
        <v>105</v>
      </c>
      <c r="K341" s="6">
        <v>92</v>
      </c>
      <c r="L341" s="6">
        <v>93</v>
      </c>
      <c r="M341" s="6">
        <v>110</v>
      </c>
      <c r="N341" s="6">
        <v>134</v>
      </c>
      <c r="O341" s="64">
        <v>154</v>
      </c>
    </row>
    <row r="342" spans="2:15" x14ac:dyDescent="0.25">
      <c r="B342" s="61">
        <v>299</v>
      </c>
      <c r="C342" s="62"/>
      <c r="D342" s="6">
        <v>874</v>
      </c>
      <c r="E342" s="6">
        <v>877</v>
      </c>
      <c r="F342" s="6">
        <v>809</v>
      </c>
      <c r="G342" s="6">
        <v>544</v>
      </c>
      <c r="H342" s="6">
        <v>357</v>
      </c>
      <c r="I342" s="6">
        <v>298</v>
      </c>
      <c r="J342" s="6">
        <v>248</v>
      </c>
      <c r="K342" s="6">
        <v>210</v>
      </c>
      <c r="L342" s="6">
        <v>215</v>
      </c>
      <c r="M342" s="6">
        <v>256</v>
      </c>
      <c r="N342" s="6">
        <v>363</v>
      </c>
      <c r="O342" s="64">
        <v>597</v>
      </c>
    </row>
    <row r="343" spans="2:15" x14ac:dyDescent="0.25">
      <c r="B343" s="61">
        <v>300</v>
      </c>
      <c r="C343" s="62"/>
      <c r="D343" s="6">
        <v>0</v>
      </c>
      <c r="E343" s="6">
        <v>0</v>
      </c>
      <c r="F343" s="6">
        <v>0</v>
      </c>
      <c r="G343" s="6">
        <v>0</v>
      </c>
      <c r="H343" s="6">
        <v>0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 s="6">
        <v>0</v>
      </c>
      <c r="O343" s="64">
        <v>0</v>
      </c>
    </row>
    <row r="344" spans="2:15" x14ac:dyDescent="0.25">
      <c r="B344" s="61">
        <v>301</v>
      </c>
      <c r="C344" s="62"/>
      <c r="D344" s="6">
        <v>30</v>
      </c>
      <c r="E344" s="6">
        <v>30</v>
      </c>
      <c r="F344" s="6">
        <v>27</v>
      </c>
      <c r="G344" s="6">
        <v>18</v>
      </c>
      <c r="H344" s="6">
        <v>13</v>
      </c>
      <c r="I344" s="6">
        <v>11</v>
      </c>
      <c r="J344" s="6">
        <v>10</v>
      </c>
      <c r="K344" s="6">
        <v>9</v>
      </c>
      <c r="L344" s="6">
        <v>14</v>
      </c>
      <c r="M344" s="6">
        <v>18</v>
      </c>
      <c r="N344" s="6">
        <v>18</v>
      </c>
      <c r="O344" s="64">
        <v>24</v>
      </c>
    </row>
    <row r="345" spans="2:15" x14ac:dyDescent="0.25">
      <c r="B345" s="61">
        <v>302</v>
      </c>
      <c r="C345" s="62"/>
      <c r="D345" s="6">
        <v>1189</v>
      </c>
      <c r="E345" s="6">
        <v>2425</v>
      </c>
      <c r="F345" s="6">
        <v>6232</v>
      </c>
      <c r="G345" s="6">
        <v>10235</v>
      </c>
      <c r="H345" s="6">
        <v>5154</v>
      </c>
      <c r="I345" s="6">
        <v>2000</v>
      </c>
      <c r="J345" s="6">
        <v>1200</v>
      </c>
      <c r="K345" s="6">
        <v>900</v>
      </c>
      <c r="L345" s="6">
        <v>743</v>
      </c>
      <c r="M345" s="6">
        <v>687</v>
      </c>
      <c r="N345" s="6">
        <v>797</v>
      </c>
      <c r="O345" s="64">
        <v>900</v>
      </c>
    </row>
    <row r="346" spans="2:15" x14ac:dyDescent="0.25">
      <c r="B346" s="61">
        <v>303</v>
      </c>
      <c r="C346" s="62"/>
      <c r="D346" s="6">
        <v>45</v>
      </c>
      <c r="E346" s="6">
        <v>45</v>
      </c>
      <c r="F346" s="6">
        <v>46</v>
      </c>
      <c r="G346" s="6">
        <v>41</v>
      </c>
      <c r="H346" s="6">
        <v>28</v>
      </c>
      <c r="I346" s="6">
        <v>17</v>
      </c>
      <c r="J346" s="6">
        <v>12</v>
      </c>
      <c r="K346" s="6">
        <v>9</v>
      </c>
      <c r="L346" s="6">
        <v>10</v>
      </c>
      <c r="M346" s="6">
        <v>15</v>
      </c>
      <c r="N346" s="6">
        <v>25</v>
      </c>
      <c r="O346" s="64">
        <v>41</v>
      </c>
    </row>
    <row r="347" spans="2:15" x14ac:dyDescent="0.25">
      <c r="B347" s="61">
        <v>304</v>
      </c>
      <c r="C347" s="62"/>
      <c r="D347" s="6">
        <v>3</v>
      </c>
      <c r="E347" s="6">
        <v>4</v>
      </c>
      <c r="F347" s="6">
        <v>2</v>
      </c>
      <c r="G347" s="6">
        <v>1</v>
      </c>
      <c r="H347" s="6">
        <v>0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 s="6">
        <v>0</v>
      </c>
      <c r="O347" s="64">
        <v>1</v>
      </c>
    </row>
    <row r="348" spans="2:15" x14ac:dyDescent="0.25">
      <c r="B348" s="61">
        <v>305</v>
      </c>
      <c r="C348" s="62"/>
      <c r="D348" s="6">
        <v>0</v>
      </c>
      <c r="E348" s="6">
        <v>0</v>
      </c>
      <c r="F348" s="6">
        <v>0</v>
      </c>
      <c r="G348" s="6">
        <v>0</v>
      </c>
      <c r="H348" s="6">
        <v>0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6">
        <v>0</v>
      </c>
      <c r="O348" s="64">
        <v>0</v>
      </c>
    </row>
    <row r="349" spans="2:15" x14ac:dyDescent="0.25">
      <c r="B349" s="61">
        <v>306</v>
      </c>
      <c r="C349" s="62"/>
      <c r="D349" s="6">
        <v>188</v>
      </c>
      <c r="E349" s="6">
        <v>188</v>
      </c>
      <c r="F349" s="6">
        <v>189</v>
      </c>
      <c r="G349" s="6">
        <v>183</v>
      </c>
      <c r="H349" s="6">
        <v>162</v>
      </c>
      <c r="I349" s="6">
        <v>138</v>
      </c>
      <c r="J349" s="6">
        <v>121</v>
      </c>
      <c r="K349" s="6">
        <v>105</v>
      </c>
      <c r="L349" s="6">
        <v>106</v>
      </c>
      <c r="M349" s="6">
        <v>126</v>
      </c>
      <c r="N349" s="6">
        <v>156</v>
      </c>
      <c r="O349" s="64">
        <v>182</v>
      </c>
    </row>
    <row r="350" spans="2:15" x14ac:dyDescent="0.25">
      <c r="B350" s="61">
        <v>307</v>
      </c>
      <c r="C350" s="62"/>
      <c r="D350" s="6">
        <v>0</v>
      </c>
      <c r="E350" s="6">
        <v>0</v>
      </c>
      <c r="F350" s="6">
        <v>0</v>
      </c>
      <c r="G350" s="6">
        <v>0</v>
      </c>
      <c r="H350" s="6">
        <v>0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6">
        <v>0</v>
      </c>
      <c r="O350" s="64">
        <v>0</v>
      </c>
    </row>
    <row r="351" spans="2:15" x14ac:dyDescent="0.25">
      <c r="B351" s="61">
        <v>308</v>
      </c>
      <c r="C351" s="62"/>
      <c r="D351" s="6">
        <v>0</v>
      </c>
      <c r="E351" s="6">
        <v>0</v>
      </c>
      <c r="F351" s="6">
        <v>0</v>
      </c>
      <c r="G351" s="6">
        <v>0</v>
      </c>
      <c r="H351" s="6">
        <v>0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 s="6">
        <v>0</v>
      </c>
      <c r="O351" s="64">
        <v>0</v>
      </c>
    </row>
    <row r="352" spans="2:15" x14ac:dyDescent="0.25">
      <c r="B352" s="61">
        <v>309</v>
      </c>
      <c r="C352" s="62"/>
      <c r="D352" s="6">
        <v>0</v>
      </c>
      <c r="E352" s="6">
        <v>0</v>
      </c>
      <c r="F352" s="6">
        <v>0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6">
        <v>0</v>
      </c>
      <c r="O352" s="64">
        <v>0</v>
      </c>
    </row>
    <row r="353" spans="2:15" x14ac:dyDescent="0.25">
      <c r="B353" s="61">
        <v>310</v>
      </c>
      <c r="C353" s="62"/>
      <c r="D353" s="6">
        <v>0</v>
      </c>
      <c r="E353" s="6">
        <v>0</v>
      </c>
      <c r="F353" s="6">
        <v>0</v>
      </c>
      <c r="G353" s="6">
        <v>0</v>
      </c>
      <c r="H353" s="6">
        <v>0</v>
      </c>
      <c r="I353" s="6">
        <v>0</v>
      </c>
      <c r="J353" s="6">
        <v>0</v>
      </c>
      <c r="K353" s="6">
        <v>0</v>
      </c>
      <c r="L353" s="6">
        <v>0</v>
      </c>
      <c r="M353" s="6">
        <v>0</v>
      </c>
      <c r="N353" s="6">
        <v>0</v>
      </c>
      <c r="O353" s="64">
        <v>0</v>
      </c>
    </row>
    <row r="354" spans="2:15" x14ac:dyDescent="0.25">
      <c r="B354" s="61">
        <v>311</v>
      </c>
      <c r="C354" s="62"/>
      <c r="D354" s="6">
        <v>0</v>
      </c>
      <c r="E354" s="6">
        <v>0</v>
      </c>
      <c r="F354" s="6">
        <v>0</v>
      </c>
      <c r="G354" s="6">
        <v>0</v>
      </c>
      <c r="H354" s="6">
        <v>0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6">
        <v>0</v>
      </c>
      <c r="O354" s="64">
        <v>0</v>
      </c>
    </row>
    <row r="355" spans="2:15" x14ac:dyDescent="0.25">
      <c r="B355" s="61">
        <v>312</v>
      </c>
      <c r="C355" s="62"/>
      <c r="D355" s="6">
        <v>0</v>
      </c>
      <c r="E355" s="6">
        <v>0</v>
      </c>
      <c r="F355" s="6">
        <v>0</v>
      </c>
      <c r="G355" s="6">
        <v>0</v>
      </c>
      <c r="H355" s="6">
        <v>0</v>
      </c>
      <c r="I355" s="6">
        <v>0</v>
      </c>
      <c r="J355" s="6">
        <v>0</v>
      </c>
      <c r="K355" s="6">
        <v>0</v>
      </c>
      <c r="L355" s="6">
        <v>0</v>
      </c>
      <c r="M355" s="6">
        <v>0</v>
      </c>
      <c r="N355" s="6">
        <v>0</v>
      </c>
      <c r="O355" s="64">
        <v>0</v>
      </c>
    </row>
    <row r="356" spans="2:15" x14ac:dyDescent="0.25">
      <c r="B356" s="61">
        <v>313</v>
      </c>
      <c r="C356" s="62"/>
      <c r="D356" s="6">
        <v>320</v>
      </c>
      <c r="E356" s="6">
        <v>358</v>
      </c>
      <c r="F356" s="6">
        <v>362</v>
      </c>
      <c r="G356" s="6">
        <v>280</v>
      </c>
      <c r="H356" s="6">
        <v>196</v>
      </c>
      <c r="I356" s="6">
        <v>154</v>
      </c>
      <c r="J356" s="6">
        <v>129</v>
      </c>
      <c r="K356" s="6">
        <v>112</v>
      </c>
      <c r="L356" s="6">
        <v>115</v>
      </c>
      <c r="M356" s="6">
        <v>142</v>
      </c>
      <c r="N356" s="6">
        <v>184</v>
      </c>
      <c r="O356" s="64">
        <v>258</v>
      </c>
    </row>
    <row r="357" spans="2:15" x14ac:dyDescent="0.25">
      <c r="B357" s="61">
        <v>314</v>
      </c>
      <c r="C357" s="62"/>
      <c r="D357" s="6">
        <v>926</v>
      </c>
      <c r="E357" s="6">
        <v>932</v>
      </c>
      <c r="F357" s="6">
        <v>863</v>
      </c>
      <c r="G357" s="6">
        <v>586</v>
      </c>
      <c r="H357" s="6">
        <v>385</v>
      </c>
      <c r="I357" s="6">
        <v>321</v>
      </c>
      <c r="J357" s="6">
        <v>267</v>
      </c>
      <c r="K357" s="6">
        <v>227</v>
      </c>
      <c r="L357" s="6">
        <v>231</v>
      </c>
      <c r="M357" s="6">
        <v>274</v>
      </c>
      <c r="N357" s="6">
        <v>387</v>
      </c>
      <c r="O357" s="64">
        <v>631</v>
      </c>
    </row>
    <row r="358" spans="2:15" x14ac:dyDescent="0.25">
      <c r="B358" s="61">
        <v>315</v>
      </c>
      <c r="C358" s="62"/>
      <c r="D358" s="6">
        <v>178</v>
      </c>
      <c r="E358" s="6">
        <v>179</v>
      </c>
      <c r="F358" s="6">
        <v>177</v>
      </c>
      <c r="G358" s="6">
        <v>168</v>
      </c>
      <c r="H358" s="6">
        <v>147</v>
      </c>
      <c r="I358" s="6">
        <v>126</v>
      </c>
      <c r="J358" s="6">
        <v>110</v>
      </c>
      <c r="K358" s="6">
        <v>96</v>
      </c>
      <c r="L358" s="6">
        <v>97</v>
      </c>
      <c r="M358" s="6">
        <v>115</v>
      </c>
      <c r="N358" s="6">
        <v>142</v>
      </c>
      <c r="O358" s="64">
        <v>168</v>
      </c>
    </row>
    <row r="359" spans="2:15" x14ac:dyDescent="0.25">
      <c r="B359" s="61">
        <v>316</v>
      </c>
      <c r="C359" s="62"/>
      <c r="D359" s="6">
        <v>175</v>
      </c>
      <c r="E359" s="6">
        <v>174</v>
      </c>
      <c r="F359" s="6">
        <v>175</v>
      </c>
      <c r="G359" s="6">
        <v>168</v>
      </c>
      <c r="H359" s="6">
        <v>147</v>
      </c>
      <c r="I359" s="6">
        <v>126</v>
      </c>
      <c r="J359" s="6">
        <v>110</v>
      </c>
      <c r="K359" s="6">
        <v>96</v>
      </c>
      <c r="L359" s="6">
        <v>97</v>
      </c>
      <c r="M359" s="6">
        <v>115</v>
      </c>
      <c r="N359" s="6">
        <v>142</v>
      </c>
      <c r="O359" s="64">
        <v>167</v>
      </c>
    </row>
    <row r="360" spans="2:15" x14ac:dyDescent="0.25">
      <c r="B360" s="61">
        <v>317</v>
      </c>
      <c r="C360" s="62"/>
      <c r="D360" s="6">
        <v>4</v>
      </c>
      <c r="E360" s="6">
        <v>5</v>
      </c>
      <c r="F360" s="6">
        <v>3</v>
      </c>
      <c r="G360" s="6">
        <v>1</v>
      </c>
      <c r="H360" s="6">
        <v>0</v>
      </c>
      <c r="I360" s="6">
        <v>0</v>
      </c>
      <c r="J360" s="6">
        <v>0</v>
      </c>
      <c r="K360" s="6">
        <v>0</v>
      </c>
      <c r="L360" s="6">
        <v>0</v>
      </c>
      <c r="M360" s="6">
        <v>1</v>
      </c>
      <c r="N360" s="6">
        <v>1</v>
      </c>
      <c r="O360" s="64">
        <v>1</v>
      </c>
    </row>
    <row r="361" spans="2:15" x14ac:dyDescent="0.25">
      <c r="B361" s="61">
        <v>318</v>
      </c>
      <c r="C361" s="62"/>
      <c r="D361" s="6">
        <v>64</v>
      </c>
      <c r="E361" s="6">
        <v>65</v>
      </c>
      <c r="F361" s="6">
        <v>59</v>
      </c>
      <c r="G361" s="6">
        <v>41</v>
      </c>
      <c r="H361" s="6">
        <v>31</v>
      </c>
      <c r="I361" s="6">
        <v>29</v>
      </c>
      <c r="J361" s="6">
        <v>24</v>
      </c>
      <c r="K361" s="6">
        <v>21</v>
      </c>
      <c r="L361" s="6">
        <v>29</v>
      </c>
      <c r="M361" s="6">
        <v>36</v>
      </c>
      <c r="N361" s="6">
        <v>37</v>
      </c>
      <c r="O361" s="64">
        <v>50</v>
      </c>
    </row>
    <row r="362" spans="2:15" x14ac:dyDescent="0.25">
      <c r="B362" s="61">
        <v>319</v>
      </c>
      <c r="C362" s="62"/>
      <c r="D362" s="6">
        <v>58</v>
      </c>
      <c r="E362" s="6">
        <v>60</v>
      </c>
      <c r="F362" s="6">
        <v>53</v>
      </c>
      <c r="G362" s="6">
        <v>37</v>
      </c>
      <c r="H362" s="6">
        <v>29</v>
      </c>
      <c r="I362" s="6">
        <v>26</v>
      </c>
      <c r="J362" s="6">
        <v>22</v>
      </c>
      <c r="K362" s="6">
        <v>20</v>
      </c>
      <c r="L362" s="6">
        <v>26</v>
      </c>
      <c r="M362" s="6">
        <v>33</v>
      </c>
      <c r="N362" s="6">
        <v>34</v>
      </c>
      <c r="O362" s="64">
        <v>45</v>
      </c>
    </row>
    <row r="363" spans="2:15" ht="15.75" thickBot="1" x14ac:dyDescent="0.3">
      <c r="B363" s="65">
        <v>320</v>
      </c>
      <c r="C363" s="66"/>
      <c r="D363" s="67">
        <v>31</v>
      </c>
      <c r="E363" s="67">
        <v>30</v>
      </c>
      <c r="F363" s="67">
        <v>27</v>
      </c>
      <c r="G363" s="67">
        <v>19</v>
      </c>
      <c r="H363" s="67">
        <v>13</v>
      </c>
      <c r="I363" s="67">
        <v>11</v>
      </c>
      <c r="J363" s="67">
        <v>10</v>
      </c>
      <c r="K363" s="67">
        <v>9</v>
      </c>
      <c r="L363" s="67">
        <v>14</v>
      </c>
      <c r="M363" s="67">
        <v>18</v>
      </c>
      <c r="N363" s="67">
        <v>19</v>
      </c>
      <c r="O363" s="68">
        <v>25</v>
      </c>
    </row>
  </sheetData>
  <mergeCells count="8">
    <mergeCell ref="B40:C40"/>
    <mergeCell ref="B41:C41"/>
    <mergeCell ref="B25:C25"/>
    <mergeCell ref="W30:X30"/>
    <mergeCell ref="C4:D4"/>
    <mergeCell ref="B37:C37"/>
    <mergeCell ref="B38:C38"/>
    <mergeCell ref="B39:C39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arregarVazpast">
                <anchor moveWithCells="1">
                  <from>
                    <xdr:col>1</xdr:col>
                    <xdr:colOff>9525</xdr:colOff>
                    <xdr:row>20</xdr:row>
                    <xdr:rowOff>180975</xdr:rowOff>
                  </from>
                  <to>
                    <xdr:col>1</xdr:col>
                    <xdr:colOff>733425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CarregarPrevs">
                <anchor moveWithCells="1" sizeWithCells="1">
                  <from>
                    <xdr:col>1</xdr:col>
                    <xdr:colOff>1162050</xdr:colOff>
                    <xdr:row>20</xdr:row>
                    <xdr:rowOff>180975</xdr:rowOff>
                  </from>
                  <to>
                    <xdr:col>1</xdr:col>
                    <xdr:colOff>1752600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CarregarMLT">
                <anchor moveWithCells="1" sizeWithCells="1">
                  <from>
                    <xdr:col>2</xdr:col>
                    <xdr:colOff>19050</xdr:colOff>
                    <xdr:row>20</xdr:row>
                    <xdr:rowOff>171450</xdr:rowOff>
                  </from>
                  <to>
                    <xdr:col>3</xdr:col>
                    <xdr:colOff>9525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 macro="[0]!AtualizarVazoes">
                <anchor moveWithCells="1" sizeWithCells="1">
                  <from>
                    <xdr:col>2</xdr:col>
                    <xdr:colOff>38100</xdr:colOff>
                    <xdr:row>25</xdr:row>
                    <xdr:rowOff>19050</xdr:rowOff>
                  </from>
                  <to>
                    <xdr:col>2</xdr:col>
                    <xdr:colOff>1123950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Button 5">
              <controlPr defaultSize="0" print="0" autoFill="0" autoPict="0" macro="[0]!NovoCenario">
                <anchor moveWithCells="1" sizeWithCells="1">
                  <from>
                    <xdr:col>2</xdr:col>
                    <xdr:colOff>1000125</xdr:colOff>
                    <xdr:row>0</xdr:row>
                    <xdr:rowOff>66675</xdr:rowOff>
                  </from>
                  <to>
                    <xdr:col>3</xdr:col>
                    <xdr:colOff>752475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Button 6">
              <controlPr defaultSize="0" print="0" autoFill="0" autoPict="0" macro="[0]!CriarCenarios">
                <anchor moveWithCells="1" sizeWithCells="1">
                  <from>
                    <xdr:col>16</xdr:col>
                    <xdr:colOff>57150</xdr:colOff>
                    <xdr:row>30</xdr:row>
                    <xdr:rowOff>38100</xdr:rowOff>
                  </from>
                  <to>
                    <xdr:col>17</xdr:col>
                    <xdr:colOff>571500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Button 7">
              <controlPr defaultSize="0" print="0" autoFill="0" autoPict="0" macro="[0]!TornarBase">
                <anchor moveWithCells="1" sizeWithCells="1">
                  <from>
                    <xdr:col>1</xdr:col>
                    <xdr:colOff>9525</xdr:colOff>
                    <xdr:row>0</xdr:row>
                    <xdr:rowOff>57150</xdr:rowOff>
                  </from>
                  <to>
                    <xdr:col>1</xdr:col>
                    <xdr:colOff>1047750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1" name="Button 9">
              <controlPr defaultSize="0" print="0" autoFill="0" autoPict="0" macro="[0]!CriarCenariosMatriz">
                <anchor moveWithCells="1" sizeWithCells="1">
                  <from>
                    <xdr:col>19</xdr:col>
                    <xdr:colOff>19050</xdr:colOff>
                    <xdr:row>30</xdr:row>
                    <xdr:rowOff>19050</xdr:rowOff>
                  </from>
                  <to>
                    <xdr:col>20</xdr:col>
                    <xdr:colOff>571500</xdr:colOff>
                    <xdr:row>34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N500"/>
  <sheetViews>
    <sheetView topLeftCell="A106" workbookViewId="0">
      <selection activeCell="A38" sqref="A38"/>
    </sheetView>
  </sheetViews>
  <sheetFormatPr defaultRowHeight="15" x14ac:dyDescent="0.25"/>
  <cols>
    <col min="1" max="1" width="116.7109375" customWidth="1"/>
  </cols>
  <sheetData>
    <row r="1" spans="1:1" x14ac:dyDescent="0.25">
      <c r="A1" t="s">
        <v>56</v>
      </c>
    </row>
    <row r="2" spans="1:1" x14ac:dyDescent="0.25">
      <c r="A2" t="s">
        <v>57</v>
      </c>
    </row>
    <row r="3" spans="1:1" x14ac:dyDescent="0.25">
      <c r="A3" t="s">
        <v>58</v>
      </c>
    </row>
    <row r="4" spans="1:1" x14ac:dyDescent="0.25">
      <c r="A4" t="s">
        <v>59</v>
      </c>
    </row>
    <row r="6" spans="1:1" x14ac:dyDescent="0.25">
      <c r="A6" t="s">
        <v>60</v>
      </c>
    </row>
    <row r="7" spans="1:1" x14ac:dyDescent="0.25">
      <c r="A7" s="71" t="str">
        <f>"&lt;DeckInicial&gt;"&amp;SUBSTITUTE(SUBSTITUTE(Geral!$C$4,"L:\","/home/marco/PrevisaoPLD/"),"\","/")&amp;"&lt;/DeckInicial&gt;"</f>
        <v>&lt;DeckInicial&gt;/home/marco/PrevisaoPLD/3_decks_entrada/201708_jul_e_base_140717_DOUG&lt;/DeckInicial&gt;</v>
      </c>
    </row>
    <row r="9" spans="1:1" x14ac:dyDescent="0.25">
      <c r="A9" t="s">
        <v>61</v>
      </c>
    </row>
    <row r="10" spans="1:1" x14ac:dyDescent="0.25">
      <c r="A10" s="71" t="str">
        <f>"&lt;LocalSaida&gt;"&amp;SUBSTITUTE(SUBSTITUTE(_NewaveBase,"L:\","/home/marco/PrevisaoPLD/"),"\","/")&amp;"&lt;/LocalSaida&gt;"</f>
        <v>&lt;LocalSaida&gt;/home/marco/PrevisaoPLD/4_resultados/201708_jul_e_base_140717_DOUG&lt;/LocalSaida&gt;</v>
      </c>
    </row>
    <row r="12" spans="1:1" x14ac:dyDescent="0.25">
      <c r="A12" t="s">
        <v>62</v>
      </c>
    </row>
    <row r="13" spans="1:1" x14ac:dyDescent="0.25">
      <c r="A13" s="85" t="str">
        <f>"&lt;ExecutavelNEWAVE&gt;/home/marco/PrevisaoPLD/cpas_ctl_common/scripts/newave"&amp;Geral!$Q$8&amp;".sh&lt;/ExecutavelNEWAVE&gt;"</f>
        <v>&lt;ExecutavelNEWAVE&gt;/home/marco/PrevisaoPLD/cpas_ctl_common/scripts/newave24.sh&lt;/ExecutavelNEWAVE&gt;</v>
      </c>
    </row>
    <row r="14" spans="1:1" x14ac:dyDescent="0.25">
      <c r="A14" s="75"/>
    </row>
    <row r="15" spans="1:1" x14ac:dyDescent="0.25">
      <c r="A15" s="75" t="s">
        <v>63</v>
      </c>
    </row>
    <row r="16" spans="1:1" x14ac:dyDescent="0.25">
      <c r="A16" s="85" t="str">
        <f>"&lt;ExecutavelNEWDESP&gt;/home/marco/PrevisaoPLD/cpas_ctl_common/scripts/newdesp"&amp;Geral!$Q$8&amp;".sh&lt;/ExecutavelNEWDESP&gt;"</f>
        <v>&lt;ExecutavelNEWDESP&gt;/home/marco/PrevisaoPLD/cpas_ctl_common/scripts/newdesp24.sh&lt;/ExecutavelNEWDESP&gt;</v>
      </c>
    </row>
    <row r="17" spans="1:1" x14ac:dyDescent="0.25">
      <c r="A17" s="75"/>
    </row>
    <row r="18" spans="1:1" x14ac:dyDescent="0.25">
      <c r="A18" s="75" t="s">
        <v>64</v>
      </c>
    </row>
    <row r="19" spans="1:1" x14ac:dyDescent="0.25">
      <c r="A19" s="85" t="str">
        <f>"&lt;ExecutavelNWLISTOP&gt;/home/marco/PrevisaoPLD/cpas_ctl_common/scripts/nwlistop"&amp;Geral!$Q$8&amp;".sh&lt;/ExecutavelNWLISTOP&gt;"</f>
        <v>&lt;ExecutavelNWLISTOP&gt;/home/marco/PrevisaoPLD/cpas_ctl_common/scripts/nwlistop24.sh&lt;/ExecutavelNWLISTOP&gt;</v>
      </c>
    </row>
    <row r="21" spans="1:1" x14ac:dyDescent="0.25">
      <c r="A21" t="s">
        <v>65</v>
      </c>
    </row>
    <row r="22" spans="1:1" x14ac:dyDescent="0.25">
      <c r="A22" t="s">
        <v>66</v>
      </c>
    </row>
    <row r="24" spans="1:1" x14ac:dyDescent="0.25">
      <c r="A24" t="s">
        <v>67</v>
      </c>
    </row>
    <row r="25" spans="1:1" x14ac:dyDescent="0.25">
      <c r="A25" t="s">
        <v>68</v>
      </c>
    </row>
    <row r="27" spans="1:1" x14ac:dyDescent="0.25">
      <c r="A27" t="s">
        <v>69</v>
      </c>
    </row>
    <row r="28" spans="1:1" x14ac:dyDescent="0.25">
      <c r="A28" s="74" t="s">
        <v>111</v>
      </c>
    </row>
    <row r="30" spans="1:1" x14ac:dyDescent="0.25">
      <c r="A30" t="s">
        <v>70</v>
      </c>
    </row>
    <row r="31" spans="1:1" x14ac:dyDescent="0.25">
      <c r="A31" s="72" t="s">
        <v>71</v>
      </c>
    </row>
    <row r="33" spans="1:1" x14ac:dyDescent="0.25">
      <c r="A33" t="s">
        <v>72</v>
      </c>
    </row>
    <row r="34" spans="1:1" x14ac:dyDescent="0.25">
      <c r="A34" t="s">
        <v>73</v>
      </c>
    </row>
    <row r="36" spans="1:1" x14ac:dyDescent="0.25">
      <c r="A36" t="s">
        <v>74</v>
      </c>
    </row>
    <row r="37" spans="1:1" x14ac:dyDescent="0.25">
      <c r="A37" s="71" t="str">
        <f>"&lt;MesesAvancar&gt;"&amp; Geral!Q5  &amp;"&lt;/MesesAvancar&gt;"</f>
        <v>&lt;MesesAvancar&gt;5&lt;/MesesAvancar&gt;</v>
      </c>
    </row>
    <row r="39" spans="1:1" x14ac:dyDescent="0.25">
      <c r="A39" t="s">
        <v>75</v>
      </c>
    </row>
    <row r="40" spans="1:1" x14ac:dyDescent="0.25">
      <c r="A40" t="s">
        <v>76</v>
      </c>
    </row>
    <row r="41" spans="1:1" x14ac:dyDescent="0.25">
      <c r="A41" s="74" t="s">
        <v>112</v>
      </c>
    </row>
    <row r="42" spans="1:1" x14ac:dyDescent="0.25">
      <c r="A42" s="74" t="s">
        <v>113</v>
      </c>
    </row>
    <row r="43" spans="1:1" x14ac:dyDescent="0.25">
      <c r="A43" s="74" t="s">
        <v>114</v>
      </c>
    </row>
    <row r="44" spans="1:1" x14ac:dyDescent="0.25">
      <c r="A44" s="74" t="s">
        <v>115</v>
      </c>
    </row>
    <row r="45" spans="1:1" x14ac:dyDescent="0.25">
      <c r="A45" s="74"/>
    </row>
    <row r="46" spans="1:1" x14ac:dyDescent="0.25">
      <c r="A46" s="74"/>
    </row>
    <row r="47" spans="1:1" x14ac:dyDescent="0.25">
      <c r="A47" s="74"/>
    </row>
    <row r="48" spans="1:1" x14ac:dyDescent="0.25">
      <c r="A48" s="74"/>
    </row>
    <row r="49" spans="1:1" x14ac:dyDescent="0.25">
      <c r="A49" s="74"/>
    </row>
    <row r="50" spans="1:1" x14ac:dyDescent="0.25">
      <c r="A50" s="74"/>
    </row>
    <row r="51" spans="1:1" x14ac:dyDescent="0.25">
      <c r="A51" s="74"/>
    </row>
    <row r="52" spans="1:1" x14ac:dyDescent="0.25">
      <c r="A52" s="74"/>
    </row>
    <row r="53" spans="1:1" x14ac:dyDescent="0.25">
      <c r="A53" s="74"/>
    </row>
    <row r="54" spans="1:1" x14ac:dyDescent="0.25">
      <c r="A54" s="74"/>
    </row>
    <row r="55" spans="1:1" x14ac:dyDescent="0.25">
      <c r="A55" s="74"/>
    </row>
    <row r="57" spans="1:1" x14ac:dyDescent="0.25">
      <c r="A57" t="s">
        <v>77</v>
      </c>
    </row>
    <row r="58" spans="1:1" x14ac:dyDescent="0.25">
      <c r="A58" t="s">
        <v>78</v>
      </c>
    </row>
    <row r="59" spans="1:1" x14ac:dyDescent="0.25">
      <c r="A59" t="s">
        <v>79</v>
      </c>
    </row>
    <row r="60" spans="1:1" x14ac:dyDescent="0.25">
      <c r="A60" t="s">
        <v>80</v>
      </c>
    </row>
    <row r="61" spans="1:1" x14ac:dyDescent="0.25">
      <c r="A61" t="s">
        <v>81</v>
      </c>
    </row>
    <row r="62" spans="1:1" x14ac:dyDescent="0.25">
      <c r="A62" t="s">
        <v>82</v>
      </c>
    </row>
    <row r="64" spans="1:1" x14ac:dyDescent="0.25">
      <c r="A64" t="s">
        <v>83</v>
      </c>
    </row>
    <row r="65" spans="1:1" x14ac:dyDescent="0.25">
      <c r="A65" s="74" t="s">
        <v>84</v>
      </c>
    </row>
    <row r="66" spans="1:1" x14ac:dyDescent="0.25">
      <c r="A66" s="74" t="s">
        <v>84</v>
      </c>
    </row>
    <row r="67" spans="1:1" x14ac:dyDescent="0.25">
      <c r="A67" s="74" t="s">
        <v>84</v>
      </c>
    </row>
    <row r="68" spans="1:1" x14ac:dyDescent="0.25">
      <c r="A68" s="74" t="s">
        <v>84</v>
      </c>
    </row>
    <row r="69" spans="1:1" x14ac:dyDescent="0.25">
      <c r="A69" s="74"/>
    </row>
    <row r="70" spans="1:1" x14ac:dyDescent="0.25">
      <c r="A70" s="74"/>
    </row>
    <row r="71" spans="1:1" x14ac:dyDescent="0.25">
      <c r="A71" s="74"/>
    </row>
    <row r="72" spans="1:1" x14ac:dyDescent="0.25">
      <c r="A72" s="74"/>
    </row>
    <row r="73" spans="1:1" x14ac:dyDescent="0.25">
      <c r="A73" s="74"/>
    </row>
    <row r="74" spans="1:1" x14ac:dyDescent="0.25">
      <c r="A74" s="74"/>
    </row>
    <row r="75" spans="1:1" x14ac:dyDescent="0.25">
      <c r="A75" s="74"/>
    </row>
    <row r="76" spans="1:1" x14ac:dyDescent="0.25">
      <c r="A76" s="74"/>
    </row>
    <row r="77" spans="1:1" x14ac:dyDescent="0.25">
      <c r="A77" s="74"/>
    </row>
    <row r="78" spans="1:1" x14ac:dyDescent="0.25">
      <c r="A78" s="74"/>
    </row>
    <row r="79" spans="1:1" x14ac:dyDescent="0.25">
      <c r="A79" s="74"/>
    </row>
    <row r="80" spans="1:1" x14ac:dyDescent="0.25">
      <c r="A80" t="s">
        <v>85</v>
      </c>
    </row>
    <row r="81" spans="1:14" x14ac:dyDescent="0.25">
      <c r="A81" s="74" t="s">
        <v>86</v>
      </c>
    </row>
    <row r="82" spans="1:14" x14ac:dyDescent="0.25">
      <c r="A82" t="str">
        <f>"&lt;VolumesPorRee&gt;"&amp;IF(_tipoEarm="MERCADO",0,1)&amp;"&lt;/VolumesPorRee&gt;"</f>
        <v>&lt;VolumesPorRee&gt;0&lt;/VolumesPorRee&gt;</v>
      </c>
    </row>
    <row r="83" spans="1:14" x14ac:dyDescent="0.25">
      <c r="A83" s="71" t="str">
        <f>IF(Geral!B15&lt;&gt;"","&lt;VolumePO SubMercado="""&amp;Geral!B15&amp;""" MesReferencia=""1""&gt; "&amp; C83  &amp;" &lt;/VolumePO&gt;","")</f>
        <v>&lt;VolumePO SubMercado="1" MesReferencia="1"&gt; 0.0 0.0 0.0 0.0 0.0 0.0 0.0 0.0 0.0 0.0 0.0 0.0 &lt;/VolumePO&gt;</v>
      </c>
      <c r="C83" s="73" t="str">
        <f>SUBSTITUTE(TEXT(Geral!D15*100,"0,0") &amp; " " &amp; TEXT(Geral!E15*100,"0,0")&amp; " " &amp; TEXT(Geral!F15*100,"0,0")&amp; " " &amp; TEXT(Geral!G15*100,"0,0")&amp; " " &amp; TEXT(Geral!H15*100,"0,0")&amp; " " &amp; TEXT(Geral!I15*100,"0,0")&amp; " " &amp; TEXT(Geral!J15*100,"0,0")&amp; " " &amp; TEXT(Geral!K15*100,"0,0")&amp; " " &amp; TEXT(Geral!L15*100,"0,0")&amp; " " &amp; TEXT(Geral!M15*100,"0,0")&amp; " " &amp; TEXT(Geral!N15*100,"0,0")&amp; " " &amp; TEXT(Geral!O15*100,"0,0"),",",".")</f>
        <v>0.0 0.0 0.0 0.0 0.0 0.0 0.0 0.0 0.0 0.0 0.0 0.0</v>
      </c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</row>
    <row r="84" spans="1:14" x14ac:dyDescent="0.25">
      <c r="A84" s="71" t="str">
        <f>IF(Geral!B16&lt;&gt;"","&lt;VolumePO SubMercado="""&amp;Geral!B16&amp;""" MesReferencia=""1""&gt; "&amp; C84  &amp;" &lt;/VolumePO&gt;","")</f>
        <v>&lt;VolumePO SubMercado="2" MesReferencia="1"&gt; 0.0 0.0 0.0 0.0 0.0 0.0 0.0 0.0 0.0 0.0 0.0 0.0 &lt;/VolumePO&gt;</v>
      </c>
      <c r="C84" s="73" t="str">
        <f>SUBSTITUTE(TEXT(Geral!D16*100,"0,0") &amp; " " &amp; TEXT(Geral!E16*100,"0,0")&amp; " " &amp; TEXT(Geral!F16*100,"0,0")&amp; " " &amp; TEXT(Geral!G16*100,"0,0")&amp; " " &amp; TEXT(Geral!H16*100,"0,0")&amp; " " &amp; TEXT(Geral!I16*100,"0,0")&amp; " " &amp; TEXT(Geral!J16*100,"0,0")&amp; " " &amp; TEXT(Geral!K16*100,"0,0")&amp; " " &amp; TEXT(Geral!L16*100,"0,0")&amp; " " &amp; TEXT(Geral!M16*100,"0,0")&amp; " " &amp; TEXT(Geral!N16*100,"0,0")&amp; " " &amp; TEXT(Geral!O16*100,"0,0"),",",".")</f>
        <v>0.0 0.0 0.0 0.0 0.0 0.0 0.0 0.0 0.0 0.0 0.0 0.0</v>
      </c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</row>
    <row r="85" spans="1:14" x14ac:dyDescent="0.25">
      <c r="A85" s="71" t="str">
        <f>IF(Geral!B17&lt;&gt;"","&lt;VolumePO SubMercado="""&amp;Geral!B17&amp;""" MesReferencia=""1""&gt; "&amp; C85  &amp;" &lt;/VolumePO&gt;","")</f>
        <v>&lt;VolumePO SubMercado="3" MesReferencia="1"&gt; 0.0 0.0 0.0 0.0 0.0 0.0 0.0 0.0 0.0 0.0 0.0 0.0 &lt;/VolumePO&gt;</v>
      </c>
      <c r="C85" s="73" t="str">
        <f>SUBSTITUTE(TEXT(Geral!D17*100,"0,0") &amp; " " &amp; TEXT(Geral!E17*100,"0,0")&amp; " " &amp; TEXT(Geral!F17*100,"0,0")&amp; " " &amp; TEXT(Geral!G17*100,"0,0")&amp; " " &amp; TEXT(Geral!H17*100,"0,0")&amp; " " &amp; TEXT(Geral!I17*100,"0,0")&amp; " " &amp; TEXT(Geral!J17*100,"0,0")&amp; " " &amp; TEXT(Geral!K17*100,"0,0")&amp; " " &amp; TEXT(Geral!L17*100,"0,0")&amp; " " &amp; TEXT(Geral!M17*100,"0,0")&amp; " " &amp; TEXT(Geral!N17*100,"0,0")&amp; " " &amp; TEXT(Geral!O17*100,"0,0"),",",".")</f>
        <v>0.0 0.0 0.0 0.0 0.0 0.0 0.0 0.0 0.0 0.0 0.0 0.0</v>
      </c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</row>
    <row r="86" spans="1:14" x14ac:dyDescent="0.25">
      <c r="A86" s="71" t="str">
        <f>IF(Geral!B18&lt;&gt;"","&lt;VolumePO SubMercado="""&amp;Geral!B18&amp;""" MesReferencia=""1""&gt; "&amp; C86  &amp;" &lt;/VolumePO&gt;","")</f>
        <v>&lt;VolumePO SubMercado="4" MesReferencia="1"&gt; 0.0 0.0 0.0 0.0 0.0 0.0 0.0 0.0 0.0 0.0 0.0 0.0 &lt;/VolumePO&gt;</v>
      </c>
      <c r="C86" s="73" t="str">
        <f>SUBSTITUTE(TEXT(Geral!D18*100,"0,0") &amp; " " &amp; TEXT(Geral!E18*100,"0,0")&amp; " " &amp; TEXT(Geral!F18*100,"0,0")&amp; " " &amp; TEXT(Geral!G18*100,"0,0")&amp; " " &amp; TEXT(Geral!H18*100,"0,0")&amp; " " &amp; TEXT(Geral!I18*100,"0,0")&amp; " " &amp; TEXT(Geral!J18*100,"0,0")&amp; " " &amp; TEXT(Geral!K18*100,"0,0")&amp; " " &amp; TEXT(Geral!L18*100,"0,0")&amp; " " &amp; TEXT(Geral!M18*100,"0,0")&amp; " " &amp; TEXT(Geral!N18*100,"0,0")&amp; " " &amp; TEXT(Geral!O18*100,"0,0"),",",".")</f>
        <v>0.0 0.0 0.0 0.0 0.0 0.0 0.0 0.0 0.0 0.0 0.0 0.0</v>
      </c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</row>
    <row r="87" spans="1:14" x14ac:dyDescent="0.25">
      <c r="A87" s="71" t="str">
        <f>IF(Geral!B19&lt;&gt;"","&lt;VolumePO SubMercado="""&amp;Geral!B19&amp;""" MesReferencia=""1""&gt; "&amp; C87  &amp;" &lt;/VolumePO&gt;","")</f>
        <v/>
      </c>
      <c r="C87" s="73" t="str">
        <f>SUBSTITUTE(TEXT(Geral!D19*100,"0,0") &amp; " " &amp; TEXT(Geral!E19*100,"0,0")&amp; " " &amp; TEXT(Geral!F19*100,"0,0")&amp; " " &amp; TEXT(Geral!G19*100,"0,0")&amp; " " &amp; TEXT(Geral!H19*100,"0,0")&amp; " " &amp; TEXT(Geral!I19*100,"0,0")&amp; " " &amp; TEXT(Geral!J19*100,"0,0")&amp; " " &amp; TEXT(Geral!K19*100,"0,0")&amp; " " &amp; TEXT(Geral!L19*100,"0,0")&amp; " " &amp; TEXT(Geral!M19*100,"0,0")&amp; " " &amp; TEXT(Geral!N19*100,"0,0")&amp; " " &amp; TEXT(Geral!O19*100,"0,0"),",",".")</f>
        <v>0.0 0.0 0.0 0.0 0.0 0.0 0.0 0.0 0.0 0.0 0.0 0.0</v>
      </c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</row>
    <row r="88" spans="1:14" x14ac:dyDescent="0.25">
      <c r="A88" s="71" t="str">
        <f>IF(Geral!B20&lt;&gt;"","&lt;VolumePO SubMercado="""&amp;Geral!B20&amp;""" MesReferencia=""1""&gt; "&amp; C88  &amp;" &lt;/VolumePO&gt;","")</f>
        <v/>
      </c>
      <c r="C88" s="73" t="str">
        <f>SUBSTITUTE(TEXT(Geral!D20*100,"0,0") &amp; " " &amp; TEXT(Geral!E20*100,"0,0")&amp; " " &amp; TEXT(Geral!F20*100,"0,0")&amp; " " &amp; TEXT(Geral!G20*100,"0,0")&amp; " " &amp; TEXT(Geral!H20*100,"0,0")&amp; " " &amp; TEXT(Geral!I20*100,"0,0")&amp; " " &amp; TEXT(Geral!J20*100,"0,0")&amp; " " &amp; TEXT(Geral!K20*100,"0,0")&amp; " " &amp; TEXT(Geral!L20*100,"0,0")&amp; " " &amp; TEXT(Geral!M20*100,"0,0")&amp; " " &amp; TEXT(Geral!N20*100,"0,0")&amp; " " &amp; TEXT(Geral!O20*100,"0,0"),",",".")</f>
        <v>0.0 0.0 0.0 0.0 0.0 0.0 0.0 0.0 0.0 0.0 0.0 0.0</v>
      </c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</row>
    <row r="89" spans="1:14" x14ac:dyDescent="0.25">
      <c r="A89" s="71" t="str">
        <f>IF(Geral!B21&lt;&gt;"","&lt;VolumePO SubMercado="""&amp;Geral!B21&amp;""" MesReferencia=""1""&gt; "&amp; C89  &amp;" &lt;/VolumePO&gt;","")</f>
        <v/>
      </c>
      <c r="C89" s="73" t="str">
        <f>SUBSTITUTE(TEXT(Geral!D21*100,"0,0") &amp; " " &amp; TEXT(Geral!E21*100,"0,0")&amp; " " &amp; TEXT(Geral!F21*100,"0,0")&amp; " " &amp; TEXT(Geral!G21*100,"0,0")&amp; " " &amp; TEXT(Geral!H21*100,"0,0")&amp; " " &amp; TEXT(Geral!I21*100,"0,0")&amp; " " &amp; TEXT(Geral!J21*100,"0,0")&amp; " " &amp; TEXT(Geral!K21*100,"0,0")&amp; " " &amp; TEXT(Geral!L21*100,"0,0")&amp; " " &amp; TEXT(Geral!M21*100,"0,0")&amp; " " &amp; TEXT(Geral!N21*100,"0,0")&amp; " " &amp; TEXT(Geral!O21*100,"0,0"),",",".")</f>
        <v>0.0 0.0 0.0 0.0 0.0 0.0 0.0 0.0 0.0 0.0 0.0 0.0</v>
      </c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</row>
    <row r="90" spans="1:14" x14ac:dyDescent="0.25">
      <c r="A90" s="71" t="str">
        <f>IF(Geral!B22&lt;&gt;"","&lt;VolumePO SubMercado="""&amp;Geral!B22&amp;""" MesReferencia=""1""&gt; "&amp; C90  &amp;" &lt;/VolumePO&gt;","")</f>
        <v/>
      </c>
      <c r="C90" s="73" t="str">
        <f>SUBSTITUTE(TEXT(Geral!D22*100,"0,0") &amp; " " &amp; TEXT(Geral!E22*100,"0,0")&amp; " " &amp; TEXT(Geral!F22*100,"0,0")&amp; " " &amp; TEXT(Geral!G22*100,"0,0")&amp; " " &amp; TEXT(Geral!H22*100,"0,0")&amp; " " &amp; TEXT(Geral!I22*100,"0,0")&amp; " " &amp; TEXT(Geral!J22*100,"0,0")&amp; " " &amp; TEXT(Geral!K22*100,"0,0")&amp; " " &amp; TEXT(Geral!L22*100,"0,0")&amp; " " &amp; TEXT(Geral!M22*100,"0,0")&amp; " " &amp; TEXT(Geral!N22*100,"0,0")&amp; " " &amp; TEXT(Geral!O22*100,"0,0"),",",".")</f>
        <v>0.0 0.0 0.0 0.0 0.0 0.0 0.0 0.0 0.0 0.0 0.0 0.0</v>
      </c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</row>
    <row r="91" spans="1:14" x14ac:dyDescent="0.25">
      <c r="C91" s="73" t="str">
        <f>SUBSTITUTE(TEXT(Geral!D23*100,"0,0") &amp; " " &amp; TEXT(Geral!E23*100,"0,0")&amp; " " &amp; TEXT(Geral!F23*100,"0,0")&amp; " " &amp; TEXT(Geral!G23*100,"0,0")&amp; " " &amp; TEXT(Geral!H23*100,"0,0")&amp; " " &amp; TEXT(Geral!I23*100,"0,0")&amp; " " &amp; TEXT(Geral!J23*100,"0,0")&amp; " " &amp; TEXT(Geral!K23*100,"0,0")&amp; " " &amp; TEXT(Geral!L23*100,"0,0")&amp; " " &amp; TEXT(Geral!M23*100,"0,0")&amp; " " &amp; TEXT(Geral!N23*100,"0,0")&amp; " " &amp; TEXT(Geral!O23*100,"0,0"),",",".")</f>
        <v>0.0 0.0 0.0 0.0 0.0 0.0 0.0 0.0 0.0 0.0 0.0 0.0</v>
      </c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</row>
    <row r="100" spans="1:1" x14ac:dyDescent="0.25">
      <c r="A100" t="s">
        <v>87</v>
      </c>
    </row>
    <row r="101" spans="1:1" x14ac:dyDescent="0.25">
      <c r="A101" s="74" t="s">
        <v>88</v>
      </c>
    </row>
    <row r="103" spans="1:1" x14ac:dyDescent="0.25">
      <c r="A103" t="s">
        <v>89</v>
      </c>
    </row>
    <row r="104" spans="1:1" x14ac:dyDescent="0.25">
      <c r="A104" s="71" t="str">
        <f>"&lt;ArquivoSaida&gt;"&amp;Geral!$C$3&amp;"&lt;/ArquivoSaida&gt;"</f>
        <v>&lt;ArquivoSaida&gt;201708_jul_e_base_140717_DOUG&lt;/ArquivoSaida&gt;</v>
      </c>
    </row>
    <row r="106" spans="1:1" x14ac:dyDescent="0.25">
      <c r="A106" t="s">
        <v>90</v>
      </c>
    </row>
    <row r="107" spans="1:1" x14ac:dyDescent="0.25">
      <c r="A107" s="71" t="str">
        <f>"&lt;ArquivoLog&gt;"&amp;Geral!$C$3&amp;".log&lt;/ArquivoLog&gt;"</f>
        <v>&lt;ArquivoLog&gt;201708_jul_e_base_140717_DOUG.log&lt;/ArquivoLog&gt;</v>
      </c>
    </row>
    <row r="109" spans="1:1" x14ac:dyDescent="0.25">
      <c r="A109" t="s">
        <v>91</v>
      </c>
    </row>
    <row r="110" spans="1:1" x14ac:dyDescent="0.25">
      <c r="A110" t="s">
        <v>92</v>
      </c>
    </row>
    <row r="112" spans="1:1" x14ac:dyDescent="0.25">
      <c r="A112" t="s">
        <v>93</v>
      </c>
    </row>
    <row r="113" spans="1:1" x14ac:dyDescent="0.25">
      <c r="A113" t="s">
        <v>94</v>
      </c>
    </row>
    <row r="114" spans="1:1" x14ac:dyDescent="0.25">
      <c r="A114" t="s">
        <v>95</v>
      </c>
    </row>
    <row r="116" spans="1:1" x14ac:dyDescent="0.25">
      <c r="A116" t="s">
        <v>96</v>
      </c>
    </row>
    <row r="117" spans="1:1" x14ac:dyDescent="0.25">
      <c r="A117" t="s">
        <v>97</v>
      </c>
    </row>
    <row r="119" spans="1:1" x14ac:dyDescent="0.25">
      <c r="A119" t="s">
        <v>98</v>
      </c>
    </row>
    <row r="120" spans="1:1" x14ac:dyDescent="0.25">
      <c r="A120" s="74" t="s">
        <v>99</v>
      </c>
    </row>
    <row r="122" spans="1:1" x14ac:dyDescent="0.25">
      <c r="A122" t="s">
        <v>100</v>
      </c>
    </row>
    <row r="123" spans="1:1" x14ac:dyDescent="0.25">
      <c r="A123" s="74" t="s">
        <v>101</v>
      </c>
    </row>
    <row r="125" spans="1:1" x14ac:dyDescent="0.25">
      <c r="A125" t="s">
        <v>102</v>
      </c>
    </row>
    <row r="126" spans="1:1" x14ac:dyDescent="0.25">
      <c r="A126" s="74" t="s">
        <v>116</v>
      </c>
    </row>
    <row r="128" spans="1:1" x14ac:dyDescent="0.25">
      <c r="A128" t="s">
        <v>103</v>
      </c>
    </row>
    <row r="129" spans="1:6" x14ac:dyDescent="0.25">
      <c r="A129" s="71" t="s">
        <v>104</v>
      </c>
    </row>
    <row r="131" spans="1:6" x14ac:dyDescent="0.25">
      <c r="A131" t="s">
        <v>105</v>
      </c>
    </row>
    <row r="132" spans="1:6" x14ac:dyDescent="0.25">
      <c r="A132" s="71" t="s">
        <v>106</v>
      </c>
    </row>
    <row r="141" spans="1:6" x14ac:dyDescent="0.25">
      <c r="A141" t="str">
        <f ca="1">"&lt;PrevisaoVAZAO Posto="""&amp;INDIRECT("'Hidrologia - 1'!B"&amp;F141)&amp;""" MesReferencia=""1""&gt; "&amp;C141&amp;" &lt;/PrevisaoVAZAO&gt;"</f>
        <v>&lt;PrevisaoVAZAO Posto="1" MesReferencia="1"&gt; 249 226 201 137 103 88 73 63 66 78 110 180 &lt;/PrevisaoVAZAO&gt;</v>
      </c>
      <c r="C141" s="76" t="str">
        <f ca="1">SUBSTITUTE(TEXT(INDIRECT("'Hidrologia - 1'!D"&amp;F141),"0") &amp; " " &amp; TEXT(INDIRECT("'Hidrologia - 1'!E"&amp;F141),"0")&amp; " " &amp; TEXT(INDIRECT("'Hidrologia - 1'!F"&amp;F141),"0")&amp; " " &amp; TEXT(INDIRECT("'Hidrologia - 1'!G"&amp;F141),"0")&amp; " " &amp; TEXT(INDIRECT("'Hidrologia - 1'!H"&amp;F141),"0")&amp; " " &amp; TEXT(INDIRECT("'Hidrologia - 1'!I"&amp;F141),"0")&amp; " " &amp; TEXT(INDIRECT("'Hidrologia - 1'!J"&amp;F141),"0")&amp; " " &amp; TEXT(INDIRECT("'Hidrologia - 1'!K"&amp;F141),"0")&amp; " " &amp; TEXT(INDIRECT("'Hidrologia - 1'!L"&amp;F141),"0")&amp; " " &amp; TEXT(INDIRECT("'Hidrologia - 1'!M"&amp;F141),"0")&amp; " " &amp; TEXT(INDIRECT("'Hidrologia - 1'!N"&amp;F141),"0")&amp; " " &amp; TEXT(INDIRECT("'Hidrologia - 1'!O"&amp;F141),"0"),",",".")</f>
        <v>249 226 201 137 103 88 73 63 66 78 110 180</v>
      </c>
      <c r="F141">
        <v>44</v>
      </c>
    </row>
    <row r="142" spans="1:6" x14ac:dyDescent="0.25">
      <c r="A142" s="75" t="str">
        <f t="shared" ref="A142:A205" ca="1" si="0">"&lt;PrevisaoVAZAO Posto="""&amp;INDIRECT("'Hidrologia - 1'!B"&amp;F142)&amp;""" MesReferencia=""1""&gt; "&amp;C142&amp;" &lt;/PrevisaoVAZAO&gt;"</f>
        <v>&lt;PrevisaoVAZAO Posto="2" MesReferencia="1"&gt; 249 226 201 137 103 88 73 63 66 78 110 180 &lt;/PrevisaoVAZAO&gt;</v>
      </c>
      <c r="C142" s="76" t="str">
        <f t="shared" ref="C142:C205" ca="1" si="1">SUBSTITUTE(TEXT(INDIRECT("'Hidrologia - 1'!D"&amp;F142),"0") &amp; " " &amp; TEXT(INDIRECT("'Hidrologia - 1'!E"&amp;F142),"0")&amp; " " &amp; TEXT(INDIRECT("'Hidrologia - 1'!F"&amp;F142),"0")&amp; " " &amp; TEXT(INDIRECT("'Hidrologia - 1'!G"&amp;F142),"0")&amp; " " &amp; TEXT(INDIRECT("'Hidrologia - 1'!H"&amp;F142),"0")&amp; " " &amp; TEXT(INDIRECT("'Hidrologia - 1'!I"&amp;F142),"0")&amp; " " &amp; TEXT(INDIRECT("'Hidrologia - 1'!J"&amp;F142),"0")&amp; " " &amp; TEXT(INDIRECT("'Hidrologia - 1'!K"&amp;F142),"0")&amp; " " &amp; TEXT(INDIRECT("'Hidrologia - 1'!L"&amp;F142),"0")&amp; " " &amp; TEXT(INDIRECT("'Hidrologia - 1'!M"&amp;F142),"0")&amp; " " &amp; TEXT(INDIRECT("'Hidrologia - 1'!N"&amp;F142),"0")&amp; " " &amp; TEXT(INDIRECT("'Hidrologia - 1'!O"&amp;F142),"0"),",",".")</f>
        <v>249 226 201 137 103 88 73 63 66 78 110 180</v>
      </c>
      <c r="F142">
        <v>45</v>
      </c>
    </row>
    <row r="143" spans="1:6" x14ac:dyDescent="0.25">
      <c r="A143" s="75" t="str">
        <f t="shared" ca="1" si="0"/>
        <v>&lt;PrevisaoVAZAO Posto="3" MesReferencia="1"&gt; 0 0 0 0 0 0 0 0 0 0 0 0 &lt;/PrevisaoVAZAO&gt;</v>
      </c>
      <c r="C143" s="76" t="str">
        <f t="shared" ca="1" si="1"/>
        <v>0 0 0 0 0 0 0 0 0 0 0 0</v>
      </c>
      <c r="F143" s="75">
        <v>46</v>
      </c>
    </row>
    <row r="144" spans="1:6" x14ac:dyDescent="0.25">
      <c r="A144" s="75" t="str">
        <f t="shared" ca="1" si="0"/>
        <v>&lt;PrevisaoVAZAO Posto="4" MesReferencia="1"&gt; 0 0 0 0 0 0 0 0 0 0 0 0 &lt;/PrevisaoVAZAO&gt;</v>
      </c>
      <c r="C144" s="76" t="str">
        <f t="shared" ca="1" si="1"/>
        <v>0 0 0 0 0 0 0 0 0 0 0 0</v>
      </c>
      <c r="F144" s="75">
        <v>47</v>
      </c>
    </row>
    <row r="145" spans="1:6" x14ac:dyDescent="0.25">
      <c r="A145" s="75" t="str">
        <f t="shared" ca="1" si="0"/>
        <v>&lt;PrevisaoVAZAO Posto="5" MesReferencia="1"&gt; 0 0 0 0 0 0 0 0 0 0 0 0 &lt;/PrevisaoVAZAO&gt;</v>
      </c>
      <c r="C145" s="76" t="str">
        <f t="shared" ca="1" si="1"/>
        <v>0 0 0 0 0 0 0 0 0 0 0 0</v>
      </c>
      <c r="F145" s="75">
        <v>48</v>
      </c>
    </row>
    <row r="146" spans="1:6" x14ac:dyDescent="0.25">
      <c r="A146" s="75" t="str">
        <f t="shared" ca="1" si="0"/>
        <v>&lt;PrevisaoVAZAO Posto="6" MesReferencia="1"&gt; 1749 1625 1449 997 729 608 500 410 430 502 715 1232 &lt;/PrevisaoVAZAO&gt;</v>
      </c>
      <c r="C146" s="76" t="str">
        <f t="shared" ca="1" si="1"/>
        <v>1749 1625 1449 997 729 608 500 410 430 502 715 1232</v>
      </c>
      <c r="F146" s="75">
        <v>49</v>
      </c>
    </row>
    <row r="147" spans="1:6" x14ac:dyDescent="0.25">
      <c r="A147" s="75" t="str">
        <f t="shared" ca="1" si="0"/>
        <v>&lt;PrevisaoVAZAO Posto="7" MesReferencia="1"&gt; 1950 1828 1633 1125 820 680 558 458 476 557 788 1358 &lt;/PrevisaoVAZAO&gt;</v>
      </c>
      <c r="C147" s="76" t="str">
        <f t="shared" ca="1" si="1"/>
        <v>1950 1828 1633 1125 820 680 558 458 476 557 788 1358</v>
      </c>
      <c r="F147" s="75">
        <v>50</v>
      </c>
    </row>
    <row r="148" spans="1:6" x14ac:dyDescent="0.25">
      <c r="A148" s="75" t="str">
        <f t="shared" ca="1" si="0"/>
        <v>&lt;PrevisaoVAZAO Posto="8" MesReferencia="1"&gt; 1993 1878 1678 1161 843 698 572 469 486 568 802 1380 &lt;/PrevisaoVAZAO&gt;</v>
      </c>
      <c r="C148" s="76" t="str">
        <f t="shared" ca="1" si="1"/>
        <v>1993 1878 1678 1161 843 698 572 469 486 568 802 1380</v>
      </c>
      <c r="F148" s="75">
        <v>51</v>
      </c>
    </row>
    <row r="149" spans="1:6" x14ac:dyDescent="0.25">
      <c r="A149" s="75" t="str">
        <f t="shared" ca="1" si="0"/>
        <v>&lt;PrevisaoVAZAO Posto="9" MesReferencia="1"&gt; 2009 1899 1698 1177 853 706 578 474 490 572 807 1387 &lt;/PrevisaoVAZAO&gt;</v>
      </c>
      <c r="C149" s="76" t="str">
        <f t="shared" ca="1" si="1"/>
        <v>2009 1899 1698 1177 853 706 578 474 490 572 807 1387</v>
      </c>
      <c r="F149" s="75">
        <v>52</v>
      </c>
    </row>
    <row r="150" spans="1:6" x14ac:dyDescent="0.25">
      <c r="A150" s="75" t="str">
        <f t="shared" ca="1" si="0"/>
        <v>&lt;PrevisaoVAZAO Posto="10" MesReferencia="1"&gt; 2058 1960 1752 1221 880 727 595 487 501 585 823 1410 &lt;/PrevisaoVAZAO&gt;</v>
      </c>
      <c r="C150" s="76" t="str">
        <f t="shared" ca="1" si="1"/>
        <v>2058 1960 1752 1221 880 727 595 487 501 585 823 1410</v>
      </c>
      <c r="F150" s="75">
        <v>53</v>
      </c>
    </row>
    <row r="151" spans="1:6" x14ac:dyDescent="0.25">
      <c r="A151" s="75" t="str">
        <f t="shared" ca="1" si="0"/>
        <v>&lt;PrevisaoVAZAO Posto="11" MesReferencia="1"&gt; 2171 2088 1869 1312 940 775 633 517 528 616 863 1475 &lt;/PrevisaoVAZAO&gt;</v>
      </c>
      <c r="C151" s="76" t="str">
        <f t="shared" ca="1" si="1"/>
        <v>2171 2088 1869 1312 940 775 633 517 528 616 863 1475</v>
      </c>
      <c r="F151" s="75">
        <v>54</v>
      </c>
    </row>
    <row r="152" spans="1:6" x14ac:dyDescent="0.25">
      <c r="A152" s="75" t="str">
        <f t="shared" ca="1" si="0"/>
        <v>&lt;PrevisaoVAZAO Posto="12" MesReferencia="1"&gt; 2450 2384 2142 1516 1080 885 719 586 593 693 968 1649 &lt;/PrevisaoVAZAO&gt;</v>
      </c>
      <c r="C152" s="76" t="str">
        <f t="shared" ca="1" si="1"/>
        <v>2450 2384 2142 1516 1080 885 719 586 593 693 968 1649</v>
      </c>
      <c r="F152" s="75">
        <v>55</v>
      </c>
    </row>
    <row r="153" spans="1:6" x14ac:dyDescent="0.25">
      <c r="A153" s="75" t="str">
        <f t="shared" ca="1" si="0"/>
        <v>&lt;PrevisaoVAZAO Posto="13" MesReferencia="1"&gt; 0 0 0 0 0 0 0 0 0 0 0 0 &lt;/PrevisaoVAZAO&gt;</v>
      </c>
      <c r="C153" s="76" t="str">
        <f t="shared" ca="1" si="1"/>
        <v>0 0 0 0 0 0 0 0 0 0 0 0</v>
      </c>
      <c r="F153" s="75">
        <v>56</v>
      </c>
    </row>
    <row r="154" spans="1:6" x14ac:dyDescent="0.25">
      <c r="A154" s="75" t="str">
        <f t="shared" ca="1" si="0"/>
        <v>&lt;PrevisaoVAZAO Posto="14" MesReferencia="1"&gt; 96 98 86 59 44 36 29 24 25 31 40 70 &lt;/PrevisaoVAZAO&gt;</v>
      </c>
      <c r="C154" s="76" t="str">
        <f t="shared" ca="1" si="1"/>
        <v>96 98 86 59 44 36 29 24 25 31 40 70</v>
      </c>
      <c r="F154" s="75">
        <v>57</v>
      </c>
    </row>
    <row r="155" spans="1:6" x14ac:dyDescent="0.25">
      <c r="A155" s="75" t="str">
        <f t="shared" ca="1" si="0"/>
        <v>&lt;PrevisaoVAZAO Posto="15" MesReferencia="1"&gt; 157 161 140 96 70 59 48 41 42 50 64 113 &lt;/PrevisaoVAZAO&gt;</v>
      </c>
      <c r="C155" s="76" t="str">
        <f t="shared" ca="1" si="1"/>
        <v>157 161 140 96 70 59 48 41 42 50 64 113</v>
      </c>
      <c r="F155" s="75">
        <v>58</v>
      </c>
    </row>
    <row r="156" spans="1:6" x14ac:dyDescent="0.25">
      <c r="A156" s="75" t="str">
        <f t="shared" ca="1" si="0"/>
        <v>&lt;PrevisaoVAZAO Posto="16" MesReferencia="1"&gt; 159 164 142 97 71 60 49 41 43 51 65 115 &lt;/PrevisaoVAZAO&gt;</v>
      </c>
      <c r="C156" s="76" t="str">
        <f t="shared" ca="1" si="1"/>
        <v>159 164 142 97 71 60 49 41 43 51 65 115</v>
      </c>
      <c r="F156" s="75">
        <v>59</v>
      </c>
    </row>
    <row r="157" spans="1:6" x14ac:dyDescent="0.25">
      <c r="A157" s="75" t="str">
        <f t="shared" ca="1" si="0"/>
        <v>&lt;PrevisaoVAZAO Posto="17" MesReferencia="1"&gt; 3257 3335 2996 2171 1556 1300 1062 880 875 997 1338 2218 &lt;/PrevisaoVAZAO&gt;</v>
      </c>
      <c r="C157" s="76" t="str">
        <f t="shared" ca="1" si="1"/>
        <v>3257 3335 2996 2171 1556 1300 1062 880 875 997 1338 2218</v>
      </c>
      <c r="F157" s="75">
        <v>60</v>
      </c>
    </row>
    <row r="158" spans="1:6" x14ac:dyDescent="0.25">
      <c r="A158" s="75" t="str">
        <f t="shared" ca="1" si="0"/>
        <v>&lt;PrevisaoVAZAO Posto="18" MesReferencia="1"&gt; 3631 3779 3415 2492 1777 1490 1220 1017 1003 1146 1506 2451 &lt;/PrevisaoVAZAO&gt;</v>
      </c>
      <c r="C158" s="76" t="str">
        <f t="shared" ca="1" si="1"/>
        <v>3631 3779 3415 2492 1777 1490 1220 1017 1003 1146 1506 2451</v>
      </c>
      <c r="F158" s="75">
        <v>61</v>
      </c>
    </row>
    <row r="159" spans="1:6" x14ac:dyDescent="0.25">
      <c r="A159" s="75" t="str">
        <f t="shared" ca="1" si="0"/>
        <v>&lt;PrevisaoVAZAO Posto="19" MesReferencia="1"&gt; 0 0 0 0 0 0 0 0 0 0 0 0 &lt;/PrevisaoVAZAO&gt;</v>
      </c>
      <c r="C159" s="76" t="str">
        <f t="shared" ca="1" si="1"/>
        <v>0 0 0 0 0 0 0 0 0 0 0 0</v>
      </c>
      <c r="F159" s="75">
        <v>62</v>
      </c>
    </row>
    <row r="160" spans="1:6" x14ac:dyDescent="0.25">
      <c r="A160" s="75" t="str">
        <f t="shared" ca="1" si="0"/>
        <v>&lt;PrevisaoVAZAO Posto="20" MesReferencia="1"&gt; 326 328 298 215 136 103 81 65 56 69 120 234 &lt;/PrevisaoVAZAO&gt;</v>
      </c>
      <c r="C160" s="76" t="str">
        <f t="shared" ca="1" si="1"/>
        <v>326 328 298 215 136 103 81 65 56 69 120 234</v>
      </c>
      <c r="F160" s="75">
        <v>63</v>
      </c>
    </row>
    <row r="161" spans="1:6" x14ac:dyDescent="0.25">
      <c r="A161" s="75" t="str">
        <f t="shared" ca="1" si="0"/>
        <v>&lt;PrevisaoVAZAO Posto="21" MesReferencia="1"&gt; 0 0 0 0 0 0 0 0 0 0 0 0 &lt;/PrevisaoVAZAO&gt;</v>
      </c>
      <c r="C161" s="76" t="str">
        <f t="shared" ca="1" si="1"/>
        <v>0 0 0 0 0 0 0 0 0 0 0 0</v>
      </c>
      <c r="F161" s="75">
        <v>64</v>
      </c>
    </row>
    <row r="162" spans="1:6" x14ac:dyDescent="0.25">
      <c r="A162" s="75" t="str">
        <f t="shared" ca="1" si="0"/>
        <v>&lt;PrevisaoVAZAO Posto="22" MesReferencia="1"&gt; 190 193 197 150 96 73 57 45 39 45 77 144 &lt;/PrevisaoVAZAO&gt;</v>
      </c>
      <c r="C162" s="76" t="str">
        <f t="shared" ca="1" si="1"/>
        <v>190 193 197 150 96 73 57 45 39 45 77 144</v>
      </c>
      <c r="F162" s="75">
        <v>65</v>
      </c>
    </row>
    <row r="163" spans="1:6" x14ac:dyDescent="0.25">
      <c r="A163" s="75" t="str">
        <f t="shared" ca="1" si="0"/>
        <v>&lt;PrevisaoVAZAO Posto="23" MesReferencia="1"&gt; 269 295 298 236 147 108 85 67 58 75 123 199 &lt;/PrevisaoVAZAO&gt;</v>
      </c>
      <c r="C163" s="76" t="str">
        <f t="shared" ca="1" si="1"/>
        <v>269 295 298 236 147 108 85 67 58 75 123 199</v>
      </c>
      <c r="F163" s="75">
        <v>66</v>
      </c>
    </row>
    <row r="164" spans="1:6" x14ac:dyDescent="0.25">
      <c r="A164" s="75" t="str">
        <f t="shared" ca="1" si="0"/>
        <v>&lt;PrevisaoVAZAO Posto="24" MesReferencia="1"&gt; 889 887 852 624 396 305 243 195 172 204 349 652 &lt;/PrevisaoVAZAO&gt;</v>
      </c>
      <c r="C164" s="76" t="str">
        <f t="shared" ca="1" si="1"/>
        <v>889 887 852 624 396 305 243 195 172 204 349 652</v>
      </c>
      <c r="F164" s="75">
        <v>67</v>
      </c>
    </row>
    <row r="165" spans="1:6" x14ac:dyDescent="0.25">
      <c r="A165" s="75" t="str">
        <f t="shared" ca="1" si="0"/>
        <v>&lt;PrevisaoVAZAO Posto="25" MesReferencia="1"&gt; 521 525 494 372 255 199 164 134 122 150 222 372 &lt;/PrevisaoVAZAO&gt;</v>
      </c>
      <c r="C165" s="76" t="str">
        <f t="shared" ca="1" si="1"/>
        <v>521 525 494 372 255 199 164 134 122 150 222 372</v>
      </c>
      <c r="F165" s="75">
        <v>68</v>
      </c>
    </row>
    <row r="166" spans="1:6" x14ac:dyDescent="0.25">
      <c r="A166" s="75" t="str">
        <f t="shared" ca="1" si="0"/>
        <v>&lt;PrevisaoVAZAO Posto="26" MesReferencia="1"&gt; 0 0 0 0 0 0 0 0 0 0 0 0 &lt;/PrevisaoVAZAO&gt;</v>
      </c>
      <c r="C166" s="76" t="str">
        <f t="shared" ca="1" si="1"/>
        <v>0 0 0 0 0 0 0 0 0 0 0 0</v>
      </c>
      <c r="F166" s="75">
        <v>69</v>
      </c>
    </row>
    <row r="167" spans="1:6" x14ac:dyDescent="0.25">
      <c r="A167" s="75" t="str">
        <f t="shared" ca="1" si="0"/>
        <v>&lt;PrevisaoVAZAO Posto="27" MesReferencia="1"&gt; 0 0 0 0 0 0 0 0 0 0 0 0 &lt;/PrevisaoVAZAO&gt;</v>
      </c>
      <c r="C167" s="76" t="str">
        <f t="shared" ca="1" si="1"/>
        <v>0 0 0 0 0 0 0 0 0 0 0 0</v>
      </c>
      <c r="F167" s="75">
        <v>70</v>
      </c>
    </row>
    <row r="168" spans="1:6" x14ac:dyDescent="0.25">
      <c r="A168" s="75" t="str">
        <f t="shared" ca="1" si="0"/>
        <v>&lt;PrevisaoVAZAO Posto="28" MesReferencia="1"&gt; 633 643 606 464 318 249 206 171 157 188 275 453 &lt;/PrevisaoVAZAO&gt;</v>
      </c>
      <c r="C168" s="76" t="str">
        <f t="shared" ca="1" si="1"/>
        <v>633 643 606 464 318 249 206 171 157 188 275 453</v>
      </c>
      <c r="F168" s="75">
        <v>71</v>
      </c>
    </row>
    <row r="169" spans="1:6" x14ac:dyDescent="0.25">
      <c r="A169" s="75" t="str">
        <f t="shared" ca="1" si="0"/>
        <v>&lt;PrevisaoVAZAO Posto="29" MesReferencia="1"&gt; 0 0 0 0 0 0 0 0 0 0 0 0 &lt;/PrevisaoVAZAO&gt;</v>
      </c>
      <c r="C169" s="76" t="str">
        <f t="shared" ca="1" si="1"/>
        <v>0 0 0 0 0 0 0 0 0 0 0 0</v>
      </c>
      <c r="F169" s="75">
        <v>72</v>
      </c>
    </row>
    <row r="170" spans="1:6" x14ac:dyDescent="0.25">
      <c r="A170" s="75" t="str">
        <f t="shared" ca="1" si="0"/>
        <v>&lt;PrevisaoVAZAO Posto="30" MesReferencia="1"&gt; 0 0 0 0 0 0 0 0 0 0 0 0 &lt;/PrevisaoVAZAO&gt;</v>
      </c>
      <c r="C170" s="76" t="str">
        <f t="shared" ca="1" si="1"/>
        <v>0 0 0 0 0 0 0 0 0 0 0 0</v>
      </c>
      <c r="F170" s="75">
        <v>73</v>
      </c>
    </row>
    <row r="171" spans="1:6" x14ac:dyDescent="0.25">
      <c r="A171" s="75" t="str">
        <f t="shared" ca="1" si="0"/>
        <v>&lt;PrevisaoVAZAO Posto="31" MesReferencia="1"&gt; 2699 2795 2736 2056 1327 1023 813 651 578 697 1127 1956 &lt;/PrevisaoVAZAO&gt;</v>
      </c>
      <c r="C171" s="76" t="str">
        <f t="shared" ca="1" si="1"/>
        <v>2699 2795 2736 2056 1327 1023 813 651 578 697 1127 1956</v>
      </c>
      <c r="F171" s="75">
        <v>74</v>
      </c>
    </row>
    <row r="172" spans="1:6" x14ac:dyDescent="0.25">
      <c r="A172" s="75" t="str">
        <f t="shared" ca="1" si="0"/>
        <v>&lt;PrevisaoVAZAO Posto="32" MesReferencia="1"&gt; 2825 2935 2872 2165 1399 1080 862 691 614 734 1181 2047 &lt;/PrevisaoVAZAO&gt;</v>
      </c>
      <c r="C172" s="76" t="str">
        <f t="shared" ca="1" si="1"/>
        <v>2825 2935 2872 2165 1399 1080 862 691 614 734 1181 2047</v>
      </c>
      <c r="F172" s="75">
        <v>75</v>
      </c>
    </row>
    <row r="173" spans="1:6" x14ac:dyDescent="0.25">
      <c r="A173" s="75" t="str">
        <f t="shared" ca="1" si="0"/>
        <v>&lt;PrevisaoVAZAO Posto="33" MesReferencia="1"&gt; 4048 4227 4208 3230 2107 1645 1323 1078 976 1150 1755 2961 &lt;/PrevisaoVAZAO&gt;</v>
      </c>
      <c r="C173" s="76" t="str">
        <f t="shared" ca="1" si="1"/>
        <v>4048 4227 4208 3230 2107 1645 1323 1078 976 1150 1755 2961</v>
      </c>
      <c r="F173" s="75">
        <v>76</v>
      </c>
    </row>
    <row r="174" spans="1:6" x14ac:dyDescent="0.25">
      <c r="A174" s="75" t="str">
        <f t="shared" ca="1" si="0"/>
        <v>&lt;PrevisaoVAZAO Posto="34" MesReferencia="1"&gt; 8837 9298 8937 6758 4629 3781 3096 2592 2472 2841 3888 6255 &lt;/PrevisaoVAZAO&gt;</v>
      </c>
      <c r="C174" s="76" t="str">
        <f t="shared" ca="1" si="1"/>
        <v>8837 9298 8937 6758 4629 3781 3096 2592 2472 2841 3888 6255</v>
      </c>
      <c r="F174" s="75">
        <v>77</v>
      </c>
    </row>
    <row r="175" spans="1:6" x14ac:dyDescent="0.25">
      <c r="A175" s="75" t="str">
        <f t="shared" ca="1" si="0"/>
        <v>&lt;PrevisaoVAZAO Posto="35" MesReferencia="1"&gt; 0 0 0 0 0 0 0 0 0 0 0 0 &lt;/PrevisaoVAZAO&gt;</v>
      </c>
      <c r="C175" s="76" t="str">
        <f t="shared" ca="1" si="1"/>
        <v>0 0 0 0 0 0 0 0 0 0 0 0</v>
      </c>
      <c r="F175" s="75">
        <v>78</v>
      </c>
    </row>
    <row r="176" spans="1:6" x14ac:dyDescent="0.25">
      <c r="A176" s="75" t="str">
        <f t="shared" ca="1" si="0"/>
        <v>&lt;PrevisaoVAZAO Posto="36" MesReferencia="1"&gt; 0 0 0 0 0 0 0 0 0 0 0 0 &lt;/PrevisaoVAZAO&gt;</v>
      </c>
      <c r="C176" s="76" t="str">
        <f t="shared" ca="1" si="1"/>
        <v>0 0 0 0 0 0 0 0 0 0 0 0</v>
      </c>
      <c r="F176" s="75">
        <v>79</v>
      </c>
    </row>
    <row r="177" spans="1:6" x14ac:dyDescent="0.25">
      <c r="A177" s="75" t="str">
        <f t="shared" ca="1" si="0"/>
        <v>&lt;PrevisaoVAZAO Posto="37" MesReferencia="1"&gt; 684 725 614 403 319 316 252 211 230 280 306 467 &lt;/PrevisaoVAZAO&gt;</v>
      </c>
      <c r="C177" s="76" t="str">
        <f t="shared" ca="1" si="1"/>
        <v>684 725 614 403 319 316 252 211 230 280 306 467</v>
      </c>
      <c r="F177" s="75">
        <v>80</v>
      </c>
    </row>
    <row r="178" spans="1:6" x14ac:dyDescent="0.25">
      <c r="A178" s="75" t="str">
        <f t="shared" ca="1" si="0"/>
        <v>&lt;PrevisaoVAZAO Posto="38" MesReferencia="1"&gt; 765 816 693 460 363 360 286 242 261 314 344 522 &lt;/PrevisaoVAZAO&gt;</v>
      </c>
      <c r="C178" s="76" t="str">
        <f t="shared" ca="1" si="1"/>
        <v>765 816 693 460 363 360 286 242 261 314 344 522</v>
      </c>
      <c r="F178" s="75">
        <v>81</v>
      </c>
    </row>
    <row r="179" spans="1:6" x14ac:dyDescent="0.25">
      <c r="A179" s="75" t="str">
        <f t="shared" ca="1" si="0"/>
        <v>&lt;PrevisaoVAZAO Posto="39" MesReferencia="1"&gt; 910 967 828 567 451 444 360 307 327 386 421 631 &lt;/PrevisaoVAZAO&gt;</v>
      </c>
      <c r="C179" s="76" t="str">
        <f t="shared" ca="1" si="1"/>
        <v>910 967 828 567 451 444 360 307 327 386 421 631</v>
      </c>
      <c r="F179" s="75">
        <v>82</v>
      </c>
    </row>
    <row r="180" spans="1:6" x14ac:dyDescent="0.25">
      <c r="A180" s="75" t="str">
        <f t="shared" ca="1" si="0"/>
        <v>&lt;PrevisaoVAZAO Posto="40" MesReferencia="1"&gt; 1098 1171 1014 690 550 538 441 380 405 470 509 761 &lt;/PrevisaoVAZAO&gt;</v>
      </c>
      <c r="C180" s="76" t="str">
        <f t="shared" ca="1" si="1"/>
        <v>1098 1171 1014 690 550 538 441 380 405 470 509 761</v>
      </c>
      <c r="F180" s="75">
        <v>83</v>
      </c>
    </row>
    <row r="181" spans="1:6" x14ac:dyDescent="0.25">
      <c r="A181" s="75" t="str">
        <f t="shared" ca="1" si="0"/>
        <v>&lt;PrevisaoVAZAO Posto="41" MesReferencia="1"&gt; 0 0 0 0 0 0 0 0 0 0 0 0 &lt;/PrevisaoVAZAO&gt;</v>
      </c>
      <c r="C181" s="76" t="str">
        <f t="shared" ca="1" si="1"/>
        <v>0 0 0 0 0 0 0 0 0 0 0 0</v>
      </c>
      <c r="F181" s="75">
        <v>84</v>
      </c>
    </row>
    <row r="182" spans="1:6" x14ac:dyDescent="0.25">
      <c r="A182" s="75" t="str">
        <f t="shared" ca="1" si="0"/>
        <v>&lt;PrevisaoVAZAO Posto="42" MesReferencia="1"&gt; 1182 1265 1091 740 585 575 470 404 429 501 543 814 &lt;/PrevisaoVAZAO&gt;</v>
      </c>
      <c r="C182" s="76" t="str">
        <f t="shared" ca="1" si="1"/>
        <v>1182 1265 1091 740 585 575 470 404 429 501 543 814</v>
      </c>
      <c r="F182" s="75">
        <v>85</v>
      </c>
    </row>
    <row r="183" spans="1:6" x14ac:dyDescent="0.25">
      <c r="A183" s="75" t="str">
        <f t="shared" ca="1" si="0"/>
        <v>&lt;PrevisaoVAZAO Posto="43" MesReferencia="1"&gt; 1239 1352 1180 811 629 621 508 438 458 534 575 852 &lt;/PrevisaoVAZAO&gt;</v>
      </c>
      <c r="C183" s="76" t="str">
        <f t="shared" ca="1" si="1"/>
        <v>1239 1352 1180 811 629 621 508 438 458 534 575 852</v>
      </c>
      <c r="F183" s="75">
        <v>86</v>
      </c>
    </row>
    <row r="184" spans="1:6" x14ac:dyDescent="0.25">
      <c r="A184" s="75" t="str">
        <f t="shared" ca="1" si="0"/>
        <v>&lt;PrevisaoVAZAO Posto="44" MesReferencia="1"&gt; 10076 10650 10117 7569 5258 4402 3604 3030 2930 3374 4463 7107 &lt;/PrevisaoVAZAO&gt;</v>
      </c>
      <c r="C184" s="76" t="str">
        <f t="shared" ca="1" si="1"/>
        <v>10076 10650 10117 7569 5258 4402 3604 3030 2930 3374 4463 7107</v>
      </c>
      <c r="F184" s="75">
        <v>87</v>
      </c>
    </row>
    <row r="185" spans="1:6" x14ac:dyDescent="0.25">
      <c r="A185" s="75" t="str">
        <f t="shared" ca="1" si="0"/>
        <v>&lt;PrevisaoVAZAO Posto="45" MesReferencia="1"&gt; 10491 11111 10550 7936 5572 4705 3886 3309 3198 3648 4759 7443 &lt;/PrevisaoVAZAO&gt;</v>
      </c>
      <c r="C185" s="76" t="str">
        <f t="shared" ca="1" si="1"/>
        <v>10491 11111 10550 7936 5572 4705 3886 3309 3198 3648 4759 7443</v>
      </c>
      <c r="F185" s="75">
        <v>88</v>
      </c>
    </row>
    <row r="186" spans="1:6" x14ac:dyDescent="0.25">
      <c r="A186" s="75" t="str">
        <f t="shared" ca="1" si="0"/>
        <v>&lt;PrevisaoVAZAO Posto="46" MesReferencia="1"&gt; 11359 12225 11646 8974 6462 5593 4605 3922 3811 4313 5423 8109 &lt;/PrevisaoVAZAO&gt;</v>
      </c>
      <c r="C186" s="76" t="str">
        <f t="shared" ca="1" si="1"/>
        <v>11359 12225 11646 8974 6462 5593 4605 3922 3811 4313 5423 8109</v>
      </c>
      <c r="F186" s="75">
        <v>89</v>
      </c>
    </row>
    <row r="187" spans="1:6" x14ac:dyDescent="0.25">
      <c r="A187" s="75" t="str">
        <f t="shared" ca="1" si="0"/>
        <v>&lt;PrevisaoVAZAO Posto="47" MesReferencia="1"&gt; 324 365 311 219 192 201 177 147 161 191 185 235 &lt;/PrevisaoVAZAO&gt;</v>
      </c>
      <c r="C187" s="76" t="str">
        <f t="shared" ca="1" si="1"/>
        <v>324 365 311 219 192 201 177 147 161 191 185 235</v>
      </c>
      <c r="F187" s="75">
        <v>90</v>
      </c>
    </row>
    <row r="188" spans="1:6" x14ac:dyDescent="0.25">
      <c r="A188" s="75" t="str">
        <f t="shared" ca="1" si="0"/>
        <v>&lt;PrevisaoVAZAO Posto="48" MesReferencia="1"&gt; 331 374 319 225 196 206 181 151 165 196 189 240 &lt;/PrevisaoVAZAO&gt;</v>
      </c>
      <c r="C188" s="76" t="str">
        <f t="shared" ca="1" si="1"/>
        <v>331 374 319 225 196 206 181 151 165 196 189 240</v>
      </c>
      <c r="F188" s="75">
        <v>91</v>
      </c>
    </row>
    <row r="189" spans="1:6" x14ac:dyDescent="0.25">
      <c r="A189" s="75" t="str">
        <f t="shared" ca="1" si="0"/>
        <v>&lt;PrevisaoVAZAO Posto="49" MesReferencia="1"&gt; 501 542 452 325 301 314 279 228 259 307 288 355 &lt;/PrevisaoVAZAO&gt;</v>
      </c>
      <c r="C189" s="76" t="str">
        <f t="shared" ca="1" si="1"/>
        <v>501 542 452 325 301 314 279 228 259 307 288 355</v>
      </c>
      <c r="F189" s="75">
        <v>92</v>
      </c>
    </row>
    <row r="190" spans="1:6" x14ac:dyDescent="0.25">
      <c r="A190" s="75" t="str">
        <f t="shared" ca="1" si="0"/>
        <v>&lt;PrevisaoVAZAO Posto="50" MesReferencia="1"&gt; 649 711 604 446 408 425 371 309 343 401 383 470 &lt;/PrevisaoVAZAO&gt;</v>
      </c>
      <c r="C190" s="76" t="str">
        <f t="shared" ca="1" si="1"/>
        <v>649 711 604 446 408 425 371 309 343 401 383 470</v>
      </c>
      <c r="F190" s="75">
        <v>93</v>
      </c>
    </row>
    <row r="191" spans="1:6" x14ac:dyDescent="0.25">
      <c r="A191" s="75" t="str">
        <f t="shared" ca="1" si="0"/>
        <v>&lt;PrevisaoVAZAO Posto="51" MesReferencia="1"&gt; 659 723 616 456 416 433 379 315 349 408 391 478 &lt;/PrevisaoVAZAO&gt;</v>
      </c>
      <c r="C191" s="76" t="str">
        <f t="shared" ca="1" si="1"/>
        <v>659 723 616 456 416 433 379 315 349 408 391 478</v>
      </c>
      <c r="F191" s="75">
        <v>94</v>
      </c>
    </row>
    <row r="192" spans="1:6" x14ac:dyDescent="0.25">
      <c r="A192" s="75" t="str">
        <f t="shared" ca="1" si="0"/>
        <v>&lt;PrevisaoVAZAO Posto="52" MesReferencia="1"&gt; 682 750 641 475 433 451 394 328 362 424 406 497 &lt;/PrevisaoVAZAO&gt;</v>
      </c>
      <c r="C192" s="76" t="str">
        <f t="shared" ca="1" si="1"/>
        <v>682 750 641 475 433 451 394 328 362 424 406 497</v>
      </c>
      <c r="F192" s="75">
        <v>95</v>
      </c>
    </row>
    <row r="193" spans="1:6" x14ac:dyDescent="0.25">
      <c r="A193" s="75" t="str">
        <f t="shared" ca="1" si="0"/>
        <v>&lt;PrevisaoVAZAO Posto="53" MesReferencia="1"&gt; 0 0 0 0 0 0 0 0 0 0 0 0 &lt;/PrevisaoVAZAO&gt;</v>
      </c>
      <c r="C193" s="76" t="str">
        <f t="shared" ca="1" si="1"/>
        <v>0 0 0 0 0 0 0 0 0 0 0 0</v>
      </c>
      <c r="F193" s="75">
        <v>96</v>
      </c>
    </row>
    <row r="194" spans="1:6" x14ac:dyDescent="0.25">
      <c r="A194" s="75" t="str">
        <f t="shared" ca="1" si="0"/>
        <v>&lt;PrevisaoVAZAO Posto="54" MesReferencia="1"&gt; 156 162 138 103 129 158 169 136 152 198 159 142 &lt;/PrevisaoVAZAO&gt;</v>
      </c>
      <c r="C194" s="76" t="str">
        <f t="shared" ca="1" si="1"/>
        <v>156 162 138 103 129 158 169 136 152 198 159 142</v>
      </c>
      <c r="F194" s="75">
        <v>97</v>
      </c>
    </row>
    <row r="195" spans="1:6" x14ac:dyDescent="0.25">
      <c r="A195" s="75" t="str">
        <f t="shared" ca="1" si="0"/>
        <v>&lt;PrevisaoVAZAO Posto="55" MesReferencia="1"&gt; 0 0 0 0 0 0 0 0 0 0 0 0 &lt;/PrevisaoVAZAO&gt;</v>
      </c>
      <c r="C195" s="76" t="str">
        <f t="shared" ca="1" si="1"/>
        <v>0 0 0 0 0 0 0 0 0 0 0 0</v>
      </c>
      <c r="F195" s="75">
        <v>98</v>
      </c>
    </row>
    <row r="196" spans="1:6" x14ac:dyDescent="0.25">
      <c r="A196" s="75" t="str">
        <f t="shared" ca="1" si="0"/>
        <v>&lt;PrevisaoVAZAO Posto="56" MesReferencia="1"&gt; 0 0 0 0 0 0 0 0 0 0 0 0 &lt;/PrevisaoVAZAO&gt;</v>
      </c>
      <c r="C196" s="76" t="str">
        <f t="shared" ca="1" si="1"/>
        <v>0 0 0 0 0 0 0 0 0 0 0 0</v>
      </c>
      <c r="F196" s="75">
        <v>99</v>
      </c>
    </row>
    <row r="197" spans="1:6" x14ac:dyDescent="0.25">
      <c r="A197" s="75" t="str">
        <f t="shared" ca="1" si="0"/>
        <v>&lt;PrevisaoVAZAO Posto="57" MesReferencia="1"&gt; 301 311 256 193 236 284 290 229 263 343 283 258 &lt;/PrevisaoVAZAO&gt;</v>
      </c>
      <c r="C197" s="76" t="str">
        <f t="shared" ca="1" si="1"/>
        <v>301 311 256 193 236 284 290 229 263 343 283 258</v>
      </c>
      <c r="F197" s="75">
        <v>100</v>
      </c>
    </row>
    <row r="198" spans="1:6" x14ac:dyDescent="0.25">
      <c r="A198" s="75" t="str">
        <f t="shared" ca="1" si="0"/>
        <v>&lt;PrevisaoVAZAO Posto="58" MesReferencia="1"&gt; 363 377 307 234 276 324 329 262 305 397 334 311 &lt;/PrevisaoVAZAO&gt;</v>
      </c>
      <c r="C198" s="76" t="str">
        <f t="shared" ca="1" si="1"/>
        <v>363 377 307 234 276 324 329 262 305 397 334 311</v>
      </c>
      <c r="F198" s="75">
        <v>101</v>
      </c>
    </row>
    <row r="199" spans="1:6" x14ac:dyDescent="0.25">
      <c r="A199" s="75" t="str">
        <f t="shared" ca="1" si="0"/>
        <v>&lt;PrevisaoVAZAO Posto="59" MesReferencia="1"&gt; 0 0 0 0 0 0 0 0 0 0 0 0 &lt;/PrevisaoVAZAO&gt;</v>
      </c>
      <c r="C199" s="76" t="str">
        <f t="shared" ca="1" si="1"/>
        <v>0 0 0 0 0 0 0 0 0 0 0 0</v>
      </c>
      <c r="F199" s="75">
        <v>102</v>
      </c>
    </row>
    <row r="200" spans="1:6" x14ac:dyDescent="0.25">
      <c r="A200" s="75" t="str">
        <f t="shared" ca="1" si="0"/>
        <v>&lt;PrevisaoVAZAO Posto="60" MesReferencia="1"&gt; 0 0 0 0 0 0 0 0 0 0 0 0 &lt;/PrevisaoVAZAO&gt;</v>
      </c>
      <c r="C200" s="76" t="str">
        <f t="shared" ca="1" si="1"/>
        <v>0 0 0 0 0 0 0 0 0 0 0 0</v>
      </c>
      <c r="F200" s="75">
        <v>103</v>
      </c>
    </row>
    <row r="201" spans="1:6" x14ac:dyDescent="0.25">
      <c r="A201" s="75" t="str">
        <f t="shared" ca="1" si="0"/>
        <v>&lt;PrevisaoVAZAO Posto="61" MesReferencia="1"&gt; 1481 1561 1286 982 983 1080 987 799 894 1109 1014 1113 &lt;/PrevisaoVAZAO&gt;</v>
      </c>
      <c r="C201" s="76" t="str">
        <f t="shared" ca="1" si="1"/>
        <v>1481 1561 1286 982 983 1080 987 799 894 1109 1014 1113</v>
      </c>
      <c r="F201" s="75">
        <v>104</v>
      </c>
    </row>
    <row r="202" spans="1:6" x14ac:dyDescent="0.25">
      <c r="A202" s="75" t="str">
        <f t="shared" ca="1" si="0"/>
        <v>&lt;PrevisaoVAZAO Posto="62" MesReferencia="1"&gt; 1554 1640 1356 1036 1036 1139 1045 846 941 1173 1073 1170 &lt;/PrevisaoVAZAO&gt;</v>
      </c>
      <c r="C202" s="76" t="str">
        <f t="shared" ca="1" si="1"/>
        <v>1554 1640 1356 1036 1036 1139 1045 846 941 1173 1073 1170</v>
      </c>
      <c r="F202" s="75">
        <v>105</v>
      </c>
    </row>
    <row r="203" spans="1:6" x14ac:dyDescent="0.25">
      <c r="A203" s="75" t="str">
        <f t="shared" ca="1" si="0"/>
        <v>&lt;PrevisaoVAZAO Posto="63" MesReferencia="1"&gt; 1717 1817 1521 1167 1161 1282 1174 961 1055 1317 1215 1311 &lt;/PrevisaoVAZAO&gt;</v>
      </c>
      <c r="C203" s="76" t="str">
        <f t="shared" ca="1" si="1"/>
        <v>1717 1817 1521 1167 1161 1282 1174 961 1055 1317 1215 1311</v>
      </c>
      <c r="F203" s="75">
        <v>106</v>
      </c>
    </row>
    <row r="204" spans="1:6" x14ac:dyDescent="0.25">
      <c r="A204" s="75" t="str">
        <f t="shared" ca="1" si="0"/>
        <v>&lt;PrevisaoVAZAO Posto="64" MesReferencia="1"&gt; 0 0 0 0 0 0 0 0 0 0 0 0 &lt;/PrevisaoVAZAO&gt;</v>
      </c>
      <c r="C204" s="76" t="str">
        <f t="shared" ca="1" si="1"/>
        <v>0 0 0 0 0 0 0 0 0 0 0 0</v>
      </c>
      <c r="F204" s="75">
        <v>107</v>
      </c>
    </row>
    <row r="205" spans="1:6" x14ac:dyDescent="0.25">
      <c r="A205" s="75" t="str">
        <f t="shared" ca="1" si="0"/>
        <v>&lt;PrevisaoVAZAO Posto="65" MesReferencia="1"&gt; 83 88 77 82 116 142 125 102 117 158 119 91 &lt;/PrevisaoVAZAO&gt;</v>
      </c>
      <c r="C205" s="76" t="str">
        <f t="shared" ca="1" si="1"/>
        <v>83 88 77 82 116 142 125 102 117 158 119 91</v>
      </c>
      <c r="F205" s="75">
        <v>108</v>
      </c>
    </row>
    <row r="206" spans="1:6" x14ac:dyDescent="0.25">
      <c r="A206" s="75" t="str">
        <f t="shared" ref="A206:A269" ca="1" si="2">"&lt;PrevisaoVAZAO Posto="""&amp;INDIRECT("'Hidrologia - 1'!B"&amp;F206)&amp;""" MesReferencia=""1""&gt; "&amp;C206&amp;" &lt;/PrevisaoVAZAO&gt;"</f>
        <v>&lt;PrevisaoVAZAO Posto="66" MesReferencia="1"&gt; 14660 15994 14972 11940 9565 8904 7587 6317 6371 7629 8407 11103 &lt;/PrevisaoVAZAO&gt;</v>
      </c>
      <c r="C206" s="76" t="str">
        <f t="shared" ref="C206:C269" ca="1" si="3">SUBSTITUTE(TEXT(INDIRECT("'Hidrologia - 1'!D"&amp;F206),"0") &amp; " " &amp; TEXT(INDIRECT("'Hidrologia - 1'!E"&amp;F206),"0")&amp; " " &amp; TEXT(INDIRECT("'Hidrologia - 1'!F"&amp;F206),"0")&amp; " " &amp; TEXT(INDIRECT("'Hidrologia - 1'!G"&amp;F206),"0")&amp; " " &amp; TEXT(INDIRECT("'Hidrologia - 1'!H"&amp;F206),"0")&amp; " " &amp; TEXT(INDIRECT("'Hidrologia - 1'!I"&amp;F206),"0")&amp; " " &amp; TEXT(INDIRECT("'Hidrologia - 1'!J"&amp;F206),"0")&amp; " " &amp; TEXT(INDIRECT("'Hidrologia - 1'!K"&amp;F206),"0")&amp; " " &amp; TEXT(INDIRECT("'Hidrologia - 1'!L"&amp;F206),"0")&amp; " " &amp; TEXT(INDIRECT("'Hidrologia - 1'!M"&amp;F206),"0")&amp; " " &amp; TEXT(INDIRECT("'Hidrologia - 1'!N"&amp;F206),"0")&amp; " " &amp; TEXT(INDIRECT("'Hidrologia - 1'!O"&amp;F206),"0"),",",".")</f>
        <v>14660 15994 14972 11940 9565 8904 7587 6317 6371 7629 8407 11103</v>
      </c>
      <c r="F206" s="75">
        <v>109</v>
      </c>
    </row>
    <row r="207" spans="1:6" x14ac:dyDescent="0.25">
      <c r="A207" s="75" t="str">
        <f t="shared" ca="1" si="2"/>
        <v>&lt;PrevisaoVAZAO Posto="67" MesReferencia="1"&gt; 0 0 0 0 0 0 0 0 0 0 0 0 &lt;/PrevisaoVAZAO&gt;</v>
      </c>
      <c r="C207" s="76" t="str">
        <f t="shared" ca="1" si="3"/>
        <v>0 0 0 0 0 0 0 0 0 0 0 0</v>
      </c>
      <c r="F207" s="75">
        <v>110</v>
      </c>
    </row>
    <row r="208" spans="1:6" x14ac:dyDescent="0.25">
      <c r="A208" s="75" t="str">
        <f t="shared" ca="1" si="2"/>
        <v>&lt;PrevisaoVAZAO Posto="68" MesReferencia="1"&gt; 0 0 0 0 0 0 0 0 0 0 0 0 &lt;/PrevisaoVAZAO&gt;</v>
      </c>
      <c r="C208" s="76" t="str">
        <f t="shared" ca="1" si="3"/>
        <v>0 0 0 0 0 0 0 0 0 0 0 0</v>
      </c>
      <c r="F208" s="75">
        <v>111</v>
      </c>
    </row>
    <row r="209" spans="1:6" x14ac:dyDescent="0.25">
      <c r="A209" s="75" t="str">
        <f t="shared" ca="1" si="2"/>
        <v>&lt;PrevisaoVAZAO Posto="69" MesReferencia="1"&gt; 0 0 0 0 0 0 0 0 0 0 0 0 &lt;/PrevisaoVAZAO&gt;</v>
      </c>
      <c r="C209" s="76" t="str">
        <f t="shared" ca="1" si="3"/>
        <v>0 0 0 0 0 0 0 0 0 0 0 0</v>
      </c>
      <c r="F209" s="75">
        <v>112</v>
      </c>
    </row>
    <row r="210" spans="1:6" x14ac:dyDescent="0.25">
      <c r="A210" s="75" t="str">
        <f t="shared" ca="1" si="2"/>
        <v>&lt;PrevisaoVAZAO Posto="70" MesReferencia="1"&gt; 20 21 14 21 41 51 44 22 39 51 26 19 &lt;/PrevisaoVAZAO&gt;</v>
      </c>
      <c r="C210" s="76" t="str">
        <f t="shared" ca="1" si="3"/>
        <v>20 21 14 21 41 51 44 22 39 51 26 19</v>
      </c>
      <c r="F210" s="75">
        <v>113</v>
      </c>
    </row>
    <row r="211" spans="1:6" x14ac:dyDescent="0.25">
      <c r="A211" s="75" t="str">
        <f t="shared" ca="1" si="2"/>
        <v>&lt;PrevisaoVAZAO Posto="71" MesReferencia="1"&gt; 92 95 81 80 107 131 121 90 111 141 109 93 &lt;/PrevisaoVAZAO&gt;</v>
      </c>
      <c r="C211" s="76" t="str">
        <f t="shared" ca="1" si="3"/>
        <v>92 95 81 80 107 131 121 90 111 141 109 93</v>
      </c>
      <c r="F211" s="75">
        <v>114</v>
      </c>
    </row>
    <row r="212" spans="1:6" x14ac:dyDescent="0.25">
      <c r="A212" s="75" t="str">
        <f t="shared" ca="1" si="2"/>
        <v>&lt;PrevisaoVAZAO Posto="72" MesReferencia="1"&gt; 97 100 85 84 112 137 127 94 117 148 114 97 &lt;/PrevisaoVAZAO&gt;</v>
      </c>
      <c r="C212" s="76" t="str">
        <f t="shared" ca="1" si="3"/>
        <v>97 100 85 84 112 137 127 94 117 148 114 97</v>
      </c>
      <c r="F212" s="75">
        <v>115</v>
      </c>
    </row>
    <row r="213" spans="1:6" x14ac:dyDescent="0.25">
      <c r="A213" s="75" t="str">
        <f t="shared" ca="1" si="2"/>
        <v>&lt;PrevisaoVAZAO Posto="73" MesReferencia="1"&gt; 114 117 101 100 134 164 151 112 139 173 136 115 &lt;/PrevisaoVAZAO&gt;</v>
      </c>
      <c r="C213" s="76" t="str">
        <f t="shared" ca="1" si="3"/>
        <v>114 117 101 100 134 164 151 112 139 173 136 115</v>
      </c>
      <c r="F213" s="75">
        <v>116</v>
      </c>
    </row>
    <row r="214" spans="1:6" x14ac:dyDescent="0.25">
      <c r="A214" s="75" t="str">
        <f t="shared" ca="1" si="2"/>
        <v>&lt;PrevisaoVAZAO Posto="74" MesReferencia="1"&gt; 604 672 607 483 582 717 740 617 730 936 698 587 &lt;/PrevisaoVAZAO&gt;</v>
      </c>
      <c r="C214" s="76" t="str">
        <f t="shared" ca="1" si="3"/>
        <v>604 672 607 483 582 717 740 617 730 936 698 587</v>
      </c>
      <c r="F214" s="75">
        <v>117</v>
      </c>
    </row>
    <row r="215" spans="1:6" x14ac:dyDescent="0.25">
      <c r="A215" s="75" t="str">
        <f t="shared" ca="1" si="2"/>
        <v>&lt;PrevisaoVAZAO Posto="75" MesReferencia="1"&gt; 785 860 774 643 780 961 967 800 942 1207 920 769 &lt;/PrevisaoVAZAO&gt;</v>
      </c>
      <c r="C215" s="76" t="str">
        <f t="shared" ca="1" si="3"/>
        <v>785 860 774 643 780 961 967 800 942 1207 920 769</v>
      </c>
      <c r="F215" s="75">
        <v>118</v>
      </c>
    </row>
    <row r="216" spans="1:6" x14ac:dyDescent="0.25">
      <c r="A216" s="75" t="str">
        <f t="shared" ca="1" si="2"/>
        <v>&lt;PrevisaoVAZAO Posto="76" MesReferencia="1"&gt; 692 764 687 564 687 848 860 709 842 1084 811 673 &lt;/PrevisaoVAZAO&gt;</v>
      </c>
      <c r="C216" s="76" t="str">
        <f t="shared" ca="1" si="3"/>
        <v>692 764 687 564 687 848 860 709 842 1084 811 673</v>
      </c>
      <c r="F216" s="75">
        <v>119</v>
      </c>
    </row>
    <row r="217" spans="1:6" x14ac:dyDescent="0.25">
      <c r="A217" s="75" t="str">
        <f t="shared" ca="1" si="2"/>
        <v>&lt;PrevisaoVAZAO Posto="77" MesReferencia="1"&gt; 899 980 865 758 947 1177 1159 932 1109 1444 1081 886 &lt;/PrevisaoVAZAO&gt;</v>
      </c>
      <c r="C217" s="76" t="str">
        <f t="shared" ca="1" si="3"/>
        <v>899 980 865 758 947 1177 1159 932 1109 1444 1081 886</v>
      </c>
      <c r="F217" s="75">
        <v>120</v>
      </c>
    </row>
    <row r="218" spans="1:6" x14ac:dyDescent="0.25">
      <c r="A218" s="75" t="str">
        <f t="shared" ca="1" si="2"/>
        <v>&lt;PrevisaoVAZAO Posto="78" MesReferencia="1"&gt; 937 1021 903 794 995 1235 1214 976 1154 1519 1139 929 &lt;/PrevisaoVAZAO&gt;</v>
      </c>
      <c r="C218" s="76" t="str">
        <f t="shared" ca="1" si="3"/>
        <v>937 1021 903 794 995 1235 1214 976 1154 1519 1139 929</v>
      </c>
      <c r="F218" s="75">
        <v>121</v>
      </c>
    </row>
    <row r="219" spans="1:6" x14ac:dyDescent="0.25">
      <c r="A219" s="75" t="str">
        <f t="shared" ca="1" si="2"/>
        <v>&lt;PrevisaoVAZAO Posto="79" MesReferencia="1"&gt; 0 0 0 0 0 0 0 0 0 0 0 0 &lt;/PrevisaoVAZAO&gt;</v>
      </c>
      <c r="C219" s="76" t="str">
        <f t="shared" ca="1" si="3"/>
        <v>0 0 0 0 0 0 0 0 0 0 0 0</v>
      </c>
      <c r="F219" s="75">
        <v>122</v>
      </c>
    </row>
    <row r="220" spans="1:6" x14ac:dyDescent="0.25">
      <c r="A220" s="75" t="str">
        <f t="shared" ca="1" si="2"/>
        <v>&lt;PrevisaoVAZAO Posto="80" MesReferencia="1"&gt; 53 59 50 53 74 91 82 66 77 101 73 56 &lt;/PrevisaoVAZAO&gt;</v>
      </c>
      <c r="C220" s="76" t="str">
        <f t="shared" ca="1" si="3"/>
        <v>53 59 50 53 74 91 82 66 77 101 73 56</v>
      </c>
      <c r="F220" s="75">
        <v>123</v>
      </c>
    </row>
    <row r="221" spans="1:6" x14ac:dyDescent="0.25">
      <c r="A221" s="75" t="str">
        <f t="shared" ca="1" si="2"/>
        <v>&lt;PrevisaoVAZAO Posto="81" MesReferencia="1"&gt; 1264 1370 1211 1110 1434 1786 1706 1365 1591 2124 1601 1300 &lt;/PrevisaoVAZAO&gt;</v>
      </c>
      <c r="C221" s="76" t="str">
        <f t="shared" ca="1" si="3"/>
        <v>1264 1370 1211 1110 1434 1786 1706 1365 1591 2124 1601 1300</v>
      </c>
      <c r="F221" s="75">
        <v>124</v>
      </c>
    </row>
    <row r="222" spans="1:6" x14ac:dyDescent="0.25">
      <c r="A222" s="75" t="str">
        <f t="shared" ca="1" si="2"/>
        <v>&lt;PrevisaoVAZAO Posto="82" MesReferencia="1"&gt; 0 0 0 0 0 0 0 0 0 0 0 0 &lt;/PrevisaoVAZAO&gt;</v>
      </c>
      <c r="C222" s="76" t="str">
        <f t="shared" ca="1" si="3"/>
        <v>0 0 0 0 0 0 0 0 0 0 0 0</v>
      </c>
      <c r="F222" s="75">
        <v>125</v>
      </c>
    </row>
    <row r="223" spans="1:6" x14ac:dyDescent="0.25">
      <c r="A223" s="75" t="str">
        <f t="shared" ca="1" si="2"/>
        <v>&lt;PrevisaoVAZAO Posto="83" MesReferencia="1"&gt; 57 63 53 57 79 97 88 71 83 108 79 60 &lt;/PrevisaoVAZAO&gt;</v>
      </c>
      <c r="C223" s="76" t="str">
        <f t="shared" ca="1" si="3"/>
        <v>57 63 53 57 79 97 88 71 83 108 79 60</v>
      </c>
      <c r="F223" s="75">
        <v>126</v>
      </c>
    </row>
    <row r="224" spans="1:6" x14ac:dyDescent="0.25">
      <c r="A224" s="75" t="str">
        <f t="shared" ca="1" si="2"/>
        <v>&lt;PrevisaoVAZAO Posto="84" MesReferencia="1"&gt; 0 0 0 0 0 0 0 0 0 0 0 0 &lt;/PrevisaoVAZAO&gt;</v>
      </c>
      <c r="C224" s="76" t="str">
        <f t="shared" ca="1" si="3"/>
        <v>0 0 0 0 0 0 0 0 0 0 0 0</v>
      </c>
      <c r="F224" s="75">
        <v>127</v>
      </c>
    </row>
    <row r="225" spans="1:6" x14ac:dyDescent="0.25">
      <c r="A225" s="75" t="str">
        <f t="shared" ca="1" si="2"/>
        <v>&lt;PrevisaoVAZAO Posto="85" MesReferencia="1"&gt; 109 141 107 108 139 160 205 213 247 213 128 108 &lt;/PrevisaoVAZAO&gt;</v>
      </c>
      <c r="C225" s="76" t="str">
        <f t="shared" ca="1" si="3"/>
        <v>109 141 107 108 139 160 205 213 247 213 128 108</v>
      </c>
      <c r="F225" s="75">
        <v>128</v>
      </c>
    </row>
    <row r="226" spans="1:6" x14ac:dyDescent="0.25">
      <c r="A226" s="75" t="str">
        <f t="shared" ca="1" si="2"/>
        <v>&lt;PrevisaoVAZAO Posto="86" MesReferencia="1"&gt; 0 0 0 0 0 0 0 0 0 0 0 0 &lt;/PrevisaoVAZAO&gt;</v>
      </c>
      <c r="C226" s="76" t="str">
        <f t="shared" ca="1" si="3"/>
        <v>0 0 0 0 0 0 0 0 0 0 0 0</v>
      </c>
      <c r="F226" s="75">
        <v>129</v>
      </c>
    </row>
    <row r="227" spans="1:6" x14ac:dyDescent="0.25">
      <c r="A227" s="75" t="str">
        <f t="shared" ca="1" si="2"/>
        <v>&lt;PrevisaoVAZAO Posto="87" MesReferencia="1"&gt; 0 0 0 0 0 0 0 0 0 0 0 0 &lt;/PrevisaoVAZAO&gt;</v>
      </c>
      <c r="C227" s="76" t="str">
        <f t="shared" ca="1" si="3"/>
        <v>0 0 0 0 0 0 0 0 0 0 0 0</v>
      </c>
      <c r="F227" s="75">
        <v>130</v>
      </c>
    </row>
    <row r="228" spans="1:6" x14ac:dyDescent="0.25">
      <c r="A228" s="75" t="str">
        <f t="shared" ca="1" si="2"/>
        <v>&lt;PrevisaoVAZAO Posto="88" MesReferencia="1"&gt; 182 223 179 157 203 230 269 281 335 357 233 171 &lt;/PrevisaoVAZAO&gt;</v>
      </c>
      <c r="C228" s="76" t="str">
        <f t="shared" ca="1" si="3"/>
        <v>182 223 179 157 203 230 269 281 335 357 233 171</v>
      </c>
      <c r="F228" s="75">
        <v>131</v>
      </c>
    </row>
    <row r="229" spans="1:6" x14ac:dyDescent="0.25">
      <c r="A229" s="75" t="str">
        <f t="shared" ca="1" si="2"/>
        <v>&lt;PrevisaoVAZAO Posto="89" MesReferencia="1"&gt; 214 262 211 192 252 285 338 343 416 442 287 206 &lt;/PrevisaoVAZAO&gt;</v>
      </c>
      <c r="C229" s="76" t="str">
        <f t="shared" ca="1" si="3"/>
        <v>214 262 211 192 252 285 338 343 416 442 287 206</v>
      </c>
      <c r="F229" s="75">
        <v>132</v>
      </c>
    </row>
    <row r="230" spans="1:6" x14ac:dyDescent="0.25">
      <c r="A230" s="75" t="str">
        <f t="shared" ca="1" si="2"/>
        <v>&lt;PrevisaoVAZAO Posto="90" MesReferencia="1"&gt; 0 0 0 0 0 0 0 0 0 0 0 0 &lt;/PrevisaoVAZAO&gt;</v>
      </c>
      <c r="C230" s="76" t="str">
        <f t="shared" ca="1" si="3"/>
        <v>0 0 0 0 0 0 0 0 0 0 0 0</v>
      </c>
      <c r="F230" s="75">
        <v>133</v>
      </c>
    </row>
    <row r="231" spans="1:6" x14ac:dyDescent="0.25">
      <c r="A231" s="75" t="str">
        <f t="shared" ca="1" si="2"/>
        <v>&lt;PrevisaoVAZAO Posto="91" MesReferencia="1"&gt; 0 0 0 0 0 0 0 0 0 0 0 0 &lt;/PrevisaoVAZAO&gt;</v>
      </c>
      <c r="C231" s="76" t="str">
        <f t="shared" ca="1" si="3"/>
        <v>0 0 0 0 0 0 0 0 0 0 0 0</v>
      </c>
      <c r="F231" s="75">
        <v>134</v>
      </c>
    </row>
    <row r="232" spans="1:6" x14ac:dyDescent="0.25">
      <c r="A232" s="75" t="str">
        <f t="shared" ca="1" si="2"/>
        <v>&lt;PrevisaoVAZAO Posto="92" MesReferencia="1"&gt; 688 856 677 705 977 1135 1327 1355 1584 1594 997 733 &lt;/PrevisaoVAZAO&gt;</v>
      </c>
      <c r="C232" s="76" t="str">
        <f t="shared" ca="1" si="3"/>
        <v>688 856 677 705 977 1135 1327 1355 1584 1594 997 733</v>
      </c>
      <c r="F232" s="75">
        <v>135</v>
      </c>
    </row>
    <row r="233" spans="1:6" x14ac:dyDescent="0.25">
      <c r="A233" s="75" t="str">
        <f t="shared" ca="1" si="2"/>
        <v>&lt;PrevisaoVAZAO Posto="93" MesReferencia="1"&gt; 35 34 29 36 55 71 79 71 79 85 59 46 &lt;/PrevisaoVAZAO&gt;</v>
      </c>
      <c r="C233" s="76" t="str">
        <f t="shared" ca="1" si="3"/>
        <v>35 34 29 36 55 71 79 71 79 85 59 46</v>
      </c>
      <c r="F233" s="75">
        <v>136</v>
      </c>
    </row>
    <row r="234" spans="1:6" x14ac:dyDescent="0.25">
      <c r="A234" s="75" t="str">
        <f t="shared" ca="1" si="2"/>
        <v>&lt;PrevisaoVAZAO Posto="94" MesReferencia="1"&gt; 832 1010 814 865 1208 1421 1647 1660 1911 1940 1247 923 &lt;/PrevisaoVAZAO&gt;</v>
      </c>
      <c r="C234" s="76" t="str">
        <f t="shared" ca="1" si="3"/>
        <v>832 1010 814 865 1208 1421 1647 1660 1911 1940 1247 923</v>
      </c>
      <c r="F234" s="75">
        <v>137</v>
      </c>
    </row>
    <row r="235" spans="1:6" x14ac:dyDescent="0.25">
      <c r="A235" s="75" t="str">
        <f t="shared" ca="1" si="2"/>
        <v>&lt;PrevisaoVAZAO Posto="95" MesReferencia="1"&gt; 0 0 0 0 0 0 0 0 0 0 0 0 &lt;/PrevisaoVAZAO&gt;</v>
      </c>
      <c r="C235" s="76" t="str">
        <f t="shared" ca="1" si="3"/>
        <v>0 0 0 0 0 0 0 0 0 0 0 0</v>
      </c>
      <c r="F235" s="75">
        <v>138</v>
      </c>
    </row>
    <row r="236" spans="1:6" x14ac:dyDescent="0.25">
      <c r="A236" s="75" t="str">
        <f t="shared" ca="1" si="2"/>
        <v>&lt;PrevisaoVAZAO Posto="96" MesReferencia="1"&gt; 0 0 0 0 0 0 0 0 0 0 0 0 &lt;/PrevisaoVAZAO&gt;</v>
      </c>
      <c r="C236" s="76" t="str">
        <f t="shared" ca="1" si="3"/>
        <v>0 0 0 0 0 0 0 0 0 0 0 0</v>
      </c>
      <c r="F236" s="75">
        <v>139</v>
      </c>
    </row>
    <row r="237" spans="1:6" x14ac:dyDescent="0.25">
      <c r="A237" s="75" t="str">
        <f t="shared" ca="1" si="2"/>
        <v>&lt;PrevisaoVAZAO Posto="97" MesReferencia="1"&gt; 163 204 156 175 241 324 414 418 474 397 227 183 &lt;/PrevisaoVAZAO&gt;</v>
      </c>
      <c r="C237" s="76" t="str">
        <f t="shared" ca="1" si="3"/>
        <v>163 204 156 175 241 324 414 418 474 397 227 183</v>
      </c>
      <c r="F237" s="75">
        <v>140</v>
      </c>
    </row>
    <row r="238" spans="1:6" x14ac:dyDescent="0.25">
      <c r="A238" s="75" t="str">
        <f t="shared" ca="1" si="2"/>
        <v>&lt;PrevisaoVAZAO Posto="98" MesReferencia="1"&gt; 95 121 92 100 128 177 224 230 255 210 124 99 &lt;/PrevisaoVAZAO&gt;</v>
      </c>
      <c r="C238" s="76" t="str">
        <f t="shared" ca="1" si="3"/>
        <v>95 121 92 100 128 177 224 230 255 210 124 99</v>
      </c>
      <c r="F238" s="75">
        <v>141</v>
      </c>
    </row>
    <row r="239" spans="1:6" x14ac:dyDescent="0.25">
      <c r="A239" s="75" t="str">
        <f t="shared" ca="1" si="2"/>
        <v>&lt;PrevisaoVAZAO Posto="99" MesReferencia="1"&gt; 80 85 85 73 60 54 49 46 47 51 58 70 &lt;/PrevisaoVAZAO&gt;</v>
      </c>
      <c r="C239" s="76" t="str">
        <f t="shared" ca="1" si="3"/>
        <v>80 85 85 73 60 54 49 46 47 51 58 70</v>
      </c>
      <c r="F239" s="75">
        <v>142</v>
      </c>
    </row>
    <row r="240" spans="1:6" x14ac:dyDescent="0.25">
      <c r="A240" s="75" t="str">
        <f t="shared" ca="1" si="2"/>
        <v>&lt;PrevisaoVAZAO Posto="100" MesReferencia="1"&gt; 5 6 6 5 4 4 4 3 4 5 5 5 &lt;/PrevisaoVAZAO&gt;</v>
      </c>
      <c r="C240" s="76" t="str">
        <f t="shared" ca="1" si="3"/>
        <v>5 6 6 5 4 4 4 3 4 5 5 5</v>
      </c>
      <c r="F240" s="75">
        <v>143</v>
      </c>
    </row>
    <row r="241" spans="1:6" x14ac:dyDescent="0.25">
      <c r="A241" s="75" t="str">
        <f t="shared" ca="1" si="2"/>
        <v>&lt;PrevisaoVAZAO Posto="101" MesReferencia="1"&gt; 114 135 105 76 92 95 119 130 162 174 116 97 &lt;/PrevisaoVAZAO&gt;</v>
      </c>
      <c r="C241" s="76" t="str">
        <f t="shared" ca="1" si="3"/>
        <v>114 135 105 76 92 95 119 130 162 174 116 97</v>
      </c>
      <c r="F241" s="75">
        <v>144</v>
      </c>
    </row>
    <row r="242" spans="1:6" x14ac:dyDescent="0.25">
      <c r="A242" s="75" t="str">
        <f t="shared" ca="1" si="2"/>
        <v>&lt;PrevisaoVAZAO Posto="102" MesReferencia="1"&gt; 160 143 121 186 245 298 295 281 328 367 271 218 &lt;/PrevisaoVAZAO&gt;</v>
      </c>
      <c r="C242" s="76" t="str">
        <f t="shared" ca="1" si="3"/>
        <v>160 143 121 186 245 298 295 281 328 367 271 218</v>
      </c>
      <c r="F242" s="75">
        <v>145</v>
      </c>
    </row>
    <row r="243" spans="1:6" x14ac:dyDescent="0.25">
      <c r="A243" s="75" t="str">
        <f t="shared" ca="1" si="2"/>
        <v>&lt;PrevisaoVAZAO Posto="103" MesReferencia="1"&gt; 166 149 126 192 253 309 307 292 339 381 283 227 &lt;/PrevisaoVAZAO&gt;</v>
      </c>
      <c r="C243" s="76" t="str">
        <f t="shared" ca="1" si="3"/>
        <v>166 149 126 192 253 309 307 292 339 381 283 227</v>
      </c>
      <c r="F243" s="75">
        <v>146</v>
      </c>
    </row>
    <row r="244" spans="1:6" x14ac:dyDescent="0.25">
      <c r="A244" s="75" t="str">
        <f t="shared" ca="1" si="2"/>
        <v>&lt;PrevisaoVAZAO Posto="104" MesReferencia="1"&gt; 45 46 41 29 23 21 18 16 21 26 27 35 &lt;/PrevisaoVAZAO&gt;</v>
      </c>
      <c r="C244" s="76" t="str">
        <f t="shared" ca="1" si="3"/>
        <v>45 46 41 29 23 21 18 16 21 26 27 35</v>
      </c>
      <c r="F244" s="75">
        <v>147</v>
      </c>
    </row>
    <row r="245" spans="1:6" x14ac:dyDescent="0.25">
      <c r="A245" s="75" t="str">
        <f t="shared" ca="1" si="2"/>
        <v>&lt;PrevisaoVAZAO Posto="105" MesReferencia="1"&gt; 0 0 0 0 0 0 0 0 0 0 0 0 &lt;/PrevisaoVAZAO&gt;</v>
      </c>
      <c r="C245" s="76" t="str">
        <f t="shared" ca="1" si="3"/>
        <v>0 0 0 0 0 0 0 0 0 0 0 0</v>
      </c>
      <c r="F245" s="75">
        <v>148</v>
      </c>
    </row>
    <row r="246" spans="1:6" x14ac:dyDescent="0.25">
      <c r="A246" s="75" t="str">
        <f t="shared" ca="1" si="2"/>
        <v>&lt;PrevisaoVAZAO Posto="106" MesReferencia="1"&gt; 0 0 0 0 0 0 0 0 0 0 0 0 &lt;/PrevisaoVAZAO&gt;</v>
      </c>
      <c r="C246" s="76" t="str">
        <f t="shared" ca="1" si="3"/>
        <v>0 0 0 0 0 0 0 0 0 0 0 0</v>
      </c>
      <c r="F246" s="75">
        <v>149</v>
      </c>
    </row>
    <row r="247" spans="1:6" x14ac:dyDescent="0.25">
      <c r="A247" s="75" t="str">
        <f t="shared" ca="1" si="2"/>
        <v>&lt;PrevisaoVAZAO Posto="107" MesReferencia="1"&gt; 0 0 0 0 0 0 0 0 0 0 0 0 &lt;/PrevisaoVAZAO&gt;</v>
      </c>
      <c r="C247" s="76" t="str">
        <f t="shared" ca="1" si="3"/>
        <v>0 0 0 0 0 0 0 0 0 0 0 0</v>
      </c>
      <c r="F247" s="75">
        <v>150</v>
      </c>
    </row>
    <row r="248" spans="1:6" x14ac:dyDescent="0.25">
      <c r="A248" s="75" t="str">
        <f t="shared" ca="1" si="2"/>
        <v>&lt;PrevisaoVAZAO Posto="108" MesReferencia="1"&gt; 0 0 0 0 0 0 0 0 0 0 0 0 &lt;/PrevisaoVAZAO&gt;</v>
      </c>
      <c r="C248" s="76" t="str">
        <f t="shared" ca="1" si="3"/>
        <v>0 0 0 0 0 0 0 0 0 0 0 0</v>
      </c>
      <c r="F248" s="75">
        <v>151</v>
      </c>
    </row>
    <row r="249" spans="1:6" x14ac:dyDescent="0.25">
      <c r="A249" s="75" t="str">
        <f t="shared" ca="1" si="2"/>
        <v>&lt;PrevisaoVAZAO Posto="109" MesReferencia="1"&gt; 26 26 23 17 12 11 9 8 12 15 15 21 &lt;/PrevisaoVAZAO&gt;</v>
      </c>
      <c r="C249" s="76" t="str">
        <f t="shared" ca="1" si="3"/>
        <v>26 26 23 17 12 11 9 8 12 15 15 21</v>
      </c>
      <c r="F249" s="75">
        <v>152</v>
      </c>
    </row>
    <row r="250" spans="1:6" x14ac:dyDescent="0.25">
      <c r="A250" s="75" t="str">
        <f t="shared" ca="1" si="2"/>
        <v>&lt;PrevisaoVAZAO Posto="110" MesReferencia="1"&gt; 21 20 15 20 28 34 40 40 43 46 32 25 &lt;/PrevisaoVAZAO&gt;</v>
      </c>
      <c r="C250" s="76" t="str">
        <f t="shared" ca="1" si="3"/>
        <v>21 20 15 20 28 34 40 40 43 46 32 25</v>
      </c>
      <c r="F250" s="75">
        <v>153</v>
      </c>
    </row>
    <row r="251" spans="1:6" x14ac:dyDescent="0.25">
      <c r="A251" s="75" t="str">
        <f t="shared" ca="1" si="2"/>
        <v>&lt;PrevisaoVAZAO Posto="111" MesReferencia="1"&gt; 135 123 104 138 193 241 273 273 313 313 221 177 &lt;/PrevisaoVAZAO&gt;</v>
      </c>
      <c r="C251" s="76" t="str">
        <f t="shared" ca="1" si="3"/>
        <v>135 123 104 138 193 241 273 273 313 313 221 177</v>
      </c>
      <c r="F251" s="75">
        <v>154</v>
      </c>
    </row>
    <row r="252" spans="1:6" x14ac:dyDescent="0.25">
      <c r="A252" s="75" t="str">
        <f t="shared" ca="1" si="2"/>
        <v>&lt;PrevisaoVAZAO Posto="112" MesReferencia="1"&gt; 137 124 105 139 194 243 275 275 315 316 222 178 &lt;/PrevisaoVAZAO&gt;</v>
      </c>
      <c r="C252" s="76" t="str">
        <f t="shared" ca="1" si="3"/>
        <v>137 124 105 139 194 243 275 275 315 316 222 178</v>
      </c>
      <c r="F252" s="75">
        <v>155</v>
      </c>
    </row>
    <row r="253" spans="1:6" x14ac:dyDescent="0.25">
      <c r="A253" s="75" t="str">
        <f t="shared" ca="1" si="2"/>
        <v>&lt;PrevisaoVAZAO Posto="113" MesReferencia="1"&gt; 170 155 132 178 248 310 354 347 400 401 287 223 &lt;/PrevisaoVAZAO&gt;</v>
      </c>
      <c r="C253" s="76" t="str">
        <f t="shared" ca="1" si="3"/>
        <v>170 155 132 178 248 310 354 347 400 401 287 223</v>
      </c>
      <c r="F253" s="75">
        <v>156</v>
      </c>
    </row>
    <row r="254" spans="1:6" x14ac:dyDescent="0.25">
      <c r="A254" s="75" t="str">
        <f t="shared" ca="1" si="2"/>
        <v>&lt;PrevisaoVAZAO Posto="114" MesReferencia="1"&gt; 207 193 164 227 303 395 447 424 486 485 343 269 &lt;/PrevisaoVAZAO&gt;</v>
      </c>
      <c r="C254" s="76" t="str">
        <f t="shared" ca="1" si="3"/>
        <v>207 193 164 227 303 395 447 424 486 485 343 269</v>
      </c>
      <c r="F254" s="75">
        <v>157</v>
      </c>
    </row>
    <row r="255" spans="1:6" x14ac:dyDescent="0.25">
      <c r="A255" s="75" t="str">
        <f t="shared" ca="1" si="2"/>
        <v>&lt;PrevisaoVAZAO Posto="115" MesReferencia="1"&gt; 25 27 24 18 17 17 17 14 18 20 19 21 &lt;/PrevisaoVAZAO&gt;</v>
      </c>
      <c r="C255" s="76" t="str">
        <f t="shared" ca="1" si="3"/>
        <v>25 27 24 18 17 17 17 14 18 20 19 21</v>
      </c>
      <c r="F255" s="75">
        <v>158</v>
      </c>
    </row>
    <row r="256" spans="1:6" x14ac:dyDescent="0.25">
      <c r="A256" s="75" t="str">
        <f t="shared" ca="1" si="2"/>
        <v>&lt;PrevisaoVAZAO Posto="116" MesReferencia="1"&gt; 6 6 5 4 3 2 2 2 3 3 3 5 &lt;/PrevisaoVAZAO&gt;</v>
      </c>
      <c r="C256" s="76" t="str">
        <f t="shared" ca="1" si="3"/>
        <v>6 6 5 4 3 2 2 2 3 3 3 5</v>
      </c>
      <c r="F256" s="75">
        <v>159</v>
      </c>
    </row>
    <row r="257" spans="1:6" x14ac:dyDescent="0.25">
      <c r="A257" s="75" t="str">
        <f t="shared" ca="1" si="2"/>
        <v>&lt;PrevisaoVAZAO Posto="117" MesReferencia="1"&gt; 19 20 18 13 10 10 9 7 9 11 11 15 &lt;/PrevisaoVAZAO&gt;</v>
      </c>
      <c r="C257" s="76" t="str">
        <f t="shared" ca="1" si="3"/>
        <v>19 20 18 13 10 10 9 7 9 11 11 15</v>
      </c>
      <c r="F257" s="75">
        <v>160</v>
      </c>
    </row>
    <row r="258" spans="1:6" x14ac:dyDescent="0.25">
      <c r="A258" s="75" t="str">
        <f t="shared" ca="1" si="2"/>
        <v>&lt;PrevisaoVAZAO Posto="118" MesReferencia="1"&gt; 26 26 23 17 12 11 9 8 12 15 15 21 &lt;/PrevisaoVAZAO&gt;</v>
      </c>
      <c r="C258" s="76" t="str">
        <f t="shared" ca="1" si="3"/>
        <v>26 26 23 17 12 11 9 8 12 15 15 21</v>
      </c>
      <c r="F258" s="75">
        <v>161</v>
      </c>
    </row>
    <row r="259" spans="1:6" x14ac:dyDescent="0.25">
      <c r="A259" s="75" t="str">
        <f t="shared" ca="1" si="2"/>
        <v>&lt;PrevisaoVAZAO Posto="119" MesReferencia="1"&gt; 32 31 29 20 15 13 11 10 15 19 19 25 &lt;/PrevisaoVAZAO&gt;</v>
      </c>
      <c r="C259" s="76" t="str">
        <f t="shared" ca="1" si="3"/>
        <v>32 31 29 20 15 13 11 10 15 19 19 25</v>
      </c>
      <c r="F259" s="75">
        <v>162</v>
      </c>
    </row>
    <row r="260" spans="1:6" x14ac:dyDescent="0.25">
      <c r="A260" s="75" t="str">
        <f t="shared" ca="1" si="2"/>
        <v>&lt;PrevisaoVAZAO Posto="120" MesReferencia="1"&gt; 45 48 46 33 27 23 20 17 18 20 23 34 &lt;/PrevisaoVAZAO&gt;</v>
      </c>
      <c r="C260" s="76" t="str">
        <f t="shared" ca="1" si="3"/>
        <v>45 48 46 33 27 23 20 17 18 20 23 34</v>
      </c>
      <c r="F260" s="75">
        <v>163</v>
      </c>
    </row>
    <row r="261" spans="1:6" x14ac:dyDescent="0.25">
      <c r="A261" s="75" t="str">
        <f t="shared" ca="1" si="2"/>
        <v>&lt;PrevisaoVAZAO Posto="121" MesReferencia="1"&gt; 105 112 102 79 61 54 48 42 45 51 58 79 &lt;/PrevisaoVAZAO&gt;</v>
      </c>
      <c r="C261" s="76" t="str">
        <f t="shared" ca="1" si="3"/>
        <v>105 112 102 79 61 54 48 42 45 51 58 79</v>
      </c>
      <c r="F261" s="75">
        <v>164</v>
      </c>
    </row>
    <row r="262" spans="1:6" x14ac:dyDescent="0.25">
      <c r="A262" s="75" t="str">
        <f t="shared" ca="1" si="2"/>
        <v>&lt;PrevisaoVAZAO Posto="122" MesReferencia="1"&gt; 120 128 116 90 70 62 54 48 51 58 66 90 &lt;/PrevisaoVAZAO&gt;</v>
      </c>
      <c r="C262" s="76" t="str">
        <f t="shared" ca="1" si="3"/>
        <v>120 128 116 90 70 62 54 48 51 58 66 90</v>
      </c>
      <c r="F262" s="75">
        <v>165</v>
      </c>
    </row>
    <row r="263" spans="1:6" x14ac:dyDescent="0.25">
      <c r="A263" s="75" t="str">
        <f t="shared" ca="1" si="2"/>
        <v>&lt;PrevisaoVAZAO Posto="123" MesReferencia="1"&gt; 376 398 383 274 190 165 141 120 125 148 185 269 &lt;/PrevisaoVAZAO&gt;</v>
      </c>
      <c r="C263" s="76" t="str">
        <f t="shared" ca="1" si="3"/>
        <v>376 398 383 274 190 165 141 120 125 148 185 269</v>
      </c>
      <c r="F263" s="75">
        <v>166</v>
      </c>
    </row>
    <row r="264" spans="1:6" x14ac:dyDescent="0.25">
      <c r="A264" s="75" t="str">
        <f t="shared" ca="1" si="2"/>
        <v>&lt;PrevisaoVAZAO Posto="124" MesReferencia="1"&gt; 0 0 0 0 0 0 0 0 0 0 0 0 &lt;/PrevisaoVAZAO&gt;</v>
      </c>
      <c r="C264" s="76" t="str">
        <f t="shared" ca="1" si="3"/>
        <v>0 0 0 0 0 0 0 0 0 0 0 0</v>
      </c>
      <c r="F264" s="75">
        <v>167</v>
      </c>
    </row>
    <row r="265" spans="1:6" x14ac:dyDescent="0.25">
      <c r="A265" s="75" t="str">
        <f t="shared" ca="1" si="2"/>
        <v>&lt;PrevisaoVAZAO Posto="125" MesReferencia="1"&gt; 493 516 490 346 242 208 174 148 154 184 240 351 &lt;/PrevisaoVAZAO&gt;</v>
      </c>
      <c r="C265" s="76" t="str">
        <f t="shared" ca="1" si="3"/>
        <v>493 516 490 346 242 208 174 148 154 184 240 351</v>
      </c>
      <c r="F265" s="75">
        <v>168</v>
      </c>
    </row>
    <row r="266" spans="1:6" x14ac:dyDescent="0.25">
      <c r="A266" s="75" t="str">
        <f t="shared" ca="1" si="2"/>
        <v>&lt;PrevisaoVAZAO Posto="126" MesReferencia="1"&gt; 324 323 327 293 215 161 124 92 93 127 210 303 &lt;/PrevisaoVAZAO&gt;</v>
      </c>
      <c r="C266" s="76" t="str">
        <f t="shared" ca="1" si="3"/>
        <v>324 323 327 293 215 161 124 92 93 127 210 303</v>
      </c>
      <c r="F266" s="75">
        <v>169</v>
      </c>
    </row>
    <row r="267" spans="1:6" x14ac:dyDescent="0.25">
      <c r="A267" s="75" t="str">
        <f t="shared" ca="1" si="2"/>
        <v>&lt;PrevisaoVAZAO Posto="127" MesReferencia="1"&gt; 762 762 701 471 309 257 215 182 186 219 313 515 &lt;/PrevisaoVAZAO&gt;</v>
      </c>
      <c r="C267" s="76" t="str">
        <f t="shared" ca="1" si="3"/>
        <v>762 762 701 471 309 257 215 182 186 219 313 515</v>
      </c>
      <c r="F267" s="75">
        <v>170</v>
      </c>
    </row>
    <row r="268" spans="1:6" x14ac:dyDescent="0.25">
      <c r="A268" s="75" t="str">
        <f t="shared" ca="1" si="2"/>
        <v>&lt;PrevisaoVAZAO Posto="128" MesReferencia="1"&gt; 0 0 0 0 0 0 0 0 0 0 0 0 &lt;/PrevisaoVAZAO&gt;</v>
      </c>
      <c r="C268" s="76" t="str">
        <f t="shared" ca="1" si="3"/>
        <v>0 0 0 0 0 0 0 0 0 0 0 0</v>
      </c>
      <c r="F268" s="75">
        <v>171</v>
      </c>
    </row>
    <row r="269" spans="1:6" x14ac:dyDescent="0.25">
      <c r="A269" s="75" t="str">
        <f t="shared" ca="1" si="2"/>
        <v>&lt;PrevisaoVAZAO Posto="129" MesReferencia="1"&gt; 957 956 896 655 468 393 332 285 290 342 467 699 &lt;/PrevisaoVAZAO&gt;</v>
      </c>
      <c r="C269" s="76" t="str">
        <f t="shared" ca="1" si="3"/>
        <v>957 956 896 655 468 393 332 285 290 342 467 699</v>
      </c>
      <c r="F269" s="75">
        <v>172</v>
      </c>
    </row>
    <row r="270" spans="1:6" x14ac:dyDescent="0.25">
      <c r="A270" s="75" t="str">
        <f t="shared" ref="A270:A333" ca="1" si="4">"&lt;PrevisaoVAZAO Posto="""&amp;INDIRECT("'Hidrologia - 1'!B"&amp;F270)&amp;""" MesReferencia=""1""&gt; "&amp;C270&amp;" &lt;/PrevisaoVAZAO&gt;"</f>
        <v>&lt;PrevisaoVAZAO Posto="130" MesReferencia="1"&gt; 1069 1071 1004 729 516 433 365 312 319 379 517 781 &lt;/PrevisaoVAZAO&gt;</v>
      </c>
      <c r="C270" s="76" t="str">
        <f t="shared" ref="C270:C333" ca="1" si="5">SUBSTITUTE(TEXT(INDIRECT("'Hidrologia - 1'!D"&amp;F270),"0") &amp; " " &amp; TEXT(INDIRECT("'Hidrologia - 1'!E"&amp;F270),"0")&amp; " " &amp; TEXT(INDIRECT("'Hidrologia - 1'!F"&amp;F270),"0")&amp; " " &amp; TEXT(INDIRECT("'Hidrologia - 1'!G"&amp;F270),"0")&amp; " " &amp; TEXT(INDIRECT("'Hidrologia - 1'!H"&amp;F270),"0")&amp; " " &amp; TEXT(INDIRECT("'Hidrologia - 1'!I"&amp;F270),"0")&amp; " " &amp; TEXT(INDIRECT("'Hidrologia - 1'!J"&amp;F270),"0")&amp; " " &amp; TEXT(INDIRECT("'Hidrologia - 1'!K"&amp;F270),"0")&amp; " " &amp; TEXT(INDIRECT("'Hidrologia - 1'!L"&amp;F270),"0")&amp; " " &amp; TEXT(INDIRECT("'Hidrologia - 1'!M"&amp;F270),"0")&amp; " " &amp; TEXT(INDIRECT("'Hidrologia - 1'!N"&amp;F270),"0")&amp; " " &amp; TEXT(INDIRECT("'Hidrologia - 1'!O"&amp;F270),"0"),",",".")</f>
        <v>1069 1071 1004 729 516 433 365 312 319 379 517 781</v>
      </c>
      <c r="F270" s="75">
        <v>173</v>
      </c>
    </row>
    <row r="271" spans="1:6" x14ac:dyDescent="0.25">
      <c r="A271" s="75" t="str">
        <f t="shared" ca="1" si="4"/>
        <v>&lt;PrevisaoVAZAO Posto="131" MesReferencia="1"&gt; 143 142 144 142 134 121 109 95 96 111 130 141 &lt;/PrevisaoVAZAO&gt;</v>
      </c>
      <c r="C271" s="76" t="str">
        <f t="shared" ca="1" si="5"/>
        <v>143 142 144 142 134 121 109 95 96 111 130 141</v>
      </c>
      <c r="F271" s="75">
        <v>174</v>
      </c>
    </row>
    <row r="272" spans="1:6" x14ac:dyDescent="0.25">
      <c r="A272" s="75" t="str">
        <f t="shared" ca="1" si="4"/>
        <v>&lt;PrevisaoVAZAO Posto="132" MesReferencia="1"&gt; 30 29 29 24 17 12 10 9 9 11 16 25 &lt;/PrevisaoVAZAO&gt;</v>
      </c>
      <c r="C272" s="76" t="str">
        <f t="shared" ca="1" si="5"/>
        <v>30 29 29 24 17 12 10 9 9 11 16 25</v>
      </c>
      <c r="F272" s="75">
        <v>175</v>
      </c>
    </row>
    <row r="273" spans="1:6" x14ac:dyDescent="0.25">
      <c r="A273" s="75" t="str">
        <f t="shared" ca="1" si="4"/>
        <v>&lt;PrevisaoVAZAO Posto="133" MesReferencia="1"&gt; 0 0 0 0 0 0 0 0 0 0 0 0 &lt;/PrevisaoVAZAO&gt;</v>
      </c>
      <c r="C273" s="76" t="str">
        <f t="shared" ca="1" si="5"/>
        <v>0 0 0 0 0 0 0 0 0 0 0 0</v>
      </c>
      <c r="F273" s="75">
        <v>176</v>
      </c>
    </row>
    <row r="274" spans="1:6" x14ac:dyDescent="0.25">
      <c r="A274" s="75" t="str">
        <f t="shared" ca="1" si="4"/>
        <v>&lt;PrevisaoVAZAO Posto="134" MesReferencia="1"&gt; 292 236 212 161 115 95 81 70 67 85 160 254 &lt;/PrevisaoVAZAO&gt;</v>
      </c>
      <c r="C274" s="76" t="str">
        <f t="shared" ca="1" si="5"/>
        <v>292 236 212 161 115 95 81 70 67 85 160 254</v>
      </c>
      <c r="F274" s="75">
        <v>177</v>
      </c>
    </row>
    <row r="275" spans="1:6" x14ac:dyDescent="0.25">
      <c r="A275" s="75" t="str">
        <f t="shared" ca="1" si="4"/>
        <v>&lt;PrevisaoVAZAO Posto="135" MesReferencia="1"&gt; 0 0 0 0 0 0 0 0 0 0 0 0 &lt;/PrevisaoVAZAO&gt;</v>
      </c>
      <c r="C275" s="76" t="str">
        <f t="shared" ca="1" si="5"/>
        <v>0 0 0 0 0 0 0 0 0 0 0 0</v>
      </c>
      <c r="F275" s="75">
        <v>178</v>
      </c>
    </row>
    <row r="276" spans="1:6" x14ac:dyDescent="0.25">
      <c r="A276" s="75" t="str">
        <f t="shared" ca="1" si="4"/>
        <v>&lt;PrevisaoVAZAO Posto="136" MesReferencia="1"&gt; 0 0 0 0 0 0 0 0 0 0 0 0 &lt;/PrevisaoVAZAO&gt;</v>
      </c>
      <c r="C276" s="76" t="str">
        <f t="shared" ca="1" si="5"/>
        <v>0 0 0 0 0 0 0 0 0 0 0 0</v>
      </c>
      <c r="F276" s="75">
        <v>179</v>
      </c>
    </row>
    <row r="277" spans="1:6" x14ac:dyDescent="0.25">
      <c r="A277" s="75" t="str">
        <f t="shared" ca="1" si="4"/>
        <v>&lt;PrevisaoVAZAO Posto="137" MesReferencia="1"&gt; 0 0 0 0 0 0 0 0 0 0 0 0 &lt;/PrevisaoVAZAO&gt;</v>
      </c>
      <c r="C277" s="76" t="str">
        <f t="shared" ca="1" si="5"/>
        <v>0 0 0 0 0 0 0 0 0 0 0 0</v>
      </c>
      <c r="F277" s="75">
        <v>180</v>
      </c>
    </row>
    <row r="278" spans="1:6" x14ac:dyDescent="0.25">
      <c r="A278" s="75" t="str">
        <f t="shared" ca="1" si="4"/>
        <v>&lt;PrevisaoVAZAO Posto="138" MesReferencia="1"&gt; 0 0 0 0 0 0 0 0 0 0 0 0 &lt;/PrevisaoVAZAO&gt;</v>
      </c>
      <c r="C278" s="76" t="str">
        <f t="shared" ca="1" si="5"/>
        <v>0 0 0 0 0 0 0 0 0 0 0 0</v>
      </c>
      <c r="F278" s="75">
        <v>181</v>
      </c>
    </row>
    <row r="279" spans="1:6" x14ac:dyDescent="0.25">
      <c r="A279" s="75" t="str">
        <f t="shared" ca="1" si="4"/>
        <v>&lt;PrevisaoVAZAO Posto="139" MesReferencia="1"&gt; 0 0 0 0 0 0 0 0 0 0 0 0 &lt;/PrevisaoVAZAO&gt;</v>
      </c>
      <c r="C279" s="76" t="str">
        <f t="shared" ca="1" si="5"/>
        <v>0 0 0 0 0 0 0 0 0 0 0 0</v>
      </c>
      <c r="F279" s="75">
        <v>182</v>
      </c>
    </row>
    <row r="280" spans="1:6" x14ac:dyDescent="0.25">
      <c r="A280" s="75" t="str">
        <f t="shared" ca="1" si="4"/>
        <v>&lt;PrevisaoVAZAO Posto="140" MesReferencia="1"&gt; 0 0 0 0 0 0 0 0 0 0 0 0 &lt;/PrevisaoVAZAO&gt;</v>
      </c>
      <c r="C280" s="76" t="str">
        <f t="shared" ca="1" si="5"/>
        <v>0 0 0 0 0 0 0 0 0 0 0 0</v>
      </c>
      <c r="F280" s="75">
        <v>183</v>
      </c>
    </row>
    <row r="281" spans="1:6" x14ac:dyDescent="0.25">
      <c r="A281" s="75" t="str">
        <f t="shared" ca="1" si="4"/>
        <v>&lt;PrevisaoVAZAO Posto="141" MesReferencia="1"&gt; 1035 842 745 585 438 373 330 296 288 346 556 898 &lt;/PrevisaoVAZAO&gt;</v>
      </c>
      <c r="C281" s="76" t="str">
        <f t="shared" ca="1" si="5"/>
        <v>1035 842 745 585 438 373 330 296 288 346 556 898</v>
      </c>
      <c r="F281" s="75">
        <v>184</v>
      </c>
    </row>
    <row r="282" spans="1:6" x14ac:dyDescent="0.25">
      <c r="A282" s="75" t="str">
        <f t="shared" ca="1" si="4"/>
        <v>&lt;PrevisaoVAZAO Posto="142" MesReferencia="1"&gt; 0 0 0 0 0 0 0 0 0 0 0 0 &lt;/PrevisaoVAZAO&gt;</v>
      </c>
      <c r="C282" s="76" t="str">
        <f t="shared" ca="1" si="5"/>
        <v>0 0 0 0 0 0 0 0 0 0 0 0</v>
      </c>
      <c r="F282" s="75">
        <v>185</v>
      </c>
    </row>
    <row r="283" spans="1:6" x14ac:dyDescent="0.25">
      <c r="A283" s="75" t="str">
        <f t="shared" ca="1" si="4"/>
        <v>&lt;PrevisaoVAZAO Posto="143" MesReferencia="1"&gt; 0 0 0 0 0 0 0 0 0 0 0 0 &lt;/PrevisaoVAZAO&gt;</v>
      </c>
      <c r="C283" s="76" t="str">
        <f t="shared" ca="1" si="5"/>
        <v>0 0 0 0 0 0 0 0 0 0 0 0</v>
      </c>
      <c r="F283" s="75">
        <v>186</v>
      </c>
    </row>
    <row r="284" spans="1:6" x14ac:dyDescent="0.25">
      <c r="A284" s="75" t="str">
        <f t="shared" ca="1" si="4"/>
        <v>&lt;PrevisaoVAZAO Posto="144" MesReferencia="1"&gt; 1856 1439 1266 979 711 594 525 465 447 561 959 1625 &lt;/PrevisaoVAZAO&gt;</v>
      </c>
      <c r="C284" s="76" t="str">
        <f t="shared" ca="1" si="5"/>
        <v>1856 1439 1266 979 711 594 525 465 447 561 959 1625</v>
      </c>
      <c r="F284" s="75">
        <v>187</v>
      </c>
    </row>
    <row r="285" spans="1:6" x14ac:dyDescent="0.25">
      <c r="A285" s="75" t="str">
        <f t="shared" ca="1" si="4"/>
        <v>&lt;PrevisaoVAZAO Posto="145" MesReferencia="1"&gt; 117 135 148 111 79 64 58 54 53 57 66 88 &lt;/PrevisaoVAZAO&gt;</v>
      </c>
      <c r="C285" s="76" t="str">
        <f t="shared" ca="1" si="5"/>
        <v>117 135 148 111 79 64 58 54 53 57 66 88</v>
      </c>
      <c r="F285" s="75">
        <v>188</v>
      </c>
    </row>
    <row r="286" spans="1:6" x14ac:dyDescent="0.25">
      <c r="A286" s="75" t="str">
        <f t="shared" ca="1" si="4"/>
        <v>&lt;PrevisaoVAZAO Posto="146" MesReferencia="1"&gt; 0 0 0 0 0 0 0 0 0 0 0 0 &lt;/PrevisaoVAZAO&gt;</v>
      </c>
      <c r="C286" s="76" t="str">
        <f t="shared" ca="1" si="5"/>
        <v>0 0 0 0 0 0 0 0 0 0 0 0</v>
      </c>
      <c r="F286" s="75">
        <v>189</v>
      </c>
    </row>
    <row r="287" spans="1:6" x14ac:dyDescent="0.25">
      <c r="A287" s="75" t="str">
        <f t="shared" ca="1" si="4"/>
        <v>&lt;PrevisaoVAZAO Posto="147" MesReferencia="1"&gt; 0 0 0 0 0 0 0 0 0 0 0 0 &lt;/PrevisaoVAZAO&gt;</v>
      </c>
      <c r="C287" s="76" t="str">
        <f t="shared" ca="1" si="5"/>
        <v>0 0 0 0 0 0 0 0 0 0 0 0</v>
      </c>
      <c r="F287" s="75">
        <v>190</v>
      </c>
    </row>
    <row r="288" spans="1:6" x14ac:dyDescent="0.25">
      <c r="A288" s="75" t="str">
        <f t="shared" ca="1" si="4"/>
        <v>&lt;PrevisaoVAZAO Posto="148" MesReferencia="1"&gt; 1593 1239 1090 844 613 514 455 405 390 487 826 1394 &lt;/PrevisaoVAZAO&gt;</v>
      </c>
      <c r="C288" s="76" t="str">
        <f t="shared" ca="1" si="5"/>
        <v>1593 1239 1090 844 613 514 455 405 390 487 826 1394</v>
      </c>
      <c r="F288" s="75">
        <v>191</v>
      </c>
    </row>
    <row r="289" spans="1:6" x14ac:dyDescent="0.25">
      <c r="A289" s="75" t="str">
        <f t="shared" ca="1" si="4"/>
        <v>&lt;PrevisaoVAZAO Posto="149" MesReferencia="1"&gt; 269 228 204 158 122 106 95 85 84 99 145 228 &lt;/PrevisaoVAZAO&gt;</v>
      </c>
      <c r="C289" s="76" t="str">
        <f t="shared" ca="1" si="5"/>
        <v>269 228 204 158 122 106 95 85 84 99 145 228</v>
      </c>
      <c r="F289" s="75">
        <v>192</v>
      </c>
    </row>
    <row r="290" spans="1:6" x14ac:dyDescent="0.25">
      <c r="A290" s="75" t="str">
        <f t="shared" ca="1" si="4"/>
        <v>&lt;PrevisaoVAZAO Posto="150" MesReferencia="1"&gt; 0 0 0 0 0 0 0 0 0 0 0 0 &lt;/PrevisaoVAZAO&gt;</v>
      </c>
      <c r="C290" s="76" t="str">
        <f t="shared" ca="1" si="5"/>
        <v>0 0 0 0 0 0 0 0 0 0 0 0</v>
      </c>
      <c r="F290" s="75">
        <v>193</v>
      </c>
    </row>
    <row r="291" spans="1:6" x14ac:dyDescent="0.25">
      <c r="A291" s="75" t="str">
        <f t="shared" ca="1" si="4"/>
        <v>&lt;PrevisaoVAZAO Posto="151" MesReferencia="1"&gt; 0 0 0 0 0 0 0 0 0 0 0 0 &lt;/PrevisaoVAZAO&gt;</v>
      </c>
      <c r="C291" s="76" t="str">
        <f t="shared" ca="1" si="5"/>
        <v>0 0 0 0 0 0 0 0 0 0 0 0</v>
      </c>
      <c r="F291" s="75">
        <v>194</v>
      </c>
    </row>
    <row r="292" spans="1:6" x14ac:dyDescent="0.25">
      <c r="A292" s="75" t="str">
        <f t="shared" ca="1" si="4"/>
        <v>&lt;PrevisaoVAZAO Posto="152" MesReferencia="1"&gt; 0 0 0 0 0 0 0 0 0 0 0 0 &lt;/PrevisaoVAZAO&gt;</v>
      </c>
      <c r="C292" s="76" t="str">
        <f t="shared" ca="1" si="5"/>
        <v>0 0 0 0 0 0 0 0 0 0 0 0</v>
      </c>
      <c r="F292" s="75">
        <v>195</v>
      </c>
    </row>
    <row r="293" spans="1:6" x14ac:dyDescent="0.25">
      <c r="A293" s="75" t="str">
        <f t="shared" ca="1" si="4"/>
        <v>&lt;PrevisaoVAZAO Posto="153" MesReferencia="1"&gt; 0 0 0 0 0 0 0 0 0 0 0 0 &lt;/PrevisaoVAZAO&gt;</v>
      </c>
      <c r="C293" s="76" t="str">
        <f t="shared" ca="1" si="5"/>
        <v>0 0 0 0 0 0 0 0 0 0 0 0</v>
      </c>
      <c r="F293" s="75">
        <v>196</v>
      </c>
    </row>
    <row r="294" spans="1:6" x14ac:dyDescent="0.25">
      <c r="A294" s="75" t="str">
        <f t="shared" ca="1" si="4"/>
        <v>&lt;PrevisaoVAZAO Posto="154" MesReferencia="1"&gt; 0 0 0 0 0 0 0 0 0 0 0 0 &lt;/PrevisaoVAZAO&gt;</v>
      </c>
      <c r="C294" s="76" t="str">
        <f t="shared" ca="1" si="5"/>
        <v>0 0 0 0 0 0 0 0 0 0 0 0</v>
      </c>
      <c r="F294" s="75">
        <v>197</v>
      </c>
    </row>
    <row r="295" spans="1:6" x14ac:dyDescent="0.25">
      <c r="A295" s="75" t="str">
        <f t="shared" ca="1" si="4"/>
        <v>&lt;PrevisaoVAZAO Posto="155" MesReferencia="1"&gt; 326 279 239 157 109 89 72 62 60 76 130 248 &lt;/PrevisaoVAZAO&gt;</v>
      </c>
      <c r="C295" s="76" t="str">
        <f t="shared" ca="1" si="5"/>
        <v>326 279 239 157 109 89 72 62 60 76 130 248</v>
      </c>
      <c r="F295" s="75">
        <v>198</v>
      </c>
    </row>
    <row r="296" spans="1:6" x14ac:dyDescent="0.25">
      <c r="A296" s="75" t="str">
        <f t="shared" ca="1" si="4"/>
        <v>&lt;PrevisaoVAZAO Posto="156" MesReferencia="1"&gt; 1447 1345 1123 745 446 337 270 221 216 293 588 1097 &lt;/PrevisaoVAZAO&gt;</v>
      </c>
      <c r="C296" s="76" t="str">
        <f t="shared" ca="1" si="5"/>
        <v>1447 1345 1123 745 446 337 270 221 216 293 588 1097</v>
      </c>
      <c r="F296" s="75">
        <v>199</v>
      </c>
    </row>
    <row r="297" spans="1:6" x14ac:dyDescent="0.25">
      <c r="A297" s="75" t="str">
        <f t="shared" ca="1" si="4"/>
        <v>&lt;PrevisaoVAZAO Posto="157" MesReferencia="1"&gt; 0 0 0 0 0 0 0 0 0 0 0 0 &lt;/PrevisaoVAZAO&gt;</v>
      </c>
      <c r="C297" s="76" t="str">
        <f t="shared" ca="1" si="5"/>
        <v>0 0 0 0 0 0 0 0 0 0 0 0</v>
      </c>
      <c r="F297" s="75">
        <v>200</v>
      </c>
    </row>
    <row r="298" spans="1:6" x14ac:dyDescent="0.25">
      <c r="A298" s="75" t="str">
        <f t="shared" ca="1" si="4"/>
        <v>&lt;PrevisaoVAZAO Posto="158" MesReferencia="1"&gt; 81 82 86 68 47 40 34 29 27 32 51 78 &lt;/PrevisaoVAZAO&gt;</v>
      </c>
      <c r="C298" s="76" t="str">
        <f t="shared" ca="1" si="5"/>
        <v>81 82 86 68 47 40 34 29 27 32 51 78</v>
      </c>
      <c r="F298" s="75">
        <v>201</v>
      </c>
    </row>
    <row r="299" spans="1:6" x14ac:dyDescent="0.25">
      <c r="A299" s="75" t="str">
        <f t="shared" ca="1" si="4"/>
        <v>&lt;PrevisaoVAZAO Posto="159" MesReferencia="1"&gt; 0 0 0 0 0 0 0 0 0 0 0 0 &lt;/PrevisaoVAZAO&gt;</v>
      </c>
      <c r="C299" s="76" t="str">
        <f t="shared" ca="1" si="5"/>
        <v>0 0 0 0 0 0 0 0 0 0 0 0</v>
      </c>
      <c r="F299" s="75">
        <v>202</v>
      </c>
    </row>
    <row r="300" spans="1:6" x14ac:dyDescent="0.25">
      <c r="A300" s="75" t="str">
        <f t="shared" ca="1" si="4"/>
        <v>&lt;PrevisaoVAZAO Posto="160" MesReferencia="1"&gt; 11 11 11 9 7 6 6 5 6 7 7 9 &lt;/PrevisaoVAZAO&gt;</v>
      </c>
      <c r="C300" s="76" t="str">
        <f t="shared" ca="1" si="5"/>
        <v>11 11 11 9 7 6 6 5 6 7 7 9</v>
      </c>
      <c r="F300" s="75">
        <v>203</v>
      </c>
    </row>
    <row r="301" spans="1:6" x14ac:dyDescent="0.25">
      <c r="A301" s="75" t="str">
        <f t="shared" ca="1" si="4"/>
        <v>&lt;PrevisaoVAZAO Posto="161" MesReferencia="1"&gt; 176 184 161 107 83 77 65 55 71 90 99 131 &lt;/PrevisaoVAZAO&gt;</v>
      </c>
      <c r="C301" s="76" t="str">
        <f t="shared" ca="1" si="5"/>
        <v>176 184 161 107 83 77 65 55 71 90 99 131</v>
      </c>
      <c r="F301" s="75">
        <v>204</v>
      </c>
    </row>
    <row r="302" spans="1:6" x14ac:dyDescent="0.25">
      <c r="A302" s="75" t="str">
        <f t="shared" ca="1" si="4"/>
        <v>&lt;PrevisaoVAZAO Posto="162" MesReferencia="1"&gt; 0 0 0 0 0 0 0 0 0 0 0 0 &lt;/PrevisaoVAZAO&gt;</v>
      </c>
      <c r="C302" s="76" t="str">
        <f t="shared" ca="1" si="5"/>
        <v>0 0 0 0 0 0 0 0 0 0 0 0</v>
      </c>
      <c r="F302" s="75">
        <v>205</v>
      </c>
    </row>
    <row r="303" spans="1:6" x14ac:dyDescent="0.25">
      <c r="A303" s="75" t="str">
        <f t="shared" ca="1" si="4"/>
        <v>&lt;PrevisaoVAZAO Posto="163" MesReferencia="1"&gt; 0 0 0 0 0 0 0 0 0 0 0 0 &lt;/PrevisaoVAZAO&gt;</v>
      </c>
      <c r="C303" s="76" t="str">
        <f t="shared" ca="1" si="5"/>
        <v>0 0 0 0 0 0 0 0 0 0 0 0</v>
      </c>
      <c r="F303" s="75">
        <v>206</v>
      </c>
    </row>
    <row r="304" spans="1:6" x14ac:dyDescent="0.25">
      <c r="A304" s="75" t="str">
        <f t="shared" ca="1" si="4"/>
        <v>&lt;PrevisaoVAZAO Posto="164" MesReferencia="1"&gt; 131 139 120 78 60 56 47 39 50 64 72 96 &lt;/PrevisaoVAZAO&gt;</v>
      </c>
      <c r="C304" s="76" t="str">
        <f t="shared" ca="1" si="5"/>
        <v>131 139 120 78 60 56 47 39 50 64 72 96</v>
      </c>
      <c r="F304" s="75">
        <v>207</v>
      </c>
    </row>
    <row r="305" spans="1:6" x14ac:dyDescent="0.25">
      <c r="A305" s="75" t="str">
        <f t="shared" ca="1" si="4"/>
        <v>&lt;PrevisaoVAZAO Posto="165" MesReferencia="1"&gt; 0 0 0 0 0 0 0 0 0 0 0 0 &lt;/PrevisaoVAZAO&gt;</v>
      </c>
      <c r="C305" s="76" t="str">
        <f t="shared" ca="1" si="5"/>
        <v>0 0 0 0 0 0 0 0 0 0 0 0</v>
      </c>
      <c r="F305" s="75">
        <v>208</v>
      </c>
    </row>
    <row r="306" spans="1:6" x14ac:dyDescent="0.25">
      <c r="A306" s="75" t="str">
        <f t="shared" ca="1" si="4"/>
        <v>&lt;PrevisaoVAZAO Posto="166" MesReferencia="1"&gt; 0 0 0 0 0 0 0 0 0 0 0 0 &lt;/PrevisaoVAZAO&gt;</v>
      </c>
      <c r="C306" s="76" t="str">
        <f t="shared" ca="1" si="5"/>
        <v>0 0 0 0 0 0 0 0 0 0 0 0</v>
      </c>
      <c r="F306" s="75">
        <v>209</v>
      </c>
    </row>
    <row r="307" spans="1:6" x14ac:dyDescent="0.25">
      <c r="A307" s="75" t="str">
        <f t="shared" ca="1" si="4"/>
        <v>&lt;PrevisaoVAZAO Posto="167" MesReferencia="1"&gt; 0 0 0 0 0 0 0 0 0 0 0 0 &lt;/PrevisaoVAZAO&gt;</v>
      </c>
      <c r="C307" s="76" t="str">
        <f t="shared" ca="1" si="5"/>
        <v>0 0 0 0 0 0 0 0 0 0 0 0</v>
      </c>
      <c r="F307" s="75">
        <v>210</v>
      </c>
    </row>
    <row r="308" spans="1:6" x14ac:dyDescent="0.25">
      <c r="A308" s="75" t="str">
        <f t="shared" ca="1" si="4"/>
        <v>&lt;PrevisaoVAZAO Posto="168" MesReferencia="1"&gt; 3240 3336 3357 2697 1633 1114 953 842 753 823 1336 2404 &lt;/PrevisaoVAZAO&gt;</v>
      </c>
      <c r="C308" s="76" t="str">
        <f t="shared" ca="1" si="5"/>
        <v>3240 3336 3357 2697 1633 1114 953 842 753 823 1336 2404</v>
      </c>
      <c r="F308" s="75">
        <v>211</v>
      </c>
    </row>
    <row r="309" spans="1:6" x14ac:dyDescent="0.25">
      <c r="A309" s="75" t="str">
        <f t="shared" ca="1" si="4"/>
        <v>&lt;PrevisaoVAZAO Posto="169" MesReferencia="1"&gt; 4635 4821 4670 3715 2248 1536 1283 1111 994 1110 1834 3318 &lt;/PrevisaoVAZAO&gt;</v>
      </c>
      <c r="C309" s="76" t="str">
        <f t="shared" ca="1" si="5"/>
        <v>4635 4821 4670 3715 2248 1536 1283 1111 994 1110 1834 3318</v>
      </c>
      <c r="F309" s="75">
        <v>212</v>
      </c>
    </row>
    <row r="310" spans="1:6" x14ac:dyDescent="0.25">
      <c r="A310" s="75" t="str">
        <f t="shared" ca="1" si="4"/>
        <v>&lt;PrevisaoVAZAO Posto="170" MesReferencia="1"&gt; 0 0 0 0 0 0 0 0 0 0 0 0 &lt;/PrevisaoVAZAO&gt;</v>
      </c>
      <c r="C310" s="76" t="str">
        <f t="shared" ca="1" si="5"/>
        <v>0 0 0 0 0 0 0 0 0 0 0 0</v>
      </c>
      <c r="F310" s="75">
        <v>213</v>
      </c>
    </row>
    <row r="311" spans="1:6" x14ac:dyDescent="0.25">
      <c r="A311" s="75" t="str">
        <f t="shared" ca="1" si="4"/>
        <v>&lt;PrevisaoVAZAO Posto="171" MesReferencia="1"&gt; 109 140 219 192 64 18 11 14 21 22 37 83 &lt;/PrevisaoVAZAO&gt;</v>
      </c>
      <c r="C311" s="76" t="str">
        <f t="shared" ca="1" si="5"/>
        <v>109 140 219 192 64 18 11 14 21 22 37 83</v>
      </c>
      <c r="F311" s="75">
        <v>214</v>
      </c>
    </row>
    <row r="312" spans="1:6" x14ac:dyDescent="0.25">
      <c r="A312" s="75" t="str">
        <f t="shared" ca="1" si="4"/>
        <v>&lt;PrevisaoVAZAO Posto="172" MesReferencia="1"&gt; 4672 4938 4934 4025 2426 1596 1312 1143 1022 1102 1763 3262 &lt;/PrevisaoVAZAO&gt;</v>
      </c>
      <c r="C312" s="76" t="str">
        <f t="shared" ca="1" si="5"/>
        <v>4672 4938 4934 4025 2426 1596 1312 1143 1022 1102 1763 3262</v>
      </c>
      <c r="F312" s="75">
        <v>215</v>
      </c>
    </row>
    <row r="313" spans="1:6" x14ac:dyDescent="0.25">
      <c r="A313" s="75" t="str">
        <f t="shared" ca="1" si="4"/>
        <v>&lt;PrevisaoVAZAO Posto="173" MesReferencia="1"&gt; 4669 4955 4978 4095 2478 1616 1324 1155 1032 1103 1741 3239 &lt;/PrevisaoVAZAO&gt;</v>
      </c>
      <c r="C313" s="76" t="str">
        <f t="shared" ca="1" si="5"/>
        <v>4669 4955 4978 4095 2478 1616 1324 1155 1032 1103 1741 3239</v>
      </c>
      <c r="F313" s="75">
        <v>216</v>
      </c>
    </row>
    <row r="314" spans="1:6" x14ac:dyDescent="0.25">
      <c r="A314" s="75" t="str">
        <f t="shared" ca="1" si="4"/>
        <v>&lt;PrevisaoVAZAO Posto="174" MesReferencia="1"&gt; 0 0 0 0 0 0 0 0 0 0 0 0 &lt;/PrevisaoVAZAO&gt;</v>
      </c>
      <c r="C314" s="76" t="str">
        <f t="shared" ca="1" si="5"/>
        <v>0 0 0 0 0 0 0 0 0 0 0 0</v>
      </c>
      <c r="F314" s="75">
        <v>217</v>
      </c>
    </row>
    <row r="315" spans="1:6" x14ac:dyDescent="0.25">
      <c r="A315" s="75" t="str">
        <f t="shared" ca="1" si="4"/>
        <v>&lt;PrevisaoVAZAO Posto="175" MesReferencia="1"&gt; 4669 4955 4978 4095 2478 1616 1324 1155 1032 1103 1741 3239 &lt;/PrevisaoVAZAO&gt;</v>
      </c>
      <c r="C315" s="76" t="str">
        <f t="shared" ca="1" si="5"/>
        <v>4669 4955 4978 4095 2478 1616 1324 1155 1032 1103 1741 3239</v>
      </c>
      <c r="F315" s="75">
        <v>218</v>
      </c>
    </row>
    <row r="316" spans="1:6" x14ac:dyDescent="0.25">
      <c r="A316" s="75" t="str">
        <f t="shared" ca="1" si="4"/>
        <v>&lt;PrevisaoVAZAO Posto="176" MesReferencia="1"&gt; 4669 4955 4978 4095 2478 1616 1324 1155 1032 1103 1741 3239 &lt;/PrevisaoVAZAO&gt;</v>
      </c>
      <c r="C316" s="76" t="str">
        <f t="shared" ca="1" si="5"/>
        <v>4669 4955 4978 4095 2478 1616 1324 1155 1032 1103 1741 3239</v>
      </c>
      <c r="F316" s="75">
        <v>219</v>
      </c>
    </row>
    <row r="317" spans="1:6" x14ac:dyDescent="0.25">
      <c r="A317" s="75" t="str">
        <f t="shared" ca="1" si="4"/>
        <v>&lt;PrevisaoVAZAO Posto="177" MesReferencia="1"&gt; 0 0 0 0 0 0 0 0 0 0 0 0 &lt;/PrevisaoVAZAO&gt;</v>
      </c>
      <c r="C317" s="76" t="str">
        <f t="shared" ca="1" si="5"/>
        <v>0 0 0 0 0 0 0 0 0 0 0 0</v>
      </c>
      <c r="F317" s="75">
        <v>220</v>
      </c>
    </row>
    <row r="318" spans="1:6" x14ac:dyDescent="0.25">
      <c r="A318" s="75" t="str">
        <f t="shared" ca="1" si="4"/>
        <v>&lt;PrevisaoVAZAO Posto="178" MesReferencia="1"&gt; 4668 4955 4978 4095 2479 1616 1324 1155 1033 1103 1740 3238 &lt;/PrevisaoVAZAO&gt;</v>
      </c>
      <c r="C318" s="76" t="str">
        <f t="shared" ca="1" si="5"/>
        <v>4668 4955 4978 4095 2479 1616 1324 1155 1033 1103 1740 3238</v>
      </c>
      <c r="F318" s="75">
        <v>221</v>
      </c>
    </row>
    <row r="319" spans="1:6" x14ac:dyDescent="0.25">
      <c r="A319" s="75" t="str">
        <f t="shared" ca="1" si="4"/>
        <v>&lt;PrevisaoVAZAO Posto="179" MesReferencia="1"&gt; 0 0 0 0 0 0 0 0 0 0 0 0 &lt;/PrevisaoVAZAO&gt;</v>
      </c>
      <c r="C319" s="76" t="str">
        <f t="shared" ca="1" si="5"/>
        <v>0 0 0 0 0 0 0 0 0 0 0 0</v>
      </c>
      <c r="F319" s="75">
        <v>222</v>
      </c>
    </row>
    <row r="320" spans="1:6" x14ac:dyDescent="0.25">
      <c r="A320" s="75" t="str">
        <f t="shared" ca="1" si="4"/>
        <v>&lt;PrevisaoVAZAO Posto="180" MesReferencia="1"&gt; 0 0 0 0 0 0 0 0 0 0 0 0 &lt;/PrevisaoVAZAO&gt;</v>
      </c>
      <c r="C320" s="76" t="str">
        <f t="shared" ca="1" si="5"/>
        <v>0 0 0 0 0 0 0 0 0 0 0 0</v>
      </c>
      <c r="F320" s="75">
        <v>223</v>
      </c>
    </row>
    <row r="321" spans="1:6" x14ac:dyDescent="0.25">
      <c r="A321" s="75" t="str">
        <f t="shared" ca="1" si="4"/>
        <v>&lt;PrevisaoVAZAO Posto="181" MesReferencia="1"&gt; 0 0 0 0 0 0 0 0 0 0 0 0 &lt;/PrevisaoVAZAO&gt;</v>
      </c>
      <c r="C321" s="76" t="str">
        <f t="shared" ca="1" si="5"/>
        <v>0 0 0 0 0 0 0 0 0 0 0 0</v>
      </c>
      <c r="F321" s="75">
        <v>224</v>
      </c>
    </row>
    <row r="322" spans="1:6" x14ac:dyDescent="0.25">
      <c r="A322" s="75" t="str">
        <f t="shared" ca="1" si="4"/>
        <v>&lt;PrevisaoVAZAO Posto="182" MesReferencia="1"&gt; 0 0 0 0 0 0 0 0 0 0 0 0 &lt;/PrevisaoVAZAO&gt;</v>
      </c>
      <c r="C322" s="76" t="str">
        <f t="shared" ca="1" si="5"/>
        <v>0 0 0 0 0 0 0 0 0 0 0 0</v>
      </c>
      <c r="F322" s="75">
        <v>225</v>
      </c>
    </row>
    <row r="323" spans="1:6" x14ac:dyDescent="0.25">
      <c r="A323" s="75" t="str">
        <f t="shared" ca="1" si="4"/>
        <v>&lt;PrevisaoVAZAO Posto="183" MesReferencia="1"&gt; 165 126 114 82 62 53 46 41 41 52 85 142 &lt;/PrevisaoVAZAO&gt;</v>
      </c>
      <c r="C323" s="76" t="str">
        <f t="shared" ca="1" si="5"/>
        <v>165 126 114 82 62 53 46 41 41 52 85 142</v>
      </c>
      <c r="F323" s="75">
        <v>226</v>
      </c>
    </row>
    <row r="324" spans="1:6" x14ac:dyDescent="0.25">
      <c r="A324" s="75" t="str">
        <f t="shared" ca="1" si="4"/>
        <v>&lt;PrevisaoVAZAO Posto="184" MesReferencia="1"&gt; 0 0 0 0 0 0 0 0 0 0 0 0 &lt;/PrevisaoVAZAO&gt;</v>
      </c>
      <c r="C324" s="76" t="str">
        <f t="shared" ca="1" si="5"/>
        <v>0 0 0 0 0 0 0 0 0 0 0 0</v>
      </c>
      <c r="F324" s="75">
        <v>227</v>
      </c>
    </row>
    <row r="325" spans="1:6" x14ac:dyDescent="0.25">
      <c r="A325" s="75" t="str">
        <f t="shared" ca="1" si="4"/>
        <v>&lt;PrevisaoVAZAO Posto="185" MesReferencia="1"&gt; 0 0 0 0 0 0 0 0 0 0 0 0 &lt;/PrevisaoVAZAO&gt;</v>
      </c>
      <c r="C325" s="76" t="str">
        <f t="shared" ca="1" si="5"/>
        <v>0 0 0 0 0 0 0 0 0 0 0 0</v>
      </c>
      <c r="F325" s="75">
        <v>228</v>
      </c>
    </row>
    <row r="326" spans="1:6" x14ac:dyDescent="0.25">
      <c r="A326" s="75" t="str">
        <f t="shared" ca="1" si="4"/>
        <v>&lt;PrevisaoVAZAO Posto="186" MesReferencia="1"&gt; 0 0 0 0 0 0 0 0 0 0 0 0 &lt;/PrevisaoVAZAO&gt;</v>
      </c>
      <c r="C326" s="76" t="str">
        <f t="shared" ca="1" si="5"/>
        <v>0 0 0 0 0 0 0 0 0 0 0 0</v>
      </c>
      <c r="F326" s="75">
        <v>229</v>
      </c>
    </row>
    <row r="327" spans="1:6" x14ac:dyDescent="0.25">
      <c r="A327" s="75" t="str">
        <f t="shared" ca="1" si="4"/>
        <v>&lt;PrevisaoVAZAO Posto="187" MesReferencia="1"&gt; 122 123 122 101 87 77 68 62 61 68 86 112 &lt;/PrevisaoVAZAO&gt;</v>
      </c>
      <c r="C327" s="76" t="str">
        <f t="shared" ca="1" si="5"/>
        <v>122 123 122 101 87 77 68 62 61 68 86 112</v>
      </c>
      <c r="F327" s="75">
        <v>230</v>
      </c>
    </row>
    <row r="328" spans="1:6" x14ac:dyDescent="0.25">
      <c r="A328" s="75" t="str">
        <f t="shared" ca="1" si="4"/>
        <v>&lt;PrevisaoVAZAO Posto="188" MesReferencia="1"&gt; 812 594 492 339 206 164 138 117 106 169 466 876 &lt;/PrevisaoVAZAO&gt;</v>
      </c>
      <c r="C328" s="76" t="str">
        <f t="shared" ca="1" si="5"/>
        <v>812 594 492 339 206 164 138 117 106 169 466 876</v>
      </c>
      <c r="F328" s="75">
        <v>231</v>
      </c>
    </row>
    <row r="329" spans="1:6" x14ac:dyDescent="0.25">
      <c r="A329" s="75" t="str">
        <f t="shared" ca="1" si="4"/>
        <v>&lt;PrevisaoVAZAO Posto="189" MesReferencia="1"&gt; 0 0 0 0 0 0 0 0 0 0 0 0 &lt;/PrevisaoVAZAO&gt;</v>
      </c>
      <c r="C329" s="76" t="str">
        <f t="shared" ca="1" si="5"/>
        <v>0 0 0 0 0 0 0 0 0 0 0 0</v>
      </c>
      <c r="F329" s="75">
        <v>232</v>
      </c>
    </row>
    <row r="330" spans="1:6" x14ac:dyDescent="0.25">
      <c r="A330" s="75" t="str">
        <f t="shared" ca="1" si="4"/>
        <v>&lt;PrevisaoVAZAO Posto="190" MesReferencia="1"&gt; 647 721 765 675 439 304 263 240 235 285 397 528 &lt;/PrevisaoVAZAO&gt;</v>
      </c>
      <c r="C330" s="76" t="str">
        <f t="shared" ca="1" si="5"/>
        <v>647 721 765 675 439 304 263 240 235 285 397 528</v>
      </c>
      <c r="F330" s="75">
        <v>233</v>
      </c>
    </row>
    <row r="331" spans="1:6" x14ac:dyDescent="0.25">
      <c r="A331" s="75" t="str">
        <f t="shared" ca="1" si="4"/>
        <v>&lt;PrevisaoVAZAO Posto="191" MesReferencia="1"&gt; 1577 1789 1665 1185 632 437 331 258 243 353 635 1172 &lt;/PrevisaoVAZAO&gt;</v>
      </c>
      <c r="C331" s="76" t="str">
        <f t="shared" ca="1" si="5"/>
        <v>1577 1789 1665 1185 632 437 331 258 243 353 635 1172</v>
      </c>
      <c r="F331" s="75">
        <v>234</v>
      </c>
    </row>
    <row r="332" spans="1:6" x14ac:dyDescent="0.25">
      <c r="A332" s="75" t="str">
        <f t="shared" ca="1" si="4"/>
        <v>&lt;PrevisaoVAZAO Posto="192" MesReferencia="1"&gt; 0 0 0 0 0 0 0 0 0 0 0 0 &lt;/PrevisaoVAZAO&gt;</v>
      </c>
      <c r="C332" s="76" t="str">
        <f t="shared" ca="1" si="5"/>
        <v>0 0 0 0 0 0 0 0 0 0 0 0</v>
      </c>
      <c r="F332" s="75">
        <v>235</v>
      </c>
    </row>
    <row r="333" spans="1:6" x14ac:dyDescent="0.25">
      <c r="A333" s="75" t="str">
        <f t="shared" ca="1" si="4"/>
        <v>&lt;PrevisaoVAZAO Posto="193" MesReferencia="1"&gt; 0 0 0 0 0 0 0 0 0 0 0 0 &lt;/PrevisaoVAZAO&gt;</v>
      </c>
      <c r="C333" s="76" t="str">
        <f t="shared" ca="1" si="5"/>
        <v>0 0 0 0 0 0 0 0 0 0 0 0</v>
      </c>
      <c r="F333" s="75">
        <v>236</v>
      </c>
    </row>
    <row r="334" spans="1:6" x14ac:dyDescent="0.25">
      <c r="A334" s="75" t="str">
        <f t="shared" ref="A334:A397" ca="1" si="6">"&lt;PrevisaoVAZAO Posto="""&amp;INDIRECT("'Hidrologia - 1'!B"&amp;F334)&amp;""" MesReferencia=""1""&gt; "&amp;C334&amp;" &lt;/PrevisaoVAZAO&gt;"</f>
        <v>&lt;PrevisaoVAZAO Posto="194" MesReferencia="1"&gt; 0 0 0 0 0 0 0 0 0 0 0 0 &lt;/PrevisaoVAZAO&gt;</v>
      </c>
      <c r="C334" s="76" t="str">
        <f t="shared" ref="C334:C397" ca="1" si="7">SUBSTITUTE(TEXT(INDIRECT("'Hidrologia - 1'!D"&amp;F334),"0") &amp; " " &amp; TEXT(INDIRECT("'Hidrologia - 1'!E"&amp;F334),"0")&amp; " " &amp; TEXT(INDIRECT("'Hidrologia - 1'!F"&amp;F334),"0")&amp; " " &amp; TEXT(INDIRECT("'Hidrologia - 1'!G"&amp;F334),"0")&amp; " " &amp; TEXT(INDIRECT("'Hidrologia - 1'!H"&amp;F334),"0")&amp; " " &amp; TEXT(INDIRECT("'Hidrologia - 1'!I"&amp;F334),"0")&amp; " " &amp; TEXT(INDIRECT("'Hidrologia - 1'!J"&amp;F334),"0")&amp; " " &amp; TEXT(INDIRECT("'Hidrologia - 1'!K"&amp;F334),"0")&amp; " " &amp; TEXT(INDIRECT("'Hidrologia - 1'!L"&amp;F334),"0")&amp; " " &amp; TEXT(INDIRECT("'Hidrologia - 1'!M"&amp;F334),"0")&amp; " " &amp; TEXT(INDIRECT("'Hidrologia - 1'!N"&amp;F334),"0")&amp; " " &amp; TEXT(INDIRECT("'Hidrologia - 1'!O"&amp;F334),"0"),",",".")</f>
        <v>0 0 0 0 0 0 0 0 0 0 0 0</v>
      </c>
      <c r="F334" s="75">
        <v>237</v>
      </c>
    </row>
    <row r="335" spans="1:6" x14ac:dyDescent="0.25">
      <c r="A335" s="75" t="str">
        <f t="shared" ca="1" si="6"/>
        <v>&lt;PrevisaoVAZAO Posto="195" MesReferencia="1"&gt; 0 0 0 0 0 0 0 0 0 0 0 0 &lt;/PrevisaoVAZAO&gt;</v>
      </c>
      <c r="C335" s="76" t="str">
        <f t="shared" ca="1" si="7"/>
        <v>0 0 0 0 0 0 0 0 0 0 0 0</v>
      </c>
      <c r="F335" s="75">
        <v>238</v>
      </c>
    </row>
    <row r="336" spans="1:6" x14ac:dyDescent="0.25">
      <c r="A336" s="75" t="str">
        <f t="shared" ca="1" si="6"/>
        <v>&lt;PrevisaoVAZAO Posto="196" MesReferencia="1"&gt; 62 46 45 37 26 20 18 15 15 19 37 57 &lt;/PrevisaoVAZAO&gt;</v>
      </c>
      <c r="C336" s="76" t="str">
        <f t="shared" ca="1" si="7"/>
        <v>62 46 45 37 26 20 18 15 15 19 37 57</v>
      </c>
      <c r="F336" s="75">
        <v>239</v>
      </c>
    </row>
    <row r="337" spans="1:6" x14ac:dyDescent="0.25">
      <c r="A337" s="75" t="str">
        <f t="shared" ca="1" si="6"/>
        <v>&lt;PrevisaoVAZAO Posto="197" MesReferencia="1"&gt; 64 63 57 42 33 28 25 22 21 24 34 49 &lt;/PrevisaoVAZAO&gt;</v>
      </c>
      <c r="C337" s="76" t="str">
        <f t="shared" ca="1" si="7"/>
        <v>64 63 57 42 33 28 25 22 21 24 34 49</v>
      </c>
      <c r="F337" s="75">
        <v>240</v>
      </c>
    </row>
    <row r="338" spans="1:6" x14ac:dyDescent="0.25">
      <c r="A338" s="75" t="str">
        <f t="shared" ca="1" si="6"/>
        <v>&lt;PrevisaoVAZAO Posto="198" MesReferencia="1"&gt; 128 123 112 83 65 56 49 43 44 50 69 102 &lt;/PrevisaoVAZAO&gt;</v>
      </c>
      <c r="C338" s="76" t="str">
        <f t="shared" ca="1" si="7"/>
        <v>128 123 112 83 65 56 49 43 44 50 69 102</v>
      </c>
      <c r="F338" s="75">
        <v>241</v>
      </c>
    </row>
    <row r="339" spans="1:6" x14ac:dyDescent="0.25">
      <c r="A339" s="75" t="str">
        <f t="shared" ca="1" si="6"/>
        <v>&lt;PrevisaoVAZAO Posto="199" MesReferencia="1"&gt; 1121 1126 1058 771 544 456 385 329 335 397 541 815 &lt;/PrevisaoVAZAO&gt;</v>
      </c>
      <c r="C339" s="76" t="str">
        <f t="shared" ca="1" si="7"/>
        <v>1121 1126 1058 771 544 456 385 329 335 397 541 815</v>
      </c>
      <c r="F339" s="75">
        <v>242</v>
      </c>
    </row>
    <row r="340" spans="1:6" x14ac:dyDescent="0.25">
      <c r="A340" s="75" t="str">
        <f t="shared" ca="1" si="6"/>
        <v>&lt;PrevisaoVAZAO Posto="200" MesReferencia="1"&gt; 0 0 0 0 0 0 0 0 0 0 0 0 &lt;/PrevisaoVAZAO&gt;</v>
      </c>
      <c r="C340" s="76" t="str">
        <f t="shared" ca="1" si="7"/>
        <v>0 0 0 0 0 0 0 0 0 0 0 0</v>
      </c>
      <c r="F340" s="75">
        <v>243</v>
      </c>
    </row>
    <row r="341" spans="1:6" x14ac:dyDescent="0.25">
      <c r="A341" s="75" t="str">
        <f t="shared" ca="1" si="6"/>
        <v>&lt;PrevisaoVAZAO Posto="201" MesReferencia="1"&gt; 24 25 23 18 12 9 7 6 6 8 12 18 &lt;/PrevisaoVAZAO&gt;</v>
      </c>
      <c r="C341" s="76" t="str">
        <f t="shared" ca="1" si="7"/>
        <v>24 25 23 18 12 9 7 6 6 8 12 18</v>
      </c>
      <c r="F341" s="75">
        <v>244</v>
      </c>
    </row>
    <row r="342" spans="1:6" x14ac:dyDescent="0.25">
      <c r="A342" s="75" t="str">
        <f t="shared" ca="1" si="6"/>
        <v>&lt;PrevisaoVAZAO Posto="202" MesReferencia="1"&gt; 10 9 9 7 5 3 3 2 3 3 5 8 &lt;/PrevisaoVAZAO&gt;</v>
      </c>
      <c r="C342" s="76" t="str">
        <f t="shared" ca="1" si="7"/>
        <v>10 9 9 7 5 3 3 2 3 3 5 8</v>
      </c>
      <c r="F342" s="75">
        <v>245</v>
      </c>
    </row>
    <row r="343" spans="1:6" x14ac:dyDescent="0.25">
      <c r="A343" s="75" t="str">
        <f t="shared" ca="1" si="6"/>
        <v>&lt;PrevisaoVAZAO Posto="203" MesReferencia="1"&gt; 41 41 38 30 21 15 12 11 11 13 20 31 &lt;/PrevisaoVAZAO&gt;</v>
      </c>
      <c r="C343" s="76" t="str">
        <f t="shared" ca="1" si="7"/>
        <v>41 41 38 30 21 15 12 11 11 13 20 31</v>
      </c>
      <c r="F343" s="75">
        <v>246</v>
      </c>
    </row>
    <row r="344" spans="1:6" x14ac:dyDescent="0.25">
      <c r="A344" s="75" t="str">
        <f t="shared" ca="1" si="6"/>
        <v>&lt;PrevisaoVAZAO Posto="204" MesReferencia="1"&gt; 528 995 1515 1869 2013 1586 1171 787 455 275 197 228 &lt;/PrevisaoVAZAO&gt;</v>
      </c>
      <c r="C344" s="76" t="str">
        <f t="shared" ca="1" si="7"/>
        <v>528 995 1515 1869 2013 1586 1171 787 455 275 197 228</v>
      </c>
      <c r="F344" s="75">
        <v>247</v>
      </c>
    </row>
    <row r="345" spans="1:6" x14ac:dyDescent="0.25">
      <c r="A345" s="75" t="str">
        <f t="shared" ca="1" si="6"/>
        <v>&lt;PrevisaoVAZAO Posto="205" MesReferencia="1"&gt; 216 238 239 191 119 87 68 53 46 60 99 159 &lt;/PrevisaoVAZAO&gt;</v>
      </c>
      <c r="C345" s="76" t="str">
        <f t="shared" ca="1" si="7"/>
        <v>216 238 239 191 119 87 68 53 46 60 99 159</v>
      </c>
      <c r="F345" s="75">
        <v>248</v>
      </c>
    </row>
    <row r="346" spans="1:6" x14ac:dyDescent="0.25">
      <c r="A346" s="75" t="str">
        <f t="shared" ca="1" si="6"/>
        <v>&lt;PrevisaoVAZAO Posto="206" MesReferencia="1"&gt; 599 605 571 434 298 233 193 159 146 177 260 430 &lt;/PrevisaoVAZAO&gt;</v>
      </c>
      <c r="C346" s="76" t="str">
        <f t="shared" ca="1" si="7"/>
        <v>599 605 571 434 298 233 193 159 146 177 260 430</v>
      </c>
      <c r="F346" s="75">
        <v>249</v>
      </c>
    </row>
    <row r="347" spans="1:6" x14ac:dyDescent="0.25">
      <c r="A347" s="75" t="str">
        <f t="shared" ca="1" si="6"/>
        <v>&lt;PrevisaoVAZAO Posto="207" MesReferencia="1"&gt; 609 617 582 444 304 238 197 163 149 180 265 437 &lt;/PrevisaoVAZAO&gt;</v>
      </c>
      <c r="C347" s="76" t="str">
        <f t="shared" ca="1" si="7"/>
        <v>609 617 582 444 304 238 197 163 149 180 265 437</v>
      </c>
      <c r="F347" s="75">
        <v>250</v>
      </c>
    </row>
    <row r="348" spans="1:6" x14ac:dyDescent="0.25">
      <c r="A348" s="75" t="str">
        <f t="shared" ca="1" si="6"/>
        <v>&lt;PrevisaoVAZAO Posto="208" MesReferencia="1"&gt; 0 0 0 0 0 0 0 0 0 0 0 0 &lt;/PrevisaoVAZAO&gt;</v>
      </c>
      <c r="C348" s="76" t="str">
        <f t="shared" ca="1" si="7"/>
        <v>0 0 0 0 0 0 0 0 0 0 0 0</v>
      </c>
      <c r="F348" s="75">
        <v>251</v>
      </c>
    </row>
    <row r="349" spans="1:6" x14ac:dyDescent="0.25">
      <c r="A349" s="75" t="str">
        <f t="shared" ca="1" si="6"/>
        <v>&lt;PrevisaoVAZAO Posto="209" MesReferencia="1"&gt; 746 821 829 645 406 301 237 186 161 201 336 550 &lt;/PrevisaoVAZAO&gt;</v>
      </c>
      <c r="C349" s="76" t="str">
        <f t="shared" ca="1" si="7"/>
        <v>746 821 829 645 406 301 237 186 161 201 336 550</v>
      </c>
      <c r="F349" s="75">
        <v>252</v>
      </c>
    </row>
    <row r="350" spans="1:6" x14ac:dyDescent="0.25">
      <c r="A350" s="75" t="str">
        <f t="shared" ca="1" si="6"/>
        <v>&lt;PrevisaoVAZAO Posto="210" MesReferencia="1"&gt; 0 0 0 0 0 0 0 0 0 0 0 0 &lt;/PrevisaoVAZAO&gt;</v>
      </c>
      <c r="C350" s="76" t="str">
        <f t="shared" ca="1" si="7"/>
        <v>0 0 0 0 0 0 0 0 0 0 0 0</v>
      </c>
      <c r="F350" s="75">
        <v>253</v>
      </c>
    </row>
    <row r="351" spans="1:6" x14ac:dyDescent="0.25">
      <c r="A351" s="75" t="str">
        <f t="shared" ca="1" si="6"/>
        <v>&lt;PrevisaoVAZAO Posto="211" MesReferencia="1"&gt; 585 519 460 319 234 196 165 140 144 171 253 428 &lt;/PrevisaoVAZAO&gt;</v>
      </c>
      <c r="C351" s="76" t="str">
        <f t="shared" ca="1" si="7"/>
        <v>585 519 460 319 234 196 165 140 144 171 253 428</v>
      </c>
      <c r="F351" s="75">
        <v>254</v>
      </c>
    </row>
    <row r="352" spans="1:6" x14ac:dyDescent="0.25">
      <c r="A352" s="75" t="str">
        <f t="shared" ca="1" si="6"/>
        <v>&lt;PrevisaoVAZAO Posto="212" MesReferencia="1"&gt; 0 0 0 0 0 0 0 0 0 0 0 0 &lt;/PrevisaoVAZAO&gt;</v>
      </c>
      <c r="C352" s="76" t="str">
        <f t="shared" ca="1" si="7"/>
        <v>0 0 0 0 0 0 0 0 0 0 0 0</v>
      </c>
      <c r="F352" s="75">
        <v>255</v>
      </c>
    </row>
    <row r="353" spans="1:6" x14ac:dyDescent="0.25">
      <c r="A353" s="75" t="str">
        <f t="shared" ca="1" si="6"/>
        <v>&lt;PrevisaoVAZAO Posto="213" MesReferencia="1"&gt; 0 0 0 0 0 0 0 0 0 0 0 0 &lt;/PrevisaoVAZAO&gt;</v>
      </c>
      <c r="C353" s="76" t="str">
        <f t="shared" ca="1" si="7"/>
        <v>0 0 0 0 0 0 0 0 0 0 0 0</v>
      </c>
      <c r="F353" s="75">
        <v>256</v>
      </c>
    </row>
    <row r="354" spans="1:6" x14ac:dyDescent="0.25">
      <c r="A354" s="75" t="str">
        <f t="shared" ca="1" si="6"/>
        <v>&lt;PrevisaoVAZAO Posto="214" MesReferencia="1"&gt; 0 0 0 0 0 0 0 0 0 0 0 0 &lt;/PrevisaoVAZAO&gt;</v>
      </c>
      <c r="C354" s="76" t="str">
        <f t="shared" ca="1" si="7"/>
        <v>0 0 0 0 0 0 0 0 0 0 0 0</v>
      </c>
      <c r="F354" s="75">
        <v>257</v>
      </c>
    </row>
    <row r="355" spans="1:6" x14ac:dyDescent="0.25">
      <c r="A355" s="75" t="str">
        <f t="shared" ca="1" si="6"/>
        <v>&lt;PrevisaoVAZAO Posto="215" MesReferencia="1"&gt; 184 236 179 187 253 291 363 379 438 395 236 189 &lt;/PrevisaoVAZAO&gt;</v>
      </c>
      <c r="C355" s="76" t="str">
        <f t="shared" ca="1" si="7"/>
        <v>184 236 179 187 253 291 363 379 438 395 236 189</v>
      </c>
      <c r="F355" s="75">
        <v>258</v>
      </c>
    </row>
    <row r="356" spans="1:6" x14ac:dyDescent="0.25">
      <c r="A356" s="75" t="str">
        <f t="shared" ca="1" si="6"/>
        <v>&lt;PrevisaoVAZAO Posto="216" MesReferencia="1"&gt; 232 284 229 212 280 318 377 381 462 491 316 227 &lt;/PrevisaoVAZAO&gt;</v>
      </c>
      <c r="C356" s="76" t="str">
        <f t="shared" ca="1" si="7"/>
        <v>232 284 229 212 280 318 377 381 462 491 316 227</v>
      </c>
      <c r="F356" s="75">
        <v>259</v>
      </c>
    </row>
    <row r="357" spans="1:6" x14ac:dyDescent="0.25">
      <c r="A357" s="75" t="str">
        <f t="shared" ca="1" si="6"/>
        <v>&lt;PrevisaoVAZAO Posto="217" MesReferencia="1"&gt; 505 632 497 499 680 777 936 955 1123 1124 698 519 &lt;/PrevisaoVAZAO&gt;</v>
      </c>
      <c r="C357" s="76" t="str">
        <f t="shared" ca="1" si="7"/>
        <v>505 632 497 499 680 777 936 955 1123 1124 698 519</v>
      </c>
      <c r="F357" s="75">
        <v>260</v>
      </c>
    </row>
    <row r="358" spans="1:6" x14ac:dyDescent="0.25">
      <c r="A358" s="75" t="str">
        <f t="shared" ca="1" si="6"/>
        <v>&lt;PrevisaoVAZAO Posto="218" MesReferencia="1"&gt; 0 0 0 0 0 0 0 0 0 0 0 0 &lt;/PrevisaoVAZAO&gt;</v>
      </c>
      <c r="C358" s="76" t="str">
        <f t="shared" ca="1" si="7"/>
        <v>0 0 0 0 0 0 0 0 0 0 0 0</v>
      </c>
      <c r="F358" s="75">
        <v>261</v>
      </c>
    </row>
    <row r="359" spans="1:6" x14ac:dyDescent="0.25">
      <c r="A359" s="75" t="str">
        <f t="shared" ca="1" si="6"/>
        <v>&lt;PrevisaoVAZAO Posto="219" MesReferencia="1"&gt; 0 0 0 0 0 0 0 0 0 0 0 0 &lt;/PrevisaoVAZAO&gt;</v>
      </c>
      <c r="C359" s="76" t="str">
        <f t="shared" ca="1" si="7"/>
        <v>0 0 0 0 0 0 0 0 0 0 0 0</v>
      </c>
      <c r="F359" s="75">
        <v>262</v>
      </c>
    </row>
    <row r="360" spans="1:6" x14ac:dyDescent="0.25">
      <c r="A360" s="75" t="str">
        <f t="shared" ca="1" si="6"/>
        <v>&lt;PrevisaoVAZAO Posto="220" MesReferencia="1"&gt; 61 58 50 63 96 121 136 119 131 148 103 80 &lt;/PrevisaoVAZAO&gt;</v>
      </c>
      <c r="C360" s="76" t="str">
        <f t="shared" ca="1" si="7"/>
        <v>61 58 50 63 96 121 136 119 131 148 103 80</v>
      </c>
      <c r="F360" s="75">
        <v>263</v>
      </c>
    </row>
    <row r="361" spans="1:6" x14ac:dyDescent="0.25">
      <c r="A361" s="75" t="str">
        <f t="shared" ca="1" si="6"/>
        <v>&lt;PrevisaoVAZAO Posto="221" MesReferencia="1"&gt; 0 0 0 0 0 0 0 0 0 0 0 0 &lt;/PrevisaoVAZAO&gt;</v>
      </c>
      <c r="C361" s="76" t="str">
        <f t="shared" ca="1" si="7"/>
        <v>0 0 0 0 0 0 0 0 0 0 0 0</v>
      </c>
      <c r="F361" s="75">
        <v>264</v>
      </c>
    </row>
    <row r="362" spans="1:6" x14ac:dyDescent="0.25">
      <c r="A362" s="75" t="str">
        <f t="shared" ca="1" si="6"/>
        <v>&lt;PrevisaoVAZAO Posto="222" MesReferencia="1"&gt; 1162 1262 1115 1024 1325 1643 1564 1259 1466 1960 1474 1189 &lt;/PrevisaoVAZAO&gt;</v>
      </c>
      <c r="C362" s="76" t="str">
        <f t="shared" ca="1" si="7"/>
        <v>1162 1262 1115 1024 1325 1643 1564 1259 1466 1960 1474 1189</v>
      </c>
      <c r="F362" s="75">
        <v>265</v>
      </c>
    </row>
    <row r="363" spans="1:6" x14ac:dyDescent="0.25">
      <c r="A363" s="75" t="str">
        <f t="shared" ca="1" si="6"/>
        <v>&lt;PrevisaoVAZAO Posto="223" MesReferencia="1"&gt; 0 0 0 0 0 0 0 0 0 0 0 0 &lt;/PrevisaoVAZAO&gt;</v>
      </c>
      <c r="C363" s="76" t="str">
        <f t="shared" ca="1" si="7"/>
        <v>0 0 0 0 0 0 0 0 0 0 0 0</v>
      </c>
      <c r="F363" s="75">
        <v>266</v>
      </c>
    </row>
    <row r="364" spans="1:6" x14ac:dyDescent="0.25">
      <c r="A364" s="75" t="str">
        <f t="shared" ca="1" si="6"/>
        <v>&lt;PrevisaoVAZAO Posto="224" MesReferencia="1"&gt; 0 0 0 0 0 0 0 0 0 0 0 0 &lt;/PrevisaoVAZAO&gt;</v>
      </c>
      <c r="C364" s="76" t="str">
        <f t="shared" ca="1" si="7"/>
        <v>0 0 0 0 0 0 0 0 0 0 0 0</v>
      </c>
      <c r="F364" s="75">
        <v>267</v>
      </c>
    </row>
    <row r="365" spans="1:6" x14ac:dyDescent="0.25">
      <c r="A365" s="75" t="str">
        <f t="shared" ca="1" si="6"/>
        <v>&lt;PrevisaoVAZAO Posto="225" MesReferencia="1"&gt; 379 476 511 376 187 75 40 25 20 31 76 213 &lt;/PrevisaoVAZAO&gt;</v>
      </c>
      <c r="C365" s="76" t="str">
        <f t="shared" ca="1" si="7"/>
        <v>379 476 511 376 187 75 40 25 20 31 76 213</v>
      </c>
      <c r="F365" s="75">
        <v>268</v>
      </c>
    </row>
    <row r="366" spans="1:6" x14ac:dyDescent="0.25">
      <c r="A366" s="75" t="str">
        <f t="shared" ca="1" si="6"/>
        <v>&lt;PrevisaoVAZAO Posto="226" MesReferencia="1"&gt; 0 0 0 0 0 0 0 0 0 0 0 0 &lt;/PrevisaoVAZAO&gt;</v>
      </c>
      <c r="C366" s="76" t="str">
        <f t="shared" ca="1" si="7"/>
        <v>0 0 0 0 0 0 0 0 0 0 0 0</v>
      </c>
      <c r="F366" s="75">
        <v>269</v>
      </c>
    </row>
    <row r="367" spans="1:6" x14ac:dyDescent="0.25">
      <c r="A367" s="75" t="str">
        <f t="shared" ca="1" si="6"/>
        <v>&lt;PrevisaoVAZAO Posto="227" MesReferencia="1"&gt; 1449 1616 1627 1292 891 663 529 448 412 480 702 1085 &lt;/PrevisaoVAZAO&gt;</v>
      </c>
      <c r="C367" s="76" t="str">
        <f t="shared" ca="1" si="7"/>
        <v>1449 1616 1627 1292 891 663 529 448 412 480 702 1085</v>
      </c>
      <c r="F367" s="75">
        <v>270</v>
      </c>
    </row>
    <row r="368" spans="1:6" x14ac:dyDescent="0.25">
      <c r="A368" s="75" t="str">
        <f t="shared" ca="1" si="6"/>
        <v>&lt;PrevisaoVAZAO Posto="228" MesReferencia="1"&gt; 1584 1766 1778 1412 973 725 578 490 451 525 767 1186 &lt;/PrevisaoVAZAO&gt;</v>
      </c>
      <c r="C368" s="76" t="str">
        <f t="shared" ca="1" si="7"/>
        <v>1584 1766 1778 1412 973 725 578 490 451 525 767 1186</v>
      </c>
      <c r="F368" s="75">
        <v>271</v>
      </c>
    </row>
    <row r="369" spans="1:6" x14ac:dyDescent="0.25">
      <c r="A369" s="75" t="str">
        <f t="shared" ca="1" si="6"/>
        <v>&lt;PrevisaoVAZAO Posto="229" MesReferencia="1"&gt; 3699 4313 4503 3605 2314 1485 1054 811 706 887 1478 2564 &lt;/PrevisaoVAZAO&gt;</v>
      </c>
      <c r="C369" s="76" t="str">
        <f t="shared" ca="1" si="7"/>
        <v>3699 4313 4503 3605 2314 1485 1054 811 706 887 1478 2564</v>
      </c>
      <c r="F369" s="75">
        <v>272</v>
      </c>
    </row>
    <row r="370" spans="1:6" x14ac:dyDescent="0.25">
      <c r="A370" s="75" t="str">
        <f t="shared" ca="1" si="6"/>
        <v>&lt;PrevisaoVAZAO Posto="230" MesReferencia="1"&gt; 3732 4352 4543 3637 2335 1498 1064 819 712 896 1493 2588 &lt;/PrevisaoVAZAO&gt;</v>
      </c>
      <c r="C370" s="76" t="str">
        <f t="shared" ca="1" si="7"/>
        <v>3732 4352 4543 3637 2335 1498 1064 819 712 896 1493 2588</v>
      </c>
      <c r="F370" s="75">
        <v>273</v>
      </c>
    </row>
    <row r="371" spans="1:6" x14ac:dyDescent="0.25">
      <c r="A371" s="75" t="str">
        <f t="shared" ca="1" si="6"/>
        <v>&lt;PrevisaoVAZAO Posto="231" MesReferencia="1"&gt; 0 0 0 0 0 0 0 0 0 0 0 0 &lt;/PrevisaoVAZAO&gt;</v>
      </c>
      <c r="C371" s="76" t="str">
        <f t="shared" ca="1" si="7"/>
        <v>0 0 0 0 0 0 0 0 0 0 0 0</v>
      </c>
      <c r="F371" s="75">
        <v>274</v>
      </c>
    </row>
    <row r="372" spans="1:6" x14ac:dyDescent="0.25">
      <c r="A372" s="75" t="str">
        <f t="shared" ca="1" si="6"/>
        <v>&lt;PrevisaoVAZAO Posto="232" MesReferencia="1"&gt; 0 0 0 0 0 0 0 0 0 0 0 0 &lt;/PrevisaoVAZAO&gt;</v>
      </c>
      <c r="C372" s="76" t="str">
        <f t="shared" ca="1" si="7"/>
        <v>0 0 0 0 0 0 0 0 0 0 0 0</v>
      </c>
      <c r="F372" s="75">
        <v>275</v>
      </c>
    </row>
    <row r="373" spans="1:6" x14ac:dyDescent="0.25">
      <c r="A373" s="75" t="str">
        <f t="shared" ca="1" si="6"/>
        <v>&lt;PrevisaoVAZAO Posto="233" MesReferencia="1"&gt; 0 0 0 0 0 0 0 0 0 0 0 0 &lt;/PrevisaoVAZAO&gt;</v>
      </c>
      <c r="C373" s="76" t="str">
        <f t="shared" ca="1" si="7"/>
        <v>0 0 0 0 0 0 0 0 0 0 0 0</v>
      </c>
      <c r="F373" s="75">
        <v>276</v>
      </c>
    </row>
    <row r="374" spans="1:6" x14ac:dyDescent="0.25">
      <c r="A374" s="75" t="str">
        <f t="shared" ca="1" si="6"/>
        <v>&lt;PrevisaoVAZAO Posto="234" MesReferencia="1"&gt; 0 0 0 0 0 0 0 0 0 0 0 0 &lt;/PrevisaoVAZAO&gt;</v>
      </c>
      <c r="C374" s="76" t="str">
        <f t="shared" ca="1" si="7"/>
        <v>0 0 0 0 0 0 0 0 0 0 0 0</v>
      </c>
      <c r="F374" s="75">
        <v>277</v>
      </c>
    </row>
    <row r="375" spans="1:6" x14ac:dyDescent="0.25">
      <c r="A375" s="75" t="str">
        <f t="shared" ca="1" si="6"/>
        <v>&lt;PrevisaoVAZAO Posto="235" MesReferencia="1"&gt; 0 0 0 0 0 0 0 0 0 0 0 0 &lt;/PrevisaoVAZAO&gt;</v>
      </c>
      <c r="C375" s="76" t="str">
        <f t="shared" ca="1" si="7"/>
        <v>0 0 0 0 0 0 0 0 0 0 0 0</v>
      </c>
      <c r="F375" s="75">
        <v>278</v>
      </c>
    </row>
    <row r="376" spans="1:6" x14ac:dyDescent="0.25">
      <c r="A376" s="75" t="str">
        <f t="shared" ca="1" si="6"/>
        <v>&lt;PrevisaoVAZAO Posto="236" MesReferencia="1"&gt; 0 0 0 0 0 0 0 0 0 0 0 0 &lt;/PrevisaoVAZAO&gt;</v>
      </c>
      <c r="C376" s="76" t="str">
        <f t="shared" ca="1" si="7"/>
        <v>0 0 0 0 0 0 0 0 0 0 0 0</v>
      </c>
      <c r="F376" s="75">
        <v>279</v>
      </c>
    </row>
    <row r="377" spans="1:6" x14ac:dyDescent="0.25">
      <c r="A377" s="75" t="str">
        <f t="shared" ca="1" si="6"/>
        <v>&lt;PrevisaoVAZAO Posto="237" MesReferencia="1"&gt; 742 785 667 441 347 342 274 231 257 313 340 512 &lt;/PrevisaoVAZAO&gt;</v>
      </c>
      <c r="C377" s="76" t="str">
        <f t="shared" ca="1" si="7"/>
        <v>742 785 667 441 347 342 274 231 257 313 340 512</v>
      </c>
      <c r="F377" s="75">
        <v>280</v>
      </c>
    </row>
    <row r="378" spans="1:6" x14ac:dyDescent="0.25">
      <c r="A378" s="75" t="str">
        <f t="shared" ca="1" si="6"/>
        <v>&lt;PrevisaoVAZAO Posto="238" MesReferencia="1"&gt; 824 875 746 497 392 387 309 261 288 347 378 566 &lt;/PrevisaoVAZAO&gt;</v>
      </c>
      <c r="C378" s="76" t="str">
        <f t="shared" ca="1" si="7"/>
        <v>824 875 746 497 392 387 309 261 288 347 378 566</v>
      </c>
      <c r="F378" s="75">
        <v>281</v>
      </c>
    </row>
    <row r="379" spans="1:6" x14ac:dyDescent="0.25">
      <c r="A379" s="75" t="str">
        <f t="shared" ca="1" si="6"/>
        <v>&lt;PrevisaoVAZAO Posto="239" MesReferencia="1"&gt; 968 1026 882 604 480 470 382 326 354 418 455 676 &lt;/PrevisaoVAZAO&gt;</v>
      </c>
      <c r="C379" s="76" t="str">
        <f t="shared" ca="1" si="7"/>
        <v>968 1026 882 604 480 470 382 326 354 418 455 676</v>
      </c>
      <c r="F379" s="75">
        <v>282</v>
      </c>
    </row>
    <row r="380" spans="1:6" x14ac:dyDescent="0.25">
      <c r="A380" s="75" t="str">
        <f t="shared" ca="1" si="6"/>
        <v>&lt;PrevisaoVAZAO Posto="240" MesReferencia="1"&gt; 1157 1231 1067 727 578 565 464 400 431 503 543 806 &lt;/PrevisaoVAZAO&gt;</v>
      </c>
      <c r="C380" s="76" t="str">
        <f t="shared" ca="1" si="7"/>
        <v>1157 1231 1067 727 578 565 464 400 431 503 543 806</v>
      </c>
      <c r="F380" s="75">
        <v>283</v>
      </c>
    </row>
    <row r="381" spans="1:6" x14ac:dyDescent="0.25">
      <c r="A381" s="75" t="str">
        <f t="shared" ca="1" si="6"/>
        <v>&lt;PrevisaoVAZAO Posto="241" MesReferencia="1"&gt; 262 284 286 231 180 156 140 129 133 151 179 224 &lt;/PrevisaoVAZAO&gt;</v>
      </c>
      <c r="C381" s="76" t="str">
        <f t="shared" ca="1" si="7"/>
        <v>262 284 286 231 180 156 140 129 133 151 179 224</v>
      </c>
      <c r="F381" s="75">
        <v>284</v>
      </c>
    </row>
    <row r="382" spans="1:6" x14ac:dyDescent="0.25">
      <c r="A382" s="75" t="str">
        <f t="shared" ca="1" si="6"/>
        <v>&lt;PrevisaoVAZAO Posto="242" MesReferencia="1"&gt; 1240 1324 1144 777 614 601 492 424 455 533 577 859 &lt;/PrevisaoVAZAO&gt;</v>
      </c>
      <c r="C382" s="76" t="str">
        <f t="shared" ca="1" si="7"/>
        <v>1240 1324 1144 777 614 601 492 424 455 533 577 859</v>
      </c>
      <c r="F382" s="75">
        <v>285</v>
      </c>
    </row>
    <row r="383" spans="1:6" x14ac:dyDescent="0.25">
      <c r="A383" s="75" t="str">
        <f t="shared" ca="1" si="6"/>
        <v>&lt;PrevisaoVAZAO Posto="243" MesReferencia="1"&gt; 1297 1412 1233 848 658 648 530 458 484 566 609 897 &lt;/PrevisaoVAZAO&gt;</v>
      </c>
      <c r="C383" s="76" t="str">
        <f t="shared" ca="1" si="7"/>
        <v>1297 1412 1233 848 658 648 530 458 484 566 609 897</v>
      </c>
      <c r="F383" s="75">
        <v>286</v>
      </c>
    </row>
    <row r="384" spans="1:6" x14ac:dyDescent="0.25">
      <c r="A384" s="75" t="str">
        <f t="shared" ca="1" si="6"/>
        <v>&lt;PrevisaoVAZAO Posto="244" MesReferencia="1"&gt; 10134 10710 10170 7606 5287 4429 3626 3050 2956 3407 4497 7151 &lt;/PrevisaoVAZAO&gt;</v>
      </c>
      <c r="C384" s="76" t="str">
        <f t="shared" ca="1" si="7"/>
        <v>10134 10710 10170 7606 5287 4429 3626 3050 2956 3407 4497 7151</v>
      </c>
      <c r="F384" s="75">
        <v>287</v>
      </c>
    </row>
    <row r="385" spans="1:6" x14ac:dyDescent="0.25">
      <c r="A385" s="75" t="str">
        <f t="shared" ca="1" si="6"/>
        <v>&lt;PrevisaoVAZAO Posto="245" MesReferencia="1"&gt; 10549 11170 10603 7973 5601 4732 3908 3328 3225 3681 4793 7488 &lt;/PrevisaoVAZAO&gt;</v>
      </c>
      <c r="C385" s="76" t="str">
        <f t="shared" ca="1" si="7"/>
        <v>10549 11170 10603 7973 5601 4732 3908 3328 3225 3681 4793 7488</v>
      </c>
      <c r="F385" s="75">
        <v>288</v>
      </c>
    </row>
    <row r="386" spans="1:6" x14ac:dyDescent="0.25">
      <c r="A386" s="75" t="str">
        <f t="shared" ca="1" si="6"/>
        <v>&lt;PrevisaoVAZAO Posto="246" MesReferencia="1"&gt; 11417 12284 11700 9012 6491 5620 4627 3941 3837 4345 5457 8154 &lt;/PrevisaoVAZAO&gt;</v>
      </c>
      <c r="C386" s="76" t="str">
        <f t="shared" ca="1" si="7"/>
        <v>11417 12284 11700 9012 6491 5620 4627 3941 3837 4345 5457 8154</v>
      </c>
      <c r="F386" s="75">
        <v>289</v>
      </c>
    </row>
    <row r="387" spans="1:6" x14ac:dyDescent="0.25">
      <c r="A387" s="75" t="str">
        <f t="shared" ca="1" si="6"/>
        <v>&lt;PrevisaoVAZAO Posto="247" MesReferencia="1"&gt; 286 319 327 253 177 139 116 101 103 126 165 231 &lt;/PrevisaoVAZAO&gt;</v>
      </c>
      <c r="C387" s="76" t="str">
        <f t="shared" ca="1" si="7"/>
        <v>286 319 327 253 177 139 116 101 103 126 165 231</v>
      </c>
      <c r="F387" s="75">
        <v>290</v>
      </c>
    </row>
    <row r="388" spans="1:6" x14ac:dyDescent="0.25">
      <c r="A388" s="75" t="str">
        <f t="shared" ca="1" si="6"/>
        <v>&lt;PrevisaoVAZAO Posto="248" MesReferencia="1"&gt; 297 332 340 263 184 145 121 105 107 132 172 241 &lt;/PrevisaoVAZAO&gt;</v>
      </c>
      <c r="C388" s="76" t="str">
        <f t="shared" ca="1" si="7"/>
        <v>297 332 340 263 184 145 121 105 107 132 172 241</v>
      </c>
      <c r="F388" s="75">
        <v>291</v>
      </c>
    </row>
    <row r="389" spans="1:6" x14ac:dyDescent="0.25">
      <c r="A389" s="75" t="str">
        <f t="shared" ca="1" si="6"/>
        <v>&lt;PrevisaoVAZAO Posto="249" MesReferencia="1"&gt; 506 549 457 330 304 318 282 231 262 311 292 359 &lt;/PrevisaoVAZAO&gt;</v>
      </c>
      <c r="C389" s="76" t="str">
        <f t="shared" ca="1" si="7"/>
        <v>506 549 457 330 304 318 282 231 262 311 292 359</v>
      </c>
      <c r="F389" s="75">
        <v>292</v>
      </c>
    </row>
    <row r="390" spans="1:6" x14ac:dyDescent="0.25">
      <c r="A390" s="75" t="str">
        <f t="shared" ca="1" si="6"/>
        <v>&lt;PrevisaoVAZAO Posto="250" MesReferencia="1"&gt; 0 0 0 0 0 0 0 0 0 0 0 0 &lt;/PrevisaoVAZAO&gt;</v>
      </c>
      <c r="C390" s="76" t="str">
        <f t="shared" ca="1" si="7"/>
        <v>0 0 0 0 0 0 0 0 0 0 0 0</v>
      </c>
      <c r="F390" s="75">
        <v>293</v>
      </c>
    </row>
    <row r="391" spans="1:6" x14ac:dyDescent="0.25">
      <c r="A391" s="75" t="str">
        <f t="shared" ca="1" si="6"/>
        <v>&lt;PrevisaoVAZAO Posto="251" MesReferencia="1"&gt; 317 317 320 242 152 115 91 71 61 72 125 239 &lt;/PrevisaoVAZAO&gt;</v>
      </c>
      <c r="C391" s="76" t="str">
        <f t="shared" ca="1" si="7"/>
        <v>317 317 320 242 152 115 91 71 61 72 125 239</v>
      </c>
      <c r="F391" s="75">
        <v>294</v>
      </c>
    </row>
    <row r="392" spans="1:6" x14ac:dyDescent="0.25">
      <c r="A392" s="75" t="str">
        <f t="shared" ca="1" si="6"/>
        <v>&lt;PrevisaoVAZAO Posto="252" MesReferencia="1"&gt; 101 115 112 89 67 57 51 47 48 52 61 80 &lt;/PrevisaoVAZAO&gt;</v>
      </c>
      <c r="C392" s="76" t="str">
        <f t="shared" ca="1" si="7"/>
        <v>101 115 112 89 67 57 51 47 48 52 61 80</v>
      </c>
      <c r="F392" s="75">
        <v>295</v>
      </c>
    </row>
    <row r="393" spans="1:6" x14ac:dyDescent="0.25">
      <c r="A393" s="75" t="str">
        <f t="shared" ca="1" si="6"/>
        <v>&lt;PrevisaoVAZAO Posto="253" MesReferencia="1"&gt; 1734 1973 1852 1340 710 479 362 282 266 380 689 1291 &lt;/PrevisaoVAZAO&gt;</v>
      </c>
      <c r="C393" s="76" t="str">
        <f t="shared" ca="1" si="7"/>
        <v>1734 1973 1852 1340 710 479 362 282 266 380 689 1291</v>
      </c>
      <c r="F393" s="75">
        <v>296</v>
      </c>
    </row>
    <row r="394" spans="1:6" x14ac:dyDescent="0.25">
      <c r="A394" s="75" t="str">
        <f t="shared" ca="1" si="6"/>
        <v>&lt;PrevisaoVAZAO Posto="254" MesReferencia="1"&gt; 156 156 156 131 80 54 55 44 30 36 95 199 &lt;/PrevisaoVAZAO&gt;</v>
      </c>
      <c r="C394" s="76" t="str">
        <f t="shared" ca="1" si="7"/>
        <v>156 156 156 131 80 54 55 44 30 36 95 199</v>
      </c>
      <c r="F394" s="75">
        <v>297</v>
      </c>
    </row>
    <row r="395" spans="1:6" x14ac:dyDescent="0.25">
      <c r="A395" s="75" t="str">
        <f t="shared" ca="1" si="6"/>
        <v>&lt;PrevisaoVAZAO Posto="255" MesReferencia="1"&gt; 341 231 209 132 70 52 43 36 35 67 198 354 &lt;/PrevisaoVAZAO&gt;</v>
      </c>
      <c r="C395" s="76" t="str">
        <f t="shared" ca="1" si="7"/>
        <v>341 231 209 132 70 52 43 36 35 67 198 354</v>
      </c>
      <c r="F395" s="75">
        <v>298</v>
      </c>
    </row>
    <row r="396" spans="1:6" x14ac:dyDescent="0.25">
      <c r="A396" s="75" t="str">
        <f t="shared" ca="1" si="6"/>
        <v>&lt;PrevisaoVAZAO Posto="256" MesReferencia="1"&gt; 0 0 0 0 0 0 0 0 0 0 0 0 &lt;/PrevisaoVAZAO&gt;</v>
      </c>
      <c r="C396" s="76" t="str">
        <f t="shared" ca="1" si="7"/>
        <v>0 0 0 0 0 0 0 0 0 0 0 0</v>
      </c>
      <c r="F396" s="75">
        <v>299</v>
      </c>
    </row>
    <row r="397" spans="1:6" x14ac:dyDescent="0.25">
      <c r="A397" s="75" t="str">
        <f t="shared" ca="1" si="6"/>
        <v>&lt;PrevisaoVAZAO Posto="257" MesReferencia="1"&gt; 3083 3478 3347 2381 1189 779 596 477 454 626 1181 2302 &lt;/PrevisaoVAZAO&gt;</v>
      </c>
      <c r="C397" s="76" t="str">
        <f t="shared" ca="1" si="7"/>
        <v>3083 3478 3347 2381 1189 779 596 477 454 626 1181 2302</v>
      </c>
      <c r="F397" s="75">
        <v>300</v>
      </c>
    </row>
    <row r="398" spans="1:6" x14ac:dyDescent="0.25">
      <c r="A398" s="75" t="str">
        <f t="shared" ref="A398:A460" ca="1" si="8">"&lt;PrevisaoVAZAO Posto="""&amp;INDIRECT("'Hidrologia - 1'!B"&amp;F398)&amp;""" MesReferencia=""1""&gt; "&amp;C398&amp;" &lt;/PrevisaoVAZAO&gt;"</f>
        <v>&lt;PrevisaoVAZAO Posto="258" MesReferencia="1"&gt; 407 281 245 156 83 62 52 44 42 77 232 422 &lt;/PrevisaoVAZAO&gt;</v>
      </c>
      <c r="C398" s="76" t="str">
        <f t="shared" ref="C398:C460" ca="1" si="9">SUBSTITUTE(TEXT(INDIRECT("'Hidrologia - 1'!D"&amp;F398),"0") &amp; " " &amp; TEXT(INDIRECT("'Hidrologia - 1'!E"&amp;F398),"0")&amp; " " &amp; TEXT(INDIRECT("'Hidrologia - 1'!F"&amp;F398),"0")&amp; " " &amp; TEXT(INDIRECT("'Hidrologia - 1'!G"&amp;F398),"0")&amp; " " &amp; TEXT(INDIRECT("'Hidrologia - 1'!H"&amp;F398),"0")&amp; " " &amp; TEXT(INDIRECT("'Hidrologia - 1'!I"&amp;F398),"0")&amp; " " &amp; TEXT(INDIRECT("'Hidrologia - 1'!J"&amp;F398),"0")&amp; " " &amp; TEXT(INDIRECT("'Hidrologia - 1'!K"&amp;F398),"0")&amp; " " &amp; TEXT(INDIRECT("'Hidrologia - 1'!L"&amp;F398),"0")&amp; " " &amp; TEXT(INDIRECT("'Hidrologia - 1'!M"&amp;F398),"0")&amp; " " &amp; TEXT(INDIRECT("'Hidrologia - 1'!N"&amp;F398),"0")&amp; " " &amp; TEXT(INDIRECT("'Hidrologia - 1'!O"&amp;F398),"0"),",",".")</f>
        <v>407 281 245 156 83 62 52 44 42 77 232 422</v>
      </c>
      <c r="F398" s="75">
        <v>301</v>
      </c>
    </row>
    <row r="399" spans="1:6" x14ac:dyDescent="0.25">
      <c r="A399" s="75" t="str">
        <f t="shared" ca="1" si="8"/>
        <v>&lt;PrevisaoVAZAO Posto="259" MesReferencia="1"&gt; 101 115 112 89 67 57 51 47 48 52 61 80 &lt;/PrevisaoVAZAO&gt;</v>
      </c>
      <c r="C399" s="76" t="str">
        <f t="shared" ca="1" si="9"/>
        <v>101 115 112 89 67 57 51 47 48 52 61 80</v>
      </c>
      <c r="F399" s="75">
        <v>302</v>
      </c>
    </row>
    <row r="400" spans="1:6" x14ac:dyDescent="0.25">
      <c r="A400" s="75" t="str">
        <f t="shared" ca="1" si="8"/>
        <v>&lt;PrevisaoVAZAO Posto="260" MesReferencia="1"&gt; 0 0 0 0 0 0 0 0 0 0 0 0 &lt;/PrevisaoVAZAO&gt;</v>
      </c>
      <c r="C400" s="76" t="str">
        <f t="shared" ca="1" si="9"/>
        <v>0 0 0 0 0 0 0 0 0 0 0 0</v>
      </c>
      <c r="F400" s="75">
        <v>303</v>
      </c>
    </row>
    <row r="401" spans="1:6" x14ac:dyDescent="0.25">
      <c r="A401" s="75" t="str">
        <f t="shared" ca="1" si="8"/>
        <v>&lt;PrevisaoVAZAO Posto="261" MesReferencia="1"&gt; 318 356 364 283 198 156 130 113 115 141 184 257 &lt;/PrevisaoVAZAO&gt;</v>
      </c>
      <c r="C401" s="76" t="str">
        <f t="shared" ca="1" si="9"/>
        <v>318 356 364 283 198 156 130 113 115 141 184 257</v>
      </c>
      <c r="F401" s="75">
        <v>304</v>
      </c>
    </row>
    <row r="402" spans="1:6" x14ac:dyDescent="0.25">
      <c r="A402" s="75" t="str">
        <f t="shared" ca="1" si="8"/>
        <v>&lt;PrevisaoVAZAO Posto="262" MesReferencia="1"&gt; 151 115 104 75 57 48 43 38 38 47 78 129 &lt;/PrevisaoVAZAO&gt;</v>
      </c>
      <c r="C402" s="76" t="str">
        <f t="shared" ca="1" si="9"/>
        <v>151 115 104 75 57 48 43 38 38 47 78 129</v>
      </c>
      <c r="F402" s="75">
        <v>305</v>
      </c>
    </row>
    <row r="403" spans="1:6" x14ac:dyDescent="0.25">
      <c r="A403" s="75" t="str">
        <f t="shared" ca="1" si="8"/>
        <v>&lt;PrevisaoVAZAO Posto="263" MesReferencia="1"&gt; 305 247 221 168 120 99 84 73 70 89 166 265 &lt;/PrevisaoVAZAO&gt;</v>
      </c>
      <c r="C403" s="76" t="str">
        <f t="shared" ca="1" si="9"/>
        <v>305 247 221 168 120 99 84 73 70 89 166 265</v>
      </c>
      <c r="F403" s="75">
        <v>306</v>
      </c>
    </row>
    <row r="404" spans="1:6" x14ac:dyDescent="0.25">
      <c r="A404" s="75" t="str">
        <f t="shared" ca="1" si="8"/>
        <v>&lt;PrevisaoVAZAO Posto="264" MesReferencia="1"&gt; 0 0 0 0 0 0 0 0 0 0 0 0 &lt;/PrevisaoVAZAO&gt;</v>
      </c>
      <c r="C404" s="76" t="str">
        <f t="shared" ca="1" si="9"/>
        <v>0 0 0 0 0 0 0 0 0 0 0 0</v>
      </c>
      <c r="F404" s="75">
        <v>307</v>
      </c>
    </row>
    <row r="405" spans="1:6" x14ac:dyDescent="0.25">
      <c r="A405" s="75" t="str">
        <f t="shared" ca="1" si="8"/>
        <v>&lt;PrevisaoVAZAO Posto="265" MesReferencia="1"&gt; 68 54 48 41 31 27 24 22 21 25 39 61 &lt;/PrevisaoVAZAO&gt;</v>
      </c>
      <c r="C405" s="76" t="str">
        <f t="shared" ca="1" si="9"/>
        <v>68 54 48 41 31 27 24 22 21 25 39 61</v>
      </c>
      <c r="F405" s="75">
        <v>308</v>
      </c>
    </row>
    <row r="406" spans="1:6" x14ac:dyDescent="0.25">
      <c r="A406" s="75" t="str">
        <f t="shared" ca="1" si="8"/>
        <v>&lt;PrevisaoVAZAO Posto="266" MesReferencia="1"&gt; 14718 16054 15026 11978 9594 8931 7610 6336 6398 7662 8441 11148 &lt;/PrevisaoVAZAO&gt;</v>
      </c>
      <c r="C406" s="76" t="str">
        <f t="shared" ca="1" si="9"/>
        <v>14718 16054 15026 11978 9594 8931 7610 6336 6398 7662 8441 11148</v>
      </c>
      <c r="F406" s="75">
        <v>309</v>
      </c>
    </row>
    <row r="407" spans="1:6" x14ac:dyDescent="0.25">
      <c r="A407" s="75" t="str">
        <f t="shared" ca="1" si="8"/>
        <v>&lt;PrevisaoVAZAO Posto="267" MesReferencia="1"&gt; 267 226 202 157 121 105 94 84 84 99 144 227 &lt;/PrevisaoVAZAO&gt;</v>
      </c>
      <c r="C407" s="76" t="str">
        <f t="shared" ca="1" si="9"/>
        <v>267 226 202 157 121 105 94 84 84 99 144 227</v>
      </c>
      <c r="F407" s="75">
        <v>310</v>
      </c>
    </row>
    <row r="408" spans="1:6" x14ac:dyDescent="0.25">
      <c r="A408" s="75" t="str">
        <f t="shared" ca="1" si="8"/>
        <v>&lt;PrevisaoVAZAO Posto="268" MesReferencia="1"&gt; 0 0 0 0 0 0 0 0 0 0 0 0 &lt;/PrevisaoVAZAO&gt;</v>
      </c>
      <c r="C408" s="76" t="str">
        <f t="shared" ca="1" si="9"/>
        <v>0 0 0 0 0 0 0 0 0 0 0 0</v>
      </c>
      <c r="F408" s="75">
        <v>311</v>
      </c>
    </row>
    <row r="409" spans="1:6" x14ac:dyDescent="0.25">
      <c r="A409" s="75" t="str">
        <f t="shared" ca="1" si="8"/>
        <v>&lt;PrevisaoVAZAO Posto="269" MesReferencia="1"&gt; 387 586 752 1021 1189 1050 672 423 313 269 264 292 &lt;/PrevisaoVAZAO&gt;</v>
      </c>
      <c r="C409" s="76" t="str">
        <f t="shared" ca="1" si="9"/>
        <v>387 586 752 1021 1189 1050 672 423 313 269 264 292</v>
      </c>
      <c r="F409" s="75">
        <v>312</v>
      </c>
    </row>
    <row r="410" spans="1:6" x14ac:dyDescent="0.25">
      <c r="A410" s="75" t="str">
        <f t="shared" ca="1" si="8"/>
        <v>&lt;PrevisaoVAZAO Posto="270" MesReferencia="1"&gt; 1414 1607 1491 1060 562 388 292 225 214 312 563 1052 &lt;/PrevisaoVAZAO&gt;</v>
      </c>
      <c r="C410" s="76" t="str">
        <f t="shared" ca="1" si="9"/>
        <v>1414 1607 1491 1060 562 388 292 225 214 312 563 1052</v>
      </c>
      <c r="F410" s="75">
        <v>313</v>
      </c>
    </row>
    <row r="411" spans="1:6" x14ac:dyDescent="0.25">
      <c r="A411" s="75" t="str">
        <f t="shared" ca="1" si="8"/>
        <v>&lt;PrevisaoVAZAO Posto="271" MesReferencia="1"&gt; 6839 8220 8751 7294 4108 2337 1654 1273 1148 1481 2575 4725 &lt;/PrevisaoVAZAO&gt;</v>
      </c>
      <c r="C411" s="76" t="str">
        <f t="shared" ca="1" si="9"/>
        <v>6839 8220 8751 7294 4108 2337 1654 1273 1148 1481 2575 4725</v>
      </c>
      <c r="F411" s="75">
        <v>314</v>
      </c>
    </row>
    <row r="412" spans="1:6" x14ac:dyDescent="0.25">
      <c r="A412" s="75" t="str">
        <f t="shared" ca="1" si="8"/>
        <v>&lt;PrevisaoVAZAO Posto="272" MesReferencia="1"&gt; 0 0 0 0 0 0 0 0 0 0 0 0 &lt;/PrevisaoVAZAO&gt;</v>
      </c>
      <c r="C412" s="76" t="str">
        <f t="shared" ca="1" si="9"/>
        <v>0 0 0 0 0 0 0 0 0 0 0 0</v>
      </c>
      <c r="F412" s="75">
        <v>315</v>
      </c>
    </row>
    <row r="413" spans="1:6" x14ac:dyDescent="0.25">
      <c r="A413" s="75" t="str">
        <f t="shared" ca="1" si="8"/>
        <v>&lt;PrevisaoVAZAO Posto="273" MesReferencia="1"&gt; 4402 5062 5107 3819 1891 1122 806 617 561 784 1553 3139 &lt;/PrevisaoVAZAO&gt;</v>
      </c>
      <c r="C413" s="76" t="str">
        <f t="shared" ca="1" si="9"/>
        <v>4402 5062 5107 3819 1891 1122 806 617 561 784 1553 3139</v>
      </c>
      <c r="F413" s="75">
        <v>316</v>
      </c>
    </row>
    <row r="414" spans="1:6" x14ac:dyDescent="0.25">
      <c r="A414" s="75" t="str">
        <f t="shared" ca="1" si="8"/>
        <v>&lt;PrevisaoVAZAO Posto="274" MesReferencia="1"&gt; 7125 8686 9293 8028 4627 2676 1913 1507 1368 1681 2736 4815 &lt;/PrevisaoVAZAO&gt;</v>
      </c>
      <c r="C414" s="76" t="str">
        <f t="shared" ca="1" si="9"/>
        <v>7125 8686 9293 8028 4627 2676 1913 1507 1368 1681 2736 4815</v>
      </c>
      <c r="F414" s="75">
        <v>317</v>
      </c>
    </row>
    <row r="415" spans="1:6" x14ac:dyDescent="0.25">
      <c r="A415" s="75" t="str">
        <f t="shared" ca="1" si="8"/>
        <v>&lt;PrevisaoVAZAO Posto="275" MesReferencia="1"&gt; 15098 20427 23954 23960 15634 7312 4195 2939 2317 2600 4307 8479 &lt;/PrevisaoVAZAO&gt;</v>
      </c>
      <c r="C415" s="76" t="str">
        <f t="shared" ca="1" si="9"/>
        <v>15098 20427 23954 23960 15634 7312 4195 2939 2317 2600 4307 8479</v>
      </c>
      <c r="F415" s="75">
        <v>318</v>
      </c>
    </row>
    <row r="416" spans="1:6" x14ac:dyDescent="0.25">
      <c r="A416" s="75" t="str">
        <f t="shared" ca="1" si="8"/>
        <v>&lt;PrevisaoVAZAO Posto="276" MesReferencia="1"&gt; 6624 10102 12551 13214 8851 3668 1798 1113 824 953 1644 3327 &lt;/PrevisaoVAZAO&gt;</v>
      </c>
      <c r="C416" s="76" t="str">
        <f t="shared" ca="1" si="9"/>
        <v>6624 10102 12551 13214 8851 3668 1798 1113 824 953 1644 3327</v>
      </c>
      <c r="F416" s="75">
        <v>319</v>
      </c>
    </row>
    <row r="417" spans="1:6" x14ac:dyDescent="0.25">
      <c r="A417" s="75" t="str">
        <f t="shared" ca="1" si="8"/>
        <v>&lt;PrevisaoVAZAO Posto="277" MesReferencia="1"&gt; 144 210 322 406 389 268 198 149 129 116 115 118 &lt;/PrevisaoVAZAO&gt;</v>
      </c>
      <c r="C417" s="76" t="str">
        <f t="shared" ca="1" si="9"/>
        <v>144 210 322 406 389 268 198 149 129 116 115 118</v>
      </c>
      <c r="F417" s="75">
        <v>320</v>
      </c>
    </row>
    <row r="418" spans="1:6" x14ac:dyDescent="0.25">
      <c r="A418" s="75" t="str">
        <f t="shared" ca="1" si="8"/>
        <v>&lt;PrevisaoVAZAO Posto="278" MesReferencia="1"&gt; 303 344 322 216 123 92 78 69 70 94 130 208 &lt;/PrevisaoVAZAO&gt;</v>
      </c>
      <c r="C418" s="76" t="str">
        <f t="shared" ca="1" si="9"/>
        <v>303 344 322 216 123 92 78 69 70 94 130 208</v>
      </c>
      <c r="F418" s="75">
        <v>321</v>
      </c>
    </row>
    <row r="419" spans="1:6" x14ac:dyDescent="0.25">
      <c r="A419" s="75" t="str">
        <f t="shared" ca="1" si="8"/>
        <v>&lt;PrevisaoVAZAO Posto="279" MesReferencia="1"&gt; 481 745 846 759 466 245 144 89 63 61 117 241 &lt;/PrevisaoVAZAO&gt;</v>
      </c>
      <c r="C419" s="76" t="str">
        <f t="shared" ca="1" si="9"/>
        <v>481 745 846 759 466 245 144 89 63 61 117 241</v>
      </c>
      <c r="F419" s="75">
        <v>322</v>
      </c>
    </row>
    <row r="420" spans="1:6" x14ac:dyDescent="0.25">
      <c r="A420" s="75" t="str">
        <f t="shared" ca="1" si="8"/>
        <v>&lt;PrevisaoVAZAO Posto="280" MesReferencia="1"&gt; 529 998 1519 1874 2019 1590 1174 789 456 276 197 229 &lt;/PrevisaoVAZAO&gt;</v>
      </c>
      <c r="C420" s="76" t="str">
        <f t="shared" ca="1" si="9"/>
        <v>529 998 1519 1874 2019 1590 1174 789 456 276 197 229</v>
      </c>
      <c r="F420" s="75">
        <v>323</v>
      </c>
    </row>
    <row r="421" spans="1:6" x14ac:dyDescent="0.25">
      <c r="A421" s="75" t="str">
        <f t="shared" ca="1" si="8"/>
        <v>&lt;PrevisaoVAZAO Posto="281" MesReferencia="1"&gt; 86 91 92 85 77 71 67 64 63 67 72 79 &lt;/PrevisaoVAZAO&gt;</v>
      </c>
      <c r="C421" s="76" t="str">
        <f t="shared" ca="1" si="9"/>
        <v>86 91 92 85 77 71 67 64 63 67 72 79</v>
      </c>
      <c r="F421" s="75">
        <v>324</v>
      </c>
    </row>
    <row r="422" spans="1:6" x14ac:dyDescent="0.25">
      <c r="A422" s="75" t="str">
        <f t="shared" ca="1" si="8"/>
        <v>&lt;PrevisaoVAZAO Posto="282" MesReferencia="1"&gt; 99 105 106 90 74 66 60 56 57 62 71 86 &lt;/PrevisaoVAZAO&gt;</v>
      </c>
      <c r="C422" s="76" t="str">
        <f t="shared" ca="1" si="9"/>
        <v>99 105 106 90 74 66 60 56 57 62 71 86</v>
      </c>
      <c r="F422" s="75">
        <v>325</v>
      </c>
    </row>
    <row r="423" spans="1:6" x14ac:dyDescent="0.25">
      <c r="A423" s="75" t="str">
        <f t="shared" ca="1" si="8"/>
        <v>&lt;PrevisaoVAZAO Posto="283" MesReferencia="1"&gt; 174 122 120 106 73 62 60 50 44 61 122 182 &lt;/PrevisaoVAZAO&gt;</v>
      </c>
      <c r="C423" s="76" t="str">
        <f t="shared" ca="1" si="9"/>
        <v>174 122 120 106 73 62 60 50 44 61 122 182</v>
      </c>
      <c r="F423" s="75">
        <v>326</v>
      </c>
    </row>
    <row r="424" spans="1:6" x14ac:dyDescent="0.25">
      <c r="A424" s="75" t="str">
        <f t="shared" ca="1" si="8"/>
        <v>&lt;PrevisaoVAZAO Posto="284" MesReferencia="1"&gt; 168 211 162 180 248 335 428 433 490 412 236 189 &lt;/PrevisaoVAZAO&gt;</v>
      </c>
      <c r="C424" s="76" t="str">
        <f t="shared" ca="1" si="9"/>
        <v>168 211 162 180 248 335 428 433 490 412 236 189</v>
      </c>
      <c r="F424" s="75">
        <v>327</v>
      </c>
    </row>
    <row r="425" spans="1:6" x14ac:dyDescent="0.25">
      <c r="A425" s="75" t="str">
        <f t="shared" ca="1" si="8"/>
        <v>&lt;PrevisaoVAZAO Posto="285" MesReferencia="1"&gt; 23637 30398 35067 33941 26178 18283 11723 7204 5333 6402 10100 16124 &lt;/PrevisaoVAZAO&gt;</v>
      </c>
      <c r="C425" s="76" t="str">
        <f t="shared" ca="1" si="9"/>
        <v>23637 30398 35067 33941 26178 18283 11723 7204 5333 6402 10100 16124</v>
      </c>
      <c r="F425" s="75">
        <v>328</v>
      </c>
    </row>
    <row r="426" spans="1:6" x14ac:dyDescent="0.25">
      <c r="A426" s="75" t="str">
        <f t="shared" ca="1" si="8"/>
        <v>&lt;PrevisaoVAZAO Posto="286" MesReferencia="1"&gt; 57 66 56 58 83 96 94 88 99 123 83 63 &lt;/PrevisaoVAZAO&gt;</v>
      </c>
      <c r="C426" s="76" t="str">
        <f t="shared" ca="1" si="9"/>
        <v>57 66 56 58 83 96 94 88 99 123 83 63</v>
      </c>
      <c r="F426" s="75">
        <v>329</v>
      </c>
    </row>
    <row r="427" spans="1:6" x14ac:dyDescent="0.25">
      <c r="A427" s="75" t="str">
        <f t="shared" ca="1" si="8"/>
        <v>&lt;PrevisaoVAZAO Posto="287" MesReferencia="1"&gt; 23988 30844 35597 34466 26580 18571 11909 7319 5416 6496 10247 16359 &lt;/PrevisaoVAZAO&gt;</v>
      </c>
      <c r="C427" s="76" t="str">
        <f t="shared" ca="1" si="9"/>
        <v>23988 30844 35597 34466 26580 18571 11909 7319 5416 6496 10247 16359</v>
      </c>
      <c r="F427" s="75">
        <v>330</v>
      </c>
    </row>
    <row r="428" spans="1:6" x14ac:dyDescent="0.25">
      <c r="A428" s="75" t="str">
        <f t="shared" ca="1" si="8"/>
        <v>&lt;PrevisaoVAZAO Posto="288" MesReferencia="1"&gt; 8121 13374 18219 21412 15520 7393 2959 1598 1091 1114 1896 3853 &lt;/PrevisaoVAZAO&gt;</v>
      </c>
      <c r="C428" s="76" t="str">
        <f t="shared" ca="1" si="9"/>
        <v>8121 13374 18219 21412 15520 7393 2959 1598 1091 1114 1896 3853</v>
      </c>
      <c r="F428" s="75">
        <v>331</v>
      </c>
    </row>
    <row r="429" spans="1:6" x14ac:dyDescent="0.25">
      <c r="A429" s="75" t="str">
        <f t="shared" ca="1" si="8"/>
        <v>&lt;PrevisaoVAZAO Posto="289" MesReferencia="1"&gt; 64 68 69 59 49 44 40 38 38 42 47 57 &lt;/PrevisaoVAZAO&gt;</v>
      </c>
      <c r="C429" s="76" t="str">
        <f t="shared" ca="1" si="9"/>
        <v>64 68 69 59 49 44 40 38 38 42 47 57</v>
      </c>
      <c r="F429" s="75">
        <v>332</v>
      </c>
    </row>
    <row r="430" spans="1:6" x14ac:dyDescent="0.25">
      <c r="A430" s="75" t="str">
        <f t="shared" ca="1" si="8"/>
        <v>&lt;PrevisaoVAZAO Posto="290" MesReferencia="1"&gt; 687 1076 1372 1820 2135 2082 1454 965 597 341 248 347 &lt;/PrevisaoVAZAO&gt;</v>
      </c>
      <c r="C430" s="76" t="str">
        <f t="shared" ca="1" si="9"/>
        <v>687 1076 1372 1820 2135 2082 1454 965 597 341 248 347</v>
      </c>
      <c r="F430" s="75">
        <v>333</v>
      </c>
    </row>
    <row r="431" spans="1:6" x14ac:dyDescent="0.25">
      <c r="A431" s="75" t="str">
        <f t="shared" ca="1" si="8"/>
        <v>&lt;PrevisaoVAZAO Posto="291" MesReferencia="1"&gt; 503 745 835 729 463 217 100 58 47 54 93 227 &lt;/PrevisaoVAZAO&gt;</v>
      </c>
      <c r="C431" s="76" t="str">
        <f t="shared" ca="1" si="9"/>
        <v>503 745 835 729 463 217 100 58 47 54 93 227</v>
      </c>
      <c r="F431" s="75">
        <v>334</v>
      </c>
    </row>
    <row r="432" spans="1:6" x14ac:dyDescent="0.25">
      <c r="A432" s="75" t="str">
        <f t="shared" ca="1" si="8"/>
        <v>&lt;PrevisaoVAZAO Posto="292" MesReferencia="1"&gt; 6932 10948 11987 11177 10366 5393 1759 698 348 427 1099 2953 &lt;/PrevisaoVAZAO&gt;</v>
      </c>
      <c r="C432" s="76" t="str">
        <f t="shared" ca="1" si="9"/>
        <v>6932 10948 11987 11177 10366 5393 1759 698 348 427 1099 2953</v>
      </c>
      <c r="F432" s="75">
        <v>335</v>
      </c>
    </row>
    <row r="433" spans="1:6" x14ac:dyDescent="0.25">
      <c r="A433" s="75" t="str">
        <f t="shared" ca="1" si="8"/>
        <v>&lt;PrevisaoVAZAO Posto="293" MesReferencia="1"&gt; 1757 3361 7507 11733 6240 2517 1407 1012 820 765 930 1170 &lt;/PrevisaoVAZAO&gt;</v>
      </c>
      <c r="C433" s="76" t="str">
        <f t="shared" ca="1" si="9"/>
        <v>1757 3361 7507 11733 6240 2517 1407 1012 820 765 930 1170</v>
      </c>
      <c r="F433" s="75">
        <v>336</v>
      </c>
    </row>
    <row r="434" spans="1:6" x14ac:dyDescent="0.25">
      <c r="A434" s="75" t="str">
        <f t="shared" ca="1" si="8"/>
        <v>&lt;PrevisaoVAZAO Posto="294" MesReferencia="1"&gt; 241 261 263 212 165 143 128 119 122 139 165 206 &lt;/PrevisaoVAZAO&gt;</v>
      </c>
      <c r="C434" s="76" t="str">
        <f t="shared" ca="1" si="9"/>
        <v>241 261 263 212 165 143 128 119 122 139 165 206</v>
      </c>
      <c r="F434" s="75">
        <v>337</v>
      </c>
    </row>
    <row r="435" spans="1:6" x14ac:dyDescent="0.25">
      <c r="A435" s="75" t="str">
        <f t="shared" ca="1" si="8"/>
        <v>&lt;PrevisaoVAZAO Posto="295" MesReferencia="1"&gt; 98 102 110 96 84 79 76 72 71 75 79 87 &lt;/PrevisaoVAZAO&gt;</v>
      </c>
      <c r="C435" s="76" t="str">
        <f t="shared" ca="1" si="9"/>
        <v>98 102 110 96 84 79 76 72 71 75 79 87</v>
      </c>
      <c r="F435" s="75">
        <v>338</v>
      </c>
    </row>
    <row r="436" spans="1:6" x14ac:dyDescent="0.25">
      <c r="A436" s="75" t="str">
        <f t="shared" ca="1" si="8"/>
        <v>&lt;PrevisaoVAZAO Posto="296" MesReferencia="1"&gt; 35 37 39 37 34 32 30 30 29 30 31 33 &lt;/PrevisaoVAZAO&gt;</v>
      </c>
      <c r="C436" s="76" t="str">
        <f t="shared" ca="1" si="9"/>
        <v>35 37 39 37 34 32 30 30 29 30 31 33</v>
      </c>
      <c r="F436" s="75">
        <v>339</v>
      </c>
    </row>
    <row r="437" spans="1:6" x14ac:dyDescent="0.25">
      <c r="A437" s="75" t="str">
        <f t="shared" ca="1" si="8"/>
        <v>&lt;PrevisaoVAZAO Posto="297" MesReferencia="1"&gt; 534 1007 1533 1890 2037 1605 1184 796 460 279 199 231 &lt;/PrevisaoVAZAO&gt;</v>
      </c>
      <c r="C437" s="76" t="str">
        <f t="shared" ca="1" si="9"/>
        <v>534 1007 1533 1890 2037 1605 1184 796 460 279 199 231</v>
      </c>
      <c r="F437" s="75">
        <v>340</v>
      </c>
    </row>
    <row r="438" spans="1:6" x14ac:dyDescent="0.25">
      <c r="A438" s="75" t="str">
        <f t="shared" ca="1" si="8"/>
        <v>&lt;PrevisaoVAZAO Posto="298" MesReferencia="1"&gt; 157 157 159 155 138 120 105 92 93 110 134 154 &lt;/PrevisaoVAZAO&gt;</v>
      </c>
      <c r="C438" s="76" t="str">
        <f t="shared" ca="1" si="9"/>
        <v>157 157 159 155 138 120 105 92 93 110 134 154</v>
      </c>
      <c r="F438" s="75">
        <v>341</v>
      </c>
    </row>
    <row r="439" spans="1:6" x14ac:dyDescent="0.25">
      <c r="A439" s="75" t="str">
        <f t="shared" ca="1" si="8"/>
        <v>&lt;PrevisaoVAZAO Posto="299" MesReferencia="1"&gt; 874 877 809 544 357 298 248 210 215 256 363 597 &lt;/PrevisaoVAZAO&gt;</v>
      </c>
      <c r="C439" s="76" t="str">
        <f t="shared" ca="1" si="9"/>
        <v>874 877 809 544 357 298 248 210 215 256 363 597</v>
      </c>
      <c r="F439" s="75">
        <v>342</v>
      </c>
    </row>
    <row r="440" spans="1:6" x14ac:dyDescent="0.25">
      <c r="A440" s="75" t="str">
        <f t="shared" ca="1" si="8"/>
        <v>&lt;PrevisaoVAZAO Posto="300" MesReferencia="1"&gt; 0 0 0 0 0 0 0 0 0 0 0 0 &lt;/PrevisaoVAZAO&gt;</v>
      </c>
      <c r="C440" s="76" t="str">
        <f t="shared" ca="1" si="9"/>
        <v>0 0 0 0 0 0 0 0 0 0 0 0</v>
      </c>
      <c r="F440" s="75">
        <v>343</v>
      </c>
    </row>
    <row r="441" spans="1:6" x14ac:dyDescent="0.25">
      <c r="A441" s="75" t="str">
        <f t="shared" ca="1" si="8"/>
        <v>&lt;PrevisaoVAZAO Posto="301" MesReferencia="1"&gt; 30 30 27 18 13 11 10 9 14 18 18 24 &lt;/PrevisaoVAZAO&gt;</v>
      </c>
      <c r="C441" s="76" t="str">
        <f t="shared" ca="1" si="9"/>
        <v>30 30 27 18 13 11 10 9 14 18 18 24</v>
      </c>
      <c r="F441" s="75">
        <v>344</v>
      </c>
    </row>
    <row r="442" spans="1:6" x14ac:dyDescent="0.25">
      <c r="A442" s="75" t="str">
        <f t="shared" ca="1" si="8"/>
        <v>&lt;PrevisaoVAZAO Posto="302" MesReferencia="1"&gt; 1189 2425 6232 10235 5154 2000 1200 900 743 687 797 900 &lt;/PrevisaoVAZAO&gt;</v>
      </c>
      <c r="C442" s="76" t="str">
        <f t="shared" ca="1" si="9"/>
        <v>1189 2425 6232 10235 5154 2000 1200 900 743 687 797 900</v>
      </c>
      <c r="F442" s="75">
        <v>345</v>
      </c>
    </row>
    <row r="443" spans="1:6" x14ac:dyDescent="0.25">
      <c r="A443" s="75" t="str">
        <f t="shared" ca="1" si="8"/>
        <v>&lt;PrevisaoVAZAO Posto="303" MesReferencia="1"&gt; 45 45 46 41 28 17 12 9 10 15 25 41 &lt;/PrevisaoVAZAO&gt;</v>
      </c>
      <c r="C443" s="76" t="str">
        <f t="shared" ca="1" si="9"/>
        <v>45 45 46 41 28 17 12 9 10 15 25 41</v>
      </c>
      <c r="F443" s="75">
        <v>346</v>
      </c>
    </row>
    <row r="444" spans="1:6" x14ac:dyDescent="0.25">
      <c r="A444" s="75" t="str">
        <f t="shared" ca="1" si="8"/>
        <v>&lt;PrevisaoVAZAO Posto="304" MesReferencia="1"&gt; 3 4 2 1 0 0 0 0 0 0 0 1 &lt;/PrevisaoVAZAO&gt;</v>
      </c>
      <c r="C444" s="76" t="str">
        <f t="shared" ca="1" si="9"/>
        <v>3 4 2 1 0 0 0 0 0 0 0 1</v>
      </c>
      <c r="F444" s="75">
        <v>347</v>
      </c>
    </row>
    <row r="445" spans="1:6" x14ac:dyDescent="0.25">
      <c r="A445" s="75" t="str">
        <f t="shared" ca="1" si="8"/>
        <v>&lt;PrevisaoVAZAO Posto="305" MesReferencia="1"&gt; 0 0 0 0 0 0 0 0 0 0 0 0 &lt;/PrevisaoVAZAO&gt;</v>
      </c>
      <c r="C445" s="76" t="str">
        <f t="shared" ca="1" si="9"/>
        <v>0 0 0 0 0 0 0 0 0 0 0 0</v>
      </c>
      <c r="F445" s="75">
        <v>348</v>
      </c>
    </row>
    <row r="446" spans="1:6" x14ac:dyDescent="0.25">
      <c r="A446" s="75" t="str">
        <f t="shared" ca="1" si="8"/>
        <v>&lt;PrevisaoVAZAO Posto="306" MesReferencia="1"&gt; 188 188 189 183 162 138 121 105 106 126 156 182 &lt;/PrevisaoVAZAO&gt;</v>
      </c>
      <c r="C446" s="76" t="str">
        <f t="shared" ca="1" si="9"/>
        <v>188 188 189 183 162 138 121 105 106 126 156 182</v>
      </c>
      <c r="F446" s="75">
        <v>349</v>
      </c>
    </row>
    <row r="447" spans="1:6" x14ac:dyDescent="0.25">
      <c r="A447" s="75" t="str">
        <f t="shared" ca="1" si="8"/>
        <v>&lt;PrevisaoVAZAO Posto="307" MesReferencia="1"&gt; 0 0 0 0 0 0 0 0 0 0 0 0 &lt;/PrevisaoVAZAO&gt;</v>
      </c>
      <c r="C447" s="76" t="str">
        <f t="shared" ca="1" si="9"/>
        <v>0 0 0 0 0 0 0 0 0 0 0 0</v>
      </c>
      <c r="F447" s="75">
        <v>350</v>
      </c>
    </row>
    <row r="448" spans="1:6" x14ac:dyDescent="0.25">
      <c r="A448" s="75" t="str">
        <f t="shared" ca="1" si="8"/>
        <v>&lt;PrevisaoVAZAO Posto="308" MesReferencia="1"&gt; 0 0 0 0 0 0 0 0 0 0 0 0 &lt;/PrevisaoVAZAO&gt;</v>
      </c>
      <c r="C448" s="76" t="str">
        <f t="shared" ca="1" si="9"/>
        <v>0 0 0 0 0 0 0 0 0 0 0 0</v>
      </c>
      <c r="F448" s="75">
        <v>351</v>
      </c>
    </row>
    <row r="449" spans="1:6" x14ac:dyDescent="0.25">
      <c r="A449" s="75" t="str">
        <f t="shared" ca="1" si="8"/>
        <v>&lt;PrevisaoVAZAO Posto="309" MesReferencia="1"&gt; 0 0 0 0 0 0 0 0 0 0 0 0 &lt;/PrevisaoVAZAO&gt;</v>
      </c>
      <c r="C449" s="76" t="str">
        <f t="shared" ca="1" si="9"/>
        <v>0 0 0 0 0 0 0 0 0 0 0 0</v>
      </c>
      <c r="F449" s="75">
        <v>352</v>
      </c>
    </row>
    <row r="450" spans="1:6" x14ac:dyDescent="0.25">
      <c r="A450" s="75" t="str">
        <f t="shared" ca="1" si="8"/>
        <v>&lt;PrevisaoVAZAO Posto="310" MesReferencia="1"&gt; 0 0 0 0 0 0 0 0 0 0 0 0 &lt;/PrevisaoVAZAO&gt;</v>
      </c>
      <c r="C450" s="76" t="str">
        <f t="shared" ca="1" si="9"/>
        <v>0 0 0 0 0 0 0 0 0 0 0 0</v>
      </c>
      <c r="F450" s="75">
        <v>353</v>
      </c>
    </row>
    <row r="451" spans="1:6" x14ac:dyDescent="0.25">
      <c r="A451" s="75" t="str">
        <f t="shared" ca="1" si="8"/>
        <v>&lt;PrevisaoVAZAO Posto="311" MesReferencia="1"&gt; 0 0 0 0 0 0 0 0 0 0 0 0 &lt;/PrevisaoVAZAO&gt;</v>
      </c>
      <c r="C451" s="76" t="str">
        <f t="shared" ca="1" si="9"/>
        <v>0 0 0 0 0 0 0 0 0 0 0 0</v>
      </c>
      <c r="F451" s="75">
        <v>354</v>
      </c>
    </row>
    <row r="452" spans="1:6" x14ac:dyDescent="0.25">
      <c r="A452" s="75" t="str">
        <f t="shared" ca="1" si="8"/>
        <v>&lt;PrevisaoVAZAO Posto="312" MesReferencia="1"&gt; 0 0 0 0 0 0 0 0 0 0 0 0 &lt;/PrevisaoVAZAO&gt;</v>
      </c>
      <c r="C452" s="76" t="str">
        <f t="shared" ca="1" si="9"/>
        <v>0 0 0 0 0 0 0 0 0 0 0 0</v>
      </c>
      <c r="F452" s="75">
        <v>355</v>
      </c>
    </row>
    <row r="453" spans="1:6" x14ac:dyDescent="0.25">
      <c r="A453" s="75" t="str">
        <f t="shared" ca="1" si="8"/>
        <v>&lt;PrevisaoVAZAO Posto="313" MesReferencia="1"&gt; 320 358 362 280 196 154 129 112 115 142 184 258 &lt;/PrevisaoVAZAO&gt;</v>
      </c>
      <c r="C453" s="76" t="str">
        <f t="shared" ca="1" si="9"/>
        <v>320 358 362 280 196 154 129 112 115 142 184 258</v>
      </c>
      <c r="F453" s="75">
        <v>356</v>
      </c>
    </row>
    <row r="454" spans="1:6" x14ac:dyDescent="0.25">
      <c r="A454" s="75" t="str">
        <f t="shared" ca="1" si="8"/>
        <v>&lt;PrevisaoVAZAO Posto="314" MesReferencia="1"&gt; 926 932 863 586 385 321 267 227 231 274 387 631 &lt;/PrevisaoVAZAO&gt;</v>
      </c>
      <c r="C454" s="76" t="str">
        <f t="shared" ca="1" si="9"/>
        <v>926 932 863 586 385 321 267 227 231 274 387 631</v>
      </c>
      <c r="F454" s="75">
        <v>357</v>
      </c>
    </row>
    <row r="455" spans="1:6" x14ac:dyDescent="0.25">
      <c r="A455" s="75" t="str">
        <f t="shared" ca="1" si="8"/>
        <v>&lt;PrevisaoVAZAO Posto="315" MesReferencia="1"&gt; 178 179 177 168 147 126 110 96 97 115 142 168 &lt;/PrevisaoVAZAO&gt;</v>
      </c>
      <c r="C455" s="76" t="str">
        <f t="shared" ca="1" si="9"/>
        <v>178 179 177 168 147 126 110 96 97 115 142 168</v>
      </c>
      <c r="F455" s="75">
        <v>358</v>
      </c>
    </row>
    <row r="456" spans="1:6" x14ac:dyDescent="0.25">
      <c r="A456" s="75" t="str">
        <f t="shared" ca="1" si="8"/>
        <v>&lt;PrevisaoVAZAO Posto="316" MesReferencia="1"&gt; 175 174 175 168 147 126 110 96 97 115 142 167 &lt;/PrevisaoVAZAO&gt;</v>
      </c>
      <c r="C456" s="76" t="str">
        <f t="shared" ca="1" si="9"/>
        <v>175 174 175 168 147 126 110 96 97 115 142 167</v>
      </c>
      <c r="F456" s="75">
        <v>359</v>
      </c>
    </row>
    <row r="457" spans="1:6" x14ac:dyDescent="0.25">
      <c r="A457" s="75" t="str">
        <f t="shared" ca="1" si="8"/>
        <v>&lt;PrevisaoVAZAO Posto="317" MesReferencia="1"&gt; 4 5 3 1 0 0 0 0 0 1 1 1 &lt;/PrevisaoVAZAO&gt;</v>
      </c>
      <c r="C457" s="76" t="str">
        <f t="shared" ca="1" si="9"/>
        <v>4 5 3 1 0 0 0 0 0 1 1 1</v>
      </c>
      <c r="F457" s="75">
        <v>360</v>
      </c>
    </row>
    <row r="458" spans="1:6" x14ac:dyDescent="0.25">
      <c r="A458" s="75" t="str">
        <f t="shared" ca="1" si="8"/>
        <v>&lt;PrevisaoVAZAO Posto="318" MesReferencia="1"&gt; 64 65 59 41 31 29 24 21 29 36 37 50 &lt;/PrevisaoVAZAO&gt;</v>
      </c>
      <c r="C458" s="76" t="str">
        <f t="shared" ca="1" si="9"/>
        <v>64 65 59 41 31 29 24 21 29 36 37 50</v>
      </c>
      <c r="F458" s="75">
        <v>361</v>
      </c>
    </row>
    <row r="459" spans="1:6" x14ac:dyDescent="0.25">
      <c r="A459" s="75" t="str">
        <f t="shared" ca="1" si="8"/>
        <v>&lt;PrevisaoVAZAO Posto="319" MesReferencia="1"&gt; 58 60 53 37 29 26 22 20 26 33 34 45 &lt;/PrevisaoVAZAO&gt;</v>
      </c>
      <c r="C459" s="76" t="str">
        <f t="shared" ca="1" si="9"/>
        <v>58 60 53 37 29 26 22 20 26 33 34 45</v>
      </c>
      <c r="F459" s="75">
        <v>362</v>
      </c>
    </row>
    <row r="460" spans="1:6" x14ac:dyDescent="0.25">
      <c r="A460" s="75" t="str">
        <f t="shared" ca="1" si="8"/>
        <v>&lt;PrevisaoVAZAO Posto="320" MesReferencia="1"&gt; 31 30 27 19 13 11 10 9 14 18 19 25 &lt;/PrevisaoVAZAO&gt;</v>
      </c>
      <c r="C460" s="76" t="str">
        <f t="shared" ca="1" si="9"/>
        <v>31 30 27 19 13 11 10 9 14 18 19 25</v>
      </c>
      <c r="F460" s="75">
        <v>363</v>
      </c>
    </row>
    <row r="500" spans="1:1" x14ac:dyDescent="0.25">
      <c r="A500" t="s">
        <v>107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23</vt:i4>
      </vt:variant>
    </vt:vector>
  </HeadingPairs>
  <TitlesOfParts>
    <vt:vector size="26" baseType="lpstr">
      <vt:lpstr>Geral</vt:lpstr>
      <vt:lpstr>Hidrologia - 1</vt:lpstr>
      <vt:lpstr>XML</vt:lpstr>
      <vt:lpstr>_alteracao</vt:lpstr>
      <vt:lpstr>_arvore</vt:lpstr>
      <vt:lpstr>_CaminhoXml</vt:lpstr>
      <vt:lpstr>_DecompBase</vt:lpstr>
      <vt:lpstr>_earm</vt:lpstr>
      <vt:lpstr>'Hidrologia - 1'!_ena</vt:lpstr>
      <vt:lpstr>'Hidrologia - 1'!_enaMeta</vt:lpstr>
      <vt:lpstr>_NewaveBase</vt:lpstr>
      <vt:lpstr>'Hidrologia - 1'!_nome</vt:lpstr>
      <vt:lpstr>_NomeDoEstudo</vt:lpstr>
      <vt:lpstr>_redat</vt:lpstr>
      <vt:lpstr>_rhe</vt:lpstr>
      <vt:lpstr>_rhq</vt:lpstr>
      <vt:lpstr>_rhv</vt:lpstr>
      <vt:lpstr>_tipoEarm</vt:lpstr>
      <vt:lpstr>'Hidrologia - 1'!_var</vt:lpstr>
      <vt:lpstr>'Hidrologia - 1'!_varInf</vt:lpstr>
      <vt:lpstr>_varInfMatriz</vt:lpstr>
      <vt:lpstr>'Hidrologia - 1'!_varSup</vt:lpstr>
      <vt:lpstr>_varSupMatriz</vt:lpstr>
      <vt:lpstr>'Hidrologia - 1'!_vazoes</vt:lpstr>
      <vt:lpstr>_ve</vt:lpstr>
      <vt:lpstr>_wbCen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Canducci</dc:creator>
  <cp:lastModifiedBy>Douglas Canducci</cp:lastModifiedBy>
  <dcterms:created xsi:type="dcterms:W3CDTF">2016-01-19T17:54:11Z</dcterms:created>
  <dcterms:modified xsi:type="dcterms:W3CDTF">2018-02-21T20:58:27Z</dcterms:modified>
</cp:coreProperties>
</file>