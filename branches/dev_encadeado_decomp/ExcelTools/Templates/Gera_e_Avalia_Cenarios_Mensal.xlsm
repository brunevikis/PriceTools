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EstaPasta_de_trabalho"/>
  <bookViews>
    <workbookView xWindow="-15" yWindow="-15" windowWidth="10200" windowHeight="8460" firstSheet="6" activeTab="11"/>
  </bookViews>
  <sheets>
    <sheet name="Resumo" sheetId="7" r:id="rId1"/>
    <sheet name="Entrada" sheetId="36" r:id="rId2"/>
    <sheet name="Cen1" sheetId="31" r:id="rId3"/>
    <sheet name="Referencia" sheetId="37" r:id="rId4"/>
    <sheet name="MemEntrada" sheetId="30" r:id="rId5"/>
    <sheet name="MemCen1" sheetId="32" r:id="rId6"/>
    <sheet name="MemMlt" sheetId="25" r:id="rId7"/>
    <sheet name="Usinas" sheetId="19" r:id="rId8"/>
    <sheet name="Postos" sheetId="18" state="hidden" r:id="rId9"/>
    <sheet name="Bacias" sheetId="20" state="hidden" r:id="rId10"/>
    <sheet name="Ajustes" sheetId="22" r:id="rId11"/>
    <sheet name="AjustesCen1" sheetId="34" r:id="rId12"/>
    <sheet name="Prevs" sheetId="35" state="hidden" r:id="rId13"/>
  </sheets>
  <definedNames>
    <definedName name="_xlnm._FilterDatabase" localSheetId="10" hidden="1">Ajustes!$A$1:$Z$323</definedName>
    <definedName name="_xlnm._FilterDatabase" localSheetId="11" hidden="1">AjustesCen1!$A$3:$AX$323</definedName>
    <definedName name="_xlnm._FilterDatabase" localSheetId="8" hidden="1">Postos!$A$1:$H$196</definedName>
    <definedName name="solver_eng" localSheetId="2" hidden="1">1</definedName>
    <definedName name="solver_eng" localSheetId="1" hidden="1">1</definedName>
    <definedName name="solver_neg" localSheetId="2" hidden="1">1</definedName>
    <definedName name="solver_neg" localSheetId="1" hidden="1">1</definedName>
    <definedName name="solver_num" localSheetId="2" hidden="1">0</definedName>
    <definedName name="solver_num" localSheetId="1" hidden="1">0</definedName>
    <definedName name="solver_opt" localSheetId="2" hidden="1">'Cen1'!$C$14</definedName>
    <definedName name="solver_opt" localSheetId="1" hidden="1">Entrada!$C$14</definedName>
    <definedName name="solver_typ" localSheetId="2" hidden="1">2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AX122" i="34" l="1"/>
  <c r="AW122" i="34"/>
  <c r="AV122" i="34"/>
  <c r="AU122" i="34"/>
  <c r="AT122" i="34"/>
  <c r="AS122" i="34"/>
  <c r="AR122" i="34"/>
  <c r="AQ122" i="34"/>
  <c r="AP122" i="34"/>
  <c r="AO122" i="34"/>
  <c r="AN122" i="34"/>
  <c r="AM122" i="34"/>
  <c r="AN40" i="34"/>
  <c r="AO40" i="34"/>
  <c r="AP40" i="34"/>
  <c r="AQ40" i="34"/>
  <c r="AR40" i="34"/>
  <c r="AS40" i="34"/>
  <c r="AT40" i="34"/>
  <c r="AU40" i="34"/>
  <c r="AV40" i="34"/>
  <c r="AW40" i="34"/>
  <c r="AX40" i="34"/>
  <c r="AN41" i="34"/>
  <c r="AO41" i="34"/>
  <c r="AP41" i="34"/>
  <c r="AQ41" i="34"/>
  <c r="AR41" i="34"/>
  <c r="AS41" i="34"/>
  <c r="AT41" i="34"/>
  <c r="AU41" i="34"/>
  <c r="AV41" i="34"/>
  <c r="AW41" i="34"/>
  <c r="AX41" i="34"/>
  <c r="AN42" i="34"/>
  <c r="AO42" i="34"/>
  <c r="AP42" i="34"/>
  <c r="AQ42" i="34"/>
  <c r="AR42" i="34"/>
  <c r="AS42" i="34"/>
  <c r="AT42" i="34"/>
  <c r="AU42" i="34"/>
  <c r="AV42" i="34"/>
  <c r="AW42" i="34"/>
  <c r="AX42" i="34"/>
  <c r="AN43" i="34"/>
  <c r="AO43" i="34"/>
  <c r="AP43" i="34"/>
  <c r="AQ43" i="34"/>
  <c r="AR43" i="34"/>
  <c r="AS43" i="34"/>
  <c r="AT43" i="34"/>
  <c r="AU43" i="34"/>
  <c r="AV43" i="34"/>
  <c r="AW43" i="34"/>
  <c r="AX43" i="34"/>
  <c r="AN44" i="34"/>
  <c r="AO44" i="34"/>
  <c r="AP44" i="34"/>
  <c r="AQ44" i="34"/>
  <c r="AR44" i="34"/>
  <c r="AS44" i="34"/>
  <c r="AT44" i="34"/>
  <c r="AU44" i="34"/>
  <c r="AV44" i="34"/>
  <c r="AW44" i="34"/>
  <c r="AX44" i="34"/>
  <c r="AN45" i="34"/>
  <c r="AO45" i="34"/>
  <c r="AP45" i="34"/>
  <c r="AQ45" i="34"/>
  <c r="AR45" i="34"/>
  <c r="AS45" i="34"/>
  <c r="AT45" i="34"/>
  <c r="AU45" i="34"/>
  <c r="AV45" i="34"/>
  <c r="AW45" i="34"/>
  <c r="AX45" i="34"/>
  <c r="AN46" i="34"/>
  <c r="AO46" i="34"/>
  <c r="AP46" i="34"/>
  <c r="AQ46" i="34"/>
  <c r="AR46" i="34"/>
  <c r="AS46" i="34"/>
  <c r="AT46" i="34"/>
  <c r="AU46" i="34"/>
  <c r="AV46" i="34"/>
  <c r="AW46" i="34"/>
  <c r="AX46" i="34"/>
  <c r="AN47" i="34"/>
  <c r="AO47" i="34"/>
  <c r="AP47" i="34"/>
  <c r="AQ47" i="34"/>
  <c r="AR47" i="34"/>
  <c r="AS47" i="34"/>
  <c r="AT47" i="34"/>
  <c r="AU47" i="34"/>
  <c r="AV47" i="34"/>
  <c r="AW47" i="34"/>
  <c r="AX47" i="34"/>
  <c r="AN48" i="34"/>
  <c r="AO48" i="34"/>
  <c r="AP48" i="34"/>
  <c r="AQ48" i="34"/>
  <c r="AR48" i="34"/>
  <c r="AS48" i="34"/>
  <c r="AT48" i="34"/>
  <c r="AU48" i="34"/>
  <c r="AV48" i="34"/>
  <c r="AW48" i="34"/>
  <c r="AX48" i="34"/>
  <c r="AN49" i="34"/>
  <c r="AO49" i="34"/>
  <c r="AP49" i="34"/>
  <c r="AQ49" i="34"/>
  <c r="AR49" i="34"/>
  <c r="AS49" i="34"/>
  <c r="AT49" i="34"/>
  <c r="AU49" i="34"/>
  <c r="AV49" i="34"/>
  <c r="AW49" i="34"/>
  <c r="AX49" i="34"/>
  <c r="AM49" i="34"/>
  <c r="AM48" i="34"/>
  <c r="AM47" i="34"/>
  <c r="AM46" i="34"/>
  <c r="AM45" i="34"/>
  <c r="AM44" i="34"/>
  <c r="AM43" i="34"/>
  <c r="AM42" i="34"/>
  <c r="AM41" i="34"/>
  <c r="AM40" i="34"/>
  <c r="N323" i="22" l="1"/>
  <c r="T323" i="22" s="1"/>
  <c r="N322" i="22"/>
  <c r="N321" i="22"/>
  <c r="N320" i="22"/>
  <c r="Z320" i="22" s="1"/>
  <c r="N319" i="22"/>
  <c r="X319" i="22" s="1"/>
  <c r="N318" i="22"/>
  <c r="Y318" i="22" s="1"/>
  <c r="N317" i="22"/>
  <c r="O317" i="22" s="1"/>
  <c r="N316" i="22"/>
  <c r="Y316" i="22" s="1"/>
  <c r="N315" i="22"/>
  <c r="N314" i="22"/>
  <c r="Q314" i="22" s="1"/>
  <c r="N313" i="22"/>
  <c r="N312" i="22"/>
  <c r="Q312" i="22" s="1"/>
  <c r="N311" i="22"/>
  <c r="Z311" i="22" s="1"/>
  <c r="N310" i="22"/>
  <c r="Q310" i="22" s="1"/>
  <c r="N309" i="22"/>
  <c r="N308" i="22"/>
  <c r="Z308" i="22" s="1"/>
  <c r="N307" i="22"/>
  <c r="Z307" i="22" s="1"/>
  <c r="N306" i="22"/>
  <c r="N305" i="22"/>
  <c r="W305" i="22" s="1"/>
  <c r="N304" i="22"/>
  <c r="Y304" i="22" s="1"/>
  <c r="N303" i="22"/>
  <c r="N302" i="22"/>
  <c r="V302" i="22" s="1"/>
  <c r="N301" i="22"/>
  <c r="N300" i="22"/>
  <c r="Y300" i="22" s="1"/>
  <c r="N299" i="22"/>
  <c r="N298" i="22"/>
  <c r="V298" i="22" s="1"/>
  <c r="N297" i="22"/>
  <c r="S297" i="22" s="1"/>
  <c r="N296" i="22"/>
  <c r="Z296" i="22" s="1"/>
  <c r="N295" i="22"/>
  <c r="W295" i="22" s="1"/>
  <c r="N294" i="22"/>
  <c r="Q294" i="22" s="1"/>
  <c r="N293" i="22"/>
  <c r="N292" i="22"/>
  <c r="Z292" i="22" s="1"/>
  <c r="N291" i="22"/>
  <c r="X291" i="22" s="1"/>
  <c r="N290" i="22"/>
  <c r="N289" i="22"/>
  <c r="Z289" i="22" s="1"/>
  <c r="N288" i="22"/>
  <c r="N287" i="22"/>
  <c r="N286" i="22"/>
  <c r="Z286" i="22" s="1"/>
  <c r="N285" i="22"/>
  <c r="Z285" i="22" s="1"/>
  <c r="N284" i="22"/>
  <c r="O284" i="22" s="1"/>
  <c r="N283" i="22"/>
  <c r="X283" i="22" s="1"/>
  <c r="N282" i="22"/>
  <c r="W282" i="22" s="1"/>
  <c r="N281" i="22"/>
  <c r="X281" i="22" s="1"/>
  <c r="N280" i="22"/>
  <c r="O280" i="22" s="1"/>
  <c r="N279" i="22"/>
  <c r="N278" i="22"/>
  <c r="U278" i="22" s="1"/>
  <c r="N277" i="22"/>
  <c r="N276" i="22"/>
  <c r="S276" i="22" s="1"/>
  <c r="N275" i="22"/>
  <c r="Z275" i="22" s="1"/>
  <c r="N274" i="22"/>
  <c r="N273" i="22"/>
  <c r="S273" i="22" s="1"/>
  <c r="N272" i="22"/>
  <c r="W272" i="22" s="1"/>
  <c r="N271" i="22"/>
  <c r="Y271" i="22" s="1"/>
  <c r="N270" i="22"/>
  <c r="N269" i="22"/>
  <c r="N268" i="22"/>
  <c r="Y268" i="22" s="1"/>
  <c r="N267" i="22"/>
  <c r="N266" i="22"/>
  <c r="Y266" i="22" s="1"/>
  <c r="N265" i="22"/>
  <c r="N264" i="22"/>
  <c r="N263" i="22"/>
  <c r="U263" i="22" s="1"/>
  <c r="N262" i="22"/>
  <c r="V262" i="22" s="1"/>
  <c r="N261" i="22"/>
  <c r="R261" i="22" s="1"/>
  <c r="N260" i="22"/>
  <c r="P260" i="22" s="1"/>
  <c r="N259" i="22"/>
  <c r="U259" i="22" s="1"/>
  <c r="N258" i="22"/>
  <c r="R258" i="22" s="1"/>
  <c r="N257" i="22"/>
  <c r="R257" i="22" s="1"/>
  <c r="N256" i="22"/>
  <c r="N255" i="22"/>
  <c r="W255" i="22" s="1"/>
  <c r="N254" i="22"/>
  <c r="Z254" i="22" s="1"/>
  <c r="N253" i="22"/>
  <c r="O253" i="22" s="1"/>
  <c r="N252" i="22"/>
  <c r="N251" i="22"/>
  <c r="Z251" i="22" s="1"/>
  <c r="N250" i="22"/>
  <c r="N249" i="22"/>
  <c r="S249" i="22" s="1"/>
  <c r="N248" i="22"/>
  <c r="Y248" i="22" s="1"/>
  <c r="N247" i="22"/>
  <c r="T247" i="22" s="1"/>
  <c r="N246" i="22"/>
  <c r="U246" i="22" s="1"/>
  <c r="N245" i="22"/>
  <c r="W245" i="22" s="1"/>
  <c r="N244" i="22"/>
  <c r="Y244" i="22" s="1"/>
  <c r="N243" i="22"/>
  <c r="Q243" i="22" s="1"/>
  <c r="N242" i="22"/>
  <c r="Z242" i="22" s="1"/>
  <c r="N241" i="22"/>
  <c r="W241" i="22" s="1"/>
  <c r="N240" i="22"/>
  <c r="N239" i="22"/>
  <c r="Z239" i="22" s="1"/>
  <c r="N238" i="22"/>
  <c r="Q238" i="22" s="1"/>
  <c r="N237" i="22"/>
  <c r="O237" i="22" s="1"/>
  <c r="N236" i="22"/>
  <c r="S236" i="22" s="1"/>
  <c r="N235" i="22"/>
  <c r="Z235" i="22" s="1"/>
  <c r="N234" i="22"/>
  <c r="N233" i="22"/>
  <c r="Z233" i="22" s="1"/>
  <c r="N232" i="22"/>
  <c r="W232" i="22" s="1"/>
  <c r="N231" i="22"/>
  <c r="N230" i="22"/>
  <c r="N229" i="22"/>
  <c r="Z229" i="22" s="1"/>
  <c r="N228" i="22"/>
  <c r="N227" i="22"/>
  <c r="Y227" i="22" s="1"/>
  <c r="N226" i="22"/>
  <c r="N225" i="22"/>
  <c r="Y225" i="22" s="1"/>
  <c r="N224" i="22"/>
  <c r="N223" i="22"/>
  <c r="N222" i="22"/>
  <c r="Z222" i="22" s="1"/>
  <c r="N221" i="22"/>
  <c r="Y221" i="22" s="1"/>
  <c r="N220" i="22"/>
  <c r="Z220" i="22" s="1"/>
  <c r="N219" i="22"/>
  <c r="W219" i="22" s="1"/>
  <c r="N218" i="22"/>
  <c r="N217" i="22"/>
  <c r="Y217" i="22" s="1"/>
  <c r="N216" i="22"/>
  <c r="W216" i="22" s="1"/>
  <c r="N215" i="22"/>
  <c r="N214" i="22"/>
  <c r="N213" i="22"/>
  <c r="Q213" i="22" s="1"/>
  <c r="N212" i="22"/>
  <c r="N211" i="22"/>
  <c r="O211" i="22" s="1"/>
  <c r="N210" i="22"/>
  <c r="N209" i="22"/>
  <c r="Z209" i="22" s="1"/>
  <c r="N208" i="22"/>
  <c r="O208" i="22" s="1"/>
  <c r="N207" i="22"/>
  <c r="X207" i="22" s="1"/>
  <c r="N206" i="22"/>
  <c r="P206" i="22" s="1"/>
  <c r="N205" i="22"/>
  <c r="Q205" i="22" s="1"/>
  <c r="N204" i="22"/>
  <c r="N203" i="22"/>
  <c r="W203" i="22" s="1"/>
  <c r="N202" i="22"/>
  <c r="Z202" i="22" s="1"/>
  <c r="N201" i="22"/>
  <c r="V201" i="22" s="1"/>
  <c r="N200" i="22"/>
  <c r="N199" i="22"/>
  <c r="O199" i="22" s="1"/>
  <c r="N198" i="22"/>
  <c r="P198" i="22" s="1"/>
  <c r="N197" i="22"/>
  <c r="N196" i="22"/>
  <c r="N195" i="22"/>
  <c r="T195" i="22" s="1"/>
  <c r="N194" i="22"/>
  <c r="T194" i="22" s="1"/>
  <c r="N193" i="22"/>
  <c r="N192" i="22"/>
  <c r="R192" i="22" s="1"/>
  <c r="N191" i="22"/>
  <c r="O191" i="22" s="1"/>
  <c r="N190" i="22"/>
  <c r="T190" i="22" s="1"/>
  <c r="N189" i="22"/>
  <c r="N188" i="22"/>
  <c r="W188" i="22" s="1"/>
  <c r="N187" i="22"/>
  <c r="W187" i="22" s="1"/>
  <c r="N186" i="22"/>
  <c r="P186" i="22" s="1"/>
  <c r="N185" i="22"/>
  <c r="Y185" i="22" s="1"/>
  <c r="N184" i="22"/>
  <c r="N183" i="22"/>
  <c r="Y183" i="22" s="1"/>
  <c r="N182" i="22"/>
  <c r="P182" i="22" s="1"/>
  <c r="N181" i="22"/>
  <c r="R181" i="22" s="1"/>
  <c r="N180" i="22"/>
  <c r="N179" i="22"/>
  <c r="Y179" i="22" s="1"/>
  <c r="N178" i="22"/>
  <c r="Q178" i="22" s="1"/>
  <c r="N177" i="22"/>
  <c r="R177" i="22" s="1"/>
  <c r="N176" i="22"/>
  <c r="N175" i="22"/>
  <c r="U175" i="22" s="1"/>
  <c r="N174" i="22"/>
  <c r="U174" i="22" s="1"/>
  <c r="N173" i="22"/>
  <c r="N172" i="22"/>
  <c r="P172" i="22" s="1"/>
  <c r="N171" i="22"/>
  <c r="X171" i="22" s="1"/>
  <c r="N170" i="22"/>
  <c r="U170" i="22" s="1"/>
  <c r="N169" i="22"/>
  <c r="W169" i="22" s="1"/>
  <c r="N168" i="22"/>
  <c r="Z168" i="22" s="1"/>
  <c r="N167" i="22"/>
  <c r="X167" i="22" s="1"/>
  <c r="N166" i="22"/>
  <c r="N165" i="22"/>
  <c r="N164" i="22"/>
  <c r="Z164" i="22" s="1"/>
  <c r="N163" i="22"/>
  <c r="W163" i="22" s="1"/>
  <c r="N162" i="22"/>
  <c r="N161" i="22"/>
  <c r="W161" i="22" s="1"/>
  <c r="N160" i="22"/>
  <c r="Z160" i="22" s="1"/>
  <c r="N159" i="22"/>
  <c r="N158" i="22"/>
  <c r="X158" i="22" s="1"/>
  <c r="N157" i="22"/>
  <c r="W157" i="22" s="1"/>
  <c r="N156" i="22"/>
  <c r="V156" i="22" s="1"/>
  <c r="N155" i="22"/>
  <c r="Z155" i="22" s="1"/>
  <c r="N154" i="22"/>
  <c r="U154" i="22" s="1"/>
  <c r="N153" i="22"/>
  <c r="S153" i="22" s="1"/>
  <c r="N152" i="22"/>
  <c r="W152" i="22" s="1"/>
  <c r="N151" i="22"/>
  <c r="S151" i="22" s="1"/>
  <c r="N150" i="22"/>
  <c r="X150" i="22" s="1"/>
  <c r="N149" i="22"/>
  <c r="R149" i="22" s="1"/>
  <c r="N148" i="22"/>
  <c r="W148" i="22" s="1"/>
  <c r="N147" i="22"/>
  <c r="X147" i="22" s="1"/>
  <c r="N146" i="22"/>
  <c r="X146" i="22" s="1"/>
  <c r="N145" i="22"/>
  <c r="W145" i="22" s="1"/>
  <c r="N144" i="22"/>
  <c r="N143" i="22"/>
  <c r="Z143" i="22" s="1"/>
  <c r="N142" i="22"/>
  <c r="U142" i="22" s="1"/>
  <c r="N141" i="22"/>
  <c r="W141" i="22" s="1"/>
  <c r="N140" i="22"/>
  <c r="W140" i="22" s="1"/>
  <c r="N139" i="22"/>
  <c r="N138" i="22"/>
  <c r="X138" i="22" s="1"/>
  <c r="N137" i="22"/>
  <c r="N136" i="22"/>
  <c r="O136" i="22" s="1"/>
  <c r="N135" i="22"/>
  <c r="Z135" i="22" s="1"/>
  <c r="N134" i="22"/>
  <c r="N133" i="22"/>
  <c r="W133" i="22" s="1"/>
  <c r="N132" i="22"/>
  <c r="Z132" i="22" s="1"/>
  <c r="N131" i="22"/>
  <c r="Z131" i="22" s="1"/>
  <c r="N130" i="22"/>
  <c r="V130" i="22" s="1"/>
  <c r="N129" i="22"/>
  <c r="S129" i="22" s="1"/>
  <c r="N128" i="22"/>
  <c r="W128" i="22" s="1"/>
  <c r="N127" i="22"/>
  <c r="W127" i="22" s="1"/>
  <c r="N126" i="22"/>
  <c r="Z126" i="22" s="1"/>
  <c r="N125" i="22"/>
  <c r="O125" i="22" s="1"/>
  <c r="N124" i="22"/>
  <c r="U124" i="22" s="1"/>
  <c r="N123" i="22"/>
  <c r="Z123" i="22" s="1"/>
  <c r="N122" i="22"/>
  <c r="W122" i="22" s="1"/>
  <c r="N121" i="22"/>
  <c r="X121" i="22" s="1"/>
  <c r="N120" i="22"/>
  <c r="U120" i="22" s="1"/>
  <c r="N119" i="22"/>
  <c r="U119" i="22" s="1"/>
  <c r="N118" i="22"/>
  <c r="N117" i="22"/>
  <c r="Z117" i="22" s="1"/>
  <c r="N116" i="22"/>
  <c r="T116" i="22" s="1"/>
  <c r="N115" i="22"/>
  <c r="Y115" i="22" s="1"/>
  <c r="N114" i="22"/>
  <c r="N113" i="22"/>
  <c r="Z113" i="22" s="1"/>
  <c r="N112" i="22"/>
  <c r="T112" i="22" s="1"/>
  <c r="N111" i="22"/>
  <c r="U111" i="22" s="1"/>
  <c r="N110" i="22"/>
  <c r="Z110" i="22" s="1"/>
  <c r="N109" i="22"/>
  <c r="Z109" i="22" s="1"/>
  <c r="N108" i="22"/>
  <c r="Q108" i="22" s="1"/>
  <c r="N107" i="22"/>
  <c r="N106" i="22"/>
  <c r="W106" i="22" s="1"/>
  <c r="N105" i="22"/>
  <c r="Z105" i="22" s="1"/>
  <c r="N104" i="22"/>
  <c r="S104" i="22" s="1"/>
  <c r="N103" i="22"/>
  <c r="Y103" i="22" s="1"/>
  <c r="N102" i="22"/>
  <c r="N101" i="22"/>
  <c r="Z101" i="22" s="1"/>
  <c r="N100" i="22"/>
  <c r="T100" i="22" s="1"/>
  <c r="N99" i="22"/>
  <c r="Y99" i="22" s="1"/>
  <c r="N98" i="22"/>
  <c r="N97" i="22"/>
  <c r="Z97" i="22" s="1"/>
  <c r="N96" i="22"/>
  <c r="T96" i="22" s="1"/>
  <c r="N95" i="22"/>
  <c r="U95" i="22" s="1"/>
  <c r="N94" i="22"/>
  <c r="Z94" i="22" s="1"/>
  <c r="N93" i="22"/>
  <c r="Z93" i="22" s="1"/>
  <c r="N92" i="22"/>
  <c r="Q92" i="22" s="1"/>
  <c r="N91" i="22"/>
  <c r="N90" i="22"/>
  <c r="S90" i="22" s="1"/>
  <c r="N89" i="22"/>
  <c r="Z89" i="22" s="1"/>
  <c r="N88" i="22"/>
  <c r="W88" i="22" s="1"/>
  <c r="N87" i="22"/>
  <c r="Y87" i="22" s="1"/>
  <c r="N86" i="22"/>
  <c r="N85" i="22"/>
  <c r="Z85" i="22" s="1"/>
  <c r="N84" i="22"/>
  <c r="N83" i="22"/>
  <c r="N82" i="22"/>
  <c r="W82" i="22" s="1"/>
  <c r="N81" i="22"/>
  <c r="N80" i="22"/>
  <c r="Z80" i="22" s="1"/>
  <c r="N79" i="22"/>
  <c r="Z79" i="22" s="1"/>
  <c r="N78" i="22"/>
  <c r="V78" i="22" s="1"/>
  <c r="N77" i="22"/>
  <c r="Z77" i="22" s="1"/>
  <c r="N76" i="22"/>
  <c r="Y76" i="22" s="1"/>
  <c r="N75" i="22"/>
  <c r="N74" i="22"/>
  <c r="W74" i="22" s="1"/>
  <c r="N73" i="22"/>
  <c r="R73" i="22" s="1"/>
  <c r="N72" i="22"/>
  <c r="Z72" i="22" s="1"/>
  <c r="N71" i="22"/>
  <c r="X71" i="22" s="1"/>
  <c r="N70" i="22"/>
  <c r="V70" i="22" s="1"/>
  <c r="N69" i="22"/>
  <c r="W69" i="22" s="1"/>
  <c r="N68" i="22"/>
  <c r="T68" i="22" s="1"/>
  <c r="N67" i="22"/>
  <c r="N66" i="22"/>
  <c r="W66" i="22" s="1"/>
  <c r="N65" i="22"/>
  <c r="N64" i="22"/>
  <c r="Z64" i="22" s="1"/>
  <c r="N63" i="22"/>
  <c r="Z63" i="22" s="1"/>
  <c r="N62" i="22"/>
  <c r="V62" i="22" s="1"/>
  <c r="N61" i="22"/>
  <c r="W61" i="22" s="1"/>
  <c r="N60" i="22"/>
  <c r="Y60" i="22" s="1"/>
  <c r="N59" i="22"/>
  <c r="N58" i="22"/>
  <c r="W58" i="22" s="1"/>
  <c r="N57" i="22"/>
  <c r="R57" i="22" s="1"/>
  <c r="N56" i="22"/>
  <c r="Z56" i="22" s="1"/>
  <c r="N55" i="22"/>
  <c r="R55" i="22" s="1"/>
  <c r="N54" i="22"/>
  <c r="V54" i="22" s="1"/>
  <c r="N53" i="22"/>
  <c r="Z53" i="22" s="1"/>
  <c r="N52" i="22"/>
  <c r="N51" i="22"/>
  <c r="N50" i="22"/>
  <c r="W50" i="22" s="1"/>
  <c r="N49" i="22"/>
  <c r="N48" i="22"/>
  <c r="Z48" i="22" s="1"/>
  <c r="N47" i="22"/>
  <c r="X47" i="22" s="1"/>
  <c r="N46" i="22"/>
  <c r="U46" i="22" s="1"/>
  <c r="N45" i="22"/>
  <c r="Z45" i="22" s="1"/>
  <c r="N44" i="22"/>
  <c r="Y44" i="22" s="1"/>
  <c r="N43" i="22"/>
  <c r="N42" i="22"/>
  <c r="W42" i="22" s="1"/>
  <c r="N41" i="22"/>
  <c r="R41" i="22" s="1"/>
  <c r="N40" i="22"/>
  <c r="Z40" i="22" s="1"/>
  <c r="N39" i="22"/>
  <c r="Z39" i="22" s="1"/>
  <c r="N38" i="22"/>
  <c r="Z38" i="22" s="1"/>
  <c r="N37" i="22"/>
  <c r="X37" i="22" s="1"/>
  <c r="N36" i="22"/>
  <c r="Y36" i="22" s="1"/>
  <c r="N35" i="22"/>
  <c r="Z35" i="22" s="1"/>
  <c r="N34" i="22"/>
  <c r="N33" i="22"/>
  <c r="Q33" i="22" s="1"/>
  <c r="N32" i="22"/>
  <c r="Y32" i="22" s="1"/>
  <c r="N31" i="22"/>
  <c r="W31" i="22" s="1"/>
  <c r="N30" i="22"/>
  <c r="Z30" i="22" s="1"/>
  <c r="N29" i="22"/>
  <c r="X29" i="22" s="1"/>
  <c r="N28" i="22"/>
  <c r="Y28" i="22" s="1"/>
  <c r="N27" i="22"/>
  <c r="Z27" i="22" s="1"/>
  <c r="N26" i="22"/>
  <c r="N25" i="22"/>
  <c r="Q25" i="22" s="1"/>
  <c r="N24" i="22"/>
  <c r="Y24" i="22" s="1"/>
  <c r="N23" i="22"/>
  <c r="T23" i="22" s="1"/>
  <c r="N22" i="22"/>
  <c r="Z22" i="22" s="1"/>
  <c r="N21" i="22"/>
  <c r="X21" i="22" s="1"/>
  <c r="N20" i="22"/>
  <c r="Y20" i="22" s="1"/>
  <c r="N19" i="22"/>
  <c r="Z19" i="22" s="1"/>
  <c r="N18" i="22"/>
  <c r="N17" i="22"/>
  <c r="Q17" i="22" s="1"/>
  <c r="N16" i="22"/>
  <c r="Y16" i="22" s="1"/>
  <c r="N15" i="22"/>
  <c r="W15" i="22" s="1"/>
  <c r="N14" i="22"/>
  <c r="Z14" i="22" s="1"/>
  <c r="N13" i="22"/>
  <c r="X13" i="22" s="1"/>
  <c r="N12" i="22"/>
  <c r="Y12" i="22" s="1"/>
  <c r="N11" i="22"/>
  <c r="Z11" i="22" s="1"/>
  <c r="N10" i="22"/>
  <c r="O10" i="22" s="1"/>
  <c r="N9" i="22"/>
  <c r="N8" i="22"/>
  <c r="Y8" i="22" s="1"/>
  <c r="N7" i="22"/>
  <c r="N6" i="22"/>
  <c r="Z6" i="22" s="1"/>
  <c r="N5" i="22"/>
  <c r="X5" i="22" s="1"/>
  <c r="N4" i="22"/>
  <c r="Y4" i="22" s="1"/>
  <c r="B1" i="36"/>
  <c r="P160" i="22" l="1"/>
  <c r="O179" i="22"/>
  <c r="O82" i="22"/>
  <c r="Z130" i="22"/>
  <c r="W104" i="22"/>
  <c r="O247" i="22"/>
  <c r="O30" i="22"/>
  <c r="P188" i="22"/>
  <c r="O304" i="22"/>
  <c r="X11" i="22"/>
  <c r="O14" i="22"/>
  <c r="Y29" i="22"/>
  <c r="T183" i="22"/>
  <c r="U201" i="22"/>
  <c r="P235" i="22"/>
  <c r="U251" i="22"/>
  <c r="P308" i="22"/>
  <c r="O72" i="22"/>
  <c r="O202" i="22"/>
  <c r="Z213" i="22"/>
  <c r="Q307" i="22"/>
  <c r="O42" i="22"/>
  <c r="U103" i="22"/>
  <c r="O105" i="22"/>
  <c r="O131" i="22"/>
  <c r="P183" i="22"/>
  <c r="X248" i="22"/>
  <c r="P251" i="22"/>
  <c r="Q320" i="22"/>
  <c r="W14" i="22"/>
  <c r="Q21" i="22"/>
  <c r="W30" i="22"/>
  <c r="Q37" i="22"/>
  <c r="X39" i="22"/>
  <c r="U62" i="22"/>
  <c r="W72" i="22"/>
  <c r="U115" i="22"/>
  <c r="W131" i="22"/>
  <c r="S203" i="22"/>
  <c r="U239" i="22"/>
  <c r="P38" i="22"/>
  <c r="Q40" i="22"/>
  <c r="Z42" i="22"/>
  <c r="R45" i="22"/>
  <c r="P128" i="22"/>
  <c r="V132" i="22"/>
  <c r="P135" i="22"/>
  <c r="Z138" i="22"/>
  <c r="S145" i="22"/>
  <c r="T152" i="22"/>
  <c r="Q183" i="22"/>
  <c r="Y202" i="22"/>
  <c r="W235" i="22"/>
  <c r="P268" i="22"/>
  <c r="S316" i="22"/>
  <c r="Q22" i="22"/>
  <c r="Y38" i="22"/>
  <c r="W53" i="22"/>
  <c r="X55" i="22"/>
  <c r="W93" i="22"/>
  <c r="Q150" i="22"/>
  <c r="P275" i="22"/>
  <c r="Z298" i="22"/>
  <c r="U5" i="22"/>
  <c r="P11" i="22"/>
  <c r="Y21" i="22"/>
  <c r="W22" i="22"/>
  <c r="Q29" i="22"/>
  <c r="Q30" i="22"/>
  <c r="O38" i="22"/>
  <c r="Y40" i="22"/>
  <c r="Q42" i="22"/>
  <c r="Q72" i="22"/>
  <c r="R77" i="22"/>
  <c r="P80" i="22"/>
  <c r="Z82" i="22"/>
  <c r="S85" i="22"/>
  <c r="O97" i="22"/>
  <c r="P117" i="22"/>
  <c r="S124" i="22"/>
  <c r="P130" i="22"/>
  <c r="Q131" i="22"/>
  <c r="W149" i="22"/>
  <c r="U150" i="22"/>
  <c r="P155" i="22"/>
  <c r="Q158" i="22"/>
  <c r="W164" i="22"/>
  <c r="T175" i="22"/>
  <c r="O188" i="22"/>
  <c r="O192" i="22"/>
  <c r="S195" i="22"/>
  <c r="Q209" i="22"/>
  <c r="S244" i="22"/>
  <c r="P248" i="22"/>
  <c r="U258" i="22"/>
  <c r="T260" i="22"/>
  <c r="T275" i="22"/>
  <c r="Y281" i="22"/>
  <c r="X295" i="22"/>
  <c r="R297" i="22"/>
  <c r="W312" i="22"/>
  <c r="S97" i="22"/>
  <c r="T10" i="22"/>
  <c r="Q14" i="22"/>
  <c r="O22" i="22"/>
  <c r="Y37" i="22"/>
  <c r="Q38" i="22"/>
  <c r="R53" i="22"/>
  <c r="T76" i="22"/>
  <c r="O93" i="22"/>
  <c r="X97" i="22"/>
  <c r="P113" i="22"/>
  <c r="P150" i="22"/>
  <c r="V154" i="22"/>
  <c r="X187" i="22"/>
  <c r="Q202" i="22"/>
  <c r="Q222" i="22"/>
  <c r="Q235" i="22"/>
  <c r="X243" i="22"/>
  <c r="S245" i="22"/>
  <c r="Y247" i="22"/>
  <c r="Q251" i="22"/>
  <c r="W257" i="22"/>
  <c r="X259" i="22"/>
  <c r="O275" i="22"/>
  <c r="Z280" i="22"/>
  <c r="T286" i="22"/>
  <c r="Q296" i="22"/>
  <c r="O298" i="22"/>
  <c r="T300" i="22"/>
  <c r="U308" i="22"/>
  <c r="T311" i="22"/>
  <c r="T316" i="22"/>
  <c r="U320" i="22"/>
  <c r="Q64" i="22"/>
  <c r="X117" i="22"/>
  <c r="S157" i="22"/>
  <c r="S168" i="22"/>
  <c r="W172" i="22"/>
  <c r="V174" i="22"/>
  <c r="Z178" i="22"/>
  <c r="Q186" i="22"/>
  <c r="X194" i="22"/>
  <c r="Q198" i="22"/>
  <c r="S199" i="22"/>
  <c r="U205" i="22"/>
  <c r="Y222" i="22"/>
  <c r="S227" i="22"/>
  <c r="R229" i="22"/>
  <c r="S292" i="22"/>
  <c r="Q6" i="22"/>
  <c r="P14" i="22"/>
  <c r="Y14" i="22"/>
  <c r="U22" i="22"/>
  <c r="W23" i="22"/>
  <c r="U29" i="22"/>
  <c r="P30" i="22"/>
  <c r="Y30" i="22"/>
  <c r="V38" i="22"/>
  <c r="W45" i="22"/>
  <c r="R47" i="22"/>
  <c r="O50" i="22"/>
  <c r="P56" i="22"/>
  <c r="X63" i="22"/>
  <c r="U64" i="22"/>
  <c r="Q66" i="22"/>
  <c r="P72" i="22"/>
  <c r="Y72" i="22"/>
  <c r="Z74" i="22"/>
  <c r="R79" i="22"/>
  <c r="W80" i="22"/>
  <c r="Q82" i="22"/>
  <c r="P93" i="22"/>
  <c r="Q95" i="22"/>
  <c r="Q115" i="22"/>
  <c r="O117" i="22"/>
  <c r="O128" i="22"/>
  <c r="U131" i="22"/>
  <c r="O132" i="22"/>
  <c r="W135" i="22"/>
  <c r="P138" i="22"/>
  <c r="P140" i="22"/>
  <c r="P143" i="22"/>
  <c r="O152" i="22"/>
  <c r="O160" i="22"/>
  <c r="O164" i="22"/>
  <c r="X168" i="22"/>
  <c r="T171" i="22"/>
  <c r="Y198" i="22"/>
  <c r="W199" i="22"/>
  <c r="X202" i="22"/>
  <c r="Z205" i="22"/>
  <c r="P222" i="22"/>
  <c r="U229" i="22"/>
  <c r="T236" i="22"/>
  <c r="O241" i="22"/>
  <c r="S257" i="22"/>
  <c r="O268" i="22"/>
  <c r="V280" i="22"/>
  <c r="W284" i="22"/>
  <c r="O286" i="22"/>
  <c r="O295" i="22"/>
  <c r="Z305" i="22"/>
  <c r="W317" i="22"/>
  <c r="P320" i="22"/>
  <c r="U6" i="22"/>
  <c r="Z50" i="22"/>
  <c r="W56" i="22"/>
  <c r="Y64" i="22"/>
  <c r="X79" i="22"/>
  <c r="R241" i="22"/>
  <c r="Y5" i="22"/>
  <c r="S10" i="22"/>
  <c r="S11" i="22"/>
  <c r="U14" i="22"/>
  <c r="U21" i="22"/>
  <c r="P22" i="22"/>
  <c r="Y22" i="22"/>
  <c r="U30" i="22"/>
  <c r="U37" i="22"/>
  <c r="V46" i="22"/>
  <c r="S60" i="22"/>
  <c r="O64" i="22"/>
  <c r="U72" i="22"/>
  <c r="P101" i="22"/>
  <c r="W105" i="22"/>
  <c r="S108" i="22"/>
  <c r="R111" i="22"/>
  <c r="S117" i="22"/>
  <c r="T128" i="22"/>
  <c r="P131" i="22"/>
  <c r="Y131" i="22"/>
  <c r="O147" i="22"/>
  <c r="R157" i="22"/>
  <c r="W160" i="22"/>
  <c r="X163" i="22"/>
  <c r="O168" i="22"/>
  <c r="O172" i="22"/>
  <c r="P178" i="22"/>
  <c r="P194" i="22"/>
  <c r="P202" i="22"/>
  <c r="T222" i="22"/>
  <c r="P227" i="22"/>
  <c r="Q229" i="22"/>
  <c r="Y235" i="22"/>
  <c r="S241" i="22"/>
  <c r="Z245" i="22"/>
  <c r="S247" i="22"/>
  <c r="S248" i="22"/>
  <c r="W268" i="22"/>
  <c r="Y275" i="22"/>
  <c r="Y285" i="22"/>
  <c r="Y286" i="22"/>
  <c r="O292" i="22"/>
  <c r="X294" i="22"/>
  <c r="Q302" i="22"/>
  <c r="X304" i="22"/>
  <c r="Q308" i="22"/>
  <c r="W27" i="22"/>
  <c r="W35" i="22"/>
  <c r="T48" i="22"/>
  <c r="X89" i="22"/>
  <c r="Z99" i="22"/>
  <c r="X109" i="22"/>
  <c r="Z146" i="22"/>
  <c r="Z148" i="22"/>
  <c r="Z161" i="22"/>
  <c r="W180" i="22"/>
  <c r="P180" i="22"/>
  <c r="W212" i="22"/>
  <c r="Z212" i="22"/>
  <c r="Y250" i="22"/>
  <c r="V250" i="22"/>
  <c r="Q250" i="22"/>
  <c r="Y270" i="22"/>
  <c r="R270" i="22"/>
  <c r="Q270" i="22"/>
  <c r="U270" i="22"/>
  <c r="U13" i="22"/>
  <c r="O19" i="22"/>
  <c r="X19" i="22"/>
  <c r="W6" i="22"/>
  <c r="Y10" i="22"/>
  <c r="P35" i="22"/>
  <c r="O40" i="22"/>
  <c r="U40" i="22"/>
  <c r="T44" i="22"/>
  <c r="P48" i="22"/>
  <c r="T56" i="22"/>
  <c r="P6" i="22"/>
  <c r="T14" i="22"/>
  <c r="S19" i="22"/>
  <c r="T22" i="22"/>
  <c r="S27" i="22"/>
  <c r="T30" i="22"/>
  <c r="S35" i="22"/>
  <c r="U38" i="22"/>
  <c r="R39" i="22"/>
  <c r="P40" i="22"/>
  <c r="W40" i="22"/>
  <c r="Q48" i="22"/>
  <c r="Y48" i="22"/>
  <c r="Q50" i="22"/>
  <c r="O56" i="22"/>
  <c r="U56" i="22"/>
  <c r="Z58" i="22"/>
  <c r="T60" i="22"/>
  <c r="R63" i="22"/>
  <c r="P64" i="22"/>
  <c r="W64" i="22"/>
  <c r="O66" i="22"/>
  <c r="T72" i="22"/>
  <c r="Q74" i="22"/>
  <c r="S76" i="22"/>
  <c r="W77" i="22"/>
  <c r="O80" i="22"/>
  <c r="U80" i="22"/>
  <c r="P85" i="22"/>
  <c r="W89" i="22"/>
  <c r="X93" i="22"/>
  <c r="R95" i="22"/>
  <c r="P97" i="22"/>
  <c r="U99" i="22"/>
  <c r="O101" i="22"/>
  <c r="X101" i="22"/>
  <c r="P105" i="22"/>
  <c r="S106" i="22"/>
  <c r="W108" i="22"/>
  <c r="W109" i="22"/>
  <c r="Q111" i="22"/>
  <c r="O113" i="22"/>
  <c r="X113" i="22"/>
  <c r="R115" i="22"/>
  <c r="W117" i="22"/>
  <c r="S122" i="22"/>
  <c r="Z128" i="22"/>
  <c r="T131" i="22"/>
  <c r="O135" i="22"/>
  <c r="U135" i="22"/>
  <c r="Q138" i="22"/>
  <c r="O140" i="22"/>
  <c r="O143" i="22"/>
  <c r="Y143" i="22"/>
  <c r="U146" i="22"/>
  <c r="T148" i="22"/>
  <c r="Z150" i="22"/>
  <c r="T151" i="22"/>
  <c r="P152" i="22"/>
  <c r="O155" i="22"/>
  <c r="Y155" i="22"/>
  <c r="P158" i="22"/>
  <c r="X160" i="22"/>
  <c r="S161" i="22"/>
  <c r="P164" i="22"/>
  <c r="P168" i="22"/>
  <c r="P175" i="22"/>
  <c r="W177" i="22"/>
  <c r="S177" i="22"/>
  <c r="Z180" i="22"/>
  <c r="Z183" i="22"/>
  <c r="U183" i="22"/>
  <c r="O183" i="22"/>
  <c r="W183" i="22"/>
  <c r="X186" i="22"/>
  <c r="Z186" i="22"/>
  <c r="W191" i="22"/>
  <c r="T191" i="22"/>
  <c r="Z198" i="22"/>
  <c r="X198" i="22"/>
  <c r="Y199" i="22"/>
  <c r="P199" i="22"/>
  <c r="X199" i="22"/>
  <c r="P203" i="22"/>
  <c r="Y205" i="22"/>
  <c r="R205" i="22"/>
  <c r="Y209" i="22"/>
  <c r="R209" i="22"/>
  <c r="S216" i="22"/>
  <c r="O216" i="22"/>
  <c r="R216" i="22"/>
  <c r="U218" i="22"/>
  <c r="Q218" i="22"/>
  <c r="T218" i="22"/>
  <c r="X264" i="22"/>
  <c r="P264" i="22"/>
  <c r="V269" i="22"/>
  <c r="O269" i="22"/>
  <c r="W269" i="22"/>
  <c r="Y272" i="22"/>
  <c r="P272" i="22"/>
  <c r="X272" i="22"/>
  <c r="O272" i="22"/>
  <c r="S272" i="22"/>
  <c r="Y283" i="22"/>
  <c r="P283" i="22"/>
  <c r="O283" i="22"/>
  <c r="W283" i="22"/>
  <c r="U315" i="22"/>
  <c r="T315" i="22"/>
  <c r="W19" i="22"/>
  <c r="Y207" i="22"/>
  <c r="W207" i="22"/>
  <c r="O27" i="22"/>
  <c r="X27" i="22"/>
  <c r="O35" i="22"/>
  <c r="X35" i="22"/>
  <c r="T40" i="22"/>
  <c r="S44" i="22"/>
  <c r="O48" i="22"/>
  <c r="U48" i="22"/>
  <c r="Q56" i="22"/>
  <c r="Y56" i="22"/>
  <c r="O58" i="22"/>
  <c r="R61" i="22"/>
  <c r="T64" i="22"/>
  <c r="Z66" i="22"/>
  <c r="R69" i="22"/>
  <c r="R71" i="22"/>
  <c r="U78" i="22"/>
  <c r="Q80" i="22"/>
  <c r="Y80" i="22"/>
  <c r="W85" i="22"/>
  <c r="U87" i="22"/>
  <c r="O89" i="22"/>
  <c r="S92" i="22"/>
  <c r="W97" i="22"/>
  <c r="Q99" i="22"/>
  <c r="S101" i="22"/>
  <c r="X105" i="22"/>
  <c r="O109" i="22"/>
  <c r="S113" i="22"/>
  <c r="Z115" i="22"/>
  <c r="W125" i="22"/>
  <c r="Q127" i="22"/>
  <c r="R129" i="22"/>
  <c r="Q135" i="22"/>
  <c r="Y135" i="22"/>
  <c r="Z140" i="22"/>
  <c r="T143" i="22"/>
  <c r="P146" i="22"/>
  <c r="O148" i="22"/>
  <c r="O151" i="22"/>
  <c r="Z152" i="22"/>
  <c r="T155" i="22"/>
  <c r="T156" i="22"/>
  <c r="Z158" i="22"/>
  <c r="O161" i="22"/>
  <c r="X164" i="22"/>
  <c r="W168" i="22"/>
  <c r="Q170" i="22"/>
  <c r="Z172" i="22"/>
  <c r="S172" i="22"/>
  <c r="X172" i="22"/>
  <c r="X178" i="22"/>
  <c r="U178" i="22"/>
  <c r="T179" i="22"/>
  <c r="S179" i="22"/>
  <c r="O180" i="22"/>
  <c r="W192" i="22"/>
  <c r="Z192" i="22"/>
  <c r="Z194" i="22"/>
  <c r="Q194" i="22"/>
  <c r="Y194" i="22"/>
  <c r="O207" i="22"/>
  <c r="R212" i="22"/>
  <c r="U214" i="22"/>
  <c r="P214" i="22"/>
  <c r="T214" i="22"/>
  <c r="U217" i="22"/>
  <c r="Q217" i="22"/>
  <c r="R217" i="22"/>
  <c r="O219" i="22"/>
  <c r="T252" i="22"/>
  <c r="O252" i="22"/>
  <c r="W252" i="22"/>
  <c r="Z270" i="22"/>
  <c r="Y151" i="22"/>
  <c r="S208" i="22"/>
  <c r="R208" i="22"/>
  <c r="Z255" i="22"/>
  <c r="Q255" i="22"/>
  <c r="P255" i="22"/>
  <c r="U255" i="22"/>
  <c r="Y13" i="22"/>
  <c r="P19" i="22"/>
  <c r="P27" i="22"/>
  <c r="W48" i="22"/>
  <c r="Q58" i="22"/>
  <c r="O74" i="22"/>
  <c r="T80" i="22"/>
  <c r="O85" i="22"/>
  <c r="X85" i="22"/>
  <c r="P89" i="22"/>
  <c r="W92" i="22"/>
  <c r="R99" i="22"/>
  <c r="W101" i="22"/>
  <c r="P109" i="22"/>
  <c r="W113" i="22"/>
  <c r="X125" i="22"/>
  <c r="S127" i="22"/>
  <c r="W129" i="22"/>
  <c r="T135" i="22"/>
  <c r="U143" i="22"/>
  <c r="Q146" i="22"/>
  <c r="P148" i="22"/>
  <c r="U155" i="22"/>
  <c r="R161" i="22"/>
  <c r="R170" i="22"/>
  <c r="Z175" i="22"/>
  <c r="Y175" i="22"/>
  <c r="O175" i="22"/>
  <c r="T180" i="22"/>
  <c r="Y203" i="22"/>
  <c r="X203" i="22"/>
  <c r="O203" i="22"/>
  <c r="P207" i="22"/>
  <c r="W208" i="22"/>
  <c r="Y213" i="22"/>
  <c r="R213" i="22"/>
  <c r="U213" i="22"/>
  <c r="S228" i="22"/>
  <c r="W228" i="22"/>
  <c r="R228" i="22"/>
  <c r="U233" i="22"/>
  <c r="R233" i="22"/>
  <c r="Q233" i="22"/>
  <c r="W233" i="22"/>
  <c r="Y274" i="22"/>
  <c r="U274" i="22"/>
  <c r="R274" i="22"/>
  <c r="Z278" i="22"/>
  <c r="P278" i="22"/>
  <c r="Y278" i="22"/>
  <c r="O278" i="22"/>
  <c r="T278" i="22"/>
  <c r="Y291" i="22"/>
  <c r="P291" i="22"/>
  <c r="O291" i="22"/>
  <c r="W291" i="22"/>
  <c r="Z319" i="22"/>
  <c r="Q319" i="22"/>
  <c r="Y319" i="22"/>
  <c r="P319" i="22"/>
  <c r="T319" i="22"/>
  <c r="U202" i="22"/>
  <c r="X222" i="22"/>
  <c r="O227" i="22"/>
  <c r="X227" i="22"/>
  <c r="S232" i="22"/>
  <c r="O235" i="22"/>
  <c r="U235" i="22"/>
  <c r="Q239" i="22"/>
  <c r="Z241" i="22"/>
  <c r="P244" i="22"/>
  <c r="W251" i="22"/>
  <c r="Y254" i="22"/>
  <c r="S259" i="22"/>
  <c r="S260" i="22"/>
  <c r="Z261" i="22"/>
  <c r="T263" i="22"/>
  <c r="X268" i="22"/>
  <c r="T271" i="22"/>
  <c r="W273" i="22"/>
  <c r="U275" i="22"/>
  <c r="X282" i="22"/>
  <c r="V284" i="22"/>
  <c r="R285" i="22"/>
  <c r="P286" i="22"/>
  <c r="R292" i="22"/>
  <c r="P295" i="22"/>
  <c r="P296" i="22"/>
  <c r="Q298" i="22"/>
  <c r="S300" i="22"/>
  <c r="O302" i="22"/>
  <c r="S305" i="22"/>
  <c r="P307" i="22"/>
  <c r="W308" i="22"/>
  <c r="Q311" i="22"/>
  <c r="S312" i="22"/>
  <c r="R317" i="22"/>
  <c r="U318" i="22"/>
  <c r="W239" i="22"/>
  <c r="W244" i="22"/>
  <c r="Y259" i="22"/>
  <c r="U286" i="22"/>
  <c r="Y295" i="22"/>
  <c r="U296" i="22"/>
  <c r="Z302" i="22"/>
  <c r="X307" i="22"/>
  <c r="Y311" i="22"/>
  <c r="W227" i="22"/>
  <c r="R232" i="22"/>
  <c r="T235" i="22"/>
  <c r="P239" i="22"/>
  <c r="O244" i="22"/>
  <c r="X244" i="22"/>
  <c r="Q254" i="22"/>
  <c r="P259" i="22"/>
  <c r="O263" i="22"/>
  <c r="S271" i="22"/>
  <c r="T276" i="22"/>
  <c r="Q285" i="22"/>
  <c r="W296" i="22"/>
  <c r="Y307" i="22"/>
  <c r="R318" i="22"/>
  <c r="W320" i="22"/>
  <c r="Z7" i="22"/>
  <c r="S7" i="22"/>
  <c r="X7" i="22"/>
  <c r="P7" i="22"/>
  <c r="Z18" i="22"/>
  <c r="W18" i="22"/>
  <c r="Q18" i="22"/>
  <c r="U18" i="22"/>
  <c r="P18" i="22"/>
  <c r="X18" i="22"/>
  <c r="Z26" i="22"/>
  <c r="W26" i="22"/>
  <c r="Q26" i="22"/>
  <c r="U26" i="22"/>
  <c r="P26" i="22"/>
  <c r="X26" i="22"/>
  <c r="Z34" i="22"/>
  <c r="W34" i="22"/>
  <c r="Q34" i="22"/>
  <c r="U34" i="22"/>
  <c r="P34" i="22"/>
  <c r="X34" i="22"/>
  <c r="Z52" i="22"/>
  <c r="W52" i="22"/>
  <c r="Q52" i="22"/>
  <c r="U52" i="22"/>
  <c r="P52" i="22"/>
  <c r="X68" i="22"/>
  <c r="Z84" i="22"/>
  <c r="W84" i="22"/>
  <c r="Q84" i="22"/>
  <c r="U84" i="22"/>
  <c r="P84" i="22"/>
  <c r="X84" i="22"/>
  <c r="S98" i="22"/>
  <c r="R98" i="22"/>
  <c r="O98" i="22"/>
  <c r="R102" i="22"/>
  <c r="Z102" i="22"/>
  <c r="O102" i="22"/>
  <c r="X112" i="22"/>
  <c r="S114" i="22"/>
  <c r="R114" i="22"/>
  <c r="O114" i="22"/>
  <c r="R118" i="22"/>
  <c r="Z118" i="22"/>
  <c r="O118" i="22"/>
  <c r="X134" i="22"/>
  <c r="U134" i="22"/>
  <c r="Q134" i="22"/>
  <c r="Z134" i="22"/>
  <c r="V134" i="22"/>
  <c r="W184" i="22"/>
  <c r="T184" i="22"/>
  <c r="P184" i="22"/>
  <c r="Z184" i="22"/>
  <c r="V184" i="22"/>
  <c r="S224" i="22"/>
  <c r="R224" i="22"/>
  <c r="W224" i="22"/>
  <c r="O224" i="22"/>
  <c r="Z231" i="22"/>
  <c r="Y231" i="22"/>
  <c r="T231" i="22"/>
  <c r="O231" i="22"/>
  <c r="U231" i="22"/>
  <c r="P231" i="22"/>
  <c r="S231" i="22"/>
  <c r="Q231" i="22"/>
  <c r="X231" i="22"/>
  <c r="W231" i="22"/>
  <c r="X9" i="22"/>
  <c r="Y9" i="22"/>
  <c r="U9" i="22"/>
  <c r="Z15" i="22"/>
  <c r="S15" i="22"/>
  <c r="X15" i="22"/>
  <c r="P15" i="22"/>
  <c r="O18" i="22"/>
  <c r="Y18" i="22"/>
  <c r="Z31" i="22"/>
  <c r="S31" i="22"/>
  <c r="X31" i="22"/>
  <c r="P31" i="22"/>
  <c r="Y34" i="22"/>
  <c r="X43" i="22"/>
  <c r="R43" i="22"/>
  <c r="O52" i="22"/>
  <c r="Y52" i="22"/>
  <c r="Z59" i="22"/>
  <c r="X59" i="22"/>
  <c r="R59" i="22"/>
  <c r="Z65" i="22"/>
  <c r="W65" i="22"/>
  <c r="O68" i="22"/>
  <c r="Y68" i="22"/>
  <c r="Z81" i="22"/>
  <c r="W81" i="22"/>
  <c r="O84" i="22"/>
  <c r="Y84" i="22"/>
  <c r="Z88" i="22"/>
  <c r="U88" i="22"/>
  <c r="P88" i="22"/>
  <c r="Y88" i="22"/>
  <c r="T88" i="22"/>
  <c r="O88" i="22"/>
  <c r="X88" i="22"/>
  <c r="O96" i="22"/>
  <c r="Y96" i="22"/>
  <c r="Y100" i="22"/>
  <c r="S102" i="22"/>
  <c r="O112" i="22"/>
  <c r="Y112" i="22"/>
  <c r="W114" i="22"/>
  <c r="O116" i="22"/>
  <c r="Y116" i="22"/>
  <c r="S118" i="22"/>
  <c r="Z139" i="22"/>
  <c r="U139" i="22"/>
  <c r="P139" i="22"/>
  <c r="Y139" i="22"/>
  <c r="T139" i="22"/>
  <c r="O139" i="22"/>
  <c r="S139" i="22"/>
  <c r="Q139" i="22"/>
  <c r="Z159" i="22"/>
  <c r="U159" i="22"/>
  <c r="P159" i="22"/>
  <c r="Y159" i="22"/>
  <c r="T159" i="22"/>
  <c r="O159" i="22"/>
  <c r="S159" i="22"/>
  <c r="Q159" i="22"/>
  <c r="W176" i="22"/>
  <c r="P176" i="22"/>
  <c r="Z176" i="22"/>
  <c r="O176" i="22"/>
  <c r="V176" i="22"/>
  <c r="Y189" i="22"/>
  <c r="U189" i="22"/>
  <c r="Q189" i="22"/>
  <c r="V189" i="22"/>
  <c r="O189" i="22"/>
  <c r="Y215" i="22"/>
  <c r="S215" i="22"/>
  <c r="T215" i="22"/>
  <c r="P215" i="22"/>
  <c r="X215" i="22"/>
  <c r="W215" i="22"/>
  <c r="Z224" i="22"/>
  <c r="Y256" i="22"/>
  <c r="X256" i="22"/>
  <c r="P256" i="22"/>
  <c r="S256" i="22"/>
  <c r="W256" i="22"/>
  <c r="T256" i="22"/>
  <c r="O256" i="22"/>
  <c r="S6" i="22"/>
  <c r="X6" i="22"/>
  <c r="T7" i="22"/>
  <c r="Q9" i="22"/>
  <c r="O15" i="22"/>
  <c r="Q5" i="22"/>
  <c r="O6" i="22"/>
  <c r="T6" i="22"/>
  <c r="Y6" i="22"/>
  <c r="W7" i="22"/>
  <c r="Z10" i="22"/>
  <c r="W10" i="22"/>
  <c r="Q10" i="22"/>
  <c r="U10" i="22"/>
  <c r="P10" i="22"/>
  <c r="X10" i="22"/>
  <c r="T15" i="22"/>
  <c r="T18" i="22"/>
  <c r="T26" i="22"/>
  <c r="T31" i="22"/>
  <c r="T34" i="22"/>
  <c r="Z41" i="22"/>
  <c r="W41" i="22"/>
  <c r="O44" i="22"/>
  <c r="W46" i="22"/>
  <c r="Q46" i="22"/>
  <c r="Z46" i="22"/>
  <c r="O46" i="22"/>
  <c r="Z51" i="22"/>
  <c r="X51" i="22"/>
  <c r="R51" i="22"/>
  <c r="T52" i="22"/>
  <c r="Z57" i="22"/>
  <c r="W57" i="22"/>
  <c r="O60" i="22"/>
  <c r="W62" i="22"/>
  <c r="Q62" i="22"/>
  <c r="Z62" i="22"/>
  <c r="O62" i="22"/>
  <c r="X67" i="22"/>
  <c r="R67" i="22"/>
  <c r="Z73" i="22"/>
  <c r="W73" i="22"/>
  <c r="O76" i="22"/>
  <c r="W78" i="22"/>
  <c r="Q78" i="22"/>
  <c r="Z78" i="22"/>
  <c r="O78" i="22"/>
  <c r="Z83" i="22"/>
  <c r="R83" i="22"/>
  <c r="T84" i="22"/>
  <c r="S88" i="22"/>
  <c r="Z124" i="22"/>
  <c r="Y124" i="22"/>
  <c r="T124" i="22"/>
  <c r="O124" i="22"/>
  <c r="X124" i="22"/>
  <c r="Q124" i="22"/>
  <c r="W124" i="22"/>
  <c r="P124" i="22"/>
  <c r="X139" i="22"/>
  <c r="Z147" i="22"/>
  <c r="W147" i="22"/>
  <c r="Q147" i="22"/>
  <c r="U147" i="22"/>
  <c r="P147" i="22"/>
  <c r="T147" i="22"/>
  <c r="S147" i="22"/>
  <c r="X159" i="22"/>
  <c r="Z163" i="22"/>
  <c r="U163" i="22"/>
  <c r="P163" i="22"/>
  <c r="Y163" i="22"/>
  <c r="T163" i="22"/>
  <c r="O163" i="22"/>
  <c r="S163" i="22"/>
  <c r="Q163" i="22"/>
  <c r="S173" i="22"/>
  <c r="R173" i="22"/>
  <c r="O173" i="22"/>
  <c r="Y173" i="22"/>
  <c r="Z187" i="22"/>
  <c r="U187" i="22"/>
  <c r="P187" i="22"/>
  <c r="Y187" i="22"/>
  <c r="T187" i="22"/>
  <c r="O187" i="22"/>
  <c r="S187" i="22"/>
  <c r="Q187" i="22"/>
  <c r="R200" i="22"/>
  <c r="Z200" i="22"/>
  <c r="O200" i="22"/>
  <c r="W200" i="22"/>
  <c r="S200" i="22"/>
  <c r="Z206" i="22"/>
  <c r="T206" i="22"/>
  <c r="Y206" i="22"/>
  <c r="Q206" i="22"/>
  <c r="X206" i="22"/>
  <c r="U206" i="22"/>
  <c r="Y211" i="22"/>
  <c r="T211" i="22"/>
  <c r="S211" i="22"/>
  <c r="P211" i="22"/>
  <c r="X211" i="22"/>
  <c r="W211" i="22"/>
  <c r="R221" i="22"/>
  <c r="U221" i="22"/>
  <c r="Q221" i="22"/>
  <c r="Z221" i="22"/>
  <c r="Y223" i="22"/>
  <c r="W223" i="22"/>
  <c r="O223" i="22"/>
  <c r="T223" i="22"/>
  <c r="S223" i="22"/>
  <c r="X223" i="22"/>
  <c r="P223" i="22"/>
  <c r="Y277" i="22"/>
  <c r="T277" i="22"/>
  <c r="R277" i="22"/>
  <c r="Y287" i="22"/>
  <c r="X287" i="22"/>
  <c r="P287" i="22"/>
  <c r="W287" i="22"/>
  <c r="O287" i="22"/>
  <c r="S287" i="22"/>
  <c r="T287" i="22"/>
  <c r="Z290" i="22"/>
  <c r="U290" i="22"/>
  <c r="P290" i="22"/>
  <c r="Y290" i="22"/>
  <c r="T290" i="22"/>
  <c r="O290" i="22"/>
  <c r="Q290" i="22"/>
  <c r="S290" i="22"/>
  <c r="X290" i="22"/>
  <c r="W290" i="22"/>
  <c r="W321" i="22"/>
  <c r="Z321" i="22"/>
  <c r="S321" i="22"/>
  <c r="R321" i="22"/>
  <c r="X52" i="22"/>
  <c r="Z68" i="22"/>
  <c r="W68" i="22"/>
  <c r="Q68" i="22"/>
  <c r="U68" i="22"/>
  <c r="P68" i="22"/>
  <c r="R86" i="22"/>
  <c r="Z86" i="22"/>
  <c r="O86" i="22"/>
  <c r="Z96" i="22"/>
  <c r="W96" i="22"/>
  <c r="Q96" i="22"/>
  <c r="U96" i="22"/>
  <c r="P96" i="22"/>
  <c r="X96" i="22"/>
  <c r="Z100" i="22"/>
  <c r="W100" i="22"/>
  <c r="Q100" i="22"/>
  <c r="U100" i="22"/>
  <c r="P100" i="22"/>
  <c r="X100" i="22"/>
  <c r="Z112" i="22"/>
  <c r="W112" i="22"/>
  <c r="Q112" i="22"/>
  <c r="U112" i="22"/>
  <c r="P112" i="22"/>
  <c r="Z116" i="22"/>
  <c r="W116" i="22"/>
  <c r="Q116" i="22"/>
  <c r="U116" i="22"/>
  <c r="P116" i="22"/>
  <c r="X116" i="22"/>
  <c r="Z121" i="22"/>
  <c r="S121" i="22"/>
  <c r="T121" i="22"/>
  <c r="P121" i="22"/>
  <c r="S204" i="22"/>
  <c r="R204" i="22"/>
  <c r="O204" i="22"/>
  <c r="Z204" i="22"/>
  <c r="Z226" i="22"/>
  <c r="T226" i="22"/>
  <c r="Q226" i="22"/>
  <c r="Y226" i="22"/>
  <c r="P226" i="22"/>
  <c r="X226" i="22"/>
  <c r="W288" i="22"/>
  <c r="R288" i="22"/>
  <c r="Z288" i="22"/>
  <c r="O288" i="22"/>
  <c r="O7" i="22"/>
  <c r="Z23" i="22"/>
  <c r="S23" i="22"/>
  <c r="X23" i="22"/>
  <c r="P23" i="22"/>
  <c r="O26" i="22"/>
  <c r="Y26" i="22"/>
  <c r="O34" i="22"/>
  <c r="Z49" i="22"/>
  <c r="W49" i="22"/>
  <c r="W54" i="22"/>
  <c r="Q54" i="22"/>
  <c r="Z54" i="22"/>
  <c r="O54" i="22"/>
  <c r="W70" i="22"/>
  <c r="Q70" i="22"/>
  <c r="Z70" i="22"/>
  <c r="O70" i="22"/>
  <c r="X75" i="22"/>
  <c r="R75" i="22"/>
  <c r="S86" i="22"/>
  <c r="W98" i="22"/>
  <c r="O100" i="22"/>
  <c r="Z104" i="22"/>
  <c r="U104" i="22"/>
  <c r="P104" i="22"/>
  <c r="Y104" i="22"/>
  <c r="T104" i="22"/>
  <c r="O104" i="22"/>
  <c r="X104" i="22"/>
  <c r="Z120" i="22"/>
  <c r="Y120" i="22"/>
  <c r="T120" i="22"/>
  <c r="O120" i="22"/>
  <c r="X120" i="22"/>
  <c r="Q120" i="22"/>
  <c r="W120" i="22"/>
  <c r="P120" i="22"/>
  <c r="O121" i="22"/>
  <c r="P134" i="22"/>
  <c r="Z167" i="22"/>
  <c r="W167" i="22"/>
  <c r="Q167" i="22"/>
  <c r="U167" i="22"/>
  <c r="P167" i="22"/>
  <c r="S167" i="22"/>
  <c r="Y167" i="22"/>
  <c r="O167" i="22"/>
  <c r="O184" i="22"/>
  <c r="S196" i="22"/>
  <c r="R196" i="22"/>
  <c r="W196" i="22"/>
  <c r="O196" i="22"/>
  <c r="W204" i="22"/>
  <c r="U226" i="22"/>
  <c r="X17" i="22"/>
  <c r="Y17" i="22"/>
  <c r="U17" i="22"/>
  <c r="S18" i="22"/>
  <c r="O23" i="22"/>
  <c r="X25" i="22"/>
  <c r="Y25" i="22"/>
  <c r="U25" i="22"/>
  <c r="S26" i="22"/>
  <c r="O31" i="22"/>
  <c r="X33" i="22"/>
  <c r="Y33" i="22"/>
  <c r="U33" i="22"/>
  <c r="S34" i="22"/>
  <c r="Z44" i="22"/>
  <c r="W44" i="22"/>
  <c r="Q44" i="22"/>
  <c r="U44" i="22"/>
  <c r="P44" i="22"/>
  <c r="X44" i="22"/>
  <c r="R49" i="22"/>
  <c r="S52" i="22"/>
  <c r="U54" i="22"/>
  <c r="Z60" i="22"/>
  <c r="W60" i="22"/>
  <c r="Q60" i="22"/>
  <c r="U60" i="22"/>
  <c r="P60" i="22"/>
  <c r="X60" i="22"/>
  <c r="R65" i="22"/>
  <c r="S68" i="22"/>
  <c r="U70" i="22"/>
  <c r="Z76" i="22"/>
  <c r="W76" i="22"/>
  <c r="Q76" i="22"/>
  <c r="U76" i="22"/>
  <c r="P76" i="22"/>
  <c r="X76" i="22"/>
  <c r="R81" i="22"/>
  <c r="S84" i="22"/>
  <c r="W86" i="22"/>
  <c r="Q88" i="22"/>
  <c r="Z92" i="22"/>
  <c r="U92" i="22"/>
  <c r="P92" i="22"/>
  <c r="Y92" i="22"/>
  <c r="T92" i="22"/>
  <c r="O92" i="22"/>
  <c r="X92" i="22"/>
  <c r="S96" i="22"/>
  <c r="Z98" i="22"/>
  <c r="S100" i="22"/>
  <c r="W102" i="22"/>
  <c r="Q104" i="22"/>
  <c r="Z108" i="22"/>
  <c r="U108" i="22"/>
  <c r="P108" i="22"/>
  <c r="Y108" i="22"/>
  <c r="T108" i="22"/>
  <c r="O108" i="22"/>
  <c r="X108" i="22"/>
  <c r="S112" i="22"/>
  <c r="Z114" i="22"/>
  <c r="S116" i="22"/>
  <c r="W118" i="22"/>
  <c r="S120" i="22"/>
  <c r="W121" i="22"/>
  <c r="Z125" i="22"/>
  <c r="S125" i="22"/>
  <c r="T125" i="22"/>
  <c r="P125" i="22"/>
  <c r="W136" i="22"/>
  <c r="T136" i="22"/>
  <c r="P136" i="22"/>
  <c r="Z136" i="22"/>
  <c r="V136" i="22"/>
  <c r="W139" i="22"/>
  <c r="X142" i="22"/>
  <c r="Q142" i="22"/>
  <c r="Z142" i="22"/>
  <c r="P142" i="22"/>
  <c r="V142" i="22"/>
  <c r="W144" i="22"/>
  <c r="P144" i="22"/>
  <c r="Z144" i="22"/>
  <c r="O144" i="22"/>
  <c r="V144" i="22"/>
  <c r="T144" i="22"/>
  <c r="Y147" i="22"/>
  <c r="W159" i="22"/>
  <c r="T167" i="22"/>
  <c r="Z171" i="22"/>
  <c r="W171" i="22"/>
  <c r="Q171" i="22"/>
  <c r="U171" i="22"/>
  <c r="P171" i="22"/>
  <c r="S171" i="22"/>
  <c r="Y171" i="22"/>
  <c r="O171" i="22"/>
  <c r="T176" i="22"/>
  <c r="X182" i="22"/>
  <c r="U182" i="22"/>
  <c r="Q182" i="22"/>
  <c r="Z182" i="22"/>
  <c r="V182" i="22"/>
  <c r="Z190" i="22"/>
  <c r="Y190" i="22"/>
  <c r="Q190" i="22"/>
  <c r="X190" i="22"/>
  <c r="P190" i="22"/>
  <c r="U190" i="22"/>
  <c r="Z196" i="22"/>
  <c r="Z210" i="22"/>
  <c r="Y210" i="22"/>
  <c r="Q210" i="22"/>
  <c r="X210" i="22"/>
  <c r="P210" i="22"/>
  <c r="U210" i="22"/>
  <c r="T210" i="22"/>
  <c r="O215" i="22"/>
  <c r="Y240" i="22"/>
  <c r="X240" i="22"/>
  <c r="P240" i="22"/>
  <c r="S240" i="22"/>
  <c r="T240" i="22"/>
  <c r="O240" i="22"/>
  <c r="W240" i="22"/>
  <c r="T11" i="22"/>
  <c r="S14" i="22"/>
  <c r="X14" i="22"/>
  <c r="T19" i="22"/>
  <c r="S22" i="22"/>
  <c r="X22" i="22"/>
  <c r="T27" i="22"/>
  <c r="S30" i="22"/>
  <c r="X30" i="22"/>
  <c r="T35" i="22"/>
  <c r="S38" i="22"/>
  <c r="S40" i="22"/>
  <c r="X40" i="22"/>
  <c r="U42" i="22"/>
  <c r="S48" i="22"/>
  <c r="X48" i="22"/>
  <c r="U50" i="22"/>
  <c r="S56" i="22"/>
  <c r="X56" i="22"/>
  <c r="U58" i="22"/>
  <c r="S64" i="22"/>
  <c r="X64" i="22"/>
  <c r="U66" i="22"/>
  <c r="S72" i="22"/>
  <c r="X72" i="22"/>
  <c r="U74" i="22"/>
  <c r="S80" i="22"/>
  <c r="X80" i="22"/>
  <c r="U82" i="22"/>
  <c r="T85" i="22"/>
  <c r="S89" i="22"/>
  <c r="S93" i="22"/>
  <c r="Y95" i="22"/>
  <c r="T97" i="22"/>
  <c r="T101" i="22"/>
  <c r="S105" i="22"/>
  <c r="S109" i="22"/>
  <c r="Y111" i="22"/>
  <c r="T113" i="22"/>
  <c r="T117" i="22"/>
  <c r="X130" i="22"/>
  <c r="U130" i="22"/>
  <c r="Q130" i="22"/>
  <c r="W132" i="22"/>
  <c r="T132" i="22"/>
  <c r="P132" i="22"/>
  <c r="S141" i="22"/>
  <c r="R141" i="22"/>
  <c r="Z151" i="22"/>
  <c r="W151" i="22"/>
  <c r="Q151" i="22"/>
  <c r="U151" i="22"/>
  <c r="P151" i="22"/>
  <c r="X151" i="22"/>
  <c r="X154" i="22"/>
  <c r="Q154" i="22"/>
  <c r="Z154" i="22"/>
  <c r="P154" i="22"/>
  <c r="W181" i="22"/>
  <c r="S181" i="22"/>
  <c r="Y195" i="22"/>
  <c r="X195" i="22"/>
  <c r="P195" i="22"/>
  <c r="W195" i="22"/>
  <c r="O195" i="22"/>
  <c r="S220" i="22"/>
  <c r="W220" i="22"/>
  <c r="R220" i="22"/>
  <c r="O220" i="22"/>
  <c r="Z225" i="22"/>
  <c r="Q225" i="22"/>
  <c r="U225" i="22"/>
  <c r="R225" i="22"/>
  <c r="R238" i="22"/>
  <c r="U238" i="22"/>
  <c r="Z238" i="22"/>
  <c r="Y238" i="22"/>
  <c r="Z243" i="22"/>
  <c r="Y243" i="22"/>
  <c r="T243" i="22"/>
  <c r="O243" i="22"/>
  <c r="U243" i="22"/>
  <c r="P243" i="22"/>
  <c r="W243" i="22"/>
  <c r="S243" i="22"/>
  <c r="R299" i="22"/>
  <c r="X299" i="22"/>
  <c r="T299" i="22"/>
  <c r="O11" i="22"/>
  <c r="W11" i="22"/>
  <c r="Q13" i="22"/>
  <c r="V42" i="22"/>
  <c r="V50" i="22"/>
  <c r="V58" i="22"/>
  <c r="V66" i="22"/>
  <c r="V74" i="22"/>
  <c r="V82" i="22"/>
  <c r="T89" i="22"/>
  <c r="T93" i="22"/>
  <c r="Z95" i="22"/>
  <c r="T105" i="22"/>
  <c r="T109" i="22"/>
  <c r="Z111" i="22"/>
  <c r="W156" i="22"/>
  <c r="P156" i="22"/>
  <c r="Z156" i="22"/>
  <c r="O156" i="22"/>
  <c r="X174" i="22"/>
  <c r="Q174" i="22"/>
  <c r="Z174" i="22"/>
  <c r="P174" i="22"/>
  <c r="Z179" i="22"/>
  <c r="W179" i="22"/>
  <c r="Q179" i="22"/>
  <c r="U179" i="22"/>
  <c r="P179" i="22"/>
  <c r="X179" i="22"/>
  <c r="Y191" i="22"/>
  <c r="S191" i="22"/>
  <c r="X191" i="22"/>
  <c r="P191" i="22"/>
  <c r="Y219" i="22"/>
  <c r="X219" i="22"/>
  <c r="P219" i="22"/>
  <c r="T219" i="22"/>
  <c r="S219" i="22"/>
  <c r="Z267" i="22"/>
  <c r="Y267" i="22"/>
  <c r="T267" i="22"/>
  <c r="O267" i="22"/>
  <c r="W267" i="22"/>
  <c r="P267" i="22"/>
  <c r="X267" i="22"/>
  <c r="Q267" i="22"/>
  <c r="U267" i="22"/>
  <c r="S267" i="22"/>
  <c r="V128" i="22"/>
  <c r="S131" i="22"/>
  <c r="X131" i="22"/>
  <c r="S135" i="22"/>
  <c r="X135" i="22"/>
  <c r="U138" i="22"/>
  <c r="T140" i="22"/>
  <c r="Q143" i="22"/>
  <c r="W143" i="22"/>
  <c r="V146" i="22"/>
  <c r="V148" i="22"/>
  <c r="V150" i="22"/>
  <c r="V152" i="22"/>
  <c r="Q155" i="22"/>
  <c r="W155" i="22"/>
  <c r="U158" i="22"/>
  <c r="S160" i="22"/>
  <c r="S164" i="22"/>
  <c r="T168" i="22"/>
  <c r="Y170" i="22"/>
  <c r="T172" i="22"/>
  <c r="Q175" i="22"/>
  <c r="W175" i="22"/>
  <c r="V178" i="22"/>
  <c r="V180" i="22"/>
  <c r="S183" i="22"/>
  <c r="X183" i="22"/>
  <c r="U186" i="22"/>
  <c r="T188" i="22"/>
  <c r="S192" i="22"/>
  <c r="U194" i="22"/>
  <c r="T198" i="22"/>
  <c r="T199" i="22"/>
  <c r="T202" i="22"/>
  <c r="T203" i="22"/>
  <c r="S207" i="22"/>
  <c r="Z208" i="22"/>
  <c r="U209" i="22"/>
  <c r="S212" i="22"/>
  <c r="O212" i="22"/>
  <c r="Z217" i="22"/>
  <c r="V237" i="22"/>
  <c r="W237" i="22"/>
  <c r="Y242" i="22"/>
  <c r="R242" i="22"/>
  <c r="U242" i="22"/>
  <c r="Y252" i="22"/>
  <c r="X252" i="22"/>
  <c r="P252" i="22"/>
  <c r="S252" i="22"/>
  <c r="V265" i="22"/>
  <c r="S265" i="22"/>
  <c r="Z282" i="22"/>
  <c r="U282" i="22"/>
  <c r="P282" i="22"/>
  <c r="Y282" i="22"/>
  <c r="T282" i="22"/>
  <c r="O282" i="22"/>
  <c r="Q282" i="22"/>
  <c r="S282" i="22"/>
  <c r="Z294" i="22"/>
  <c r="U294" i="22"/>
  <c r="P294" i="22"/>
  <c r="Y294" i="22"/>
  <c r="T294" i="22"/>
  <c r="O294" i="22"/>
  <c r="S294" i="22"/>
  <c r="W294" i="22"/>
  <c r="Z303" i="22"/>
  <c r="Y303" i="22"/>
  <c r="Q303" i="22"/>
  <c r="X303" i="22"/>
  <c r="P303" i="22"/>
  <c r="T303" i="22"/>
  <c r="U303" i="22"/>
  <c r="Z323" i="22"/>
  <c r="Y323" i="22"/>
  <c r="Q323" i="22"/>
  <c r="X323" i="22"/>
  <c r="P323" i="22"/>
  <c r="U323" i="22"/>
  <c r="V138" i="22"/>
  <c r="V140" i="22"/>
  <c r="S143" i="22"/>
  <c r="X143" i="22"/>
  <c r="S155" i="22"/>
  <c r="X155" i="22"/>
  <c r="V158" i="22"/>
  <c r="T160" i="22"/>
  <c r="T164" i="22"/>
  <c r="Z170" i="22"/>
  <c r="S175" i="22"/>
  <c r="X175" i="22"/>
  <c r="V186" i="22"/>
  <c r="V188" i="22"/>
  <c r="U198" i="22"/>
  <c r="T207" i="22"/>
  <c r="Z214" i="22"/>
  <c r="Y214" i="22"/>
  <c r="Q214" i="22"/>
  <c r="X214" i="22"/>
  <c r="Z218" i="22"/>
  <c r="X218" i="22"/>
  <c r="P218" i="22"/>
  <c r="Y218" i="22"/>
  <c r="Y236" i="22"/>
  <c r="W236" i="22"/>
  <c r="O236" i="22"/>
  <c r="X236" i="22"/>
  <c r="P236" i="22"/>
  <c r="Z247" i="22"/>
  <c r="U247" i="22"/>
  <c r="P247" i="22"/>
  <c r="W247" i="22"/>
  <c r="Q247" i="22"/>
  <c r="X247" i="22"/>
  <c r="R254" i="22"/>
  <c r="U254" i="22"/>
  <c r="Z263" i="22"/>
  <c r="W263" i="22"/>
  <c r="Q263" i="22"/>
  <c r="X263" i="22"/>
  <c r="P263" i="22"/>
  <c r="Y263" i="22"/>
  <c r="S263" i="22"/>
  <c r="Y264" i="22"/>
  <c r="W264" i="22"/>
  <c r="O264" i="22"/>
  <c r="S264" i="22"/>
  <c r="T264" i="22"/>
  <c r="R279" i="22"/>
  <c r="W279" i="22"/>
  <c r="S279" i="22"/>
  <c r="Z304" i="22"/>
  <c r="W304" i="22"/>
  <c r="Q304" i="22"/>
  <c r="U304" i="22"/>
  <c r="P304" i="22"/>
  <c r="S304" i="22"/>
  <c r="T304" i="22"/>
  <c r="Y314" i="22"/>
  <c r="R314" i="22"/>
  <c r="Z314" i="22"/>
  <c r="Z216" i="22"/>
  <c r="U222" i="22"/>
  <c r="T227" i="22"/>
  <c r="O228" i="22"/>
  <c r="O233" i="22"/>
  <c r="V233" i="22"/>
  <c r="S235" i="22"/>
  <c r="X235" i="22"/>
  <c r="O239" i="22"/>
  <c r="T239" i="22"/>
  <c r="Y239" i="22"/>
  <c r="T244" i="22"/>
  <c r="R245" i="22"/>
  <c r="O248" i="22"/>
  <c r="W248" i="22"/>
  <c r="O251" i="22"/>
  <c r="T251" i="22"/>
  <c r="Y251" i="22"/>
  <c r="O255" i="22"/>
  <c r="T255" i="22"/>
  <c r="Y255" i="22"/>
  <c r="Z257" i="22"/>
  <c r="O257" i="22"/>
  <c r="Y258" i="22"/>
  <c r="Z258" i="22"/>
  <c r="O259" i="22"/>
  <c r="W261" i="22"/>
  <c r="S261" i="22"/>
  <c r="U262" i="22"/>
  <c r="O271" i="22"/>
  <c r="Y289" i="22"/>
  <c r="U289" i="22"/>
  <c r="R289" i="22"/>
  <c r="O300" i="22"/>
  <c r="Z315" i="22"/>
  <c r="Y315" i="22"/>
  <c r="Q315" i="22"/>
  <c r="X315" i="22"/>
  <c r="P315" i="22"/>
  <c r="O316" i="22"/>
  <c r="Z228" i="22"/>
  <c r="S239" i="22"/>
  <c r="X239" i="22"/>
  <c r="T248" i="22"/>
  <c r="S251" i="22"/>
  <c r="X251" i="22"/>
  <c r="S255" i="22"/>
  <c r="X255" i="22"/>
  <c r="Z259" i="22"/>
  <c r="W259" i="22"/>
  <c r="Q259" i="22"/>
  <c r="T259" i="22"/>
  <c r="Y260" i="22"/>
  <c r="W260" i="22"/>
  <c r="O260" i="22"/>
  <c r="X260" i="22"/>
  <c r="Z271" i="22"/>
  <c r="W271" i="22"/>
  <c r="Q271" i="22"/>
  <c r="U271" i="22"/>
  <c r="P271" i="22"/>
  <c r="X271" i="22"/>
  <c r="R273" i="22"/>
  <c r="Z273" i="22"/>
  <c r="O273" i="22"/>
  <c r="Y276" i="22"/>
  <c r="X276" i="22"/>
  <c r="P276" i="22"/>
  <c r="W276" i="22"/>
  <c r="O276" i="22"/>
  <c r="U280" i="22"/>
  <c r="Q280" i="22"/>
  <c r="Z300" i="22"/>
  <c r="W300" i="22"/>
  <c r="Q300" i="22"/>
  <c r="U300" i="22"/>
  <c r="P300" i="22"/>
  <c r="X300" i="22"/>
  <c r="Z312" i="22"/>
  <c r="U312" i="22"/>
  <c r="P312" i="22"/>
  <c r="Y312" i="22"/>
  <c r="T312" i="22"/>
  <c r="O312" i="22"/>
  <c r="X312" i="22"/>
  <c r="Z316" i="22"/>
  <c r="W316" i="22"/>
  <c r="Q316" i="22"/>
  <c r="U316" i="22"/>
  <c r="P316" i="22"/>
  <c r="X316" i="22"/>
  <c r="S268" i="22"/>
  <c r="T272" i="22"/>
  <c r="Z274" i="22"/>
  <c r="Q275" i="22"/>
  <c r="W275" i="22"/>
  <c r="Q278" i="22"/>
  <c r="W278" i="22"/>
  <c r="S283" i="22"/>
  <c r="Q286" i="22"/>
  <c r="W286" i="22"/>
  <c r="S291" i="22"/>
  <c r="W292" i="22"/>
  <c r="S295" i="22"/>
  <c r="S296" i="22"/>
  <c r="X296" i="22"/>
  <c r="U298" i="22"/>
  <c r="U302" i="22"/>
  <c r="T307" i="22"/>
  <c r="S308" i="22"/>
  <c r="X308" i="22"/>
  <c r="U311" i="22"/>
  <c r="Z317" i="22"/>
  <c r="Z318" i="22"/>
  <c r="S320" i="22"/>
  <c r="X320" i="22"/>
  <c r="T268" i="22"/>
  <c r="S275" i="22"/>
  <c r="X275" i="22"/>
  <c r="S278" i="22"/>
  <c r="X278" i="22"/>
  <c r="T283" i="22"/>
  <c r="S286" i="22"/>
  <c r="X286" i="22"/>
  <c r="T291" i="22"/>
  <c r="T295" i="22"/>
  <c r="O296" i="22"/>
  <c r="T296" i="22"/>
  <c r="Y296" i="22"/>
  <c r="R305" i="22"/>
  <c r="U307" i="22"/>
  <c r="O308" i="22"/>
  <c r="T308" i="22"/>
  <c r="Y308" i="22"/>
  <c r="P311" i="22"/>
  <c r="X311" i="22"/>
  <c r="U319" i="22"/>
  <c r="O320" i="22"/>
  <c r="T320" i="22"/>
  <c r="Y320" i="22"/>
  <c r="V4" i="22"/>
  <c r="R8" i="22"/>
  <c r="Z8" i="22"/>
  <c r="R12" i="22"/>
  <c r="Z12" i="22"/>
  <c r="V16" i="22"/>
  <c r="V20" i="22"/>
  <c r="V24" i="22"/>
  <c r="R28" i="22"/>
  <c r="Z28" i="22"/>
  <c r="R32" i="22"/>
  <c r="Z32" i="22"/>
  <c r="V36" i="22"/>
  <c r="X91" i="22"/>
  <c r="T91" i="22"/>
  <c r="P91" i="22"/>
  <c r="W91" i="22"/>
  <c r="S91" i="22"/>
  <c r="O91" i="22"/>
  <c r="V91" i="22"/>
  <c r="X107" i="22"/>
  <c r="T107" i="22"/>
  <c r="P107" i="22"/>
  <c r="W107" i="22"/>
  <c r="S107" i="22"/>
  <c r="O107" i="22"/>
  <c r="V107" i="22"/>
  <c r="X137" i="22"/>
  <c r="T137" i="22"/>
  <c r="P137" i="22"/>
  <c r="V137" i="22"/>
  <c r="Q137" i="22"/>
  <c r="Z137" i="22"/>
  <c r="U137" i="22"/>
  <c r="O137" i="22"/>
  <c r="Y137" i="22"/>
  <c r="X166" i="22"/>
  <c r="T166" i="22"/>
  <c r="P166" i="22"/>
  <c r="W166" i="22"/>
  <c r="S166" i="22"/>
  <c r="O166" i="22"/>
  <c r="U166" i="22"/>
  <c r="Z166" i="22"/>
  <c r="R166" i="22"/>
  <c r="W293" i="22"/>
  <c r="S293" i="22"/>
  <c r="O293" i="22"/>
  <c r="X293" i="22"/>
  <c r="T293" i="22"/>
  <c r="P293" i="22"/>
  <c r="Y293" i="22"/>
  <c r="Q293" i="22"/>
  <c r="Z293" i="22"/>
  <c r="R293" i="22"/>
  <c r="U293" i="22"/>
  <c r="V293" i="22"/>
  <c r="O4" i="22"/>
  <c r="V5" i="22"/>
  <c r="R9" i="22"/>
  <c r="Z9" i="22"/>
  <c r="V13" i="22"/>
  <c r="V17" i="22"/>
  <c r="R21" i="22"/>
  <c r="Z21" i="22"/>
  <c r="O24" i="22"/>
  <c r="S24" i="22"/>
  <c r="W24" i="22"/>
  <c r="R25" i="22"/>
  <c r="O28" i="22"/>
  <c r="V29" i="22"/>
  <c r="V33" i="22"/>
  <c r="R37" i="22"/>
  <c r="V37" i="22"/>
  <c r="Z37" i="22"/>
  <c r="W43" i="22"/>
  <c r="S43" i="22"/>
  <c r="O43" i="22"/>
  <c r="T43" i="22"/>
  <c r="Y43" i="22"/>
  <c r="W47" i="22"/>
  <c r="S47" i="22"/>
  <c r="O47" i="22"/>
  <c r="T47" i="22"/>
  <c r="Y47" i="22"/>
  <c r="S53" i="22"/>
  <c r="X53" i="22"/>
  <c r="W55" i="22"/>
  <c r="S55" i="22"/>
  <c r="O55" i="22"/>
  <c r="T59" i="22"/>
  <c r="Y59" i="22"/>
  <c r="Y61" i="22"/>
  <c r="U61" i="22"/>
  <c r="Q61" i="22"/>
  <c r="S61" i="22"/>
  <c r="X61" i="22"/>
  <c r="T63" i="22"/>
  <c r="S65" i="22"/>
  <c r="X65" i="22"/>
  <c r="W67" i="22"/>
  <c r="S67" i="22"/>
  <c r="O67" i="22"/>
  <c r="T67" i="22"/>
  <c r="Y67" i="22"/>
  <c r="Y69" i="22"/>
  <c r="U69" i="22"/>
  <c r="Q69" i="22"/>
  <c r="X69" i="22"/>
  <c r="W71" i="22"/>
  <c r="S71" i="22"/>
  <c r="O71" i="22"/>
  <c r="S73" i="22"/>
  <c r="X73" i="22"/>
  <c r="W75" i="22"/>
  <c r="S75" i="22"/>
  <c r="O75" i="22"/>
  <c r="S77" i="22"/>
  <c r="T79" i="22"/>
  <c r="S81" i="22"/>
  <c r="X83" i="22"/>
  <c r="T83" i="22"/>
  <c r="W83" i="22"/>
  <c r="S83" i="22"/>
  <c r="O83" i="22"/>
  <c r="U83" i="22"/>
  <c r="Y90" i="22"/>
  <c r="U90" i="22"/>
  <c r="Q90" i="22"/>
  <c r="X90" i="22"/>
  <c r="T90" i="22"/>
  <c r="P90" i="22"/>
  <c r="Q91" i="22"/>
  <c r="O94" i="22"/>
  <c r="V106" i="22"/>
  <c r="W110" i="22"/>
  <c r="X119" i="22"/>
  <c r="T119" i="22"/>
  <c r="P119" i="22"/>
  <c r="W119" i="22"/>
  <c r="S119" i="22"/>
  <c r="O119" i="22"/>
  <c r="V119" i="22"/>
  <c r="V122" i="22"/>
  <c r="Y123" i="22"/>
  <c r="W126" i="22"/>
  <c r="X133" i="22"/>
  <c r="T133" i="22"/>
  <c r="P133" i="22"/>
  <c r="V133" i="22"/>
  <c r="Q133" i="22"/>
  <c r="Z133" i="22"/>
  <c r="U133" i="22"/>
  <c r="O133" i="22"/>
  <c r="Y133" i="22"/>
  <c r="Y149" i="22"/>
  <c r="X162" i="22"/>
  <c r="T162" i="22"/>
  <c r="P162" i="22"/>
  <c r="W162" i="22"/>
  <c r="S162" i="22"/>
  <c r="O162" i="22"/>
  <c r="Z162" i="22"/>
  <c r="R162" i="22"/>
  <c r="Y162" i="22"/>
  <c r="Q162" i="22"/>
  <c r="Y165" i="22"/>
  <c r="U165" i="22"/>
  <c r="Q165" i="22"/>
  <c r="X165" i="22"/>
  <c r="T165" i="22"/>
  <c r="P165" i="22"/>
  <c r="Z165" i="22"/>
  <c r="R165" i="22"/>
  <c r="W165" i="22"/>
  <c r="O165" i="22"/>
  <c r="Y169" i="22"/>
  <c r="U169" i="22"/>
  <c r="Q169" i="22"/>
  <c r="X169" i="22"/>
  <c r="T169" i="22"/>
  <c r="P169" i="22"/>
  <c r="S169" i="22"/>
  <c r="Z169" i="22"/>
  <c r="R169" i="22"/>
  <c r="W185" i="22"/>
  <c r="W230" i="22"/>
  <c r="S230" i="22"/>
  <c r="O230" i="22"/>
  <c r="Z230" i="22"/>
  <c r="U230" i="22"/>
  <c r="P230" i="22"/>
  <c r="V230" i="22"/>
  <c r="Q230" i="22"/>
  <c r="X230" i="22"/>
  <c r="T230" i="22"/>
  <c r="Y230" i="22"/>
  <c r="R230" i="22"/>
  <c r="P4" i="22"/>
  <c r="T4" i="22"/>
  <c r="X4" i="22"/>
  <c r="O5" i="22"/>
  <c r="S5" i="22"/>
  <c r="W5" i="22"/>
  <c r="R6" i="22"/>
  <c r="V6" i="22"/>
  <c r="Q7" i="22"/>
  <c r="U7" i="22"/>
  <c r="Y7" i="22"/>
  <c r="P8" i="22"/>
  <c r="T8" i="22"/>
  <c r="X8" i="22"/>
  <c r="O9" i="22"/>
  <c r="S9" i="22"/>
  <c r="W9" i="22"/>
  <c r="R10" i="22"/>
  <c r="V10" i="22"/>
  <c r="Q11" i="22"/>
  <c r="U11" i="22"/>
  <c r="Y11" i="22"/>
  <c r="P12" i="22"/>
  <c r="T12" i="22"/>
  <c r="X12" i="22"/>
  <c r="O13" i="22"/>
  <c r="S13" i="22"/>
  <c r="W13" i="22"/>
  <c r="R14" i="22"/>
  <c r="V14" i="22"/>
  <c r="Q15" i="22"/>
  <c r="U15" i="22"/>
  <c r="Y15" i="22"/>
  <c r="P16" i="22"/>
  <c r="T16" i="22"/>
  <c r="X16" i="22"/>
  <c r="O17" i="22"/>
  <c r="S17" i="22"/>
  <c r="W17" i="22"/>
  <c r="R18" i="22"/>
  <c r="V18" i="22"/>
  <c r="Q19" i="22"/>
  <c r="U19" i="22"/>
  <c r="Y19" i="22"/>
  <c r="P20" i="22"/>
  <c r="T20" i="22"/>
  <c r="X20" i="22"/>
  <c r="O21" i="22"/>
  <c r="S21" i="22"/>
  <c r="W21" i="22"/>
  <c r="R22" i="22"/>
  <c r="V22" i="22"/>
  <c r="Q23" i="22"/>
  <c r="U23" i="22"/>
  <c r="Y23" i="22"/>
  <c r="P24" i="22"/>
  <c r="T24" i="22"/>
  <c r="X24" i="22"/>
  <c r="O25" i="22"/>
  <c r="S25" i="22"/>
  <c r="W25" i="22"/>
  <c r="R26" i="22"/>
  <c r="V26" i="22"/>
  <c r="Q27" i="22"/>
  <c r="U27" i="22"/>
  <c r="Y27" i="22"/>
  <c r="P28" i="22"/>
  <c r="T28" i="22"/>
  <c r="X28" i="22"/>
  <c r="O29" i="22"/>
  <c r="S29" i="22"/>
  <c r="W29" i="22"/>
  <c r="R30" i="22"/>
  <c r="V30" i="22"/>
  <c r="Q31" i="22"/>
  <c r="U31" i="22"/>
  <c r="Y31" i="22"/>
  <c r="P32" i="22"/>
  <c r="T32" i="22"/>
  <c r="X32" i="22"/>
  <c r="O33" i="22"/>
  <c r="S33" i="22"/>
  <c r="W33" i="22"/>
  <c r="R34" i="22"/>
  <c r="V34" i="22"/>
  <c r="Q35" i="22"/>
  <c r="U35" i="22"/>
  <c r="Y35" i="22"/>
  <c r="P36" i="22"/>
  <c r="T36" i="22"/>
  <c r="X36" i="22"/>
  <c r="O37" i="22"/>
  <c r="S37" i="22"/>
  <c r="W37" i="22"/>
  <c r="X38" i="22"/>
  <c r="T38" i="22"/>
  <c r="R38" i="22"/>
  <c r="W38" i="22"/>
  <c r="P39" i="22"/>
  <c r="U39" i="22"/>
  <c r="O41" i="22"/>
  <c r="T41" i="22"/>
  <c r="R42" i="22"/>
  <c r="P43" i="22"/>
  <c r="U43" i="22"/>
  <c r="Z43" i="22"/>
  <c r="O45" i="22"/>
  <c r="T45" i="22"/>
  <c r="R46" i="22"/>
  <c r="P47" i="22"/>
  <c r="U47" i="22"/>
  <c r="Z47" i="22"/>
  <c r="O49" i="22"/>
  <c r="T49" i="22"/>
  <c r="R50" i="22"/>
  <c r="P51" i="22"/>
  <c r="U51" i="22"/>
  <c r="O53" i="22"/>
  <c r="T53" i="22"/>
  <c r="R54" i="22"/>
  <c r="P55" i="22"/>
  <c r="U55" i="22"/>
  <c r="Z55" i="22"/>
  <c r="O57" i="22"/>
  <c r="T57" i="22"/>
  <c r="R58" i="22"/>
  <c r="P59" i="22"/>
  <c r="U59" i="22"/>
  <c r="O61" i="22"/>
  <c r="T61" i="22"/>
  <c r="Z61" i="22"/>
  <c r="R62" i="22"/>
  <c r="P63" i="22"/>
  <c r="U63" i="22"/>
  <c r="O65" i="22"/>
  <c r="T65" i="22"/>
  <c r="R66" i="22"/>
  <c r="P67" i="22"/>
  <c r="U67" i="22"/>
  <c r="Z67" i="22"/>
  <c r="O69" i="22"/>
  <c r="T69" i="22"/>
  <c r="Z69" i="22"/>
  <c r="R70" i="22"/>
  <c r="P71" i="22"/>
  <c r="U71" i="22"/>
  <c r="Z71" i="22"/>
  <c r="O73" i="22"/>
  <c r="T73" i="22"/>
  <c r="R74" i="22"/>
  <c r="P75" i="22"/>
  <c r="U75" i="22"/>
  <c r="Z75" i="22"/>
  <c r="O77" i="22"/>
  <c r="T77" i="22"/>
  <c r="R78" i="22"/>
  <c r="P79" i="22"/>
  <c r="U79" i="22"/>
  <c r="O81" i="22"/>
  <c r="T81" i="22"/>
  <c r="R82" i="22"/>
  <c r="P83" i="22"/>
  <c r="V83" i="22"/>
  <c r="Y86" i="22"/>
  <c r="U86" i="22"/>
  <c r="Q86" i="22"/>
  <c r="X86" i="22"/>
  <c r="T86" i="22"/>
  <c r="P86" i="22"/>
  <c r="V86" i="22"/>
  <c r="Q87" i="22"/>
  <c r="O90" i="22"/>
  <c r="W90" i="22"/>
  <c r="R91" i="22"/>
  <c r="Z91" i="22"/>
  <c r="R94" i="22"/>
  <c r="X99" i="22"/>
  <c r="T99" i="22"/>
  <c r="P99" i="22"/>
  <c r="W99" i="22"/>
  <c r="S99" i="22"/>
  <c r="O99" i="22"/>
  <c r="V99" i="22"/>
  <c r="Y102" i="22"/>
  <c r="U102" i="22"/>
  <c r="Q102" i="22"/>
  <c r="X102" i="22"/>
  <c r="T102" i="22"/>
  <c r="P102" i="22"/>
  <c r="V102" i="22"/>
  <c r="Q103" i="22"/>
  <c r="O106" i="22"/>
  <c r="R107" i="22"/>
  <c r="Z107" i="22"/>
  <c r="R110" i="22"/>
  <c r="X115" i="22"/>
  <c r="T115" i="22"/>
  <c r="P115" i="22"/>
  <c r="W115" i="22"/>
  <c r="S115" i="22"/>
  <c r="O115" i="22"/>
  <c r="V115" i="22"/>
  <c r="Y118" i="22"/>
  <c r="U118" i="22"/>
  <c r="Q118" i="22"/>
  <c r="X118" i="22"/>
  <c r="T118" i="22"/>
  <c r="P118" i="22"/>
  <c r="V118" i="22"/>
  <c r="Q119" i="22"/>
  <c r="Y119" i="22"/>
  <c r="O122" i="22"/>
  <c r="R123" i="22"/>
  <c r="R126" i="22"/>
  <c r="X129" i="22"/>
  <c r="T129" i="22"/>
  <c r="P129" i="22"/>
  <c r="V129" i="22"/>
  <c r="Q129" i="22"/>
  <c r="Z129" i="22"/>
  <c r="U129" i="22"/>
  <c r="O129" i="22"/>
  <c r="Y129" i="22"/>
  <c r="R133" i="22"/>
  <c r="S137" i="22"/>
  <c r="X145" i="22"/>
  <c r="T145" i="22"/>
  <c r="P145" i="22"/>
  <c r="V145" i="22"/>
  <c r="Q145" i="22"/>
  <c r="Z145" i="22"/>
  <c r="U145" i="22"/>
  <c r="O145" i="22"/>
  <c r="Y145" i="22"/>
  <c r="U162" i="22"/>
  <c r="S165" i="22"/>
  <c r="V166" i="22"/>
  <c r="O169" i="22"/>
  <c r="W197" i="22"/>
  <c r="S197" i="22"/>
  <c r="O197" i="22"/>
  <c r="X197" i="22"/>
  <c r="T197" i="22"/>
  <c r="P197" i="22"/>
  <c r="Z197" i="22"/>
  <c r="R197" i="22"/>
  <c r="Y197" i="22"/>
  <c r="Q197" i="22"/>
  <c r="V197" i="22"/>
  <c r="U197" i="22"/>
  <c r="R4" i="22"/>
  <c r="Z4" i="22"/>
  <c r="V8" i="22"/>
  <c r="V12" i="22"/>
  <c r="R16" i="22"/>
  <c r="Z16" i="22"/>
  <c r="R20" i="22"/>
  <c r="Z20" i="22"/>
  <c r="R24" i="22"/>
  <c r="Z24" i="22"/>
  <c r="V28" i="22"/>
  <c r="V32" i="22"/>
  <c r="R36" i="22"/>
  <c r="Z36" i="22"/>
  <c r="Y94" i="22"/>
  <c r="U94" i="22"/>
  <c r="Q94" i="22"/>
  <c r="X94" i="22"/>
  <c r="T94" i="22"/>
  <c r="P94" i="22"/>
  <c r="V94" i="22"/>
  <c r="Y110" i="22"/>
  <c r="U110" i="22"/>
  <c r="Q110" i="22"/>
  <c r="X110" i="22"/>
  <c r="T110" i="22"/>
  <c r="P110" i="22"/>
  <c r="V110" i="22"/>
  <c r="X123" i="22"/>
  <c r="T123" i="22"/>
  <c r="P123" i="22"/>
  <c r="W123" i="22"/>
  <c r="S123" i="22"/>
  <c r="O123" i="22"/>
  <c r="V123" i="22"/>
  <c r="Y126" i="22"/>
  <c r="U126" i="22"/>
  <c r="Q126" i="22"/>
  <c r="X126" i="22"/>
  <c r="T126" i="22"/>
  <c r="P126" i="22"/>
  <c r="V126" i="22"/>
  <c r="X153" i="22"/>
  <c r="T153" i="22"/>
  <c r="P153" i="22"/>
  <c r="V153" i="22"/>
  <c r="Q153" i="22"/>
  <c r="Z153" i="22"/>
  <c r="U153" i="22"/>
  <c r="O153" i="22"/>
  <c r="Y153" i="22"/>
  <c r="X185" i="22"/>
  <c r="T185" i="22"/>
  <c r="P185" i="22"/>
  <c r="V185" i="22"/>
  <c r="Q185" i="22"/>
  <c r="Z185" i="22"/>
  <c r="U185" i="22"/>
  <c r="O185" i="22"/>
  <c r="S185" i="22"/>
  <c r="R185" i="22"/>
  <c r="X253" i="22"/>
  <c r="T253" i="22"/>
  <c r="P253" i="22"/>
  <c r="Y253" i="22"/>
  <c r="U253" i="22"/>
  <c r="Q253" i="22"/>
  <c r="Z253" i="22"/>
  <c r="R253" i="22"/>
  <c r="S253" i="22"/>
  <c r="W253" i="22"/>
  <c r="V253" i="22"/>
  <c r="X309" i="22"/>
  <c r="T309" i="22"/>
  <c r="P309" i="22"/>
  <c r="Y309" i="22"/>
  <c r="U309" i="22"/>
  <c r="Q309" i="22"/>
  <c r="W309" i="22"/>
  <c r="O309" i="22"/>
  <c r="Z309" i="22"/>
  <c r="R309" i="22"/>
  <c r="S309" i="22"/>
  <c r="V309" i="22"/>
  <c r="S4" i="22"/>
  <c r="W4" i="22"/>
  <c r="R5" i="22"/>
  <c r="Z5" i="22"/>
  <c r="O8" i="22"/>
  <c r="S8" i="22"/>
  <c r="W8" i="22"/>
  <c r="V9" i="22"/>
  <c r="O12" i="22"/>
  <c r="S12" i="22"/>
  <c r="W12" i="22"/>
  <c r="R13" i="22"/>
  <c r="Z13" i="22"/>
  <c r="O16" i="22"/>
  <c r="S16" i="22"/>
  <c r="W16" i="22"/>
  <c r="R17" i="22"/>
  <c r="Z17" i="22"/>
  <c r="O20" i="22"/>
  <c r="S20" i="22"/>
  <c r="W20" i="22"/>
  <c r="V21" i="22"/>
  <c r="V25" i="22"/>
  <c r="Z25" i="22"/>
  <c r="S28" i="22"/>
  <c r="W28" i="22"/>
  <c r="R29" i="22"/>
  <c r="Z29" i="22"/>
  <c r="O32" i="22"/>
  <c r="S32" i="22"/>
  <c r="W32" i="22"/>
  <c r="R33" i="22"/>
  <c r="Z33" i="22"/>
  <c r="O36" i="22"/>
  <c r="S36" i="22"/>
  <c r="W36" i="22"/>
  <c r="W39" i="22"/>
  <c r="S39" i="22"/>
  <c r="O39" i="22"/>
  <c r="T39" i="22"/>
  <c r="Y39" i="22"/>
  <c r="Y41" i="22"/>
  <c r="U41" i="22"/>
  <c r="Q41" i="22"/>
  <c r="S41" i="22"/>
  <c r="X41" i="22"/>
  <c r="Y45" i="22"/>
  <c r="U45" i="22"/>
  <c r="Q45" i="22"/>
  <c r="S45" i="22"/>
  <c r="X45" i="22"/>
  <c r="Y49" i="22"/>
  <c r="U49" i="22"/>
  <c r="Q49" i="22"/>
  <c r="S49" i="22"/>
  <c r="X49" i="22"/>
  <c r="W51" i="22"/>
  <c r="S51" i="22"/>
  <c r="O51" i="22"/>
  <c r="T51" i="22"/>
  <c r="Y51" i="22"/>
  <c r="Y53" i="22"/>
  <c r="U53" i="22"/>
  <c r="Q53" i="22"/>
  <c r="T55" i="22"/>
  <c r="Y55" i="22"/>
  <c r="Y57" i="22"/>
  <c r="U57" i="22"/>
  <c r="Q57" i="22"/>
  <c r="S57" i="22"/>
  <c r="X57" i="22"/>
  <c r="W59" i="22"/>
  <c r="S59" i="22"/>
  <c r="O59" i="22"/>
  <c r="W63" i="22"/>
  <c r="S63" i="22"/>
  <c r="O63" i="22"/>
  <c r="Y63" i="22"/>
  <c r="Y65" i="22"/>
  <c r="U65" i="22"/>
  <c r="Q65" i="22"/>
  <c r="S69" i="22"/>
  <c r="T71" i="22"/>
  <c r="Y71" i="22"/>
  <c r="Y73" i="22"/>
  <c r="U73" i="22"/>
  <c r="Q73" i="22"/>
  <c r="T75" i="22"/>
  <c r="Y75" i="22"/>
  <c r="Y77" i="22"/>
  <c r="U77" i="22"/>
  <c r="Q77" i="22"/>
  <c r="X77" i="22"/>
  <c r="W79" i="22"/>
  <c r="S79" i="22"/>
  <c r="O79" i="22"/>
  <c r="Y79" i="22"/>
  <c r="Y81" i="22"/>
  <c r="U81" i="22"/>
  <c r="Q81" i="22"/>
  <c r="X81" i="22"/>
  <c r="X87" i="22"/>
  <c r="T87" i="22"/>
  <c r="P87" i="22"/>
  <c r="W87" i="22"/>
  <c r="S87" i="22"/>
  <c r="O87" i="22"/>
  <c r="V87" i="22"/>
  <c r="V90" i="22"/>
  <c r="Y91" i="22"/>
  <c r="W94" i="22"/>
  <c r="X103" i="22"/>
  <c r="T103" i="22"/>
  <c r="P103" i="22"/>
  <c r="W103" i="22"/>
  <c r="S103" i="22"/>
  <c r="O103" i="22"/>
  <c r="V103" i="22"/>
  <c r="Y106" i="22"/>
  <c r="U106" i="22"/>
  <c r="Q106" i="22"/>
  <c r="X106" i="22"/>
  <c r="T106" i="22"/>
  <c r="P106" i="22"/>
  <c r="Q107" i="22"/>
  <c r="Y107" i="22"/>
  <c r="O110" i="22"/>
  <c r="Y122" i="22"/>
  <c r="U122" i="22"/>
  <c r="Q122" i="22"/>
  <c r="X122" i="22"/>
  <c r="T122" i="22"/>
  <c r="P122" i="22"/>
  <c r="Q123" i="22"/>
  <c r="O126" i="22"/>
  <c r="R137" i="22"/>
  <c r="X149" i="22"/>
  <c r="T149" i="22"/>
  <c r="P149" i="22"/>
  <c r="V149" i="22"/>
  <c r="Q149" i="22"/>
  <c r="Z149" i="22"/>
  <c r="U149" i="22"/>
  <c r="O149" i="22"/>
  <c r="R153" i="22"/>
  <c r="Q166" i="22"/>
  <c r="W193" i="22"/>
  <c r="S193" i="22"/>
  <c r="O193" i="22"/>
  <c r="X193" i="22"/>
  <c r="T193" i="22"/>
  <c r="P193" i="22"/>
  <c r="Z193" i="22"/>
  <c r="R193" i="22"/>
  <c r="Y193" i="22"/>
  <c r="Q193" i="22"/>
  <c r="V193" i="22"/>
  <c r="U193" i="22"/>
  <c r="Q4" i="22"/>
  <c r="U4" i="22"/>
  <c r="P5" i="22"/>
  <c r="T5" i="22"/>
  <c r="R7" i="22"/>
  <c r="V7" i="22"/>
  <c r="Q8" i="22"/>
  <c r="U8" i="22"/>
  <c r="P9" i="22"/>
  <c r="T9" i="22"/>
  <c r="R11" i="22"/>
  <c r="V11" i="22"/>
  <c r="Q12" i="22"/>
  <c r="U12" i="22"/>
  <c r="P13" i="22"/>
  <c r="T13" i="22"/>
  <c r="R15" i="22"/>
  <c r="V15" i="22"/>
  <c r="Q16" i="22"/>
  <c r="U16" i="22"/>
  <c r="P17" i="22"/>
  <c r="T17" i="22"/>
  <c r="R19" i="22"/>
  <c r="V19" i="22"/>
  <c r="Q20" i="22"/>
  <c r="U20" i="22"/>
  <c r="P21" i="22"/>
  <c r="T21" i="22"/>
  <c r="R23" i="22"/>
  <c r="V23" i="22"/>
  <c r="Q24" i="22"/>
  <c r="U24" i="22"/>
  <c r="P25" i="22"/>
  <c r="T25" i="22"/>
  <c r="R27" i="22"/>
  <c r="V27" i="22"/>
  <c r="Q28" i="22"/>
  <c r="U28" i="22"/>
  <c r="P29" i="22"/>
  <c r="T29" i="22"/>
  <c r="R31" i="22"/>
  <c r="V31" i="22"/>
  <c r="Q32" i="22"/>
  <c r="U32" i="22"/>
  <c r="P33" i="22"/>
  <c r="T33" i="22"/>
  <c r="R35" i="22"/>
  <c r="V35" i="22"/>
  <c r="Q36" i="22"/>
  <c r="U36" i="22"/>
  <c r="P37" i="22"/>
  <c r="T37" i="22"/>
  <c r="Q39" i="22"/>
  <c r="V39" i="22"/>
  <c r="P41" i="22"/>
  <c r="V41" i="22"/>
  <c r="X42" i="22"/>
  <c r="T42" i="22"/>
  <c r="P42" i="22"/>
  <c r="S42" i="22"/>
  <c r="Y42" i="22"/>
  <c r="Q43" i="22"/>
  <c r="V43" i="22"/>
  <c r="P45" i="22"/>
  <c r="V45" i="22"/>
  <c r="X46" i="22"/>
  <c r="T46" i="22"/>
  <c r="P46" i="22"/>
  <c r="S46" i="22"/>
  <c r="Y46" i="22"/>
  <c r="Q47" i="22"/>
  <c r="V47" i="22"/>
  <c r="P49" i="22"/>
  <c r="V49" i="22"/>
  <c r="X50" i="22"/>
  <c r="T50" i="22"/>
  <c r="P50" i="22"/>
  <c r="S50" i="22"/>
  <c r="Y50" i="22"/>
  <c r="Q51" i="22"/>
  <c r="V51" i="22"/>
  <c r="P53" i="22"/>
  <c r="V53" i="22"/>
  <c r="X54" i="22"/>
  <c r="T54" i="22"/>
  <c r="P54" i="22"/>
  <c r="S54" i="22"/>
  <c r="Y54" i="22"/>
  <c r="Q55" i="22"/>
  <c r="V55" i="22"/>
  <c r="P57" i="22"/>
  <c r="V57" i="22"/>
  <c r="X58" i="22"/>
  <c r="T58" i="22"/>
  <c r="P58" i="22"/>
  <c r="S58" i="22"/>
  <c r="Y58" i="22"/>
  <c r="Q59" i="22"/>
  <c r="V59" i="22"/>
  <c r="P61" i="22"/>
  <c r="V61" i="22"/>
  <c r="X62" i="22"/>
  <c r="T62" i="22"/>
  <c r="P62" i="22"/>
  <c r="S62" i="22"/>
  <c r="Y62" i="22"/>
  <c r="Q63" i="22"/>
  <c r="V63" i="22"/>
  <c r="P65" i="22"/>
  <c r="V65" i="22"/>
  <c r="X66" i="22"/>
  <c r="T66" i="22"/>
  <c r="P66" i="22"/>
  <c r="S66" i="22"/>
  <c r="Y66" i="22"/>
  <c r="Q67" i="22"/>
  <c r="V67" i="22"/>
  <c r="P69" i="22"/>
  <c r="V69" i="22"/>
  <c r="X70" i="22"/>
  <c r="T70" i="22"/>
  <c r="P70" i="22"/>
  <c r="S70" i="22"/>
  <c r="Y70" i="22"/>
  <c r="Q71" i="22"/>
  <c r="V71" i="22"/>
  <c r="P73" i="22"/>
  <c r="V73" i="22"/>
  <c r="X74" i="22"/>
  <c r="T74" i="22"/>
  <c r="P74" i="22"/>
  <c r="S74" i="22"/>
  <c r="Y74" i="22"/>
  <c r="Q75" i="22"/>
  <c r="V75" i="22"/>
  <c r="P77" i="22"/>
  <c r="V77" i="22"/>
  <c r="X78" i="22"/>
  <c r="T78" i="22"/>
  <c r="P78" i="22"/>
  <c r="S78" i="22"/>
  <c r="Y78" i="22"/>
  <c r="Q79" i="22"/>
  <c r="V79" i="22"/>
  <c r="P81" i="22"/>
  <c r="V81" i="22"/>
  <c r="X82" i="22"/>
  <c r="T82" i="22"/>
  <c r="P82" i="22"/>
  <c r="S82" i="22"/>
  <c r="Y82" i="22"/>
  <c r="Q83" i="22"/>
  <c r="Y83" i="22"/>
  <c r="R87" i="22"/>
  <c r="Z87" i="22"/>
  <c r="R90" i="22"/>
  <c r="Z90" i="22"/>
  <c r="U91" i="22"/>
  <c r="S94" i="22"/>
  <c r="X95" i="22"/>
  <c r="T95" i="22"/>
  <c r="P95" i="22"/>
  <c r="W95" i="22"/>
  <c r="S95" i="22"/>
  <c r="O95" i="22"/>
  <c r="V95" i="22"/>
  <c r="Y98" i="22"/>
  <c r="U98" i="22"/>
  <c r="Q98" i="22"/>
  <c r="X98" i="22"/>
  <c r="T98" i="22"/>
  <c r="P98" i="22"/>
  <c r="V98" i="22"/>
  <c r="R103" i="22"/>
  <c r="Z103" i="22"/>
  <c r="R106" i="22"/>
  <c r="Z106" i="22"/>
  <c r="U107" i="22"/>
  <c r="S110" i="22"/>
  <c r="X111" i="22"/>
  <c r="T111" i="22"/>
  <c r="P111" i="22"/>
  <c r="W111" i="22"/>
  <c r="S111" i="22"/>
  <c r="O111" i="22"/>
  <c r="V111" i="22"/>
  <c r="Y114" i="22"/>
  <c r="U114" i="22"/>
  <c r="Q114" i="22"/>
  <c r="X114" i="22"/>
  <c r="T114" i="22"/>
  <c r="P114" i="22"/>
  <c r="V114" i="22"/>
  <c r="R119" i="22"/>
  <c r="Z119" i="22"/>
  <c r="R122" i="22"/>
  <c r="Z122" i="22"/>
  <c r="U123" i="22"/>
  <c r="S126" i="22"/>
  <c r="Z127" i="22"/>
  <c r="V127" i="22"/>
  <c r="R127" i="22"/>
  <c r="U127" i="22"/>
  <c r="P127" i="22"/>
  <c r="Y127" i="22"/>
  <c r="T127" i="22"/>
  <c r="O127" i="22"/>
  <c r="X127" i="22"/>
  <c r="S133" i="22"/>
  <c r="W137" i="22"/>
  <c r="X141" i="22"/>
  <c r="T141" i="22"/>
  <c r="P141" i="22"/>
  <c r="V141" i="22"/>
  <c r="Q141" i="22"/>
  <c r="Z141" i="22"/>
  <c r="U141" i="22"/>
  <c r="O141" i="22"/>
  <c r="Y141" i="22"/>
  <c r="R145" i="22"/>
  <c r="S149" i="22"/>
  <c r="W153" i="22"/>
  <c r="X157" i="22"/>
  <c r="T157" i="22"/>
  <c r="P157" i="22"/>
  <c r="V157" i="22"/>
  <c r="Q157" i="22"/>
  <c r="Z157" i="22"/>
  <c r="U157" i="22"/>
  <c r="O157" i="22"/>
  <c r="Y157" i="22"/>
  <c r="V162" i="22"/>
  <c r="V165" i="22"/>
  <c r="Y166" i="22"/>
  <c r="V169" i="22"/>
  <c r="R40" i="22"/>
  <c r="V40" i="22"/>
  <c r="R44" i="22"/>
  <c r="V44" i="22"/>
  <c r="R48" i="22"/>
  <c r="V48" i="22"/>
  <c r="R52" i="22"/>
  <c r="V52" i="22"/>
  <c r="R56" i="22"/>
  <c r="V56" i="22"/>
  <c r="R60" i="22"/>
  <c r="V60" i="22"/>
  <c r="R64" i="22"/>
  <c r="V64" i="22"/>
  <c r="R68" i="22"/>
  <c r="V68" i="22"/>
  <c r="R72" i="22"/>
  <c r="V72" i="22"/>
  <c r="R76" i="22"/>
  <c r="V76" i="22"/>
  <c r="R80" i="22"/>
  <c r="V80" i="22"/>
  <c r="R84" i="22"/>
  <c r="V84" i="22"/>
  <c r="Q85" i="22"/>
  <c r="U85" i="22"/>
  <c r="Y85" i="22"/>
  <c r="R88" i="22"/>
  <c r="V88" i="22"/>
  <c r="Q89" i="22"/>
  <c r="U89" i="22"/>
  <c r="Y89" i="22"/>
  <c r="R92" i="22"/>
  <c r="V92" i="22"/>
  <c r="Q93" i="22"/>
  <c r="U93" i="22"/>
  <c r="Y93" i="22"/>
  <c r="R96" i="22"/>
  <c r="V96" i="22"/>
  <c r="Q97" i="22"/>
  <c r="U97" i="22"/>
  <c r="Y97" i="22"/>
  <c r="R100" i="22"/>
  <c r="V100" i="22"/>
  <c r="Q101" i="22"/>
  <c r="U101" i="22"/>
  <c r="Y101" i="22"/>
  <c r="R104" i="22"/>
  <c r="V104" i="22"/>
  <c r="Q105" i="22"/>
  <c r="U105" i="22"/>
  <c r="Y105" i="22"/>
  <c r="R108" i="22"/>
  <c r="V108" i="22"/>
  <c r="Q109" i="22"/>
  <c r="U109" i="22"/>
  <c r="Y109" i="22"/>
  <c r="R112" i="22"/>
  <c r="V112" i="22"/>
  <c r="Q113" i="22"/>
  <c r="U113" i="22"/>
  <c r="Y113" i="22"/>
  <c r="R116" i="22"/>
  <c r="V116" i="22"/>
  <c r="Q117" i="22"/>
  <c r="U117" i="22"/>
  <c r="Y117" i="22"/>
  <c r="R120" i="22"/>
  <c r="V120" i="22"/>
  <c r="Q121" i="22"/>
  <c r="U121" i="22"/>
  <c r="Y121" i="22"/>
  <c r="R124" i="22"/>
  <c r="V124" i="22"/>
  <c r="Q125" i="22"/>
  <c r="U125" i="22"/>
  <c r="Y125" i="22"/>
  <c r="R128" i="22"/>
  <c r="R130" i="22"/>
  <c r="R132" i="22"/>
  <c r="R134" i="22"/>
  <c r="R136" i="22"/>
  <c r="R138" i="22"/>
  <c r="R140" i="22"/>
  <c r="R142" i="22"/>
  <c r="R144" i="22"/>
  <c r="R146" i="22"/>
  <c r="R148" i="22"/>
  <c r="R150" i="22"/>
  <c r="R152" i="22"/>
  <c r="R154" i="22"/>
  <c r="R156" i="22"/>
  <c r="R158" i="22"/>
  <c r="Y161" i="22"/>
  <c r="U161" i="22"/>
  <c r="Q161" i="22"/>
  <c r="X161" i="22"/>
  <c r="T161" i="22"/>
  <c r="P161" i="22"/>
  <c r="V161" i="22"/>
  <c r="X181" i="22"/>
  <c r="T181" i="22"/>
  <c r="P181" i="22"/>
  <c r="V181" i="22"/>
  <c r="Q181" i="22"/>
  <c r="Z181" i="22"/>
  <c r="U181" i="22"/>
  <c r="O181" i="22"/>
  <c r="Y181" i="22"/>
  <c r="R85" i="22"/>
  <c r="V85" i="22"/>
  <c r="R89" i="22"/>
  <c r="V89" i="22"/>
  <c r="R93" i="22"/>
  <c r="V93" i="22"/>
  <c r="R97" i="22"/>
  <c r="V97" i="22"/>
  <c r="R101" i="22"/>
  <c r="V101" i="22"/>
  <c r="R105" i="22"/>
  <c r="V105" i="22"/>
  <c r="R109" i="22"/>
  <c r="V109" i="22"/>
  <c r="R113" i="22"/>
  <c r="V113" i="22"/>
  <c r="R117" i="22"/>
  <c r="V117" i="22"/>
  <c r="R121" i="22"/>
  <c r="V121" i="22"/>
  <c r="R125" i="22"/>
  <c r="V125" i="22"/>
  <c r="Y128" i="22"/>
  <c r="U128" i="22"/>
  <c r="Q128" i="22"/>
  <c r="S128" i="22"/>
  <c r="X128" i="22"/>
  <c r="W130" i="22"/>
  <c r="S130" i="22"/>
  <c r="O130" i="22"/>
  <c r="T130" i="22"/>
  <c r="Y130" i="22"/>
  <c r="Y132" i="22"/>
  <c r="U132" i="22"/>
  <c r="Q132" i="22"/>
  <c r="S132" i="22"/>
  <c r="X132" i="22"/>
  <c r="W134" i="22"/>
  <c r="S134" i="22"/>
  <c r="O134" i="22"/>
  <c r="T134" i="22"/>
  <c r="Y134" i="22"/>
  <c r="Y136" i="22"/>
  <c r="U136" i="22"/>
  <c r="Q136" i="22"/>
  <c r="S136" i="22"/>
  <c r="X136" i="22"/>
  <c r="W138" i="22"/>
  <c r="S138" i="22"/>
  <c r="O138" i="22"/>
  <c r="T138" i="22"/>
  <c r="Y138" i="22"/>
  <c r="Y140" i="22"/>
  <c r="U140" i="22"/>
  <c r="Q140" i="22"/>
  <c r="S140" i="22"/>
  <c r="X140" i="22"/>
  <c r="W142" i="22"/>
  <c r="S142" i="22"/>
  <c r="O142" i="22"/>
  <c r="T142" i="22"/>
  <c r="Y142" i="22"/>
  <c r="Y144" i="22"/>
  <c r="U144" i="22"/>
  <c r="Q144" i="22"/>
  <c r="S144" i="22"/>
  <c r="X144" i="22"/>
  <c r="W146" i="22"/>
  <c r="S146" i="22"/>
  <c r="O146" i="22"/>
  <c r="T146" i="22"/>
  <c r="Y146" i="22"/>
  <c r="Y148" i="22"/>
  <c r="U148" i="22"/>
  <c r="Q148" i="22"/>
  <c r="S148" i="22"/>
  <c r="X148" i="22"/>
  <c r="W150" i="22"/>
  <c r="S150" i="22"/>
  <c r="O150" i="22"/>
  <c r="T150" i="22"/>
  <c r="Y150" i="22"/>
  <c r="Y152" i="22"/>
  <c r="U152" i="22"/>
  <c r="Q152" i="22"/>
  <c r="S152" i="22"/>
  <c r="X152" i="22"/>
  <c r="W154" i="22"/>
  <c r="S154" i="22"/>
  <c r="O154" i="22"/>
  <c r="T154" i="22"/>
  <c r="Y154" i="22"/>
  <c r="Y156" i="22"/>
  <c r="U156" i="22"/>
  <c r="Q156" i="22"/>
  <c r="S156" i="22"/>
  <c r="X156" i="22"/>
  <c r="W158" i="22"/>
  <c r="S158" i="22"/>
  <c r="O158" i="22"/>
  <c r="T158" i="22"/>
  <c r="Y158" i="22"/>
  <c r="X170" i="22"/>
  <c r="T170" i="22"/>
  <c r="P170" i="22"/>
  <c r="W170" i="22"/>
  <c r="S170" i="22"/>
  <c r="O170" i="22"/>
  <c r="V170" i="22"/>
  <c r="X173" i="22"/>
  <c r="T173" i="22"/>
  <c r="V173" i="22"/>
  <c r="Q173" i="22"/>
  <c r="Z173" i="22"/>
  <c r="U173" i="22"/>
  <c r="P173" i="22"/>
  <c r="W173" i="22"/>
  <c r="X177" i="22"/>
  <c r="T177" i="22"/>
  <c r="P177" i="22"/>
  <c r="V177" i="22"/>
  <c r="Q177" i="22"/>
  <c r="Z177" i="22"/>
  <c r="U177" i="22"/>
  <c r="O177" i="22"/>
  <c r="Y177" i="22"/>
  <c r="W234" i="22"/>
  <c r="S234" i="22"/>
  <c r="O234" i="22"/>
  <c r="Z234" i="22"/>
  <c r="U234" i="22"/>
  <c r="P234" i="22"/>
  <c r="V234" i="22"/>
  <c r="Q234" i="22"/>
  <c r="X234" i="22"/>
  <c r="T234" i="22"/>
  <c r="Y234" i="22"/>
  <c r="R234" i="22"/>
  <c r="R131" i="22"/>
  <c r="V131" i="22"/>
  <c r="R135" i="22"/>
  <c r="V135" i="22"/>
  <c r="R139" i="22"/>
  <c r="V139" i="22"/>
  <c r="R143" i="22"/>
  <c r="V143" i="22"/>
  <c r="R147" i="22"/>
  <c r="V147" i="22"/>
  <c r="R151" i="22"/>
  <c r="V151" i="22"/>
  <c r="R155" i="22"/>
  <c r="V155" i="22"/>
  <c r="R159" i="22"/>
  <c r="V159" i="22"/>
  <c r="Q160" i="22"/>
  <c r="U160" i="22"/>
  <c r="Y160" i="22"/>
  <c r="R163" i="22"/>
  <c r="V163" i="22"/>
  <c r="Q164" i="22"/>
  <c r="U164" i="22"/>
  <c r="Y164" i="22"/>
  <c r="R167" i="22"/>
  <c r="V167" i="22"/>
  <c r="Q168" i="22"/>
  <c r="U168" i="22"/>
  <c r="Y168" i="22"/>
  <c r="R171" i="22"/>
  <c r="V171" i="22"/>
  <c r="Q172" i="22"/>
  <c r="U172" i="22"/>
  <c r="Y172" i="22"/>
  <c r="R174" i="22"/>
  <c r="R176" i="22"/>
  <c r="R178" i="22"/>
  <c r="R180" i="22"/>
  <c r="R182" i="22"/>
  <c r="R184" i="22"/>
  <c r="R186" i="22"/>
  <c r="R188" i="22"/>
  <c r="X249" i="22"/>
  <c r="T249" i="22"/>
  <c r="P249" i="22"/>
  <c r="Y249" i="22"/>
  <c r="U249" i="22"/>
  <c r="Q249" i="22"/>
  <c r="W249" i="22"/>
  <c r="O249" i="22"/>
  <c r="Z249" i="22"/>
  <c r="R249" i="22"/>
  <c r="V249" i="22"/>
  <c r="R160" i="22"/>
  <c r="V160" i="22"/>
  <c r="R164" i="22"/>
  <c r="V164" i="22"/>
  <c r="R168" i="22"/>
  <c r="V168" i="22"/>
  <c r="R172" i="22"/>
  <c r="V172" i="22"/>
  <c r="W174" i="22"/>
  <c r="S174" i="22"/>
  <c r="O174" i="22"/>
  <c r="T174" i="22"/>
  <c r="Y174" i="22"/>
  <c r="Y176" i="22"/>
  <c r="U176" i="22"/>
  <c r="Q176" i="22"/>
  <c r="S176" i="22"/>
  <c r="X176" i="22"/>
  <c r="W178" i="22"/>
  <c r="S178" i="22"/>
  <c r="O178" i="22"/>
  <c r="T178" i="22"/>
  <c r="Y178" i="22"/>
  <c r="Y180" i="22"/>
  <c r="U180" i="22"/>
  <c r="Q180" i="22"/>
  <c r="S180" i="22"/>
  <c r="X180" i="22"/>
  <c r="W182" i="22"/>
  <c r="S182" i="22"/>
  <c r="O182" i="22"/>
  <c r="T182" i="22"/>
  <c r="Y182" i="22"/>
  <c r="Y184" i="22"/>
  <c r="U184" i="22"/>
  <c r="Q184" i="22"/>
  <c r="S184" i="22"/>
  <c r="X184" i="22"/>
  <c r="W186" i="22"/>
  <c r="S186" i="22"/>
  <c r="O186" i="22"/>
  <c r="T186" i="22"/>
  <c r="Y186" i="22"/>
  <c r="Y188" i="22"/>
  <c r="Z188" i="22"/>
  <c r="U188" i="22"/>
  <c r="Q188" i="22"/>
  <c r="S188" i="22"/>
  <c r="X188" i="22"/>
  <c r="W201" i="22"/>
  <c r="S201" i="22"/>
  <c r="O201" i="22"/>
  <c r="X201" i="22"/>
  <c r="T201" i="22"/>
  <c r="P201" i="22"/>
  <c r="Z201" i="22"/>
  <c r="R201" i="22"/>
  <c r="Y201" i="22"/>
  <c r="Q201" i="22"/>
  <c r="W246" i="22"/>
  <c r="S246" i="22"/>
  <c r="O246" i="22"/>
  <c r="X246" i="22"/>
  <c r="T246" i="22"/>
  <c r="P246" i="22"/>
  <c r="Y246" i="22"/>
  <c r="Q246" i="22"/>
  <c r="Z246" i="22"/>
  <c r="R246" i="22"/>
  <c r="V246" i="22"/>
  <c r="W266" i="22"/>
  <c r="S266" i="22"/>
  <c r="O266" i="22"/>
  <c r="X266" i="22"/>
  <c r="T266" i="22"/>
  <c r="P266" i="22"/>
  <c r="Z266" i="22"/>
  <c r="R266" i="22"/>
  <c r="U266" i="22"/>
  <c r="V266" i="22"/>
  <c r="Q266" i="22"/>
  <c r="R175" i="22"/>
  <c r="V175" i="22"/>
  <c r="R179" i="22"/>
  <c r="V179" i="22"/>
  <c r="R183" i="22"/>
  <c r="V183" i="22"/>
  <c r="R187" i="22"/>
  <c r="V187" i="22"/>
  <c r="R189" i="22"/>
  <c r="X192" i="22"/>
  <c r="T192" i="22"/>
  <c r="P192" i="22"/>
  <c r="Y192" i="22"/>
  <c r="U192" i="22"/>
  <c r="Q192" i="22"/>
  <c r="V192" i="22"/>
  <c r="X196" i="22"/>
  <c r="T196" i="22"/>
  <c r="P196" i="22"/>
  <c r="Y196" i="22"/>
  <c r="U196" i="22"/>
  <c r="Q196" i="22"/>
  <c r="V196" i="22"/>
  <c r="X200" i="22"/>
  <c r="T200" i="22"/>
  <c r="P200" i="22"/>
  <c r="Y200" i="22"/>
  <c r="U200" i="22"/>
  <c r="Q200" i="22"/>
  <c r="V200" i="22"/>
  <c r="W205" i="22"/>
  <c r="S205" i="22"/>
  <c r="O205" i="22"/>
  <c r="X205" i="22"/>
  <c r="T205" i="22"/>
  <c r="P205" i="22"/>
  <c r="V205" i="22"/>
  <c r="W209" i="22"/>
  <c r="S209" i="22"/>
  <c r="O209" i="22"/>
  <c r="X209" i="22"/>
  <c r="T209" i="22"/>
  <c r="P209" i="22"/>
  <c r="V209" i="22"/>
  <c r="W213" i="22"/>
  <c r="S213" i="22"/>
  <c r="O213" i="22"/>
  <c r="X213" i="22"/>
  <c r="T213" i="22"/>
  <c r="P213" i="22"/>
  <c r="V213" i="22"/>
  <c r="W217" i="22"/>
  <c r="S217" i="22"/>
  <c r="O217" i="22"/>
  <c r="X217" i="22"/>
  <c r="T217" i="22"/>
  <c r="P217" i="22"/>
  <c r="V217" i="22"/>
  <c r="W221" i="22"/>
  <c r="S221" i="22"/>
  <c r="O221" i="22"/>
  <c r="X221" i="22"/>
  <c r="T221" i="22"/>
  <c r="P221" i="22"/>
  <c r="V221" i="22"/>
  <c r="W225" i="22"/>
  <c r="S225" i="22"/>
  <c r="O225" i="22"/>
  <c r="X225" i="22"/>
  <c r="T225" i="22"/>
  <c r="P225" i="22"/>
  <c r="V225" i="22"/>
  <c r="X229" i="22"/>
  <c r="W229" i="22"/>
  <c r="S229" i="22"/>
  <c r="O229" i="22"/>
  <c r="Y229" i="22"/>
  <c r="T229" i="22"/>
  <c r="P229" i="22"/>
  <c r="V229" i="22"/>
  <c r="X237" i="22"/>
  <c r="T237" i="22"/>
  <c r="P237" i="22"/>
  <c r="Y237" i="22"/>
  <c r="U237" i="22"/>
  <c r="Q237" i="22"/>
  <c r="Z237" i="22"/>
  <c r="R237" i="22"/>
  <c r="S237" i="22"/>
  <c r="W262" i="22"/>
  <c r="S262" i="22"/>
  <c r="O262" i="22"/>
  <c r="X262" i="22"/>
  <c r="T262" i="22"/>
  <c r="P262" i="22"/>
  <c r="Y262" i="22"/>
  <c r="Q262" i="22"/>
  <c r="Z262" i="22"/>
  <c r="R262" i="22"/>
  <c r="X265" i="22"/>
  <c r="T265" i="22"/>
  <c r="P265" i="22"/>
  <c r="Y265" i="22"/>
  <c r="U265" i="22"/>
  <c r="Q265" i="22"/>
  <c r="W265" i="22"/>
  <c r="O265" i="22"/>
  <c r="Z265" i="22"/>
  <c r="R265" i="22"/>
  <c r="X269" i="22"/>
  <c r="T269" i="22"/>
  <c r="P269" i="22"/>
  <c r="Y269" i="22"/>
  <c r="U269" i="22"/>
  <c r="Q269" i="22"/>
  <c r="Z269" i="22"/>
  <c r="R269" i="22"/>
  <c r="S269" i="22"/>
  <c r="W281" i="22"/>
  <c r="S281" i="22"/>
  <c r="O281" i="22"/>
  <c r="Z281" i="22"/>
  <c r="U281" i="22"/>
  <c r="P281" i="22"/>
  <c r="V281" i="22"/>
  <c r="Q281" i="22"/>
  <c r="R281" i="22"/>
  <c r="T281" i="22"/>
  <c r="Y301" i="22"/>
  <c r="U301" i="22"/>
  <c r="Q301" i="22"/>
  <c r="Z301" i="22"/>
  <c r="T301" i="22"/>
  <c r="O301" i="22"/>
  <c r="V301" i="22"/>
  <c r="P301" i="22"/>
  <c r="R301" i="22"/>
  <c r="S301" i="22"/>
  <c r="W301" i="22"/>
  <c r="X301" i="22"/>
  <c r="W189" i="22"/>
  <c r="X189" i="22"/>
  <c r="T189" i="22"/>
  <c r="P189" i="22"/>
  <c r="S189" i="22"/>
  <c r="Z189" i="22"/>
  <c r="X204" i="22"/>
  <c r="T204" i="22"/>
  <c r="P204" i="22"/>
  <c r="Y204" i="22"/>
  <c r="U204" i="22"/>
  <c r="Q204" i="22"/>
  <c r="V204" i="22"/>
  <c r="X208" i="22"/>
  <c r="T208" i="22"/>
  <c r="P208" i="22"/>
  <c r="Y208" i="22"/>
  <c r="U208" i="22"/>
  <c r="Q208" i="22"/>
  <c r="V208" i="22"/>
  <c r="X212" i="22"/>
  <c r="T212" i="22"/>
  <c r="P212" i="22"/>
  <c r="Y212" i="22"/>
  <c r="U212" i="22"/>
  <c r="Q212" i="22"/>
  <c r="V212" i="22"/>
  <c r="X216" i="22"/>
  <c r="T216" i="22"/>
  <c r="P216" i="22"/>
  <c r="Y216" i="22"/>
  <c r="U216" i="22"/>
  <c r="Q216" i="22"/>
  <c r="V216" i="22"/>
  <c r="X220" i="22"/>
  <c r="T220" i="22"/>
  <c r="P220" i="22"/>
  <c r="Y220" i="22"/>
  <c r="U220" i="22"/>
  <c r="Q220" i="22"/>
  <c r="V220" i="22"/>
  <c r="X224" i="22"/>
  <c r="T224" i="22"/>
  <c r="P224" i="22"/>
  <c r="Y224" i="22"/>
  <c r="U224" i="22"/>
  <c r="Q224" i="22"/>
  <c r="V224" i="22"/>
  <c r="X228" i="22"/>
  <c r="T228" i="22"/>
  <c r="P228" i="22"/>
  <c r="Y228" i="22"/>
  <c r="U228" i="22"/>
  <c r="Q228" i="22"/>
  <c r="V228" i="22"/>
  <c r="Y232" i="22"/>
  <c r="U232" i="22"/>
  <c r="Q232" i="22"/>
  <c r="Z232" i="22"/>
  <c r="T232" i="22"/>
  <c r="O232" i="22"/>
  <c r="V232" i="22"/>
  <c r="P232" i="22"/>
  <c r="X232" i="22"/>
  <c r="W250" i="22"/>
  <c r="S250" i="22"/>
  <c r="O250" i="22"/>
  <c r="X250" i="22"/>
  <c r="T250" i="22"/>
  <c r="P250" i="22"/>
  <c r="Z250" i="22"/>
  <c r="R250" i="22"/>
  <c r="U250" i="22"/>
  <c r="X313" i="22"/>
  <c r="T313" i="22"/>
  <c r="P313" i="22"/>
  <c r="Y313" i="22"/>
  <c r="U313" i="22"/>
  <c r="Q313" i="22"/>
  <c r="Z313" i="22"/>
  <c r="R313" i="22"/>
  <c r="S313" i="22"/>
  <c r="O313" i="22"/>
  <c r="V313" i="22"/>
  <c r="W313" i="22"/>
  <c r="O190" i="22"/>
  <c r="S190" i="22"/>
  <c r="W190" i="22"/>
  <c r="R191" i="22"/>
  <c r="V191" i="22"/>
  <c r="Z191" i="22"/>
  <c r="O194" i="22"/>
  <c r="S194" i="22"/>
  <c r="W194" i="22"/>
  <c r="R195" i="22"/>
  <c r="V195" i="22"/>
  <c r="Z195" i="22"/>
  <c r="O198" i="22"/>
  <c r="S198" i="22"/>
  <c r="W198" i="22"/>
  <c r="R199" i="22"/>
  <c r="V199" i="22"/>
  <c r="Z199" i="22"/>
  <c r="S202" i="22"/>
  <c r="W202" i="22"/>
  <c r="R203" i="22"/>
  <c r="V203" i="22"/>
  <c r="Z203" i="22"/>
  <c r="O206" i="22"/>
  <c r="S206" i="22"/>
  <c r="W206" i="22"/>
  <c r="R207" i="22"/>
  <c r="V207" i="22"/>
  <c r="Z207" i="22"/>
  <c r="O210" i="22"/>
  <c r="S210" i="22"/>
  <c r="W210" i="22"/>
  <c r="R211" i="22"/>
  <c r="V211" i="22"/>
  <c r="Z211" i="22"/>
  <c r="O214" i="22"/>
  <c r="S214" i="22"/>
  <c r="W214" i="22"/>
  <c r="R215" i="22"/>
  <c r="V215" i="22"/>
  <c r="Z215" i="22"/>
  <c r="O218" i="22"/>
  <c r="S218" i="22"/>
  <c r="W218" i="22"/>
  <c r="R219" i="22"/>
  <c r="V219" i="22"/>
  <c r="Z219" i="22"/>
  <c r="O222" i="22"/>
  <c r="S222" i="22"/>
  <c r="W222" i="22"/>
  <c r="R223" i="22"/>
  <c r="V223" i="22"/>
  <c r="Z223" i="22"/>
  <c r="O226" i="22"/>
  <c r="S226" i="22"/>
  <c r="W226" i="22"/>
  <c r="R227" i="22"/>
  <c r="V227" i="22"/>
  <c r="Z227" i="22"/>
  <c r="X233" i="22"/>
  <c r="T233" i="22"/>
  <c r="P233" i="22"/>
  <c r="S233" i="22"/>
  <c r="Y233" i="22"/>
  <c r="W238" i="22"/>
  <c r="S238" i="22"/>
  <c r="O238" i="22"/>
  <c r="X238" i="22"/>
  <c r="T238" i="22"/>
  <c r="P238" i="22"/>
  <c r="V238" i="22"/>
  <c r="X241" i="22"/>
  <c r="T241" i="22"/>
  <c r="P241" i="22"/>
  <c r="Y241" i="22"/>
  <c r="U241" i="22"/>
  <c r="Q241" i="22"/>
  <c r="V241" i="22"/>
  <c r="Q242" i="22"/>
  <c r="O245" i="22"/>
  <c r="W254" i="22"/>
  <c r="S254" i="22"/>
  <c r="O254" i="22"/>
  <c r="X254" i="22"/>
  <c r="T254" i="22"/>
  <c r="P254" i="22"/>
  <c r="V254" i="22"/>
  <c r="X257" i="22"/>
  <c r="T257" i="22"/>
  <c r="P257" i="22"/>
  <c r="Y257" i="22"/>
  <c r="U257" i="22"/>
  <c r="Q257" i="22"/>
  <c r="V257" i="22"/>
  <c r="Q258" i="22"/>
  <c r="O261" i="22"/>
  <c r="W270" i="22"/>
  <c r="S270" i="22"/>
  <c r="O270" i="22"/>
  <c r="X270" i="22"/>
  <c r="T270" i="22"/>
  <c r="P270" i="22"/>
  <c r="V270" i="22"/>
  <c r="X273" i="22"/>
  <c r="T273" i="22"/>
  <c r="P273" i="22"/>
  <c r="Y273" i="22"/>
  <c r="U273" i="22"/>
  <c r="Q273" i="22"/>
  <c r="V273" i="22"/>
  <c r="Q274" i="22"/>
  <c r="O277" i="22"/>
  <c r="X284" i="22"/>
  <c r="T284" i="22"/>
  <c r="P284" i="22"/>
  <c r="Y284" i="22"/>
  <c r="U284" i="22"/>
  <c r="Q284" i="22"/>
  <c r="Z284" i="22"/>
  <c r="R284" i="22"/>
  <c r="S284" i="22"/>
  <c r="W306" i="22"/>
  <c r="S306" i="22"/>
  <c r="O306" i="22"/>
  <c r="X306" i="22"/>
  <c r="T306" i="22"/>
  <c r="P306" i="22"/>
  <c r="Y306" i="22"/>
  <c r="Q306" i="22"/>
  <c r="Z306" i="22"/>
  <c r="R306" i="22"/>
  <c r="U306" i="22"/>
  <c r="V306" i="22"/>
  <c r="W322" i="22"/>
  <c r="S322" i="22"/>
  <c r="O322" i="22"/>
  <c r="X322" i="22"/>
  <c r="T322" i="22"/>
  <c r="P322" i="22"/>
  <c r="Y322" i="22"/>
  <c r="Q322" i="22"/>
  <c r="Z322" i="22"/>
  <c r="R322" i="22"/>
  <c r="U322" i="22"/>
  <c r="V322" i="22"/>
  <c r="R190" i="22"/>
  <c r="V190" i="22"/>
  <c r="Q191" i="22"/>
  <c r="U191" i="22"/>
  <c r="R194" i="22"/>
  <c r="V194" i="22"/>
  <c r="Q195" i="22"/>
  <c r="U195" i="22"/>
  <c r="R198" i="22"/>
  <c r="V198" i="22"/>
  <c r="Q199" i="22"/>
  <c r="U199" i="22"/>
  <c r="R202" i="22"/>
  <c r="V202" i="22"/>
  <c r="Q203" i="22"/>
  <c r="U203" i="22"/>
  <c r="R206" i="22"/>
  <c r="V206" i="22"/>
  <c r="Q207" i="22"/>
  <c r="U207" i="22"/>
  <c r="R210" i="22"/>
  <c r="V210" i="22"/>
  <c r="Q211" i="22"/>
  <c r="U211" i="22"/>
  <c r="R214" i="22"/>
  <c r="V214" i="22"/>
  <c r="Q215" i="22"/>
  <c r="U215" i="22"/>
  <c r="R218" i="22"/>
  <c r="V218" i="22"/>
  <c r="Q219" i="22"/>
  <c r="U219" i="22"/>
  <c r="R222" i="22"/>
  <c r="V222" i="22"/>
  <c r="Q223" i="22"/>
  <c r="U223" i="22"/>
  <c r="R226" i="22"/>
  <c r="V226" i="22"/>
  <c r="Q227" i="22"/>
  <c r="U227" i="22"/>
  <c r="W242" i="22"/>
  <c r="S242" i="22"/>
  <c r="O242" i="22"/>
  <c r="X242" i="22"/>
  <c r="T242" i="22"/>
  <c r="P242" i="22"/>
  <c r="V242" i="22"/>
  <c r="X245" i="22"/>
  <c r="T245" i="22"/>
  <c r="P245" i="22"/>
  <c r="Y245" i="22"/>
  <c r="U245" i="22"/>
  <c r="Q245" i="22"/>
  <c r="V245" i="22"/>
  <c r="W258" i="22"/>
  <c r="S258" i="22"/>
  <c r="O258" i="22"/>
  <c r="X258" i="22"/>
  <c r="T258" i="22"/>
  <c r="P258" i="22"/>
  <c r="V258" i="22"/>
  <c r="X261" i="22"/>
  <c r="T261" i="22"/>
  <c r="P261" i="22"/>
  <c r="Y261" i="22"/>
  <c r="U261" i="22"/>
  <c r="Q261" i="22"/>
  <c r="V261" i="22"/>
  <c r="W274" i="22"/>
  <c r="S274" i="22"/>
  <c r="O274" i="22"/>
  <c r="X274" i="22"/>
  <c r="T274" i="22"/>
  <c r="P274" i="22"/>
  <c r="V274" i="22"/>
  <c r="W277" i="22"/>
  <c r="S277" i="22"/>
  <c r="Z277" i="22"/>
  <c r="U277" i="22"/>
  <c r="P277" i="22"/>
  <c r="V277" i="22"/>
  <c r="Q277" i="22"/>
  <c r="X277" i="22"/>
  <c r="Y279" i="22"/>
  <c r="U279" i="22"/>
  <c r="Q279" i="22"/>
  <c r="Z279" i="22"/>
  <c r="T279" i="22"/>
  <c r="O279" i="22"/>
  <c r="V279" i="22"/>
  <c r="P279" i="22"/>
  <c r="X279" i="22"/>
  <c r="W310" i="22"/>
  <c r="S310" i="22"/>
  <c r="O310" i="22"/>
  <c r="X310" i="22"/>
  <c r="T310" i="22"/>
  <c r="P310" i="22"/>
  <c r="Z310" i="22"/>
  <c r="R310" i="22"/>
  <c r="U310" i="22"/>
  <c r="V310" i="22"/>
  <c r="Y310" i="22"/>
  <c r="R236" i="22"/>
  <c r="V236" i="22"/>
  <c r="Z236" i="22"/>
  <c r="R240" i="22"/>
  <c r="V240" i="22"/>
  <c r="Z240" i="22"/>
  <c r="R244" i="22"/>
  <c r="V244" i="22"/>
  <c r="Z244" i="22"/>
  <c r="R248" i="22"/>
  <c r="V248" i="22"/>
  <c r="Z248" i="22"/>
  <c r="R252" i="22"/>
  <c r="V252" i="22"/>
  <c r="Z252" i="22"/>
  <c r="R256" i="22"/>
  <c r="V256" i="22"/>
  <c r="Z256" i="22"/>
  <c r="R260" i="22"/>
  <c r="V260" i="22"/>
  <c r="Z260" i="22"/>
  <c r="R264" i="22"/>
  <c r="V264" i="22"/>
  <c r="Z264" i="22"/>
  <c r="R268" i="22"/>
  <c r="V268" i="22"/>
  <c r="Z268" i="22"/>
  <c r="R272" i="22"/>
  <c r="V272" i="22"/>
  <c r="Z272" i="22"/>
  <c r="R276" i="22"/>
  <c r="V276" i="22"/>
  <c r="Z276" i="22"/>
  <c r="X280" i="22"/>
  <c r="T280" i="22"/>
  <c r="P280" i="22"/>
  <c r="S280" i="22"/>
  <c r="Y280" i="22"/>
  <c r="W285" i="22"/>
  <c r="S285" i="22"/>
  <c r="O285" i="22"/>
  <c r="X285" i="22"/>
  <c r="T285" i="22"/>
  <c r="P285" i="22"/>
  <c r="V285" i="22"/>
  <c r="X288" i="22"/>
  <c r="T288" i="22"/>
  <c r="P288" i="22"/>
  <c r="Y288" i="22"/>
  <c r="U288" i="22"/>
  <c r="Q288" i="22"/>
  <c r="V288" i="22"/>
  <c r="Q289" i="22"/>
  <c r="Y297" i="22"/>
  <c r="U297" i="22"/>
  <c r="Q297" i="22"/>
  <c r="Z297" i="22"/>
  <c r="T297" i="22"/>
  <c r="O297" i="22"/>
  <c r="V297" i="22"/>
  <c r="P297" i="22"/>
  <c r="X297" i="22"/>
  <c r="R231" i="22"/>
  <c r="V231" i="22"/>
  <c r="R235" i="22"/>
  <c r="V235" i="22"/>
  <c r="Q236" i="22"/>
  <c r="U236" i="22"/>
  <c r="R239" i="22"/>
  <c r="V239" i="22"/>
  <c r="Q240" i="22"/>
  <c r="U240" i="22"/>
  <c r="R243" i="22"/>
  <c r="V243" i="22"/>
  <c r="Q244" i="22"/>
  <c r="U244" i="22"/>
  <c r="R247" i="22"/>
  <c r="V247" i="22"/>
  <c r="Q248" i="22"/>
  <c r="U248" i="22"/>
  <c r="R251" i="22"/>
  <c r="V251" i="22"/>
  <c r="Q252" i="22"/>
  <c r="U252" i="22"/>
  <c r="R255" i="22"/>
  <c r="V255" i="22"/>
  <c r="Q256" i="22"/>
  <c r="U256" i="22"/>
  <c r="R259" i="22"/>
  <c r="V259" i="22"/>
  <c r="Q260" i="22"/>
  <c r="U260" i="22"/>
  <c r="R263" i="22"/>
  <c r="V263" i="22"/>
  <c r="Q264" i="22"/>
  <c r="U264" i="22"/>
  <c r="R267" i="22"/>
  <c r="V267" i="22"/>
  <c r="Q268" i="22"/>
  <c r="U268" i="22"/>
  <c r="R271" i="22"/>
  <c r="V271" i="22"/>
  <c r="Q272" i="22"/>
  <c r="U272" i="22"/>
  <c r="R275" i="22"/>
  <c r="V275" i="22"/>
  <c r="Q276" i="22"/>
  <c r="U276" i="22"/>
  <c r="R280" i="22"/>
  <c r="W280" i="22"/>
  <c r="U285" i="22"/>
  <c r="S288" i="22"/>
  <c r="W289" i="22"/>
  <c r="S289" i="22"/>
  <c r="O289" i="22"/>
  <c r="X289" i="22"/>
  <c r="T289" i="22"/>
  <c r="P289" i="22"/>
  <c r="V289" i="22"/>
  <c r="X292" i="22"/>
  <c r="T292" i="22"/>
  <c r="P292" i="22"/>
  <c r="Y292" i="22"/>
  <c r="U292" i="22"/>
  <c r="Q292" i="22"/>
  <c r="V292" i="22"/>
  <c r="W297" i="22"/>
  <c r="W299" i="22"/>
  <c r="S299" i="22"/>
  <c r="O299" i="22"/>
  <c r="Z299" i="22"/>
  <c r="U299" i="22"/>
  <c r="P299" i="22"/>
  <c r="V299" i="22"/>
  <c r="Q299" i="22"/>
  <c r="Y299" i="22"/>
  <c r="R283" i="22"/>
  <c r="V283" i="22"/>
  <c r="Z283" i="22"/>
  <c r="R287" i="22"/>
  <c r="V287" i="22"/>
  <c r="Z287" i="22"/>
  <c r="R291" i="22"/>
  <c r="V291" i="22"/>
  <c r="Z291" i="22"/>
  <c r="R295" i="22"/>
  <c r="V295" i="22"/>
  <c r="X298" i="22"/>
  <c r="T298" i="22"/>
  <c r="P298" i="22"/>
  <c r="S298" i="22"/>
  <c r="Y298" i="22"/>
  <c r="X302" i="22"/>
  <c r="T302" i="22"/>
  <c r="P302" i="22"/>
  <c r="S302" i="22"/>
  <c r="Y302" i="22"/>
  <c r="O305" i="22"/>
  <c r="W314" i="22"/>
  <c r="S314" i="22"/>
  <c r="O314" i="22"/>
  <c r="X314" i="22"/>
  <c r="T314" i="22"/>
  <c r="P314" i="22"/>
  <c r="V314" i="22"/>
  <c r="X317" i="22"/>
  <c r="T317" i="22"/>
  <c r="P317" i="22"/>
  <c r="Y317" i="22"/>
  <c r="U317" i="22"/>
  <c r="Q317" i="22"/>
  <c r="V317" i="22"/>
  <c r="Q318" i="22"/>
  <c r="O321" i="22"/>
  <c r="R278" i="22"/>
  <c r="V278" i="22"/>
  <c r="R282" i="22"/>
  <c r="V282" i="22"/>
  <c r="Q283" i="22"/>
  <c r="U283" i="22"/>
  <c r="R286" i="22"/>
  <c r="V286" i="22"/>
  <c r="Q287" i="22"/>
  <c r="U287" i="22"/>
  <c r="R290" i="22"/>
  <c r="V290" i="22"/>
  <c r="Q291" i="22"/>
  <c r="U291" i="22"/>
  <c r="R294" i="22"/>
  <c r="V294" i="22"/>
  <c r="Q295" i="22"/>
  <c r="U295" i="22"/>
  <c r="Z295" i="22"/>
  <c r="R298" i="22"/>
  <c r="W298" i="22"/>
  <c r="R302" i="22"/>
  <c r="W302" i="22"/>
  <c r="X305" i="22"/>
  <c r="T305" i="22"/>
  <c r="P305" i="22"/>
  <c r="Y305" i="22"/>
  <c r="U305" i="22"/>
  <c r="Q305" i="22"/>
  <c r="V305" i="22"/>
  <c r="U314" i="22"/>
  <c r="S317" i="22"/>
  <c r="W318" i="22"/>
  <c r="S318" i="22"/>
  <c r="O318" i="22"/>
  <c r="X318" i="22"/>
  <c r="T318" i="22"/>
  <c r="P318" i="22"/>
  <c r="V318" i="22"/>
  <c r="X321" i="22"/>
  <c r="T321" i="22"/>
  <c r="P321" i="22"/>
  <c r="Y321" i="22"/>
  <c r="U321" i="22"/>
  <c r="Q321" i="22"/>
  <c r="V321" i="22"/>
  <c r="R296" i="22"/>
  <c r="V296" i="22"/>
  <c r="R300" i="22"/>
  <c r="V300" i="22"/>
  <c r="O303" i="22"/>
  <c r="S303" i="22"/>
  <c r="W303" i="22"/>
  <c r="R304" i="22"/>
  <c r="V304" i="22"/>
  <c r="O307" i="22"/>
  <c r="S307" i="22"/>
  <c r="W307" i="22"/>
  <c r="R308" i="22"/>
  <c r="V308" i="22"/>
  <c r="O311" i="22"/>
  <c r="S311" i="22"/>
  <c r="W311" i="22"/>
  <c r="R312" i="22"/>
  <c r="V312" i="22"/>
  <c r="O315" i="22"/>
  <c r="S315" i="22"/>
  <c r="W315" i="22"/>
  <c r="R316" i="22"/>
  <c r="V316" i="22"/>
  <c r="O319" i="22"/>
  <c r="S319" i="22"/>
  <c r="W319" i="22"/>
  <c r="R320" i="22"/>
  <c r="V320" i="22"/>
  <c r="O323" i="22"/>
  <c r="S323" i="22"/>
  <c r="W323" i="22"/>
  <c r="R303" i="22"/>
  <c r="V303" i="22"/>
  <c r="R307" i="22"/>
  <c r="V307" i="22"/>
  <c r="R311" i="22"/>
  <c r="V311" i="22"/>
  <c r="R315" i="22"/>
  <c r="V315" i="22"/>
  <c r="R319" i="22"/>
  <c r="V319" i="22"/>
  <c r="R323" i="22"/>
  <c r="V323" i="22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8" i="35"/>
  <c r="L9" i="35"/>
  <c r="L10" i="35"/>
  <c r="L11" i="35"/>
  <c r="L7" i="35"/>
  <c r="C1" i="35"/>
  <c r="E1" i="35" s="1"/>
  <c r="D3" i="35" s="1"/>
  <c r="D4" i="35" l="1"/>
  <c r="E3" i="35" s="1"/>
  <c r="E4" i="35" s="1"/>
  <c r="F3" i="35" l="1"/>
  <c r="F4" i="35" s="1"/>
  <c r="E5" i="35"/>
  <c r="D5" i="35"/>
  <c r="G3" i="35" l="1"/>
  <c r="G4" i="35" s="1"/>
  <c r="F5" i="35"/>
  <c r="H3" i="35" l="1"/>
  <c r="H4" i="35" s="1"/>
  <c r="G5" i="35"/>
  <c r="I3" i="35" l="1"/>
  <c r="H5" i="35"/>
  <c r="I4" i="35" l="1"/>
  <c r="I5" i="35" s="1"/>
  <c r="M225" i="35" s="1"/>
  <c r="M307" i="35" l="1"/>
  <c r="M198" i="35"/>
  <c r="M260" i="35"/>
  <c r="M212" i="35"/>
  <c r="M267" i="35"/>
  <c r="M302" i="35"/>
  <c r="M299" i="35"/>
  <c r="M224" i="35"/>
  <c r="M200" i="35"/>
  <c r="M170" i="35"/>
  <c r="M236" i="35"/>
  <c r="M213" i="35"/>
  <c r="M292" i="35"/>
  <c r="M166" i="35"/>
  <c r="M303" i="35"/>
  <c r="M219" i="35"/>
  <c r="M322" i="35"/>
  <c r="M196" i="35"/>
  <c r="M247" i="35"/>
  <c r="M297" i="35"/>
  <c r="M173" i="35"/>
  <c r="M210" i="35"/>
  <c r="M167" i="35"/>
  <c r="M294" i="35"/>
  <c r="M318" i="35"/>
  <c r="M178" i="35"/>
  <c r="M181" i="35"/>
  <c r="M192" i="35"/>
  <c r="M290" i="35"/>
  <c r="M280" i="35"/>
  <c r="M296" i="35"/>
  <c r="M197" i="35"/>
  <c r="M240" i="35"/>
  <c r="M195" i="35"/>
  <c r="M174" i="35"/>
  <c r="M185" i="35"/>
  <c r="M237" i="35"/>
  <c r="M184" i="35"/>
  <c r="M221" i="35"/>
  <c r="M171" i="35"/>
  <c r="M324" i="35"/>
  <c r="M264" i="35"/>
  <c r="M310" i="35"/>
  <c r="M232" i="35"/>
  <c r="M165" i="35"/>
  <c r="M208" i="35"/>
  <c r="M306" i="35"/>
  <c r="M309" i="35"/>
  <c r="M320" i="35"/>
  <c r="M276" i="35"/>
  <c r="M314" i="35"/>
  <c r="M255" i="35"/>
  <c r="M325" i="35"/>
  <c r="M201" i="35"/>
  <c r="M188" i="35"/>
  <c r="M222" i="35"/>
  <c r="M313" i="35"/>
  <c r="M177" i="35"/>
  <c r="M273" i="35"/>
  <c r="M187" i="35"/>
  <c r="M289" i="35"/>
  <c r="M285" i="35"/>
  <c r="M216" i="35"/>
  <c r="M180" i="35"/>
  <c r="M269" i="35"/>
  <c r="M278" i="35"/>
  <c r="M209" i="35"/>
  <c r="M218" i="35"/>
  <c r="M262" i="35"/>
  <c r="M203" i="35"/>
  <c r="M229" i="35"/>
  <c r="M238" i="35"/>
  <c r="M272" i="35"/>
  <c r="M207" i="35"/>
  <c r="M259" i="35"/>
  <c r="M284" i="35"/>
  <c r="M231" i="35"/>
  <c r="M251" i="35"/>
  <c r="M217" i="35"/>
  <c r="M226" i="35"/>
  <c r="M215" i="35"/>
  <c r="M308" i="35"/>
  <c r="M248" i="35"/>
  <c r="M175" i="35"/>
  <c r="M182" i="35"/>
  <c r="M228" i="35"/>
  <c r="M168" i="35"/>
  <c r="M266" i="35"/>
  <c r="M300" i="35"/>
  <c r="M263" i="35"/>
  <c r="M176" i="35"/>
  <c r="M265" i="35"/>
  <c r="M274" i="35"/>
  <c r="M220" i="35"/>
  <c r="M277" i="35"/>
  <c r="M286" i="35"/>
  <c r="M288" i="35"/>
  <c r="M239" i="35"/>
  <c r="M291" i="35"/>
  <c r="M186" i="35"/>
  <c r="M214" i="35"/>
  <c r="M287" i="35"/>
  <c r="M298" i="35"/>
  <c r="M301" i="35"/>
  <c r="M241" i="35"/>
  <c r="M275" i="35"/>
  <c r="M253" i="35"/>
  <c r="M193" i="35"/>
  <c r="M202" i="35"/>
  <c r="M268" i="35"/>
  <c r="M199" i="35"/>
  <c r="M283" i="35"/>
  <c r="M233" i="35"/>
  <c r="M242" i="35"/>
  <c r="M204" i="35"/>
  <c r="M245" i="35"/>
  <c r="M254" i="35"/>
  <c r="M256" i="35"/>
  <c r="M179" i="35"/>
  <c r="M227" i="35"/>
  <c r="M305" i="35"/>
  <c r="M279" i="35"/>
  <c r="M211" i="35"/>
  <c r="M243" i="35"/>
  <c r="M223" i="35"/>
  <c r="M317" i="35"/>
  <c r="M257" i="35"/>
  <c r="M235" i="35"/>
  <c r="M261" i="35"/>
  <c r="M270" i="35"/>
  <c r="M304" i="35"/>
  <c r="M271" i="35"/>
  <c r="M319" i="35"/>
  <c r="M316" i="35"/>
  <c r="M295" i="35"/>
  <c r="M315" i="35"/>
  <c r="M249" i="35"/>
  <c r="M258" i="35"/>
  <c r="M246" i="35"/>
  <c r="M205" i="35"/>
  <c r="M312" i="35"/>
  <c r="M164" i="35"/>
  <c r="M250" i="35"/>
  <c r="M321" i="35"/>
  <c r="M293" i="35"/>
  <c r="M169" i="35"/>
  <c r="M172" i="35"/>
  <c r="M190" i="35"/>
  <c r="M281" i="35"/>
  <c r="M234" i="35"/>
  <c r="M189" i="35"/>
  <c r="M326" i="35"/>
  <c r="M206" i="35"/>
  <c r="M163" i="35"/>
  <c r="M252" i="35"/>
  <c r="M183" i="35"/>
  <c r="M194" i="35"/>
  <c r="M244" i="35"/>
  <c r="M282" i="35"/>
  <c r="M230" i="35"/>
  <c r="M323" i="35"/>
  <c r="M311" i="35"/>
  <c r="M191" i="35"/>
  <c r="M94" i="35"/>
  <c r="M61" i="35"/>
  <c r="M20" i="35"/>
  <c r="M13" i="35"/>
  <c r="M26" i="35"/>
  <c r="M35" i="35"/>
  <c r="M150" i="35"/>
  <c r="M82" i="35"/>
  <c r="M113" i="35"/>
  <c r="M69" i="35"/>
  <c r="M138" i="35"/>
  <c r="M18" i="35"/>
  <c r="M97" i="35"/>
  <c r="M136" i="35"/>
  <c r="M161" i="35"/>
  <c r="M154" i="35"/>
  <c r="M145" i="35"/>
  <c r="M62" i="35"/>
  <c r="M73" i="35"/>
  <c r="M125" i="35"/>
  <c r="M9" i="35"/>
  <c r="M90" i="35"/>
  <c r="M44" i="35"/>
  <c r="M99" i="35"/>
  <c r="M55" i="35"/>
  <c r="M143" i="35"/>
  <c r="M123" i="35"/>
  <c r="M66" i="35"/>
  <c r="M120" i="35"/>
  <c r="M132" i="35"/>
  <c r="M130" i="35"/>
  <c r="M51" i="35"/>
  <c r="M19" i="35"/>
  <c r="M106" i="35"/>
  <c r="M40" i="35"/>
  <c r="M42" i="35"/>
  <c r="M57" i="35"/>
  <c r="M105" i="35"/>
  <c r="M52" i="35"/>
  <c r="M29" i="35"/>
  <c r="M37" i="35"/>
  <c r="M157" i="35"/>
  <c r="M140" i="35"/>
  <c r="M147" i="35"/>
  <c r="M101" i="35"/>
  <c r="M16" i="35"/>
  <c r="M83" i="35"/>
  <c r="M64" i="35"/>
  <c r="M78" i="35"/>
  <c r="M126" i="35"/>
  <c r="M114" i="35"/>
  <c r="M17" i="35"/>
  <c r="M50" i="35"/>
  <c r="M58" i="35"/>
  <c r="M141" i="35"/>
  <c r="M22" i="35"/>
  <c r="M14" i="35"/>
  <c r="M146" i="35"/>
  <c r="M79" i="35"/>
  <c r="M25" i="35"/>
  <c r="M153" i="35"/>
  <c r="M65" i="35"/>
  <c r="M27" i="35"/>
  <c r="M63" i="35"/>
  <c r="M89" i="35"/>
  <c r="M107" i="35"/>
  <c r="M84" i="35"/>
  <c r="M49" i="35"/>
  <c r="M155" i="35"/>
  <c r="M149" i="35"/>
  <c r="M31" i="35"/>
  <c r="M74" i="35"/>
  <c r="M128" i="35"/>
  <c r="M158" i="35"/>
  <c r="M127" i="35"/>
  <c r="M148" i="35"/>
  <c r="M76" i="35"/>
  <c r="M115" i="35"/>
  <c r="M8" i="35"/>
  <c r="M34" i="35"/>
  <c r="M124" i="35"/>
  <c r="M160" i="35"/>
  <c r="M133" i="35"/>
  <c r="M24" i="35"/>
  <c r="M93" i="35"/>
  <c r="M53" i="35"/>
  <c r="M95" i="35"/>
  <c r="M103" i="35"/>
  <c r="M81" i="35"/>
  <c r="M80" i="35"/>
  <c r="M46" i="35"/>
  <c r="M111" i="35"/>
  <c r="M59" i="35"/>
  <c r="M129" i="35"/>
  <c r="M96" i="35"/>
  <c r="M60" i="35"/>
  <c r="M109" i="35"/>
  <c r="M10" i="35"/>
  <c r="M41" i="35"/>
  <c r="M86" i="35"/>
  <c r="M92" i="35"/>
  <c r="M11" i="35"/>
  <c r="M110" i="35"/>
  <c r="M48" i="35"/>
  <c r="M56" i="35"/>
  <c r="M139" i="35"/>
  <c r="M72" i="35"/>
  <c r="M100" i="35"/>
  <c r="M67" i="35"/>
  <c r="M142" i="35"/>
  <c r="M15" i="35"/>
  <c r="M117" i="35"/>
  <c r="M159" i="35"/>
  <c r="M70" i="35"/>
  <c r="M108" i="35"/>
  <c r="M131" i="35"/>
  <c r="M47" i="35"/>
  <c r="M12" i="35"/>
  <c r="M116" i="35"/>
  <c r="M39" i="35"/>
  <c r="M134" i="35"/>
  <c r="M152" i="35"/>
  <c r="M135" i="35"/>
  <c r="M45" i="35"/>
  <c r="M151" i="35"/>
  <c r="M77" i="35"/>
  <c r="M21" i="35"/>
  <c r="M71" i="35"/>
  <c r="M121" i="35"/>
  <c r="M36" i="35"/>
  <c r="M87" i="35"/>
  <c r="M156" i="35"/>
  <c r="M162" i="35"/>
  <c r="M43" i="35"/>
  <c r="M98" i="35"/>
  <c r="M119" i="35"/>
  <c r="M30" i="35"/>
  <c r="M85" i="35"/>
  <c r="M112" i="35"/>
  <c r="M75" i="35"/>
  <c r="M137" i="35"/>
  <c r="M91" i="35"/>
  <c r="M122" i="35"/>
  <c r="M104" i="35"/>
  <c r="M33" i="35"/>
  <c r="M28" i="35"/>
  <c r="M144" i="35"/>
  <c r="M102" i="35"/>
  <c r="M32" i="35"/>
  <c r="M23" i="35"/>
  <c r="M118" i="35"/>
  <c r="M68" i="35"/>
  <c r="M38" i="35"/>
  <c r="M54" i="35"/>
  <c r="M88" i="35"/>
  <c r="M7" i="35"/>
  <c r="K5" i="35"/>
  <c r="AA4" i="22" l="1"/>
  <c r="AB4" i="22"/>
  <c r="AC4" i="22"/>
  <c r="AD4" i="22"/>
  <c r="AE4" i="22"/>
  <c r="AF4" i="22"/>
  <c r="AG4" i="22"/>
  <c r="AH4" i="22"/>
  <c r="AI4" i="22"/>
  <c r="AJ4" i="22"/>
  <c r="AK4" i="22"/>
  <c r="AL4" i="22"/>
  <c r="AA6" i="22"/>
  <c r="AB6" i="22"/>
  <c r="AC6" i="22"/>
  <c r="AD6" i="22"/>
  <c r="AE6" i="22"/>
  <c r="AF6" i="22"/>
  <c r="AG6" i="22"/>
  <c r="AH6" i="22"/>
  <c r="AI6" i="22"/>
  <c r="AJ6" i="22"/>
  <c r="AK6" i="22"/>
  <c r="AL6" i="22"/>
  <c r="AA7" i="22"/>
  <c r="AB7" i="22"/>
  <c r="AC7" i="22"/>
  <c r="AD7" i="22"/>
  <c r="AE7" i="22"/>
  <c r="AF7" i="22"/>
  <c r="AG7" i="22"/>
  <c r="AH7" i="22"/>
  <c r="AI7" i="22"/>
  <c r="AJ7" i="22"/>
  <c r="AK7" i="22"/>
  <c r="AL7" i="22"/>
  <c r="AA8" i="22"/>
  <c r="AB8" i="22"/>
  <c r="AC8" i="22"/>
  <c r="AD8" i="22"/>
  <c r="AE8" i="22"/>
  <c r="AF8" i="22"/>
  <c r="AG8" i="22"/>
  <c r="AH8" i="22"/>
  <c r="AI8" i="22"/>
  <c r="AJ8" i="22"/>
  <c r="AK8" i="22"/>
  <c r="AL8" i="22"/>
  <c r="AA16" i="22"/>
  <c r="AB16" i="22"/>
  <c r="AC16" i="22"/>
  <c r="AD16" i="22"/>
  <c r="AE16" i="22"/>
  <c r="AF16" i="22"/>
  <c r="AG16" i="22"/>
  <c r="AH16" i="22"/>
  <c r="AI16" i="22"/>
  <c r="AJ16" i="22"/>
  <c r="AK16" i="22"/>
  <c r="AL16" i="22"/>
  <c r="AA17" i="22"/>
  <c r="AB17" i="22"/>
  <c r="AC17" i="22"/>
  <c r="AD17" i="22"/>
  <c r="AE17" i="22"/>
  <c r="AF17" i="22"/>
  <c r="AG17" i="22"/>
  <c r="AH17" i="22"/>
  <c r="AI17" i="22"/>
  <c r="AJ17" i="22"/>
  <c r="AK17" i="22"/>
  <c r="AL17" i="22"/>
  <c r="AA22" i="22"/>
  <c r="AB22" i="22"/>
  <c r="AC22" i="22"/>
  <c r="AD22" i="22"/>
  <c r="AE22" i="22"/>
  <c r="AF22" i="22"/>
  <c r="AG22" i="22"/>
  <c r="AH22" i="22"/>
  <c r="AI22" i="22"/>
  <c r="AJ22" i="22"/>
  <c r="AK22" i="22"/>
  <c r="AL22" i="22"/>
  <c r="AA23" i="22"/>
  <c r="AB23" i="22"/>
  <c r="AC23" i="22"/>
  <c r="AD23" i="22"/>
  <c r="AE23" i="22"/>
  <c r="AF23" i="22"/>
  <c r="AG23" i="22"/>
  <c r="AH23" i="22"/>
  <c r="AI23" i="22"/>
  <c r="AJ23" i="22"/>
  <c r="AK23" i="22"/>
  <c r="AL23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A25" i="22"/>
  <c r="AB25" i="22"/>
  <c r="AC25" i="22"/>
  <c r="AD25" i="22"/>
  <c r="AE25" i="22"/>
  <c r="AF25" i="22"/>
  <c r="AG25" i="22"/>
  <c r="AH25" i="22"/>
  <c r="AI25" i="22"/>
  <c r="AJ25" i="22"/>
  <c r="AK25" i="22"/>
  <c r="AL25" i="22"/>
  <c r="AA28" i="22"/>
  <c r="AB28" i="22"/>
  <c r="AC28" i="22"/>
  <c r="AD28" i="22"/>
  <c r="AE28" i="22"/>
  <c r="AF28" i="22"/>
  <c r="AG28" i="22"/>
  <c r="AH28" i="22"/>
  <c r="AI28" i="22"/>
  <c r="AJ28" i="22"/>
  <c r="AK28" i="22"/>
  <c r="AL28" i="22"/>
  <c r="AA29" i="22"/>
  <c r="AB29" i="22"/>
  <c r="AC29" i="22"/>
  <c r="AD29" i="22"/>
  <c r="AE29" i="22"/>
  <c r="AF29" i="22"/>
  <c r="AG29" i="22"/>
  <c r="AH29" i="22"/>
  <c r="AI29" i="22"/>
  <c r="AJ29" i="22"/>
  <c r="AK29" i="22"/>
  <c r="AL29" i="22"/>
  <c r="AA30" i="22"/>
  <c r="AB30" i="22"/>
  <c r="AC30" i="22"/>
  <c r="AD30" i="22"/>
  <c r="AE30" i="22"/>
  <c r="AF30" i="22"/>
  <c r="AG30" i="22"/>
  <c r="AH30" i="22"/>
  <c r="AI30" i="22"/>
  <c r="AJ30" i="22"/>
  <c r="AK30" i="22"/>
  <c r="AL30" i="22"/>
  <c r="AA32" i="22"/>
  <c r="AB32" i="22"/>
  <c r="AC32" i="22"/>
  <c r="AD32" i="22"/>
  <c r="AE32" i="22"/>
  <c r="AF32" i="22"/>
  <c r="AG32" i="22"/>
  <c r="AH32" i="22"/>
  <c r="AI32" i="22"/>
  <c r="AJ32" i="22"/>
  <c r="AK32" i="22"/>
  <c r="AL32" i="22"/>
  <c r="AA33" i="22"/>
  <c r="AB33" i="22"/>
  <c r="AC33" i="22"/>
  <c r="AD33" i="22"/>
  <c r="AE33" i="22"/>
  <c r="AF33" i="22"/>
  <c r="AG33" i="22"/>
  <c r="AH33" i="22"/>
  <c r="AI33" i="22"/>
  <c r="AJ33" i="22"/>
  <c r="AK33" i="22"/>
  <c r="AL33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A82" i="22"/>
  <c r="AB82" i="22"/>
  <c r="AC82" i="22"/>
  <c r="AD82" i="22"/>
  <c r="AE82" i="22"/>
  <c r="AF82" i="22"/>
  <c r="AG82" i="22"/>
  <c r="AH82" i="22"/>
  <c r="AI82" i="22"/>
  <c r="AJ82" i="22"/>
  <c r="AK82" i="22"/>
  <c r="AL82" i="22"/>
  <c r="AA83" i="22"/>
  <c r="AB83" i="22"/>
  <c r="AC83" i="22"/>
  <c r="AD83" i="22"/>
  <c r="AE83" i="22"/>
  <c r="AF83" i="22"/>
  <c r="AG83" i="22"/>
  <c r="AH83" i="22"/>
  <c r="AI83" i="22"/>
  <c r="AJ83" i="22"/>
  <c r="AK83" i="22"/>
  <c r="AL83" i="22"/>
  <c r="AA84" i="22"/>
  <c r="AB84" i="22"/>
  <c r="AC84" i="22"/>
  <c r="AD84" i="22"/>
  <c r="AE84" i="22"/>
  <c r="AF84" i="22"/>
  <c r="AG84" i="22"/>
  <c r="AH84" i="22"/>
  <c r="AI84" i="22"/>
  <c r="AJ84" i="22"/>
  <c r="AK84" i="22"/>
  <c r="AL84" i="22"/>
  <c r="AA85" i="22"/>
  <c r="AB85" i="22"/>
  <c r="AC85" i="22"/>
  <c r="AD85" i="22"/>
  <c r="AE85" i="22"/>
  <c r="AF85" i="22"/>
  <c r="AG85" i="22"/>
  <c r="AH85" i="22"/>
  <c r="AI85" i="22"/>
  <c r="AJ85" i="22"/>
  <c r="AK85" i="22"/>
  <c r="AL85" i="22"/>
  <c r="AA86" i="22"/>
  <c r="AB86" i="22"/>
  <c r="AC86" i="22"/>
  <c r="AD86" i="22"/>
  <c r="AE86" i="22"/>
  <c r="AF86" i="22"/>
  <c r="AG86" i="22"/>
  <c r="AH86" i="22"/>
  <c r="AI86" i="22"/>
  <c r="AJ86" i="22"/>
  <c r="AK86" i="22"/>
  <c r="AL86" i="22"/>
  <c r="AA87" i="22"/>
  <c r="AB87" i="22"/>
  <c r="AC87" i="22"/>
  <c r="AD87" i="22"/>
  <c r="AE87" i="22"/>
  <c r="AF87" i="22"/>
  <c r="AG87" i="22"/>
  <c r="AH87" i="22"/>
  <c r="AI87" i="22"/>
  <c r="AJ87" i="22"/>
  <c r="AK87" i="22"/>
  <c r="AL87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A94" i="22"/>
  <c r="AB94" i="22"/>
  <c r="AC94" i="22"/>
  <c r="AD94" i="22"/>
  <c r="AE94" i="22"/>
  <c r="AF94" i="22"/>
  <c r="AG94" i="22"/>
  <c r="AH94" i="22"/>
  <c r="AI94" i="22"/>
  <c r="AJ94" i="22"/>
  <c r="AK94" i="22"/>
  <c r="AL94" i="22"/>
  <c r="AA96" i="22"/>
  <c r="AB96" i="22"/>
  <c r="AC96" i="22"/>
  <c r="AD96" i="22"/>
  <c r="AE96" i="22"/>
  <c r="AF96" i="22"/>
  <c r="AG96" i="22"/>
  <c r="AH96" i="22"/>
  <c r="AI96" i="22"/>
  <c r="AJ96" i="22"/>
  <c r="AK96" i="22"/>
  <c r="AL96" i="22"/>
  <c r="AA98" i="22"/>
  <c r="AB98" i="22"/>
  <c r="AC98" i="22"/>
  <c r="AD98" i="22"/>
  <c r="AE98" i="22"/>
  <c r="AF98" i="22"/>
  <c r="AG98" i="22"/>
  <c r="AH98" i="22"/>
  <c r="AI98" i="22"/>
  <c r="AJ98" i="22"/>
  <c r="AK98" i="22"/>
  <c r="AL98" i="22"/>
  <c r="AA99" i="22"/>
  <c r="AB99" i="22"/>
  <c r="AC99" i="22"/>
  <c r="AD99" i="22"/>
  <c r="AE99" i="22"/>
  <c r="AF99" i="22"/>
  <c r="AG99" i="22"/>
  <c r="AH99" i="22"/>
  <c r="AI99" i="22"/>
  <c r="AJ99" i="22"/>
  <c r="AK99" i="22"/>
  <c r="AL99" i="22"/>
  <c r="AA101" i="22"/>
  <c r="AB101" i="22"/>
  <c r="AC101" i="22"/>
  <c r="AD101" i="22"/>
  <c r="AE101" i="22"/>
  <c r="AF101" i="22"/>
  <c r="AG101" i="22"/>
  <c r="AH101" i="22"/>
  <c r="AI101" i="22"/>
  <c r="AJ101" i="22"/>
  <c r="AK101" i="22"/>
  <c r="AL101" i="22"/>
  <c r="AA102" i="22"/>
  <c r="AB102" i="22"/>
  <c r="AC102" i="22"/>
  <c r="AD102" i="22"/>
  <c r="AE102" i="22"/>
  <c r="AF102" i="22"/>
  <c r="AG102" i="22"/>
  <c r="AH102" i="22"/>
  <c r="AI102" i="22"/>
  <c r="AJ102" i="22"/>
  <c r="AK102" i="22"/>
  <c r="AL102" i="22"/>
  <c r="AA103" i="22"/>
  <c r="AB103" i="22"/>
  <c r="AC103" i="22"/>
  <c r="AD103" i="22"/>
  <c r="AE103" i="22"/>
  <c r="AF103" i="22"/>
  <c r="AG103" i="22"/>
  <c r="AH103" i="22"/>
  <c r="AI103" i="22"/>
  <c r="AJ103" i="22"/>
  <c r="AK103" i="22"/>
  <c r="AL103" i="22"/>
  <c r="AA104" i="22"/>
  <c r="AB104" i="22"/>
  <c r="AC104" i="22"/>
  <c r="AD104" i="22"/>
  <c r="AE104" i="22"/>
  <c r="AF104" i="22"/>
  <c r="AG104" i="22"/>
  <c r="AH104" i="22"/>
  <c r="AI104" i="22"/>
  <c r="AJ104" i="22"/>
  <c r="AK104" i="22"/>
  <c r="AL104" i="22"/>
  <c r="AA105" i="22"/>
  <c r="AB105" i="22"/>
  <c r="AC105" i="22"/>
  <c r="AD105" i="22"/>
  <c r="AE105" i="22"/>
  <c r="AF105" i="22"/>
  <c r="AG105" i="22"/>
  <c r="AH105" i="22"/>
  <c r="AI105" i="22"/>
  <c r="AJ105" i="22"/>
  <c r="AK105" i="22"/>
  <c r="AL105" i="22"/>
  <c r="AA108" i="22"/>
  <c r="AB108" i="22"/>
  <c r="AC108" i="22"/>
  <c r="AD108" i="22"/>
  <c r="AE108" i="22"/>
  <c r="AF108" i="22"/>
  <c r="AG108" i="22"/>
  <c r="AH108" i="22"/>
  <c r="AI108" i="22"/>
  <c r="AJ108" i="22"/>
  <c r="AK108" i="22"/>
  <c r="AL108" i="22"/>
  <c r="AA109" i="22"/>
  <c r="AB109" i="22"/>
  <c r="AC109" i="22"/>
  <c r="AD109" i="22"/>
  <c r="AE109" i="22"/>
  <c r="AF109" i="22"/>
  <c r="AG109" i="22"/>
  <c r="AH109" i="22"/>
  <c r="AI109" i="22"/>
  <c r="AJ109" i="22"/>
  <c r="AK109" i="22"/>
  <c r="AL109" i="22"/>
  <c r="AA110" i="22"/>
  <c r="AB110" i="22"/>
  <c r="AC110" i="22"/>
  <c r="AD110" i="22"/>
  <c r="AE110" i="22"/>
  <c r="AF110" i="22"/>
  <c r="AG110" i="22"/>
  <c r="AH110" i="22"/>
  <c r="AI110" i="22"/>
  <c r="AJ110" i="22"/>
  <c r="AK110" i="22"/>
  <c r="AL110" i="22"/>
  <c r="AA111" i="22"/>
  <c r="AB111" i="22"/>
  <c r="AC111" i="22"/>
  <c r="AD111" i="22"/>
  <c r="AE111" i="22"/>
  <c r="AF111" i="22"/>
  <c r="AG111" i="22"/>
  <c r="AH111" i="22"/>
  <c r="AI111" i="22"/>
  <c r="AJ111" i="22"/>
  <c r="AK111" i="22"/>
  <c r="AL111" i="22"/>
  <c r="AA112" i="22"/>
  <c r="AB112" i="22"/>
  <c r="AC112" i="22"/>
  <c r="AD112" i="22"/>
  <c r="AE112" i="22"/>
  <c r="AF112" i="22"/>
  <c r="AG112" i="22"/>
  <c r="AH112" i="22"/>
  <c r="AI112" i="22"/>
  <c r="AJ112" i="22"/>
  <c r="AK112" i="22"/>
  <c r="AL112" i="22"/>
  <c r="AA113" i="22"/>
  <c r="AB113" i="22"/>
  <c r="AC113" i="22"/>
  <c r="AD113" i="22"/>
  <c r="AE113" i="22"/>
  <c r="AF113" i="22"/>
  <c r="AG113" i="22"/>
  <c r="AH113" i="22"/>
  <c r="AI113" i="22"/>
  <c r="AJ113" i="22"/>
  <c r="AK113" i="22"/>
  <c r="AL113" i="22"/>
  <c r="AA118" i="22"/>
  <c r="AB118" i="22"/>
  <c r="AC118" i="22"/>
  <c r="AD118" i="22"/>
  <c r="AE118" i="22"/>
  <c r="AF118" i="22"/>
  <c r="AG118" i="22"/>
  <c r="AH118" i="22"/>
  <c r="AI118" i="22"/>
  <c r="AJ118" i="22"/>
  <c r="AK118" i="22"/>
  <c r="AL118" i="22"/>
  <c r="AA119" i="22"/>
  <c r="AB119" i="22"/>
  <c r="AC119" i="22"/>
  <c r="AD119" i="22"/>
  <c r="AE119" i="22"/>
  <c r="AF119" i="22"/>
  <c r="AG119" i="22"/>
  <c r="AH119" i="22"/>
  <c r="AI119" i="22"/>
  <c r="AJ119" i="22"/>
  <c r="AK119" i="22"/>
  <c r="AL119" i="22"/>
  <c r="AA120" i="22"/>
  <c r="AB120" i="22"/>
  <c r="AC120" i="22"/>
  <c r="AD120" i="22"/>
  <c r="AE120" i="22"/>
  <c r="AF120" i="22"/>
  <c r="AG120" i="22"/>
  <c r="AH120" i="22"/>
  <c r="AI120" i="22"/>
  <c r="AJ120" i="22"/>
  <c r="AK120" i="22"/>
  <c r="AL120" i="22"/>
  <c r="AA122" i="22"/>
  <c r="AB122" i="22"/>
  <c r="AC122" i="22"/>
  <c r="AD122" i="22"/>
  <c r="AE122" i="22"/>
  <c r="AF122" i="22"/>
  <c r="AG122" i="22"/>
  <c r="AH122" i="22"/>
  <c r="AI122" i="22"/>
  <c r="AJ122" i="22"/>
  <c r="AK122" i="22"/>
  <c r="AL122" i="22"/>
  <c r="AA123" i="22"/>
  <c r="AB123" i="22"/>
  <c r="AC123" i="22"/>
  <c r="AD123" i="22"/>
  <c r="AE123" i="22"/>
  <c r="AF123" i="22"/>
  <c r="AG123" i="22"/>
  <c r="AH123" i="22"/>
  <c r="AI123" i="22"/>
  <c r="AJ123" i="22"/>
  <c r="AK123" i="22"/>
  <c r="AL123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A127" i="22"/>
  <c r="AB127" i="22"/>
  <c r="AC127" i="22"/>
  <c r="AD127" i="22"/>
  <c r="AE127" i="22"/>
  <c r="AF127" i="22"/>
  <c r="AG127" i="22"/>
  <c r="AH127" i="22"/>
  <c r="AI127" i="22"/>
  <c r="AJ127" i="22"/>
  <c r="AK127" i="22"/>
  <c r="AL127" i="22"/>
  <c r="AA129" i="22"/>
  <c r="AB129" i="22"/>
  <c r="AC129" i="22"/>
  <c r="AD129" i="22"/>
  <c r="AE129" i="22"/>
  <c r="AF129" i="22"/>
  <c r="AG129" i="22"/>
  <c r="AH129" i="22"/>
  <c r="AI129" i="22"/>
  <c r="AJ129" i="22"/>
  <c r="AK129" i="22"/>
  <c r="AL129" i="22"/>
  <c r="AA130" i="22"/>
  <c r="AB130" i="22"/>
  <c r="AC130" i="22"/>
  <c r="AD130" i="22"/>
  <c r="AE130" i="22"/>
  <c r="AF130" i="22"/>
  <c r="AG130" i="22"/>
  <c r="AH130" i="22"/>
  <c r="AI130" i="22"/>
  <c r="AJ130" i="22"/>
  <c r="AK130" i="22"/>
  <c r="AL130" i="22"/>
  <c r="AA131" i="22"/>
  <c r="AB131" i="22"/>
  <c r="AC131" i="22"/>
  <c r="AD131" i="22"/>
  <c r="AE131" i="22"/>
  <c r="AF131" i="22"/>
  <c r="AG131" i="22"/>
  <c r="AH131" i="22"/>
  <c r="AI131" i="22"/>
  <c r="AJ131" i="22"/>
  <c r="AK131" i="22"/>
  <c r="AL131" i="22"/>
  <c r="AA134" i="22"/>
  <c r="AB134" i="22"/>
  <c r="AC134" i="22"/>
  <c r="AD134" i="22"/>
  <c r="AE134" i="22"/>
  <c r="AF134" i="22"/>
  <c r="AG134" i="22"/>
  <c r="AH134" i="22"/>
  <c r="AI134" i="22"/>
  <c r="AJ134" i="22"/>
  <c r="AK134" i="22"/>
  <c r="AL134" i="22"/>
  <c r="AA135" i="22"/>
  <c r="AB135" i="22"/>
  <c r="AC135" i="22"/>
  <c r="AD135" i="22"/>
  <c r="AE135" i="22"/>
  <c r="AF135" i="22"/>
  <c r="AG135" i="22"/>
  <c r="AH135" i="22"/>
  <c r="AI135" i="22"/>
  <c r="AJ135" i="22"/>
  <c r="AK135" i="22"/>
  <c r="AL135" i="22"/>
  <c r="AA136" i="22"/>
  <c r="AB136" i="22"/>
  <c r="AC136" i="22"/>
  <c r="AD136" i="22"/>
  <c r="AE136" i="22"/>
  <c r="AF136" i="22"/>
  <c r="AG136" i="22"/>
  <c r="AH136" i="22"/>
  <c r="AI136" i="22"/>
  <c r="AJ136" i="22"/>
  <c r="AK136" i="22"/>
  <c r="AL136" i="22"/>
  <c r="AA137" i="22"/>
  <c r="AB137" i="22"/>
  <c r="AC137" i="22"/>
  <c r="AD137" i="22"/>
  <c r="AE137" i="22"/>
  <c r="AF137" i="22"/>
  <c r="AG137" i="22"/>
  <c r="AH137" i="22"/>
  <c r="AI137" i="22"/>
  <c r="AJ137" i="22"/>
  <c r="AK137" i="22"/>
  <c r="AL137" i="22"/>
  <c r="AA138" i="22"/>
  <c r="AB138" i="22"/>
  <c r="AC138" i="22"/>
  <c r="AD138" i="22"/>
  <c r="AE138" i="22"/>
  <c r="AF138" i="22"/>
  <c r="AG138" i="22"/>
  <c r="AH138" i="22"/>
  <c r="AI138" i="22"/>
  <c r="AJ138" i="22"/>
  <c r="AK138" i="22"/>
  <c r="AL138" i="22"/>
  <c r="AA139" i="22"/>
  <c r="AB139" i="22"/>
  <c r="AC139" i="22"/>
  <c r="AD139" i="22"/>
  <c r="AE139" i="22"/>
  <c r="AF139" i="22"/>
  <c r="AG139" i="22"/>
  <c r="AH139" i="22"/>
  <c r="AI139" i="22"/>
  <c r="AJ139" i="22"/>
  <c r="AK139" i="22"/>
  <c r="AL139" i="22"/>
  <c r="AA140" i="22"/>
  <c r="AB140" i="22"/>
  <c r="AC140" i="22"/>
  <c r="AD140" i="22"/>
  <c r="AE140" i="22"/>
  <c r="AF140" i="22"/>
  <c r="AG140" i="22"/>
  <c r="AH140" i="22"/>
  <c r="AI140" i="22"/>
  <c r="AJ140" i="22"/>
  <c r="AK140" i="22"/>
  <c r="AL140" i="22"/>
  <c r="AA141" i="22"/>
  <c r="AB141" i="22"/>
  <c r="AC141" i="22"/>
  <c r="AD141" i="22"/>
  <c r="AE141" i="22"/>
  <c r="AF141" i="22"/>
  <c r="AG141" i="22"/>
  <c r="AH141" i="22"/>
  <c r="AI141" i="22"/>
  <c r="AJ141" i="22"/>
  <c r="AK141" i="22"/>
  <c r="AL141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A143" i="22"/>
  <c r="AB143" i="22"/>
  <c r="AC143" i="22"/>
  <c r="AD143" i="22"/>
  <c r="AE143" i="22"/>
  <c r="AF143" i="22"/>
  <c r="AG143" i="22"/>
  <c r="AH143" i="22"/>
  <c r="AI143" i="22"/>
  <c r="AJ143" i="22"/>
  <c r="AK143" i="22"/>
  <c r="AL143" i="22"/>
  <c r="AA145" i="22"/>
  <c r="AB145" i="22"/>
  <c r="AC145" i="22"/>
  <c r="AD145" i="22"/>
  <c r="AE145" i="22"/>
  <c r="AF145" i="22"/>
  <c r="AG145" i="22"/>
  <c r="AH145" i="22"/>
  <c r="AI145" i="22"/>
  <c r="AJ145" i="22"/>
  <c r="AK145" i="22"/>
  <c r="AL145" i="22"/>
  <c r="AA146" i="22"/>
  <c r="AB146" i="22"/>
  <c r="AC146" i="22"/>
  <c r="AD146" i="22"/>
  <c r="AE146" i="22"/>
  <c r="AF146" i="22"/>
  <c r="AG146" i="22"/>
  <c r="AH146" i="22"/>
  <c r="AI146" i="22"/>
  <c r="AJ146" i="22"/>
  <c r="AK146" i="22"/>
  <c r="AL146" i="22"/>
  <c r="AA148" i="22"/>
  <c r="AB148" i="22"/>
  <c r="AC148" i="22"/>
  <c r="AD148" i="22"/>
  <c r="AE148" i="22"/>
  <c r="AF148" i="22"/>
  <c r="AG148" i="22"/>
  <c r="AH148" i="22"/>
  <c r="AI148" i="22"/>
  <c r="AJ148" i="22"/>
  <c r="AK148" i="22"/>
  <c r="AL148" i="22"/>
  <c r="AA149" i="22"/>
  <c r="AB149" i="22"/>
  <c r="AC149" i="22"/>
  <c r="AD149" i="22"/>
  <c r="AE149" i="22"/>
  <c r="AF149" i="22"/>
  <c r="AG149" i="22"/>
  <c r="AH149" i="22"/>
  <c r="AI149" i="22"/>
  <c r="AJ149" i="22"/>
  <c r="AK149" i="22"/>
  <c r="AL149" i="22"/>
  <c r="AA150" i="22"/>
  <c r="AB150" i="22"/>
  <c r="AC150" i="22"/>
  <c r="AD150" i="22"/>
  <c r="AE150" i="22"/>
  <c r="AF150" i="22"/>
  <c r="AG150" i="22"/>
  <c r="AH150" i="22"/>
  <c r="AI150" i="22"/>
  <c r="AJ150" i="22"/>
  <c r="AK150" i="22"/>
  <c r="AL150" i="22"/>
  <c r="AA152" i="22"/>
  <c r="AB152" i="22"/>
  <c r="AC152" i="22"/>
  <c r="AD152" i="22"/>
  <c r="AE152" i="22"/>
  <c r="AF152" i="22"/>
  <c r="AG152" i="22"/>
  <c r="AH152" i="22"/>
  <c r="AI152" i="22"/>
  <c r="AJ152" i="22"/>
  <c r="AK152" i="22"/>
  <c r="AL152" i="22"/>
  <c r="AA153" i="22"/>
  <c r="AB153" i="22"/>
  <c r="AC153" i="22"/>
  <c r="AD153" i="22"/>
  <c r="AE153" i="22"/>
  <c r="AF153" i="22"/>
  <c r="AG153" i="22"/>
  <c r="AH153" i="22"/>
  <c r="AI153" i="22"/>
  <c r="AJ153" i="22"/>
  <c r="AK153" i="22"/>
  <c r="AL153" i="22"/>
  <c r="AA154" i="22"/>
  <c r="AB154" i="22"/>
  <c r="AC154" i="22"/>
  <c r="AD154" i="22"/>
  <c r="AE154" i="22"/>
  <c r="AF154" i="22"/>
  <c r="AG154" i="22"/>
  <c r="AH154" i="22"/>
  <c r="AI154" i="22"/>
  <c r="AJ154" i="22"/>
  <c r="AK154" i="22"/>
  <c r="AL154" i="22"/>
  <c r="AA155" i="22"/>
  <c r="AB155" i="22"/>
  <c r="AC155" i="22"/>
  <c r="AD155" i="22"/>
  <c r="AE155" i="22"/>
  <c r="AF155" i="22"/>
  <c r="AG155" i="22"/>
  <c r="AH155" i="22"/>
  <c r="AI155" i="22"/>
  <c r="AJ155" i="22"/>
  <c r="AK155" i="22"/>
  <c r="AL155" i="22"/>
  <c r="AA156" i="22"/>
  <c r="AB156" i="22"/>
  <c r="AC156" i="22"/>
  <c r="AD156" i="22"/>
  <c r="AE156" i="22"/>
  <c r="AF156" i="22"/>
  <c r="AG156" i="22"/>
  <c r="AH156" i="22"/>
  <c r="AI156" i="22"/>
  <c r="AJ156" i="22"/>
  <c r="AK156" i="22"/>
  <c r="AL156" i="22"/>
  <c r="AA157" i="22"/>
  <c r="AB157" i="22"/>
  <c r="AC157" i="22"/>
  <c r="AD157" i="22"/>
  <c r="AE157" i="22"/>
  <c r="AF157" i="22"/>
  <c r="AG157" i="22"/>
  <c r="AH157" i="22"/>
  <c r="AI157" i="22"/>
  <c r="AJ157" i="22"/>
  <c r="AK157" i="22"/>
  <c r="AL157" i="22"/>
  <c r="AA158" i="22"/>
  <c r="AB158" i="22"/>
  <c r="AC158" i="22"/>
  <c r="AD158" i="22"/>
  <c r="AE158" i="22"/>
  <c r="AF158" i="22"/>
  <c r="AG158" i="22"/>
  <c r="AH158" i="22"/>
  <c r="AI158" i="22"/>
  <c r="AJ158" i="22"/>
  <c r="AK158" i="22"/>
  <c r="AL158" i="22"/>
  <c r="AA160" i="22"/>
  <c r="AB160" i="22"/>
  <c r="AC160" i="22"/>
  <c r="AD160" i="22"/>
  <c r="AE160" i="22"/>
  <c r="AF160" i="22"/>
  <c r="AG160" i="22"/>
  <c r="AH160" i="22"/>
  <c r="AI160" i="22"/>
  <c r="AJ160" i="22"/>
  <c r="AK160" i="22"/>
  <c r="AL160" i="22"/>
  <c r="AA161" i="22"/>
  <c r="AB161" i="22"/>
  <c r="AC161" i="22"/>
  <c r="AD161" i="22"/>
  <c r="AE161" i="22"/>
  <c r="AF161" i="22"/>
  <c r="AG161" i="22"/>
  <c r="AH161" i="22"/>
  <c r="AI161" i="22"/>
  <c r="AJ161" i="22"/>
  <c r="AK161" i="22"/>
  <c r="AL161" i="22"/>
  <c r="AA162" i="22"/>
  <c r="AB162" i="22"/>
  <c r="AC162" i="22"/>
  <c r="AD162" i="22"/>
  <c r="AE162" i="22"/>
  <c r="AF162" i="22"/>
  <c r="AG162" i="22"/>
  <c r="AH162" i="22"/>
  <c r="AI162" i="22"/>
  <c r="AJ162" i="22"/>
  <c r="AK162" i="22"/>
  <c r="AL162" i="22"/>
  <c r="AA163" i="22"/>
  <c r="AB163" i="22"/>
  <c r="AC163" i="22"/>
  <c r="AD163" i="22"/>
  <c r="AE163" i="22"/>
  <c r="AF163" i="22"/>
  <c r="AG163" i="22"/>
  <c r="AH163" i="22"/>
  <c r="AI163" i="22"/>
  <c r="AJ163" i="22"/>
  <c r="AK163" i="22"/>
  <c r="AL163" i="22"/>
  <c r="AA165" i="22"/>
  <c r="AB165" i="22"/>
  <c r="AC165" i="22"/>
  <c r="AD165" i="22"/>
  <c r="AE165" i="22"/>
  <c r="AF165" i="22"/>
  <c r="AG165" i="22"/>
  <c r="AH165" i="22"/>
  <c r="AI165" i="22"/>
  <c r="AJ165" i="22"/>
  <c r="AK165" i="22"/>
  <c r="AL165" i="22"/>
  <c r="AA166" i="22"/>
  <c r="AB166" i="22"/>
  <c r="AC166" i="22"/>
  <c r="AD166" i="22"/>
  <c r="AE166" i="22"/>
  <c r="AF166" i="22"/>
  <c r="AG166" i="22"/>
  <c r="AH166" i="22"/>
  <c r="AI166" i="22"/>
  <c r="AJ166" i="22"/>
  <c r="AK166" i="22"/>
  <c r="AL166" i="22"/>
  <c r="AA167" i="22"/>
  <c r="AB167" i="22"/>
  <c r="AC167" i="22"/>
  <c r="AD167" i="22"/>
  <c r="AE167" i="22"/>
  <c r="AF167" i="22"/>
  <c r="AG167" i="22"/>
  <c r="AH167" i="22"/>
  <c r="AI167" i="22"/>
  <c r="AJ167" i="22"/>
  <c r="AK167" i="22"/>
  <c r="AL167" i="22"/>
  <c r="AA168" i="22"/>
  <c r="AB168" i="22"/>
  <c r="AC168" i="22"/>
  <c r="AD168" i="22"/>
  <c r="AE168" i="22"/>
  <c r="AF168" i="22"/>
  <c r="AG168" i="22"/>
  <c r="AH168" i="22"/>
  <c r="AI168" i="22"/>
  <c r="AJ168" i="22"/>
  <c r="AK168" i="22"/>
  <c r="AL168" i="22"/>
  <c r="AA169" i="22"/>
  <c r="AB169" i="22"/>
  <c r="AC169" i="22"/>
  <c r="AD169" i="22"/>
  <c r="AE169" i="22"/>
  <c r="AF169" i="22"/>
  <c r="AG169" i="22"/>
  <c r="AH169" i="22"/>
  <c r="AI169" i="22"/>
  <c r="AJ169" i="22"/>
  <c r="AK169" i="22"/>
  <c r="AL169" i="22"/>
  <c r="AA170" i="22"/>
  <c r="AB170" i="22"/>
  <c r="AC170" i="22"/>
  <c r="AD170" i="22"/>
  <c r="AE170" i="22"/>
  <c r="AF170" i="22"/>
  <c r="AG170" i="22"/>
  <c r="AH170" i="22"/>
  <c r="AI170" i="22"/>
  <c r="AJ170" i="22"/>
  <c r="AK170" i="22"/>
  <c r="AL170" i="22"/>
  <c r="AA171" i="22"/>
  <c r="AB171" i="22"/>
  <c r="AC171" i="22"/>
  <c r="AD171" i="22"/>
  <c r="AE171" i="22"/>
  <c r="AF171" i="22"/>
  <c r="AG171" i="22"/>
  <c r="AH171" i="22"/>
  <c r="AI171" i="22"/>
  <c r="AJ171" i="22"/>
  <c r="AK171" i="22"/>
  <c r="AL171" i="22"/>
  <c r="AA173" i="22"/>
  <c r="AB173" i="22"/>
  <c r="AC173" i="22"/>
  <c r="AD173" i="22"/>
  <c r="AE173" i="22"/>
  <c r="AF173" i="22"/>
  <c r="AG173" i="22"/>
  <c r="AH173" i="22"/>
  <c r="AI173" i="22"/>
  <c r="AJ173" i="22"/>
  <c r="AK173" i="22"/>
  <c r="AL173" i="22"/>
  <c r="AA174" i="22"/>
  <c r="AB174" i="22"/>
  <c r="AC174" i="22"/>
  <c r="AD174" i="22"/>
  <c r="AE174" i="22"/>
  <c r="AF174" i="22"/>
  <c r="AG174" i="22"/>
  <c r="AH174" i="22"/>
  <c r="AI174" i="22"/>
  <c r="AJ174" i="22"/>
  <c r="AK174" i="22"/>
  <c r="AL174" i="22"/>
  <c r="AA176" i="22"/>
  <c r="AB176" i="22"/>
  <c r="AC176" i="22"/>
  <c r="AD176" i="22"/>
  <c r="AE176" i="22"/>
  <c r="AF176" i="22"/>
  <c r="AG176" i="22"/>
  <c r="AH176" i="22"/>
  <c r="AI176" i="22"/>
  <c r="AJ176" i="22"/>
  <c r="AK176" i="22"/>
  <c r="AL176" i="22"/>
  <c r="AA177" i="22"/>
  <c r="AB177" i="22"/>
  <c r="AC177" i="22"/>
  <c r="AD177" i="22"/>
  <c r="AE177" i="22"/>
  <c r="AF177" i="22"/>
  <c r="AG177" i="22"/>
  <c r="AH177" i="22"/>
  <c r="AI177" i="22"/>
  <c r="AJ177" i="22"/>
  <c r="AK177" i="22"/>
  <c r="AL177" i="22"/>
  <c r="AA179" i="22"/>
  <c r="AB179" i="22"/>
  <c r="AC179" i="22"/>
  <c r="AD179" i="22"/>
  <c r="AE179" i="22"/>
  <c r="AF179" i="22"/>
  <c r="AG179" i="22"/>
  <c r="AH179" i="22"/>
  <c r="AI179" i="22"/>
  <c r="AJ179" i="22"/>
  <c r="AK179" i="22"/>
  <c r="AL179" i="22"/>
  <c r="AA180" i="22"/>
  <c r="AB180" i="22"/>
  <c r="AC180" i="22"/>
  <c r="AD180" i="22"/>
  <c r="AE180" i="22"/>
  <c r="AF180" i="22"/>
  <c r="AG180" i="22"/>
  <c r="AH180" i="22"/>
  <c r="AI180" i="22"/>
  <c r="AJ180" i="22"/>
  <c r="AK180" i="22"/>
  <c r="AL180" i="22"/>
  <c r="AA182" i="22"/>
  <c r="AB182" i="22"/>
  <c r="AC182" i="22"/>
  <c r="AD182" i="22"/>
  <c r="AE182" i="22"/>
  <c r="AF182" i="22"/>
  <c r="AG182" i="22"/>
  <c r="AH182" i="22"/>
  <c r="AI182" i="22"/>
  <c r="AJ182" i="22"/>
  <c r="AK182" i="22"/>
  <c r="AL182" i="22"/>
  <c r="AA183" i="22"/>
  <c r="AB183" i="22"/>
  <c r="AC183" i="22"/>
  <c r="AD183" i="22"/>
  <c r="AE183" i="22"/>
  <c r="AF183" i="22"/>
  <c r="AG183" i="22"/>
  <c r="AH183" i="22"/>
  <c r="AI183" i="22"/>
  <c r="AJ183" i="22"/>
  <c r="AK183" i="22"/>
  <c r="AL183" i="22"/>
  <c r="AA184" i="22"/>
  <c r="AB184" i="22"/>
  <c r="AC184" i="22"/>
  <c r="AD184" i="22"/>
  <c r="AE184" i="22"/>
  <c r="AF184" i="22"/>
  <c r="AG184" i="22"/>
  <c r="AH184" i="22"/>
  <c r="AI184" i="22"/>
  <c r="AJ184" i="22"/>
  <c r="AK184" i="22"/>
  <c r="AL184" i="22"/>
  <c r="AA185" i="22"/>
  <c r="AB185" i="22"/>
  <c r="AC185" i="22"/>
  <c r="AD185" i="22"/>
  <c r="AE185" i="22"/>
  <c r="AF185" i="22"/>
  <c r="AG185" i="22"/>
  <c r="AH185" i="22"/>
  <c r="AI185" i="22"/>
  <c r="AJ185" i="22"/>
  <c r="AK185" i="22"/>
  <c r="AL185" i="22"/>
  <c r="AA187" i="22"/>
  <c r="AB187" i="22"/>
  <c r="AC187" i="22"/>
  <c r="AD187" i="22"/>
  <c r="AE187" i="22"/>
  <c r="AF187" i="22"/>
  <c r="AG187" i="22"/>
  <c r="AH187" i="22"/>
  <c r="AI187" i="22"/>
  <c r="AJ187" i="22"/>
  <c r="AK187" i="22"/>
  <c r="AL187" i="22"/>
  <c r="AA188" i="22"/>
  <c r="AB188" i="22"/>
  <c r="AC188" i="22"/>
  <c r="AD188" i="22"/>
  <c r="AE188" i="22"/>
  <c r="AF188" i="22"/>
  <c r="AG188" i="22"/>
  <c r="AH188" i="22"/>
  <c r="AI188" i="22"/>
  <c r="AJ188" i="22"/>
  <c r="AK188" i="22"/>
  <c r="AL188" i="22"/>
  <c r="AA189" i="22"/>
  <c r="AB189" i="22"/>
  <c r="AC189" i="22"/>
  <c r="AD189" i="22"/>
  <c r="AE189" i="22"/>
  <c r="AF189" i="22"/>
  <c r="AG189" i="22"/>
  <c r="AH189" i="22"/>
  <c r="AI189" i="22"/>
  <c r="AJ189" i="22"/>
  <c r="AK189" i="22"/>
  <c r="AL189" i="22"/>
  <c r="AA190" i="22"/>
  <c r="AB190" i="22"/>
  <c r="AC190" i="22"/>
  <c r="AD190" i="22"/>
  <c r="AE190" i="22"/>
  <c r="AF190" i="22"/>
  <c r="AG190" i="22"/>
  <c r="AH190" i="22"/>
  <c r="AI190" i="22"/>
  <c r="AJ190" i="22"/>
  <c r="AK190" i="22"/>
  <c r="AL190" i="22"/>
  <c r="AA191" i="22"/>
  <c r="AB191" i="22"/>
  <c r="AC191" i="22"/>
  <c r="AD191" i="22"/>
  <c r="AE191" i="22"/>
  <c r="AF191" i="22"/>
  <c r="AG191" i="22"/>
  <c r="AH191" i="22"/>
  <c r="AI191" i="22"/>
  <c r="AJ191" i="22"/>
  <c r="AK191" i="22"/>
  <c r="AL191" i="22"/>
  <c r="AA192" i="22"/>
  <c r="AB192" i="22"/>
  <c r="AC192" i="22"/>
  <c r="AD192" i="22"/>
  <c r="AE192" i="22"/>
  <c r="AF192" i="22"/>
  <c r="AG192" i="22"/>
  <c r="AH192" i="22"/>
  <c r="AI192" i="22"/>
  <c r="AJ192" i="22"/>
  <c r="AK192" i="22"/>
  <c r="AL192" i="22"/>
  <c r="AA193" i="22"/>
  <c r="AB193" i="22"/>
  <c r="AC193" i="22"/>
  <c r="AD193" i="22"/>
  <c r="AE193" i="22"/>
  <c r="AF193" i="22"/>
  <c r="AG193" i="22"/>
  <c r="AH193" i="22"/>
  <c r="AI193" i="22"/>
  <c r="AJ193" i="22"/>
  <c r="AK193" i="22"/>
  <c r="AL193" i="22"/>
  <c r="AA195" i="22"/>
  <c r="AB195" i="22"/>
  <c r="AC195" i="22"/>
  <c r="AD195" i="22"/>
  <c r="AE195" i="22"/>
  <c r="AF195" i="22"/>
  <c r="AG195" i="22"/>
  <c r="AH195" i="22"/>
  <c r="AI195" i="22"/>
  <c r="AJ195" i="22"/>
  <c r="AK195" i="22"/>
  <c r="AL195" i="22"/>
  <c r="AA196" i="22"/>
  <c r="AB196" i="22"/>
  <c r="AC196" i="22"/>
  <c r="AD196" i="22"/>
  <c r="AE196" i="22"/>
  <c r="AF196" i="22"/>
  <c r="AG196" i="22"/>
  <c r="AH196" i="22"/>
  <c r="AI196" i="22"/>
  <c r="AJ196" i="22"/>
  <c r="AK196" i="22"/>
  <c r="AL196" i="22"/>
  <c r="AA197" i="22"/>
  <c r="AB197" i="22"/>
  <c r="AC197" i="22"/>
  <c r="AD197" i="22"/>
  <c r="AE197" i="22"/>
  <c r="AF197" i="22"/>
  <c r="AG197" i="22"/>
  <c r="AH197" i="22"/>
  <c r="AI197" i="22"/>
  <c r="AJ197" i="22"/>
  <c r="AK197" i="22"/>
  <c r="AL197" i="22"/>
  <c r="AA198" i="22"/>
  <c r="AB198" i="22"/>
  <c r="AC198" i="22"/>
  <c r="AD198" i="22"/>
  <c r="AE198" i="22"/>
  <c r="AF198" i="22"/>
  <c r="AG198" i="22"/>
  <c r="AH198" i="22"/>
  <c r="AI198" i="22"/>
  <c r="AJ198" i="22"/>
  <c r="AK198" i="22"/>
  <c r="AL198" i="22"/>
  <c r="AA199" i="22"/>
  <c r="AB199" i="22"/>
  <c r="AC199" i="22"/>
  <c r="AD199" i="22"/>
  <c r="AE199" i="22"/>
  <c r="AF199" i="22"/>
  <c r="AG199" i="22"/>
  <c r="AH199" i="22"/>
  <c r="AI199" i="22"/>
  <c r="AJ199" i="22"/>
  <c r="AK199" i="22"/>
  <c r="AL199" i="22"/>
  <c r="AA200" i="22"/>
  <c r="AB200" i="22"/>
  <c r="AC200" i="22"/>
  <c r="AD200" i="22"/>
  <c r="AE200" i="22"/>
  <c r="AF200" i="22"/>
  <c r="AG200" i="22"/>
  <c r="AH200" i="22"/>
  <c r="AI200" i="22"/>
  <c r="AJ200" i="22"/>
  <c r="AK200" i="22"/>
  <c r="AL200" i="22"/>
  <c r="AA202" i="22"/>
  <c r="AB202" i="22"/>
  <c r="AC202" i="22"/>
  <c r="AD202" i="22"/>
  <c r="AE202" i="22"/>
  <c r="AF202" i="22"/>
  <c r="AG202" i="22"/>
  <c r="AH202" i="22"/>
  <c r="AI202" i="22"/>
  <c r="AJ202" i="22"/>
  <c r="AK202" i="22"/>
  <c r="AL202" i="22"/>
  <c r="AA203" i="22"/>
  <c r="AB203" i="22"/>
  <c r="AC203" i="22"/>
  <c r="AD203" i="22"/>
  <c r="AE203" i="22"/>
  <c r="AF203" i="22"/>
  <c r="AG203" i="22"/>
  <c r="AH203" i="22"/>
  <c r="AI203" i="22"/>
  <c r="AJ203" i="22"/>
  <c r="AK203" i="22"/>
  <c r="AL203" i="22"/>
  <c r="AA204" i="22"/>
  <c r="AB204" i="22"/>
  <c r="AC204" i="22"/>
  <c r="AD204" i="22"/>
  <c r="AE204" i="22"/>
  <c r="AF204" i="22"/>
  <c r="AG204" i="22"/>
  <c r="AH204" i="22"/>
  <c r="AI204" i="22"/>
  <c r="AJ204" i="22"/>
  <c r="AK204" i="22"/>
  <c r="AL204" i="22"/>
  <c r="AA205" i="22"/>
  <c r="AB205" i="22"/>
  <c r="AC205" i="22"/>
  <c r="AD205" i="22"/>
  <c r="AE205" i="22"/>
  <c r="AF205" i="22"/>
  <c r="AG205" i="22"/>
  <c r="AH205" i="22"/>
  <c r="AI205" i="22"/>
  <c r="AJ205" i="22"/>
  <c r="AK205" i="22"/>
  <c r="AL205" i="22"/>
  <c r="AA207" i="22"/>
  <c r="AB207" i="22"/>
  <c r="AC207" i="22"/>
  <c r="AD207" i="22"/>
  <c r="AE207" i="22"/>
  <c r="AF207" i="22"/>
  <c r="AG207" i="22"/>
  <c r="AH207" i="22"/>
  <c r="AI207" i="22"/>
  <c r="AJ207" i="22"/>
  <c r="AK207" i="22"/>
  <c r="AL207" i="22"/>
  <c r="AA208" i="22"/>
  <c r="AB208" i="22"/>
  <c r="AC208" i="22"/>
  <c r="AD208" i="22"/>
  <c r="AE208" i="22"/>
  <c r="AF208" i="22"/>
  <c r="AG208" i="22"/>
  <c r="AH208" i="22"/>
  <c r="AI208" i="22"/>
  <c r="AJ208" i="22"/>
  <c r="AK208" i="22"/>
  <c r="AL208" i="22"/>
  <c r="AA211" i="22"/>
  <c r="AB211" i="22"/>
  <c r="AC211" i="22"/>
  <c r="AD211" i="22"/>
  <c r="AE211" i="22"/>
  <c r="AF211" i="22"/>
  <c r="AG211" i="22"/>
  <c r="AH211" i="22"/>
  <c r="AI211" i="22"/>
  <c r="AJ211" i="22"/>
  <c r="AK211" i="22"/>
  <c r="AL211" i="22"/>
  <c r="AA213" i="22"/>
  <c r="AB213" i="22"/>
  <c r="AC213" i="22"/>
  <c r="AD213" i="22"/>
  <c r="AE213" i="22"/>
  <c r="AF213" i="22"/>
  <c r="AG213" i="22"/>
  <c r="AH213" i="22"/>
  <c r="AI213" i="22"/>
  <c r="AJ213" i="22"/>
  <c r="AK213" i="22"/>
  <c r="AL213" i="22"/>
  <c r="AA215" i="22"/>
  <c r="AB215" i="22"/>
  <c r="AC215" i="22"/>
  <c r="AD215" i="22"/>
  <c r="AE215" i="22"/>
  <c r="AF215" i="22"/>
  <c r="AG215" i="22"/>
  <c r="AH215" i="22"/>
  <c r="AI215" i="22"/>
  <c r="AJ215" i="22"/>
  <c r="AK215" i="22"/>
  <c r="AL215" i="22"/>
  <c r="AA216" i="22"/>
  <c r="AB216" i="22"/>
  <c r="AC216" i="22"/>
  <c r="AD216" i="22"/>
  <c r="AE216" i="22"/>
  <c r="AF216" i="22"/>
  <c r="AG216" i="22"/>
  <c r="AH216" i="22"/>
  <c r="AI216" i="22"/>
  <c r="AJ216" i="22"/>
  <c r="AK216" i="22"/>
  <c r="AL216" i="22"/>
  <c r="AA217" i="22"/>
  <c r="AB217" i="22"/>
  <c r="AC217" i="22"/>
  <c r="AD217" i="22"/>
  <c r="AE217" i="22"/>
  <c r="AF217" i="22"/>
  <c r="AG217" i="22"/>
  <c r="AH217" i="22"/>
  <c r="AI217" i="22"/>
  <c r="AJ217" i="22"/>
  <c r="AK217" i="22"/>
  <c r="AL217" i="22"/>
  <c r="AA218" i="22"/>
  <c r="AB218" i="22"/>
  <c r="AC218" i="22"/>
  <c r="AD218" i="22"/>
  <c r="AE218" i="22"/>
  <c r="AF218" i="22"/>
  <c r="AG218" i="22"/>
  <c r="AH218" i="22"/>
  <c r="AI218" i="22"/>
  <c r="AJ218" i="22"/>
  <c r="AK218" i="22"/>
  <c r="AL218" i="22"/>
  <c r="AA221" i="22"/>
  <c r="AB221" i="22"/>
  <c r="AC221" i="22"/>
  <c r="AD221" i="22"/>
  <c r="AE221" i="22"/>
  <c r="AF221" i="22"/>
  <c r="AG221" i="22"/>
  <c r="AH221" i="22"/>
  <c r="AI221" i="22"/>
  <c r="AJ221" i="22"/>
  <c r="AK221" i="22"/>
  <c r="AL221" i="22"/>
  <c r="AA222" i="22"/>
  <c r="AB222" i="22"/>
  <c r="AC222" i="22"/>
  <c r="AD222" i="22"/>
  <c r="AE222" i="22"/>
  <c r="AF222" i="22"/>
  <c r="AG222" i="22"/>
  <c r="AH222" i="22"/>
  <c r="AI222" i="22"/>
  <c r="AJ222" i="22"/>
  <c r="AK222" i="22"/>
  <c r="AL222" i="22"/>
  <c r="AA224" i="22"/>
  <c r="AB224" i="22"/>
  <c r="AC224" i="22"/>
  <c r="AD224" i="22"/>
  <c r="AE224" i="22"/>
  <c r="AF224" i="22"/>
  <c r="AG224" i="22"/>
  <c r="AH224" i="22"/>
  <c r="AI224" i="22"/>
  <c r="AJ224" i="22"/>
  <c r="AK224" i="22"/>
  <c r="AL224" i="22"/>
  <c r="AA226" i="22"/>
  <c r="AB226" i="22"/>
  <c r="AC226" i="22"/>
  <c r="AD226" i="22"/>
  <c r="AE226" i="22"/>
  <c r="AF226" i="22"/>
  <c r="AG226" i="22"/>
  <c r="AH226" i="22"/>
  <c r="AI226" i="22"/>
  <c r="AJ226" i="22"/>
  <c r="AK226" i="22"/>
  <c r="AL226" i="22"/>
  <c r="AA227" i="22"/>
  <c r="AB227" i="22"/>
  <c r="AC227" i="22"/>
  <c r="AD227" i="22"/>
  <c r="AE227" i="22"/>
  <c r="AF227" i="22"/>
  <c r="AG227" i="22"/>
  <c r="AH227" i="22"/>
  <c r="AI227" i="22"/>
  <c r="AJ227" i="22"/>
  <c r="AK227" i="22"/>
  <c r="AL227" i="22"/>
  <c r="AA228" i="22"/>
  <c r="AB228" i="22"/>
  <c r="AC228" i="22"/>
  <c r="AD228" i="22"/>
  <c r="AE228" i="22"/>
  <c r="AF228" i="22"/>
  <c r="AG228" i="22"/>
  <c r="AH228" i="22"/>
  <c r="AI228" i="22"/>
  <c r="AJ228" i="22"/>
  <c r="AK228" i="22"/>
  <c r="AL228" i="22"/>
  <c r="AA229" i="22"/>
  <c r="AB229" i="22"/>
  <c r="AC229" i="22"/>
  <c r="AD229" i="22"/>
  <c r="AE229" i="22"/>
  <c r="AF229" i="22"/>
  <c r="AG229" i="22"/>
  <c r="AH229" i="22"/>
  <c r="AI229" i="22"/>
  <c r="AJ229" i="22"/>
  <c r="AK229" i="22"/>
  <c r="AL229" i="22"/>
  <c r="AA230" i="22"/>
  <c r="AB230" i="22"/>
  <c r="AC230" i="22"/>
  <c r="AD230" i="22"/>
  <c r="AE230" i="22"/>
  <c r="AF230" i="22"/>
  <c r="AG230" i="22"/>
  <c r="AH230" i="22"/>
  <c r="AI230" i="22"/>
  <c r="AJ230" i="22"/>
  <c r="AK230" i="22"/>
  <c r="AL230" i="22"/>
  <c r="AA231" i="22"/>
  <c r="AB231" i="22"/>
  <c r="AC231" i="22"/>
  <c r="AD231" i="22"/>
  <c r="AE231" i="22"/>
  <c r="AF231" i="22"/>
  <c r="AG231" i="22"/>
  <c r="AH231" i="22"/>
  <c r="AI231" i="22"/>
  <c r="AJ231" i="22"/>
  <c r="AK231" i="22"/>
  <c r="AL231" i="22"/>
  <c r="AA232" i="22"/>
  <c r="AB232" i="22"/>
  <c r="AC232" i="22"/>
  <c r="AD232" i="22"/>
  <c r="AE232" i="22"/>
  <c r="AF232" i="22"/>
  <c r="AG232" i="22"/>
  <c r="AH232" i="22"/>
  <c r="AI232" i="22"/>
  <c r="AJ232" i="22"/>
  <c r="AK232" i="22"/>
  <c r="AL232" i="22"/>
  <c r="AA233" i="22"/>
  <c r="AB233" i="22"/>
  <c r="AC233" i="22"/>
  <c r="AD233" i="22"/>
  <c r="AE233" i="22"/>
  <c r="AF233" i="22"/>
  <c r="AG233" i="22"/>
  <c r="AH233" i="22"/>
  <c r="AI233" i="22"/>
  <c r="AJ233" i="22"/>
  <c r="AK233" i="22"/>
  <c r="AL233" i="22"/>
  <c r="AA234" i="22"/>
  <c r="AB234" i="22"/>
  <c r="AC234" i="22"/>
  <c r="AD234" i="22"/>
  <c r="AE234" i="22"/>
  <c r="AF234" i="22"/>
  <c r="AG234" i="22"/>
  <c r="AH234" i="22"/>
  <c r="AI234" i="22"/>
  <c r="AJ234" i="22"/>
  <c r="AK234" i="22"/>
  <c r="AL234" i="22"/>
  <c r="AA235" i="22"/>
  <c r="AB235" i="22"/>
  <c r="AC235" i="22"/>
  <c r="AD235" i="22"/>
  <c r="AE235" i="22"/>
  <c r="AF235" i="22"/>
  <c r="AG235" i="22"/>
  <c r="AH235" i="22"/>
  <c r="AI235" i="22"/>
  <c r="AJ235" i="22"/>
  <c r="AK235" i="22"/>
  <c r="AL235" i="22"/>
  <c r="AA236" i="22"/>
  <c r="AB236" i="22"/>
  <c r="AC236" i="22"/>
  <c r="AD236" i="22"/>
  <c r="AE236" i="22"/>
  <c r="AF236" i="22"/>
  <c r="AG236" i="22"/>
  <c r="AH236" i="22"/>
  <c r="AI236" i="22"/>
  <c r="AJ236" i="22"/>
  <c r="AK236" i="22"/>
  <c r="AL236" i="22"/>
  <c r="AA237" i="22"/>
  <c r="AB237" i="22"/>
  <c r="AC237" i="22"/>
  <c r="AD237" i="22"/>
  <c r="AE237" i="22"/>
  <c r="AF237" i="22"/>
  <c r="AG237" i="22"/>
  <c r="AH237" i="22"/>
  <c r="AI237" i="22"/>
  <c r="AJ237" i="22"/>
  <c r="AK237" i="22"/>
  <c r="AL237" i="22"/>
  <c r="AA238" i="22"/>
  <c r="AB238" i="22"/>
  <c r="AC238" i="22"/>
  <c r="AD238" i="22"/>
  <c r="AE238" i="22"/>
  <c r="AF238" i="22"/>
  <c r="AG238" i="22"/>
  <c r="AH238" i="22"/>
  <c r="AI238" i="22"/>
  <c r="AJ238" i="22"/>
  <c r="AK238" i="22"/>
  <c r="AL238" i="22"/>
  <c r="AA239" i="22"/>
  <c r="AB239" i="22"/>
  <c r="AC239" i="22"/>
  <c r="AD239" i="22"/>
  <c r="AE239" i="22"/>
  <c r="AF239" i="22"/>
  <c r="AG239" i="22"/>
  <c r="AH239" i="22"/>
  <c r="AI239" i="22"/>
  <c r="AJ239" i="22"/>
  <c r="AK239" i="22"/>
  <c r="AL239" i="22"/>
  <c r="AA247" i="22"/>
  <c r="AB247" i="22"/>
  <c r="AC247" i="22"/>
  <c r="AD247" i="22"/>
  <c r="AE247" i="22"/>
  <c r="AF247" i="22"/>
  <c r="AG247" i="22"/>
  <c r="AH247" i="22"/>
  <c r="AI247" i="22"/>
  <c r="AJ247" i="22"/>
  <c r="AK247" i="22"/>
  <c r="AL247" i="22"/>
  <c r="AA250" i="22"/>
  <c r="AB250" i="22"/>
  <c r="AC250" i="22"/>
  <c r="AD250" i="22"/>
  <c r="AE250" i="22"/>
  <c r="AF250" i="22"/>
  <c r="AG250" i="22"/>
  <c r="AH250" i="22"/>
  <c r="AI250" i="22"/>
  <c r="AJ250" i="22"/>
  <c r="AK250" i="22"/>
  <c r="AL250" i="22"/>
  <c r="AA253" i="22"/>
  <c r="AB253" i="22"/>
  <c r="AC253" i="22"/>
  <c r="AD253" i="22"/>
  <c r="AE253" i="22"/>
  <c r="AF253" i="22"/>
  <c r="AG253" i="22"/>
  <c r="AH253" i="22"/>
  <c r="AI253" i="22"/>
  <c r="AJ253" i="22"/>
  <c r="AK253" i="22"/>
  <c r="AL253" i="22"/>
  <c r="AA257" i="22"/>
  <c r="AB257" i="22"/>
  <c r="AC257" i="22"/>
  <c r="AD257" i="22"/>
  <c r="AE257" i="22"/>
  <c r="AF257" i="22"/>
  <c r="AG257" i="22"/>
  <c r="AH257" i="22"/>
  <c r="AI257" i="22"/>
  <c r="AJ257" i="22"/>
  <c r="AK257" i="22"/>
  <c r="AL257" i="22"/>
  <c r="AA258" i="22"/>
  <c r="AB258" i="22"/>
  <c r="AC258" i="22"/>
  <c r="AD258" i="22"/>
  <c r="AE258" i="22"/>
  <c r="AF258" i="22"/>
  <c r="AG258" i="22"/>
  <c r="AH258" i="22"/>
  <c r="AI258" i="22"/>
  <c r="AJ258" i="22"/>
  <c r="AK258" i="22"/>
  <c r="AL258" i="22"/>
  <c r="AA259" i="22"/>
  <c r="AB259" i="22"/>
  <c r="AC259" i="22"/>
  <c r="AD259" i="22"/>
  <c r="AE259" i="22"/>
  <c r="AF259" i="22"/>
  <c r="AG259" i="22"/>
  <c r="AH259" i="22"/>
  <c r="AI259" i="22"/>
  <c r="AJ259" i="22"/>
  <c r="AK259" i="22"/>
  <c r="AL259" i="22"/>
  <c r="AA261" i="22"/>
  <c r="AB261" i="22"/>
  <c r="AC261" i="22"/>
  <c r="AD261" i="22"/>
  <c r="AE261" i="22"/>
  <c r="AF261" i="22"/>
  <c r="AG261" i="22"/>
  <c r="AH261" i="22"/>
  <c r="AI261" i="22"/>
  <c r="AJ261" i="22"/>
  <c r="AK261" i="22"/>
  <c r="AL261" i="22"/>
  <c r="AA262" i="22"/>
  <c r="AB262" i="22"/>
  <c r="AC262" i="22"/>
  <c r="AD262" i="22"/>
  <c r="AE262" i="22"/>
  <c r="AF262" i="22"/>
  <c r="AG262" i="22"/>
  <c r="AH262" i="22"/>
  <c r="AI262" i="22"/>
  <c r="AJ262" i="22"/>
  <c r="AK262" i="22"/>
  <c r="AL262" i="22"/>
  <c r="AA263" i="22"/>
  <c r="AB263" i="22"/>
  <c r="AC263" i="22"/>
  <c r="AD263" i="22"/>
  <c r="AE263" i="22"/>
  <c r="AF263" i="22"/>
  <c r="AG263" i="22"/>
  <c r="AH263" i="22"/>
  <c r="AI263" i="22"/>
  <c r="AJ263" i="22"/>
  <c r="AK263" i="22"/>
  <c r="AL263" i="22"/>
  <c r="AA265" i="22"/>
  <c r="AB265" i="22"/>
  <c r="AC265" i="22"/>
  <c r="AD265" i="22"/>
  <c r="AE265" i="22"/>
  <c r="AF265" i="22"/>
  <c r="AG265" i="22"/>
  <c r="AH265" i="22"/>
  <c r="AI265" i="22"/>
  <c r="AJ265" i="22"/>
  <c r="AK265" i="22"/>
  <c r="AL265" i="22"/>
  <c r="AA267" i="22"/>
  <c r="AB267" i="22"/>
  <c r="AC267" i="22"/>
  <c r="AD267" i="22"/>
  <c r="AE267" i="22"/>
  <c r="AF267" i="22"/>
  <c r="AG267" i="22"/>
  <c r="AH267" i="22"/>
  <c r="AI267" i="22"/>
  <c r="AJ267" i="22"/>
  <c r="AK267" i="22"/>
  <c r="AL267" i="22"/>
  <c r="AA268" i="22"/>
  <c r="AB268" i="22"/>
  <c r="AC268" i="22"/>
  <c r="AD268" i="22"/>
  <c r="AE268" i="22"/>
  <c r="AF268" i="22"/>
  <c r="AG268" i="22"/>
  <c r="AH268" i="22"/>
  <c r="AI268" i="22"/>
  <c r="AJ268" i="22"/>
  <c r="AK268" i="22"/>
  <c r="AL268" i="22"/>
  <c r="AA270" i="22"/>
  <c r="AB270" i="22"/>
  <c r="AC270" i="22"/>
  <c r="AD270" i="22"/>
  <c r="AE270" i="22"/>
  <c r="AF270" i="22"/>
  <c r="AG270" i="22"/>
  <c r="AH270" i="22"/>
  <c r="AI270" i="22"/>
  <c r="AJ270" i="22"/>
  <c r="AK270" i="22"/>
  <c r="AL270" i="22"/>
  <c r="AA271" i="22"/>
  <c r="AB271" i="22"/>
  <c r="AC271" i="22"/>
  <c r="AD271" i="22"/>
  <c r="AE271" i="22"/>
  <c r="AF271" i="22"/>
  <c r="AG271" i="22"/>
  <c r="AH271" i="22"/>
  <c r="AI271" i="22"/>
  <c r="AJ271" i="22"/>
  <c r="AK271" i="22"/>
  <c r="AL271" i="22"/>
  <c r="AA272" i="22"/>
  <c r="AB272" i="22"/>
  <c r="AC272" i="22"/>
  <c r="AD272" i="22"/>
  <c r="AE272" i="22"/>
  <c r="AF272" i="22"/>
  <c r="AG272" i="22"/>
  <c r="AH272" i="22"/>
  <c r="AI272" i="22"/>
  <c r="AJ272" i="22"/>
  <c r="AK272" i="22"/>
  <c r="AL272" i="22"/>
  <c r="AA273" i="22"/>
  <c r="AB273" i="22"/>
  <c r="AC273" i="22"/>
  <c r="AD273" i="22"/>
  <c r="AE273" i="22"/>
  <c r="AF273" i="22"/>
  <c r="AG273" i="22"/>
  <c r="AH273" i="22"/>
  <c r="AI273" i="22"/>
  <c r="AJ273" i="22"/>
  <c r="AK273" i="22"/>
  <c r="AL273" i="22"/>
  <c r="AA275" i="22"/>
  <c r="AB275" i="22"/>
  <c r="AC275" i="22"/>
  <c r="AD275" i="22"/>
  <c r="AE275" i="22"/>
  <c r="AF275" i="22"/>
  <c r="AG275" i="22"/>
  <c r="AH275" i="22"/>
  <c r="AI275" i="22"/>
  <c r="AJ275" i="22"/>
  <c r="AK275" i="22"/>
  <c r="AL275" i="22"/>
  <c r="AA277" i="22"/>
  <c r="AB277" i="22"/>
  <c r="AC277" i="22"/>
  <c r="AD277" i="22"/>
  <c r="AE277" i="22"/>
  <c r="AF277" i="22"/>
  <c r="AG277" i="22"/>
  <c r="AH277" i="22"/>
  <c r="AI277" i="22"/>
  <c r="AJ277" i="22"/>
  <c r="AK277" i="22"/>
  <c r="AL277" i="22"/>
  <c r="AA279" i="22"/>
  <c r="AB279" i="22"/>
  <c r="AC279" i="22"/>
  <c r="AD279" i="22"/>
  <c r="AE279" i="22"/>
  <c r="AF279" i="22"/>
  <c r="AG279" i="22"/>
  <c r="AH279" i="22"/>
  <c r="AI279" i="22"/>
  <c r="AJ279" i="22"/>
  <c r="AK279" i="22"/>
  <c r="AL279" i="22"/>
  <c r="AA280" i="22"/>
  <c r="AB280" i="22"/>
  <c r="AC280" i="22"/>
  <c r="AD280" i="22"/>
  <c r="AE280" i="22"/>
  <c r="AF280" i="22"/>
  <c r="AG280" i="22"/>
  <c r="AH280" i="22"/>
  <c r="AI280" i="22"/>
  <c r="AJ280" i="22"/>
  <c r="AK280" i="22"/>
  <c r="AL280" i="22"/>
  <c r="AA281" i="22"/>
  <c r="AB281" i="22"/>
  <c r="AC281" i="22"/>
  <c r="AD281" i="22"/>
  <c r="AE281" i="22"/>
  <c r="AF281" i="22"/>
  <c r="AG281" i="22"/>
  <c r="AH281" i="22"/>
  <c r="AI281" i="22"/>
  <c r="AJ281" i="22"/>
  <c r="AK281" i="22"/>
  <c r="AL281" i="22"/>
  <c r="AA282" i="22"/>
  <c r="AB282" i="22"/>
  <c r="AC282" i="22"/>
  <c r="AD282" i="22"/>
  <c r="AE282" i="22"/>
  <c r="AF282" i="22"/>
  <c r="AG282" i="22"/>
  <c r="AH282" i="22"/>
  <c r="AI282" i="22"/>
  <c r="AJ282" i="22"/>
  <c r="AK282" i="22"/>
  <c r="AL282" i="22"/>
  <c r="AA283" i="22"/>
  <c r="AB283" i="22"/>
  <c r="AC283" i="22"/>
  <c r="AD283" i="22"/>
  <c r="AE283" i="22"/>
  <c r="AF283" i="22"/>
  <c r="AG283" i="22"/>
  <c r="AH283" i="22"/>
  <c r="AI283" i="22"/>
  <c r="AJ283" i="22"/>
  <c r="AK283" i="22"/>
  <c r="AL283" i="22"/>
  <c r="AA284" i="22"/>
  <c r="AB284" i="22"/>
  <c r="AC284" i="22"/>
  <c r="AD284" i="22"/>
  <c r="AE284" i="22"/>
  <c r="AF284" i="22"/>
  <c r="AG284" i="22"/>
  <c r="AH284" i="22"/>
  <c r="AI284" i="22"/>
  <c r="AJ284" i="22"/>
  <c r="AK284" i="22"/>
  <c r="AL284" i="22"/>
  <c r="AA285" i="22"/>
  <c r="AB285" i="22"/>
  <c r="AC285" i="22"/>
  <c r="AD285" i="22"/>
  <c r="AE285" i="22"/>
  <c r="AF285" i="22"/>
  <c r="AG285" i="22"/>
  <c r="AH285" i="22"/>
  <c r="AI285" i="22"/>
  <c r="AJ285" i="22"/>
  <c r="AK285" i="22"/>
  <c r="AL285" i="22"/>
  <c r="AA286" i="22"/>
  <c r="AB286" i="22"/>
  <c r="AC286" i="22"/>
  <c r="AD286" i="22"/>
  <c r="AE286" i="22"/>
  <c r="AF286" i="22"/>
  <c r="AG286" i="22"/>
  <c r="AH286" i="22"/>
  <c r="AI286" i="22"/>
  <c r="AJ286" i="22"/>
  <c r="AK286" i="22"/>
  <c r="AL286" i="22"/>
  <c r="AA289" i="22"/>
  <c r="AB289" i="22"/>
  <c r="AC289" i="22"/>
  <c r="AD289" i="22"/>
  <c r="AE289" i="22"/>
  <c r="AF289" i="22"/>
  <c r="AG289" i="22"/>
  <c r="AH289" i="22"/>
  <c r="AI289" i="22"/>
  <c r="AJ289" i="22"/>
  <c r="AK289" i="22"/>
  <c r="AL289" i="22"/>
  <c r="AA291" i="22"/>
  <c r="AB291" i="22"/>
  <c r="AC291" i="22"/>
  <c r="AD291" i="22"/>
  <c r="AE291" i="22"/>
  <c r="AF291" i="22"/>
  <c r="AG291" i="22"/>
  <c r="AH291" i="22"/>
  <c r="AI291" i="22"/>
  <c r="AJ291" i="22"/>
  <c r="AK291" i="22"/>
  <c r="AL291" i="22"/>
  <c r="AA292" i="22"/>
  <c r="AB292" i="22"/>
  <c r="AC292" i="22"/>
  <c r="AD292" i="22"/>
  <c r="AE292" i="22"/>
  <c r="AF292" i="22"/>
  <c r="AG292" i="22"/>
  <c r="AH292" i="22"/>
  <c r="AI292" i="22"/>
  <c r="AJ292" i="22"/>
  <c r="AK292" i="22"/>
  <c r="AL292" i="22"/>
  <c r="AA293" i="22"/>
  <c r="AB293" i="22"/>
  <c r="AC293" i="22"/>
  <c r="AD293" i="22"/>
  <c r="AE293" i="22"/>
  <c r="AF293" i="22"/>
  <c r="AG293" i="22"/>
  <c r="AH293" i="22"/>
  <c r="AI293" i="22"/>
  <c r="AJ293" i="22"/>
  <c r="AK293" i="22"/>
  <c r="AL293" i="22"/>
  <c r="AA294" i="22"/>
  <c r="AB294" i="22"/>
  <c r="AC294" i="22"/>
  <c r="AD294" i="22"/>
  <c r="AE294" i="22"/>
  <c r="AF294" i="22"/>
  <c r="AG294" i="22"/>
  <c r="AH294" i="22"/>
  <c r="AI294" i="22"/>
  <c r="AJ294" i="22"/>
  <c r="AK294" i="22"/>
  <c r="AL294" i="22"/>
  <c r="AA296" i="22"/>
  <c r="AB296" i="22"/>
  <c r="AC296" i="22"/>
  <c r="AD296" i="22"/>
  <c r="AE296" i="22"/>
  <c r="AF296" i="22"/>
  <c r="AG296" i="22"/>
  <c r="AH296" i="22"/>
  <c r="AI296" i="22"/>
  <c r="AJ296" i="22"/>
  <c r="AK296" i="22"/>
  <c r="AL296" i="22"/>
  <c r="AA297" i="22"/>
  <c r="AB297" i="22"/>
  <c r="AC297" i="22"/>
  <c r="AD297" i="22"/>
  <c r="AE297" i="22"/>
  <c r="AF297" i="22"/>
  <c r="AG297" i="22"/>
  <c r="AH297" i="22"/>
  <c r="AI297" i="22"/>
  <c r="AJ297" i="22"/>
  <c r="AK297" i="22"/>
  <c r="AL297" i="22"/>
  <c r="AA298" i="22"/>
  <c r="AB298" i="22"/>
  <c r="AC298" i="22"/>
  <c r="AD298" i="22"/>
  <c r="AE298" i="22"/>
  <c r="AF298" i="22"/>
  <c r="AG298" i="22"/>
  <c r="AH298" i="22"/>
  <c r="AI298" i="22"/>
  <c r="AJ298" i="22"/>
  <c r="AK298" i="22"/>
  <c r="AL298" i="22"/>
  <c r="AA299" i="22"/>
  <c r="AB299" i="22"/>
  <c r="AC299" i="22"/>
  <c r="AD299" i="22"/>
  <c r="AE299" i="22"/>
  <c r="AF299" i="22"/>
  <c r="AG299" i="22"/>
  <c r="AH299" i="22"/>
  <c r="AI299" i="22"/>
  <c r="AJ299" i="22"/>
  <c r="AK299" i="22"/>
  <c r="AL299" i="22"/>
  <c r="AA301" i="22"/>
  <c r="AB301" i="22"/>
  <c r="AC301" i="22"/>
  <c r="AD301" i="22"/>
  <c r="AE301" i="22"/>
  <c r="AF301" i="22"/>
  <c r="AG301" i="22"/>
  <c r="AH301" i="22"/>
  <c r="AI301" i="22"/>
  <c r="AJ301" i="22"/>
  <c r="AK301" i="22"/>
  <c r="AL301" i="22"/>
  <c r="AA302" i="22"/>
  <c r="AB302" i="22"/>
  <c r="AC302" i="22"/>
  <c r="AD302" i="22"/>
  <c r="AE302" i="22"/>
  <c r="AF302" i="22"/>
  <c r="AG302" i="22"/>
  <c r="AH302" i="22"/>
  <c r="AI302" i="22"/>
  <c r="AJ302" i="22"/>
  <c r="AK302" i="22"/>
  <c r="AL302" i="22"/>
  <c r="AA303" i="22"/>
  <c r="AB303" i="22"/>
  <c r="AC303" i="22"/>
  <c r="AD303" i="22"/>
  <c r="AE303" i="22"/>
  <c r="AF303" i="22"/>
  <c r="AG303" i="22"/>
  <c r="AH303" i="22"/>
  <c r="AI303" i="22"/>
  <c r="AJ303" i="22"/>
  <c r="AK303" i="22"/>
  <c r="AL303" i="22"/>
  <c r="AA306" i="22"/>
  <c r="AB306" i="22"/>
  <c r="AC306" i="22"/>
  <c r="AD306" i="22"/>
  <c r="AE306" i="22"/>
  <c r="AF306" i="22"/>
  <c r="AG306" i="22"/>
  <c r="AH306" i="22"/>
  <c r="AI306" i="22"/>
  <c r="AJ306" i="22"/>
  <c r="AK306" i="22"/>
  <c r="AL306" i="22"/>
  <c r="AA307" i="22"/>
  <c r="AB307" i="22"/>
  <c r="AC307" i="22"/>
  <c r="AD307" i="22"/>
  <c r="AE307" i="22"/>
  <c r="AF307" i="22"/>
  <c r="AG307" i="22"/>
  <c r="AH307" i="22"/>
  <c r="AI307" i="22"/>
  <c r="AJ307" i="22"/>
  <c r="AK307" i="22"/>
  <c r="AL307" i="22"/>
  <c r="AA308" i="22"/>
  <c r="AB308" i="22"/>
  <c r="AC308" i="22"/>
  <c r="AD308" i="22"/>
  <c r="AE308" i="22"/>
  <c r="AF308" i="22"/>
  <c r="AG308" i="22"/>
  <c r="AH308" i="22"/>
  <c r="AI308" i="22"/>
  <c r="AJ308" i="22"/>
  <c r="AK308" i="22"/>
  <c r="AL308" i="22"/>
  <c r="AA309" i="22"/>
  <c r="AB309" i="22"/>
  <c r="AC309" i="22"/>
  <c r="AD309" i="22"/>
  <c r="AE309" i="22"/>
  <c r="AF309" i="22"/>
  <c r="AG309" i="22"/>
  <c r="AH309" i="22"/>
  <c r="AI309" i="22"/>
  <c r="AJ309" i="22"/>
  <c r="AK309" i="22"/>
  <c r="AL309" i="22"/>
  <c r="AA310" i="22"/>
  <c r="AB310" i="22"/>
  <c r="AC310" i="22"/>
  <c r="AD310" i="22"/>
  <c r="AE310" i="22"/>
  <c r="AF310" i="22"/>
  <c r="AG310" i="22"/>
  <c r="AH310" i="22"/>
  <c r="AI310" i="22"/>
  <c r="AJ310" i="22"/>
  <c r="AK310" i="22"/>
  <c r="AL310" i="22"/>
  <c r="AA311" i="22"/>
  <c r="AB311" i="22"/>
  <c r="AC311" i="22"/>
  <c r="AD311" i="22"/>
  <c r="AE311" i="22"/>
  <c r="AF311" i="22"/>
  <c r="AG311" i="22"/>
  <c r="AH311" i="22"/>
  <c r="AI311" i="22"/>
  <c r="AJ311" i="22"/>
  <c r="AK311" i="22"/>
  <c r="AL311" i="22"/>
  <c r="AA312" i="22"/>
  <c r="AB312" i="22"/>
  <c r="AC312" i="22"/>
  <c r="AD312" i="22"/>
  <c r="AE312" i="22"/>
  <c r="AF312" i="22"/>
  <c r="AG312" i="22"/>
  <c r="AH312" i="22"/>
  <c r="AI312" i="22"/>
  <c r="AJ312" i="22"/>
  <c r="AK312" i="22"/>
  <c r="AL312" i="22"/>
  <c r="AA313" i="22"/>
  <c r="AB313" i="22"/>
  <c r="AC313" i="22"/>
  <c r="AD313" i="22"/>
  <c r="AE313" i="22"/>
  <c r="AF313" i="22"/>
  <c r="AG313" i="22"/>
  <c r="AH313" i="22"/>
  <c r="AI313" i="22"/>
  <c r="AJ313" i="22"/>
  <c r="AK313" i="22"/>
  <c r="AL313" i="22"/>
  <c r="AA314" i="22"/>
  <c r="AB314" i="22"/>
  <c r="AC314" i="22"/>
  <c r="AD314" i="22"/>
  <c r="AE314" i="22"/>
  <c r="AF314" i="22"/>
  <c r="AG314" i="22"/>
  <c r="AH314" i="22"/>
  <c r="AI314" i="22"/>
  <c r="AJ314" i="22"/>
  <c r="AK314" i="22"/>
  <c r="AL314" i="22"/>
  <c r="AA315" i="22"/>
  <c r="AB315" i="22"/>
  <c r="AC315" i="22"/>
  <c r="AD315" i="22"/>
  <c r="AE315" i="22"/>
  <c r="AF315" i="22"/>
  <c r="AG315" i="22"/>
  <c r="AH315" i="22"/>
  <c r="AI315" i="22"/>
  <c r="AJ315" i="22"/>
  <c r="AK315" i="22"/>
  <c r="AL315" i="22"/>
  <c r="AA317" i="22"/>
  <c r="AB317" i="22"/>
  <c r="AC317" i="22"/>
  <c r="AD317" i="22"/>
  <c r="AE317" i="22"/>
  <c r="AF317" i="22"/>
  <c r="AG317" i="22"/>
  <c r="AH317" i="22"/>
  <c r="AI317" i="22"/>
  <c r="AJ317" i="22"/>
  <c r="AK317" i="22"/>
  <c r="AL317" i="22"/>
  <c r="AA318" i="22"/>
  <c r="AB318" i="22"/>
  <c r="AC318" i="22"/>
  <c r="AD318" i="22"/>
  <c r="AE318" i="22"/>
  <c r="AF318" i="22"/>
  <c r="AG318" i="22"/>
  <c r="AH318" i="22"/>
  <c r="AI318" i="22"/>
  <c r="AJ318" i="22"/>
  <c r="AK318" i="22"/>
  <c r="AL318" i="22"/>
  <c r="AA319" i="22"/>
  <c r="AB319" i="22"/>
  <c r="AC319" i="22"/>
  <c r="AD319" i="22"/>
  <c r="AE319" i="22"/>
  <c r="AF319" i="22"/>
  <c r="AG319" i="22"/>
  <c r="AH319" i="22"/>
  <c r="AI319" i="22"/>
  <c r="AJ319" i="22"/>
  <c r="AK319" i="22"/>
  <c r="AL319" i="22"/>
  <c r="AA320" i="22"/>
  <c r="AB320" i="22"/>
  <c r="AC320" i="22"/>
  <c r="AD320" i="22"/>
  <c r="AE320" i="22"/>
  <c r="AF320" i="22"/>
  <c r="AG320" i="22"/>
  <c r="AH320" i="22"/>
  <c r="AI320" i="22"/>
  <c r="AJ320" i="22"/>
  <c r="AK320" i="22"/>
  <c r="AL320" i="22"/>
  <c r="AA321" i="22"/>
  <c r="AB321" i="22"/>
  <c r="AC321" i="22"/>
  <c r="AD321" i="22"/>
  <c r="AE321" i="22"/>
  <c r="AF321" i="22"/>
  <c r="AG321" i="22"/>
  <c r="AH321" i="22"/>
  <c r="AI321" i="22"/>
  <c r="AJ321" i="22"/>
  <c r="AK321" i="22"/>
  <c r="AL321" i="22"/>
  <c r="AA322" i="22"/>
  <c r="AB322" i="22"/>
  <c r="AC322" i="22"/>
  <c r="AD322" i="22"/>
  <c r="AE322" i="22"/>
  <c r="AF322" i="22"/>
  <c r="AG322" i="22"/>
  <c r="AH322" i="22"/>
  <c r="AI322" i="22"/>
  <c r="AJ322" i="22"/>
  <c r="AK322" i="22"/>
  <c r="AL322" i="22"/>
  <c r="AB316" i="22" l="1"/>
  <c r="AM310" i="22"/>
  <c r="AQ310" i="22"/>
  <c r="AU310" i="22"/>
  <c r="AN310" i="22"/>
  <c r="AP310" i="22"/>
  <c r="AT310" i="22"/>
  <c r="AX310" i="22"/>
  <c r="AR310" i="22"/>
  <c r="AV310" i="22"/>
  <c r="AW310" i="22"/>
  <c r="AO310" i="22"/>
  <c r="AS310" i="22"/>
  <c r="AM302" i="22"/>
  <c r="AQ302" i="22"/>
  <c r="AU302" i="22"/>
  <c r="AN302" i="22"/>
  <c r="AV302" i="22"/>
  <c r="AP302" i="22"/>
  <c r="AT302" i="22"/>
  <c r="AX302" i="22"/>
  <c r="AR302" i="22"/>
  <c r="AW302" i="22"/>
  <c r="AO302" i="22"/>
  <c r="AS302" i="22"/>
  <c r="AM294" i="22"/>
  <c r="AQ294" i="22"/>
  <c r="AU294" i="22"/>
  <c r="AN294" i="22"/>
  <c r="AV294" i="22"/>
  <c r="AP294" i="22"/>
  <c r="AT294" i="22"/>
  <c r="AX294" i="22"/>
  <c r="AR294" i="22"/>
  <c r="AW294" i="22"/>
  <c r="AO294" i="22"/>
  <c r="AS294" i="22"/>
  <c r="AM286" i="22"/>
  <c r="AQ286" i="22"/>
  <c r="AU286" i="22"/>
  <c r="AR286" i="22"/>
  <c r="AP286" i="22"/>
  <c r="AT286" i="22"/>
  <c r="AX286" i="22"/>
  <c r="AN286" i="22"/>
  <c r="AV286" i="22"/>
  <c r="AW286" i="22"/>
  <c r="AO286" i="22"/>
  <c r="AS286" i="22"/>
  <c r="AM270" i="22"/>
  <c r="AQ270" i="22"/>
  <c r="AU270" i="22"/>
  <c r="AN270" i="22"/>
  <c r="AV270" i="22"/>
  <c r="AP270" i="22"/>
  <c r="AT270" i="22"/>
  <c r="AX270" i="22"/>
  <c r="AR270" i="22"/>
  <c r="AW270" i="22"/>
  <c r="AO270" i="22"/>
  <c r="AS270" i="22"/>
  <c r="AV262" i="22"/>
  <c r="AJ27" i="22"/>
  <c r="AN238" i="22"/>
  <c r="AR238" i="22"/>
  <c r="AV238" i="22"/>
  <c r="AM238" i="22"/>
  <c r="AQ238" i="22"/>
  <c r="AU238" i="22"/>
  <c r="AO238" i="22"/>
  <c r="AW238" i="22"/>
  <c r="AT238" i="22"/>
  <c r="AP238" i="22"/>
  <c r="AX238" i="22"/>
  <c r="AS238" i="22"/>
  <c r="AN230" i="22"/>
  <c r="AR230" i="22"/>
  <c r="AV230" i="22"/>
  <c r="AM230" i="22"/>
  <c r="AQ230" i="22"/>
  <c r="AU230" i="22"/>
  <c r="AO230" i="22"/>
  <c r="AW230" i="22"/>
  <c r="AT230" i="22"/>
  <c r="AP230" i="22"/>
  <c r="AX230" i="22"/>
  <c r="AS230" i="22"/>
  <c r="AN222" i="22"/>
  <c r="AR222" i="22"/>
  <c r="AV222" i="22"/>
  <c r="AM222" i="22"/>
  <c r="AQ222" i="22"/>
  <c r="AU222" i="22"/>
  <c r="AO222" i="22"/>
  <c r="AW222" i="22"/>
  <c r="AX222" i="22"/>
  <c r="AT222" i="22"/>
  <c r="AP222" i="22"/>
  <c r="AS222" i="22"/>
  <c r="AN202" i="22"/>
  <c r="AR202" i="22"/>
  <c r="AV202" i="22"/>
  <c r="AM202" i="22"/>
  <c r="AQ202" i="22"/>
  <c r="AU202" i="22"/>
  <c r="AO202" i="22"/>
  <c r="AW202" i="22"/>
  <c r="AX202" i="22"/>
  <c r="AS202" i="22"/>
  <c r="AT202" i="22"/>
  <c r="AP202" i="22"/>
  <c r="AP170" i="22"/>
  <c r="AT170" i="22"/>
  <c r="AX170" i="22"/>
  <c r="AO170" i="22"/>
  <c r="AS170" i="22"/>
  <c r="AW170" i="22"/>
  <c r="AM170" i="22"/>
  <c r="AU170" i="22"/>
  <c r="AR170" i="22"/>
  <c r="AN170" i="22"/>
  <c r="AQ170" i="22"/>
  <c r="AV170" i="22"/>
  <c r="AP162" i="22"/>
  <c r="AT162" i="22"/>
  <c r="AX162" i="22"/>
  <c r="AO162" i="22"/>
  <c r="AS162" i="22"/>
  <c r="AW162" i="22"/>
  <c r="AM162" i="22"/>
  <c r="AU162" i="22"/>
  <c r="AR162" i="22"/>
  <c r="AN162" i="22"/>
  <c r="AQ162" i="22"/>
  <c r="AV162" i="22"/>
  <c r="AP154" i="22"/>
  <c r="AT154" i="22"/>
  <c r="AX154" i="22"/>
  <c r="AO154" i="22"/>
  <c r="AS154" i="22"/>
  <c r="AW154" i="22"/>
  <c r="AM154" i="22"/>
  <c r="AU154" i="22"/>
  <c r="AR154" i="22"/>
  <c r="AN154" i="22"/>
  <c r="AV154" i="22"/>
  <c r="AQ154" i="22"/>
  <c r="AP146" i="22"/>
  <c r="AT146" i="22"/>
  <c r="AX146" i="22"/>
  <c r="AO146" i="22"/>
  <c r="AS146" i="22"/>
  <c r="AW146" i="22"/>
  <c r="AM146" i="22"/>
  <c r="AU146" i="22"/>
  <c r="AR146" i="22"/>
  <c r="AN146" i="22"/>
  <c r="AQ146" i="22"/>
  <c r="AV146" i="22"/>
  <c r="AP138" i="22"/>
  <c r="AT138" i="22"/>
  <c r="AX138" i="22"/>
  <c r="AO138" i="22"/>
  <c r="AS138" i="22"/>
  <c r="AW138" i="22"/>
  <c r="AM138" i="22"/>
  <c r="AU138" i="22"/>
  <c r="AR138" i="22"/>
  <c r="AN138" i="22"/>
  <c r="AQ138" i="22"/>
  <c r="AV138" i="22"/>
  <c r="AP130" i="22"/>
  <c r="AT130" i="22"/>
  <c r="AX130" i="22"/>
  <c r="AO130" i="22"/>
  <c r="AS130" i="22"/>
  <c r="AW130" i="22"/>
  <c r="AM130" i="22"/>
  <c r="AU130" i="22"/>
  <c r="AR130" i="22"/>
  <c r="AN130" i="22"/>
  <c r="AV130" i="22"/>
  <c r="AQ130" i="22"/>
  <c r="AN98" i="22"/>
  <c r="AR98" i="22"/>
  <c r="AV98" i="22"/>
  <c r="AM98" i="22"/>
  <c r="AQ98" i="22"/>
  <c r="AU98" i="22"/>
  <c r="AO98" i="22"/>
  <c r="AW98" i="22"/>
  <c r="AT98" i="22"/>
  <c r="AP98" i="22"/>
  <c r="AS98" i="22"/>
  <c r="AX98" i="22"/>
  <c r="AN90" i="22"/>
  <c r="AR90" i="22"/>
  <c r="AV90" i="22"/>
  <c r="AM90" i="22"/>
  <c r="AQ90" i="22"/>
  <c r="AU90" i="22"/>
  <c r="AO90" i="22"/>
  <c r="AW90" i="22"/>
  <c r="AT90" i="22"/>
  <c r="AP90" i="22"/>
  <c r="AS90" i="22"/>
  <c r="AX90" i="22"/>
  <c r="AN82" i="22"/>
  <c r="AR82" i="22"/>
  <c r="AV82" i="22"/>
  <c r="AM82" i="22"/>
  <c r="AQ82" i="22"/>
  <c r="AU82" i="22"/>
  <c r="AS82" i="22"/>
  <c r="AP82" i="22"/>
  <c r="AX82" i="22"/>
  <c r="AW82" i="22"/>
  <c r="AT82" i="22"/>
  <c r="AO82" i="22"/>
  <c r="AN58" i="22"/>
  <c r="AR58" i="22"/>
  <c r="AV58" i="22"/>
  <c r="AM58" i="22"/>
  <c r="AQ58" i="22"/>
  <c r="AU58" i="22"/>
  <c r="AS58" i="22"/>
  <c r="AP58" i="22"/>
  <c r="AX58" i="22"/>
  <c r="AW58" i="22"/>
  <c r="AT58" i="22"/>
  <c r="AO58" i="22"/>
  <c r="AO42" i="22"/>
  <c r="AS42" i="22"/>
  <c r="AW42" i="22"/>
  <c r="AN42" i="22"/>
  <c r="AR42" i="22"/>
  <c r="AV42" i="22"/>
  <c r="AP42" i="22"/>
  <c r="AX42" i="22"/>
  <c r="AM42" i="22"/>
  <c r="AU42" i="22"/>
  <c r="AQ42" i="22"/>
  <c r="AT42" i="22"/>
  <c r="AM321" i="22"/>
  <c r="AQ321" i="22"/>
  <c r="AU321" i="22"/>
  <c r="AR321" i="22"/>
  <c r="AP321" i="22"/>
  <c r="AT321" i="22"/>
  <c r="AX321" i="22"/>
  <c r="AN321" i="22"/>
  <c r="AV321" i="22"/>
  <c r="AW321" i="22"/>
  <c r="AO321" i="22"/>
  <c r="AS321" i="22"/>
  <c r="AM309" i="22"/>
  <c r="AQ309" i="22"/>
  <c r="AU309" i="22"/>
  <c r="AP309" i="22"/>
  <c r="AT309" i="22"/>
  <c r="AX309" i="22"/>
  <c r="AN309" i="22"/>
  <c r="AR309" i="22"/>
  <c r="AV309" i="22"/>
  <c r="AS309" i="22"/>
  <c r="AW309" i="22"/>
  <c r="AO309" i="22"/>
  <c r="AM301" i="22"/>
  <c r="AQ301" i="22"/>
  <c r="AU301" i="22"/>
  <c r="AR301" i="22"/>
  <c r="AP301" i="22"/>
  <c r="AT301" i="22"/>
  <c r="AX301" i="22"/>
  <c r="AN301" i="22"/>
  <c r="AV301" i="22"/>
  <c r="AS301" i="22"/>
  <c r="AW301" i="22"/>
  <c r="AO301" i="22"/>
  <c r="AM293" i="22"/>
  <c r="AQ293" i="22"/>
  <c r="AU293" i="22"/>
  <c r="AR293" i="22"/>
  <c r="AP293" i="22"/>
  <c r="AT293" i="22"/>
  <c r="AX293" i="22"/>
  <c r="AN293" i="22"/>
  <c r="AV293" i="22"/>
  <c r="AS293" i="22"/>
  <c r="AW293" i="22"/>
  <c r="AO293" i="22"/>
  <c r="AM285" i="22"/>
  <c r="AQ285" i="22"/>
  <c r="AU285" i="22"/>
  <c r="AR285" i="22"/>
  <c r="AV285" i="22"/>
  <c r="AP285" i="22"/>
  <c r="AT285" i="22"/>
  <c r="AX285" i="22"/>
  <c r="AN285" i="22"/>
  <c r="AS285" i="22"/>
  <c r="AW285" i="22"/>
  <c r="AO285" i="22"/>
  <c r="AM277" i="22"/>
  <c r="AQ277" i="22"/>
  <c r="AU277" i="22"/>
  <c r="AN277" i="22"/>
  <c r="AV277" i="22"/>
  <c r="AP277" i="22"/>
  <c r="AT277" i="22"/>
  <c r="AX277" i="22"/>
  <c r="AR277" i="22"/>
  <c r="AS277" i="22"/>
  <c r="AW277" i="22"/>
  <c r="AO277" i="22"/>
  <c r="AM261" i="22"/>
  <c r="AQ261" i="22"/>
  <c r="AU261" i="22"/>
  <c r="AR261" i="22"/>
  <c r="AO261" i="22"/>
  <c r="AW261" i="22"/>
  <c r="AP261" i="22"/>
  <c r="AT261" i="22"/>
  <c r="AX261" i="22"/>
  <c r="AN261" i="22"/>
  <c r="AV261" i="22"/>
  <c r="AS261" i="22"/>
  <c r="AN253" i="22"/>
  <c r="AR253" i="22"/>
  <c r="AV253" i="22"/>
  <c r="AM253" i="22"/>
  <c r="AQ253" i="22"/>
  <c r="AU253" i="22"/>
  <c r="AS253" i="22"/>
  <c r="AT253" i="22"/>
  <c r="AW253" i="22"/>
  <c r="AP253" i="22"/>
  <c r="AX253" i="22"/>
  <c r="AO253" i="22"/>
  <c r="AB246" i="22"/>
  <c r="AF246" i="22"/>
  <c r="AJ246" i="22"/>
  <c r="AC246" i="22"/>
  <c r="AN237" i="22"/>
  <c r="AR237" i="22"/>
  <c r="AV237" i="22"/>
  <c r="AM237" i="22"/>
  <c r="AQ237" i="22"/>
  <c r="AU237" i="22"/>
  <c r="AS237" i="22"/>
  <c r="AT237" i="22"/>
  <c r="AW237" i="22"/>
  <c r="AP237" i="22"/>
  <c r="AX237" i="22"/>
  <c r="AO237" i="22"/>
  <c r="AN229" i="22"/>
  <c r="AR229" i="22"/>
  <c r="AV229" i="22"/>
  <c r="AM229" i="22"/>
  <c r="AQ229" i="22"/>
  <c r="AU229" i="22"/>
  <c r="AS229" i="22"/>
  <c r="AT229" i="22"/>
  <c r="AW229" i="22"/>
  <c r="AP229" i="22"/>
  <c r="AX229" i="22"/>
  <c r="AO229" i="22"/>
  <c r="AN221" i="22"/>
  <c r="AR221" i="22"/>
  <c r="AV221" i="22"/>
  <c r="AM221" i="22"/>
  <c r="AQ221" i="22"/>
  <c r="AU221" i="22"/>
  <c r="AS221" i="22"/>
  <c r="AT221" i="22"/>
  <c r="AO221" i="22"/>
  <c r="AW221" i="22"/>
  <c r="AP221" i="22"/>
  <c r="AX221" i="22"/>
  <c r="AN213" i="22"/>
  <c r="AR213" i="22"/>
  <c r="AV213" i="22"/>
  <c r="AM213" i="22"/>
  <c r="AQ213" i="22"/>
  <c r="AU213" i="22"/>
  <c r="AS213" i="22"/>
  <c r="AT213" i="22"/>
  <c r="AO213" i="22"/>
  <c r="AP213" i="22"/>
  <c r="AX213" i="22"/>
  <c r="AW213" i="22"/>
  <c r="AN205" i="22"/>
  <c r="AR205" i="22"/>
  <c r="AV205" i="22"/>
  <c r="AM205" i="22"/>
  <c r="AQ205" i="22"/>
  <c r="AU205" i="22"/>
  <c r="AS205" i="22"/>
  <c r="AT205" i="22"/>
  <c r="AP205" i="22"/>
  <c r="AX205" i="22"/>
  <c r="AO205" i="22"/>
  <c r="AW205" i="22"/>
  <c r="AP197" i="22"/>
  <c r="AT197" i="22"/>
  <c r="AX197" i="22"/>
  <c r="AO197" i="22"/>
  <c r="AS197" i="22"/>
  <c r="AW197" i="22"/>
  <c r="AQ197" i="22"/>
  <c r="AN197" i="22"/>
  <c r="AV197" i="22"/>
  <c r="AU197" i="22"/>
  <c r="AM197" i="22"/>
  <c r="AR197" i="22"/>
  <c r="AP189" i="22"/>
  <c r="AT189" i="22"/>
  <c r="AX189" i="22"/>
  <c r="AO189" i="22"/>
  <c r="AS189" i="22"/>
  <c r="AW189" i="22"/>
  <c r="AQ189" i="22"/>
  <c r="AN189" i="22"/>
  <c r="AV189" i="22"/>
  <c r="AU189" i="22"/>
  <c r="AM189" i="22"/>
  <c r="AR189" i="22"/>
  <c r="AP173" i="22"/>
  <c r="AT173" i="22"/>
  <c r="AX173" i="22"/>
  <c r="AO173" i="22"/>
  <c r="AS173" i="22"/>
  <c r="AW173" i="22"/>
  <c r="AQ173" i="22"/>
  <c r="AN173" i="22"/>
  <c r="AV173" i="22"/>
  <c r="AM173" i="22"/>
  <c r="AR173" i="22"/>
  <c r="AU173" i="22"/>
  <c r="AP165" i="22"/>
  <c r="AT165" i="22"/>
  <c r="AX165" i="22"/>
  <c r="AO165" i="22"/>
  <c r="AS165" i="22"/>
  <c r="AW165" i="22"/>
  <c r="AQ165" i="22"/>
  <c r="AN165" i="22"/>
  <c r="AV165" i="22"/>
  <c r="AM165" i="22"/>
  <c r="AR165" i="22"/>
  <c r="AU165" i="22"/>
  <c r="AP157" i="22"/>
  <c r="AT157" i="22"/>
  <c r="AX157" i="22"/>
  <c r="AO157" i="22"/>
  <c r="AS157" i="22"/>
  <c r="AW157" i="22"/>
  <c r="AQ157" i="22"/>
  <c r="AN157" i="22"/>
  <c r="AV157" i="22"/>
  <c r="AR157" i="22"/>
  <c r="AU157" i="22"/>
  <c r="AM157" i="22"/>
  <c r="AP149" i="22"/>
  <c r="AT149" i="22"/>
  <c r="AX149" i="22"/>
  <c r="AO149" i="22"/>
  <c r="AS149" i="22"/>
  <c r="AW149" i="22"/>
  <c r="AQ149" i="22"/>
  <c r="AN149" i="22"/>
  <c r="AV149" i="22"/>
  <c r="AU149" i="22"/>
  <c r="AM149" i="22"/>
  <c r="AR149" i="22"/>
  <c r="AP141" i="22"/>
  <c r="AT141" i="22"/>
  <c r="AX141" i="22"/>
  <c r="AO141" i="22"/>
  <c r="AS141" i="22"/>
  <c r="AW141" i="22"/>
  <c r="AQ141" i="22"/>
  <c r="AN141" i="22"/>
  <c r="AV141" i="22"/>
  <c r="AU141" i="22"/>
  <c r="AM141" i="22"/>
  <c r="AR141" i="22"/>
  <c r="AP129" i="22"/>
  <c r="AT129" i="22"/>
  <c r="AX129" i="22"/>
  <c r="AO129" i="22"/>
  <c r="AS129" i="22"/>
  <c r="AW129" i="22"/>
  <c r="AQ129" i="22"/>
  <c r="AN129" i="22"/>
  <c r="AV129" i="22"/>
  <c r="AM129" i="22"/>
  <c r="AU129" i="22"/>
  <c r="AR129" i="22"/>
  <c r="AC304" i="22"/>
  <c r="AK304" i="22"/>
  <c r="AF304" i="22"/>
  <c r="AC106" i="22"/>
  <c r="AM89" i="22"/>
  <c r="AN89" i="22"/>
  <c r="AR89" i="22"/>
  <c r="AV89" i="22"/>
  <c r="AQ89" i="22"/>
  <c r="AU89" i="22"/>
  <c r="AS89" i="22"/>
  <c r="AP89" i="22"/>
  <c r="AX89" i="22"/>
  <c r="AW89" i="22"/>
  <c r="AT89" i="22"/>
  <c r="AO89" i="22"/>
  <c r="AC225" i="22"/>
  <c r="AG225" i="22"/>
  <c r="AN73" i="22"/>
  <c r="AR73" i="22"/>
  <c r="AV73" i="22"/>
  <c r="AM73" i="22"/>
  <c r="AQ73" i="22"/>
  <c r="AU73" i="22"/>
  <c r="AO73" i="22"/>
  <c r="AW73" i="22"/>
  <c r="AT73" i="22"/>
  <c r="AX73" i="22"/>
  <c r="AS73" i="22"/>
  <c r="AP73" i="22"/>
  <c r="AC66" i="22"/>
  <c r="AG66" i="22"/>
  <c r="AN57" i="22"/>
  <c r="AR57" i="22"/>
  <c r="AV57" i="22"/>
  <c r="AM57" i="22"/>
  <c r="AQ57" i="22"/>
  <c r="AU57" i="22"/>
  <c r="AO57" i="22"/>
  <c r="AW57" i="22"/>
  <c r="AT57" i="22"/>
  <c r="AX57" i="22"/>
  <c r="AS57" i="22"/>
  <c r="AP57" i="22"/>
  <c r="AN49" i="22"/>
  <c r="AR49" i="22"/>
  <c r="AV49" i="22"/>
  <c r="AM49" i="22"/>
  <c r="AQ49" i="22"/>
  <c r="AU49" i="22"/>
  <c r="AO49" i="22"/>
  <c r="AW49" i="22"/>
  <c r="AT49" i="22"/>
  <c r="AX49" i="22"/>
  <c r="AS49" i="22"/>
  <c r="AP49" i="22"/>
  <c r="AO41" i="22"/>
  <c r="AS41" i="22"/>
  <c r="AW41" i="22"/>
  <c r="AN41" i="22"/>
  <c r="AR41" i="22"/>
  <c r="AV41" i="22"/>
  <c r="AT41" i="22"/>
  <c r="AQ41" i="22"/>
  <c r="AM41" i="22"/>
  <c r="AX41" i="22"/>
  <c r="AU41" i="22"/>
  <c r="AP41" i="22"/>
  <c r="AM29" i="22"/>
  <c r="AQ29" i="22"/>
  <c r="AU29" i="22"/>
  <c r="AP29" i="22"/>
  <c r="AT29" i="22"/>
  <c r="AX29" i="22"/>
  <c r="AR29" i="22"/>
  <c r="AO29" i="22"/>
  <c r="AW29" i="22"/>
  <c r="AS29" i="22"/>
  <c r="AN29" i="22"/>
  <c r="AV29" i="22"/>
  <c r="AC14" i="22"/>
  <c r="AK14" i="22"/>
  <c r="AC214" i="22"/>
  <c r="AK214" i="22"/>
  <c r="AM319" i="22"/>
  <c r="AQ319" i="22"/>
  <c r="AU319" i="22"/>
  <c r="AN319" i="22"/>
  <c r="AV319" i="22"/>
  <c r="AP319" i="22"/>
  <c r="AT319" i="22"/>
  <c r="AX319" i="22"/>
  <c r="AR319" i="22"/>
  <c r="AO319" i="22"/>
  <c r="AS319" i="22"/>
  <c r="AW319" i="22"/>
  <c r="AM315" i="22"/>
  <c r="AQ315" i="22"/>
  <c r="AU315" i="22"/>
  <c r="AN315" i="22"/>
  <c r="AV315" i="22"/>
  <c r="AP315" i="22"/>
  <c r="AT315" i="22"/>
  <c r="AX315" i="22"/>
  <c r="AR315" i="22"/>
  <c r="AO315" i="22"/>
  <c r="AS315" i="22"/>
  <c r="AW315" i="22"/>
  <c r="AM311" i="22"/>
  <c r="AQ311" i="22"/>
  <c r="AU311" i="22"/>
  <c r="AN311" i="22"/>
  <c r="AV311" i="22"/>
  <c r="AP311" i="22"/>
  <c r="AT311" i="22"/>
  <c r="AX311" i="22"/>
  <c r="AR311" i="22"/>
  <c r="AO311" i="22"/>
  <c r="AS311" i="22"/>
  <c r="AW311" i="22"/>
  <c r="AM307" i="22"/>
  <c r="AQ307" i="22"/>
  <c r="AU307" i="22"/>
  <c r="AN307" i="22"/>
  <c r="AV307" i="22"/>
  <c r="AP307" i="22"/>
  <c r="AT307" i="22"/>
  <c r="AX307" i="22"/>
  <c r="AR307" i="22"/>
  <c r="AO307" i="22"/>
  <c r="AS307" i="22"/>
  <c r="AW307" i="22"/>
  <c r="AM303" i="22"/>
  <c r="AQ303" i="22"/>
  <c r="AU303" i="22"/>
  <c r="AR303" i="22"/>
  <c r="AP303" i="22"/>
  <c r="AT303" i="22"/>
  <c r="AX303" i="22"/>
  <c r="AN303" i="22"/>
  <c r="AV303" i="22"/>
  <c r="AO303" i="22"/>
  <c r="AS303" i="22"/>
  <c r="AW303" i="22"/>
  <c r="AA288" i="22"/>
  <c r="AQ299" i="22"/>
  <c r="AI288" i="22"/>
  <c r="AJ288" i="22"/>
  <c r="AM291" i="22"/>
  <c r="AQ291" i="22"/>
  <c r="AI295" i="22"/>
  <c r="AB295" i="22"/>
  <c r="AJ305" i="22"/>
  <c r="AM283" i="22"/>
  <c r="AU283" i="22"/>
  <c r="AJ300" i="22"/>
  <c r="AC300" i="22"/>
  <c r="AM279" i="22"/>
  <c r="AQ279" i="22"/>
  <c r="AU279" i="22"/>
  <c r="AN279" i="22"/>
  <c r="AV279" i="22"/>
  <c r="AP279" i="22"/>
  <c r="AT279" i="22"/>
  <c r="AX279" i="22"/>
  <c r="AR279" i="22"/>
  <c r="AO279" i="22"/>
  <c r="AS279" i="22"/>
  <c r="AW279" i="22"/>
  <c r="AM275" i="22"/>
  <c r="AQ275" i="22"/>
  <c r="AU275" i="22"/>
  <c r="AR275" i="22"/>
  <c r="AP275" i="22"/>
  <c r="AT275" i="22"/>
  <c r="AX275" i="22"/>
  <c r="AN275" i="22"/>
  <c r="AV275" i="22"/>
  <c r="AO275" i="22"/>
  <c r="AS275" i="22"/>
  <c r="AW275" i="22"/>
  <c r="AM271" i="22"/>
  <c r="AQ271" i="22"/>
  <c r="AU271" i="22"/>
  <c r="AR271" i="22"/>
  <c r="AP271" i="22"/>
  <c r="AT271" i="22"/>
  <c r="AX271" i="22"/>
  <c r="AN271" i="22"/>
  <c r="AV271" i="22"/>
  <c r="AO271" i="22"/>
  <c r="AS271" i="22"/>
  <c r="AW271" i="22"/>
  <c r="AM267" i="22"/>
  <c r="AQ267" i="22"/>
  <c r="AU267" i="22"/>
  <c r="AN267" i="22"/>
  <c r="AO267" i="22"/>
  <c r="AW267" i="22"/>
  <c r="AP267" i="22"/>
  <c r="AT267" i="22"/>
  <c r="AX267" i="22"/>
  <c r="AR267" i="22"/>
  <c r="AV267" i="22"/>
  <c r="AS267" i="22"/>
  <c r="AM263" i="22"/>
  <c r="AQ263" i="22"/>
  <c r="AU263" i="22"/>
  <c r="AR263" i="22"/>
  <c r="AO263" i="22"/>
  <c r="AW263" i="22"/>
  <c r="AP263" i="22"/>
  <c r="AT263" i="22"/>
  <c r="AX263" i="22"/>
  <c r="AN263" i="22"/>
  <c r="AV263" i="22"/>
  <c r="AS263" i="22"/>
  <c r="AM259" i="22"/>
  <c r="AQ259" i="22"/>
  <c r="AU259" i="22"/>
  <c r="AV259" i="22"/>
  <c r="AO259" i="22"/>
  <c r="AW259" i="22"/>
  <c r="AP259" i="22"/>
  <c r="AT259" i="22"/>
  <c r="AX259" i="22"/>
  <c r="AN259" i="22"/>
  <c r="AR259" i="22"/>
  <c r="AS259" i="22"/>
  <c r="AB264" i="22"/>
  <c r="AF264" i="22"/>
  <c r="AJ264" i="22"/>
  <c r="AA264" i="22"/>
  <c r="AE264" i="22"/>
  <c r="AI264" i="22"/>
  <c r="AC264" i="22"/>
  <c r="AN247" i="22"/>
  <c r="AR247" i="22"/>
  <c r="AQ247" i="22"/>
  <c r="AU247" i="22"/>
  <c r="AO247" i="22"/>
  <c r="AB245" i="22"/>
  <c r="AN245" i="22" s="1"/>
  <c r="AF245" i="22"/>
  <c r="AR245" i="22" s="1"/>
  <c r="AJ245" i="22"/>
  <c r="AA245" i="22"/>
  <c r="AE245" i="22"/>
  <c r="AI245" i="22"/>
  <c r="AC245" i="22"/>
  <c r="AN239" i="22"/>
  <c r="AR239" i="22"/>
  <c r="AV239" i="22"/>
  <c r="AM239" i="22"/>
  <c r="AQ239" i="22"/>
  <c r="AU239" i="22"/>
  <c r="AS239" i="22"/>
  <c r="AT239" i="22"/>
  <c r="AO239" i="22"/>
  <c r="AP239" i="22"/>
  <c r="AX239" i="22"/>
  <c r="AW239" i="22"/>
  <c r="AN235" i="22"/>
  <c r="AR235" i="22"/>
  <c r="AV235" i="22"/>
  <c r="AM235" i="22"/>
  <c r="AQ235" i="22"/>
  <c r="AU235" i="22"/>
  <c r="AS235" i="22"/>
  <c r="AT235" i="22"/>
  <c r="AO235" i="22"/>
  <c r="AP235" i="22"/>
  <c r="AX235" i="22"/>
  <c r="AW235" i="22"/>
  <c r="AN231" i="22"/>
  <c r="AR231" i="22"/>
  <c r="AV231" i="22"/>
  <c r="AM231" i="22"/>
  <c r="AQ231" i="22"/>
  <c r="AU231" i="22"/>
  <c r="AS231" i="22"/>
  <c r="AT231" i="22"/>
  <c r="AO231" i="22"/>
  <c r="AP231" i="22"/>
  <c r="AX231" i="22"/>
  <c r="AW231" i="22"/>
  <c r="AN227" i="22"/>
  <c r="AR227" i="22"/>
  <c r="AV227" i="22"/>
  <c r="AM227" i="22"/>
  <c r="AQ227" i="22"/>
  <c r="AU227" i="22"/>
  <c r="AS227" i="22"/>
  <c r="AT227" i="22"/>
  <c r="AO227" i="22"/>
  <c r="AP227" i="22"/>
  <c r="AX227" i="22"/>
  <c r="AW227" i="22"/>
  <c r="AN215" i="22"/>
  <c r="AR215" i="22"/>
  <c r="AV215" i="22"/>
  <c r="AM215" i="22"/>
  <c r="AQ215" i="22"/>
  <c r="AU215" i="22"/>
  <c r="AS215" i="22"/>
  <c r="AT215" i="22"/>
  <c r="AW215" i="22"/>
  <c r="AP215" i="22"/>
  <c r="AX215" i="22"/>
  <c r="AO215" i="22"/>
  <c r="AN211" i="22"/>
  <c r="AR211" i="22"/>
  <c r="AV211" i="22"/>
  <c r="AM211" i="22"/>
  <c r="AQ211" i="22"/>
  <c r="AU211" i="22"/>
  <c r="AS211" i="22"/>
  <c r="AT211" i="22"/>
  <c r="AW211" i="22"/>
  <c r="AP211" i="22"/>
  <c r="AX211" i="22"/>
  <c r="AO211" i="22"/>
  <c r="AN207" i="22"/>
  <c r="AR207" i="22"/>
  <c r="AV207" i="22"/>
  <c r="AM207" i="22"/>
  <c r="AQ207" i="22"/>
  <c r="AU207" i="22"/>
  <c r="AS207" i="22"/>
  <c r="AT207" i="22"/>
  <c r="AW207" i="22"/>
  <c r="AP207" i="22"/>
  <c r="AX207" i="22"/>
  <c r="AO207" i="22"/>
  <c r="AN203" i="22"/>
  <c r="AR203" i="22"/>
  <c r="AV203" i="22"/>
  <c r="AM203" i="22"/>
  <c r="AQ203" i="22"/>
  <c r="AU203" i="22"/>
  <c r="AS203" i="22"/>
  <c r="AO203" i="22"/>
  <c r="AP203" i="22"/>
  <c r="AX203" i="22"/>
  <c r="AT203" i="22"/>
  <c r="AW203" i="22"/>
  <c r="AP199" i="22"/>
  <c r="AT199" i="22"/>
  <c r="AX199" i="22"/>
  <c r="AO199" i="22"/>
  <c r="AS199" i="22"/>
  <c r="AW199" i="22"/>
  <c r="AQ199" i="22"/>
  <c r="AN199" i="22"/>
  <c r="AV199" i="22"/>
  <c r="AR199" i="22"/>
  <c r="AU199" i="22"/>
  <c r="AM199" i="22"/>
  <c r="AP195" i="22"/>
  <c r="AT195" i="22"/>
  <c r="AX195" i="22"/>
  <c r="AO195" i="22"/>
  <c r="AS195" i="22"/>
  <c r="AW195" i="22"/>
  <c r="AQ195" i="22"/>
  <c r="AN195" i="22"/>
  <c r="AV195" i="22"/>
  <c r="AR195" i="22"/>
  <c r="AU195" i="22"/>
  <c r="AM195" i="22"/>
  <c r="AP191" i="22"/>
  <c r="AT191" i="22"/>
  <c r="AX191" i="22"/>
  <c r="AO191" i="22"/>
  <c r="AS191" i="22"/>
  <c r="AW191" i="22"/>
  <c r="AQ191" i="22"/>
  <c r="AN191" i="22"/>
  <c r="AV191" i="22"/>
  <c r="AR191" i="22"/>
  <c r="AM191" i="22"/>
  <c r="AU191" i="22"/>
  <c r="AP187" i="22"/>
  <c r="AT187" i="22"/>
  <c r="AX187" i="22"/>
  <c r="AO187" i="22"/>
  <c r="AS187" i="22"/>
  <c r="AW187" i="22"/>
  <c r="AQ187" i="22"/>
  <c r="AN187" i="22"/>
  <c r="AV187" i="22"/>
  <c r="AR187" i="22"/>
  <c r="AU187" i="22"/>
  <c r="AM187" i="22"/>
  <c r="AP183" i="22"/>
  <c r="AT183" i="22"/>
  <c r="AX183" i="22"/>
  <c r="AO183" i="22"/>
  <c r="AS183" i="22"/>
  <c r="AW183" i="22"/>
  <c r="AQ183" i="22"/>
  <c r="AN183" i="22"/>
  <c r="AV183" i="22"/>
  <c r="AR183" i="22"/>
  <c r="AM183" i="22"/>
  <c r="AU183" i="22"/>
  <c r="AP179" i="22"/>
  <c r="AT179" i="22"/>
  <c r="AX179" i="22"/>
  <c r="AO179" i="22"/>
  <c r="AS179" i="22"/>
  <c r="AW179" i="22"/>
  <c r="AQ179" i="22"/>
  <c r="AN179" i="22"/>
  <c r="AV179" i="22"/>
  <c r="AR179" i="22"/>
  <c r="AM179" i="22"/>
  <c r="AU179" i="22"/>
  <c r="AP171" i="22"/>
  <c r="AT171" i="22"/>
  <c r="AX171" i="22"/>
  <c r="AO171" i="22"/>
  <c r="AS171" i="22"/>
  <c r="AW171" i="22"/>
  <c r="AQ171" i="22"/>
  <c r="AN171" i="22"/>
  <c r="AV171" i="22"/>
  <c r="AR171" i="22"/>
  <c r="AM171" i="22"/>
  <c r="AU171" i="22"/>
  <c r="AP167" i="22"/>
  <c r="AT167" i="22"/>
  <c r="AX167" i="22"/>
  <c r="AO167" i="22"/>
  <c r="AS167" i="22"/>
  <c r="AW167" i="22"/>
  <c r="AQ167" i="22"/>
  <c r="AN167" i="22"/>
  <c r="AV167" i="22"/>
  <c r="AR167" i="22"/>
  <c r="AU167" i="22"/>
  <c r="AM167" i="22"/>
  <c r="AO163" i="22"/>
  <c r="AN163" i="22"/>
  <c r="AV163" i="22"/>
  <c r="AR163" i="22"/>
  <c r="AM163" i="22"/>
  <c r="AU163" i="22"/>
  <c r="AP155" i="22"/>
  <c r="AT155" i="22"/>
  <c r="AX155" i="22"/>
  <c r="AO155" i="22"/>
  <c r="AS155" i="22"/>
  <c r="AW155" i="22"/>
  <c r="AQ155" i="22"/>
  <c r="AN155" i="22"/>
  <c r="AV155" i="22"/>
  <c r="AR155" i="22"/>
  <c r="AU155" i="22"/>
  <c r="AM155" i="22"/>
  <c r="AC147" i="22"/>
  <c r="AE147" i="22"/>
  <c r="AB147" i="22"/>
  <c r="AJ147" i="22"/>
  <c r="AF147" i="22"/>
  <c r="AA147" i="22"/>
  <c r="AI147" i="22"/>
  <c r="AP143" i="22"/>
  <c r="AT143" i="22"/>
  <c r="AX143" i="22"/>
  <c r="AO143" i="22"/>
  <c r="AS143" i="22"/>
  <c r="AW143" i="22"/>
  <c r="AQ143" i="22"/>
  <c r="AN143" i="22"/>
  <c r="AV143" i="22"/>
  <c r="AR143" i="22"/>
  <c r="AM143" i="22"/>
  <c r="AU143" i="22"/>
  <c r="AP139" i="22"/>
  <c r="AT139" i="22"/>
  <c r="AX139" i="22"/>
  <c r="AO139" i="22"/>
  <c r="AS139" i="22"/>
  <c r="AW139" i="22"/>
  <c r="AQ139" i="22"/>
  <c r="AN139" i="22"/>
  <c r="AV139" i="22"/>
  <c r="AR139" i="22"/>
  <c r="AU139" i="22"/>
  <c r="AM139" i="22"/>
  <c r="AP135" i="22"/>
  <c r="AT135" i="22"/>
  <c r="AX135" i="22"/>
  <c r="AO135" i="22"/>
  <c r="AS135" i="22"/>
  <c r="AW135" i="22"/>
  <c r="AQ135" i="22"/>
  <c r="AN135" i="22"/>
  <c r="AV135" i="22"/>
  <c r="AR135" i="22"/>
  <c r="AU135" i="22"/>
  <c r="AM135" i="22"/>
  <c r="AP131" i="22"/>
  <c r="AT131" i="22"/>
  <c r="AX131" i="22"/>
  <c r="AO131" i="22"/>
  <c r="AS131" i="22"/>
  <c r="AW131" i="22"/>
  <c r="AQ131" i="22"/>
  <c r="AN131" i="22"/>
  <c r="AV131" i="22"/>
  <c r="AR131" i="22"/>
  <c r="AU131" i="22"/>
  <c r="AM131" i="22"/>
  <c r="AP127" i="22"/>
  <c r="AT127" i="22"/>
  <c r="AX127" i="22"/>
  <c r="AO127" i="22"/>
  <c r="AS127" i="22"/>
  <c r="AW127" i="22"/>
  <c r="AQ127" i="22"/>
  <c r="AN127" i="22"/>
  <c r="AV127" i="22"/>
  <c r="AR127" i="22"/>
  <c r="AM127" i="22"/>
  <c r="AU127" i="22"/>
  <c r="AT123" i="22"/>
  <c r="AX123" i="22"/>
  <c r="AO123" i="22"/>
  <c r="AS123" i="22"/>
  <c r="AN123" i="22"/>
  <c r="AR123" i="22"/>
  <c r="AP119" i="22"/>
  <c r="AT119" i="22"/>
  <c r="AX119" i="22"/>
  <c r="AO119" i="22"/>
  <c r="AS119" i="22"/>
  <c r="AW119" i="22"/>
  <c r="AQ119" i="22"/>
  <c r="AN119" i="22"/>
  <c r="AV119" i="22"/>
  <c r="AR119" i="22"/>
  <c r="AM119" i="22"/>
  <c r="AU119" i="22"/>
  <c r="AF116" i="22"/>
  <c r="AG116" i="22"/>
  <c r="AC116" i="22"/>
  <c r="AM111" i="22"/>
  <c r="AQ111" i="22"/>
  <c r="AU111" i="22"/>
  <c r="AR111" i="22"/>
  <c r="AW111" i="22"/>
  <c r="AP111" i="22"/>
  <c r="AV111" i="22"/>
  <c r="AN111" i="22"/>
  <c r="AX111" i="22"/>
  <c r="AT111" i="22"/>
  <c r="AO111" i="22"/>
  <c r="AS111" i="22"/>
  <c r="AF164" i="22"/>
  <c r="AN103" i="22"/>
  <c r="AR103" i="22"/>
  <c r="AV103" i="22"/>
  <c r="AM103" i="22"/>
  <c r="AQ103" i="22"/>
  <c r="AU103" i="22"/>
  <c r="AS103" i="22"/>
  <c r="AP103" i="22"/>
  <c r="AX103" i="22"/>
  <c r="AT103" i="22"/>
  <c r="AO103" i="22"/>
  <c r="AW103" i="22"/>
  <c r="AN99" i="22"/>
  <c r="AR99" i="22"/>
  <c r="AV99" i="22"/>
  <c r="AM99" i="22"/>
  <c r="AQ99" i="22"/>
  <c r="AU99" i="22"/>
  <c r="AS99" i="22"/>
  <c r="AP99" i="22"/>
  <c r="AX99" i="22"/>
  <c r="AT99" i="22"/>
  <c r="AO99" i="22"/>
  <c r="AW99" i="22"/>
  <c r="AF97" i="22"/>
  <c r="AN91" i="22"/>
  <c r="AR91" i="22"/>
  <c r="AV91" i="22"/>
  <c r="AM91" i="22"/>
  <c r="AQ91" i="22"/>
  <c r="AU91" i="22"/>
  <c r="AS91" i="22"/>
  <c r="AP91" i="22"/>
  <c r="AX91" i="22"/>
  <c r="AT91" i="22"/>
  <c r="AO91" i="22"/>
  <c r="AW91" i="22"/>
  <c r="AN87" i="22"/>
  <c r="AR87" i="22"/>
  <c r="AV87" i="22"/>
  <c r="AM87" i="22"/>
  <c r="AQ87" i="22"/>
  <c r="AU87" i="22"/>
  <c r="AO87" i="22"/>
  <c r="AW87" i="22"/>
  <c r="AT87" i="22"/>
  <c r="AP87" i="22"/>
  <c r="AX87" i="22"/>
  <c r="AS87" i="22"/>
  <c r="AN83" i="22"/>
  <c r="AR83" i="22"/>
  <c r="AV83" i="22"/>
  <c r="AM83" i="22"/>
  <c r="AQ83" i="22"/>
  <c r="AU83" i="22"/>
  <c r="AO83" i="22"/>
  <c r="AW83" i="22"/>
  <c r="AT83" i="22"/>
  <c r="AP83" i="22"/>
  <c r="AS83" i="22"/>
  <c r="AX83" i="22"/>
  <c r="AF76" i="22"/>
  <c r="AC76" i="22"/>
  <c r="AG76" i="22"/>
  <c r="AN71" i="22"/>
  <c r="AR71" i="22"/>
  <c r="AV71" i="22"/>
  <c r="AM71" i="22"/>
  <c r="AQ71" i="22"/>
  <c r="AU71" i="22"/>
  <c r="AO71" i="22"/>
  <c r="AW71" i="22"/>
  <c r="AT71" i="22"/>
  <c r="AP71" i="22"/>
  <c r="AX71" i="22"/>
  <c r="AS71" i="22"/>
  <c r="AN67" i="22"/>
  <c r="AR67" i="22"/>
  <c r="AV67" i="22"/>
  <c r="AM67" i="22"/>
  <c r="AQ67" i="22"/>
  <c r="AU67" i="22"/>
  <c r="AO67" i="22"/>
  <c r="AW67" i="22"/>
  <c r="AT67" i="22"/>
  <c r="AP67" i="22"/>
  <c r="AS67" i="22"/>
  <c r="AX67" i="22"/>
  <c r="AN63" i="22"/>
  <c r="AR63" i="22"/>
  <c r="AV63" i="22"/>
  <c r="AM63" i="22"/>
  <c r="AQ63" i="22"/>
  <c r="AU63" i="22"/>
  <c r="AO63" i="22"/>
  <c r="AW63" i="22"/>
  <c r="AT63" i="22"/>
  <c r="AP63" i="22"/>
  <c r="AX63" i="22"/>
  <c r="AS63" i="22"/>
  <c r="AN59" i="22"/>
  <c r="AR59" i="22"/>
  <c r="AV59" i="22"/>
  <c r="AM59" i="22"/>
  <c r="AQ59" i="22"/>
  <c r="AU59" i="22"/>
  <c r="AO59" i="22"/>
  <c r="AW59" i="22"/>
  <c r="AT59" i="22"/>
  <c r="AP59" i="22"/>
  <c r="AS59" i="22"/>
  <c r="AX59" i="22"/>
  <c r="AF52" i="22"/>
  <c r="AC52" i="22"/>
  <c r="AG52" i="22"/>
  <c r="AN47" i="22"/>
  <c r="AR47" i="22"/>
  <c r="AV47" i="22"/>
  <c r="AM47" i="22"/>
  <c r="AQ47" i="22"/>
  <c r="AU47" i="22"/>
  <c r="AO47" i="22"/>
  <c r="AW47" i="22"/>
  <c r="AT47" i="22"/>
  <c r="AP47" i="22"/>
  <c r="AX47" i="22"/>
  <c r="AS47" i="22"/>
  <c r="AO43" i="22"/>
  <c r="AS43" i="22"/>
  <c r="AW43" i="22"/>
  <c r="AN43" i="22"/>
  <c r="AR43" i="22"/>
  <c r="AV43" i="22"/>
  <c r="AT43" i="22"/>
  <c r="AQ43" i="22"/>
  <c r="AU43" i="22"/>
  <c r="AP43" i="22"/>
  <c r="AX43" i="22"/>
  <c r="AM43" i="22"/>
  <c r="AO39" i="22"/>
  <c r="AS39" i="22"/>
  <c r="AW39" i="22"/>
  <c r="AN39" i="22"/>
  <c r="AR39" i="22"/>
  <c r="AV39" i="22"/>
  <c r="AT39" i="22"/>
  <c r="AQ39" i="22"/>
  <c r="AU39" i="22"/>
  <c r="AP39" i="22"/>
  <c r="AX39" i="22"/>
  <c r="AM39" i="22"/>
  <c r="AC36" i="22"/>
  <c r="AG36" i="22"/>
  <c r="AF36" i="22"/>
  <c r="AM23" i="22"/>
  <c r="AQ23" i="22"/>
  <c r="AU23" i="22"/>
  <c r="AP23" i="22"/>
  <c r="AT23" i="22"/>
  <c r="AX23" i="22"/>
  <c r="AR23" i="22"/>
  <c r="AO23" i="22"/>
  <c r="AW23" i="22"/>
  <c r="AV23" i="22"/>
  <c r="AN23" i="22"/>
  <c r="AS23" i="22"/>
  <c r="AC20" i="22"/>
  <c r="AK20" i="22"/>
  <c r="AC12" i="22"/>
  <c r="AK12" i="22"/>
  <c r="AB12" i="22"/>
  <c r="AM7" i="22"/>
  <c r="AQ7" i="22"/>
  <c r="AU7" i="22"/>
  <c r="AP7" i="22"/>
  <c r="AT7" i="22"/>
  <c r="AX7" i="22"/>
  <c r="AR7" i="22"/>
  <c r="AO7" i="22"/>
  <c r="AW7" i="22"/>
  <c r="AV7" i="22"/>
  <c r="AN7" i="22"/>
  <c r="AS7" i="22"/>
  <c r="AM322" i="22"/>
  <c r="AQ322" i="22"/>
  <c r="AU322" i="22"/>
  <c r="AN322" i="22"/>
  <c r="AV322" i="22"/>
  <c r="AP322" i="22"/>
  <c r="AT322" i="22"/>
  <c r="AX322" i="22"/>
  <c r="AR322" i="22"/>
  <c r="AO322" i="22"/>
  <c r="AS322" i="22"/>
  <c r="AW322" i="22"/>
  <c r="AM314" i="22"/>
  <c r="AQ314" i="22"/>
  <c r="AU314" i="22"/>
  <c r="AR314" i="22"/>
  <c r="AP314" i="22"/>
  <c r="AT314" i="22"/>
  <c r="AX314" i="22"/>
  <c r="AN314" i="22"/>
  <c r="AV314" i="22"/>
  <c r="AW314" i="22"/>
  <c r="AO314" i="22"/>
  <c r="AS314" i="22"/>
  <c r="AM306" i="22"/>
  <c r="AQ306" i="22"/>
  <c r="AU306" i="22"/>
  <c r="AR306" i="22"/>
  <c r="AP306" i="22"/>
  <c r="AT306" i="22"/>
  <c r="AX306" i="22"/>
  <c r="AN306" i="22"/>
  <c r="AV306" i="22"/>
  <c r="AW306" i="22"/>
  <c r="AO306" i="22"/>
  <c r="AS306" i="22"/>
  <c r="AM298" i="22"/>
  <c r="AQ298" i="22"/>
  <c r="AU298" i="22"/>
  <c r="AN298" i="22"/>
  <c r="AV298" i="22"/>
  <c r="AP298" i="22"/>
  <c r="AT298" i="22"/>
  <c r="AX298" i="22"/>
  <c r="AR298" i="22"/>
  <c r="AW298" i="22"/>
  <c r="AO298" i="22"/>
  <c r="AS298" i="22"/>
  <c r="AM282" i="22"/>
  <c r="AQ282" i="22"/>
  <c r="AU282" i="22"/>
  <c r="AR282" i="22"/>
  <c r="AP282" i="22"/>
  <c r="AT282" i="22"/>
  <c r="AX282" i="22"/>
  <c r="AN282" i="22"/>
  <c r="AV282" i="22"/>
  <c r="AW282" i="22"/>
  <c r="AO282" i="22"/>
  <c r="AS282" i="22"/>
  <c r="AM258" i="22"/>
  <c r="AQ258" i="22"/>
  <c r="AU258" i="22"/>
  <c r="AV258" i="22"/>
  <c r="AS258" i="22"/>
  <c r="AP258" i="22"/>
  <c r="AT258" i="22"/>
  <c r="AX258" i="22"/>
  <c r="AN258" i="22"/>
  <c r="AR258" i="22"/>
  <c r="AO258" i="22"/>
  <c r="AW258" i="22"/>
  <c r="AN234" i="22"/>
  <c r="AR234" i="22"/>
  <c r="AV234" i="22"/>
  <c r="AM234" i="22"/>
  <c r="AQ234" i="22"/>
  <c r="AU234" i="22"/>
  <c r="AO234" i="22"/>
  <c r="AW234" i="22"/>
  <c r="AT234" i="22"/>
  <c r="AP234" i="22"/>
  <c r="AX234" i="22"/>
  <c r="AS234" i="22"/>
  <c r="AN226" i="22"/>
  <c r="AR226" i="22"/>
  <c r="AV226" i="22"/>
  <c r="AM226" i="22"/>
  <c r="AQ226" i="22"/>
  <c r="AU226" i="22"/>
  <c r="AO226" i="22"/>
  <c r="AW226" i="22"/>
  <c r="AP226" i="22"/>
  <c r="AT226" i="22"/>
  <c r="AX226" i="22"/>
  <c r="AS226" i="22"/>
  <c r="AJ9" i="22"/>
  <c r="AP198" i="22"/>
  <c r="AT198" i="22"/>
  <c r="AX198" i="22"/>
  <c r="AO198" i="22"/>
  <c r="AS198" i="22"/>
  <c r="AW198" i="22"/>
  <c r="AM198" i="22"/>
  <c r="AU198" i="22"/>
  <c r="AR198" i="22"/>
  <c r="AN198" i="22"/>
  <c r="AQ198" i="22"/>
  <c r="AV198" i="22"/>
  <c r="AP190" i="22"/>
  <c r="AT190" i="22"/>
  <c r="AX190" i="22"/>
  <c r="AO190" i="22"/>
  <c r="AS190" i="22"/>
  <c r="AW190" i="22"/>
  <c r="AM190" i="22"/>
  <c r="AU190" i="22"/>
  <c r="AR190" i="22"/>
  <c r="AN190" i="22"/>
  <c r="AQ190" i="22"/>
  <c r="AV190" i="22"/>
  <c r="AP182" i="22"/>
  <c r="AT182" i="22"/>
  <c r="AX182" i="22"/>
  <c r="AO182" i="22"/>
  <c r="AS182" i="22"/>
  <c r="AW182" i="22"/>
  <c r="AM182" i="22"/>
  <c r="AU182" i="22"/>
  <c r="AR182" i="22"/>
  <c r="AN182" i="22"/>
  <c r="AQ182" i="22"/>
  <c r="AV182" i="22"/>
  <c r="AP174" i="22"/>
  <c r="AT174" i="22"/>
  <c r="AX174" i="22"/>
  <c r="AO174" i="22"/>
  <c r="AS174" i="22"/>
  <c r="AW174" i="22"/>
  <c r="AM174" i="22"/>
  <c r="AU174" i="22"/>
  <c r="AR174" i="22"/>
  <c r="AN174" i="22"/>
  <c r="AQ174" i="22"/>
  <c r="AV174" i="22"/>
  <c r="AP166" i="22"/>
  <c r="AT166" i="22"/>
  <c r="AX166" i="22"/>
  <c r="AO166" i="22"/>
  <c r="AS166" i="22"/>
  <c r="AW166" i="22"/>
  <c r="AM166" i="22"/>
  <c r="AU166" i="22"/>
  <c r="AR166" i="22"/>
  <c r="AN166" i="22"/>
  <c r="AQ166" i="22"/>
  <c r="AV166" i="22"/>
  <c r="AP150" i="22"/>
  <c r="AT150" i="22"/>
  <c r="AX150" i="22"/>
  <c r="AO150" i="22"/>
  <c r="AS150" i="22"/>
  <c r="AW150" i="22"/>
  <c r="AM150" i="22"/>
  <c r="AU150" i="22"/>
  <c r="AR150" i="22"/>
  <c r="AN150" i="22"/>
  <c r="AQ150" i="22"/>
  <c r="AV150" i="22"/>
  <c r="AP142" i="22"/>
  <c r="AT142" i="22"/>
  <c r="AX142" i="22"/>
  <c r="AO142" i="22"/>
  <c r="AS142" i="22"/>
  <c r="AW142" i="22"/>
  <c r="AM142" i="22"/>
  <c r="AU142" i="22"/>
  <c r="AR142" i="22"/>
  <c r="AN142" i="22"/>
  <c r="AQ142" i="22"/>
  <c r="AV142" i="22"/>
  <c r="AP134" i="22"/>
  <c r="AT134" i="22"/>
  <c r="AX134" i="22"/>
  <c r="AO134" i="22"/>
  <c r="AS134" i="22"/>
  <c r="AW134" i="22"/>
  <c r="AM134" i="22"/>
  <c r="AU134" i="22"/>
  <c r="AR134" i="22"/>
  <c r="AN134" i="22"/>
  <c r="AQ134" i="22"/>
  <c r="AV134" i="22"/>
  <c r="AP118" i="22"/>
  <c r="AT118" i="22"/>
  <c r="AX118" i="22"/>
  <c r="AO118" i="22"/>
  <c r="AS118" i="22"/>
  <c r="AW118" i="22"/>
  <c r="AM118" i="22"/>
  <c r="AU118" i="22"/>
  <c r="AR118" i="22"/>
  <c r="AN118" i="22"/>
  <c r="AQ118" i="22"/>
  <c r="AV118" i="22"/>
  <c r="AM110" i="22"/>
  <c r="AQ110" i="22"/>
  <c r="AU110" i="22"/>
  <c r="AN110" i="22"/>
  <c r="AS110" i="22"/>
  <c r="AX110" i="22"/>
  <c r="AR110" i="22"/>
  <c r="AW110" i="22"/>
  <c r="AO110" i="22"/>
  <c r="AV110" i="22"/>
  <c r="AP110" i="22"/>
  <c r="AT110" i="22"/>
  <c r="AN102" i="22"/>
  <c r="AR102" i="22"/>
  <c r="AV102" i="22"/>
  <c r="AM102" i="22"/>
  <c r="AQ102" i="22"/>
  <c r="AU102" i="22"/>
  <c r="AO102" i="22"/>
  <c r="AW102" i="22"/>
  <c r="AT102" i="22"/>
  <c r="AP102" i="22"/>
  <c r="AX102" i="22"/>
  <c r="AS102" i="22"/>
  <c r="AN94" i="22"/>
  <c r="AR94" i="22"/>
  <c r="AV94" i="22"/>
  <c r="AM94" i="22"/>
  <c r="AQ94" i="22"/>
  <c r="AU94" i="22"/>
  <c r="AO94" i="22"/>
  <c r="AW94" i="22"/>
  <c r="AT94" i="22"/>
  <c r="AP94" i="22"/>
  <c r="AX94" i="22"/>
  <c r="AS94" i="22"/>
  <c r="AN86" i="22"/>
  <c r="AR86" i="22"/>
  <c r="AV86" i="22"/>
  <c r="AM86" i="22"/>
  <c r="AQ86" i="22"/>
  <c r="AU86" i="22"/>
  <c r="AS86" i="22"/>
  <c r="AP86" i="22"/>
  <c r="AX86" i="22"/>
  <c r="AW86" i="22"/>
  <c r="AO86" i="22"/>
  <c r="AT86" i="22"/>
  <c r="AN78" i="22"/>
  <c r="AR78" i="22"/>
  <c r="AV78" i="22"/>
  <c r="AM78" i="22"/>
  <c r="AQ78" i="22"/>
  <c r="AU78" i="22"/>
  <c r="AS78" i="22"/>
  <c r="AP78" i="22"/>
  <c r="AX78" i="22"/>
  <c r="AW78" i="22"/>
  <c r="AO78" i="22"/>
  <c r="AT78" i="22"/>
  <c r="AN70" i="22"/>
  <c r="AR70" i="22"/>
  <c r="AV70" i="22"/>
  <c r="AM70" i="22"/>
  <c r="AQ70" i="22"/>
  <c r="AU70" i="22"/>
  <c r="AS70" i="22"/>
  <c r="AP70" i="22"/>
  <c r="AX70" i="22"/>
  <c r="AW70" i="22"/>
  <c r="AO70" i="22"/>
  <c r="AT70" i="22"/>
  <c r="AN62" i="22"/>
  <c r="AR62" i="22"/>
  <c r="AV62" i="22"/>
  <c r="AM62" i="22"/>
  <c r="AQ62" i="22"/>
  <c r="AU62" i="22"/>
  <c r="AS62" i="22"/>
  <c r="AP62" i="22"/>
  <c r="AX62" i="22"/>
  <c r="AW62" i="22"/>
  <c r="AO62" i="22"/>
  <c r="AT62" i="22"/>
  <c r="AC55" i="22"/>
  <c r="AO46" i="22"/>
  <c r="AS46" i="22"/>
  <c r="AN46" i="22"/>
  <c r="AR46" i="22"/>
  <c r="AP46" i="22"/>
  <c r="AV46" i="22"/>
  <c r="AM46" i="22"/>
  <c r="AU46" i="22"/>
  <c r="AQ46" i="22"/>
  <c r="AX46" i="22"/>
  <c r="AW46" i="22"/>
  <c r="AT46" i="22"/>
  <c r="AO38" i="22"/>
  <c r="AS38" i="22"/>
  <c r="AW38" i="22"/>
  <c r="AN38" i="22"/>
  <c r="AR38" i="22"/>
  <c r="AV38" i="22"/>
  <c r="AP38" i="22"/>
  <c r="AX38" i="22"/>
  <c r="AM38" i="22"/>
  <c r="AU38" i="22"/>
  <c r="AQ38" i="22"/>
  <c r="AT38" i="22"/>
  <c r="AM30" i="22"/>
  <c r="AQ30" i="22"/>
  <c r="AU30" i="22"/>
  <c r="AP30" i="22"/>
  <c r="AT30" i="22"/>
  <c r="AX30" i="22"/>
  <c r="AN30" i="22"/>
  <c r="AV30" i="22"/>
  <c r="AS30" i="22"/>
  <c r="AW30" i="22"/>
  <c r="AR30" i="22"/>
  <c r="AO30" i="22"/>
  <c r="AM22" i="22"/>
  <c r="AQ22" i="22"/>
  <c r="AU22" i="22"/>
  <c r="AP22" i="22"/>
  <c r="AT22" i="22"/>
  <c r="AX22" i="22"/>
  <c r="AN22" i="22"/>
  <c r="AV22" i="22"/>
  <c r="AS22" i="22"/>
  <c r="AW22" i="22"/>
  <c r="AR22" i="22"/>
  <c r="AO22" i="22"/>
  <c r="AM6" i="22"/>
  <c r="AQ6" i="22"/>
  <c r="AU6" i="22"/>
  <c r="AP6" i="22"/>
  <c r="AT6" i="22"/>
  <c r="AX6" i="22"/>
  <c r="AN6" i="22"/>
  <c r="AV6" i="22"/>
  <c r="AS6" i="22"/>
  <c r="AW6" i="22"/>
  <c r="AR6" i="22"/>
  <c r="AO6" i="22"/>
  <c r="AM317" i="22"/>
  <c r="AQ317" i="22"/>
  <c r="AU317" i="22"/>
  <c r="AN317" i="22"/>
  <c r="AV317" i="22"/>
  <c r="AP317" i="22"/>
  <c r="AT317" i="22"/>
  <c r="AX317" i="22"/>
  <c r="AR317" i="22"/>
  <c r="AS317" i="22"/>
  <c r="AW317" i="22"/>
  <c r="AO317" i="22"/>
  <c r="AM313" i="22"/>
  <c r="AQ313" i="22"/>
  <c r="AU313" i="22"/>
  <c r="AN313" i="22"/>
  <c r="AV313" i="22"/>
  <c r="AP313" i="22"/>
  <c r="AT313" i="22"/>
  <c r="AX313" i="22"/>
  <c r="AR313" i="22"/>
  <c r="AS313" i="22"/>
  <c r="AW313" i="22"/>
  <c r="AO313" i="22"/>
  <c r="AJ244" i="22"/>
  <c r="AM289" i="22"/>
  <c r="AQ289" i="22"/>
  <c r="AU289" i="22"/>
  <c r="AN289" i="22"/>
  <c r="AV289" i="22"/>
  <c r="AP289" i="22"/>
  <c r="AT289" i="22"/>
  <c r="AX289" i="22"/>
  <c r="AR289" i="22"/>
  <c r="AS289" i="22"/>
  <c r="AW289" i="22"/>
  <c r="AO289" i="22"/>
  <c r="AM281" i="22"/>
  <c r="AQ281" i="22"/>
  <c r="AU281" i="22"/>
  <c r="AN281" i="22"/>
  <c r="AV281" i="22"/>
  <c r="AP281" i="22"/>
  <c r="AT281" i="22"/>
  <c r="AX281" i="22"/>
  <c r="AR281" i="22"/>
  <c r="AS281" i="22"/>
  <c r="AW281" i="22"/>
  <c r="AO281" i="22"/>
  <c r="AV273" i="22"/>
  <c r="AN257" i="22"/>
  <c r="AR257" i="22"/>
  <c r="AV257" i="22"/>
  <c r="AM257" i="22"/>
  <c r="AQ257" i="22"/>
  <c r="AU257" i="22"/>
  <c r="AS257" i="22"/>
  <c r="AT257" i="22"/>
  <c r="AW257" i="22"/>
  <c r="AP257" i="22"/>
  <c r="AX257" i="22"/>
  <c r="AO257" i="22"/>
  <c r="AB269" i="22"/>
  <c r="AC269" i="22"/>
  <c r="AB242" i="22"/>
  <c r="AJ242" i="22"/>
  <c r="AC242" i="22"/>
  <c r="AN233" i="22"/>
  <c r="AR233" i="22"/>
  <c r="AV233" i="22"/>
  <c r="AM233" i="22"/>
  <c r="AQ233" i="22"/>
  <c r="AU233" i="22"/>
  <c r="AS233" i="22"/>
  <c r="AT233" i="22"/>
  <c r="AW233" i="22"/>
  <c r="AP233" i="22"/>
  <c r="AX233" i="22"/>
  <c r="AO233" i="22"/>
  <c r="AN217" i="22"/>
  <c r="AR217" i="22"/>
  <c r="AV217" i="22"/>
  <c r="AM217" i="22"/>
  <c r="AQ217" i="22"/>
  <c r="AU217" i="22"/>
  <c r="AS217" i="22"/>
  <c r="AT217" i="22"/>
  <c r="AO217" i="22"/>
  <c r="AP217" i="22"/>
  <c r="AX217" i="22"/>
  <c r="AW217" i="22"/>
  <c r="AB210" i="22"/>
  <c r="AF210" i="22"/>
  <c r="AJ210" i="22"/>
  <c r="AC210" i="22"/>
  <c r="AB132" i="22"/>
  <c r="AP193" i="22"/>
  <c r="AT193" i="22"/>
  <c r="AX193" i="22"/>
  <c r="AO193" i="22"/>
  <c r="AS193" i="22"/>
  <c r="AW193" i="22"/>
  <c r="AQ193" i="22"/>
  <c r="AN193" i="22"/>
  <c r="AV193" i="22"/>
  <c r="AM193" i="22"/>
  <c r="AR193" i="22"/>
  <c r="AU193" i="22"/>
  <c r="AP185" i="22"/>
  <c r="AT185" i="22"/>
  <c r="AX185" i="22"/>
  <c r="AO185" i="22"/>
  <c r="AS185" i="22"/>
  <c r="AW185" i="22"/>
  <c r="AQ185" i="22"/>
  <c r="AN185" i="22"/>
  <c r="AV185" i="22"/>
  <c r="AM185" i="22"/>
  <c r="AR185" i="22"/>
  <c r="AU185" i="22"/>
  <c r="AP177" i="22"/>
  <c r="AT177" i="22"/>
  <c r="AX177" i="22"/>
  <c r="AO177" i="22"/>
  <c r="AS177" i="22"/>
  <c r="AW177" i="22"/>
  <c r="AQ177" i="22"/>
  <c r="AN177" i="22"/>
  <c r="AV177" i="22"/>
  <c r="AU177" i="22"/>
  <c r="AM177" i="22"/>
  <c r="AR177" i="22"/>
  <c r="AP169" i="22"/>
  <c r="AT169" i="22"/>
  <c r="AX169" i="22"/>
  <c r="AO169" i="22"/>
  <c r="AS169" i="22"/>
  <c r="AW169" i="22"/>
  <c r="AQ169" i="22"/>
  <c r="AN169" i="22"/>
  <c r="AV169" i="22"/>
  <c r="AU169" i="22"/>
  <c r="AM169" i="22"/>
  <c r="AR169" i="22"/>
  <c r="AC172" i="22"/>
  <c r="AP153" i="22"/>
  <c r="AT153" i="22"/>
  <c r="AX153" i="22"/>
  <c r="AO153" i="22"/>
  <c r="AS153" i="22"/>
  <c r="AW153" i="22"/>
  <c r="AQ153" i="22"/>
  <c r="AN153" i="22"/>
  <c r="AV153" i="22"/>
  <c r="AM153" i="22"/>
  <c r="AU153" i="22"/>
  <c r="AR153" i="22"/>
  <c r="AP145" i="22"/>
  <c r="AT145" i="22"/>
  <c r="AX145" i="22"/>
  <c r="AO145" i="22"/>
  <c r="AS145" i="22"/>
  <c r="AW145" i="22"/>
  <c r="AQ145" i="22"/>
  <c r="AN145" i="22"/>
  <c r="AV145" i="22"/>
  <c r="AM145" i="22"/>
  <c r="AR145" i="22"/>
  <c r="AU145" i="22"/>
  <c r="AB266" i="22"/>
  <c r="AH126" i="22"/>
  <c r="AN109" i="22"/>
  <c r="AR109" i="22"/>
  <c r="AV109" i="22"/>
  <c r="AM109" i="22"/>
  <c r="AQ109" i="22"/>
  <c r="AU109" i="22"/>
  <c r="AS109" i="22"/>
  <c r="AP109" i="22"/>
  <c r="AX109" i="22"/>
  <c r="AW109" i="22"/>
  <c r="AO109" i="22"/>
  <c r="AT109" i="22"/>
  <c r="AN93" i="22"/>
  <c r="AR93" i="22"/>
  <c r="AV93" i="22"/>
  <c r="AM93" i="22"/>
  <c r="AQ93" i="22"/>
  <c r="AU93" i="22"/>
  <c r="AS93" i="22"/>
  <c r="AP93" i="22"/>
  <c r="AX93" i="22"/>
  <c r="AW93" i="22"/>
  <c r="AO93" i="22"/>
  <c r="AT93" i="22"/>
  <c r="AN85" i="22"/>
  <c r="AR85" i="22"/>
  <c r="AV85" i="22"/>
  <c r="AM85" i="22"/>
  <c r="AQ85" i="22"/>
  <c r="AU85" i="22"/>
  <c r="AO85" i="22"/>
  <c r="AW85" i="22"/>
  <c r="AT85" i="22"/>
  <c r="AX85" i="22"/>
  <c r="AS85" i="22"/>
  <c r="AP85" i="22"/>
  <c r="AS77" i="22"/>
  <c r="AN69" i="22"/>
  <c r="AR69" i="22"/>
  <c r="AV69" i="22"/>
  <c r="AM69" i="22"/>
  <c r="AQ69" i="22"/>
  <c r="AU69" i="22"/>
  <c r="AO69" i="22"/>
  <c r="AW69" i="22"/>
  <c r="AT69" i="22"/>
  <c r="AX69" i="22"/>
  <c r="AS69" i="22"/>
  <c r="AP69" i="22"/>
  <c r="AN61" i="22"/>
  <c r="AR61" i="22"/>
  <c r="AV61" i="22"/>
  <c r="AM61" i="22"/>
  <c r="AQ61" i="22"/>
  <c r="AU61" i="22"/>
  <c r="AO61" i="22"/>
  <c r="AW61" i="22"/>
  <c r="AT61" i="22"/>
  <c r="AX61" i="22"/>
  <c r="AS61" i="22"/>
  <c r="AP61" i="22"/>
  <c r="AG54" i="22"/>
  <c r="AO45" i="22"/>
  <c r="AS45" i="22"/>
  <c r="AW45" i="22"/>
  <c r="AN45" i="22"/>
  <c r="AR45" i="22"/>
  <c r="AV45" i="22"/>
  <c r="AT45" i="22"/>
  <c r="AQ45" i="22"/>
  <c r="AM45" i="22"/>
  <c r="AX45" i="22"/>
  <c r="AP45" i="22"/>
  <c r="AU45" i="22"/>
  <c r="AO37" i="22"/>
  <c r="AS37" i="22"/>
  <c r="AW37" i="22"/>
  <c r="AN37" i="22"/>
  <c r="AR37" i="22"/>
  <c r="AV37" i="22"/>
  <c r="AT37" i="22"/>
  <c r="AQ37" i="22"/>
  <c r="AM37" i="22"/>
  <c r="AX37" i="22"/>
  <c r="AP37" i="22"/>
  <c r="AU37" i="22"/>
  <c r="AO33" i="22"/>
  <c r="AS33" i="22"/>
  <c r="AW33" i="22"/>
  <c r="AN33" i="22"/>
  <c r="AR33" i="22"/>
  <c r="AV33" i="22"/>
  <c r="AT33" i="22"/>
  <c r="AQ33" i="22"/>
  <c r="AM33" i="22"/>
  <c r="AX33" i="22"/>
  <c r="AU33" i="22"/>
  <c r="AP33" i="22"/>
  <c r="AG254" i="22"/>
  <c r="AG18" i="22"/>
  <c r="AK10" i="22"/>
  <c r="AR4" i="22"/>
  <c r="AM320" i="22"/>
  <c r="AQ320" i="22"/>
  <c r="AU320" i="22"/>
  <c r="AR320" i="22"/>
  <c r="AP320" i="22"/>
  <c r="AT320" i="22"/>
  <c r="AX320" i="22"/>
  <c r="AN320" i="22"/>
  <c r="AV320" i="22"/>
  <c r="AS320" i="22"/>
  <c r="AW320" i="22"/>
  <c r="AO320" i="22"/>
  <c r="AM312" i="22"/>
  <c r="AQ312" i="22"/>
  <c r="AU312" i="22"/>
  <c r="AR312" i="22"/>
  <c r="AP312" i="22"/>
  <c r="AT312" i="22"/>
  <c r="AX312" i="22"/>
  <c r="AN312" i="22"/>
  <c r="AV312" i="22"/>
  <c r="AO312" i="22"/>
  <c r="AS312" i="22"/>
  <c r="AW312" i="22"/>
  <c r="AM308" i="22"/>
  <c r="AQ308" i="22"/>
  <c r="AU308" i="22"/>
  <c r="AR308" i="22"/>
  <c r="AP308" i="22"/>
  <c r="AT308" i="22"/>
  <c r="AX308" i="22"/>
  <c r="AN308" i="22"/>
  <c r="AV308" i="22"/>
  <c r="AO308" i="22"/>
  <c r="AS308" i="22"/>
  <c r="AW308" i="22"/>
  <c r="AM296" i="22"/>
  <c r="AQ296" i="22"/>
  <c r="AU296" i="22"/>
  <c r="AN296" i="22"/>
  <c r="AV296" i="22"/>
  <c r="AP296" i="22"/>
  <c r="AT296" i="22"/>
  <c r="AX296" i="22"/>
  <c r="AR296" i="22"/>
  <c r="AO296" i="22"/>
  <c r="AS296" i="22"/>
  <c r="AW296" i="22"/>
  <c r="AM292" i="22"/>
  <c r="AQ292" i="22"/>
  <c r="AU292" i="22"/>
  <c r="AN292" i="22"/>
  <c r="AV292" i="22"/>
  <c r="AP292" i="22"/>
  <c r="AT292" i="22"/>
  <c r="AX292" i="22"/>
  <c r="AR292" i="22"/>
  <c r="AO292" i="22"/>
  <c r="AS292" i="22"/>
  <c r="AW292" i="22"/>
  <c r="AA290" i="22"/>
  <c r="AE290" i="22"/>
  <c r="AI290" i="22"/>
  <c r="AF290" i="22"/>
  <c r="AB290" i="22"/>
  <c r="AJ290" i="22"/>
  <c r="AC290" i="22"/>
  <c r="AM284" i="22"/>
  <c r="AQ284" i="22"/>
  <c r="AU284" i="22"/>
  <c r="AR284" i="22"/>
  <c r="AP284" i="22"/>
  <c r="AT284" i="22"/>
  <c r="AX284" i="22"/>
  <c r="AN284" i="22"/>
  <c r="AV284" i="22"/>
  <c r="AO284" i="22"/>
  <c r="AS284" i="22"/>
  <c r="AW284" i="22"/>
  <c r="AM280" i="22"/>
  <c r="AQ280" i="22"/>
  <c r="AU280" i="22"/>
  <c r="AR280" i="22"/>
  <c r="AP280" i="22"/>
  <c r="AT280" i="22"/>
  <c r="AX280" i="22"/>
  <c r="AN280" i="22"/>
  <c r="AV280" i="22"/>
  <c r="AO280" i="22"/>
  <c r="AS280" i="22"/>
  <c r="AW280" i="22"/>
  <c r="AA274" i="22"/>
  <c r="AE274" i="22"/>
  <c r="AI274" i="22"/>
  <c r="AF274" i="22"/>
  <c r="AB274" i="22"/>
  <c r="AJ274" i="22"/>
  <c r="AC274" i="22"/>
  <c r="AM272" i="22"/>
  <c r="AQ272" i="22"/>
  <c r="AU272" i="22"/>
  <c r="AR272" i="22"/>
  <c r="AP272" i="22"/>
  <c r="AT272" i="22"/>
  <c r="AX272" i="22"/>
  <c r="AN272" i="22"/>
  <c r="AV272" i="22"/>
  <c r="AO272" i="22"/>
  <c r="AS272" i="22"/>
  <c r="AW272" i="22"/>
  <c r="AM268" i="22"/>
  <c r="AQ268" i="22"/>
  <c r="AU268" i="22"/>
  <c r="AN268" i="22"/>
  <c r="AP268" i="22"/>
  <c r="AT268" i="22"/>
  <c r="AX268" i="22"/>
  <c r="AR268" i="22"/>
  <c r="AV268" i="22"/>
  <c r="AO268" i="22"/>
  <c r="AS268" i="22"/>
  <c r="AW268" i="22"/>
  <c r="AA276" i="22"/>
  <c r="AM276" i="22" s="1"/>
  <c r="AE276" i="22"/>
  <c r="AQ276" i="22" s="1"/>
  <c r="AI276" i="22"/>
  <c r="AU276" i="22" s="1"/>
  <c r="AF276" i="22"/>
  <c r="AR276" i="22" s="1"/>
  <c r="AB276" i="22"/>
  <c r="AJ276" i="22"/>
  <c r="AC276" i="22"/>
  <c r="AB260" i="22"/>
  <c r="AN260" i="22" s="1"/>
  <c r="AF260" i="22"/>
  <c r="AJ260" i="22"/>
  <c r="AA260" i="22"/>
  <c r="AE260" i="22"/>
  <c r="AI260" i="22"/>
  <c r="AC260" i="22"/>
  <c r="AB53" i="22"/>
  <c r="AF53" i="22"/>
  <c r="AJ53" i="22"/>
  <c r="AA53" i="22"/>
  <c r="AE53" i="22"/>
  <c r="AI53" i="22"/>
  <c r="AC53" i="22"/>
  <c r="AB249" i="22"/>
  <c r="AN249" i="22" s="1"/>
  <c r="AF249" i="22"/>
  <c r="AJ249" i="22"/>
  <c r="AV249" i="22" s="1"/>
  <c r="AA249" i="22"/>
  <c r="AE249" i="22"/>
  <c r="AI249" i="22"/>
  <c r="AC249" i="22"/>
  <c r="AE248" i="22"/>
  <c r="AQ248" i="22" s="1"/>
  <c r="AB241" i="22"/>
  <c r="AN241" i="22" s="1"/>
  <c r="AF241" i="22"/>
  <c r="AJ241" i="22"/>
  <c r="AV241" i="22" s="1"/>
  <c r="AA241" i="22"/>
  <c r="AE241" i="22"/>
  <c r="AI241" i="22"/>
  <c r="AC241" i="22"/>
  <c r="AN236" i="22"/>
  <c r="AR236" i="22"/>
  <c r="AV236" i="22"/>
  <c r="AM236" i="22"/>
  <c r="AQ236" i="22"/>
  <c r="AU236" i="22"/>
  <c r="AO236" i="22"/>
  <c r="AW236" i="22"/>
  <c r="AS236" i="22"/>
  <c r="AT236" i="22"/>
  <c r="AP236" i="22"/>
  <c r="AX236" i="22"/>
  <c r="AN232" i="22"/>
  <c r="AR232" i="22"/>
  <c r="AV232" i="22"/>
  <c r="AM232" i="22"/>
  <c r="AQ232" i="22"/>
  <c r="AU232" i="22"/>
  <c r="AO232" i="22"/>
  <c r="AW232" i="22"/>
  <c r="AS232" i="22"/>
  <c r="AT232" i="22"/>
  <c r="AP232" i="22"/>
  <c r="AX232" i="22"/>
  <c r="AN228" i="22"/>
  <c r="AR228" i="22"/>
  <c r="AV228" i="22"/>
  <c r="AM228" i="22"/>
  <c r="AQ228" i="22"/>
  <c r="AU228" i="22"/>
  <c r="AO228" i="22"/>
  <c r="AW228" i="22"/>
  <c r="AS228" i="22"/>
  <c r="AT228" i="22"/>
  <c r="AP228" i="22"/>
  <c r="AX228" i="22"/>
  <c r="AN224" i="22"/>
  <c r="AR224" i="22"/>
  <c r="AV224" i="22"/>
  <c r="AM224" i="22"/>
  <c r="AQ224" i="22"/>
  <c r="AU224" i="22"/>
  <c r="AO224" i="22"/>
  <c r="AW224" i="22"/>
  <c r="AP224" i="22"/>
  <c r="AS224" i="22"/>
  <c r="AT224" i="22"/>
  <c r="AX224" i="22"/>
  <c r="AB95" i="22"/>
  <c r="AF95" i="22"/>
  <c r="AJ95" i="22"/>
  <c r="AA95" i="22"/>
  <c r="AE95" i="22"/>
  <c r="AI95" i="22"/>
  <c r="AC95" i="22"/>
  <c r="AN216" i="22"/>
  <c r="AR216" i="22"/>
  <c r="AV216" i="22"/>
  <c r="AM216" i="22"/>
  <c r="AQ216" i="22"/>
  <c r="AU216" i="22"/>
  <c r="AO216" i="22"/>
  <c r="AW216" i="22"/>
  <c r="AT216" i="22"/>
  <c r="AP216" i="22"/>
  <c r="AX216" i="22"/>
  <c r="AS216" i="22"/>
  <c r="AN208" i="22"/>
  <c r="AV208" i="22"/>
  <c r="AE26" i="22"/>
  <c r="AI26" i="22"/>
  <c r="AO208" i="22"/>
  <c r="AV204" i="22"/>
  <c r="AE206" i="22"/>
  <c r="AQ206" i="22" s="1"/>
  <c r="AU204" i="22"/>
  <c r="AO204" i="22"/>
  <c r="AC201" i="22"/>
  <c r="AO201" i="22" s="1"/>
  <c r="AU200" i="22"/>
  <c r="AE201" i="22"/>
  <c r="AP196" i="22"/>
  <c r="AT196" i="22"/>
  <c r="AX196" i="22"/>
  <c r="AO196" i="22"/>
  <c r="AS196" i="22"/>
  <c r="AW196" i="22"/>
  <c r="AM196" i="22"/>
  <c r="AU196" i="22"/>
  <c r="AR196" i="22"/>
  <c r="AV196" i="22"/>
  <c r="AN196" i="22"/>
  <c r="AQ196" i="22"/>
  <c r="AP192" i="22"/>
  <c r="AT192" i="22"/>
  <c r="AX192" i="22"/>
  <c r="AO192" i="22"/>
  <c r="AS192" i="22"/>
  <c r="AW192" i="22"/>
  <c r="AM192" i="22"/>
  <c r="AU192" i="22"/>
  <c r="AR192" i="22"/>
  <c r="AV192" i="22"/>
  <c r="AQ192" i="22"/>
  <c r="AN192" i="22"/>
  <c r="AP188" i="22"/>
  <c r="AT188" i="22"/>
  <c r="AX188" i="22"/>
  <c r="AO188" i="22"/>
  <c r="AS188" i="22"/>
  <c r="AW188" i="22"/>
  <c r="AM188" i="22"/>
  <c r="AU188" i="22"/>
  <c r="AR188" i="22"/>
  <c r="AV188" i="22"/>
  <c r="AN188" i="22"/>
  <c r="AQ188" i="22"/>
  <c r="AP184" i="22"/>
  <c r="AT184" i="22"/>
  <c r="AX184" i="22"/>
  <c r="AO184" i="22"/>
  <c r="AS184" i="22"/>
  <c r="AW184" i="22"/>
  <c r="AM184" i="22"/>
  <c r="AU184" i="22"/>
  <c r="AR184" i="22"/>
  <c r="AV184" i="22"/>
  <c r="AN184" i="22"/>
  <c r="AQ184" i="22"/>
  <c r="AP180" i="22"/>
  <c r="AT180" i="22"/>
  <c r="AX180" i="22"/>
  <c r="AO180" i="22"/>
  <c r="AS180" i="22"/>
  <c r="AW180" i="22"/>
  <c r="AM180" i="22"/>
  <c r="AU180" i="22"/>
  <c r="AR180" i="22"/>
  <c r="AV180" i="22"/>
  <c r="AQ180" i="22"/>
  <c r="AN180" i="22"/>
  <c r="AA178" i="22"/>
  <c r="AI178" i="22"/>
  <c r="AB178" i="22"/>
  <c r="AC175" i="22"/>
  <c r="AO175" i="22" s="1"/>
  <c r="AA175" i="22"/>
  <c r="AI175" i="22"/>
  <c r="AF175" i="22"/>
  <c r="AJ175" i="22"/>
  <c r="AE175" i="22"/>
  <c r="AB175" i="22"/>
  <c r="AN175" i="22" s="1"/>
  <c r="AP168" i="22"/>
  <c r="AT168" i="22"/>
  <c r="AX168" i="22"/>
  <c r="AO168" i="22"/>
  <c r="AS168" i="22"/>
  <c r="AW168" i="22"/>
  <c r="AM168" i="22"/>
  <c r="AU168" i="22"/>
  <c r="AR168" i="22"/>
  <c r="AV168" i="22"/>
  <c r="AN168" i="22"/>
  <c r="AQ168" i="22"/>
  <c r="AC240" i="22"/>
  <c r="AA240" i="22"/>
  <c r="AI240" i="22"/>
  <c r="AF240" i="22"/>
  <c r="AJ240" i="22"/>
  <c r="AE240" i="22"/>
  <c r="AB240" i="22"/>
  <c r="AP160" i="22"/>
  <c r="AT160" i="22"/>
  <c r="AX160" i="22"/>
  <c r="AO160" i="22"/>
  <c r="AS160" i="22"/>
  <c r="AW160" i="22"/>
  <c r="AM160" i="22"/>
  <c r="AU160" i="22"/>
  <c r="AR160" i="22"/>
  <c r="AV160" i="22"/>
  <c r="AN160" i="22"/>
  <c r="AQ160" i="22"/>
  <c r="AP156" i="22"/>
  <c r="AT156" i="22"/>
  <c r="AX156" i="22"/>
  <c r="AO156" i="22"/>
  <c r="AS156" i="22"/>
  <c r="AW156" i="22"/>
  <c r="AM156" i="22"/>
  <c r="AU156" i="22"/>
  <c r="AR156" i="22"/>
  <c r="AV156" i="22"/>
  <c r="AQ156" i="22"/>
  <c r="AN156" i="22"/>
  <c r="AP152" i="22"/>
  <c r="AT152" i="22"/>
  <c r="AX152" i="22"/>
  <c r="AO152" i="22"/>
  <c r="AS152" i="22"/>
  <c r="AW152" i="22"/>
  <c r="AM152" i="22"/>
  <c r="AU152" i="22"/>
  <c r="AR152" i="22"/>
  <c r="AV152" i="22"/>
  <c r="AQ152" i="22"/>
  <c r="AN152" i="22"/>
  <c r="AP148" i="22"/>
  <c r="AT148" i="22"/>
  <c r="AX148" i="22"/>
  <c r="AO148" i="22"/>
  <c r="AS148" i="22"/>
  <c r="AW148" i="22"/>
  <c r="AM148" i="22"/>
  <c r="AU148" i="22"/>
  <c r="AR148" i="22"/>
  <c r="AV148" i="22"/>
  <c r="AN148" i="22"/>
  <c r="AQ148" i="22"/>
  <c r="AC151" i="22"/>
  <c r="AO151" i="22" s="1"/>
  <c r="AA151" i="22"/>
  <c r="AI151" i="22"/>
  <c r="AU151" i="22" s="1"/>
  <c r="AF151" i="22"/>
  <c r="AJ151" i="22"/>
  <c r="AE151" i="22"/>
  <c r="AB151" i="22"/>
  <c r="AN151" i="22" s="1"/>
  <c r="AP140" i="22"/>
  <c r="AT140" i="22"/>
  <c r="AX140" i="22"/>
  <c r="AO140" i="22"/>
  <c r="AS140" i="22"/>
  <c r="AW140" i="22"/>
  <c r="AM140" i="22"/>
  <c r="AU140" i="22"/>
  <c r="AR140" i="22"/>
  <c r="AV140" i="22"/>
  <c r="AN140" i="22"/>
  <c r="AQ140" i="22"/>
  <c r="AP136" i="22"/>
  <c r="AT136" i="22"/>
  <c r="AX136" i="22"/>
  <c r="AO136" i="22"/>
  <c r="AS136" i="22"/>
  <c r="AW136" i="22"/>
  <c r="AM136" i="22"/>
  <c r="AU136" i="22"/>
  <c r="AR136" i="22"/>
  <c r="AV136" i="22"/>
  <c r="AN136" i="22"/>
  <c r="AQ136" i="22"/>
  <c r="AC133" i="22"/>
  <c r="AA133" i="22"/>
  <c r="AI133" i="22"/>
  <c r="AF133" i="22"/>
  <c r="AJ133" i="22"/>
  <c r="AE133" i="22"/>
  <c r="AB133" i="22"/>
  <c r="AX124" i="22"/>
  <c r="AG125" i="22"/>
  <c r="AW124" i="22"/>
  <c r="AN124" i="22"/>
  <c r="AL121" i="22"/>
  <c r="AB121" i="22"/>
  <c r="AJ117" i="22"/>
  <c r="AC117" i="22"/>
  <c r="AB117" i="22"/>
  <c r="AK117" i="22"/>
  <c r="AW117" i="22" s="1"/>
  <c r="AJ107" i="22"/>
  <c r="AO112" i="22"/>
  <c r="AN108" i="22"/>
  <c r="AR108" i="22"/>
  <c r="AV108" i="22"/>
  <c r="AM108" i="22"/>
  <c r="AQ108" i="22"/>
  <c r="AU108" i="22"/>
  <c r="AO108" i="22"/>
  <c r="AW108" i="22"/>
  <c r="AT108" i="22"/>
  <c r="AX108" i="22"/>
  <c r="AS108" i="22"/>
  <c r="AP108" i="22"/>
  <c r="AN104" i="22"/>
  <c r="AR104" i="22"/>
  <c r="AV104" i="22"/>
  <c r="AM104" i="22"/>
  <c r="AQ104" i="22"/>
  <c r="AU104" i="22"/>
  <c r="AO104" i="22"/>
  <c r="AW104" i="22"/>
  <c r="AT104" i="22"/>
  <c r="AX104" i="22"/>
  <c r="AS104" i="22"/>
  <c r="AP104" i="22"/>
  <c r="AB287" i="22"/>
  <c r="AJ287" i="22"/>
  <c r="AC287" i="22"/>
  <c r="AK287" i="22"/>
  <c r="AN96" i="22"/>
  <c r="AV96" i="22"/>
  <c r="AO96" i="22"/>
  <c r="AW96" i="22"/>
  <c r="AJ219" i="22"/>
  <c r="AV219" i="22" s="1"/>
  <c r="AN88" i="22"/>
  <c r="AR88" i="22"/>
  <c r="AV88" i="22"/>
  <c r="AM88" i="22"/>
  <c r="AQ88" i="22"/>
  <c r="AU88" i="22"/>
  <c r="AS88" i="22"/>
  <c r="AP88" i="22"/>
  <c r="AX88" i="22"/>
  <c r="AT88" i="22"/>
  <c r="AO88" i="22"/>
  <c r="AW88" i="22"/>
  <c r="AN84" i="22"/>
  <c r="AR84" i="22"/>
  <c r="AV84" i="22"/>
  <c r="AM84" i="22"/>
  <c r="AQ84" i="22"/>
  <c r="AU84" i="22"/>
  <c r="AS84" i="22"/>
  <c r="AP84" i="22"/>
  <c r="AX84" i="22"/>
  <c r="AT84" i="22"/>
  <c r="AO84" i="22"/>
  <c r="AW84" i="22"/>
  <c r="AB81" i="22"/>
  <c r="AJ81" i="22"/>
  <c r="AC81" i="22"/>
  <c r="AO81" i="22" s="1"/>
  <c r="AK81" i="22"/>
  <c r="AB80" i="22"/>
  <c r="AN80" i="22" s="1"/>
  <c r="AJ80" i="22"/>
  <c r="AV80" i="22" s="1"/>
  <c r="AC80" i="22"/>
  <c r="AN72" i="22"/>
  <c r="AR72" i="22"/>
  <c r="AV72" i="22"/>
  <c r="AM72" i="22"/>
  <c r="AQ72" i="22"/>
  <c r="AU72" i="22"/>
  <c r="AS72" i="22"/>
  <c r="AP72" i="22"/>
  <c r="AX72" i="22"/>
  <c r="AT72" i="22"/>
  <c r="AO72" i="22"/>
  <c r="AW72" i="22"/>
  <c r="AN68" i="22"/>
  <c r="AR68" i="22"/>
  <c r="AV68" i="22"/>
  <c r="AM68" i="22"/>
  <c r="AQ68" i="22"/>
  <c r="AU68" i="22"/>
  <c r="AS68" i="22"/>
  <c r="AP68" i="22"/>
  <c r="AX68" i="22"/>
  <c r="AT68" i="22"/>
  <c r="AO68" i="22"/>
  <c r="AW68" i="22"/>
  <c r="AB65" i="22"/>
  <c r="AJ65" i="22"/>
  <c r="AC65" i="22"/>
  <c r="AO65" i="22" s="1"/>
  <c r="AK65" i="22"/>
  <c r="AN60" i="22"/>
  <c r="AR60" i="22"/>
  <c r="AV60" i="22"/>
  <c r="AM60" i="22"/>
  <c r="AQ60" i="22"/>
  <c r="AU60" i="22"/>
  <c r="AS60" i="22"/>
  <c r="AP60" i="22"/>
  <c r="AX60" i="22"/>
  <c r="AT60" i="22"/>
  <c r="AW60" i="22"/>
  <c r="AN56" i="22"/>
  <c r="AR56" i="22"/>
  <c r="AV56" i="22"/>
  <c r="AM56" i="22"/>
  <c r="AQ56" i="22"/>
  <c r="AU56" i="22"/>
  <c r="AS56" i="22"/>
  <c r="AP56" i="22"/>
  <c r="AX56" i="22"/>
  <c r="AT56" i="22"/>
  <c r="AO56" i="22"/>
  <c r="AW56" i="22"/>
  <c r="AB252" i="22"/>
  <c r="AN252" i="22" s="1"/>
  <c r="AJ252" i="22"/>
  <c r="AV252" i="22" s="1"/>
  <c r="AK252" i="22"/>
  <c r="AN48" i="22"/>
  <c r="AR48" i="22"/>
  <c r="AV48" i="22"/>
  <c r="AM48" i="22"/>
  <c r="AQ48" i="22"/>
  <c r="AU48" i="22"/>
  <c r="AS48" i="22"/>
  <c r="AP48" i="22"/>
  <c r="AX48" i="22"/>
  <c r="AT48" i="22"/>
  <c r="AO48" i="22"/>
  <c r="AW48" i="22"/>
  <c r="AO44" i="22"/>
  <c r="AS44" i="22"/>
  <c r="AW44" i="22"/>
  <c r="AN44" i="22"/>
  <c r="AR44" i="22"/>
  <c r="AV44" i="22"/>
  <c r="AP44" i="22"/>
  <c r="AX44" i="22"/>
  <c r="AM44" i="22"/>
  <c r="AU44" i="22"/>
  <c r="AT44" i="22"/>
  <c r="AQ44" i="22"/>
  <c r="AO40" i="22"/>
  <c r="AS40" i="22"/>
  <c r="AW40" i="22"/>
  <c r="AN40" i="22"/>
  <c r="AR40" i="22"/>
  <c r="AV40" i="22"/>
  <c r="AP40" i="22"/>
  <c r="AX40" i="22"/>
  <c r="AM40" i="22"/>
  <c r="AU40" i="22"/>
  <c r="AT40" i="22"/>
  <c r="AQ40" i="22"/>
  <c r="AM32" i="22"/>
  <c r="AP32" i="22"/>
  <c r="AN32" i="22"/>
  <c r="AS32" i="22"/>
  <c r="AW32" i="22"/>
  <c r="AR32" i="22"/>
  <c r="AV32" i="22"/>
  <c r="AO32" i="22"/>
  <c r="AX32" i="22"/>
  <c r="AU32" i="22"/>
  <c r="AT32" i="22"/>
  <c r="AQ32" i="22"/>
  <c r="AB209" i="22"/>
  <c r="AM24" i="22"/>
  <c r="AQ24" i="22"/>
  <c r="AU24" i="22"/>
  <c r="AP24" i="22"/>
  <c r="AT24" i="22"/>
  <c r="AX24" i="22"/>
  <c r="AN24" i="22"/>
  <c r="AV24" i="22"/>
  <c r="AS24" i="22"/>
  <c r="AO24" i="22"/>
  <c r="AW24" i="22"/>
  <c r="AR24" i="22"/>
  <c r="AB21" i="22"/>
  <c r="AJ21" i="22"/>
  <c r="AC21" i="22"/>
  <c r="AK21" i="22"/>
  <c r="AM16" i="22"/>
  <c r="AQ16" i="22"/>
  <c r="AU16" i="22"/>
  <c r="AP16" i="22"/>
  <c r="AT16" i="22"/>
  <c r="AX16" i="22"/>
  <c r="AN16" i="22"/>
  <c r="AV16" i="22"/>
  <c r="AS16" i="22"/>
  <c r="AO16" i="22"/>
  <c r="AW16" i="22"/>
  <c r="AR16" i="22"/>
  <c r="AG13" i="22"/>
  <c r="AF13" i="22"/>
  <c r="AM8" i="22"/>
  <c r="AQ8" i="22"/>
  <c r="AU8" i="22"/>
  <c r="AP8" i="22"/>
  <c r="AT8" i="22"/>
  <c r="AX8" i="22"/>
  <c r="AN8" i="22"/>
  <c r="AV8" i="22"/>
  <c r="AS8" i="22"/>
  <c r="AO8" i="22"/>
  <c r="AW8" i="22"/>
  <c r="AR8" i="22"/>
  <c r="AJ255" i="22"/>
  <c r="AJ132" i="22" l="1"/>
  <c r="AU295" i="22"/>
  <c r="AO260" i="22"/>
  <c r="AN295" i="22"/>
  <c r="AK125" i="22"/>
  <c r="AW125" i="22" s="1"/>
  <c r="AE288" i="22"/>
  <c r="AQ288" i="22" s="1"/>
  <c r="AI206" i="22"/>
  <c r="AU206" i="22" s="1"/>
  <c r="AI248" i="22"/>
  <c r="AU248" i="22" s="1"/>
  <c r="AC107" i="22"/>
  <c r="AO107" i="22" s="1"/>
  <c r="AO287" i="22"/>
  <c r="AV147" i="22"/>
  <c r="AM288" i="22"/>
  <c r="AV299" i="22"/>
  <c r="AM299" i="22"/>
  <c r="AV283" i="22"/>
  <c r="AA295" i="22"/>
  <c r="AM295" i="22" s="1"/>
  <c r="AV291" i="22"/>
  <c r="AQ204" i="22"/>
  <c r="AA305" i="22"/>
  <c r="AM305" i="22" s="1"/>
  <c r="AJ194" i="22"/>
  <c r="AV194" i="22" s="1"/>
  <c r="AJ295" i="22"/>
  <c r="AV295" i="22" s="1"/>
  <c r="AN240" i="22"/>
  <c r="AA300" i="22"/>
  <c r="AM300" i="22" s="1"/>
  <c r="AW28" i="22"/>
  <c r="AK209" i="22"/>
  <c r="AW209" i="22" s="1"/>
  <c r="AN112" i="22"/>
  <c r="AB107" i="22"/>
  <c r="AN107" i="22" s="1"/>
  <c r="AE178" i="22"/>
  <c r="AQ178" i="22" s="1"/>
  <c r="AQ176" i="22"/>
  <c r="AC18" i="22"/>
  <c r="AO18" i="22" s="1"/>
  <c r="AO17" i="22"/>
  <c r="AB186" i="22"/>
  <c r="AN186" i="22" s="1"/>
  <c r="AN265" i="22"/>
  <c r="AO297" i="22"/>
  <c r="AC244" i="22"/>
  <c r="AO244" i="22" s="1"/>
  <c r="AF244" i="22"/>
  <c r="AR244" i="22" s="1"/>
  <c r="AR297" i="22"/>
  <c r="AO147" i="22"/>
  <c r="AM247" i="22"/>
  <c r="AA248" i="22"/>
  <c r="AM248" i="22" s="1"/>
  <c r="AN283" i="22"/>
  <c r="AB300" i="22"/>
  <c r="AN300" i="22" s="1"/>
  <c r="AR299" i="22"/>
  <c r="AF288" i="22"/>
  <c r="AR288" i="22" s="1"/>
  <c r="AC114" i="22"/>
  <c r="AO114" i="22" s="1"/>
  <c r="AO113" i="22"/>
  <c r="AJ209" i="22"/>
  <c r="AV209" i="22" s="1"/>
  <c r="AV28" i="22"/>
  <c r="AK219" i="22"/>
  <c r="AW219" i="22" s="1"/>
  <c r="AW92" i="22"/>
  <c r="AR200" i="22"/>
  <c r="AF201" i="22"/>
  <c r="AR201" i="22" s="1"/>
  <c r="AM204" i="22"/>
  <c r="AA206" i="22"/>
  <c r="AM206" i="22" s="1"/>
  <c r="AC194" i="22"/>
  <c r="AO194" i="22" s="1"/>
  <c r="AO273" i="22"/>
  <c r="AN273" i="22"/>
  <c r="AB194" i="22"/>
  <c r="AN194" i="22" s="1"/>
  <c r="AR273" i="22"/>
  <c r="AF194" i="22"/>
  <c r="AR194" i="22" s="1"/>
  <c r="AB244" i="22"/>
  <c r="AN244" i="22" s="1"/>
  <c r="AN297" i="22"/>
  <c r="AN147" i="22"/>
  <c r="AN299" i="22"/>
  <c r="AB288" i="22"/>
  <c r="AN288" i="22" s="1"/>
  <c r="AN137" i="22"/>
  <c r="AN276" i="22"/>
  <c r="AM133" i="22"/>
  <c r="AC164" i="22"/>
  <c r="AO164" i="22" s="1"/>
  <c r="AN287" i="22"/>
  <c r="AO21" i="22"/>
  <c r="AB20" i="22"/>
  <c r="AN20" i="22" s="1"/>
  <c r="AO66" i="22"/>
  <c r="AO105" i="22"/>
  <c r="AO55" i="22"/>
  <c r="AU147" i="22"/>
  <c r="AO200" i="22"/>
  <c r="AU208" i="22"/>
  <c r="AJ26" i="22"/>
  <c r="AV26" i="22" s="1"/>
  <c r="AO117" i="22"/>
  <c r="AJ178" i="22"/>
  <c r="AV178" i="22" s="1"/>
  <c r="AV176" i="22"/>
  <c r="AF34" i="22"/>
  <c r="AR34" i="22" s="1"/>
  <c r="AE300" i="22"/>
  <c r="AQ300" i="22" s="1"/>
  <c r="AQ283" i="22"/>
  <c r="AC305" i="22"/>
  <c r="AO305" i="22" s="1"/>
  <c r="AC295" i="22"/>
  <c r="AO295" i="22" s="1"/>
  <c r="AE305" i="22"/>
  <c r="AQ305" i="22" s="1"/>
  <c r="AE295" i="22"/>
  <c r="AQ295" i="22" s="1"/>
  <c r="AG100" i="22"/>
  <c r="AS100" i="22" s="1"/>
  <c r="AS101" i="22"/>
  <c r="AS113" i="22"/>
  <c r="AG114" i="22"/>
  <c r="AS114" i="22" s="1"/>
  <c r="AO28" i="22"/>
  <c r="AC209" i="22"/>
  <c r="AO209" i="22" s="1"/>
  <c r="AA201" i="22"/>
  <c r="AM201" i="22" s="1"/>
  <c r="AM200" i="22"/>
  <c r="AU260" i="22"/>
  <c r="AF242" i="22"/>
  <c r="AR242" i="22" s="1"/>
  <c r="AR241" i="22"/>
  <c r="AU291" i="22"/>
  <c r="AC223" i="22"/>
  <c r="AO223" i="22" s="1"/>
  <c r="AO291" i="22"/>
  <c r="AO283" i="22"/>
  <c r="AU175" i="22"/>
  <c r="AQ260" i="22"/>
  <c r="AR133" i="22"/>
  <c r="AQ264" i="22"/>
  <c r="AS120" i="22"/>
  <c r="AG121" i="22"/>
  <c r="AS121" i="22" s="1"/>
  <c r="AR124" i="22"/>
  <c r="AF125" i="22"/>
  <c r="AR125" i="22" s="1"/>
  <c r="AB248" i="22"/>
  <c r="AN248" i="22" s="1"/>
  <c r="AG5" i="22"/>
  <c r="AS5" i="22" s="1"/>
  <c r="AS4" i="22"/>
  <c r="AV137" i="22"/>
  <c r="AJ266" i="22"/>
  <c r="AV266" i="22" s="1"/>
  <c r="AV161" i="22"/>
  <c r="AJ172" i="22"/>
  <c r="AV172" i="22" s="1"/>
  <c r="AR283" i="22"/>
  <c r="AF300" i="22"/>
  <c r="AR300" i="22" s="1"/>
  <c r="AK107" i="22"/>
  <c r="AW107" i="22" s="1"/>
  <c r="AW112" i="22"/>
  <c r="AF266" i="22"/>
  <c r="AR266" i="22" s="1"/>
  <c r="AR137" i="22"/>
  <c r="AJ159" i="22"/>
  <c r="AV159" i="22" s="1"/>
  <c r="AV158" i="22"/>
  <c r="AF305" i="22"/>
  <c r="AR305" i="22" s="1"/>
  <c r="AF295" i="22"/>
  <c r="AR295" i="22" s="1"/>
  <c r="AR291" i="22"/>
  <c r="AN291" i="22"/>
  <c r="AB305" i="22"/>
  <c r="AN305" i="22" s="1"/>
  <c r="AV175" i="22"/>
  <c r="AF269" i="22"/>
  <c r="AR269" i="22" s="1"/>
  <c r="AV287" i="22"/>
  <c r="AO241" i="22"/>
  <c r="AC248" i="22"/>
  <c r="AO248" i="22" s="1"/>
  <c r="AO249" i="22"/>
  <c r="AC97" i="22"/>
  <c r="AJ164" i="22"/>
  <c r="AV164" i="22" s="1"/>
  <c r="AM147" i="22"/>
  <c r="AE164" i="22"/>
  <c r="AQ164" i="22" s="1"/>
  <c r="AO225" i="22"/>
  <c r="AW120" i="22"/>
  <c r="AK121" i="22"/>
  <c r="AW121" i="22" s="1"/>
  <c r="AN200" i="22"/>
  <c r="AB201" i="22"/>
  <c r="AN201" i="22" s="1"/>
  <c r="AF206" i="22"/>
  <c r="AR206" i="22" s="1"/>
  <c r="AR204" i="22"/>
  <c r="AR208" i="22"/>
  <c r="AF26" i="22"/>
  <c r="AR26" i="22" s="1"/>
  <c r="AV132" i="22"/>
  <c r="AC186" i="22"/>
  <c r="AO186" i="22" s="1"/>
  <c r="AO265" i="22"/>
  <c r="AR147" i="22"/>
  <c r="AF248" i="22"/>
  <c r="AR248" i="22" s="1"/>
  <c r="AO299" i="22"/>
  <c r="AC288" i="22"/>
  <c r="AO288" i="22" s="1"/>
  <c r="AS17" i="22"/>
  <c r="AV92" i="22"/>
  <c r="AU264" i="22"/>
  <c r="AU240" i="22"/>
  <c r="AO300" i="22"/>
  <c r="AS25" i="22"/>
  <c r="AG79" i="22"/>
  <c r="AS79" i="22" s="1"/>
  <c r="AC64" i="22"/>
  <c r="AO64" i="22" s="1"/>
  <c r="AO60" i="22"/>
  <c r="AO92" i="22"/>
  <c r="AC219" i="22"/>
  <c r="AO219" i="22" s="1"/>
  <c r="AV260" i="22"/>
  <c r="AO276" i="22"/>
  <c r="AJ269" i="22"/>
  <c r="AV269" i="22" s="1"/>
  <c r="AF186" i="22"/>
  <c r="AR186" i="22" s="1"/>
  <c r="AR265" i="22"/>
  <c r="AO97" i="22"/>
  <c r="AJ248" i="22"/>
  <c r="AV248" i="22" s="1"/>
  <c r="AV264" i="22"/>
  <c r="AU288" i="22"/>
  <c r="AS105" i="22"/>
  <c r="AG106" i="22"/>
  <c r="AS106" i="22" s="1"/>
  <c r="AV246" i="22"/>
  <c r="AN269" i="22"/>
  <c r="AV117" i="22"/>
  <c r="AR151" i="22"/>
  <c r="AR240" i="22"/>
  <c r="AR175" i="22"/>
  <c r="AN132" i="22"/>
  <c r="AV244" i="22"/>
  <c r="AO116" i="22"/>
  <c r="AO20" i="22"/>
  <c r="AN133" i="22"/>
  <c r="AO133" i="22"/>
  <c r="AF178" i="22"/>
  <c r="AR178" i="22" s="1"/>
  <c r="AR176" i="22"/>
  <c r="AV112" i="22"/>
  <c r="AM260" i="22"/>
  <c r="AB223" i="22"/>
  <c r="AN223" i="22" s="1"/>
  <c r="AM208" i="22"/>
  <c r="AA26" i="22"/>
  <c r="AM26" i="22" s="1"/>
  <c r="AN316" i="22"/>
  <c r="AO25" i="22"/>
  <c r="AC254" i="22"/>
  <c r="AO254" i="22" s="1"/>
  <c r="AC266" i="22"/>
  <c r="AO266" i="22" s="1"/>
  <c r="AO137" i="22"/>
  <c r="AR161" i="22"/>
  <c r="AF172" i="22"/>
  <c r="AR172" i="22" s="1"/>
  <c r="AN161" i="22"/>
  <c r="AB172" i="22"/>
  <c r="AN172" i="22" s="1"/>
  <c r="AO172" i="22"/>
  <c r="AV265" i="22"/>
  <c r="AJ186" i="22"/>
  <c r="AV186" i="22" s="1"/>
  <c r="AO245" i="22"/>
  <c r="AN92" i="22"/>
  <c r="AB219" i="22"/>
  <c r="AN219" i="22" s="1"/>
  <c r="AR120" i="22"/>
  <c r="AF121" i="22"/>
  <c r="AR121" i="22" s="1"/>
  <c r="AJ201" i="22"/>
  <c r="AV201" i="22" s="1"/>
  <c r="AV200" i="22"/>
  <c r="AN204" i="22"/>
  <c r="AB206" i="22"/>
  <c r="AN206" i="22" s="1"/>
  <c r="AN318" i="22"/>
  <c r="AO176" i="22"/>
  <c r="AC178" i="22"/>
  <c r="AO178" i="22" s="1"/>
  <c r="AU176" i="22"/>
  <c r="AQ208" i="22"/>
  <c r="AB125" i="22"/>
  <c r="AN125" i="22" s="1"/>
  <c r="AR260" i="22"/>
  <c r="AK223" i="22"/>
  <c r="AW223" i="22" s="1"/>
  <c r="AW20" i="22"/>
  <c r="AV288" i="22"/>
  <c r="AO269" i="22"/>
  <c r="AN209" i="22"/>
  <c r="AO80" i="22"/>
  <c r="AG34" i="22"/>
  <c r="AS34" i="22" s="1"/>
  <c r="AM264" i="22"/>
  <c r="AW304" i="22"/>
  <c r="AV300" i="22"/>
  <c r="AR264" i="22"/>
  <c r="AQ147" i="22"/>
  <c r="AV245" i="22"/>
  <c r="AN21" i="22"/>
  <c r="AQ151" i="22"/>
  <c r="AM151" i="22"/>
  <c r="AQ240" i="22"/>
  <c r="AM240" i="22"/>
  <c r="AQ175" i="22"/>
  <c r="AM175" i="22"/>
  <c r="AC34" i="22"/>
  <c r="AO34" i="22" s="1"/>
  <c r="AO95" i="22"/>
  <c r="AR97" i="22"/>
  <c r="AR164" i="22"/>
  <c r="AR304" i="22"/>
  <c r="AO304" i="22"/>
  <c r="AN264" i="22"/>
  <c r="AS225" i="22"/>
  <c r="AO52" i="22"/>
  <c r="AI201" i="22"/>
  <c r="AU201" i="22" s="1"/>
  <c r="AV305" i="22"/>
  <c r="AR95" i="22"/>
  <c r="AN117" i="22"/>
  <c r="AJ223" i="22"/>
  <c r="AV223" i="22" s="1"/>
  <c r="AQ163" i="22"/>
  <c r="AI300" i="22"/>
  <c r="AU300" i="22" s="1"/>
  <c r="AI305" i="22"/>
  <c r="AU305" i="22" s="1"/>
  <c r="AL125" i="22"/>
  <c r="AX125" i="22" s="1"/>
  <c r="AV297" i="22"/>
  <c r="AF126" i="22"/>
  <c r="AR126" i="22" s="1"/>
  <c r="AO264" i="22"/>
  <c r="AJ206" i="22"/>
  <c r="AV206" i="22" s="1"/>
  <c r="AV247" i="22"/>
  <c r="AM176" i="22"/>
  <c r="AQ200" i="22"/>
  <c r="AN28" i="22"/>
  <c r="AU299" i="22"/>
  <c r="AO36" i="22"/>
  <c r="AO76" i="22"/>
  <c r="AO240" i="22"/>
  <c r="AX120" i="22"/>
  <c r="AV133" i="22"/>
  <c r="AC252" i="22"/>
  <c r="AO252" i="22" s="1"/>
  <c r="AN176" i="22"/>
  <c r="AB26" i="22"/>
  <c r="AN26" i="22" s="1"/>
  <c r="AS124" i="22"/>
  <c r="AO161" i="22"/>
  <c r="AF5" i="22"/>
  <c r="AR5" i="22" s="1"/>
  <c r="AC206" i="22"/>
  <c r="AO206" i="22" s="1"/>
  <c r="AV240" i="22"/>
  <c r="AC26" i="22"/>
  <c r="AO26" i="22" s="1"/>
  <c r="AN120" i="22"/>
  <c r="AV151" i="22"/>
  <c r="AO106" i="22"/>
  <c r="AR249" i="22"/>
  <c r="AV276" i="22"/>
  <c r="AV255" i="22"/>
  <c r="AS125" i="22"/>
  <c r="AW287" i="22"/>
  <c r="AW21" i="22"/>
  <c r="AS66" i="22"/>
  <c r="AQ290" i="22"/>
  <c r="AU290" i="22"/>
  <c r="AO290" i="22"/>
  <c r="AR36" i="22"/>
  <c r="AR246" i="22"/>
  <c r="AN246" i="22"/>
  <c r="AJ12" i="22"/>
  <c r="AV12" i="22" s="1"/>
  <c r="AF21" i="22"/>
  <c r="AR21" i="22" s="1"/>
  <c r="AJ64" i="22"/>
  <c r="AV64" i="22" s="1"/>
  <c r="AB76" i="22"/>
  <c r="AN76" i="22" s="1"/>
  <c r="AR116" i="22"/>
  <c r="AF117" i="22"/>
  <c r="AR117" i="22" s="1"/>
  <c r="AG304" i="22"/>
  <c r="AS304" i="22" s="1"/>
  <c r="AO124" i="22"/>
  <c r="AC125" i="22"/>
  <c r="AO125" i="22" s="1"/>
  <c r="AS163" i="22"/>
  <c r="AG164" i="22"/>
  <c r="AS164" i="22" s="1"/>
  <c r="AG201" i="22"/>
  <c r="AS201" i="22" s="1"/>
  <c r="AS200" i="22"/>
  <c r="AS208" i="22"/>
  <c r="AG26" i="22"/>
  <c r="AS26" i="22" s="1"/>
  <c r="AG241" i="22"/>
  <c r="AS241" i="22" s="1"/>
  <c r="AG246" i="22"/>
  <c r="AS246" i="22" s="1"/>
  <c r="AG300" i="22"/>
  <c r="AS300" i="22" s="1"/>
  <c r="AS283" i="22"/>
  <c r="AG290" i="22"/>
  <c r="AS290" i="22" s="1"/>
  <c r="AS299" i="22"/>
  <c r="AG288" i="22"/>
  <c r="AS288" i="22" s="1"/>
  <c r="AI12" i="22"/>
  <c r="AU12" i="22" s="1"/>
  <c r="AF20" i="22"/>
  <c r="AR20" i="22" s="1"/>
  <c r="AA36" i="22"/>
  <c r="AM36" i="22" s="1"/>
  <c r="AA52" i="22"/>
  <c r="AM52" i="22" s="1"/>
  <c r="AH64" i="22"/>
  <c r="AT64" i="22" s="1"/>
  <c r="AU95" i="22"/>
  <c r="AI97" i="22"/>
  <c r="AU97" i="22" s="1"/>
  <c r="AA116" i="22"/>
  <c r="AM116" i="22" s="1"/>
  <c r="AO4" i="22"/>
  <c r="AC5" i="22"/>
  <c r="AO5" i="22" s="1"/>
  <c r="AF66" i="22"/>
  <c r="AR66" i="22" s="1"/>
  <c r="AD304" i="22"/>
  <c r="AP304" i="22" s="1"/>
  <c r="AL126" i="22"/>
  <c r="AX126" i="22" s="1"/>
  <c r="AU137" i="22"/>
  <c r="AI266" i="22"/>
  <c r="AU266" i="22" s="1"/>
  <c r="AA214" i="22"/>
  <c r="AM214" i="22" s="1"/>
  <c r="AA14" i="22"/>
  <c r="AM14" i="22" s="1"/>
  <c r="AT17" i="22"/>
  <c r="AH18" i="22"/>
  <c r="AT18" i="22" s="1"/>
  <c r="AH66" i="22"/>
  <c r="AT66" i="22" s="1"/>
  <c r="AI225" i="22"/>
  <c r="AU225" i="22" s="1"/>
  <c r="AU113" i="22"/>
  <c r="AI114" i="22"/>
  <c r="AU114" i="22" s="1"/>
  <c r="AA304" i="22"/>
  <c r="AM304" i="22" s="1"/>
  <c r="AS52" i="22"/>
  <c r="AG252" i="22"/>
  <c r="AS252" i="22" s="1"/>
  <c r="AS116" i="22"/>
  <c r="AG117" i="22"/>
  <c r="AS117" i="22" s="1"/>
  <c r="AD125" i="22"/>
  <c r="AP125" i="22" s="1"/>
  <c r="AP124" i="22"/>
  <c r="AH151" i="22"/>
  <c r="AT151" i="22" s="1"/>
  <c r="AL147" i="22"/>
  <c r="AX147" i="22" s="1"/>
  <c r="AX161" i="22"/>
  <c r="AL172" i="22"/>
  <c r="AX172" i="22" s="1"/>
  <c r="AL175" i="22"/>
  <c r="AX175" i="22" s="1"/>
  <c r="AT176" i="22"/>
  <c r="AH178" i="22"/>
  <c r="AT178" i="22" s="1"/>
  <c r="AL210" i="22"/>
  <c r="AX210" i="22" s="1"/>
  <c r="AL95" i="22"/>
  <c r="AX95" i="22" s="1"/>
  <c r="AL242" i="22"/>
  <c r="AX242" i="22" s="1"/>
  <c r="AH246" i="22"/>
  <c r="AT246" i="22" s="1"/>
  <c r="AD269" i="22"/>
  <c r="AP269" i="22" s="1"/>
  <c r="AP265" i="22"/>
  <c r="AD186" i="22"/>
  <c r="AP186" i="22" s="1"/>
  <c r="AH290" i="22"/>
  <c r="AT290" i="22" s="1"/>
  <c r="AT299" i="22"/>
  <c r="AH288" i="22"/>
  <c r="AT288" i="22" s="1"/>
  <c r="AA13" i="22"/>
  <c r="AM13" i="22" s="1"/>
  <c r="AM28" i="22"/>
  <c r="AA209" i="22"/>
  <c r="AM209" i="22" s="1"/>
  <c r="AI81" i="22"/>
  <c r="AU81" i="22" s="1"/>
  <c r="AU96" i="22"/>
  <c r="AI223" i="22"/>
  <c r="AU223" i="22" s="1"/>
  <c r="AA287" i="22"/>
  <c r="AM287" i="22" s="1"/>
  <c r="AU112" i="22"/>
  <c r="AI107" i="22"/>
  <c r="AU107" i="22" s="1"/>
  <c r="AA117" i="22"/>
  <c r="AM117" i="22" s="1"/>
  <c r="AQ124" i="22"/>
  <c r="AE125" i="22"/>
  <c r="AQ125" i="22" s="1"/>
  <c r="AJ14" i="22"/>
  <c r="AV14" i="22" s="1"/>
  <c r="AR105" i="22"/>
  <c r="AF106" i="22"/>
  <c r="AR106" i="22" s="1"/>
  <c r="AM161" i="22"/>
  <c r="AA172" i="22"/>
  <c r="AM172" i="22" s="1"/>
  <c r="AU245" i="22"/>
  <c r="AI246" i="22"/>
  <c r="AU246" i="22" s="1"/>
  <c r="AI10" i="22"/>
  <c r="AU10" i="22" s="1"/>
  <c r="AM53" i="22"/>
  <c r="AA54" i="22"/>
  <c r="AM54" i="22" s="1"/>
  <c r="AU77" i="22"/>
  <c r="AI79" i="22"/>
  <c r="AU79" i="22" s="1"/>
  <c r="AM101" i="22"/>
  <c r="AA100" i="22"/>
  <c r="AM100" i="22" s="1"/>
  <c r="AR274" i="22"/>
  <c r="AF278" i="22"/>
  <c r="AR278" i="22" s="1"/>
  <c r="AW74" i="22"/>
  <c r="AK75" i="22"/>
  <c r="AW75" i="22" s="1"/>
  <c r="AN262" i="22"/>
  <c r="AB255" i="22"/>
  <c r="AN255" i="22" s="1"/>
  <c r="AJ278" i="22"/>
  <c r="AV278" i="22" s="1"/>
  <c r="AV274" i="22"/>
  <c r="AJ15" i="22"/>
  <c r="AV15" i="22" s="1"/>
  <c r="AI55" i="22"/>
  <c r="AU55" i="22" s="1"/>
  <c r="AL128" i="22"/>
  <c r="AX128" i="22" s="1"/>
  <c r="AM158" i="22"/>
  <c r="AA159" i="22"/>
  <c r="AM159" i="22" s="1"/>
  <c r="AW214" i="22"/>
  <c r="AK9" i="22"/>
  <c r="AW9" i="22" s="1"/>
  <c r="AA27" i="22"/>
  <c r="AM27" i="22" s="1"/>
  <c r="AQ262" i="22"/>
  <c r="AE255" i="22"/>
  <c r="AQ255" i="22" s="1"/>
  <c r="AC255" i="22"/>
  <c r="AO255" i="22" s="1"/>
  <c r="AO262" i="22"/>
  <c r="AX318" i="22"/>
  <c r="AL316" i="22"/>
  <c r="AX316" i="22" s="1"/>
  <c r="AM318" i="22"/>
  <c r="AA316" i="22"/>
  <c r="AM316" i="22" s="1"/>
  <c r="AK19" i="22"/>
  <c r="AW19" i="22" s="1"/>
  <c r="AK115" i="22"/>
  <c r="AW115" i="22" s="1"/>
  <c r="AN178" i="22"/>
  <c r="AB181" i="22"/>
  <c r="AN181" i="22" s="1"/>
  <c r="AN266" i="22"/>
  <c r="AB144" i="22"/>
  <c r="AN144" i="22" s="1"/>
  <c r="AB27" i="22"/>
  <c r="AN27" i="22" s="1"/>
  <c r="AJ11" i="22"/>
  <c r="AV11" i="22" s="1"/>
  <c r="AJ19" i="22"/>
  <c r="AV19" i="22" s="1"/>
  <c r="AH19" i="22"/>
  <c r="AT19" i="22" s="1"/>
  <c r="AA212" i="22"/>
  <c r="AM212" i="22" s="1"/>
  <c r="AI35" i="22"/>
  <c r="AU35" i="22" s="1"/>
  <c r="AV50" i="22"/>
  <c r="AJ51" i="22"/>
  <c r="AV51" i="22" s="1"/>
  <c r="AT50" i="22"/>
  <c r="AH51" i="22"/>
  <c r="AT51" i="22" s="1"/>
  <c r="AM74" i="22"/>
  <c r="AA75" i="22"/>
  <c r="AM75" i="22" s="1"/>
  <c r="AI115" i="22"/>
  <c r="AU115" i="22" s="1"/>
  <c r="AN122" i="22"/>
  <c r="AB323" i="22"/>
  <c r="AN323" i="22" s="1"/>
  <c r="AL181" i="22"/>
  <c r="AX181" i="22" s="1"/>
  <c r="AI256" i="22"/>
  <c r="AU256" i="22" s="1"/>
  <c r="AC256" i="22"/>
  <c r="AO256" i="22" s="1"/>
  <c r="AK31" i="22"/>
  <c r="AW31" i="22" s="1"/>
  <c r="AM218" i="22"/>
  <c r="AA220" i="22"/>
  <c r="AM220" i="22" s="1"/>
  <c r="AH243" i="22"/>
  <c r="AT243" i="22" s="1"/>
  <c r="AM250" i="22"/>
  <c r="AA251" i="22"/>
  <c r="AM251" i="22" s="1"/>
  <c r="AQ250" i="22"/>
  <c r="AE251" i="22"/>
  <c r="AQ251" i="22" s="1"/>
  <c r="AH144" i="22"/>
  <c r="AT144" i="22" s="1"/>
  <c r="AH278" i="22"/>
  <c r="AT278" i="22" s="1"/>
  <c r="AK278" i="22"/>
  <c r="AW278" i="22" s="1"/>
  <c r="AB14" i="22"/>
  <c r="AN14" i="22" s="1"/>
  <c r="AV27" i="22"/>
  <c r="AJ34" i="22"/>
  <c r="AV34" i="22" s="1"/>
  <c r="AN53" i="22"/>
  <c r="AB54" i="22"/>
  <c r="AN54" i="22" s="1"/>
  <c r="AV65" i="22"/>
  <c r="AJ66" i="22"/>
  <c r="AV66" i="22" s="1"/>
  <c r="AJ76" i="22"/>
  <c r="AV76" i="22" s="1"/>
  <c r="AV81" i="22"/>
  <c r="AJ225" i="22"/>
  <c r="AV225" i="22" s="1"/>
  <c r="AN101" i="22"/>
  <c r="AB100" i="22"/>
  <c r="AN100" i="22" s="1"/>
  <c r="AV107" i="22"/>
  <c r="AV113" i="22"/>
  <c r="AJ114" i="22"/>
  <c r="AV114" i="22" s="1"/>
  <c r="AO120" i="22"/>
  <c r="AC121" i="22"/>
  <c r="AO121" i="22" s="1"/>
  <c r="AT124" i="22"/>
  <c r="AH125" i="22"/>
  <c r="AT125" i="22" s="1"/>
  <c r="AK151" i="22"/>
  <c r="AW151" i="22" s="1"/>
  <c r="AW176" i="22"/>
  <c r="AK178" i="22"/>
  <c r="AW178" i="22" s="1"/>
  <c r="AW208" i="22"/>
  <c r="AK26" i="22"/>
  <c r="AW26" i="22" s="1"/>
  <c r="AK241" i="22"/>
  <c r="AW241" i="22" s="1"/>
  <c r="AK246" i="22"/>
  <c r="AW246" i="22" s="1"/>
  <c r="AK264" i="22"/>
  <c r="AW264" i="22" s="1"/>
  <c r="AK260" i="22"/>
  <c r="AW260" i="22" s="1"/>
  <c r="AW283" i="22"/>
  <c r="AK300" i="22"/>
  <c r="AW300" i="22" s="1"/>
  <c r="AK290" i="22"/>
  <c r="AW290" i="22" s="1"/>
  <c r="AD12" i="22"/>
  <c r="AP12" i="22" s="1"/>
  <c r="AD20" i="22"/>
  <c r="AP20" i="22" s="1"/>
  <c r="AL34" i="22"/>
  <c r="AX34" i="22" s="1"/>
  <c r="AL36" i="22"/>
  <c r="AX36" i="22" s="1"/>
  <c r="AL52" i="22"/>
  <c r="AX52" i="22" s="1"/>
  <c r="AD64" i="22"/>
  <c r="AP64" i="22" s="1"/>
  <c r="AD97" i="22"/>
  <c r="AP97" i="22" s="1"/>
  <c r="AM4" i="22"/>
  <c r="AA5" i="22"/>
  <c r="AM5" i="22" s="1"/>
  <c r="AU249" i="22"/>
  <c r="AI269" i="22"/>
  <c r="AU269" i="22" s="1"/>
  <c r="AM265" i="22"/>
  <c r="AA186" i="22"/>
  <c r="AM186" i="22" s="1"/>
  <c r="AF214" i="22"/>
  <c r="AR214" i="22" s="1"/>
  <c r="AR13" i="22"/>
  <c r="AF14" i="22"/>
  <c r="AR14" i="22" s="1"/>
  <c r="AQ17" i="22"/>
  <c r="AE18" i="22"/>
  <c r="AQ18" i="22" s="1"/>
  <c r="AE66" i="22"/>
  <c r="AQ66" i="22" s="1"/>
  <c r="AQ113" i="22"/>
  <c r="AE114" i="22"/>
  <c r="AQ114" i="22" s="1"/>
  <c r="AP113" i="22"/>
  <c r="AD114" i="22"/>
  <c r="AP114" i="22" s="1"/>
  <c r="AS76" i="22"/>
  <c r="AG80" i="22"/>
  <c r="AS80" i="22" s="1"/>
  <c r="AS112" i="22"/>
  <c r="AG107" i="22"/>
  <c r="AS107" i="22" s="1"/>
  <c r="AV120" i="22"/>
  <c r="AJ121" i="22"/>
  <c r="AV121" i="22" s="1"/>
  <c r="AH133" i="22"/>
  <c r="AT133" i="22" s="1"/>
  <c r="AT137" i="22"/>
  <c r="AH266" i="22"/>
  <c r="AT266" i="22" s="1"/>
  <c r="AL151" i="22"/>
  <c r="AX151" i="22" s="1"/>
  <c r="AP163" i="22"/>
  <c r="AD164" i="22"/>
  <c r="AP164" i="22" s="1"/>
  <c r="AP200" i="22"/>
  <c r="AD201" i="22"/>
  <c r="AP201" i="22" s="1"/>
  <c r="AL26" i="22"/>
  <c r="AX26" i="22" s="1"/>
  <c r="AX208" i="22"/>
  <c r="AL241" i="22"/>
  <c r="AX241" i="22" s="1"/>
  <c r="AD245" i="22"/>
  <c r="AP245" i="22" s="1"/>
  <c r="AL246" i="22"/>
  <c r="AX246" i="22" s="1"/>
  <c r="AH269" i="22"/>
  <c r="AT269" i="22" s="1"/>
  <c r="AL260" i="22"/>
  <c r="AX260" i="22" s="1"/>
  <c r="AH276" i="22"/>
  <c r="AT276" i="22" s="1"/>
  <c r="AH274" i="22"/>
  <c r="AT274" i="22" s="1"/>
  <c r="AX283" i="22"/>
  <c r="AL300" i="22"/>
  <c r="AX300" i="22" s="1"/>
  <c r="AP291" i="22"/>
  <c r="AD295" i="22"/>
  <c r="AP295" i="22" s="1"/>
  <c r="AD305" i="22"/>
  <c r="AP305" i="22" s="1"/>
  <c r="AT297" i="22"/>
  <c r="AH244" i="22"/>
  <c r="AT244" i="22" s="1"/>
  <c r="AN12" i="22"/>
  <c r="AB13" i="22"/>
  <c r="AN13" i="22" s="1"/>
  <c r="AL21" i="22"/>
  <c r="AX21" i="22" s="1"/>
  <c r="AL252" i="22"/>
  <c r="AX252" i="22" s="1"/>
  <c r="AE65" i="22"/>
  <c r="AQ65" i="22" s="1"/>
  <c r="AE81" i="22"/>
  <c r="AQ81" i="22" s="1"/>
  <c r="AQ96" i="22"/>
  <c r="AE223" i="22"/>
  <c r="AQ223" i="22" s="1"/>
  <c r="AL287" i="22"/>
  <c r="AX287" i="22" s="1"/>
  <c r="AQ112" i="22"/>
  <c r="AE107" i="22"/>
  <c r="AQ107" i="22" s="1"/>
  <c r="AL117" i="22"/>
  <c r="AX117" i="22" s="1"/>
  <c r="AU161" i="22"/>
  <c r="AI172" i="22"/>
  <c r="AU172" i="22" s="1"/>
  <c r="AQ265" i="22"/>
  <c r="AE186" i="22"/>
  <c r="AQ186" i="22" s="1"/>
  <c r="AD10" i="22"/>
  <c r="AP10" i="22" s="1"/>
  <c r="AP77" i="22"/>
  <c r="AD79" i="22"/>
  <c r="AP79" i="22" s="1"/>
  <c r="AX101" i="22"/>
  <c r="AL100" i="22"/>
  <c r="AX100" i="22" s="1"/>
  <c r="AC35" i="22"/>
  <c r="AO35" i="22" s="1"/>
  <c r="AC115" i="22"/>
  <c r="AO115" i="22" s="1"/>
  <c r="AJ128" i="22"/>
  <c r="AV128" i="22" s="1"/>
  <c r="AR158" i="22"/>
  <c r="AF159" i="22"/>
  <c r="AR159" i="22" s="1"/>
  <c r="AB278" i="22"/>
  <c r="AN278" i="22" s="1"/>
  <c r="AN274" i="22"/>
  <c r="AB9" i="22"/>
  <c r="AN9" i="22" s="1"/>
  <c r="AB15" i="22"/>
  <c r="AN15" i="22" s="1"/>
  <c r="AB55" i="22"/>
  <c r="AN55" i="22" s="1"/>
  <c r="AD55" i="22"/>
  <c r="AP55" i="22" s="1"/>
  <c r="AI128" i="22"/>
  <c r="AU128" i="22" s="1"/>
  <c r="AT158" i="22"/>
  <c r="AH159" i="22"/>
  <c r="AT159" i="22" s="1"/>
  <c r="AD9" i="22"/>
  <c r="AP9" i="22" s="1"/>
  <c r="AK27" i="22"/>
  <c r="AW27" i="22" s="1"/>
  <c r="AM262" i="22"/>
  <c r="AA255" i="22"/>
  <c r="AM255" i="22" s="1"/>
  <c r="AK316" i="22"/>
  <c r="AW316" i="22" s="1"/>
  <c r="AW318" i="22"/>
  <c r="AK35" i="22"/>
  <c r="AW35" i="22" s="1"/>
  <c r="AV122" i="22"/>
  <c r="AJ323" i="22"/>
  <c r="AV323" i="22" s="1"/>
  <c r="AF181" i="22"/>
  <c r="AR181" i="22" s="1"/>
  <c r="AK212" i="22"/>
  <c r="AW212" i="22" s="1"/>
  <c r="AF11" i="22"/>
  <c r="AR11" i="22" s="1"/>
  <c r="AL11" i="22"/>
  <c r="AX11" i="22" s="1"/>
  <c r="AE19" i="22"/>
  <c r="AQ19" i="22" s="1"/>
  <c r="AF212" i="22"/>
  <c r="AR212" i="22" s="1"/>
  <c r="AG35" i="22"/>
  <c r="AS35" i="22" s="1"/>
  <c r="AD35" i="22"/>
  <c r="AP35" i="22" s="1"/>
  <c r="AQ50" i="22"/>
  <c r="AE51" i="22"/>
  <c r="AQ51" i="22" s="1"/>
  <c r="AX74" i="22"/>
  <c r="AL75" i="22"/>
  <c r="AX75" i="22" s="1"/>
  <c r="AE115" i="22"/>
  <c r="AQ115" i="22" s="1"/>
  <c r="AT122" i="22"/>
  <c r="AH323" i="22"/>
  <c r="AT323" i="22" s="1"/>
  <c r="AH181" i="22"/>
  <c r="AT181" i="22" s="1"/>
  <c r="AA256" i="22"/>
  <c r="AM256" i="22" s="1"/>
  <c r="AE256" i="22"/>
  <c r="AQ256" i="22" s="1"/>
  <c r="AD31" i="22"/>
  <c r="AP31" i="22" s="1"/>
  <c r="AH220" i="22"/>
  <c r="AT220" i="22" s="1"/>
  <c r="AT218" i="22"/>
  <c r="AG243" i="22"/>
  <c r="AS243" i="22" s="1"/>
  <c r="AL251" i="22"/>
  <c r="AX251" i="22" s="1"/>
  <c r="AX250" i="22"/>
  <c r="AW250" i="22"/>
  <c r="AK251" i="22"/>
  <c r="AW251" i="22" s="1"/>
  <c r="AI144" i="22"/>
  <c r="AU144" i="22" s="1"/>
  <c r="AD144" i="22"/>
  <c r="AP144" i="22" s="1"/>
  <c r="AC144" i="22"/>
  <c r="AO144" i="22" s="1"/>
  <c r="AD278" i="22"/>
  <c r="AP278" i="22" s="1"/>
  <c r="AG278" i="22"/>
  <c r="AS278" i="22" s="1"/>
  <c r="AM290" i="22"/>
  <c r="AJ20" i="22"/>
  <c r="AV20" i="22" s="1"/>
  <c r="AV21" i="22"/>
  <c r="AR28" i="22"/>
  <c r="AF209" i="22"/>
  <c r="AR209" i="22" s="1"/>
  <c r="AB36" i="22"/>
  <c r="AN36" i="22" s="1"/>
  <c r="AV53" i="22"/>
  <c r="AJ54" i="22"/>
  <c r="AV54" i="22" s="1"/>
  <c r="AR92" i="22"/>
  <c r="AF219" i="22"/>
  <c r="AR219" i="22" s="1"/>
  <c r="AP123" i="22"/>
  <c r="AD126" i="22"/>
  <c r="AP126" i="22" s="1"/>
  <c r="AS137" i="22"/>
  <c r="AG266" i="22"/>
  <c r="AS266" i="22" s="1"/>
  <c r="AG147" i="22"/>
  <c r="AS147" i="22" s="1"/>
  <c r="AS161" i="22"/>
  <c r="AG172" i="22"/>
  <c r="AS172" i="22" s="1"/>
  <c r="AG240" i="22"/>
  <c r="AS240" i="22" s="1"/>
  <c r="AG175" i="22"/>
  <c r="AS175" i="22" s="1"/>
  <c r="AG132" i="22"/>
  <c r="AS132" i="22" s="1"/>
  <c r="AS204" i="22"/>
  <c r="AG206" i="22"/>
  <c r="AS206" i="22" s="1"/>
  <c r="AG210" i="22"/>
  <c r="AS210" i="22" s="1"/>
  <c r="AG95" i="22"/>
  <c r="AS95" i="22" s="1"/>
  <c r="AG242" i="22"/>
  <c r="AS242" i="22" s="1"/>
  <c r="AS247" i="22"/>
  <c r="AG248" i="22"/>
  <c r="AS248" i="22" s="1"/>
  <c r="AG269" i="22"/>
  <c r="AS269" i="22" s="1"/>
  <c r="AG53" i="22"/>
  <c r="AS53" i="22" s="1"/>
  <c r="AG276" i="22"/>
  <c r="AS276" i="22" s="1"/>
  <c r="AG186" i="22"/>
  <c r="AS186" i="22" s="1"/>
  <c r="AS265" i="22"/>
  <c r="AG194" i="22"/>
  <c r="AS194" i="22" s="1"/>
  <c r="AS273" i="22"/>
  <c r="AG274" i="22"/>
  <c r="AS274" i="22" s="1"/>
  <c r="AG244" i="22"/>
  <c r="AS244" i="22" s="1"/>
  <c r="AS297" i="22"/>
  <c r="AG12" i="22"/>
  <c r="AS12" i="22" s="1"/>
  <c r="AA12" i="22"/>
  <c r="AM12" i="22" s="1"/>
  <c r="AG20" i="22"/>
  <c r="AS20" i="22" s="1"/>
  <c r="AE20" i="22"/>
  <c r="AQ20" i="22" s="1"/>
  <c r="AI34" i="22"/>
  <c r="AU34" i="22" s="1"/>
  <c r="AH34" i="22"/>
  <c r="AT34" i="22" s="1"/>
  <c r="AI36" i="22"/>
  <c r="AU36" i="22" s="1"/>
  <c r="AH36" i="22"/>
  <c r="AT36" i="22" s="1"/>
  <c r="AI52" i="22"/>
  <c r="AU52" i="22" s="1"/>
  <c r="AH52" i="22"/>
  <c r="AT52" i="22" s="1"/>
  <c r="AA64" i="22"/>
  <c r="AM64" i="22" s="1"/>
  <c r="AI76" i="22"/>
  <c r="AU76" i="22" s="1"/>
  <c r="AH76" i="22"/>
  <c r="AT76" i="22" s="1"/>
  <c r="AM95" i="22"/>
  <c r="AA97" i="22"/>
  <c r="AM97" i="22" s="1"/>
  <c r="AI116" i="22"/>
  <c r="AU116" i="22" s="1"/>
  <c r="AH116" i="22"/>
  <c r="AT116" i="22" s="1"/>
  <c r="AQ123" i="22"/>
  <c r="AE126" i="22"/>
  <c r="AQ126" i="22" s="1"/>
  <c r="AN4" i="22"/>
  <c r="AB5" i="22"/>
  <c r="AN5" i="22" s="1"/>
  <c r="AX4" i="22"/>
  <c r="AL5" i="22"/>
  <c r="AX5" i="22" s="1"/>
  <c r="AG126" i="22"/>
  <c r="AS126" i="22" s="1"/>
  <c r="AU133" i="22"/>
  <c r="AI164" i="22"/>
  <c r="AU164" i="22" s="1"/>
  <c r="AQ245" i="22"/>
  <c r="AE246" i="22"/>
  <c r="AQ246" i="22" s="1"/>
  <c r="AU265" i="22"/>
  <c r="AI186" i="22"/>
  <c r="AU186" i="22" s="1"/>
  <c r="AU297" i="22"/>
  <c r="AI244" i="22"/>
  <c r="AU244" i="22" s="1"/>
  <c r="AI214" i="22"/>
  <c r="AU214" i="22" s="1"/>
  <c r="AH214" i="22"/>
  <c r="AT214" i="22" s="1"/>
  <c r="AI14" i="22"/>
  <c r="AU14" i="22" s="1"/>
  <c r="AH14" i="22"/>
  <c r="AT14" i="22" s="1"/>
  <c r="AM17" i="22"/>
  <c r="AA18" i="22"/>
  <c r="AM18" i="22" s="1"/>
  <c r="AU25" i="22"/>
  <c r="AI254" i="22"/>
  <c r="AU254" i="22" s="1"/>
  <c r="AT25" i="22"/>
  <c r="AH254" i="22"/>
  <c r="AT254" i="22" s="1"/>
  <c r="AA66" i="22"/>
  <c r="AM66" i="22" s="1"/>
  <c r="AA225" i="22"/>
  <c r="AM225" i="22" s="1"/>
  <c r="AU105" i="22"/>
  <c r="AI106" i="22"/>
  <c r="AU106" i="22" s="1"/>
  <c r="AT105" i="22"/>
  <c r="AH106" i="22"/>
  <c r="AT106" i="22" s="1"/>
  <c r="AM113" i="22"/>
  <c r="AA114" i="22"/>
  <c r="AM114" i="22" s="1"/>
  <c r="AI304" i="22"/>
  <c r="AU304" i="22" s="1"/>
  <c r="AW17" i="22"/>
  <c r="AK18" i="22"/>
  <c r="AW18" i="22" s="1"/>
  <c r="AK34" i="22"/>
  <c r="AW34" i="22" s="1"/>
  <c r="AS36" i="22"/>
  <c r="AK54" i="22"/>
  <c r="AW54" i="22" s="1"/>
  <c r="AO77" i="22"/>
  <c r="AC79" i="22"/>
  <c r="AO79" i="22" s="1"/>
  <c r="AW81" i="22"/>
  <c r="AK225" i="22"/>
  <c r="AW225" i="22" s="1"/>
  <c r="AK97" i="22"/>
  <c r="AW97" i="22" s="1"/>
  <c r="AG287" i="22"/>
  <c r="AS287" i="22" s="1"/>
  <c r="AW113" i="22"/>
  <c r="AK114" i="22"/>
  <c r="AW114" i="22" s="1"/>
  <c r="AH304" i="22"/>
  <c r="AT304" i="22" s="1"/>
  <c r="AL133" i="22"/>
  <c r="AX133" i="22" s="1"/>
  <c r="AX137" i="22"/>
  <c r="AL266" i="22"/>
  <c r="AX266" i="22" s="1"/>
  <c r="AD147" i="22"/>
  <c r="AP147" i="22" s="1"/>
  <c r="AP161" i="22"/>
  <c r="AD172" i="22"/>
  <c r="AP172" i="22" s="1"/>
  <c r="AT163" i="22"/>
  <c r="AH164" i="22"/>
  <c r="AT164" i="22" s="1"/>
  <c r="AL240" i="22"/>
  <c r="AX240" i="22" s="1"/>
  <c r="AD175" i="22"/>
  <c r="AP175" i="22" s="1"/>
  <c r="AT200" i="22"/>
  <c r="AH201" i="22"/>
  <c r="AT201" i="22" s="1"/>
  <c r="AL132" i="22"/>
  <c r="AX132" i="22" s="1"/>
  <c r="AP204" i="22"/>
  <c r="AD206" i="22"/>
  <c r="AP206" i="22" s="1"/>
  <c r="AD210" i="22"/>
  <c r="AP210" i="22" s="1"/>
  <c r="AD95" i="22"/>
  <c r="AP95" i="22" s="1"/>
  <c r="AD242" i="22"/>
  <c r="AP242" i="22" s="1"/>
  <c r="AH245" i="22"/>
  <c r="AT245" i="22" s="1"/>
  <c r="AD248" i="22"/>
  <c r="AP248" i="22" s="1"/>
  <c r="AP247" i="22"/>
  <c r="AH249" i="22"/>
  <c r="AT249" i="22" s="1"/>
  <c r="AL269" i="22"/>
  <c r="AX269" i="22" s="1"/>
  <c r="AD53" i="22"/>
  <c r="AP53" i="22" s="1"/>
  <c r="AL276" i="22"/>
  <c r="AX276" i="22" s="1"/>
  <c r="AX265" i="22"/>
  <c r="AL186" i="22"/>
  <c r="AX186" i="22" s="1"/>
  <c r="AP273" i="22"/>
  <c r="AD194" i="22"/>
  <c r="AP194" i="22" s="1"/>
  <c r="AL274" i="22"/>
  <c r="AX274" i="22" s="1"/>
  <c r="AT291" i="22"/>
  <c r="AH295" i="22"/>
  <c r="AT295" i="22" s="1"/>
  <c r="AH305" i="22"/>
  <c r="AT305" i="22" s="1"/>
  <c r="AX297" i="22"/>
  <c r="AL244" i="22"/>
  <c r="AX244" i="22" s="1"/>
  <c r="AW12" i="22"/>
  <c r="AK13" i="22"/>
  <c r="AW13" i="22" s="1"/>
  <c r="AI13" i="22"/>
  <c r="AU13" i="22" s="1"/>
  <c r="AH13" i="22"/>
  <c r="AT13" i="22" s="1"/>
  <c r="AI21" i="22"/>
  <c r="AU21" i="22" s="1"/>
  <c r="AH21" i="22"/>
  <c r="AT21" i="22" s="1"/>
  <c r="AU28" i="22"/>
  <c r="AI209" i="22"/>
  <c r="AU209" i="22" s="1"/>
  <c r="AT28" i="22"/>
  <c r="AH209" i="22"/>
  <c r="AT209" i="22" s="1"/>
  <c r="AI252" i="22"/>
  <c r="AU252" i="22" s="1"/>
  <c r="AH252" i="22"/>
  <c r="AT252" i="22" s="1"/>
  <c r="AA65" i="22"/>
  <c r="AM65" i="22" s="1"/>
  <c r="AI80" i="22"/>
  <c r="AU80" i="22" s="1"/>
  <c r="AH80" i="22"/>
  <c r="AT80" i="22" s="1"/>
  <c r="AA81" i="22"/>
  <c r="AM81" i="22" s="1"/>
  <c r="AU92" i="22"/>
  <c r="AI219" i="22"/>
  <c r="AU219" i="22" s="1"/>
  <c r="AT92" i="22"/>
  <c r="AH219" i="22"/>
  <c r="AT219" i="22" s="1"/>
  <c r="AM96" i="22"/>
  <c r="AA223" i="22"/>
  <c r="AM223" i="22" s="1"/>
  <c r="AI287" i="22"/>
  <c r="AU287" i="22" s="1"/>
  <c r="AH287" i="22"/>
  <c r="AT287" i="22" s="1"/>
  <c r="AM112" i="22"/>
  <c r="AA107" i="22"/>
  <c r="AM107" i="22" s="1"/>
  <c r="AI117" i="22"/>
  <c r="AU117" i="22" s="1"/>
  <c r="AH117" i="22"/>
  <c r="AT117" i="22" s="1"/>
  <c r="AM120" i="22"/>
  <c r="AA121" i="22"/>
  <c r="AM121" i="22" s="1"/>
  <c r="AJ214" i="22"/>
  <c r="AV214" i="22" s="1"/>
  <c r="AR17" i="22"/>
  <c r="AF18" i="22"/>
  <c r="AR18" i="22" s="1"/>
  <c r="AI132" i="22"/>
  <c r="AU132" i="22" s="1"/>
  <c r="AI210" i="22"/>
  <c r="AU210" i="22" s="1"/>
  <c r="AM241" i="22"/>
  <c r="AA242" i="22"/>
  <c r="AM242" i="22" s="1"/>
  <c r="AQ297" i="22"/>
  <c r="AE244" i="22"/>
  <c r="AQ244" i="22" s="1"/>
  <c r="AG10" i="22"/>
  <c r="AS10" i="22" s="1"/>
  <c r="AA10" i="22"/>
  <c r="AM10" i="22" s="1"/>
  <c r="AU53" i="22"/>
  <c r="AI54" i="22"/>
  <c r="AU54" i="22" s="1"/>
  <c r="AH54" i="22"/>
  <c r="AT54" i="22" s="1"/>
  <c r="AM77" i="22"/>
  <c r="AA79" i="22"/>
  <c r="AM79" i="22" s="1"/>
  <c r="AU101" i="22"/>
  <c r="AI100" i="22"/>
  <c r="AU100" i="22" s="1"/>
  <c r="AT101" i="22"/>
  <c r="AH100" i="22"/>
  <c r="AT100" i="22" s="1"/>
  <c r="AC19" i="22"/>
  <c r="AO19" i="22" s="1"/>
  <c r="AG64" i="22"/>
  <c r="AS64" i="22" s="1"/>
  <c r="AK55" i="22"/>
  <c r="AW55" i="22" s="1"/>
  <c r="AR218" i="22"/>
  <c r="AF220" i="22"/>
  <c r="AR220" i="22" s="1"/>
  <c r="AR290" i="22"/>
  <c r="AC132" i="22"/>
  <c r="AO132" i="22" s="1"/>
  <c r="AV218" i="22"/>
  <c r="AJ220" i="22"/>
  <c r="AV220" i="22" s="1"/>
  <c r="AJ144" i="22"/>
  <c r="AV144" i="22" s="1"/>
  <c r="AW14" i="22"/>
  <c r="AK15" i="22"/>
  <c r="AW15" i="22" s="1"/>
  <c r="AI15" i="22"/>
  <c r="AU15" i="22" s="1"/>
  <c r="AH15" i="22"/>
  <c r="AT15" i="22" s="1"/>
  <c r="AS54" i="22"/>
  <c r="AG55" i="22"/>
  <c r="AS55" i="22" s="1"/>
  <c r="AA55" i="22"/>
  <c r="AM55" i="22" s="1"/>
  <c r="AT126" i="22"/>
  <c r="AH128" i="22"/>
  <c r="AT128" i="22" s="1"/>
  <c r="AB128" i="22"/>
  <c r="AN128" i="22" s="1"/>
  <c r="AE128" i="22"/>
  <c r="AQ128" i="22" s="1"/>
  <c r="AP158" i="22"/>
  <c r="AD159" i="22"/>
  <c r="AP159" i="22" s="1"/>
  <c r="AS158" i="22"/>
  <c r="AG159" i="22"/>
  <c r="AS159" i="22" s="1"/>
  <c r="AE9" i="22"/>
  <c r="AQ9" i="22" s="1"/>
  <c r="AI9" i="22"/>
  <c r="AU9" i="22" s="1"/>
  <c r="AO214" i="22"/>
  <c r="AC9" i="22"/>
  <c r="AO9" i="22" s="1"/>
  <c r="AO246" i="22"/>
  <c r="AH27" i="22"/>
  <c r="AT27" i="22" s="1"/>
  <c r="AS254" i="22"/>
  <c r="AG27" i="22"/>
  <c r="AS27" i="22" s="1"/>
  <c r="AH255" i="22"/>
  <c r="AT255" i="22" s="1"/>
  <c r="AT262" i="22"/>
  <c r="AW262" i="22"/>
  <c r="AK255" i="22"/>
  <c r="AW255" i="22" s="1"/>
  <c r="AP318" i="22"/>
  <c r="AD316" i="22"/>
  <c r="AP316" i="22" s="1"/>
  <c r="AS318" i="22"/>
  <c r="AG316" i="22"/>
  <c r="AS316" i="22" s="1"/>
  <c r="AB164" i="22"/>
  <c r="AN164" i="22" s="1"/>
  <c r="AN290" i="22"/>
  <c r="AO74" i="22"/>
  <c r="AC75" i="22"/>
  <c r="AO75" i="22" s="1"/>
  <c r="AF243" i="22"/>
  <c r="AR243" i="22" s="1"/>
  <c r="AF144" i="22"/>
  <c r="AR144" i="22" s="1"/>
  <c r="AJ181" i="22"/>
  <c r="AV181" i="22" s="1"/>
  <c r="AV210" i="22"/>
  <c r="AJ31" i="22"/>
  <c r="AV31" i="22" s="1"/>
  <c r="AW10" i="22"/>
  <c r="AK11" i="22"/>
  <c r="AW11" i="22" s="1"/>
  <c r="AI11" i="22"/>
  <c r="AU11" i="22" s="1"/>
  <c r="AH11" i="22"/>
  <c r="AT11" i="22" s="1"/>
  <c r="AS18" i="22"/>
  <c r="AG19" i="22"/>
  <c r="AS19" i="22" s="1"/>
  <c r="AA19" i="22"/>
  <c r="AM19" i="22" s="1"/>
  <c r="AJ212" i="22"/>
  <c r="AV212" i="22" s="1"/>
  <c r="AU26" i="22"/>
  <c r="AI212" i="22"/>
  <c r="AU212" i="22" s="1"/>
  <c r="AH212" i="22"/>
  <c r="AT212" i="22" s="1"/>
  <c r="AB35" i="22"/>
  <c r="AN35" i="22" s="1"/>
  <c r="AA35" i="22"/>
  <c r="AM35" i="22" s="1"/>
  <c r="AN50" i="22"/>
  <c r="AB51" i="22"/>
  <c r="AN51" i="22" s="1"/>
  <c r="AM50" i="22"/>
  <c r="AA51" i="22"/>
  <c r="AM51" i="22" s="1"/>
  <c r="AS74" i="22"/>
  <c r="AG75" i="22"/>
  <c r="AS75" i="22" s="1"/>
  <c r="AU74" i="22"/>
  <c r="AI75" i="22"/>
  <c r="AU75" i="22" s="1"/>
  <c r="AT74" i="22"/>
  <c r="AH75" i="22"/>
  <c r="AT75" i="22" s="1"/>
  <c r="AJ115" i="22"/>
  <c r="AV115" i="22" s="1"/>
  <c r="AA115" i="22"/>
  <c r="AM115" i="22" s="1"/>
  <c r="AX122" i="22"/>
  <c r="AL323" i="22"/>
  <c r="AX323" i="22" s="1"/>
  <c r="AO122" i="22"/>
  <c r="AC323" i="22"/>
  <c r="AO323" i="22" s="1"/>
  <c r="AQ122" i="22"/>
  <c r="AE323" i="22"/>
  <c r="AQ323" i="22" s="1"/>
  <c r="AU178" i="22"/>
  <c r="AI181" i="22"/>
  <c r="AU181" i="22" s="1"/>
  <c r="AD181" i="22"/>
  <c r="AP181" i="22" s="1"/>
  <c r="AC181" i="22"/>
  <c r="AO181" i="22" s="1"/>
  <c r="AL256" i="22"/>
  <c r="AX256" i="22" s="1"/>
  <c r="AK256" i="22"/>
  <c r="AW256" i="22" s="1"/>
  <c r="AE31" i="22"/>
  <c r="AQ31" i="22" s="1"/>
  <c r="AI31" i="22"/>
  <c r="AU31" i="22" s="1"/>
  <c r="AO210" i="22"/>
  <c r="AC31" i="22"/>
  <c r="AO31" i="22" s="1"/>
  <c r="AD220" i="22"/>
  <c r="AP220" i="22" s="1"/>
  <c r="AP218" i="22"/>
  <c r="AG220" i="22"/>
  <c r="AS220" i="22" s="1"/>
  <c r="AS218" i="22"/>
  <c r="AE243" i="22"/>
  <c r="AQ243" i="22" s="1"/>
  <c r="AI243" i="22"/>
  <c r="AU243" i="22" s="1"/>
  <c r="AO242" i="22"/>
  <c r="AC243" i="22"/>
  <c r="AO243" i="22" s="1"/>
  <c r="AH251" i="22"/>
  <c r="AT251" i="22" s="1"/>
  <c r="AT250" i="22"/>
  <c r="AG251" i="22"/>
  <c r="AS251" i="22" s="1"/>
  <c r="AS250" i="22"/>
  <c r="AA144" i="22"/>
  <c r="AM144" i="22" s="1"/>
  <c r="AE144" i="22"/>
  <c r="AQ144" i="22" s="1"/>
  <c r="AQ274" i="22"/>
  <c r="AE278" i="22"/>
  <c r="AQ278" i="22" s="1"/>
  <c r="AU274" i="22"/>
  <c r="AI278" i="22"/>
  <c r="AU278" i="22" s="1"/>
  <c r="AC278" i="22"/>
  <c r="AO278" i="22" s="1"/>
  <c r="AO274" i="22"/>
  <c r="AN17" i="22"/>
  <c r="AB18" i="22"/>
  <c r="AN18" i="22" s="1"/>
  <c r="AB34" i="22"/>
  <c r="AN34" i="22" s="1"/>
  <c r="AR52" i="22"/>
  <c r="AF252" i="22"/>
  <c r="AR252" i="22" s="1"/>
  <c r="AN65" i="22"/>
  <c r="AB66" i="22"/>
  <c r="AN66" i="22" s="1"/>
  <c r="AV77" i="22"/>
  <c r="AJ79" i="22"/>
  <c r="AV79" i="22" s="1"/>
  <c r="AN81" i="22"/>
  <c r="AB225" i="22"/>
  <c r="AN225" i="22" s="1"/>
  <c r="AF287" i="22"/>
  <c r="AR287" i="22" s="1"/>
  <c r="AN113" i="22"/>
  <c r="AB114" i="22"/>
  <c r="AN114" i="22" s="1"/>
  <c r="AG151" i="22"/>
  <c r="AS151" i="22" s="1"/>
  <c r="AG178" i="22"/>
  <c r="AS178" i="22" s="1"/>
  <c r="AS176" i="22"/>
  <c r="AG245" i="22"/>
  <c r="AS245" i="22" s="1"/>
  <c r="AG249" i="22"/>
  <c r="AS249" i="22" s="1"/>
  <c r="AG264" i="22"/>
  <c r="AS264" i="22" s="1"/>
  <c r="AG260" i="22"/>
  <c r="AS260" i="22" s="1"/>
  <c r="AG305" i="22"/>
  <c r="AS305" i="22" s="1"/>
  <c r="AS291" i="22"/>
  <c r="AG295" i="22"/>
  <c r="AS295" i="22" s="1"/>
  <c r="AH12" i="22"/>
  <c r="AT12" i="22" s="1"/>
  <c r="AH20" i="22"/>
  <c r="AT20" i="22" s="1"/>
  <c r="AA34" i="22"/>
  <c r="AM34" i="22" s="1"/>
  <c r="AI64" i="22"/>
  <c r="AU64" i="22" s="1"/>
  <c r="AA76" i="22"/>
  <c r="AM76" i="22" s="1"/>
  <c r="AH97" i="22"/>
  <c r="AT97" i="22" s="1"/>
  <c r="AQ4" i="22"/>
  <c r="AE5" i="22"/>
  <c r="AQ5" i="22" s="1"/>
  <c r="AP4" i="22"/>
  <c r="AD5" i="22"/>
  <c r="AP5" i="22" s="1"/>
  <c r="AA164" i="22"/>
  <c r="AM164" i="22" s="1"/>
  <c r="AA132" i="22"/>
  <c r="AM132" i="22" s="1"/>
  <c r="AQ249" i="22"/>
  <c r="AE269" i="22"/>
  <c r="AQ269" i="22" s="1"/>
  <c r="AG214" i="22"/>
  <c r="AS214" i="22" s="1"/>
  <c r="AS13" i="22"/>
  <c r="AG14" i="22"/>
  <c r="AS14" i="22" s="1"/>
  <c r="AU17" i="22"/>
  <c r="AI18" i="22"/>
  <c r="AU18" i="22" s="1"/>
  <c r="AM25" i="22"/>
  <c r="AA254" i="22"/>
  <c r="AM254" i="22" s="1"/>
  <c r="AI66" i="22"/>
  <c r="AU66" i="22" s="1"/>
  <c r="AH225" i="22"/>
  <c r="AT225" i="22" s="1"/>
  <c r="AM105" i="22"/>
  <c r="AA106" i="22"/>
  <c r="AM106" i="22" s="1"/>
  <c r="AT113" i="22"/>
  <c r="AH114" i="22"/>
  <c r="AT114" i="22" s="1"/>
  <c r="AC10" i="22"/>
  <c r="AO10" i="22" s="1"/>
  <c r="AG21" i="22"/>
  <c r="AS21" i="22" s="1"/>
  <c r="AW65" i="22"/>
  <c r="AK66" i="22"/>
  <c r="AW66" i="22" s="1"/>
  <c r="AK76" i="22"/>
  <c r="AW76" i="22" s="1"/>
  <c r="AW101" i="22"/>
  <c r="AK100" i="22"/>
  <c r="AW100" i="22" s="1"/>
  <c r="AP120" i="22"/>
  <c r="AD121" i="22"/>
  <c r="AP121" i="22" s="1"/>
  <c r="AD133" i="22"/>
  <c r="AP133" i="22" s="1"/>
  <c r="AP137" i="22"/>
  <c r="AD266" i="22"/>
  <c r="AP266" i="22" s="1"/>
  <c r="AD240" i="22"/>
  <c r="AP240" i="22" s="1"/>
  <c r="AD132" i="22"/>
  <c r="AP132" i="22" s="1"/>
  <c r="AL206" i="22"/>
  <c r="AX206" i="22" s="1"/>
  <c r="AX204" i="22"/>
  <c r="AH26" i="22"/>
  <c r="AT26" i="22" s="1"/>
  <c r="AT208" i="22"/>
  <c r="AH241" i="22"/>
  <c r="AT241" i="22" s="1"/>
  <c r="AL248" i="22"/>
  <c r="AX248" i="22" s="1"/>
  <c r="AX247" i="22"/>
  <c r="AH264" i="22"/>
  <c r="AT264" i="22" s="1"/>
  <c r="AL53" i="22"/>
  <c r="AX53" i="22" s="1"/>
  <c r="AH260" i="22"/>
  <c r="AT260" i="22" s="1"/>
  <c r="AD276" i="22"/>
  <c r="AP276" i="22" s="1"/>
  <c r="AX273" i="22"/>
  <c r="AL194" i="22"/>
  <c r="AX194" i="22" s="1"/>
  <c r="AD274" i="22"/>
  <c r="AP274" i="22" s="1"/>
  <c r="AT283" i="22"/>
  <c r="AH300" i="22"/>
  <c r="AT300" i="22" s="1"/>
  <c r="AP297" i="22"/>
  <c r="AD244" i="22"/>
  <c r="AP244" i="22" s="1"/>
  <c r="AJ13" i="22"/>
  <c r="AV13" i="22" s="1"/>
  <c r="AA21" i="22"/>
  <c r="AM21" i="22" s="1"/>
  <c r="AA252" i="22"/>
  <c r="AM252" i="22" s="1"/>
  <c r="AI65" i="22"/>
  <c r="AU65" i="22" s="1"/>
  <c r="AH65" i="22"/>
  <c r="AT65" i="22" s="1"/>
  <c r="AA80" i="22"/>
  <c r="AM80" i="22" s="1"/>
  <c r="AH81" i="22"/>
  <c r="AT81" i="22" s="1"/>
  <c r="AM92" i="22"/>
  <c r="AA219" i="22"/>
  <c r="AM219" i="22" s="1"/>
  <c r="AT96" i="22"/>
  <c r="AH223" i="22"/>
  <c r="AT223" i="22" s="1"/>
  <c r="AT112" i="22"/>
  <c r="AH107" i="22"/>
  <c r="AT107" i="22" s="1"/>
  <c r="AU120" i="22"/>
  <c r="AI121" i="22"/>
  <c r="AU121" i="22" s="1"/>
  <c r="AR77" i="22"/>
  <c r="AF79" i="22"/>
  <c r="AR79" i="22" s="1"/>
  <c r="AR113" i="22"/>
  <c r="AF114" i="22"/>
  <c r="AR114" i="22" s="1"/>
  <c r="AQ137" i="22"/>
  <c r="AE266" i="22"/>
  <c r="AQ266" i="22" s="1"/>
  <c r="AU273" i="22"/>
  <c r="AI194" i="22"/>
  <c r="AU194" i="22" s="1"/>
  <c r="AH10" i="22"/>
  <c r="AT10" i="22" s="1"/>
  <c r="AT77" i="22"/>
  <c r="AH79" i="22"/>
  <c r="AT79" i="22" s="1"/>
  <c r="AR262" i="22"/>
  <c r="AF255" i="22"/>
  <c r="AR255" i="22" s="1"/>
  <c r="AD128" i="22"/>
  <c r="AP128" i="22" s="1"/>
  <c r="AF132" i="22"/>
  <c r="AR132" i="22" s="1"/>
  <c r="AV250" i="22"/>
  <c r="AJ251" i="22"/>
  <c r="AV251" i="22" s="1"/>
  <c r="AG15" i="22"/>
  <c r="AS15" i="22" s="1"/>
  <c r="AA15" i="22"/>
  <c r="AM15" i="22" s="1"/>
  <c r="AJ55" i="22"/>
  <c r="AV55" i="22" s="1"/>
  <c r="AH55" i="22"/>
  <c r="AT55" i="22" s="1"/>
  <c r="AF128" i="22"/>
  <c r="AR128" i="22" s="1"/>
  <c r="AX158" i="22"/>
  <c r="AL159" i="22"/>
  <c r="AX159" i="22" s="1"/>
  <c r="AH9" i="22"/>
  <c r="AT9" i="22" s="1"/>
  <c r="AE27" i="22"/>
  <c r="AQ27" i="22" s="1"/>
  <c r="AU262" i="22"/>
  <c r="AI255" i="22"/>
  <c r="AU255" i="22" s="1"/>
  <c r="AF256" i="22"/>
  <c r="AR256" i="22" s="1"/>
  <c r="AV242" i="22"/>
  <c r="AJ243" i="22"/>
  <c r="AV243" i="22" s="1"/>
  <c r="AG11" i="22"/>
  <c r="AS11" i="22" s="1"/>
  <c r="AA11" i="22"/>
  <c r="AM11" i="22" s="1"/>
  <c r="AI19" i="22"/>
  <c r="AU19" i="22" s="1"/>
  <c r="AG212" i="22"/>
  <c r="AS212" i="22" s="1"/>
  <c r="AJ35" i="22"/>
  <c r="AV35" i="22" s="1"/>
  <c r="AH35" i="22"/>
  <c r="AT35" i="22" s="1"/>
  <c r="AU50" i="22"/>
  <c r="AI51" i="22"/>
  <c r="AU51" i="22" s="1"/>
  <c r="AN74" i="22"/>
  <c r="AB75" i="22"/>
  <c r="AN75" i="22" s="1"/>
  <c r="AB115" i="22"/>
  <c r="AN115" i="22" s="1"/>
  <c r="AH115" i="22"/>
  <c r="AT115" i="22" s="1"/>
  <c r="AF323" i="22"/>
  <c r="AR323" i="22" s="1"/>
  <c r="AR122" i="22"/>
  <c r="AK181" i="22"/>
  <c r="AW181" i="22" s="1"/>
  <c r="AD256" i="22"/>
  <c r="AP256" i="22" s="1"/>
  <c r="AH31" i="22"/>
  <c r="AT31" i="22" s="1"/>
  <c r="AL220" i="22"/>
  <c r="AX220" i="22" s="1"/>
  <c r="AX218" i="22"/>
  <c r="AK243" i="22"/>
  <c r="AW243" i="22" s="1"/>
  <c r="AG144" i="22"/>
  <c r="AS144" i="22" s="1"/>
  <c r="AB214" i="22"/>
  <c r="AN214" i="22" s="1"/>
  <c r="AV17" i="22"/>
  <c r="AJ18" i="22"/>
  <c r="AV18" i="22" s="1"/>
  <c r="AN95" i="22"/>
  <c r="AB97" i="22"/>
  <c r="AN97" i="22" s="1"/>
  <c r="AX121" i="22"/>
  <c r="AL304" i="22"/>
  <c r="AX304" i="22" s="1"/>
  <c r="AW163" i="22"/>
  <c r="AK164" i="22"/>
  <c r="AW164" i="22" s="1"/>
  <c r="AW200" i="22"/>
  <c r="AK201" i="22"/>
  <c r="AW201" i="22" s="1"/>
  <c r="AK245" i="22"/>
  <c r="AW245" i="22" s="1"/>
  <c r="AK249" i="22"/>
  <c r="AW249" i="22" s="1"/>
  <c r="AW291" i="22"/>
  <c r="AK295" i="22"/>
  <c r="AW295" i="22" s="1"/>
  <c r="AK305" i="22"/>
  <c r="AW305" i="22" s="1"/>
  <c r="AW299" i="22"/>
  <c r="AK288" i="22"/>
  <c r="AW288" i="22" s="1"/>
  <c r="AE12" i="22"/>
  <c r="AQ12" i="22" s="1"/>
  <c r="AI20" i="22"/>
  <c r="AU20" i="22" s="1"/>
  <c r="AE64" i="22"/>
  <c r="AQ64" i="22" s="1"/>
  <c r="AL76" i="22"/>
  <c r="AX76" i="22" s="1"/>
  <c r="AQ95" i="22"/>
  <c r="AE97" i="22"/>
  <c r="AQ97" i="22" s="1"/>
  <c r="AL116" i="22"/>
  <c r="AX116" i="22" s="1"/>
  <c r="AU123" i="22"/>
  <c r="AI126" i="22"/>
  <c r="AU126" i="22" s="1"/>
  <c r="AV4" i="22"/>
  <c r="AJ5" i="22"/>
  <c r="AV5" i="22" s="1"/>
  <c r="AJ304" i="22"/>
  <c r="AV304" i="22" s="1"/>
  <c r="AQ201" i="22"/>
  <c r="AE132" i="22"/>
  <c r="AQ132" i="22" s="1"/>
  <c r="AM245" i="22"/>
  <c r="AA246" i="22"/>
  <c r="AM246" i="22" s="1"/>
  <c r="AQ273" i="22"/>
  <c r="AE194" i="22"/>
  <c r="AQ194" i="22" s="1"/>
  <c r="AL214" i="22"/>
  <c r="AX214" i="22" s="1"/>
  <c r="AL14" i="22"/>
  <c r="AX14" i="22" s="1"/>
  <c r="AP17" i="22"/>
  <c r="AD18" i="22"/>
  <c r="AP18" i="22" s="1"/>
  <c r="AX25" i="22"/>
  <c r="AL254" i="22"/>
  <c r="AX254" i="22" s="1"/>
  <c r="AD66" i="22"/>
  <c r="AP66" i="22" s="1"/>
  <c r="AE225" i="22"/>
  <c r="AQ225" i="22" s="1"/>
  <c r="AD225" i="22"/>
  <c r="AP225" i="22" s="1"/>
  <c r="AX105" i="22"/>
  <c r="AL106" i="22"/>
  <c r="AX106" i="22" s="1"/>
  <c r="AW25" i="22"/>
  <c r="AK254" i="22"/>
  <c r="AW254" i="22" s="1"/>
  <c r="AK36" i="22"/>
  <c r="AW36" i="22" s="1"/>
  <c r="AO53" i="22"/>
  <c r="AC54" i="22"/>
  <c r="AO54" i="22" s="1"/>
  <c r="AG81" i="22"/>
  <c r="AS81" i="22" s="1"/>
  <c r="AV124" i="22"/>
  <c r="AJ125" i="22"/>
  <c r="AV125" i="22" s="1"/>
  <c r="AH240" i="22"/>
  <c r="AT240" i="22" s="1"/>
  <c r="AX176" i="22"/>
  <c r="AL178" i="22"/>
  <c r="AX178" i="22" s="1"/>
  <c r="AH132" i="22"/>
  <c r="AT132" i="22" s="1"/>
  <c r="AD249" i="22"/>
  <c r="AP249" i="22" s="1"/>
  <c r="AL264" i="22"/>
  <c r="AX264" i="22" s="1"/>
  <c r="AT265" i="22"/>
  <c r="AH186" i="22"/>
  <c r="AT186" i="22" s="1"/>
  <c r="AL290" i="22"/>
  <c r="AX290" i="22" s="1"/>
  <c r="AX299" i="22"/>
  <c r="AL288" i="22"/>
  <c r="AX288" i="22" s="1"/>
  <c r="AL13" i="22"/>
  <c r="AX13" i="22" s="1"/>
  <c r="AX28" i="22"/>
  <c r="AL209" i="22"/>
  <c r="AX209" i="22" s="1"/>
  <c r="AD65" i="22"/>
  <c r="AP65" i="22" s="1"/>
  <c r="AL80" i="22"/>
  <c r="AX80" i="22" s="1"/>
  <c r="AD81" i="22"/>
  <c r="AP81" i="22" s="1"/>
  <c r="AL219" i="22"/>
  <c r="AX219" i="22" s="1"/>
  <c r="AX92" i="22"/>
  <c r="AP96" i="22"/>
  <c r="AD223" i="22"/>
  <c r="AP223" i="22" s="1"/>
  <c r="AP112" i="22"/>
  <c r="AD107" i="22"/>
  <c r="AP107" i="22" s="1"/>
  <c r="AQ120" i="22"/>
  <c r="AE121" i="22"/>
  <c r="AQ121" i="22" s="1"/>
  <c r="AM124" i="22"/>
  <c r="AA125" i="22"/>
  <c r="AM125" i="22" s="1"/>
  <c r="AA210" i="22"/>
  <c r="AM210" i="22" s="1"/>
  <c r="AM297" i="22"/>
  <c r="AA244" i="22"/>
  <c r="AM244" i="22" s="1"/>
  <c r="AE10" i="22"/>
  <c r="AQ10" i="22" s="1"/>
  <c r="AL54" i="22"/>
  <c r="AX54" i="22" s="1"/>
  <c r="AQ77" i="22"/>
  <c r="AE79" i="22"/>
  <c r="AQ79" i="22" s="1"/>
  <c r="AF15" i="22"/>
  <c r="AR15" i="22" s="1"/>
  <c r="AL15" i="22"/>
  <c r="AX15" i="22" s="1"/>
  <c r="AE55" i="22"/>
  <c r="AQ55" i="22" s="1"/>
  <c r="AG128" i="22"/>
  <c r="AS128" i="22" s="1"/>
  <c r="AW158" i="22"/>
  <c r="AK159" i="22"/>
  <c r="AW159" i="22" s="1"/>
  <c r="AG9" i="22"/>
  <c r="AS9" i="22" s="1"/>
  <c r="AL27" i="22"/>
  <c r="AX27" i="22" s="1"/>
  <c r="AL255" i="22"/>
  <c r="AX255" i="22" s="1"/>
  <c r="AX262" i="22"/>
  <c r="AT318" i="22"/>
  <c r="AH316" i="22"/>
  <c r="AT316" i="22" s="1"/>
  <c r="AK80" i="22"/>
  <c r="AW80" i="22" s="1"/>
  <c r="AN218" i="22"/>
  <c r="AB220" i="22"/>
  <c r="AN220" i="22" s="1"/>
  <c r="AN242" i="22"/>
  <c r="AB243" i="22"/>
  <c r="AN243" i="22" s="1"/>
  <c r="AR250" i="22"/>
  <c r="AF251" i="22"/>
  <c r="AR251" i="22" s="1"/>
  <c r="AN158" i="22"/>
  <c r="AB159" i="22"/>
  <c r="AN159" i="22" s="1"/>
  <c r="AB11" i="22"/>
  <c r="AN11" i="22" s="1"/>
  <c r="AB19" i="22"/>
  <c r="AN19" i="22" s="1"/>
  <c r="AD19" i="22"/>
  <c r="AP19" i="22" s="1"/>
  <c r="AL212" i="22"/>
  <c r="AX212" i="22" s="1"/>
  <c r="AE35" i="22"/>
  <c r="AQ35" i="22" s="1"/>
  <c r="AS50" i="22"/>
  <c r="AG51" i="22"/>
  <c r="AS51" i="22" s="1"/>
  <c r="AP50" i="22"/>
  <c r="AD51" i="22"/>
  <c r="AP51" i="22" s="1"/>
  <c r="AR74" i="22"/>
  <c r="AF75" i="22"/>
  <c r="AR75" i="22" s="1"/>
  <c r="AG115" i="22"/>
  <c r="AS115" i="22" s="1"/>
  <c r="AD115" i="22"/>
  <c r="AP115" i="22" s="1"/>
  <c r="AU122" i="22"/>
  <c r="AI323" i="22"/>
  <c r="AU323" i="22" s="1"/>
  <c r="AG181" i="22"/>
  <c r="AS181" i="22" s="1"/>
  <c r="AG31" i="22"/>
  <c r="AS31" i="22" s="1"/>
  <c r="AW218" i="22"/>
  <c r="AK220" i="22"/>
  <c r="AW220" i="22" s="1"/>
  <c r="AD243" i="22"/>
  <c r="AP243" i="22" s="1"/>
  <c r="AN25" i="22"/>
  <c r="AB254" i="22"/>
  <c r="AN254" i="22" s="1"/>
  <c r="AB52" i="22"/>
  <c r="AN52" i="22" s="1"/>
  <c r="AR76" i="22"/>
  <c r="AF80" i="22"/>
  <c r="AR80" i="22" s="1"/>
  <c r="AV95" i="22"/>
  <c r="AJ97" i="22"/>
  <c r="AV97" i="22" s="1"/>
  <c r="AV101" i="22"/>
  <c r="AJ100" i="22"/>
  <c r="AV100" i="22" s="1"/>
  <c r="AN105" i="22"/>
  <c r="AB106" i="22"/>
  <c r="AN106" i="22" s="1"/>
  <c r="AB116" i="22"/>
  <c r="AN116" i="22" s="1"/>
  <c r="AH121" i="22"/>
  <c r="AT121" i="22" s="1"/>
  <c r="AT120" i="22"/>
  <c r="AG133" i="22"/>
  <c r="AS133" i="22" s="1"/>
  <c r="AF64" i="22"/>
  <c r="AR64" i="22" s="1"/>
  <c r="AB126" i="22"/>
  <c r="AN126" i="22" s="1"/>
  <c r="AB10" i="22"/>
  <c r="AN10" i="22" s="1"/>
  <c r="AV25" i="22"/>
  <c r="AJ254" i="22"/>
  <c r="AV254" i="22" s="1"/>
  <c r="AJ36" i="22"/>
  <c r="AV36" i="22" s="1"/>
  <c r="AJ52" i="22"/>
  <c r="AV52" i="22" s="1"/>
  <c r="AB64" i="22"/>
  <c r="AN64" i="22" s="1"/>
  <c r="AF65" i="22"/>
  <c r="AR65" i="22" s="1"/>
  <c r="AN77" i="22"/>
  <c r="AB79" i="22"/>
  <c r="AN79" i="22" s="1"/>
  <c r="AF81" i="22"/>
  <c r="AR81" i="22" s="1"/>
  <c r="AR96" i="22"/>
  <c r="AF223" i="22"/>
  <c r="AR223" i="22" s="1"/>
  <c r="AV105" i="22"/>
  <c r="AJ106" i="22"/>
  <c r="AV106" i="22" s="1"/>
  <c r="AR112" i="22"/>
  <c r="AF107" i="22"/>
  <c r="AR107" i="22" s="1"/>
  <c r="AJ116" i="22"/>
  <c r="AV116" i="22" s="1"/>
  <c r="AN121" i="22"/>
  <c r="AB304" i="22"/>
  <c r="AN304" i="22" s="1"/>
  <c r="AV123" i="22"/>
  <c r="AJ126" i="22"/>
  <c r="AV126" i="22" s="1"/>
  <c r="AK133" i="22"/>
  <c r="AW133" i="22" s="1"/>
  <c r="AW137" i="22"/>
  <c r="AK266" i="22"/>
  <c r="AW266" i="22" s="1"/>
  <c r="AK147" i="22"/>
  <c r="AW147" i="22" s="1"/>
  <c r="AW161" i="22"/>
  <c r="AK172" i="22"/>
  <c r="AW172" i="22" s="1"/>
  <c r="AK240" i="22"/>
  <c r="AW240" i="22" s="1"/>
  <c r="AK175" i="22"/>
  <c r="AW175" i="22" s="1"/>
  <c r="AK132" i="22"/>
  <c r="AW132" i="22" s="1"/>
  <c r="AW204" i="22"/>
  <c r="AK206" i="22"/>
  <c r="AW206" i="22" s="1"/>
  <c r="AK210" i="22"/>
  <c r="AW210" i="22" s="1"/>
  <c r="AK95" i="22"/>
  <c r="AW95" i="22" s="1"/>
  <c r="AK242" i="22"/>
  <c r="AW242" i="22" s="1"/>
  <c r="AW247" i="22"/>
  <c r="AK248" i="22"/>
  <c r="AW248" i="22" s="1"/>
  <c r="AK269" i="22"/>
  <c r="AW269" i="22" s="1"/>
  <c r="AW252" i="22"/>
  <c r="AK53" i="22"/>
  <c r="AW53" i="22" s="1"/>
  <c r="AK276" i="22"/>
  <c r="AW276" i="22" s="1"/>
  <c r="AW265" i="22"/>
  <c r="AK186" i="22"/>
  <c r="AW186" i="22" s="1"/>
  <c r="AW273" i="22"/>
  <c r="AK194" i="22"/>
  <c r="AW194" i="22" s="1"/>
  <c r="AK274" i="22"/>
  <c r="AW274" i="22" s="1"/>
  <c r="AW297" i="22"/>
  <c r="AK244" i="22"/>
  <c r="AW244" i="22" s="1"/>
  <c r="AF12" i="22"/>
  <c r="AR12" i="22" s="1"/>
  <c r="AL12" i="22"/>
  <c r="AX12" i="22" s="1"/>
  <c r="AL20" i="22"/>
  <c r="AX20" i="22" s="1"/>
  <c r="AA20" i="22"/>
  <c r="AM20" i="22" s="1"/>
  <c r="AE34" i="22"/>
  <c r="AQ34" i="22" s="1"/>
  <c r="AD34" i="22"/>
  <c r="AP34" i="22" s="1"/>
  <c r="AE36" i="22"/>
  <c r="AQ36" i="22" s="1"/>
  <c r="AD36" i="22"/>
  <c r="AP36" i="22" s="1"/>
  <c r="AE52" i="22"/>
  <c r="AQ52" i="22" s="1"/>
  <c r="AD52" i="22"/>
  <c r="AP52" i="22" s="1"/>
  <c r="AL64" i="22"/>
  <c r="AX64" i="22" s="1"/>
  <c r="AE76" i="22"/>
  <c r="AQ76" i="22" s="1"/>
  <c r="AD76" i="22"/>
  <c r="AP76" i="22" s="1"/>
  <c r="AL97" i="22"/>
  <c r="AX97" i="22" s="1"/>
  <c r="AE116" i="22"/>
  <c r="AQ116" i="22" s="1"/>
  <c r="AD116" i="22"/>
  <c r="AP116" i="22" s="1"/>
  <c r="AM123" i="22"/>
  <c r="AA126" i="22"/>
  <c r="AM126" i="22" s="1"/>
  <c r="AW4" i="22"/>
  <c r="AK5" i="22"/>
  <c r="AW5" i="22" s="1"/>
  <c r="AU4" i="22"/>
  <c r="AI5" i="22"/>
  <c r="AU5" i="22" s="1"/>
  <c r="AT4" i="22"/>
  <c r="AH5" i="22"/>
  <c r="AT5" i="22" s="1"/>
  <c r="AV9" i="22"/>
  <c r="AJ10" i="22"/>
  <c r="AV10" i="22" s="1"/>
  <c r="AF225" i="22"/>
  <c r="AR225" i="22" s="1"/>
  <c r="AR101" i="22"/>
  <c r="AF100" i="22"/>
  <c r="AR100" i="22" s="1"/>
  <c r="AM137" i="22"/>
  <c r="AA266" i="22"/>
  <c r="AM266" i="22" s="1"/>
  <c r="AQ161" i="22"/>
  <c r="AE172" i="22"/>
  <c r="AQ172" i="22" s="1"/>
  <c r="AE210" i="22"/>
  <c r="AQ210" i="22" s="1"/>
  <c r="AQ241" i="22"/>
  <c r="AE242" i="22"/>
  <c r="AQ242" i="22" s="1"/>
  <c r="AM249" i="22"/>
  <c r="AA269" i="22"/>
  <c r="AM269" i="22" s="1"/>
  <c r="AE214" i="22"/>
  <c r="AQ214" i="22" s="1"/>
  <c r="AD214" i="22"/>
  <c r="AP214" i="22" s="1"/>
  <c r="AE14" i="22"/>
  <c r="AQ14" i="22" s="1"/>
  <c r="AD14" i="22"/>
  <c r="AP14" i="22" s="1"/>
  <c r="AX17" i="22"/>
  <c r="AL18" i="22"/>
  <c r="AX18" i="22" s="1"/>
  <c r="AQ25" i="22"/>
  <c r="AE254" i="22"/>
  <c r="AQ254" i="22" s="1"/>
  <c r="AD254" i="22"/>
  <c r="AP254" i="22" s="1"/>
  <c r="AP25" i="22"/>
  <c r="AL66" i="22"/>
  <c r="AX66" i="22" s="1"/>
  <c r="AL225" i="22"/>
  <c r="AX225" i="22" s="1"/>
  <c r="AQ105" i="22"/>
  <c r="AE106" i="22"/>
  <c r="AQ106" i="22" s="1"/>
  <c r="AP105" i="22"/>
  <c r="AD106" i="22"/>
  <c r="AP106" i="22" s="1"/>
  <c r="AX113" i="22"/>
  <c r="AL114" i="22"/>
  <c r="AX114" i="22" s="1"/>
  <c r="AE304" i="22"/>
  <c r="AQ304" i="22" s="1"/>
  <c r="AS28" i="22"/>
  <c r="AG209" i="22"/>
  <c r="AS209" i="22" s="1"/>
  <c r="AK52" i="22"/>
  <c r="AW52" i="22" s="1"/>
  <c r="AK64" i="22"/>
  <c r="AW64" i="22" s="1"/>
  <c r="AG65" i="22"/>
  <c r="AS65" i="22" s="1"/>
  <c r="AW77" i="22"/>
  <c r="AK79" i="22"/>
  <c r="AW79" i="22" s="1"/>
  <c r="AS92" i="22"/>
  <c r="AG219" i="22"/>
  <c r="AS219" i="22" s="1"/>
  <c r="AS96" i="22"/>
  <c r="AG223" i="22"/>
  <c r="AS223" i="22" s="1"/>
  <c r="AO101" i="22"/>
  <c r="AC100" i="22"/>
  <c r="AO100" i="22" s="1"/>
  <c r="AW105" i="22"/>
  <c r="AK106" i="22"/>
  <c r="AW106" i="22" s="1"/>
  <c r="AK116" i="22"/>
  <c r="AW116" i="22" s="1"/>
  <c r="AW123" i="22"/>
  <c r="AK126" i="22"/>
  <c r="AW126" i="22" s="1"/>
  <c r="AD151" i="22"/>
  <c r="AP151" i="22" s="1"/>
  <c r="AH147" i="22"/>
  <c r="AT147" i="22" s="1"/>
  <c r="AT161" i="22"/>
  <c r="AH172" i="22"/>
  <c r="AT172" i="22" s="1"/>
  <c r="AX163" i="22"/>
  <c r="AL164" i="22"/>
  <c r="AX164" i="22" s="1"/>
  <c r="AH175" i="22"/>
  <c r="AT175" i="22" s="1"/>
  <c r="AP176" i="22"/>
  <c r="AD178" i="22"/>
  <c r="AP178" i="22" s="1"/>
  <c r="AX200" i="22"/>
  <c r="AL201" i="22"/>
  <c r="AX201" i="22" s="1"/>
  <c r="AT204" i="22"/>
  <c r="AH206" i="22"/>
  <c r="AT206" i="22" s="1"/>
  <c r="AD26" i="22"/>
  <c r="AP26" i="22" s="1"/>
  <c r="AP208" i="22"/>
  <c r="AH210" i="22"/>
  <c r="AT210" i="22" s="1"/>
  <c r="AH95" i="22"/>
  <c r="AT95" i="22" s="1"/>
  <c r="AD241" i="22"/>
  <c r="AP241" i="22" s="1"/>
  <c r="AH242" i="22"/>
  <c r="AT242" i="22" s="1"/>
  <c r="AL245" i="22"/>
  <c r="AX245" i="22" s="1"/>
  <c r="AD246" i="22"/>
  <c r="AP246" i="22" s="1"/>
  <c r="AH248" i="22"/>
  <c r="AT248" i="22" s="1"/>
  <c r="AT247" i="22"/>
  <c r="AL249" i="22"/>
  <c r="AX249" i="22" s="1"/>
  <c r="AD264" i="22"/>
  <c r="AP264" i="22" s="1"/>
  <c r="AH53" i="22"/>
  <c r="AT53" i="22" s="1"/>
  <c r="AD260" i="22"/>
  <c r="AP260" i="22" s="1"/>
  <c r="AT273" i="22"/>
  <c r="AH194" i="22"/>
  <c r="AT194" i="22" s="1"/>
  <c r="AP283" i="22"/>
  <c r="AD300" i="22"/>
  <c r="AP300" i="22" s="1"/>
  <c r="AD290" i="22"/>
  <c r="AP290" i="22" s="1"/>
  <c r="AX291" i="22"/>
  <c r="AL295" i="22"/>
  <c r="AX295" i="22" s="1"/>
  <c r="AL305" i="22"/>
  <c r="AX305" i="22" s="1"/>
  <c r="AP299" i="22"/>
  <c r="AD288" i="22"/>
  <c r="AP288" i="22" s="1"/>
  <c r="AO12" i="22"/>
  <c r="AC13" i="22"/>
  <c r="AO13" i="22" s="1"/>
  <c r="AE13" i="22"/>
  <c r="AQ13" i="22" s="1"/>
  <c r="AD13" i="22"/>
  <c r="AP13" i="22" s="1"/>
  <c r="AE21" i="22"/>
  <c r="AQ21" i="22" s="1"/>
  <c r="AD21" i="22"/>
  <c r="AP21" i="22" s="1"/>
  <c r="AQ28" i="22"/>
  <c r="AE209" i="22"/>
  <c r="AQ209" i="22" s="1"/>
  <c r="AP28" i="22"/>
  <c r="AD209" i="22"/>
  <c r="AP209" i="22" s="1"/>
  <c r="AE252" i="22"/>
  <c r="AQ252" i="22" s="1"/>
  <c r="AD252" i="22"/>
  <c r="AP252" i="22" s="1"/>
  <c r="AL65" i="22"/>
  <c r="AX65" i="22" s="1"/>
  <c r="AE80" i="22"/>
  <c r="AQ80" i="22" s="1"/>
  <c r="AD80" i="22"/>
  <c r="AP80" i="22" s="1"/>
  <c r="AL81" i="22"/>
  <c r="AX81" i="22" s="1"/>
  <c r="AQ92" i="22"/>
  <c r="AE219" i="22"/>
  <c r="AQ219" i="22" s="1"/>
  <c r="AP92" i="22"/>
  <c r="AD219" i="22"/>
  <c r="AP219" i="22" s="1"/>
  <c r="AL223" i="22"/>
  <c r="AX223" i="22" s="1"/>
  <c r="AX96" i="22"/>
  <c r="AE287" i="22"/>
  <c r="AQ287" i="22" s="1"/>
  <c r="AD287" i="22"/>
  <c r="AP287" i="22" s="1"/>
  <c r="AL107" i="22"/>
  <c r="AX107" i="22" s="1"/>
  <c r="AX112" i="22"/>
  <c r="AE117" i="22"/>
  <c r="AQ117" i="22" s="1"/>
  <c r="AD117" i="22"/>
  <c r="AP117" i="22" s="1"/>
  <c r="AU124" i="22"/>
  <c r="AI125" i="22"/>
  <c r="AU125" i="22" s="1"/>
  <c r="AR25" i="22"/>
  <c r="AF254" i="22"/>
  <c r="AR254" i="22" s="1"/>
  <c r="AR53" i="22"/>
  <c r="AF54" i="22"/>
  <c r="AR54" i="22" s="1"/>
  <c r="AQ133" i="22"/>
  <c r="AU241" i="22"/>
  <c r="AI242" i="22"/>
  <c r="AU242" i="22" s="1"/>
  <c r="AM273" i="22"/>
  <c r="AA194" i="22"/>
  <c r="AM194" i="22" s="1"/>
  <c r="AF10" i="22"/>
  <c r="AR10" i="22" s="1"/>
  <c r="AL10" i="22"/>
  <c r="AX10" i="22" s="1"/>
  <c r="AQ53" i="22"/>
  <c r="AE54" i="22"/>
  <c r="AQ54" i="22" s="1"/>
  <c r="AD54" i="22"/>
  <c r="AP54" i="22" s="1"/>
  <c r="AL79" i="22"/>
  <c r="AX79" i="22" s="1"/>
  <c r="AX77" i="22"/>
  <c r="AQ101" i="22"/>
  <c r="AE100" i="22"/>
  <c r="AQ100" i="22" s="1"/>
  <c r="AP101" i="22"/>
  <c r="AD100" i="22"/>
  <c r="AP100" i="22" s="1"/>
  <c r="AO50" i="22"/>
  <c r="AC51" i="22"/>
  <c r="AO51" i="22" s="1"/>
  <c r="AC126" i="22"/>
  <c r="AO126" i="22" s="1"/>
  <c r="AF9" i="22"/>
  <c r="AR9" i="22" s="1"/>
  <c r="AF27" i="22"/>
  <c r="AR27" i="22" s="1"/>
  <c r="AR318" i="22"/>
  <c r="AF316" i="22"/>
  <c r="AR316" i="22" s="1"/>
  <c r="AJ316" i="22"/>
  <c r="AV316" i="22" s="1"/>
  <c r="AV318" i="22"/>
  <c r="AC212" i="22"/>
  <c r="AO212" i="22" s="1"/>
  <c r="AG97" i="22"/>
  <c r="AS97" i="22" s="1"/>
  <c r="AJ256" i="22"/>
  <c r="AV256" i="22" s="1"/>
  <c r="AO14" i="22"/>
  <c r="AC15" i="22"/>
  <c r="AO15" i="22" s="1"/>
  <c r="AE15" i="22"/>
  <c r="AQ15" i="22" s="1"/>
  <c r="AD15" i="22"/>
  <c r="AP15" i="22" s="1"/>
  <c r="AF55" i="22"/>
  <c r="AR55" i="22" s="1"/>
  <c r="AL55" i="22"/>
  <c r="AX55" i="22" s="1"/>
  <c r="AC128" i="22"/>
  <c r="AO128" i="22" s="1"/>
  <c r="AK128" i="22"/>
  <c r="AW128" i="22" s="1"/>
  <c r="AA128" i="22"/>
  <c r="AM128" i="22" s="1"/>
  <c r="AQ158" i="22"/>
  <c r="AE159" i="22"/>
  <c r="AQ159" i="22" s="1"/>
  <c r="AU158" i="22"/>
  <c r="AI159" i="22"/>
  <c r="AU159" i="22" s="1"/>
  <c r="AO158" i="22"/>
  <c r="AC159" i="22"/>
  <c r="AO159" i="22" s="1"/>
  <c r="AL9" i="22"/>
  <c r="AX9" i="22" s="1"/>
  <c r="AA9" i="22"/>
  <c r="AM9" i="22" s="1"/>
  <c r="AI27" i="22"/>
  <c r="AU27" i="22" s="1"/>
  <c r="AD27" i="22"/>
  <c r="AP27" i="22" s="1"/>
  <c r="AC27" i="22"/>
  <c r="AO27" i="22" s="1"/>
  <c r="AD255" i="22"/>
  <c r="AP255" i="22" s="1"/>
  <c r="AP262" i="22"/>
  <c r="AS262" i="22"/>
  <c r="AG255" i="22"/>
  <c r="AS255" i="22" s="1"/>
  <c r="AQ318" i="22"/>
  <c r="AE316" i="22"/>
  <c r="AQ316" i="22" s="1"/>
  <c r="AU318" i="22"/>
  <c r="AI316" i="22"/>
  <c r="AU316" i="22" s="1"/>
  <c r="AC316" i="22"/>
  <c r="AO316" i="22" s="1"/>
  <c r="AO318" i="22"/>
  <c r="AW50" i="22"/>
  <c r="AK51" i="22"/>
  <c r="AW51" i="22" s="1"/>
  <c r="AP122" i="22"/>
  <c r="AD323" i="22"/>
  <c r="AP323" i="22" s="1"/>
  <c r="AB256" i="22"/>
  <c r="AN256" i="22" s="1"/>
  <c r="AN210" i="22"/>
  <c r="AB31" i="22"/>
  <c r="AN31" i="22" s="1"/>
  <c r="AN250" i="22"/>
  <c r="AB251" i="22"/>
  <c r="AN251" i="22" s="1"/>
  <c r="AR210" i="22"/>
  <c r="AF31" i="22"/>
  <c r="AR31" i="22" s="1"/>
  <c r="AV290" i="22"/>
  <c r="AC11" i="22"/>
  <c r="AO11" i="22" s="1"/>
  <c r="AE11" i="22"/>
  <c r="AQ11" i="22" s="1"/>
  <c r="AD11" i="22"/>
  <c r="AP11" i="22" s="1"/>
  <c r="AF19" i="22"/>
  <c r="AR19" i="22" s="1"/>
  <c r="AL19" i="22"/>
  <c r="AX19" i="22" s="1"/>
  <c r="AB212" i="22"/>
  <c r="AN212" i="22" s="1"/>
  <c r="AQ26" i="22"/>
  <c r="AE212" i="22"/>
  <c r="AQ212" i="22" s="1"/>
  <c r="AD212" i="22"/>
  <c r="AP212" i="22" s="1"/>
  <c r="AF35" i="22"/>
  <c r="AR35" i="22" s="1"/>
  <c r="AL35" i="22"/>
  <c r="AX35" i="22" s="1"/>
  <c r="AR50" i="22"/>
  <c r="AF51" i="22"/>
  <c r="AR51" i="22" s="1"/>
  <c r="AX50" i="22"/>
  <c r="AL51" i="22"/>
  <c r="AX51" i="22" s="1"/>
  <c r="AV74" i="22"/>
  <c r="AJ75" i="22"/>
  <c r="AV75" i="22" s="1"/>
  <c r="AQ74" i="22"/>
  <c r="AE75" i="22"/>
  <c r="AQ75" i="22" s="1"/>
  <c r="AP74" i="22"/>
  <c r="AD75" i="22"/>
  <c r="AP75" i="22" s="1"/>
  <c r="AF115" i="22"/>
  <c r="AR115" i="22" s="1"/>
  <c r="AL115" i="22"/>
  <c r="AX115" i="22" s="1"/>
  <c r="AG323" i="22"/>
  <c r="AS323" i="22" s="1"/>
  <c r="AS122" i="22"/>
  <c r="AW122" i="22"/>
  <c r="AK323" i="22"/>
  <c r="AW323" i="22" s="1"/>
  <c r="AM122" i="22"/>
  <c r="AA323" i="22"/>
  <c r="AM323" i="22" s="1"/>
  <c r="AM178" i="22"/>
  <c r="AA181" i="22"/>
  <c r="AM181" i="22" s="1"/>
  <c r="AE181" i="22"/>
  <c r="AQ181" i="22" s="1"/>
  <c r="AH256" i="22"/>
  <c r="AT256" i="22" s="1"/>
  <c r="AG256" i="22"/>
  <c r="AS256" i="22" s="1"/>
  <c r="AL31" i="22"/>
  <c r="AX31" i="22" s="1"/>
  <c r="AA31" i="22"/>
  <c r="AM31" i="22" s="1"/>
  <c r="AQ218" i="22"/>
  <c r="AE220" i="22"/>
  <c r="AQ220" i="22" s="1"/>
  <c r="AU218" i="22"/>
  <c r="AI220" i="22"/>
  <c r="AU220" i="22" s="1"/>
  <c r="AO218" i="22"/>
  <c r="AC220" i="22"/>
  <c r="AO220" i="22" s="1"/>
  <c r="AL243" i="22"/>
  <c r="AX243" i="22" s="1"/>
  <c r="AA243" i="22"/>
  <c r="AM243" i="22" s="1"/>
  <c r="AU250" i="22"/>
  <c r="AI251" i="22"/>
  <c r="AU251" i="22" s="1"/>
  <c r="AD251" i="22"/>
  <c r="AP251" i="22" s="1"/>
  <c r="AP250" i="22"/>
  <c r="AO250" i="22"/>
  <c r="AC251" i="22"/>
  <c r="AO251" i="22" s="1"/>
  <c r="AL144" i="22"/>
  <c r="AX144" i="22" s="1"/>
  <c r="AK144" i="22"/>
  <c r="AW144" i="22" s="1"/>
  <c r="AL278" i="22"/>
  <c r="AX278" i="22" s="1"/>
  <c r="AM274" i="22"/>
  <c r="AA278" i="22"/>
  <c r="AM278" i="22" s="1"/>
  <c r="M2" i="7"/>
  <c r="M3" i="7" s="1"/>
  <c r="M4" i="7" s="1"/>
  <c r="M5" i="7" s="1"/>
  <c r="BB7" i="34"/>
  <c r="BB8" i="34"/>
  <c r="BB9" i="34"/>
  <c r="BB10" i="34"/>
  <c r="BB11" i="34"/>
  <c r="BB12" i="34"/>
  <c r="BB13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P2" i="25"/>
  <c r="C4" i="34"/>
  <c r="D4" i="34"/>
  <c r="E4" i="34"/>
  <c r="F4" i="34"/>
  <c r="G4" i="34"/>
  <c r="H4" i="34"/>
  <c r="I4" i="34"/>
  <c r="J4" i="34"/>
  <c r="K4" i="34"/>
  <c r="L4" i="34"/>
  <c r="M4" i="34"/>
  <c r="N4" i="34"/>
  <c r="C5" i="34"/>
  <c r="D5" i="34"/>
  <c r="E5" i="34"/>
  <c r="F5" i="34"/>
  <c r="G5" i="34"/>
  <c r="H5" i="34"/>
  <c r="I5" i="34"/>
  <c r="J5" i="34"/>
  <c r="K5" i="34"/>
  <c r="L5" i="34"/>
  <c r="M5" i="34"/>
  <c r="N5" i="34"/>
  <c r="C6" i="34"/>
  <c r="D6" i="34"/>
  <c r="E6" i="34"/>
  <c r="F6" i="34"/>
  <c r="G6" i="34"/>
  <c r="H6" i="34"/>
  <c r="I6" i="34"/>
  <c r="J6" i="34"/>
  <c r="K6" i="34"/>
  <c r="L6" i="34"/>
  <c r="M6" i="34"/>
  <c r="N6" i="34"/>
  <c r="C7" i="34"/>
  <c r="D7" i="34"/>
  <c r="E7" i="34"/>
  <c r="F7" i="34"/>
  <c r="G7" i="34"/>
  <c r="H7" i="34"/>
  <c r="I7" i="34"/>
  <c r="J7" i="34"/>
  <c r="K7" i="34"/>
  <c r="L7" i="34"/>
  <c r="M7" i="34"/>
  <c r="N7" i="34"/>
  <c r="C8" i="34"/>
  <c r="D8" i="34"/>
  <c r="E8" i="34"/>
  <c r="F8" i="34"/>
  <c r="G8" i="34"/>
  <c r="H8" i="34"/>
  <c r="I8" i="34"/>
  <c r="J8" i="34"/>
  <c r="K8" i="34"/>
  <c r="L8" i="34"/>
  <c r="M8" i="34"/>
  <c r="N8" i="34"/>
  <c r="C9" i="34"/>
  <c r="D9" i="34"/>
  <c r="E9" i="34"/>
  <c r="F9" i="34"/>
  <c r="G9" i="34"/>
  <c r="H9" i="34"/>
  <c r="I9" i="34"/>
  <c r="J9" i="34"/>
  <c r="K9" i="34"/>
  <c r="L9" i="34"/>
  <c r="M9" i="34"/>
  <c r="N9" i="34"/>
  <c r="C10" i="34"/>
  <c r="D10" i="34"/>
  <c r="E10" i="34"/>
  <c r="F10" i="34"/>
  <c r="G10" i="34"/>
  <c r="H10" i="34"/>
  <c r="I10" i="34"/>
  <c r="J10" i="34"/>
  <c r="K10" i="34"/>
  <c r="L10" i="34"/>
  <c r="M10" i="34"/>
  <c r="N10" i="34"/>
  <c r="C11" i="34"/>
  <c r="D11" i="34"/>
  <c r="E11" i="34"/>
  <c r="F11" i="34"/>
  <c r="G11" i="34"/>
  <c r="H11" i="34"/>
  <c r="I11" i="34"/>
  <c r="J11" i="34"/>
  <c r="K11" i="34"/>
  <c r="L11" i="34"/>
  <c r="M11" i="34"/>
  <c r="N11" i="34"/>
  <c r="C12" i="34"/>
  <c r="D12" i="34"/>
  <c r="E12" i="34"/>
  <c r="F12" i="34"/>
  <c r="G12" i="34"/>
  <c r="H12" i="34"/>
  <c r="I12" i="34"/>
  <c r="J12" i="34"/>
  <c r="K12" i="34"/>
  <c r="L12" i="34"/>
  <c r="M12" i="34"/>
  <c r="N12" i="34"/>
  <c r="C13" i="34"/>
  <c r="D13" i="34"/>
  <c r="E13" i="34"/>
  <c r="F13" i="34"/>
  <c r="G13" i="34"/>
  <c r="H13" i="34"/>
  <c r="I13" i="34"/>
  <c r="J13" i="34"/>
  <c r="K13" i="34"/>
  <c r="L13" i="34"/>
  <c r="M13" i="34"/>
  <c r="N13" i="34"/>
  <c r="C14" i="34"/>
  <c r="D14" i="34"/>
  <c r="E14" i="34"/>
  <c r="F14" i="34"/>
  <c r="G14" i="34"/>
  <c r="H14" i="34"/>
  <c r="I14" i="34"/>
  <c r="J14" i="34"/>
  <c r="K14" i="34"/>
  <c r="L14" i="34"/>
  <c r="M14" i="34"/>
  <c r="N14" i="34"/>
  <c r="C15" i="34"/>
  <c r="D15" i="34"/>
  <c r="E15" i="34"/>
  <c r="F15" i="34"/>
  <c r="G15" i="34"/>
  <c r="H15" i="34"/>
  <c r="I15" i="34"/>
  <c r="J15" i="34"/>
  <c r="K15" i="34"/>
  <c r="L15" i="34"/>
  <c r="M15" i="34"/>
  <c r="N15" i="34"/>
  <c r="C16" i="34"/>
  <c r="D16" i="34"/>
  <c r="E16" i="34"/>
  <c r="F16" i="34"/>
  <c r="G16" i="34"/>
  <c r="H16" i="34"/>
  <c r="I16" i="34"/>
  <c r="J16" i="34"/>
  <c r="K16" i="34"/>
  <c r="L16" i="34"/>
  <c r="M16" i="34"/>
  <c r="N16" i="34"/>
  <c r="C17" i="34"/>
  <c r="D17" i="34"/>
  <c r="E17" i="34"/>
  <c r="F17" i="34"/>
  <c r="G17" i="34"/>
  <c r="H17" i="34"/>
  <c r="I17" i="34"/>
  <c r="J17" i="34"/>
  <c r="K17" i="34"/>
  <c r="L17" i="34"/>
  <c r="M17" i="34"/>
  <c r="N17" i="34"/>
  <c r="C18" i="34"/>
  <c r="D18" i="34"/>
  <c r="E18" i="34"/>
  <c r="F18" i="34"/>
  <c r="G18" i="34"/>
  <c r="H18" i="34"/>
  <c r="I18" i="34"/>
  <c r="J18" i="34"/>
  <c r="K18" i="34"/>
  <c r="L18" i="34"/>
  <c r="M18" i="34"/>
  <c r="N18" i="34"/>
  <c r="C19" i="34"/>
  <c r="D19" i="34"/>
  <c r="E19" i="34"/>
  <c r="F19" i="34"/>
  <c r="G19" i="34"/>
  <c r="H19" i="34"/>
  <c r="I19" i="34"/>
  <c r="J19" i="34"/>
  <c r="K19" i="34"/>
  <c r="L19" i="34"/>
  <c r="M19" i="34"/>
  <c r="N19" i="34"/>
  <c r="C20" i="34"/>
  <c r="D20" i="34"/>
  <c r="E20" i="34"/>
  <c r="F20" i="34"/>
  <c r="G20" i="34"/>
  <c r="H20" i="34"/>
  <c r="I20" i="34"/>
  <c r="J20" i="34"/>
  <c r="K20" i="34"/>
  <c r="L20" i="34"/>
  <c r="M20" i="34"/>
  <c r="N20" i="34"/>
  <c r="C21" i="34"/>
  <c r="D21" i="34"/>
  <c r="E21" i="34"/>
  <c r="F21" i="34"/>
  <c r="G21" i="34"/>
  <c r="H21" i="34"/>
  <c r="I21" i="34"/>
  <c r="J21" i="34"/>
  <c r="K21" i="34"/>
  <c r="L21" i="34"/>
  <c r="M21" i="34"/>
  <c r="N21" i="34"/>
  <c r="C22" i="34"/>
  <c r="D22" i="34"/>
  <c r="E22" i="34"/>
  <c r="F22" i="34"/>
  <c r="G22" i="34"/>
  <c r="H22" i="34"/>
  <c r="I22" i="34"/>
  <c r="J22" i="34"/>
  <c r="K22" i="34"/>
  <c r="L22" i="34"/>
  <c r="M22" i="34"/>
  <c r="N22" i="34"/>
  <c r="C23" i="34"/>
  <c r="D23" i="34"/>
  <c r="E23" i="34"/>
  <c r="F23" i="34"/>
  <c r="G23" i="34"/>
  <c r="H23" i="34"/>
  <c r="I23" i="34"/>
  <c r="J23" i="34"/>
  <c r="K23" i="34"/>
  <c r="L23" i="34"/>
  <c r="M23" i="34"/>
  <c r="N23" i="34"/>
  <c r="C24" i="34"/>
  <c r="D24" i="34"/>
  <c r="E24" i="34"/>
  <c r="F24" i="34"/>
  <c r="G24" i="34"/>
  <c r="H24" i="34"/>
  <c r="I24" i="34"/>
  <c r="J24" i="34"/>
  <c r="K24" i="34"/>
  <c r="L24" i="34"/>
  <c r="M24" i="34"/>
  <c r="N24" i="34"/>
  <c r="C25" i="34"/>
  <c r="D25" i="34"/>
  <c r="E25" i="34"/>
  <c r="F25" i="34"/>
  <c r="G25" i="34"/>
  <c r="H25" i="34"/>
  <c r="I25" i="34"/>
  <c r="J25" i="34"/>
  <c r="K25" i="34"/>
  <c r="L25" i="34"/>
  <c r="M25" i="34"/>
  <c r="N25" i="34"/>
  <c r="C26" i="34"/>
  <c r="D26" i="34"/>
  <c r="E26" i="34"/>
  <c r="F26" i="34"/>
  <c r="G26" i="34"/>
  <c r="H26" i="34"/>
  <c r="I26" i="34"/>
  <c r="J26" i="34"/>
  <c r="K26" i="34"/>
  <c r="L26" i="34"/>
  <c r="M26" i="34"/>
  <c r="N26" i="34"/>
  <c r="C27" i="34"/>
  <c r="D27" i="34"/>
  <c r="E27" i="34"/>
  <c r="F27" i="34"/>
  <c r="G27" i="34"/>
  <c r="H27" i="34"/>
  <c r="I27" i="34"/>
  <c r="J27" i="34"/>
  <c r="K27" i="34"/>
  <c r="L27" i="34"/>
  <c r="M27" i="34"/>
  <c r="N27" i="34"/>
  <c r="C28" i="34"/>
  <c r="D28" i="34"/>
  <c r="E28" i="34"/>
  <c r="F28" i="34"/>
  <c r="G28" i="34"/>
  <c r="H28" i="34"/>
  <c r="I28" i="34"/>
  <c r="J28" i="34"/>
  <c r="K28" i="34"/>
  <c r="L28" i="34"/>
  <c r="M28" i="34"/>
  <c r="N28" i="34"/>
  <c r="C29" i="34"/>
  <c r="D29" i="34"/>
  <c r="E29" i="34"/>
  <c r="F29" i="34"/>
  <c r="G29" i="34"/>
  <c r="H29" i="34"/>
  <c r="I29" i="34"/>
  <c r="J29" i="34"/>
  <c r="K29" i="34"/>
  <c r="L29" i="34"/>
  <c r="M29" i="34"/>
  <c r="N29" i="34"/>
  <c r="C30" i="34"/>
  <c r="D30" i="34"/>
  <c r="E30" i="34"/>
  <c r="F30" i="34"/>
  <c r="G30" i="34"/>
  <c r="H30" i="34"/>
  <c r="I30" i="34"/>
  <c r="J30" i="34"/>
  <c r="K30" i="34"/>
  <c r="L30" i="34"/>
  <c r="M30" i="34"/>
  <c r="N30" i="34"/>
  <c r="C31" i="34"/>
  <c r="D31" i="34"/>
  <c r="E31" i="34"/>
  <c r="F31" i="34"/>
  <c r="G31" i="34"/>
  <c r="H31" i="34"/>
  <c r="I31" i="34"/>
  <c r="J31" i="34"/>
  <c r="K31" i="34"/>
  <c r="L31" i="34"/>
  <c r="M31" i="34"/>
  <c r="N31" i="34"/>
  <c r="C32" i="34"/>
  <c r="D32" i="34"/>
  <c r="E32" i="34"/>
  <c r="F32" i="34"/>
  <c r="G32" i="34"/>
  <c r="H32" i="34"/>
  <c r="I32" i="34"/>
  <c r="J32" i="34"/>
  <c r="K32" i="34"/>
  <c r="L32" i="34"/>
  <c r="M32" i="34"/>
  <c r="N32" i="34"/>
  <c r="C33" i="34"/>
  <c r="D33" i="34"/>
  <c r="E33" i="34"/>
  <c r="F33" i="34"/>
  <c r="G33" i="34"/>
  <c r="H33" i="34"/>
  <c r="I33" i="34"/>
  <c r="J33" i="34"/>
  <c r="K33" i="34"/>
  <c r="L33" i="34"/>
  <c r="M33" i="34"/>
  <c r="N33" i="34"/>
  <c r="C34" i="34"/>
  <c r="D34" i="34"/>
  <c r="E34" i="34"/>
  <c r="F34" i="34"/>
  <c r="G34" i="34"/>
  <c r="H34" i="34"/>
  <c r="I34" i="34"/>
  <c r="J34" i="34"/>
  <c r="K34" i="34"/>
  <c r="L34" i="34"/>
  <c r="M34" i="34"/>
  <c r="N34" i="34"/>
  <c r="C35" i="34"/>
  <c r="D35" i="34"/>
  <c r="E35" i="34"/>
  <c r="F35" i="34"/>
  <c r="G35" i="34"/>
  <c r="H35" i="34"/>
  <c r="I35" i="34"/>
  <c r="J35" i="34"/>
  <c r="K35" i="34"/>
  <c r="L35" i="34"/>
  <c r="M35" i="34"/>
  <c r="N35" i="34"/>
  <c r="C36" i="34"/>
  <c r="D36" i="34"/>
  <c r="E36" i="34"/>
  <c r="F36" i="34"/>
  <c r="G36" i="34"/>
  <c r="H36" i="34"/>
  <c r="I36" i="34"/>
  <c r="J36" i="34"/>
  <c r="K36" i="34"/>
  <c r="L36" i="34"/>
  <c r="M36" i="34"/>
  <c r="N36" i="34"/>
  <c r="C37" i="34"/>
  <c r="D37" i="34"/>
  <c r="E37" i="34"/>
  <c r="F37" i="34"/>
  <c r="G37" i="34"/>
  <c r="H37" i="34"/>
  <c r="I37" i="34"/>
  <c r="J37" i="34"/>
  <c r="K37" i="34"/>
  <c r="L37" i="34"/>
  <c r="M37" i="34"/>
  <c r="N37" i="34"/>
  <c r="C38" i="34"/>
  <c r="D38" i="34"/>
  <c r="E38" i="34"/>
  <c r="F38" i="34"/>
  <c r="G38" i="34"/>
  <c r="H38" i="34"/>
  <c r="I38" i="34"/>
  <c r="J38" i="34"/>
  <c r="K38" i="34"/>
  <c r="L38" i="34"/>
  <c r="M38" i="34"/>
  <c r="N38" i="34"/>
  <c r="C39" i="34"/>
  <c r="D39" i="34"/>
  <c r="E39" i="34"/>
  <c r="F39" i="34"/>
  <c r="G39" i="34"/>
  <c r="H39" i="34"/>
  <c r="I39" i="34"/>
  <c r="J39" i="34"/>
  <c r="K39" i="34"/>
  <c r="L39" i="34"/>
  <c r="M39" i="34"/>
  <c r="N39" i="34"/>
  <c r="C40" i="34"/>
  <c r="D40" i="34"/>
  <c r="E40" i="34"/>
  <c r="F40" i="34"/>
  <c r="G40" i="34"/>
  <c r="H40" i="34"/>
  <c r="I40" i="34"/>
  <c r="J40" i="34"/>
  <c r="K40" i="34"/>
  <c r="L40" i="34"/>
  <c r="M40" i="34"/>
  <c r="N40" i="34"/>
  <c r="C41" i="34"/>
  <c r="D41" i="34"/>
  <c r="E41" i="34"/>
  <c r="F41" i="34"/>
  <c r="G41" i="34"/>
  <c r="H41" i="34"/>
  <c r="I41" i="34"/>
  <c r="J41" i="34"/>
  <c r="K41" i="34"/>
  <c r="L41" i="34"/>
  <c r="M41" i="34"/>
  <c r="N41" i="34"/>
  <c r="C42" i="34"/>
  <c r="D42" i="34"/>
  <c r="E42" i="34"/>
  <c r="F42" i="34"/>
  <c r="G42" i="34"/>
  <c r="H42" i="34"/>
  <c r="I42" i="34"/>
  <c r="J42" i="34"/>
  <c r="K42" i="34"/>
  <c r="L42" i="34"/>
  <c r="M42" i="34"/>
  <c r="N42" i="34"/>
  <c r="C43" i="34"/>
  <c r="D43" i="34"/>
  <c r="E43" i="34"/>
  <c r="F43" i="34"/>
  <c r="G43" i="34"/>
  <c r="H43" i="34"/>
  <c r="I43" i="34"/>
  <c r="J43" i="34"/>
  <c r="K43" i="34"/>
  <c r="L43" i="34"/>
  <c r="M43" i="34"/>
  <c r="N43" i="34"/>
  <c r="C44" i="34"/>
  <c r="D44" i="34"/>
  <c r="E44" i="34"/>
  <c r="F44" i="34"/>
  <c r="G44" i="34"/>
  <c r="H44" i="34"/>
  <c r="I44" i="34"/>
  <c r="J44" i="34"/>
  <c r="K44" i="34"/>
  <c r="L44" i="34"/>
  <c r="M44" i="34"/>
  <c r="N44" i="34"/>
  <c r="C45" i="34"/>
  <c r="D45" i="34"/>
  <c r="E45" i="34"/>
  <c r="F45" i="34"/>
  <c r="G45" i="34"/>
  <c r="H45" i="34"/>
  <c r="I45" i="34"/>
  <c r="J45" i="34"/>
  <c r="K45" i="34"/>
  <c r="L45" i="34"/>
  <c r="M45" i="34"/>
  <c r="N45" i="34"/>
  <c r="C46" i="34"/>
  <c r="D46" i="34"/>
  <c r="E46" i="34"/>
  <c r="F46" i="34"/>
  <c r="G46" i="34"/>
  <c r="H46" i="34"/>
  <c r="I46" i="34"/>
  <c r="J46" i="34"/>
  <c r="K46" i="34"/>
  <c r="L46" i="34"/>
  <c r="M46" i="34"/>
  <c r="N46" i="34"/>
  <c r="C47" i="34"/>
  <c r="D47" i="34"/>
  <c r="E47" i="34"/>
  <c r="F47" i="34"/>
  <c r="G47" i="34"/>
  <c r="H47" i="34"/>
  <c r="I47" i="34"/>
  <c r="J47" i="34"/>
  <c r="K47" i="34"/>
  <c r="L47" i="34"/>
  <c r="M47" i="34"/>
  <c r="N47" i="34"/>
  <c r="C48" i="34"/>
  <c r="D48" i="34"/>
  <c r="E48" i="34"/>
  <c r="F48" i="34"/>
  <c r="G48" i="34"/>
  <c r="H48" i="34"/>
  <c r="I48" i="34"/>
  <c r="J48" i="34"/>
  <c r="K48" i="34"/>
  <c r="L48" i="34"/>
  <c r="M48" i="34"/>
  <c r="N48" i="34"/>
  <c r="C49" i="34"/>
  <c r="D49" i="34"/>
  <c r="E49" i="34"/>
  <c r="F49" i="34"/>
  <c r="G49" i="34"/>
  <c r="H49" i="34"/>
  <c r="I49" i="34"/>
  <c r="J49" i="34"/>
  <c r="K49" i="34"/>
  <c r="L49" i="34"/>
  <c r="M49" i="34"/>
  <c r="N49" i="34"/>
  <c r="C50" i="34"/>
  <c r="D50" i="34"/>
  <c r="E50" i="34"/>
  <c r="F50" i="34"/>
  <c r="G50" i="34"/>
  <c r="H50" i="34"/>
  <c r="I50" i="34"/>
  <c r="J50" i="34"/>
  <c r="K50" i="34"/>
  <c r="L50" i="34"/>
  <c r="M50" i="34"/>
  <c r="N50" i="34"/>
  <c r="C51" i="34"/>
  <c r="D51" i="34"/>
  <c r="E51" i="34"/>
  <c r="F51" i="34"/>
  <c r="G51" i="34"/>
  <c r="H51" i="34"/>
  <c r="I51" i="34"/>
  <c r="J51" i="34"/>
  <c r="K51" i="34"/>
  <c r="L51" i="34"/>
  <c r="M51" i="34"/>
  <c r="N51" i="34"/>
  <c r="C52" i="34"/>
  <c r="D52" i="34"/>
  <c r="E52" i="34"/>
  <c r="F52" i="34"/>
  <c r="G52" i="34"/>
  <c r="H52" i="34"/>
  <c r="I52" i="34"/>
  <c r="J52" i="34"/>
  <c r="K52" i="34"/>
  <c r="L52" i="34"/>
  <c r="M52" i="34"/>
  <c r="N52" i="34"/>
  <c r="C53" i="34"/>
  <c r="D53" i="34"/>
  <c r="E53" i="34"/>
  <c r="F53" i="34"/>
  <c r="G53" i="34"/>
  <c r="H53" i="34"/>
  <c r="I53" i="34"/>
  <c r="J53" i="34"/>
  <c r="K53" i="34"/>
  <c r="L53" i="34"/>
  <c r="M53" i="34"/>
  <c r="N53" i="34"/>
  <c r="C54" i="34"/>
  <c r="D54" i="34"/>
  <c r="E54" i="34"/>
  <c r="F54" i="34"/>
  <c r="G54" i="34"/>
  <c r="H54" i="34"/>
  <c r="I54" i="34"/>
  <c r="J54" i="34"/>
  <c r="K54" i="34"/>
  <c r="L54" i="34"/>
  <c r="M54" i="34"/>
  <c r="N54" i="34"/>
  <c r="C55" i="34"/>
  <c r="D55" i="34"/>
  <c r="E55" i="34"/>
  <c r="F55" i="34"/>
  <c r="G55" i="34"/>
  <c r="H55" i="34"/>
  <c r="I55" i="34"/>
  <c r="J55" i="34"/>
  <c r="K55" i="34"/>
  <c r="L55" i="34"/>
  <c r="M55" i="34"/>
  <c r="N55" i="34"/>
  <c r="C56" i="34"/>
  <c r="D56" i="34"/>
  <c r="E56" i="34"/>
  <c r="F56" i="34"/>
  <c r="G56" i="34"/>
  <c r="H56" i="34"/>
  <c r="I56" i="34"/>
  <c r="J56" i="34"/>
  <c r="K56" i="34"/>
  <c r="L56" i="34"/>
  <c r="M56" i="34"/>
  <c r="N56" i="34"/>
  <c r="C57" i="34"/>
  <c r="D57" i="34"/>
  <c r="E57" i="34"/>
  <c r="F57" i="34"/>
  <c r="G57" i="34"/>
  <c r="H57" i="34"/>
  <c r="I57" i="34"/>
  <c r="J57" i="34"/>
  <c r="K57" i="34"/>
  <c r="L57" i="34"/>
  <c r="M57" i="34"/>
  <c r="N57" i="34"/>
  <c r="C58" i="34"/>
  <c r="D58" i="34"/>
  <c r="E58" i="34"/>
  <c r="F58" i="34"/>
  <c r="G58" i="34"/>
  <c r="H58" i="34"/>
  <c r="I58" i="34"/>
  <c r="J58" i="34"/>
  <c r="K58" i="34"/>
  <c r="L58" i="34"/>
  <c r="M58" i="34"/>
  <c r="N58" i="34"/>
  <c r="C59" i="34"/>
  <c r="D59" i="34"/>
  <c r="E59" i="34"/>
  <c r="F59" i="34"/>
  <c r="G59" i="34"/>
  <c r="H59" i="34"/>
  <c r="I59" i="34"/>
  <c r="J59" i="34"/>
  <c r="K59" i="34"/>
  <c r="L59" i="34"/>
  <c r="M59" i="34"/>
  <c r="N59" i="34"/>
  <c r="C60" i="34"/>
  <c r="D60" i="34"/>
  <c r="E60" i="34"/>
  <c r="F60" i="34"/>
  <c r="G60" i="34"/>
  <c r="H60" i="34"/>
  <c r="I60" i="34"/>
  <c r="J60" i="34"/>
  <c r="K60" i="34"/>
  <c r="L60" i="34"/>
  <c r="M60" i="34"/>
  <c r="N60" i="34"/>
  <c r="C61" i="34"/>
  <c r="D61" i="34"/>
  <c r="E61" i="34"/>
  <c r="F61" i="34"/>
  <c r="G61" i="34"/>
  <c r="H61" i="34"/>
  <c r="I61" i="34"/>
  <c r="J61" i="34"/>
  <c r="K61" i="34"/>
  <c r="L61" i="34"/>
  <c r="M61" i="34"/>
  <c r="N61" i="34"/>
  <c r="C62" i="34"/>
  <c r="D62" i="34"/>
  <c r="E62" i="34"/>
  <c r="F62" i="34"/>
  <c r="G62" i="34"/>
  <c r="H62" i="34"/>
  <c r="I62" i="34"/>
  <c r="J62" i="34"/>
  <c r="K62" i="34"/>
  <c r="L62" i="34"/>
  <c r="M62" i="34"/>
  <c r="N62" i="34"/>
  <c r="C63" i="34"/>
  <c r="D63" i="34"/>
  <c r="E63" i="34"/>
  <c r="F63" i="34"/>
  <c r="G63" i="34"/>
  <c r="H63" i="34"/>
  <c r="I63" i="34"/>
  <c r="J63" i="34"/>
  <c r="K63" i="34"/>
  <c r="L63" i="34"/>
  <c r="M63" i="34"/>
  <c r="N63" i="34"/>
  <c r="C64" i="34"/>
  <c r="D64" i="34"/>
  <c r="E64" i="34"/>
  <c r="F64" i="34"/>
  <c r="G64" i="34"/>
  <c r="H64" i="34"/>
  <c r="I64" i="34"/>
  <c r="J64" i="34"/>
  <c r="K64" i="34"/>
  <c r="L64" i="34"/>
  <c r="M64" i="34"/>
  <c r="N64" i="34"/>
  <c r="C65" i="34"/>
  <c r="D65" i="34"/>
  <c r="E65" i="34"/>
  <c r="F65" i="34"/>
  <c r="G65" i="34"/>
  <c r="H65" i="34"/>
  <c r="I65" i="34"/>
  <c r="J65" i="34"/>
  <c r="K65" i="34"/>
  <c r="L65" i="34"/>
  <c r="M65" i="34"/>
  <c r="N65" i="34"/>
  <c r="C66" i="34"/>
  <c r="D66" i="34"/>
  <c r="E66" i="34"/>
  <c r="F66" i="34"/>
  <c r="G66" i="34"/>
  <c r="H66" i="34"/>
  <c r="I66" i="34"/>
  <c r="J66" i="34"/>
  <c r="K66" i="34"/>
  <c r="L66" i="34"/>
  <c r="M66" i="34"/>
  <c r="N66" i="34"/>
  <c r="C67" i="34"/>
  <c r="D67" i="34"/>
  <c r="E67" i="34"/>
  <c r="F67" i="34"/>
  <c r="G67" i="34"/>
  <c r="H67" i="34"/>
  <c r="I67" i="34"/>
  <c r="J67" i="34"/>
  <c r="K67" i="34"/>
  <c r="L67" i="34"/>
  <c r="M67" i="34"/>
  <c r="N67" i="34"/>
  <c r="C68" i="34"/>
  <c r="D68" i="34"/>
  <c r="E68" i="34"/>
  <c r="F68" i="34"/>
  <c r="G68" i="34"/>
  <c r="H68" i="34"/>
  <c r="I68" i="34"/>
  <c r="J68" i="34"/>
  <c r="K68" i="34"/>
  <c r="L68" i="34"/>
  <c r="M68" i="34"/>
  <c r="N68" i="34"/>
  <c r="C69" i="34"/>
  <c r="D69" i="34"/>
  <c r="E69" i="34"/>
  <c r="F69" i="34"/>
  <c r="G69" i="34"/>
  <c r="H69" i="34"/>
  <c r="I69" i="34"/>
  <c r="J69" i="34"/>
  <c r="K69" i="34"/>
  <c r="L69" i="34"/>
  <c r="M69" i="34"/>
  <c r="N69" i="34"/>
  <c r="C70" i="34"/>
  <c r="D70" i="34"/>
  <c r="E70" i="34"/>
  <c r="F70" i="34"/>
  <c r="G70" i="34"/>
  <c r="H70" i="34"/>
  <c r="I70" i="34"/>
  <c r="J70" i="34"/>
  <c r="K70" i="34"/>
  <c r="L70" i="34"/>
  <c r="M70" i="34"/>
  <c r="N70" i="34"/>
  <c r="C71" i="34"/>
  <c r="D71" i="34"/>
  <c r="E71" i="34"/>
  <c r="F71" i="34"/>
  <c r="G71" i="34"/>
  <c r="H71" i="34"/>
  <c r="I71" i="34"/>
  <c r="J71" i="34"/>
  <c r="K71" i="34"/>
  <c r="L71" i="34"/>
  <c r="M71" i="34"/>
  <c r="N71" i="34"/>
  <c r="C72" i="34"/>
  <c r="D72" i="34"/>
  <c r="E72" i="34"/>
  <c r="F72" i="34"/>
  <c r="G72" i="34"/>
  <c r="H72" i="34"/>
  <c r="I72" i="34"/>
  <c r="J72" i="34"/>
  <c r="K72" i="34"/>
  <c r="L72" i="34"/>
  <c r="M72" i="34"/>
  <c r="N72" i="34"/>
  <c r="C73" i="34"/>
  <c r="D73" i="34"/>
  <c r="E73" i="34"/>
  <c r="F73" i="34"/>
  <c r="G73" i="34"/>
  <c r="H73" i="34"/>
  <c r="I73" i="34"/>
  <c r="J73" i="34"/>
  <c r="K73" i="34"/>
  <c r="L73" i="34"/>
  <c r="M73" i="34"/>
  <c r="N73" i="34"/>
  <c r="C74" i="34"/>
  <c r="D74" i="34"/>
  <c r="E74" i="34"/>
  <c r="F74" i="34"/>
  <c r="G74" i="34"/>
  <c r="H74" i="34"/>
  <c r="I74" i="34"/>
  <c r="J74" i="34"/>
  <c r="K74" i="34"/>
  <c r="L74" i="34"/>
  <c r="M74" i="34"/>
  <c r="N74" i="34"/>
  <c r="C75" i="34"/>
  <c r="D75" i="34"/>
  <c r="E75" i="34"/>
  <c r="F75" i="34"/>
  <c r="G75" i="34"/>
  <c r="H75" i="34"/>
  <c r="I75" i="34"/>
  <c r="J75" i="34"/>
  <c r="K75" i="34"/>
  <c r="L75" i="34"/>
  <c r="M75" i="34"/>
  <c r="N75" i="34"/>
  <c r="C76" i="34"/>
  <c r="D76" i="34"/>
  <c r="E76" i="34"/>
  <c r="F76" i="34"/>
  <c r="G76" i="34"/>
  <c r="H76" i="34"/>
  <c r="I76" i="34"/>
  <c r="J76" i="34"/>
  <c r="K76" i="34"/>
  <c r="L76" i="34"/>
  <c r="M76" i="34"/>
  <c r="N76" i="34"/>
  <c r="C77" i="34"/>
  <c r="D77" i="34"/>
  <c r="E77" i="34"/>
  <c r="F77" i="34"/>
  <c r="G77" i="34"/>
  <c r="H77" i="34"/>
  <c r="I77" i="34"/>
  <c r="J77" i="34"/>
  <c r="K77" i="34"/>
  <c r="L77" i="34"/>
  <c r="M77" i="34"/>
  <c r="N77" i="34"/>
  <c r="C78" i="34"/>
  <c r="D78" i="34"/>
  <c r="E78" i="34"/>
  <c r="F78" i="34"/>
  <c r="G78" i="34"/>
  <c r="H78" i="34"/>
  <c r="I78" i="34"/>
  <c r="J78" i="34"/>
  <c r="K78" i="34"/>
  <c r="L78" i="34"/>
  <c r="M78" i="34"/>
  <c r="N78" i="34"/>
  <c r="C79" i="34"/>
  <c r="D79" i="34"/>
  <c r="E79" i="34"/>
  <c r="F79" i="34"/>
  <c r="G79" i="34"/>
  <c r="H79" i="34"/>
  <c r="I79" i="34"/>
  <c r="J79" i="34"/>
  <c r="K79" i="34"/>
  <c r="L79" i="34"/>
  <c r="M79" i="34"/>
  <c r="N79" i="34"/>
  <c r="C80" i="34"/>
  <c r="D80" i="34"/>
  <c r="E80" i="34"/>
  <c r="F80" i="34"/>
  <c r="G80" i="34"/>
  <c r="H80" i="34"/>
  <c r="I80" i="34"/>
  <c r="J80" i="34"/>
  <c r="K80" i="34"/>
  <c r="L80" i="34"/>
  <c r="M80" i="34"/>
  <c r="N80" i="34"/>
  <c r="C81" i="34"/>
  <c r="D81" i="34"/>
  <c r="E81" i="34"/>
  <c r="F81" i="34"/>
  <c r="G81" i="34"/>
  <c r="H81" i="34"/>
  <c r="I81" i="34"/>
  <c r="J81" i="34"/>
  <c r="K81" i="34"/>
  <c r="L81" i="34"/>
  <c r="M81" i="34"/>
  <c r="N81" i="34"/>
  <c r="C82" i="34"/>
  <c r="D82" i="34"/>
  <c r="E82" i="34"/>
  <c r="F82" i="34"/>
  <c r="G82" i="34"/>
  <c r="H82" i="34"/>
  <c r="I82" i="34"/>
  <c r="J82" i="34"/>
  <c r="K82" i="34"/>
  <c r="L82" i="34"/>
  <c r="M82" i="34"/>
  <c r="N82" i="34"/>
  <c r="C83" i="34"/>
  <c r="D83" i="34"/>
  <c r="E83" i="34"/>
  <c r="F83" i="34"/>
  <c r="G83" i="34"/>
  <c r="H83" i="34"/>
  <c r="I83" i="34"/>
  <c r="J83" i="34"/>
  <c r="K83" i="34"/>
  <c r="L83" i="34"/>
  <c r="M83" i="34"/>
  <c r="N83" i="34"/>
  <c r="C84" i="34"/>
  <c r="D84" i="34"/>
  <c r="E84" i="34"/>
  <c r="F84" i="34"/>
  <c r="G84" i="34"/>
  <c r="H84" i="34"/>
  <c r="I84" i="34"/>
  <c r="J84" i="34"/>
  <c r="K84" i="34"/>
  <c r="L84" i="34"/>
  <c r="M84" i="34"/>
  <c r="N84" i="34"/>
  <c r="C85" i="34"/>
  <c r="D85" i="34"/>
  <c r="E85" i="34"/>
  <c r="F85" i="34"/>
  <c r="G85" i="34"/>
  <c r="H85" i="34"/>
  <c r="I85" i="34"/>
  <c r="J85" i="34"/>
  <c r="K85" i="34"/>
  <c r="L85" i="34"/>
  <c r="M85" i="34"/>
  <c r="N85" i="34"/>
  <c r="C86" i="34"/>
  <c r="D86" i="34"/>
  <c r="E86" i="34"/>
  <c r="F86" i="34"/>
  <c r="G86" i="34"/>
  <c r="H86" i="34"/>
  <c r="I86" i="34"/>
  <c r="J86" i="34"/>
  <c r="K86" i="34"/>
  <c r="L86" i="34"/>
  <c r="M86" i="34"/>
  <c r="N86" i="34"/>
  <c r="C87" i="34"/>
  <c r="D87" i="34"/>
  <c r="E87" i="34"/>
  <c r="F87" i="34"/>
  <c r="G87" i="34"/>
  <c r="H87" i="34"/>
  <c r="I87" i="34"/>
  <c r="J87" i="34"/>
  <c r="K87" i="34"/>
  <c r="L87" i="34"/>
  <c r="M87" i="34"/>
  <c r="N87" i="34"/>
  <c r="C88" i="34"/>
  <c r="D88" i="34"/>
  <c r="E88" i="34"/>
  <c r="F88" i="34"/>
  <c r="G88" i="34"/>
  <c r="H88" i="34"/>
  <c r="I88" i="34"/>
  <c r="J88" i="34"/>
  <c r="K88" i="34"/>
  <c r="L88" i="34"/>
  <c r="M88" i="34"/>
  <c r="N88" i="34"/>
  <c r="C89" i="34"/>
  <c r="D89" i="34"/>
  <c r="E89" i="34"/>
  <c r="F89" i="34"/>
  <c r="G89" i="34"/>
  <c r="H89" i="34"/>
  <c r="I89" i="34"/>
  <c r="J89" i="34"/>
  <c r="K89" i="34"/>
  <c r="L89" i="34"/>
  <c r="M89" i="34"/>
  <c r="N89" i="34"/>
  <c r="C90" i="34"/>
  <c r="D90" i="34"/>
  <c r="E90" i="34"/>
  <c r="F90" i="34"/>
  <c r="G90" i="34"/>
  <c r="H90" i="34"/>
  <c r="I90" i="34"/>
  <c r="J90" i="34"/>
  <c r="K90" i="34"/>
  <c r="L90" i="34"/>
  <c r="M90" i="34"/>
  <c r="N90" i="34"/>
  <c r="C91" i="34"/>
  <c r="D91" i="34"/>
  <c r="E91" i="34"/>
  <c r="F91" i="34"/>
  <c r="G91" i="34"/>
  <c r="H91" i="34"/>
  <c r="I91" i="34"/>
  <c r="J91" i="34"/>
  <c r="K91" i="34"/>
  <c r="L91" i="34"/>
  <c r="M91" i="34"/>
  <c r="N91" i="34"/>
  <c r="C92" i="34"/>
  <c r="D92" i="34"/>
  <c r="E92" i="34"/>
  <c r="F92" i="34"/>
  <c r="G92" i="34"/>
  <c r="H92" i="34"/>
  <c r="I92" i="34"/>
  <c r="J92" i="34"/>
  <c r="K92" i="34"/>
  <c r="L92" i="34"/>
  <c r="M92" i="34"/>
  <c r="N92" i="34"/>
  <c r="C93" i="34"/>
  <c r="D93" i="34"/>
  <c r="E93" i="34"/>
  <c r="F93" i="34"/>
  <c r="G93" i="34"/>
  <c r="H93" i="34"/>
  <c r="I93" i="34"/>
  <c r="J93" i="34"/>
  <c r="K93" i="34"/>
  <c r="L93" i="34"/>
  <c r="M93" i="34"/>
  <c r="N93" i="34"/>
  <c r="C94" i="34"/>
  <c r="D94" i="34"/>
  <c r="E94" i="34"/>
  <c r="F94" i="34"/>
  <c r="G94" i="34"/>
  <c r="H94" i="34"/>
  <c r="I94" i="34"/>
  <c r="J94" i="34"/>
  <c r="K94" i="34"/>
  <c r="L94" i="34"/>
  <c r="M94" i="34"/>
  <c r="N94" i="34"/>
  <c r="C95" i="34"/>
  <c r="D95" i="34"/>
  <c r="E95" i="34"/>
  <c r="F95" i="34"/>
  <c r="G95" i="34"/>
  <c r="H95" i="34"/>
  <c r="I95" i="34"/>
  <c r="J95" i="34"/>
  <c r="K95" i="34"/>
  <c r="L95" i="34"/>
  <c r="M95" i="34"/>
  <c r="N95" i="34"/>
  <c r="C96" i="34"/>
  <c r="D96" i="34"/>
  <c r="E96" i="34"/>
  <c r="F96" i="34"/>
  <c r="G96" i="34"/>
  <c r="H96" i="34"/>
  <c r="I96" i="34"/>
  <c r="J96" i="34"/>
  <c r="K96" i="34"/>
  <c r="L96" i="34"/>
  <c r="M96" i="34"/>
  <c r="N96" i="34"/>
  <c r="C97" i="34"/>
  <c r="D97" i="34"/>
  <c r="E97" i="34"/>
  <c r="F97" i="34"/>
  <c r="G97" i="34"/>
  <c r="H97" i="34"/>
  <c r="I97" i="34"/>
  <c r="J97" i="34"/>
  <c r="K97" i="34"/>
  <c r="L97" i="34"/>
  <c r="M97" i="34"/>
  <c r="N97" i="34"/>
  <c r="C98" i="34"/>
  <c r="D98" i="34"/>
  <c r="E98" i="34"/>
  <c r="F98" i="34"/>
  <c r="G98" i="34"/>
  <c r="H98" i="34"/>
  <c r="I98" i="34"/>
  <c r="J98" i="34"/>
  <c r="K98" i="34"/>
  <c r="L98" i="34"/>
  <c r="M98" i="34"/>
  <c r="N98" i="34"/>
  <c r="C99" i="34"/>
  <c r="D99" i="34"/>
  <c r="E99" i="34"/>
  <c r="F99" i="34"/>
  <c r="G99" i="34"/>
  <c r="H99" i="34"/>
  <c r="I99" i="34"/>
  <c r="J99" i="34"/>
  <c r="K99" i="34"/>
  <c r="L99" i="34"/>
  <c r="M99" i="34"/>
  <c r="N99" i="34"/>
  <c r="C100" i="34"/>
  <c r="D100" i="34"/>
  <c r="E100" i="34"/>
  <c r="F100" i="34"/>
  <c r="G100" i="34"/>
  <c r="H100" i="34"/>
  <c r="I100" i="34"/>
  <c r="J100" i="34"/>
  <c r="K100" i="34"/>
  <c r="L100" i="34"/>
  <c r="M100" i="34"/>
  <c r="N100" i="34"/>
  <c r="C101" i="34"/>
  <c r="D101" i="34"/>
  <c r="E101" i="34"/>
  <c r="F101" i="34"/>
  <c r="G101" i="34"/>
  <c r="H101" i="34"/>
  <c r="I101" i="34"/>
  <c r="J101" i="34"/>
  <c r="K101" i="34"/>
  <c r="L101" i="34"/>
  <c r="M101" i="34"/>
  <c r="N101" i="34"/>
  <c r="C102" i="34"/>
  <c r="D102" i="34"/>
  <c r="E102" i="34"/>
  <c r="F102" i="34"/>
  <c r="G102" i="34"/>
  <c r="H102" i="34"/>
  <c r="I102" i="34"/>
  <c r="J102" i="34"/>
  <c r="K102" i="34"/>
  <c r="L102" i="34"/>
  <c r="M102" i="34"/>
  <c r="N102" i="34"/>
  <c r="C103" i="34"/>
  <c r="D103" i="34"/>
  <c r="E103" i="34"/>
  <c r="F103" i="34"/>
  <c r="G103" i="34"/>
  <c r="H103" i="34"/>
  <c r="I103" i="34"/>
  <c r="J103" i="34"/>
  <c r="K103" i="34"/>
  <c r="L103" i="34"/>
  <c r="M103" i="34"/>
  <c r="N103" i="34"/>
  <c r="C104" i="34"/>
  <c r="D104" i="34"/>
  <c r="E104" i="34"/>
  <c r="F104" i="34"/>
  <c r="G104" i="34"/>
  <c r="H104" i="34"/>
  <c r="I104" i="34"/>
  <c r="J104" i="34"/>
  <c r="K104" i="34"/>
  <c r="L104" i="34"/>
  <c r="M104" i="34"/>
  <c r="N104" i="34"/>
  <c r="C105" i="34"/>
  <c r="D105" i="34"/>
  <c r="E105" i="34"/>
  <c r="F105" i="34"/>
  <c r="G105" i="34"/>
  <c r="H105" i="34"/>
  <c r="I105" i="34"/>
  <c r="J105" i="34"/>
  <c r="K105" i="34"/>
  <c r="L105" i="34"/>
  <c r="M105" i="34"/>
  <c r="N105" i="34"/>
  <c r="C106" i="34"/>
  <c r="D106" i="34"/>
  <c r="E106" i="34"/>
  <c r="F106" i="34"/>
  <c r="G106" i="34"/>
  <c r="H106" i="34"/>
  <c r="I106" i="34"/>
  <c r="J106" i="34"/>
  <c r="K106" i="34"/>
  <c r="L106" i="34"/>
  <c r="M106" i="34"/>
  <c r="N106" i="34"/>
  <c r="C107" i="34"/>
  <c r="D107" i="34"/>
  <c r="E107" i="34"/>
  <c r="F107" i="34"/>
  <c r="G107" i="34"/>
  <c r="H107" i="34"/>
  <c r="I107" i="34"/>
  <c r="J107" i="34"/>
  <c r="K107" i="34"/>
  <c r="L107" i="34"/>
  <c r="M107" i="34"/>
  <c r="N107" i="34"/>
  <c r="C108" i="34"/>
  <c r="D108" i="34"/>
  <c r="E108" i="34"/>
  <c r="F108" i="34"/>
  <c r="G108" i="34"/>
  <c r="H108" i="34"/>
  <c r="I108" i="34"/>
  <c r="J108" i="34"/>
  <c r="K108" i="34"/>
  <c r="L108" i="34"/>
  <c r="M108" i="34"/>
  <c r="N108" i="34"/>
  <c r="C109" i="34"/>
  <c r="D109" i="34"/>
  <c r="E109" i="34"/>
  <c r="F109" i="34"/>
  <c r="G109" i="34"/>
  <c r="H109" i="34"/>
  <c r="I109" i="34"/>
  <c r="J109" i="34"/>
  <c r="K109" i="34"/>
  <c r="L109" i="34"/>
  <c r="M109" i="34"/>
  <c r="N109" i="34"/>
  <c r="C110" i="34"/>
  <c r="D110" i="34"/>
  <c r="E110" i="34"/>
  <c r="F110" i="34"/>
  <c r="G110" i="34"/>
  <c r="H110" i="34"/>
  <c r="I110" i="34"/>
  <c r="J110" i="34"/>
  <c r="K110" i="34"/>
  <c r="L110" i="34"/>
  <c r="M110" i="34"/>
  <c r="N110" i="34"/>
  <c r="C111" i="34"/>
  <c r="D111" i="34"/>
  <c r="E111" i="34"/>
  <c r="F111" i="34"/>
  <c r="G111" i="34"/>
  <c r="H111" i="34"/>
  <c r="I111" i="34"/>
  <c r="J111" i="34"/>
  <c r="K111" i="34"/>
  <c r="L111" i="34"/>
  <c r="M111" i="34"/>
  <c r="N111" i="34"/>
  <c r="C112" i="34"/>
  <c r="D112" i="34"/>
  <c r="E112" i="34"/>
  <c r="F112" i="34"/>
  <c r="G112" i="34"/>
  <c r="H112" i="34"/>
  <c r="I112" i="34"/>
  <c r="J112" i="34"/>
  <c r="K112" i="34"/>
  <c r="L112" i="34"/>
  <c r="M112" i="34"/>
  <c r="N112" i="34"/>
  <c r="C113" i="34"/>
  <c r="D113" i="34"/>
  <c r="E113" i="34"/>
  <c r="F113" i="34"/>
  <c r="G113" i="34"/>
  <c r="H113" i="34"/>
  <c r="I113" i="34"/>
  <c r="J113" i="34"/>
  <c r="K113" i="34"/>
  <c r="L113" i="34"/>
  <c r="M113" i="34"/>
  <c r="N113" i="34"/>
  <c r="C114" i="34"/>
  <c r="D114" i="34"/>
  <c r="E114" i="34"/>
  <c r="F114" i="34"/>
  <c r="G114" i="34"/>
  <c r="H114" i="34"/>
  <c r="I114" i="34"/>
  <c r="J114" i="34"/>
  <c r="K114" i="34"/>
  <c r="L114" i="34"/>
  <c r="M114" i="34"/>
  <c r="N114" i="34"/>
  <c r="C115" i="34"/>
  <c r="D115" i="34"/>
  <c r="E115" i="34"/>
  <c r="F115" i="34"/>
  <c r="G115" i="34"/>
  <c r="H115" i="34"/>
  <c r="I115" i="34"/>
  <c r="J115" i="34"/>
  <c r="K115" i="34"/>
  <c r="L115" i="34"/>
  <c r="M115" i="34"/>
  <c r="N115" i="34"/>
  <c r="C116" i="34"/>
  <c r="D116" i="34"/>
  <c r="E116" i="34"/>
  <c r="F116" i="34"/>
  <c r="G116" i="34"/>
  <c r="H116" i="34"/>
  <c r="I116" i="34"/>
  <c r="J116" i="34"/>
  <c r="K116" i="34"/>
  <c r="L116" i="34"/>
  <c r="M116" i="34"/>
  <c r="N116" i="34"/>
  <c r="C117" i="34"/>
  <c r="D117" i="34"/>
  <c r="E117" i="34"/>
  <c r="F117" i="34"/>
  <c r="G117" i="34"/>
  <c r="H117" i="34"/>
  <c r="I117" i="34"/>
  <c r="J117" i="34"/>
  <c r="K117" i="34"/>
  <c r="L117" i="34"/>
  <c r="M117" i="34"/>
  <c r="N117" i="34"/>
  <c r="C118" i="34"/>
  <c r="D118" i="34"/>
  <c r="E118" i="34"/>
  <c r="F118" i="34"/>
  <c r="G118" i="34"/>
  <c r="H118" i="34"/>
  <c r="I118" i="34"/>
  <c r="J118" i="34"/>
  <c r="K118" i="34"/>
  <c r="L118" i="34"/>
  <c r="M118" i="34"/>
  <c r="N118" i="34"/>
  <c r="C119" i="34"/>
  <c r="D119" i="34"/>
  <c r="E119" i="34"/>
  <c r="F119" i="34"/>
  <c r="G119" i="34"/>
  <c r="H119" i="34"/>
  <c r="I119" i="34"/>
  <c r="J119" i="34"/>
  <c r="K119" i="34"/>
  <c r="L119" i="34"/>
  <c r="M119" i="34"/>
  <c r="N119" i="34"/>
  <c r="C120" i="34"/>
  <c r="D120" i="34"/>
  <c r="E120" i="34"/>
  <c r="F120" i="34"/>
  <c r="G120" i="34"/>
  <c r="H120" i="34"/>
  <c r="I120" i="34"/>
  <c r="J120" i="34"/>
  <c r="K120" i="34"/>
  <c r="L120" i="34"/>
  <c r="M120" i="34"/>
  <c r="N120" i="34"/>
  <c r="C121" i="34"/>
  <c r="D121" i="34"/>
  <c r="E121" i="34"/>
  <c r="F121" i="34"/>
  <c r="G121" i="34"/>
  <c r="H121" i="34"/>
  <c r="I121" i="34"/>
  <c r="J121" i="34"/>
  <c r="K121" i="34"/>
  <c r="L121" i="34"/>
  <c r="M121" i="34"/>
  <c r="N121" i="34"/>
  <c r="C122" i="34"/>
  <c r="D122" i="34"/>
  <c r="E122" i="34"/>
  <c r="F122" i="34"/>
  <c r="G122" i="34"/>
  <c r="H122" i="34"/>
  <c r="I122" i="34"/>
  <c r="J122" i="34"/>
  <c r="K122" i="34"/>
  <c r="L122" i="34"/>
  <c r="M122" i="34"/>
  <c r="N122" i="34"/>
  <c r="C123" i="34"/>
  <c r="D123" i="34"/>
  <c r="E123" i="34"/>
  <c r="F123" i="34"/>
  <c r="G123" i="34"/>
  <c r="H123" i="34"/>
  <c r="I123" i="34"/>
  <c r="J123" i="34"/>
  <c r="K123" i="34"/>
  <c r="L123" i="34"/>
  <c r="M123" i="34"/>
  <c r="N123" i="34"/>
  <c r="C124" i="34"/>
  <c r="D124" i="34"/>
  <c r="E124" i="34"/>
  <c r="F124" i="34"/>
  <c r="G124" i="34"/>
  <c r="H124" i="34"/>
  <c r="I124" i="34"/>
  <c r="J124" i="34"/>
  <c r="K124" i="34"/>
  <c r="L124" i="34"/>
  <c r="M124" i="34"/>
  <c r="N124" i="34"/>
  <c r="C125" i="34"/>
  <c r="D125" i="34"/>
  <c r="E125" i="34"/>
  <c r="F125" i="34"/>
  <c r="G125" i="34"/>
  <c r="H125" i="34"/>
  <c r="I125" i="34"/>
  <c r="J125" i="34"/>
  <c r="K125" i="34"/>
  <c r="L125" i="34"/>
  <c r="M125" i="34"/>
  <c r="N125" i="34"/>
  <c r="C126" i="34"/>
  <c r="D126" i="34"/>
  <c r="E126" i="34"/>
  <c r="F126" i="34"/>
  <c r="G126" i="34"/>
  <c r="H126" i="34"/>
  <c r="I126" i="34"/>
  <c r="J126" i="34"/>
  <c r="K126" i="34"/>
  <c r="L126" i="34"/>
  <c r="M126" i="34"/>
  <c r="N126" i="34"/>
  <c r="C127" i="34"/>
  <c r="D127" i="34"/>
  <c r="E127" i="34"/>
  <c r="F127" i="34"/>
  <c r="G127" i="34"/>
  <c r="H127" i="34"/>
  <c r="I127" i="34"/>
  <c r="J127" i="34"/>
  <c r="K127" i="34"/>
  <c r="L127" i="34"/>
  <c r="M127" i="34"/>
  <c r="N127" i="34"/>
  <c r="C128" i="34"/>
  <c r="D128" i="34"/>
  <c r="E128" i="34"/>
  <c r="F128" i="34"/>
  <c r="G128" i="34"/>
  <c r="H128" i="34"/>
  <c r="I128" i="34"/>
  <c r="J128" i="34"/>
  <c r="K128" i="34"/>
  <c r="L128" i="34"/>
  <c r="M128" i="34"/>
  <c r="N128" i="34"/>
  <c r="C129" i="34"/>
  <c r="D129" i="34"/>
  <c r="E129" i="34"/>
  <c r="F129" i="34"/>
  <c r="G129" i="34"/>
  <c r="H129" i="34"/>
  <c r="I129" i="34"/>
  <c r="J129" i="34"/>
  <c r="K129" i="34"/>
  <c r="L129" i="34"/>
  <c r="M129" i="34"/>
  <c r="N129" i="34"/>
  <c r="C130" i="34"/>
  <c r="D130" i="34"/>
  <c r="E130" i="34"/>
  <c r="F130" i="34"/>
  <c r="G130" i="34"/>
  <c r="H130" i="34"/>
  <c r="I130" i="34"/>
  <c r="J130" i="34"/>
  <c r="K130" i="34"/>
  <c r="L130" i="34"/>
  <c r="M130" i="34"/>
  <c r="N130" i="34"/>
  <c r="C131" i="34"/>
  <c r="D131" i="34"/>
  <c r="E131" i="34"/>
  <c r="F131" i="34"/>
  <c r="G131" i="34"/>
  <c r="H131" i="34"/>
  <c r="I131" i="34"/>
  <c r="J131" i="34"/>
  <c r="K131" i="34"/>
  <c r="L131" i="34"/>
  <c r="M131" i="34"/>
  <c r="N131" i="34"/>
  <c r="C132" i="34"/>
  <c r="D132" i="34"/>
  <c r="E132" i="34"/>
  <c r="F132" i="34"/>
  <c r="G132" i="34"/>
  <c r="H132" i="34"/>
  <c r="I132" i="34"/>
  <c r="J132" i="34"/>
  <c r="K132" i="34"/>
  <c r="L132" i="34"/>
  <c r="M132" i="34"/>
  <c r="N132" i="34"/>
  <c r="C133" i="34"/>
  <c r="D133" i="34"/>
  <c r="E133" i="34"/>
  <c r="F133" i="34"/>
  <c r="G133" i="34"/>
  <c r="H133" i="34"/>
  <c r="I133" i="34"/>
  <c r="J133" i="34"/>
  <c r="K133" i="34"/>
  <c r="L133" i="34"/>
  <c r="M133" i="34"/>
  <c r="N133" i="34"/>
  <c r="C134" i="34"/>
  <c r="D134" i="34"/>
  <c r="E134" i="34"/>
  <c r="F134" i="34"/>
  <c r="G134" i="34"/>
  <c r="H134" i="34"/>
  <c r="I134" i="34"/>
  <c r="J134" i="34"/>
  <c r="K134" i="34"/>
  <c r="L134" i="34"/>
  <c r="M134" i="34"/>
  <c r="N134" i="34"/>
  <c r="C135" i="34"/>
  <c r="D135" i="34"/>
  <c r="E135" i="34"/>
  <c r="F135" i="34"/>
  <c r="G135" i="34"/>
  <c r="H135" i="34"/>
  <c r="I135" i="34"/>
  <c r="J135" i="34"/>
  <c r="K135" i="34"/>
  <c r="L135" i="34"/>
  <c r="M135" i="34"/>
  <c r="N135" i="34"/>
  <c r="C136" i="34"/>
  <c r="D136" i="34"/>
  <c r="E136" i="34"/>
  <c r="F136" i="34"/>
  <c r="G136" i="34"/>
  <c r="H136" i="34"/>
  <c r="I136" i="34"/>
  <c r="J136" i="34"/>
  <c r="K136" i="34"/>
  <c r="L136" i="34"/>
  <c r="M136" i="34"/>
  <c r="N136" i="34"/>
  <c r="C137" i="34"/>
  <c r="D137" i="34"/>
  <c r="E137" i="34"/>
  <c r="F137" i="34"/>
  <c r="G137" i="34"/>
  <c r="H137" i="34"/>
  <c r="I137" i="34"/>
  <c r="J137" i="34"/>
  <c r="K137" i="34"/>
  <c r="L137" i="34"/>
  <c r="M137" i="34"/>
  <c r="N137" i="34"/>
  <c r="C138" i="34"/>
  <c r="D138" i="34"/>
  <c r="E138" i="34"/>
  <c r="F138" i="34"/>
  <c r="G138" i="34"/>
  <c r="H138" i="34"/>
  <c r="I138" i="34"/>
  <c r="J138" i="34"/>
  <c r="K138" i="34"/>
  <c r="L138" i="34"/>
  <c r="M138" i="34"/>
  <c r="N138" i="34"/>
  <c r="C139" i="34"/>
  <c r="D139" i="34"/>
  <c r="E139" i="34"/>
  <c r="F139" i="34"/>
  <c r="G139" i="34"/>
  <c r="H139" i="34"/>
  <c r="I139" i="34"/>
  <c r="J139" i="34"/>
  <c r="K139" i="34"/>
  <c r="L139" i="34"/>
  <c r="M139" i="34"/>
  <c r="N139" i="34"/>
  <c r="C140" i="34"/>
  <c r="D140" i="34"/>
  <c r="E140" i="34"/>
  <c r="F140" i="34"/>
  <c r="G140" i="34"/>
  <c r="H140" i="34"/>
  <c r="I140" i="34"/>
  <c r="J140" i="34"/>
  <c r="K140" i="34"/>
  <c r="L140" i="34"/>
  <c r="M140" i="34"/>
  <c r="N140" i="34"/>
  <c r="C141" i="34"/>
  <c r="D141" i="34"/>
  <c r="E141" i="34"/>
  <c r="F141" i="34"/>
  <c r="G141" i="34"/>
  <c r="H141" i="34"/>
  <c r="I141" i="34"/>
  <c r="J141" i="34"/>
  <c r="K141" i="34"/>
  <c r="L141" i="34"/>
  <c r="M141" i="34"/>
  <c r="N141" i="34"/>
  <c r="C142" i="34"/>
  <c r="D142" i="34"/>
  <c r="E142" i="34"/>
  <c r="F142" i="34"/>
  <c r="G142" i="34"/>
  <c r="H142" i="34"/>
  <c r="I142" i="34"/>
  <c r="J142" i="34"/>
  <c r="K142" i="34"/>
  <c r="L142" i="34"/>
  <c r="M142" i="34"/>
  <c r="N142" i="34"/>
  <c r="C143" i="34"/>
  <c r="D143" i="34"/>
  <c r="E143" i="34"/>
  <c r="F143" i="34"/>
  <c r="G143" i="34"/>
  <c r="H143" i="34"/>
  <c r="I143" i="34"/>
  <c r="J143" i="34"/>
  <c r="K143" i="34"/>
  <c r="L143" i="34"/>
  <c r="M143" i="34"/>
  <c r="N143" i="34"/>
  <c r="C144" i="34"/>
  <c r="D144" i="34"/>
  <c r="E144" i="34"/>
  <c r="F144" i="34"/>
  <c r="G144" i="34"/>
  <c r="H144" i="34"/>
  <c r="I144" i="34"/>
  <c r="J144" i="34"/>
  <c r="K144" i="34"/>
  <c r="L144" i="34"/>
  <c r="M144" i="34"/>
  <c r="N144" i="34"/>
  <c r="C145" i="34"/>
  <c r="D145" i="34"/>
  <c r="E145" i="34"/>
  <c r="F145" i="34"/>
  <c r="G145" i="34"/>
  <c r="H145" i="34"/>
  <c r="I145" i="34"/>
  <c r="J145" i="34"/>
  <c r="K145" i="34"/>
  <c r="L145" i="34"/>
  <c r="M145" i="34"/>
  <c r="N145" i="34"/>
  <c r="C146" i="34"/>
  <c r="D146" i="34"/>
  <c r="E146" i="34"/>
  <c r="F146" i="34"/>
  <c r="G146" i="34"/>
  <c r="H146" i="34"/>
  <c r="I146" i="34"/>
  <c r="J146" i="34"/>
  <c r="K146" i="34"/>
  <c r="L146" i="34"/>
  <c r="M146" i="34"/>
  <c r="N146" i="34"/>
  <c r="C147" i="34"/>
  <c r="D147" i="34"/>
  <c r="E147" i="34"/>
  <c r="F147" i="34"/>
  <c r="G147" i="34"/>
  <c r="H147" i="34"/>
  <c r="I147" i="34"/>
  <c r="J147" i="34"/>
  <c r="K147" i="34"/>
  <c r="L147" i="34"/>
  <c r="M147" i="34"/>
  <c r="N147" i="34"/>
  <c r="C148" i="34"/>
  <c r="D148" i="34"/>
  <c r="E148" i="34"/>
  <c r="F148" i="34"/>
  <c r="G148" i="34"/>
  <c r="H148" i="34"/>
  <c r="I148" i="34"/>
  <c r="J148" i="34"/>
  <c r="K148" i="34"/>
  <c r="L148" i="34"/>
  <c r="M148" i="34"/>
  <c r="N148" i="34"/>
  <c r="C149" i="34"/>
  <c r="D149" i="34"/>
  <c r="E149" i="34"/>
  <c r="F149" i="34"/>
  <c r="G149" i="34"/>
  <c r="H149" i="34"/>
  <c r="I149" i="34"/>
  <c r="J149" i="34"/>
  <c r="K149" i="34"/>
  <c r="L149" i="34"/>
  <c r="M149" i="34"/>
  <c r="N149" i="34"/>
  <c r="C150" i="34"/>
  <c r="D150" i="34"/>
  <c r="E150" i="34"/>
  <c r="F150" i="34"/>
  <c r="G150" i="34"/>
  <c r="H150" i="34"/>
  <c r="I150" i="34"/>
  <c r="J150" i="34"/>
  <c r="K150" i="34"/>
  <c r="L150" i="34"/>
  <c r="M150" i="34"/>
  <c r="N150" i="34"/>
  <c r="C151" i="34"/>
  <c r="D151" i="34"/>
  <c r="E151" i="34"/>
  <c r="F151" i="34"/>
  <c r="G151" i="34"/>
  <c r="H151" i="34"/>
  <c r="I151" i="34"/>
  <c r="J151" i="34"/>
  <c r="K151" i="34"/>
  <c r="L151" i="34"/>
  <c r="M151" i="34"/>
  <c r="N151" i="34"/>
  <c r="C152" i="34"/>
  <c r="D152" i="34"/>
  <c r="E152" i="34"/>
  <c r="F152" i="34"/>
  <c r="G152" i="34"/>
  <c r="H152" i="34"/>
  <c r="I152" i="34"/>
  <c r="J152" i="34"/>
  <c r="K152" i="34"/>
  <c r="L152" i="34"/>
  <c r="M152" i="34"/>
  <c r="N152" i="34"/>
  <c r="C153" i="34"/>
  <c r="D153" i="34"/>
  <c r="E153" i="34"/>
  <c r="F153" i="34"/>
  <c r="G153" i="34"/>
  <c r="H153" i="34"/>
  <c r="I153" i="34"/>
  <c r="J153" i="34"/>
  <c r="K153" i="34"/>
  <c r="L153" i="34"/>
  <c r="M153" i="34"/>
  <c r="N153" i="34"/>
  <c r="C154" i="34"/>
  <c r="D154" i="34"/>
  <c r="E154" i="34"/>
  <c r="F154" i="34"/>
  <c r="G154" i="34"/>
  <c r="H154" i="34"/>
  <c r="I154" i="34"/>
  <c r="J154" i="34"/>
  <c r="K154" i="34"/>
  <c r="L154" i="34"/>
  <c r="M154" i="34"/>
  <c r="N154" i="34"/>
  <c r="C155" i="34"/>
  <c r="D155" i="34"/>
  <c r="E155" i="34"/>
  <c r="F155" i="34"/>
  <c r="G155" i="34"/>
  <c r="H155" i="34"/>
  <c r="I155" i="34"/>
  <c r="J155" i="34"/>
  <c r="K155" i="34"/>
  <c r="L155" i="34"/>
  <c r="M155" i="34"/>
  <c r="N155" i="34"/>
  <c r="C156" i="34"/>
  <c r="D156" i="34"/>
  <c r="E156" i="34"/>
  <c r="F156" i="34"/>
  <c r="G156" i="34"/>
  <c r="H156" i="34"/>
  <c r="I156" i="34"/>
  <c r="J156" i="34"/>
  <c r="K156" i="34"/>
  <c r="L156" i="34"/>
  <c r="M156" i="34"/>
  <c r="N156" i="34"/>
  <c r="C157" i="34"/>
  <c r="D157" i="34"/>
  <c r="E157" i="34"/>
  <c r="F157" i="34"/>
  <c r="G157" i="34"/>
  <c r="H157" i="34"/>
  <c r="I157" i="34"/>
  <c r="J157" i="34"/>
  <c r="K157" i="34"/>
  <c r="L157" i="34"/>
  <c r="M157" i="34"/>
  <c r="N157" i="34"/>
  <c r="C158" i="34"/>
  <c r="D158" i="34"/>
  <c r="E158" i="34"/>
  <c r="F158" i="34"/>
  <c r="G158" i="34"/>
  <c r="H158" i="34"/>
  <c r="I158" i="34"/>
  <c r="J158" i="34"/>
  <c r="K158" i="34"/>
  <c r="L158" i="34"/>
  <c r="M158" i="34"/>
  <c r="N158" i="34"/>
  <c r="C159" i="34"/>
  <c r="D159" i="34"/>
  <c r="E159" i="34"/>
  <c r="F159" i="34"/>
  <c r="G159" i="34"/>
  <c r="H159" i="34"/>
  <c r="I159" i="34"/>
  <c r="J159" i="34"/>
  <c r="K159" i="34"/>
  <c r="L159" i="34"/>
  <c r="M159" i="34"/>
  <c r="N159" i="34"/>
  <c r="C160" i="34"/>
  <c r="D160" i="34"/>
  <c r="E160" i="34"/>
  <c r="F160" i="34"/>
  <c r="G160" i="34"/>
  <c r="H160" i="34"/>
  <c r="I160" i="34"/>
  <c r="J160" i="34"/>
  <c r="K160" i="34"/>
  <c r="L160" i="34"/>
  <c r="M160" i="34"/>
  <c r="N160" i="34"/>
  <c r="C161" i="34"/>
  <c r="D161" i="34"/>
  <c r="E161" i="34"/>
  <c r="F161" i="34"/>
  <c r="G161" i="34"/>
  <c r="H161" i="34"/>
  <c r="I161" i="34"/>
  <c r="J161" i="34"/>
  <c r="K161" i="34"/>
  <c r="L161" i="34"/>
  <c r="M161" i="34"/>
  <c r="N161" i="34"/>
  <c r="C162" i="34"/>
  <c r="D162" i="34"/>
  <c r="E162" i="34"/>
  <c r="F162" i="34"/>
  <c r="G162" i="34"/>
  <c r="H162" i="34"/>
  <c r="I162" i="34"/>
  <c r="J162" i="34"/>
  <c r="K162" i="34"/>
  <c r="L162" i="34"/>
  <c r="M162" i="34"/>
  <c r="N162" i="34"/>
  <c r="C163" i="34"/>
  <c r="D163" i="34"/>
  <c r="E163" i="34"/>
  <c r="F163" i="34"/>
  <c r="G163" i="34"/>
  <c r="H163" i="34"/>
  <c r="I163" i="34"/>
  <c r="J163" i="34"/>
  <c r="K163" i="34"/>
  <c r="L163" i="34"/>
  <c r="M163" i="34"/>
  <c r="N163" i="34"/>
  <c r="C164" i="34"/>
  <c r="D164" i="34"/>
  <c r="E164" i="34"/>
  <c r="F164" i="34"/>
  <c r="G164" i="34"/>
  <c r="H164" i="34"/>
  <c r="I164" i="34"/>
  <c r="J164" i="34"/>
  <c r="K164" i="34"/>
  <c r="L164" i="34"/>
  <c r="M164" i="34"/>
  <c r="N164" i="34"/>
  <c r="C165" i="34"/>
  <c r="D165" i="34"/>
  <c r="E165" i="34"/>
  <c r="F165" i="34"/>
  <c r="G165" i="34"/>
  <c r="H165" i="34"/>
  <c r="I165" i="34"/>
  <c r="J165" i="34"/>
  <c r="K165" i="34"/>
  <c r="L165" i="34"/>
  <c r="M165" i="34"/>
  <c r="N165" i="34"/>
  <c r="C166" i="34"/>
  <c r="D166" i="34"/>
  <c r="E166" i="34"/>
  <c r="F166" i="34"/>
  <c r="G166" i="34"/>
  <c r="H166" i="34"/>
  <c r="I166" i="34"/>
  <c r="J166" i="34"/>
  <c r="K166" i="34"/>
  <c r="L166" i="34"/>
  <c r="M166" i="34"/>
  <c r="N166" i="34"/>
  <c r="C167" i="34"/>
  <c r="D167" i="34"/>
  <c r="E167" i="34"/>
  <c r="F167" i="34"/>
  <c r="G167" i="34"/>
  <c r="H167" i="34"/>
  <c r="I167" i="34"/>
  <c r="J167" i="34"/>
  <c r="K167" i="34"/>
  <c r="L167" i="34"/>
  <c r="M167" i="34"/>
  <c r="N167" i="34"/>
  <c r="C168" i="34"/>
  <c r="D168" i="34"/>
  <c r="E168" i="34"/>
  <c r="F168" i="34"/>
  <c r="G168" i="34"/>
  <c r="H168" i="34"/>
  <c r="I168" i="34"/>
  <c r="J168" i="34"/>
  <c r="K168" i="34"/>
  <c r="L168" i="34"/>
  <c r="M168" i="34"/>
  <c r="N168" i="34"/>
  <c r="C169" i="34"/>
  <c r="D169" i="34"/>
  <c r="E169" i="34"/>
  <c r="F169" i="34"/>
  <c r="G169" i="34"/>
  <c r="H169" i="34"/>
  <c r="I169" i="34"/>
  <c r="J169" i="34"/>
  <c r="K169" i="34"/>
  <c r="L169" i="34"/>
  <c r="M169" i="34"/>
  <c r="N169" i="34"/>
  <c r="C170" i="34"/>
  <c r="D170" i="34"/>
  <c r="E170" i="34"/>
  <c r="F170" i="34"/>
  <c r="G170" i="34"/>
  <c r="H170" i="34"/>
  <c r="I170" i="34"/>
  <c r="J170" i="34"/>
  <c r="K170" i="34"/>
  <c r="L170" i="34"/>
  <c r="M170" i="34"/>
  <c r="N170" i="34"/>
  <c r="C171" i="34"/>
  <c r="D171" i="34"/>
  <c r="E171" i="34"/>
  <c r="F171" i="34"/>
  <c r="G171" i="34"/>
  <c r="H171" i="34"/>
  <c r="I171" i="34"/>
  <c r="J171" i="34"/>
  <c r="K171" i="34"/>
  <c r="L171" i="34"/>
  <c r="M171" i="34"/>
  <c r="N171" i="34"/>
  <c r="C172" i="34"/>
  <c r="D172" i="34"/>
  <c r="E172" i="34"/>
  <c r="F172" i="34"/>
  <c r="G172" i="34"/>
  <c r="H172" i="34"/>
  <c r="I172" i="34"/>
  <c r="J172" i="34"/>
  <c r="K172" i="34"/>
  <c r="L172" i="34"/>
  <c r="M172" i="34"/>
  <c r="N172" i="34"/>
  <c r="C173" i="34"/>
  <c r="D173" i="34"/>
  <c r="E173" i="34"/>
  <c r="F173" i="34"/>
  <c r="G173" i="34"/>
  <c r="H173" i="34"/>
  <c r="I173" i="34"/>
  <c r="J173" i="34"/>
  <c r="K173" i="34"/>
  <c r="L173" i="34"/>
  <c r="M173" i="34"/>
  <c r="N173" i="34"/>
  <c r="C174" i="34"/>
  <c r="D174" i="34"/>
  <c r="E174" i="34"/>
  <c r="F174" i="34"/>
  <c r="G174" i="34"/>
  <c r="H174" i="34"/>
  <c r="I174" i="34"/>
  <c r="J174" i="34"/>
  <c r="K174" i="34"/>
  <c r="L174" i="34"/>
  <c r="M174" i="34"/>
  <c r="N174" i="34"/>
  <c r="C175" i="34"/>
  <c r="D175" i="34"/>
  <c r="E175" i="34"/>
  <c r="F175" i="34"/>
  <c r="G175" i="34"/>
  <c r="H175" i="34"/>
  <c r="I175" i="34"/>
  <c r="J175" i="34"/>
  <c r="K175" i="34"/>
  <c r="L175" i="34"/>
  <c r="M175" i="34"/>
  <c r="N175" i="34"/>
  <c r="C176" i="34"/>
  <c r="D176" i="34"/>
  <c r="E176" i="34"/>
  <c r="F176" i="34"/>
  <c r="G176" i="34"/>
  <c r="H176" i="34"/>
  <c r="I176" i="34"/>
  <c r="J176" i="34"/>
  <c r="K176" i="34"/>
  <c r="L176" i="34"/>
  <c r="M176" i="34"/>
  <c r="N176" i="34"/>
  <c r="C177" i="34"/>
  <c r="D177" i="34"/>
  <c r="E177" i="34"/>
  <c r="F177" i="34"/>
  <c r="G177" i="34"/>
  <c r="H177" i="34"/>
  <c r="I177" i="34"/>
  <c r="J177" i="34"/>
  <c r="K177" i="34"/>
  <c r="L177" i="34"/>
  <c r="M177" i="34"/>
  <c r="N177" i="34"/>
  <c r="C178" i="34"/>
  <c r="D178" i="34"/>
  <c r="E178" i="34"/>
  <c r="F178" i="34"/>
  <c r="G178" i="34"/>
  <c r="H178" i="34"/>
  <c r="I178" i="34"/>
  <c r="J178" i="34"/>
  <c r="K178" i="34"/>
  <c r="L178" i="34"/>
  <c r="M178" i="34"/>
  <c r="N178" i="34"/>
  <c r="C179" i="34"/>
  <c r="D179" i="34"/>
  <c r="E179" i="34"/>
  <c r="F179" i="34"/>
  <c r="G179" i="34"/>
  <c r="H179" i="34"/>
  <c r="I179" i="34"/>
  <c r="J179" i="34"/>
  <c r="K179" i="34"/>
  <c r="L179" i="34"/>
  <c r="M179" i="34"/>
  <c r="N179" i="34"/>
  <c r="C180" i="34"/>
  <c r="D180" i="34"/>
  <c r="E180" i="34"/>
  <c r="F180" i="34"/>
  <c r="G180" i="34"/>
  <c r="H180" i="34"/>
  <c r="I180" i="34"/>
  <c r="J180" i="34"/>
  <c r="K180" i="34"/>
  <c r="L180" i="34"/>
  <c r="M180" i="34"/>
  <c r="N180" i="34"/>
  <c r="C181" i="34"/>
  <c r="D181" i="34"/>
  <c r="E181" i="34"/>
  <c r="F181" i="34"/>
  <c r="G181" i="34"/>
  <c r="H181" i="34"/>
  <c r="I181" i="34"/>
  <c r="J181" i="34"/>
  <c r="K181" i="34"/>
  <c r="L181" i="34"/>
  <c r="M181" i="34"/>
  <c r="N181" i="34"/>
  <c r="C182" i="34"/>
  <c r="D182" i="34"/>
  <c r="E182" i="34"/>
  <c r="F182" i="34"/>
  <c r="G182" i="34"/>
  <c r="H182" i="34"/>
  <c r="I182" i="34"/>
  <c r="J182" i="34"/>
  <c r="K182" i="34"/>
  <c r="L182" i="34"/>
  <c r="M182" i="34"/>
  <c r="N182" i="34"/>
  <c r="C183" i="34"/>
  <c r="D183" i="34"/>
  <c r="E183" i="34"/>
  <c r="F183" i="34"/>
  <c r="G183" i="34"/>
  <c r="H183" i="34"/>
  <c r="I183" i="34"/>
  <c r="J183" i="34"/>
  <c r="K183" i="34"/>
  <c r="L183" i="34"/>
  <c r="M183" i="34"/>
  <c r="N183" i="34"/>
  <c r="C184" i="34"/>
  <c r="D184" i="34"/>
  <c r="E184" i="34"/>
  <c r="F184" i="34"/>
  <c r="G184" i="34"/>
  <c r="H184" i="34"/>
  <c r="I184" i="34"/>
  <c r="J184" i="34"/>
  <c r="K184" i="34"/>
  <c r="L184" i="34"/>
  <c r="M184" i="34"/>
  <c r="N184" i="34"/>
  <c r="C185" i="34"/>
  <c r="D185" i="34"/>
  <c r="E185" i="34"/>
  <c r="F185" i="34"/>
  <c r="G185" i="34"/>
  <c r="H185" i="34"/>
  <c r="I185" i="34"/>
  <c r="J185" i="34"/>
  <c r="K185" i="34"/>
  <c r="L185" i="34"/>
  <c r="M185" i="34"/>
  <c r="N185" i="34"/>
  <c r="C186" i="34"/>
  <c r="D186" i="34"/>
  <c r="E186" i="34"/>
  <c r="F186" i="34"/>
  <c r="G186" i="34"/>
  <c r="H186" i="34"/>
  <c r="I186" i="34"/>
  <c r="J186" i="34"/>
  <c r="K186" i="34"/>
  <c r="L186" i="34"/>
  <c r="M186" i="34"/>
  <c r="N186" i="34"/>
  <c r="C187" i="34"/>
  <c r="D187" i="34"/>
  <c r="E187" i="34"/>
  <c r="F187" i="34"/>
  <c r="G187" i="34"/>
  <c r="H187" i="34"/>
  <c r="I187" i="34"/>
  <c r="J187" i="34"/>
  <c r="K187" i="34"/>
  <c r="L187" i="34"/>
  <c r="M187" i="34"/>
  <c r="N187" i="34"/>
  <c r="C188" i="34"/>
  <c r="D188" i="34"/>
  <c r="E188" i="34"/>
  <c r="F188" i="34"/>
  <c r="G188" i="34"/>
  <c r="H188" i="34"/>
  <c r="I188" i="34"/>
  <c r="J188" i="34"/>
  <c r="K188" i="34"/>
  <c r="L188" i="34"/>
  <c r="M188" i="34"/>
  <c r="N188" i="34"/>
  <c r="C189" i="34"/>
  <c r="D189" i="34"/>
  <c r="E189" i="34"/>
  <c r="F189" i="34"/>
  <c r="G189" i="34"/>
  <c r="H189" i="34"/>
  <c r="I189" i="34"/>
  <c r="J189" i="34"/>
  <c r="K189" i="34"/>
  <c r="L189" i="34"/>
  <c r="M189" i="34"/>
  <c r="N189" i="34"/>
  <c r="C190" i="34"/>
  <c r="D190" i="34"/>
  <c r="E190" i="34"/>
  <c r="F190" i="34"/>
  <c r="G190" i="34"/>
  <c r="H190" i="34"/>
  <c r="I190" i="34"/>
  <c r="J190" i="34"/>
  <c r="K190" i="34"/>
  <c r="L190" i="34"/>
  <c r="M190" i="34"/>
  <c r="N190" i="34"/>
  <c r="C191" i="34"/>
  <c r="D191" i="34"/>
  <c r="E191" i="34"/>
  <c r="F191" i="34"/>
  <c r="G191" i="34"/>
  <c r="H191" i="34"/>
  <c r="I191" i="34"/>
  <c r="J191" i="34"/>
  <c r="K191" i="34"/>
  <c r="L191" i="34"/>
  <c r="M191" i="34"/>
  <c r="N191" i="34"/>
  <c r="C192" i="34"/>
  <c r="D192" i="34"/>
  <c r="E192" i="34"/>
  <c r="F192" i="34"/>
  <c r="G192" i="34"/>
  <c r="H192" i="34"/>
  <c r="I192" i="34"/>
  <c r="J192" i="34"/>
  <c r="K192" i="34"/>
  <c r="L192" i="34"/>
  <c r="M192" i="34"/>
  <c r="N192" i="34"/>
  <c r="C193" i="34"/>
  <c r="D193" i="34"/>
  <c r="E193" i="34"/>
  <c r="F193" i="34"/>
  <c r="G193" i="34"/>
  <c r="H193" i="34"/>
  <c r="I193" i="34"/>
  <c r="J193" i="34"/>
  <c r="K193" i="34"/>
  <c r="L193" i="34"/>
  <c r="M193" i="34"/>
  <c r="N193" i="34"/>
  <c r="C194" i="34"/>
  <c r="D194" i="34"/>
  <c r="E194" i="34"/>
  <c r="F194" i="34"/>
  <c r="G194" i="34"/>
  <c r="H194" i="34"/>
  <c r="I194" i="34"/>
  <c r="J194" i="34"/>
  <c r="K194" i="34"/>
  <c r="L194" i="34"/>
  <c r="M194" i="34"/>
  <c r="N194" i="34"/>
  <c r="C195" i="34"/>
  <c r="D195" i="34"/>
  <c r="E195" i="34"/>
  <c r="F195" i="34"/>
  <c r="G195" i="34"/>
  <c r="H195" i="34"/>
  <c r="I195" i="34"/>
  <c r="J195" i="34"/>
  <c r="K195" i="34"/>
  <c r="L195" i="34"/>
  <c r="M195" i="34"/>
  <c r="N195" i="34"/>
  <c r="C196" i="34"/>
  <c r="D196" i="34"/>
  <c r="E196" i="34"/>
  <c r="F196" i="34"/>
  <c r="G196" i="34"/>
  <c r="H196" i="34"/>
  <c r="I196" i="34"/>
  <c r="J196" i="34"/>
  <c r="K196" i="34"/>
  <c r="L196" i="34"/>
  <c r="M196" i="34"/>
  <c r="N196" i="34"/>
  <c r="C197" i="34"/>
  <c r="D197" i="34"/>
  <c r="E197" i="34"/>
  <c r="F197" i="34"/>
  <c r="G197" i="34"/>
  <c r="H197" i="34"/>
  <c r="I197" i="34"/>
  <c r="J197" i="34"/>
  <c r="K197" i="34"/>
  <c r="L197" i="34"/>
  <c r="M197" i="34"/>
  <c r="N197" i="34"/>
  <c r="C198" i="34"/>
  <c r="D198" i="34"/>
  <c r="E198" i="34"/>
  <c r="F198" i="34"/>
  <c r="G198" i="34"/>
  <c r="H198" i="34"/>
  <c r="I198" i="34"/>
  <c r="J198" i="34"/>
  <c r="K198" i="34"/>
  <c r="L198" i="34"/>
  <c r="M198" i="34"/>
  <c r="N198" i="34"/>
  <c r="C199" i="34"/>
  <c r="D199" i="34"/>
  <c r="E199" i="34"/>
  <c r="F199" i="34"/>
  <c r="G199" i="34"/>
  <c r="H199" i="34"/>
  <c r="I199" i="34"/>
  <c r="J199" i="34"/>
  <c r="K199" i="34"/>
  <c r="L199" i="34"/>
  <c r="M199" i="34"/>
  <c r="N199" i="34"/>
  <c r="C200" i="34"/>
  <c r="D200" i="34"/>
  <c r="E200" i="34"/>
  <c r="F200" i="34"/>
  <c r="G200" i="34"/>
  <c r="H200" i="34"/>
  <c r="I200" i="34"/>
  <c r="J200" i="34"/>
  <c r="K200" i="34"/>
  <c r="L200" i="34"/>
  <c r="M200" i="34"/>
  <c r="N200" i="34"/>
  <c r="C201" i="34"/>
  <c r="D201" i="34"/>
  <c r="E201" i="34"/>
  <c r="F201" i="34"/>
  <c r="G201" i="34"/>
  <c r="H201" i="34"/>
  <c r="I201" i="34"/>
  <c r="J201" i="34"/>
  <c r="K201" i="34"/>
  <c r="L201" i="34"/>
  <c r="M201" i="34"/>
  <c r="N201" i="34"/>
  <c r="C202" i="34"/>
  <c r="D202" i="34"/>
  <c r="E202" i="34"/>
  <c r="F202" i="34"/>
  <c r="G202" i="34"/>
  <c r="H202" i="34"/>
  <c r="I202" i="34"/>
  <c r="J202" i="34"/>
  <c r="K202" i="34"/>
  <c r="L202" i="34"/>
  <c r="M202" i="34"/>
  <c r="N202" i="34"/>
  <c r="C203" i="34"/>
  <c r="D203" i="34"/>
  <c r="E203" i="34"/>
  <c r="F203" i="34"/>
  <c r="G203" i="34"/>
  <c r="H203" i="34"/>
  <c r="I203" i="34"/>
  <c r="J203" i="34"/>
  <c r="K203" i="34"/>
  <c r="L203" i="34"/>
  <c r="M203" i="34"/>
  <c r="N203" i="34"/>
  <c r="C204" i="34"/>
  <c r="D204" i="34"/>
  <c r="E204" i="34"/>
  <c r="F204" i="34"/>
  <c r="G204" i="34"/>
  <c r="H204" i="34"/>
  <c r="I204" i="34"/>
  <c r="J204" i="34"/>
  <c r="K204" i="34"/>
  <c r="L204" i="34"/>
  <c r="M204" i="34"/>
  <c r="N204" i="34"/>
  <c r="C205" i="34"/>
  <c r="D205" i="34"/>
  <c r="E205" i="34"/>
  <c r="F205" i="34"/>
  <c r="G205" i="34"/>
  <c r="H205" i="34"/>
  <c r="I205" i="34"/>
  <c r="J205" i="34"/>
  <c r="K205" i="34"/>
  <c r="L205" i="34"/>
  <c r="M205" i="34"/>
  <c r="N205" i="34"/>
  <c r="C206" i="34"/>
  <c r="D206" i="34"/>
  <c r="E206" i="34"/>
  <c r="F206" i="34"/>
  <c r="G206" i="34"/>
  <c r="H206" i="34"/>
  <c r="I206" i="34"/>
  <c r="J206" i="34"/>
  <c r="K206" i="34"/>
  <c r="L206" i="34"/>
  <c r="M206" i="34"/>
  <c r="N206" i="34"/>
  <c r="C207" i="34"/>
  <c r="D207" i="34"/>
  <c r="E207" i="34"/>
  <c r="F207" i="34"/>
  <c r="G207" i="34"/>
  <c r="H207" i="34"/>
  <c r="I207" i="34"/>
  <c r="J207" i="34"/>
  <c r="K207" i="34"/>
  <c r="L207" i="34"/>
  <c r="M207" i="34"/>
  <c r="N207" i="34"/>
  <c r="C208" i="34"/>
  <c r="D208" i="34"/>
  <c r="E208" i="34"/>
  <c r="F208" i="34"/>
  <c r="G208" i="34"/>
  <c r="H208" i="34"/>
  <c r="I208" i="34"/>
  <c r="J208" i="34"/>
  <c r="K208" i="34"/>
  <c r="L208" i="34"/>
  <c r="M208" i="34"/>
  <c r="N208" i="34"/>
  <c r="C209" i="34"/>
  <c r="D209" i="34"/>
  <c r="E209" i="34"/>
  <c r="F209" i="34"/>
  <c r="G209" i="34"/>
  <c r="H209" i="34"/>
  <c r="I209" i="34"/>
  <c r="J209" i="34"/>
  <c r="K209" i="34"/>
  <c r="L209" i="34"/>
  <c r="M209" i="34"/>
  <c r="N209" i="34"/>
  <c r="C210" i="34"/>
  <c r="D210" i="34"/>
  <c r="E210" i="34"/>
  <c r="F210" i="34"/>
  <c r="G210" i="34"/>
  <c r="H210" i="34"/>
  <c r="I210" i="34"/>
  <c r="J210" i="34"/>
  <c r="K210" i="34"/>
  <c r="L210" i="34"/>
  <c r="M210" i="34"/>
  <c r="N210" i="34"/>
  <c r="C211" i="34"/>
  <c r="D211" i="34"/>
  <c r="E211" i="34"/>
  <c r="F211" i="34"/>
  <c r="G211" i="34"/>
  <c r="H211" i="34"/>
  <c r="I211" i="34"/>
  <c r="J211" i="34"/>
  <c r="K211" i="34"/>
  <c r="L211" i="34"/>
  <c r="M211" i="34"/>
  <c r="N211" i="34"/>
  <c r="C212" i="34"/>
  <c r="D212" i="34"/>
  <c r="E212" i="34"/>
  <c r="F212" i="34"/>
  <c r="G212" i="34"/>
  <c r="H212" i="34"/>
  <c r="I212" i="34"/>
  <c r="J212" i="34"/>
  <c r="K212" i="34"/>
  <c r="L212" i="34"/>
  <c r="M212" i="34"/>
  <c r="N212" i="34"/>
  <c r="C213" i="34"/>
  <c r="D213" i="34"/>
  <c r="E213" i="34"/>
  <c r="F213" i="34"/>
  <c r="G213" i="34"/>
  <c r="H213" i="34"/>
  <c r="I213" i="34"/>
  <c r="J213" i="34"/>
  <c r="K213" i="34"/>
  <c r="L213" i="34"/>
  <c r="M213" i="34"/>
  <c r="N213" i="34"/>
  <c r="C214" i="34"/>
  <c r="D214" i="34"/>
  <c r="E214" i="34"/>
  <c r="F214" i="34"/>
  <c r="G214" i="34"/>
  <c r="H214" i="34"/>
  <c r="I214" i="34"/>
  <c r="J214" i="34"/>
  <c r="K214" i="34"/>
  <c r="L214" i="34"/>
  <c r="M214" i="34"/>
  <c r="N214" i="34"/>
  <c r="C215" i="34"/>
  <c r="D215" i="34"/>
  <c r="E215" i="34"/>
  <c r="F215" i="34"/>
  <c r="G215" i="34"/>
  <c r="H215" i="34"/>
  <c r="I215" i="34"/>
  <c r="J215" i="34"/>
  <c r="K215" i="34"/>
  <c r="L215" i="34"/>
  <c r="M215" i="34"/>
  <c r="N215" i="34"/>
  <c r="C216" i="34"/>
  <c r="D216" i="34"/>
  <c r="E216" i="34"/>
  <c r="F216" i="34"/>
  <c r="G216" i="34"/>
  <c r="H216" i="34"/>
  <c r="I216" i="34"/>
  <c r="J216" i="34"/>
  <c r="K216" i="34"/>
  <c r="L216" i="34"/>
  <c r="M216" i="34"/>
  <c r="N216" i="34"/>
  <c r="C217" i="34"/>
  <c r="D217" i="34"/>
  <c r="E217" i="34"/>
  <c r="F217" i="34"/>
  <c r="G217" i="34"/>
  <c r="H217" i="34"/>
  <c r="I217" i="34"/>
  <c r="J217" i="34"/>
  <c r="K217" i="34"/>
  <c r="L217" i="34"/>
  <c r="M217" i="34"/>
  <c r="N217" i="34"/>
  <c r="C218" i="34"/>
  <c r="D218" i="34"/>
  <c r="E218" i="34"/>
  <c r="F218" i="34"/>
  <c r="G218" i="34"/>
  <c r="H218" i="34"/>
  <c r="I218" i="34"/>
  <c r="J218" i="34"/>
  <c r="K218" i="34"/>
  <c r="L218" i="34"/>
  <c r="M218" i="34"/>
  <c r="N218" i="34"/>
  <c r="C219" i="34"/>
  <c r="D219" i="34"/>
  <c r="E219" i="34"/>
  <c r="F219" i="34"/>
  <c r="G219" i="34"/>
  <c r="H219" i="34"/>
  <c r="I219" i="34"/>
  <c r="J219" i="34"/>
  <c r="K219" i="34"/>
  <c r="L219" i="34"/>
  <c r="M219" i="34"/>
  <c r="N219" i="34"/>
  <c r="C220" i="34"/>
  <c r="D220" i="34"/>
  <c r="E220" i="34"/>
  <c r="F220" i="34"/>
  <c r="G220" i="34"/>
  <c r="H220" i="34"/>
  <c r="I220" i="34"/>
  <c r="J220" i="34"/>
  <c r="K220" i="34"/>
  <c r="L220" i="34"/>
  <c r="M220" i="34"/>
  <c r="N220" i="34"/>
  <c r="C221" i="34"/>
  <c r="D221" i="34"/>
  <c r="E221" i="34"/>
  <c r="F221" i="34"/>
  <c r="G221" i="34"/>
  <c r="H221" i="34"/>
  <c r="I221" i="34"/>
  <c r="J221" i="34"/>
  <c r="K221" i="34"/>
  <c r="L221" i="34"/>
  <c r="M221" i="34"/>
  <c r="N221" i="34"/>
  <c r="C222" i="34"/>
  <c r="D222" i="34"/>
  <c r="E222" i="34"/>
  <c r="F222" i="34"/>
  <c r="G222" i="34"/>
  <c r="H222" i="34"/>
  <c r="I222" i="34"/>
  <c r="J222" i="34"/>
  <c r="K222" i="34"/>
  <c r="L222" i="34"/>
  <c r="M222" i="34"/>
  <c r="N222" i="34"/>
  <c r="C223" i="34"/>
  <c r="D223" i="34"/>
  <c r="E223" i="34"/>
  <c r="F223" i="34"/>
  <c r="G223" i="34"/>
  <c r="H223" i="34"/>
  <c r="I223" i="34"/>
  <c r="J223" i="34"/>
  <c r="K223" i="34"/>
  <c r="L223" i="34"/>
  <c r="M223" i="34"/>
  <c r="N223" i="34"/>
  <c r="C224" i="34"/>
  <c r="D224" i="34"/>
  <c r="E224" i="34"/>
  <c r="F224" i="34"/>
  <c r="G224" i="34"/>
  <c r="H224" i="34"/>
  <c r="I224" i="34"/>
  <c r="J224" i="34"/>
  <c r="K224" i="34"/>
  <c r="L224" i="34"/>
  <c r="M224" i="34"/>
  <c r="N224" i="34"/>
  <c r="C225" i="34"/>
  <c r="D225" i="34"/>
  <c r="E225" i="34"/>
  <c r="F225" i="34"/>
  <c r="G225" i="34"/>
  <c r="H225" i="34"/>
  <c r="I225" i="34"/>
  <c r="J225" i="34"/>
  <c r="K225" i="34"/>
  <c r="L225" i="34"/>
  <c r="M225" i="34"/>
  <c r="N225" i="34"/>
  <c r="C226" i="34"/>
  <c r="D226" i="34"/>
  <c r="E226" i="34"/>
  <c r="F226" i="34"/>
  <c r="G226" i="34"/>
  <c r="H226" i="34"/>
  <c r="I226" i="34"/>
  <c r="J226" i="34"/>
  <c r="K226" i="34"/>
  <c r="L226" i="34"/>
  <c r="M226" i="34"/>
  <c r="N226" i="34"/>
  <c r="C227" i="34"/>
  <c r="D227" i="34"/>
  <c r="E227" i="34"/>
  <c r="F227" i="34"/>
  <c r="G227" i="34"/>
  <c r="H227" i="34"/>
  <c r="I227" i="34"/>
  <c r="J227" i="34"/>
  <c r="K227" i="34"/>
  <c r="L227" i="34"/>
  <c r="M227" i="34"/>
  <c r="N227" i="34"/>
  <c r="C228" i="34"/>
  <c r="D228" i="34"/>
  <c r="E228" i="34"/>
  <c r="F228" i="34"/>
  <c r="G228" i="34"/>
  <c r="H228" i="34"/>
  <c r="I228" i="34"/>
  <c r="J228" i="34"/>
  <c r="K228" i="34"/>
  <c r="L228" i="34"/>
  <c r="M228" i="34"/>
  <c r="N228" i="34"/>
  <c r="C229" i="34"/>
  <c r="D229" i="34"/>
  <c r="E229" i="34"/>
  <c r="F229" i="34"/>
  <c r="G229" i="34"/>
  <c r="H229" i="34"/>
  <c r="I229" i="34"/>
  <c r="J229" i="34"/>
  <c r="K229" i="34"/>
  <c r="L229" i="34"/>
  <c r="M229" i="34"/>
  <c r="N229" i="34"/>
  <c r="C230" i="34"/>
  <c r="D230" i="34"/>
  <c r="E230" i="34"/>
  <c r="F230" i="34"/>
  <c r="G230" i="34"/>
  <c r="H230" i="34"/>
  <c r="I230" i="34"/>
  <c r="J230" i="34"/>
  <c r="K230" i="34"/>
  <c r="L230" i="34"/>
  <c r="M230" i="34"/>
  <c r="N230" i="34"/>
  <c r="C231" i="34"/>
  <c r="D231" i="34"/>
  <c r="E231" i="34"/>
  <c r="F231" i="34"/>
  <c r="G231" i="34"/>
  <c r="H231" i="34"/>
  <c r="I231" i="34"/>
  <c r="J231" i="34"/>
  <c r="K231" i="34"/>
  <c r="L231" i="34"/>
  <c r="M231" i="34"/>
  <c r="N231" i="34"/>
  <c r="C232" i="34"/>
  <c r="D232" i="34"/>
  <c r="E232" i="34"/>
  <c r="F232" i="34"/>
  <c r="G232" i="34"/>
  <c r="H232" i="34"/>
  <c r="I232" i="34"/>
  <c r="J232" i="34"/>
  <c r="K232" i="34"/>
  <c r="L232" i="34"/>
  <c r="M232" i="34"/>
  <c r="N232" i="34"/>
  <c r="C233" i="34"/>
  <c r="D233" i="34"/>
  <c r="E233" i="34"/>
  <c r="F233" i="34"/>
  <c r="G233" i="34"/>
  <c r="H233" i="34"/>
  <c r="I233" i="34"/>
  <c r="J233" i="34"/>
  <c r="K233" i="34"/>
  <c r="L233" i="34"/>
  <c r="M233" i="34"/>
  <c r="N233" i="34"/>
  <c r="C234" i="34"/>
  <c r="D234" i="34"/>
  <c r="E234" i="34"/>
  <c r="F234" i="34"/>
  <c r="G234" i="34"/>
  <c r="H234" i="34"/>
  <c r="I234" i="34"/>
  <c r="J234" i="34"/>
  <c r="K234" i="34"/>
  <c r="L234" i="34"/>
  <c r="M234" i="34"/>
  <c r="N234" i="34"/>
  <c r="C235" i="34"/>
  <c r="D235" i="34"/>
  <c r="E235" i="34"/>
  <c r="F235" i="34"/>
  <c r="G235" i="34"/>
  <c r="H235" i="34"/>
  <c r="I235" i="34"/>
  <c r="J235" i="34"/>
  <c r="K235" i="34"/>
  <c r="L235" i="34"/>
  <c r="M235" i="34"/>
  <c r="N235" i="34"/>
  <c r="C236" i="34"/>
  <c r="D236" i="34"/>
  <c r="E236" i="34"/>
  <c r="F236" i="34"/>
  <c r="G236" i="34"/>
  <c r="H236" i="34"/>
  <c r="I236" i="34"/>
  <c r="J236" i="34"/>
  <c r="K236" i="34"/>
  <c r="L236" i="34"/>
  <c r="M236" i="34"/>
  <c r="N236" i="34"/>
  <c r="C237" i="34"/>
  <c r="D237" i="34"/>
  <c r="E237" i="34"/>
  <c r="F237" i="34"/>
  <c r="G237" i="34"/>
  <c r="H237" i="34"/>
  <c r="I237" i="34"/>
  <c r="J237" i="34"/>
  <c r="K237" i="34"/>
  <c r="L237" i="34"/>
  <c r="M237" i="34"/>
  <c r="N237" i="34"/>
  <c r="C238" i="34"/>
  <c r="D238" i="34"/>
  <c r="E238" i="34"/>
  <c r="F238" i="34"/>
  <c r="G238" i="34"/>
  <c r="H238" i="34"/>
  <c r="I238" i="34"/>
  <c r="J238" i="34"/>
  <c r="K238" i="34"/>
  <c r="L238" i="34"/>
  <c r="M238" i="34"/>
  <c r="N238" i="34"/>
  <c r="C239" i="34"/>
  <c r="D239" i="34"/>
  <c r="E239" i="34"/>
  <c r="F239" i="34"/>
  <c r="G239" i="34"/>
  <c r="H239" i="34"/>
  <c r="I239" i="34"/>
  <c r="J239" i="34"/>
  <c r="K239" i="34"/>
  <c r="L239" i="34"/>
  <c r="M239" i="34"/>
  <c r="N239" i="34"/>
  <c r="C240" i="34"/>
  <c r="D240" i="34"/>
  <c r="E240" i="34"/>
  <c r="F240" i="34"/>
  <c r="G240" i="34"/>
  <c r="H240" i="34"/>
  <c r="I240" i="34"/>
  <c r="J240" i="34"/>
  <c r="K240" i="34"/>
  <c r="L240" i="34"/>
  <c r="M240" i="34"/>
  <c r="N240" i="34"/>
  <c r="C241" i="34"/>
  <c r="D241" i="34"/>
  <c r="E241" i="34"/>
  <c r="F241" i="34"/>
  <c r="G241" i="34"/>
  <c r="H241" i="34"/>
  <c r="I241" i="34"/>
  <c r="J241" i="34"/>
  <c r="K241" i="34"/>
  <c r="L241" i="34"/>
  <c r="M241" i="34"/>
  <c r="N241" i="34"/>
  <c r="C242" i="34"/>
  <c r="D242" i="34"/>
  <c r="E242" i="34"/>
  <c r="F242" i="34"/>
  <c r="G242" i="34"/>
  <c r="H242" i="34"/>
  <c r="I242" i="34"/>
  <c r="J242" i="34"/>
  <c r="K242" i="34"/>
  <c r="L242" i="34"/>
  <c r="M242" i="34"/>
  <c r="N242" i="34"/>
  <c r="C243" i="34"/>
  <c r="D243" i="34"/>
  <c r="E243" i="34"/>
  <c r="F243" i="34"/>
  <c r="G243" i="34"/>
  <c r="H243" i="34"/>
  <c r="I243" i="34"/>
  <c r="J243" i="34"/>
  <c r="K243" i="34"/>
  <c r="L243" i="34"/>
  <c r="M243" i="34"/>
  <c r="N243" i="34"/>
  <c r="C244" i="34"/>
  <c r="D244" i="34"/>
  <c r="E244" i="34"/>
  <c r="F244" i="34"/>
  <c r="G244" i="34"/>
  <c r="H244" i="34"/>
  <c r="I244" i="34"/>
  <c r="J244" i="34"/>
  <c r="K244" i="34"/>
  <c r="L244" i="34"/>
  <c r="M244" i="34"/>
  <c r="N244" i="34"/>
  <c r="C245" i="34"/>
  <c r="D245" i="34"/>
  <c r="E245" i="34"/>
  <c r="F245" i="34"/>
  <c r="G245" i="34"/>
  <c r="H245" i="34"/>
  <c r="I245" i="34"/>
  <c r="J245" i="34"/>
  <c r="K245" i="34"/>
  <c r="L245" i="34"/>
  <c r="M245" i="34"/>
  <c r="N245" i="34"/>
  <c r="C246" i="34"/>
  <c r="D246" i="34"/>
  <c r="E246" i="34"/>
  <c r="F246" i="34"/>
  <c r="G246" i="34"/>
  <c r="H246" i="34"/>
  <c r="I246" i="34"/>
  <c r="J246" i="34"/>
  <c r="K246" i="34"/>
  <c r="L246" i="34"/>
  <c r="M246" i="34"/>
  <c r="N246" i="34"/>
  <c r="C247" i="34"/>
  <c r="D247" i="34"/>
  <c r="E247" i="34"/>
  <c r="F247" i="34"/>
  <c r="G247" i="34"/>
  <c r="H247" i="34"/>
  <c r="I247" i="34"/>
  <c r="J247" i="34"/>
  <c r="K247" i="34"/>
  <c r="L247" i="34"/>
  <c r="M247" i="34"/>
  <c r="N247" i="34"/>
  <c r="C248" i="34"/>
  <c r="D248" i="34"/>
  <c r="E248" i="34"/>
  <c r="F248" i="34"/>
  <c r="G248" i="34"/>
  <c r="H248" i="34"/>
  <c r="I248" i="34"/>
  <c r="J248" i="34"/>
  <c r="K248" i="34"/>
  <c r="L248" i="34"/>
  <c r="M248" i="34"/>
  <c r="N248" i="34"/>
  <c r="C249" i="34"/>
  <c r="D249" i="34"/>
  <c r="E249" i="34"/>
  <c r="F249" i="34"/>
  <c r="G249" i="34"/>
  <c r="H249" i="34"/>
  <c r="I249" i="34"/>
  <c r="J249" i="34"/>
  <c r="K249" i="34"/>
  <c r="L249" i="34"/>
  <c r="M249" i="34"/>
  <c r="N249" i="34"/>
  <c r="C250" i="34"/>
  <c r="D250" i="34"/>
  <c r="E250" i="34"/>
  <c r="F250" i="34"/>
  <c r="G250" i="34"/>
  <c r="H250" i="34"/>
  <c r="I250" i="34"/>
  <c r="J250" i="34"/>
  <c r="K250" i="34"/>
  <c r="L250" i="34"/>
  <c r="M250" i="34"/>
  <c r="N250" i="34"/>
  <c r="C251" i="34"/>
  <c r="D251" i="34"/>
  <c r="E251" i="34"/>
  <c r="F251" i="34"/>
  <c r="G251" i="34"/>
  <c r="H251" i="34"/>
  <c r="I251" i="34"/>
  <c r="J251" i="34"/>
  <c r="K251" i="34"/>
  <c r="L251" i="34"/>
  <c r="M251" i="34"/>
  <c r="N251" i="34"/>
  <c r="C252" i="34"/>
  <c r="D252" i="34"/>
  <c r="E252" i="34"/>
  <c r="F252" i="34"/>
  <c r="G252" i="34"/>
  <c r="H252" i="34"/>
  <c r="I252" i="34"/>
  <c r="J252" i="34"/>
  <c r="K252" i="34"/>
  <c r="L252" i="34"/>
  <c r="M252" i="34"/>
  <c r="N252" i="34"/>
  <c r="C253" i="34"/>
  <c r="D253" i="34"/>
  <c r="E253" i="34"/>
  <c r="F253" i="34"/>
  <c r="G253" i="34"/>
  <c r="H253" i="34"/>
  <c r="I253" i="34"/>
  <c r="J253" i="34"/>
  <c r="K253" i="34"/>
  <c r="L253" i="34"/>
  <c r="M253" i="34"/>
  <c r="N253" i="34"/>
  <c r="C254" i="34"/>
  <c r="D254" i="34"/>
  <c r="E254" i="34"/>
  <c r="F254" i="34"/>
  <c r="G254" i="34"/>
  <c r="H254" i="34"/>
  <c r="I254" i="34"/>
  <c r="J254" i="34"/>
  <c r="K254" i="34"/>
  <c r="L254" i="34"/>
  <c r="M254" i="34"/>
  <c r="N254" i="34"/>
  <c r="C255" i="34"/>
  <c r="D255" i="34"/>
  <c r="E255" i="34"/>
  <c r="F255" i="34"/>
  <c r="G255" i="34"/>
  <c r="H255" i="34"/>
  <c r="I255" i="34"/>
  <c r="J255" i="34"/>
  <c r="K255" i="34"/>
  <c r="L255" i="34"/>
  <c r="M255" i="34"/>
  <c r="N255" i="34"/>
  <c r="C256" i="34"/>
  <c r="D256" i="34"/>
  <c r="E256" i="34"/>
  <c r="F256" i="34"/>
  <c r="G256" i="34"/>
  <c r="H256" i="34"/>
  <c r="I256" i="34"/>
  <c r="J256" i="34"/>
  <c r="K256" i="34"/>
  <c r="L256" i="34"/>
  <c r="M256" i="34"/>
  <c r="N256" i="34"/>
  <c r="C257" i="34"/>
  <c r="D257" i="34"/>
  <c r="E257" i="34"/>
  <c r="F257" i="34"/>
  <c r="G257" i="34"/>
  <c r="H257" i="34"/>
  <c r="I257" i="34"/>
  <c r="J257" i="34"/>
  <c r="K257" i="34"/>
  <c r="L257" i="34"/>
  <c r="M257" i="34"/>
  <c r="N257" i="34"/>
  <c r="C258" i="34"/>
  <c r="D258" i="34"/>
  <c r="E258" i="34"/>
  <c r="F258" i="34"/>
  <c r="G258" i="34"/>
  <c r="H258" i="34"/>
  <c r="I258" i="34"/>
  <c r="J258" i="34"/>
  <c r="K258" i="34"/>
  <c r="L258" i="34"/>
  <c r="M258" i="34"/>
  <c r="N258" i="34"/>
  <c r="C259" i="34"/>
  <c r="D259" i="34"/>
  <c r="E259" i="34"/>
  <c r="F259" i="34"/>
  <c r="G259" i="34"/>
  <c r="H259" i="34"/>
  <c r="I259" i="34"/>
  <c r="J259" i="34"/>
  <c r="K259" i="34"/>
  <c r="L259" i="34"/>
  <c r="M259" i="34"/>
  <c r="N259" i="34"/>
  <c r="C260" i="34"/>
  <c r="D260" i="34"/>
  <c r="E260" i="34"/>
  <c r="F260" i="34"/>
  <c r="G260" i="34"/>
  <c r="H260" i="34"/>
  <c r="I260" i="34"/>
  <c r="J260" i="34"/>
  <c r="K260" i="34"/>
  <c r="L260" i="34"/>
  <c r="M260" i="34"/>
  <c r="N260" i="34"/>
  <c r="C261" i="34"/>
  <c r="D261" i="34"/>
  <c r="E261" i="34"/>
  <c r="F261" i="34"/>
  <c r="G261" i="34"/>
  <c r="H261" i="34"/>
  <c r="I261" i="34"/>
  <c r="J261" i="34"/>
  <c r="K261" i="34"/>
  <c r="L261" i="34"/>
  <c r="M261" i="34"/>
  <c r="N261" i="34"/>
  <c r="C262" i="34"/>
  <c r="D262" i="34"/>
  <c r="E262" i="34"/>
  <c r="F262" i="34"/>
  <c r="G262" i="34"/>
  <c r="H262" i="34"/>
  <c r="I262" i="34"/>
  <c r="J262" i="34"/>
  <c r="K262" i="34"/>
  <c r="L262" i="34"/>
  <c r="M262" i="34"/>
  <c r="N262" i="34"/>
  <c r="C263" i="34"/>
  <c r="D263" i="34"/>
  <c r="E263" i="34"/>
  <c r="F263" i="34"/>
  <c r="G263" i="34"/>
  <c r="H263" i="34"/>
  <c r="I263" i="34"/>
  <c r="J263" i="34"/>
  <c r="K263" i="34"/>
  <c r="L263" i="34"/>
  <c r="M263" i="34"/>
  <c r="N263" i="34"/>
  <c r="C264" i="34"/>
  <c r="D264" i="34"/>
  <c r="E264" i="34"/>
  <c r="F264" i="34"/>
  <c r="G264" i="34"/>
  <c r="H264" i="34"/>
  <c r="I264" i="34"/>
  <c r="J264" i="34"/>
  <c r="K264" i="34"/>
  <c r="L264" i="34"/>
  <c r="M264" i="34"/>
  <c r="N264" i="34"/>
  <c r="C265" i="34"/>
  <c r="D265" i="34"/>
  <c r="E265" i="34"/>
  <c r="F265" i="34"/>
  <c r="G265" i="34"/>
  <c r="H265" i="34"/>
  <c r="I265" i="34"/>
  <c r="J265" i="34"/>
  <c r="K265" i="34"/>
  <c r="L265" i="34"/>
  <c r="M265" i="34"/>
  <c r="N265" i="34"/>
  <c r="C266" i="34"/>
  <c r="D266" i="34"/>
  <c r="E266" i="34"/>
  <c r="F266" i="34"/>
  <c r="G266" i="34"/>
  <c r="H266" i="34"/>
  <c r="I266" i="34"/>
  <c r="J266" i="34"/>
  <c r="K266" i="34"/>
  <c r="L266" i="34"/>
  <c r="M266" i="34"/>
  <c r="N266" i="34"/>
  <c r="C267" i="34"/>
  <c r="D267" i="34"/>
  <c r="E267" i="34"/>
  <c r="F267" i="34"/>
  <c r="G267" i="34"/>
  <c r="H267" i="34"/>
  <c r="I267" i="34"/>
  <c r="J267" i="34"/>
  <c r="K267" i="34"/>
  <c r="L267" i="34"/>
  <c r="M267" i="34"/>
  <c r="N267" i="34"/>
  <c r="C268" i="34"/>
  <c r="D268" i="34"/>
  <c r="E268" i="34"/>
  <c r="F268" i="34"/>
  <c r="G268" i="34"/>
  <c r="H268" i="34"/>
  <c r="I268" i="34"/>
  <c r="J268" i="34"/>
  <c r="K268" i="34"/>
  <c r="L268" i="34"/>
  <c r="M268" i="34"/>
  <c r="N268" i="34"/>
  <c r="C269" i="34"/>
  <c r="D269" i="34"/>
  <c r="E269" i="34"/>
  <c r="F269" i="34"/>
  <c r="G269" i="34"/>
  <c r="H269" i="34"/>
  <c r="I269" i="34"/>
  <c r="J269" i="34"/>
  <c r="K269" i="34"/>
  <c r="L269" i="34"/>
  <c r="M269" i="34"/>
  <c r="N269" i="34"/>
  <c r="C270" i="34"/>
  <c r="D270" i="34"/>
  <c r="E270" i="34"/>
  <c r="F270" i="34"/>
  <c r="G270" i="34"/>
  <c r="H270" i="34"/>
  <c r="I270" i="34"/>
  <c r="J270" i="34"/>
  <c r="K270" i="34"/>
  <c r="L270" i="34"/>
  <c r="M270" i="34"/>
  <c r="N270" i="34"/>
  <c r="C271" i="34"/>
  <c r="D271" i="34"/>
  <c r="E271" i="34"/>
  <c r="F271" i="34"/>
  <c r="G271" i="34"/>
  <c r="H271" i="34"/>
  <c r="I271" i="34"/>
  <c r="J271" i="34"/>
  <c r="K271" i="34"/>
  <c r="L271" i="34"/>
  <c r="M271" i="34"/>
  <c r="N271" i="34"/>
  <c r="C272" i="34"/>
  <c r="D272" i="34"/>
  <c r="E272" i="34"/>
  <c r="F272" i="34"/>
  <c r="G272" i="34"/>
  <c r="H272" i="34"/>
  <c r="I272" i="34"/>
  <c r="J272" i="34"/>
  <c r="K272" i="34"/>
  <c r="L272" i="34"/>
  <c r="M272" i="34"/>
  <c r="N272" i="34"/>
  <c r="C273" i="34"/>
  <c r="D273" i="34"/>
  <c r="E273" i="34"/>
  <c r="F273" i="34"/>
  <c r="G273" i="34"/>
  <c r="H273" i="34"/>
  <c r="I273" i="34"/>
  <c r="J273" i="34"/>
  <c r="K273" i="34"/>
  <c r="L273" i="34"/>
  <c r="M273" i="34"/>
  <c r="N273" i="34"/>
  <c r="C274" i="34"/>
  <c r="D274" i="34"/>
  <c r="E274" i="34"/>
  <c r="F274" i="34"/>
  <c r="G274" i="34"/>
  <c r="H274" i="34"/>
  <c r="I274" i="34"/>
  <c r="J274" i="34"/>
  <c r="K274" i="34"/>
  <c r="L274" i="34"/>
  <c r="M274" i="34"/>
  <c r="N274" i="34"/>
  <c r="C275" i="34"/>
  <c r="D275" i="34"/>
  <c r="E275" i="34"/>
  <c r="F275" i="34"/>
  <c r="G275" i="34"/>
  <c r="H275" i="34"/>
  <c r="I275" i="34"/>
  <c r="J275" i="34"/>
  <c r="K275" i="34"/>
  <c r="L275" i="34"/>
  <c r="M275" i="34"/>
  <c r="N275" i="34"/>
  <c r="C276" i="34"/>
  <c r="D276" i="34"/>
  <c r="E276" i="34"/>
  <c r="F276" i="34"/>
  <c r="G276" i="34"/>
  <c r="H276" i="34"/>
  <c r="I276" i="34"/>
  <c r="J276" i="34"/>
  <c r="K276" i="34"/>
  <c r="L276" i="34"/>
  <c r="M276" i="34"/>
  <c r="N276" i="34"/>
  <c r="C277" i="34"/>
  <c r="D277" i="34"/>
  <c r="E277" i="34"/>
  <c r="F277" i="34"/>
  <c r="G277" i="34"/>
  <c r="H277" i="34"/>
  <c r="I277" i="34"/>
  <c r="J277" i="34"/>
  <c r="K277" i="34"/>
  <c r="L277" i="34"/>
  <c r="M277" i="34"/>
  <c r="N277" i="34"/>
  <c r="C278" i="34"/>
  <c r="D278" i="34"/>
  <c r="E278" i="34"/>
  <c r="F278" i="34"/>
  <c r="G278" i="34"/>
  <c r="H278" i="34"/>
  <c r="I278" i="34"/>
  <c r="J278" i="34"/>
  <c r="K278" i="34"/>
  <c r="L278" i="34"/>
  <c r="M278" i="34"/>
  <c r="N278" i="34"/>
  <c r="C279" i="34"/>
  <c r="D279" i="34"/>
  <c r="E279" i="34"/>
  <c r="F279" i="34"/>
  <c r="G279" i="34"/>
  <c r="H279" i="34"/>
  <c r="I279" i="34"/>
  <c r="J279" i="34"/>
  <c r="K279" i="34"/>
  <c r="L279" i="34"/>
  <c r="M279" i="34"/>
  <c r="N279" i="34"/>
  <c r="C280" i="34"/>
  <c r="D280" i="34"/>
  <c r="E280" i="34"/>
  <c r="F280" i="34"/>
  <c r="G280" i="34"/>
  <c r="H280" i="34"/>
  <c r="I280" i="34"/>
  <c r="J280" i="34"/>
  <c r="K280" i="34"/>
  <c r="L280" i="34"/>
  <c r="M280" i="34"/>
  <c r="N280" i="34"/>
  <c r="C281" i="34"/>
  <c r="D281" i="34"/>
  <c r="E281" i="34"/>
  <c r="F281" i="34"/>
  <c r="G281" i="34"/>
  <c r="H281" i="34"/>
  <c r="I281" i="34"/>
  <c r="J281" i="34"/>
  <c r="K281" i="34"/>
  <c r="L281" i="34"/>
  <c r="M281" i="34"/>
  <c r="N281" i="34"/>
  <c r="C282" i="34"/>
  <c r="D282" i="34"/>
  <c r="E282" i="34"/>
  <c r="F282" i="34"/>
  <c r="G282" i="34"/>
  <c r="H282" i="34"/>
  <c r="I282" i="34"/>
  <c r="J282" i="34"/>
  <c r="K282" i="34"/>
  <c r="L282" i="34"/>
  <c r="M282" i="34"/>
  <c r="N282" i="34"/>
  <c r="C283" i="34"/>
  <c r="D283" i="34"/>
  <c r="E283" i="34"/>
  <c r="F283" i="34"/>
  <c r="G283" i="34"/>
  <c r="H283" i="34"/>
  <c r="I283" i="34"/>
  <c r="J283" i="34"/>
  <c r="K283" i="34"/>
  <c r="L283" i="34"/>
  <c r="M283" i="34"/>
  <c r="N283" i="34"/>
  <c r="C284" i="34"/>
  <c r="D284" i="34"/>
  <c r="E284" i="34"/>
  <c r="F284" i="34"/>
  <c r="G284" i="34"/>
  <c r="H284" i="34"/>
  <c r="I284" i="34"/>
  <c r="J284" i="34"/>
  <c r="K284" i="34"/>
  <c r="L284" i="34"/>
  <c r="M284" i="34"/>
  <c r="N284" i="34"/>
  <c r="C285" i="34"/>
  <c r="D285" i="34"/>
  <c r="E285" i="34"/>
  <c r="F285" i="34"/>
  <c r="G285" i="34"/>
  <c r="H285" i="34"/>
  <c r="I285" i="34"/>
  <c r="J285" i="34"/>
  <c r="K285" i="34"/>
  <c r="L285" i="34"/>
  <c r="M285" i="34"/>
  <c r="N285" i="34"/>
  <c r="C286" i="34"/>
  <c r="D286" i="34"/>
  <c r="E286" i="34"/>
  <c r="F286" i="34"/>
  <c r="G286" i="34"/>
  <c r="H286" i="34"/>
  <c r="I286" i="34"/>
  <c r="J286" i="34"/>
  <c r="K286" i="34"/>
  <c r="L286" i="34"/>
  <c r="M286" i="34"/>
  <c r="N286" i="34"/>
  <c r="C287" i="34"/>
  <c r="D287" i="34"/>
  <c r="E287" i="34"/>
  <c r="F287" i="34"/>
  <c r="G287" i="34"/>
  <c r="H287" i="34"/>
  <c r="I287" i="34"/>
  <c r="J287" i="34"/>
  <c r="K287" i="34"/>
  <c r="L287" i="34"/>
  <c r="M287" i="34"/>
  <c r="N287" i="34"/>
  <c r="C288" i="34"/>
  <c r="D288" i="34"/>
  <c r="E288" i="34"/>
  <c r="F288" i="34"/>
  <c r="G288" i="34"/>
  <c r="H288" i="34"/>
  <c r="I288" i="34"/>
  <c r="J288" i="34"/>
  <c r="K288" i="34"/>
  <c r="L288" i="34"/>
  <c r="M288" i="34"/>
  <c r="N288" i="34"/>
  <c r="C289" i="34"/>
  <c r="D289" i="34"/>
  <c r="E289" i="34"/>
  <c r="F289" i="34"/>
  <c r="G289" i="34"/>
  <c r="H289" i="34"/>
  <c r="I289" i="34"/>
  <c r="J289" i="34"/>
  <c r="K289" i="34"/>
  <c r="L289" i="34"/>
  <c r="M289" i="34"/>
  <c r="N289" i="34"/>
  <c r="C290" i="34"/>
  <c r="D290" i="34"/>
  <c r="E290" i="34"/>
  <c r="F290" i="34"/>
  <c r="G290" i="34"/>
  <c r="H290" i="34"/>
  <c r="I290" i="34"/>
  <c r="J290" i="34"/>
  <c r="K290" i="34"/>
  <c r="L290" i="34"/>
  <c r="M290" i="34"/>
  <c r="N290" i="34"/>
  <c r="C291" i="34"/>
  <c r="D291" i="34"/>
  <c r="E291" i="34"/>
  <c r="F291" i="34"/>
  <c r="G291" i="34"/>
  <c r="H291" i="34"/>
  <c r="I291" i="34"/>
  <c r="J291" i="34"/>
  <c r="K291" i="34"/>
  <c r="L291" i="34"/>
  <c r="M291" i="34"/>
  <c r="N291" i="34"/>
  <c r="C292" i="34"/>
  <c r="D292" i="34"/>
  <c r="E292" i="34"/>
  <c r="F292" i="34"/>
  <c r="G292" i="34"/>
  <c r="H292" i="34"/>
  <c r="I292" i="34"/>
  <c r="J292" i="34"/>
  <c r="K292" i="34"/>
  <c r="L292" i="34"/>
  <c r="M292" i="34"/>
  <c r="N292" i="34"/>
  <c r="C293" i="34"/>
  <c r="D293" i="34"/>
  <c r="E293" i="34"/>
  <c r="F293" i="34"/>
  <c r="G293" i="34"/>
  <c r="H293" i="34"/>
  <c r="I293" i="34"/>
  <c r="J293" i="34"/>
  <c r="K293" i="34"/>
  <c r="L293" i="34"/>
  <c r="M293" i="34"/>
  <c r="N293" i="34"/>
  <c r="C294" i="34"/>
  <c r="D294" i="34"/>
  <c r="E294" i="34"/>
  <c r="F294" i="34"/>
  <c r="G294" i="34"/>
  <c r="H294" i="34"/>
  <c r="I294" i="34"/>
  <c r="J294" i="34"/>
  <c r="K294" i="34"/>
  <c r="L294" i="34"/>
  <c r="M294" i="34"/>
  <c r="N294" i="34"/>
  <c r="C295" i="34"/>
  <c r="D295" i="34"/>
  <c r="E295" i="34"/>
  <c r="F295" i="34"/>
  <c r="G295" i="34"/>
  <c r="H295" i="34"/>
  <c r="I295" i="34"/>
  <c r="J295" i="34"/>
  <c r="K295" i="34"/>
  <c r="L295" i="34"/>
  <c r="M295" i="34"/>
  <c r="N295" i="34"/>
  <c r="C296" i="34"/>
  <c r="D296" i="34"/>
  <c r="E296" i="34"/>
  <c r="F296" i="34"/>
  <c r="G296" i="34"/>
  <c r="H296" i="34"/>
  <c r="I296" i="34"/>
  <c r="J296" i="34"/>
  <c r="K296" i="34"/>
  <c r="L296" i="34"/>
  <c r="M296" i="34"/>
  <c r="N296" i="34"/>
  <c r="C297" i="34"/>
  <c r="D297" i="34"/>
  <c r="E297" i="34"/>
  <c r="F297" i="34"/>
  <c r="G297" i="34"/>
  <c r="H297" i="34"/>
  <c r="I297" i="34"/>
  <c r="J297" i="34"/>
  <c r="K297" i="34"/>
  <c r="L297" i="34"/>
  <c r="M297" i="34"/>
  <c r="N297" i="34"/>
  <c r="C298" i="34"/>
  <c r="D298" i="34"/>
  <c r="E298" i="34"/>
  <c r="F298" i="34"/>
  <c r="G298" i="34"/>
  <c r="H298" i="34"/>
  <c r="I298" i="34"/>
  <c r="J298" i="34"/>
  <c r="K298" i="34"/>
  <c r="L298" i="34"/>
  <c r="M298" i="34"/>
  <c r="N298" i="34"/>
  <c r="C299" i="34"/>
  <c r="D299" i="34"/>
  <c r="E299" i="34"/>
  <c r="F299" i="34"/>
  <c r="G299" i="34"/>
  <c r="H299" i="34"/>
  <c r="I299" i="34"/>
  <c r="J299" i="34"/>
  <c r="K299" i="34"/>
  <c r="L299" i="34"/>
  <c r="M299" i="34"/>
  <c r="N299" i="34"/>
  <c r="C300" i="34"/>
  <c r="D300" i="34"/>
  <c r="E300" i="34"/>
  <c r="F300" i="34"/>
  <c r="G300" i="34"/>
  <c r="H300" i="34"/>
  <c r="I300" i="34"/>
  <c r="J300" i="34"/>
  <c r="K300" i="34"/>
  <c r="L300" i="34"/>
  <c r="M300" i="34"/>
  <c r="N300" i="34"/>
  <c r="C301" i="34"/>
  <c r="D301" i="34"/>
  <c r="E301" i="34"/>
  <c r="F301" i="34"/>
  <c r="G301" i="34"/>
  <c r="H301" i="34"/>
  <c r="I301" i="34"/>
  <c r="J301" i="34"/>
  <c r="K301" i="34"/>
  <c r="L301" i="34"/>
  <c r="M301" i="34"/>
  <c r="N301" i="34"/>
  <c r="C302" i="34"/>
  <c r="D302" i="34"/>
  <c r="E302" i="34"/>
  <c r="F302" i="34"/>
  <c r="G302" i="34"/>
  <c r="H302" i="34"/>
  <c r="I302" i="34"/>
  <c r="J302" i="34"/>
  <c r="K302" i="34"/>
  <c r="L302" i="34"/>
  <c r="M302" i="34"/>
  <c r="N302" i="34"/>
  <c r="C303" i="34"/>
  <c r="D303" i="34"/>
  <c r="E303" i="34"/>
  <c r="F303" i="34"/>
  <c r="G303" i="34"/>
  <c r="H303" i="34"/>
  <c r="I303" i="34"/>
  <c r="J303" i="34"/>
  <c r="K303" i="34"/>
  <c r="L303" i="34"/>
  <c r="M303" i="34"/>
  <c r="N303" i="34"/>
  <c r="C304" i="34"/>
  <c r="D304" i="34"/>
  <c r="E304" i="34"/>
  <c r="F304" i="34"/>
  <c r="G304" i="34"/>
  <c r="H304" i="34"/>
  <c r="I304" i="34"/>
  <c r="J304" i="34"/>
  <c r="K304" i="34"/>
  <c r="L304" i="34"/>
  <c r="M304" i="34"/>
  <c r="N304" i="34"/>
  <c r="C305" i="34"/>
  <c r="D305" i="34"/>
  <c r="E305" i="34"/>
  <c r="F305" i="34"/>
  <c r="G305" i="34"/>
  <c r="H305" i="34"/>
  <c r="I305" i="34"/>
  <c r="J305" i="34"/>
  <c r="K305" i="34"/>
  <c r="L305" i="34"/>
  <c r="M305" i="34"/>
  <c r="N305" i="34"/>
  <c r="C306" i="34"/>
  <c r="D306" i="34"/>
  <c r="E306" i="34"/>
  <c r="F306" i="34"/>
  <c r="G306" i="34"/>
  <c r="H306" i="34"/>
  <c r="I306" i="34"/>
  <c r="J306" i="34"/>
  <c r="K306" i="34"/>
  <c r="L306" i="34"/>
  <c r="M306" i="34"/>
  <c r="N306" i="34"/>
  <c r="C307" i="34"/>
  <c r="D307" i="34"/>
  <c r="E307" i="34"/>
  <c r="F307" i="34"/>
  <c r="G307" i="34"/>
  <c r="H307" i="34"/>
  <c r="I307" i="34"/>
  <c r="J307" i="34"/>
  <c r="K307" i="34"/>
  <c r="L307" i="34"/>
  <c r="M307" i="34"/>
  <c r="N307" i="34"/>
  <c r="C308" i="34"/>
  <c r="D308" i="34"/>
  <c r="E308" i="34"/>
  <c r="F308" i="34"/>
  <c r="G308" i="34"/>
  <c r="H308" i="34"/>
  <c r="I308" i="34"/>
  <c r="J308" i="34"/>
  <c r="K308" i="34"/>
  <c r="L308" i="34"/>
  <c r="M308" i="34"/>
  <c r="N308" i="34"/>
  <c r="C309" i="34"/>
  <c r="D309" i="34"/>
  <c r="E309" i="34"/>
  <c r="F309" i="34"/>
  <c r="G309" i="34"/>
  <c r="H309" i="34"/>
  <c r="I309" i="34"/>
  <c r="J309" i="34"/>
  <c r="K309" i="34"/>
  <c r="L309" i="34"/>
  <c r="M309" i="34"/>
  <c r="N309" i="34"/>
  <c r="C310" i="34"/>
  <c r="D310" i="34"/>
  <c r="E310" i="34"/>
  <c r="F310" i="34"/>
  <c r="G310" i="34"/>
  <c r="H310" i="34"/>
  <c r="I310" i="34"/>
  <c r="J310" i="34"/>
  <c r="K310" i="34"/>
  <c r="L310" i="34"/>
  <c r="M310" i="34"/>
  <c r="N310" i="34"/>
  <c r="C311" i="34"/>
  <c r="D311" i="34"/>
  <c r="E311" i="34"/>
  <c r="F311" i="34"/>
  <c r="G311" i="34"/>
  <c r="H311" i="34"/>
  <c r="I311" i="34"/>
  <c r="J311" i="34"/>
  <c r="K311" i="34"/>
  <c r="L311" i="34"/>
  <c r="M311" i="34"/>
  <c r="N311" i="34"/>
  <c r="C312" i="34"/>
  <c r="D312" i="34"/>
  <c r="E312" i="34"/>
  <c r="F312" i="34"/>
  <c r="G312" i="34"/>
  <c r="H312" i="34"/>
  <c r="I312" i="34"/>
  <c r="J312" i="34"/>
  <c r="K312" i="34"/>
  <c r="L312" i="34"/>
  <c r="M312" i="34"/>
  <c r="N312" i="34"/>
  <c r="C313" i="34"/>
  <c r="D313" i="34"/>
  <c r="E313" i="34"/>
  <c r="F313" i="34"/>
  <c r="G313" i="34"/>
  <c r="H313" i="34"/>
  <c r="I313" i="34"/>
  <c r="J313" i="34"/>
  <c r="K313" i="34"/>
  <c r="L313" i="34"/>
  <c r="M313" i="34"/>
  <c r="N313" i="34"/>
  <c r="C314" i="34"/>
  <c r="D314" i="34"/>
  <c r="E314" i="34"/>
  <c r="F314" i="34"/>
  <c r="G314" i="34"/>
  <c r="H314" i="34"/>
  <c r="I314" i="34"/>
  <c r="J314" i="34"/>
  <c r="K314" i="34"/>
  <c r="L314" i="34"/>
  <c r="M314" i="34"/>
  <c r="N314" i="34"/>
  <c r="C315" i="34"/>
  <c r="D315" i="34"/>
  <c r="E315" i="34"/>
  <c r="F315" i="34"/>
  <c r="G315" i="34"/>
  <c r="H315" i="34"/>
  <c r="I315" i="34"/>
  <c r="J315" i="34"/>
  <c r="K315" i="34"/>
  <c r="L315" i="34"/>
  <c r="M315" i="34"/>
  <c r="N315" i="34"/>
  <c r="C316" i="34"/>
  <c r="D316" i="34"/>
  <c r="E316" i="34"/>
  <c r="F316" i="34"/>
  <c r="G316" i="34"/>
  <c r="H316" i="34"/>
  <c r="I316" i="34"/>
  <c r="J316" i="34"/>
  <c r="K316" i="34"/>
  <c r="L316" i="34"/>
  <c r="M316" i="34"/>
  <c r="N316" i="34"/>
  <c r="C317" i="34"/>
  <c r="D317" i="34"/>
  <c r="E317" i="34"/>
  <c r="F317" i="34"/>
  <c r="G317" i="34"/>
  <c r="H317" i="34"/>
  <c r="I317" i="34"/>
  <c r="J317" i="34"/>
  <c r="K317" i="34"/>
  <c r="L317" i="34"/>
  <c r="M317" i="34"/>
  <c r="N317" i="34"/>
  <c r="C318" i="34"/>
  <c r="D318" i="34"/>
  <c r="E318" i="34"/>
  <c r="F318" i="34"/>
  <c r="G318" i="34"/>
  <c r="H318" i="34"/>
  <c r="I318" i="34"/>
  <c r="J318" i="34"/>
  <c r="K318" i="34"/>
  <c r="L318" i="34"/>
  <c r="M318" i="34"/>
  <c r="N318" i="34"/>
  <c r="C319" i="34"/>
  <c r="D319" i="34"/>
  <c r="E319" i="34"/>
  <c r="F319" i="34"/>
  <c r="G319" i="34"/>
  <c r="H319" i="34"/>
  <c r="I319" i="34"/>
  <c r="J319" i="34"/>
  <c r="K319" i="34"/>
  <c r="L319" i="34"/>
  <c r="M319" i="34"/>
  <c r="N319" i="34"/>
  <c r="C320" i="34"/>
  <c r="D320" i="34"/>
  <c r="E320" i="34"/>
  <c r="F320" i="34"/>
  <c r="G320" i="34"/>
  <c r="H320" i="34"/>
  <c r="I320" i="34"/>
  <c r="J320" i="34"/>
  <c r="K320" i="34"/>
  <c r="L320" i="34"/>
  <c r="M320" i="34"/>
  <c r="N320" i="34"/>
  <c r="C321" i="34"/>
  <c r="D321" i="34"/>
  <c r="E321" i="34"/>
  <c r="F321" i="34"/>
  <c r="G321" i="34"/>
  <c r="H321" i="34"/>
  <c r="I321" i="34"/>
  <c r="J321" i="34"/>
  <c r="K321" i="34"/>
  <c r="L321" i="34"/>
  <c r="M321" i="34"/>
  <c r="N321" i="34"/>
  <c r="C322" i="34"/>
  <c r="D322" i="34"/>
  <c r="E322" i="34"/>
  <c r="F322" i="34"/>
  <c r="G322" i="34"/>
  <c r="H322" i="34"/>
  <c r="I322" i="34"/>
  <c r="J322" i="34"/>
  <c r="K322" i="34"/>
  <c r="L322" i="34"/>
  <c r="M322" i="34"/>
  <c r="N322" i="34"/>
  <c r="C323" i="34"/>
  <c r="D323" i="34"/>
  <c r="E323" i="34"/>
  <c r="F323" i="34"/>
  <c r="G323" i="34"/>
  <c r="H323" i="34"/>
  <c r="I323" i="34"/>
  <c r="J323" i="34"/>
  <c r="K323" i="34"/>
  <c r="L323" i="34"/>
  <c r="M323" i="34"/>
  <c r="N323" i="34"/>
  <c r="AM303" i="34" l="1"/>
  <c r="AN303" i="34"/>
  <c r="AO303" i="34"/>
  <c r="AP303" i="34"/>
  <c r="AQ303" i="34"/>
  <c r="AR303" i="34"/>
  <c r="AS303" i="34"/>
  <c r="AT303" i="34"/>
  <c r="AU303" i="34"/>
  <c r="AV303" i="34"/>
  <c r="AW303" i="34"/>
  <c r="AX303" i="34"/>
  <c r="AY322" i="22"/>
  <c r="AY320" i="22"/>
  <c r="AY303" i="22"/>
  <c r="AY301" i="22"/>
  <c r="AY296" i="22"/>
  <c r="AY176" i="22"/>
  <c r="AY179" i="22" s="1"/>
  <c r="AY167" i="22"/>
  <c r="AY135" i="22"/>
  <c r="AY122" i="22"/>
  <c r="AY323" i="22" s="1"/>
  <c r="AY112" i="22"/>
  <c r="AY107" i="22"/>
  <c r="AY78" i="22"/>
  <c r="AY73" i="22"/>
  <c r="AY69" i="22"/>
  <c r="AY49" i="22"/>
  <c r="AY48" i="22"/>
  <c r="AY46" i="22"/>
  <c r="AY45" i="22"/>
  <c r="AY43" i="22"/>
  <c r="AY42" i="22"/>
  <c r="AY41" i="22"/>
  <c r="AY40" i="22"/>
  <c r="P2" i="32"/>
  <c r="P2" i="30"/>
  <c r="AY318" i="22" l="1"/>
  <c r="AY319" i="22" s="1"/>
  <c r="AY134" i="22" s="1"/>
  <c r="AY306" i="22"/>
  <c r="AY309" i="22" s="1"/>
  <c r="AY119" i="22"/>
  <c r="AY321" i="22" s="1"/>
  <c r="AY307" i="22" l="1"/>
  <c r="AY317" i="22" s="1"/>
  <c r="AY130" i="22" l="1"/>
  <c r="AY129" i="22" s="1"/>
  <c r="AY302" i="22"/>
  <c r="V68" i="34" l="1"/>
  <c r="AH68" i="34" s="1"/>
  <c r="P76" i="34"/>
  <c r="O203" i="34"/>
  <c r="AA203" i="34" s="1"/>
  <c r="P171" i="34"/>
  <c r="AB171" i="34" s="1"/>
  <c r="S304" i="34"/>
  <c r="S211" i="34"/>
  <c r="AE211" i="34" s="1"/>
  <c r="Z100" i="34"/>
  <c r="W157" i="34"/>
  <c r="AI157" i="34" s="1"/>
  <c r="T305" i="34"/>
  <c r="U169" i="34"/>
  <c r="AG169" i="34" s="1"/>
  <c r="O306" i="34"/>
  <c r="AA306" i="34" s="1"/>
  <c r="V132" i="34"/>
  <c r="R303" i="34"/>
  <c r="AD303" i="34" s="1"/>
  <c r="O25" i="34"/>
  <c r="AA25" i="34" s="1"/>
  <c r="P26" i="34"/>
  <c r="X7" i="34"/>
  <c r="AJ7" i="34" s="1"/>
  <c r="O124" i="34"/>
  <c r="AA124" i="34" s="1"/>
  <c r="U127" i="34"/>
  <c r="AG127" i="34" s="1"/>
  <c r="V173" i="34"/>
  <c r="AH173" i="34" s="1"/>
  <c r="Y175" i="34"/>
  <c r="Z186" i="34"/>
  <c r="O174" i="34"/>
  <c r="AA174" i="34" s="1"/>
  <c r="X110" i="34"/>
  <c r="AJ110" i="34" s="1"/>
  <c r="W247" i="34"/>
  <c r="AI247" i="34" s="1"/>
  <c r="V74" i="34"/>
  <c r="AH74" i="34" s="1"/>
  <c r="P99" i="34"/>
  <c r="AB99" i="34" s="1"/>
  <c r="S13" i="34"/>
  <c r="Z106" i="34"/>
  <c r="X214" i="34"/>
  <c r="Q166" i="34"/>
  <c r="AC166" i="34" s="1"/>
  <c r="U190" i="34"/>
  <c r="AG190" i="34" s="1"/>
  <c r="T108" i="34"/>
  <c r="AF108" i="34" s="1"/>
  <c r="V211" i="34"/>
  <c r="AH211" i="34" s="1"/>
  <c r="Q63" i="34"/>
  <c r="AC63" i="34" s="1"/>
  <c r="W47" i="34"/>
  <c r="AI47" i="34" s="1"/>
  <c r="U263" i="34"/>
  <c r="AG263" i="34" s="1"/>
  <c r="P63" i="34"/>
  <c r="AB63" i="34" s="1"/>
  <c r="P67" i="34"/>
  <c r="AB67" i="34" s="1"/>
  <c r="T63" i="34"/>
  <c r="AF63" i="34" s="1"/>
  <c r="S78" i="34"/>
  <c r="AE78" i="34" s="1"/>
  <c r="V4" i="34"/>
  <c r="AH4" i="34" s="1"/>
  <c r="T52" i="34"/>
  <c r="Y229" i="34"/>
  <c r="AK229" i="34" s="1"/>
  <c r="X83" i="34"/>
  <c r="AJ83" i="34" s="1"/>
  <c r="W271" i="34"/>
  <c r="AI271" i="34" s="1"/>
  <c r="Q67" i="34"/>
  <c r="AC67" i="34" s="1"/>
  <c r="P264" i="34"/>
  <c r="T106" i="34"/>
  <c r="S214" i="34"/>
  <c r="W281" i="34"/>
  <c r="AI281" i="34" s="1"/>
  <c r="W211" i="34"/>
  <c r="AI211" i="34" s="1"/>
  <c r="Q85" i="34"/>
  <c r="AC85" i="34" s="1"/>
  <c r="S317" i="34"/>
  <c r="AE317" i="34" s="1"/>
  <c r="V165" i="34"/>
  <c r="AH165" i="34" s="1"/>
  <c r="P192" i="34"/>
  <c r="AB192" i="34" s="1"/>
  <c r="U264" i="34"/>
  <c r="W125" i="34"/>
  <c r="O123" i="34"/>
  <c r="AA123" i="34" s="1"/>
  <c r="R10" i="34"/>
  <c r="Z246" i="34"/>
  <c r="W114" i="34"/>
  <c r="V10" i="34"/>
  <c r="X114" i="34"/>
  <c r="T178" i="34"/>
  <c r="Z34" i="34"/>
  <c r="Y221" i="34"/>
  <c r="AK221" i="34" s="1"/>
  <c r="X309" i="34"/>
  <c r="AJ309" i="34" s="1"/>
  <c r="Z284" i="34"/>
  <c r="AL284" i="34" s="1"/>
  <c r="R177" i="34"/>
  <c r="AD177" i="34" s="1"/>
  <c r="S267" i="34"/>
  <c r="AE267" i="34" s="1"/>
  <c r="X308" i="34"/>
  <c r="AJ308" i="34" s="1"/>
  <c r="Q118" i="34"/>
  <c r="AC118" i="34" s="1"/>
  <c r="T282" i="34"/>
  <c r="AF282" i="34" s="1"/>
  <c r="Z301" i="34"/>
  <c r="AL301" i="34" s="1"/>
  <c r="Y160" i="34"/>
  <c r="AK160" i="34" s="1"/>
  <c r="W261" i="34"/>
  <c r="AI261" i="34" s="1"/>
  <c r="O177" i="34"/>
  <c r="AA177" i="34" s="1"/>
  <c r="V149" i="34"/>
  <c r="AH149" i="34" s="1"/>
  <c r="U39" i="34"/>
  <c r="AG39" i="34" s="1"/>
  <c r="U237" i="34"/>
  <c r="AG237" i="34" s="1"/>
  <c r="U103" i="34"/>
  <c r="AG103" i="34" s="1"/>
  <c r="S236" i="34"/>
  <c r="AE236" i="34" s="1"/>
  <c r="Q22" i="34"/>
  <c r="AC22" i="34" s="1"/>
  <c r="S321" i="34"/>
  <c r="AE321" i="34" s="1"/>
  <c r="X272" i="34"/>
  <c r="AJ272" i="34" s="1"/>
  <c r="Y215" i="34"/>
  <c r="AK215" i="34" s="1"/>
  <c r="S44" i="34"/>
  <c r="AE44" i="34" s="1"/>
  <c r="U154" i="34"/>
  <c r="AG154" i="34" s="1"/>
  <c r="Q238" i="34"/>
  <c r="AC238" i="34" s="1"/>
  <c r="Q302" i="34"/>
  <c r="AC302" i="34" s="1"/>
  <c r="R272" i="34"/>
  <c r="AD272" i="34" s="1"/>
  <c r="W293" i="34"/>
  <c r="AI293" i="34" s="1"/>
  <c r="U289" i="34"/>
  <c r="AG289" i="34" s="1"/>
  <c r="R208" i="34"/>
  <c r="AD208" i="34" s="1"/>
  <c r="Y204" i="34"/>
  <c r="AK204" i="34" s="1"/>
  <c r="U254" i="34"/>
  <c r="S218" i="34"/>
  <c r="AE218" i="34" s="1"/>
  <c r="Z235" i="34"/>
  <c r="AL235" i="34" s="1"/>
  <c r="R211" i="34"/>
  <c r="AD211" i="34" s="1"/>
  <c r="X233" i="34"/>
  <c r="AJ233" i="34" s="1"/>
  <c r="U312" i="34"/>
  <c r="AG312" i="34" s="1"/>
  <c r="O292" i="34"/>
  <c r="AA292" i="34" s="1"/>
  <c r="R216" i="34"/>
  <c r="AD216" i="34" s="1"/>
  <c r="Y87" i="34"/>
  <c r="AK87" i="34" s="1"/>
  <c r="R215" i="34"/>
  <c r="AD215" i="34" s="1"/>
  <c r="O189" i="34"/>
  <c r="AA189" i="34" s="1"/>
  <c r="U299" i="34"/>
  <c r="AG299" i="34" s="1"/>
  <c r="Q264" i="34"/>
  <c r="O208" i="34"/>
  <c r="AA208" i="34" s="1"/>
  <c r="P66" i="34"/>
  <c r="V262" i="34"/>
  <c r="AH262" i="34" s="1"/>
  <c r="R194" i="34"/>
  <c r="S50" i="34"/>
  <c r="AE50" i="34" s="1"/>
  <c r="U106" i="34"/>
  <c r="S54" i="34"/>
  <c r="Y126" i="34"/>
  <c r="O274" i="34"/>
  <c r="R262" i="34"/>
  <c r="AD262" i="34" s="1"/>
  <c r="X320" i="34"/>
  <c r="AJ320" i="34" s="1"/>
  <c r="P140" i="34"/>
  <c r="AB140" i="34" s="1"/>
  <c r="P259" i="34"/>
  <c r="AB259" i="34" s="1"/>
  <c r="V315" i="34"/>
  <c r="AH315" i="34" s="1"/>
  <c r="T177" i="34"/>
  <c r="AF177" i="34" s="1"/>
  <c r="Z145" i="34"/>
  <c r="AL145" i="34" s="1"/>
  <c r="V60" i="34"/>
  <c r="AH60" i="34" s="1"/>
  <c r="Y306" i="34"/>
  <c r="AK306" i="34" s="1"/>
  <c r="P204" i="34"/>
  <c r="AB204" i="34" s="1"/>
  <c r="X311" i="34"/>
  <c r="AJ311" i="34" s="1"/>
  <c r="R49" i="34"/>
  <c r="AD49" i="34" s="1"/>
  <c r="R315" i="34"/>
  <c r="AD315" i="34" s="1"/>
  <c r="V280" i="34"/>
  <c r="AH280" i="34" s="1"/>
  <c r="Z6" i="34"/>
  <c r="AL6" i="34" s="1"/>
  <c r="Q136" i="34"/>
  <c r="AC136" i="34" s="1"/>
  <c r="T289" i="34"/>
  <c r="AF289" i="34" s="1"/>
  <c r="T119" i="34"/>
  <c r="AF119" i="34" s="1"/>
  <c r="Y169" i="34"/>
  <c r="AK169" i="34" s="1"/>
  <c r="W317" i="34"/>
  <c r="AI317" i="34" s="1"/>
  <c r="R284" i="34"/>
  <c r="AD284" i="34" s="1"/>
  <c r="T207" i="34"/>
  <c r="AF207" i="34" s="1"/>
  <c r="V168" i="34"/>
  <c r="AH168" i="34" s="1"/>
  <c r="Z88" i="34"/>
  <c r="AL88" i="34" s="1"/>
  <c r="R188" i="34"/>
  <c r="AD188" i="34" s="1"/>
  <c r="Z111" i="34"/>
  <c r="AL111" i="34" s="1"/>
  <c r="O296" i="34"/>
  <c r="AA296" i="34" s="1"/>
  <c r="R228" i="34"/>
  <c r="AD228" i="34" s="1"/>
  <c r="V127" i="34"/>
  <c r="AH127" i="34" s="1"/>
  <c r="R60" i="34"/>
  <c r="AD60" i="34" s="1"/>
  <c r="S118" i="34"/>
  <c r="AE118" i="34" s="1"/>
  <c r="Q39" i="34"/>
  <c r="AC39" i="34" s="1"/>
  <c r="W304" i="34"/>
  <c r="Y158" i="34"/>
  <c r="AK158" i="34" s="1"/>
  <c r="V155" i="34"/>
  <c r="AH155" i="34" s="1"/>
  <c r="X44" i="34"/>
  <c r="AJ44" i="34" s="1"/>
  <c r="U158" i="34"/>
  <c r="AG158" i="34" s="1"/>
  <c r="O194" i="34"/>
  <c r="W206" i="34"/>
  <c r="Q317" i="34"/>
  <c r="AC317" i="34" s="1"/>
  <c r="Q6" i="34"/>
  <c r="AC6" i="34" s="1"/>
  <c r="R120" i="34"/>
  <c r="AD120" i="34" s="1"/>
  <c r="U183" i="34"/>
  <c r="AG183" i="34" s="1"/>
  <c r="R225" i="34"/>
  <c r="U228" i="34"/>
  <c r="AG228" i="34" s="1"/>
  <c r="Z180" i="34"/>
  <c r="AL180" i="34" s="1"/>
  <c r="X29" i="34"/>
  <c r="AJ29" i="34" s="1"/>
  <c r="O196" i="34"/>
  <c r="AA196" i="34" s="1"/>
  <c r="P209" i="34"/>
  <c r="W25" i="34"/>
  <c r="AI25" i="34" s="1"/>
  <c r="P246" i="34"/>
  <c r="V126" i="34"/>
  <c r="W274" i="34"/>
  <c r="V66" i="34"/>
  <c r="U74" i="34"/>
  <c r="AG74" i="34" s="1"/>
  <c r="X54" i="34"/>
  <c r="O126" i="34"/>
  <c r="P278" i="34"/>
  <c r="U50" i="34"/>
  <c r="AG50" i="34" s="1"/>
  <c r="Q206" i="34"/>
  <c r="P71" i="34"/>
  <c r="AB71" i="34" s="1"/>
  <c r="Z236" i="34"/>
  <c r="AL236" i="34" s="1"/>
  <c r="V221" i="34"/>
  <c r="AH221" i="34" s="1"/>
  <c r="P127" i="34"/>
  <c r="AB127" i="34" s="1"/>
  <c r="V153" i="34"/>
  <c r="AH153" i="34" s="1"/>
  <c r="X143" i="34"/>
  <c r="AJ143" i="34" s="1"/>
  <c r="T313" i="34"/>
  <c r="AF313" i="34" s="1"/>
  <c r="Y314" i="34"/>
  <c r="AK314" i="34" s="1"/>
  <c r="Z188" i="34"/>
  <c r="AL188" i="34" s="1"/>
  <c r="T298" i="34"/>
  <c r="AF298" i="34" s="1"/>
  <c r="X232" i="34"/>
  <c r="AJ232" i="34" s="1"/>
  <c r="V24" i="34"/>
  <c r="AH24" i="34" s="1"/>
  <c r="X157" i="34"/>
  <c r="AJ157" i="34" s="1"/>
  <c r="Q188" i="34"/>
  <c r="AC188" i="34" s="1"/>
  <c r="Z135" i="34"/>
  <c r="AL135" i="34" s="1"/>
  <c r="T308" i="34"/>
  <c r="AF308" i="34" s="1"/>
  <c r="Y68" i="34"/>
  <c r="AK68" i="34" s="1"/>
  <c r="Y59" i="34"/>
  <c r="AK59" i="34" s="1"/>
  <c r="S193" i="34"/>
  <c r="AE193" i="34" s="1"/>
  <c r="U313" i="34"/>
  <c r="AG313" i="34" s="1"/>
  <c r="X315" i="34"/>
  <c r="AJ315" i="34" s="1"/>
  <c r="Z199" i="34"/>
  <c r="AL199" i="34" s="1"/>
  <c r="Z315" i="34"/>
  <c r="AL315" i="34" s="1"/>
  <c r="X168" i="34"/>
  <c r="AJ168" i="34" s="1"/>
  <c r="X127" i="34"/>
  <c r="AJ127" i="34" s="1"/>
  <c r="Z104" i="34"/>
  <c r="AL104" i="34" s="1"/>
  <c r="W101" i="34"/>
  <c r="AI101" i="34" s="1"/>
  <c r="T4" i="34"/>
  <c r="AF4" i="34" s="1"/>
  <c r="U266" i="34"/>
  <c r="S26" i="34"/>
  <c r="O206" i="34"/>
  <c r="Z218" i="34"/>
  <c r="AL218" i="34" s="1"/>
  <c r="W26" i="34"/>
  <c r="O318" i="34"/>
  <c r="AA318" i="34" s="1"/>
  <c r="U22" i="34"/>
  <c r="AG22" i="34" s="1"/>
  <c r="T179" i="34"/>
  <c r="AF179" i="34" s="1"/>
  <c r="Q250" i="34"/>
  <c r="AC250" i="34" s="1"/>
  <c r="S19" i="34"/>
  <c r="O308" i="34"/>
  <c r="AA308" i="34" s="1"/>
  <c r="U233" i="34"/>
  <c r="AG233" i="34" s="1"/>
  <c r="O74" i="34"/>
  <c r="AA74" i="34" s="1"/>
  <c r="Y114" i="34"/>
  <c r="T317" i="34"/>
  <c r="AF317" i="34" s="1"/>
  <c r="R184" i="34"/>
  <c r="AD184" i="34" s="1"/>
  <c r="U317" i="34"/>
  <c r="AG317" i="34" s="1"/>
  <c r="U232" i="34"/>
  <c r="AG232" i="34" s="1"/>
  <c r="O235" i="34"/>
  <c r="AA235" i="34" s="1"/>
  <c r="O8" i="34"/>
  <c r="AA8" i="34" s="1"/>
  <c r="Y165" i="34"/>
  <c r="AK165" i="34" s="1"/>
  <c r="O312" i="34"/>
  <c r="AA312" i="34" s="1"/>
  <c r="Y109" i="34"/>
  <c r="AK109" i="34" s="1"/>
  <c r="O257" i="34"/>
  <c r="AA257" i="34" s="1"/>
  <c r="Y124" i="34"/>
  <c r="AK124" i="34" s="1"/>
  <c r="Y208" i="34"/>
  <c r="AK208" i="34" s="1"/>
  <c r="V290" i="34"/>
  <c r="X318" i="34"/>
  <c r="AJ318" i="34" s="1"/>
  <c r="R242" i="34"/>
  <c r="O178" i="34"/>
  <c r="P214" i="34"/>
  <c r="Y19" i="34"/>
  <c r="P126" i="34"/>
  <c r="U122" i="34"/>
  <c r="AG122" i="34" s="1"/>
  <c r="Q50" i="34"/>
  <c r="AC50" i="34" s="1"/>
  <c r="W126" i="34"/>
  <c r="T236" i="34"/>
  <c r="AF236" i="34" s="1"/>
  <c r="Z215" i="34"/>
  <c r="AL215" i="34" s="1"/>
  <c r="T193" i="34"/>
  <c r="AF193" i="34" s="1"/>
  <c r="U59" i="34"/>
  <c r="AG59" i="34" s="1"/>
  <c r="Z136" i="34"/>
  <c r="AL136" i="34" s="1"/>
  <c r="V188" i="34"/>
  <c r="AH188" i="34" s="1"/>
  <c r="W224" i="34"/>
  <c r="AI224" i="34" s="1"/>
  <c r="U301" i="34"/>
  <c r="AG301" i="34" s="1"/>
  <c r="X108" i="34"/>
  <c r="AJ108" i="34" s="1"/>
  <c r="U279" i="34"/>
  <c r="AG279" i="34" s="1"/>
  <c r="Y217" i="34"/>
  <c r="AK217" i="34" s="1"/>
  <c r="Q145" i="34"/>
  <c r="AC145" i="34" s="1"/>
  <c r="R85" i="34"/>
  <c r="AD85" i="34" s="1"/>
  <c r="U145" i="34"/>
  <c r="AG145" i="34" s="1"/>
  <c r="P215" i="34"/>
  <c r="AB215" i="34" s="1"/>
  <c r="Q289" i="34"/>
  <c r="AC289" i="34" s="1"/>
  <c r="R160" i="34"/>
  <c r="AD160" i="34" s="1"/>
  <c r="P257" i="34"/>
  <c r="AB257" i="34" s="1"/>
  <c r="U213" i="34"/>
  <c r="AG213" i="34" s="1"/>
  <c r="Q140" i="34"/>
  <c r="AC140" i="34" s="1"/>
  <c r="O41" i="34"/>
  <c r="AA41" i="34" s="1"/>
  <c r="U281" i="34"/>
  <c r="AG281" i="34" s="1"/>
  <c r="Q211" i="34"/>
  <c r="AC211" i="34" s="1"/>
  <c r="P281" i="34"/>
  <c r="AB281" i="34" s="1"/>
  <c r="T235" i="34"/>
  <c r="AF235" i="34" s="1"/>
  <c r="Y149" i="34"/>
  <c r="AK149" i="34" s="1"/>
  <c r="X149" i="34"/>
  <c r="AJ149" i="34" s="1"/>
  <c r="Y196" i="34"/>
  <c r="AK196" i="34" s="1"/>
  <c r="R99" i="34"/>
  <c r="AD99" i="34" s="1"/>
  <c r="P72" i="34"/>
  <c r="AB72" i="34" s="1"/>
  <c r="T13" i="34"/>
  <c r="S283" i="34"/>
  <c r="AE283" i="34" s="1"/>
  <c r="P288" i="34"/>
  <c r="Q208" i="34"/>
  <c r="AC208" i="34" s="1"/>
  <c r="P10" i="34"/>
  <c r="Q274" i="34"/>
  <c r="T266" i="34"/>
  <c r="X186" i="34"/>
  <c r="Y250" i="34"/>
  <c r="AK250" i="34" s="1"/>
  <c r="R246" i="34"/>
  <c r="W42" i="34"/>
  <c r="AI42" i="34" s="1"/>
  <c r="Z46" i="34"/>
  <c r="AL46" i="34" s="1"/>
  <c r="Y228" i="34"/>
  <c r="AK228" i="34" s="1"/>
  <c r="Y279" i="34"/>
  <c r="AK279" i="34" s="1"/>
  <c r="X19" i="34"/>
  <c r="Y131" i="34"/>
  <c r="AK131" i="34" s="1"/>
  <c r="V143" i="34"/>
  <c r="AH143" i="34" s="1"/>
  <c r="R180" i="34"/>
  <c r="AD180" i="34" s="1"/>
  <c r="Q288" i="34"/>
  <c r="Z14" i="34"/>
  <c r="T274" i="34"/>
  <c r="P186" i="34"/>
  <c r="X61" i="34"/>
  <c r="AJ61" i="34" s="1"/>
  <c r="X275" i="34"/>
  <c r="AJ275" i="34" s="1"/>
  <c r="P207" i="34"/>
  <c r="AB207" i="34" s="1"/>
  <c r="Y268" i="34"/>
  <c r="AK268" i="34" s="1"/>
  <c r="Z57" i="34"/>
  <c r="AL57" i="34" s="1"/>
  <c r="U303" i="34"/>
  <c r="AG303" i="34" s="1"/>
  <c r="R84" i="34"/>
  <c r="AD84" i="34" s="1"/>
  <c r="U85" i="34"/>
  <c r="AG85" i="34" s="1"/>
  <c r="Q153" i="34"/>
  <c r="AC153" i="34" s="1"/>
  <c r="Q199" i="34"/>
  <c r="AC199" i="34" s="1"/>
  <c r="P60" i="34"/>
  <c r="AB60" i="34" s="1"/>
  <c r="W221" i="34"/>
  <c r="AI221" i="34" s="1"/>
  <c r="W117" i="34"/>
  <c r="S291" i="34"/>
  <c r="AE291" i="34" s="1"/>
  <c r="O107" i="34"/>
  <c r="X5" i="34"/>
  <c r="P254" i="34"/>
  <c r="P262" i="34"/>
  <c r="AB262" i="34" s="1"/>
  <c r="Y210" i="34"/>
  <c r="S114" i="34"/>
  <c r="Z262" i="34"/>
  <c r="AL262" i="34" s="1"/>
  <c r="T122" i="34"/>
  <c r="AF122" i="34" s="1"/>
  <c r="Z194" i="34"/>
  <c r="R114" i="34"/>
  <c r="O26" i="34"/>
  <c r="X274" i="34"/>
  <c r="Z18" i="34"/>
  <c r="X15" i="34"/>
  <c r="P279" i="34"/>
  <c r="AB279" i="34" s="1"/>
  <c r="T145" i="34"/>
  <c r="AF145" i="34" s="1"/>
  <c r="T160" i="34"/>
  <c r="AF160" i="34" s="1"/>
  <c r="W307" i="34"/>
  <c r="AI307" i="34" s="1"/>
  <c r="V303" i="34"/>
  <c r="AH303" i="34" s="1"/>
  <c r="R231" i="34"/>
  <c r="AD231" i="34" s="1"/>
  <c r="R41" i="34"/>
  <c r="AD41" i="34" s="1"/>
  <c r="X155" i="34"/>
  <c r="AJ155" i="34" s="1"/>
  <c r="W263" i="34"/>
  <c r="AI263" i="34" s="1"/>
  <c r="S177" i="34"/>
  <c r="AE177" i="34" s="1"/>
  <c r="R253" i="34"/>
  <c r="AD253" i="34" s="1"/>
  <c r="Y321" i="34"/>
  <c r="AK321" i="34" s="1"/>
  <c r="Y236" i="34"/>
  <c r="AK236" i="34" s="1"/>
  <c r="Z110" i="34"/>
  <c r="AL110" i="34" s="1"/>
  <c r="P183" i="34"/>
  <c r="AB183" i="34" s="1"/>
  <c r="V85" i="34"/>
  <c r="AH85" i="34" s="1"/>
  <c r="V157" i="34"/>
  <c r="AH157" i="34" s="1"/>
  <c r="R193" i="34"/>
  <c r="AD193" i="34" s="1"/>
  <c r="O233" i="34"/>
  <c r="AA233" i="34" s="1"/>
  <c r="U311" i="34"/>
  <c r="AG311" i="34" s="1"/>
  <c r="V89" i="34"/>
  <c r="AH89" i="34" s="1"/>
  <c r="Q257" i="34"/>
  <c r="AC257" i="34" s="1"/>
  <c r="X173" i="34"/>
  <c r="AJ173" i="34" s="1"/>
  <c r="X56" i="34"/>
  <c r="AJ56" i="34" s="1"/>
  <c r="U84" i="34"/>
  <c r="AG84" i="34" s="1"/>
  <c r="W232" i="34"/>
  <c r="AI232" i="34" s="1"/>
  <c r="V197" i="34"/>
  <c r="AH197" i="34" s="1"/>
  <c r="Y301" i="34"/>
  <c r="AK301" i="34" s="1"/>
  <c r="Y56" i="34"/>
  <c r="AK56" i="34" s="1"/>
  <c r="O284" i="34"/>
  <c r="AA284" i="34" s="1"/>
  <c r="Z277" i="34"/>
  <c r="AL277" i="34" s="1"/>
  <c r="Q197" i="34"/>
  <c r="AC197" i="34" s="1"/>
  <c r="Z217" i="34"/>
  <c r="AL217" i="34" s="1"/>
  <c r="P149" i="34"/>
  <c r="AB149" i="34" s="1"/>
  <c r="O193" i="34"/>
  <c r="AA193" i="34" s="1"/>
  <c r="P299" i="34"/>
  <c r="AB299" i="34" s="1"/>
  <c r="Q147" i="34"/>
  <c r="T17" i="34"/>
  <c r="AF17" i="34" s="1"/>
  <c r="V218" i="34"/>
  <c r="AH218" i="34" s="1"/>
  <c r="P106" i="34"/>
  <c r="O114" i="34"/>
  <c r="P14" i="34"/>
  <c r="X14" i="34"/>
  <c r="P266" i="34"/>
  <c r="Z158" i="34"/>
  <c r="AL158" i="34" s="1"/>
  <c r="Z214" i="34"/>
  <c r="Q266" i="34"/>
  <c r="V233" i="34"/>
  <c r="AH233" i="34" s="1"/>
  <c r="X293" i="34"/>
  <c r="AJ293" i="34" s="1"/>
  <c r="Y233" i="34"/>
  <c r="AK233" i="34" s="1"/>
  <c r="Q237" i="34"/>
  <c r="AC237" i="34" s="1"/>
  <c r="V83" i="34"/>
  <c r="AH83" i="34" s="1"/>
  <c r="T318" i="34"/>
  <c r="AF318" i="34" s="1"/>
  <c r="S210" i="34"/>
  <c r="S122" i="34"/>
  <c r="AE122" i="34" s="1"/>
  <c r="T34" i="34"/>
  <c r="Z312" i="34"/>
  <c r="AL312" i="34" s="1"/>
  <c r="Z83" i="34"/>
  <c r="AL83" i="34" s="1"/>
  <c r="X261" i="34"/>
  <c r="AJ261" i="34" s="1"/>
  <c r="Z198" i="34"/>
  <c r="AL198" i="34" s="1"/>
  <c r="Y207" i="34"/>
  <c r="AK207" i="34" s="1"/>
  <c r="Z187" i="34"/>
  <c r="AL187" i="34" s="1"/>
  <c r="X136" i="34"/>
  <c r="AJ136" i="34" s="1"/>
  <c r="R289" i="34"/>
  <c r="AD289" i="34" s="1"/>
  <c r="W28" i="34"/>
  <c r="AI28" i="34" s="1"/>
  <c r="P250" i="34"/>
  <c r="AB250" i="34" s="1"/>
  <c r="Z206" i="34"/>
  <c r="X218" i="34"/>
  <c r="AJ218" i="34" s="1"/>
  <c r="X206" i="34"/>
  <c r="Y320" i="34"/>
  <c r="AK320" i="34" s="1"/>
  <c r="Q285" i="34"/>
  <c r="AC285" i="34" s="1"/>
  <c r="R165" i="34"/>
  <c r="AD165" i="34" s="1"/>
  <c r="O285" i="34"/>
  <c r="AA285" i="34" s="1"/>
  <c r="U215" i="34"/>
  <c r="AG215" i="34" s="1"/>
  <c r="Y205" i="34"/>
  <c r="AK205" i="34" s="1"/>
  <c r="T91" i="34"/>
  <c r="AF91" i="34" s="1"/>
  <c r="P165" i="34"/>
  <c r="AB165" i="34" s="1"/>
  <c r="X91" i="34"/>
  <c r="AJ91" i="34" s="1"/>
  <c r="X302" i="34"/>
  <c r="AJ302" i="34" s="1"/>
  <c r="Q312" i="34"/>
  <c r="AC312" i="34" s="1"/>
  <c r="Z78" i="34"/>
  <c r="AL78" i="34" s="1"/>
  <c r="T257" i="34"/>
  <c r="AF257" i="34" s="1"/>
  <c r="X177" i="34"/>
  <c r="AJ177" i="34" s="1"/>
  <c r="S319" i="34"/>
  <c r="AE319" i="34" s="1"/>
  <c r="Y157" i="34"/>
  <c r="AK157" i="34" s="1"/>
  <c r="R16" i="34"/>
  <c r="AD16" i="34" s="1"/>
  <c r="P148" i="34"/>
  <c r="AB148" i="34" s="1"/>
  <c r="U188" i="34"/>
  <c r="AG188" i="34" s="1"/>
  <c r="R143" i="34"/>
  <c r="AD143" i="34" s="1"/>
  <c r="Z45" i="34"/>
  <c r="AL45" i="34" s="1"/>
  <c r="Y308" i="34"/>
  <c r="AK308" i="34" s="1"/>
  <c r="P196" i="34"/>
  <c r="AB196" i="34" s="1"/>
  <c r="P303" i="34"/>
  <c r="AB303" i="34" s="1"/>
  <c r="Q195" i="34"/>
  <c r="AC195" i="34" s="1"/>
  <c r="Q179" i="34"/>
  <c r="AC179" i="34" s="1"/>
  <c r="V321" i="34"/>
  <c r="AH321" i="34" s="1"/>
  <c r="V87" i="34"/>
  <c r="AH87" i="34" s="1"/>
  <c r="R59" i="34"/>
  <c r="AD59" i="34" s="1"/>
  <c r="S213" i="34"/>
  <c r="AE213" i="34" s="1"/>
  <c r="O187" i="34"/>
  <c r="AA187" i="34" s="1"/>
  <c r="O99" i="34"/>
  <c r="AA99" i="34" s="1"/>
  <c r="S195" i="34"/>
  <c r="AE195" i="34" s="1"/>
  <c r="Z128" i="34"/>
  <c r="U323" i="34"/>
  <c r="W75" i="34"/>
  <c r="R31" i="34"/>
  <c r="T220" i="34"/>
  <c r="U243" i="34"/>
  <c r="O316" i="34"/>
  <c r="S251" i="34"/>
  <c r="Z323" i="34"/>
  <c r="T278" i="34"/>
  <c r="P75" i="34"/>
  <c r="R66" i="34"/>
  <c r="R117" i="34"/>
  <c r="Y248" i="34"/>
  <c r="P81" i="34"/>
  <c r="X300" i="34"/>
  <c r="T300" i="34"/>
  <c r="P244" i="34"/>
  <c r="V53" i="34"/>
  <c r="U219" i="34"/>
  <c r="Y225" i="34"/>
  <c r="Q172" i="34"/>
  <c r="U48" i="34"/>
  <c r="AG48" i="34" s="1"/>
  <c r="O215" i="34"/>
  <c r="AA215" i="34" s="1"/>
  <c r="S187" i="34"/>
  <c r="AE187" i="34" s="1"/>
  <c r="X135" i="34"/>
  <c r="AJ135" i="34" s="1"/>
  <c r="R29" i="34"/>
  <c r="AD29" i="34" s="1"/>
  <c r="Q148" i="34"/>
  <c r="AC148" i="34" s="1"/>
  <c r="T35" i="34"/>
  <c r="R15" i="34"/>
  <c r="U187" i="34"/>
  <c r="AG187" i="34" s="1"/>
  <c r="T143" i="34"/>
  <c r="AF143" i="34" s="1"/>
  <c r="T72" i="34"/>
  <c r="AF72" i="34" s="1"/>
  <c r="T322" i="34"/>
  <c r="AF322" i="34" s="1"/>
  <c r="Y152" i="34"/>
  <c r="AK152" i="34" s="1"/>
  <c r="W235" i="34"/>
  <c r="AI235" i="34" s="1"/>
  <c r="T158" i="34"/>
  <c r="AF158" i="34" s="1"/>
  <c r="R178" i="34"/>
  <c r="X290" i="34"/>
  <c r="V14" i="34"/>
  <c r="X259" i="34"/>
  <c r="AJ259" i="34" s="1"/>
  <c r="R167" i="34"/>
  <c r="AD167" i="34" s="1"/>
  <c r="U152" i="34"/>
  <c r="AG152" i="34" s="1"/>
  <c r="R109" i="34"/>
  <c r="AD109" i="34" s="1"/>
  <c r="W289" i="34"/>
  <c r="AI289" i="34" s="1"/>
  <c r="Z99" i="34"/>
  <c r="AL99" i="34" s="1"/>
  <c r="S293" i="34"/>
  <c r="AE293" i="34" s="1"/>
  <c r="Q228" i="34"/>
  <c r="AC228" i="34" s="1"/>
  <c r="O4" i="34"/>
  <c r="AA4" i="34" s="1"/>
  <c r="P122" i="34"/>
  <c r="AB122" i="34" s="1"/>
  <c r="Q262" i="34"/>
  <c r="AC262" i="34" s="1"/>
  <c r="O186" i="34"/>
  <c r="Q158" i="34"/>
  <c r="AC158" i="34" s="1"/>
  <c r="U307" i="34"/>
  <c r="AG307" i="34" s="1"/>
  <c r="Y261" i="34"/>
  <c r="AK261" i="34" s="1"/>
  <c r="P111" i="34"/>
  <c r="AB111" i="34" s="1"/>
  <c r="Y275" i="34"/>
  <c r="AK275" i="34" s="1"/>
  <c r="P187" i="34"/>
  <c r="AB187" i="34" s="1"/>
  <c r="V183" i="34"/>
  <c r="AH183" i="34" s="1"/>
  <c r="V217" i="34"/>
  <c r="AH217" i="34" s="1"/>
  <c r="P153" i="34"/>
  <c r="AB153" i="34" s="1"/>
  <c r="X67" i="34"/>
  <c r="AJ67" i="34" s="1"/>
  <c r="T293" i="34"/>
  <c r="AF293" i="34" s="1"/>
  <c r="Q296" i="34"/>
  <c r="AC296" i="34" s="1"/>
  <c r="Q319" i="34"/>
  <c r="AC319" i="34" s="1"/>
  <c r="V239" i="34"/>
  <c r="AH239" i="34" s="1"/>
  <c r="Y139" i="34"/>
  <c r="AK139" i="34" s="1"/>
  <c r="S311" i="34"/>
  <c r="AE311" i="34" s="1"/>
  <c r="V135" i="34"/>
  <c r="AH135" i="34" s="1"/>
  <c r="R319" i="34"/>
  <c r="AD319" i="34" s="1"/>
  <c r="Q109" i="34"/>
  <c r="AC109" i="34" s="1"/>
  <c r="V169" i="34"/>
  <c r="AH169" i="34" s="1"/>
  <c r="P129" i="34"/>
  <c r="AB129" i="34" s="1"/>
  <c r="U108" i="34"/>
  <c r="AG108" i="34" s="1"/>
  <c r="Y284" i="34"/>
  <c r="AK284" i="34" s="1"/>
  <c r="V145" i="34"/>
  <c r="AH145" i="34" s="1"/>
  <c r="X281" i="34"/>
  <c r="AJ281" i="34" s="1"/>
  <c r="R68" i="34"/>
  <c r="AD68" i="34" s="1"/>
  <c r="Z156" i="34"/>
  <c r="AL156" i="34" s="1"/>
  <c r="R312" i="34"/>
  <c r="AD312" i="34" s="1"/>
  <c r="O212" i="34"/>
  <c r="P84" i="34"/>
  <c r="AB84" i="34" s="1"/>
  <c r="O43" i="34"/>
  <c r="AA43" i="34" s="1"/>
  <c r="W213" i="34"/>
  <c r="AI213" i="34" s="1"/>
  <c r="O164" i="34"/>
  <c r="Q57" i="34"/>
  <c r="AC57" i="34" s="1"/>
  <c r="U51" i="34"/>
  <c r="O128" i="34"/>
  <c r="Q9" i="34"/>
  <c r="O80" i="34"/>
  <c r="V144" i="34"/>
  <c r="P11" i="34"/>
  <c r="X212" i="34"/>
  <c r="O132" i="34"/>
  <c r="Y128" i="34"/>
  <c r="V11" i="34"/>
  <c r="U97" i="34"/>
  <c r="X223" i="34"/>
  <c r="Y76" i="34"/>
  <c r="R260" i="34"/>
  <c r="V107" i="34"/>
  <c r="U175" i="34"/>
  <c r="R133" i="34"/>
  <c r="Y14" i="34"/>
  <c r="S248" i="34"/>
  <c r="Y81" i="34"/>
  <c r="Y288" i="34"/>
  <c r="U287" i="34"/>
  <c r="O268" i="34"/>
  <c r="AA268" i="34" s="1"/>
  <c r="S215" i="34"/>
  <c r="AE215" i="34" s="1"/>
  <c r="Y32" i="34"/>
  <c r="AK32" i="34" s="1"/>
  <c r="U57" i="34"/>
  <c r="AG57" i="34" s="1"/>
  <c r="S179" i="34"/>
  <c r="AE179" i="34" s="1"/>
  <c r="Q84" i="34"/>
  <c r="AC84" i="34" s="1"/>
  <c r="U115" i="34"/>
  <c r="Y193" i="34"/>
  <c r="AK193" i="34" s="1"/>
  <c r="P208" i="34"/>
  <c r="AB208" i="34" s="1"/>
  <c r="W18" i="34"/>
  <c r="V232" i="34"/>
  <c r="AH232" i="34" s="1"/>
  <c r="S292" i="34"/>
  <c r="AE292" i="34" s="1"/>
  <c r="W291" i="34"/>
  <c r="AI291" i="34" s="1"/>
  <c r="U151" i="34"/>
  <c r="T126" i="34"/>
  <c r="Z290" i="34"/>
  <c r="Q294" i="34"/>
  <c r="AC294" i="34" s="1"/>
  <c r="V171" i="34"/>
  <c r="AH171" i="34" s="1"/>
  <c r="X6" i="34"/>
  <c r="AJ6" i="34" s="1"/>
  <c r="X258" i="34"/>
  <c r="AJ258" i="34" s="1"/>
  <c r="P277" i="34"/>
  <c r="AB277" i="34" s="1"/>
  <c r="U93" i="34"/>
  <c r="AG93" i="34" s="1"/>
  <c r="V104" i="34"/>
  <c r="AH104" i="34" s="1"/>
  <c r="Q239" i="34"/>
  <c r="AC239" i="34" s="1"/>
  <c r="Z184" i="34"/>
  <c r="AL184" i="34" s="1"/>
  <c r="Y57" i="34"/>
  <c r="AK57" i="34" s="1"/>
  <c r="T242" i="34"/>
  <c r="T26" i="34"/>
  <c r="Z26" i="34"/>
  <c r="V54" i="34"/>
  <c r="V205" i="34"/>
  <c r="AH205" i="34" s="1"/>
  <c r="X257" i="34"/>
  <c r="AJ257" i="34" s="1"/>
  <c r="X301" i="34"/>
  <c r="AJ301" i="34" s="1"/>
  <c r="T141" i="34"/>
  <c r="AF141" i="34" s="1"/>
  <c r="Q149" i="34"/>
  <c r="AC149" i="34" s="1"/>
  <c r="Z296" i="34"/>
  <c r="AL296" i="34" s="1"/>
  <c r="T184" i="34"/>
  <c r="AF184" i="34" s="1"/>
  <c r="Y108" i="34"/>
  <c r="AK108" i="34" s="1"/>
  <c r="V111" i="34"/>
  <c r="AH111" i="34" s="1"/>
  <c r="W272" i="34"/>
  <c r="AI272" i="34" s="1"/>
  <c r="U222" i="34"/>
  <c r="AG222" i="34" s="1"/>
  <c r="U267" i="34"/>
  <c r="AG267" i="34" s="1"/>
  <c r="X182" i="34"/>
  <c r="AJ182" i="34" s="1"/>
  <c r="T306" i="34"/>
  <c r="AF306" i="34" s="1"/>
  <c r="W296" i="34"/>
  <c r="AI296" i="34" s="1"/>
  <c r="P238" i="34"/>
  <c r="AB238" i="34" s="1"/>
  <c r="R307" i="34"/>
  <c r="AD307" i="34" s="1"/>
  <c r="R259" i="34"/>
  <c r="AD259" i="34" s="1"/>
  <c r="U143" i="34"/>
  <c r="AG143" i="34" s="1"/>
  <c r="V37" i="34"/>
  <c r="AH37" i="34" s="1"/>
  <c r="V63" i="34"/>
  <c r="AH63" i="34" s="1"/>
  <c r="S231" i="34"/>
  <c r="AE231" i="34" s="1"/>
  <c r="T205" i="34"/>
  <c r="AF205" i="34" s="1"/>
  <c r="Q281" i="34"/>
  <c r="AC281" i="34" s="1"/>
  <c r="S320" i="34"/>
  <c r="AE320" i="34" s="1"/>
  <c r="O287" i="34"/>
  <c r="V289" i="34"/>
  <c r="AH289" i="34" s="1"/>
  <c r="Y216" i="34"/>
  <c r="AK216" i="34" s="1"/>
  <c r="W193" i="34"/>
  <c r="AI193" i="34" s="1"/>
  <c r="Y67" i="34"/>
  <c r="AK67" i="34" s="1"/>
  <c r="S203" i="34"/>
  <c r="AE203" i="34" s="1"/>
  <c r="Z85" i="34"/>
  <c r="AL85" i="34" s="1"/>
  <c r="X119" i="34"/>
  <c r="AJ119" i="34" s="1"/>
  <c r="S180" i="34"/>
  <c r="AE180" i="34" s="1"/>
  <c r="U256" i="34"/>
  <c r="Q27" i="34"/>
  <c r="W295" i="34"/>
  <c r="V251" i="34"/>
  <c r="W64" i="34"/>
  <c r="P316" i="34"/>
  <c r="W256" i="34"/>
  <c r="X9" i="34"/>
  <c r="Y316" i="34"/>
  <c r="Z243" i="34"/>
  <c r="P223" i="34"/>
  <c r="Q125" i="34"/>
  <c r="Y117" i="34"/>
  <c r="W276" i="34"/>
  <c r="T81" i="34"/>
  <c r="P225" i="34"/>
  <c r="Z209" i="34"/>
  <c r="X240" i="34"/>
  <c r="R244" i="34"/>
  <c r="R248" i="34"/>
  <c r="U121" i="34"/>
  <c r="Y10" i="34"/>
  <c r="P189" i="34"/>
  <c r="AB189" i="34" s="1"/>
  <c r="O280" i="34"/>
  <c r="AA280" i="34" s="1"/>
  <c r="S277" i="34"/>
  <c r="AE277" i="34" s="1"/>
  <c r="S88" i="34"/>
  <c r="AE88" i="34" s="1"/>
  <c r="Q59" i="34"/>
  <c r="AC59" i="34" s="1"/>
  <c r="O191" i="34"/>
  <c r="AA191" i="34" s="1"/>
  <c r="P276" i="34"/>
  <c r="V276" i="34"/>
  <c r="Q287" i="34"/>
  <c r="Z79" i="34"/>
  <c r="R264" i="34"/>
  <c r="P172" i="34"/>
  <c r="Z117" i="34"/>
  <c r="X252" i="34"/>
  <c r="O53" i="34"/>
  <c r="U269" i="34"/>
  <c r="O75" i="34"/>
  <c r="AA75" i="34" s="1"/>
  <c r="Y323" i="34"/>
  <c r="P132" i="34"/>
  <c r="X128" i="34"/>
  <c r="R12" i="34"/>
  <c r="V12" i="34"/>
  <c r="V51" i="34"/>
  <c r="O12" i="34"/>
  <c r="O97" i="34"/>
  <c r="P27" i="34"/>
  <c r="R115" i="34"/>
  <c r="X256" i="34"/>
  <c r="R155" i="34"/>
  <c r="AD155" i="34" s="1"/>
  <c r="W189" i="34"/>
  <c r="AI189" i="34" s="1"/>
  <c r="V192" i="34"/>
  <c r="AH192" i="34" s="1"/>
  <c r="W69" i="34"/>
  <c r="AI69" i="34" s="1"/>
  <c r="W177" i="34"/>
  <c r="AI177" i="34" s="1"/>
  <c r="Y69" i="34"/>
  <c r="AK69" i="34" s="1"/>
  <c r="O201" i="34"/>
  <c r="Z223" i="34"/>
  <c r="T117" i="34"/>
  <c r="T295" i="34"/>
  <c r="X133" i="34"/>
  <c r="Y240" i="34"/>
  <c r="U252" i="34"/>
  <c r="Y245" i="34"/>
  <c r="T147" i="34"/>
  <c r="U304" i="34"/>
  <c r="W243" i="34"/>
  <c r="V27" i="34"/>
  <c r="W305" i="34"/>
  <c r="AI305" i="34" s="1"/>
  <c r="Q181" i="34"/>
  <c r="S316" i="34"/>
  <c r="Q295" i="34"/>
  <c r="X27" i="34"/>
  <c r="Z27" i="34"/>
  <c r="S31" i="34"/>
  <c r="Z255" i="34"/>
  <c r="X255" i="34"/>
  <c r="W41" i="34"/>
  <c r="AI41" i="34" s="1"/>
  <c r="W93" i="34"/>
  <c r="AI93" i="34" s="1"/>
  <c r="O272" i="34"/>
  <c r="AA272" i="34" s="1"/>
  <c r="S221" i="34"/>
  <c r="AE221" i="34" s="1"/>
  <c r="X167" i="34"/>
  <c r="AJ167" i="34" s="1"/>
  <c r="U8" i="34"/>
  <c r="AG8" i="34" s="1"/>
  <c r="O245" i="34"/>
  <c r="W240" i="34"/>
  <c r="Z53" i="34"/>
  <c r="U10" i="34"/>
  <c r="R121" i="34"/>
  <c r="AD121" i="34" s="1"/>
  <c r="X269" i="34"/>
  <c r="X260" i="34"/>
  <c r="R116" i="34"/>
  <c r="R97" i="34"/>
  <c r="R288" i="34"/>
  <c r="R106" i="34"/>
  <c r="S132" i="34"/>
  <c r="U181" i="34"/>
  <c r="W55" i="34"/>
  <c r="Q55" i="34"/>
  <c r="Y206" i="34"/>
  <c r="Q256" i="34"/>
  <c r="W27" i="34"/>
  <c r="Q201" i="34"/>
  <c r="Z115" i="34"/>
  <c r="W9" i="34"/>
  <c r="Q180" i="34"/>
  <c r="AC180" i="34" s="1"/>
  <c r="Z252" i="34"/>
  <c r="Y252" i="34"/>
  <c r="V151" i="34"/>
  <c r="R144" i="34"/>
  <c r="R220" i="34"/>
  <c r="O224" i="34"/>
  <c r="AA224" i="34" s="1"/>
  <c r="U89" i="34"/>
  <c r="AG89" i="34" s="1"/>
  <c r="Y136" i="34"/>
  <c r="AK136" i="34" s="1"/>
  <c r="P312" i="34"/>
  <c r="AB312" i="34" s="1"/>
  <c r="Y195" i="34"/>
  <c r="AK195" i="34" s="1"/>
  <c r="R233" i="34"/>
  <c r="AD233" i="34" s="1"/>
  <c r="X195" i="34"/>
  <c r="AJ195" i="34" s="1"/>
  <c r="Z257" i="34"/>
  <c r="AL257" i="34" s="1"/>
  <c r="S318" i="34"/>
  <c r="AE318" i="34" s="1"/>
  <c r="U218" i="34"/>
  <c r="AG218" i="34" s="1"/>
  <c r="U71" i="34"/>
  <c r="AG71" i="34" s="1"/>
  <c r="P268" i="34"/>
  <c r="AB268" i="34" s="1"/>
  <c r="X106" i="34"/>
  <c r="S227" i="34"/>
  <c r="AE227" i="34" s="1"/>
  <c r="Q97" i="34"/>
  <c r="T288" i="34"/>
  <c r="Q219" i="34"/>
  <c r="Y133" i="34"/>
  <c r="T115" i="34"/>
  <c r="P55" i="34"/>
  <c r="Q128" i="34"/>
  <c r="Z256" i="34"/>
  <c r="O91" i="34"/>
  <c r="AA91" i="34" s="1"/>
  <c r="O199" i="34"/>
  <c r="AA199" i="34" s="1"/>
  <c r="P164" i="34"/>
  <c r="S252" i="34"/>
  <c r="Z121" i="34"/>
  <c r="Q79" i="34"/>
  <c r="O15" i="34"/>
  <c r="T9" i="34"/>
  <c r="U55" i="34"/>
  <c r="W212" i="34"/>
  <c r="S243" i="34"/>
  <c r="W128" i="34"/>
  <c r="Z213" i="34"/>
  <c r="AL213" i="34" s="1"/>
  <c r="W37" i="34"/>
  <c r="AI37" i="34" s="1"/>
  <c r="R276" i="34"/>
  <c r="V223" i="34"/>
  <c r="T65" i="34"/>
  <c r="Y300" i="34"/>
  <c r="X164" i="34"/>
  <c r="O269" i="34"/>
  <c r="T11" i="34"/>
  <c r="O31" i="34"/>
  <c r="U20" i="34"/>
  <c r="Z11" i="34"/>
  <c r="T55" i="34"/>
  <c r="U288" i="34"/>
  <c r="W216" i="34"/>
  <c r="AI216" i="34" s="1"/>
  <c r="P221" i="34"/>
  <c r="AB221" i="34" s="1"/>
  <c r="U117" i="34"/>
  <c r="Y26" i="34"/>
  <c r="T256" i="34"/>
  <c r="W85" i="34"/>
  <c r="AI85" i="34" s="1"/>
  <c r="X53" i="34"/>
  <c r="Z64" i="34"/>
  <c r="V248" i="34"/>
  <c r="P287" i="34"/>
  <c r="Y264" i="34"/>
  <c r="R76" i="34"/>
  <c r="O264" i="34"/>
  <c r="P121" i="34"/>
  <c r="X175" i="34"/>
  <c r="Z132" i="34"/>
  <c r="Z241" i="34"/>
  <c r="P19" i="34"/>
  <c r="Q31" i="34"/>
  <c r="V278" i="34"/>
  <c r="W20" i="34"/>
  <c r="U220" i="34"/>
  <c r="S212" i="34"/>
  <c r="S12" i="34"/>
  <c r="Y151" i="34"/>
  <c r="O241" i="34"/>
  <c r="T75" i="34"/>
  <c r="V19" i="34"/>
  <c r="T73" i="34"/>
  <c r="AF73" i="34" s="1"/>
  <c r="P205" i="34"/>
  <c r="AB205" i="34" s="1"/>
  <c r="V103" i="34"/>
  <c r="AH103" i="34" s="1"/>
  <c r="S192" i="34"/>
  <c r="AE192" i="34" s="1"/>
  <c r="T39" i="34"/>
  <c r="AF39" i="34" s="1"/>
  <c r="W49" i="34"/>
  <c r="AI49" i="34" s="1"/>
  <c r="V97" i="34"/>
  <c r="R305" i="34"/>
  <c r="X65" i="34"/>
  <c r="T80" i="34"/>
  <c r="Z95" i="34"/>
  <c r="O225" i="34"/>
  <c r="Y21" i="34"/>
  <c r="R245" i="34"/>
  <c r="P240" i="34"/>
  <c r="V133" i="34"/>
  <c r="T27" i="34"/>
  <c r="P181" i="34"/>
  <c r="Z35" i="34"/>
  <c r="Q305" i="34"/>
  <c r="T251" i="34"/>
  <c r="R107" i="34"/>
  <c r="T20" i="34"/>
  <c r="Y9" i="34"/>
  <c r="T159" i="34"/>
  <c r="R181" i="34"/>
  <c r="S181" i="34"/>
  <c r="W180" i="34"/>
  <c r="AI180" i="34" s="1"/>
  <c r="O179" i="34"/>
  <c r="AA179" i="34" s="1"/>
  <c r="S72" i="34"/>
  <c r="AE72" i="34" s="1"/>
  <c r="W149" i="34"/>
  <c r="AI149" i="34" s="1"/>
  <c r="S253" i="34"/>
  <c r="AE253" i="34" s="1"/>
  <c r="V119" i="34"/>
  <c r="AH119" i="34" s="1"/>
  <c r="Q13" i="34"/>
  <c r="U13" i="34"/>
  <c r="R269" i="34"/>
  <c r="V252" i="34"/>
  <c r="P241" i="34"/>
  <c r="T175" i="34"/>
  <c r="Y212" i="34"/>
  <c r="Q133" i="34"/>
  <c r="X81" i="34"/>
  <c r="V117" i="34"/>
  <c r="R13" i="34"/>
  <c r="W115" i="34"/>
  <c r="V323" i="34"/>
  <c r="Z164" i="34"/>
  <c r="T243" i="34"/>
  <c r="R27" i="34"/>
  <c r="R34" i="34"/>
  <c r="Z144" i="34"/>
  <c r="Q245" i="34"/>
  <c r="U75" i="34"/>
  <c r="W35" i="34"/>
  <c r="V71" i="34"/>
  <c r="AH71" i="34" s="1"/>
  <c r="O288" i="34"/>
  <c r="X80" i="34"/>
  <c r="T264" i="34"/>
  <c r="S300" i="34"/>
  <c r="V159" i="34"/>
  <c r="O47" i="34"/>
  <c r="AA47" i="34" s="1"/>
  <c r="P157" i="34"/>
  <c r="AB157" i="34" s="1"/>
  <c r="S296" i="34"/>
  <c r="AE296" i="34" s="1"/>
  <c r="Y315" i="34"/>
  <c r="AK315" i="34" s="1"/>
  <c r="R275" i="34"/>
  <c r="AD275" i="34" s="1"/>
  <c r="T259" i="34"/>
  <c r="AF259" i="34" s="1"/>
  <c r="Z56" i="34"/>
  <c r="AL56" i="34" s="1"/>
  <c r="Y129" i="34"/>
  <c r="AK129" i="34" s="1"/>
  <c r="U275" i="34"/>
  <c r="AG275" i="34" s="1"/>
  <c r="R54" i="34"/>
  <c r="P308" i="34"/>
  <c r="AB308" i="34" s="1"/>
  <c r="P83" i="34"/>
  <c r="AB83" i="34" s="1"/>
  <c r="O10" i="34"/>
  <c r="X13" i="34"/>
  <c r="Z8" i="34"/>
  <c r="AL8" i="34" s="1"/>
  <c r="R71" i="34"/>
  <c r="AD71" i="34" s="1"/>
  <c r="V285" i="34"/>
  <c r="AH285" i="34" s="1"/>
  <c r="Y191" i="34"/>
  <c r="AK191" i="34" s="1"/>
  <c r="Q313" i="34"/>
  <c r="AC313" i="34" s="1"/>
  <c r="Y189" i="34"/>
  <c r="AK189" i="34" s="1"/>
  <c r="R119" i="34"/>
  <c r="AD119" i="34" s="1"/>
  <c r="T104" i="34"/>
  <c r="AF104" i="34" s="1"/>
  <c r="T129" i="34"/>
  <c r="AF129" i="34" s="1"/>
  <c r="V257" i="34"/>
  <c r="AH257" i="34" s="1"/>
  <c r="Q275" i="34"/>
  <c r="AC275" i="34" s="1"/>
  <c r="U235" i="34"/>
  <c r="AG235" i="34" s="1"/>
  <c r="T85" i="34"/>
  <c r="AF85" i="34" s="1"/>
  <c r="V148" i="34"/>
  <c r="AH148" i="34" s="1"/>
  <c r="R263" i="34"/>
  <c r="AD263" i="34" s="1"/>
  <c r="P168" i="34"/>
  <c r="AB168" i="34" s="1"/>
  <c r="V279" i="34"/>
  <c r="AH279" i="34" s="1"/>
  <c r="T60" i="34"/>
  <c r="AF60" i="34" s="1"/>
  <c r="Q124" i="34"/>
  <c r="AC124" i="34" s="1"/>
  <c r="Z24" i="34"/>
  <c r="AL24" i="34" s="1"/>
  <c r="P163" i="34"/>
  <c r="AB163" i="34" s="1"/>
  <c r="O36" i="34"/>
  <c r="V25" i="34"/>
  <c r="AH25" i="34" s="1"/>
  <c r="U260" i="34"/>
  <c r="W72" i="34"/>
  <c r="AI72" i="34" s="1"/>
  <c r="O234" i="34"/>
  <c r="AA234" i="34" s="1"/>
  <c r="Z146" i="34"/>
  <c r="AL146" i="34" s="1"/>
  <c r="X78" i="34"/>
  <c r="AJ78" i="34" s="1"/>
  <c r="O28" i="34"/>
  <c r="AA28" i="34" s="1"/>
  <c r="W79" i="34"/>
  <c r="R40" i="34"/>
  <c r="AD40" i="34" s="1"/>
  <c r="Z298" i="34"/>
  <c r="AL298" i="34" s="1"/>
  <c r="T270" i="34"/>
  <c r="AF270" i="34" s="1"/>
  <c r="V150" i="34"/>
  <c r="AH150" i="34" s="1"/>
  <c r="X288" i="34"/>
  <c r="V45" i="34"/>
  <c r="AH45" i="34" s="1"/>
  <c r="O110" i="34"/>
  <c r="AA110" i="34" s="1"/>
  <c r="W30" i="34"/>
  <c r="AI30" i="34" s="1"/>
  <c r="O173" i="34"/>
  <c r="AA173" i="34" s="1"/>
  <c r="O64" i="34"/>
  <c r="Q78" i="34"/>
  <c r="AC78" i="34" s="1"/>
  <c r="Q76" i="34"/>
  <c r="V120" i="34"/>
  <c r="AH120" i="34" s="1"/>
  <c r="P42" i="34"/>
  <c r="AB42" i="34" s="1"/>
  <c r="X213" i="34"/>
  <c r="AJ213" i="34" s="1"/>
  <c r="R320" i="34"/>
  <c r="AD320" i="34" s="1"/>
  <c r="T87" i="34"/>
  <c r="AF87" i="34" s="1"/>
  <c r="P231" i="34"/>
  <c r="AB231" i="34" s="1"/>
  <c r="Q60" i="34"/>
  <c r="AC60" i="34" s="1"/>
  <c r="R195" i="34"/>
  <c r="AD195" i="34" s="1"/>
  <c r="Z317" i="34"/>
  <c r="AL317" i="34" s="1"/>
  <c r="U192" i="34"/>
  <c r="AG192" i="34" s="1"/>
  <c r="X89" i="34"/>
  <c r="AJ89" i="34" s="1"/>
  <c r="Q169" i="34"/>
  <c r="AC169" i="34" s="1"/>
  <c r="P8" i="34"/>
  <c r="AB8" i="34" s="1"/>
  <c r="R63" i="34"/>
  <c r="AD63" i="34" s="1"/>
  <c r="U180" i="34"/>
  <c r="AG180" i="34" s="1"/>
  <c r="Z308" i="34"/>
  <c r="AL308" i="34" s="1"/>
  <c r="Y72" i="34"/>
  <c r="AK72" i="34" s="1"/>
  <c r="T183" i="34"/>
  <c r="AF183" i="34" s="1"/>
  <c r="Y37" i="34"/>
  <c r="AK37" i="34" s="1"/>
  <c r="V76" i="34"/>
  <c r="Z28" i="34"/>
  <c r="AL28" i="34" s="1"/>
  <c r="W91" i="34"/>
  <c r="AI91" i="34" s="1"/>
  <c r="W119" i="34"/>
  <c r="AI119" i="34" s="1"/>
  <c r="T299" i="34"/>
  <c r="AF299" i="34" s="1"/>
  <c r="Y120" i="34"/>
  <c r="AK120" i="34" s="1"/>
  <c r="O140" i="34"/>
  <c r="AA140" i="34" s="1"/>
  <c r="Z306" i="34"/>
  <c r="AL306" i="34" s="1"/>
  <c r="Q130" i="34"/>
  <c r="AC130" i="34" s="1"/>
  <c r="Q230" i="34"/>
  <c r="AC230" i="34" s="1"/>
  <c r="P247" i="34"/>
  <c r="AB247" i="34" s="1"/>
  <c r="S124" i="34"/>
  <c r="AE124" i="34" s="1"/>
  <c r="U241" i="34"/>
  <c r="Q98" i="34"/>
  <c r="AC98" i="34" s="1"/>
  <c r="U46" i="34"/>
  <c r="AG46" i="34" s="1"/>
  <c r="O109" i="34"/>
  <c r="AA109" i="34" s="1"/>
  <c r="U60" i="34"/>
  <c r="AG60" i="34" s="1"/>
  <c r="Y162" i="34"/>
  <c r="AK162" i="34" s="1"/>
  <c r="Z238" i="34"/>
  <c r="AL238" i="34" s="1"/>
  <c r="W147" i="34"/>
  <c r="W156" i="34"/>
  <c r="AI156" i="34" s="1"/>
  <c r="U134" i="34"/>
  <c r="AG134" i="34" s="1"/>
  <c r="T124" i="34"/>
  <c r="AF124" i="34" s="1"/>
  <c r="R129" i="34"/>
  <c r="AD129" i="34" s="1"/>
  <c r="Y176" i="34"/>
  <c r="AK176" i="34" s="1"/>
  <c r="Y93" i="34"/>
  <c r="AK93" i="34" s="1"/>
  <c r="X99" i="34"/>
  <c r="AJ99" i="34" s="1"/>
  <c r="T197" i="34"/>
  <c r="AF197" i="34" s="1"/>
  <c r="V281" i="34"/>
  <c r="AH281" i="34" s="1"/>
  <c r="X321" i="34"/>
  <c r="AJ321" i="34" s="1"/>
  <c r="P180" i="34"/>
  <c r="AB180" i="34" s="1"/>
  <c r="X171" i="34"/>
  <c r="AJ171" i="34" s="1"/>
  <c r="V131" i="34"/>
  <c r="AH131" i="34" s="1"/>
  <c r="Q66" i="34"/>
  <c r="W10" i="34"/>
  <c r="Z278" i="34"/>
  <c r="Q318" i="34"/>
  <c r="AC318" i="34" s="1"/>
  <c r="Q278" i="34"/>
  <c r="O54" i="34"/>
  <c r="P50" i="34"/>
  <c r="AB50" i="34" s="1"/>
  <c r="W178" i="34"/>
  <c r="W218" i="34"/>
  <c r="AI218" i="34" s="1"/>
  <c r="S17" i="34"/>
  <c r="AE17" i="34" s="1"/>
  <c r="P295" i="34"/>
  <c r="T208" i="34"/>
  <c r="AF208" i="34" s="1"/>
  <c r="W237" i="34"/>
  <c r="AI237" i="34" s="1"/>
  <c r="U88" i="34"/>
  <c r="AG88" i="34" s="1"/>
  <c r="Y177" i="34"/>
  <c r="AK177" i="34" s="1"/>
  <c r="P156" i="34"/>
  <c r="AB156" i="34" s="1"/>
  <c r="Y231" i="34"/>
  <c r="AK231" i="34" s="1"/>
  <c r="R69" i="34"/>
  <c r="AD69" i="34" s="1"/>
  <c r="T131" i="34"/>
  <c r="AF131" i="34" s="1"/>
  <c r="X292" i="34"/>
  <c r="AJ292" i="34" s="1"/>
  <c r="U173" i="34"/>
  <c r="AG173" i="34" s="1"/>
  <c r="Z168" i="34"/>
  <c r="AL168" i="34" s="1"/>
  <c r="T56" i="34"/>
  <c r="AF56" i="34" s="1"/>
  <c r="T271" i="34"/>
  <c r="AF271" i="34" s="1"/>
  <c r="R224" i="34"/>
  <c r="AD224" i="34" s="1"/>
  <c r="P199" i="34"/>
  <c r="AB199" i="34" s="1"/>
  <c r="S263" i="34"/>
  <c r="AE263" i="34" s="1"/>
  <c r="P104" i="34"/>
  <c r="AB104" i="34" s="1"/>
  <c r="Y183" i="34"/>
  <c r="AK183" i="34" s="1"/>
  <c r="T192" i="34"/>
  <c r="AF192" i="34" s="1"/>
  <c r="Q229" i="34"/>
  <c r="AC229" i="34" s="1"/>
  <c r="W292" i="34"/>
  <c r="AI292" i="34" s="1"/>
  <c r="P170" i="34"/>
  <c r="AB170" i="34" s="1"/>
  <c r="Y313" i="34"/>
  <c r="AK313" i="34" s="1"/>
  <c r="X282" i="34"/>
  <c r="AJ282" i="34" s="1"/>
  <c r="O271" i="34"/>
  <c r="AA271" i="34" s="1"/>
  <c r="Z221" i="34"/>
  <c r="AL221" i="34" s="1"/>
  <c r="X141" i="34"/>
  <c r="AJ141" i="34" s="1"/>
  <c r="V319" i="34"/>
  <c r="AH319" i="34" s="1"/>
  <c r="V199" i="34"/>
  <c r="AH199" i="34" s="1"/>
  <c r="X152" i="34"/>
  <c r="AJ152" i="34" s="1"/>
  <c r="P119" i="34"/>
  <c r="AB119" i="34" s="1"/>
  <c r="X137" i="34"/>
  <c r="AJ137" i="34" s="1"/>
  <c r="V164" i="34"/>
  <c r="V101" i="34"/>
  <c r="AH101" i="34" s="1"/>
  <c r="Z264" i="34"/>
  <c r="Z16" i="34"/>
  <c r="AL16" i="34" s="1"/>
  <c r="O101" i="34"/>
  <c r="AA101" i="34" s="1"/>
  <c r="W60" i="34"/>
  <c r="AI60" i="34" s="1"/>
  <c r="W265" i="34"/>
  <c r="AI265" i="34" s="1"/>
  <c r="T204" i="34"/>
  <c r="AF204" i="34" s="1"/>
  <c r="O136" i="34"/>
  <c r="AA136" i="34" s="1"/>
  <c r="Q154" i="34"/>
  <c r="AC154" i="34" s="1"/>
  <c r="Y198" i="34"/>
  <c r="AK198" i="34" s="1"/>
  <c r="Y82" i="34"/>
  <c r="AK82" i="34" s="1"/>
  <c r="T302" i="34"/>
  <c r="AF302" i="34" s="1"/>
  <c r="T182" i="34"/>
  <c r="AF182" i="34" s="1"/>
  <c r="X77" i="34"/>
  <c r="AJ77" i="34" s="1"/>
  <c r="R265" i="34"/>
  <c r="AD265" i="34" s="1"/>
  <c r="S60" i="34"/>
  <c r="AE60" i="34" s="1"/>
  <c r="V170" i="34"/>
  <c r="AH170" i="34" s="1"/>
  <c r="Q198" i="34"/>
  <c r="AC198" i="34" s="1"/>
  <c r="R30" i="34"/>
  <c r="AD30" i="34" s="1"/>
  <c r="X37" i="34"/>
  <c r="AJ37" i="34" s="1"/>
  <c r="R80" i="34"/>
  <c r="S139" i="34"/>
  <c r="AE139" i="34" s="1"/>
  <c r="O42" i="34"/>
  <c r="AA42" i="34" s="1"/>
  <c r="T290" i="34"/>
  <c r="T70" i="34"/>
  <c r="AF70" i="34" s="1"/>
  <c r="U45" i="34"/>
  <c r="AG45" i="34" s="1"/>
  <c r="S76" i="34"/>
  <c r="O104" i="34"/>
  <c r="AA104" i="34" s="1"/>
  <c r="P226" i="34"/>
  <c r="AB226" i="34" s="1"/>
  <c r="Z182" i="34"/>
  <c r="AL182" i="34" s="1"/>
  <c r="P314" i="34"/>
  <c r="AB314" i="34" s="1"/>
  <c r="O238" i="34"/>
  <c r="AA238" i="34" s="1"/>
  <c r="O118" i="34"/>
  <c r="AA118" i="34" s="1"/>
  <c r="V44" i="34"/>
  <c r="AH44" i="34" s="1"/>
  <c r="Z91" i="34"/>
  <c r="AL91" i="34" s="1"/>
  <c r="Z203" i="34"/>
  <c r="AL203" i="34" s="1"/>
  <c r="Z319" i="34"/>
  <c r="AL319" i="34" s="1"/>
  <c r="R156" i="34"/>
  <c r="AD156" i="34" s="1"/>
  <c r="Z227" i="34"/>
  <c r="AL227" i="34" s="1"/>
  <c r="V141" i="34"/>
  <c r="AH141" i="34" s="1"/>
  <c r="V267" i="34"/>
  <c r="AH267" i="34" s="1"/>
  <c r="W29" i="34"/>
  <c r="AI29" i="34" s="1"/>
  <c r="X111" i="34"/>
  <c r="AJ111" i="34" s="1"/>
  <c r="R199" i="34"/>
  <c r="AD199" i="34" s="1"/>
  <c r="Q232" i="34"/>
  <c r="AC232" i="34" s="1"/>
  <c r="R296" i="34"/>
  <c r="AD296" i="34" s="1"/>
  <c r="O307" i="34"/>
  <c r="AA307" i="34" s="1"/>
  <c r="Z131" i="34"/>
  <c r="AL131" i="34" s="1"/>
  <c r="Y104" i="34"/>
  <c r="AK104" i="34" s="1"/>
  <c r="R277" i="34"/>
  <c r="AD277" i="34" s="1"/>
  <c r="W229" i="34"/>
  <c r="AI229" i="34" s="1"/>
  <c r="Q47" i="34"/>
  <c r="AC47" i="34" s="1"/>
  <c r="X211" i="34"/>
  <c r="AJ211" i="34" s="1"/>
  <c r="Q141" i="34"/>
  <c r="AC141" i="34" s="1"/>
  <c r="X271" i="34"/>
  <c r="AJ271" i="34" s="1"/>
  <c r="R311" i="34"/>
  <c r="AD311" i="34" s="1"/>
  <c r="Y271" i="34"/>
  <c r="AK271" i="34" s="1"/>
  <c r="O310" i="34"/>
  <c r="AA310" i="34" s="1"/>
  <c r="T314" i="34"/>
  <c r="AF314" i="34" s="1"/>
  <c r="Y253" i="34"/>
  <c r="AK253" i="34" s="1"/>
  <c r="X216" i="34"/>
  <c r="AJ216" i="34" s="1"/>
  <c r="U309" i="34"/>
  <c r="AG309" i="34" s="1"/>
  <c r="Z68" i="34"/>
  <c r="AL68" i="34" s="1"/>
  <c r="P49" i="34"/>
  <c r="AB49" i="34" s="1"/>
  <c r="P91" i="34"/>
  <c r="AB91" i="34" s="1"/>
  <c r="V179" i="34"/>
  <c r="AH179" i="34" s="1"/>
  <c r="Z292" i="34"/>
  <c r="AL292" i="34" s="1"/>
  <c r="V139" i="34"/>
  <c r="AH139" i="34" s="1"/>
  <c r="P135" i="34"/>
  <c r="AB135" i="34" s="1"/>
  <c r="T296" i="34"/>
  <c r="AF296" i="34" s="1"/>
  <c r="Z271" i="34"/>
  <c r="AL271" i="34" s="1"/>
  <c r="Q231" i="34"/>
  <c r="AC231" i="34" s="1"/>
  <c r="V116" i="34"/>
  <c r="W63" i="34"/>
  <c r="AI63" i="34" s="1"/>
  <c r="W71" i="34"/>
  <c r="AI71" i="34" s="1"/>
  <c r="U297" i="34"/>
  <c r="AG297" i="34" s="1"/>
  <c r="P43" i="34"/>
  <c r="AB43" i="34" s="1"/>
  <c r="S37" i="34"/>
  <c r="AE37" i="34" s="1"/>
  <c r="P105" i="34"/>
  <c r="AB105" i="34" s="1"/>
  <c r="W131" i="34"/>
  <c r="AI131" i="34" s="1"/>
  <c r="O88" i="34"/>
  <c r="AA88" i="34" s="1"/>
  <c r="S108" i="34"/>
  <c r="AE108" i="34" s="1"/>
  <c r="W137" i="34"/>
  <c r="AI137" i="34" s="1"/>
  <c r="R297" i="34"/>
  <c r="AD297" i="34" s="1"/>
  <c r="Q7" i="34"/>
  <c r="AC7" i="34" s="1"/>
  <c r="V202" i="34"/>
  <c r="AH202" i="34" s="1"/>
  <c r="Y86" i="34"/>
  <c r="AK86" i="34" s="1"/>
  <c r="P322" i="34"/>
  <c r="AB322" i="34" s="1"/>
  <c r="Y62" i="34"/>
  <c r="AK62" i="34" s="1"/>
  <c r="Y270" i="34"/>
  <c r="AK270" i="34" s="1"/>
  <c r="O294" i="34"/>
  <c r="AA294" i="34" s="1"/>
  <c r="Z70" i="34"/>
  <c r="AL70" i="34" s="1"/>
  <c r="Z101" i="34"/>
  <c r="AL101" i="34" s="1"/>
  <c r="Q33" i="34"/>
  <c r="AC33" i="34" s="1"/>
  <c r="Q101" i="34"/>
  <c r="AC101" i="34" s="1"/>
  <c r="S100" i="34"/>
  <c r="S90" i="34"/>
  <c r="AE90" i="34" s="1"/>
  <c r="T38" i="34"/>
  <c r="AF38" i="34" s="1"/>
  <c r="R174" i="34"/>
  <c r="AD174" i="34" s="1"/>
  <c r="W294" i="34"/>
  <c r="AI294" i="34" s="1"/>
  <c r="P53" i="34"/>
  <c r="T137" i="34"/>
  <c r="AF137" i="34" s="1"/>
  <c r="S137" i="34"/>
  <c r="AE137" i="34" s="1"/>
  <c r="W273" i="34"/>
  <c r="AI273" i="34" s="1"/>
  <c r="U86" i="34"/>
  <c r="AG86" i="34" s="1"/>
  <c r="T146" i="34"/>
  <c r="AF146" i="34" s="1"/>
  <c r="O230" i="34"/>
  <c r="AA230" i="34" s="1"/>
  <c r="S265" i="34"/>
  <c r="AE265" i="34" s="1"/>
  <c r="V172" i="34"/>
  <c r="V264" i="34"/>
  <c r="R92" i="34"/>
  <c r="AD92" i="34" s="1"/>
  <c r="S298" i="34"/>
  <c r="AE298" i="34" s="1"/>
  <c r="V302" i="34"/>
  <c r="AH302" i="34" s="1"/>
  <c r="R47" i="34"/>
  <c r="AD47" i="34" s="1"/>
  <c r="Y77" i="34"/>
  <c r="AK77" i="34" s="1"/>
  <c r="Z90" i="34"/>
  <c r="AL90" i="34" s="1"/>
  <c r="S111" i="34"/>
  <c r="AE111" i="34" s="1"/>
  <c r="T86" i="34"/>
  <c r="AF86" i="34" s="1"/>
  <c r="S166" i="34"/>
  <c r="AE166" i="34" s="1"/>
  <c r="U17" i="34"/>
  <c r="AG17" i="34" s="1"/>
  <c r="R82" i="34"/>
  <c r="AD82" i="34" s="1"/>
  <c r="X22" i="34"/>
  <c r="AJ22" i="34" s="1"/>
  <c r="X23" i="34"/>
  <c r="AJ23" i="34" s="1"/>
  <c r="O182" i="34"/>
  <c r="AA182" i="34" s="1"/>
  <c r="Z5" i="34"/>
  <c r="R176" i="34"/>
  <c r="AD176" i="34" s="1"/>
  <c r="T260" i="34"/>
  <c r="Z21" i="34"/>
  <c r="O151" i="34"/>
  <c r="V247" i="34"/>
  <c r="AH247" i="34" s="1"/>
  <c r="S143" i="34"/>
  <c r="AE143" i="34" s="1"/>
  <c r="Q163" i="34"/>
  <c r="AC163" i="34" s="1"/>
  <c r="R202" i="34"/>
  <c r="AD202" i="34" s="1"/>
  <c r="W90" i="34"/>
  <c r="AI90" i="34" s="1"/>
  <c r="S258" i="34"/>
  <c r="AE258" i="34" s="1"/>
  <c r="X130" i="34"/>
  <c r="AJ130" i="34" s="1"/>
  <c r="X222" i="34"/>
  <c r="AJ222" i="34" s="1"/>
  <c r="V142" i="34"/>
  <c r="AH142" i="34" s="1"/>
  <c r="P177" i="34"/>
  <c r="AB177" i="34" s="1"/>
  <c r="Y132" i="34"/>
  <c r="X124" i="34"/>
  <c r="AJ124" i="34" s="1"/>
  <c r="R175" i="34"/>
  <c r="O93" i="34"/>
  <c r="AA93" i="34" s="1"/>
  <c r="V288" i="34"/>
  <c r="Z120" i="34"/>
  <c r="AL120" i="34" s="1"/>
  <c r="W148" i="34"/>
  <c r="AI148" i="34" s="1"/>
  <c r="X299" i="34"/>
  <c r="AJ299" i="34" s="1"/>
  <c r="Y282" i="34"/>
  <c r="AK282" i="34" s="1"/>
  <c r="W86" i="34"/>
  <c r="AI86" i="34" s="1"/>
  <c r="Q322" i="34"/>
  <c r="AC322" i="34" s="1"/>
  <c r="Z139" i="34"/>
  <c r="AL139" i="34" s="1"/>
  <c r="U125" i="34"/>
  <c r="S209" i="34"/>
  <c r="Z52" i="34"/>
  <c r="Q282" i="34"/>
  <c r="AC282" i="34" s="1"/>
  <c r="U198" i="34"/>
  <c r="AG198" i="34" s="1"/>
  <c r="Q120" i="34"/>
  <c r="AC120" i="34" s="1"/>
  <c r="O137" i="34"/>
  <c r="AA137" i="34" s="1"/>
  <c r="R234" i="34"/>
  <c r="AD234" i="34" s="1"/>
  <c r="Z82" i="34"/>
  <c r="AL82" i="34" s="1"/>
  <c r="O138" i="34"/>
  <c r="AA138" i="34" s="1"/>
  <c r="Y42" i="34"/>
  <c r="AK42" i="34" s="1"/>
  <c r="R258" i="34"/>
  <c r="AD258" i="34" s="1"/>
  <c r="U130" i="34"/>
  <c r="AG130" i="34" s="1"/>
  <c r="Q222" i="34"/>
  <c r="AC222" i="34" s="1"/>
  <c r="Y94" i="34"/>
  <c r="AK94" i="34" s="1"/>
  <c r="X17" i="34"/>
  <c r="AJ17" i="34" s="1"/>
  <c r="T100" i="34"/>
  <c r="O85" i="34"/>
  <c r="AA85" i="34" s="1"/>
  <c r="Z49" i="34"/>
  <c r="AL49" i="34" s="1"/>
  <c r="V8" i="34"/>
  <c r="AH8" i="34" s="1"/>
  <c r="Z112" i="34"/>
  <c r="AL112" i="34" s="1"/>
  <c r="Y112" i="34"/>
  <c r="AK112" i="34" s="1"/>
  <c r="Z283" i="34"/>
  <c r="AL283" i="34" s="1"/>
  <c r="O143" i="34"/>
  <c r="AA143" i="34" s="1"/>
  <c r="R298" i="34"/>
  <c r="AD298" i="34" s="1"/>
  <c r="W166" i="34"/>
  <c r="AI166" i="34" s="1"/>
  <c r="W134" i="34"/>
  <c r="AI134" i="34" s="1"/>
  <c r="V78" i="34"/>
  <c r="AH78" i="34" s="1"/>
  <c r="V286" i="34"/>
  <c r="AH286" i="34" s="1"/>
  <c r="V310" i="34"/>
  <c r="AH310" i="34" s="1"/>
  <c r="O150" i="34"/>
  <c r="AA150" i="34" s="1"/>
  <c r="R8" i="34"/>
  <c r="AD8" i="34" s="1"/>
  <c r="W123" i="34"/>
  <c r="AI123" i="34" s="1"/>
  <c r="O121" i="34"/>
  <c r="T41" i="34"/>
  <c r="AF41" i="34" s="1"/>
  <c r="Y295" i="34"/>
  <c r="R200" i="34"/>
  <c r="AD200" i="34" s="1"/>
  <c r="O156" i="34"/>
  <c r="AA156" i="34" s="1"/>
  <c r="S69" i="34"/>
  <c r="AE69" i="34" s="1"/>
  <c r="Y138" i="34"/>
  <c r="AK138" i="34" s="1"/>
  <c r="P198" i="34"/>
  <c r="AB198" i="34" s="1"/>
  <c r="T130" i="34"/>
  <c r="AF130" i="34" s="1"/>
  <c r="R94" i="34"/>
  <c r="AD94" i="34" s="1"/>
  <c r="X123" i="34"/>
  <c r="AJ123" i="34" s="1"/>
  <c r="W103" i="34"/>
  <c r="AI103" i="34" s="1"/>
  <c r="Q161" i="34"/>
  <c r="AC161" i="34" s="1"/>
  <c r="W57" i="34"/>
  <c r="AI57" i="34" s="1"/>
  <c r="O22" i="34"/>
  <c r="AA22" i="34" s="1"/>
  <c r="W230" i="34"/>
  <c r="AI230" i="34" s="1"/>
  <c r="V291" i="34"/>
  <c r="AH291" i="34" s="1"/>
  <c r="S67" i="34"/>
  <c r="AE67" i="34" s="1"/>
  <c r="S282" i="34"/>
  <c r="AE282" i="34" s="1"/>
  <c r="U182" i="34"/>
  <c r="AG182" i="34" s="1"/>
  <c r="X286" i="34"/>
  <c r="AJ286" i="34" s="1"/>
  <c r="P190" i="34"/>
  <c r="AB190" i="34" s="1"/>
  <c r="X150" i="34"/>
  <c r="AJ150" i="34" s="1"/>
  <c r="X28" i="34"/>
  <c r="AJ28" i="34" s="1"/>
  <c r="O65" i="34"/>
  <c r="W155" i="34"/>
  <c r="AI155" i="34" s="1"/>
  <c r="Q92" i="34"/>
  <c r="AC92" i="34" s="1"/>
  <c r="Z4" i="34"/>
  <c r="AL4" i="34" s="1"/>
  <c r="X241" i="34"/>
  <c r="S33" i="34"/>
  <c r="AE33" i="34" s="1"/>
  <c r="S119" i="34"/>
  <c r="AE119" i="34" s="1"/>
  <c r="U41" i="34"/>
  <c r="AG41" i="34" s="1"/>
  <c r="T249" i="34"/>
  <c r="R52" i="34"/>
  <c r="X209" i="34"/>
  <c r="S63" i="34"/>
  <c r="AE63" i="34" s="1"/>
  <c r="Y95" i="34"/>
  <c r="U44" i="34"/>
  <c r="AG44" i="34" s="1"/>
  <c r="U298" i="34"/>
  <c r="AG298" i="34" s="1"/>
  <c r="X234" i="34"/>
  <c r="AJ234" i="34" s="1"/>
  <c r="P90" i="34"/>
  <c r="AB90" i="34" s="1"/>
  <c r="Z166" i="34"/>
  <c r="AL166" i="34" s="1"/>
  <c r="R146" i="34"/>
  <c r="AD146" i="34" s="1"/>
  <c r="U110" i="34"/>
  <c r="AG110" i="34" s="1"/>
  <c r="T142" i="34"/>
  <c r="AF142" i="34" s="1"/>
  <c r="S7" i="34"/>
  <c r="AE7" i="34" s="1"/>
  <c r="P47" i="34"/>
  <c r="AB47" i="34" s="1"/>
  <c r="Z137" i="34"/>
  <c r="AL137" i="34" s="1"/>
  <c r="Q64" i="34"/>
  <c r="O169" i="34"/>
  <c r="AA169" i="34" s="1"/>
  <c r="S201" i="34"/>
  <c r="S140" i="34"/>
  <c r="AE140" i="34" s="1"/>
  <c r="W200" i="34"/>
  <c r="AI200" i="34" s="1"/>
  <c r="Q248" i="34"/>
  <c r="Z314" i="34"/>
  <c r="AL314" i="34" s="1"/>
  <c r="W202" i="34"/>
  <c r="AI202" i="34" s="1"/>
  <c r="O38" i="34"/>
  <c r="AA38" i="34" s="1"/>
  <c r="P62" i="34"/>
  <c r="AB62" i="34" s="1"/>
  <c r="Y283" i="34"/>
  <c r="AK283" i="34" s="1"/>
  <c r="V297" i="34"/>
  <c r="AH297" i="34" s="1"/>
  <c r="R110" i="34"/>
  <c r="AD110" i="34" s="1"/>
  <c r="X142" i="34"/>
  <c r="AJ142" i="34" s="1"/>
  <c r="V62" i="34"/>
  <c r="AH62" i="34" s="1"/>
  <c r="R270" i="34"/>
  <c r="AD270" i="34" s="1"/>
  <c r="T294" i="34"/>
  <c r="AF294" i="34" s="1"/>
  <c r="T102" i="34"/>
  <c r="AF102" i="34" s="1"/>
  <c r="V29" i="34"/>
  <c r="AH29" i="34" s="1"/>
  <c r="R95" i="34"/>
  <c r="V39" i="34"/>
  <c r="AH39" i="34" s="1"/>
  <c r="Z125" i="34"/>
  <c r="U101" i="34"/>
  <c r="AG101" i="34" s="1"/>
  <c r="T33" i="34"/>
  <c r="AF33" i="34" s="1"/>
  <c r="W76" i="34"/>
  <c r="Q137" i="34"/>
  <c r="AC137" i="34" s="1"/>
  <c r="O119" i="34"/>
  <c r="AA119" i="34" s="1"/>
  <c r="P273" i="34"/>
  <c r="AB273" i="34" s="1"/>
  <c r="U123" i="34"/>
  <c r="AG123" i="34" s="1"/>
  <c r="S129" i="34"/>
  <c r="AE129" i="34" s="1"/>
  <c r="X283" i="34"/>
  <c r="AJ283" i="34" s="1"/>
  <c r="V113" i="34"/>
  <c r="AH113" i="34" s="1"/>
  <c r="Q23" i="34"/>
  <c r="AC23" i="34" s="1"/>
  <c r="X298" i="34"/>
  <c r="AJ298" i="34" s="1"/>
  <c r="T138" i="34"/>
  <c r="AF138" i="34" s="1"/>
  <c r="V58" i="34"/>
  <c r="AH58" i="34" s="1"/>
  <c r="S226" i="34"/>
  <c r="AE226" i="34" s="1"/>
  <c r="Y130" i="34"/>
  <c r="AK130" i="34" s="1"/>
  <c r="T222" i="34"/>
  <c r="AF222" i="34" s="1"/>
  <c r="S94" i="34"/>
  <c r="AE94" i="34" s="1"/>
  <c r="U239" i="34"/>
  <c r="AG239" i="34" s="1"/>
  <c r="T112" i="34"/>
  <c r="AF112" i="34" s="1"/>
  <c r="U201" i="34"/>
  <c r="Z97" i="34"/>
  <c r="R287" i="34"/>
  <c r="Z48" i="34"/>
  <c r="AL48" i="34" s="1"/>
  <c r="Z92" i="34"/>
  <c r="AL92" i="34" s="1"/>
  <c r="S125" i="34"/>
  <c r="V21" i="34"/>
  <c r="V298" i="34"/>
  <c r="AH298" i="34" s="1"/>
  <c r="Y166" i="34"/>
  <c r="AK166" i="34" s="1"/>
  <c r="R322" i="34"/>
  <c r="AD322" i="34" s="1"/>
  <c r="W65" i="34"/>
  <c r="U291" i="34"/>
  <c r="AG291" i="34" s="1"/>
  <c r="O322" i="34"/>
  <c r="AA322" i="34" s="1"/>
  <c r="S22" i="34"/>
  <c r="AE22" i="34" s="1"/>
  <c r="Y146" i="34"/>
  <c r="AK146" i="34" s="1"/>
  <c r="Q110" i="34"/>
  <c r="AC110" i="34" s="1"/>
  <c r="Q142" i="34"/>
  <c r="AC142" i="34" s="1"/>
  <c r="Z30" i="34"/>
  <c r="AL30" i="34" s="1"/>
  <c r="X33" i="34"/>
  <c r="AJ33" i="34" s="1"/>
  <c r="X101" i="34"/>
  <c r="AJ101" i="34" s="1"/>
  <c r="S297" i="34"/>
  <c r="AE297" i="34" s="1"/>
  <c r="X96" i="34"/>
  <c r="AJ96" i="34" s="1"/>
  <c r="P113" i="34"/>
  <c r="AB113" i="34" s="1"/>
  <c r="W67" i="34"/>
  <c r="AI67" i="34" s="1"/>
  <c r="V96" i="34"/>
  <c r="AH96" i="34" s="1"/>
  <c r="O157" i="34"/>
  <c r="AA157" i="34" s="1"/>
  <c r="U116" i="34"/>
  <c r="S260" i="34"/>
  <c r="S107" i="34"/>
  <c r="S85" i="34"/>
  <c r="AE85" i="34" s="1"/>
  <c r="W100" i="34"/>
  <c r="O247" i="34"/>
  <c r="AA247" i="34" s="1"/>
  <c r="Q297" i="34"/>
  <c r="AC297" i="34" s="1"/>
  <c r="S164" i="34"/>
  <c r="X202" i="34"/>
  <c r="AJ202" i="34" s="1"/>
  <c r="O154" i="34"/>
  <c r="AA154" i="34" s="1"/>
  <c r="Q86" i="34"/>
  <c r="AC86" i="34" s="1"/>
  <c r="Y7" i="34"/>
  <c r="AK7" i="34" s="1"/>
  <c r="Z62" i="34"/>
  <c r="AL62" i="34" s="1"/>
  <c r="Z270" i="34"/>
  <c r="AL270" i="34" s="1"/>
  <c r="Y294" i="34"/>
  <c r="AK294" i="34" s="1"/>
  <c r="Y102" i="34"/>
  <c r="AK102" i="34" s="1"/>
  <c r="X36" i="34"/>
  <c r="W95" i="34"/>
  <c r="T105" i="34"/>
  <c r="AF105" i="34" s="1"/>
  <c r="O125" i="34"/>
  <c r="AA125" i="34" s="1"/>
  <c r="Y45" i="34"/>
  <c r="AK45" i="34" s="1"/>
  <c r="Y113" i="34"/>
  <c r="AK113" i="34" s="1"/>
  <c r="S49" i="34"/>
  <c r="AE49" i="34" s="1"/>
  <c r="O48" i="34"/>
  <c r="AA48" i="34" s="1"/>
  <c r="Z154" i="34"/>
  <c r="AL154" i="34" s="1"/>
  <c r="P58" i="34"/>
  <c r="AB58" i="34" s="1"/>
  <c r="W174" i="34"/>
  <c r="AI174" i="34" s="1"/>
  <c r="Z133" i="34"/>
  <c r="R4" i="34"/>
  <c r="AD4" i="34" s="1"/>
  <c r="Y30" i="34"/>
  <c r="AK30" i="34" s="1"/>
  <c r="W310" i="34"/>
  <c r="AI310" i="34" s="1"/>
  <c r="W4" i="34"/>
  <c r="AI4" i="34" s="1"/>
  <c r="T118" i="34"/>
  <c r="AF118" i="34" s="1"/>
  <c r="W38" i="34"/>
  <c r="AI38" i="34" s="1"/>
  <c r="R226" i="34"/>
  <c r="AD226" i="34" s="1"/>
  <c r="S146" i="34"/>
  <c r="AE146" i="34" s="1"/>
  <c r="P78" i="34"/>
  <c r="AB78" i="34" s="1"/>
  <c r="Z22" i="34"/>
  <c r="AL22" i="34" s="1"/>
  <c r="Y190" i="34"/>
  <c r="AK190" i="34" s="1"/>
  <c r="Z142" i="34"/>
  <c r="AL142" i="34" s="1"/>
  <c r="Z294" i="34"/>
  <c r="AL294" i="34" s="1"/>
  <c r="P182" i="34"/>
  <c r="AB182" i="34" s="1"/>
  <c r="Y297" i="34"/>
  <c r="AK297" i="34" s="1"/>
  <c r="X41" i="34"/>
  <c r="AJ41" i="34" s="1"/>
  <c r="R6" i="34"/>
  <c r="AD6" i="34" s="1"/>
  <c r="U32" i="34"/>
  <c r="AG32" i="34" s="1"/>
  <c r="P33" i="34"/>
  <c r="AB33" i="34" s="1"/>
  <c r="U53" i="34"/>
  <c r="P36" i="34"/>
  <c r="R5" i="34"/>
  <c r="R291" i="34"/>
  <c r="AD291" i="34" s="1"/>
  <c r="S167" i="34"/>
  <c r="AE167" i="34" s="1"/>
  <c r="T200" i="34"/>
  <c r="AF200" i="34" s="1"/>
  <c r="R28" i="34"/>
  <c r="AD28" i="34" s="1"/>
  <c r="R241" i="34"/>
  <c r="S127" i="34"/>
  <c r="AE127" i="34" s="1"/>
  <c r="S113" i="34"/>
  <c r="AE113" i="34" s="1"/>
  <c r="S83" i="34"/>
  <c r="AE83" i="34" s="1"/>
  <c r="X265" i="34"/>
  <c r="AJ265" i="34" s="1"/>
  <c r="W39" i="34"/>
  <c r="AI39" i="34" s="1"/>
  <c r="Q170" i="34"/>
  <c r="AC170" i="34" s="1"/>
  <c r="P138" i="34"/>
  <c r="AB138" i="34" s="1"/>
  <c r="R118" i="34"/>
  <c r="AD118" i="34" s="1"/>
  <c r="Z38" i="34"/>
  <c r="AL38" i="34" s="1"/>
  <c r="W222" i="34"/>
  <c r="AI222" i="34" s="1"/>
  <c r="Z7" i="34"/>
  <c r="AL7" i="34" s="1"/>
  <c r="U245" i="34"/>
  <c r="S53" i="34"/>
  <c r="U43" i="34"/>
  <c r="AG43" i="34" s="1"/>
  <c r="O202" i="34"/>
  <c r="AA202" i="34" s="1"/>
  <c r="O258" i="34"/>
  <c r="AA258" i="34" s="1"/>
  <c r="V82" i="34"/>
  <c r="AH82" i="34" s="1"/>
  <c r="P302" i="34"/>
  <c r="AB302" i="34" s="1"/>
  <c r="P174" i="34"/>
  <c r="AB174" i="34" s="1"/>
  <c r="V23" i="34"/>
  <c r="AH23" i="34" s="1"/>
  <c r="R102" i="34"/>
  <c r="AD102" i="34" s="1"/>
  <c r="R73" i="34"/>
  <c r="AD73" i="34" s="1"/>
  <c r="Q42" i="34"/>
  <c r="AC42" i="34" s="1"/>
  <c r="X166" i="34"/>
  <c r="AJ166" i="34" s="1"/>
  <c r="X86" i="34"/>
  <c r="AJ86" i="34" s="1"/>
  <c r="U25" i="34"/>
  <c r="AG25" i="34" s="1"/>
  <c r="V322" i="34"/>
  <c r="AH322" i="34" s="1"/>
  <c r="U258" i="34"/>
  <c r="AG258" i="34" s="1"/>
  <c r="S162" i="34"/>
  <c r="AE162" i="34" s="1"/>
  <c r="W130" i="34"/>
  <c r="AI130" i="34" s="1"/>
  <c r="W82" i="34"/>
  <c r="AI82" i="34" s="1"/>
  <c r="P110" i="34"/>
  <c r="AB110" i="34" s="1"/>
  <c r="S62" i="34"/>
  <c r="AE62" i="34" s="1"/>
  <c r="R302" i="34"/>
  <c r="AD302" i="34" s="1"/>
  <c r="X270" i="34"/>
  <c r="AJ270" i="34" s="1"/>
  <c r="P222" i="34"/>
  <c r="AB222" i="34" s="1"/>
  <c r="Q174" i="34"/>
  <c r="AC174" i="34" s="1"/>
  <c r="O94" i="34"/>
  <c r="AA94" i="34" s="1"/>
  <c r="V46" i="34"/>
  <c r="AH46" i="34" s="1"/>
  <c r="T7" i="34"/>
  <c r="AF7" i="34" s="1"/>
  <c r="S230" i="34"/>
  <c r="AE230" i="34" s="1"/>
  <c r="R150" i="34"/>
  <c r="AD150" i="34" s="1"/>
  <c r="Q70" i="34"/>
  <c r="AC70" i="34" s="1"/>
  <c r="S24" i="34"/>
  <c r="AE24" i="34" s="1"/>
  <c r="Y164" i="34"/>
  <c r="P95" i="34"/>
  <c r="O113" i="34"/>
  <c r="AA113" i="34" s="1"/>
  <c r="O161" i="34"/>
  <c r="AA161" i="34" s="1"/>
  <c r="T79" i="34"/>
  <c r="Y39" i="34"/>
  <c r="AK39" i="34" s="1"/>
  <c r="U113" i="34"/>
  <c r="AG113" i="34" s="1"/>
  <c r="V176" i="34"/>
  <c r="AH176" i="34" s="1"/>
  <c r="R21" i="34"/>
  <c r="O73" i="34"/>
  <c r="AA73" i="34" s="1"/>
  <c r="V124" i="34"/>
  <c r="AH124" i="34" s="1"/>
  <c r="Z176" i="34"/>
  <c r="AL176" i="34" s="1"/>
  <c r="T113" i="34"/>
  <c r="AF113" i="34" s="1"/>
  <c r="R43" i="34"/>
  <c r="AD43" i="34" s="1"/>
  <c r="U137" i="34"/>
  <c r="AG137" i="34" s="1"/>
  <c r="Z265" i="34"/>
  <c r="AL265" i="34" s="1"/>
  <c r="Q105" i="34"/>
  <c r="AC105" i="34" s="1"/>
  <c r="V6" i="34"/>
  <c r="AH6" i="34" s="1"/>
  <c r="W249" i="34"/>
  <c r="U212" i="34"/>
  <c r="V201" i="34"/>
  <c r="W112" i="34"/>
  <c r="AI112" i="34" s="1"/>
  <c r="S149" i="34"/>
  <c r="AE149" i="34" s="1"/>
  <c r="X247" i="34"/>
  <c r="AJ247" i="34" s="1"/>
  <c r="W68" i="34"/>
  <c r="AI68" i="34" s="1"/>
  <c r="S61" i="34"/>
  <c r="AE61" i="34" s="1"/>
  <c r="W113" i="34"/>
  <c r="AI113" i="34" s="1"/>
  <c r="S57" i="34"/>
  <c r="AE57" i="34" s="1"/>
  <c r="V265" i="34"/>
  <c r="AH265" i="34" s="1"/>
  <c r="W136" i="34"/>
  <c r="AI136" i="34" s="1"/>
  <c r="S101" i="34"/>
  <c r="AE101" i="34" s="1"/>
  <c r="W121" i="34"/>
  <c r="X273" i="34"/>
  <c r="AJ273" i="34" s="1"/>
  <c r="R314" i="34"/>
  <c r="AD314" i="34" s="1"/>
  <c r="T234" i="34"/>
  <c r="AF234" i="34" s="1"/>
  <c r="U170" i="34"/>
  <c r="AG170" i="34" s="1"/>
  <c r="P154" i="34"/>
  <c r="AB154" i="34" s="1"/>
  <c r="X90" i="34"/>
  <c r="AJ90" i="34" s="1"/>
  <c r="R42" i="34"/>
  <c r="AD42" i="34" s="1"/>
  <c r="U166" i="34"/>
  <c r="AG166" i="34" s="1"/>
  <c r="R86" i="34"/>
  <c r="AD86" i="34" s="1"/>
  <c r="Z134" i="34"/>
  <c r="AL134" i="34" s="1"/>
  <c r="S130" i="34"/>
  <c r="AE130" i="34" s="1"/>
  <c r="W302" i="34"/>
  <c r="AI302" i="34" s="1"/>
  <c r="Q94" i="34"/>
  <c r="AC94" i="34" s="1"/>
  <c r="R182" i="34"/>
  <c r="AD182" i="34" s="1"/>
  <c r="Z249" i="34"/>
  <c r="P200" i="34"/>
  <c r="AB200" i="34" s="1"/>
  <c r="Q45" i="34"/>
  <c r="AC45" i="34" s="1"/>
  <c r="S116" i="34"/>
  <c r="T291" i="34"/>
  <c r="AF291" i="34" s="1"/>
  <c r="W104" i="34"/>
  <c r="AI104" i="34" s="1"/>
  <c r="S314" i="34"/>
  <c r="AE314" i="34" s="1"/>
  <c r="V138" i="34"/>
  <c r="AH138" i="34" s="1"/>
  <c r="T198" i="34"/>
  <c r="AF198" i="34" s="1"/>
  <c r="V134" i="34"/>
  <c r="AH134" i="34" s="1"/>
  <c r="O146" i="34"/>
  <c r="AA146" i="34" s="1"/>
  <c r="T78" i="34"/>
  <c r="AF78" i="34" s="1"/>
  <c r="V238" i="34"/>
  <c r="AH238" i="34" s="1"/>
  <c r="W94" i="34"/>
  <c r="AI94" i="34" s="1"/>
  <c r="V230" i="34"/>
  <c r="AH230" i="34" s="1"/>
  <c r="P32" i="34"/>
  <c r="AB32" i="34" s="1"/>
  <c r="Q8" i="34"/>
  <c r="AC8" i="34" s="1"/>
  <c r="R134" i="34"/>
  <c r="AD134" i="34" s="1"/>
  <c r="P306" i="34"/>
  <c r="AB306" i="34" s="1"/>
  <c r="Z226" i="34"/>
  <c r="AL226" i="34" s="1"/>
  <c r="W146" i="34"/>
  <c r="AI146" i="34" s="1"/>
  <c r="R130" i="34"/>
  <c r="AD130" i="34" s="1"/>
  <c r="T82" i="34"/>
  <c r="AF82" i="34" s="1"/>
  <c r="Y78" i="34"/>
  <c r="AK78" i="34" s="1"/>
  <c r="W22" i="34"/>
  <c r="AI22" i="34" s="1"/>
  <c r="Q286" i="34"/>
  <c r="AC286" i="34" s="1"/>
  <c r="U238" i="34"/>
  <c r="AG238" i="34" s="1"/>
  <c r="X190" i="34"/>
  <c r="AJ190" i="34" s="1"/>
  <c r="U174" i="34"/>
  <c r="AG174" i="34" s="1"/>
  <c r="T94" i="34"/>
  <c r="AF94" i="34" s="1"/>
  <c r="X30" i="34"/>
  <c r="AJ30" i="34" s="1"/>
  <c r="Z310" i="34"/>
  <c r="AL310" i="34" s="1"/>
  <c r="X230" i="34"/>
  <c r="AJ230" i="34" s="1"/>
  <c r="U150" i="34"/>
  <c r="AG150" i="34" s="1"/>
  <c r="R70" i="34"/>
  <c r="AD70" i="34" s="1"/>
  <c r="V48" i="34"/>
  <c r="AH48" i="34" s="1"/>
  <c r="O141" i="34"/>
  <c r="AA141" i="34" s="1"/>
  <c r="R283" i="34"/>
  <c r="AD283" i="34" s="1"/>
  <c r="S71" i="34"/>
  <c r="AE71" i="34" s="1"/>
  <c r="Y163" i="34"/>
  <c r="AK163" i="34" s="1"/>
  <c r="O120" i="34"/>
  <c r="AA120" i="34" s="1"/>
  <c r="Q269" i="34"/>
  <c r="R101" i="34"/>
  <c r="AD101" i="34" s="1"/>
  <c r="P265" i="34"/>
  <c r="AB265" i="34" s="1"/>
  <c r="Z248" i="34"/>
  <c r="S59" i="34"/>
  <c r="AE59" i="34" s="1"/>
  <c r="O176" i="34"/>
  <c r="AA176" i="34" s="1"/>
  <c r="S117" i="34"/>
  <c r="V36" i="34"/>
  <c r="W169" i="34"/>
  <c r="AI169" i="34" s="1"/>
  <c r="T245" i="34"/>
  <c r="Y43" i="34"/>
  <c r="AK43" i="34" s="1"/>
  <c r="V43" i="34"/>
  <c r="AH43" i="34" s="1"/>
  <c r="O71" i="34"/>
  <c r="AA71" i="34" s="1"/>
  <c r="U200" i="34"/>
  <c r="AG200" i="34" s="1"/>
  <c r="O92" i="34"/>
  <c r="AA92" i="34" s="1"/>
  <c r="V49" i="34"/>
  <c r="AH49" i="34" s="1"/>
  <c r="S147" i="34"/>
  <c r="U76" i="34"/>
  <c r="Y96" i="34"/>
  <c r="AK96" i="34" s="1"/>
  <c r="U28" i="34"/>
  <c r="AG28" i="34" s="1"/>
  <c r="W298" i="34"/>
  <c r="AI298" i="34" s="1"/>
  <c r="Z234" i="34"/>
  <c r="AL234" i="34" s="1"/>
  <c r="Z202" i="34"/>
  <c r="AL202" i="34" s="1"/>
  <c r="R154" i="34"/>
  <c r="AD154" i="34" s="1"/>
  <c r="Z138" i="34"/>
  <c r="AL138" i="34" s="1"/>
  <c r="Y90" i="34"/>
  <c r="AK90" i="34" s="1"/>
  <c r="S42" i="34"/>
  <c r="AE42" i="34" s="1"/>
  <c r="Y246" i="34"/>
  <c r="O166" i="34"/>
  <c r="AA166" i="34" s="1"/>
  <c r="P118" i="34"/>
  <c r="AB118" i="34" s="1"/>
  <c r="Y38" i="34"/>
  <c r="AK38" i="34" s="1"/>
  <c r="Y22" i="34"/>
  <c r="AK22" i="34" s="1"/>
  <c r="Q25" i="34"/>
  <c r="AC25" i="34" s="1"/>
  <c r="V306" i="34"/>
  <c r="AH306" i="34" s="1"/>
  <c r="Q258" i="34"/>
  <c r="AC258" i="34" s="1"/>
  <c r="W162" i="34"/>
  <c r="AI162" i="34" s="1"/>
  <c r="P146" i="34"/>
  <c r="AB146" i="34" s="1"/>
  <c r="Z98" i="34"/>
  <c r="AL98" i="34" s="1"/>
  <c r="O82" i="34"/>
  <c r="AA82" i="34" s="1"/>
  <c r="S110" i="34"/>
  <c r="AE110" i="34" s="1"/>
  <c r="R62" i="34"/>
  <c r="AD62" i="34" s="1"/>
  <c r="R22" i="34"/>
  <c r="AD22" i="34" s="1"/>
  <c r="S302" i="34"/>
  <c r="AE302" i="34" s="1"/>
  <c r="V270" i="34"/>
  <c r="AH270" i="34" s="1"/>
  <c r="T238" i="34"/>
  <c r="AF238" i="34" s="1"/>
  <c r="O190" i="34"/>
  <c r="AA190" i="34" s="1"/>
  <c r="S174" i="34"/>
  <c r="AE174" i="34" s="1"/>
  <c r="W142" i="34"/>
  <c r="AI142" i="34" s="1"/>
  <c r="R46" i="34"/>
  <c r="AD46" i="34" s="1"/>
  <c r="P30" i="34"/>
  <c r="AB30" i="34" s="1"/>
  <c r="W7" i="34"/>
  <c r="AI7" i="34" s="1"/>
  <c r="U294" i="34"/>
  <c r="AG294" i="34" s="1"/>
  <c r="T230" i="34"/>
  <c r="AF230" i="34" s="1"/>
  <c r="W150" i="34"/>
  <c r="AI150" i="34" s="1"/>
  <c r="V102" i="34"/>
  <c r="AH102" i="34" s="1"/>
  <c r="U207" i="34"/>
  <c r="AG207" i="34" s="1"/>
  <c r="Y40" i="34"/>
  <c r="AK40" i="34" s="1"/>
  <c r="X70" i="34"/>
  <c r="AJ70" i="34" s="1"/>
  <c r="R169" i="34"/>
  <c r="AD169" i="34" s="1"/>
  <c r="P24" i="34"/>
  <c r="AB24" i="34" s="1"/>
  <c r="U24" i="34"/>
  <c r="AG24" i="34" s="1"/>
  <c r="S134" i="34"/>
  <c r="AE134" i="34" s="1"/>
  <c r="U306" i="34"/>
  <c r="AG306" i="34" s="1"/>
  <c r="W226" i="34"/>
  <c r="AI226" i="34" s="1"/>
  <c r="X146" i="34"/>
  <c r="AJ146" i="34" s="1"/>
  <c r="W98" i="34"/>
  <c r="AI98" i="34" s="1"/>
  <c r="O66" i="34"/>
  <c r="W78" i="34"/>
  <c r="AI78" i="34" s="1"/>
  <c r="Y28" i="34"/>
  <c r="AK28" i="34" s="1"/>
  <c r="S286" i="34"/>
  <c r="AE286" i="34" s="1"/>
  <c r="R238" i="34"/>
  <c r="AD238" i="34" s="1"/>
  <c r="Q190" i="34"/>
  <c r="AC190" i="34" s="1"/>
  <c r="U142" i="34"/>
  <c r="AG142" i="34" s="1"/>
  <c r="Q46" i="34"/>
  <c r="AC46" i="34" s="1"/>
  <c r="T23" i="34"/>
  <c r="AF23" i="34" s="1"/>
  <c r="P310" i="34"/>
  <c r="AB310" i="34" s="1"/>
  <c r="Y230" i="34"/>
  <c r="AK230" i="34" s="1"/>
  <c r="P150" i="34"/>
  <c r="AB150" i="34" s="1"/>
  <c r="Q292" i="34"/>
  <c r="AC292" i="34" s="1"/>
  <c r="O77" i="34"/>
  <c r="AA77" i="34" s="1"/>
  <c r="Z175" i="34"/>
  <c r="Z297" i="34"/>
  <c r="AL297" i="34" s="1"/>
  <c r="S87" i="34"/>
  <c r="AE87" i="34" s="1"/>
  <c r="O204" i="34"/>
  <c r="AA204" i="34" s="1"/>
  <c r="Y137" i="34"/>
  <c r="AK137" i="34" s="1"/>
  <c r="W297" i="34"/>
  <c r="AI297" i="34" s="1"/>
  <c r="W129" i="34"/>
  <c r="AI129" i="34" s="1"/>
  <c r="S121" i="34"/>
  <c r="V283" i="34"/>
  <c r="AH283" i="34" s="1"/>
  <c r="V105" i="34"/>
  <c r="AH105" i="34" s="1"/>
  <c r="S204" i="34"/>
  <c r="AE204" i="34" s="1"/>
  <c r="U124" i="34"/>
  <c r="AG124" i="34" s="1"/>
  <c r="R77" i="34"/>
  <c r="AD77" i="34" s="1"/>
  <c r="Q244" i="34"/>
  <c r="O108" i="34"/>
  <c r="AA108" i="34" s="1"/>
  <c r="V77" i="34"/>
  <c r="AH77" i="34" s="1"/>
  <c r="U164" i="34"/>
  <c r="S92" i="34"/>
  <c r="AE92" i="34" s="1"/>
  <c r="Z76" i="34"/>
  <c r="V32" i="34"/>
  <c r="AH32" i="34" s="1"/>
  <c r="W56" i="34"/>
  <c r="AI56" i="34" s="1"/>
  <c r="S163" i="34"/>
  <c r="AE163" i="34" s="1"/>
  <c r="S133" i="34"/>
  <c r="P245" i="34"/>
  <c r="Y17" i="34"/>
  <c r="AK17" i="34" s="1"/>
  <c r="Y298" i="34"/>
  <c r="AK298" i="34" s="1"/>
  <c r="P234" i="34"/>
  <c r="AB234" i="34" s="1"/>
  <c r="T202" i="34"/>
  <c r="AF202" i="34" s="1"/>
  <c r="V154" i="34"/>
  <c r="AH154" i="34" s="1"/>
  <c r="S138" i="34"/>
  <c r="AE138" i="34" s="1"/>
  <c r="Q90" i="34"/>
  <c r="AC90" i="34" s="1"/>
  <c r="Z42" i="34"/>
  <c r="AL42" i="34" s="1"/>
  <c r="S198" i="34"/>
  <c r="AE198" i="34" s="1"/>
  <c r="T166" i="34"/>
  <c r="AF166" i="34" s="1"/>
  <c r="Z86" i="34"/>
  <c r="AL86" i="34" s="1"/>
  <c r="X38" i="34"/>
  <c r="AJ38" i="34" s="1"/>
  <c r="Q134" i="34"/>
  <c r="AC134" i="34" s="1"/>
  <c r="Q17" i="34"/>
  <c r="AC17" i="34" s="1"/>
  <c r="W306" i="34"/>
  <c r="AI306" i="34" s="1"/>
  <c r="O226" i="34"/>
  <c r="AA226" i="34" s="1"/>
  <c r="P162" i="34"/>
  <c r="AB162" i="34" s="1"/>
  <c r="Z130" i="34"/>
  <c r="AL130" i="34" s="1"/>
  <c r="O98" i="34"/>
  <c r="AA98" i="34" s="1"/>
  <c r="P82" i="34"/>
  <c r="AB82" i="34" s="1"/>
  <c r="V110" i="34"/>
  <c r="AH110" i="34" s="1"/>
  <c r="U62" i="34"/>
  <c r="AG62" i="34" s="1"/>
  <c r="Q30" i="34"/>
  <c r="AC30" i="34" s="1"/>
  <c r="Z286" i="34"/>
  <c r="AL286" i="34" s="1"/>
  <c r="W270" i="34"/>
  <c r="AI270" i="34" s="1"/>
  <c r="S222" i="34"/>
  <c r="AE222" i="34" s="1"/>
  <c r="V190" i="34"/>
  <c r="AH190" i="34" s="1"/>
  <c r="T174" i="34"/>
  <c r="AF174" i="34" s="1"/>
  <c r="Z94" i="34"/>
  <c r="AL94" i="34" s="1"/>
  <c r="X46" i="34"/>
  <c r="AJ46" i="34" s="1"/>
  <c r="Z23" i="34"/>
  <c r="AL23" i="34" s="1"/>
  <c r="V7" i="34"/>
  <c r="AH7" i="34" s="1"/>
  <c r="S294" i="34"/>
  <c r="AE294" i="34" s="1"/>
  <c r="Y182" i="34"/>
  <c r="AK182" i="34" s="1"/>
  <c r="Y150" i="34"/>
  <c r="AK150" i="34" s="1"/>
  <c r="O70" i="34"/>
  <c r="AA70" i="34" s="1"/>
  <c r="W40" i="34"/>
  <c r="AI40" i="34" s="1"/>
  <c r="X102" i="34"/>
  <c r="AJ102" i="34" s="1"/>
  <c r="S70" i="34"/>
  <c r="AE70" i="34" s="1"/>
  <c r="O139" i="34"/>
  <c r="AA139" i="34" s="1"/>
  <c r="U29" i="34"/>
  <c r="AG29" i="34" s="1"/>
  <c r="Y29" i="34"/>
  <c r="AK29" i="34" s="1"/>
  <c r="S38" i="34"/>
  <c r="AE38" i="34" s="1"/>
  <c r="Q5" i="34"/>
  <c r="V258" i="34"/>
  <c r="AH258" i="34" s="1"/>
  <c r="V162" i="34"/>
  <c r="AH162" i="34" s="1"/>
  <c r="Q146" i="34"/>
  <c r="AC146" i="34" s="1"/>
  <c r="Y98" i="34"/>
  <c r="AK98" i="34" s="1"/>
  <c r="Y110" i="34"/>
  <c r="AK110" i="34" s="1"/>
  <c r="Q62" i="34"/>
  <c r="AC62" i="34" s="1"/>
  <c r="U302" i="34"/>
  <c r="AG302" i="34" s="1"/>
  <c r="P270" i="34"/>
  <c r="AB270" i="34" s="1"/>
  <c r="Z222" i="34"/>
  <c r="AL222" i="34" s="1"/>
  <c r="X174" i="34"/>
  <c r="AJ174" i="34" s="1"/>
  <c r="P142" i="34"/>
  <c r="AB142" i="34" s="1"/>
  <c r="S46" i="34"/>
  <c r="AE46" i="34" s="1"/>
  <c r="S23" i="34"/>
  <c r="AE23" i="34" s="1"/>
  <c r="V294" i="34"/>
  <c r="AH294" i="34" s="1"/>
  <c r="Q182" i="34"/>
  <c r="AC182" i="34" s="1"/>
  <c r="O102" i="34"/>
  <c r="AA102" i="34" s="1"/>
  <c r="T6" i="34"/>
  <c r="AF6" i="34" s="1"/>
  <c r="U105" i="34"/>
  <c r="AG105" i="34" s="1"/>
  <c r="R204" i="34"/>
  <c r="AD204" i="34" s="1"/>
  <c r="Z305" i="34"/>
  <c r="R96" i="34"/>
  <c r="AD96" i="34" s="1"/>
  <c r="S45" i="34"/>
  <c r="AE45" i="34" s="1"/>
  <c r="S173" i="34"/>
  <c r="AE173" i="34" s="1"/>
  <c r="Q40" i="34"/>
  <c r="AC40" i="34" s="1"/>
  <c r="U204" i="34"/>
  <c r="AG204" i="34" s="1"/>
  <c r="S273" i="34"/>
  <c r="AE273" i="34" s="1"/>
  <c r="Z300" i="34"/>
  <c r="V137" i="34"/>
  <c r="AH137" i="34" s="1"/>
  <c r="O223" i="34"/>
  <c r="V163" i="34"/>
  <c r="AH163" i="34" s="1"/>
  <c r="O95" i="34"/>
  <c r="U249" i="34"/>
  <c r="O44" i="34"/>
  <c r="AA44" i="34" s="1"/>
  <c r="S95" i="34"/>
  <c r="T209" i="34"/>
  <c r="W145" i="34"/>
  <c r="AI145" i="34" s="1"/>
  <c r="O252" i="34"/>
  <c r="V273" i="34"/>
  <c r="AH273" i="34" s="1"/>
  <c r="W88" i="34"/>
  <c r="AI88" i="34" s="1"/>
  <c r="W176" i="34"/>
  <c r="AI176" i="34" s="1"/>
  <c r="S165" i="34"/>
  <c r="AE165" i="34" s="1"/>
  <c r="O265" i="34"/>
  <c r="AA265" i="34" s="1"/>
  <c r="V314" i="34"/>
  <c r="AH314" i="34" s="1"/>
  <c r="V282" i="34"/>
  <c r="AH282" i="34" s="1"/>
  <c r="S234" i="34"/>
  <c r="AE234" i="34" s="1"/>
  <c r="O170" i="34"/>
  <c r="AA170" i="34" s="1"/>
  <c r="T154" i="34"/>
  <c r="AF154" i="34" s="1"/>
  <c r="W106" i="34"/>
  <c r="R58" i="34"/>
  <c r="AD58" i="34" s="1"/>
  <c r="T42" i="34"/>
  <c r="AF42" i="34" s="1"/>
  <c r="W198" i="34"/>
  <c r="AI198" i="34" s="1"/>
  <c r="V166" i="34"/>
  <c r="AH166" i="34" s="1"/>
  <c r="O86" i="34"/>
  <c r="AA86" i="34" s="1"/>
  <c r="P38" i="34"/>
  <c r="AB38" i="34" s="1"/>
  <c r="T134" i="34"/>
  <c r="AF134" i="34" s="1"/>
  <c r="S322" i="34"/>
  <c r="AE322" i="34" s="1"/>
  <c r="Y258" i="34"/>
  <c r="AK258" i="34" s="1"/>
  <c r="X226" i="34"/>
  <c r="AJ226" i="34" s="1"/>
  <c r="V146" i="34"/>
  <c r="AH146" i="34" s="1"/>
  <c r="O130" i="34"/>
  <c r="AA130" i="34" s="1"/>
  <c r="P98" i="34"/>
  <c r="AB98" i="34" s="1"/>
  <c r="W66" i="34"/>
  <c r="U78" i="34"/>
  <c r="AG78" i="34" s="1"/>
  <c r="T62" i="34"/>
  <c r="AF62" i="34" s="1"/>
  <c r="U23" i="34"/>
  <c r="AG23" i="34" s="1"/>
  <c r="R286" i="34"/>
  <c r="AD286" i="34" s="1"/>
  <c r="S270" i="34"/>
  <c r="AE270" i="34" s="1"/>
  <c r="V222" i="34"/>
  <c r="AH222" i="34" s="1"/>
  <c r="R190" i="34"/>
  <c r="AD190" i="34" s="1"/>
  <c r="R142" i="34"/>
  <c r="AD142" i="34" s="1"/>
  <c r="X94" i="34"/>
  <c r="AJ94" i="34" s="1"/>
  <c r="W46" i="34"/>
  <c r="AI46" i="34" s="1"/>
  <c r="P23" i="34"/>
  <c r="AB23" i="34" s="1"/>
  <c r="U310" i="34"/>
  <c r="AG310" i="34" s="1"/>
  <c r="U230" i="34"/>
  <c r="AG230" i="34" s="1"/>
  <c r="S182" i="34"/>
  <c r="AE182" i="34" s="1"/>
  <c r="U102" i="34"/>
  <c r="AG102" i="34" s="1"/>
  <c r="P70" i="34"/>
  <c r="AB70" i="34" s="1"/>
  <c r="W141" i="34"/>
  <c r="AI141" i="34" s="1"/>
  <c r="S102" i="34"/>
  <c r="AE102" i="34" s="1"/>
  <c r="P217" i="34"/>
  <c r="AB217" i="34" s="1"/>
  <c r="X4" i="34"/>
  <c r="AJ4" i="34" s="1"/>
  <c r="Q16" i="34"/>
  <c r="AC16" i="34" s="1"/>
  <c r="F352" i="31"/>
  <c r="I352" i="31"/>
  <c r="D352" i="31"/>
  <c r="J352" i="31"/>
  <c r="AM4" i="34" l="1"/>
  <c r="AE316" i="34"/>
  <c r="AX4" i="34"/>
  <c r="AF288" i="34"/>
  <c r="AE300" i="34"/>
  <c r="AI178" i="34"/>
  <c r="AE100" i="34"/>
  <c r="AL186" i="34"/>
  <c r="AD305" i="34"/>
  <c r="AB186" i="34"/>
  <c r="AJ209" i="34"/>
  <c r="AJ186" i="34"/>
  <c r="AJ288" i="34"/>
  <c r="AB26" i="34"/>
  <c r="AC244" i="34"/>
  <c r="AG201" i="34"/>
  <c r="AC266" i="34"/>
  <c r="AA206" i="34"/>
  <c r="AL300" i="34"/>
  <c r="AA121" i="34"/>
  <c r="AL100" i="34"/>
  <c r="AK206" i="34"/>
  <c r="AA186" i="34"/>
  <c r="AA178" i="34"/>
  <c r="AF26" i="34"/>
  <c r="AG323" i="34"/>
  <c r="AL121" i="34"/>
  <c r="AL209" i="34"/>
  <c r="AF159" i="34"/>
  <c r="AI100" i="34"/>
  <c r="AG254" i="34"/>
  <c r="AD244" i="34"/>
  <c r="AB288" i="34"/>
  <c r="AF106" i="34"/>
  <c r="AD5" i="34"/>
  <c r="AH223" i="34"/>
  <c r="AF295" i="34"/>
  <c r="AC125" i="34"/>
  <c r="AJ300" i="34"/>
  <c r="AK26" i="34"/>
  <c r="AK114" i="34"/>
  <c r="AA316" i="34"/>
  <c r="AG288" i="34"/>
  <c r="AL5" i="34"/>
  <c r="AG75" i="34"/>
  <c r="AC219" i="34"/>
  <c r="AI295" i="34"/>
  <c r="AG51" i="34"/>
  <c r="AA114" i="34"/>
  <c r="AL255" i="34"/>
  <c r="AF266" i="34"/>
  <c r="AG266" i="34"/>
  <c r="AA126" i="34"/>
  <c r="AG106" i="34"/>
  <c r="AE125" i="34"/>
  <c r="AG125" i="34"/>
  <c r="AK300" i="34"/>
  <c r="AJ223" i="34"/>
  <c r="AD178" i="34"/>
  <c r="AB106" i="34"/>
  <c r="AE114" i="34"/>
  <c r="AJ5" i="34"/>
  <c r="AA26" i="34"/>
  <c r="AI114" i="34"/>
  <c r="AF305" i="34"/>
  <c r="P86" i="34"/>
  <c r="AB86" i="34" s="1"/>
  <c r="U176" i="34"/>
  <c r="AG176" i="34" s="1"/>
  <c r="S135" i="34"/>
  <c r="AE135" i="34" s="1"/>
  <c r="W110" i="34"/>
  <c r="AI110" i="34" s="1"/>
  <c r="X198" i="34"/>
  <c r="AJ198" i="34" s="1"/>
  <c r="S202" i="34"/>
  <c r="AE202" i="34" s="1"/>
  <c r="T247" i="34"/>
  <c r="AF247" i="34" s="1"/>
  <c r="X176" i="34"/>
  <c r="AJ176" i="34" s="1"/>
  <c r="S52" i="34"/>
  <c r="Z47" i="34"/>
  <c r="AL47" i="34" s="1"/>
  <c r="R201" i="34"/>
  <c r="AD201" i="34" s="1"/>
  <c r="O153" i="34"/>
  <c r="AA153" i="34" s="1"/>
  <c r="W127" i="34"/>
  <c r="AI127" i="34" s="1"/>
  <c r="O129" i="34"/>
  <c r="AA129" i="34" s="1"/>
  <c r="Q91" i="34"/>
  <c r="AC91" i="34" s="1"/>
  <c r="W23" i="34"/>
  <c r="AI23" i="34" s="1"/>
  <c r="Y238" i="34"/>
  <c r="AK238" i="34" s="1"/>
  <c r="Q82" i="34"/>
  <c r="AC82" i="34" s="1"/>
  <c r="S306" i="34"/>
  <c r="AE306" i="34" s="1"/>
  <c r="V198" i="34"/>
  <c r="AH198" i="34" s="1"/>
  <c r="Y286" i="34"/>
  <c r="AK286" i="34" s="1"/>
  <c r="Y123" i="34"/>
  <c r="AK123" i="34" s="1"/>
  <c r="T162" i="34"/>
  <c r="AF162" i="34" s="1"/>
  <c r="R282" i="34"/>
  <c r="AD282" i="34" s="1"/>
  <c r="W81" i="34"/>
  <c r="S109" i="34"/>
  <c r="AE109" i="34" s="1"/>
  <c r="Z113" i="34"/>
  <c r="AL113" i="34" s="1"/>
  <c r="O81" i="34"/>
  <c r="Y46" i="34"/>
  <c r="AK46" i="34" s="1"/>
  <c r="T98" i="34"/>
  <c r="AF98" i="34" s="1"/>
  <c r="V42" i="34"/>
  <c r="AH42" i="34" s="1"/>
  <c r="P282" i="34"/>
  <c r="AB282" i="34" s="1"/>
  <c r="S131" i="34"/>
  <c r="AE131" i="34" s="1"/>
  <c r="Z247" i="34"/>
  <c r="AL247" i="34" s="1"/>
  <c r="Z116" i="34"/>
  <c r="O200" i="34"/>
  <c r="AA200" i="34" s="1"/>
  <c r="P96" i="34"/>
  <c r="AB96" i="34" s="1"/>
  <c r="O149" i="34"/>
  <c r="AA149" i="34" s="1"/>
  <c r="W107" i="34"/>
  <c r="AI107" i="34" s="1"/>
  <c r="Y70" i="34"/>
  <c r="AK70" i="34" s="1"/>
  <c r="S238" i="34"/>
  <c r="AE238" i="34" s="1"/>
  <c r="U70" i="34"/>
  <c r="AG70" i="34" s="1"/>
  <c r="O90" i="34"/>
  <c r="AA90" i="34" s="1"/>
  <c r="P102" i="34"/>
  <c r="AB102" i="34" s="1"/>
  <c r="W58" i="34"/>
  <c r="AI58" i="34" s="1"/>
  <c r="W168" i="34"/>
  <c r="AI168" i="34" s="1"/>
  <c r="S200" i="34"/>
  <c r="AE200" i="34" s="1"/>
  <c r="O61" i="34"/>
  <c r="AA61" i="34" s="1"/>
  <c r="U65" i="34"/>
  <c r="T150" i="34"/>
  <c r="AF150" i="34" s="1"/>
  <c r="U286" i="34"/>
  <c r="AG286" i="34" s="1"/>
  <c r="O134" i="34"/>
  <c r="AA134" i="34" s="1"/>
  <c r="S170" i="34"/>
  <c r="AE170" i="34" s="1"/>
  <c r="O111" i="34"/>
  <c r="AA111" i="34" s="1"/>
  <c r="S93" i="34"/>
  <c r="AE93" i="34" s="1"/>
  <c r="Z37" i="34"/>
  <c r="AL37" i="34" s="1"/>
  <c r="Y247" i="34"/>
  <c r="AK247" i="34" s="1"/>
  <c r="R123" i="34"/>
  <c r="AD123" i="34" s="1"/>
  <c r="O40" i="34"/>
  <c r="AA40" i="34" s="1"/>
  <c r="X92" i="34"/>
  <c r="AJ92" i="34" s="1"/>
  <c r="X97" i="34"/>
  <c r="P46" i="34"/>
  <c r="AB46" i="34" s="1"/>
  <c r="S82" i="34"/>
  <c r="AE82" i="34" s="1"/>
  <c r="Q28" i="34"/>
  <c r="AC28" i="34" s="1"/>
  <c r="S77" i="34"/>
  <c r="AE77" i="34" s="1"/>
  <c r="R198" i="34"/>
  <c r="AD198" i="34" s="1"/>
  <c r="O299" i="34"/>
  <c r="AA299" i="34" s="1"/>
  <c r="O127" i="34"/>
  <c r="AA127" i="34" s="1"/>
  <c r="R247" i="34"/>
  <c r="AD247" i="34" s="1"/>
  <c r="O165" i="34"/>
  <c r="AA165" i="34" s="1"/>
  <c r="S136" i="34"/>
  <c r="AE136" i="34" s="1"/>
  <c r="W238" i="34"/>
  <c r="AI238" i="34" s="1"/>
  <c r="Z258" i="34"/>
  <c r="AL258" i="34" s="1"/>
  <c r="W138" i="34"/>
  <c r="AI138" i="34" s="1"/>
  <c r="V47" i="34"/>
  <c r="AH47" i="34" s="1"/>
  <c r="O135" i="34"/>
  <c r="AA135" i="34" s="1"/>
  <c r="W105" i="34"/>
  <c r="AI105" i="34" s="1"/>
  <c r="O87" i="34"/>
  <c r="AA87" i="34" s="1"/>
  <c r="R299" i="34"/>
  <c r="AD299" i="34" s="1"/>
  <c r="Q96" i="34"/>
  <c r="AC96" i="34" s="1"/>
  <c r="V13" i="34"/>
  <c r="X161" i="34"/>
  <c r="AJ161" i="34" s="1"/>
  <c r="T310" i="34"/>
  <c r="AF310" i="34" s="1"/>
  <c r="O62" i="34"/>
  <c r="AA62" i="34" s="1"/>
  <c r="S30" i="34"/>
  <c r="AE30" i="34" s="1"/>
  <c r="T161" i="34"/>
  <c r="AF161" i="34" s="1"/>
  <c r="V86" i="34"/>
  <c r="AH86" i="34" s="1"/>
  <c r="S155" i="34"/>
  <c r="AE155" i="34" s="1"/>
  <c r="Y52" i="34"/>
  <c r="P258" i="34"/>
  <c r="AB258" i="34" s="1"/>
  <c r="W234" i="34"/>
  <c r="AI234" i="34" s="1"/>
  <c r="S223" i="34"/>
  <c r="U33" i="34"/>
  <c r="AG33" i="34" s="1"/>
  <c r="Y116" i="34"/>
  <c r="P39" i="34"/>
  <c r="AB39" i="34" s="1"/>
  <c r="P94" i="34"/>
  <c r="AB94" i="34" s="1"/>
  <c r="S98" i="34"/>
  <c r="AE98" i="34" s="1"/>
  <c r="U58" i="34"/>
  <c r="AG58" i="34" s="1"/>
  <c r="W120" i="34"/>
  <c r="AI120" i="34" s="1"/>
  <c r="Q41" i="34"/>
  <c r="AC41" i="34" s="1"/>
  <c r="O45" i="34"/>
  <c r="AA45" i="34" s="1"/>
  <c r="P175" i="34"/>
  <c r="Z150" i="34"/>
  <c r="AL150" i="34" s="1"/>
  <c r="Y302" i="34"/>
  <c r="AK302" i="34" s="1"/>
  <c r="Y134" i="34"/>
  <c r="AK134" i="34" s="1"/>
  <c r="Y222" i="34"/>
  <c r="AK222" i="34" s="1"/>
  <c r="S156" i="34"/>
  <c r="AE156" i="34" s="1"/>
  <c r="T30" i="34"/>
  <c r="AF30" i="34" s="1"/>
  <c r="V161" i="34"/>
  <c r="AH161" i="34" s="1"/>
  <c r="P120" i="34"/>
  <c r="AB120" i="34" s="1"/>
  <c r="O222" i="34"/>
  <c r="AA222" i="34" s="1"/>
  <c r="U42" i="34"/>
  <c r="AG42" i="34" s="1"/>
  <c r="R124" i="34"/>
  <c r="AD124" i="34" s="1"/>
  <c r="S287" i="34"/>
  <c r="Z208" i="34"/>
  <c r="AL208" i="34" s="1"/>
  <c r="Z105" i="34"/>
  <c r="AL105" i="34" s="1"/>
  <c r="W182" i="34"/>
  <c r="AI182" i="34" s="1"/>
  <c r="Z302" i="34"/>
  <c r="AL302" i="34" s="1"/>
  <c r="Q38" i="34"/>
  <c r="AC38" i="34" s="1"/>
  <c r="W314" i="34"/>
  <c r="AI314" i="34" s="1"/>
  <c r="Y241" i="34"/>
  <c r="S151" i="34"/>
  <c r="X95" i="34"/>
  <c r="T64" i="34"/>
  <c r="S142" i="34"/>
  <c r="AE142" i="34" s="1"/>
  <c r="U146" i="34"/>
  <c r="AG146" i="34" s="1"/>
  <c r="T58" i="34"/>
  <c r="AF58" i="34" s="1"/>
  <c r="Y41" i="34"/>
  <c r="AK41" i="34" s="1"/>
  <c r="Y209" i="34"/>
  <c r="AK209" i="34" s="1"/>
  <c r="U30" i="34"/>
  <c r="AG30" i="34" s="1"/>
  <c r="S65" i="34"/>
  <c r="W143" i="34"/>
  <c r="AI143" i="34" s="1"/>
  <c r="O142" i="34"/>
  <c r="AA142" i="34" s="1"/>
  <c r="X138" i="34"/>
  <c r="AJ138" i="34" s="1"/>
  <c r="R37" i="34"/>
  <c r="AD37" i="34" s="1"/>
  <c r="W139" i="34"/>
  <c r="AI139" i="34" s="1"/>
  <c r="X62" i="34"/>
  <c r="AJ62" i="34" s="1"/>
  <c r="U202" i="34"/>
  <c r="AG202" i="34" s="1"/>
  <c r="S157" i="34"/>
  <c r="AE157" i="34" s="1"/>
  <c r="U276" i="34"/>
  <c r="O30" i="34"/>
  <c r="AA30" i="34" s="1"/>
  <c r="R98" i="34"/>
  <c r="AD98" i="34" s="1"/>
  <c r="O246" i="34"/>
  <c r="W152" i="34"/>
  <c r="AI152" i="34" s="1"/>
  <c r="O160" i="34"/>
  <c r="AA160" i="34" s="1"/>
  <c r="Z273" i="34"/>
  <c r="AL273" i="34" s="1"/>
  <c r="Z77" i="34"/>
  <c r="AL77" i="34" s="1"/>
  <c r="S148" i="34"/>
  <c r="AE148" i="34" s="1"/>
  <c r="U133" i="34"/>
  <c r="T120" i="34"/>
  <c r="AF120" i="34" s="1"/>
  <c r="Y319" i="34"/>
  <c r="AK319" i="34" s="1"/>
  <c r="O301" i="34"/>
  <c r="AA301" i="34" s="1"/>
  <c r="X227" i="34"/>
  <c r="AJ227" i="34" s="1"/>
  <c r="U193" i="34"/>
  <c r="AG193" i="34" s="1"/>
  <c r="O239" i="34"/>
  <c r="AA239" i="34" s="1"/>
  <c r="Z263" i="34"/>
  <c r="AL263" i="34" s="1"/>
  <c r="U247" i="34"/>
  <c r="AG247" i="34" s="1"/>
  <c r="R205" i="34"/>
  <c r="AD205" i="34" s="1"/>
  <c r="P167" i="34"/>
  <c r="AB167" i="34" s="1"/>
  <c r="V140" i="34"/>
  <c r="AH140" i="34" s="1"/>
  <c r="T301" i="34"/>
  <c r="AF301" i="34" s="1"/>
  <c r="Y155" i="34"/>
  <c r="AK155" i="34" s="1"/>
  <c r="T239" i="34"/>
  <c r="AF239" i="34" s="1"/>
  <c r="Y88" i="34"/>
  <c r="AK88" i="34" s="1"/>
  <c r="V91" i="34"/>
  <c r="AH91" i="34" s="1"/>
  <c r="U216" i="34"/>
  <c r="AG216" i="34" s="1"/>
  <c r="S313" i="34"/>
  <c r="AE313" i="34" s="1"/>
  <c r="V272" i="34"/>
  <c r="AH272" i="34" s="1"/>
  <c r="P213" i="34"/>
  <c r="AB213" i="34" s="1"/>
  <c r="S161" i="34"/>
  <c r="AE161" i="34" s="1"/>
  <c r="Y299" i="34"/>
  <c r="AK299" i="34" s="1"/>
  <c r="V90" i="34"/>
  <c r="AH90" i="34" s="1"/>
  <c r="R24" i="34"/>
  <c r="AD24" i="34" s="1"/>
  <c r="T46" i="34"/>
  <c r="AF46" i="34" s="1"/>
  <c r="S169" i="34"/>
  <c r="AE169" i="34" s="1"/>
  <c r="W99" i="34"/>
  <c r="AI99" i="34" s="1"/>
  <c r="U270" i="34"/>
  <c r="AG270" i="34" s="1"/>
  <c r="O76" i="34"/>
  <c r="AA76" i="34" s="1"/>
  <c r="O60" i="34"/>
  <c r="AA60" i="34" s="1"/>
  <c r="R23" i="34"/>
  <c r="AD23" i="34" s="1"/>
  <c r="V226" i="34"/>
  <c r="AH226" i="34" s="1"/>
  <c r="Z282" i="34"/>
  <c r="AL282" i="34" s="1"/>
  <c r="Q273" i="34"/>
  <c r="AC273" i="34" s="1"/>
  <c r="P92" i="34"/>
  <c r="AB92" i="34" s="1"/>
  <c r="X105" i="34"/>
  <c r="AJ105" i="34" s="1"/>
  <c r="Z200" i="34"/>
  <c r="AL200" i="34" s="1"/>
  <c r="U315" i="34"/>
  <c r="AG315" i="34" s="1"/>
  <c r="P227" i="34"/>
  <c r="AB227" i="34" s="1"/>
  <c r="V236" i="34"/>
  <c r="AH236" i="34" s="1"/>
  <c r="Q108" i="34"/>
  <c r="AC108" i="34" s="1"/>
  <c r="P280" i="34"/>
  <c r="AB280" i="34" s="1"/>
  <c r="T272" i="34"/>
  <c r="AF272" i="34" s="1"/>
  <c r="Q58" i="34"/>
  <c r="AC58" i="34" s="1"/>
  <c r="Z71" i="34"/>
  <c r="AL71" i="34" s="1"/>
  <c r="X310" i="34"/>
  <c r="AJ310" i="34" s="1"/>
  <c r="X253" i="34"/>
  <c r="AJ253" i="34" s="1"/>
  <c r="R271" i="34"/>
  <c r="AD271" i="34" s="1"/>
  <c r="P57" i="34"/>
  <c r="AB57" i="34" s="1"/>
  <c r="Y293" i="34"/>
  <c r="AK293" i="34" s="1"/>
  <c r="T83" i="34"/>
  <c r="AF83" i="34" s="1"/>
  <c r="Z29" i="34"/>
  <c r="AL29" i="34" s="1"/>
  <c r="O33" i="34"/>
  <c r="AA33" i="34" s="1"/>
  <c r="W17" i="34"/>
  <c r="AI17" i="34" s="1"/>
  <c r="U54" i="34"/>
  <c r="V266" i="34"/>
  <c r="AH266" i="34" s="1"/>
  <c r="P218" i="34"/>
  <c r="AB218" i="34" s="1"/>
  <c r="Z266" i="34"/>
  <c r="AL266" i="34" s="1"/>
  <c r="Z254" i="34"/>
  <c r="S279" i="34"/>
  <c r="AE279" i="34" s="1"/>
  <c r="R33" i="34"/>
  <c r="AD33" i="34" s="1"/>
  <c r="Z123" i="34"/>
  <c r="AL123" i="34" s="1"/>
  <c r="S275" i="34"/>
  <c r="AE275" i="34" s="1"/>
  <c r="S105" i="34"/>
  <c r="AE105" i="34" s="1"/>
  <c r="Y202" i="34"/>
  <c r="AK202" i="34" s="1"/>
  <c r="O145" i="34"/>
  <c r="AA145" i="34" s="1"/>
  <c r="X154" i="34"/>
  <c r="AJ154" i="34" s="1"/>
  <c r="O133" i="34"/>
  <c r="S86" i="34"/>
  <c r="AE86" i="34" s="1"/>
  <c r="W33" i="34"/>
  <c r="AI33" i="34" s="1"/>
  <c r="U94" i="34"/>
  <c r="AG94" i="34" s="1"/>
  <c r="P166" i="34"/>
  <c r="AB166" i="34" s="1"/>
  <c r="S73" i="34"/>
  <c r="AE73" i="34" s="1"/>
  <c r="O276" i="34"/>
  <c r="S123" i="34"/>
  <c r="AE123" i="34" s="1"/>
  <c r="T96" i="34"/>
  <c r="AF96" i="34" s="1"/>
  <c r="Z67" i="34"/>
  <c r="AL67" i="34" s="1"/>
  <c r="X160" i="34"/>
  <c r="AJ160" i="34" s="1"/>
  <c r="T319" i="34"/>
  <c r="AF319" i="34" s="1"/>
  <c r="X196" i="34"/>
  <c r="AJ196" i="34" s="1"/>
  <c r="Q236" i="34"/>
  <c r="AC236" i="34" s="1"/>
  <c r="W236" i="34"/>
  <c r="AI236" i="34" s="1"/>
  <c r="Y188" i="34"/>
  <c r="AK188" i="34" s="1"/>
  <c r="P195" i="34"/>
  <c r="AB195" i="34" s="1"/>
  <c r="W322" i="34"/>
  <c r="AI322" i="34" s="1"/>
  <c r="R166" i="34"/>
  <c r="AD166" i="34" s="1"/>
  <c r="O117" i="34"/>
  <c r="U118" i="34"/>
  <c r="AG118" i="34" s="1"/>
  <c r="T77" i="34"/>
  <c r="AF77" i="34" s="1"/>
  <c r="Z322" i="34"/>
  <c r="AL322" i="34" s="1"/>
  <c r="S176" i="34"/>
  <c r="AE176" i="34" s="1"/>
  <c r="P7" i="34"/>
  <c r="AB7" i="34" s="1"/>
  <c r="R38" i="34"/>
  <c r="AD38" i="34" s="1"/>
  <c r="Q113" i="34"/>
  <c r="AC113" i="34" s="1"/>
  <c r="V64" i="34"/>
  <c r="Y48" i="34"/>
  <c r="AK48" i="34" s="1"/>
  <c r="W59" i="34"/>
  <c r="AI59" i="34" s="1"/>
  <c r="T280" i="34"/>
  <c r="AF280" i="34" s="1"/>
  <c r="Q215" i="34"/>
  <c r="AC215" i="34" s="1"/>
  <c r="O217" i="34"/>
  <c r="AA217" i="34" s="1"/>
  <c r="P285" i="34"/>
  <c r="AB285" i="34" s="1"/>
  <c r="Z281" i="34"/>
  <c r="AL281" i="34" s="1"/>
  <c r="T61" i="34"/>
  <c r="AF61" i="34" s="1"/>
  <c r="T292" i="34"/>
  <c r="AF292" i="34" s="1"/>
  <c r="Q37" i="34"/>
  <c r="AC37" i="34" s="1"/>
  <c r="Y74" i="34"/>
  <c r="AK74" i="34" s="1"/>
  <c r="Q293" i="34"/>
  <c r="AC293" i="34" s="1"/>
  <c r="P73" i="34"/>
  <c r="AB73" i="34" s="1"/>
  <c r="X185" i="34"/>
  <c r="AJ185" i="34" s="1"/>
  <c r="R93" i="34"/>
  <c r="AD93" i="34" s="1"/>
  <c r="V61" i="34"/>
  <c r="AH61" i="34" s="1"/>
  <c r="Z233" i="34"/>
  <c r="AL233" i="34" s="1"/>
  <c r="W323" i="34"/>
  <c r="R256" i="34"/>
  <c r="T97" i="34"/>
  <c r="O67" i="34"/>
  <c r="AA67" i="34" s="1"/>
  <c r="S115" i="34"/>
  <c r="Y159" i="34"/>
  <c r="AK159" i="34" s="1"/>
  <c r="Z9" i="34"/>
  <c r="T181" i="34"/>
  <c r="U159" i="34"/>
  <c r="AG159" i="34" s="1"/>
  <c r="P125" i="34"/>
  <c r="Y12" i="34"/>
  <c r="T172" i="34"/>
  <c r="V219" i="34"/>
  <c r="R151" i="34"/>
  <c r="S188" i="34"/>
  <c r="AE188" i="34" s="1"/>
  <c r="W192" i="34"/>
  <c r="AI192" i="34" s="1"/>
  <c r="X183" i="34"/>
  <c r="AJ183" i="34" s="1"/>
  <c r="R51" i="34"/>
  <c r="X305" i="34"/>
  <c r="V115" i="34"/>
  <c r="X251" i="34"/>
  <c r="V35" i="34"/>
  <c r="Y219" i="34"/>
  <c r="V209" i="34"/>
  <c r="X245" i="34"/>
  <c r="V95" i="34"/>
  <c r="R223" i="34"/>
  <c r="AD223" i="34" s="1"/>
  <c r="U11" i="34"/>
  <c r="Y85" i="34"/>
  <c r="AK85" i="34" s="1"/>
  <c r="W61" i="34"/>
  <c r="AI61" i="34" s="1"/>
  <c r="W196" i="34"/>
  <c r="AI196" i="34" s="1"/>
  <c r="W51" i="34"/>
  <c r="V75" i="34"/>
  <c r="AH75" i="34" s="1"/>
  <c r="Y260" i="34"/>
  <c r="Q220" i="34"/>
  <c r="U316" i="34"/>
  <c r="Z269" i="34"/>
  <c r="U52" i="34"/>
  <c r="P97" i="34"/>
  <c r="Y11" i="34"/>
  <c r="Q225" i="34"/>
  <c r="Y91" i="34"/>
  <c r="AK91" i="34" s="1"/>
  <c r="P51" i="34"/>
  <c r="AB51" i="34" s="1"/>
  <c r="Y276" i="34"/>
  <c r="X31" i="34"/>
  <c r="R251" i="34"/>
  <c r="V220" i="34"/>
  <c r="T21" i="34"/>
  <c r="X219" i="34"/>
  <c r="R81" i="34"/>
  <c r="S189" i="34"/>
  <c r="AE189" i="34" s="1"/>
  <c r="O116" i="34"/>
  <c r="Q75" i="34"/>
  <c r="V55" i="34"/>
  <c r="W97" i="34"/>
  <c r="S249" i="34"/>
  <c r="V300" i="34"/>
  <c r="AH300" i="34" s="1"/>
  <c r="S104" i="34"/>
  <c r="AE104" i="34" s="1"/>
  <c r="U255" i="34"/>
  <c r="Y115" i="34"/>
  <c r="T116" i="34"/>
  <c r="O259" i="34"/>
  <c r="AA259" i="34" s="1"/>
  <c r="W34" i="34"/>
  <c r="R173" i="34"/>
  <c r="AD173" i="34" s="1"/>
  <c r="P139" i="34"/>
  <c r="AB139" i="34" s="1"/>
  <c r="O221" i="34"/>
  <c r="AA221" i="34" s="1"/>
  <c r="U195" i="34"/>
  <c r="AG195" i="34" s="1"/>
  <c r="R232" i="34"/>
  <c r="AD232" i="34" s="1"/>
  <c r="S191" i="34"/>
  <c r="AE191" i="34" s="1"/>
  <c r="Y256" i="34"/>
  <c r="P252" i="34"/>
  <c r="W165" i="34"/>
  <c r="AI165" i="34" s="1"/>
  <c r="Y255" i="34"/>
  <c r="X159" i="34"/>
  <c r="T19" i="34"/>
  <c r="W80" i="34"/>
  <c r="V31" i="34"/>
  <c r="X121" i="34"/>
  <c r="Q241" i="34"/>
  <c r="X52" i="34"/>
  <c r="T53" i="34"/>
  <c r="Q14" i="34"/>
  <c r="S257" i="34"/>
  <c r="AE257" i="34" s="1"/>
  <c r="O171" i="34"/>
  <c r="AA171" i="34" s="1"/>
  <c r="W205" i="34"/>
  <c r="AI205" i="34" s="1"/>
  <c r="Q243" i="34"/>
  <c r="X316" i="34"/>
  <c r="AJ316" i="34" s="1"/>
  <c r="T212" i="34"/>
  <c r="Q255" i="34"/>
  <c r="AC255" i="34" s="1"/>
  <c r="X181" i="34"/>
  <c r="R212" i="34"/>
  <c r="Z244" i="34"/>
  <c r="AL244" i="34" s="1"/>
  <c r="S244" i="34"/>
  <c r="AE244" i="34" s="1"/>
  <c r="R132" i="34"/>
  <c r="X151" i="34"/>
  <c r="V245" i="34"/>
  <c r="Q196" i="34"/>
  <c r="AC196" i="34" s="1"/>
  <c r="Z60" i="34"/>
  <c r="AL60" i="34" s="1"/>
  <c r="S205" i="34"/>
  <c r="AE205" i="34" s="1"/>
  <c r="P9" i="34"/>
  <c r="Q290" i="34"/>
  <c r="Z251" i="34"/>
  <c r="O115" i="34"/>
  <c r="S278" i="34"/>
  <c r="S295" i="34"/>
  <c r="AE295" i="34" s="1"/>
  <c r="P304" i="34"/>
  <c r="Y18" i="34"/>
  <c r="AK18" i="34" s="1"/>
  <c r="Z147" i="34"/>
  <c r="X276" i="34"/>
  <c r="W245" i="34"/>
  <c r="Z197" i="34"/>
  <c r="AL197" i="34" s="1"/>
  <c r="U185" i="34"/>
  <c r="AG185" i="34" s="1"/>
  <c r="O183" i="34"/>
  <c r="AA183" i="34" s="1"/>
  <c r="O175" i="34"/>
  <c r="Y64" i="34"/>
  <c r="Y304" i="34"/>
  <c r="W287" i="34"/>
  <c r="Q95" i="34"/>
  <c r="O244" i="34"/>
  <c r="P256" i="34"/>
  <c r="S269" i="34"/>
  <c r="W181" i="34"/>
  <c r="V128" i="34"/>
  <c r="V243" i="34"/>
  <c r="O211" i="34"/>
  <c r="AA211" i="34" s="1"/>
  <c r="O155" i="34"/>
  <c r="AA155" i="34" s="1"/>
  <c r="Z165" i="34"/>
  <c r="AL165" i="34" s="1"/>
  <c r="Q69" i="34"/>
  <c r="AC69" i="34" s="1"/>
  <c r="T232" i="34"/>
  <c r="AF232" i="34" s="1"/>
  <c r="Z232" i="34"/>
  <c r="AL232" i="34" s="1"/>
  <c r="R67" i="34"/>
  <c r="AD67" i="34" s="1"/>
  <c r="Z216" i="34"/>
  <c r="AL216" i="34" s="1"/>
  <c r="V70" i="34"/>
  <c r="AH70" i="34" s="1"/>
  <c r="Z59" i="34"/>
  <c r="AL59" i="34" s="1"/>
  <c r="Y281" i="34"/>
  <c r="AK281" i="34" s="1"/>
  <c r="Y322" i="34"/>
  <c r="AK322" i="34" s="1"/>
  <c r="R127" i="34"/>
  <c r="AD127" i="34" s="1"/>
  <c r="X145" i="34"/>
  <c r="AJ145" i="34" s="1"/>
  <c r="T231" i="34"/>
  <c r="AF231" i="34" s="1"/>
  <c r="Q203" i="34"/>
  <c r="AC203" i="34" s="1"/>
  <c r="P296" i="34"/>
  <c r="AB296" i="34" s="1"/>
  <c r="W250" i="34"/>
  <c r="AI250" i="34" s="1"/>
  <c r="Q4" i="34"/>
  <c r="AC4" i="34" s="1"/>
  <c r="Y111" i="34"/>
  <c r="AK111" i="34" s="1"/>
  <c r="Z224" i="34"/>
  <c r="AL224" i="34" s="1"/>
  <c r="Q261" i="34"/>
  <c r="AC261" i="34" s="1"/>
  <c r="Q189" i="34"/>
  <c r="AC189" i="34" s="1"/>
  <c r="U114" i="34"/>
  <c r="AG114" i="34" s="1"/>
  <c r="Q246" i="34"/>
  <c r="P85" i="34"/>
  <c r="AB85" i="34" s="1"/>
  <c r="Q83" i="34"/>
  <c r="AC83" i="34" s="1"/>
  <c r="Y237" i="34"/>
  <c r="AK237" i="34" s="1"/>
  <c r="P249" i="34"/>
  <c r="S152" i="34"/>
  <c r="AE152" i="34" s="1"/>
  <c r="S32" i="34"/>
  <c r="AE32" i="34" s="1"/>
  <c r="Y4" i="34"/>
  <c r="AK4" i="34" s="1"/>
  <c r="Q260" i="34"/>
  <c r="T276" i="34"/>
  <c r="R147" i="34"/>
  <c r="X100" i="34"/>
  <c r="AJ100" i="34" s="1"/>
  <c r="P65" i="34"/>
  <c r="W255" i="34"/>
  <c r="T51" i="34"/>
  <c r="Z75" i="34"/>
  <c r="U27" i="34"/>
  <c r="Y51" i="34"/>
  <c r="S47" i="34"/>
  <c r="AE47" i="34" s="1"/>
  <c r="S261" i="34"/>
  <c r="AE261" i="34" s="1"/>
  <c r="V160" i="34"/>
  <c r="AH160" i="34" s="1"/>
  <c r="X153" i="34"/>
  <c r="AJ153" i="34" s="1"/>
  <c r="V253" i="34"/>
  <c r="AH253" i="34" s="1"/>
  <c r="U168" i="34"/>
  <c r="AG168" i="34" s="1"/>
  <c r="T321" i="34"/>
  <c r="AF321" i="34" s="1"/>
  <c r="U197" i="34"/>
  <c r="AG197" i="34" s="1"/>
  <c r="R227" i="34"/>
  <c r="AD227" i="34" s="1"/>
  <c r="U211" i="34"/>
  <c r="AG211" i="34" s="1"/>
  <c r="Z275" i="34"/>
  <c r="AL275" i="34" s="1"/>
  <c r="X224" i="34"/>
  <c r="AJ224" i="34" s="1"/>
  <c r="W233" i="34"/>
  <c r="AI233" i="34" s="1"/>
  <c r="Q224" i="34"/>
  <c r="AC224" i="34" s="1"/>
  <c r="V268" i="34"/>
  <c r="AH268" i="34" s="1"/>
  <c r="O321" i="34"/>
  <c r="AA321" i="34" s="1"/>
  <c r="V189" i="34"/>
  <c r="AH189" i="34" s="1"/>
  <c r="P318" i="34"/>
  <c r="AB318" i="34" s="1"/>
  <c r="R11" i="34"/>
  <c r="Y273" i="34"/>
  <c r="AK273" i="34" s="1"/>
  <c r="Q315" i="34"/>
  <c r="AC315" i="34" s="1"/>
  <c r="X322" i="34"/>
  <c r="AJ322" i="34" s="1"/>
  <c r="R88" i="34"/>
  <c r="AD88" i="34" s="1"/>
  <c r="W315" i="34"/>
  <c r="AI315" i="34" s="1"/>
  <c r="Z114" i="34"/>
  <c r="R161" i="34"/>
  <c r="AD161" i="34" s="1"/>
  <c r="P185" i="34"/>
  <c r="AB185" i="34" s="1"/>
  <c r="R18" i="34"/>
  <c r="Q227" i="34"/>
  <c r="AC227" i="34" s="1"/>
  <c r="S207" i="34"/>
  <c r="AE207" i="34" s="1"/>
  <c r="W109" i="34"/>
  <c r="AI109" i="34" s="1"/>
  <c r="O232" i="34"/>
  <c r="AA232" i="34" s="1"/>
  <c r="Y24" i="34"/>
  <c r="AK24" i="34" s="1"/>
  <c r="S276" i="34"/>
  <c r="X76" i="34"/>
  <c r="Q81" i="34"/>
  <c r="U12" i="34"/>
  <c r="V80" i="34"/>
  <c r="Y75" i="34"/>
  <c r="T15" i="34"/>
  <c r="R55" i="34"/>
  <c r="S9" i="34"/>
  <c r="T128" i="34"/>
  <c r="O207" i="34"/>
  <c r="AA207" i="34" s="1"/>
  <c r="P68" i="34"/>
  <c r="AB68" i="34" s="1"/>
  <c r="R203" i="34"/>
  <c r="AD203" i="34" s="1"/>
  <c r="V191" i="34"/>
  <c r="AH191" i="34" s="1"/>
  <c r="R280" i="34"/>
  <c r="AD280" i="34" s="1"/>
  <c r="P228" i="34"/>
  <c r="AB228" i="34" s="1"/>
  <c r="W183" i="34"/>
  <c r="AI183" i="34" s="1"/>
  <c r="V216" i="34"/>
  <c r="AH216" i="34" s="1"/>
  <c r="Z237" i="34"/>
  <c r="AL237" i="34" s="1"/>
  <c r="Z230" i="34"/>
  <c r="AL230" i="34" s="1"/>
  <c r="P293" i="34"/>
  <c r="AB293" i="34" s="1"/>
  <c r="P239" i="34"/>
  <c r="AB239" i="34" s="1"/>
  <c r="O253" i="34"/>
  <c r="AA253" i="34" s="1"/>
  <c r="T68" i="34"/>
  <c r="AF68" i="34" s="1"/>
  <c r="R279" i="34"/>
  <c r="AD279" i="34" s="1"/>
  <c r="T29" i="34"/>
  <c r="AF29" i="34" s="1"/>
  <c r="Y232" i="34"/>
  <c r="AK232" i="34" s="1"/>
  <c r="O290" i="34"/>
  <c r="S66" i="34"/>
  <c r="S217" i="34"/>
  <c r="AE217" i="34" s="1"/>
  <c r="R237" i="34"/>
  <c r="AD237" i="34" s="1"/>
  <c r="W268" i="34"/>
  <c r="AI268" i="34" s="1"/>
  <c r="P271" i="34"/>
  <c r="AB271" i="34" s="1"/>
  <c r="Z191" i="34"/>
  <c r="AL191" i="34" s="1"/>
  <c r="X210" i="34"/>
  <c r="O240" i="34"/>
  <c r="V228" i="34"/>
  <c r="AH228" i="34" s="1"/>
  <c r="Z54" i="34"/>
  <c r="W275" i="34"/>
  <c r="AI275" i="34" s="1"/>
  <c r="Z318" i="34"/>
  <c r="AL318" i="34" s="1"/>
  <c r="X10" i="34"/>
  <c r="P210" i="34"/>
  <c r="Q15" i="34"/>
  <c r="Z163" i="34"/>
  <c r="AL163" i="34" s="1"/>
  <c r="S271" i="34"/>
  <c r="AE271" i="34" s="1"/>
  <c r="T168" i="34"/>
  <c r="AF168" i="34" s="1"/>
  <c r="U67" i="34"/>
  <c r="AG67" i="34" s="1"/>
  <c r="P235" i="34"/>
  <c r="AB235" i="34" s="1"/>
  <c r="Y224" i="34"/>
  <c r="AK224" i="34" s="1"/>
  <c r="R83" i="34"/>
  <c r="AD83" i="34" s="1"/>
  <c r="Y156" i="34"/>
  <c r="AK156" i="34" s="1"/>
  <c r="Q143" i="34"/>
  <c r="AC143" i="34" s="1"/>
  <c r="Q48" i="34"/>
  <c r="AC48" i="34" s="1"/>
  <c r="P261" i="34"/>
  <c r="AB261" i="34" s="1"/>
  <c r="Y239" i="34"/>
  <c r="AK239" i="34" s="1"/>
  <c r="P309" i="34"/>
  <c r="AB309" i="34" s="1"/>
  <c r="R230" i="34"/>
  <c r="AD230" i="34" s="1"/>
  <c r="V99" i="34"/>
  <c r="AH99" i="34" s="1"/>
  <c r="Y167" i="34"/>
  <c r="AK167" i="34" s="1"/>
  <c r="R152" i="34"/>
  <c r="AD152" i="34" s="1"/>
  <c r="T127" i="34"/>
  <c r="AF127" i="34" s="1"/>
  <c r="Q263" i="34"/>
  <c r="AC263" i="34" s="1"/>
  <c r="Q114" i="34"/>
  <c r="T206" i="34"/>
  <c r="AF206" i="34" s="1"/>
  <c r="U274" i="34"/>
  <c r="R318" i="34"/>
  <c r="AD318" i="34" s="1"/>
  <c r="Z274" i="34"/>
  <c r="Q126" i="34"/>
  <c r="V208" i="34"/>
  <c r="AH208" i="34" s="1"/>
  <c r="W283" i="34"/>
  <c r="AI283" i="34" s="1"/>
  <c r="U61" i="34"/>
  <c r="AG61" i="34" s="1"/>
  <c r="P321" i="34"/>
  <c r="AB321" i="34" s="1"/>
  <c r="Q217" i="34"/>
  <c r="AC217" i="34" s="1"/>
  <c r="U135" i="34"/>
  <c r="AG135" i="34" s="1"/>
  <c r="O237" i="34"/>
  <c r="AA237" i="34" s="1"/>
  <c r="T268" i="34"/>
  <c r="AF268" i="34" s="1"/>
  <c r="U318" i="34"/>
  <c r="AG318" i="34" s="1"/>
  <c r="S5" i="34"/>
  <c r="P313" i="34"/>
  <c r="AB313" i="34" s="1"/>
  <c r="X266" i="34"/>
  <c r="AJ266" i="34" s="1"/>
  <c r="O188" i="34"/>
  <c r="AA188" i="34" s="1"/>
  <c r="S262" i="34"/>
  <c r="AE262" i="34" s="1"/>
  <c r="P158" i="34"/>
  <c r="AB158" i="34" s="1"/>
  <c r="O50" i="34"/>
  <c r="AA50" i="34" s="1"/>
  <c r="O122" i="34"/>
  <c r="AA122" i="34" s="1"/>
  <c r="U147" i="34"/>
  <c r="O100" i="34"/>
  <c r="AA100" i="34" s="1"/>
  <c r="U189" i="34"/>
  <c r="AG189" i="34" s="1"/>
  <c r="R235" i="34"/>
  <c r="AD235" i="34" s="1"/>
  <c r="S309" i="34"/>
  <c r="AE309" i="34" s="1"/>
  <c r="Q93" i="34"/>
  <c r="AC93" i="34" s="1"/>
  <c r="O277" i="34"/>
  <c r="AA277" i="34" s="1"/>
  <c r="P131" i="34"/>
  <c r="AB131" i="34" s="1"/>
  <c r="W309" i="34"/>
  <c r="AI309" i="34" s="1"/>
  <c r="O84" i="34"/>
  <c r="AA84" i="34" s="1"/>
  <c r="P229" i="34"/>
  <c r="AB229" i="34" s="1"/>
  <c r="Q277" i="34"/>
  <c r="AC277" i="34" s="1"/>
  <c r="T156" i="34"/>
  <c r="AF156" i="34" s="1"/>
  <c r="V59" i="34"/>
  <c r="AH59" i="34" s="1"/>
  <c r="T203" i="34"/>
  <c r="AF203" i="34" s="1"/>
  <c r="S29" i="34"/>
  <c r="AE29" i="34" s="1"/>
  <c r="T180" i="34"/>
  <c r="AF180" i="34" s="1"/>
  <c r="S178" i="34"/>
  <c r="Y178" i="34"/>
  <c r="AK178" i="34" s="1"/>
  <c r="Q254" i="34"/>
  <c r="AC254" i="34" s="1"/>
  <c r="Q74" i="34"/>
  <c r="AC74" i="34" s="1"/>
  <c r="Q304" i="34"/>
  <c r="Q36" i="34"/>
  <c r="Q104" i="34"/>
  <c r="AC104" i="34" s="1"/>
  <c r="R61" i="34"/>
  <c r="AD61" i="34" s="1"/>
  <c r="T67" i="34"/>
  <c r="AF67" i="34" s="1"/>
  <c r="V84" i="34"/>
  <c r="AH84" i="34" s="1"/>
  <c r="U66" i="34"/>
  <c r="P300" i="34"/>
  <c r="U83" i="34"/>
  <c r="AG83" i="34" s="1"/>
  <c r="W207" i="34"/>
  <c r="AI207" i="34" s="1"/>
  <c r="T170" i="34"/>
  <c r="AF170" i="34" s="1"/>
  <c r="X250" i="34"/>
  <c r="AJ250" i="34" s="1"/>
  <c r="W194" i="34"/>
  <c r="AI194" i="34" s="1"/>
  <c r="R137" i="34"/>
  <c r="AD137" i="34" s="1"/>
  <c r="P291" i="34"/>
  <c r="AB291" i="34" s="1"/>
  <c r="X109" i="34"/>
  <c r="AJ109" i="34" s="1"/>
  <c r="Y168" i="34"/>
  <c r="AK168" i="34" s="1"/>
  <c r="U280" i="34"/>
  <c r="AG280" i="34" s="1"/>
  <c r="Z61" i="34"/>
  <c r="AL61" i="34" s="1"/>
  <c r="R292" i="34"/>
  <c r="AD292" i="34" s="1"/>
  <c r="P272" i="34"/>
  <c r="AB272" i="34" s="1"/>
  <c r="X239" i="34"/>
  <c r="AJ239" i="34" s="1"/>
  <c r="O286" i="34"/>
  <c r="AA286" i="34" s="1"/>
  <c r="U308" i="34"/>
  <c r="AG308" i="34" s="1"/>
  <c r="Y73" i="34"/>
  <c r="AK73" i="34" s="1"/>
  <c r="Y119" i="34"/>
  <c r="AK119" i="34" s="1"/>
  <c r="O289" i="34"/>
  <c r="AA289" i="34" s="1"/>
  <c r="Z211" i="34"/>
  <c r="AL211" i="34" s="1"/>
  <c r="T194" i="34"/>
  <c r="Z50" i="34"/>
  <c r="AL50" i="34" s="1"/>
  <c r="O254" i="34"/>
  <c r="AA254" i="34" s="1"/>
  <c r="W74" i="34"/>
  <c r="AI74" i="34" s="1"/>
  <c r="S4" i="34"/>
  <c r="AE4" i="34" s="1"/>
  <c r="R105" i="34"/>
  <c r="AD105" i="34" s="1"/>
  <c r="Z129" i="34"/>
  <c r="AL129" i="34" s="1"/>
  <c r="P108" i="34"/>
  <c r="AB108" i="34" s="1"/>
  <c r="P160" i="34"/>
  <c r="AB160" i="34" s="1"/>
  <c r="Z157" i="34"/>
  <c r="AL157" i="34" s="1"/>
  <c r="V274" i="34"/>
  <c r="S80" i="34"/>
  <c r="Y272" i="34"/>
  <c r="AK272" i="34" s="1"/>
  <c r="X231" i="34"/>
  <c r="AJ231" i="34" s="1"/>
  <c r="S154" i="34"/>
  <c r="AE154" i="34" s="1"/>
  <c r="Z229" i="34"/>
  <c r="AL229" i="34" s="1"/>
  <c r="P143" i="34"/>
  <c r="AB143" i="34" s="1"/>
  <c r="O197" i="34"/>
  <c r="AA197" i="34" s="1"/>
  <c r="V69" i="34"/>
  <c r="AH69" i="34" s="1"/>
  <c r="Z43" i="34"/>
  <c r="AL43" i="34" s="1"/>
  <c r="Q235" i="34"/>
  <c r="AC235" i="34" s="1"/>
  <c r="W227" i="34"/>
  <c r="AI227" i="34" s="1"/>
  <c r="R148" i="34"/>
  <c r="AD148" i="34" s="1"/>
  <c r="P202" i="34"/>
  <c r="AB202" i="34" s="1"/>
  <c r="T195" i="34"/>
  <c r="AF195" i="34" s="1"/>
  <c r="T281" i="34"/>
  <c r="AF281" i="34" s="1"/>
  <c r="T139" i="34"/>
  <c r="AF139" i="34" s="1"/>
  <c r="X180" i="34"/>
  <c r="AJ180" i="34" s="1"/>
  <c r="Q301" i="34"/>
  <c r="AC301" i="34" s="1"/>
  <c r="T66" i="34"/>
  <c r="X50" i="34"/>
  <c r="AJ50" i="34" s="1"/>
  <c r="U214" i="34"/>
  <c r="V26" i="34"/>
  <c r="P74" i="34"/>
  <c r="AB74" i="34" s="1"/>
  <c r="O163" i="34"/>
  <c r="AA163" i="34" s="1"/>
  <c r="U49" i="34"/>
  <c r="AG49" i="34" s="1"/>
  <c r="T224" i="34"/>
  <c r="AF224" i="34" s="1"/>
  <c r="P87" i="34"/>
  <c r="AB87" i="34" s="1"/>
  <c r="P320" i="34"/>
  <c r="AB320" i="34" s="1"/>
  <c r="T315" i="34"/>
  <c r="AF315" i="34" s="1"/>
  <c r="S266" i="34"/>
  <c r="AE266" i="34" s="1"/>
  <c r="R140" i="34"/>
  <c r="AD140" i="34" s="1"/>
  <c r="V57" i="34"/>
  <c r="AH57" i="34" s="1"/>
  <c r="W36" i="34"/>
  <c r="Y291" i="34"/>
  <c r="AK291" i="34" s="1"/>
  <c r="Y171" i="34"/>
  <c r="AK171" i="34" s="1"/>
  <c r="T135" i="34"/>
  <c r="AF135" i="34" s="1"/>
  <c r="U109" i="34"/>
  <c r="AG109" i="34" s="1"/>
  <c r="R308" i="34"/>
  <c r="AD308" i="34" s="1"/>
  <c r="Y307" i="34"/>
  <c r="AK307" i="34" s="1"/>
  <c r="Z173" i="34"/>
  <c r="AL173" i="34" s="1"/>
  <c r="T167" i="34"/>
  <c r="AF167" i="34" s="1"/>
  <c r="X246" i="34"/>
  <c r="R103" i="34"/>
  <c r="AD103" i="34" s="1"/>
  <c r="U136" i="34"/>
  <c r="AG136" i="34" s="1"/>
  <c r="X148" i="34"/>
  <c r="AJ148" i="34" s="1"/>
  <c r="P206" i="34"/>
  <c r="AB206" i="34" s="1"/>
  <c r="W186" i="34"/>
  <c r="AI186" i="34" s="1"/>
  <c r="Y106" i="34"/>
  <c r="U112" i="34"/>
  <c r="AG112" i="34" s="1"/>
  <c r="T69" i="34"/>
  <c r="AF69" i="34" s="1"/>
  <c r="Z261" i="34"/>
  <c r="AL261" i="34" s="1"/>
  <c r="X140" i="34"/>
  <c r="AJ140" i="34" s="1"/>
  <c r="Q321" i="34"/>
  <c r="AC321" i="34" s="1"/>
  <c r="X18" i="34"/>
  <c r="AJ18" i="34" s="1"/>
  <c r="S301" i="34"/>
  <c r="AE301" i="34" s="1"/>
  <c r="R7" i="34"/>
  <c r="AD7" i="34" s="1"/>
  <c r="W124" i="34"/>
  <c r="AI124" i="34" s="1"/>
  <c r="T101" i="34"/>
  <c r="AF101" i="34" s="1"/>
  <c r="X279" i="34"/>
  <c r="AJ279" i="34" s="1"/>
  <c r="U179" i="34"/>
  <c r="AG179" i="34" s="1"/>
  <c r="P145" i="34"/>
  <c r="AB145" i="34" s="1"/>
  <c r="Y257" i="34"/>
  <c r="AK257" i="34" s="1"/>
  <c r="X131" i="34"/>
  <c r="AJ131" i="34" s="1"/>
  <c r="P178" i="34"/>
  <c r="P191" i="34"/>
  <c r="AB191" i="34" s="1"/>
  <c r="X48" i="34"/>
  <c r="AJ48" i="34" s="1"/>
  <c r="T284" i="34"/>
  <c r="AF284" i="34" s="1"/>
  <c r="T149" i="34"/>
  <c r="AF149" i="34" s="1"/>
  <c r="O57" i="34"/>
  <c r="AA57" i="34" s="1"/>
  <c r="R157" i="34"/>
  <c r="AD157" i="34" s="1"/>
  <c r="X68" i="34"/>
  <c r="AJ68" i="34" s="1"/>
  <c r="O72" i="34"/>
  <c r="AA72" i="34" s="1"/>
  <c r="O144" i="34"/>
  <c r="S220" i="34"/>
  <c r="W288" i="34"/>
  <c r="P144" i="34"/>
  <c r="S216" i="34"/>
  <c r="AE216" i="34" s="1"/>
  <c r="Y58" i="34"/>
  <c r="AK58" i="34" s="1"/>
  <c r="R273" i="34"/>
  <c r="AD273" i="34" s="1"/>
  <c r="S120" i="34"/>
  <c r="AE120" i="34" s="1"/>
  <c r="W258" i="34"/>
  <c r="AI258" i="34" s="1"/>
  <c r="Z58" i="34"/>
  <c r="AL58" i="34" s="1"/>
  <c r="Q298" i="34"/>
  <c r="AC298" i="34" s="1"/>
  <c r="O209" i="34"/>
  <c r="AA209" i="34" s="1"/>
  <c r="O168" i="34"/>
  <c r="AA168" i="34" s="1"/>
  <c r="O219" i="34"/>
  <c r="AA219" i="34" s="1"/>
  <c r="Z80" i="34"/>
  <c r="Q116" i="34"/>
  <c r="O105" i="34"/>
  <c r="AA105" i="34" s="1"/>
  <c r="U81" i="34"/>
  <c r="Y33" i="34"/>
  <c r="AK33" i="34" s="1"/>
  <c r="Q102" i="34"/>
  <c r="AC102" i="34" s="1"/>
  <c r="O46" i="34"/>
  <c r="AA46" i="34" s="1"/>
  <c r="W286" i="34"/>
  <c r="AI286" i="34" s="1"/>
  <c r="U98" i="34"/>
  <c r="AG98" i="34" s="1"/>
  <c r="P134" i="34"/>
  <c r="AB134" i="34" s="1"/>
  <c r="S58" i="34"/>
  <c r="AE58" i="34" s="1"/>
  <c r="Q226" i="34"/>
  <c r="AC226" i="34" s="1"/>
  <c r="S145" i="34"/>
  <c r="AE145" i="34" s="1"/>
  <c r="Y118" i="34"/>
  <c r="AK118" i="34" s="1"/>
  <c r="T297" i="34"/>
  <c r="AF297" i="34" s="1"/>
  <c r="Z25" i="34"/>
  <c r="AL25" i="34" s="1"/>
  <c r="V304" i="34"/>
  <c r="P161" i="34"/>
  <c r="AB161" i="34" s="1"/>
  <c r="X249" i="34"/>
  <c r="T190" i="34"/>
  <c r="AF190" i="34" s="1"/>
  <c r="Z162" i="34"/>
  <c r="AL162" i="34" s="1"/>
  <c r="S106" i="34"/>
  <c r="AE106" i="34" s="1"/>
  <c r="U4" i="34"/>
  <c r="AG4" i="34" s="1"/>
  <c r="U120" i="34"/>
  <c r="AG120" i="34" s="1"/>
  <c r="Z124" i="34"/>
  <c r="AL124" i="34" s="1"/>
  <c r="S172" i="34"/>
  <c r="W92" i="34"/>
  <c r="AI92" i="34" s="1"/>
  <c r="W163" i="34"/>
  <c r="AI163" i="34" s="1"/>
  <c r="Z40" i="34"/>
  <c r="AL40" i="34" s="1"/>
  <c r="P230" i="34"/>
  <c r="AB230" i="34" s="1"/>
  <c r="T22" i="34"/>
  <c r="AF22" i="34" s="1"/>
  <c r="V30" i="34"/>
  <c r="AH30" i="34" s="1"/>
  <c r="V17" i="34"/>
  <c r="AH17" i="34" s="1"/>
  <c r="O270" i="34"/>
  <c r="AA270" i="34" s="1"/>
  <c r="Z170" i="34"/>
  <c r="AL170" i="34" s="1"/>
  <c r="P297" i="34"/>
  <c r="AB297" i="34" s="1"/>
  <c r="X297" i="34"/>
  <c r="AJ297" i="34" s="1"/>
  <c r="Z204" i="34"/>
  <c r="AL204" i="34" s="1"/>
  <c r="Q204" i="34"/>
  <c r="AC204" i="34" s="1"/>
  <c r="R310" i="34"/>
  <c r="AD310" i="34" s="1"/>
  <c r="R78" i="34"/>
  <c r="AD78" i="34" s="1"/>
  <c r="W118" i="34"/>
  <c r="AI118" i="34" s="1"/>
  <c r="Q234" i="34"/>
  <c r="AC234" i="34" s="1"/>
  <c r="V147" i="34"/>
  <c r="S79" i="34"/>
  <c r="S91" i="34"/>
  <c r="AE91" i="34" s="1"/>
  <c r="Y105" i="34"/>
  <c r="AK105" i="34" s="1"/>
  <c r="R36" i="34"/>
  <c r="P101" i="34"/>
  <c r="AB101" i="34" s="1"/>
  <c r="W171" i="34"/>
  <c r="AI171" i="34" s="1"/>
  <c r="Q32" i="34"/>
  <c r="AC32" i="34" s="1"/>
  <c r="Y174" i="34"/>
  <c r="AK174" i="34" s="1"/>
  <c r="T188" i="34"/>
  <c r="AF188" i="34" s="1"/>
  <c r="Y170" i="34"/>
  <c r="AK170" i="34" s="1"/>
  <c r="X294" i="34"/>
  <c r="AJ294" i="34" s="1"/>
  <c r="R90" i="34"/>
  <c r="AD90" i="34" s="1"/>
  <c r="S99" i="34"/>
  <c r="AE99" i="34" s="1"/>
  <c r="W96" i="34"/>
  <c r="AI96" i="34" s="1"/>
  <c r="Z36" i="34"/>
  <c r="S41" i="34"/>
  <c r="AE41" i="34" s="1"/>
  <c r="V182" i="34"/>
  <c r="AH182" i="34" s="1"/>
  <c r="U7" i="34"/>
  <c r="AG7" i="34" s="1"/>
  <c r="U38" i="34"/>
  <c r="AG38" i="34" s="1"/>
  <c r="W170" i="34"/>
  <c r="AI170" i="34" s="1"/>
  <c r="W89" i="34"/>
  <c r="AI89" i="34" s="1"/>
  <c r="O39" i="34"/>
  <c r="AA39" i="34" s="1"/>
  <c r="W209" i="34"/>
  <c r="AI209" i="34" s="1"/>
  <c r="Q176" i="34"/>
  <c r="AC176" i="34" s="1"/>
  <c r="V112" i="34"/>
  <c r="AH112" i="34" s="1"/>
  <c r="V16" i="34"/>
  <c r="AH16" i="34" s="1"/>
  <c r="X32" i="34"/>
  <c r="AJ32" i="34" s="1"/>
  <c r="X45" i="34"/>
  <c r="AJ45" i="34" s="1"/>
  <c r="V94" i="34"/>
  <c r="AH94" i="34" s="1"/>
  <c r="X98" i="34"/>
  <c r="AJ98" i="34" s="1"/>
  <c r="R138" i="34"/>
  <c r="AD138" i="34" s="1"/>
  <c r="T123" i="34"/>
  <c r="AF123" i="34" s="1"/>
  <c r="Q202" i="34"/>
  <c r="AC202" i="34" s="1"/>
  <c r="S141" i="34"/>
  <c r="AE141" i="34" s="1"/>
  <c r="T40" i="34"/>
  <c r="AF40" i="34" s="1"/>
  <c r="V38" i="34"/>
  <c r="AH38" i="34" s="1"/>
  <c r="Q247" i="34"/>
  <c r="AC247" i="34" s="1"/>
  <c r="O291" i="34"/>
  <c r="AA291" i="34" s="1"/>
  <c r="W135" i="34"/>
  <c r="AI135" i="34" s="1"/>
  <c r="W32" i="34"/>
  <c r="AI32" i="34" s="1"/>
  <c r="O148" i="34"/>
  <c r="AA148" i="34" s="1"/>
  <c r="Z190" i="34"/>
  <c r="AL190" i="34" s="1"/>
  <c r="Y226" i="34"/>
  <c r="AK226" i="34" s="1"/>
  <c r="X170" i="34"/>
  <c r="AJ170" i="34" s="1"/>
  <c r="W204" i="34"/>
  <c r="AI204" i="34" s="1"/>
  <c r="Q299" i="34"/>
  <c r="AC299" i="34" s="1"/>
  <c r="T37" i="34"/>
  <c r="AF37" i="34" s="1"/>
  <c r="Y36" i="34"/>
  <c r="O7" i="34"/>
  <c r="AA7" i="34" s="1"/>
  <c r="T110" i="34"/>
  <c r="AF110" i="34" s="1"/>
  <c r="V118" i="34"/>
  <c r="AH118" i="34" s="1"/>
  <c r="O167" i="34"/>
  <c r="AA167" i="34" s="1"/>
  <c r="T283" i="34"/>
  <c r="AF283" i="34" s="1"/>
  <c r="X82" i="34"/>
  <c r="AJ82" i="34" s="1"/>
  <c r="Z291" i="34"/>
  <c r="AL291" i="34" s="1"/>
  <c r="R163" i="34"/>
  <c r="AD163" i="34" s="1"/>
  <c r="R162" i="34"/>
  <c r="AD162" i="34" s="1"/>
  <c r="Y154" i="34"/>
  <c r="AK154" i="34" s="1"/>
  <c r="S89" i="34"/>
  <c r="AE89" i="34" s="1"/>
  <c r="O56" i="34"/>
  <c r="AA56" i="34" s="1"/>
  <c r="W83" i="34"/>
  <c r="AI83" i="34" s="1"/>
  <c r="X113" i="34"/>
  <c r="AJ113" i="34" s="1"/>
  <c r="O23" i="34"/>
  <c r="AA23" i="34" s="1"/>
  <c r="O78" i="34"/>
  <c r="AA78" i="34" s="1"/>
  <c r="O198" i="34"/>
  <c r="AA198" i="34" s="1"/>
  <c r="S68" i="34"/>
  <c r="AE68" i="34" s="1"/>
  <c r="O63" i="34"/>
  <c r="AA63" i="34" s="1"/>
  <c r="W167" i="34"/>
  <c r="AI167" i="34" s="1"/>
  <c r="O69" i="34"/>
  <c r="AA69" i="34" s="1"/>
  <c r="S153" i="34"/>
  <c r="AE153" i="34" s="1"/>
  <c r="X238" i="34"/>
  <c r="AJ238" i="34" s="1"/>
  <c r="R306" i="34"/>
  <c r="AD306" i="34" s="1"/>
  <c r="P130" i="34"/>
  <c r="AB130" i="34" s="1"/>
  <c r="Z174" i="34"/>
  <c r="AL174" i="34" s="1"/>
  <c r="Y265" i="34"/>
  <c r="AK265" i="34" s="1"/>
  <c r="O58" i="34"/>
  <c r="AA58" i="34" s="1"/>
  <c r="W161" i="34"/>
  <c r="AI161" i="34" s="1"/>
  <c r="R79" i="34"/>
  <c r="AD79" i="34" s="1"/>
  <c r="V22" i="34"/>
  <c r="AH22" i="34" s="1"/>
  <c r="Q19" i="34"/>
  <c r="W108" i="34"/>
  <c r="AI108" i="34" s="1"/>
  <c r="T48" i="34"/>
  <c r="AF48" i="34" s="1"/>
  <c r="O162" i="34"/>
  <c r="AA162" i="34" s="1"/>
  <c r="Y25" i="34"/>
  <c r="AK25" i="34" s="1"/>
  <c r="Z299" i="34"/>
  <c r="AL299" i="34" s="1"/>
  <c r="P107" i="34"/>
  <c r="V174" i="34"/>
  <c r="AH174" i="34" s="1"/>
  <c r="U162" i="34"/>
  <c r="AG162" i="34" s="1"/>
  <c r="Q138" i="34"/>
  <c r="AC138" i="34" s="1"/>
  <c r="R53" i="34"/>
  <c r="V204" i="34"/>
  <c r="AH204" i="34" s="1"/>
  <c r="U40" i="34"/>
  <c r="AG40" i="34" s="1"/>
  <c r="X64" i="34"/>
  <c r="V299" i="34"/>
  <c r="AH299" i="34" s="1"/>
  <c r="P77" i="34"/>
  <c r="AB77" i="34" s="1"/>
  <c r="T285" i="34"/>
  <c r="AF285" i="34" s="1"/>
  <c r="Z196" i="34"/>
  <c r="AL196" i="34" s="1"/>
  <c r="V229" i="34"/>
  <c r="AH229" i="34" s="1"/>
  <c r="U139" i="34"/>
  <c r="AG139" i="34" s="1"/>
  <c r="V136" i="34"/>
  <c r="AH136" i="34" s="1"/>
  <c r="P292" i="34"/>
  <c r="AB292" i="34" s="1"/>
  <c r="Y143" i="34"/>
  <c r="AK143" i="34" s="1"/>
  <c r="Q127" i="34"/>
  <c r="AC127" i="34" s="1"/>
  <c r="Y99" i="34"/>
  <c r="AK99" i="34" s="1"/>
  <c r="Q205" i="34"/>
  <c r="AC205" i="34" s="1"/>
  <c r="P41" i="34"/>
  <c r="AB41" i="34" s="1"/>
  <c r="T261" i="34"/>
  <c r="AF261" i="34" s="1"/>
  <c r="P275" i="34"/>
  <c r="AB275" i="34" s="1"/>
  <c r="T103" i="34"/>
  <c r="AF103" i="34" s="1"/>
  <c r="Q183" i="34"/>
  <c r="AC183" i="34" s="1"/>
  <c r="S259" i="34"/>
  <c r="AE259" i="34" s="1"/>
  <c r="Y309" i="34"/>
  <c r="AK309" i="34" s="1"/>
  <c r="Q253" i="34"/>
  <c r="AC253" i="34" s="1"/>
  <c r="U184" i="34"/>
  <c r="AG184" i="34" s="1"/>
  <c r="X139" i="34"/>
  <c r="AJ139" i="34" s="1"/>
  <c r="Q164" i="34"/>
  <c r="O89" i="34"/>
  <c r="AA89" i="34" s="1"/>
  <c r="W153" i="34"/>
  <c r="AI153" i="34" s="1"/>
  <c r="X163" i="34"/>
  <c r="AJ163" i="34" s="1"/>
  <c r="W62" i="34"/>
  <c r="AI62" i="34" s="1"/>
  <c r="W84" i="34"/>
  <c r="AI84" i="34" s="1"/>
  <c r="X40" i="34"/>
  <c r="AJ40" i="34" s="1"/>
  <c r="U226" i="34"/>
  <c r="AG226" i="34" s="1"/>
  <c r="O283" i="34"/>
  <c r="AA283" i="34" s="1"/>
  <c r="U36" i="34"/>
  <c r="W190" i="34"/>
  <c r="AI190" i="34" s="1"/>
  <c r="X134" i="34"/>
  <c r="AJ134" i="34" s="1"/>
  <c r="O112" i="34"/>
  <c r="AA112" i="34" s="1"/>
  <c r="S81" i="34"/>
  <c r="Z32" i="34"/>
  <c r="AL32" i="34" s="1"/>
  <c r="O249" i="34"/>
  <c r="X43" i="34"/>
  <c r="AJ43" i="34" s="1"/>
  <c r="P155" i="34"/>
  <c r="AB155" i="34" s="1"/>
  <c r="W311" i="34"/>
  <c r="AI311" i="34" s="1"/>
  <c r="Y71" i="34"/>
  <c r="AK71" i="34" s="1"/>
  <c r="T109" i="34"/>
  <c r="AF109" i="34" s="1"/>
  <c r="Y83" i="34"/>
  <c r="AK83" i="34" s="1"/>
  <c r="X72" i="34"/>
  <c r="AJ72" i="34" s="1"/>
  <c r="V292" i="34"/>
  <c r="AH292" i="34" s="1"/>
  <c r="U157" i="34"/>
  <c r="AG157" i="34" s="1"/>
  <c r="T229" i="34"/>
  <c r="AF229" i="34" s="1"/>
  <c r="O319" i="34"/>
  <c r="AA319" i="34" s="1"/>
  <c r="Z140" i="34"/>
  <c r="AL140" i="34" s="1"/>
  <c r="W239" i="34"/>
  <c r="AI239" i="34" s="1"/>
  <c r="X307" i="34"/>
  <c r="AJ307" i="34" s="1"/>
  <c r="R281" i="34"/>
  <c r="AD281" i="34" s="1"/>
  <c r="V108" i="34"/>
  <c r="AH108" i="34" s="1"/>
  <c r="U208" i="34"/>
  <c r="AG208" i="34" s="1"/>
  <c r="U265" i="34"/>
  <c r="AG265" i="34" s="1"/>
  <c r="U242" i="34"/>
  <c r="T218" i="34"/>
  <c r="AF218" i="34" s="1"/>
  <c r="X26" i="34"/>
  <c r="Y218" i="34"/>
  <c r="AK218" i="34" s="1"/>
  <c r="T311" i="34"/>
  <c r="AF311" i="34" s="1"/>
  <c r="Y292" i="34"/>
  <c r="AK292" i="34" s="1"/>
  <c r="Y235" i="34"/>
  <c r="AK235" i="34" s="1"/>
  <c r="Z189" i="34"/>
  <c r="AL189" i="34" s="1"/>
  <c r="W160" i="34"/>
  <c r="AI160" i="34" s="1"/>
  <c r="S103" i="34"/>
  <c r="AE103" i="34" s="1"/>
  <c r="U163" i="34"/>
  <c r="AG163" i="34" s="1"/>
  <c r="W102" i="34"/>
  <c r="AI102" i="34" s="1"/>
  <c r="Y161" i="34"/>
  <c r="AK161" i="34" s="1"/>
  <c r="P123" i="34"/>
  <c r="AB123" i="34" s="1"/>
  <c r="V234" i="34"/>
  <c r="AH234" i="34" s="1"/>
  <c r="P112" i="34"/>
  <c r="AB112" i="34" s="1"/>
  <c r="T286" i="34"/>
  <c r="AF286" i="34" s="1"/>
  <c r="W154" i="34"/>
  <c r="AI154" i="34" s="1"/>
  <c r="W225" i="34"/>
  <c r="U161" i="34"/>
  <c r="AG161" i="34" s="1"/>
  <c r="W151" i="34"/>
  <c r="Y280" i="34"/>
  <c r="AK280" i="34" s="1"/>
  <c r="Y259" i="34"/>
  <c r="AK259" i="34" s="1"/>
  <c r="R179" i="34"/>
  <c r="AD179" i="34" s="1"/>
  <c r="Q185" i="34"/>
  <c r="AC185" i="34" s="1"/>
  <c r="S303" i="34"/>
  <c r="AE303" i="34" s="1"/>
  <c r="Q167" i="34"/>
  <c r="AC167" i="34" s="1"/>
  <c r="Q306" i="34"/>
  <c r="AC306" i="34" s="1"/>
  <c r="W285" i="34"/>
  <c r="AI285" i="34" s="1"/>
  <c r="U149" i="34"/>
  <c r="AG149" i="34" s="1"/>
  <c r="T265" i="34"/>
  <c r="AF265" i="34" s="1"/>
  <c r="O79" i="34"/>
  <c r="AA79" i="34" s="1"/>
  <c r="X49" i="34"/>
  <c r="AJ49" i="34" s="1"/>
  <c r="W282" i="34"/>
  <c r="AI282" i="34" s="1"/>
  <c r="U77" i="34"/>
  <c r="AG77" i="34" s="1"/>
  <c r="O106" i="34"/>
  <c r="Q77" i="34"/>
  <c r="AC77" i="34" s="1"/>
  <c r="R222" i="34"/>
  <c r="AD222" i="34" s="1"/>
  <c r="X58" i="34"/>
  <c r="AJ58" i="34" s="1"/>
  <c r="R25" i="34"/>
  <c r="AD25" i="34" s="1"/>
  <c r="P137" i="34"/>
  <c r="AB137" i="34" s="1"/>
  <c r="Y249" i="34"/>
  <c r="P284" i="34"/>
  <c r="AB284" i="34" s="1"/>
  <c r="O281" i="34"/>
  <c r="AA281" i="34" s="1"/>
  <c r="Y63" i="34"/>
  <c r="AK63" i="34" s="1"/>
  <c r="U293" i="34"/>
  <c r="AG293" i="34" s="1"/>
  <c r="U47" i="34"/>
  <c r="AG47" i="34" s="1"/>
  <c r="R104" i="34"/>
  <c r="AD104" i="34" s="1"/>
  <c r="O180" i="34"/>
  <c r="AA180" i="34" s="1"/>
  <c r="S312" i="34"/>
  <c r="AE312" i="34" s="1"/>
  <c r="X85" i="34"/>
  <c r="AJ85" i="34" s="1"/>
  <c r="Q267" i="34"/>
  <c r="AC267" i="34" s="1"/>
  <c r="X296" i="34"/>
  <c r="AJ296" i="34" s="1"/>
  <c r="O250" i="34"/>
  <c r="AA250" i="34" s="1"/>
  <c r="V311" i="34"/>
  <c r="AH311" i="34" s="1"/>
  <c r="P317" i="34"/>
  <c r="AB317" i="34" s="1"/>
  <c r="O267" i="34"/>
  <c r="AA267" i="34" s="1"/>
  <c r="W188" i="34"/>
  <c r="AI188" i="34" s="1"/>
  <c r="S75" i="34"/>
  <c r="V240" i="34"/>
  <c r="Q117" i="34"/>
  <c r="S16" i="34"/>
  <c r="AE16" i="34" s="1"/>
  <c r="T316" i="34"/>
  <c r="AF316" i="34" s="1"/>
  <c r="P115" i="34"/>
  <c r="P159" i="34"/>
  <c r="U35" i="34"/>
  <c r="U107" i="34"/>
  <c r="S241" i="34"/>
  <c r="W219" i="34"/>
  <c r="Q52" i="34"/>
  <c r="R100" i="34"/>
  <c r="AD100" i="34" s="1"/>
  <c r="W223" i="34"/>
  <c r="U217" i="34"/>
  <c r="AG217" i="34" s="1"/>
  <c r="P93" i="34"/>
  <c r="AB93" i="34" s="1"/>
  <c r="O228" i="34"/>
  <c r="AA228" i="34" s="1"/>
  <c r="T323" i="34"/>
  <c r="AF323" i="34" s="1"/>
  <c r="X201" i="34"/>
  <c r="P12" i="34"/>
  <c r="Q35" i="34"/>
  <c r="R9" i="34"/>
  <c r="T76" i="34"/>
  <c r="Y79" i="34"/>
  <c r="AK79" i="34" s="1"/>
  <c r="Q209" i="34"/>
  <c r="W201" i="34"/>
  <c r="AI201" i="34" s="1"/>
  <c r="Q276" i="34"/>
  <c r="P45" i="34"/>
  <c r="AB45" i="34" s="1"/>
  <c r="S48" i="34"/>
  <c r="AE48" i="34" s="1"/>
  <c r="S168" i="34"/>
  <c r="AE168" i="34" s="1"/>
  <c r="Q115" i="34"/>
  <c r="O9" i="34"/>
  <c r="P220" i="34"/>
  <c r="X220" i="34"/>
  <c r="R255" i="34"/>
  <c r="AD255" i="34" s="1"/>
  <c r="R278" i="34"/>
  <c r="Z260" i="34"/>
  <c r="T125" i="34"/>
  <c r="AF125" i="34" s="1"/>
  <c r="U132" i="34"/>
  <c r="X287" i="34"/>
  <c r="V65" i="34"/>
  <c r="R108" i="34"/>
  <c r="AD108" i="34" s="1"/>
  <c r="X51" i="34"/>
  <c r="Z219" i="34"/>
  <c r="AL219" i="34" s="1"/>
  <c r="R316" i="34"/>
  <c r="X323" i="34"/>
  <c r="U19" i="34"/>
  <c r="P269" i="34"/>
  <c r="P64" i="34"/>
  <c r="R240" i="34"/>
  <c r="X103" i="34"/>
  <c r="AJ103" i="34" s="1"/>
  <c r="Z69" i="34"/>
  <c r="AL69" i="34" s="1"/>
  <c r="S288" i="34"/>
  <c r="Z220" i="34"/>
  <c r="R65" i="34"/>
  <c r="V121" i="34"/>
  <c r="AH121" i="34" s="1"/>
  <c r="W264" i="34"/>
  <c r="W185" i="34"/>
  <c r="AI185" i="34" s="1"/>
  <c r="W248" i="34"/>
  <c r="T164" i="34"/>
  <c r="U240" i="34"/>
  <c r="T114" i="34"/>
  <c r="AF114" i="34" s="1"/>
  <c r="T263" i="34"/>
  <c r="AF263" i="34" s="1"/>
  <c r="W133" i="34"/>
  <c r="O313" i="34"/>
  <c r="AA313" i="34" s="1"/>
  <c r="P188" i="34"/>
  <c r="AB188" i="34" s="1"/>
  <c r="Z185" i="34"/>
  <c r="AL185" i="34" s="1"/>
  <c r="V93" i="34"/>
  <c r="AH93" i="34" s="1"/>
  <c r="O181" i="34"/>
  <c r="S27" i="34"/>
  <c r="P219" i="34"/>
  <c r="W173" i="34"/>
  <c r="AI173" i="34" s="1"/>
  <c r="Y31" i="34"/>
  <c r="X11" i="34"/>
  <c r="Z159" i="34"/>
  <c r="AL159" i="34" s="1"/>
  <c r="Z31" i="34"/>
  <c r="P20" i="34"/>
  <c r="V249" i="34"/>
  <c r="X172" i="34"/>
  <c r="V305" i="34"/>
  <c r="AH305" i="34" s="1"/>
  <c r="T304" i="34"/>
  <c r="Z107" i="34"/>
  <c r="AL107" i="34" s="1"/>
  <c r="Q29" i="34"/>
  <c r="AC29" i="34" s="1"/>
  <c r="X60" i="34"/>
  <c r="AJ60" i="34" s="1"/>
  <c r="P141" i="34"/>
  <c r="AB141" i="34" s="1"/>
  <c r="Y181" i="34"/>
  <c r="Y100" i="34"/>
  <c r="U31" i="34"/>
  <c r="O159" i="34"/>
  <c r="Z181" i="34"/>
  <c r="S64" i="34"/>
  <c r="Q300" i="34"/>
  <c r="R252" i="34"/>
  <c r="R209" i="34"/>
  <c r="AD209" i="34" s="1"/>
  <c r="P201" i="34"/>
  <c r="AB201" i="34" s="1"/>
  <c r="Y8" i="34"/>
  <c r="AK8" i="34" s="1"/>
  <c r="Q43" i="34"/>
  <c r="AC43" i="34" s="1"/>
  <c r="O83" i="34"/>
  <c r="AA83" i="34" s="1"/>
  <c r="W53" i="34"/>
  <c r="V256" i="34"/>
  <c r="Q144" i="34"/>
  <c r="Q159" i="34"/>
  <c r="AC159" i="34" s="1"/>
  <c r="U144" i="34"/>
  <c r="W19" i="34"/>
  <c r="P248" i="34"/>
  <c r="O305" i="34"/>
  <c r="T151" i="34"/>
  <c r="T252" i="34"/>
  <c r="R249" i="34"/>
  <c r="V15" i="34"/>
  <c r="O195" i="34"/>
  <c r="AA195" i="34" s="1"/>
  <c r="W197" i="34"/>
  <c r="AI197" i="34" s="1"/>
  <c r="X87" i="34"/>
  <c r="AJ87" i="34" s="1"/>
  <c r="Z276" i="34"/>
  <c r="V81" i="34"/>
  <c r="R295" i="34"/>
  <c r="AD295" i="34" s="1"/>
  <c r="Q80" i="34"/>
  <c r="V100" i="34"/>
  <c r="AH100" i="34" s="1"/>
  <c r="S128" i="34"/>
  <c r="O278" i="34"/>
  <c r="S255" i="34"/>
  <c r="W144" i="34"/>
  <c r="R243" i="34"/>
  <c r="T255" i="34"/>
  <c r="S56" i="34"/>
  <c r="AE56" i="34" s="1"/>
  <c r="T57" i="34"/>
  <c r="AF57" i="34" s="1"/>
  <c r="T43" i="34"/>
  <c r="AF43" i="34" s="1"/>
  <c r="V207" i="34"/>
  <c r="AH207" i="34" s="1"/>
  <c r="P319" i="34"/>
  <c r="AB319" i="34" s="1"/>
  <c r="P294" i="34"/>
  <c r="AB294" i="34" s="1"/>
  <c r="P169" i="34"/>
  <c r="AB169" i="34" s="1"/>
  <c r="T173" i="34"/>
  <c r="AF173" i="34" s="1"/>
  <c r="Z179" i="34"/>
  <c r="AL179" i="34" s="1"/>
  <c r="P203" i="34"/>
  <c r="AB203" i="34" s="1"/>
  <c r="Q150" i="34"/>
  <c r="AC150" i="34" s="1"/>
  <c r="W191" i="34"/>
  <c r="AI191" i="34" s="1"/>
  <c r="Q184" i="34"/>
  <c r="AC184" i="34" s="1"/>
  <c r="U229" i="34"/>
  <c r="AG229" i="34" s="1"/>
  <c r="W303" i="34"/>
  <c r="AI303" i="34" s="1"/>
  <c r="Q309" i="34"/>
  <c r="AC309" i="34" s="1"/>
  <c r="R254" i="34"/>
  <c r="U290" i="34"/>
  <c r="U273" i="34"/>
  <c r="AG273" i="34" s="1"/>
  <c r="Z259" i="34"/>
  <c r="AL259" i="34" s="1"/>
  <c r="V231" i="34"/>
  <c r="AH231" i="34" s="1"/>
  <c r="X319" i="34"/>
  <c r="AJ319" i="34" s="1"/>
  <c r="V177" i="34"/>
  <c r="AH177" i="34" s="1"/>
  <c r="R14" i="34"/>
  <c r="S18" i="34"/>
  <c r="AE18" i="34" s="1"/>
  <c r="Y285" i="34"/>
  <c r="AK285" i="34" s="1"/>
  <c r="T277" i="34"/>
  <c r="AF277" i="34" s="1"/>
  <c r="Q194" i="34"/>
  <c r="O184" i="34"/>
  <c r="AA184" i="34" s="1"/>
  <c r="W45" i="34"/>
  <c r="AI45" i="34" s="1"/>
  <c r="P61" i="34"/>
  <c r="AB61" i="34" s="1"/>
  <c r="T248" i="34"/>
  <c r="U209" i="34"/>
  <c r="AG209" i="34" s="1"/>
  <c r="V287" i="34"/>
  <c r="Q121" i="34"/>
  <c r="AC121" i="34" s="1"/>
  <c r="V260" i="34"/>
  <c r="T121" i="34"/>
  <c r="S51" i="34"/>
  <c r="AE51" i="34" s="1"/>
  <c r="Y144" i="34"/>
  <c r="U26" i="34"/>
  <c r="W316" i="34"/>
  <c r="O11" i="34"/>
  <c r="O216" i="34"/>
  <c r="AA216" i="34" s="1"/>
  <c r="X199" i="34"/>
  <c r="AJ199" i="34" s="1"/>
  <c r="W44" i="34"/>
  <c r="AI44" i="34" s="1"/>
  <c r="U253" i="34"/>
  <c r="AG253" i="34" s="1"/>
  <c r="S308" i="34"/>
  <c r="AE308" i="34" s="1"/>
  <c r="V129" i="34"/>
  <c r="AH129" i="34" s="1"/>
  <c r="W277" i="34"/>
  <c r="AI277" i="34" s="1"/>
  <c r="Z39" i="34"/>
  <c r="AL39" i="34" s="1"/>
  <c r="V284" i="34"/>
  <c r="AH284" i="34" s="1"/>
  <c r="T275" i="34"/>
  <c r="AF275" i="34" s="1"/>
  <c r="T99" i="34"/>
  <c r="AF99" i="34" s="1"/>
  <c r="T153" i="34"/>
  <c r="AF153" i="34" s="1"/>
  <c r="Q71" i="34"/>
  <c r="AC71" i="34" s="1"/>
  <c r="Y148" i="34"/>
  <c r="AK148" i="34" s="1"/>
  <c r="Z320" i="34"/>
  <c r="AL320" i="34" s="1"/>
  <c r="X237" i="34"/>
  <c r="AJ237" i="34" s="1"/>
  <c r="X129" i="34"/>
  <c r="AJ129" i="34" s="1"/>
  <c r="S10" i="34"/>
  <c r="Q34" i="34"/>
  <c r="Q168" i="34"/>
  <c r="AC168" i="34" s="1"/>
  <c r="O263" i="34"/>
  <c r="AA263" i="34" s="1"/>
  <c r="S6" i="34"/>
  <c r="AE6" i="34" s="1"/>
  <c r="W195" i="34"/>
  <c r="AI195" i="34" s="1"/>
  <c r="Z195" i="34"/>
  <c r="AL195" i="34" s="1"/>
  <c r="W122" i="34"/>
  <c r="AI122" i="34" s="1"/>
  <c r="S299" i="34"/>
  <c r="AE299" i="34" s="1"/>
  <c r="O49" i="34"/>
  <c r="AA49" i="34" s="1"/>
  <c r="R210" i="34"/>
  <c r="W116" i="34"/>
  <c r="S233" i="34"/>
  <c r="AE233" i="34" s="1"/>
  <c r="X24" i="34"/>
  <c r="AJ24" i="34" s="1"/>
  <c r="R139" i="34"/>
  <c r="AD139" i="34" s="1"/>
  <c r="Y97" i="34"/>
  <c r="Y65" i="34"/>
  <c r="X225" i="34"/>
  <c r="X304" i="34"/>
  <c r="O304" i="34"/>
  <c r="S36" i="34"/>
  <c r="U128" i="34"/>
  <c r="O323" i="34"/>
  <c r="U186" i="34"/>
  <c r="Y172" i="34"/>
  <c r="Y243" i="34"/>
  <c r="P16" i="34"/>
  <c r="AB16" i="34" s="1"/>
  <c r="R32" i="34"/>
  <c r="AD32" i="34" s="1"/>
  <c r="P6" i="34"/>
  <c r="AB6" i="34" s="1"/>
  <c r="Q280" i="34"/>
  <c r="AC280" i="34" s="1"/>
  <c r="W313" i="34"/>
  <c r="AI313" i="34" s="1"/>
  <c r="Y173" i="34"/>
  <c r="AK173" i="34" s="1"/>
  <c r="T49" i="34"/>
  <c r="AF49" i="34" s="1"/>
  <c r="U111" i="34"/>
  <c r="AG111" i="34" s="1"/>
  <c r="Z293" i="34"/>
  <c r="AL293" i="34" s="1"/>
  <c r="W284" i="34"/>
  <c r="AI284" i="34" s="1"/>
  <c r="U138" i="34"/>
  <c r="AG138" i="34" s="1"/>
  <c r="T191" i="34"/>
  <c r="AF191" i="34" s="1"/>
  <c r="P88" i="34"/>
  <c r="AB88" i="34" s="1"/>
  <c r="T165" i="34"/>
  <c r="AF165" i="34" s="1"/>
  <c r="Z119" i="34"/>
  <c r="AL119" i="34" s="1"/>
  <c r="X285" i="34"/>
  <c r="AJ285" i="34" s="1"/>
  <c r="V167" i="34"/>
  <c r="AH167" i="34" s="1"/>
  <c r="Z10" i="34"/>
  <c r="V178" i="34"/>
  <c r="AH178" i="34" s="1"/>
  <c r="Q49" i="34"/>
  <c r="AC49" i="34" s="1"/>
  <c r="Q103" i="34"/>
  <c r="AC103" i="34" s="1"/>
  <c r="Y179" i="34"/>
  <c r="AK179" i="34" s="1"/>
  <c r="W279" i="34"/>
  <c r="AI279" i="34" s="1"/>
  <c r="P136" i="34"/>
  <c r="AB136" i="34" s="1"/>
  <c r="V206" i="34"/>
  <c r="W208" i="34"/>
  <c r="AI208" i="34" s="1"/>
  <c r="V152" i="34"/>
  <c r="AH152" i="34" s="1"/>
  <c r="U96" i="34"/>
  <c r="AG96" i="34" s="1"/>
  <c r="X112" i="34"/>
  <c r="AJ112" i="34" s="1"/>
  <c r="Q186" i="34"/>
  <c r="S250" i="34"/>
  <c r="AE250" i="34" s="1"/>
  <c r="Y54" i="34"/>
  <c r="T273" i="34"/>
  <c r="AF273" i="34" s="1"/>
  <c r="S21" i="34"/>
  <c r="V56" i="34"/>
  <c r="AH56" i="34" s="1"/>
  <c r="Y60" i="34"/>
  <c r="AK60" i="34" s="1"/>
  <c r="R197" i="34"/>
  <c r="AD197" i="34" s="1"/>
  <c r="Z103" i="34"/>
  <c r="AL103" i="34" s="1"/>
  <c r="X280" i="34"/>
  <c r="AJ280" i="34" s="1"/>
  <c r="V180" i="34"/>
  <c r="AH180" i="34" s="1"/>
  <c r="V313" i="34"/>
  <c r="AH313" i="34" s="1"/>
  <c r="Y211" i="34"/>
  <c r="AK211" i="34" s="1"/>
  <c r="U221" i="34"/>
  <c r="AG221" i="34" s="1"/>
  <c r="V308" i="34"/>
  <c r="AH308" i="34" s="1"/>
  <c r="S307" i="34"/>
  <c r="AE307" i="34" s="1"/>
  <c r="Z228" i="34"/>
  <c r="AL228" i="34" s="1"/>
  <c r="P298" i="34"/>
  <c r="AB298" i="34" s="1"/>
  <c r="V72" i="34"/>
  <c r="AH72" i="34" s="1"/>
  <c r="Z148" i="34"/>
  <c r="AL148" i="34" s="1"/>
  <c r="Q233" i="34"/>
  <c r="AC233" i="34" s="1"/>
  <c r="Z268" i="34"/>
  <c r="AL268" i="34" s="1"/>
  <c r="W214" i="34"/>
  <c r="X194" i="34"/>
  <c r="AJ194" i="34" s="1"/>
  <c r="V18" i="34"/>
  <c r="T246" i="34"/>
  <c r="X34" i="34"/>
  <c r="Q122" i="34"/>
  <c r="AC122" i="34" s="1"/>
  <c r="X74" i="34"/>
  <c r="AJ74" i="34" s="1"/>
  <c r="S112" i="34"/>
  <c r="AE112" i="34" s="1"/>
  <c r="X200" i="34"/>
  <c r="AJ200" i="34" s="1"/>
  <c r="Z153" i="34"/>
  <c r="AL153" i="34" s="1"/>
  <c r="X312" i="34"/>
  <c r="AJ312" i="34" s="1"/>
  <c r="U63" i="34"/>
  <c r="AG63" i="34" s="1"/>
  <c r="T148" i="34"/>
  <c r="AF148" i="34" s="1"/>
  <c r="P59" i="34"/>
  <c r="AB59" i="34" s="1"/>
  <c r="Y34" i="34"/>
  <c r="R274" i="34"/>
  <c r="P48" i="34"/>
  <c r="AB48" i="34" s="1"/>
  <c r="Q271" i="34"/>
  <c r="AC271" i="34" s="1"/>
  <c r="S25" i="34"/>
  <c r="AE25" i="34" s="1"/>
  <c r="O96" i="34"/>
  <c r="AA96" i="34" s="1"/>
  <c r="Y254" i="34"/>
  <c r="AK254" i="34" s="1"/>
  <c r="P54" i="34"/>
  <c r="Q178" i="34"/>
  <c r="Y266" i="34"/>
  <c r="AK266" i="34" s="1"/>
  <c r="P17" i="34"/>
  <c r="AB17" i="34" s="1"/>
  <c r="S232" i="34"/>
  <c r="AE232" i="34" s="1"/>
  <c r="Y84" i="34"/>
  <c r="AK84" i="34" s="1"/>
  <c r="Z307" i="34"/>
  <c r="AL307" i="34" s="1"/>
  <c r="R168" i="34"/>
  <c r="AD168" i="34" s="1"/>
  <c r="V41" i="34"/>
  <c r="AH41" i="34" s="1"/>
  <c r="V40" i="34"/>
  <c r="AH40" i="34" s="1"/>
  <c r="Y199" i="34"/>
  <c r="AK199" i="34" s="1"/>
  <c r="Z267" i="34"/>
  <c r="AL267" i="34" s="1"/>
  <c r="U68" i="34"/>
  <c r="AG68" i="34" s="1"/>
  <c r="Z285" i="34"/>
  <c r="AL285" i="34" s="1"/>
  <c r="P184" i="34"/>
  <c r="AB184" i="34" s="1"/>
  <c r="Z102" i="34"/>
  <c r="AL102" i="34" s="1"/>
  <c r="R39" i="34"/>
  <c r="AD39" i="34" s="1"/>
  <c r="Q272" i="34"/>
  <c r="AC272" i="34" s="1"/>
  <c r="P307" i="34"/>
  <c r="AB307" i="34" s="1"/>
  <c r="Q310" i="34"/>
  <c r="AC310" i="34" s="1"/>
  <c r="U18" i="34"/>
  <c r="AG18" i="34" s="1"/>
  <c r="S242" i="34"/>
  <c r="R126" i="34"/>
  <c r="R158" i="34"/>
  <c r="AD158" i="34" s="1"/>
  <c r="Y53" i="34"/>
  <c r="W299" i="34"/>
  <c r="AI299" i="34" s="1"/>
  <c r="P237" i="34"/>
  <c r="AB237" i="34" s="1"/>
  <c r="V293" i="34"/>
  <c r="AH293" i="34" s="1"/>
  <c r="Z289" i="34"/>
  <c r="AL289" i="34" s="1"/>
  <c r="U196" i="34"/>
  <c r="AG196" i="34" s="1"/>
  <c r="V122" i="34"/>
  <c r="AH122" i="34" s="1"/>
  <c r="Z240" i="34"/>
  <c r="W259" i="34"/>
  <c r="AI259" i="34" s="1"/>
  <c r="U257" i="34"/>
  <c r="AG257" i="34" s="1"/>
  <c r="R266" i="34"/>
  <c r="Q54" i="34"/>
  <c r="P274" i="34"/>
  <c r="U244" i="34"/>
  <c r="AG244" i="34" s="1"/>
  <c r="W253" i="34"/>
  <c r="AI253" i="34" s="1"/>
  <c r="T213" i="34"/>
  <c r="AF213" i="34" s="1"/>
  <c r="T267" i="34"/>
  <c r="AF267" i="34" s="1"/>
  <c r="X156" i="34"/>
  <c r="AJ156" i="34" s="1"/>
  <c r="V156" i="34"/>
  <c r="AH156" i="34" s="1"/>
  <c r="Y213" i="34"/>
  <c r="AK213" i="34" s="1"/>
  <c r="Q111" i="34"/>
  <c r="AC111" i="34" s="1"/>
  <c r="V296" i="34"/>
  <c r="AH296" i="34" s="1"/>
  <c r="P21" i="34"/>
  <c r="X197" i="34"/>
  <c r="AJ197" i="34" s="1"/>
  <c r="Q56" i="34"/>
  <c r="AC56" i="34" s="1"/>
  <c r="T215" i="34"/>
  <c r="AF215" i="34" s="1"/>
  <c r="X317" i="34"/>
  <c r="AJ317" i="34" s="1"/>
  <c r="X306" i="34"/>
  <c r="AJ306" i="34" s="1"/>
  <c r="V242" i="34"/>
  <c r="Y242" i="34"/>
  <c r="O18" i="34"/>
  <c r="O214" i="34"/>
  <c r="Y101" i="34"/>
  <c r="AK101" i="34" s="1"/>
  <c r="U283" i="34"/>
  <c r="AG283" i="34" s="1"/>
  <c r="T88" i="34"/>
  <c r="AF88" i="34" s="1"/>
  <c r="Q89" i="34"/>
  <c r="AC89" i="34" s="1"/>
  <c r="Z321" i="34"/>
  <c r="AL321" i="34" s="1"/>
  <c r="T196" i="34"/>
  <c r="AF196" i="34" s="1"/>
  <c r="O262" i="34"/>
  <c r="AA262" i="34" s="1"/>
  <c r="W203" i="34"/>
  <c r="AI203" i="34" s="1"/>
  <c r="R89" i="34"/>
  <c r="AD89" i="34" s="1"/>
  <c r="X229" i="34"/>
  <c r="AJ229" i="34" s="1"/>
  <c r="X191" i="34"/>
  <c r="AJ191" i="34" s="1"/>
  <c r="R293" i="34"/>
  <c r="AD293" i="34" s="1"/>
  <c r="T217" i="34"/>
  <c r="AF217" i="34" s="1"/>
  <c r="S268" i="34"/>
  <c r="AE268" i="34" s="1"/>
  <c r="Q157" i="34"/>
  <c r="AC157" i="34" s="1"/>
  <c r="S284" i="34"/>
  <c r="AE284" i="34" s="1"/>
  <c r="U148" i="34"/>
  <c r="AG148" i="34" s="1"/>
  <c r="P40" i="34"/>
  <c r="AB40" i="34" s="1"/>
  <c r="X217" i="34"/>
  <c r="AJ217" i="34" s="1"/>
  <c r="W280" i="34"/>
  <c r="AI280" i="34" s="1"/>
  <c r="Y289" i="34"/>
  <c r="AK289" i="34" s="1"/>
  <c r="Y61" i="34"/>
  <c r="AK61" i="34" s="1"/>
  <c r="X205" i="34"/>
  <c r="AJ205" i="34" s="1"/>
  <c r="X268" i="34"/>
  <c r="AJ268" i="34" s="1"/>
  <c r="V227" i="34"/>
  <c r="AH227" i="34" s="1"/>
  <c r="Y194" i="34"/>
  <c r="Z178" i="34"/>
  <c r="AL178" i="34" s="1"/>
  <c r="U126" i="34"/>
  <c r="S186" i="34"/>
  <c r="AE186" i="34" s="1"/>
  <c r="R113" i="34"/>
  <c r="AD113" i="34" s="1"/>
  <c r="P25" i="34"/>
  <c r="AB25" i="34" s="1"/>
  <c r="Z141" i="34"/>
  <c r="AL141" i="34" s="1"/>
  <c r="Z303" i="34"/>
  <c r="AL303" i="34" s="1"/>
  <c r="R192" i="34"/>
  <c r="AD192" i="34" s="1"/>
  <c r="P44" i="34"/>
  <c r="AB44" i="34" s="1"/>
  <c r="X57" i="34"/>
  <c r="AJ57" i="34" s="1"/>
  <c r="X122" i="34"/>
  <c r="AJ122" i="34" s="1"/>
  <c r="Y187" i="34"/>
  <c r="AK187" i="34" s="1"/>
  <c r="S315" i="34"/>
  <c r="AE315" i="34" s="1"/>
  <c r="T90" i="34"/>
  <c r="AF90" i="34" s="1"/>
  <c r="Q53" i="34"/>
  <c r="R267" i="34"/>
  <c r="AD267" i="34" s="1"/>
  <c r="Y203" i="34"/>
  <c r="AK203" i="34" s="1"/>
  <c r="P197" i="34"/>
  <c r="AB197" i="34" s="1"/>
  <c r="V237" i="34"/>
  <c r="AH237" i="34" s="1"/>
  <c r="U319" i="34"/>
  <c r="AG319" i="34" s="1"/>
  <c r="X93" i="34"/>
  <c r="AJ93" i="34" s="1"/>
  <c r="U234" i="34"/>
  <c r="AG234" i="34" s="1"/>
  <c r="Z272" i="34"/>
  <c r="AL272" i="34" s="1"/>
  <c r="U87" i="34"/>
  <c r="AG87" i="34" s="1"/>
  <c r="Y227" i="34"/>
  <c r="AK227" i="34" s="1"/>
  <c r="T214" i="34"/>
  <c r="U34" i="34"/>
  <c r="W14" i="34"/>
  <c r="S126" i="34"/>
  <c r="T269" i="34"/>
  <c r="Z89" i="34"/>
  <c r="AL89" i="34" s="1"/>
  <c r="Y263" i="34"/>
  <c r="AK263" i="34" s="1"/>
  <c r="Q308" i="34"/>
  <c r="AC308" i="34" s="1"/>
  <c r="U69" i="34"/>
  <c r="AG69" i="34" s="1"/>
  <c r="O266" i="34"/>
  <c r="AA266" i="34" s="1"/>
  <c r="Z127" i="34"/>
  <c r="AL127" i="34" s="1"/>
  <c r="Y49" i="34"/>
  <c r="AK49" i="34" s="1"/>
  <c r="S150" i="34"/>
  <c r="AE150" i="34" s="1"/>
  <c r="T226" i="34"/>
  <c r="AF226" i="34" s="1"/>
  <c r="X73" i="34"/>
  <c r="AJ73" i="34" s="1"/>
  <c r="Q284" i="34"/>
  <c r="AC284" i="34" s="1"/>
  <c r="Y135" i="34"/>
  <c r="AK135" i="34" s="1"/>
  <c r="Z109" i="34"/>
  <c r="AL109" i="34" s="1"/>
  <c r="R217" i="34"/>
  <c r="AD217" i="34" s="1"/>
  <c r="S254" i="34"/>
  <c r="Q191" i="34"/>
  <c r="AC191" i="34" s="1"/>
  <c r="R229" i="34"/>
  <c r="AD229" i="34" s="1"/>
  <c r="S158" i="34"/>
  <c r="AE158" i="34" s="1"/>
  <c r="Y185" i="34"/>
  <c r="AK185" i="34" s="1"/>
  <c r="S84" i="34"/>
  <c r="AE84" i="34" s="1"/>
  <c r="W318" i="34"/>
  <c r="AI318" i="34" s="1"/>
  <c r="P267" i="34"/>
  <c r="AB267" i="34" s="1"/>
  <c r="Z313" i="34"/>
  <c r="AL313" i="34" s="1"/>
  <c r="P35" i="34"/>
  <c r="S35" i="34"/>
  <c r="W52" i="34"/>
  <c r="T12" i="34"/>
  <c r="S256" i="34"/>
  <c r="Y145" i="34"/>
  <c r="AK145" i="34" s="1"/>
  <c r="V320" i="34"/>
  <c r="AH320" i="34" s="1"/>
  <c r="W320" i="34"/>
  <c r="AI320" i="34" s="1"/>
  <c r="U284" i="34"/>
  <c r="AG284" i="34" s="1"/>
  <c r="X314" i="34"/>
  <c r="AJ314" i="34" s="1"/>
  <c r="U129" i="34"/>
  <c r="AG129" i="34" s="1"/>
  <c r="Q193" i="34"/>
  <c r="AC193" i="34" s="1"/>
  <c r="V277" i="34"/>
  <c r="AH277" i="34" s="1"/>
  <c r="Y311" i="34"/>
  <c r="AK311" i="34" s="1"/>
  <c r="T262" i="34"/>
  <c r="AF262" i="34" s="1"/>
  <c r="Q242" i="34"/>
  <c r="R50" i="34"/>
  <c r="AD50" i="34" s="1"/>
  <c r="T74" i="34"/>
  <c r="AF74" i="34" s="1"/>
  <c r="W50" i="34"/>
  <c r="AI50" i="34" s="1"/>
  <c r="Q214" i="34"/>
  <c r="Y186" i="34"/>
  <c r="S208" i="34"/>
  <c r="AE208" i="34" s="1"/>
  <c r="O68" i="34"/>
  <c r="AA68" i="34" s="1"/>
  <c r="Z205" i="34"/>
  <c r="AL205" i="34" s="1"/>
  <c r="O279" i="34"/>
  <c r="AA279" i="34" s="1"/>
  <c r="Y192" i="34"/>
  <c r="AK192" i="34" s="1"/>
  <c r="O302" i="34"/>
  <c r="AA302" i="34" s="1"/>
  <c r="T59" i="34"/>
  <c r="AF59" i="34" s="1"/>
  <c r="T210" i="34"/>
  <c r="Q11" i="34"/>
  <c r="U165" i="34"/>
  <c r="AG165" i="34" s="1"/>
  <c r="T8" i="34"/>
  <c r="AF8" i="34" s="1"/>
  <c r="Z193" i="34"/>
  <c r="AL193" i="34" s="1"/>
  <c r="V200" i="34"/>
  <c r="AH200" i="34" s="1"/>
  <c r="W158" i="34"/>
  <c r="AI158" i="34" s="1"/>
  <c r="O158" i="34"/>
  <c r="AA158" i="34" s="1"/>
  <c r="Z66" i="34"/>
  <c r="Q218" i="34"/>
  <c r="AC218" i="34" s="1"/>
  <c r="Q123" i="34"/>
  <c r="AC123" i="34" s="1"/>
  <c r="X8" i="34"/>
  <c r="AJ8" i="34" s="1"/>
  <c r="X203" i="34"/>
  <c r="AJ203" i="34" s="1"/>
  <c r="X263" i="34"/>
  <c r="AJ263" i="34" s="1"/>
  <c r="O320" i="34"/>
  <c r="AA320" i="34" s="1"/>
  <c r="R153" i="34"/>
  <c r="AD153" i="34" s="1"/>
  <c r="P56" i="34"/>
  <c r="AB56" i="34" s="1"/>
  <c r="T152" i="34"/>
  <c r="AF152" i="34" s="1"/>
  <c r="W321" i="34"/>
  <c r="AI321" i="34" s="1"/>
  <c r="W187" i="34"/>
  <c r="AI187" i="34" s="1"/>
  <c r="Q129" i="34"/>
  <c r="AC129" i="34" s="1"/>
  <c r="Z160" i="34"/>
  <c r="AL160" i="34" s="1"/>
  <c r="V215" i="34"/>
  <c r="AH215" i="34" s="1"/>
  <c r="T228" i="34"/>
  <c r="AF228" i="34" s="1"/>
  <c r="S235" i="34"/>
  <c r="AE235" i="34" s="1"/>
  <c r="U205" i="34"/>
  <c r="AG205" i="34" s="1"/>
  <c r="Z280" i="34"/>
  <c r="AL280" i="34" s="1"/>
  <c r="X84" i="34"/>
  <c r="AJ84" i="34" s="1"/>
  <c r="R261" i="34"/>
  <c r="AD261" i="34" s="1"/>
  <c r="Z126" i="34"/>
  <c r="W246" i="34"/>
  <c r="U194" i="34"/>
  <c r="Y262" i="34"/>
  <c r="AK262" i="34" s="1"/>
  <c r="V194" i="34"/>
  <c r="AH194" i="34" s="1"/>
  <c r="U206" i="34"/>
  <c r="AG206" i="34" s="1"/>
  <c r="S96" i="34"/>
  <c r="AE96" i="34" s="1"/>
  <c r="P4" i="34"/>
  <c r="AB4" i="34" s="1"/>
  <c r="O275" i="34"/>
  <c r="AA275" i="34" s="1"/>
  <c r="R309" i="34"/>
  <c r="AD309" i="34" s="1"/>
  <c r="Y180" i="34"/>
  <c r="AK180" i="34" s="1"/>
  <c r="U56" i="34"/>
  <c r="AG56" i="34" s="1"/>
  <c r="Q311" i="34"/>
  <c r="AC311" i="34" s="1"/>
  <c r="T279" i="34"/>
  <c r="AF279" i="34" s="1"/>
  <c r="P194" i="34"/>
  <c r="AB194" i="34" s="1"/>
  <c r="X208" i="34"/>
  <c r="AJ208" i="34" s="1"/>
  <c r="R313" i="34"/>
  <c r="AD313" i="34" s="1"/>
  <c r="T211" i="34"/>
  <c r="AF211" i="34" s="1"/>
  <c r="T216" i="34"/>
  <c r="AF216" i="34" s="1"/>
  <c r="Z81" i="34"/>
  <c r="T187" i="34"/>
  <c r="AF187" i="34" s="1"/>
  <c r="Y127" i="34"/>
  <c r="AK127" i="34" s="1"/>
  <c r="P289" i="34"/>
  <c r="AB289" i="34" s="1"/>
  <c r="U321" i="34"/>
  <c r="AG321" i="34" s="1"/>
  <c r="P69" i="34"/>
  <c r="AB69" i="34" s="1"/>
  <c r="X21" i="34"/>
  <c r="X188" i="34"/>
  <c r="AJ188" i="34" s="1"/>
  <c r="P311" i="34"/>
  <c r="AB311" i="34" s="1"/>
  <c r="V275" i="34"/>
  <c r="AH275" i="34" s="1"/>
  <c r="Z33" i="34"/>
  <c r="AL33" i="34" s="1"/>
  <c r="U99" i="34"/>
  <c r="AG99" i="34" s="1"/>
  <c r="Z118" i="34"/>
  <c r="AL118" i="34" s="1"/>
  <c r="X221" i="34"/>
  <c r="AJ221" i="34" s="1"/>
  <c r="X162" i="34"/>
  <c r="AJ162" i="34" s="1"/>
  <c r="S228" i="34"/>
  <c r="AE228" i="34" s="1"/>
  <c r="X207" i="34"/>
  <c r="AJ207" i="34" s="1"/>
  <c r="U261" i="34"/>
  <c r="AG261" i="34" s="1"/>
  <c r="O317" i="34"/>
  <c r="AA317" i="34" s="1"/>
  <c r="Z239" i="34"/>
  <c r="AL239" i="34" s="1"/>
  <c r="X126" i="34"/>
  <c r="Z122" i="34"/>
  <c r="AL122" i="34" s="1"/>
  <c r="X242" i="34"/>
  <c r="Y318" i="34"/>
  <c r="AK318" i="34" s="1"/>
  <c r="Z242" i="34"/>
  <c r="V318" i="34"/>
  <c r="AH318" i="34" s="1"/>
  <c r="Y200" i="34"/>
  <c r="AK200" i="34" s="1"/>
  <c r="W77" i="34"/>
  <c r="AI77" i="34" s="1"/>
  <c r="W267" i="34"/>
  <c r="AI267" i="34" s="1"/>
  <c r="U156" i="34"/>
  <c r="AG156" i="34" s="1"/>
  <c r="Z87" i="34"/>
  <c r="AL87" i="34" s="1"/>
  <c r="X277" i="34"/>
  <c r="AJ277" i="34" s="1"/>
  <c r="V235" i="34"/>
  <c r="AH235" i="34" s="1"/>
  <c r="X235" i="34"/>
  <c r="AJ235" i="34" s="1"/>
  <c r="Q26" i="34"/>
  <c r="AC26" i="34" s="1"/>
  <c r="O218" i="34"/>
  <c r="AA218" i="34" s="1"/>
  <c r="Q156" i="34"/>
  <c r="AC156" i="34" s="1"/>
  <c r="X187" i="34"/>
  <c r="AJ187" i="34" s="1"/>
  <c r="T237" i="34"/>
  <c r="AF237" i="34" s="1"/>
  <c r="U92" i="34"/>
  <c r="AG92" i="34" s="1"/>
  <c r="P151" i="34"/>
  <c r="O24" i="34"/>
  <c r="AA24" i="34" s="1"/>
  <c r="X184" i="34"/>
  <c r="AJ184" i="34" s="1"/>
  <c r="Q307" i="34"/>
  <c r="AC307" i="34" s="1"/>
  <c r="O29" i="34"/>
  <c r="AA29" i="34" s="1"/>
  <c r="U131" i="34"/>
  <c r="AG131" i="34" s="1"/>
  <c r="O303" i="34"/>
  <c r="AA303" i="34" s="1"/>
  <c r="U227" i="34"/>
  <c r="AG227" i="34" s="1"/>
  <c r="Q72" i="34"/>
  <c r="AC72" i="34" s="1"/>
  <c r="Z253" i="34"/>
  <c r="AL253" i="34" s="1"/>
  <c r="W308" i="34"/>
  <c r="AI308" i="34" s="1"/>
  <c r="Z231" i="34"/>
  <c r="AL231" i="34" s="1"/>
  <c r="U104" i="34"/>
  <c r="AG104" i="34" s="1"/>
  <c r="R136" i="34"/>
  <c r="AD136" i="34" s="1"/>
  <c r="Y103" i="34"/>
  <c r="AK103" i="34" s="1"/>
  <c r="Y296" i="34"/>
  <c r="AK296" i="34" s="1"/>
  <c r="Z210" i="34"/>
  <c r="S274" i="34"/>
  <c r="P34" i="34"/>
  <c r="V214" i="34"/>
  <c r="O17" i="34"/>
  <c r="AA17" i="34" s="1"/>
  <c r="O297" i="34"/>
  <c r="AA297" i="34" s="1"/>
  <c r="V184" i="34"/>
  <c r="AH184" i="34" s="1"/>
  <c r="X165" i="34"/>
  <c r="AJ165" i="34" s="1"/>
  <c r="Q259" i="34"/>
  <c r="AC259" i="34" s="1"/>
  <c r="Z73" i="34"/>
  <c r="AL73" i="34" s="1"/>
  <c r="V246" i="34"/>
  <c r="P242" i="34"/>
  <c r="X69" i="34"/>
  <c r="AJ69" i="34" s="1"/>
  <c r="Y277" i="34"/>
  <c r="AK277" i="34" s="1"/>
  <c r="U199" i="34"/>
  <c r="AG199" i="34" s="1"/>
  <c r="Z44" i="34"/>
  <c r="AL44" i="34" s="1"/>
  <c r="U82" i="34"/>
  <c r="AG82" i="34" s="1"/>
  <c r="Q173" i="34"/>
  <c r="AC173" i="34" s="1"/>
  <c r="V203" i="34"/>
  <c r="AH203" i="34" s="1"/>
  <c r="X88" i="34"/>
  <c r="AJ88" i="34" s="1"/>
  <c r="X47" i="34"/>
  <c r="AJ47" i="34" s="1"/>
  <c r="T169" i="34"/>
  <c r="AF169" i="34" s="1"/>
  <c r="Z309" i="34"/>
  <c r="AL309" i="34" s="1"/>
  <c r="P233" i="34"/>
  <c r="AB233" i="34" s="1"/>
  <c r="Y15" i="34"/>
  <c r="W43" i="34"/>
  <c r="AI43" i="34" s="1"/>
  <c r="P103" i="34"/>
  <c r="AB103" i="34" s="1"/>
  <c r="Q139" i="34"/>
  <c r="AC139" i="34" s="1"/>
  <c r="R135" i="34"/>
  <c r="AD135" i="34" s="1"/>
  <c r="S194" i="34"/>
  <c r="AE194" i="34" s="1"/>
  <c r="V309" i="34"/>
  <c r="AH309" i="34" s="1"/>
  <c r="Q265" i="34"/>
  <c r="AC265" i="34" s="1"/>
  <c r="X59" i="34"/>
  <c r="AJ59" i="34" s="1"/>
  <c r="P114" i="34"/>
  <c r="AB114" i="34" s="1"/>
  <c r="X228" i="34"/>
  <c r="AJ228" i="34" s="1"/>
  <c r="W73" i="34"/>
  <c r="AI73" i="34" s="1"/>
  <c r="Y121" i="34"/>
  <c r="AK121" i="34" s="1"/>
  <c r="O300" i="34"/>
  <c r="Z287" i="34"/>
  <c r="T31" i="34"/>
  <c r="Q303" i="34"/>
  <c r="AC303" i="34" s="1"/>
  <c r="P305" i="34"/>
  <c r="Q151" i="34"/>
  <c r="V317" i="34"/>
  <c r="AH317" i="34" s="1"/>
  <c r="X289" i="34"/>
  <c r="AJ289" i="34" s="1"/>
  <c r="Z279" i="34"/>
  <c r="AL279" i="34" s="1"/>
  <c r="T136" i="34"/>
  <c r="AF136" i="34" s="1"/>
  <c r="U90" i="34"/>
  <c r="AG90" i="34" s="1"/>
  <c r="P301" i="34"/>
  <c r="AB301" i="34" s="1"/>
  <c r="T307" i="34"/>
  <c r="AF307" i="34" s="1"/>
  <c r="R191" i="34"/>
  <c r="AD191" i="34" s="1"/>
  <c r="V307" i="34"/>
  <c r="AH307" i="34" s="1"/>
  <c r="U272" i="34"/>
  <c r="AG272" i="34" s="1"/>
  <c r="T14" i="34"/>
  <c r="S14" i="34"/>
  <c r="R214" i="34"/>
  <c r="W242" i="34"/>
  <c r="P18" i="34"/>
  <c r="T25" i="34"/>
  <c r="AF25" i="34" s="1"/>
  <c r="S239" i="34"/>
  <c r="AE239" i="34" s="1"/>
  <c r="P211" i="34"/>
  <c r="AB211" i="34" s="1"/>
  <c r="R44" i="34"/>
  <c r="AD44" i="34" s="1"/>
  <c r="V213" i="34"/>
  <c r="AH213" i="34" s="1"/>
  <c r="O315" i="34"/>
  <c r="AA315" i="34" s="1"/>
  <c r="R218" i="34"/>
  <c r="AD218" i="34" s="1"/>
  <c r="S28" i="34"/>
  <c r="AE28" i="34" s="1"/>
  <c r="Q187" i="34"/>
  <c r="AC187" i="34" s="1"/>
  <c r="R236" i="34"/>
  <c r="AD236" i="34" s="1"/>
  <c r="Q112" i="34"/>
  <c r="AC112" i="34" s="1"/>
  <c r="X120" i="34"/>
  <c r="AJ120" i="34" s="1"/>
  <c r="T163" i="34"/>
  <c r="AF163" i="34" s="1"/>
  <c r="Y44" i="34"/>
  <c r="AK44" i="34" s="1"/>
  <c r="U259" i="34"/>
  <c r="AG259" i="34" s="1"/>
  <c r="S74" i="34"/>
  <c r="AE74" i="34" s="1"/>
  <c r="W266" i="34"/>
  <c r="AI266" i="34" s="1"/>
  <c r="Y274" i="34"/>
  <c r="X132" i="34"/>
  <c r="P216" i="34"/>
  <c r="AB216" i="34" s="1"/>
  <c r="Y184" i="34"/>
  <c r="AK184" i="34" s="1"/>
  <c r="U167" i="34"/>
  <c r="AG167" i="34" s="1"/>
  <c r="U171" i="34"/>
  <c r="AG171" i="34" s="1"/>
  <c r="U277" i="34"/>
  <c r="AG277" i="34" s="1"/>
  <c r="V52" i="34"/>
  <c r="X42" i="34"/>
  <c r="AJ42" i="34" s="1"/>
  <c r="V28" i="34"/>
  <c r="AH28" i="34" s="1"/>
  <c r="Q270" i="34"/>
  <c r="AC270" i="34" s="1"/>
  <c r="O103" i="34"/>
  <c r="AA103" i="34" s="1"/>
  <c r="Z177" i="34"/>
  <c r="AL177" i="34" s="1"/>
  <c r="U236" i="34"/>
  <c r="AG236" i="34" s="1"/>
  <c r="T54" i="34"/>
  <c r="U250" i="34"/>
  <c r="AG250" i="34" s="1"/>
  <c r="V106" i="34"/>
  <c r="AH106" i="34" s="1"/>
  <c r="T5" i="34"/>
  <c r="AF5" i="34" s="1"/>
  <c r="V73" i="34"/>
  <c r="AH73" i="34" s="1"/>
  <c r="P232" i="34"/>
  <c r="AB232" i="34" s="1"/>
  <c r="X313" i="34"/>
  <c r="AJ313" i="34" s="1"/>
  <c r="X303" i="34"/>
  <c r="AJ303" i="34" s="1"/>
  <c r="Q100" i="34"/>
  <c r="AC100" i="34" s="1"/>
  <c r="U282" i="34"/>
  <c r="AG282" i="34" s="1"/>
  <c r="Q162" i="34"/>
  <c r="AC162" i="34" s="1"/>
  <c r="Z74" i="34"/>
  <c r="AL74" i="34" s="1"/>
  <c r="V312" i="34"/>
  <c r="AH312" i="34" s="1"/>
  <c r="Q251" i="34"/>
  <c r="AC251" i="34" s="1"/>
  <c r="U15" i="34"/>
  <c r="W290" i="34"/>
  <c r="R164" i="34"/>
  <c r="S245" i="34"/>
  <c r="U73" i="34"/>
  <c r="AG73" i="34" s="1"/>
  <c r="X16" i="34"/>
  <c r="AJ16" i="34" s="1"/>
  <c r="W5" i="34"/>
  <c r="AI5" i="34" s="1"/>
  <c r="V9" i="34"/>
  <c r="P116" i="34"/>
  <c r="Y6" i="34"/>
  <c r="AK6" i="34" s="1"/>
  <c r="O6" i="34"/>
  <c r="AA6" i="34" s="1"/>
  <c r="O220" i="34"/>
  <c r="V316" i="34"/>
  <c r="W241" i="34"/>
  <c r="V295" i="34"/>
  <c r="AH295" i="34" s="1"/>
  <c r="X25" i="34"/>
  <c r="AJ25" i="34" s="1"/>
  <c r="X104" i="34"/>
  <c r="AJ104" i="34" s="1"/>
  <c r="Q24" i="34"/>
  <c r="AC24" i="34" s="1"/>
  <c r="Z295" i="34"/>
  <c r="S229" i="34"/>
  <c r="AE229" i="34" s="1"/>
  <c r="O243" i="34"/>
  <c r="Y305" i="34"/>
  <c r="R91" i="34"/>
  <c r="AD91" i="34" s="1"/>
  <c r="P31" i="34"/>
  <c r="P80" i="34"/>
  <c r="X169" i="34"/>
  <c r="AJ169" i="34" s="1"/>
  <c r="X193" i="34"/>
  <c r="AJ193" i="34" s="1"/>
  <c r="S272" i="34"/>
  <c r="AE272" i="34" s="1"/>
  <c r="V195" i="34"/>
  <c r="AH195" i="34" s="1"/>
  <c r="T189" i="34"/>
  <c r="AF189" i="34" s="1"/>
  <c r="V271" i="34"/>
  <c r="AH271" i="34" s="1"/>
  <c r="O213" i="34"/>
  <c r="AA213" i="34" s="1"/>
  <c r="U119" i="34"/>
  <c r="AG119" i="34" s="1"/>
  <c r="X236" i="34"/>
  <c r="AJ236" i="34" s="1"/>
  <c r="Q221" i="34"/>
  <c r="AC221" i="34" s="1"/>
  <c r="T50" i="34"/>
  <c r="AF50" i="34" s="1"/>
  <c r="U178" i="34"/>
  <c r="V254" i="34"/>
  <c r="AH254" i="34" s="1"/>
  <c r="T10" i="34"/>
  <c r="O273" i="34"/>
  <c r="AA273" i="34" s="1"/>
  <c r="T176" i="34"/>
  <c r="AF176" i="34" s="1"/>
  <c r="T93" i="34"/>
  <c r="AF93" i="34" s="1"/>
  <c r="R285" i="34"/>
  <c r="AD285" i="34" s="1"/>
  <c r="U231" i="34"/>
  <c r="AG231" i="34" s="1"/>
  <c r="T303" i="34"/>
  <c r="AF303" i="34" s="1"/>
  <c r="R207" i="34"/>
  <c r="AD207" i="34" s="1"/>
  <c r="Q106" i="34"/>
  <c r="AC106" i="34" s="1"/>
  <c r="U6" i="34"/>
  <c r="AG6" i="34" s="1"/>
  <c r="V67" i="34"/>
  <c r="AH67" i="34" s="1"/>
  <c r="R213" i="34"/>
  <c r="AD213" i="34" s="1"/>
  <c r="T95" i="34"/>
  <c r="Y310" i="34"/>
  <c r="AK310" i="34" s="1"/>
  <c r="X204" i="34"/>
  <c r="AJ204" i="34" s="1"/>
  <c r="V185" i="34"/>
  <c r="AH185" i="34" s="1"/>
  <c r="R131" i="34"/>
  <c r="AD131" i="34" s="1"/>
  <c r="V250" i="34"/>
  <c r="AH250" i="34" s="1"/>
  <c r="U246" i="34"/>
  <c r="R17" i="34"/>
  <c r="AD17" i="34" s="1"/>
  <c r="O227" i="34"/>
  <c r="AA227" i="34" s="1"/>
  <c r="Z311" i="34"/>
  <c r="AL311" i="34" s="1"/>
  <c r="O32" i="34"/>
  <c r="AA32" i="34" s="1"/>
  <c r="W215" i="34"/>
  <c r="AI215" i="34" s="1"/>
  <c r="U292" i="34"/>
  <c r="AG292" i="34" s="1"/>
  <c r="Y303" i="34"/>
  <c r="AK303" i="34" s="1"/>
  <c r="V92" i="34"/>
  <c r="AH92" i="34" s="1"/>
  <c r="V130" i="34"/>
  <c r="AH130" i="34" s="1"/>
  <c r="S190" i="34"/>
  <c r="AE190" i="34" s="1"/>
  <c r="T92" i="34"/>
  <c r="AF92" i="34" s="1"/>
  <c r="W140" i="34"/>
  <c r="AI140" i="34" s="1"/>
  <c r="Y197" i="34"/>
  <c r="AK197" i="34" s="1"/>
  <c r="Y89" i="34"/>
  <c r="AK89" i="34" s="1"/>
  <c r="R186" i="34"/>
  <c r="AD186" i="34" s="1"/>
  <c r="T186" i="34"/>
  <c r="Z250" i="34"/>
  <c r="AL250" i="34" s="1"/>
  <c r="S185" i="34"/>
  <c r="AE185" i="34" s="1"/>
  <c r="T140" i="34"/>
  <c r="AF140" i="34" s="1"/>
  <c r="O229" i="34"/>
  <c r="AA229" i="34" s="1"/>
  <c r="Q279" i="34"/>
  <c r="AC279" i="34" s="1"/>
  <c r="Q155" i="34"/>
  <c r="AC155" i="34" s="1"/>
  <c r="S171" i="34"/>
  <c r="AE171" i="34" s="1"/>
  <c r="W87" i="34"/>
  <c r="AI87" i="34" s="1"/>
  <c r="T241" i="34"/>
  <c r="V259" i="34"/>
  <c r="AH259" i="34" s="1"/>
  <c r="Y47" i="34"/>
  <c r="AK47" i="34" s="1"/>
  <c r="X125" i="34"/>
  <c r="AJ125" i="34" s="1"/>
  <c r="Y20" i="34"/>
  <c r="V181" i="34"/>
  <c r="T219" i="34"/>
  <c r="AF219" i="34" s="1"/>
  <c r="P147" i="34"/>
  <c r="X39" i="34"/>
  <c r="AJ39" i="34" s="1"/>
  <c r="X35" i="34"/>
  <c r="Z212" i="34"/>
  <c r="T223" i="34"/>
  <c r="Y5" i="34"/>
  <c r="S199" i="34"/>
  <c r="AE199" i="34" s="1"/>
  <c r="W12" i="34"/>
  <c r="Z316" i="34"/>
  <c r="U223" i="34"/>
  <c r="AG223" i="34" s="1"/>
  <c r="P133" i="34"/>
  <c r="Z155" i="34"/>
  <c r="AL155" i="34" s="1"/>
  <c r="T250" i="34"/>
  <c r="AF250" i="34" s="1"/>
  <c r="U268" i="34"/>
  <c r="AG268" i="34" s="1"/>
  <c r="O5" i="34"/>
  <c r="AA5" i="34" s="1"/>
  <c r="V125" i="34"/>
  <c r="AH125" i="34" s="1"/>
  <c r="S323" i="34"/>
  <c r="AE323" i="34" s="1"/>
  <c r="R64" i="34"/>
  <c r="W269" i="34"/>
  <c r="O27" i="34"/>
  <c r="V255" i="34"/>
  <c r="AH255" i="34" s="1"/>
  <c r="W244" i="34"/>
  <c r="AI244" i="34" s="1"/>
  <c r="Y267" i="34"/>
  <c r="AK267" i="34" s="1"/>
  <c r="P263" i="34"/>
  <c r="AB263" i="34" s="1"/>
  <c r="Q99" i="34"/>
  <c r="AC99" i="34" s="1"/>
  <c r="R189" i="34"/>
  <c r="AD189" i="34" s="1"/>
  <c r="O314" i="34"/>
  <c r="AA314" i="34" s="1"/>
  <c r="Q131" i="34"/>
  <c r="AC131" i="34" s="1"/>
  <c r="T45" i="34"/>
  <c r="AF45" i="34" s="1"/>
  <c r="P152" i="34"/>
  <c r="AB152" i="34" s="1"/>
  <c r="O309" i="34"/>
  <c r="AA309" i="34" s="1"/>
  <c r="Z192" i="34"/>
  <c r="AL192" i="34" s="1"/>
  <c r="O242" i="34"/>
  <c r="O210" i="34"/>
  <c r="O14" i="34"/>
  <c r="W262" i="34"/>
  <c r="AI262" i="34" s="1"/>
  <c r="X291" i="34"/>
  <c r="AJ291" i="34" s="1"/>
  <c r="P5" i="34"/>
  <c r="V196" i="34"/>
  <c r="AH196" i="34" s="1"/>
  <c r="Q61" i="34"/>
  <c r="AC61" i="34" s="1"/>
  <c r="U160" i="34"/>
  <c r="AG160" i="34" s="1"/>
  <c r="Q152" i="34"/>
  <c r="AC152" i="34" s="1"/>
  <c r="W254" i="34"/>
  <c r="AI254" i="34" s="1"/>
  <c r="V50" i="34"/>
  <c r="AH50" i="34" s="1"/>
  <c r="X189" i="34"/>
  <c r="AJ189" i="34" s="1"/>
  <c r="Y153" i="34"/>
  <c r="AK153" i="34" s="1"/>
  <c r="P89" i="34"/>
  <c r="AB89" i="34" s="1"/>
  <c r="Q314" i="34"/>
  <c r="AC314" i="34" s="1"/>
  <c r="P176" i="34"/>
  <c r="AB176" i="34" s="1"/>
  <c r="O231" i="34"/>
  <c r="AA231" i="34" s="1"/>
  <c r="W301" i="34"/>
  <c r="AI301" i="34" s="1"/>
  <c r="Z171" i="34"/>
  <c r="AL171" i="34" s="1"/>
  <c r="U262" i="34"/>
  <c r="AG262" i="34" s="1"/>
  <c r="O34" i="34"/>
  <c r="Q291" i="34"/>
  <c r="AC291" i="34" s="1"/>
  <c r="Q119" i="34"/>
  <c r="AC119" i="34" s="1"/>
  <c r="R149" i="34"/>
  <c r="AD149" i="34" s="1"/>
  <c r="U140" i="34"/>
  <c r="AG140" i="34" s="1"/>
  <c r="R183" i="34"/>
  <c r="AD183" i="34" s="1"/>
  <c r="W16" i="34"/>
  <c r="AI16" i="34" s="1"/>
  <c r="T32" i="34"/>
  <c r="AF32" i="34" s="1"/>
  <c r="V123" i="34"/>
  <c r="AH123" i="34" s="1"/>
  <c r="T44" i="34"/>
  <c r="AF44" i="34" s="1"/>
  <c r="Z13" i="34"/>
  <c r="R112" i="34"/>
  <c r="AD112" i="34" s="1"/>
  <c r="W6" i="34"/>
  <c r="AI6" i="34" s="1"/>
  <c r="T185" i="34"/>
  <c r="AF185" i="34" s="1"/>
  <c r="T47" i="34"/>
  <c r="AF47" i="34" s="1"/>
  <c r="X254" i="34"/>
  <c r="R206" i="34"/>
  <c r="AD206" i="34" s="1"/>
  <c r="Z17" i="34"/>
  <c r="AL17" i="34" s="1"/>
  <c r="R87" i="34"/>
  <c r="AD87" i="34" s="1"/>
  <c r="S289" i="34"/>
  <c r="AE289" i="34" s="1"/>
  <c r="Q88" i="34"/>
  <c r="AC88" i="34" s="1"/>
  <c r="Z152" i="34"/>
  <c r="AL152" i="34" s="1"/>
  <c r="Z183" i="34"/>
  <c r="AL183" i="34" s="1"/>
  <c r="Y23" i="34"/>
  <c r="AK23" i="34" s="1"/>
  <c r="Z65" i="34"/>
  <c r="Y50" i="34"/>
  <c r="AK50" i="34" s="1"/>
  <c r="R196" i="34"/>
  <c r="AD196" i="34" s="1"/>
  <c r="W48" i="34"/>
  <c r="AI48" i="34" s="1"/>
  <c r="Q10" i="34"/>
  <c r="O13" i="34"/>
  <c r="S55" i="34"/>
  <c r="V175" i="34"/>
  <c r="O295" i="34"/>
  <c r="O52" i="34"/>
  <c r="X12" i="34"/>
  <c r="P251" i="34"/>
  <c r="AB251" i="34" s="1"/>
  <c r="Q175" i="34"/>
  <c r="U79" i="34"/>
  <c r="S160" i="34"/>
  <c r="AE160" i="34" s="1"/>
  <c r="X75" i="34"/>
  <c r="O251" i="34"/>
  <c r="T240" i="34"/>
  <c r="Y287" i="34"/>
  <c r="U177" i="34"/>
  <c r="AG177" i="34" s="1"/>
  <c r="V261" i="34"/>
  <c r="AH261" i="34" s="1"/>
  <c r="R159" i="34"/>
  <c r="T144" i="34"/>
  <c r="V244" i="34"/>
  <c r="AH244" i="34" s="1"/>
  <c r="X144" i="34"/>
  <c r="S264" i="34"/>
  <c r="U153" i="34"/>
  <c r="AG153" i="34" s="1"/>
  <c r="O55" i="34"/>
  <c r="R172" i="34"/>
  <c r="Y107" i="34"/>
  <c r="AK107" i="34" s="1"/>
  <c r="V114" i="34"/>
  <c r="AH114" i="34" s="1"/>
  <c r="W199" i="34"/>
  <c r="AI199" i="34" s="1"/>
  <c r="R57" i="34"/>
  <c r="AD57" i="34" s="1"/>
  <c r="X284" i="34"/>
  <c r="AJ284" i="34" s="1"/>
  <c r="R72" i="34"/>
  <c r="AD72" i="34" s="1"/>
  <c r="P37" i="34"/>
  <c r="AB37" i="34" s="1"/>
  <c r="W172" i="34"/>
  <c r="S8" i="34"/>
  <c r="AE8" i="34" s="1"/>
  <c r="Q135" i="34"/>
  <c r="AC135" i="34" s="1"/>
  <c r="R317" i="34"/>
  <c r="AD317" i="34" s="1"/>
  <c r="P224" i="34"/>
  <c r="AB224" i="34" s="1"/>
  <c r="T253" i="34"/>
  <c r="AF253" i="34" s="1"/>
  <c r="T24" i="34"/>
  <c r="AF24" i="34" s="1"/>
  <c r="X192" i="34"/>
  <c r="AJ192" i="34" s="1"/>
  <c r="R141" i="34"/>
  <c r="AD141" i="34" s="1"/>
  <c r="U271" i="34"/>
  <c r="AG271" i="34" s="1"/>
  <c r="R221" i="34"/>
  <c r="AD221" i="34" s="1"/>
  <c r="Z72" i="34"/>
  <c r="AL72" i="34" s="1"/>
  <c r="P179" i="34"/>
  <c r="AB179" i="34" s="1"/>
  <c r="R45" i="34"/>
  <c r="AD45" i="34" s="1"/>
  <c r="Q165" i="34"/>
  <c r="AC165" i="34" s="1"/>
  <c r="W8" i="34"/>
  <c r="AI8" i="34" s="1"/>
  <c r="O185" i="34"/>
  <c r="AA185" i="34" s="1"/>
  <c r="Z169" i="34"/>
  <c r="AL169" i="34" s="1"/>
  <c r="T221" i="34"/>
  <c r="AF221" i="34" s="1"/>
  <c r="O293" i="34"/>
  <c r="AA293" i="34" s="1"/>
  <c r="V109" i="34"/>
  <c r="AH109" i="34" s="1"/>
  <c r="Z15" i="34"/>
  <c r="U14" i="34"/>
  <c r="Q210" i="34"/>
  <c r="S206" i="34"/>
  <c r="AE206" i="34" s="1"/>
  <c r="V210" i="34"/>
  <c r="T254" i="34"/>
  <c r="AF254" i="34" s="1"/>
  <c r="O21" i="34"/>
  <c r="Q200" i="34"/>
  <c r="AC200" i="34" s="1"/>
  <c r="W228" i="34"/>
  <c r="AI228" i="34" s="1"/>
  <c r="Q73" i="34"/>
  <c r="AC73" i="34" s="1"/>
  <c r="R321" i="34"/>
  <c r="AD321" i="34" s="1"/>
  <c r="V193" i="34"/>
  <c r="AH193" i="34" s="1"/>
  <c r="Z143" i="34"/>
  <c r="AL143" i="34" s="1"/>
  <c r="T171" i="34"/>
  <c r="AF171" i="34" s="1"/>
  <c r="Y278" i="34"/>
  <c r="R290" i="34"/>
  <c r="O260" i="34"/>
  <c r="R301" i="34"/>
  <c r="AD301" i="34" s="1"/>
  <c r="R239" i="34"/>
  <c r="AD239" i="34" s="1"/>
  <c r="P236" i="34"/>
  <c r="AB236" i="34" s="1"/>
  <c r="W111" i="34"/>
  <c r="AI111" i="34" s="1"/>
  <c r="T258" i="34"/>
  <c r="AF258" i="34" s="1"/>
  <c r="O152" i="34"/>
  <c r="AA152" i="34" s="1"/>
  <c r="T36" i="34"/>
  <c r="U203" i="34"/>
  <c r="AG203" i="34" s="1"/>
  <c r="S285" i="34"/>
  <c r="AE285" i="34" s="1"/>
  <c r="Y317" i="34"/>
  <c r="AK317" i="34" s="1"/>
  <c r="W257" i="34"/>
  <c r="AI257" i="34" s="1"/>
  <c r="Q216" i="34"/>
  <c r="AC216" i="34" s="1"/>
  <c r="X267" i="34"/>
  <c r="AJ267" i="34" s="1"/>
  <c r="O311" i="34"/>
  <c r="AA311" i="34" s="1"/>
  <c r="V33" i="34"/>
  <c r="AH33" i="34" s="1"/>
  <c r="O205" i="34"/>
  <c r="AA205" i="34" s="1"/>
  <c r="P193" i="34"/>
  <c r="AB193" i="34" s="1"/>
  <c r="Q268" i="34"/>
  <c r="AC268" i="34" s="1"/>
  <c r="R268" i="34"/>
  <c r="AD268" i="34" s="1"/>
  <c r="T157" i="34"/>
  <c r="AF157" i="34" s="1"/>
  <c r="Y290" i="34"/>
  <c r="Z41" i="34"/>
  <c r="AL41" i="34" s="1"/>
  <c r="U191" i="34"/>
  <c r="AG191" i="34" s="1"/>
  <c r="U155" i="34"/>
  <c r="AG155" i="34" s="1"/>
  <c r="T320" i="34"/>
  <c r="AF320" i="34" s="1"/>
  <c r="Y312" i="34"/>
  <c r="AK312" i="34" s="1"/>
  <c r="X178" i="34"/>
  <c r="V34" i="34"/>
  <c r="R74" i="34"/>
  <c r="AD74" i="34" s="1"/>
  <c r="S34" i="34"/>
  <c r="Y122" i="34"/>
  <c r="AK122" i="34" s="1"/>
  <c r="R26" i="34"/>
  <c r="AD26" i="34" s="1"/>
  <c r="Y92" i="34"/>
  <c r="AK92" i="34" s="1"/>
  <c r="P283" i="34"/>
  <c r="AB283" i="34" s="1"/>
  <c r="R111" i="34"/>
  <c r="AD111" i="34" s="1"/>
  <c r="V187" i="34"/>
  <c r="AH187" i="34" s="1"/>
  <c r="S281" i="34"/>
  <c r="AE281" i="34" s="1"/>
  <c r="U296" i="34"/>
  <c r="AG296" i="34" s="1"/>
  <c r="O261" i="34"/>
  <c r="AA261" i="34" s="1"/>
  <c r="Q177" i="34"/>
  <c r="AC177" i="34" s="1"/>
  <c r="X158" i="34"/>
  <c r="AJ158" i="34" s="1"/>
  <c r="S290" i="34"/>
  <c r="X63" i="34"/>
  <c r="AJ63" i="34" s="1"/>
  <c r="Q207" i="34"/>
  <c r="AC207" i="34" s="1"/>
  <c r="R56" i="34"/>
  <c r="AD56" i="34" s="1"/>
  <c r="U91" i="34"/>
  <c r="AG91" i="34" s="1"/>
  <c r="S247" i="34"/>
  <c r="AE247" i="34" s="1"/>
  <c r="Q283" i="34"/>
  <c r="AC283" i="34" s="1"/>
  <c r="Z288" i="34"/>
  <c r="U72" i="34"/>
  <c r="AG72" i="34" s="1"/>
  <c r="R304" i="34"/>
  <c r="AD304" i="34" s="1"/>
  <c r="S224" i="34"/>
  <c r="AE224" i="34" s="1"/>
  <c r="T18" i="34"/>
  <c r="AF18" i="34" s="1"/>
  <c r="X66" i="34"/>
  <c r="R250" i="34"/>
  <c r="AD250" i="34" s="1"/>
  <c r="V186" i="34"/>
  <c r="AH186" i="34" s="1"/>
  <c r="P28" i="34"/>
  <c r="AB28" i="34" s="1"/>
  <c r="X179" i="34"/>
  <c r="AJ179" i="34" s="1"/>
  <c r="Q213" i="34"/>
  <c r="AC213" i="34" s="1"/>
  <c r="T309" i="34"/>
  <c r="AF309" i="34" s="1"/>
  <c r="T16" i="34"/>
  <c r="AF16" i="34" s="1"/>
  <c r="Y141" i="34"/>
  <c r="AK141" i="34" s="1"/>
  <c r="Q320" i="34"/>
  <c r="AC320" i="34" s="1"/>
  <c r="W319" i="34"/>
  <c r="AI319" i="34" s="1"/>
  <c r="R219" i="34"/>
  <c r="AD219" i="34" s="1"/>
  <c r="Y80" i="34"/>
  <c r="Y142" i="34"/>
  <c r="AK142" i="34" s="1"/>
  <c r="S246" i="34"/>
  <c r="Y234" i="34"/>
  <c r="AK234" i="34" s="1"/>
  <c r="U314" i="34"/>
  <c r="AG314" i="34" s="1"/>
  <c r="W179" i="34"/>
  <c r="AI179" i="34" s="1"/>
  <c r="R145" i="34"/>
  <c r="AD145" i="34" s="1"/>
  <c r="V263" i="34"/>
  <c r="AH263" i="34" s="1"/>
  <c r="O298" i="34"/>
  <c r="AA298" i="34" s="1"/>
  <c r="Y214" i="34"/>
  <c r="Y66" i="34"/>
  <c r="U210" i="34"/>
  <c r="T28" i="34"/>
  <c r="AF28" i="34" s="1"/>
  <c r="S280" i="34"/>
  <c r="AE280" i="34" s="1"/>
  <c r="P253" i="34"/>
  <c r="AB253" i="34" s="1"/>
  <c r="U320" i="34"/>
  <c r="AG320" i="34" s="1"/>
  <c r="R185" i="34"/>
  <c r="AD185" i="34" s="1"/>
  <c r="Z84" i="34"/>
  <c r="AL84" i="34" s="1"/>
  <c r="Y140" i="34"/>
  <c r="AK140" i="34" s="1"/>
  <c r="P124" i="34"/>
  <c r="AB124" i="34" s="1"/>
  <c r="P22" i="34"/>
  <c r="AB22" i="34" s="1"/>
  <c r="Z96" i="34"/>
  <c r="AL96" i="34" s="1"/>
  <c r="R48" i="34"/>
  <c r="AD48" i="34" s="1"/>
  <c r="Q192" i="34"/>
  <c r="AC192" i="34" s="1"/>
  <c r="P29" i="34"/>
  <c r="AB29" i="34" s="1"/>
  <c r="W24" i="34"/>
  <c r="AI24" i="34" s="1"/>
  <c r="O51" i="34"/>
  <c r="V224" i="34"/>
  <c r="AH224" i="34" s="1"/>
  <c r="Y220" i="34"/>
  <c r="Q20" i="34"/>
  <c r="X79" i="34"/>
  <c r="AJ79" i="34" s="1"/>
  <c r="T107" i="34"/>
  <c r="AF107" i="34" s="1"/>
  <c r="Q132" i="34"/>
  <c r="O59" i="34"/>
  <c r="AA59" i="34" s="1"/>
  <c r="Q51" i="34"/>
  <c r="AC51" i="34" s="1"/>
  <c r="S144" i="34"/>
  <c r="Z20" i="34"/>
  <c r="Z201" i="34"/>
  <c r="Q65" i="34"/>
  <c r="U95" i="34"/>
  <c r="X71" i="34"/>
  <c r="AJ71" i="34" s="1"/>
  <c r="U278" i="34"/>
  <c r="P243" i="34"/>
  <c r="X115" i="34"/>
  <c r="Z304" i="34"/>
  <c r="T201" i="34"/>
  <c r="AF201" i="34" s="1"/>
  <c r="R125" i="34"/>
  <c r="W312" i="34"/>
  <c r="AI312" i="34" s="1"/>
  <c r="Z167" i="34"/>
  <c r="AL167" i="34" s="1"/>
  <c r="R257" i="34"/>
  <c r="AD257" i="34" s="1"/>
  <c r="W31" i="34"/>
  <c r="P79" i="34"/>
  <c r="S175" i="34"/>
  <c r="S20" i="34"/>
  <c r="X243" i="34"/>
  <c r="R300" i="34"/>
  <c r="AD300" i="34" s="1"/>
  <c r="S237" i="34"/>
  <c r="AE237" i="34" s="1"/>
  <c r="W278" i="34"/>
  <c r="S305" i="34"/>
  <c r="AE305" i="34" s="1"/>
  <c r="T132" i="34"/>
  <c r="Y223" i="34"/>
  <c r="AK223" i="34" s="1"/>
  <c r="W231" i="34"/>
  <c r="AI231" i="34" s="1"/>
  <c r="T312" i="34"/>
  <c r="AF312" i="34" s="1"/>
  <c r="T244" i="34"/>
  <c r="W164" i="34"/>
  <c r="S310" i="34"/>
  <c r="AE310" i="34" s="1"/>
  <c r="V98" i="34"/>
  <c r="AH98" i="34" s="1"/>
  <c r="U322" i="34"/>
  <c r="AG322" i="34" s="1"/>
  <c r="X118" i="34"/>
  <c r="AJ118" i="34" s="1"/>
  <c r="Y16" i="34"/>
  <c r="AK16" i="34" s="1"/>
  <c r="X262" i="34"/>
  <c r="AJ262" i="34" s="1"/>
  <c r="T111" i="34"/>
  <c r="AF111" i="34" s="1"/>
  <c r="P315" i="34"/>
  <c r="AB315" i="34" s="1"/>
  <c r="U285" i="34"/>
  <c r="AG285" i="34" s="1"/>
  <c r="T155" i="34"/>
  <c r="AF155" i="34" s="1"/>
  <c r="V301" i="34"/>
  <c r="AH301" i="34" s="1"/>
  <c r="Z51" i="34"/>
  <c r="U9" i="34"/>
  <c r="Q18" i="34"/>
  <c r="AC18" i="34" s="1"/>
  <c r="T89" i="34"/>
  <c r="AF89" i="34" s="1"/>
  <c r="O19" i="34"/>
  <c r="U251" i="34"/>
  <c r="W251" i="34"/>
  <c r="Y35" i="34"/>
  <c r="Q12" i="34"/>
  <c r="Z172" i="34"/>
  <c r="S219" i="34"/>
  <c r="AE219" i="34" s="1"/>
  <c r="T225" i="34"/>
  <c r="U172" i="34"/>
  <c r="Q240" i="34"/>
  <c r="O147" i="34"/>
  <c r="S43" i="34"/>
  <c r="AE43" i="34" s="1"/>
  <c r="T71" i="34"/>
  <c r="AF71" i="34" s="1"/>
  <c r="P128" i="34"/>
  <c r="O172" i="34"/>
  <c r="O35" i="34"/>
  <c r="P212" i="34"/>
  <c r="S15" i="34"/>
  <c r="Y201" i="34"/>
  <c r="V5" i="34"/>
  <c r="AH5" i="34" s="1"/>
  <c r="Q252" i="34"/>
  <c r="X244" i="34"/>
  <c r="V241" i="34"/>
  <c r="S240" i="34"/>
  <c r="Q68" i="34"/>
  <c r="AC68" i="34" s="1"/>
  <c r="S40" i="34"/>
  <c r="AE40" i="34" s="1"/>
  <c r="W217" i="34"/>
  <c r="AI217" i="34" s="1"/>
  <c r="R128" i="34"/>
  <c r="O20" i="34"/>
  <c r="P290" i="34"/>
  <c r="Y55" i="34"/>
  <c r="O255" i="34"/>
  <c r="Q223" i="34"/>
  <c r="P117" i="34"/>
  <c r="P52" i="34"/>
  <c r="U80" i="34"/>
  <c r="P260" i="34"/>
  <c r="U16" i="34"/>
  <c r="AG16" i="34" s="1"/>
  <c r="R122" i="34"/>
  <c r="AD122" i="34" s="1"/>
  <c r="T84" i="34"/>
  <c r="AF84" i="34" s="1"/>
  <c r="V158" i="34"/>
  <c r="AH158" i="34" s="1"/>
  <c r="U141" i="34"/>
  <c r="AG141" i="34" s="1"/>
  <c r="Z63" i="34"/>
  <c r="AL63" i="34" s="1"/>
  <c r="X215" i="34"/>
  <c r="AJ215" i="34" s="1"/>
  <c r="U248" i="34"/>
  <c r="R323" i="34"/>
  <c r="W132" i="34"/>
  <c r="V79" i="34"/>
  <c r="AH79" i="34" s="1"/>
  <c r="Q249" i="34"/>
  <c r="P173" i="34"/>
  <c r="AB173" i="34" s="1"/>
  <c r="W184" i="34"/>
  <c r="AI184" i="34" s="1"/>
  <c r="R35" i="34"/>
  <c r="Y27" i="34"/>
  <c r="V212" i="34"/>
  <c r="X107" i="34"/>
  <c r="V225" i="34"/>
  <c r="R187" i="34"/>
  <c r="AD187" i="34" s="1"/>
  <c r="Z149" i="34"/>
  <c r="AL149" i="34" s="1"/>
  <c r="X20" i="34"/>
  <c r="S97" i="34"/>
  <c r="Q212" i="34"/>
  <c r="R19" i="34"/>
  <c r="Q107" i="34"/>
  <c r="Y147" i="34"/>
  <c r="T287" i="34"/>
  <c r="X264" i="34"/>
  <c r="O282" i="34"/>
  <c r="AA282" i="34" s="1"/>
  <c r="Q160" i="34"/>
  <c r="AC160" i="34" s="1"/>
  <c r="T199" i="34"/>
  <c r="AF199" i="34" s="1"/>
  <c r="Q44" i="34"/>
  <c r="AC44" i="34" s="1"/>
  <c r="R170" i="34"/>
  <c r="AD170" i="34" s="1"/>
  <c r="Z161" i="34"/>
  <c r="AL161" i="34" s="1"/>
  <c r="W70" i="34"/>
  <c r="AI70" i="34" s="1"/>
  <c r="R294" i="34"/>
  <c r="AD294" i="34" s="1"/>
  <c r="Z245" i="34"/>
  <c r="T227" i="34"/>
  <c r="AF227" i="34" s="1"/>
  <c r="Z93" i="34"/>
  <c r="AL93" i="34" s="1"/>
  <c r="W54" i="34"/>
  <c r="Q171" i="34"/>
  <c r="AC171" i="34" s="1"/>
  <c r="Z207" i="34"/>
  <c r="AL207" i="34" s="1"/>
  <c r="Q87" i="34"/>
  <c r="AC87" i="34" s="1"/>
  <c r="O16" i="34"/>
  <c r="AA16" i="34" s="1"/>
  <c r="Y125" i="34"/>
  <c r="AK125" i="34" s="1"/>
  <c r="X147" i="34"/>
  <c r="U295" i="34"/>
  <c r="AG295" i="34" s="1"/>
  <c r="Z108" i="34"/>
  <c r="AL108" i="34" s="1"/>
  <c r="P255" i="34"/>
  <c r="AB255" i="34" s="1"/>
  <c r="P15" i="34"/>
  <c r="Y251" i="34"/>
  <c r="AK251" i="34" s="1"/>
  <c r="V20" i="34"/>
  <c r="X295" i="34"/>
  <c r="V269" i="34"/>
  <c r="U100" i="34"/>
  <c r="AG100" i="34" s="1"/>
  <c r="X248" i="34"/>
  <c r="Z151" i="34"/>
  <c r="Y269" i="34"/>
  <c r="S183" i="34"/>
  <c r="AE183" i="34" s="1"/>
  <c r="R171" i="34"/>
  <c r="AD171" i="34" s="1"/>
  <c r="W21" i="34"/>
  <c r="X55" i="34"/>
  <c r="W13" i="34"/>
  <c r="W220" i="34"/>
  <c r="Z12" i="34"/>
  <c r="Z55" i="34"/>
  <c r="U300" i="34"/>
  <c r="O248" i="34"/>
  <c r="W252" i="34"/>
  <c r="W260" i="34"/>
  <c r="U64" i="34"/>
  <c r="P109" i="34"/>
  <c r="AB109" i="34" s="1"/>
  <c r="O192" i="34"/>
  <c r="AA192" i="34" s="1"/>
  <c r="O131" i="34"/>
  <c r="AA131" i="34" s="1"/>
  <c r="Z19" i="34"/>
  <c r="Q323" i="34"/>
  <c r="Q316" i="34"/>
  <c r="AC316" i="34" s="1"/>
  <c r="S11" i="34"/>
  <c r="P13" i="34"/>
  <c r="O256" i="34"/>
  <c r="W175" i="34"/>
  <c r="Y13" i="34"/>
  <c r="U225" i="34"/>
  <c r="T133" i="34"/>
  <c r="U21" i="34"/>
  <c r="O37" i="34"/>
  <c r="AA37" i="34" s="1"/>
  <c r="W210" i="34"/>
  <c r="AI210" i="34" s="1"/>
  <c r="U224" i="34"/>
  <c r="AG224" i="34" s="1"/>
  <c r="T233" i="34"/>
  <c r="AF233" i="34" s="1"/>
  <c r="P286" i="34"/>
  <c r="AB286" i="34" s="1"/>
  <c r="V88" i="34"/>
  <c r="AH88" i="34" s="1"/>
  <c r="S184" i="34"/>
  <c r="AE184" i="34" s="1"/>
  <c r="S225" i="34"/>
  <c r="R20" i="34"/>
  <c r="W15" i="34"/>
  <c r="U305" i="34"/>
  <c r="AG305" i="34" s="1"/>
  <c r="X117" i="34"/>
  <c r="S39" i="34"/>
  <c r="AE39" i="34" s="1"/>
  <c r="S196" i="34"/>
  <c r="AE196" i="34" s="1"/>
  <c r="W11" i="34"/>
  <c r="P323" i="34"/>
  <c r="AB323" i="34" s="1"/>
  <c r="W300" i="34"/>
  <c r="P100" i="34"/>
  <c r="X116" i="34"/>
  <c r="O236" i="34"/>
  <c r="AA236" i="34" s="1"/>
  <c r="S197" i="34"/>
  <c r="AE197" i="34" s="1"/>
  <c r="X278" i="34"/>
  <c r="S159" i="34"/>
  <c r="W159" i="34"/>
  <c r="R75" i="34"/>
  <c r="AD75" i="34" s="1"/>
  <c r="Q21" i="34"/>
  <c r="Y244" i="34"/>
  <c r="AK244" i="34" s="1"/>
  <c r="Z225" i="34"/>
  <c r="U5" i="34"/>
  <c r="N352" i="31"/>
  <c r="C352" i="31"/>
  <c r="C53" i="31"/>
  <c r="K352" i="31"/>
  <c r="E352" i="31"/>
  <c r="H352" i="31"/>
  <c r="L352" i="31"/>
  <c r="G352" i="31"/>
  <c r="M352" i="31"/>
  <c r="N53" i="31"/>
  <c r="AD210" i="34" l="1"/>
  <c r="AD31" i="34" s="1"/>
  <c r="AJ178" i="34"/>
  <c r="AC209" i="34"/>
  <c r="AD125" i="34"/>
  <c r="AB305" i="34"/>
  <c r="AA323" i="34"/>
  <c r="AE79" i="34"/>
  <c r="AG5" i="34"/>
  <c r="AI300" i="34"/>
  <c r="AI219" i="34"/>
  <c r="AB5" i="34"/>
  <c r="AB214" i="34" s="1"/>
  <c r="AD76" i="34"/>
  <c r="AB209" i="34"/>
  <c r="AF27" i="34"/>
  <c r="AH51" i="34"/>
  <c r="AH251" i="34"/>
  <c r="AA194" i="34"/>
  <c r="AC264" i="34"/>
  <c r="AG132" i="34"/>
  <c r="AD114" i="34"/>
  <c r="AI26" i="34"/>
  <c r="AB266" i="34"/>
  <c r="AC79" i="34"/>
  <c r="AH288" i="34"/>
  <c r="AJ114" i="34"/>
  <c r="AC288" i="34"/>
  <c r="AL206" i="34"/>
  <c r="AI125" i="34"/>
  <c r="AI75" i="34"/>
  <c r="AH76" i="34"/>
  <c r="AF79" i="34"/>
  <c r="AL194" i="34"/>
  <c r="AB121" i="34"/>
  <c r="AA212" i="34"/>
  <c r="AD181" i="34"/>
  <c r="AL214" i="34"/>
  <c r="AK212" i="34"/>
  <c r="AJ255" i="34"/>
  <c r="AK164" i="34"/>
  <c r="AL18" i="34"/>
  <c r="AC295" i="34"/>
  <c r="AI27" i="34"/>
  <c r="AC287" i="34"/>
  <c r="AE209" i="34"/>
  <c r="AL323" i="34"/>
  <c r="AH201" i="34"/>
  <c r="AE26" i="34"/>
  <c r="AF75" i="34"/>
  <c r="AJ256" i="34"/>
  <c r="AC172" i="34"/>
  <c r="AF115" i="34"/>
  <c r="AF300" i="34"/>
  <c r="AI206" i="34"/>
  <c r="AC248" i="34"/>
  <c r="AH107" i="34"/>
  <c r="AE121" i="34"/>
  <c r="AB295" i="34"/>
  <c r="AC27" i="34"/>
  <c r="AG316" i="34"/>
  <c r="AB316" i="34"/>
  <c r="AG115" i="34"/>
  <c r="AJ106" i="34"/>
  <c r="AK210" i="34"/>
  <c r="AI106" i="34"/>
  <c r="AB223" i="34"/>
  <c r="AJ214" i="34"/>
  <c r="AL223" i="34"/>
  <c r="AK323" i="34"/>
  <c r="AC201" i="34"/>
  <c r="AH27" i="34"/>
  <c r="AJ26" i="34"/>
  <c r="AE19" i="34"/>
  <c r="AD287" i="34"/>
  <c r="AA107" i="34"/>
  <c r="AB244" i="34"/>
  <c r="AL125" i="34"/>
  <c r="AD194" i="34"/>
  <c r="AB75" i="34"/>
  <c r="AD106" i="34"/>
  <c r="AC5" i="34"/>
  <c r="AK19" i="34"/>
  <c r="AL106" i="34"/>
  <c r="AA201" i="34"/>
  <c r="AG287" i="34"/>
  <c r="AK264" i="34"/>
  <c r="AH159" i="34"/>
  <c r="AF209" i="34"/>
  <c r="AH248" i="34"/>
  <c r="AB264" i="34"/>
  <c r="AD107" i="34"/>
  <c r="AF251" i="34"/>
  <c r="AJ206" i="34"/>
  <c r="AF178" i="34"/>
  <c r="AG219" i="34"/>
  <c r="AI79" i="34"/>
  <c r="AK316" i="34"/>
  <c r="AB254" i="34"/>
  <c r="AH323" i="34"/>
  <c r="AA223" i="34"/>
  <c r="AE107" i="34"/>
  <c r="AE251" i="34"/>
  <c r="AL305" i="34"/>
  <c r="AC206" i="34"/>
  <c r="AG121" i="34"/>
  <c r="AF100" i="34"/>
  <c r="AJ19" i="34"/>
  <c r="AK295" i="34"/>
  <c r="AI256" i="34"/>
  <c r="AA287" i="34"/>
  <c r="AI18" i="34"/>
  <c r="AK288" i="34"/>
  <c r="AL79" i="34"/>
  <c r="AL26" i="34"/>
  <c r="AI121" i="34"/>
  <c r="AD288" i="34"/>
  <c r="AA288" i="34"/>
  <c r="AE201" i="34"/>
  <c r="AI115" i="34"/>
  <c r="AF290" i="34"/>
  <c r="AA128" i="34"/>
  <c r="AG76" i="34"/>
  <c r="AJ290" i="34"/>
  <c r="AE287" i="34"/>
  <c r="AJ210" i="34"/>
  <c r="AC114" i="34"/>
  <c r="AI181" i="34"/>
  <c r="AB212" i="34"/>
  <c r="AL287" i="34"/>
  <c r="AH256" i="34"/>
  <c r="AF212" i="34"/>
  <c r="AD214" i="34"/>
  <c r="AG27" i="34"/>
  <c r="AG210" i="34"/>
  <c r="AI288" i="34"/>
  <c r="AB219" i="34"/>
  <c r="AJ219" i="34"/>
  <c r="AC223" i="34"/>
  <c r="AL51" i="34"/>
  <c r="AG255" i="34"/>
  <c r="AD266" i="34"/>
  <c r="AE288" i="34"/>
  <c r="AE178" i="34"/>
  <c r="AG52" i="34"/>
  <c r="AB52" i="34"/>
  <c r="AA51" i="34"/>
  <c r="AD212" i="34"/>
  <c r="AG79" i="34"/>
  <c r="AA300" i="34"/>
  <c r="AE256" i="34"/>
  <c r="AA244" i="34"/>
  <c r="AL164" i="34"/>
  <c r="AD248" i="34"/>
  <c r="AI31" i="34"/>
  <c r="AG172" i="34"/>
  <c r="AL304" i="34"/>
  <c r="AF223" i="34"/>
  <c r="AB256" i="34"/>
  <c r="AF220" i="34"/>
  <c r="AL144" i="34"/>
  <c r="AH18" i="34"/>
  <c r="AA304" i="34"/>
  <c r="AG19" i="34"/>
  <c r="AJ51" i="34"/>
  <c r="AJ201" i="34"/>
  <c r="AG107" i="34"/>
  <c r="AE255" i="34"/>
  <c r="AD316" i="34"/>
  <c r="AE248" i="34"/>
  <c r="AE115" i="34"/>
  <c r="AA80" i="34"/>
  <c r="AF172" i="34"/>
  <c r="AK126" i="34"/>
  <c r="AJ287" i="34"/>
  <c r="AK248" i="34"/>
  <c r="AC323" i="34"/>
  <c r="AD323" i="34"/>
  <c r="AA210" i="34"/>
  <c r="AK5" i="34"/>
  <c r="AL210" i="34"/>
  <c r="AD254" i="34"/>
  <c r="AA181" i="34"/>
  <c r="AA115" i="34"/>
  <c r="AF164" i="34"/>
  <c r="AA220" i="34"/>
  <c r="AC212" i="34"/>
  <c r="AG248" i="34"/>
  <c r="AG194" i="34"/>
  <c r="AB132" i="34"/>
  <c r="AB159" i="34"/>
  <c r="AI251" i="34"/>
  <c r="AL295" i="34"/>
  <c r="AA144" i="34"/>
  <c r="AE144" i="34"/>
  <c r="AF194" i="34"/>
  <c r="AH287" i="34"/>
  <c r="AL248" i="34"/>
  <c r="AK115" i="34"/>
  <c r="AI164" i="34"/>
  <c r="AB79" i="34"/>
  <c r="AI255" i="34"/>
  <c r="AF255" i="34"/>
  <c r="AB300" i="34"/>
  <c r="AE5" i="34"/>
  <c r="AK75" i="34"/>
  <c r="AI287" i="34"/>
  <c r="AH219" i="34"/>
  <c r="AH144" i="34"/>
  <c r="AB290" i="34"/>
  <c r="AL201" i="34"/>
  <c r="AA251" i="34"/>
  <c r="AH126" i="34"/>
  <c r="AI248" i="34"/>
  <c r="AK305" i="34"/>
  <c r="AC107" i="34"/>
  <c r="AD220" i="34"/>
  <c r="AA214" i="34"/>
  <c r="AI214" i="34"/>
  <c r="AF126" i="34"/>
  <c r="AI144" i="34"/>
  <c r="AJ144" i="34"/>
  <c r="AL114" i="34"/>
  <c r="AF244" i="34"/>
  <c r="AC75" i="34"/>
  <c r="AJ251" i="34"/>
  <c r="AI323" i="34"/>
  <c r="AI159" i="34"/>
  <c r="AJ295" i="34"/>
  <c r="AK201" i="34"/>
  <c r="AD159" i="34"/>
  <c r="AH181" i="34"/>
  <c r="AB18" i="34"/>
  <c r="AH316" i="34"/>
  <c r="AI316" i="34"/>
  <c r="AK100" i="34"/>
  <c r="AJ107" i="34"/>
  <c r="AH206" i="34"/>
  <c r="AA305" i="34"/>
  <c r="AL181" i="34"/>
  <c r="AL220" i="34"/>
  <c r="AJ323" i="34"/>
  <c r="AI223" i="34"/>
  <c r="AB115" i="34"/>
  <c r="AA106" i="34"/>
  <c r="AB107" i="34"/>
  <c r="AG186" i="34"/>
  <c r="AL288" i="34"/>
  <c r="AB100" i="34"/>
  <c r="AJ244" i="34"/>
  <c r="AB178" i="34"/>
  <c r="AK106" i="34"/>
  <c r="AA27" i="34"/>
  <c r="AH26" i="34"/>
  <c r="AL75" i="34"/>
  <c r="AK304" i="34"/>
  <c r="AI51" i="34"/>
  <c r="AH209" i="34"/>
  <c r="AH115" i="34"/>
  <c r="AE52" i="34"/>
  <c r="AL172" i="34"/>
  <c r="AG251" i="34"/>
  <c r="AF132" i="34"/>
  <c r="AA295" i="34"/>
  <c r="AJ126" i="34"/>
  <c r="AK255" i="34"/>
  <c r="AF214" i="34"/>
  <c r="AG126" i="34"/>
  <c r="AK27" i="34"/>
  <c r="AF121" i="34"/>
  <c r="AA159" i="34"/>
  <c r="AE75" i="34"/>
  <c r="AF186" i="34"/>
  <c r="AG26" i="34"/>
  <c r="AC19" i="34"/>
  <c r="AC178" i="34"/>
  <c r="AY247" i="22"/>
  <c r="AY47" i="22" s="1"/>
  <c r="U37" i="34"/>
  <c r="AG37" i="34" s="1"/>
  <c r="AH304" i="34"/>
  <c r="AK181" i="34"/>
  <c r="AC126" i="34"/>
  <c r="AL316" i="34"/>
  <c r="AF51" i="34"/>
  <c r="AF19" i="34"/>
  <c r="AC220" i="34"/>
  <c r="AK219" i="34"/>
  <c r="AJ305" i="34"/>
  <c r="AL254" i="34"/>
  <c r="AE223" i="34"/>
  <c r="AG290" i="34"/>
  <c r="AE159" i="34"/>
  <c r="AG300" i="34"/>
  <c r="AJ75" i="34"/>
  <c r="AJ254" i="34"/>
  <c r="AG178" i="34"/>
  <c r="AC186" i="34"/>
  <c r="AH214" i="34"/>
  <c r="AE254" i="34"/>
  <c r="AE126" i="34"/>
  <c r="AA255" i="34"/>
  <c r="AA18" i="34"/>
  <c r="AK172" i="34"/>
  <c r="AC300" i="34"/>
  <c r="AC52" i="34"/>
  <c r="AK186" i="34"/>
  <c r="AE220" i="34"/>
  <c r="AC304" i="34"/>
  <c r="AD18" i="34"/>
  <c r="AK194" i="34"/>
  <c r="AK51" i="34"/>
  <c r="AL251" i="34"/>
  <c r="AJ121" i="34"/>
  <c r="AJ159" i="34"/>
  <c r="AD251" i="34"/>
  <c r="AD51" i="34"/>
  <c r="AB125" i="34"/>
  <c r="AC194" i="34"/>
  <c r="AD132" i="34"/>
  <c r="AC305" i="34"/>
  <c r="AG214" i="34" l="1"/>
  <c r="AC210" i="34"/>
  <c r="AC31" i="34" s="1"/>
  <c r="AJ181" i="34"/>
  <c r="AD164" i="34"/>
  <c r="AA164" i="34"/>
  <c r="AA240" i="34" s="1"/>
  <c r="AD126" i="34"/>
  <c r="AD128" i="34" s="1"/>
  <c r="AA256" i="34"/>
  <c r="AI220" i="34"/>
  <c r="AE264" i="34"/>
  <c r="AA290" i="34"/>
  <c r="AI260" i="34"/>
  <c r="AH249" i="34"/>
  <c r="AB144" i="34"/>
  <c r="AD290" i="34"/>
  <c r="AB248" i="34"/>
  <c r="AL212" i="34"/>
  <c r="AB9" i="34"/>
  <c r="AC175" i="34"/>
  <c r="AH52" i="34"/>
  <c r="AJ31" i="34"/>
  <c r="AC214" i="34"/>
  <c r="AL126" i="34"/>
  <c r="AI132" i="34"/>
  <c r="AH80" i="34"/>
  <c r="AB304" i="34"/>
  <c r="AJ115" i="34"/>
  <c r="AB210" i="34"/>
  <c r="AI116" i="34"/>
  <c r="AI19" i="34"/>
  <c r="AH172" i="34"/>
  <c r="AK31" i="34"/>
  <c r="AF116" i="34"/>
  <c r="AF76" i="34"/>
  <c r="AL19" i="34"/>
  <c r="AL9" i="34"/>
  <c r="AC256" i="34"/>
  <c r="AL264" i="34"/>
  <c r="AD19" i="34"/>
  <c r="AE95" i="34"/>
  <c r="AA19" i="34"/>
  <c r="AC9" i="34"/>
  <c r="AJ27" i="34"/>
  <c r="AE172" i="34"/>
  <c r="AL27" i="34"/>
  <c r="AF144" i="34"/>
  <c r="AG264" i="34"/>
  <c r="AI52" i="34"/>
  <c r="AB181" i="34"/>
  <c r="AL290" i="34"/>
  <c r="AB116" i="34"/>
  <c r="AL95" i="34"/>
  <c r="AJ164" i="34"/>
  <c r="AC76" i="34"/>
  <c r="AJ116" i="34"/>
  <c r="AI151" i="34"/>
  <c r="AA9" i="34"/>
  <c r="AI249" i="34"/>
  <c r="AL132" i="34"/>
  <c r="AE151" i="34"/>
  <c r="AF117" i="34"/>
  <c r="AG249" i="34"/>
  <c r="AD27" i="34"/>
  <c r="AJ132" i="34"/>
  <c r="AH19" i="34"/>
  <c r="AL151" i="34"/>
  <c r="AD249" i="34"/>
  <c r="AB252" i="34"/>
  <c r="AD144" i="34"/>
  <c r="AG31" i="34"/>
  <c r="AH260" i="34"/>
  <c r="AC115" i="34"/>
  <c r="AB27" i="34"/>
  <c r="AJ9" i="34"/>
  <c r="AE212" i="34"/>
  <c r="AK240" i="34"/>
  <c r="AB126" i="34"/>
  <c r="AJ172" i="34"/>
  <c r="AK144" i="34"/>
  <c r="AK175" i="34"/>
  <c r="AH9" i="34"/>
  <c r="AJ76" i="34"/>
  <c r="AF52" i="34"/>
  <c r="AC181" i="34"/>
  <c r="AE76" i="34"/>
  <c r="AG128" i="34"/>
  <c r="AJ128" i="34"/>
  <c r="AL175" i="34"/>
  <c r="AE252" i="34"/>
  <c r="AH212" i="34"/>
  <c r="AJ248" i="34"/>
  <c r="AG144" i="34"/>
  <c r="AK287" i="34"/>
  <c r="AB19" i="34"/>
  <c r="AK132" i="34"/>
  <c r="AE132" i="34"/>
  <c r="AD256" i="34"/>
  <c r="AD95" i="34"/>
  <c r="AH128" i="34"/>
  <c r="AK76" i="34"/>
  <c r="AK116" i="34"/>
  <c r="AA151" i="34"/>
  <c r="AB172" i="34"/>
  <c r="AA116" i="34"/>
  <c r="AL31" i="34"/>
  <c r="AA81" i="34"/>
  <c r="AJ52" i="34"/>
  <c r="AG133" i="34"/>
  <c r="AF181" i="34"/>
  <c r="AL240" i="34"/>
  <c r="AG80" i="34"/>
  <c r="AG252" i="34"/>
  <c r="AJ220" i="34"/>
  <c r="AG304" i="34"/>
  <c r="AE164" i="34"/>
  <c r="AG116" i="34"/>
  <c r="AC290" i="34"/>
  <c r="AD52" i="34"/>
  <c r="AJ304" i="34"/>
  <c r="AK52" i="34"/>
  <c r="AC252" i="34"/>
  <c r="AE128" i="34"/>
  <c r="AC144" i="34"/>
  <c r="AK220" i="34"/>
  <c r="AA172" i="34"/>
  <c r="AF9" i="34"/>
  <c r="AH116" i="34"/>
  <c r="AB287" i="34"/>
  <c r="AB164" i="34"/>
  <c r="AG9" i="34"/>
  <c r="AL115" i="34"/>
  <c r="AF128" i="34"/>
  <c r="AC164" i="34"/>
  <c r="AA264" i="34"/>
  <c r="AH151" i="34"/>
  <c r="AE214" i="34"/>
  <c r="AL249" i="34"/>
  <c r="AF256" i="34"/>
  <c r="AB133" i="34"/>
  <c r="AA95" i="34"/>
  <c r="AK214" i="34"/>
  <c r="AK128" i="34"/>
  <c r="AE116" i="34"/>
  <c r="AG164" i="34"/>
  <c r="AF95" i="34"/>
  <c r="AG175" i="34"/>
  <c r="AA248" i="34"/>
  <c r="AE181" i="34"/>
  <c r="AB220" i="34"/>
  <c r="AD9" i="34"/>
  <c r="AF264" i="34"/>
  <c r="AA132" i="34"/>
  <c r="AJ212" i="34"/>
  <c r="AE304" i="34"/>
  <c r="AJ260" i="34"/>
  <c r="AI76" i="34"/>
  <c r="AI212" i="34"/>
  <c r="AD133" i="34"/>
  <c r="AK290" i="34"/>
  <c r="AD264" i="34"/>
  <c r="AK256" i="34"/>
  <c r="AF287" i="34"/>
  <c r="AE27" i="34"/>
  <c r="AG181" i="34"/>
  <c r="AC95" i="34"/>
  <c r="AC128" i="34"/>
  <c r="AG212" i="34"/>
  <c r="AF304" i="34"/>
  <c r="AF210" i="34"/>
  <c r="AF133" i="34"/>
  <c r="AH210" i="34"/>
  <c r="AL76" i="34"/>
  <c r="AH132" i="34"/>
  <c r="AD172" i="34"/>
  <c r="AI172" i="34"/>
  <c r="AJ264" i="34"/>
  <c r="AF248" i="34"/>
  <c r="AJ151" i="34"/>
  <c r="AI9" i="34"/>
  <c r="AC132" i="34"/>
  <c r="AH220" i="34"/>
  <c r="AI240" i="34"/>
  <c r="AC249" i="34"/>
  <c r="AI264" i="34"/>
  <c r="AG256" i="34"/>
  <c r="AF240" i="34"/>
  <c r="AA31" i="34"/>
  <c r="AK249" i="34"/>
  <c r="AF175" i="34"/>
  <c r="AE249" i="34"/>
  <c r="AB260" i="34"/>
  <c r="AE260" i="34"/>
  <c r="AA52" i="34"/>
  <c r="AE290" i="34"/>
  <c r="AL52" i="34"/>
  <c r="AI290" i="34"/>
  <c r="AI304" i="34"/>
  <c r="AG220" i="34"/>
  <c r="AB76" i="34"/>
  <c r="AH164" i="34"/>
  <c r="AE210" i="34"/>
  <c r="AL256" i="34"/>
  <c r="AI126" i="34"/>
  <c r="AH290" i="34"/>
  <c r="AD115" i="34"/>
  <c r="AH264" i="34"/>
  <c r="AD80" i="34"/>
  <c r="AI117" i="34" l="1"/>
  <c r="AK34" i="34"/>
  <c r="AB31" i="34"/>
  <c r="AH175" i="34"/>
  <c r="AL128" i="34"/>
  <c r="AH81" i="34"/>
  <c r="AI95" i="34"/>
  <c r="AD240" i="34"/>
  <c r="AD241" i="34" s="1"/>
  <c r="AI34" i="34"/>
  <c r="AL10" i="34"/>
  <c r="AL11" i="34" s="1"/>
  <c r="AI133" i="34"/>
  <c r="AH252" i="34"/>
  <c r="AH53" i="34" s="1"/>
  <c r="AA260" i="34"/>
  <c r="AF80" i="34"/>
  <c r="AF81" i="34" s="1"/>
  <c r="AB10" i="34"/>
  <c r="AB151" i="34"/>
  <c r="AB147" i="34" s="1"/>
  <c r="AI276" i="34"/>
  <c r="AI274" i="34" s="1"/>
  <c r="AB249" i="34"/>
  <c r="AA34" i="34"/>
  <c r="AC97" i="34"/>
  <c r="AC34" i="34"/>
  <c r="AF97" i="34"/>
  <c r="AE97" i="34"/>
  <c r="AJ34" i="34"/>
  <c r="AL34" i="34"/>
  <c r="AG34" i="34"/>
  <c r="AD81" i="34"/>
  <c r="AI128" i="34"/>
  <c r="AL252" i="34"/>
  <c r="AI35" i="34"/>
  <c r="AF241" i="34"/>
  <c r="AI241" i="34"/>
  <c r="AJ147" i="34"/>
  <c r="AD175" i="34"/>
  <c r="AH31" i="34"/>
  <c r="AK260" i="34"/>
  <c r="AB95" i="34"/>
  <c r="AE117" i="34"/>
  <c r="AA97" i="34"/>
  <c r="AB80" i="34"/>
  <c r="AC240" i="34"/>
  <c r="AC151" i="34"/>
  <c r="AE240" i="34"/>
  <c r="AG81" i="34"/>
  <c r="AA117" i="34"/>
  <c r="AK80" i="34"/>
  <c r="AE53" i="34"/>
  <c r="AE80" i="34"/>
  <c r="AJ80" i="34"/>
  <c r="AJ175" i="34"/>
  <c r="AJ10" i="34"/>
  <c r="AL147" i="34"/>
  <c r="AE147" i="34"/>
  <c r="AI147" i="34"/>
  <c r="AL97" i="34"/>
  <c r="AF151" i="34"/>
  <c r="AL260" i="34"/>
  <c r="AG95" i="34"/>
  <c r="AG260" i="34"/>
  <c r="AH95" i="34"/>
  <c r="AF249" i="34"/>
  <c r="AI80" i="34"/>
  <c r="AA133" i="34"/>
  <c r="AE9" i="34"/>
  <c r="AB240" i="34"/>
  <c r="AF10" i="34"/>
  <c r="AD252" i="34"/>
  <c r="AL241" i="34"/>
  <c r="AJ252" i="34"/>
  <c r="AB175" i="34"/>
  <c r="AE133" i="34"/>
  <c r="AG151" i="34"/>
  <c r="AH10" i="34"/>
  <c r="AB128" i="34"/>
  <c r="AD151" i="34"/>
  <c r="AL133" i="34"/>
  <c r="AJ117" i="34"/>
  <c r="AB117" i="34"/>
  <c r="AI252" i="34"/>
  <c r="AC10" i="34"/>
  <c r="AD116" i="34"/>
  <c r="AE31" i="34"/>
  <c r="AA252" i="34"/>
  <c r="AB276" i="34"/>
  <c r="AC133" i="34"/>
  <c r="AH133" i="34"/>
  <c r="AJ276" i="34"/>
  <c r="AA276" i="34"/>
  <c r="AK9" i="34"/>
  <c r="AF260" i="34"/>
  <c r="AH147" i="34"/>
  <c r="AL116" i="34"/>
  <c r="AA175" i="34"/>
  <c r="AC53" i="34"/>
  <c r="AJ95" i="34"/>
  <c r="AA225" i="34"/>
  <c r="AA147" i="34"/>
  <c r="AD97" i="34"/>
  <c r="AK133" i="34"/>
  <c r="AJ249" i="34"/>
  <c r="AF252" i="34"/>
  <c r="AK241" i="34"/>
  <c r="AC116" i="34"/>
  <c r="AB53" i="34"/>
  <c r="AJ133" i="34"/>
  <c r="AC80" i="34"/>
  <c r="AC260" i="34"/>
  <c r="AD34" i="34"/>
  <c r="AH240" i="34"/>
  <c r="AE276" i="34"/>
  <c r="AI10" i="34"/>
  <c r="AI175" i="34"/>
  <c r="AL80" i="34"/>
  <c r="AF31" i="34"/>
  <c r="AD10" i="34"/>
  <c r="AA249" i="34"/>
  <c r="AG240" i="34"/>
  <c r="AA241" i="34"/>
  <c r="AG10" i="34"/>
  <c r="AH117" i="34"/>
  <c r="AK95" i="34"/>
  <c r="AK252" i="34"/>
  <c r="AG117" i="34"/>
  <c r="AG53" i="34"/>
  <c r="AK117" i="34"/>
  <c r="AD260" i="34"/>
  <c r="AK151" i="34"/>
  <c r="AH276" i="34"/>
  <c r="AA10" i="34"/>
  <c r="AJ240" i="34"/>
  <c r="AE175" i="34"/>
  <c r="I70" i="30"/>
  <c r="E215" i="25"/>
  <c r="N115" i="30"/>
  <c r="H122" i="25"/>
  <c r="I204" i="25"/>
  <c r="I44" i="25"/>
  <c r="J141" i="25"/>
  <c r="G146" i="25"/>
  <c r="J72" i="25"/>
  <c r="G65" i="25"/>
  <c r="F190" i="25"/>
  <c r="K26" i="25"/>
  <c r="I189" i="25"/>
  <c r="J173" i="30"/>
  <c r="H43" i="25"/>
  <c r="L29" i="25"/>
  <c r="J49" i="25"/>
  <c r="N190" i="30"/>
  <c r="F10" i="25"/>
  <c r="L160" i="30"/>
  <c r="G67" i="25"/>
  <c r="I59" i="30"/>
  <c r="D68" i="30"/>
  <c r="O10" i="30"/>
  <c r="N19" i="30"/>
  <c r="O97" i="30"/>
  <c r="L174" i="30"/>
  <c r="H172" i="25"/>
  <c r="K186" i="25"/>
  <c r="G33" i="25"/>
  <c r="G231" i="25"/>
  <c r="J143" i="25"/>
  <c r="N119" i="25"/>
  <c r="N172" i="30"/>
  <c r="F9" i="25"/>
  <c r="O131" i="30"/>
  <c r="J185" i="30"/>
  <c r="H65" i="30"/>
  <c r="D141" i="30"/>
  <c r="F145" i="30"/>
  <c r="K145" i="25"/>
  <c r="F210" i="30"/>
  <c r="D11" i="25"/>
  <c r="M129" i="30"/>
  <c r="M176" i="25"/>
  <c r="E85" i="30"/>
  <c r="F187" i="30"/>
  <c r="J200" i="30"/>
  <c r="E32" i="25"/>
  <c r="I153" i="25"/>
  <c r="K230" i="25"/>
  <c r="L220" i="25"/>
  <c r="E110" i="25"/>
  <c r="G215" i="30"/>
  <c r="I73" i="30"/>
  <c r="K57" i="25"/>
  <c r="I186" i="25"/>
  <c r="N247" i="25"/>
  <c r="H201" i="25"/>
  <c r="D28" i="25"/>
  <c r="J176" i="30"/>
  <c r="I264" i="25"/>
  <c r="H116" i="25"/>
  <c r="F230" i="30"/>
  <c r="O42" i="25"/>
  <c r="D120" i="30"/>
  <c r="H204" i="30"/>
  <c r="D37" i="25"/>
  <c r="H99" i="25"/>
  <c r="G117" i="25"/>
  <c r="E257" i="25"/>
  <c r="J201" i="25"/>
  <c r="I202" i="25"/>
  <c r="E99" i="30"/>
  <c r="G199" i="25"/>
  <c r="L256" i="25"/>
  <c r="N97" i="25"/>
  <c r="J269" i="30"/>
  <c r="K69" i="25"/>
  <c r="I146" i="30"/>
  <c r="H49" i="25"/>
  <c r="H56" i="25"/>
  <c r="H220" i="25"/>
  <c r="K27" i="25"/>
  <c r="M142" i="25"/>
  <c r="N91" i="30"/>
  <c r="K183" i="30"/>
  <c r="H185" i="25"/>
  <c r="M230" i="25"/>
  <c r="E19" i="25"/>
  <c r="K178" i="25"/>
  <c r="K12" i="25"/>
  <c r="L20" i="25"/>
  <c r="O256" i="25"/>
  <c r="M59" i="30"/>
  <c r="O176" i="25"/>
  <c r="F85" i="30"/>
  <c r="J231" i="25"/>
  <c r="I42" i="25"/>
  <c r="N71" i="25"/>
  <c r="G174" i="30"/>
  <c r="K119" i="25"/>
  <c r="M39" i="30"/>
  <c r="O84" i="25"/>
  <c r="H40" i="25"/>
  <c r="L189" i="25"/>
  <c r="L175" i="30"/>
  <c r="G12" i="25"/>
  <c r="E256" i="30"/>
  <c r="G37" i="30"/>
  <c r="L11" i="25"/>
  <c r="D115" i="25"/>
  <c r="F141" i="25"/>
  <c r="O14" i="25"/>
  <c r="F184" i="25"/>
  <c r="K242" i="30"/>
  <c r="N196" i="25"/>
  <c r="L232" i="30"/>
  <c r="G153" i="30"/>
  <c r="O178" i="30"/>
  <c r="O162" i="25"/>
  <c r="D247" i="25"/>
  <c r="D37" i="30"/>
  <c r="N33" i="30"/>
  <c r="O263" i="30"/>
  <c r="H59" i="30"/>
  <c r="L144" i="25"/>
  <c r="N144" i="30"/>
  <c r="M269" i="25"/>
  <c r="M203" i="25"/>
  <c r="D144" i="30"/>
  <c r="N173" i="25"/>
  <c r="I122" i="30"/>
  <c r="J26" i="30"/>
  <c r="J20" i="30"/>
  <c r="N270" i="25"/>
  <c r="D183" i="25"/>
  <c r="I57" i="30"/>
  <c r="G130" i="25"/>
  <c r="E269" i="25"/>
  <c r="E264" i="30"/>
  <c r="G160" i="30"/>
  <c r="O188" i="30"/>
  <c r="I12" i="25"/>
  <c r="I200" i="25"/>
  <c r="F220" i="25"/>
  <c r="K49" i="30"/>
  <c r="L152" i="25"/>
  <c r="H247" i="25"/>
  <c r="K163" i="30"/>
  <c r="M99" i="25"/>
  <c r="D96" i="30"/>
  <c r="M91" i="30"/>
  <c r="F32" i="30"/>
  <c r="O32" i="25"/>
  <c r="H38" i="30"/>
  <c r="D20" i="30"/>
  <c r="J163" i="25"/>
  <c r="O20" i="30"/>
  <c r="I162" i="30"/>
  <c r="F94" i="30"/>
  <c r="D41" i="25"/>
  <c r="L199" i="30"/>
  <c r="O66" i="30"/>
  <c r="E143" i="30"/>
  <c r="F8" i="25"/>
  <c r="G142" i="25"/>
  <c r="O197" i="25"/>
  <c r="K146" i="30"/>
  <c r="D230" i="30"/>
  <c r="K161" i="25"/>
  <c r="O136" i="30"/>
  <c r="H160" i="30"/>
  <c r="G201" i="25"/>
  <c r="K33" i="30"/>
  <c r="H11" i="30"/>
  <c r="L230" i="30"/>
  <c r="M200" i="25"/>
  <c r="M43" i="25"/>
  <c r="F70" i="25"/>
  <c r="O9" i="25"/>
  <c r="J190" i="25"/>
  <c r="G147" i="30"/>
  <c r="K90" i="25"/>
  <c r="G131" i="25"/>
  <c r="I159" i="25"/>
  <c r="L40" i="25"/>
  <c r="L79" i="25"/>
  <c r="G118" i="30"/>
  <c r="E99" i="25"/>
  <c r="F247" i="25"/>
  <c r="O95" i="30"/>
  <c r="G31" i="25"/>
  <c r="I36" i="25"/>
  <c r="K163" i="25"/>
  <c r="N145" i="25"/>
  <c r="I100" i="25"/>
  <c r="L21" i="25"/>
  <c r="E160" i="25"/>
  <c r="L172" i="30"/>
  <c r="D196" i="25"/>
  <c r="D136" i="25"/>
  <c r="M201" i="25"/>
  <c r="N18" i="25"/>
  <c r="K127" i="25"/>
  <c r="K115" i="30"/>
  <c r="O183" i="30"/>
  <c r="G173" i="25"/>
  <c r="H173" i="25"/>
  <c r="J130" i="25"/>
  <c r="G20" i="25"/>
  <c r="N122" i="30"/>
  <c r="M70" i="25"/>
  <c r="K44" i="25"/>
  <c r="F230" i="25"/>
  <c r="F183" i="25"/>
  <c r="J196" i="25"/>
  <c r="G100" i="30"/>
  <c r="J97" i="25"/>
  <c r="L232" i="25"/>
  <c r="E231" i="30"/>
  <c r="O27" i="25"/>
  <c r="N142" i="25"/>
  <c r="E37" i="30"/>
  <c r="I127" i="30"/>
  <c r="L19" i="30"/>
  <c r="O185" i="25"/>
  <c r="L188" i="25"/>
  <c r="O196" i="30"/>
  <c r="N100" i="25"/>
  <c r="H110" i="25"/>
  <c r="J163" i="30"/>
  <c r="E97" i="30"/>
  <c r="L73" i="30"/>
  <c r="E117" i="30"/>
  <c r="O49" i="30"/>
  <c r="I202" i="30"/>
  <c r="H110" i="30"/>
  <c r="K257" i="25"/>
  <c r="G117" i="30"/>
  <c r="G176" i="25"/>
  <c r="L178" i="25"/>
  <c r="J177" i="30"/>
  <c r="K204" i="25"/>
  <c r="L70" i="25"/>
  <c r="N41" i="25"/>
  <c r="J270" i="25"/>
  <c r="E202" i="25"/>
  <c r="D71" i="30"/>
  <c r="I69" i="30"/>
  <c r="H28" i="25"/>
  <c r="D92" i="30"/>
  <c r="E128" i="30"/>
  <c r="E59" i="30"/>
  <c r="E205" i="25"/>
  <c r="E198" i="25"/>
  <c r="G144" i="25"/>
  <c r="I262" i="30"/>
  <c r="K198" i="25"/>
  <c r="E35" i="25"/>
  <c r="F142" i="25"/>
  <c r="E18" i="25"/>
  <c r="E10" i="25"/>
  <c r="D263" i="25"/>
  <c r="N145" i="30"/>
  <c r="J199" i="25"/>
  <c r="H34" i="25"/>
  <c r="D256" i="25"/>
  <c r="N36" i="25"/>
  <c r="M55" i="30"/>
  <c r="L115" i="30"/>
  <c r="D21" i="25"/>
  <c r="F257" i="30"/>
  <c r="O33" i="25"/>
  <c r="J172" i="25"/>
  <c r="H199" i="25"/>
  <c r="N183" i="30"/>
  <c r="H73" i="25"/>
  <c r="O159" i="30"/>
  <c r="D229" i="25"/>
  <c r="K7" i="25"/>
  <c r="G69" i="30"/>
  <c r="J85" i="25"/>
  <c r="I97" i="30"/>
  <c r="J175" i="25"/>
  <c r="F231" i="25"/>
  <c r="J19" i="30"/>
  <c r="F196" i="30"/>
  <c r="N68" i="30"/>
  <c r="M37" i="30"/>
  <c r="G64" i="25"/>
  <c r="M73" i="30"/>
  <c r="F12" i="25"/>
  <c r="I92" i="25"/>
  <c r="J7" i="30"/>
  <c r="N105" i="30"/>
  <c r="G92" i="25"/>
  <c r="I110" i="25"/>
  <c r="M49" i="25"/>
  <c r="M160" i="30"/>
  <c r="G203" i="25"/>
  <c r="F37" i="25"/>
  <c r="D162" i="25"/>
  <c r="M185" i="25"/>
  <c r="K143" i="30"/>
  <c r="G118" i="25"/>
  <c r="N220" i="25"/>
  <c r="M13" i="25"/>
  <c r="O201" i="25"/>
  <c r="O136" i="25"/>
  <c r="K32" i="25"/>
  <c r="D54" i="25"/>
  <c r="I29" i="25"/>
  <c r="H242" i="30"/>
  <c r="G95" i="30"/>
  <c r="K262" i="25"/>
  <c r="I130" i="30"/>
  <c r="E120" i="25"/>
  <c r="G129" i="25"/>
  <c r="K31" i="25"/>
  <c r="D162" i="30"/>
  <c r="N117" i="30"/>
  <c r="I70" i="25"/>
  <c r="F36" i="30"/>
  <c r="K33" i="25"/>
  <c r="K40" i="25"/>
  <c r="F65" i="25"/>
  <c r="K199" i="25"/>
  <c r="M231" i="25"/>
  <c r="N121" i="25"/>
  <c r="N183" i="25"/>
  <c r="E178" i="30"/>
  <c r="J197" i="25"/>
  <c r="I160" i="30"/>
  <c r="D178" i="25"/>
  <c r="O220" i="25"/>
  <c r="H118" i="25"/>
  <c r="K262" i="30"/>
  <c r="D12" i="25"/>
  <c r="F172" i="25"/>
  <c r="K264" i="30"/>
  <c r="I183" i="25"/>
  <c r="I176" i="25"/>
  <c r="N131" i="30"/>
  <c r="M96" i="25"/>
  <c r="J29" i="30"/>
  <c r="E177" i="25"/>
  <c r="I37" i="30"/>
  <c r="K38" i="25"/>
  <c r="M153" i="25"/>
  <c r="M35" i="25"/>
  <c r="K100" i="25"/>
  <c r="M247" i="30"/>
  <c r="J145" i="25"/>
  <c r="K79" i="30"/>
  <c r="G59" i="30"/>
  <c r="K177" i="25"/>
  <c r="F95" i="30"/>
  <c r="H256" i="30"/>
  <c r="K8" i="25"/>
  <c r="L205" i="30"/>
  <c r="H117" i="30"/>
  <c r="M42" i="25"/>
  <c r="F201" i="30"/>
  <c r="D19" i="25"/>
  <c r="F27" i="25"/>
  <c r="I99" i="25"/>
  <c r="N29" i="25"/>
  <c r="G12" i="30"/>
  <c r="D40" i="25"/>
  <c r="F57" i="25"/>
  <c r="D196" i="30"/>
  <c r="H264" i="30"/>
  <c r="D29" i="30"/>
  <c r="G84" i="25"/>
  <c r="O161" i="30"/>
  <c r="L121" i="25"/>
  <c r="O65" i="30"/>
  <c r="O7" i="25"/>
  <c r="O116" i="25"/>
  <c r="H205" i="30"/>
  <c r="K11" i="25"/>
  <c r="M20" i="30"/>
  <c r="J95" i="30"/>
  <c r="M90" i="30"/>
  <c r="E72" i="30"/>
  <c r="F176" i="25"/>
  <c r="I118" i="30"/>
  <c r="H152" i="25"/>
  <c r="M152" i="25"/>
  <c r="I40" i="30"/>
  <c r="L229" i="25"/>
  <c r="D105" i="25"/>
  <c r="D129" i="25"/>
  <c r="N95" i="25"/>
  <c r="M187" i="25"/>
  <c r="M143" i="30"/>
  <c r="J59" i="25"/>
  <c r="N73" i="25"/>
  <c r="E115" i="25"/>
  <c r="H90" i="25"/>
  <c r="K229" i="25"/>
  <c r="N64" i="25"/>
  <c r="M14" i="25"/>
  <c r="G17" i="30"/>
  <c r="M195" i="30"/>
  <c r="D146" i="30"/>
  <c r="H199" i="30"/>
  <c r="L270" i="30"/>
  <c r="E19" i="30"/>
  <c r="O231" i="30"/>
  <c r="L69" i="30"/>
  <c r="F201" i="25"/>
  <c r="D173" i="25"/>
  <c r="J79" i="25"/>
  <c r="O98" i="25"/>
  <c r="J187" i="30"/>
  <c r="O130" i="25"/>
  <c r="I184" i="25"/>
  <c r="K231" i="25"/>
  <c r="H215" i="25"/>
  <c r="J40" i="25"/>
  <c r="E176" i="30"/>
  <c r="O270" i="30"/>
  <c r="L34" i="25"/>
  <c r="E49" i="25"/>
  <c r="L42" i="30"/>
  <c r="O36" i="30"/>
  <c r="E264" i="25"/>
  <c r="L57" i="25"/>
  <c r="I128" i="30"/>
  <c r="F144" i="25"/>
  <c r="O57" i="30"/>
  <c r="N131" i="25"/>
  <c r="K115" i="25"/>
  <c r="G7" i="25"/>
  <c r="M94" i="25"/>
  <c r="O269" i="30"/>
  <c r="M131" i="25"/>
  <c r="N65" i="25"/>
  <c r="O10" i="25"/>
  <c r="K200" i="25"/>
  <c r="J229" i="25"/>
  <c r="D146" i="25"/>
  <c r="L161" i="25"/>
  <c r="M15" i="25"/>
  <c r="I68" i="30"/>
  <c r="N15" i="25"/>
  <c r="I35" i="25"/>
  <c r="G264" i="30"/>
  <c r="M237" i="30"/>
  <c r="E90" i="30"/>
  <c r="F174" i="25"/>
  <c r="E270" i="30"/>
  <c r="E229" i="30"/>
  <c r="L131" i="30"/>
  <c r="K16" i="25"/>
  <c r="M159" i="30"/>
  <c r="F91" i="30"/>
  <c r="D147" i="25"/>
  <c r="D56" i="30"/>
  <c r="G10" i="25"/>
  <c r="E95" i="30"/>
  <c r="D187" i="30"/>
  <c r="M33" i="25"/>
  <c r="N200" i="30"/>
  <c r="K270" i="30"/>
  <c r="E162" i="25"/>
  <c r="M44" i="30"/>
  <c r="G142" i="30"/>
  <c r="M264" i="25"/>
  <c r="M220" i="25"/>
  <c r="O31" i="25"/>
  <c r="I141" i="30"/>
  <c r="J94" i="25"/>
  <c r="F58" i="30"/>
  <c r="J119" i="25"/>
  <c r="M270" i="25"/>
  <c r="I42" i="30"/>
  <c r="K119" i="30"/>
  <c r="F118" i="30"/>
  <c r="L176" i="30"/>
  <c r="K98" i="30"/>
  <c r="J10" i="30"/>
  <c r="K136" i="30"/>
  <c r="I116" i="30"/>
  <c r="J91" i="25"/>
  <c r="D30" i="25"/>
  <c r="L94" i="30"/>
  <c r="G58" i="25"/>
  <c r="J120" i="25"/>
  <c r="N38" i="25"/>
  <c r="G163" i="25"/>
  <c r="D199" i="25"/>
  <c r="D262" i="25"/>
  <c r="J203" i="25"/>
  <c r="D16" i="25"/>
  <c r="L98" i="30"/>
  <c r="L215" i="30"/>
  <c r="H189" i="25"/>
  <c r="O93" i="30"/>
  <c r="K68" i="25"/>
  <c r="K9" i="25"/>
  <c r="M130" i="25"/>
  <c r="E72" i="25"/>
  <c r="I30" i="25"/>
  <c r="M67" i="25"/>
  <c r="G122" i="30"/>
  <c r="G17" i="25"/>
  <c r="L21" i="30"/>
  <c r="I147" i="25"/>
  <c r="O145" i="25"/>
  <c r="J78" i="30"/>
  <c r="E26" i="25"/>
  <c r="F57" i="30"/>
  <c r="K187" i="25"/>
  <c r="O199" i="25"/>
  <c r="I29" i="30"/>
  <c r="M95" i="25"/>
  <c r="K110" i="25"/>
  <c r="N130" i="25"/>
  <c r="K230" i="30"/>
  <c r="J116" i="30"/>
  <c r="D242" i="30"/>
  <c r="O263" i="25"/>
  <c r="M15" i="30"/>
  <c r="H232" i="25"/>
  <c r="H7" i="30"/>
  <c r="H68" i="25"/>
  <c r="I105" i="25"/>
  <c r="H20" i="25"/>
  <c r="M30" i="30"/>
  <c r="O197" i="30"/>
  <c r="D31" i="30"/>
  <c r="I129" i="25"/>
  <c r="N66" i="25"/>
  <c r="D68" i="25"/>
  <c r="I31" i="25"/>
  <c r="K256" i="25"/>
  <c r="J38" i="25"/>
  <c r="O154" i="25"/>
  <c r="H247" i="30"/>
  <c r="M215" i="25"/>
  <c r="L184" i="25"/>
  <c r="H128" i="25"/>
  <c r="I197" i="25"/>
  <c r="I65" i="30"/>
  <c r="K202" i="25"/>
  <c r="M201" i="30"/>
  <c r="H92" i="30"/>
  <c r="I12" i="30"/>
  <c r="I264" i="30"/>
  <c r="D184" i="25"/>
  <c r="I177" i="25"/>
  <c r="J70" i="25"/>
  <c r="D129" i="30"/>
  <c r="D264" i="25"/>
  <c r="M85" i="25"/>
  <c r="K247" i="30"/>
  <c r="G162" i="25"/>
  <c r="O69" i="25"/>
  <c r="N49" i="30"/>
  <c r="K84" i="25"/>
  <c r="G92" i="30"/>
  <c r="J73" i="30"/>
  <c r="O153" i="25"/>
  <c r="N84" i="30"/>
  <c r="N16" i="30"/>
  <c r="E220" i="25"/>
  <c r="O57" i="25"/>
  <c r="J55" i="30"/>
  <c r="N210" i="25"/>
  <c r="D143" i="25"/>
  <c r="J65" i="25"/>
  <c r="L177" i="25"/>
  <c r="N95" i="30"/>
  <c r="O59" i="30"/>
  <c r="N31" i="25"/>
  <c r="D73" i="25"/>
  <c r="M91" i="25"/>
  <c r="F66" i="30"/>
  <c r="F19" i="25"/>
  <c r="F84" i="25"/>
  <c r="F11" i="25"/>
  <c r="G215" i="25"/>
  <c r="I196" i="30"/>
  <c r="L160" i="25"/>
  <c r="J33" i="25"/>
  <c r="D42" i="30"/>
  <c r="H66" i="30"/>
  <c r="G263" i="30"/>
  <c r="H31" i="25"/>
  <c r="J65" i="30"/>
  <c r="G93" i="30"/>
  <c r="K70" i="30"/>
  <c r="H187" i="25"/>
  <c r="D66" i="25"/>
  <c r="E44" i="25"/>
  <c r="O118" i="25"/>
  <c r="I32" i="30"/>
  <c r="L99" i="30"/>
  <c r="F205" i="25"/>
  <c r="N242" i="30"/>
  <c r="H231" i="30"/>
  <c r="D8" i="25"/>
  <c r="J110" i="30"/>
  <c r="O96" i="30"/>
  <c r="M143" i="25"/>
  <c r="D144" i="25"/>
  <c r="F146" i="25"/>
  <c r="K92" i="30"/>
  <c r="L70" i="30"/>
  <c r="J43" i="25"/>
  <c r="M131" i="30"/>
  <c r="M119" i="30"/>
  <c r="E172" i="25"/>
  <c r="O110" i="30"/>
  <c r="H178" i="25"/>
  <c r="M39" i="25"/>
  <c r="O257" i="30"/>
  <c r="L100" i="25"/>
  <c r="M29" i="25"/>
  <c r="K28" i="30"/>
  <c r="N35" i="25"/>
  <c r="O120" i="30"/>
  <c r="J56" i="30"/>
  <c r="H71" i="30"/>
  <c r="I41" i="25"/>
  <c r="M146" i="30"/>
  <c r="J13" i="25"/>
  <c r="O230" i="30"/>
  <c r="L187" i="30"/>
  <c r="E17" i="25"/>
  <c r="D10" i="30"/>
  <c r="E177" i="30"/>
  <c r="L8" i="30"/>
  <c r="H43" i="30"/>
  <c r="M159" i="25"/>
  <c r="G210" i="30"/>
  <c r="E49" i="30"/>
  <c r="K210" i="25"/>
  <c r="N263" i="25"/>
  <c r="F38" i="30"/>
  <c r="H40" i="30"/>
  <c r="O44" i="25"/>
  <c r="N93" i="30"/>
  <c r="O195" i="30"/>
  <c r="J154" i="25"/>
  <c r="M136" i="30"/>
  <c r="H20" i="30"/>
  <c r="N49" i="25"/>
  <c r="H31" i="30"/>
  <c r="G269" i="25"/>
  <c r="K40" i="30"/>
  <c r="J15" i="25"/>
  <c r="G172" i="25"/>
  <c r="M172" i="25"/>
  <c r="N98" i="25"/>
  <c r="O39" i="30"/>
  <c r="E247" i="25"/>
  <c r="N66" i="30"/>
  <c r="M174" i="30"/>
  <c r="G98" i="30"/>
  <c r="E204" i="30"/>
  <c r="D67" i="30"/>
  <c r="L27" i="30"/>
  <c r="F33" i="30"/>
  <c r="I36" i="30"/>
  <c r="G16" i="25"/>
  <c r="D131" i="30"/>
  <c r="E174" i="25"/>
  <c r="M177" i="25"/>
  <c r="F257" i="25"/>
  <c r="L141" i="25"/>
  <c r="N120" i="30"/>
  <c r="H96" i="30"/>
  <c r="F256" i="25"/>
  <c r="M36" i="25"/>
  <c r="L210" i="30"/>
  <c r="M232" i="25"/>
  <c r="O12" i="30"/>
  <c r="I94" i="25"/>
  <c r="M73" i="25"/>
  <c r="G154" i="30"/>
  <c r="E31" i="30"/>
  <c r="F94" i="25"/>
  <c r="O94" i="25"/>
  <c r="L145" i="25"/>
  <c r="D38" i="25"/>
  <c r="F42" i="25"/>
  <c r="N176" i="25"/>
  <c r="G43" i="30"/>
  <c r="K94" i="30"/>
  <c r="F173" i="30"/>
  <c r="M56" i="25"/>
  <c r="M177" i="30"/>
  <c r="D84" i="25"/>
  <c r="J96" i="30"/>
  <c r="O110" i="25"/>
  <c r="F187" i="25"/>
  <c r="N43" i="25"/>
  <c r="I229" i="25"/>
  <c r="I43" i="25"/>
  <c r="F143" i="25"/>
  <c r="H162" i="25"/>
  <c r="N146" i="25"/>
  <c r="I20" i="25"/>
  <c r="I198" i="25"/>
  <c r="L269" i="25"/>
  <c r="M242" i="25"/>
  <c r="I232" i="30"/>
  <c r="E231" i="25"/>
  <c r="L98" i="25"/>
  <c r="K97" i="25"/>
  <c r="F262" i="30"/>
  <c r="L153" i="30"/>
  <c r="N264" i="25"/>
  <c r="K18" i="25"/>
  <c r="J67" i="25"/>
  <c r="F160" i="30"/>
  <c r="D189" i="30"/>
  <c r="G187" i="30"/>
  <c r="G115" i="25"/>
  <c r="E215" i="30"/>
  <c r="K237" i="25"/>
  <c r="I79" i="30"/>
  <c r="F269" i="30"/>
  <c r="J28" i="25"/>
  <c r="H44" i="25"/>
  <c r="G119" i="30"/>
  <c r="O177" i="25"/>
  <c r="N161" i="30"/>
  <c r="D175" i="30"/>
  <c r="O19" i="30"/>
  <c r="N18" i="30"/>
  <c r="H117" i="25"/>
  <c r="F183" i="30"/>
  <c r="H85" i="25"/>
  <c r="J174" i="30"/>
  <c r="L203" i="30"/>
  <c r="K97" i="30"/>
  <c r="D49" i="25"/>
  <c r="J220" i="30"/>
  <c r="O172" i="25"/>
  <c r="F41" i="25"/>
  <c r="H188" i="25"/>
  <c r="J129" i="25"/>
  <c r="I91" i="25"/>
  <c r="H230" i="30"/>
  <c r="J117" i="25"/>
  <c r="K14" i="30"/>
  <c r="D100" i="30"/>
  <c r="K29" i="25"/>
  <c r="O30" i="25"/>
  <c r="J96" i="25"/>
  <c r="E85" i="25"/>
  <c r="N205" i="30"/>
  <c r="H69" i="25"/>
  <c r="H9" i="25"/>
  <c r="J257" i="25"/>
  <c r="F67" i="30"/>
  <c r="E91" i="30"/>
  <c r="D16" i="30"/>
  <c r="F121" i="30"/>
  <c r="M200" i="30"/>
  <c r="J136" i="30"/>
  <c r="F174" i="30"/>
  <c r="H35" i="30"/>
  <c r="J200" i="25"/>
  <c r="K56" i="25"/>
  <c r="E67" i="25"/>
  <c r="O92" i="30"/>
  <c r="E116" i="25"/>
  <c r="H100" i="30"/>
  <c r="J162" i="25"/>
  <c r="D210" i="30"/>
  <c r="K178" i="30"/>
  <c r="H161" i="30"/>
  <c r="K215" i="25"/>
  <c r="M29" i="30"/>
  <c r="L200" i="25"/>
  <c r="F142" i="30"/>
  <c r="O8" i="25"/>
  <c r="H269" i="30"/>
  <c r="F136" i="30"/>
  <c r="J230" i="30"/>
  <c r="G26" i="25"/>
  <c r="M264" i="30"/>
  <c r="F30" i="25"/>
  <c r="N54" i="25"/>
  <c r="L15" i="30"/>
  <c r="N16" i="25"/>
  <c r="E186" i="25"/>
  <c r="I210" i="30"/>
  <c r="D174" i="30"/>
  <c r="D72" i="25"/>
  <c r="I69" i="25"/>
  <c r="L55" i="30"/>
  <c r="O35" i="25"/>
  <c r="I34" i="25"/>
  <c r="O144" i="30"/>
  <c r="L116" i="30"/>
  <c r="I154" i="25"/>
  <c r="N127" i="25"/>
  <c r="K42" i="25"/>
  <c r="F177" i="25"/>
  <c r="G32" i="25"/>
  <c r="M92" i="30"/>
  <c r="G131" i="30"/>
  <c r="F159" i="25"/>
  <c r="K142" i="25"/>
  <c r="L7" i="25"/>
  <c r="O118" i="30"/>
  <c r="K66" i="25"/>
  <c r="I30" i="30"/>
  <c r="F153" i="25"/>
  <c r="G39" i="25"/>
  <c r="K12" i="30"/>
  <c r="G93" i="25"/>
  <c r="H162" i="30"/>
  <c r="G210" i="25"/>
  <c r="K9" i="30"/>
  <c r="L184" i="30"/>
  <c r="G64" i="30"/>
  <c r="F67" i="25"/>
  <c r="M202" i="25"/>
  <c r="I7" i="25"/>
  <c r="J263" i="30"/>
  <c r="D54" i="30"/>
  <c r="E163" i="30"/>
  <c r="L44" i="25"/>
  <c r="L32" i="25"/>
  <c r="M121" i="25"/>
  <c r="K121" i="25"/>
  <c r="K65" i="30"/>
  <c r="N58" i="30"/>
  <c r="O143" i="25"/>
  <c r="K184" i="30"/>
  <c r="I55" i="30"/>
  <c r="N144" i="25"/>
  <c r="G29" i="30"/>
  <c r="E105" i="30"/>
  <c r="L127" i="25"/>
  <c r="I64" i="30"/>
  <c r="K58" i="30"/>
  <c r="N128" i="30"/>
  <c r="F39" i="25"/>
  <c r="E175" i="30"/>
  <c r="G65" i="30"/>
  <c r="K128" i="30"/>
  <c r="G100" i="25"/>
  <c r="F143" i="30"/>
  <c r="O99" i="30"/>
  <c r="M105" i="30"/>
  <c r="G18" i="30"/>
  <c r="F163" i="30"/>
  <c r="J13" i="30"/>
  <c r="I117" i="25"/>
  <c r="I215" i="25"/>
  <c r="L16" i="25"/>
  <c r="O115" i="30"/>
  <c r="K78" i="25"/>
  <c r="L199" i="25"/>
  <c r="N163" i="25"/>
  <c r="E205" i="30"/>
  <c r="K144" i="25"/>
  <c r="O49" i="25"/>
  <c r="J201" i="30"/>
  <c r="M116" i="30"/>
  <c r="L118" i="30"/>
  <c r="M215" i="30"/>
  <c r="L49" i="30"/>
  <c r="G78" i="30"/>
  <c r="O256" i="30"/>
  <c r="K196" i="30"/>
  <c r="I49" i="25"/>
  <c r="L136" i="25"/>
  <c r="O44" i="30"/>
  <c r="M42" i="30"/>
  <c r="G58" i="30"/>
  <c r="L94" i="25"/>
  <c r="G177" i="30"/>
  <c r="I27" i="25"/>
  <c r="H229" i="30"/>
  <c r="D159" i="25"/>
  <c r="I256" i="30"/>
  <c r="N256" i="25"/>
  <c r="F118" i="25"/>
  <c r="K205" i="25"/>
  <c r="N120" i="25"/>
  <c r="G183" i="25"/>
  <c r="D79" i="25"/>
  <c r="D116" i="25"/>
  <c r="F154" i="25"/>
  <c r="I160" i="25"/>
  <c r="I199" i="30"/>
  <c r="E38" i="25"/>
  <c r="K172" i="25"/>
  <c r="O142" i="30"/>
  <c r="D55" i="25"/>
  <c r="J190" i="30"/>
  <c r="J98" i="25"/>
  <c r="M190" i="25"/>
  <c r="N79" i="30"/>
  <c r="K110" i="30"/>
  <c r="O32" i="30"/>
  <c r="J262" i="30"/>
  <c r="H98" i="25"/>
  <c r="J144" i="30"/>
  <c r="G99" i="30"/>
  <c r="L64" i="25"/>
  <c r="L33" i="25"/>
  <c r="J7" i="25"/>
  <c r="N203" i="25"/>
  <c r="E204" i="25"/>
  <c r="G141" i="30"/>
  <c r="J195" i="25"/>
  <c r="L143" i="25"/>
  <c r="G175" i="25"/>
  <c r="J115" i="25"/>
  <c r="I96" i="25"/>
  <c r="F95" i="25"/>
  <c r="K18" i="30"/>
  <c r="J84" i="25"/>
  <c r="O26" i="25"/>
  <c r="H186" i="30"/>
  <c r="E184" i="30"/>
  <c r="O84" i="30"/>
  <c r="K67" i="30"/>
  <c r="I159" i="30"/>
  <c r="K85" i="25"/>
  <c r="E79" i="25"/>
  <c r="D73" i="30"/>
  <c r="G19" i="30"/>
  <c r="D13" i="25"/>
  <c r="D95" i="30"/>
  <c r="E34" i="30"/>
  <c r="G16" i="30"/>
  <c r="L93" i="25"/>
  <c r="G183" i="30"/>
  <c r="O159" i="25"/>
  <c r="J154" i="30"/>
  <c r="I10" i="25"/>
  <c r="H16" i="30"/>
  <c r="J204" i="25"/>
  <c r="N186" i="30"/>
  <c r="M205" i="30"/>
  <c r="I115" i="25"/>
  <c r="J183" i="25"/>
  <c r="H262" i="25"/>
  <c r="J256" i="30"/>
  <c r="K35" i="25"/>
  <c r="O56" i="25"/>
  <c r="D100" i="25"/>
  <c r="N117" i="25"/>
  <c r="O189" i="30"/>
  <c r="G152" i="25"/>
  <c r="M12" i="25"/>
  <c r="E202" i="30"/>
  <c r="O152" i="25"/>
  <c r="G187" i="25"/>
  <c r="O232" i="25"/>
  <c r="G196" i="30"/>
  <c r="M145" i="30"/>
  <c r="K11" i="30"/>
  <c r="L26" i="25"/>
  <c r="I57" i="25"/>
  <c r="N263" i="30"/>
  <c r="L31" i="25"/>
  <c r="I55" i="25"/>
  <c r="N64" i="30"/>
  <c r="D95" i="25"/>
  <c r="J242" i="25"/>
  <c r="N152" i="30"/>
  <c r="K59" i="30"/>
  <c r="M31" i="30"/>
  <c r="K203" i="25"/>
  <c r="O237" i="30"/>
  <c r="G28" i="30"/>
  <c r="N188" i="25"/>
  <c r="K17" i="30"/>
  <c r="M189" i="25"/>
  <c r="H21" i="25"/>
  <c r="D231" i="25"/>
  <c r="K17" i="25"/>
  <c r="H105" i="30"/>
  <c r="E229" i="25"/>
  <c r="H54" i="25"/>
  <c r="O230" i="25"/>
  <c r="F17" i="30"/>
  <c r="G27" i="30"/>
  <c r="M263" i="25"/>
  <c r="O93" i="25"/>
  <c r="I173" i="30"/>
  <c r="M117" i="25"/>
  <c r="I201" i="30"/>
  <c r="G154" i="25"/>
  <c r="O163" i="30"/>
  <c r="N174" i="30"/>
  <c r="L116" i="25"/>
  <c r="H215" i="30"/>
  <c r="G120" i="25"/>
  <c r="G130" i="30"/>
  <c r="H183" i="30"/>
  <c r="J98" i="30"/>
  <c r="M115" i="25"/>
  <c r="O9" i="30"/>
  <c r="F66" i="25"/>
  <c r="I269" i="25"/>
  <c r="F26" i="25"/>
  <c r="J237" i="25"/>
  <c r="L121" i="30"/>
  <c r="J18" i="30"/>
  <c r="M195" i="25"/>
  <c r="O162" i="30"/>
  <c r="F147" i="30"/>
  <c r="J58" i="25"/>
  <c r="N58" i="25"/>
  <c r="I8" i="25"/>
  <c r="I65" i="25"/>
  <c r="K93" i="30"/>
  <c r="E66" i="30"/>
  <c r="J117" i="30"/>
  <c r="F14" i="25"/>
  <c r="J195" i="30"/>
  <c r="J85" i="30"/>
  <c r="M147" i="30"/>
  <c r="F172" i="30"/>
  <c r="M176" i="30"/>
  <c r="G198" i="25"/>
  <c r="N215" i="25"/>
  <c r="L162" i="25"/>
  <c r="I141" i="25"/>
  <c r="F55" i="30"/>
  <c r="G184" i="25"/>
  <c r="E39" i="30"/>
  <c r="M127" i="30"/>
  <c r="J196" i="30"/>
  <c r="I256" i="25"/>
  <c r="L99" i="25"/>
  <c r="J42" i="25"/>
  <c r="G128" i="30"/>
  <c r="H10" i="30"/>
  <c r="F58" i="25"/>
  <c r="H29" i="30"/>
  <c r="F131" i="30"/>
  <c r="F186" i="30"/>
  <c r="J100" i="30"/>
  <c r="D237" i="30"/>
  <c r="I72" i="30"/>
  <c r="J14" i="30"/>
  <c r="O29" i="30"/>
  <c r="E38" i="30"/>
  <c r="G110" i="30"/>
  <c r="F127" i="30"/>
  <c r="F72" i="25"/>
  <c r="F122" i="25"/>
  <c r="E130" i="30"/>
  <c r="H130" i="25"/>
  <c r="F195" i="25"/>
  <c r="M118" i="30"/>
  <c r="N200" i="25"/>
  <c r="J129" i="30"/>
  <c r="O34" i="30"/>
  <c r="M84" i="25"/>
  <c r="O100" i="25"/>
  <c r="J32" i="25"/>
  <c r="K131" i="25"/>
  <c r="M197" i="30"/>
  <c r="H122" i="30"/>
  <c r="K15" i="30"/>
  <c r="H17" i="30"/>
  <c r="G263" i="25"/>
  <c r="I16" i="30"/>
  <c r="G35" i="30"/>
  <c r="E173" i="30"/>
  <c r="N141" i="30"/>
  <c r="K263" i="30"/>
  <c r="D118" i="25"/>
  <c r="M118" i="25"/>
  <c r="O58" i="30"/>
  <c r="L172" i="25"/>
  <c r="J64" i="25"/>
  <c r="E20" i="25"/>
  <c r="J44" i="25"/>
  <c r="M94" i="30"/>
  <c r="N186" i="25"/>
  <c r="G204" i="25"/>
  <c r="I32" i="25"/>
  <c r="N17" i="30"/>
  <c r="O200" i="30"/>
  <c r="E144" i="30"/>
  <c r="M67" i="30"/>
  <c r="D195" i="30"/>
  <c r="L117" i="25"/>
  <c r="N175" i="25"/>
  <c r="J11" i="30"/>
  <c r="G127" i="30"/>
  <c r="K96" i="25"/>
  <c r="O127" i="30"/>
  <c r="M17" i="30"/>
  <c r="E69" i="30"/>
  <c r="I187" i="25"/>
  <c r="M72" i="30"/>
  <c r="O127" i="25"/>
  <c r="N36" i="30"/>
  <c r="F256" i="30"/>
  <c r="K231" i="30"/>
  <c r="E129" i="30"/>
  <c r="G35" i="25"/>
  <c r="E84" i="30"/>
  <c r="O153" i="30"/>
  <c r="G197" i="25"/>
  <c r="N65" i="30"/>
  <c r="N98" i="30"/>
  <c r="L96" i="25"/>
  <c r="M98" i="25"/>
  <c r="K120" i="25"/>
  <c r="F136" i="25"/>
  <c r="K64" i="25"/>
  <c r="E42" i="30"/>
  <c r="J93" i="30"/>
  <c r="N39" i="25"/>
  <c r="F78" i="25"/>
  <c r="H99" i="30"/>
  <c r="G161" i="30"/>
  <c r="H9" i="30"/>
  <c r="J176" i="25"/>
  <c r="L92" i="25"/>
  <c r="L257" i="25"/>
  <c r="F85" i="25"/>
  <c r="N210" i="30"/>
  <c r="H41" i="30"/>
  <c r="N173" i="30"/>
  <c r="L128" i="30"/>
  <c r="H35" i="25"/>
  <c r="H172" i="30"/>
  <c r="D115" i="30"/>
  <c r="O18" i="30"/>
  <c r="G200" i="30"/>
  <c r="D204" i="25"/>
  <c r="N96" i="25"/>
  <c r="I39" i="25"/>
  <c r="H8" i="25"/>
  <c r="N85" i="25"/>
  <c r="K72" i="30"/>
  <c r="K117" i="25"/>
  <c r="N262" i="30"/>
  <c r="K237" i="30"/>
  <c r="E43" i="25"/>
  <c r="E117" i="25"/>
  <c r="L215" i="25"/>
  <c r="J270" i="30"/>
  <c r="L34" i="30"/>
  <c r="G121" i="25"/>
  <c r="K20" i="30"/>
  <c r="L117" i="30"/>
  <c r="N189" i="25"/>
  <c r="D210" i="25"/>
  <c r="G38" i="30"/>
  <c r="D142" i="25"/>
  <c r="M98" i="30"/>
  <c r="D127" i="30"/>
  <c r="L14" i="25"/>
  <c r="M85" i="30"/>
  <c r="J263" i="25"/>
  <c r="M175" i="30"/>
  <c r="M78" i="30"/>
  <c r="O264" i="25"/>
  <c r="J232" i="25"/>
  <c r="E127" i="25"/>
  <c r="L204" i="30"/>
  <c r="H136" i="30"/>
  <c r="L72" i="25"/>
  <c r="L162" i="30"/>
  <c r="E159" i="30"/>
  <c r="G173" i="30"/>
  <c r="O66" i="25"/>
  <c r="O173" i="25"/>
  <c r="I197" i="30"/>
  <c r="G232" i="25"/>
  <c r="L186" i="25"/>
  <c r="D72" i="30"/>
  <c r="I247" i="30"/>
  <c r="N27" i="25"/>
  <c r="M28" i="25"/>
  <c r="J56" i="25"/>
  <c r="E185" i="30"/>
  <c r="M8" i="25"/>
  <c r="J130" i="30"/>
  <c r="N195" i="30"/>
  <c r="O117" i="30"/>
  <c r="K70" i="25"/>
  <c r="J161" i="30"/>
  <c r="F129" i="30"/>
  <c r="G72" i="25"/>
  <c r="G40" i="30"/>
  <c r="O26" i="30"/>
  <c r="F215" i="30"/>
  <c r="L154" i="30"/>
  <c r="H144" i="25"/>
  <c r="G49" i="25"/>
  <c r="H26" i="25"/>
  <c r="O91" i="25"/>
  <c r="N20" i="25"/>
  <c r="L36" i="25"/>
  <c r="E270" i="25"/>
  <c r="J9" i="25"/>
  <c r="M256" i="30"/>
  <c r="I92" i="30"/>
  <c r="G262" i="30"/>
  <c r="I18" i="25"/>
  <c r="L8" i="25"/>
  <c r="F264" i="25"/>
  <c r="F21" i="30"/>
  <c r="O257" i="25"/>
  <c r="N67" i="25"/>
  <c r="J183" i="30"/>
  <c r="J66" i="25"/>
  <c r="J175" i="30"/>
  <c r="G13" i="25"/>
  <c r="N256" i="30"/>
  <c r="J8" i="30"/>
  <c r="F105" i="30"/>
  <c r="F30" i="30"/>
  <c r="F38" i="25"/>
  <c r="I161" i="30"/>
  <c r="F185" i="30"/>
  <c r="F159" i="30"/>
  <c r="E154" i="25"/>
  <c r="M183" i="30"/>
  <c r="I163" i="25"/>
  <c r="K64" i="30"/>
  <c r="D94" i="30"/>
  <c r="D85" i="30"/>
  <c r="G13" i="30"/>
  <c r="N184" i="25"/>
  <c r="M58" i="30"/>
  <c r="L142" i="25"/>
  <c r="E64" i="30"/>
  <c r="H177" i="25"/>
  <c r="I122" i="25"/>
  <c r="F8" i="30"/>
  <c r="O204" i="30"/>
  <c r="N262" i="25"/>
  <c r="K79" i="25"/>
  <c r="E131" i="30"/>
  <c r="N153" i="30"/>
  <c r="M141" i="25"/>
  <c r="L30" i="25"/>
  <c r="K21" i="25"/>
  <c r="D257" i="25"/>
  <c r="D201" i="25"/>
  <c r="N78" i="30"/>
  <c r="I100" i="30"/>
  <c r="N7" i="25"/>
  <c r="M115" i="30"/>
  <c r="O190" i="25"/>
  <c r="K174" i="30"/>
  <c r="M129" i="25"/>
  <c r="F28" i="30"/>
  <c r="G79" i="30"/>
  <c r="H57" i="30"/>
  <c r="I78" i="30"/>
  <c r="N237" i="30"/>
  <c r="N12" i="25"/>
  <c r="O40" i="25"/>
  <c r="F79" i="30"/>
  <c r="N154" i="30"/>
  <c r="G90" i="25"/>
  <c r="F204" i="25"/>
  <c r="M229" i="30"/>
  <c r="O11" i="30"/>
  <c r="F73" i="30"/>
  <c r="I90" i="25"/>
  <c r="J145" i="30"/>
  <c r="E93" i="25"/>
  <c r="E118" i="25"/>
  <c r="M220" i="30"/>
  <c r="O187" i="25"/>
  <c r="H79" i="25"/>
  <c r="F105" i="25"/>
  <c r="J100" i="25"/>
  <c r="H237" i="30"/>
  <c r="F40" i="30"/>
  <c r="H116" i="30"/>
  <c r="I15" i="30"/>
  <c r="O189" i="25"/>
  <c r="H39" i="30"/>
  <c r="H159" i="30"/>
  <c r="E73" i="25"/>
  <c r="O231" i="25"/>
  <c r="L64" i="30"/>
  <c r="H16" i="25"/>
  <c r="N147" i="25"/>
  <c r="E189" i="25"/>
  <c r="L185" i="30"/>
  <c r="D71" i="25"/>
  <c r="M188" i="30"/>
  <c r="N44" i="25"/>
  <c r="G28" i="25"/>
  <c r="H91" i="25"/>
  <c r="G237" i="25"/>
  <c r="D136" i="30"/>
  <c r="M116" i="25"/>
  <c r="L90" i="25"/>
  <c r="L38" i="25"/>
  <c r="K210" i="30"/>
  <c r="J54" i="30"/>
  <c r="N202" i="25"/>
  <c r="G176" i="30"/>
  <c r="H189" i="30"/>
  <c r="O28" i="25"/>
  <c r="J188" i="30"/>
  <c r="M41" i="30"/>
  <c r="O12" i="25"/>
  <c r="J142" i="30"/>
  <c r="O43" i="30"/>
  <c r="O64" i="30"/>
  <c r="O215" i="30"/>
  <c r="H38" i="25"/>
  <c r="F16" i="25"/>
  <c r="L39" i="25"/>
  <c r="I31" i="30"/>
  <c r="K19" i="30"/>
  <c r="F120" i="25"/>
  <c r="L59" i="25"/>
  <c r="M40" i="30"/>
  <c r="O70" i="30"/>
  <c r="H141" i="30"/>
  <c r="E70" i="25"/>
  <c r="I95" i="30"/>
  <c r="H39" i="25"/>
  <c r="F119" i="25"/>
  <c r="N189" i="30"/>
  <c r="F7" i="30"/>
  <c r="E57" i="30"/>
  <c r="L146" i="25"/>
  <c r="I105" i="30"/>
  <c r="M270" i="30"/>
  <c r="E152" i="25"/>
  <c r="O186" i="30"/>
  <c r="F36" i="25"/>
  <c r="L175" i="25"/>
  <c r="J120" i="30"/>
  <c r="D42" i="25"/>
  <c r="N14" i="30"/>
  <c r="O229" i="25"/>
  <c r="E9" i="25"/>
  <c r="K36" i="25"/>
  <c r="J31" i="25"/>
  <c r="H174" i="25"/>
  <c r="H96" i="25"/>
  <c r="N44" i="30"/>
  <c r="F16" i="30"/>
  <c r="E96" i="30"/>
  <c r="F198" i="30"/>
  <c r="D49" i="30"/>
  <c r="L119" i="30"/>
  <c r="G68" i="25"/>
  <c r="O237" i="25"/>
  <c r="D153" i="25"/>
  <c r="M54" i="25"/>
  <c r="E237" i="30"/>
  <c r="G237" i="30"/>
  <c r="D154" i="25"/>
  <c r="L173" i="25"/>
  <c r="N116" i="25"/>
  <c r="N69" i="30"/>
  <c r="K185" i="25"/>
  <c r="F97" i="25"/>
  <c r="K154" i="30"/>
  <c r="H121" i="30"/>
  <c r="I131" i="30"/>
  <c r="I21" i="30"/>
  <c r="E145" i="25"/>
  <c r="M38" i="25"/>
  <c r="E188" i="25"/>
  <c r="N43" i="30"/>
  <c r="F71" i="25"/>
  <c r="K26" i="30"/>
  <c r="I189" i="30"/>
  <c r="F200" i="30"/>
  <c r="F154" i="30"/>
  <c r="G71" i="30"/>
  <c r="L31" i="30"/>
  <c r="H34" i="30"/>
  <c r="I33" i="30"/>
  <c r="K39" i="30"/>
  <c r="L93" i="30"/>
  <c r="F35" i="25"/>
  <c r="J242" i="30"/>
  <c r="K130" i="25"/>
  <c r="K54" i="30"/>
  <c r="I262" i="25"/>
  <c r="H185" i="30"/>
  <c r="D105" i="30"/>
  <c r="K16" i="30"/>
  <c r="G256" i="25"/>
  <c r="I143" i="30"/>
  <c r="L43" i="25"/>
  <c r="J11" i="25"/>
  <c r="O36" i="25"/>
  <c r="O142" i="25"/>
  <c r="M40" i="25"/>
  <c r="H128" i="30"/>
  <c r="H177" i="30"/>
  <c r="G55" i="25"/>
  <c r="L110" i="30"/>
  <c r="G36" i="30"/>
  <c r="D270" i="30"/>
  <c r="O19" i="25"/>
  <c r="E65" i="30"/>
  <c r="M69" i="25"/>
  <c r="M30" i="25"/>
  <c r="J26" i="25"/>
  <c r="K232" i="30"/>
  <c r="G41" i="25"/>
  <c r="O176" i="30"/>
  <c r="M28" i="30"/>
  <c r="F19" i="30"/>
  <c r="F120" i="30"/>
  <c r="F146" i="30"/>
  <c r="N269" i="30"/>
  <c r="L136" i="30"/>
  <c r="E178" i="25"/>
  <c r="O270" i="25"/>
  <c r="K96" i="30"/>
  <c r="L204" i="25"/>
  <c r="L202" i="30"/>
  <c r="F117" i="30"/>
  <c r="G145" i="30"/>
  <c r="F263" i="25"/>
  <c r="H204" i="25"/>
  <c r="F59" i="30"/>
  <c r="N90" i="25"/>
  <c r="G54" i="30"/>
  <c r="G21" i="25"/>
  <c r="D195" i="25"/>
  <c r="N185" i="25"/>
  <c r="O119" i="25"/>
  <c r="N69" i="25"/>
  <c r="H198" i="25"/>
  <c r="I11" i="30"/>
  <c r="E263" i="25"/>
  <c r="D121" i="30"/>
  <c r="D256" i="30"/>
  <c r="J110" i="25"/>
  <c r="J147" i="25"/>
  <c r="L190" i="30"/>
  <c r="E13" i="30"/>
  <c r="K184" i="25"/>
  <c r="H230" i="25"/>
  <c r="D97" i="30"/>
  <c r="F130" i="25"/>
  <c r="M146" i="25"/>
  <c r="J16" i="30"/>
  <c r="L41" i="25"/>
  <c r="G270" i="25"/>
  <c r="M205" i="25"/>
  <c r="K39" i="25"/>
  <c r="H68" i="30"/>
  <c r="K14" i="25"/>
  <c r="J152" i="25"/>
  <c r="H176" i="30"/>
  <c r="L147" i="30"/>
  <c r="I127" i="25"/>
  <c r="J159" i="30"/>
  <c r="N129" i="25"/>
  <c r="K190" i="25"/>
  <c r="M70" i="30"/>
  <c r="G198" i="30"/>
  <c r="E58" i="30"/>
  <c r="L143" i="30"/>
  <c r="N55" i="30"/>
  <c r="D79" i="30"/>
  <c r="L43" i="30"/>
  <c r="G26" i="30"/>
  <c r="D36" i="30"/>
  <c r="F41" i="30"/>
  <c r="F161" i="25"/>
  <c r="G262" i="25"/>
  <c r="N187" i="25"/>
  <c r="L189" i="30"/>
  <c r="G247" i="25"/>
  <c r="H129" i="25"/>
  <c r="J12" i="30"/>
  <c r="K99" i="30"/>
  <c r="K142" i="30"/>
  <c r="K72" i="25"/>
  <c r="D131" i="25"/>
  <c r="M152" i="30"/>
  <c r="N197" i="30"/>
  <c r="G195" i="30"/>
  <c r="K78" i="30"/>
  <c r="D9" i="25"/>
  <c r="E195" i="25"/>
  <c r="I199" i="25"/>
  <c r="I71" i="30"/>
  <c r="D17" i="25"/>
  <c r="F232" i="25"/>
  <c r="E129" i="25"/>
  <c r="D202" i="30"/>
  <c r="I95" i="25"/>
  <c r="J73" i="25"/>
  <c r="O105" i="30"/>
  <c r="K204" i="30"/>
  <c r="K185" i="30"/>
  <c r="K56" i="30"/>
  <c r="L79" i="30"/>
  <c r="K20" i="25"/>
  <c r="K190" i="30"/>
  <c r="F200" i="25"/>
  <c r="M187" i="30"/>
  <c r="E97" i="25"/>
  <c r="D70" i="25"/>
  <c r="L144" i="30"/>
  <c r="L54" i="30"/>
  <c r="L65" i="25"/>
  <c r="L195" i="30"/>
  <c r="D257" i="30"/>
  <c r="F141" i="30"/>
  <c r="H90" i="30"/>
  <c r="O147" i="30"/>
  <c r="N42" i="25"/>
  <c r="F13" i="25"/>
  <c r="M202" i="30"/>
  <c r="O195" i="25"/>
  <c r="L177" i="30"/>
  <c r="O68" i="30"/>
  <c r="E199" i="30"/>
  <c r="K127" i="30"/>
  <c r="J198" i="25"/>
  <c r="K220" i="30"/>
  <c r="J67" i="30"/>
  <c r="H119" i="30"/>
  <c r="M21" i="30"/>
  <c r="L190" i="25"/>
  <c r="M14" i="30"/>
  <c r="L247" i="25"/>
  <c r="D27" i="30"/>
  <c r="N146" i="30"/>
  <c r="J210" i="30"/>
  <c r="O14" i="30"/>
  <c r="G19" i="25"/>
  <c r="F91" i="25"/>
  <c r="F116" i="25"/>
  <c r="F147" i="25"/>
  <c r="I230" i="25"/>
  <c r="L105" i="25"/>
  <c r="L129" i="25"/>
  <c r="O175" i="25"/>
  <c r="F39" i="30"/>
  <c r="F270" i="30"/>
  <c r="E26" i="30"/>
  <c r="O178" i="25"/>
  <c r="M27" i="25"/>
  <c r="L201" i="30"/>
  <c r="M242" i="30"/>
  <c r="I91" i="30"/>
  <c r="N57" i="25"/>
  <c r="K49" i="25"/>
  <c r="F64" i="25"/>
  <c r="F184" i="30"/>
  <c r="M79" i="25"/>
  <c r="K256" i="30"/>
  <c r="F100" i="30"/>
  <c r="E71" i="25"/>
  <c r="I64" i="25"/>
  <c r="N264" i="30"/>
  <c r="I143" i="25"/>
  <c r="D128" i="25"/>
  <c r="M161" i="30"/>
  <c r="K58" i="25"/>
  <c r="M8" i="30"/>
  <c r="O131" i="25"/>
  <c r="K144" i="30"/>
  <c r="J36" i="25"/>
  <c r="I119" i="30"/>
  <c r="J160" i="25"/>
  <c r="I67" i="30"/>
  <c r="M204" i="30"/>
  <c r="K153" i="30"/>
  <c r="G36" i="25"/>
  <c r="F37" i="30"/>
  <c r="H41" i="25"/>
  <c r="M163" i="25"/>
  <c r="N73" i="30"/>
  <c r="E96" i="25"/>
  <c r="D116" i="30"/>
  <c r="L95" i="25"/>
  <c r="H203" i="25"/>
  <c r="K8" i="30"/>
  <c r="D21" i="30"/>
  <c r="F116" i="30"/>
  <c r="D177" i="25"/>
  <c r="F12" i="30"/>
  <c r="M33" i="30"/>
  <c r="L13" i="30"/>
  <c r="I154" i="30"/>
  <c r="O91" i="30"/>
  <c r="E93" i="30"/>
  <c r="F29" i="30"/>
  <c r="H144" i="30"/>
  <c r="H27" i="30"/>
  <c r="M110" i="25"/>
  <c r="F79" i="25"/>
  <c r="I215" i="30"/>
  <c r="K99" i="25"/>
  <c r="D160" i="25"/>
  <c r="N32" i="25"/>
  <c r="I152" i="25"/>
  <c r="D69" i="30"/>
  <c r="L36" i="30"/>
  <c r="G96" i="30"/>
  <c r="N162" i="25"/>
  <c r="E68" i="25"/>
  <c r="G116" i="30"/>
  <c r="D93" i="25"/>
  <c r="I11" i="25"/>
  <c r="I84" i="25"/>
  <c r="L174" i="25"/>
  <c r="M144" i="30"/>
  <c r="H56" i="30"/>
  <c r="H145" i="30"/>
  <c r="L97" i="30"/>
  <c r="M186" i="30"/>
  <c r="L145" i="30"/>
  <c r="O210" i="25"/>
  <c r="E136" i="25"/>
  <c r="G38" i="25"/>
  <c r="M247" i="25"/>
  <c r="H85" i="30"/>
  <c r="I188" i="30"/>
  <c r="I94" i="30"/>
  <c r="J97" i="30"/>
  <c r="L32" i="30"/>
  <c r="I16" i="25"/>
  <c r="E17" i="30"/>
  <c r="D185" i="25"/>
  <c r="M232" i="30"/>
  <c r="E118" i="30"/>
  <c r="H186" i="25"/>
  <c r="I190" i="30"/>
  <c r="G68" i="30"/>
  <c r="N201" i="30"/>
  <c r="J90" i="30"/>
  <c r="E69" i="25"/>
  <c r="E187" i="30"/>
  <c r="N42" i="30"/>
  <c r="E36" i="30"/>
  <c r="M41" i="25"/>
  <c r="G195" i="25"/>
  <c r="F196" i="25"/>
  <c r="H57" i="25"/>
  <c r="E41" i="25"/>
  <c r="O11" i="25"/>
  <c r="J127" i="30"/>
  <c r="N54" i="30"/>
  <c r="J131" i="30"/>
  <c r="O220" i="30"/>
  <c r="F177" i="30"/>
  <c r="K264" i="25"/>
  <c r="J146" i="25"/>
  <c r="D12" i="30"/>
  <c r="L9" i="25"/>
  <c r="E100" i="25"/>
  <c r="J10" i="25"/>
  <c r="L220" i="30"/>
  <c r="J237" i="30"/>
  <c r="D98" i="30"/>
  <c r="N15" i="30"/>
  <c r="J37" i="30"/>
  <c r="M97" i="25"/>
  <c r="I59" i="25"/>
  <c r="N162" i="30"/>
  <c r="E28" i="30"/>
  <c r="E40" i="25"/>
  <c r="M175" i="25"/>
  <c r="M105" i="25"/>
  <c r="J20" i="25"/>
  <c r="K146" i="25"/>
  <c r="M237" i="25"/>
  <c r="L263" i="25"/>
  <c r="D130" i="25"/>
  <c r="I17" i="25"/>
  <c r="J264" i="25"/>
  <c r="O145" i="30"/>
  <c r="I257" i="30"/>
  <c r="J36" i="30"/>
  <c r="G122" i="25"/>
  <c r="M147" i="25"/>
  <c r="K161" i="30"/>
  <c r="I145" i="25"/>
  <c r="H127" i="25"/>
  <c r="I145" i="30"/>
  <c r="N84" i="25"/>
  <c r="E153" i="30"/>
  <c r="M68" i="30"/>
  <c r="J215" i="25"/>
  <c r="M163" i="30"/>
  <c r="F129" i="25"/>
  <c r="N14" i="25"/>
  <c r="H178" i="30"/>
  <c r="O85" i="25"/>
  <c r="L78" i="30"/>
  <c r="O15" i="30"/>
  <c r="K84" i="30"/>
  <c r="J210" i="25"/>
  <c r="F189" i="25"/>
  <c r="H58" i="25"/>
  <c r="G57" i="25"/>
  <c r="D220" i="30"/>
  <c r="J54" i="25"/>
  <c r="I68" i="25"/>
  <c r="G33" i="30"/>
  <c r="N232" i="25"/>
  <c r="O42" i="30"/>
  <c r="L128" i="25"/>
  <c r="K13" i="30"/>
  <c r="M7" i="25"/>
  <c r="H119" i="25"/>
  <c r="E98" i="30"/>
  <c r="F49" i="25"/>
  <c r="M71" i="25"/>
  <c r="N143" i="25"/>
  <c r="K43" i="30"/>
  <c r="D90" i="25"/>
  <c r="D118" i="30"/>
  <c r="N185" i="30"/>
  <c r="E210" i="25"/>
  <c r="H118" i="30"/>
  <c r="N19" i="25"/>
  <c r="L247" i="30"/>
  <c r="O172" i="30"/>
  <c r="F40" i="25"/>
  <c r="E203" i="30"/>
  <c r="H198" i="30"/>
  <c r="K55" i="30"/>
  <c r="D187" i="25"/>
  <c r="M136" i="25"/>
  <c r="H17" i="25"/>
  <c r="J30" i="30"/>
  <c r="O161" i="25"/>
  <c r="G11" i="25"/>
  <c r="K42" i="30"/>
  <c r="E131" i="25"/>
  <c r="G178" i="25"/>
  <c r="N229" i="30"/>
  <c r="M122" i="25"/>
  <c r="N99" i="25"/>
  <c r="E34" i="25"/>
  <c r="G8" i="25"/>
  <c r="G199" i="30"/>
  <c r="H231" i="25"/>
  <c r="K90" i="30"/>
  <c r="K269" i="25"/>
  <c r="H84" i="30"/>
  <c r="E186" i="30"/>
  <c r="O144" i="25"/>
  <c r="M68" i="25"/>
  <c r="F264" i="30"/>
  <c r="N13" i="25"/>
  <c r="J55" i="25"/>
  <c r="E161" i="25"/>
  <c r="D32" i="25"/>
  <c r="H94" i="30"/>
  <c r="O154" i="30"/>
  <c r="K145" i="30"/>
  <c r="H154" i="25"/>
  <c r="L35" i="25"/>
  <c r="E36" i="25"/>
  <c r="G7" i="30"/>
  <c r="E31" i="25"/>
  <c r="H263" i="25"/>
  <c r="G203" i="30"/>
  <c r="F17" i="25"/>
  <c r="G27" i="25"/>
  <c r="L146" i="30"/>
  <c r="J92" i="30"/>
  <c r="H200" i="30"/>
  <c r="E153" i="25"/>
  <c r="F160" i="25"/>
  <c r="H154" i="30"/>
  <c r="E146" i="25"/>
  <c r="L78" i="25"/>
  <c r="L49" i="25"/>
  <c r="E232" i="25"/>
  <c r="J199" i="30"/>
  <c r="D69" i="25"/>
  <c r="G264" i="25"/>
  <c r="M153" i="30"/>
  <c r="L17" i="30"/>
  <c r="L42" i="25"/>
  <c r="E41" i="30"/>
  <c r="F11" i="30"/>
  <c r="I27" i="30"/>
  <c r="N59" i="25"/>
  <c r="G247" i="30"/>
  <c r="O199" i="30"/>
  <c r="E105" i="25"/>
  <c r="K116" i="25"/>
  <c r="F69" i="25"/>
  <c r="D237" i="25"/>
  <c r="J21" i="25"/>
  <c r="J187" i="25"/>
  <c r="M184" i="30"/>
  <c r="M93" i="25"/>
  <c r="M172" i="30"/>
  <c r="H141" i="25"/>
  <c r="N116" i="30"/>
  <c r="M198" i="30"/>
  <c r="K197" i="30"/>
  <c r="E152" i="30"/>
  <c r="N91" i="25"/>
  <c r="D130" i="30"/>
  <c r="K44" i="30"/>
  <c r="K116" i="30"/>
  <c r="E21" i="30"/>
  <c r="J153" i="25"/>
  <c r="D176" i="30"/>
  <c r="K143" i="25"/>
  <c r="J264" i="30"/>
  <c r="L203" i="25"/>
  <c r="N163" i="30"/>
  <c r="F26" i="30"/>
  <c r="N177" i="25"/>
  <c r="J205" i="30"/>
  <c r="O16" i="25"/>
  <c r="J68" i="25"/>
  <c r="M64" i="30"/>
  <c r="L127" i="30"/>
  <c r="E142" i="30"/>
  <c r="D20" i="25"/>
  <c r="J66" i="30"/>
  <c r="D269" i="30"/>
  <c r="H263" i="30"/>
  <c r="D205" i="30"/>
  <c r="D70" i="30"/>
  <c r="M18" i="25"/>
  <c r="O186" i="25"/>
  <c r="G163" i="30"/>
  <c r="H147" i="30"/>
  <c r="J127" i="25"/>
  <c r="O40" i="30"/>
  <c r="E115" i="30"/>
  <c r="N188" i="30"/>
  <c r="O21" i="30"/>
  <c r="N67" i="30"/>
  <c r="I185" i="30"/>
  <c r="I8" i="30"/>
  <c r="D36" i="25"/>
  <c r="E78" i="30"/>
  <c r="M64" i="25"/>
  <c r="J119" i="30"/>
  <c r="E91" i="25"/>
  <c r="D141" i="25"/>
  <c r="F98" i="30"/>
  <c r="D15" i="30"/>
  <c r="O85" i="30"/>
  <c r="L263" i="30"/>
  <c r="M190" i="30"/>
  <c r="K100" i="30"/>
  <c r="M127" i="25"/>
  <c r="J162" i="30"/>
  <c r="K34" i="25"/>
  <c r="J177" i="25"/>
  <c r="E121" i="25"/>
  <c r="H91" i="30"/>
  <c r="N237" i="25"/>
  <c r="E141" i="30"/>
  <c r="L205" i="25"/>
  <c r="G121" i="30"/>
  <c r="J153" i="30"/>
  <c r="I39" i="30"/>
  <c r="M142" i="30"/>
  <c r="H18" i="30"/>
  <c r="M13" i="30"/>
  <c r="M79" i="30"/>
  <c r="I153" i="30"/>
  <c r="K41" i="30"/>
  <c r="I263" i="25"/>
  <c r="L196" i="25"/>
  <c r="N215" i="30"/>
  <c r="G204" i="30"/>
  <c r="L198" i="30"/>
  <c r="I263" i="30"/>
  <c r="H36" i="25"/>
  <c r="E130" i="25"/>
  <c r="J142" i="25"/>
  <c r="O28" i="30"/>
  <c r="E188" i="30"/>
  <c r="D78" i="25"/>
  <c r="G189" i="30"/>
  <c r="O269" i="25"/>
  <c r="F9" i="30"/>
  <c r="I237" i="25"/>
  <c r="O210" i="30"/>
  <c r="O205" i="30"/>
  <c r="F198" i="25"/>
  <c r="M10" i="25"/>
  <c r="L122" i="30"/>
  <c r="F71" i="30"/>
  <c r="E92" i="25"/>
  <c r="G9" i="30"/>
  <c r="I270" i="30"/>
  <c r="O37" i="25"/>
  <c r="G174" i="25"/>
  <c r="O65" i="25"/>
  <c r="O64" i="25"/>
  <c r="L186" i="30"/>
  <c r="O200" i="25"/>
  <c r="O184" i="25"/>
  <c r="G242" i="25"/>
  <c r="D186" i="25"/>
  <c r="H195" i="25"/>
  <c r="L201" i="25"/>
  <c r="N32" i="30"/>
  <c r="K73" i="25"/>
  <c r="H129" i="30"/>
  <c r="M92" i="25"/>
  <c r="I130" i="25"/>
  <c r="J90" i="25"/>
  <c r="J99" i="30"/>
  <c r="I72" i="25"/>
  <c r="D7" i="30"/>
  <c r="G270" i="30"/>
  <c r="L200" i="30"/>
  <c r="I269" i="30"/>
  <c r="K122" i="25"/>
  <c r="H93" i="25"/>
  <c r="D55" i="30"/>
  <c r="E11" i="25"/>
  <c r="I144" i="25"/>
  <c r="L91" i="25"/>
  <c r="O97" i="25"/>
  <c r="L185" i="25"/>
  <c r="K189" i="25"/>
  <c r="M10" i="30"/>
  <c r="L95" i="30"/>
  <c r="O121" i="30"/>
  <c r="D44" i="25"/>
  <c r="I200" i="30"/>
  <c r="L183" i="30"/>
  <c r="G85" i="25"/>
  <c r="J71" i="30"/>
  <c r="D91" i="25"/>
  <c r="L73" i="25"/>
  <c r="G42" i="25"/>
  <c r="E198" i="30"/>
  <c r="I90" i="30"/>
  <c r="D263" i="30"/>
  <c r="F229" i="30"/>
  <c r="F121" i="25"/>
  <c r="L11" i="30"/>
  <c r="J269" i="25"/>
  <c r="E30" i="30"/>
  <c r="F144" i="30"/>
  <c r="M174" i="25"/>
  <c r="N13" i="30"/>
  <c r="N184" i="30"/>
  <c r="G120" i="30"/>
  <c r="O141" i="25"/>
  <c r="E39" i="25"/>
  <c r="K95" i="30"/>
  <c r="D96" i="25"/>
  <c r="H183" i="25"/>
  <c r="N40" i="25"/>
  <c r="L71" i="30"/>
  <c r="I21" i="25"/>
  <c r="M178" i="25"/>
  <c r="D200" i="30"/>
  <c r="G14" i="25"/>
  <c r="I58" i="25"/>
  <c r="L15" i="25"/>
  <c r="D161" i="30"/>
  <c r="N147" i="30"/>
  <c r="N257" i="30"/>
  <c r="K85" i="30"/>
  <c r="L13" i="25"/>
  <c r="E68" i="30"/>
  <c r="K120" i="30"/>
  <c r="M99" i="30"/>
  <c r="E92" i="30"/>
  <c r="J42" i="30"/>
  <c r="M59" i="25"/>
  <c r="G197" i="30"/>
  <c r="M44" i="25"/>
  <c r="F84" i="30"/>
  <c r="F110" i="30"/>
  <c r="G15" i="30"/>
  <c r="I177" i="30"/>
  <c r="G160" i="25"/>
  <c r="K242" i="25"/>
  <c r="F49" i="30"/>
  <c r="K28" i="25"/>
  <c r="N231" i="30"/>
  <c r="I43" i="30"/>
  <c r="G257" i="25"/>
  <c r="F186" i="25"/>
  <c r="I147" i="30"/>
  <c r="L130" i="30"/>
  <c r="D117" i="30"/>
  <c r="D262" i="30"/>
  <c r="I56" i="30"/>
  <c r="J38" i="30"/>
  <c r="L264" i="25"/>
  <c r="N229" i="25"/>
  <c r="E196" i="30"/>
  <c r="O120" i="25"/>
  <c r="K187" i="30"/>
  <c r="L91" i="30"/>
  <c r="H78" i="30"/>
  <c r="O204" i="25"/>
  <c r="F188" i="25"/>
  <c r="I175" i="25"/>
  <c r="G230" i="30"/>
  <c r="G66" i="25"/>
  <c r="E56" i="30"/>
  <c r="E263" i="30"/>
  <c r="G119" i="25"/>
  <c r="N99" i="30"/>
  <c r="O70" i="25"/>
  <c r="I85" i="30"/>
  <c r="J178" i="30"/>
  <c r="K136" i="25"/>
  <c r="K30" i="25"/>
  <c r="O242" i="25"/>
  <c r="N40" i="30"/>
  <c r="L187" i="25"/>
  <c r="O198" i="30"/>
  <c r="M32" i="25"/>
  <c r="H69" i="30"/>
  <c r="G189" i="25"/>
  <c r="E55" i="30"/>
  <c r="O39" i="25"/>
  <c r="F163" i="25"/>
  <c r="G162" i="30"/>
  <c r="F153" i="30"/>
  <c r="E95" i="25"/>
  <c r="F202" i="25"/>
  <c r="I185" i="25"/>
  <c r="H36" i="30"/>
  <c r="F54" i="25"/>
  <c r="K37" i="30"/>
  <c r="O146" i="25"/>
  <c r="L230" i="25"/>
  <c r="O90" i="30"/>
  <c r="H15" i="30"/>
  <c r="I44" i="30"/>
  <c r="J8" i="25"/>
  <c r="D90" i="30"/>
  <c r="I18" i="30"/>
  <c r="G73" i="25"/>
  <c r="E183" i="25"/>
  <c r="F237" i="30"/>
  <c r="N141" i="25"/>
  <c r="E44" i="30"/>
  <c r="L97" i="25"/>
  <c r="M19" i="30"/>
  <c r="I15" i="25"/>
  <c r="E58" i="25"/>
  <c r="D67" i="25"/>
  <c r="O71" i="25"/>
  <c r="O264" i="30"/>
  <c r="I172" i="30"/>
  <c r="L161" i="30"/>
  <c r="I161" i="25"/>
  <c r="H12" i="25"/>
  <c r="F203" i="25"/>
  <c r="G59" i="25"/>
  <c r="E162" i="30"/>
  <c r="I10" i="30"/>
  <c r="L30" i="30"/>
  <c r="F203" i="30"/>
  <c r="G185" i="30"/>
  <c r="K154" i="25"/>
  <c r="G44" i="25"/>
  <c r="N72" i="30"/>
  <c r="J35" i="30"/>
  <c r="J160" i="30"/>
  <c r="D64" i="30"/>
  <c r="M196" i="25"/>
  <c r="D14" i="25"/>
  <c r="I201" i="25"/>
  <c r="K176" i="30"/>
  <c r="G229" i="30"/>
  <c r="G85" i="30"/>
  <c r="J17" i="25"/>
  <c r="J93" i="25"/>
  <c r="F220" i="30"/>
  <c r="J128" i="30"/>
  <c r="M161" i="25"/>
  <c r="E257" i="30"/>
  <c r="H121" i="25"/>
  <c r="F59" i="25"/>
  <c r="K10" i="30"/>
  <c r="I195" i="30"/>
  <c r="J118" i="30"/>
  <c r="G105" i="25"/>
  <c r="D185" i="30"/>
  <c r="J115" i="30"/>
  <c r="K174" i="25"/>
  <c r="L14" i="30"/>
  <c r="O13" i="30"/>
  <c r="M57" i="30"/>
  <c r="E122" i="25"/>
  <c r="H146" i="25"/>
  <c r="D202" i="25"/>
  <c r="L19" i="25"/>
  <c r="O99" i="25"/>
  <c r="O242" i="30"/>
  <c r="M96" i="30"/>
  <c r="J173" i="25"/>
  <c r="H142" i="25"/>
  <c r="H173" i="30"/>
  <c r="J202" i="30"/>
  <c r="N128" i="25"/>
  <c r="N242" i="25"/>
  <c r="F70" i="30"/>
  <c r="M185" i="30"/>
  <c r="K43" i="25"/>
  <c r="G269" i="30"/>
  <c r="D110" i="30"/>
  <c r="O121" i="25"/>
  <c r="I178" i="30"/>
  <c r="E12" i="30"/>
  <c r="G152" i="30"/>
  <c r="E54" i="30"/>
  <c r="M55" i="25"/>
  <c r="N127" i="30"/>
  <c r="O8" i="30"/>
  <c r="J131" i="25"/>
  <c r="J29" i="25"/>
  <c r="E11" i="30"/>
  <c r="H30" i="30"/>
  <c r="H163" i="30"/>
  <c r="F229" i="25"/>
  <c r="I33" i="25"/>
  <c r="E67" i="30"/>
  <c r="K269" i="30"/>
  <c r="O183" i="25"/>
  <c r="D127" i="25"/>
  <c r="H130" i="30"/>
  <c r="O29" i="25"/>
  <c r="D154" i="30"/>
  <c r="N31" i="30"/>
  <c r="D163" i="25"/>
  <c r="M100" i="30"/>
  <c r="G177" i="25"/>
  <c r="E73" i="30"/>
  <c r="N129" i="30"/>
  <c r="K147" i="30"/>
  <c r="I120" i="30"/>
  <c r="N68" i="25"/>
  <c r="L130" i="25"/>
  <c r="I210" i="25"/>
  <c r="L27" i="25"/>
  <c r="J230" i="25"/>
  <c r="L196" i="30"/>
  <c r="G202" i="30"/>
  <c r="I231" i="25"/>
  <c r="M78" i="25"/>
  <c r="N174" i="25"/>
  <c r="L231" i="25"/>
  <c r="J122" i="25"/>
  <c r="E154" i="30"/>
  <c r="I20" i="30"/>
  <c r="E185" i="25"/>
  <c r="K200" i="30"/>
  <c r="O98" i="30"/>
  <c r="J184" i="30"/>
  <c r="D147" i="30"/>
  <c r="K68" i="30"/>
  <c r="M27" i="30"/>
  <c r="H187" i="30"/>
  <c r="H120" i="30"/>
  <c r="N9" i="30"/>
  <c r="J9" i="30"/>
  <c r="I242" i="25"/>
  <c r="K67" i="25"/>
  <c r="O196" i="25"/>
  <c r="D41" i="30"/>
  <c r="O73" i="30"/>
  <c r="J16" i="25"/>
  <c r="E200" i="30"/>
  <c r="D203" i="25"/>
  <c r="O185" i="30"/>
  <c r="K175" i="25"/>
  <c r="D32" i="30"/>
  <c r="L29" i="30"/>
  <c r="G200" i="25"/>
  <c r="G205" i="25"/>
  <c r="G99" i="25"/>
  <c r="D242" i="25"/>
  <c r="F195" i="30"/>
  <c r="G188" i="25"/>
  <c r="I13" i="25"/>
  <c r="F10" i="30"/>
  <c r="E195" i="30"/>
  <c r="D27" i="25"/>
  <c r="D152" i="25"/>
  <c r="H97" i="30"/>
  <c r="M65" i="25"/>
  <c r="E14" i="30"/>
  <c r="F13" i="30"/>
  <c r="M197" i="25"/>
  <c r="K198" i="30"/>
  <c r="D220" i="25"/>
  <c r="J247" i="25"/>
  <c r="J84" i="30"/>
  <c r="M95" i="30"/>
  <c r="K59" i="25"/>
  <c r="D13" i="30"/>
  <c r="F152" i="25"/>
  <c r="M269" i="30"/>
  <c r="J174" i="25"/>
  <c r="D188" i="30"/>
  <c r="O68" i="25"/>
  <c r="J35" i="25"/>
  <c r="O203" i="30"/>
  <c r="D65" i="30"/>
  <c r="O13" i="25"/>
  <c r="L154" i="25"/>
  <c r="L176" i="25"/>
  <c r="E84" i="25"/>
  <c r="E127" i="30"/>
  <c r="I98" i="25"/>
  <c r="O262" i="25"/>
  <c r="G95" i="25"/>
  <c r="F54" i="30"/>
  <c r="L210" i="25"/>
  <c r="I73" i="25"/>
  <c r="N100" i="30"/>
  <c r="I67" i="25"/>
  <c r="L105" i="30"/>
  <c r="N93" i="25"/>
  <c r="J19" i="25"/>
  <c r="G21" i="30"/>
  <c r="N142" i="30"/>
  <c r="I187" i="30"/>
  <c r="N20" i="30"/>
  <c r="G91" i="30"/>
  <c r="G230" i="25"/>
  <c r="L100" i="30"/>
  <c r="H15" i="25"/>
  <c r="H33" i="25"/>
  <c r="I19" i="30"/>
  <c r="H131" i="25"/>
  <c r="J39" i="30"/>
  <c r="M144" i="25"/>
  <c r="E175" i="25"/>
  <c r="O128" i="25"/>
  <c r="L38" i="30"/>
  <c r="O69" i="30"/>
  <c r="L26" i="30"/>
  <c r="D231" i="30"/>
  <c r="O190" i="30"/>
  <c r="O15" i="25"/>
  <c r="I14" i="30"/>
  <c r="L58" i="25"/>
  <c r="M31" i="25"/>
  <c r="L183" i="25"/>
  <c r="G256" i="30"/>
  <c r="J27" i="30"/>
  <c r="F122" i="30"/>
  <c r="I198" i="30"/>
  <c r="G29" i="25"/>
  <c r="E20" i="30"/>
  <c r="J186" i="30"/>
  <c r="N159" i="30"/>
  <c r="L237" i="30"/>
  <c r="F14" i="30"/>
  <c r="F152" i="30"/>
  <c r="G67" i="30"/>
  <c r="I115" i="30"/>
  <c r="F175" i="25"/>
  <c r="K10" i="25"/>
  <c r="O147" i="25"/>
  <c r="D9" i="30"/>
  <c r="F197" i="30"/>
  <c r="J136" i="25"/>
  <c r="J146" i="30"/>
  <c r="F64" i="30"/>
  <c r="J121" i="30"/>
  <c r="E242" i="25"/>
  <c r="K195" i="25"/>
  <c r="G159" i="30"/>
  <c r="G242" i="30"/>
  <c r="H197" i="25"/>
  <c r="O7" i="30"/>
  <c r="H49" i="30"/>
  <c r="M199" i="30"/>
  <c r="I35" i="30"/>
  <c r="I79" i="25"/>
  <c r="L118" i="25"/>
  <c r="N198" i="30"/>
  <c r="N12" i="30"/>
  <c r="I28" i="25"/>
  <c r="G257" i="30"/>
  <c r="O187" i="30"/>
  <c r="K98" i="25"/>
  <c r="D198" i="25"/>
  <c r="H175" i="30"/>
  <c r="D122" i="30"/>
  <c r="H42" i="25"/>
  <c r="N34" i="30"/>
  <c r="D172" i="30"/>
  <c r="E190" i="30"/>
  <c r="O188" i="25"/>
  <c r="F72" i="30"/>
  <c r="I121" i="30"/>
  <c r="L231" i="30"/>
  <c r="F56" i="25"/>
  <c r="H71" i="25"/>
  <c r="N176" i="30"/>
  <c r="G49" i="30"/>
  <c r="L178" i="30"/>
  <c r="E66" i="25"/>
  <c r="G116" i="25"/>
  <c r="L37" i="30"/>
  <c r="D44" i="30"/>
  <c r="H19" i="30"/>
  <c r="J68" i="30"/>
  <c r="E71" i="30"/>
  <c r="F35" i="30"/>
  <c r="J220" i="25"/>
  <c r="I232" i="25"/>
  <c r="O128" i="30"/>
  <c r="O202" i="30"/>
  <c r="O79" i="30"/>
  <c r="F15" i="30"/>
  <c r="I142" i="25"/>
  <c r="H11" i="25"/>
  <c r="L84" i="25"/>
  <c r="I118" i="25"/>
  <c r="K232" i="25"/>
  <c r="D152" i="30"/>
  <c r="H210" i="25"/>
  <c r="D66" i="30"/>
  <c r="E16" i="25"/>
  <c r="O232" i="30"/>
  <c r="F65" i="30"/>
  <c r="M257" i="30"/>
  <c r="F78" i="30"/>
  <c r="H142" i="30"/>
  <c r="M110" i="30"/>
  <c r="J257" i="30"/>
  <c r="O143" i="30"/>
  <c r="H201" i="30"/>
  <c r="O90" i="25"/>
  <c r="D57" i="30"/>
  <c r="G143" i="25"/>
  <c r="H59" i="25"/>
  <c r="N204" i="30"/>
  <c r="K131" i="30"/>
  <c r="K153" i="25"/>
  <c r="M154" i="30"/>
  <c r="L65" i="30"/>
  <c r="D173" i="30"/>
  <c r="H44" i="30"/>
  <c r="L33" i="30"/>
  <c r="N21" i="30"/>
  <c r="K31" i="30"/>
  <c r="O34" i="25"/>
  <c r="E174" i="30"/>
  <c r="D232" i="25"/>
  <c r="N204" i="25"/>
  <c r="D153" i="30"/>
  <c r="I7" i="30"/>
  <c r="E262" i="30"/>
  <c r="F21" i="25"/>
  <c r="H19" i="25"/>
  <c r="H161" i="25"/>
  <c r="G201" i="30"/>
  <c r="G71" i="25"/>
  <c r="D190" i="25"/>
  <c r="D122" i="25"/>
  <c r="N39" i="30"/>
  <c r="H270" i="30"/>
  <c r="H115" i="30"/>
  <c r="I172" i="25"/>
  <c r="N230" i="30"/>
  <c r="E94" i="30"/>
  <c r="H72" i="25"/>
  <c r="E172" i="30"/>
  <c r="J116" i="25"/>
  <c r="I176" i="30"/>
  <c r="N92" i="25"/>
  <c r="E143" i="25"/>
  <c r="F188" i="30"/>
  <c r="M38" i="30"/>
  <c r="O78" i="25"/>
  <c r="N57" i="30"/>
  <c r="M97" i="30"/>
  <c r="G141" i="25"/>
  <c r="K30" i="30"/>
  <c r="I190" i="25"/>
  <c r="H115" i="25"/>
  <c r="I136" i="25"/>
  <c r="N9" i="25"/>
  <c r="H70" i="30"/>
  <c r="H66" i="25"/>
  <c r="L188" i="30"/>
  <c r="D18" i="25"/>
  <c r="E79" i="30"/>
  <c r="L57" i="30"/>
  <c r="I230" i="30"/>
  <c r="M58" i="25"/>
  <c r="O203" i="25"/>
  <c r="K152" i="25"/>
  <c r="G56" i="25"/>
  <c r="L37" i="25"/>
  <c r="H7" i="25"/>
  <c r="K128" i="25"/>
  <c r="F73" i="25"/>
  <c r="E128" i="25"/>
  <c r="M183" i="25"/>
  <c r="L262" i="30"/>
  <c r="D197" i="25"/>
  <c r="K201" i="30"/>
  <c r="O55" i="25"/>
  <c r="K203" i="30"/>
  <c r="G129" i="30"/>
  <c r="D178" i="30"/>
  <c r="H64" i="25"/>
  <c r="E64" i="25"/>
  <c r="E12" i="25"/>
  <c r="L67" i="25"/>
  <c r="G32" i="30"/>
  <c r="E65" i="25"/>
  <c r="N118" i="25"/>
  <c r="E54" i="25"/>
  <c r="M69" i="30"/>
  <c r="E187" i="25"/>
  <c r="F130" i="30"/>
  <c r="J59" i="30"/>
  <c r="D128" i="30"/>
  <c r="O16" i="30"/>
  <c r="K29" i="30"/>
  <c r="N30" i="30"/>
  <c r="D197" i="30"/>
  <c r="F162" i="30"/>
  <c r="H8" i="30"/>
  <c r="O201" i="30"/>
  <c r="G90" i="30"/>
  <c r="I146" i="25"/>
  <c r="D215" i="25"/>
  <c r="J71" i="25"/>
  <c r="D172" i="25"/>
  <c r="J205" i="25"/>
  <c r="L264" i="30"/>
  <c r="J78" i="25"/>
  <c r="H153" i="30"/>
  <c r="H196" i="30"/>
  <c r="L85" i="25"/>
  <c r="G70" i="30"/>
  <c r="D98" i="25"/>
  <c r="E199" i="25"/>
  <c r="E78" i="25"/>
  <c r="L257" i="30"/>
  <c r="N28" i="25"/>
  <c r="K247" i="25"/>
  <c r="D26" i="30"/>
  <c r="E15" i="30"/>
  <c r="N30" i="25"/>
  <c r="J72" i="30"/>
  <c r="I58" i="30"/>
  <c r="I174" i="25"/>
  <c r="K7" i="30"/>
  <c r="K36" i="30"/>
  <c r="J58" i="30"/>
  <c r="K189" i="30"/>
  <c r="O38" i="25"/>
  <c r="N175" i="30"/>
  <c r="M121" i="30"/>
  <c r="N85" i="30"/>
  <c r="J44" i="30"/>
  <c r="H190" i="30"/>
  <c r="L96" i="30"/>
  <c r="D31" i="25"/>
  <c r="N72" i="25"/>
  <c r="L18" i="25"/>
  <c r="K197" i="25"/>
  <c r="J122" i="30"/>
  <c r="I257" i="25"/>
  <c r="J41" i="30"/>
  <c r="I49" i="30"/>
  <c r="I131" i="25"/>
  <c r="H30" i="25"/>
  <c r="D120" i="25"/>
  <c r="M12" i="30"/>
  <c r="M90" i="25"/>
  <c r="M37" i="25"/>
  <c r="L119" i="25"/>
  <c r="F42" i="30"/>
  <c r="O17" i="25"/>
  <c r="L115" i="25"/>
  <c r="I84" i="30"/>
  <c r="M34" i="25"/>
  <c r="I28" i="30"/>
  <c r="I186" i="30"/>
  <c r="D159" i="30"/>
  <c r="G146" i="30"/>
  <c r="M11" i="30"/>
  <c r="I54" i="30"/>
  <c r="M178" i="30"/>
  <c r="M262" i="30"/>
  <c r="G79" i="25"/>
  <c r="J57" i="30"/>
  <c r="N201" i="25"/>
  <c r="N199" i="30"/>
  <c r="K162" i="25"/>
  <c r="I183" i="30"/>
  <c r="D119" i="30"/>
  <c r="M141" i="30"/>
  <c r="O95" i="25"/>
  <c r="L35" i="30"/>
  <c r="D59" i="25"/>
  <c r="O229" i="30"/>
  <c r="N21" i="25"/>
  <c r="F178" i="25"/>
  <c r="G161" i="25"/>
  <c r="M120" i="30"/>
  <c r="E32" i="30"/>
  <c r="N110" i="30"/>
  <c r="J118" i="25"/>
  <c r="E145" i="30"/>
  <c r="N118" i="30"/>
  <c r="G11" i="30"/>
  <c r="L129" i="30"/>
  <c r="D91" i="30"/>
  <c r="M122" i="30"/>
  <c r="J14" i="25"/>
  <c r="I203" i="25"/>
  <c r="G57" i="30"/>
  <c r="H196" i="25"/>
  <c r="N29" i="30"/>
  <c r="E119" i="30"/>
  <c r="E35" i="30"/>
  <c r="E121" i="30"/>
  <c r="F197" i="25"/>
  <c r="N70" i="30"/>
  <c r="H143" i="30"/>
  <c r="N70" i="25"/>
  <c r="J147" i="30"/>
  <c r="I93" i="30"/>
  <c r="I237" i="30"/>
  <c r="I93" i="25"/>
  <c r="N38" i="30"/>
  <c r="H153" i="25"/>
  <c r="H100" i="25"/>
  <c r="O67" i="25"/>
  <c r="F247" i="30"/>
  <c r="G42" i="30"/>
  <c r="N269" i="25"/>
  <c r="N205" i="25"/>
  <c r="D14" i="30"/>
  <c r="D163" i="30"/>
  <c r="K141" i="30"/>
  <c r="L72" i="30"/>
  <c r="E98" i="25"/>
  <c r="I40" i="25"/>
  <c r="I247" i="25"/>
  <c r="F161" i="30"/>
  <c r="E28" i="25"/>
  <c r="E197" i="25"/>
  <c r="H195" i="30"/>
  <c r="D186" i="30"/>
  <c r="N152" i="25"/>
  <c r="J15" i="30"/>
  <c r="J57" i="25"/>
  <c r="H146" i="30"/>
  <c r="E242" i="30"/>
  <c r="D247" i="30"/>
  <c r="N270" i="30"/>
  <c r="E269" i="30"/>
  <c r="O247" i="30"/>
  <c r="L84" i="30"/>
  <c r="E159" i="25"/>
  <c r="E27" i="25"/>
  <c r="I38" i="25"/>
  <c r="K13" i="25"/>
  <c r="D58" i="30"/>
  <c r="J39" i="25"/>
  <c r="F190" i="30"/>
  <c r="H147" i="25"/>
  <c r="L40" i="30"/>
  <c r="D188" i="25"/>
  <c r="N37" i="25"/>
  <c r="H143" i="25"/>
  <c r="N37" i="30"/>
  <c r="K141" i="25"/>
  <c r="I41" i="30"/>
  <c r="I162" i="25"/>
  <c r="L56" i="25"/>
  <c r="L237" i="25"/>
  <c r="I19" i="25"/>
  <c r="O20" i="25"/>
  <c r="F55" i="25"/>
  <c r="K173" i="30"/>
  <c r="E189" i="30"/>
  <c r="E16" i="30"/>
  <c r="D160" i="30"/>
  <c r="E147" i="25"/>
  <c r="M189" i="30"/>
  <c r="F33" i="25"/>
  <c r="M160" i="25"/>
  <c r="O58" i="25"/>
  <c r="H270" i="25"/>
  <c r="N96" i="30"/>
  <c r="E8" i="30"/>
  <c r="J41" i="25"/>
  <c r="G84" i="30"/>
  <c r="E210" i="30"/>
  <c r="D30" i="30"/>
  <c r="I205" i="25"/>
  <c r="D189" i="25"/>
  <c r="H10" i="25"/>
  <c r="M16" i="25"/>
  <c r="J91" i="30"/>
  <c r="F90" i="25"/>
  <c r="G15" i="25"/>
  <c r="M256" i="25"/>
  <c r="D142" i="30"/>
  <c r="N78" i="25"/>
  <c r="H94" i="25"/>
  <c r="O122" i="25"/>
  <c r="D58" i="25"/>
  <c r="G159" i="25"/>
  <c r="K118" i="25"/>
  <c r="L159" i="25"/>
  <c r="F175" i="30"/>
  <c r="I196" i="25"/>
  <c r="D78" i="30"/>
  <c r="O94" i="30"/>
  <c r="J198" i="30"/>
  <c r="F99" i="30"/>
  <c r="E94" i="25"/>
  <c r="G55" i="30"/>
  <c r="H159" i="25"/>
  <c r="O160" i="25"/>
  <c r="O72" i="25"/>
  <c r="G196" i="25"/>
  <c r="N177" i="30"/>
  <c r="O130" i="30"/>
  <c r="L10" i="25"/>
  <c r="D97" i="25"/>
  <c r="D175" i="25"/>
  <c r="M57" i="25"/>
  <c r="J172" i="30"/>
  <c r="J185" i="25"/>
  <c r="O177" i="30"/>
  <c r="I136" i="30"/>
  <c r="H95" i="25"/>
  <c r="E200" i="25"/>
  <c r="K15" i="25"/>
  <c r="E122" i="30"/>
  <c r="D26" i="25"/>
  <c r="O37" i="30"/>
  <c r="H65" i="25"/>
  <c r="H190" i="25"/>
  <c r="F43" i="30"/>
  <c r="K196" i="25"/>
  <c r="O96" i="25"/>
  <c r="J152" i="30"/>
  <c r="J34" i="30"/>
  <c r="L173" i="30"/>
  <c r="K229" i="30"/>
  <c r="O122" i="30"/>
  <c r="F92" i="25"/>
  <c r="K129" i="25"/>
  <c r="M203" i="30"/>
  <c r="M16" i="30"/>
  <c r="H202" i="30"/>
  <c r="M9" i="25"/>
  <c r="H42" i="30"/>
  <c r="M71" i="30"/>
  <c r="J105" i="25"/>
  <c r="D43" i="25"/>
  <c r="O67" i="30"/>
  <c r="E163" i="25"/>
  <c r="N10" i="25"/>
  <c r="G40" i="25"/>
  <c r="O100" i="30"/>
  <c r="L152" i="30"/>
  <c r="O146" i="30"/>
  <c r="E184" i="25"/>
  <c r="G78" i="25"/>
  <c r="O38" i="30"/>
  <c r="F93" i="30"/>
  <c r="D34" i="30"/>
  <c r="K186" i="30"/>
  <c r="K159" i="30"/>
  <c r="M198" i="25"/>
  <c r="H32" i="30"/>
  <c r="K94" i="25"/>
  <c r="H210" i="30"/>
  <c r="F199" i="25"/>
  <c r="G185" i="25"/>
  <c r="I220" i="25"/>
  <c r="L41" i="30"/>
  <c r="H188" i="30"/>
  <c r="N27" i="30"/>
  <c r="D190" i="30"/>
  <c r="I174" i="30"/>
  <c r="J28" i="30"/>
  <c r="D145" i="30"/>
  <c r="H28" i="30"/>
  <c r="O163" i="25"/>
  <c r="N122" i="25"/>
  <c r="H67" i="25"/>
  <c r="N7" i="30"/>
  <c r="F31" i="25"/>
  <c r="M17" i="25"/>
  <c r="M54" i="30"/>
  <c r="J159" i="25"/>
  <c r="K201" i="25"/>
  <c r="F189" i="30"/>
  <c r="J184" i="25"/>
  <c r="G94" i="30"/>
  <c r="L68" i="25"/>
  <c r="N94" i="25"/>
  <c r="D94" i="25"/>
  <c r="F18" i="25"/>
  <c r="K35" i="30"/>
  <c r="L12" i="30"/>
  <c r="J141" i="30"/>
  <c r="J79" i="30"/>
  <c r="E33" i="25"/>
  <c r="K159" i="25"/>
  <c r="K160" i="25"/>
  <c r="D10" i="25"/>
  <c r="F92" i="30"/>
  <c r="H257" i="25"/>
  <c r="N33" i="25"/>
  <c r="F20" i="30"/>
  <c r="G115" i="30"/>
  <c r="G30" i="30"/>
  <c r="I204" i="30"/>
  <c r="H205" i="25"/>
  <c r="G232" i="30"/>
  <c r="K21" i="30"/>
  <c r="L92" i="30"/>
  <c r="M36" i="30"/>
  <c r="J40" i="30"/>
  <c r="D215" i="30"/>
  <c r="N178" i="25"/>
  <c r="H152" i="30"/>
  <c r="L59" i="30"/>
  <c r="M20" i="25"/>
  <c r="K32" i="30"/>
  <c r="G70" i="25"/>
  <c r="O79" i="25"/>
  <c r="L68" i="30"/>
  <c r="G8" i="30"/>
  <c r="G96" i="25"/>
  <c r="I178" i="25"/>
  <c r="J232" i="30"/>
  <c r="H14" i="25"/>
  <c r="K205" i="30"/>
  <c r="F90" i="30"/>
  <c r="H98" i="30"/>
  <c r="F204" i="30"/>
  <c r="L163" i="25"/>
  <c r="L28" i="30"/>
  <c r="E9" i="30"/>
  <c r="I128" i="25"/>
  <c r="O215" i="25"/>
  <c r="O59" i="25"/>
  <c r="E190" i="25"/>
  <c r="J105" i="30"/>
  <c r="H27" i="25"/>
  <c r="F99" i="25"/>
  <c r="O160" i="30"/>
  <c r="H70" i="25"/>
  <c r="F269" i="25"/>
  <c r="K54" i="25"/>
  <c r="J143" i="30"/>
  <c r="G73" i="30"/>
  <c r="I9" i="25"/>
  <c r="O54" i="25"/>
  <c r="N160" i="30"/>
  <c r="M230" i="30"/>
  <c r="G66" i="30"/>
  <c r="L110" i="25"/>
  <c r="D33" i="25"/>
  <c r="D145" i="25"/>
  <c r="E7" i="25"/>
  <c r="F44" i="25"/>
  <c r="F110" i="25"/>
  <c r="N257" i="25"/>
  <c r="I270" i="25"/>
  <c r="G186" i="25"/>
  <c r="D56" i="25"/>
  <c r="I96" i="30"/>
  <c r="H73" i="30"/>
  <c r="N130" i="30"/>
  <c r="D229" i="30"/>
  <c r="L44" i="30"/>
  <c r="H127" i="30"/>
  <c r="J144" i="25"/>
  <c r="G231" i="30"/>
  <c r="H237" i="25"/>
  <c r="E57" i="25"/>
  <c r="F131" i="25"/>
  <c r="E42" i="25"/>
  <c r="J21" i="30"/>
  <c r="M34" i="30"/>
  <c r="L12" i="25"/>
  <c r="D28" i="30"/>
  <c r="H64" i="30"/>
  <c r="E136" i="30"/>
  <c r="K199" i="30"/>
  <c r="I229" i="30"/>
  <c r="F237" i="25"/>
  <c r="F34" i="25"/>
  <c r="E14" i="25"/>
  <c r="I85" i="25"/>
  <c r="D119" i="25"/>
  <c r="L269" i="30"/>
  <c r="J30" i="25"/>
  <c r="F178" i="30"/>
  <c r="G190" i="30"/>
  <c r="O78" i="30"/>
  <c r="F242" i="25"/>
  <c r="F231" i="30"/>
  <c r="H220" i="30"/>
  <c r="O152" i="30"/>
  <c r="E90" i="25"/>
  <c r="E70" i="30"/>
  <c r="K69" i="30"/>
  <c r="D230" i="25"/>
  <c r="D18" i="30"/>
  <c r="F210" i="25"/>
  <c r="H136" i="25"/>
  <c r="E197" i="30"/>
  <c r="H13" i="25"/>
  <c r="J12" i="25"/>
  <c r="F96" i="25"/>
  <c r="L163" i="30"/>
  <c r="K93" i="25"/>
  <c r="F18" i="30"/>
  <c r="F115" i="25"/>
  <c r="E147" i="30"/>
  <c r="M210" i="25"/>
  <c r="N154" i="25"/>
  <c r="O92" i="25"/>
  <c r="M72" i="25"/>
  <c r="G188" i="30"/>
  <c r="L197" i="25"/>
  <c r="H92" i="25"/>
  <c r="H163" i="25"/>
  <c r="O205" i="25"/>
  <c r="J161" i="25"/>
  <c r="E201" i="25"/>
  <c r="N143" i="30"/>
  <c r="F127" i="25"/>
  <c r="E230" i="25"/>
  <c r="E237" i="25"/>
  <c r="K263" i="25"/>
  <c r="D17" i="30"/>
  <c r="G184" i="30"/>
  <c r="D99" i="30"/>
  <c r="L18" i="30"/>
  <c r="L120" i="25"/>
  <c r="K55" i="25"/>
  <c r="O247" i="25"/>
  <c r="H176" i="25"/>
  <c r="O17" i="30"/>
  <c r="D35" i="25"/>
  <c r="K183" i="25"/>
  <c r="J256" i="25"/>
  <c r="E33" i="30"/>
  <c r="O41" i="30"/>
  <c r="N56" i="30"/>
  <c r="K91" i="25"/>
  <c r="L90" i="30"/>
  <c r="O72" i="30"/>
  <c r="E196" i="25"/>
  <c r="N160" i="25"/>
  <c r="H37" i="30"/>
  <c r="D184" i="30"/>
  <c r="D34" i="25"/>
  <c r="J121" i="25"/>
  <c r="D40" i="30"/>
  <c r="F232" i="30"/>
  <c r="G94" i="25"/>
  <c r="I97" i="25"/>
  <c r="K117" i="30"/>
  <c r="N232" i="30"/>
  <c r="F7" i="25"/>
  <c r="I110" i="30"/>
  <c r="J17" i="30"/>
  <c r="J189" i="25"/>
  <c r="D84" i="30"/>
  <c r="J32" i="30"/>
  <c r="F262" i="25"/>
  <c r="E8" i="25"/>
  <c r="M130" i="30"/>
  <c r="G136" i="25"/>
  <c r="J95" i="25"/>
  <c r="D29" i="25"/>
  <c r="G147" i="25"/>
  <c r="L20" i="30"/>
  <c r="K91" i="30"/>
  <c r="M257" i="25"/>
  <c r="O43" i="25"/>
  <c r="F176" i="30"/>
  <c r="I119" i="25"/>
  <c r="N34" i="25"/>
  <c r="N203" i="30"/>
  <c r="K38" i="30"/>
  <c r="L7" i="30"/>
  <c r="G18" i="25"/>
  <c r="O174" i="30"/>
  <c r="E173" i="25"/>
  <c r="I13" i="30"/>
  <c r="O119" i="30"/>
  <c r="L270" i="25"/>
  <c r="I195" i="25"/>
  <c r="M154" i="25"/>
  <c r="F205" i="30"/>
  <c r="H54" i="30"/>
  <c r="H202" i="25"/>
  <c r="L69" i="25"/>
  <c r="N178" i="30"/>
  <c r="N231" i="25"/>
  <c r="N56" i="25"/>
  <c r="M11" i="25"/>
  <c r="E230" i="30"/>
  <c r="D199" i="30"/>
  <c r="D38" i="30"/>
  <c r="N115" i="25"/>
  <c r="K129" i="30"/>
  <c r="E55" i="25"/>
  <c r="E160" i="30"/>
  <c r="H145" i="25"/>
  <c r="K121" i="30"/>
  <c r="N172" i="25"/>
  <c r="H256" i="25"/>
  <c r="K34" i="30"/>
  <c r="G127" i="25"/>
  <c r="F115" i="30"/>
  <c r="K188" i="25"/>
  <c r="E7" i="30"/>
  <c r="O105" i="25"/>
  <c r="G14" i="30"/>
  <c r="N202" i="30"/>
  <c r="M188" i="25"/>
  <c r="J99" i="25"/>
  <c r="E116" i="30"/>
  <c r="D176" i="25"/>
  <c r="N94" i="30"/>
  <c r="D121" i="25"/>
  <c r="G91" i="25"/>
  <c r="N17" i="25"/>
  <c r="L66" i="30"/>
  <c r="N136" i="25"/>
  <c r="G97" i="30"/>
  <c r="I205" i="30"/>
  <c r="N90" i="30"/>
  <c r="E18" i="30"/>
  <c r="H160" i="25"/>
  <c r="K66" i="30"/>
  <c r="N199" i="25"/>
  <c r="E262" i="25"/>
  <c r="D99" i="25"/>
  <c r="O73" i="25"/>
  <c r="H29" i="25"/>
  <c r="E119" i="25"/>
  <c r="N71" i="30"/>
  <c r="L242" i="25"/>
  <c r="K202" i="30"/>
  <c r="O54" i="30"/>
  <c r="I66" i="30"/>
  <c r="H21" i="30"/>
  <c r="J197" i="30"/>
  <c r="E176" i="25"/>
  <c r="H95" i="30"/>
  <c r="M262" i="25"/>
  <c r="N220" i="30"/>
  <c r="E256" i="25"/>
  <c r="I37" i="25"/>
  <c r="F20" i="25"/>
  <c r="J188" i="25"/>
  <c r="D177" i="30"/>
  <c r="F119" i="30"/>
  <c r="O35" i="30"/>
  <c r="O262" i="30"/>
  <c r="H67" i="30"/>
  <c r="M128" i="30"/>
  <c r="K41" i="25"/>
  <c r="G72" i="30"/>
  <c r="K160" i="30"/>
  <c r="I98" i="30"/>
  <c r="K172" i="30"/>
  <c r="L10" i="30"/>
  <c r="N8" i="30"/>
  <c r="N105" i="25"/>
  <c r="N161" i="25"/>
  <c r="F69" i="30"/>
  <c r="N187" i="30"/>
  <c r="K122" i="30"/>
  <c r="M100" i="25"/>
  <c r="E21" i="25"/>
  <c r="G175" i="30"/>
  <c r="N79" i="25"/>
  <c r="G44" i="30"/>
  <c r="K270" i="25"/>
  <c r="O173" i="30"/>
  <c r="D264" i="30"/>
  <c r="I163" i="30"/>
  <c r="L256" i="30"/>
  <c r="H58" i="30"/>
  <c r="F68" i="25"/>
  <c r="I173" i="25"/>
  <c r="H197" i="30"/>
  <c r="I38" i="30"/>
  <c r="N97" i="30"/>
  <c r="M32" i="30"/>
  <c r="K188" i="30"/>
  <c r="J33" i="30"/>
  <c r="J64" i="30"/>
  <c r="J204" i="30"/>
  <c r="F68" i="30"/>
  <c r="G43" i="25"/>
  <c r="L153" i="25"/>
  <c r="K71" i="30"/>
  <c r="K57" i="30"/>
  <c r="M7" i="30"/>
  <c r="N28" i="30"/>
  <c r="F128" i="25"/>
  <c r="D64" i="25"/>
  <c r="G34" i="25"/>
  <c r="I117" i="30"/>
  <c r="E10" i="30"/>
  <c r="M173" i="30"/>
  <c r="J43" i="30"/>
  <c r="K195" i="30"/>
  <c r="D110" i="25"/>
  <c r="N136" i="30"/>
  <c r="I54" i="25"/>
  <c r="M9" i="30"/>
  <c r="F173" i="25"/>
  <c r="M204" i="25"/>
  <c r="J128" i="25"/>
  <c r="M56" i="30"/>
  <c r="D15" i="25"/>
  <c r="L56" i="30"/>
  <c r="N197" i="25"/>
  <c r="E56" i="25"/>
  <c r="N230" i="25"/>
  <c r="J215" i="30"/>
  <c r="I66" i="25"/>
  <c r="O30" i="30"/>
  <c r="H55" i="25"/>
  <c r="D117" i="25"/>
  <c r="M231" i="30"/>
  <c r="L58" i="30"/>
  <c r="I121" i="25"/>
  <c r="I220" i="30"/>
  <c r="G10" i="30"/>
  <c r="I17" i="30"/>
  <c r="N92" i="30"/>
  <c r="G54" i="25"/>
  <c r="K175" i="30"/>
  <c r="G110" i="25"/>
  <c r="I56" i="25"/>
  <c r="M84" i="30"/>
  <c r="O175" i="30"/>
  <c r="F56" i="30"/>
  <c r="G205" i="30"/>
  <c r="J69" i="30"/>
  <c r="D59" i="30"/>
  <c r="N10" i="30"/>
  <c r="D93" i="30"/>
  <c r="H55" i="30"/>
  <c r="M35" i="30"/>
  <c r="G153" i="25"/>
  <c r="D43" i="30"/>
  <c r="I144" i="30"/>
  <c r="K173" i="25"/>
  <c r="D232" i="30"/>
  <c r="O184" i="30"/>
  <c r="H184" i="30"/>
  <c r="E201" i="30"/>
  <c r="F242" i="30"/>
  <c r="D200" i="25"/>
  <c r="M66" i="25"/>
  <c r="L198" i="25"/>
  <c r="L202" i="25"/>
  <c r="K152" i="30"/>
  <c r="L71" i="25"/>
  <c r="H200" i="25"/>
  <c r="G190" i="25"/>
  <c r="M26" i="25"/>
  <c r="O27" i="30"/>
  <c r="E110" i="30"/>
  <c r="O129" i="25"/>
  <c r="F34" i="30"/>
  <c r="I34" i="30"/>
  <c r="M184" i="25"/>
  <c r="H105" i="25"/>
  <c r="N11" i="30"/>
  <c r="L262" i="25"/>
  <c r="D65" i="25"/>
  <c r="G229" i="25"/>
  <c r="F28" i="25"/>
  <c r="D39" i="30"/>
  <c r="G136" i="30"/>
  <c r="L28" i="25"/>
  <c r="E144" i="25"/>
  <c r="G97" i="25"/>
  <c r="N59" i="30"/>
  <c r="D143" i="30"/>
  <c r="K92" i="25"/>
  <c r="E183" i="30"/>
  <c r="E30" i="25"/>
  <c r="O56" i="30"/>
  <c r="G37" i="25"/>
  <c r="N55" i="25"/>
  <c r="H175" i="25"/>
  <c r="G20" i="30"/>
  <c r="O202" i="25"/>
  <c r="I175" i="30"/>
  <c r="H12" i="30"/>
  <c r="H18" i="25"/>
  <c r="I231" i="30"/>
  <c r="I9" i="30"/>
  <c r="I188" i="25"/>
  <c r="G98" i="25"/>
  <c r="G31" i="30"/>
  <c r="D92" i="25"/>
  <c r="F15" i="25"/>
  <c r="J70" i="30"/>
  <c r="E15" i="25"/>
  <c r="H13" i="30"/>
  <c r="D85" i="25"/>
  <c r="E161" i="30"/>
  <c r="F202" i="30"/>
  <c r="N195" i="25"/>
  <c r="K220" i="25"/>
  <c r="H184" i="25"/>
  <c r="F31" i="30"/>
  <c r="J202" i="25"/>
  <c r="L142" i="30"/>
  <c r="I14" i="25"/>
  <c r="I184" i="30"/>
  <c r="E29" i="25"/>
  <c r="M49" i="30"/>
  <c r="K73" i="30"/>
  <c r="L67" i="30"/>
  <c r="N153" i="25"/>
  <c r="E146" i="30"/>
  <c r="F43" i="25"/>
  <c r="D205" i="25"/>
  <c r="F145" i="25"/>
  <c r="M120" i="25"/>
  <c r="K105" i="25"/>
  <c r="L242" i="30"/>
  <c r="J94" i="30"/>
  <c r="H264" i="25"/>
  <c r="I78" i="25"/>
  <c r="O174" i="25"/>
  <c r="M196" i="30"/>
  <c r="L66" i="25"/>
  <c r="N41" i="30"/>
  <c r="M263" i="30"/>
  <c r="K71" i="25"/>
  <c r="L159" i="30"/>
  <c r="H203" i="30"/>
  <c r="L54" i="25"/>
  <c r="N198" i="25"/>
  <c r="J229" i="30"/>
  <c r="G34" i="30"/>
  <c r="N121" i="30"/>
  <c r="O33" i="30"/>
  <c r="F215" i="25"/>
  <c r="M18" i="30"/>
  <c r="D174" i="25"/>
  <c r="H33" i="30"/>
  <c r="J231" i="30"/>
  <c r="J37" i="25"/>
  <c r="D183" i="30"/>
  <c r="H131" i="30"/>
  <c r="N11" i="25"/>
  <c r="K27" i="30"/>
  <c r="J189" i="30"/>
  <c r="I152" i="30"/>
  <c r="J178" i="25"/>
  <c r="M229" i="25"/>
  <c r="H120" i="25"/>
  <c r="K130" i="30"/>
  <c r="O117" i="25"/>
  <c r="O31" i="30"/>
  <c r="I26" i="25"/>
  <c r="O141" i="30"/>
  <c r="G145" i="25"/>
  <c r="F162" i="25"/>
  <c r="D269" i="25"/>
  <c r="E203" i="25"/>
  <c r="E13" i="25"/>
  <c r="E40" i="30"/>
  <c r="N8" i="25"/>
  <c r="F27" i="30"/>
  <c r="I120" i="25"/>
  <c r="M21" i="25"/>
  <c r="G143" i="30"/>
  <c r="D203" i="30"/>
  <c r="I26" i="30"/>
  <c r="D270" i="25"/>
  <c r="D201" i="30"/>
  <c r="G186" i="30"/>
  <c r="J186" i="25"/>
  <c r="L120" i="30"/>
  <c r="I203" i="30"/>
  <c r="K37" i="25"/>
  <c r="F100" i="25"/>
  <c r="L17" i="25"/>
  <c r="O21" i="25"/>
  <c r="N35" i="30"/>
  <c r="J31" i="30"/>
  <c r="F44" i="30"/>
  <c r="L147" i="25"/>
  <c r="I116" i="25"/>
  <c r="E29" i="30"/>
  <c r="D204" i="30"/>
  <c r="G9" i="25"/>
  <c r="D198" i="30"/>
  <c r="K95" i="25"/>
  <c r="O18" i="25"/>
  <c r="M173" i="25"/>
  <c r="F98" i="25"/>
  <c r="G220" i="30"/>
  <c r="L85" i="30"/>
  <c r="F96" i="30"/>
  <c r="M66" i="30"/>
  <c r="N159" i="25"/>
  <c r="G178" i="30"/>
  <c r="O115" i="25"/>
  <c r="K118" i="30"/>
  <c r="H79" i="30"/>
  <c r="N110" i="25"/>
  <c r="N190" i="25"/>
  <c r="D19" i="30"/>
  <c r="E141" i="25"/>
  <c r="I129" i="30"/>
  <c r="G172" i="30"/>
  <c r="H242" i="25"/>
  <c r="M162" i="25"/>
  <c r="G105" i="30"/>
  <c r="N26" i="25"/>
  <c r="G56" i="30"/>
  <c r="H14" i="30"/>
  <c r="L39" i="30"/>
  <c r="J262" i="25"/>
  <c r="G144" i="30"/>
  <c r="D57" i="25"/>
  <c r="M199" i="25"/>
  <c r="K147" i="25"/>
  <c r="L122" i="25"/>
  <c r="H78" i="25"/>
  <c r="L197" i="30"/>
  <c r="J69" i="25"/>
  <c r="E142" i="25"/>
  <c r="I71" i="25"/>
  <c r="L9" i="30"/>
  <c r="K105" i="30"/>
  <c r="H174" i="30"/>
  <c r="M162" i="30"/>
  <c r="G30" i="25"/>
  <c r="M93" i="30"/>
  <c r="H37" i="25"/>
  <c r="H229" i="25"/>
  <c r="M65" i="30"/>
  <c r="J203" i="30"/>
  <c r="I142" i="30"/>
  <c r="K176" i="25"/>
  <c r="L195" i="25"/>
  <c r="I99" i="30"/>
  <c r="J27" i="25"/>
  <c r="D35" i="30"/>
  <c r="F270" i="25"/>
  <c r="E59" i="25"/>
  <c r="J18" i="25"/>
  <c r="M210" i="30"/>
  <c r="H84" i="25"/>
  <c r="E100" i="30"/>
  <c r="H72" i="30"/>
  <c r="O71" i="30"/>
  <c r="M26" i="30"/>
  <c r="M145" i="25"/>
  <c r="K177" i="30"/>
  <c r="M117" i="30"/>
  <c r="F97" i="30"/>
  <c r="E232" i="30"/>
  <c r="F185" i="25"/>
  <c r="G69" i="25"/>
  <c r="J34" i="25"/>
  <c r="N196" i="30"/>
  <c r="H93" i="30"/>
  <c r="M186" i="25"/>
  <c r="G41" i="30"/>
  <c r="K65" i="25"/>
  <c r="D33" i="30"/>
  <c r="M19" i="25"/>
  <c r="G220" i="25"/>
  <c r="H232" i="30"/>
  <c r="K162" i="30"/>
  <c r="F93" i="25"/>
  <c r="H269" i="25"/>
  <c r="E37" i="25"/>
  <c r="H262" i="30"/>
  <c r="J92" i="25"/>
  <c r="F29" i="25"/>
  <c r="K257" i="30"/>
  <c r="F199" i="30"/>
  <c r="H26" i="30"/>
  <c r="M119" i="25"/>
  <c r="H32" i="25"/>
  <c r="E120" i="30"/>
  <c r="D8" i="30"/>
  <c r="O116" i="30"/>
  <c r="G128" i="25"/>
  <c r="G39" i="30"/>
  <c r="D7" i="25"/>
  <c r="L55" i="25"/>
  <c r="O198" i="25"/>
  <c r="D11" i="30"/>
  <c r="L131" i="25"/>
  <c r="D39" i="25"/>
  <c r="L16" i="30"/>
  <c r="I242" i="30"/>
  <c r="H97" i="25"/>
  <c r="M43" i="30"/>
  <c r="K19" i="25"/>
  <c r="O129" i="30"/>
  <c r="J49" i="30"/>
  <c r="L141" i="30"/>
  <c r="N26" i="30"/>
  <c r="M128" i="25"/>
  <c r="E27" i="30"/>
  <c r="H257" i="30"/>
  <c r="L229" i="30"/>
  <c r="E43" i="30"/>
  <c r="N247" i="30"/>
  <c r="K215" i="30"/>
  <c r="F128" i="30"/>
  <c r="O55" i="30"/>
  <c r="E220" i="30"/>
  <c r="E247" i="30"/>
  <c r="F263" i="30"/>
  <c r="D161" i="25"/>
  <c r="O41" i="25"/>
  <c r="J247" i="30"/>
  <c r="F32" i="25"/>
  <c r="G202" i="25"/>
  <c r="F117" i="25"/>
  <c r="N119" i="30"/>
  <c r="H45" i="30" l="1"/>
  <c r="G20" i="36" s="1"/>
  <c r="D248" i="30"/>
  <c r="C44" i="36" s="1"/>
  <c r="H271" i="25"/>
  <c r="G47" i="37" s="1"/>
  <c r="I155" i="30"/>
  <c r="H33" i="36" s="1"/>
  <c r="E164" i="25"/>
  <c r="D34" i="37" s="1"/>
  <c r="G137" i="30"/>
  <c r="F31" i="36" s="1"/>
  <c r="N155" i="25"/>
  <c r="M33" i="37" s="1"/>
  <c r="I45" i="25"/>
  <c r="H20" i="37" s="1"/>
  <c r="M22" i="30"/>
  <c r="L19" i="36" s="1"/>
  <c r="M45" i="30"/>
  <c r="L20" i="36" s="1"/>
  <c r="E243" i="30"/>
  <c r="D43" i="36" s="1"/>
  <c r="H86" i="25"/>
  <c r="G25" i="37" s="1"/>
  <c r="H106" i="25"/>
  <c r="G27" i="37" s="1"/>
  <c r="H206" i="30"/>
  <c r="G37" i="36" s="1"/>
  <c r="I137" i="25"/>
  <c r="H31" i="37" s="1"/>
  <c r="O233" i="30"/>
  <c r="N41" i="36" s="1"/>
  <c r="N248" i="30"/>
  <c r="M44" i="36" s="1"/>
  <c r="L86" i="30"/>
  <c r="K25" i="36" s="1"/>
  <c r="I137" i="30"/>
  <c r="H31" i="36" s="1"/>
  <c r="H265" i="30"/>
  <c r="G46" i="36" s="1"/>
  <c r="H123" i="25"/>
  <c r="G29" i="37" s="1"/>
  <c r="M211" i="30"/>
  <c r="L38" i="36" s="1"/>
  <c r="F238" i="25"/>
  <c r="E42" i="37" s="1"/>
  <c r="M233" i="25"/>
  <c r="L41" i="37" s="1"/>
  <c r="K148" i="25"/>
  <c r="J32" i="37" s="1"/>
  <c r="K216" i="30"/>
  <c r="J39" i="36" s="1"/>
  <c r="I233" i="30"/>
  <c r="H41" i="36" s="1"/>
  <c r="N123" i="25"/>
  <c r="M29" i="37" s="1"/>
  <c r="O216" i="25"/>
  <c r="N39" i="37" s="1"/>
  <c r="M148" i="30"/>
  <c r="L32" i="36" s="1"/>
  <c r="G221" i="25"/>
  <c r="F40" i="37" s="1"/>
  <c r="F221" i="30"/>
  <c r="E40" i="36" s="1"/>
  <c r="I80" i="25"/>
  <c r="H24" i="37" s="1"/>
  <c r="J179" i="30"/>
  <c r="I35" i="36" s="1"/>
  <c r="G148" i="25"/>
  <c r="F32" i="37" s="1"/>
  <c r="D74" i="25"/>
  <c r="C23" i="37" s="1"/>
  <c r="N101" i="30"/>
  <c r="M26" i="36" s="1"/>
  <c r="E137" i="30"/>
  <c r="D31" i="36" s="1"/>
  <c r="J74" i="30"/>
  <c r="I23" i="36" s="1"/>
  <c r="I191" i="30"/>
  <c r="H36" i="36" s="1"/>
  <c r="H233" i="25"/>
  <c r="G41" i="37" s="1"/>
  <c r="E248" i="30"/>
  <c r="D44" i="36" s="1"/>
  <c r="H74" i="30"/>
  <c r="G23" i="36" s="1"/>
  <c r="O248" i="30"/>
  <c r="N44" i="36" s="1"/>
  <c r="J258" i="25"/>
  <c r="I45" i="37" s="1"/>
  <c r="I238" i="30"/>
  <c r="H42" i="36" s="1"/>
  <c r="J50" i="30"/>
  <c r="I21" i="36" s="1"/>
  <c r="G233" i="30"/>
  <c r="F41" i="36" s="1"/>
  <c r="K191" i="25"/>
  <c r="J36" i="37" s="1"/>
  <c r="I248" i="25"/>
  <c r="H44" i="37" s="1"/>
  <c r="O80" i="25"/>
  <c r="N24" i="37" s="1"/>
  <c r="D191" i="30"/>
  <c r="C36" i="36" s="1"/>
  <c r="J80" i="25"/>
  <c r="I24" i="37" s="1"/>
  <c r="L60" i="25"/>
  <c r="K22" i="37" s="1"/>
  <c r="E111" i="30"/>
  <c r="D28" i="36" s="1"/>
  <c r="M265" i="30"/>
  <c r="L46" i="36" s="1"/>
  <c r="O265" i="30"/>
  <c r="N46" i="36" s="1"/>
  <c r="O248" i="25"/>
  <c r="N44" i="37" s="1"/>
  <c r="F101" i="30"/>
  <c r="E26" i="36" s="1"/>
  <c r="D179" i="25"/>
  <c r="C35" i="37" s="1"/>
  <c r="N111" i="25"/>
  <c r="M28" i="37" s="1"/>
  <c r="D74" i="30"/>
  <c r="C23" i="36" s="1"/>
  <c r="H60" i="30"/>
  <c r="G22" i="36" s="1"/>
  <c r="I60" i="30"/>
  <c r="H22" i="36" s="1"/>
  <c r="D216" i="25"/>
  <c r="C39" i="37" s="1"/>
  <c r="M50" i="30"/>
  <c r="L21" i="36" s="1"/>
  <c r="O60" i="30"/>
  <c r="N22" i="36" s="1"/>
  <c r="I206" i="25"/>
  <c r="H37" i="37" s="1"/>
  <c r="I221" i="25"/>
  <c r="H40" i="37" s="1"/>
  <c r="N106" i="25"/>
  <c r="M27" i="37" s="1"/>
  <c r="D164" i="30"/>
  <c r="C34" i="36" s="1"/>
  <c r="G101" i="30"/>
  <c r="F26" i="36" s="1"/>
  <c r="M86" i="30"/>
  <c r="L25" i="36" s="1"/>
  <c r="K155" i="30"/>
  <c r="J33" i="36" s="1"/>
  <c r="H238" i="25"/>
  <c r="G42" i="37" s="1"/>
  <c r="H164" i="25"/>
  <c r="G34" i="37" s="1"/>
  <c r="E179" i="30"/>
  <c r="D35" i="36" s="1"/>
  <c r="F243" i="30"/>
  <c r="E43" i="36" s="1"/>
  <c r="E271" i="30"/>
  <c r="D47" i="36" s="1"/>
  <c r="G233" i="25"/>
  <c r="F41" i="37" s="1"/>
  <c r="H211" i="30"/>
  <c r="G38" i="36" s="1"/>
  <c r="E238" i="25"/>
  <c r="D42" i="37" s="1"/>
  <c r="I86" i="30"/>
  <c r="H25" i="36" s="1"/>
  <c r="J265" i="25"/>
  <c r="I46" i="37" s="1"/>
  <c r="D22" i="25"/>
  <c r="C19" i="37" s="1"/>
  <c r="N137" i="25"/>
  <c r="M31" i="37" s="1"/>
  <c r="O101" i="25"/>
  <c r="N26" i="37" s="1"/>
  <c r="L123" i="25"/>
  <c r="K29" i="37" s="1"/>
  <c r="F132" i="25"/>
  <c r="E30" i="37" s="1"/>
  <c r="H132" i="30"/>
  <c r="G30" i="36" s="1"/>
  <c r="L243" i="30"/>
  <c r="K43" i="36" s="1"/>
  <c r="L243" i="25"/>
  <c r="K43" i="37" s="1"/>
  <c r="I60" i="25"/>
  <c r="H22" i="37" s="1"/>
  <c r="L22" i="30"/>
  <c r="K19" i="36" s="1"/>
  <c r="K164" i="30"/>
  <c r="J34" i="36" s="1"/>
  <c r="K148" i="30"/>
  <c r="J32" i="36" s="1"/>
  <c r="H155" i="30"/>
  <c r="G33" i="36" s="1"/>
  <c r="M111" i="30"/>
  <c r="L28" i="36" s="1"/>
  <c r="M101" i="25"/>
  <c r="L26" i="37" s="1"/>
  <c r="E221" i="30"/>
  <c r="D40" i="36" s="1"/>
  <c r="D216" i="30"/>
  <c r="C39" i="36" s="1"/>
  <c r="F80" i="30"/>
  <c r="E24" i="36" s="1"/>
  <c r="O106" i="25"/>
  <c r="N27" i="37" s="1"/>
  <c r="I179" i="25"/>
  <c r="H35" i="37" s="1"/>
  <c r="G80" i="25"/>
  <c r="F24" i="37" s="1"/>
  <c r="M271" i="30"/>
  <c r="L47" i="36" s="1"/>
  <c r="L238" i="25"/>
  <c r="K42" i="37" s="1"/>
  <c r="I179" i="30"/>
  <c r="H35" i="36" s="1"/>
  <c r="N137" i="30"/>
  <c r="M31" i="36" s="1"/>
  <c r="E60" i="25"/>
  <c r="D22" i="37" s="1"/>
  <c r="F155" i="25"/>
  <c r="E33" i="37" s="1"/>
  <c r="K106" i="30"/>
  <c r="J27" i="36" s="1"/>
  <c r="D233" i="30"/>
  <c r="C41" i="36" s="1"/>
  <c r="K106" i="25"/>
  <c r="J27" i="37" s="1"/>
  <c r="L155" i="30"/>
  <c r="K33" i="36" s="1"/>
  <c r="E22" i="30"/>
  <c r="D19" i="36" s="1"/>
  <c r="I50" i="30"/>
  <c r="H21" i="36" s="1"/>
  <c r="H123" i="30"/>
  <c r="G29" i="36" s="1"/>
  <c r="J216" i="30"/>
  <c r="I39" i="36" s="1"/>
  <c r="M45" i="25"/>
  <c r="L20" i="37" s="1"/>
  <c r="H211" i="25"/>
  <c r="G38" i="37" s="1"/>
  <c r="J86" i="30"/>
  <c r="I25" i="36" s="1"/>
  <c r="D111" i="25"/>
  <c r="C28" i="37" s="1"/>
  <c r="M211" i="25"/>
  <c r="L38" i="37" s="1"/>
  <c r="D155" i="30"/>
  <c r="C33" i="36" s="1"/>
  <c r="J248" i="25"/>
  <c r="I44" i="37" s="1"/>
  <c r="D80" i="30"/>
  <c r="C24" i="36" s="1"/>
  <c r="E74" i="25"/>
  <c r="D23" i="37" s="1"/>
  <c r="D221" i="25"/>
  <c r="C40" i="37" s="1"/>
  <c r="G137" i="25"/>
  <c r="F31" i="37" s="1"/>
  <c r="F123" i="25"/>
  <c r="E29" i="37" s="1"/>
  <c r="G123" i="30"/>
  <c r="F29" i="36" s="1"/>
  <c r="H74" i="25"/>
  <c r="G23" i="37" s="1"/>
  <c r="N45" i="30"/>
  <c r="M20" i="36" s="1"/>
  <c r="N45" i="25"/>
  <c r="M20" i="37" s="1"/>
  <c r="L86" i="25"/>
  <c r="K25" i="37" s="1"/>
  <c r="N148" i="25"/>
  <c r="M32" i="37" s="1"/>
  <c r="J106" i="25"/>
  <c r="I27" i="37" s="1"/>
  <c r="F238" i="30"/>
  <c r="E42" i="36" s="1"/>
  <c r="K206" i="30"/>
  <c r="J37" i="36" s="1"/>
  <c r="F265" i="25"/>
  <c r="E46" i="37" s="1"/>
  <c r="F123" i="30"/>
  <c r="E29" i="36" s="1"/>
  <c r="E258" i="25"/>
  <c r="D45" i="37" s="1"/>
  <c r="E191" i="25"/>
  <c r="D36" i="37" s="1"/>
  <c r="N271" i="25"/>
  <c r="M47" i="37" s="1"/>
  <c r="K179" i="30"/>
  <c r="J35" i="36" s="1"/>
  <c r="G106" i="30"/>
  <c r="F27" i="36" s="1"/>
  <c r="L265" i="25"/>
  <c r="K46" i="37" s="1"/>
  <c r="D86" i="30"/>
  <c r="C25" i="36" s="1"/>
  <c r="F216" i="25"/>
  <c r="E39" i="37" s="1"/>
  <c r="N111" i="30"/>
  <c r="M28" i="36" s="1"/>
  <c r="L233" i="30"/>
  <c r="K41" i="36" s="1"/>
  <c r="D155" i="25"/>
  <c r="C33" i="37" s="1"/>
  <c r="D101" i="30"/>
  <c r="C26" i="36" s="1"/>
  <c r="D271" i="25"/>
  <c r="C47" i="37" s="1"/>
  <c r="K164" i="25"/>
  <c r="J34" i="37" s="1"/>
  <c r="G132" i="25"/>
  <c r="F30" i="37" s="1"/>
  <c r="L265" i="30"/>
  <c r="K46" i="36" s="1"/>
  <c r="N221" i="30"/>
  <c r="M40" i="36" s="1"/>
  <c r="I111" i="30"/>
  <c r="H28" i="36" s="1"/>
  <c r="H137" i="25"/>
  <c r="G31" i="37" s="1"/>
  <c r="L206" i="25"/>
  <c r="K37" i="37" s="1"/>
  <c r="M191" i="25"/>
  <c r="L36" i="37" s="1"/>
  <c r="E206" i="30"/>
  <c r="D37" i="36" s="1"/>
  <c r="F22" i="25"/>
  <c r="E19" i="37" s="1"/>
  <c r="F211" i="25"/>
  <c r="E38" i="37" s="1"/>
  <c r="O123" i="25"/>
  <c r="N29" i="37" s="1"/>
  <c r="J221" i="25"/>
  <c r="I40" i="37" s="1"/>
  <c r="J148" i="30"/>
  <c r="I32" i="36" s="1"/>
  <c r="I265" i="25"/>
  <c r="H46" i="37" s="1"/>
  <c r="K221" i="25"/>
  <c r="J40" i="37" s="1"/>
  <c r="K60" i="30"/>
  <c r="J22" i="36" s="1"/>
  <c r="E265" i="25"/>
  <c r="D46" i="37" s="1"/>
  <c r="H148" i="30"/>
  <c r="G32" i="36" s="1"/>
  <c r="O101" i="30"/>
  <c r="N26" i="36" s="1"/>
  <c r="D179" i="30"/>
  <c r="C35" i="36" s="1"/>
  <c r="I243" i="25"/>
  <c r="H43" i="37" s="1"/>
  <c r="L164" i="25"/>
  <c r="K34" i="37" s="1"/>
  <c r="E191" i="30"/>
  <c r="D36" i="36" s="1"/>
  <c r="J101" i="30"/>
  <c r="I26" i="36" s="1"/>
  <c r="J243" i="30"/>
  <c r="I43" i="36" s="1"/>
  <c r="O243" i="25"/>
  <c r="N43" i="37" s="1"/>
  <c r="D271" i="30"/>
  <c r="C47" i="36" s="1"/>
  <c r="M265" i="25"/>
  <c r="L46" i="37" s="1"/>
  <c r="I123" i="30"/>
  <c r="H29" i="36" s="1"/>
  <c r="O211" i="30"/>
  <c r="N38" i="36" s="1"/>
  <c r="K137" i="25"/>
  <c r="J31" i="37" s="1"/>
  <c r="F248" i="30"/>
  <c r="E44" i="36" s="1"/>
  <c r="K233" i="30"/>
  <c r="J41" i="36" s="1"/>
  <c r="I238" i="25"/>
  <c r="H42" i="37" s="1"/>
  <c r="E22" i="25"/>
  <c r="D19" i="37" s="1"/>
  <c r="H22" i="25"/>
  <c r="G19" i="37" s="1"/>
  <c r="F206" i="30"/>
  <c r="E37" i="36" s="1"/>
  <c r="L132" i="30"/>
  <c r="K30" i="36" s="1"/>
  <c r="L164" i="30"/>
  <c r="K34" i="36" s="1"/>
  <c r="N80" i="25"/>
  <c r="M24" i="37" s="1"/>
  <c r="H243" i="25"/>
  <c r="G43" i="37" s="1"/>
  <c r="O271" i="25"/>
  <c r="N47" i="37" s="1"/>
  <c r="M74" i="30"/>
  <c r="L23" i="36" s="1"/>
  <c r="E265" i="30"/>
  <c r="D46" i="36" s="1"/>
  <c r="G111" i="25"/>
  <c r="F28" i="37" s="1"/>
  <c r="N132" i="30"/>
  <c r="M30" i="36" s="1"/>
  <c r="D80" i="25"/>
  <c r="C24" i="37" s="1"/>
  <c r="O216" i="30"/>
  <c r="N39" i="36" s="1"/>
  <c r="K22" i="30"/>
  <c r="J19" i="36" s="1"/>
  <c r="O74" i="30"/>
  <c r="N23" i="36" s="1"/>
  <c r="D243" i="25"/>
  <c r="C43" i="37" s="1"/>
  <c r="O60" i="25"/>
  <c r="N22" i="37" s="1"/>
  <c r="K60" i="25"/>
  <c r="J22" i="37" s="1"/>
  <c r="F155" i="30"/>
  <c r="E33" i="36" s="1"/>
  <c r="I22" i="30"/>
  <c r="H19" i="36" s="1"/>
  <c r="K45" i="30"/>
  <c r="J20" i="36" s="1"/>
  <c r="E101" i="25"/>
  <c r="D26" i="37" s="1"/>
  <c r="F45" i="30"/>
  <c r="E20" i="36" s="1"/>
  <c r="N164" i="25"/>
  <c r="M34" i="37" s="1"/>
  <c r="I221" i="30"/>
  <c r="H40" i="36" s="1"/>
  <c r="M258" i="25"/>
  <c r="L45" i="37" s="1"/>
  <c r="E211" i="30"/>
  <c r="D38" i="36" s="1"/>
  <c r="N206" i="25"/>
  <c r="M37" i="37" s="1"/>
  <c r="I74" i="25"/>
  <c r="H23" i="37" s="1"/>
  <c r="F60" i="25"/>
  <c r="E22" i="37" s="1"/>
  <c r="J248" i="30"/>
  <c r="I44" i="36" s="1"/>
  <c r="M248" i="25"/>
  <c r="L44" i="37" s="1"/>
  <c r="H50" i="30"/>
  <c r="G21" i="36" s="1"/>
  <c r="O155" i="30"/>
  <c r="N33" i="36" s="1"/>
  <c r="E60" i="30"/>
  <c r="D22" i="36" s="1"/>
  <c r="O22" i="30"/>
  <c r="N19" i="36" s="1"/>
  <c r="J155" i="30"/>
  <c r="I33" i="36" s="1"/>
  <c r="M80" i="25"/>
  <c r="L24" i="37" s="1"/>
  <c r="H80" i="30"/>
  <c r="G24" i="36" s="1"/>
  <c r="F50" i="30"/>
  <c r="E21" i="36" s="1"/>
  <c r="H258" i="25"/>
  <c r="L111" i="25"/>
  <c r="K28" i="37" s="1"/>
  <c r="E137" i="25"/>
  <c r="D31" i="37" s="1"/>
  <c r="K258" i="30"/>
  <c r="J45" i="36" s="1"/>
  <c r="K155" i="25"/>
  <c r="J33" i="37" s="1"/>
  <c r="N216" i="30"/>
  <c r="M39" i="36" s="1"/>
  <c r="O211" i="25"/>
  <c r="N38" i="37" s="1"/>
  <c r="G243" i="30"/>
  <c r="F43" i="36" s="1"/>
  <c r="I45" i="30"/>
  <c r="H20" i="36" s="1"/>
  <c r="L238" i="30"/>
  <c r="K42" i="36" s="1"/>
  <c r="L45" i="30"/>
  <c r="K20" i="36" s="1"/>
  <c r="G164" i="30"/>
  <c r="F34" i="36" s="1"/>
  <c r="H221" i="30"/>
  <c r="G40" i="36" s="1"/>
  <c r="J60" i="30"/>
  <c r="I22" i="36" s="1"/>
  <c r="G155" i="30"/>
  <c r="F33" i="36" s="1"/>
  <c r="N101" i="25"/>
  <c r="M26" i="37" s="1"/>
  <c r="F74" i="25"/>
  <c r="E23" i="37" s="1"/>
  <c r="K211" i="30"/>
  <c r="J38" i="36" s="1"/>
  <c r="K243" i="25"/>
  <c r="J43" i="37" s="1"/>
  <c r="K50" i="25"/>
  <c r="J21" i="37" s="1"/>
  <c r="L191" i="30"/>
  <c r="K36" i="36" s="1"/>
  <c r="G179" i="30"/>
  <c r="F35" i="36" s="1"/>
  <c r="L101" i="25"/>
  <c r="K26" i="37" s="1"/>
  <c r="K206" i="25"/>
  <c r="J37" i="37" s="1"/>
  <c r="N164" i="30"/>
  <c r="M34" i="36" s="1"/>
  <c r="D132" i="25"/>
  <c r="C30" i="37" s="1"/>
  <c r="E155" i="30"/>
  <c r="D33" i="36" s="1"/>
  <c r="M243" i="30"/>
  <c r="L43" i="36" s="1"/>
  <c r="D137" i="30"/>
  <c r="C31" i="36" s="1"/>
  <c r="G238" i="25"/>
  <c r="F42" i="37" s="1"/>
  <c r="I86" i="25"/>
  <c r="H25" i="37" s="1"/>
  <c r="F271" i="25"/>
  <c r="E47" i="37" s="1"/>
  <c r="H80" i="25"/>
  <c r="G24" i="37" s="1"/>
  <c r="E243" i="25"/>
  <c r="D43" i="37" s="1"/>
  <c r="G238" i="30"/>
  <c r="F42" i="36" s="1"/>
  <c r="F243" i="25"/>
  <c r="E43" i="37" s="1"/>
  <c r="O191" i="25"/>
  <c r="N36" i="37" s="1"/>
  <c r="H148" i="25"/>
  <c r="G32" i="37" s="1"/>
  <c r="M238" i="25"/>
  <c r="L42" i="37" s="1"/>
  <c r="E238" i="30"/>
  <c r="D42" i="36" s="1"/>
  <c r="E45" i="30"/>
  <c r="D20" i="36" s="1"/>
  <c r="N233" i="25"/>
  <c r="M41" i="37" s="1"/>
  <c r="M179" i="30"/>
  <c r="L35" i="36" s="1"/>
  <c r="M60" i="25"/>
  <c r="L22" i="37" s="1"/>
  <c r="F101" i="25"/>
  <c r="E26" i="37" s="1"/>
  <c r="G86" i="30"/>
  <c r="F25" i="36" s="1"/>
  <c r="E148" i="30"/>
  <c r="D32" i="36" s="1"/>
  <c r="M106" i="25"/>
  <c r="L27" i="37" s="1"/>
  <c r="L137" i="30"/>
  <c r="K31" i="36" s="1"/>
  <c r="O238" i="25"/>
  <c r="N42" i="37" s="1"/>
  <c r="O80" i="30"/>
  <c r="N24" i="36" s="1"/>
  <c r="N238" i="25"/>
  <c r="M42" i="37" s="1"/>
  <c r="G164" i="25"/>
  <c r="F34" i="37" s="1"/>
  <c r="I211" i="25"/>
  <c r="H38" i="37" s="1"/>
  <c r="K271" i="30"/>
  <c r="J47" i="36" s="1"/>
  <c r="N271" i="30"/>
  <c r="M47" i="36" s="1"/>
  <c r="G50" i="30"/>
  <c r="F21" i="36" s="1"/>
  <c r="N179" i="25"/>
  <c r="M35" i="37" s="1"/>
  <c r="D45" i="30"/>
  <c r="C20" i="36" s="1"/>
  <c r="L106" i="25"/>
  <c r="K27" i="37" s="1"/>
  <c r="D238" i="25"/>
  <c r="C42" i="37" s="1"/>
  <c r="D50" i="30"/>
  <c r="C21" i="36" s="1"/>
  <c r="F74" i="30"/>
  <c r="E23" i="36" s="1"/>
  <c r="I155" i="25"/>
  <c r="H33" i="37" s="1"/>
  <c r="L74" i="30"/>
  <c r="K23" i="36" s="1"/>
  <c r="D111" i="30"/>
  <c r="C28" i="36" s="1"/>
  <c r="I271" i="30"/>
  <c r="H47" i="36" s="1"/>
  <c r="F111" i="30"/>
  <c r="E28" i="36" s="1"/>
  <c r="E106" i="25"/>
  <c r="D27" i="37" s="1"/>
  <c r="K248" i="25"/>
  <c r="J44" i="37" s="1"/>
  <c r="M132" i="25"/>
  <c r="L30" i="37" s="1"/>
  <c r="L148" i="30"/>
  <c r="K32" i="36" s="1"/>
  <c r="H164" i="30"/>
  <c r="G34" i="36" s="1"/>
  <c r="G248" i="30"/>
  <c r="F44" i="36" s="1"/>
  <c r="I216" i="30"/>
  <c r="H39" i="36" s="1"/>
  <c r="D22" i="30"/>
  <c r="C19" i="36" s="1"/>
  <c r="I243" i="30"/>
  <c r="H43" i="36" s="1"/>
  <c r="G271" i="30"/>
  <c r="F47" i="36" s="1"/>
  <c r="J164" i="25"/>
  <c r="I34" i="37" s="1"/>
  <c r="J45" i="25"/>
  <c r="I20" i="37" s="1"/>
  <c r="J211" i="30"/>
  <c r="I38" i="36" s="1"/>
  <c r="F86" i="30"/>
  <c r="E25" i="36" s="1"/>
  <c r="J238" i="30"/>
  <c r="I42" i="36" s="1"/>
  <c r="M111" i="25"/>
  <c r="L28" i="37" s="1"/>
  <c r="L221" i="30"/>
  <c r="K40" i="36" s="1"/>
  <c r="J101" i="25"/>
  <c r="I26" i="37" s="1"/>
  <c r="J137" i="25"/>
  <c r="I31" i="37" s="1"/>
  <c r="L248" i="25"/>
  <c r="K44" i="37" s="1"/>
  <c r="F233" i="25"/>
  <c r="E41" i="37" s="1"/>
  <c r="L258" i="30"/>
  <c r="K45" i="36" s="1"/>
  <c r="M60" i="30"/>
  <c r="L22" i="36" s="1"/>
  <c r="O233" i="25"/>
  <c r="N41" i="37" s="1"/>
  <c r="D45" i="25"/>
  <c r="C20" i="37" s="1"/>
  <c r="D148" i="25"/>
  <c r="C32" i="37" s="1"/>
  <c r="H238" i="30"/>
  <c r="G42" i="36" s="1"/>
  <c r="D265" i="30"/>
  <c r="C46" i="36" s="1"/>
  <c r="F106" i="25"/>
  <c r="E27" i="37" s="1"/>
  <c r="O148" i="30"/>
  <c r="N32" i="36" s="1"/>
  <c r="L101" i="30"/>
  <c r="K26" i="36" s="1"/>
  <c r="L111" i="30"/>
  <c r="K28" i="36" s="1"/>
  <c r="L271" i="30"/>
  <c r="K47" i="36" s="1"/>
  <c r="M74" i="25"/>
  <c r="L23" i="37" s="1"/>
  <c r="E80" i="30"/>
  <c r="D24" i="36" s="1"/>
  <c r="E80" i="25"/>
  <c r="D24" i="37" s="1"/>
  <c r="K221" i="30"/>
  <c r="J40" i="36" s="1"/>
  <c r="H206" i="25"/>
  <c r="G37" i="37" s="1"/>
  <c r="M221" i="30"/>
  <c r="L40" i="36" s="1"/>
  <c r="O221" i="30"/>
  <c r="N40" i="36" s="1"/>
  <c r="G258" i="30"/>
  <c r="F45" i="36" s="1"/>
  <c r="L50" i="25"/>
  <c r="K21" i="37" s="1"/>
  <c r="E155" i="25"/>
  <c r="D33" i="37" s="1"/>
  <c r="K132" i="30"/>
  <c r="J30" i="36" s="1"/>
  <c r="G243" i="25"/>
  <c r="F43" i="37" s="1"/>
  <c r="L80" i="25"/>
  <c r="K24" i="37" s="1"/>
  <c r="N60" i="30"/>
  <c r="M22" i="36" s="1"/>
  <c r="J132" i="30"/>
  <c r="I30" i="36" s="1"/>
  <c r="F148" i="30"/>
  <c r="E32" i="36" s="1"/>
  <c r="I106" i="30"/>
  <c r="H27" i="36" s="1"/>
  <c r="L211" i="25"/>
  <c r="K38" i="37" s="1"/>
  <c r="J164" i="30"/>
  <c r="I34" i="36" s="1"/>
  <c r="I101" i="25"/>
  <c r="H26" i="37" s="1"/>
  <c r="M206" i="25"/>
  <c r="L37" i="37" s="1"/>
  <c r="L206" i="30"/>
  <c r="K37" i="36" s="1"/>
  <c r="N258" i="25"/>
  <c r="M45" i="37" s="1"/>
  <c r="N238" i="30"/>
  <c r="M42" i="36" s="1"/>
  <c r="E164" i="30"/>
  <c r="D34" i="36" s="1"/>
  <c r="I258" i="30"/>
  <c r="H45" i="36" s="1"/>
  <c r="I80" i="30"/>
  <c r="H24" i="36" s="1"/>
  <c r="G22" i="30"/>
  <c r="F19" i="36" s="1"/>
  <c r="H191" i="25"/>
  <c r="G36" i="37" s="1"/>
  <c r="L60" i="30"/>
  <c r="K22" i="36" s="1"/>
  <c r="D164" i="25"/>
  <c r="C34" i="37" s="1"/>
  <c r="K74" i="30"/>
  <c r="J23" i="36" s="1"/>
  <c r="J238" i="25"/>
  <c r="I42" i="37" s="1"/>
  <c r="E148" i="25"/>
  <c r="D32" i="37" s="1"/>
  <c r="H233" i="30"/>
  <c r="G41" i="36" s="1"/>
  <c r="H137" i="30"/>
  <c r="G31" i="36" s="1"/>
  <c r="I132" i="25"/>
  <c r="H30" i="37" s="1"/>
  <c r="F45" i="25"/>
  <c r="E20" i="37" s="1"/>
  <c r="L191" i="25"/>
  <c r="K36" i="37" s="1"/>
  <c r="M137" i="25"/>
  <c r="L31" i="37" s="1"/>
  <c r="I271" i="25"/>
  <c r="H47" i="37" s="1"/>
  <c r="E132" i="25"/>
  <c r="D30" i="37" s="1"/>
  <c r="M191" i="30"/>
  <c r="L36" i="36" s="1"/>
  <c r="M22" i="25"/>
  <c r="L19" i="37" s="1"/>
  <c r="D123" i="30"/>
  <c r="C29" i="36" s="1"/>
  <c r="G248" i="25"/>
  <c r="F44" i="37" s="1"/>
  <c r="O206" i="25"/>
  <c r="N37" i="37" s="1"/>
  <c r="O74" i="25"/>
  <c r="N23" i="37" s="1"/>
  <c r="H179" i="30"/>
  <c r="G35" i="36" s="1"/>
  <c r="E123" i="30"/>
  <c r="D29" i="36" s="1"/>
  <c r="L106" i="30"/>
  <c r="K27" i="36" s="1"/>
  <c r="M123" i="25"/>
  <c r="L29" i="37" s="1"/>
  <c r="F164" i="30"/>
  <c r="E34" i="36" s="1"/>
  <c r="M123" i="30"/>
  <c r="L29" i="36" s="1"/>
  <c r="M80" i="30"/>
  <c r="L24" i="36" s="1"/>
  <c r="G265" i="30"/>
  <c r="F46" i="36" s="1"/>
  <c r="N22" i="25"/>
  <c r="M19" i="37" s="1"/>
  <c r="N243" i="25"/>
  <c r="M43" i="37" s="1"/>
  <c r="H191" i="30"/>
  <c r="G36" i="36" s="1"/>
  <c r="N22" i="30"/>
  <c r="M19" i="36" s="1"/>
  <c r="L137" i="25"/>
  <c r="K31" i="37" s="1"/>
  <c r="F22" i="30"/>
  <c r="E19" i="36" s="1"/>
  <c r="G265" i="25"/>
  <c r="F46" i="37" s="1"/>
  <c r="G221" i="30"/>
  <c r="F40" i="36" s="1"/>
  <c r="I50" i="25"/>
  <c r="H21" i="37" s="1"/>
  <c r="N80" i="30"/>
  <c r="M24" i="36" s="1"/>
  <c r="G60" i="25"/>
  <c r="F22" i="37" s="1"/>
  <c r="M233" i="30"/>
  <c r="L41" i="36" s="1"/>
  <c r="N211" i="30"/>
  <c r="M38" i="36" s="1"/>
  <c r="O179" i="30"/>
  <c r="N35" i="36" s="1"/>
  <c r="H216" i="30"/>
  <c r="G39" i="36" s="1"/>
  <c r="O258" i="30"/>
  <c r="N45" i="36" s="1"/>
  <c r="D132" i="30"/>
  <c r="C30" i="36" s="1"/>
  <c r="L248" i="30"/>
  <c r="K44" i="36" s="1"/>
  <c r="O106" i="30"/>
  <c r="N27" i="36" s="1"/>
  <c r="G80" i="30"/>
  <c r="F24" i="36" s="1"/>
  <c r="G258" i="25"/>
  <c r="F45" i="37" s="1"/>
  <c r="F60" i="30"/>
  <c r="E22" i="36" s="1"/>
  <c r="F106" i="30"/>
  <c r="E27" i="36" s="1"/>
  <c r="L50" i="30"/>
  <c r="K21" i="36" s="1"/>
  <c r="J132" i="25"/>
  <c r="I30" i="37" s="1"/>
  <c r="J155" i="25"/>
  <c r="I33" i="37" s="1"/>
  <c r="G45" i="30"/>
  <c r="F20" i="36" s="1"/>
  <c r="M216" i="30"/>
  <c r="L39" i="36" s="1"/>
  <c r="M148" i="25"/>
  <c r="L32" i="37" s="1"/>
  <c r="H86" i="30"/>
  <c r="G25" i="36" s="1"/>
  <c r="M258" i="30"/>
  <c r="L45" i="36" s="1"/>
  <c r="J106" i="30"/>
  <c r="I27" i="36" s="1"/>
  <c r="G206" i="25"/>
  <c r="F37" i="37" s="1"/>
  <c r="D211" i="25"/>
  <c r="C38" i="37" s="1"/>
  <c r="K271" i="25"/>
  <c r="J47" i="37" s="1"/>
  <c r="N258" i="30"/>
  <c r="M45" i="36" s="1"/>
  <c r="O148" i="25"/>
  <c r="N32" i="37" s="1"/>
  <c r="E211" i="25"/>
  <c r="D38" i="37" s="1"/>
  <c r="K101" i="30"/>
  <c r="J26" i="36" s="1"/>
  <c r="G101" i="25"/>
  <c r="F26" i="37" s="1"/>
  <c r="O50" i="25"/>
  <c r="N21" i="37" s="1"/>
  <c r="N265" i="25"/>
  <c r="M46" i="37" s="1"/>
  <c r="F80" i="25"/>
  <c r="E24" i="37" s="1"/>
  <c r="O243" i="30"/>
  <c r="N43" i="36" s="1"/>
  <c r="J271" i="25"/>
  <c r="I47" i="37" s="1"/>
  <c r="J74" i="25"/>
  <c r="I23" i="37" s="1"/>
  <c r="L179" i="25"/>
  <c r="K35" i="37" s="1"/>
  <c r="D101" i="25"/>
  <c r="C26" i="37" s="1"/>
  <c r="I211" i="30"/>
  <c r="H38" i="36" s="1"/>
  <c r="J258" i="30"/>
  <c r="I45" i="36" s="1"/>
  <c r="G74" i="30"/>
  <c r="F23" i="36" s="1"/>
  <c r="H265" i="25"/>
  <c r="G46" i="37" s="1"/>
  <c r="D106" i="30"/>
  <c r="C27" i="36" s="1"/>
  <c r="J191" i="25"/>
  <c r="I36" i="37" s="1"/>
  <c r="M106" i="30"/>
  <c r="L27" i="36" s="1"/>
  <c r="E86" i="30"/>
  <c r="D25" i="36" s="1"/>
  <c r="J60" i="25"/>
  <c r="I22" i="37" s="1"/>
  <c r="L80" i="30"/>
  <c r="K24" i="36" s="1"/>
  <c r="J123" i="25"/>
  <c r="I29" i="37" s="1"/>
  <c r="F233" i="30"/>
  <c r="E41" i="36" s="1"/>
  <c r="I123" i="25"/>
  <c r="H29" i="37" s="1"/>
  <c r="G211" i="25"/>
  <c r="F38" i="37" s="1"/>
  <c r="J123" i="30"/>
  <c r="I29" i="36" s="1"/>
  <c r="J191" i="30"/>
  <c r="I36" i="36" s="1"/>
  <c r="G106" i="25"/>
  <c r="F27" i="37" s="1"/>
  <c r="E206" i="25"/>
  <c r="D37" i="37" s="1"/>
  <c r="N148" i="30"/>
  <c r="M32" i="36" s="1"/>
  <c r="O238" i="30"/>
  <c r="N42" i="36" s="1"/>
  <c r="E86" i="25"/>
  <c r="D25" i="37" s="1"/>
  <c r="F258" i="30"/>
  <c r="E45" i="36" s="1"/>
  <c r="D221" i="30"/>
  <c r="C40" i="36" s="1"/>
  <c r="L216" i="30"/>
  <c r="K39" i="36" s="1"/>
  <c r="F111" i="25"/>
  <c r="E28" i="37" s="1"/>
  <c r="O132" i="25"/>
  <c r="N30" i="37" s="1"/>
  <c r="D238" i="30"/>
  <c r="C42" i="36" s="1"/>
  <c r="N155" i="30"/>
  <c r="M33" i="36" s="1"/>
  <c r="H45" i="25"/>
  <c r="G20" i="37" s="1"/>
  <c r="L216" i="25"/>
  <c r="K39" i="37" s="1"/>
  <c r="J243" i="25"/>
  <c r="I43" i="37" s="1"/>
  <c r="K74" i="25"/>
  <c r="J23" i="37" s="1"/>
  <c r="O164" i="25"/>
  <c r="N34" i="37" s="1"/>
  <c r="G191" i="30"/>
  <c r="F36" i="36" s="1"/>
  <c r="D265" i="25"/>
  <c r="C46" i="37" s="1"/>
  <c r="N74" i="30"/>
  <c r="M23" i="36" s="1"/>
  <c r="I74" i="30"/>
  <c r="H23" i="36" s="1"/>
  <c r="J233" i="30"/>
  <c r="I41" i="36" s="1"/>
  <c r="L22" i="25"/>
  <c r="K19" i="37" s="1"/>
  <c r="K80" i="30"/>
  <c r="J24" i="36" s="1"/>
  <c r="K80" i="25"/>
  <c r="J24" i="37" s="1"/>
  <c r="L132" i="25"/>
  <c r="K30" i="37" s="1"/>
  <c r="O132" i="30"/>
  <c r="N30" i="36" s="1"/>
  <c r="E74" i="30"/>
  <c r="D23" i="36" s="1"/>
  <c r="G50" i="25"/>
  <c r="F21" i="37" s="1"/>
  <c r="F137" i="25"/>
  <c r="E31" i="37" s="1"/>
  <c r="E106" i="30"/>
  <c r="D27" i="36" s="1"/>
  <c r="F164" i="25"/>
  <c r="E34" i="37" s="1"/>
  <c r="N233" i="30"/>
  <c r="M41" i="36" s="1"/>
  <c r="J206" i="25"/>
  <c r="I37" i="37" s="1"/>
  <c r="G132" i="30"/>
  <c r="F30" i="36" s="1"/>
  <c r="O265" i="25"/>
  <c r="N46" i="37" s="1"/>
  <c r="E132" i="30"/>
  <c r="D30" i="36" s="1"/>
  <c r="N60" i="25"/>
  <c r="M22" i="37" s="1"/>
  <c r="H60" i="25"/>
  <c r="G22" i="37" s="1"/>
  <c r="M86" i="25"/>
  <c r="L25" i="37" s="1"/>
  <c r="O179" i="25"/>
  <c r="N35" i="37" s="1"/>
  <c r="J111" i="25"/>
  <c r="I28" i="37" s="1"/>
  <c r="L45" i="25"/>
  <c r="K20" i="37" s="1"/>
  <c r="O123" i="30"/>
  <c r="N29" i="36" s="1"/>
  <c r="O111" i="30"/>
  <c r="N28" i="36" s="1"/>
  <c r="G206" i="30"/>
  <c r="F37" i="36" s="1"/>
  <c r="J221" i="30"/>
  <c r="I40" i="36" s="1"/>
  <c r="E179" i="25"/>
  <c r="D35" i="37" s="1"/>
  <c r="D50" i="25"/>
  <c r="C21" i="37" s="1"/>
  <c r="G148" i="30"/>
  <c r="F32" i="36" s="1"/>
  <c r="H101" i="30"/>
  <c r="G26" i="36" s="1"/>
  <c r="D206" i="30"/>
  <c r="C37" i="36" s="1"/>
  <c r="E233" i="25"/>
  <c r="D41" i="37" s="1"/>
  <c r="N132" i="25"/>
  <c r="M30" i="37" s="1"/>
  <c r="D258" i="30"/>
  <c r="C45" i="36" s="1"/>
  <c r="I164" i="30"/>
  <c r="H34" i="36" s="1"/>
  <c r="K137" i="30"/>
  <c r="J31" i="36" s="1"/>
  <c r="F206" i="25"/>
  <c r="E37" i="37" s="1"/>
  <c r="K238" i="30"/>
  <c r="J42" i="36" s="1"/>
  <c r="I206" i="30"/>
  <c r="H37" i="36" s="1"/>
  <c r="N211" i="25"/>
  <c r="M38" i="37" s="1"/>
  <c r="J22" i="25"/>
  <c r="I19" i="37" s="1"/>
  <c r="K111" i="30"/>
  <c r="J28" i="36" s="1"/>
  <c r="I248" i="30"/>
  <c r="H44" i="36" s="1"/>
  <c r="N243" i="30"/>
  <c r="M43" i="36" s="1"/>
  <c r="J233" i="25"/>
  <c r="I41" i="37" s="1"/>
  <c r="D86" i="25"/>
  <c r="C25" i="37" s="1"/>
  <c r="I148" i="30"/>
  <c r="H32" i="36" s="1"/>
  <c r="J211" i="25"/>
  <c r="I38" i="37" s="1"/>
  <c r="O22" i="25"/>
  <c r="N19" i="37" s="1"/>
  <c r="F50" i="25"/>
  <c r="E21" i="37" s="1"/>
  <c r="E221" i="25"/>
  <c r="D40" i="37" s="1"/>
  <c r="O155" i="25"/>
  <c r="N33" i="37" s="1"/>
  <c r="F271" i="30"/>
  <c r="E47" i="36" s="1"/>
  <c r="N86" i="25"/>
  <c r="M25" i="37" s="1"/>
  <c r="H132" i="25"/>
  <c r="G30" i="37" s="1"/>
  <c r="O86" i="30"/>
  <c r="N25" i="36" s="1"/>
  <c r="M221" i="25"/>
  <c r="L40" i="37" s="1"/>
  <c r="N86" i="30"/>
  <c r="M25" i="36" s="1"/>
  <c r="D248" i="25"/>
  <c r="C44" i="37" s="1"/>
  <c r="K238" i="25"/>
  <c r="J42" i="37" s="1"/>
  <c r="F137" i="30"/>
  <c r="E31" i="36" s="1"/>
  <c r="K258" i="25"/>
  <c r="J45" i="37" s="1"/>
  <c r="F191" i="30"/>
  <c r="E36" i="36" s="1"/>
  <c r="O271" i="30"/>
  <c r="N47" i="36" s="1"/>
  <c r="I101" i="30"/>
  <c r="H26" i="36" s="1"/>
  <c r="E216" i="30"/>
  <c r="D39" i="36" s="1"/>
  <c r="G86" i="25"/>
  <c r="F25" i="37" s="1"/>
  <c r="G123" i="25"/>
  <c r="F29" i="37" s="1"/>
  <c r="H106" i="30"/>
  <c r="G27" i="36" s="1"/>
  <c r="G22" i="25"/>
  <c r="F19" i="37" s="1"/>
  <c r="L74" i="25"/>
  <c r="K23" i="37" s="1"/>
  <c r="K86" i="25"/>
  <c r="J25" i="37" s="1"/>
  <c r="K123" i="25"/>
  <c r="J29" i="37" s="1"/>
  <c r="H271" i="30"/>
  <c r="G47" i="36" s="1"/>
  <c r="D211" i="30"/>
  <c r="C38" i="36" s="1"/>
  <c r="N50" i="30"/>
  <c r="M21" i="36" s="1"/>
  <c r="I148" i="25"/>
  <c r="H32" i="37" s="1"/>
  <c r="K243" i="30"/>
  <c r="J43" i="36" s="1"/>
  <c r="I216" i="25"/>
  <c r="H39" i="37" s="1"/>
  <c r="K248" i="30"/>
  <c r="J44" i="36" s="1"/>
  <c r="F148" i="25"/>
  <c r="E32" i="37" s="1"/>
  <c r="F216" i="30"/>
  <c r="E39" i="36" s="1"/>
  <c r="N265" i="30"/>
  <c r="M46" i="36" s="1"/>
  <c r="N206" i="30"/>
  <c r="M37" i="36" s="1"/>
  <c r="D123" i="25"/>
  <c r="C29" i="37" s="1"/>
  <c r="G155" i="25"/>
  <c r="F33" i="37" s="1"/>
  <c r="F265" i="30"/>
  <c r="E46" i="36" s="1"/>
  <c r="O45" i="25"/>
  <c r="N20" i="37" s="1"/>
  <c r="H111" i="30"/>
  <c r="G28" i="36" s="1"/>
  <c r="F132" i="30"/>
  <c r="E30" i="36" s="1"/>
  <c r="O50" i="30"/>
  <c r="N21" i="36" s="1"/>
  <c r="M164" i="30"/>
  <c r="L34" i="36" s="1"/>
  <c r="E50" i="25"/>
  <c r="D21" i="37" s="1"/>
  <c r="E258" i="30"/>
  <c r="D45" i="36" s="1"/>
  <c r="K86" i="30"/>
  <c r="J25" i="36" s="1"/>
  <c r="I258" i="25"/>
  <c r="H45" i="37" s="1"/>
  <c r="N216" i="25"/>
  <c r="M39" i="37" s="1"/>
  <c r="J216" i="25"/>
  <c r="I39" i="37" s="1"/>
  <c r="G216" i="25"/>
  <c r="F39" i="37" s="1"/>
  <c r="L211" i="30"/>
  <c r="K38" i="36" s="1"/>
  <c r="J86" i="25"/>
  <c r="I25" i="37" s="1"/>
  <c r="D60" i="30"/>
  <c r="C22" i="36" s="1"/>
  <c r="M243" i="25"/>
  <c r="L43" i="37" s="1"/>
  <c r="F86" i="25"/>
  <c r="E25" i="37" s="1"/>
  <c r="E233" i="30"/>
  <c r="D41" i="36" s="1"/>
  <c r="L271" i="25"/>
  <c r="K47" i="37" s="1"/>
  <c r="F258" i="25"/>
  <c r="E45" i="37" s="1"/>
  <c r="M155" i="30"/>
  <c r="L33" i="36" s="1"/>
  <c r="G111" i="30"/>
  <c r="F28" i="36" s="1"/>
  <c r="H258" i="30"/>
  <c r="G45" i="36" s="1"/>
  <c r="H111" i="25"/>
  <c r="G28" i="37" s="1"/>
  <c r="G45" i="25"/>
  <c r="F20" i="37" s="1"/>
  <c r="H216" i="25"/>
  <c r="G39" i="37" s="1"/>
  <c r="O86" i="25"/>
  <c r="N25" i="37" s="1"/>
  <c r="N50" i="25"/>
  <c r="M21" i="37" s="1"/>
  <c r="O258" i="25"/>
  <c r="N45" i="37" s="1"/>
  <c r="J111" i="30"/>
  <c r="I28" i="36" s="1"/>
  <c r="K265" i="25"/>
  <c r="J46" i="37" s="1"/>
  <c r="E101" i="30"/>
  <c r="D26" i="36" s="1"/>
  <c r="D243" i="30"/>
  <c r="C43" i="36" s="1"/>
  <c r="L148" i="25"/>
  <c r="K32" i="37" s="1"/>
  <c r="H243" i="30"/>
  <c r="G43" i="36" s="1"/>
  <c r="H179" i="25"/>
  <c r="G35" i="37" s="1"/>
  <c r="J265" i="30"/>
  <c r="I46" i="36" s="1"/>
  <c r="I164" i="25"/>
  <c r="H34" i="37" s="1"/>
  <c r="K22" i="25"/>
  <c r="J19" i="37" s="1"/>
  <c r="G191" i="25"/>
  <c r="F36" i="37" s="1"/>
  <c r="N248" i="25"/>
  <c r="M44" i="37" s="1"/>
  <c r="D60" i="25"/>
  <c r="C22" i="37" s="1"/>
  <c r="F191" i="25"/>
  <c r="E36" i="37" s="1"/>
  <c r="M238" i="30"/>
  <c r="L42" i="36" s="1"/>
  <c r="D233" i="25"/>
  <c r="C41" i="37" s="1"/>
  <c r="K101" i="25"/>
  <c r="J26" i="37" s="1"/>
  <c r="N74" i="25"/>
  <c r="M23" i="37" s="1"/>
  <c r="O164" i="30"/>
  <c r="N34" i="36" s="1"/>
  <c r="I191" i="25"/>
  <c r="H36" i="37" s="1"/>
  <c r="M179" i="25"/>
  <c r="L35" i="37" s="1"/>
  <c r="O137" i="25"/>
  <c r="N31" i="37" s="1"/>
  <c r="M137" i="30"/>
  <c r="L31" i="36" s="1"/>
  <c r="K191" i="30"/>
  <c r="J36" i="36" s="1"/>
  <c r="K211" i="25"/>
  <c r="J38" i="37" s="1"/>
  <c r="J137" i="30"/>
  <c r="I31" i="36" s="1"/>
  <c r="N191" i="30"/>
  <c r="M36" i="36" s="1"/>
  <c r="F179" i="25"/>
  <c r="E35" i="37" s="1"/>
  <c r="G216" i="30"/>
  <c r="F39" i="36" s="1"/>
  <c r="H248" i="25"/>
  <c r="G44" i="37" s="1"/>
  <c r="I106" i="25"/>
  <c r="H27" i="37" s="1"/>
  <c r="E45" i="25"/>
  <c r="D20" i="37" s="1"/>
  <c r="E111" i="25"/>
  <c r="D28" i="37" s="1"/>
  <c r="L155" i="25"/>
  <c r="K33" i="37" s="1"/>
  <c r="K233" i="25"/>
  <c r="J41" i="37" s="1"/>
  <c r="N221" i="25"/>
  <c r="M40" i="37" s="1"/>
  <c r="J179" i="25"/>
  <c r="I35" i="37" s="1"/>
  <c r="K265" i="30"/>
  <c r="J46" i="36" s="1"/>
  <c r="L221" i="25"/>
  <c r="K40" i="37" s="1"/>
  <c r="K50" i="30"/>
  <c r="J21" i="36" s="1"/>
  <c r="G179" i="25"/>
  <c r="F35" i="37" s="1"/>
  <c r="M132" i="30"/>
  <c r="L30" i="36" s="1"/>
  <c r="H221" i="25"/>
  <c r="G40" i="37" s="1"/>
  <c r="E50" i="30"/>
  <c r="D21" i="36" s="1"/>
  <c r="M206" i="30"/>
  <c r="L37" i="36" s="1"/>
  <c r="F221" i="25"/>
  <c r="E40" i="37" s="1"/>
  <c r="J206" i="30"/>
  <c r="I37" i="36" s="1"/>
  <c r="O221" i="25"/>
  <c r="N40" i="37" s="1"/>
  <c r="H50" i="25"/>
  <c r="G21" i="37" s="1"/>
  <c r="J80" i="30"/>
  <c r="I24" i="36" s="1"/>
  <c r="H101" i="25"/>
  <c r="G26" i="37" s="1"/>
  <c r="J50" i="25"/>
  <c r="I21" i="37" s="1"/>
  <c r="O191" i="30"/>
  <c r="N36" i="36" s="1"/>
  <c r="D106" i="25"/>
  <c r="C27" i="37" s="1"/>
  <c r="L123" i="30"/>
  <c r="K29" i="36" s="1"/>
  <c r="M101" i="30"/>
  <c r="L26" i="36" s="1"/>
  <c r="K123" i="30"/>
  <c r="J29" i="36" s="1"/>
  <c r="O206" i="30"/>
  <c r="N37" i="36" s="1"/>
  <c r="D206" i="25"/>
  <c r="C37" i="37" s="1"/>
  <c r="G211" i="30"/>
  <c r="F38" i="36" s="1"/>
  <c r="E248" i="25"/>
  <c r="D44" i="37" s="1"/>
  <c r="K132" i="25"/>
  <c r="J30" i="37" s="1"/>
  <c r="J271" i="30"/>
  <c r="I47" i="36" s="1"/>
  <c r="G60" i="30"/>
  <c r="F22" i="36" s="1"/>
  <c r="H22" i="30"/>
  <c r="G19" i="36" s="1"/>
  <c r="K111" i="25"/>
  <c r="J28" i="37" s="1"/>
  <c r="D258" i="25"/>
  <c r="C45" i="37" s="1"/>
  <c r="O137" i="30"/>
  <c r="N31" i="36" s="1"/>
  <c r="N191" i="25"/>
  <c r="M36" i="37" s="1"/>
  <c r="E271" i="25"/>
  <c r="D47" i="37" s="1"/>
  <c r="E123" i="25"/>
  <c r="D29" i="37" s="1"/>
  <c r="I22" i="25"/>
  <c r="H19" i="37" s="1"/>
  <c r="M50" i="25"/>
  <c r="L21" i="37" s="1"/>
  <c r="I233" i="25"/>
  <c r="H41" i="37" s="1"/>
  <c r="L233" i="25"/>
  <c r="K41" i="37" s="1"/>
  <c r="L258" i="25"/>
  <c r="K45" i="37" s="1"/>
  <c r="M248" i="30"/>
  <c r="L44" i="36" s="1"/>
  <c r="I111" i="25"/>
  <c r="H28" i="37" s="1"/>
  <c r="K45" i="25"/>
  <c r="J20" i="37" s="1"/>
  <c r="D137" i="25"/>
  <c r="C31" i="37" s="1"/>
  <c r="K179" i="25"/>
  <c r="J35" i="37" s="1"/>
  <c r="M164" i="25"/>
  <c r="L34" i="37" s="1"/>
  <c r="M216" i="25"/>
  <c r="L39" i="37" s="1"/>
  <c r="I132" i="30"/>
  <c r="H30" i="36" s="1"/>
  <c r="F211" i="30"/>
  <c r="E38" i="36" s="1"/>
  <c r="D191" i="25"/>
  <c r="C36" i="37" s="1"/>
  <c r="N106" i="30"/>
  <c r="M27" i="36" s="1"/>
  <c r="L179" i="30"/>
  <c r="K35" i="36" s="1"/>
  <c r="J22" i="30"/>
  <c r="I19" i="36" s="1"/>
  <c r="G271" i="25"/>
  <c r="F47" i="37" s="1"/>
  <c r="K216" i="25"/>
  <c r="J39" i="37" s="1"/>
  <c r="D148" i="30"/>
  <c r="C32" i="36" s="1"/>
  <c r="J45" i="30"/>
  <c r="I20" i="36" s="1"/>
  <c r="J148" i="25"/>
  <c r="I32" i="37" s="1"/>
  <c r="H248" i="30"/>
  <c r="G44" i="36" s="1"/>
  <c r="O45" i="30"/>
  <c r="N20" i="36" s="1"/>
  <c r="G74" i="25"/>
  <c r="F23" i="37" s="1"/>
  <c r="M155" i="25"/>
  <c r="L33" i="37" s="1"/>
  <c r="I265" i="30"/>
  <c r="H46" i="36" s="1"/>
  <c r="F179" i="30"/>
  <c r="E35" i="36" s="1"/>
  <c r="N123" i="30"/>
  <c r="M29" i="36" s="1"/>
  <c r="N179" i="30"/>
  <c r="M35" i="36" s="1"/>
  <c r="M271" i="25"/>
  <c r="L47" i="37" s="1"/>
  <c r="E216" i="25"/>
  <c r="D39" i="37" s="1"/>
  <c r="F248" i="25"/>
  <c r="E44" i="37" s="1"/>
  <c r="O111" i="25"/>
  <c r="N28" i="37" s="1"/>
  <c r="H155" i="25"/>
  <c r="G33" i="37" s="1"/>
  <c r="AB11" i="34"/>
  <c r="AB12" i="34" s="1"/>
  <c r="AA35" i="34"/>
  <c r="AA36" i="34" s="1"/>
  <c r="AI97" i="34"/>
  <c r="AK35" i="34"/>
  <c r="AK36" i="34" s="1"/>
  <c r="AH225" i="34"/>
  <c r="AB34" i="34"/>
  <c r="AB35" i="34" s="1"/>
  <c r="AC35" i="34"/>
  <c r="G275" i="30"/>
  <c r="F18" i="36" s="1"/>
  <c r="AJ35" i="34"/>
  <c r="AG35" i="34"/>
  <c r="AL35" i="34"/>
  <c r="AH274" i="34"/>
  <c r="AK53" i="34"/>
  <c r="AF34" i="34"/>
  <c r="AB54" i="34"/>
  <c r="AA274" i="34"/>
  <c r="AD147" i="34"/>
  <c r="AD53" i="34"/>
  <c r="AH97" i="34"/>
  <c r="AJ11" i="34"/>
  <c r="AE241" i="34"/>
  <c r="AH34" i="34"/>
  <c r="AD225" i="34"/>
  <c r="AJ241" i="34"/>
  <c r="AI278" i="34"/>
  <c r="AG241" i="34"/>
  <c r="AE274" i="34"/>
  <c r="AH54" i="34"/>
  <c r="AI81" i="34"/>
  <c r="AC147" i="34"/>
  <c r="AA11" i="34"/>
  <c r="AF225" i="34"/>
  <c r="AG54" i="34"/>
  <c r="AH241" i="34"/>
  <c r="AC81" i="34"/>
  <c r="AK242" i="34"/>
  <c r="AC54" i="34"/>
  <c r="AF276" i="34"/>
  <c r="AC11" i="34"/>
  <c r="AH11" i="34"/>
  <c r="AJ53" i="34"/>
  <c r="AB241" i="34"/>
  <c r="AE34" i="34"/>
  <c r="AD242" i="34"/>
  <c r="AF147" i="34"/>
  <c r="AJ81" i="34"/>
  <c r="AC241" i="34"/>
  <c r="AB97" i="34"/>
  <c r="AL53" i="34"/>
  <c r="AA242" i="34"/>
  <c r="AD35" i="34"/>
  <c r="AC276" i="34"/>
  <c r="AL117" i="34"/>
  <c r="AB274" i="34"/>
  <c r="AL276" i="34"/>
  <c r="AE54" i="34"/>
  <c r="AF242" i="34"/>
  <c r="AK147" i="34"/>
  <c r="AK97" i="34"/>
  <c r="AL81" i="34"/>
  <c r="AC117" i="34"/>
  <c r="AJ97" i="34"/>
  <c r="AJ274" i="34"/>
  <c r="AA53" i="34"/>
  <c r="AF11" i="34"/>
  <c r="AG276" i="34"/>
  <c r="AK81" i="34"/>
  <c r="AI36" i="34"/>
  <c r="AD276" i="34"/>
  <c r="AG11" i="34"/>
  <c r="AD11" i="34"/>
  <c r="AI11" i="34"/>
  <c r="AF53" i="34"/>
  <c r="AK10" i="34"/>
  <c r="AD117" i="34"/>
  <c r="AI53" i="34"/>
  <c r="AL12" i="34"/>
  <c r="AG147" i="34"/>
  <c r="AL242" i="34"/>
  <c r="AE10" i="34"/>
  <c r="AG97" i="34"/>
  <c r="AE81" i="34"/>
  <c r="AG225" i="34"/>
  <c r="AB81" i="34"/>
  <c r="AK276" i="34"/>
  <c r="AI242" i="34"/>
  <c r="I275" i="25" l="1"/>
  <c r="H18" i="37" s="1"/>
  <c r="G275" i="25"/>
  <c r="F18" i="37" s="1"/>
  <c r="F225" i="25"/>
  <c r="E16" i="37" s="1"/>
  <c r="E252" i="25"/>
  <c r="D17" i="37" s="1"/>
  <c r="O168" i="30"/>
  <c r="N15" i="36" s="1"/>
  <c r="N252" i="30"/>
  <c r="M17" i="36" s="1"/>
  <c r="N252" i="25"/>
  <c r="M17" i="37" s="1"/>
  <c r="N225" i="25"/>
  <c r="M16" i="37" s="1"/>
  <c r="E275" i="25"/>
  <c r="D18" i="37" s="1"/>
  <c r="K168" i="30"/>
  <c r="J15" i="36" s="1"/>
  <c r="I252" i="30"/>
  <c r="H17" i="36" s="1"/>
  <c r="J168" i="25"/>
  <c r="I15" i="37" s="1"/>
  <c r="K225" i="30"/>
  <c r="J16" i="36" s="1"/>
  <c r="G168" i="30"/>
  <c r="F15" i="36" s="1"/>
  <c r="E225" i="30"/>
  <c r="D16" i="36" s="1"/>
  <c r="I225" i="25"/>
  <c r="H16" i="37" s="1"/>
  <c r="J275" i="25"/>
  <c r="I18" i="37" s="1"/>
  <c r="L168" i="25"/>
  <c r="K15" i="37" s="1"/>
  <c r="O252" i="30"/>
  <c r="N17" i="36" s="1"/>
  <c r="H275" i="30"/>
  <c r="G18" i="36" s="1"/>
  <c r="M168" i="30"/>
  <c r="L15" i="36" s="1"/>
  <c r="E225" i="25"/>
  <c r="D16" i="37" s="1"/>
  <c r="O225" i="25"/>
  <c r="N16" i="37" s="1"/>
  <c r="O275" i="25"/>
  <c r="N18" i="37" s="1"/>
  <c r="I275" i="30"/>
  <c r="H18" i="36" s="1"/>
  <c r="H168" i="30"/>
  <c r="G15" i="36" s="1"/>
  <c r="O275" i="30"/>
  <c r="N18" i="36" s="1"/>
  <c r="L252" i="30"/>
  <c r="K17" i="36" s="1"/>
  <c r="I168" i="25"/>
  <c r="H15" i="37" s="1"/>
  <c r="M275" i="25"/>
  <c r="L18" i="37" s="1"/>
  <c r="K252" i="30"/>
  <c r="J17" i="36" s="1"/>
  <c r="D275" i="30"/>
  <c r="C18" i="36" s="1"/>
  <c r="M275" i="30"/>
  <c r="L18" i="36" s="1"/>
  <c r="F252" i="30"/>
  <c r="E17" i="36" s="1"/>
  <c r="E252" i="30"/>
  <c r="D17" i="36" s="1"/>
  <c r="D168" i="30"/>
  <c r="C15" i="36" s="1"/>
  <c r="E168" i="30"/>
  <c r="D15" i="36" s="1"/>
  <c r="D168" i="25"/>
  <c r="C15" i="37" s="1"/>
  <c r="K275" i="30"/>
  <c r="J18" i="36" s="1"/>
  <c r="O168" i="25"/>
  <c r="N15" i="37" s="1"/>
  <c r="N168" i="25"/>
  <c r="M15" i="37" s="1"/>
  <c r="K225" i="25"/>
  <c r="J16" i="37" s="1"/>
  <c r="G225" i="25"/>
  <c r="F16" i="37" s="1"/>
  <c r="J225" i="25"/>
  <c r="I16" i="37" s="1"/>
  <c r="I252" i="25"/>
  <c r="H17" i="37" s="1"/>
  <c r="E275" i="30"/>
  <c r="D18" i="36" s="1"/>
  <c r="J168" i="30"/>
  <c r="I15" i="36" s="1"/>
  <c r="N225" i="30"/>
  <c r="M16" i="36" s="1"/>
  <c r="F225" i="30"/>
  <c r="E16" i="36" s="1"/>
  <c r="N168" i="30"/>
  <c r="M15" i="36" s="1"/>
  <c r="L168" i="30"/>
  <c r="K15" i="36" s="1"/>
  <c r="L225" i="25"/>
  <c r="K16" i="37" s="1"/>
  <c r="D275" i="25"/>
  <c r="C18" i="37" s="1"/>
  <c r="H168" i="25"/>
  <c r="G15" i="37" s="1"/>
  <c r="O252" i="25"/>
  <c r="N17" i="37" s="1"/>
  <c r="N275" i="30"/>
  <c r="M18" i="36" s="1"/>
  <c r="F168" i="30"/>
  <c r="E15" i="36" s="1"/>
  <c r="H225" i="30"/>
  <c r="G16" i="36" s="1"/>
  <c r="H252" i="30"/>
  <c r="G17" i="36" s="1"/>
  <c r="K275" i="25"/>
  <c r="J18" i="37" s="1"/>
  <c r="D252" i="30"/>
  <c r="C17" i="36" s="1"/>
  <c r="L275" i="30"/>
  <c r="K18" i="36" s="1"/>
  <c r="J275" i="30"/>
  <c r="I18" i="36" s="1"/>
  <c r="M252" i="30"/>
  <c r="L17" i="36" s="1"/>
  <c r="J252" i="25"/>
  <c r="I17" i="37" s="1"/>
  <c r="K252" i="25"/>
  <c r="J17" i="37" s="1"/>
  <c r="F275" i="30"/>
  <c r="E18" i="36" s="1"/>
  <c r="F168" i="25"/>
  <c r="E15" i="37" s="1"/>
  <c r="G168" i="25"/>
  <c r="F15" i="37" s="1"/>
  <c r="J225" i="30"/>
  <c r="I16" i="36" s="1"/>
  <c r="J252" i="30"/>
  <c r="I17" i="36" s="1"/>
  <c r="D252" i="25"/>
  <c r="C17" i="37" s="1"/>
  <c r="F252" i="25"/>
  <c r="E17" i="37" s="1"/>
  <c r="M225" i="25"/>
  <c r="L16" i="37" s="1"/>
  <c r="H225" i="25"/>
  <c r="G16" i="37" s="1"/>
  <c r="L275" i="25"/>
  <c r="K18" i="37" s="1"/>
  <c r="H252" i="25"/>
  <c r="G17" i="37" s="1"/>
  <c r="N275" i="25"/>
  <c r="M18" i="37" s="1"/>
  <c r="G45" i="37"/>
  <c r="H275" i="25"/>
  <c r="D225" i="30"/>
  <c r="C16" i="36" s="1"/>
  <c r="M225" i="30"/>
  <c r="L16" i="36" s="1"/>
  <c r="E168" i="25"/>
  <c r="D15" i="37" s="1"/>
  <c r="M168" i="25"/>
  <c r="L15" i="37" s="1"/>
  <c r="I225" i="30"/>
  <c r="H16" i="36" s="1"/>
  <c r="I168" i="30"/>
  <c r="H15" i="36" s="1"/>
  <c r="L225" i="30"/>
  <c r="K16" i="36" s="1"/>
  <c r="L252" i="25"/>
  <c r="K17" i="37" s="1"/>
  <c r="O225" i="30"/>
  <c r="N16" i="36" s="1"/>
  <c r="G225" i="30"/>
  <c r="F16" i="36" s="1"/>
  <c r="M252" i="25"/>
  <c r="L17" i="37" s="1"/>
  <c r="D225" i="25"/>
  <c r="C16" i="37" s="1"/>
  <c r="G252" i="25"/>
  <c r="F17" i="37" s="1"/>
  <c r="K168" i="25"/>
  <c r="J15" i="37" s="1"/>
  <c r="F275" i="25"/>
  <c r="E18" i="37" s="1"/>
  <c r="G252" i="30"/>
  <c r="F17" i="36" s="1"/>
  <c r="H6" i="36"/>
  <c r="I9" i="36"/>
  <c r="H9" i="36"/>
  <c r="U9" i="36" s="1"/>
  <c r="G8" i="36"/>
  <c r="D9" i="36"/>
  <c r="AG36" i="34"/>
  <c r="AJ36" i="34"/>
  <c r="AC36" i="34"/>
  <c r="AB36" i="34"/>
  <c r="AL36" i="34"/>
  <c r="AL13" i="34"/>
  <c r="AG12" i="34"/>
  <c r="AJ278" i="34"/>
  <c r="AE55" i="34"/>
  <c r="AB242" i="34"/>
  <c r="AH242" i="34"/>
  <c r="AI225" i="34"/>
  <c r="AG242" i="34"/>
  <c r="AD54" i="34"/>
  <c r="AI54" i="34"/>
  <c r="AD274" i="34"/>
  <c r="AL274" i="34"/>
  <c r="AL54" i="34"/>
  <c r="AJ54" i="34"/>
  <c r="AE242" i="34"/>
  <c r="AF35" i="34"/>
  <c r="AI243" i="34"/>
  <c r="AE225" i="34"/>
  <c r="AL243" i="34"/>
  <c r="AI12" i="34"/>
  <c r="AB13" i="34"/>
  <c r="AF12" i="34"/>
  <c r="AB278" i="34"/>
  <c r="AD36" i="34"/>
  <c r="AD243" i="34"/>
  <c r="AH12" i="34"/>
  <c r="AK243" i="34"/>
  <c r="AG55" i="34"/>
  <c r="AH55" i="34"/>
  <c r="AJ242" i="34"/>
  <c r="AJ12" i="34"/>
  <c r="AK54" i="34"/>
  <c r="AB225" i="34"/>
  <c r="AF54" i="34"/>
  <c r="AK225" i="34"/>
  <c r="AL225" i="34"/>
  <c r="AJ225" i="34"/>
  <c r="AF274" i="34"/>
  <c r="AA12" i="34"/>
  <c r="AH35" i="34"/>
  <c r="AB55" i="34"/>
  <c r="AE11" i="34"/>
  <c r="AG274" i="34"/>
  <c r="AC274" i="34"/>
  <c r="AC55" i="34"/>
  <c r="AK274" i="34"/>
  <c r="AK11" i="34"/>
  <c r="AD12" i="34"/>
  <c r="AA54" i="34"/>
  <c r="AF243" i="34"/>
  <c r="AA243" i="34"/>
  <c r="AC242" i="34"/>
  <c r="AE35" i="34"/>
  <c r="AC12" i="34"/>
  <c r="AC225" i="34"/>
  <c r="AE278" i="34"/>
  <c r="AA278" i="34"/>
  <c r="AH278" i="34"/>
  <c r="F8" i="36" l="1"/>
  <c r="M9" i="36"/>
  <c r="Z9" i="36" s="1"/>
  <c r="J7" i="36"/>
  <c r="W7" i="36" s="1"/>
  <c r="C6" i="36"/>
  <c r="T8" i="36"/>
  <c r="L7" i="36"/>
  <c r="Y7" i="36" s="1"/>
  <c r="G6" i="36"/>
  <c r="T6" i="36" s="1"/>
  <c r="D7" i="36"/>
  <c r="Q7" i="36" s="1"/>
  <c r="Q9" i="36"/>
  <c r="J6" i="36"/>
  <c r="W6" i="36" s="1"/>
  <c r="L9" i="36"/>
  <c r="Y9" i="36" s="1"/>
  <c r="M8" i="36"/>
  <c r="Z8" i="36" s="1"/>
  <c r="J8" i="36"/>
  <c r="L8" i="36"/>
  <c r="E7" i="36"/>
  <c r="R7" i="36" s="1"/>
  <c r="K6" i="36"/>
  <c r="X6" i="36" s="1"/>
  <c r="U6" i="36"/>
  <c r="F9" i="36"/>
  <c r="S9" i="36" s="1"/>
  <c r="I6" i="36"/>
  <c r="V6" i="36" s="1"/>
  <c r="D8" i="36"/>
  <c r="Q8" i="36" s="1"/>
  <c r="G7" i="36"/>
  <c r="T7" i="36" s="1"/>
  <c r="V9" i="36"/>
  <c r="E9" i="36"/>
  <c r="R9" i="36" s="1"/>
  <c r="F7" i="36"/>
  <c r="S7" i="36" s="1"/>
  <c r="D6" i="36"/>
  <c r="Q6" i="36" s="1"/>
  <c r="W8" i="36"/>
  <c r="M7" i="36"/>
  <c r="Z7" i="36" s="1"/>
  <c r="H7" i="36"/>
  <c r="U7" i="36" s="1"/>
  <c r="C7" i="36"/>
  <c r="P7" i="36" s="1"/>
  <c r="N7" i="36"/>
  <c r="AA7" i="36" s="1"/>
  <c r="N8" i="36"/>
  <c r="AA8" i="36" s="1"/>
  <c r="N6" i="36"/>
  <c r="AA6" i="36" s="1"/>
  <c r="J9" i="36"/>
  <c r="W9" i="36" s="1"/>
  <c r="S8" i="36"/>
  <c r="N9" i="36"/>
  <c r="AA9" i="36" s="1"/>
  <c r="P6" i="36"/>
  <c r="I7" i="36"/>
  <c r="V7" i="36" s="1"/>
  <c r="Y8" i="36"/>
  <c r="L6" i="36"/>
  <c r="Y6" i="36" s="1"/>
  <c r="K9" i="36"/>
  <c r="X9" i="36" s="1"/>
  <c r="E8" i="36"/>
  <c r="R8" i="36" s="1"/>
  <c r="C8" i="36"/>
  <c r="P8" i="36" s="1"/>
  <c r="M6" i="36"/>
  <c r="Z6" i="36" s="1"/>
  <c r="K8" i="36"/>
  <c r="X8" i="36" s="1"/>
  <c r="C9" i="36"/>
  <c r="P9" i="36" s="1"/>
  <c r="K7" i="36"/>
  <c r="X7" i="36" s="1"/>
  <c r="H8" i="36"/>
  <c r="U8" i="36" s="1"/>
  <c r="G18" i="37"/>
  <c r="G9" i="36"/>
  <c r="T9" i="36" s="1"/>
  <c r="F6" i="36"/>
  <c r="S6" i="36" s="1"/>
  <c r="E6" i="36"/>
  <c r="R6" i="36" s="1"/>
  <c r="I8" i="36"/>
  <c r="V8" i="36" s="1"/>
  <c r="AC243" i="34"/>
  <c r="AC278" i="34"/>
  <c r="AG64" i="34"/>
  <c r="AI13" i="34"/>
  <c r="AL278" i="34"/>
  <c r="AE64" i="34"/>
  <c r="AA245" i="34"/>
  <c r="AG278" i="34"/>
  <c r="AK245" i="34"/>
  <c r="AL245" i="34"/>
  <c r="AD278" i="34"/>
  <c r="AC13" i="34"/>
  <c r="AF245" i="34"/>
  <c r="AK278" i="34"/>
  <c r="AE12" i="34"/>
  <c r="AF278" i="34"/>
  <c r="AF55" i="34"/>
  <c r="AJ243" i="34"/>
  <c r="AH13" i="34"/>
  <c r="AF13" i="34"/>
  <c r="AJ55" i="34"/>
  <c r="AI55" i="34"/>
  <c r="AH243" i="34"/>
  <c r="AG13" i="34"/>
  <c r="AD13" i="34"/>
  <c r="AH36" i="34"/>
  <c r="AK55" i="34"/>
  <c r="AF36" i="34"/>
  <c r="AG243" i="34"/>
  <c r="AK12" i="34"/>
  <c r="AA13" i="34"/>
  <c r="AJ13" i="34"/>
  <c r="AE243" i="34"/>
  <c r="AE36" i="34"/>
  <c r="AA55" i="34"/>
  <c r="AC64" i="34"/>
  <c r="AB64" i="34"/>
  <c r="AH64" i="34"/>
  <c r="AD245" i="34"/>
  <c r="AB14" i="34"/>
  <c r="AI245" i="34"/>
  <c r="AL55" i="34"/>
  <c r="AD55" i="34"/>
  <c r="AB243" i="34"/>
  <c r="AL14" i="34"/>
  <c r="AH65" i="34" l="1"/>
  <c r="AB245" i="34"/>
  <c r="AB15" i="34"/>
  <c r="AC65" i="34"/>
  <c r="AJ14" i="34"/>
  <c r="AG14" i="34"/>
  <c r="AF14" i="34"/>
  <c r="AC14" i="34"/>
  <c r="AI14" i="34"/>
  <c r="AD64" i="34"/>
  <c r="AD246" i="34"/>
  <c r="AA64" i="34"/>
  <c r="AA14" i="34"/>
  <c r="AK64" i="34"/>
  <c r="AH245" i="34"/>
  <c r="AH14" i="34"/>
  <c r="AE13" i="34"/>
  <c r="AA246" i="34"/>
  <c r="AG65" i="34"/>
  <c r="AL64" i="34"/>
  <c r="AK13" i="34"/>
  <c r="AI64" i="34"/>
  <c r="AJ245" i="34"/>
  <c r="AL246" i="34"/>
  <c r="AE65" i="34"/>
  <c r="AL15" i="34"/>
  <c r="AI246" i="34"/>
  <c r="AB65" i="34"/>
  <c r="AE245" i="34"/>
  <c r="AG245" i="34"/>
  <c r="AD14" i="34"/>
  <c r="AJ64" i="34"/>
  <c r="AF64" i="34"/>
  <c r="AF246" i="34"/>
  <c r="AK246" i="34"/>
  <c r="AC245" i="34"/>
  <c r="AG246" i="34" l="1"/>
  <c r="AL20" i="34"/>
  <c r="AI65" i="34"/>
  <c r="AK65" i="34"/>
  <c r="AD65" i="34"/>
  <c r="AG15" i="34"/>
  <c r="AB246" i="34"/>
  <c r="AF65" i="34"/>
  <c r="AE246" i="34"/>
  <c r="AE66" i="34"/>
  <c r="AK14" i="34"/>
  <c r="AE14" i="34"/>
  <c r="AA15" i="34"/>
  <c r="AI15" i="34"/>
  <c r="AJ15" i="34"/>
  <c r="AH66" i="34"/>
  <c r="AC246" i="34"/>
  <c r="AJ65" i="34"/>
  <c r="AB66" i="34"/>
  <c r="AL65" i="34"/>
  <c r="AH15" i="34"/>
  <c r="AA65" i="34"/>
  <c r="AC15" i="34"/>
  <c r="AC66" i="34"/>
  <c r="AD15" i="34"/>
  <c r="AJ246" i="34"/>
  <c r="AG66" i="34"/>
  <c r="AH246" i="34"/>
  <c r="AF15" i="34"/>
  <c r="AB20" i="34"/>
  <c r="AJ66" i="34" l="1"/>
  <c r="AC269" i="34"/>
  <c r="AL66" i="34"/>
  <c r="AH269" i="34"/>
  <c r="AE15" i="34"/>
  <c r="AF66" i="34"/>
  <c r="AK66" i="34"/>
  <c r="AG269" i="34"/>
  <c r="AC20" i="34"/>
  <c r="AB269" i="34"/>
  <c r="AJ20" i="34"/>
  <c r="AK15" i="34"/>
  <c r="AI66" i="34"/>
  <c r="AB21" i="34"/>
  <c r="AA66" i="34"/>
  <c r="AI20" i="34"/>
  <c r="AE269" i="34"/>
  <c r="AG20" i="34"/>
  <c r="AL21" i="34"/>
  <c r="AF20" i="34"/>
  <c r="AD20" i="34"/>
  <c r="AH20" i="34"/>
  <c r="AA20" i="34"/>
  <c r="AD66" i="34"/>
  <c r="AD269" i="34" l="1"/>
  <c r="AF21" i="34"/>
  <c r="AI21" i="34"/>
  <c r="AK20" i="34"/>
  <c r="AA21" i="34"/>
  <c r="AA269" i="34"/>
  <c r="AJ21" i="34"/>
  <c r="AK269" i="34"/>
  <c r="AL269" i="34"/>
  <c r="AH21" i="34"/>
  <c r="AG21" i="34"/>
  <c r="AF269" i="34"/>
  <c r="AD21" i="34"/>
  <c r="AI269" i="34"/>
  <c r="AC21" i="34"/>
  <c r="AE20" i="34"/>
  <c r="AJ269" i="34"/>
  <c r="AE21" i="34" l="1"/>
  <c r="AK21" i="34"/>
  <c r="AX292" i="34"/>
  <c r="AS83" i="34"/>
  <c r="AM275" i="34"/>
  <c r="AN74" i="34"/>
  <c r="AP285" i="34"/>
  <c r="AS229" i="34"/>
  <c r="AM131" i="34"/>
  <c r="AR257" i="34"/>
  <c r="AV224" i="34"/>
  <c r="AV118" i="34"/>
  <c r="AU77" i="34"/>
  <c r="AX161" i="34"/>
  <c r="AX310" i="34"/>
  <c r="AP124" i="34"/>
  <c r="AW222" i="34"/>
  <c r="AW204" i="34"/>
  <c r="AS298" i="34"/>
  <c r="AM294" i="34"/>
  <c r="AN227" i="34"/>
  <c r="AV189" i="34"/>
  <c r="AM315" i="34"/>
  <c r="AR58" i="34"/>
  <c r="AS199" i="34"/>
  <c r="AM195" i="34"/>
  <c r="AO202" i="34"/>
  <c r="AV33" i="34"/>
  <c r="AR183" i="34"/>
  <c r="AO60" i="34"/>
  <c r="AP297" i="34"/>
  <c r="AW232" i="34"/>
  <c r="AM56" i="34"/>
  <c r="AR258" i="34"/>
  <c r="AO50" i="34"/>
  <c r="AU312" i="34"/>
  <c r="AU188" i="34"/>
  <c r="AN68" i="34"/>
  <c r="AQ99" i="34"/>
  <c r="AX227" i="34"/>
  <c r="AN24" i="34"/>
  <c r="AP142" i="34"/>
  <c r="AU253" i="34"/>
  <c r="AX24" i="34"/>
  <c r="AW141" i="34"/>
  <c r="AS113" i="34"/>
  <c r="AU113" i="34"/>
  <c r="AR268" i="34"/>
  <c r="AS91" i="34"/>
  <c r="AV192" i="34"/>
  <c r="AV279" i="34"/>
  <c r="AQ92" i="34"/>
  <c r="AU200" i="34"/>
  <c r="AR286" i="34"/>
  <c r="AO199" i="34"/>
  <c r="AN298" i="34"/>
  <c r="AN215" i="34"/>
  <c r="AO234" i="34"/>
  <c r="AP155" i="34"/>
  <c r="AO163" i="34"/>
  <c r="AW282" i="34"/>
  <c r="AU297" i="34"/>
  <c r="AW6" i="34"/>
  <c r="AX157" i="34"/>
  <c r="AP157" i="34"/>
  <c r="AM239" i="34"/>
  <c r="AO180" i="34"/>
  <c r="AW291" i="34"/>
  <c r="AV174" i="34"/>
  <c r="AV300" i="34"/>
  <c r="AO156" i="34"/>
  <c r="AQ216" i="34"/>
  <c r="AP102" i="34"/>
  <c r="AT279" i="34"/>
  <c r="AV281" i="34"/>
  <c r="AO250" i="34"/>
  <c r="AV98" i="34"/>
  <c r="AW286" i="34"/>
  <c r="AQ207" i="34"/>
  <c r="AX158" i="34"/>
  <c r="AV261" i="34"/>
  <c r="AS232" i="34"/>
  <c r="AX202" i="34"/>
  <c r="AQ312" i="34"/>
  <c r="AT59" i="34"/>
  <c r="AO7" i="34"/>
  <c r="AS177" i="34"/>
  <c r="AQ168" i="34"/>
  <c r="AX131" i="34"/>
  <c r="AP293" i="34"/>
  <c r="AS118" i="34"/>
  <c r="AP216" i="34"/>
  <c r="AP226" i="34"/>
  <c r="AV188" i="34"/>
  <c r="AX282" i="34"/>
  <c r="AQ284" i="34"/>
  <c r="AT174" i="34"/>
  <c r="AS211" i="34"/>
  <c r="AR279" i="34"/>
  <c r="AN28" i="34"/>
  <c r="AO162" i="34"/>
  <c r="AO258" i="34"/>
  <c r="AN153" i="34"/>
  <c r="AQ239" i="34"/>
  <c r="AP250" i="34"/>
  <c r="AV227" i="34"/>
  <c r="AU265" i="34"/>
  <c r="AU57" i="34"/>
  <c r="AX267" i="34"/>
  <c r="AN291" i="34"/>
  <c r="AR74" i="34"/>
  <c r="AT177" i="34"/>
  <c r="AU145" i="34"/>
  <c r="AO140" i="34"/>
  <c r="AN131" i="34"/>
  <c r="AS196" i="34"/>
  <c r="AO105" i="34"/>
  <c r="AP148" i="34"/>
  <c r="AP235" i="34"/>
  <c r="AT230" i="34"/>
  <c r="AW28" i="34"/>
  <c r="AU180" i="34"/>
  <c r="AW288" i="34"/>
  <c r="AT139" i="34"/>
  <c r="AV152" i="34"/>
  <c r="AQ124" i="34"/>
  <c r="AV253" i="34"/>
  <c r="AR146" i="34"/>
  <c r="AM199" i="34"/>
  <c r="AQ208" i="34"/>
  <c r="AR238" i="34"/>
  <c r="AQ83" i="34"/>
  <c r="AN232" i="34"/>
  <c r="AS142" i="34"/>
  <c r="AT183" i="34"/>
  <c r="AS265" i="34"/>
  <c r="AN267" i="34"/>
  <c r="AM68" i="34"/>
  <c r="AU192" i="34"/>
  <c r="AT146" i="34"/>
  <c r="AW195" i="34"/>
  <c r="AU153" i="34"/>
  <c r="AV293" i="34"/>
  <c r="AN16" i="34"/>
  <c r="AO289" i="34"/>
  <c r="AU109" i="34"/>
  <c r="AX277" i="34"/>
  <c r="AQ199" i="34"/>
  <c r="AU165" i="34"/>
  <c r="AW224" i="34"/>
  <c r="AV211" i="34"/>
  <c r="AN204" i="34"/>
  <c r="AR99" i="34"/>
  <c r="AW281" i="34"/>
  <c r="AN313" i="34"/>
  <c r="AX280" i="34"/>
  <c r="AU58" i="34"/>
  <c r="AX239" i="34"/>
  <c r="AN84" i="34"/>
  <c r="AT120" i="34"/>
  <c r="AU272" i="34"/>
  <c r="AV238" i="34"/>
  <c r="AW185" i="34"/>
  <c r="AP298" i="34"/>
  <c r="AW257" i="34"/>
  <c r="AN89" i="34"/>
  <c r="AO33" i="34"/>
  <c r="AT98" i="34"/>
  <c r="AS238" i="34"/>
  <c r="AS56" i="34"/>
  <c r="AX189" i="34"/>
  <c r="AV268" i="34"/>
  <c r="AP191" i="34"/>
  <c r="AP70" i="34"/>
  <c r="AW71" i="34"/>
  <c r="AR233" i="34"/>
  <c r="AW235" i="34"/>
  <c r="AW140" i="34"/>
  <c r="AN140" i="34"/>
  <c r="AP282" i="34"/>
  <c r="AM88" i="34"/>
  <c r="AO83" i="34"/>
  <c r="AO211" i="34"/>
  <c r="AS190" i="34"/>
  <c r="AM299" i="34"/>
  <c r="AP184" i="34"/>
  <c r="AW158" i="34"/>
  <c r="AM155" i="34"/>
  <c r="AT110" i="34"/>
  <c r="AO286" i="34"/>
  <c r="AT271" i="34"/>
  <c r="AM63" i="34"/>
  <c r="AR59" i="34"/>
  <c r="AP268" i="34"/>
  <c r="AW180" i="34"/>
  <c r="AN158" i="34"/>
  <c r="AM150" i="34"/>
  <c r="AS308" i="34"/>
  <c r="AW216" i="34"/>
  <c r="AM17" i="34"/>
  <c r="AV137" i="34"/>
  <c r="AV89" i="34"/>
  <c r="AP33" i="34"/>
  <c r="AT163" i="34"/>
  <c r="AP259" i="34"/>
  <c r="AX170" i="34"/>
  <c r="AP271" i="34"/>
  <c r="AR154" i="34"/>
  <c r="AT197" i="34"/>
  <c r="AW166" i="34"/>
  <c r="AW123" i="34"/>
  <c r="AW196" i="34"/>
  <c r="AM218" i="34"/>
  <c r="AV16" i="34"/>
  <c r="AO123" i="34"/>
  <c r="AW110" i="34"/>
  <c r="AR177" i="34"/>
  <c r="AO263" i="34"/>
  <c r="AQ50" i="34"/>
  <c r="AU273" i="34"/>
  <c r="AP50" i="34"/>
  <c r="AT203" i="34"/>
  <c r="AS182" i="34"/>
  <c r="AR171" i="34"/>
  <c r="AO221" i="34"/>
  <c r="AW202" i="34"/>
  <c r="AR200" i="34"/>
  <c r="AM222" i="34"/>
  <c r="AP234" i="34"/>
  <c r="AS204" i="34"/>
  <c r="AU60" i="34"/>
  <c r="AO198" i="34"/>
  <c r="AP77" i="34"/>
  <c r="AR215" i="34"/>
  <c r="AT312" i="34"/>
  <c r="AO158" i="34"/>
  <c r="AV232" i="34"/>
  <c r="AO160" i="34"/>
  <c r="AT311" i="34"/>
  <c r="AT118" i="34"/>
  <c r="AR253" i="34"/>
  <c r="AP170" i="34"/>
  <c r="AN259" i="34"/>
  <c r="AM314" i="34"/>
  <c r="AX263" i="34"/>
  <c r="AQ22" i="34"/>
  <c r="AM259" i="34"/>
  <c r="AS68" i="34"/>
  <c r="AP57" i="34"/>
  <c r="AN202" i="34"/>
  <c r="AX216" i="34"/>
  <c r="AX109" i="34"/>
  <c r="AO235" i="34"/>
  <c r="AP165" i="34"/>
  <c r="AV294" i="34"/>
  <c r="AP254" i="34"/>
  <c r="AQ87" i="34"/>
  <c r="AU29" i="34"/>
  <c r="AW299" i="34"/>
  <c r="AT94" i="34"/>
  <c r="AV236" i="34"/>
  <c r="AO188" i="34"/>
  <c r="AO265" i="34"/>
  <c r="AV62" i="34"/>
  <c r="AS189" i="34"/>
  <c r="AN196" i="34"/>
  <c r="AO205" i="34"/>
  <c r="AW92" i="34"/>
  <c r="AQ131" i="34"/>
  <c r="AV258" i="34"/>
  <c r="AX259" i="34"/>
  <c r="AS74" i="34"/>
  <c r="AV292" i="34"/>
  <c r="AP227" i="34"/>
  <c r="AV308" i="34"/>
  <c r="AP150" i="34"/>
  <c r="AW118" i="34"/>
  <c r="AT237" i="34"/>
  <c r="AP294" i="34"/>
  <c r="AO93" i="34"/>
  <c r="AP152" i="34"/>
  <c r="AW258" i="34"/>
  <c r="AR174" i="34"/>
  <c r="AM202" i="34"/>
  <c r="AQ6" i="34"/>
  <c r="AW193" i="34"/>
  <c r="AQ39" i="34"/>
  <c r="AO141" i="34"/>
  <c r="AO71" i="34"/>
  <c r="AP61" i="34"/>
  <c r="AO197" i="34"/>
  <c r="AN293" i="34"/>
  <c r="AS123" i="34"/>
  <c r="AR207" i="34"/>
  <c r="AP263" i="34"/>
  <c r="AO310" i="34"/>
  <c r="AX238" i="34"/>
  <c r="AV190" i="34"/>
  <c r="AQ58" i="34"/>
  <c r="AQ263" i="34"/>
  <c r="AN228" i="34"/>
  <c r="AX143" i="34"/>
  <c r="AN284" i="34"/>
  <c r="AV83" i="34"/>
  <c r="AR196" i="34"/>
  <c r="AP237" i="34"/>
  <c r="AX91" i="34"/>
  <c r="AO233" i="34"/>
  <c r="AV222" i="34"/>
  <c r="AW165" i="34"/>
  <c r="AP110" i="34"/>
  <c r="AX191" i="34"/>
  <c r="AS174" i="34"/>
  <c r="AO203" i="34"/>
  <c r="AQ71" i="34"/>
  <c r="AP224" i="34"/>
  <c r="AR33" i="34"/>
  <c r="AX165" i="34"/>
  <c r="AS102" i="34"/>
  <c r="AP169" i="34"/>
  <c r="AV230" i="34"/>
  <c r="AX200" i="34"/>
  <c r="AW58" i="34"/>
  <c r="AO165" i="34"/>
  <c r="AS192" i="34"/>
  <c r="AT74" i="34"/>
  <c r="AT213" i="34"/>
  <c r="AW310" i="34"/>
  <c r="AS155" i="34"/>
  <c r="AX230" i="34"/>
  <c r="AS157" i="34"/>
  <c r="AR199" i="34"/>
  <c r="AR228" i="34"/>
  <c r="AR208" i="34"/>
  <c r="AR281" i="34"/>
  <c r="AX208" i="34"/>
  <c r="AO279" i="34"/>
  <c r="AM98" i="34"/>
  <c r="AX314" i="34"/>
  <c r="AS6" i="34"/>
  <c r="AS258" i="34"/>
  <c r="AQ74" i="34"/>
  <c r="AW198" i="34"/>
  <c r="AW313" i="34"/>
  <c r="AS22" i="34"/>
  <c r="AN292" i="34"/>
  <c r="AS101" i="34"/>
  <c r="AW263" i="34"/>
  <c r="AV102" i="34"/>
  <c r="AS33" i="34"/>
  <c r="AN148" i="34"/>
  <c r="AN315" i="34"/>
  <c r="AS156" i="34"/>
  <c r="AS171" i="34"/>
  <c r="AX250" i="34"/>
  <c r="AV314" i="34"/>
  <c r="AS165" i="34"/>
  <c r="AO101" i="34"/>
  <c r="AQ213" i="34"/>
  <c r="AU283" i="34"/>
  <c r="AQ174" i="34"/>
  <c r="AM109" i="34"/>
  <c r="AS62" i="34"/>
  <c r="AT16" i="34"/>
  <c r="AP56" i="34"/>
  <c r="AQ51" i="34"/>
  <c r="AR282" i="34"/>
  <c r="AQ169" i="34"/>
  <c r="AR149" i="34"/>
  <c r="AX30" i="34"/>
  <c r="AU25" i="34"/>
  <c r="AW156" i="34"/>
  <c r="AV111" i="34"/>
  <c r="AR189" i="34"/>
  <c r="AT105" i="34"/>
  <c r="AW57" i="34"/>
  <c r="AW183" i="34"/>
  <c r="AO168" i="34"/>
  <c r="AO207" i="34"/>
  <c r="AU104" i="34"/>
  <c r="AR267" i="34"/>
  <c r="AR92" i="34"/>
  <c r="AV196" i="34"/>
  <c r="AX207" i="34"/>
  <c r="AT231" i="34"/>
  <c r="AS85" i="34"/>
  <c r="AX234" i="34"/>
  <c r="AT127" i="34"/>
  <c r="AR140" i="34"/>
  <c r="AM253" i="34"/>
  <c r="AU146" i="34"/>
  <c r="AM70" i="34"/>
  <c r="AX101" i="34"/>
  <c r="AT17" i="34"/>
  <c r="AX265" i="34"/>
  <c r="AS98" i="34"/>
  <c r="AM310" i="34"/>
  <c r="AU8" i="34"/>
  <c r="AU140" i="34"/>
  <c r="AO262" i="34"/>
  <c r="AT22" i="34"/>
  <c r="AT157" i="34"/>
  <c r="AO124" i="34"/>
  <c r="AS39" i="34"/>
  <c r="AP177" i="34"/>
  <c r="AO182" i="34"/>
  <c r="AT261" i="34"/>
  <c r="AM163" i="34"/>
  <c r="AR165" i="34"/>
  <c r="AW177" i="34"/>
  <c r="AR60" i="34"/>
  <c r="AV187" i="34"/>
  <c r="AV109" i="34"/>
  <c r="AQ221" i="34"/>
  <c r="AR184" i="34"/>
  <c r="AM289" i="34"/>
  <c r="AU183" i="34"/>
  <c r="AM58" i="34"/>
  <c r="AX25" i="34"/>
  <c r="AT61" i="34"/>
  <c r="AX218" i="34"/>
  <c r="AQ189" i="34"/>
  <c r="AW50" i="34"/>
  <c r="AM231" i="34"/>
  <c r="AR284" i="34"/>
  <c r="AS138" i="34"/>
  <c r="AP291" i="34"/>
  <c r="AR294" i="34"/>
  <c r="AR150" i="34"/>
  <c r="AU262" i="34"/>
  <c r="AV61" i="34"/>
  <c r="AV273" i="34"/>
  <c r="AW184" i="34"/>
  <c r="AU74" i="34"/>
  <c r="AM140" i="34"/>
  <c r="AW154" i="34"/>
  <c r="AU82" i="34"/>
  <c r="AO297" i="34"/>
  <c r="AR295" i="34"/>
  <c r="AU254" i="34"/>
  <c r="AQ262" i="34"/>
  <c r="AM156" i="34"/>
  <c r="AU4" i="34"/>
  <c r="AM86" i="34"/>
  <c r="AS30" i="34"/>
  <c r="AP32" i="34"/>
  <c r="AQ186" i="34"/>
  <c r="AT165" i="34"/>
  <c r="AT121" i="34"/>
  <c r="AX166" i="34"/>
  <c r="AP171" i="34"/>
  <c r="AO227" i="34"/>
  <c r="AR185" i="34"/>
  <c r="AW152" i="34"/>
  <c r="AO216" i="34"/>
  <c r="AN120" i="34"/>
  <c r="AQ229" i="34"/>
  <c r="AM297" i="34"/>
  <c r="AU191" i="34"/>
  <c r="AR70" i="34"/>
  <c r="AU123" i="34"/>
  <c r="AW87" i="34"/>
  <c r="AP72" i="34"/>
  <c r="AV255" i="34"/>
  <c r="AO187" i="34"/>
  <c r="AP205" i="34"/>
  <c r="AX217" i="34"/>
  <c r="AU230" i="34"/>
  <c r="AM273" i="34"/>
  <c r="AN33" i="34"/>
  <c r="AV145" i="34"/>
  <c r="AO139" i="34"/>
  <c r="AX205" i="34"/>
  <c r="AW205" i="34"/>
  <c r="AN118" i="34"/>
  <c r="AQ190" i="34"/>
  <c r="AX33" i="34"/>
  <c r="AW145" i="34"/>
  <c r="AW59" i="34"/>
  <c r="AO174" i="34"/>
  <c r="AQ281" i="34"/>
  <c r="AV312" i="34"/>
  <c r="AU275" i="34"/>
  <c r="AX155" i="34"/>
  <c r="AS16" i="34"/>
  <c r="AO149" i="34"/>
  <c r="AQ265" i="34"/>
  <c r="AQ105" i="34"/>
  <c r="AP96" i="34"/>
  <c r="AV96" i="34"/>
  <c r="AM8" i="34"/>
  <c r="AN171" i="34"/>
  <c r="AQ237" i="34"/>
  <c r="AR169" i="34"/>
  <c r="AM257" i="34"/>
  <c r="AU150" i="34"/>
  <c r="AR155" i="34"/>
  <c r="AN77" i="34"/>
  <c r="AQ16" i="34"/>
  <c r="AQ60" i="34"/>
  <c r="AT25" i="34"/>
  <c r="AM244" i="34"/>
  <c r="AN137" i="34"/>
  <c r="AW172" i="34"/>
  <c r="AU277" i="34"/>
  <c r="AQ102" i="34"/>
  <c r="AO281" i="34"/>
  <c r="AS137" i="34"/>
  <c r="AM203" i="34"/>
  <c r="AX92" i="34"/>
  <c r="AR265" i="34"/>
  <c r="AU102" i="34"/>
  <c r="AN162" i="34"/>
  <c r="AO231" i="34"/>
  <c r="AV30" i="34"/>
  <c r="AQ268" i="34"/>
  <c r="AN200" i="34"/>
  <c r="AP272" i="34"/>
  <c r="AO51" i="34"/>
  <c r="AS185" i="34"/>
  <c r="AV161" i="34"/>
  <c r="AM262" i="34"/>
  <c r="AT239" i="34"/>
  <c r="AP215" i="34"/>
  <c r="AU261" i="34"/>
  <c r="AS50" i="34"/>
  <c r="AV316" i="34"/>
  <c r="AX199" i="34"/>
  <c r="AQ108" i="34"/>
  <c r="AT182" i="34"/>
  <c r="AN194" i="34"/>
  <c r="AW39" i="34"/>
  <c r="AO271" i="34"/>
  <c r="AT108" i="34"/>
  <c r="AX104" i="34"/>
  <c r="AV215" i="34"/>
  <c r="AS184" i="34"/>
  <c r="AV183" i="34"/>
  <c r="AU284" i="34"/>
  <c r="AQ30" i="34"/>
  <c r="AS120" i="34"/>
  <c r="AR270" i="34"/>
  <c r="AU289" i="34"/>
  <c r="AN98" i="34"/>
  <c r="AT104" i="34"/>
  <c r="AM33" i="34"/>
  <c r="AT268" i="34"/>
  <c r="AQ152" i="34"/>
  <c r="AO257" i="34"/>
  <c r="AN141" i="34"/>
  <c r="AN157" i="34"/>
  <c r="AP310" i="34"/>
  <c r="AW200" i="34"/>
  <c r="AP140" i="34"/>
  <c r="AX229" i="34"/>
  <c r="AS7" i="34"/>
  <c r="AQ299" i="34"/>
  <c r="AM174" i="34"/>
  <c r="AP311" i="34"/>
  <c r="AN163" i="34"/>
  <c r="AO38" i="34"/>
  <c r="AR32" i="34"/>
  <c r="AX171" i="34"/>
  <c r="AR190" i="34"/>
  <c r="AM235" i="34"/>
  <c r="AO29" i="34"/>
  <c r="AW293" i="34"/>
  <c r="AX196" i="34"/>
  <c r="AV32" i="34"/>
  <c r="AU72" i="34"/>
  <c r="AP90" i="34"/>
  <c r="AO91" i="34"/>
  <c r="AQ279" i="34"/>
  <c r="AV202" i="34"/>
  <c r="AV204" i="34"/>
  <c r="AS200" i="34"/>
  <c r="AT282" i="34"/>
  <c r="AQ89" i="34"/>
  <c r="AX219" i="34"/>
  <c r="AX187" i="34"/>
  <c r="AW298" i="34"/>
  <c r="AM311" i="34"/>
  <c r="AO195" i="34"/>
  <c r="AV234" i="34"/>
  <c r="AV38" i="34"/>
  <c r="AU189" i="34"/>
  <c r="AR193" i="34"/>
  <c r="AN23" i="34"/>
  <c r="AV177" i="34"/>
  <c r="AX291" i="34"/>
  <c r="AP229" i="34"/>
  <c r="AW149" i="34"/>
  <c r="AN110" i="34"/>
  <c r="AV86" i="34"/>
  <c r="AQ188" i="34"/>
  <c r="AR188" i="34"/>
  <c r="AS297" i="34"/>
  <c r="AS103" i="34"/>
  <c r="AQ215" i="34"/>
  <c r="AT291" i="34"/>
  <c r="AN266" i="34"/>
  <c r="AW84" i="34"/>
  <c r="AU193" i="34"/>
  <c r="AV313" i="34"/>
  <c r="AS92" i="34"/>
  <c r="AS261" i="34"/>
  <c r="AR136" i="34"/>
  <c r="AS168" i="34"/>
  <c r="AN279" i="34"/>
  <c r="AU87" i="34"/>
  <c r="AV199" i="34"/>
  <c r="AP131" i="34"/>
  <c r="AN173" i="34"/>
  <c r="AQ275" i="34"/>
  <c r="AT198" i="34"/>
  <c r="AW173" i="34"/>
  <c r="AV291" i="34"/>
  <c r="AM30" i="34"/>
  <c r="AS8" i="34"/>
  <c r="AX88" i="34"/>
  <c r="AW93" i="34"/>
  <c r="AQ67" i="34"/>
  <c r="AN239" i="34"/>
  <c r="AP86" i="34"/>
  <c r="AO70" i="34"/>
  <c r="AX118" i="34"/>
  <c r="AN221" i="34"/>
  <c r="AP201" i="34"/>
  <c r="AR291" i="34"/>
  <c r="AU292" i="34"/>
  <c r="AM166" i="34"/>
  <c r="AX169" i="34"/>
  <c r="AR108" i="34"/>
  <c r="AW86" i="34"/>
  <c r="AP217" i="34"/>
  <c r="AQ236" i="34"/>
  <c r="AS292" i="34"/>
  <c r="AS287" i="34"/>
  <c r="AN224" i="34"/>
  <c r="AR56" i="34"/>
  <c r="AV104" i="34"/>
  <c r="AW314" i="34"/>
  <c r="AM255" i="34"/>
  <c r="AT23" i="34"/>
  <c r="AT170" i="34"/>
  <c r="AW171" i="34"/>
  <c r="AU79" i="34"/>
  <c r="AO102" i="34"/>
  <c r="AP283" i="34"/>
  <c r="AQ203" i="34"/>
  <c r="AP105" i="34"/>
  <c r="AS216" i="34"/>
  <c r="AX183" i="34"/>
  <c r="AO157" i="34"/>
  <c r="AP143" i="34"/>
  <c r="AT70" i="34"/>
  <c r="AW207" i="34"/>
  <c r="AO142" i="34"/>
  <c r="AN222" i="34"/>
  <c r="AV315" i="34"/>
  <c r="AS149" i="34"/>
  <c r="AX8" i="34"/>
  <c r="AX127" i="34"/>
  <c r="AX142" i="34"/>
  <c r="AT222" i="34"/>
  <c r="AQ68" i="34"/>
  <c r="AN99" i="34"/>
  <c r="AT137" i="34"/>
  <c r="AM298" i="34"/>
  <c r="AW209" i="34"/>
  <c r="AQ180" i="34"/>
  <c r="AP123" i="34"/>
  <c r="AO313" i="34"/>
  <c r="AR168" i="34"/>
  <c r="AW38" i="34"/>
  <c r="AR280" i="34"/>
  <c r="AT218" i="34"/>
  <c r="AO62" i="34"/>
  <c r="AR285" i="34"/>
  <c r="AX180" i="34"/>
  <c r="AS263" i="34"/>
  <c r="AQ315" i="34"/>
  <c r="AR313" i="34"/>
  <c r="AR237" i="34"/>
  <c r="AV74" i="34"/>
  <c r="AQ111" i="34"/>
  <c r="AR63" i="34"/>
  <c r="AO22" i="34"/>
  <c r="AW113" i="34"/>
  <c r="AP280" i="34"/>
  <c r="AN213" i="34"/>
  <c r="AS221" i="34"/>
  <c r="AN286" i="34"/>
  <c r="AM127" i="34"/>
  <c r="AQ308" i="34"/>
  <c r="AQ160" i="34"/>
  <c r="AS217" i="34"/>
  <c r="AX108" i="34"/>
  <c r="AS158" i="34"/>
  <c r="AP22" i="34"/>
  <c r="AT140" i="34"/>
  <c r="AV221" i="34"/>
  <c r="AS310" i="34"/>
  <c r="AV286" i="34"/>
  <c r="AO237" i="34"/>
  <c r="AR127" i="34"/>
  <c r="AT87" i="34"/>
  <c r="AV217" i="34"/>
  <c r="AO224" i="34"/>
  <c r="AU197" i="34"/>
  <c r="AN192" i="34"/>
  <c r="AT314" i="34"/>
  <c r="AO137" i="34"/>
  <c r="AU141" i="34"/>
  <c r="AN104" i="34"/>
  <c r="AQ184" i="34"/>
  <c r="AX270" i="34"/>
  <c r="AQ163" i="34"/>
  <c r="AT294" i="34"/>
  <c r="AN263" i="34"/>
  <c r="AX123" i="34"/>
  <c r="AO16" i="34"/>
  <c r="AT190" i="34"/>
  <c r="AV184" i="34"/>
  <c r="AN277" i="34"/>
  <c r="AW88" i="34"/>
  <c r="AO193" i="34"/>
  <c r="AT292" i="34"/>
  <c r="AV101" i="34"/>
  <c r="AO208" i="34"/>
  <c r="AT148" i="34"/>
  <c r="AP180" i="34"/>
  <c r="AU67" i="34"/>
  <c r="AU39" i="34"/>
  <c r="AM250" i="34"/>
  <c r="AP261" i="34"/>
  <c r="AT273" i="34"/>
  <c r="AV259" i="34"/>
  <c r="AS150" i="34"/>
  <c r="AW16" i="34"/>
  <c r="AS311" i="34"/>
  <c r="AR30" i="34"/>
  <c r="AW191" i="34"/>
  <c r="AV299" i="34"/>
  <c r="AQ271" i="34"/>
  <c r="AU91" i="34"/>
  <c r="AP173" i="34"/>
  <c r="AS154" i="34"/>
  <c r="AP204" i="34"/>
  <c r="AS139" i="34"/>
  <c r="AS218" i="34"/>
  <c r="AX313" i="34"/>
  <c r="AW146" i="34"/>
  <c r="AV285" i="34"/>
  <c r="AW125" i="34"/>
  <c r="AV257" i="34"/>
  <c r="AV94" i="34"/>
  <c r="AT152" i="34"/>
  <c r="AU280" i="34"/>
  <c r="AT263" i="34"/>
  <c r="AX192" i="34"/>
  <c r="AR261" i="34"/>
  <c r="AW90" i="34"/>
  <c r="AS38" i="34"/>
  <c r="AX99" i="34"/>
  <c r="AN60" i="34"/>
  <c r="AV191" i="34"/>
  <c r="AQ272" i="34"/>
  <c r="AX84" i="34"/>
  <c r="AS143" i="34"/>
  <c r="AT202" i="34"/>
  <c r="AS75" i="34"/>
  <c r="AV239" i="34"/>
  <c r="AU98" i="34"/>
  <c r="AU148" i="34"/>
  <c r="AP213" i="34"/>
  <c r="AS283" i="34"/>
  <c r="AN127" i="34"/>
  <c r="AO86" i="34"/>
  <c r="AW161" i="34"/>
  <c r="AT30" i="34"/>
  <c r="AX160" i="34"/>
  <c r="AS257" i="34"/>
  <c r="AP168" i="34"/>
  <c r="AV267" i="34"/>
  <c r="AU62" i="34"/>
  <c r="AU281" i="34"/>
  <c r="AW250" i="34"/>
  <c r="AQ77" i="34"/>
  <c r="AW270" i="34"/>
  <c r="AU196" i="34"/>
  <c r="AO63" i="34"/>
  <c r="AT298" i="34"/>
  <c r="AP202" i="34"/>
  <c r="AP141" i="34"/>
  <c r="AS146" i="34"/>
  <c r="AU99" i="34"/>
  <c r="AX63" i="34"/>
  <c r="AV200" i="34"/>
  <c r="AW190" i="34"/>
  <c r="AW150" i="34"/>
  <c r="AQ292" i="34"/>
  <c r="AS105" i="34"/>
  <c r="AN72" i="34"/>
  <c r="AV185" i="34"/>
  <c r="AW170" i="34"/>
  <c r="AT286" i="34"/>
  <c r="AM162" i="34"/>
  <c r="AP289" i="34"/>
  <c r="AS259" i="34"/>
  <c r="AP113" i="34"/>
  <c r="AS315" i="34"/>
  <c r="AQ7" i="34"/>
  <c r="AS114" i="34"/>
  <c r="AW188" i="34"/>
  <c r="AP182" i="34"/>
  <c r="AP275" i="34"/>
  <c r="AQ85" i="34"/>
  <c r="AR191" i="34"/>
  <c r="AN289" i="34"/>
  <c r="AO98" i="34"/>
  <c r="AP244" i="34"/>
  <c r="AP231" i="34"/>
  <c r="AW139" i="34"/>
  <c r="AN211" i="34"/>
  <c r="AM226" i="34"/>
  <c r="AS188" i="34"/>
  <c r="AR29" i="34"/>
  <c r="AW237" i="34"/>
  <c r="AN208" i="34"/>
  <c r="AR62" i="34"/>
  <c r="AS170" i="34"/>
  <c r="AV201" i="34"/>
  <c r="AO217" i="34"/>
  <c r="AR314" i="34"/>
  <c r="AW33" i="34"/>
  <c r="AT187" i="34"/>
  <c r="AP292" i="34"/>
  <c r="AQ82" i="34"/>
  <c r="AP207" i="34"/>
  <c r="AP58" i="34"/>
  <c r="AQ143" i="34"/>
  <c r="AW272" i="34"/>
  <c r="AP25" i="34"/>
  <c r="AW105" i="34"/>
  <c r="AW203" i="34"/>
  <c r="AM118" i="34"/>
  <c r="AP284" i="34"/>
  <c r="AX154" i="34"/>
  <c r="AM308" i="34"/>
  <c r="AQ185" i="34"/>
  <c r="AV146" i="34"/>
  <c r="AQ258" i="34"/>
  <c r="AM152" i="34"/>
  <c r="AV160" i="34"/>
  <c r="AR23" i="34"/>
  <c r="AN62" i="34"/>
  <c r="AP28" i="34"/>
  <c r="AN75" i="34"/>
  <c r="AT305" i="34"/>
  <c r="AR143" i="34"/>
  <c r="AO84" i="34"/>
  <c r="AO106" i="34"/>
  <c r="AU56" i="34"/>
  <c r="AV149" i="34"/>
  <c r="AU75" i="34"/>
  <c r="AO299" i="34"/>
  <c r="AM183" i="34"/>
  <c r="AW208" i="34"/>
  <c r="AO166" i="34"/>
  <c r="AO293" i="34"/>
  <c r="AT153" i="34"/>
  <c r="AV226" i="34"/>
  <c r="AN58" i="34"/>
  <c r="AR89" i="34"/>
  <c r="AV17" i="34"/>
  <c r="AP279" i="34"/>
  <c r="AW61" i="34"/>
  <c r="AT154" i="34"/>
  <c r="AP6" i="34"/>
  <c r="AO312" i="34"/>
  <c r="AN159" i="34"/>
  <c r="AQ273" i="34"/>
  <c r="AU86" i="34"/>
  <c r="AQ222" i="34"/>
  <c r="AQ154" i="34"/>
  <c r="AN29" i="34"/>
  <c r="AP71" i="34"/>
  <c r="AX102" i="34"/>
  <c r="AU244" i="34"/>
  <c r="AO264" i="34"/>
  <c r="AQ226" i="34"/>
  <c r="AT84" i="34"/>
  <c r="AN121" i="34"/>
  <c r="AR114" i="34"/>
  <c r="AS228" i="34"/>
  <c r="AU108" i="34"/>
  <c r="AP258" i="34"/>
  <c r="AO204" i="34"/>
  <c r="AM91" i="34"/>
  <c r="AT149" i="34"/>
  <c r="AN257" i="34"/>
  <c r="AQ280" i="34"/>
  <c r="AQ183" i="34"/>
  <c r="AV82" i="34"/>
  <c r="AT58" i="34"/>
  <c r="AO213" i="34"/>
  <c r="AS17" i="34"/>
  <c r="AM154" i="34"/>
  <c r="AV297" i="34"/>
  <c r="AT38" i="34"/>
  <c r="AQ313" i="34"/>
  <c r="AM192" i="34"/>
  <c r="AN155" i="34"/>
  <c r="AU263" i="34"/>
  <c r="AQ157" i="34"/>
  <c r="AR6" i="34"/>
  <c r="AV87" i="34"/>
  <c r="AQ32" i="34"/>
  <c r="AM71" i="34"/>
  <c r="AT33" i="34"/>
  <c r="AS159" i="34"/>
  <c r="AQ194" i="34"/>
  <c r="AX140" i="34"/>
  <c r="AV158" i="34"/>
  <c r="AU111" i="34"/>
  <c r="AU114" i="34"/>
  <c r="AS161" i="34"/>
  <c r="AM57" i="34"/>
  <c r="AW120" i="34"/>
  <c r="AV203" i="34"/>
  <c r="AU226" i="34"/>
  <c r="AV280" i="34"/>
  <c r="AW127" i="34"/>
  <c r="AV206" i="34"/>
  <c r="AW187" i="34"/>
  <c r="AS202" i="34"/>
  <c r="AQ173" i="34"/>
  <c r="AP4" i="34"/>
  <c r="AP118" i="34"/>
  <c r="AS108" i="34"/>
  <c r="AX124" i="34"/>
  <c r="AR142" i="34"/>
  <c r="AQ209" i="34"/>
  <c r="AN139" i="34"/>
  <c r="AM233" i="34"/>
  <c r="AU163" i="34"/>
  <c r="AX85" i="34"/>
  <c r="AN30" i="34"/>
  <c r="AT255" i="34"/>
  <c r="AU126" i="34"/>
  <c r="AM281" i="34"/>
  <c r="AQ211" i="34"/>
  <c r="AR197" i="34"/>
  <c r="AO229" i="34"/>
  <c r="AM200" i="34"/>
  <c r="AV165" i="34"/>
  <c r="AU271" i="34"/>
  <c r="AQ165" i="34"/>
  <c r="AS29" i="34"/>
  <c r="AU96" i="34"/>
  <c r="AU85" i="34"/>
  <c r="AS201" i="34"/>
  <c r="AS219" i="34"/>
  <c r="AW23" i="34"/>
  <c r="AP17" i="34"/>
  <c r="AU219" i="34"/>
  <c r="AQ150" i="34"/>
  <c r="AT68" i="34"/>
  <c r="AN251" i="34"/>
  <c r="AS270" i="34"/>
  <c r="AP111" i="34"/>
  <c r="AM228" i="34"/>
  <c r="AU68" i="34"/>
  <c r="AX70" i="34"/>
  <c r="AQ217" i="34"/>
  <c r="AN185" i="34"/>
  <c r="AT226" i="34"/>
  <c r="AT173" i="34"/>
  <c r="AM232" i="34"/>
  <c r="AV153" i="34"/>
  <c r="AX273" i="34"/>
  <c r="AX195" i="34"/>
  <c r="AQ86" i="34"/>
  <c r="AR298" i="34"/>
  <c r="AW68" i="34"/>
  <c r="AQ146" i="34"/>
  <c r="AU199" i="34"/>
  <c r="AV193" i="34"/>
  <c r="AX87" i="34"/>
  <c r="AM204" i="34"/>
  <c r="AU227" i="34"/>
  <c r="AM120" i="34"/>
  <c r="AQ158" i="34"/>
  <c r="AM38" i="34"/>
  <c r="AX77" i="34"/>
  <c r="AU17" i="34"/>
  <c r="AR201" i="34"/>
  <c r="AM254" i="34"/>
  <c r="AV169" i="34"/>
  <c r="AM261" i="34"/>
  <c r="AR7" i="34"/>
  <c r="AU76" i="34"/>
  <c r="AM123" i="34"/>
  <c r="AU160" i="34"/>
  <c r="AX311" i="34"/>
  <c r="AT114" i="34"/>
  <c r="AP192" i="34"/>
  <c r="AU149" i="34"/>
  <c r="AN283" i="34"/>
  <c r="AP314" i="34"/>
  <c r="AT233" i="34"/>
  <c r="AT83" i="34"/>
  <c r="AN207" i="34"/>
  <c r="AN217" i="34"/>
  <c r="AQ192" i="34"/>
  <c r="AX184" i="34"/>
  <c r="AN311" i="34"/>
  <c r="AX226" i="34"/>
  <c r="AO308" i="34"/>
  <c r="AW124" i="34"/>
  <c r="AS207" i="34"/>
  <c r="AU224" i="34"/>
  <c r="AS284" i="34"/>
  <c r="AX258" i="34"/>
  <c r="AV77" i="34"/>
  <c r="AM191" i="34"/>
  <c r="AT75" i="34"/>
  <c r="AO30" i="34"/>
  <c r="AU38" i="34"/>
  <c r="AV92" i="34"/>
  <c r="AM251" i="34"/>
  <c r="AX16" i="34"/>
  <c r="AP149" i="34"/>
  <c r="AO169" i="34"/>
  <c r="AO261" i="34"/>
  <c r="AS32" i="34"/>
  <c r="AT262" i="34"/>
  <c r="AV154" i="34"/>
  <c r="AQ38" i="34"/>
  <c r="AW174" i="34"/>
  <c r="AU221" i="34"/>
  <c r="AQ4" i="34"/>
  <c r="AO283" i="34"/>
  <c r="AW157" i="34"/>
  <c r="AW142" i="34"/>
  <c r="AV298" i="34"/>
  <c r="AM101" i="34"/>
  <c r="AQ288" i="34"/>
  <c r="AT67" i="34"/>
  <c r="AR221" i="34"/>
  <c r="AO190" i="34"/>
  <c r="AT281" i="34"/>
  <c r="AS72" i="34"/>
  <c r="AT192" i="34"/>
  <c r="AU83" i="34"/>
  <c r="AV168" i="34"/>
  <c r="AM270" i="34"/>
  <c r="AU24" i="34"/>
  <c r="AO28" i="34"/>
  <c r="AX150" i="34"/>
  <c r="AP238" i="34"/>
  <c r="AS226" i="34"/>
  <c r="AM28" i="34"/>
  <c r="AU169" i="34"/>
  <c r="AS231" i="34"/>
  <c r="AQ5" i="34"/>
  <c r="AR297" i="34"/>
  <c r="AR312" i="34"/>
  <c r="AT235" i="34"/>
  <c r="AP203" i="34"/>
  <c r="AS203" i="34"/>
  <c r="AR57" i="34"/>
  <c r="AR120" i="34"/>
  <c r="AM94" i="34"/>
  <c r="AR224" i="34"/>
  <c r="AW316" i="34"/>
  <c r="AV142" i="34"/>
  <c r="AO185" i="34"/>
  <c r="AO148" i="34"/>
  <c r="AX149" i="34"/>
  <c r="AX228" i="34"/>
  <c r="AQ37" i="34"/>
  <c r="AS213" i="34"/>
  <c r="AU257" i="34"/>
  <c r="AO315" i="34"/>
  <c r="AT180" i="34"/>
  <c r="AS197" i="34"/>
  <c r="AW102" i="34"/>
  <c r="AT150" i="34"/>
  <c r="AX186" i="34"/>
  <c r="AN22" i="34"/>
  <c r="AT267" i="34"/>
  <c r="AN96" i="34"/>
  <c r="AX298" i="34"/>
  <c r="AX56" i="34"/>
  <c r="AQ235" i="34"/>
  <c r="AQ148" i="34"/>
  <c r="AP228" i="34"/>
  <c r="AM171" i="34"/>
  <c r="AX209" i="34"/>
  <c r="AW22" i="34"/>
  <c r="AW217" i="34"/>
  <c r="AW131" i="34"/>
  <c r="AP162" i="34"/>
  <c r="AN253" i="34"/>
  <c r="AX251" i="34"/>
  <c r="AQ311" i="34"/>
  <c r="AQ187" i="34"/>
  <c r="AV18" i="34"/>
  <c r="AX174" i="34"/>
  <c r="AV166" i="34"/>
  <c r="AM139" i="34"/>
  <c r="AW268" i="34"/>
  <c r="AR93" i="34"/>
  <c r="AM92" i="34"/>
  <c r="AP38" i="34"/>
  <c r="AW251" i="34"/>
  <c r="AM263" i="34"/>
  <c r="AS84" i="34"/>
  <c r="AP197" i="34"/>
  <c r="AN270" i="34"/>
  <c r="AO146" i="34"/>
  <c r="AN143" i="34"/>
  <c r="AM234" i="34"/>
  <c r="AT207" i="34"/>
  <c r="AM16" i="34"/>
  <c r="AT204" i="34"/>
  <c r="AN38" i="34"/>
  <c r="AN308" i="34"/>
  <c r="AU229" i="34"/>
  <c r="AR275" i="34"/>
  <c r="AW261" i="34"/>
  <c r="AS169" i="34"/>
  <c r="AX96" i="34"/>
  <c r="AX204" i="34"/>
  <c r="AT289" i="34"/>
  <c r="AS183" i="34"/>
  <c r="AN160" i="34"/>
  <c r="AQ259" i="34"/>
  <c r="AO94" i="34"/>
  <c r="AX257" i="34"/>
  <c r="AM279" i="34"/>
  <c r="AQ62" i="34"/>
  <c r="AN236" i="34"/>
  <c r="AW155" i="34"/>
  <c r="AR37" i="34"/>
  <c r="AT217" i="34"/>
  <c r="AV205" i="34"/>
  <c r="AW215" i="34"/>
  <c r="AX68" i="34"/>
  <c r="AP127" i="34"/>
  <c r="AP199" i="34"/>
  <c r="AU177" i="34"/>
  <c r="AP153" i="34"/>
  <c r="AR272" i="34"/>
  <c r="AQ204" i="34"/>
  <c r="AW70" i="34"/>
  <c r="AO285" i="34"/>
  <c r="AX197" i="34"/>
  <c r="AV171" i="34"/>
  <c r="AU156" i="34"/>
  <c r="AT234" i="34"/>
  <c r="AR163" i="34"/>
  <c r="AS106" i="34"/>
  <c r="AO183" i="34"/>
  <c r="AP174" i="34"/>
  <c r="AO268" i="34"/>
  <c r="AN71" i="34"/>
  <c r="AO184" i="34"/>
  <c r="AV283" i="34"/>
  <c r="AS87" i="34"/>
  <c r="AM60" i="34"/>
  <c r="AN316" i="34"/>
  <c r="AN297" i="34"/>
  <c r="AW163" i="34"/>
  <c r="AP233" i="34"/>
  <c r="AQ231" i="34"/>
  <c r="AT131" i="34"/>
  <c r="AN70" i="34"/>
  <c r="AO228" i="34"/>
  <c r="AQ171" i="34"/>
  <c r="AQ104" i="34"/>
  <c r="AX105" i="34"/>
  <c r="AT188" i="34"/>
  <c r="AN85" i="34"/>
  <c r="AT161" i="34"/>
  <c r="AX100" i="34"/>
  <c r="AO239" i="34"/>
  <c r="AO39" i="34"/>
  <c r="AN233" i="34"/>
  <c r="AS235" i="34"/>
  <c r="AW211" i="34"/>
  <c r="AW284" i="34"/>
  <c r="AM258" i="34"/>
  <c r="AS224" i="34"/>
  <c r="AS280" i="34"/>
  <c r="AS236" i="34"/>
  <c r="AM82" i="34"/>
  <c r="AW192" i="34"/>
  <c r="AV233" i="34"/>
  <c r="AT90" i="34"/>
  <c r="AR231" i="34"/>
  <c r="AW259" i="34"/>
  <c r="AN184" i="34"/>
  <c r="AX295" i="34"/>
  <c r="AP257" i="34"/>
  <c r="AT51" i="34"/>
  <c r="AS111" i="34"/>
  <c r="AT236" i="34"/>
  <c r="AR219" i="34"/>
  <c r="AR239" i="34"/>
  <c r="AV136" i="34"/>
  <c r="AW182" i="34"/>
  <c r="AM227" i="34"/>
  <c r="AO74" i="34"/>
  <c r="AN101" i="34"/>
  <c r="AR61" i="34"/>
  <c r="AP273" i="34"/>
  <c r="AX72" i="34"/>
  <c r="AX163" i="34"/>
  <c r="AT221" i="34"/>
  <c r="AR124" i="34"/>
  <c r="AU136" i="34"/>
  <c r="AX272" i="34"/>
  <c r="AW292" i="34"/>
  <c r="AS251" i="34"/>
  <c r="AO85" i="34"/>
  <c r="AV57" i="34"/>
  <c r="AS140" i="34"/>
  <c r="AT6" i="34"/>
  <c r="AX138" i="34"/>
  <c r="AT232" i="34"/>
  <c r="AN7" i="34"/>
  <c r="AP146" i="34"/>
  <c r="AS237" i="34"/>
  <c r="AS23" i="34"/>
  <c r="AO192" i="34"/>
  <c r="AU313" i="34"/>
  <c r="AS59" i="34"/>
  <c r="AX261" i="34"/>
  <c r="AQ57" i="34"/>
  <c r="AM190" i="34"/>
  <c r="AN165" i="34"/>
  <c r="AU213" i="34"/>
  <c r="AQ196" i="34"/>
  <c r="AS233" i="34"/>
  <c r="AP277" i="34"/>
  <c r="AX285" i="34"/>
  <c r="AO118" i="34"/>
  <c r="AO222" i="34"/>
  <c r="AQ155" i="34"/>
  <c r="AN231" i="34"/>
  <c r="AU59" i="34"/>
  <c r="AR158" i="34"/>
  <c r="AW103" i="34"/>
  <c r="AS180" i="34"/>
  <c r="AX39" i="34"/>
  <c r="AT171" i="34"/>
  <c r="AS67" i="34"/>
  <c r="AX281" i="34"/>
  <c r="AM84" i="34"/>
  <c r="AR113" i="34"/>
  <c r="AT123" i="34"/>
  <c r="AR88" i="34"/>
  <c r="AS110" i="34"/>
  <c r="AO292" i="34"/>
  <c r="AT160" i="34"/>
  <c r="AU208" i="34"/>
  <c r="AP137" i="34"/>
  <c r="AW312" i="34"/>
  <c r="AO191" i="34"/>
  <c r="AM50" i="34"/>
  <c r="AW159" i="34"/>
  <c r="AX153" i="34"/>
  <c r="AX71" i="34"/>
  <c r="AT209" i="34"/>
  <c r="AW72" i="34"/>
  <c r="AV275" i="34"/>
  <c r="AP30" i="34"/>
  <c r="AN56" i="34"/>
  <c r="AR141" i="34"/>
  <c r="AT310" i="34"/>
  <c r="AW153" i="34"/>
  <c r="AM32" i="34"/>
  <c r="AS281" i="34"/>
  <c r="AW233" i="34"/>
  <c r="AS60" i="34"/>
  <c r="AS300" i="34"/>
  <c r="AM110" i="34"/>
  <c r="AU61" i="34"/>
  <c r="AO111" i="34"/>
  <c r="AO273" i="34"/>
  <c r="AS96" i="34"/>
  <c r="AP211" i="34"/>
  <c r="AR299" i="34"/>
  <c r="AV219" i="34"/>
  <c r="AV310" i="34"/>
  <c r="AS86" i="34"/>
  <c r="AQ140" i="34"/>
  <c r="AS90" i="34"/>
  <c r="AW275" i="34"/>
  <c r="AP187" i="34"/>
  <c r="AV163" i="34"/>
  <c r="AU152" i="34"/>
  <c r="AN312" i="34"/>
  <c r="AX223" i="34"/>
  <c r="AO294" i="34"/>
  <c r="AN146" i="34"/>
  <c r="AQ93" i="34"/>
  <c r="AW169" i="34"/>
  <c r="AP37" i="34"/>
  <c r="AP166" i="34"/>
  <c r="AN261" i="34"/>
  <c r="AV58" i="34"/>
  <c r="AP74" i="34"/>
  <c r="AN87" i="34"/>
  <c r="AW236" i="34"/>
  <c r="AO259" i="34"/>
  <c r="AX215" i="34"/>
  <c r="AW168" i="34"/>
  <c r="AP196" i="34"/>
  <c r="AW265" i="34"/>
  <c r="AT156" i="34"/>
  <c r="AU124" i="34"/>
  <c r="AR83" i="34"/>
  <c r="AU50" i="34"/>
  <c r="AW137" i="34"/>
  <c r="AT297" i="34"/>
  <c r="AP136" i="34"/>
  <c r="AW230" i="34"/>
  <c r="AT143" i="34"/>
  <c r="AV235" i="34"/>
  <c r="AR16" i="34"/>
  <c r="AQ156" i="34"/>
  <c r="AR138" i="34"/>
  <c r="AU201" i="34"/>
  <c r="AT313" i="34"/>
  <c r="AT224" i="34"/>
  <c r="AR311" i="34"/>
  <c r="AU168" i="34"/>
  <c r="AN299" i="34"/>
  <c r="AT266" i="34"/>
  <c r="AQ23" i="34"/>
  <c r="AR192" i="34"/>
  <c r="AT280" i="34"/>
  <c r="AU293" i="34"/>
  <c r="AO23" i="34"/>
  <c r="AR202" i="34"/>
  <c r="AW308" i="34"/>
  <c r="AW297" i="34"/>
  <c r="AW99" i="34"/>
  <c r="AT155" i="34"/>
  <c r="AN39" i="34"/>
  <c r="AO155" i="34"/>
  <c r="AO189" i="34"/>
  <c r="AV68" i="34"/>
  <c r="AT109" i="34"/>
  <c r="AR25" i="34"/>
  <c r="AN166" i="34"/>
  <c r="AU282" i="34"/>
  <c r="AO104" i="34"/>
  <c r="AN105" i="34"/>
  <c r="AM229" i="34"/>
  <c r="AV39" i="34"/>
  <c r="AM23" i="34"/>
  <c r="AO251" i="34"/>
  <c r="AQ255" i="34"/>
  <c r="AT194" i="34"/>
  <c r="AP114" i="34"/>
  <c r="AV162" i="34"/>
  <c r="AU255" i="34"/>
  <c r="AV28" i="34"/>
  <c r="AP82" i="34"/>
  <c r="AM146" i="34"/>
  <c r="AX279" i="34"/>
  <c r="AW267" i="34"/>
  <c r="AQ103" i="34"/>
  <c r="AR170" i="34"/>
  <c r="AO215" i="34"/>
  <c r="AX83" i="34"/>
  <c r="AN238" i="34"/>
  <c r="AS272" i="34"/>
  <c r="AV237" i="34"/>
  <c r="AN32" i="34"/>
  <c r="AR4" i="34"/>
  <c r="AT216" i="34"/>
  <c r="AW283" i="34"/>
  <c r="AP125" i="34"/>
  <c r="AO291" i="34"/>
  <c r="AT184" i="34"/>
  <c r="AW226" i="34"/>
  <c r="AN125" i="34"/>
  <c r="AQ233" i="34"/>
  <c r="AM197" i="34"/>
  <c r="AS77" i="34"/>
  <c r="AU101" i="34"/>
  <c r="AT77" i="34"/>
  <c r="AP178" i="34"/>
  <c r="AU5" i="34"/>
  <c r="AW25" i="34"/>
  <c r="AQ261" i="34"/>
  <c r="AQ28" i="34"/>
  <c r="AR315" i="34"/>
  <c r="AX156" i="34"/>
  <c r="AP230" i="34"/>
  <c r="AU268" i="34"/>
  <c r="AO226" i="34"/>
  <c r="AN199" i="34"/>
  <c r="AM72" i="34"/>
  <c r="AX237" i="34"/>
  <c r="AX315" i="34"/>
  <c r="AO32" i="34"/>
  <c r="AT193" i="34"/>
  <c r="AW56" i="34"/>
  <c r="AR101" i="34"/>
  <c r="AT277" i="34"/>
  <c r="AT315" i="34"/>
  <c r="AR152" i="34"/>
  <c r="AX168" i="34"/>
  <c r="AO59" i="34"/>
  <c r="AN174" i="34"/>
  <c r="AQ289" i="34"/>
  <c r="AU166" i="34"/>
  <c r="AQ234" i="34"/>
  <c r="AM165" i="34"/>
  <c r="AP87" i="34"/>
  <c r="AU33" i="34"/>
  <c r="AX305" i="34"/>
  <c r="AN295" i="34"/>
  <c r="AN59" i="34"/>
  <c r="AQ286" i="34"/>
  <c r="AM59" i="34"/>
  <c r="AM194" i="34"/>
  <c r="AN305" i="34"/>
  <c r="AU184" i="34"/>
  <c r="AP109" i="34"/>
  <c r="AX59" i="34"/>
  <c r="AT205" i="34"/>
  <c r="AW104" i="34"/>
  <c r="AQ197" i="34"/>
  <c r="AR160" i="34"/>
  <c r="AT145" i="34"/>
  <c r="AO284" i="34"/>
  <c r="AR84" i="34"/>
  <c r="AO99" i="34"/>
  <c r="AV131" i="34"/>
  <c r="AQ59" i="34"/>
  <c r="AQ100" i="34"/>
  <c r="AV110" i="34"/>
  <c r="AM238" i="34"/>
  <c r="AW227" i="34"/>
  <c r="AN273" i="34"/>
  <c r="AM99" i="34"/>
  <c r="AQ177" i="34"/>
  <c r="AU311" i="34"/>
  <c r="AU207" i="34"/>
  <c r="AS93" i="34"/>
  <c r="AU139" i="34"/>
  <c r="AR173" i="34"/>
  <c r="AT56" i="34"/>
  <c r="AT89" i="34"/>
  <c r="AX201" i="34"/>
  <c r="AU171" i="34"/>
  <c r="AP23" i="34"/>
  <c r="AN76" i="34"/>
  <c r="AO113" i="34"/>
  <c r="AT158" i="34"/>
  <c r="AN57" i="34"/>
  <c r="AR211" i="34"/>
  <c r="AP108" i="34"/>
  <c r="AU7" i="34"/>
  <c r="AQ297" i="34"/>
  <c r="AU174" i="34"/>
  <c r="AQ141" i="34"/>
  <c r="AR118" i="34"/>
  <c r="AN61" i="34"/>
  <c r="AX93" i="34"/>
  <c r="AX6" i="34"/>
  <c r="AP126" i="34"/>
  <c r="AX220" i="34"/>
  <c r="AU186" i="34"/>
  <c r="AQ75" i="34"/>
  <c r="AQ139" i="34"/>
  <c r="AV67" i="34"/>
  <c r="AO236" i="34"/>
  <c r="AV180" i="34"/>
  <c r="AQ166" i="34"/>
  <c r="AR98" i="34"/>
  <c r="AR87" i="34"/>
  <c r="AW206" i="34"/>
  <c r="AV251" i="34"/>
  <c r="AT50" i="34"/>
  <c r="AV262" i="34"/>
  <c r="AN281" i="34"/>
  <c r="AW136" i="34"/>
  <c r="AT293" i="34"/>
  <c r="AU84" i="34"/>
  <c r="AS24" i="34"/>
  <c r="AP29" i="34"/>
  <c r="AR17" i="34"/>
  <c r="AR123" i="34"/>
  <c r="AU190" i="34"/>
  <c r="AM103" i="34"/>
  <c r="AM221" i="34"/>
  <c r="AO223" i="34"/>
  <c r="AS99" i="34"/>
  <c r="AS187" i="34"/>
  <c r="AT272" i="34"/>
  <c r="AQ316" i="34"/>
  <c r="AU16" i="34"/>
  <c r="AW213" i="34"/>
  <c r="AP158" i="34"/>
  <c r="AP239" i="34"/>
  <c r="AO120" i="34"/>
  <c r="AM201" i="34"/>
  <c r="AR86" i="34"/>
  <c r="AP84" i="34"/>
  <c r="AX206" i="34"/>
  <c r="AQ18" i="34"/>
  <c r="AM27" i="34"/>
  <c r="AT227" i="34"/>
  <c r="AQ285" i="34"/>
  <c r="AQ149" i="34"/>
  <c r="AS58" i="34"/>
  <c r="AX283" i="34"/>
  <c r="AX137" i="34"/>
  <c r="AN102" i="34"/>
  <c r="AV213" i="34"/>
  <c r="AW305" i="34"/>
  <c r="AP104" i="34"/>
  <c r="AM215" i="34"/>
  <c r="AP281" i="34"/>
  <c r="AU90" i="34"/>
  <c r="AS63" i="34"/>
  <c r="AU88" i="34"/>
  <c r="AO314" i="34"/>
  <c r="AT250" i="34"/>
  <c r="AT185" i="34"/>
  <c r="AP267" i="34"/>
  <c r="AT270" i="34"/>
  <c r="AS71" i="34"/>
  <c r="AQ195" i="34"/>
  <c r="AT169" i="34"/>
  <c r="AR161" i="34"/>
  <c r="AP265" i="34"/>
  <c r="AW253" i="34"/>
  <c r="AP208" i="34"/>
  <c r="AT63" i="34"/>
  <c r="AX193" i="34"/>
  <c r="AU173" i="34"/>
  <c r="AT142" i="34"/>
  <c r="AN218" i="34"/>
  <c r="AP299" i="34"/>
  <c r="AW108" i="34"/>
  <c r="AW189" i="34"/>
  <c r="AV120" i="34"/>
  <c r="AU216" i="34"/>
  <c r="AR213" i="34"/>
  <c r="AW315" i="34"/>
  <c r="AU161" i="34"/>
  <c r="AT39" i="34"/>
  <c r="AS262" i="34"/>
  <c r="AV157" i="34"/>
  <c r="AT99" i="34"/>
  <c r="AP253" i="34"/>
  <c r="AM211" i="34"/>
  <c r="AS208" i="34"/>
  <c r="AN8" i="34"/>
  <c r="AO145" i="34"/>
  <c r="AN234" i="34"/>
  <c r="AP315" i="34"/>
  <c r="AO138" i="34"/>
  <c r="AW228" i="34"/>
  <c r="AV138" i="34"/>
  <c r="AM230" i="34"/>
  <c r="AO171" i="34"/>
  <c r="AT168" i="34"/>
  <c r="AO87" i="34"/>
  <c r="AV229" i="34"/>
  <c r="AN237" i="34"/>
  <c r="AM182" i="34"/>
  <c r="AS267" i="34"/>
  <c r="AX120" i="34"/>
  <c r="AV139" i="34"/>
  <c r="AM111" i="34"/>
  <c r="AS239" i="34"/>
  <c r="AP190" i="34"/>
  <c r="AV195" i="34"/>
  <c r="AP193" i="34"/>
  <c r="AX152" i="34"/>
  <c r="AM25" i="34"/>
  <c r="AX141" i="34"/>
  <c r="AW109" i="34"/>
  <c r="AN265" i="34"/>
  <c r="AU285" i="34"/>
  <c r="AQ88" i="34"/>
  <c r="AV90" i="34"/>
  <c r="AQ120" i="34"/>
  <c r="AM291" i="34"/>
  <c r="AM143" i="34"/>
  <c r="AR203" i="34"/>
  <c r="AR110" i="34"/>
  <c r="AW273" i="34"/>
  <c r="AT253" i="34"/>
  <c r="AU70" i="34"/>
  <c r="AM187" i="34"/>
  <c r="AT71" i="34"/>
  <c r="AN244" i="34"/>
  <c r="AW8" i="34"/>
  <c r="AR24" i="34"/>
  <c r="AM83" i="34"/>
  <c r="AX103" i="34"/>
  <c r="AQ244" i="34"/>
  <c r="AX236" i="34"/>
  <c r="AT138" i="34"/>
  <c r="AS166" i="34"/>
  <c r="AR259" i="34"/>
  <c r="AW89" i="34"/>
  <c r="AV277" i="34"/>
  <c r="AS293" i="34"/>
  <c r="AN37" i="34"/>
  <c r="AX188" i="34"/>
  <c r="AN156" i="34"/>
  <c r="AP62" i="34"/>
  <c r="AM24" i="34"/>
  <c r="AW101" i="34"/>
  <c r="AX213" i="34"/>
  <c r="AX173" i="34"/>
  <c r="AN182" i="34"/>
  <c r="AQ283" i="34"/>
  <c r="AN235" i="34"/>
  <c r="AN195" i="34"/>
  <c r="AM62" i="34"/>
  <c r="AN203" i="34"/>
  <c r="AN230" i="34"/>
  <c r="AW148" i="34"/>
  <c r="AV88" i="34"/>
  <c r="AQ101" i="34"/>
  <c r="AM283" i="34"/>
  <c r="AW285" i="34"/>
  <c r="AU23" i="34"/>
  <c r="AU137" i="34"/>
  <c r="AO177" i="34"/>
  <c r="AW199" i="34"/>
  <c r="AN285" i="34"/>
  <c r="AV85" i="34"/>
  <c r="AP139" i="34"/>
  <c r="AV108" i="34"/>
  <c r="AU204" i="34"/>
  <c r="AT259" i="34"/>
  <c r="AR235" i="34"/>
  <c r="AX60" i="34"/>
  <c r="AX275" i="34"/>
  <c r="AN250" i="34"/>
  <c r="AO108" i="34"/>
  <c r="AO186" i="34"/>
  <c r="AV150" i="34"/>
  <c r="AX136" i="34"/>
  <c r="AU205" i="34"/>
  <c r="AS195" i="34"/>
  <c r="AP232" i="34"/>
  <c r="AX203" i="34"/>
  <c r="AV127" i="34"/>
  <c r="AX299" i="34"/>
  <c r="AX286" i="34"/>
  <c r="AS145" i="34"/>
  <c r="AM207" i="34"/>
  <c r="AP94" i="34"/>
  <c r="AX268" i="34"/>
  <c r="AM271" i="34"/>
  <c r="AS277" i="34"/>
  <c r="AX190" i="34"/>
  <c r="AU6" i="34"/>
  <c r="AP270" i="34"/>
  <c r="AM61" i="34"/>
  <c r="AQ200" i="34"/>
  <c r="AS223" i="34"/>
  <c r="AS250" i="34"/>
  <c r="AV63" i="34"/>
  <c r="AW300" i="34"/>
  <c r="AR236" i="34"/>
  <c r="AT206" i="34"/>
  <c r="AT238" i="34"/>
  <c r="AP305" i="34"/>
  <c r="AN198" i="34"/>
  <c r="AT7" i="34"/>
  <c r="AR104" i="34"/>
  <c r="AO255" i="34"/>
  <c r="AT124" i="34"/>
  <c r="AU120" i="34"/>
  <c r="AQ72" i="34"/>
  <c r="AO127" i="34"/>
  <c r="AP288" i="34"/>
  <c r="AP120" i="34"/>
  <c r="AV223" i="34"/>
  <c r="AN314" i="34"/>
  <c r="AR230" i="34"/>
  <c r="AS314" i="34"/>
  <c r="AU185" i="34"/>
  <c r="AU237" i="34"/>
  <c r="AO6" i="34"/>
  <c r="AV231" i="34"/>
  <c r="AO18" i="34"/>
  <c r="AW295" i="34"/>
  <c r="AU125" i="34"/>
  <c r="AS215" i="34"/>
  <c r="AP221" i="34"/>
  <c r="AR232" i="34"/>
  <c r="AV288" i="34"/>
  <c r="AO61" i="34"/>
  <c r="AS4" i="34"/>
  <c r="AX289" i="34"/>
  <c r="AU233" i="34"/>
  <c r="AW229" i="34"/>
  <c r="AT106" i="34"/>
  <c r="AO161" i="34"/>
  <c r="AM267" i="34"/>
  <c r="AW218" i="34"/>
  <c r="AV105" i="34"/>
  <c r="AN63" i="34"/>
  <c r="AV263" i="34"/>
  <c r="AW60" i="34"/>
  <c r="AQ191" i="34"/>
  <c r="AS291" i="34"/>
  <c r="AV198" i="34"/>
  <c r="AW143" i="34"/>
  <c r="AR85" i="34"/>
  <c r="AT62" i="34"/>
  <c r="AX198" i="34"/>
  <c r="AW294" i="34"/>
  <c r="AS131" i="34"/>
  <c r="AO209" i="34"/>
  <c r="AT308" i="34"/>
  <c r="AO136" i="34"/>
  <c r="AP156" i="34"/>
  <c r="AW221" i="34"/>
  <c r="AS191" i="34"/>
  <c r="AV289" i="34"/>
  <c r="AX110" i="34"/>
  <c r="AT191" i="34"/>
  <c r="AM286" i="34"/>
  <c r="AN271" i="34"/>
  <c r="AQ224" i="34"/>
  <c r="AS313" i="34"/>
  <c r="AU228" i="34"/>
  <c r="AQ228" i="34"/>
  <c r="AS299" i="34"/>
  <c r="AW234" i="34"/>
  <c r="AQ136" i="34"/>
  <c r="AN268" i="34"/>
  <c r="AW231" i="34"/>
  <c r="AV123" i="34"/>
  <c r="AV84" i="34"/>
  <c r="AT299" i="34"/>
  <c r="AP183" i="34"/>
  <c r="AX182" i="34"/>
  <c r="AR289" i="34"/>
  <c r="AP159" i="34"/>
  <c r="AT113" i="34"/>
  <c r="AV197" i="34"/>
  <c r="AQ291" i="34"/>
  <c r="AW277" i="34"/>
  <c r="AR205" i="34"/>
  <c r="AS312" i="34"/>
  <c r="AT275" i="34"/>
  <c r="AO96" i="34"/>
  <c r="AP312" i="34"/>
  <c r="AV4" i="34"/>
  <c r="AX254" i="34"/>
  <c r="AV70" i="34"/>
  <c r="AN197" i="34"/>
  <c r="AN282" i="34"/>
  <c r="AS88" i="34"/>
  <c r="AO200" i="34"/>
  <c r="AP218" i="34"/>
  <c r="AO92" i="34"/>
  <c r="AW7" i="34"/>
  <c r="AX262" i="34"/>
  <c r="AO170" i="34"/>
  <c r="AR156" i="34"/>
  <c r="AT284" i="34"/>
  <c r="AS136" i="34"/>
  <c r="AN6" i="34"/>
  <c r="AT215" i="34"/>
  <c r="AN67" i="34"/>
  <c r="AQ25" i="34"/>
  <c r="AT166" i="34"/>
  <c r="AS28" i="34"/>
  <c r="AN103" i="34"/>
  <c r="AP295" i="34"/>
  <c r="AM77" i="34"/>
  <c r="AQ127" i="34"/>
  <c r="AX113" i="34"/>
  <c r="AP316" i="34"/>
  <c r="AS70" i="34"/>
  <c r="AW32" i="34"/>
  <c r="AS124" i="34"/>
  <c r="AS286" i="34"/>
  <c r="AX221" i="34"/>
  <c r="AW311" i="34"/>
  <c r="AT228" i="34"/>
  <c r="AP308" i="34"/>
  <c r="AR90" i="34"/>
  <c r="AQ232" i="34"/>
  <c r="AU105" i="34"/>
  <c r="AN294" i="34"/>
  <c r="AN205" i="34"/>
  <c r="AM158" i="34"/>
  <c r="AS271" i="34"/>
  <c r="AO238" i="34"/>
  <c r="AN88" i="34"/>
  <c r="AR308" i="34"/>
  <c r="AN169" i="34"/>
  <c r="AO109" i="34"/>
  <c r="AP185" i="34"/>
  <c r="AV271" i="34"/>
  <c r="AO131" i="34"/>
  <c r="AS152" i="34"/>
  <c r="AX271" i="34"/>
  <c r="AX28" i="34"/>
  <c r="AM142" i="34"/>
  <c r="AV265" i="34"/>
  <c r="AX23" i="34"/>
  <c r="AP160" i="34"/>
  <c r="AQ94" i="34"/>
  <c r="AR217" i="34"/>
  <c r="AX111" i="34"/>
  <c r="AR273" i="34"/>
  <c r="AX232" i="34"/>
  <c r="AN191" i="34"/>
  <c r="AO230" i="34"/>
  <c r="AP89" i="34"/>
  <c r="AT229" i="34"/>
  <c r="AW29" i="34"/>
  <c r="AN258" i="34"/>
  <c r="AS104" i="34"/>
  <c r="AS76" i="34"/>
  <c r="AO275" i="34"/>
  <c r="AR187" i="34"/>
  <c r="AN275" i="34"/>
  <c r="AX316" i="34"/>
  <c r="AM89" i="34"/>
  <c r="AO311" i="34"/>
  <c r="AM67" i="34"/>
  <c r="AV25" i="34"/>
  <c r="AS282" i="34"/>
  <c r="AT103" i="34"/>
  <c r="AR222" i="34"/>
  <c r="AN108" i="34"/>
  <c r="AX312" i="34"/>
  <c r="AX224" i="34"/>
  <c r="AU232" i="34"/>
  <c r="AV218" i="34"/>
  <c r="AP85" i="34"/>
  <c r="AW239" i="34"/>
  <c r="AN188" i="34"/>
  <c r="AV270" i="34"/>
  <c r="AW201" i="34"/>
  <c r="AX308" i="34"/>
  <c r="AN272" i="34"/>
  <c r="AR94" i="34"/>
  <c r="AN310" i="34"/>
  <c r="AT102" i="34"/>
  <c r="AO253" i="34"/>
  <c r="AO67" i="34"/>
  <c r="AP195" i="34"/>
  <c r="AW279" i="34"/>
  <c r="AM85" i="34"/>
  <c r="AR198" i="34"/>
  <c r="AV194" i="34"/>
  <c r="AP313" i="34"/>
  <c r="AT91" i="34"/>
  <c r="AW197" i="34"/>
  <c r="AV228" i="34"/>
  <c r="AS127" i="34"/>
  <c r="AR131" i="34"/>
  <c r="AM138" i="34"/>
  <c r="AN280" i="34"/>
  <c r="AX177" i="34"/>
  <c r="AO298" i="34"/>
  <c r="AM87" i="34"/>
  <c r="AQ61" i="34"/>
  <c r="AO143" i="34"/>
  <c r="AX7" i="34"/>
  <c r="AT141" i="34"/>
  <c r="AR234" i="34"/>
  <c r="AW289" i="34"/>
  <c r="AO196" i="34"/>
  <c r="AP286" i="34"/>
  <c r="AO17" i="34"/>
  <c r="AW287" i="34"/>
  <c r="AP98" i="34"/>
  <c r="AO154" i="34"/>
  <c r="AO206" i="34"/>
  <c r="AN79" i="34"/>
  <c r="AR250" i="34"/>
  <c r="AS294" i="34"/>
  <c r="AT136" i="34"/>
  <c r="AS279" i="34"/>
  <c r="AO103" i="34"/>
  <c r="AQ29" i="34"/>
  <c r="AR218" i="34"/>
  <c r="AS253" i="34"/>
  <c r="AR137" i="34"/>
  <c r="AU238" i="34"/>
  <c r="AV29" i="34"/>
  <c r="AQ202" i="34"/>
  <c r="AO88" i="34"/>
  <c r="AN138" i="34"/>
  <c r="AT85" i="34"/>
  <c r="AM287" i="34"/>
  <c r="AP106" i="34"/>
  <c r="AW51" i="34"/>
  <c r="AX222" i="34"/>
  <c r="AQ293" i="34"/>
  <c r="AU154" i="34"/>
  <c r="AR67" i="34"/>
  <c r="AV132" i="34"/>
  <c r="AX139" i="34"/>
  <c r="AT257" i="34"/>
  <c r="AR109" i="34"/>
  <c r="AR204" i="34"/>
  <c r="AT265" i="34"/>
  <c r="AT199" i="34"/>
  <c r="AS222" i="34"/>
  <c r="AM29" i="34"/>
  <c r="AR277" i="34"/>
  <c r="AU308" i="34"/>
  <c r="AR293" i="34"/>
  <c r="AQ24" i="34"/>
  <c r="AW160" i="34"/>
  <c r="AS234" i="34"/>
  <c r="AO277" i="34"/>
  <c r="AQ267" i="34"/>
  <c r="AV250" i="34"/>
  <c r="AP93" i="34"/>
  <c r="AR263" i="34"/>
  <c r="AS141" i="34"/>
  <c r="AQ205" i="34"/>
  <c r="AV170" i="34"/>
  <c r="AM277" i="34"/>
  <c r="AM169" i="34"/>
  <c r="AU103" i="34"/>
  <c r="AN50" i="34"/>
  <c r="AR91" i="34"/>
  <c r="AR181" i="34"/>
  <c r="AV100" i="34"/>
  <c r="AM96" i="34"/>
  <c r="AO58" i="34"/>
  <c r="AM157" i="34"/>
  <c r="AP290" i="34"/>
  <c r="AU157" i="34"/>
  <c r="AW17" i="34"/>
  <c r="AR283" i="34"/>
  <c r="AS148" i="34"/>
  <c r="AR28" i="34"/>
  <c r="AW238" i="34"/>
  <c r="AW280" i="34"/>
  <c r="AS289" i="34"/>
  <c r="AN189" i="34"/>
  <c r="AS227" i="34"/>
  <c r="AW96" i="34"/>
  <c r="AW262" i="34"/>
  <c r="AO280" i="34"/>
  <c r="AV143" i="34"/>
  <c r="AQ257" i="34"/>
  <c r="AM313" i="34"/>
  <c r="AW98" i="34"/>
  <c r="AM141" i="34"/>
  <c r="AN180" i="34"/>
  <c r="AX57" i="34"/>
  <c r="AX90" i="34"/>
  <c r="AS266" i="34"/>
  <c r="AM178" i="34"/>
  <c r="AW210" i="34"/>
  <c r="AU310" i="34"/>
  <c r="AP7" i="34"/>
  <c r="AR195" i="34"/>
  <c r="AN92" i="34"/>
  <c r="AN183" i="34"/>
  <c r="AU294" i="34"/>
  <c r="AU170" i="34"/>
  <c r="AN209" i="34"/>
  <c r="AN226" i="34"/>
  <c r="AR77" i="34"/>
  <c r="AN4" i="34"/>
  <c r="AU239" i="34"/>
  <c r="AT92" i="34"/>
  <c r="AO52" i="34"/>
  <c r="AR229" i="34"/>
  <c r="AX253" i="34"/>
  <c r="AW162" i="34"/>
  <c r="AQ182" i="34"/>
  <c r="AO56" i="34"/>
  <c r="AM113" i="34"/>
  <c r="AR71" i="34"/>
  <c r="AT24" i="34"/>
  <c r="AP60" i="34"/>
  <c r="AT304" i="34"/>
  <c r="AV178" i="34"/>
  <c r="AV79" i="34"/>
  <c r="AP27" i="34"/>
  <c r="AN262" i="34"/>
  <c r="AM196" i="34"/>
  <c r="AX58" i="34"/>
  <c r="AN136" i="34"/>
  <c r="AX293" i="34"/>
  <c r="AR316" i="34"/>
  <c r="AS162" i="34"/>
  <c r="AN154" i="34"/>
  <c r="AM268" i="34"/>
  <c r="AR72" i="34"/>
  <c r="AQ218" i="34"/>
  <c r="AM108" i="34"/>
  <c r="AM149" i="34"/>
  <c r="AM22" i="34"/>
  <c r="AP67" i="34"/>
  <c r="AX98" i="34"/>
  <c r="AS290" i="34"/>
  <c r="AS230" i="34"/>
  <c r="AT283" i="34"/>
  <c r="AO173" i="34"/>
  <c r="AT111" i="34"/>
  <c r="AU298" i="34"/>
  <c r="AN111" i="34"/>
  <c r="AQ109" i="34"/>
  <c r="AV23" i="34"/>
  <c r="AP100" i="34"/>
  <c r="AM305" i="34"/>
  <c r="AP200" i="34"/>
  <c r="AN223" i="34"/>
  <c r="AO82" i="34"/>
  <c r="AS205" i="34"/>
  <c r="AN86" i="34"/>
  <c r="AO26" i="34"/>
  <c r="AX82" i="34"/>
  <c r="AS100" i="34"/>
  <c r="AM93" i="34"/>
  <c r="AP223" i="34"/>
  <c r="AM312" i="34"/>
  <c r="AW100" i="34"/>
  <c r="AU299" i="34"/>
  <c r="AU195" i="34"/>
  <c r="AS153" i="34"/>
  <c r="AV22" i="34"/>
  <c r="AN152" i="34"/>
  <c r="AM217" i="34"/>
  <c r="AP63" i="34"/>
  <c r="AX27" i="34"/>
  <c r="AW74" i="34"/>
  <c r="AV207" i="34"/>
  <c r="AW138" i="34"/>
  <c r="AU286" i="34"/>
  <c r="AU22" i="34"/>
  <c r="AQ282" i="34"/>
  <c r="AM173" i="34"/>
  <c r="AV60" i="34"/>
  <c r="AT8" i="34"/>
  <c r="AX50" i="34"/>
  <c r="AR180" i="34"/>
  <c r="AP24" i="34"/>
  <c r="AT208" i="34"/>
  <c r="AX255" i="34"/>
  <c r="AW111" i="34"/>
  <c r="AS273" i="34"/>
  <c r="AS285" i="34"/>
  <c r="AR145" i="34"/>
  <c r="AU258" i="34"/>
  <c r="AN51" i="34"/>
  <c r="AQ314" i="34"/>
  <c r="AU211" i="34"/>
  <c r="AQ142" i="34"/>
  <c r="AO4" i="34"/>
  <c r="AP59" i="34"/>
  <c r="AP92" i="34"/>
  <c r="AM186" i="34"/>
  <c r="AN206" i="34"/>
  <c r="AP52" i="34"/>
  <c r="AN216" i="34"/>
  <c r="AO125" i="34"/>
  <c r="AW77" i="34"/>
  <c r="AM280" i="34"/>
  <c r="AU315" i="34"/>
  <c r="AR102" i="34"/>
  <c r="AM6" i="34"/>
  <c r="AT93" i="34"/>
  <c r="AM256" i="34"/>
  <c r="AM181" i="34"/>
  <c r="AU28" i="34"/>
  <c r="AU236" i="34"/>
  <c r="AR227" i="34"/>
  <c r="AX67" i="34"/>
  <c r="AU198" i="34"/>
  <c r="AO24" i="34"/>
  <c r="AO159" i="34"/>
  <c r="AX148" i="34"/>
  <c r="AR157" i="34"/>
  <c r="AU218" i="34"/>
  <c r="AN145" i="34"/>
  <c r="AQ238" i="34"/>
  <c r="AU138" i="34"/>
  <c r="AR103" i="34"/>
  <c r="AS57" i="34"/>
  <c r="AP91" i="34"/>
  <c r="AT178" i="34"/>
  <c r="AU316" i="34"/>
  <c r="AM164" i="34"/>
  <c r="AW223" i="34"/>
  <c r="AQ310" i="34"/>
  <c r="AR159" i="34"/>
  <c r="AS160" i="34"/>
  <c r="AM282" i="34"/>
  <c r="AS268" i="34"/>
  <c r="AP101" i="34"/>
  <c r="AV272" i="34"/>
  <c r="AO152" i="34"/>
  <c r="AN94" i="34"/>
  <c r="AU206" i="34"/>
  <c r="AN172" i="34"/>
  <c r="AU279" i="34"/>
  <c r="AQ170" i="34"/>
  <c r="AM105" i="34"/>
  <c r="AO57" i="34"/>
  <c r="AT4" i="34"/>
  <c r="AO244" i="34"/>
  <c r="AV106" i="34"/>
  <c r="AN170" i="34"/>
  <c r="AP145" i="34"/>
  <c r="AU94" i="34"/>
  <c r="AU182" i="34"/>
  <c r="AM237" i="34"/>
  <c r="AQ96" i="34"/>
  <c r="AX89" i="34"/>
  <c r="AX288" i="34"/>
  <c r="AR26" i="34"/>
  <c r="AP99" i="34"/>
  <c r="AO100" i="34"/>
  <c r="AO282" i="34"/>
  <c r="AM177" i="34"/>
  <c r="AR38" i="34"/>
  <c r="AX235" i="34"/>
  <c r="AR262" i="34"/>
  <c r="AM137" i="34"/>
  <c r="AR75" i="34"/>
  <c r="AQ298" i="34"/>
  <c r="AV113" i="34"/>
  <c r="AM285" i="34"/>
  <c r="AQ250" i="34"/>
  <c r="AS25" i="34"/>
  <c r="AU259" i="34"/>
  <c r="AO25" i="34"/>
  <c r="AQ178" i="34"/>
  <c r="AX146" i="34"/>
  <c r="AM125" i="34"/>
  <c r="AS94" i="34"/>
  <c r="AM219" i="34"/>
  <c r="AT258" i="34"/>
  <c r="AX231" i="34"/>
  <c r="AS109" i="34"/>
  <c r="AM161" i="34"/>
  <c r="AX300" i="34"/>
  <c r="AT195" i="34"/>
  <c r="AN150" i="34"/>
  <c r="AR139" i="34"/>
  <c r="AX86" i="34"/>
  <c r="AV311" i="34"/>
  <c r="AU202" i="34"/>
  <c r="AU81" i="34"/>
  <c r="AM260" i="34"/>
  <c r="AS19" i="34"/>
  <c r="AR115" i="34"/>
  <c r="AT256" i="34"/>
  <c r="AW132" i="34"/>
  <c r="AN187" i="34"/>
  <c r="AN193" i="34"/>
  <c r="AR111" i="34"/>
  <c r="AU222" i="34"/>
  <c r="AV6" i="34"/>
  <c r="AU291" i="34"/>
  <c r="AM185" i="34"/>
  <c r="AV59" i="34"/>
  <c r="AQ118" i="34"/>
  <c r="AO77" i="34"/>
  <c r="AT28" i="34"/>
  <c r="AX62" i="34"/>
  <c r="AM18" i="34"/>
  <c r="AS209" i="34"/>
  <c r="AP51" i="34"/>
  <c r="AN164" i="34"/>
  <c r="AR216" i="34"/>
  <c r="AX211" i="34"/>
  <c r="AQ8" i="34"/>
  <c r="AT196" i="34"/>
  <c r="AM208" i="34"/>
  <c r="AQ266" i="34"/>
  <c r="AN17" i="34"/>
  <c r="AR39" i="34"/>
  <c r="AX38" i="34"/>
  <c r="AM79" i="34"/>
  <c r="AT5" i="34"/>
  <c r="AW271" i="34"/>
  <c r="AN190" i="34"/>
  <c r="AP222" i="34"/>
  <c r="AN149" i="34"/>
  <c r="AV216" i="34"/>
  <c r="AR162" i="34"/>
  <c r="AW94" i="34"/>
  <c r="AU131" i="34"/>
  <c r="AT254" i="34"/>
  <c r="AR271" i="34"/>
  <c r="AR310" i="34"/>
  <c r="AM184" i="34"/>
  <c r="AU215" i="34"/>
  <c r="AM104" i="34"/>
  <c r="AM145" i="34"/>
  <c r="AV7" i="34"/>
  <c r="AX61" i="34"/>
  <c r="AX94" i="34"/>
  <c r="AM206" i="34"/>
  <c r="AR105" i="34"/>
  <c r="AM205" i="34"/>
  <c r="AM209" i="34"/>
  <c r="AS275" i="34"/>
  <c r="AO267" i="34"/>
  <c r="AU92" i="34"/>
  <c r="AP138" i="34"/>
  <c r="AM180" i="34"/>
  <c r="AV141" i="34"/>
  <c r="AM148" i="34"/>
  <c r="AN142" i="34"/>
  <c r="AV71" i="34"/>
  <c r="AP103" i="34"/>
  <c r="AV56" i="34"/>
  <c r="AX22" i="34"/>
  <c r="AN178" i="34"/>
  <c r="AM220" i="34"/>
  <c r="AU217" i="34"/>
  <c r="AM170" i="34"/>
  <c r="AV99" i="34"/>
  <c r="AV148" i="34"/>
  <c r="AR8" i="34"/>
  <c r="AU187" i="34"/>
  <c r="AX29" i="34"/>
  <c r="AP251" i="34"/>
  <c r="AR220" i="34"/>
  <c r="AN186" i="34"/>
  <c r="AV8" i="34"/>
  <c r="AN126" i="34"/>
  <c r="AS173" i="34"/>
  <c r="AQ110" i="34"/>
  <c r="AX5" i="34"/>
  <c r="AN124" i="34"/>
  <c r="AM102" i="34"/>
  <c r="AR244" i="34"/>
  <c r="AQ162" i="34"/>
  <c r="AR96" i="34"/>
  <c r="AU250" i="34"/>
  <c r="AQ17" i="34"/>
  <c r="AN90" i="34"/>
  <c r="AO68" i="34"/>
  <c r="AX233" i="34"/>
  <c r="AO126" i="34"/>
  <c r="AP8" i="34"/>
  <c r="AS26" i="34"/>
  <c r="AM51" i="34"/>
  <c r="AQ123" i="34"/>
  <c r="AQ153" i="34"/>
  <c r="AW63" i="34"/>
  <c r="AO272" i="34"/>
  <c r="AV155" i="34"/>
  <c r="AP39" i="34"/>
  <c r="AX74" i="34"/>
  <c r="AO300" i="34"/>
  <c r="AQ253" i="34"/>
  <c r="AV208" i="34"/>
  <c r="AM37" i="34"/>
  <c r="AN109" i="34"/>
  <c r="AO89" i="34"/>
  <c r="AW62" i="34"/>
  <c r="AW106" i="34"/>
  <c r="AQ159" i="34"/>
  <c r="AR68" i="34"/>
  <c r="AU194" i="34"/>
  <c r="AT96" i="34"/>
  <c r="AQ181" i="34"/>
  <c r="AQ256" i="34"/>
  <c r="AR95" i="34"/>
  <c r="AQ144" i="34"/>
  <c r="AT214" i="34"/>
  <c r="AW116" i="34"/>
  <c r="AT189" i="34"/>
  <c r="AN91" i="34"/>
  <c r="AU314" i="34"/>
  <c r="AQ193" i="34"/>
  <c r="AV156" i="34"/>
  <c r="AM265" i="34"/>
  <c r="AU158" i="34"/>
  <c r="AO8" i="34"/>
  <c r="AS89" i="34"/>
  <c r="AV72" i="34"/>
  <c r="AW164" i="34"/>
  <c r="AS18" i="34"/>
  <c r="AM288" i="34"/>
  <c r="AR292" i="34"/>
  <c r="AV282" i="34"/>
  <c r="AP188" i="34"/>
  <c r="AV93" i="34"/>
  <c r="AM213" i="34"/>
  <c r="AU143" i="34"/>
  <c r="AT60" i="34"/>
  <c r="AP26" i="34"/>
  <c r="AW85" i="34"/>
  <c r="AX297" i="34"/>
  <c r="AT86" i="34"/>
  <c r="AM198" i="34"/>
  <c r="AO110" i="34"/>
  <c r="AQ270" i="34"/>
  <c r="AX75" i="34"/>
  <c r="AP248" i="34"/>
  <c r="AQ26" i="34"/>
  <c r="AX185" i="34"/>
  <c r="AN83" i="34"/>
  <c r="AQ294" i="34"/>
  <c r="AM189" i="34"/>
  <c r="AQ63" i="34"/>
  <c r="AQ84" i="34"/>
  <c r="AT32" i="34"/>
  <c r="AW26" i="34"/>
  <c r="AO194" i="34"/>
  <c r="AM224" i="34"/>
  <c r="AV91" i="34"/>
  <c r="AP88" i="34"/>
  <c r="AQ90" i="34"/>
  <c r="AQ98" i="34"/>
  <c r="AP198" i="34"/>
  <c r="AU63" i="34"/>
  <c r="AN161" i="34"/>
  <c r="AQ277" i="34"/>
  <c r="AO90" i="34"/>
  <c r="AU93" i="34"/>
  <c r="AQ113" i="34"/>
  <c r="AU155" i="34"/>
  <c r="AW30" i="34"/>
  <c r="AT72" i="34"/>
  <c r="AM7" i="34"/>
  <c r="AN264" i="34"/>
  <c r="AW175" i="34"/>
  <c r="AU106" i="34"/>
  <c r="AW290" i="34"/>
  <c r="AS316" i="34"/>
  <c r="AS198" i="34"/>
  <c r="AM316" i="34"/>
  <c r="AV124" i="34"/>
  <c r="AQ137" i="34"/>
  <c r="AR50" i="34"/>
  <c r="AM39" i="34"/>
  <c r="AV19" i="34"/>
  <c r="AU142" i="34"/>
  <c r="AM216" i="34"/>
  <c r="AX17" i="34"/>
  <c r="AV284" i="34"/>
  <c r="AQ212" i="34"/>
  <c r="AN26" i="34"/>
  <c r="AT295" i="34"/>
  <c r="AQ33" i="34"/>
  <c r="AP16" i="34"/>
  <c r="AU32" i="34"/>
  <c r="AW67" i="34"/>
  <c r="AO218" i="34"/>
  <c r="AU110" i="34"/>
  <c r="AT101" i="34"/>
  <c r="AV140" i="34"/>
  <c r="AX294" i="34"/>
  <c r="AM188" i="34"/>
  <c r="AR166" i="34"/>
  <c r="AT29" i="34"/>
  <c r="AQ227" i="34"/>
  <c r="AS79" i="34"/>
  <c r="AM74" i="34"/>
  <c r="AT100" i="34"/>
  <c r="AU118" i="34"/>
  <c r="AP262" i="34"/>
  <c r="AN168" i="34"/>
  <c r="AQ230" i="34"/>
  <c r="AP83" i="34"/>
  <c r="AW266" i="34"/>
  <c r="AW24" i="34"/>
  <c r="AM90" i="34"/>
  <c r="AX114" i="34"/>
  <c r="AU270" i="34"/>
  <c r="AW117" i="34"/>
  <c r="AN144" i="34"/>
  <c r="AX95" i="34"/>
  <c r="AV287" i="34"/>
  <c r="AU214" i="34"/>
  <c r="AW256" i="34"/>
  <c r="AS210" i="34"/>
  <c r="AU256" i="34"/>
  <c r="AU128" i="34"/>
  <c r="AP181" i="34"/>
  <c r="AR182" i="34"/>
  <c r="AN177" i="34"/>
  <c r="AM292" i="34"/>
  <c r="AM168" i="34"/>
  <c r="AN123" i="34"/>
  <c r="AU235" i="34"/>
  <c r="AM136" i="34"/>
  <c r="AW91" i="34"/>
  <c r="AT88" i="34"/>
  <c r="AO37" i="34"/>
  <c r="AS288" i="34"/>
  <c r="AU300" i="34"/>
  <c r="AT316" i="34"/>
  <c r="AR18" i="34"/>
  <c r="AV50" i="34"/>
  <c r="AX284" i="34"/>
  <c r="AN25" i="34"/>
  <c r="AT200" i="34"/>
  <c r="AN113" i="34"/>
  <c r="AV173" i="34"/>
  <c r="AM160" i="34"/>
  <c r="AQ91" i="34"/>
  <c r="AT125" i="34"/>
  <c r="AW194" i="34"/>
  <c r="AU71" i="34"/>
  <c r="AO150" i="34"/>
  <c r="AT162" i="34"/>
  <c r="AU162" i="34"/>
  <c r="AW83" i="34"/>
  <c r="AT285" i="34"/>
  <c r="AP189" i="34"/>
  <c r="AU30" i="34"/>
  <c r="AM272" i="34"/>
  <c r="AV182" i="34"/>
  <c r="AU267" i="34"/>
  <c r="AQ161" i="34"/>
  <c r="AR22" i="34"/>
  <c r="AN93" i="34"/>
  <c r="AN82" i="34"/>
  <c r="AO178" i="34"/>
  <c r="AX51" i="34"/>
  <c r="AQ214" i="34"/>
  <c r="AP236" i="34"/>
  <c r="AP154" i="34"/>
  <c r="AQ138" i="34"/>
  <c r="AP161" i="34"/>
  <c r="AP163" i="34"/>
  <c r="AR305" i="34"/>
  <c r="AS193" i="34"/>
  <c r="AO232" i="34"/>
  <c r="AU234" i="34"/>
  <c r="AW4" i="34"/>
  <c r="AQ198" i="34"/>
  <c r="AW82" i="34"/>
  <c r="AS194" i="34"/>
  <c r="AM114" i="34"/>
  <c r="AM223" i="34"/>
  <c r="AO316" i="34"/>
  <c r="AR226" i="34"/>
  <c r="AO270" i="34"/>
  <c r="AP287" i="34"/>
  <c r="AM236" i="34"/>
  <c r="AM293" i="34"/>
  <c r="AS61" i="34"/>
  <c r="AS82" i="34"/>
  <c r="AP68" i="34"/>
  <c r="AQ125" i="34"/>
  <c r="AQ56" i="34"/>
  <c r="AQ145" i="34"/>
  <c r="AQ201" i="34"/>
  <c r="AX32" i="34"/>
  <c r="AR178" i="34"/>
  <c r="AU89" i="34"/>
  <c r="AS163" i="34"/>
  <c r="AN229" i="34"/>
  <c r="AU203" i="34"/>
  <c r="AU80" i="34"/>
  <c r="AV103" i="34"/>
  <c r="AT57" i="34"/>
  <c r="AT82" i="34"/>
  <c r="AM153" i="34"/>
  <c r="AX159" i="34"/>
  <c r="AU231" i="34"/>
  <c r="AQ70" i="34"/>
  <c r="AX162" i="34"/>
  <c r="AR148" i="34"/>
  <c r="AR82" i="34"/>
  <c r="AM100" i="34"/>
  <c r="AT211" i="34"/>
  <c r="AM193" i="34"/>
  <c r="AU127" i="34"/>
  <c r="AW114" i="34"/>
  <c r="AM284" i="34"/>
  <c r="AM124" i="34"/>
  <c r="AV24" i="34"/>
  <c r="AP194" i="34"/>
  <c r="AO153" i="34"/>
  <c r="AM266" i="34"/>
  <c r="AX145" i="34"/>
  <c r="AR153" i="34"/>
  <c r="AO72" i="34"/>
  <c r="AT260" i="34"/>
  <c r="AW115" i="34"/>
  <c r="AV264" i="34"/>
  <c r="AN212" i="34"/>
  <c r="AT9" i="34"/>
  <c r="AO212" i="34"/>
  <c r="AQ19" i="34"/>
  <c r="AS220" i="34"/>
  <c r="AU178" i="34" l="1"/>
  <c r="AU181" i="34"/>
  <c r="AO164" i="34"/>
  <c r="AX164" i="34"/>
  <c r="AM248" i="34"/>
  <c r="AX178" i="34"/>
  <c r="AX181" i="34"/>
  <c r="AV164" i="34"/>
  <c r="AN248" i="34"/>
  <c r="AT164" i="34"/>
  <c r="AW178" i="34"/>
  <c r="AW181" i="34"/>
  <c r="AU248" i="34"/>
  <c r="AS178" i="34"/>
  <c r="AS181" i="34"/>
  <c r="AN167" i="34"/>
  <c r="AQ135" i="34"/>
  <c r="AN135" i="34"/>
  <c r="AO287" i="34"/>
  <c r="AU301" i="34"/>
  <c r="AW176" i="34"/>
  <c r="AT287" i="34"/>
  <c r="AV125" i="34"/>
  <c r="AP255" i="34"/>
  <c r="AP264" i="34"/>
  <c r="AS244" i="34"/>
  <c r="AR135" i="34"/>
  <c r="AW212" i="34"/>
  <c r="AX97" i="34"/>
  <c r="AM106" i="34"/>
  <c r="AQ79" i="34"/>
  <c r="AS212" i="34"/>
  <c r="AS31" i="34"/>
  <c r="AQ206" i="34"/>
  <c r="AU37" i="34"/>
  <c r="AR97" i="34"/>
  <c r="AU225" i="34"/>
  <c r="AX106" i="34"/>
  <c r="AU295" i="34"/>
  <c r="AM19" i="34"/>
  <c r="AS37" i="34"/>
  <c r="AR320" i="34"/>
  <c r="AO219" i="34"/>
  <c r="AN73" i="34"/>
  <c r="AV181" i="34"/>
  <c r="AS305" i="34"/>
  <c r="AP79" i="34"/>
  <c r="AS186" i="34"/>
  <c r="AW37" i="34"/>
  <c r="AR300" i="34"/>
  <c r="AV135" i="34"/>
  <c r="AS264" i="34"/>
  <c r="AM320" i="34"/>
  <c r="AQ290" i="34"/>
  <c r="AX79" i="34"/>
  <c r="AQ287" i="34"/>
  <c r="AN112" i="34"/>
  <c r="AW31" i="34"/>
  <c r="AV305" i="34"/>
  <c r="AP219" i="34"/>
  <c r="AU78" i="34"/>
  <c r="AR296" i="34"/>
  <c r="AT296" i="34"/>
  <c r="AM159" i="34"/>
  <c r="AQ300" i="34"/>
  <c r="AT159" i="34"/>
  <c r="AP300" i="34"/>
  <c r="AM264" i="34"/>
  <c r="AX287" i="34"/>
  <c r="AN296" i="34"/>
  <c r="AN300" i="34"/>
  <c r="AV159" i="34"/>
  <c r="AW296" i="34"/>
  <c r="AS255" i="34"/>
  <c r="AS78" i="34"/>
  <c r="AT135" i="34"/>
  <c r="AO181" i="34"/>
  <c r="AV290" i="34"/>
  <c r="AP320" i="34"/>
  <c r="AX290" i="34"/>
  <c r="AS320" i="34"/>
  <c r="AR255" i="34"/>
  <c r="AU305" i="34"/>
  <c r="AW320" i="34"/>
  <c r="AU135" i="34"/>
  <c r="AT37" i="34"/>
  <c r="AV133" i="34"/>
  <c r="AN78" i="34"/>
  <c r="AN255" i="34"/>
  <c r="AS73" i="34"/>
  <c r="AO79" i="34"/>
  <c r="AU320" i="34"/>
  <c r="AR106" i="34"/>
  <c r="AW255" i="34"/>
  <c r="AU159" i="34"/>
  <c r="AT320" i="34"/>
  <c r="AU73" i="34"/>
  <c r="AW264" i="34"/>
  <c r="AV186" i="34"/>
  <c r="AV295" i="34"/>
  <c r="AO320" i="34"/>
  <c r="AR223" i="34"/>
  <c r="AV320" i="34"/>
  <c r="AO305" i="34"/>
  <c r="AW135" i="34"/>
  <c r="AR19" i="34"/>
  <c r="AX37" i="34"/>
  <c r="AN322" i="34"/>
  <c r="AN107" i="34"/>
  <c r="AT112" i="34"/>
  <c r="AN304" i="34"/>
  <c r="AW79" i="34"/>
  <c r="AO135" i="34"/>
  <c r="AN320" i="34"/>
  <c r="AT79" i="34"/>
  <c r="AM135" i="34"/>
  <c r="AS135" i="34"/>
  <c r="AP212" i="34"/>
  <c r="AQ223" i="34"/>
  <c r="AQ320" i="34"/>
  <c r="AO295" i="34"/>
  <c r="AX244" i="34"/>
  <c r="AN181" i="34"/>
  <c r="AX264" i="34"/>
  <c r="AM300" i="34"/>
  <c r="AM290" i="34"/>
  <c r="AN128" i="34"/>
  <c r="AU223" i="34"/>
  <c r="AT181" i="34"/>
  <c r="AW186" i="34"/>
  <c r="AR212" i="34"/>
  <c r="AW133" i="34"/>
  <c r="AN106" i="34"/>
  <c r="AO19" i="34"/>
  <c r="AP186" i="34"/>
  <c r="AQ305" i="34"/>
  <c r="AP128" i="34"/>
  <c r="AO128" i="34"/>
  <c r="AT223" i="34"/>
  <c r="AX320" i="34"/>
  <c r="AM295" i="34"/>
  <c r="AR79" i="34"/>
  <c r="AT300" i="34"/>
  <c r="AV37" i="34"/>
  <c r="AX296" i="34"/>
  <c r="AX135" i="34"/>
  <c r="AP135" i="34"/>
  <c r="AQ106" i="34"/>
  <c r="AN175" i="34"/>
  <c r="AP296" i="34"/>
  <c r="AR186" i="34"/>
  <c r="AQ295" i="34"/>
  <c r="AT107" i="34"/>
  <c r="AS295" i="34"/>
  <c r="AT322" i="34" l="1"/>
  <c r="AO296" i="34"/>
  <c r="AQ126" i="34"/>
  <c r="AQ128" i="34"/>
  <c r="AQ9" i="34"/>
  <c r="AX172" i="34"/>
  <c r="AX175" i="34"/>
  <c r="AV5" i="34"/>
  <c r="AO5" i="34"/>
  <c r="AO201" i="34"/>
  <c r="AO172" i="34"/>
  <c r="AO175" i="34"/>
  <c r="AU266" i="34"/>
  <c r="AW240" i="34"/>
  <c r="AQ251" i="34"/>
  <c r="AQ264" i="34"/>
  <c r="AN5" i="34"/>
  <c r="AN80" i="34"/>
  <c r="AT288" i="34"/>
  <c r="AT290" i="34"/>
  <c r="AV254" i="34"/>
  <c r="AR288" i="34"/>
  <c r="AR290" i="34"/>
  <c r="AU115" i="34"/>
  <c r="AN176" i="34"/>
  <c r="AR209" i="34"/>
  <c r="AM172" i="34"/>
  <c r="AM175" i="34"/>
  <c r="AU251" i="34"/>
  <c r="AU264" i="34"/>
  <c r="AW75" i="34"/>
  <c r="AO301" i="34"/>
  <c r="AN210" i="34"/>
  <c r="AN31" i="34"/>
  <c r="AR172" i="34"/>
  <c r="AR175" i="34"/>
  <c r="AM95" i="34"/>
  <c r="AM97" i="34"/>
  <c r="AP164" i="34"/>
  <c r="AV26" i="34"/>
  <c r="AV212" i="34"/>
  <c r="AT119" i="34"/>
  <c r="AT323" i="34"/>
  <c r="AQ172" i="34"/>
  <c r="AQ175" i="34"/>
  <c r="AQ164" i="34"/>
  <c r="AV114" i="34"/>
  <c r="AR164" i="34"/>
  <c r="AU18" i="34"/>
  <c r="AU19" i="34"/>
  <c r="AR100" i="34"/>
  <c r="AR287" i="34"/>
  <c r="AR254" i="34"/>
  <c r="AT172" i="34"/>
  <c r="AT175" i="34"/>
  <c r="AM144" i="34"/>
  <c r="AQ296" i="34"/>
  <c r="AT210" i="34"/>
  <c r="AT31" i="34"/>
  <c r="AP18" i="34"/>
  <c r="AP19" i="34"/>
  <c r="AX266" i="34"/>
  <c r="AT76" i="34"/>
  <c r="AM26" i="34"/>
  <c r="AM212" i="34"/>
  <c r="AN201" i="34"/>
  <c r="AX210" i="34"/>
  <c r="AM126" i="34"/>
  <c r="AM128" i="34"/>
  <c r="AO75" i="34"/>
  <c r="AQ219" i="34"/>
  <c r="AQ151" i="34"/>
  <c r="AQ147" i="34"/>
  <c r="AR194" i="34"/>
  <c r="AQ254" i="34"/>
  <c r="AP266" i="34"/>
  <c r="AM132" i="34"/>
  <c r="AM133" i="34"/>
  <c r="AP256" i="34"/>
  <c r="AW179" i="34"/>
  <c r="AN249" i="34"/>
  <c r="AO240" i="34"/>
  <c r="AW18" i="34"/>
  <c r="AW19" i="34"/>
  <c r="AR116" i="34"/>
  <c r="AR117" i="34"/>
  <c r="AO252" i="34"/>
  <c r="AR76" i="34"/>
  <c r="AT52" i="34"/>
  <c r="AX240" i="34"/>
  <c r="AO114" i="34"/>
  <c r="AP209" i="34"/>
  <c r="AS144" i="34"/>
  <c r="AP249" i="34"/>
  <c r="AS51" i="34"/>
  <c r="AN52" i="34"/>
  <c r="AU132" i="34"/>
  <c r="AU133" i="34"/>
  <c r="AV256" i="34"/>
  <c r="AP206" i="34"/>
  <c r="AR206" i="34"/>
  <c r="AP121" i="34"/>
  <c r="AP304" i="34"/>
  <c r="AX26" i="34"/>
  <c r="AX212" i="34"/>
  <c r="AM276" i="34"/>
  <c r="AT26" i="34"/>
  <c r="AT212" i="34"/>
  <c r="AW5" i="34"/>
  <c r="AT251" i="34"/>
  <c r="AT264" i="34"/>
  <c r="AS172" i="34"/>
  <c r="AS175" i="34"/>
  <c r="AU164" i="34"/>
  <c r="AP301" i="34"/>
  <c r="AP115" i="34"/>
  <c r="AR248" i="34"/>
  <c r="AX132" i="34"/>
  <c r="AX133" i="34"/>
  <c r="AS296" i="34"/>
  <c r="AW260" i="34"/>
  <c r="AR125" i="34"/>
  <c r="AR5" i="34"/>
  <c r="AU26" i="34"/>
  <c r="AU212" i="34"/>
  <c r="AR121" i="34"/>
  <c r="AR304" i="34"/>
  <c r="AS80" i="34"/>
  <c r="AT219" i="34"/>
  <c r="AP220" i="34"/>
  <c r="AM75" i="34"/>
  <c r="AM52" i="34"/>
  <c r="AV51" i="34"/>
  <c r="AP252" i="34"/>
  <c r="AV172" i="34"/>
  <c r="AV175" i="34"/>
  <c r="AS254" i="34"/>
  <c r="AN114" i="34"/>
  <c r="AN256" i="34"/>
  <c r="AU121" i="34"/>
  <c r="AU304" i="34"/>
  <c r="AW121" i="34"/>
  <c r="AW304" i="34"/>
  <c r="AX76" i="34"/>
  <c r="AN219" i="34"/>
  <c r="AN119" i="34"/>
  <c r="AN323" i="34"/>
  <c r="AX194" i="34"/>
  <c r="AN288" i="34"/>
  <c r="AN290" i="34"/>
  <c r="AQ248" i="34"/>
  <c r="AX18" i="34"/>
  <c r="AX19" i="34"/>
  <c r="AV121" i="34"/>
  <c r="AV304" i="34"/>
  <c r="AU209" i="34"/>
  <c r="AO288" i="34"/>
  <c r="AO290" i="34"/>
  <c r="AV220" i="34"/>
  <c r="AV126" i="34"/>
  <c r="AV128" i="34"/>
  <c r="AU220" i="34"/>
  <c r="AQ132" i="34"/>
  <c r="AQ133" i="34"/>
  <c r="AT126" i="34"/>
  <c r="AT128" i="34"/>
  <c r="AX52" i="34"/>
  <c r="AM210" i="34"/>
  <c r="AS256" i="34"/>
  <c r="AQ52" i="34"/>
  <c r="AQ260" i="34"/>
  <c r="AW126" i="34"/>
  <c r="AW128" i="34"/>
  <c r="AU9" i="34"/>
  <c r="AT276" i="34"/>
  <c r="AU249" i="34"/>
  <c r="AT240" i="34"/>
  <c r="AX121" i="34"/>
  <c r="AX304" i="34"/>
  <c r="AW219" i="34"/>
  <c r="AX214" i="34"/>
  <c r="AS95" i="34"/>
  <c r="AS97" i="34"/>
  <c r="AQ114" i="34"/>
  <c r="AO266" i="34"/>
  <c r="AT18" i="34"/>
  <c r="AT19" i="34"/>
  <c r="AM296" i="34"/>
  <c r="AR251" i="34"/>
  <c r="AR264" i="34"/>
  <c r="AT10" i="34"/>
  <c r="AO256" i="34"/>
  <c r="AW244" i="34"/>
  <c r="AS206" i="34"/>
  <c r="AM121" i="34"/>
  <c r="AM304" i="34"/>
  <c r="AW52" i="34"/>
  <c r="AO121" i="34"/>
  <c r="AO304" i="34"/>
  <c r="AV266" i="34"/>
  <c r="AV75" i="34"/>
  <c r="AO254" i="34"/>
  <c r="AO248" i="34"/>
  <c r="AP172" i="34"/>
  <c r="AP175" i="34"/>
  <c r="AN100" i="34"/>
  <c r="AN287" i="34"/>
  <c r="AN254" i="34"/>
  <c r="AS121" i="34"/>
  <c r="AS304" i="34"/>
  <c r="AR51" i="34"/>
  <c r="AX115" i="34"/>
  <c r="AN301" i="34"/>
  <c r="AN18" i="34"/>
  <c r="AN19" i="34"/>
  <c r="AS125" i="34"/>
  <c r="AU296" i="34"/>
  <c r="AU51" i="34"/>
  <c r="AM5" i="34"/>
  <c r="AX125" i="34"/>
  <c r="AV209" i="34"/>
  <c r="AP5" i="34"/>
  <c r="AT115" i="34"/>
  <c r="AW254" i="34"/>
  <c r="AS5" i="34"/>
  <c r="AV296" i="34"/>
  <c r="AR266" i="34"/>
  <c r="AU27" i="34"/>
  <c r="AS115" i="34"/>
  <c r="AT27" i="34"/>
  <c r="AO210" i="34"/>
  <c r="AO31" i="34"/>
  <c r="AU288" i="34"/>
  <c r="AU290" i="34"/>
  <c r="AP75" i="34"/>
  <c r="AQ210" i="34"/>
  <c r="AQ31" i="34"/>
  <c r="AT186" i="34"/>
  <c r="AU100" i="34"/>
  <c r="AU287" i="34"/>
  <c r="AQ121" i="34"/>
  <c r="AQ304" i="34"/>
  <c r="AQ76" i="34"/>
  <c r="AM115" i="34"/>
  <c r="AT244" i="34"/>
  <c r="AN151" i="34"/>
  <c r="AN147" i="34"/>
  <c r="AS164" i="34"/>
  <c r="AV244" i="34"/>
  <c r="AU260" i="34"/>
  <c r="AU318" i="34"/>
  <c r="AM240" i="34"/>
  <c r="AT201" i="34"/>
  <c r="AN240" i="34"/>
  <c r="AT167" i="34"/>
  <c r="AV240" i="34"/>
  <c r="AM249" i="34"/>
  <c r="M210" i="31"/>
  <c r="N257" i="31"/>
  <c r="F217" i="31"/>
  <c r="M312" i="31"/>
  <c r="I107" i="31"/>
  <c r="H242" i="31"/>
  <c r="N106" i="31"/>
  <c r="I250" i="31"/>
  <c r="L53" i="31"/>
  <c r="K268" i="31"/>
  <c r="D331" i="31"/>
  <c r="G78" i="31"/>
  <c r="L117" i="31"/>
  <c r="H343" i="31"/>
  <c r="D213" i="31"/>
  <c r="H151" i="31"/>
  <c r="C230" i="31"/>
  <c r="F281" i="31"/>
  <c r="C347" i="31"/>
  <c r="L201" i="31"/>
  <c r="E341" i="31"/>
  <c r="F88" i="31"/>
  <c r="M139" i="31"/>
  <c r="G287" i="31"/>
  <c r="F140" i="31"/>
  <c r="K277" i="31"/>
  <c r="G320" i="31"/>
  <c r="K107" i="31"/>
  <c r="G205" i="31"/>
  <c r="F308" i="31"/>
  <c r="I320" i="31"/>
  <c r="I137" i="31"/>
  <c r="G314" i="31"/>
  <c r="G109" i="31"/>
  <c r="H246" i="31"/>
  <c r="G53" i="31"/>
  <c r="I299" i="31"/>
  <c r="F142" i="31"/>
  <c r="G312" i="31"/>
  <c r="G307" i="31"/>
  <c r="N271" i="31"/>
  <c r="C305" i="31"/>
  <c r="D93" i="31"/>
  <c r="H236" i="31"/>
  <c r="G169" i="31"/>
  <c r="E219" i="31"/>
  <c r="H324" i="31"/>
  <c r="G278" i="31"/>
  <c r="F364" i="31"/>
  <c r="J204" i="31"/>
  <c r="M278" i="31"/>
  <c r="L233" i="31"/>
  <c r="I252" i="31"/>
  <c r="H86" i="31"/>
  <c r="K140" i="31"/>
  <c r="F218" i="31"/>
  <c r="N180" i="31"/>
  <c r="G302" i="31"/>
  <c r="C100" i="31"/>
  <c r="E321" i="31"/>
  <c r="J346" i="31"/>
  <c r="H316" i="31"/>
  <c r="F330" i="31"/>
  <c r="H189" i="31"/>
  <c r="H270" i="31"/>
  <c r="M288" i="31"/>
  <c r="K73" i="31"/>
  <c r="N357" i="31"/>
  <c r="H229" i="31"/>
  <c r="E234" i="31"/>
  <c r="C278" i="31"/>
  <c r="F329" i="31"/>
  <c r="C142" i="31"/>
  <c r="C176" i="31"/>
  <c r="K348" i="31"/>
  <c r="H354" i="31"/>
  <c r="H348" i="31"/>
  <c r="M206" i="31"/>
  <c r="F93" i="31"/>
  <c r="H139" i="31"/>
  <c r="D254" i="31"/>
  <c r="J88" i="31"/>
  <c r="F328" i="31"/>
  <c r="G173" i="31"/>
  <c r="L314" i="31"/>
  <c r="G123" i="31"/>
  <c r="F172" i="31"/>
  <c r="N320" i="31"/>
  <c r="N72" i="31"/>
  <c r="J277" i="31"/>
  <c r="H55" i="31"/>
  <c r="N288" i="31"/>
  <c r="F335" i="31"/>
  <c r="N251" i="31"/>
  <c r="M162" i="31"/>
  <c r="H190" i="31"/>
  <c r="K338" i="31"/>
  <c r="I67" i="31"/>
  <c r="H247" i="31"/>
  <c r="E360" i="31"/>
  <c r="F249" i="31"/>
  <c r="J310" i="31"/>
  <c r="M333" i="31"/>
  <c r="G283" i="31"/>
  <c r="G342" i="31"/>
  <c r="C160" i="31"/>
  <c r="F311" i="31"/>
  <c r="M315" i="31"/>
  <c r="I119" i="31"/>
  <c r="H205" i="31"/>
  <c r="F152" i="31"/>
  <c r="F55" i="31"/>
  <c r="C56" i="31"/>
  <c r="D135" i="31"/>
  <c r="M329" i="31"/>
  <c r="D145" i="31"/>
  <c r="G299" i="31"/>
  <c r="J140" i="31"/>
  <c r="L313" i="31"/>
  <c r="D271" i="31"/>
  <c r="D302" i="31"/>
  <c r="F173" i="31"/>
  <c r="N338" i="31"/>
  <c r="E210" i="31"/>
  <c r="N306" i="31"/>
  <c r="F197" i="31"/>
  <c r="E287" i="31"/>
  <c r="K229" i="31"/>
  <c r="M314" i="31"/>
  <c r="E347" i="31"/>
  <c r="K99" i="31"/>
  <c r="F147" i="31"/>
  <c r="G222" i="31"/>
  <c r="K257" i="31"/>
  <c r="K232" i="31"/>
  <c r="K137" i="31"/>
  <c r="C265" i="31"/>
  <c r="F316" i="31"/>
  <c r="C123" i="31"/>
  <c r="K206" i="31"/>
  <c r="M143" i="31"/>
  <c r="G71" i="31"/>
  <c r="H180" i="31"/>
  <c r="K283" i="31"/>
  <c r="H275" i="31"/>
  <c r="D217" i="31"/>
  <c r="H195" i="31"/>
  <c r="G75" i="31"/>
  <c r="F288" i="31"/>
  <c r="K120" i="31"/>
  <c r="N255" i="31"/>
  <c r="K280" i="31"/>
  <c r="L73" i="31"/>
  <c r="K316" i="31"/>
  <c r="I123" i="31"/>
  <c r="F230" i="31"/>
  <c r="D334" i="31"/>
  <c r="D77" i="31"/>
  <c r="L151" i="31"/>
  <c r="L222" i="31"/>
  <c r="L157" i="31"/>
  <c r="E123" i="31"/>
  <c r="F278" i="31"/>
  <c r="I336" i="31"/>
  <c r="D140" i="31"/>
  <c r="J53" i="31"/>
  <c r="E283" i="31"/>
  <c r="M320" i="31"/>
  <c r="J195" i="31"/>
  <c r="I203" i="31"/>
  <c r="M136" i="31"/>
  <c r="D79" i="31"/>
  <c r="F360" i="31"/>
  <c r="K238" i="31"/>
  <c r="N253" i="31"/>
  <c r="L321" i="31"/>
  <c r="I273" i="31"/>
  <c r="E232" i="31"/>
  <c r="M112" i="31"/>
  <c r="M223" i="31"/>
  <c r="C152" i="31"/>
  <c r="E150" i="31"/>
  <c r="K319" i="31"/>
  <c r="C72" i="31"/>
  <c r="J299" i="31"/>
  <c r="J306" i="31"/>
  <c r="N249" i="31"/>
  <c r="H286" i="31"/>
  <c r="K302" i="31"/>
  <c r="D300" i="31"/>
  <c r="G139" i="31"/>
  <c r="K172" i="31"/>
  <c r="F148" i="31"/>
  <c r="E236" i="31"/>
  <c r="H87" i="31"/>
  <c r="K134" i="31"/>
  <c r="D99" i="31"/>
  <c r="D159" i="31"/>
  <c r="H123" i="31"/>
  <c r="M75" i="31"/>
  <c r="D180" i="31"/>
  <c r="F137" i="31"/>
  <c r="D121" i="31"/>
  <c r="J335" i="31"/>
  <c r="M188" i="31"/>
  <c r="E81" i="31"/>
  <c r="C303" i="31"/>
  <c r="K125" i="31"/>
  <c r="L192" i="31"/>
  <c r="G134" i="31"/>
  <c r="H362" i="31"/>
  <c r="J285" i="31"/>
  <c r="H273" i="31"/>
  <c r="L68" i="31"/>
  <c r="N275" i="31"/>
  <c r="K273" i="31"/>
  <c r="H120" i="31"/>
  <c r="C169" i="31"/>
  <c r="F222" i="31"/>
  <c r="J93" i="31"/>
  <c r="M341" i="31"/>
  <c r="M141" i="31"/>
  <c r="C330" i="31"/>
  <c r="J99" i="31"/>
  <c r="G231" i="31"/>
  <c r="G248" i="31"/>
  <c r="M254" i="31"/>
  <c r="D120" i="31"/>
  <c r="I308" i="31"/>
  <c r="J226" i="31"/>
  <c r="E316" i="31"/>
  <c r="H314" i="31"/>
  <c r="J347" i="31"/>
  <c r="L212" i="31"/>
  <c r="L326" i="31"/>
  <c r="I138" i="31"/>
  <c r="M232" i="31"/>
  <c r="H197" i="31"/>
  <c r="L265" i="31"/>
  <c r="F232" i="31"/>
  <c r="I147" i="31"/>
  <c r="K215" i="31"/>
  <c r="C162" i="31"/>
  <c r="H210" i="31"/>
  <c r="F205" i="31"/>
  <c r="H340" i="31"/>
  <c r="D170" i="31"/>
  <c r="H364" i="31"/>
  <c r="M53" i="31"/>
  <c r="I285" i="31"/>
  <c r="L300" i="31"/>
  <c r="D201" i="31"/>
  <c r="J202" i="31"/>
  <c r="M208" i="31"/>
  <c r="F303" i="31"/>
  <c r="K246" i="31"/>
  <c r="D348" i="31"/>
  <c r="C119" i="31"/>
  <c r="H251" i="31"/>
  <c r="I88" i="31"/>
  <c r="E141" i="31"/>
  <c r="M81" i="31"/>
  <c r="J320" i="31"/>
  <c r="G244" i="31"/>
  <c r="L136" i="31"/>
  <c r="M302" i="31"/>
  <c r="M169" i="31"/>
  <c r="C174" i="31"/>
  <c r="G288" i="31"/>
  <c r="J187" i="31"/>
  <c r="C266" i="31"/>
  <c r="I365" i="31"/>
  <c r="G186" i="31"/>
  <c r="H202" i="31"/>
  <c r="C190" i="31"/>
  <c r="D365" i="31"/>
  <c r="C191" i="31"/>
  <c r="H284" i="31"/>
  <c r="I82" i="31"/>
  <c r="F65" i="31"/>
  <c r="K159" i="31"/>
  <c r="G240" i="31"/>
  <c r="L227" i="31"/>
  <c r="E167" i="31"/>
  <c r="N342" i="31"/>
  <c r="M241" i="31"/>
  <c r="E251" i="31"/>
  <c r="E346" i="31"/>
  <c r="C57" i="31"/>
  <c r="L147" i="31"/>
  <c r="C234" i="31"/>
  <c r="I188" i="31"/>
  <c r="L330" i="31"/>
  <c r="K288" i="31"/>
  <c r="D212" i="31"/>
  <c r="H140" i="31"/>
  <c r="F211" i="31"/>
  <c r="D138" i="31"/>
  <c r="K303" i="31"/>
  <c r="D341" i="31"/>
  <c r="J341" i="31"/>
  <c r="E75" i="31"/>
  <c r="C324" i="31"/>
  <c r="G249" i="31"/>
  <c r="M331" i="31"/>
  <c r="F346" i="31"/>
  <c r="E248" i="31"/>
  <c r="L231" i="31"/>
  <c r="J229" i="31"/>
  <c r="I220" i="31"/>
  <c r="M71" i="31"/>
  <c r="I126" i="31"/>
  <c r="C307" i="31"/>
  <c r="J307" i="31"/>
  <c r="L120" i="31"/>
  <c r="L148" i="31"/>
  <c r="N139" i="31"/>
  <c r="H109" i="31"/>
  <c r="D55" i="31"/>
  <c r="H233" i="31"/>
  <c r="N237" i="31"/>
  <c r="F248" i="31"/>
  <c r="M150" i="31"/>
  <c r="I155" i="31"/>
  <c r="G133" i="31"/>
  <c r="D208" i="31"/>
  <c r="J279" i="31"/>
  <c r="F195" i="31"/>
  <c r="N335" i="31"/>
  <c r="K362" i="31"/>
  <c r="K55" i="31"/>
  <c r="K240" i="31"/>
  <c r="M219" i="31"/>
  <c r="F106" i="31"/>
  <c r="G236" i="31"/>
  <c r="K198" i="31"/>
  <c r="N233" i="31"/>
  <c r="C212" i="31"/>
  <c r="I331" i="31"/>
  <c r="N149" i="31"/>
  <c r="G340" i="31"/>
  <c r="C268" i="31"/>
  <c r="F262" i="31"/>
  <c r="G337" i="31"/>
  <c r="K218" i="31"/>
  <c r="M198" i="31"/>
  <c r="D329" i="31"/>
  <c r="M152" i="31"/>
  <c r="K281" i="31"/>
  <c r="L121" i="31"/>
  <c r="G258" i="31"/>
  <c r="C250" i="31"/>
  <c r="D206" i="31"/>
  <c r="E362" i="31"/>
  <c r="K253" i="31"/>
  <c r="J111" i="31"/>
  <c r="H110" i="31"/>
  <c r="D265" i="31"/>
  <c r="J107" i="31"/>
  <c r="F243" i="31"/>
  <c r="J361" i="31"/>
  <c r="D189" i="31"/>
  <c r="I79" i="31"/>
  <c r="L252" i="31"/>
  <c r="G65" i="31"/>
  <c r="N359" i="31"/>
  <c r="I93" i="31"/>
  <c r="K119" i="31"/>
  <c r="N232" i="31"/>
  <c r="D315" i="31"/>
  <c r="E88" i="31"/>
  <c r="L185" i="31"/>
  <c r="F145" i="31"/>
  <c r="N131" i="31"/>
  <c r="G263" i="31"/>
  <c r="J233" i="31"/>
  <c r="N324" i="31"/>
  <c r="C332" i="31"/>
  <c r="L279" i="31"/>
  <c r="D340" i="31"/>
  <c r="J237" i="31"/>
  <c r="I270" i="31"/>
  <c r="L109" i="31"/>
  <c r="E132" i="31"/>
  <c r="M246" i="31"/>
  <c r="F233" i="31"/>
  <c r="C187" i="31"/>
  <c r="K189" i="31"/>
  <c r="G341" i="31"/>
  <c r="E109" i="31"/>
  <c r="N79" i="31"/>
  <c r="M187" i="31"/>
  <c r="H238" i="31"/>
  <c r="C222" i="31"/>
  <c r="K245" i="31"/>
  <c r="N332" i="31"/>
  <c r="N265" i="31"/>
  <c r="M154" i="31"/>
  <c r="N136" i="31"/>
  <c r="G207" i="31"/>
  <c r="C243" i="31"/>
  <c r="H254" i="31"/>
  <c r="K203" i="31"/>
  <c r="N236" i="31"/>
  <c r="G243" i="31"/>
  <c r="N169" i="31"/>
  <c r="N360" i="31"/>
  <c r="D332" i="31"/>
  <c r="H260" i="31"/>
  <c r="E279" i="31"/>
  <c r="D238" i="31"/>
  <c r="I207" i="31"/>
  <c r="I195" i="31"/>
  <c r="F79" i="31"/>
  <c r="I205" i="31"/>
  <c r="J71" i="31"/>
  <c r="C226" i="31"/>
  <c r="N121" i="31"/>
  <c r="C163" i="31"/>
  <c r="H241" i="31"/>
  <c r="H187" i="31"/>
  <c r="F215" i="31"/>
  <c r="C360" i="31"/>
  <c r="H194" i="31"/>
  <c r="M57" i="31"/>
  <c r="N272" i="31"/>
  <c r="H73" i="31"/>
  <c r="G305" i="31"/>
  <c r="J77" i="31"/>
  <c r="N211" i="31"/>
  <c r="K312" i="31"/>
  <c r="F72" i="31"/>
  <c r="E93" i="31"/>
  <c r="L167" i="31"/>
  <c r="D151" i="31"/>
  <c r="C249" i="31"/>
  <c r="I236" i="31"/>
  <c r="M120" i="31"/>
  <c r="F238" i="31"/>
  <c r="C283" i="31"/>
  <c r="D205" i="31"/>
  <c r="G206" i="31"/>
  <c r="C106" i="31"/>
  <c r="N76" i="31"/>
  <c r="C255" i="31"/>
  <c r="K248" i="31"/>
  <c r="G147" i="31"/>
  <c r="K270" i="31"/>
  <c r="I259" i="31"/>
  <c r="M191" i="31"/>
  <c r="H231" i="31"/>
  <c r="F257" i="31"/>
  <c r="M249" i="31"/>
  <c r="G306" i="31"/>
  <c r="D335" i="31"/>
  <c r="H282" i="31"/>
  <c r="I266" i="31"/>
  <c r="I239" i="31"/>
  <c r="M346" i="31"/>
  <c r="M299" i="31"/>
  <c r="H344" i="31"/>
  <c r="C149" i="31"/>
  <c r="L169" i="31"/>
  <c r="K210" i="31"/>
  <c r="H186" i="31"/>
  <c r="D82" i="31"/>
  <c r="J360" i="31"/>
  <c r="G212" i="31"/>
  <c r="E138" i="31"/>
  <c r="H154" i="31"/>
  <c r="E220" i="31"/>
  <c r="D286" i="31"/>
  <c r="C145" i="31"/>
  <c r="K326" i="31"/>
  <c r="J317" i="31"/>
  <c r="G126" i="31"/>
  <c r="C189" i="31"/>
  <c r="M328" i="31"/>
  <c r="E116" i="31"/>
  <c r="C108" i="31"/>
  <c r="F307" i="31"/>
  <c r="K185" i="31"/>
  <c r="E198" i="31"/>
  <c r="N278" i="31"/>
  <c r="D126" i="31"/>
  <c r="F86" i="31"/>
  <c r="L251" i="31"/>
  <c r="I132" i="31"/>
  <c r="K236" i="31"/>
  <c r="K167" i="31"/>
  <c r="F132" i="31"/>
  <c r="G330" i="31"/>
  <c r="L262" i="31"/>
  <c r="K226" i="31"/>
  <c r="L247" i="31"/>
  <c r="M117" i="31"/>
  <c r="L153" i="31"/>
  <c r="C328" i="31"/>
  <c r="F151" i="31"/>
  <c r="E188" i="31"/>
  <c r="C316" i="31"/>
  <c r="J253" i="31"/>
  <c r="G158" i="31"/>
  <c r="I272" i="31"/>
  <c r="H257" i="31"/>
  <c r="I53" i="31"/>
  <c r="L154" i="31"/>
  <c r="J264" i="31"/>
  <c r="E154" i="31"/>
  <c r="F326" i="31"/>
  <c r="M77" i="31"/>
  <c r="M265" i="31"/>
  <c r="M243" i="31"/>
  <c r="F82" i="31"/>
  <c r="K211" i="31"/>
  <c r="I319" i="31"/>
  <c r="J308" i="31"/>
  <c r="G116" i="31"/>
  <c r="K195" i="31"/>
  <c r="F361" i="31"/>
  <c r="N314" i="31"/>
  <c r="D246" i="31"/>
  <c r="L234" i="31"/>
  <c r="J167" i="31"/>
  <c r="K150" i="31"/>
  <c r="G282" i="31"/>
  <c r="C172" i="31"/>
  <c r="F241" i="31"/>
  <c r="K141" i="31"/>
  <c r="F154" i="31"/>
  <c r="D152" i="31"/>
  <c r="J365" i="31"/>
  <c r="H66" i="31"/>
  <c r="G174" i="31"/>
  <c r="I333" i="31"/>
  <c r="C300" i="31"/>
  <c r="K299" i="31"/>
  <c r="N209" i="31"/>
  <c r="E302" i="31"/>
  <c r="J201" i="31"/>
  <c r="G72" i="31"/>
  <c r="M72" i="31"/>
  <c r="E272" i="31"/>
  <c r="L304" i="31"/>
  <c r="L348" i="31"/>
  <c r="F240" i="31"/>
  <c r="D308" i="31"/>
  <c r="J198" i="31"/>
  <c r="I106" i="31"/>
  <c r="I251" i="31"/>
  <c r="I163" i="31"/>
  <c r="D243" i="31"/>
  <c r="L239" i="31"/>
  <c r="N190" i="31"/>
  <c r="G137" i="31"/>
  <c r="M211" i="31"/>
  <c r="E173" i="31"/>
  <c r="K147" i="31"/>
  <c r="K217" i="31"/>
  <c r="F282" i="31"/>
  <c r="L158" i="31"/>
  <c r="L238" i="31"/>
  <c r="J276" i="31"/>
  <c r="I328" i="31"/>
  <c r="E266" i="31"/>
  <c r="C206" i="31"/>
  <c r="H217" i="31"/>
  <c r="K324" i="31"/>
  <c r="L99" i="31"/>
  <c r="D346" i="31"/>
  <c r="N269" i="31"/>
  <c r="D247" i="31"/>
  <c r="K158" i="31"/>
  <c r="H262" i="31"/>
  <c r="K320" i="31"/>
  <c r="N254" i="31"/>
  <c r="N361" i="31"/>
  <c r="N82" i="31"/>
  <c r="F134" i="31"/>
  <c r="C281" i="31"/>
  <c r="J252" i="31"/>
  <c r="N117" i="31"/>
  <c r="H329" i="31"/>
  <c r="M149" i="31"/>
  <c r="N229" i="31"/>
  <c r="L71" i="31"/>
  <c r="M316" i="31"/>
  <c r="J185" i="31"/>
  <c r="L211" i="31"/>
  <c r="C246" i="31"/>
  <c r="L187" i="31"/>
  <c r="E136" i="31"/>
  <c r="C258" i="31"/>
  <c r="J260" i="31"/>
  <c r="J329" i="31"/>
  <c r="G257" i="31"/>
  <c r="I279" i="31"/>
  <c r="N217" i="31"/>
  <c r="N201" i="31"/>
  <c r="D314" i="31"/>
  <c r="H293" i="31"/>
  <c r="J79" i="31"/>
  <c r="J105" i="31"/>
  <c r="F317" i="31"/>
  <c r="E227" i="31"/>
  <c r="J190" i="31"/>
  <c r="N231" i="31"/>
  <c r="M65" i="31"/>
  <c r="G238" i="31"/>
  <c r="N333" i="31"/>
  <c r="F174" i="31"/>
  <c r="J176" i="31"/>
  <c r="E237" i="31"/>
  <c r="I340" i="31"/>
  <c r="J315" i="31"/>
  <c r="F139" i="31"/>
  <c r="K157" i="31"/>
  <c r="E201" i="31"/>
  <c r="K328" i="31"/>
  <c r="C116" i="31"/>
  <c r="N119" i="31"/>
  <c r="I347" i="31"/>
  <c r="K175" i="31"/>
  <c r="M310" i="31"/>
  <c r="D57" i="31"/>
  <c r="L87" i="31"/>
  <c r="M322" i="31"/>
  <c r="K265" i="31"/>
  <c r="E257" i="31"/>
  <c r="N307" i="31"/>
  <c r="E222" i="31"/>
  <c r="K287" i="31"/>
  <c r="C306" i="31"/>
  <c r="F157" i="31"/>
  <c r="G190" i="31"/>
  <c r="N317" i="31"/>
  <c r="D186" i="31"/>
  <c r="E271" i="31"/>
  <c r="E55" i="31"/>
  <c r="M93" i="31"/>
  <c r="K231" i="31"/>
  <c r="I332" i="31"/>
  <c r="N337" i="31"/>
  <c r="F267" i="31"/>
  <c r="N109" i="31"/>
  <c r="K65" i="31"/>
  <c r="F160" i="31"/>
  <c r="N124" i="31"/>
  <c r="G266" i="31"/>
  <c r="D132" i="31"/>
  <c r="I74" i="31"/>
  <c r="C88" i="31"/>
  <c r="F285" i="31"/>
  <c r="C257" i="31"/>
  <c r="M339" i="31"/>
  <c r="L173" i="31"/>
  <c r="F159" i="31"/>
  <c r="M138" i="31"/>
  <c r="N238" i="31"/>
  <c r="D100" i="31"/>
  <c r="I280" i="31"/>
  <c r="I149" i="31"/>
  <c r="G82" i="31"/>
  <c r="E267" i="31"/>
  <c r="N74" i="31"/>
  <c r="D299" i="31"/>
  <c r="F320" i="31"/>
  <c r="E149" i="31"/>
  <c r="M256" i="31"/>
  <c r="F347" i="31"/>
  <c r="J123" i="31"/>
  <c r="M248" i="31"/>
  <c r="I204" i="31"/>
  <c r="M56" i="31"/>
  <c r="J54" i="31"/>
  <c r="L133" i="31"/>
  <c r="F180" i="31"/>
  <c r="G273" i="31"/>
  <c r="F279" i="31"/>
  <c r="D195" i="31"/>
  <c r="C180" i="31"/>
  <c r="N258" i="31"/>
  <c r="C188" i="31"/>
  <c r="D262" i="31"/>
  <c r="C282" i="31"/>
  <c r="C333" i="31"/>
  <c r="H268" i="31"/>
  <c r="N141" i="31"/>
  <c r="M229" i="31"/>
  <c r="M311" i="31"/>
  <c r="E162" i="31"/>
  <c r="E86" i="31"/>
  <c r="H203" i="31"/>
  <c r="G197" i="31"/>
  <c r="G219" i="31"/>
  <c r="D207" i="31"/>
  <c r="E308" i="31"/>
  <c r="E175" i="31"/>
  <c r="G172" i="31"/>
  <c r="H124" i="31"/>
  <c r="I134" i="31"/>
  <c r="K307" i="31"/>
  <c r="C302" i="31"/>
  <c r="D284" i="31"/>
  <c r="D147" i="31"/>
  <c r="D279" i="31"/>
  <c r="F359" i="31"/>
  <c r="M166" i="31"/>
  <c r="D273" i="31"/>
  <c r="E211" i="31"/>
  <c r="N187" i="31"/>
  <c r="F299" i="31"/>
  <c r="I286" i="31"/>
  <c r="C267" i="31"/>
  <c r="N199" i="31"/>
  <c r="D199" i="31"/>
  <c r="E254" i="31"/>
  <c r="F226" i="31"/>
  <c r="H214" i="31"/>
  <c r="F276" i="31"/>
  <c r="J273" i="31"/>
  <c r="F187" i="31"/>
  <c r="C271" i="31"/>
  <c r="J212" i="31"/>
  <c r="G140" i="31"/>
  <c r="N267" i="31"/>
  <c r="H333" i="31"/>
  <c r="M214" i="31"/>
  <c r="J342" i="31"/>
  <c r="G66" i="31"/>
  <c r="L363" i="31"/>
  <c r="J258" i="31"/>
  <c r="D65" i="31"/>
  <c r="N134" i="31"/>
  <c r="I197" i="31"/>
  <c r="D128" i="31"/>
  <c r="I314" i="31"/>
  <c r="F57" i="31"/>
  <c r="E187" i="31"/>
  <c r="I245" i="31"/>
  <c r="J333" i="31"/>
  <c r="E310" i="31"/>
  <c r="L361" i="31"/>
  <c r="D111" i="31"/>
  <c r="N148" i="31"/>
  <c r="L126" i="31"/>
  <c r="M262" i="31"/>
  <c r="E235" i="31"/>
  <c r="M264" i="31"/>
  <c r="E202" i="31"/>
  <c r="E74" i="31"/>
  <c r="F265" i="31"/>
  <c r="G111" i="31"/>
  <c r="N206" i="31"/>
  <c r="J149" i="31"/>
  <c r="I180" i="31"/>
  <c r="C361" i="31"/>
  <c r="N330" i="31"/>
  <c r="M147" i="31"/>
  <c r="L57" i="31"/>
  <c r="G316" i="31"/>
  <c r="M247" i="31"/>
  <c r="N157" i="31"/>
  <c r="G280" i="31"/>
  <c r="E186" i="31"/>
  <c r="M245" i="31"/>
  <c r="G209" i="31"/>
  <c r="F73" i="31"/>
  <c r="C137" i="31"/>
  <c r="L160" i="31"/>
  <c r="H135" i="31"/>
  <c r="E180" i="31"/>
  <c r="G270" i="31"/>
  <c r="M362" i="31"/>
  <c r="K311" i="31"/>
  <c r="H218" i="31"/>
  <c r="F75" i="31"/>
  <c r="N195" i="31"/>
  <c r="D239" i="31"/>
  <c r="F149" i="31"/>
  <c r="J219" i="31"/>
  <c r="J309" i="31"/>
  <c r="F163" i="31"/>
  <c r="C239" i="31"/>
  <c r="D169" i="31"/>
  <c r="E217" i="31"/>
  <c r="F365" i="31"/>
  <c r="E261" i="31"/>
  <c r="L110" i="31"/>
  <c r="I81" i="31"/>
  <c r="F81" i="31"/>
  <c r="F246" i="31"/>
  <c r="H215" i="31"/>
  <c r="G265" i="31"/>
  <c r="D72" i="31"/>
  <c r="K363" i="31"/>
  <c r="I150" i="31"/>
  <c r="H256" i="31"/>
  <c r="K359" i="31"/>
  <c r="F357" i="31"/>
  <c r="G321" i="31"/>
  <c r="K222" i="31"/>
  <c r="G319" i="31"/>
  <c r="J106" i="31"/>
  <c r="L278" i="31"/>
  <c r="L335" i="31"/>
  <c r="K334" i="31"/>
  <c r="E135" i="31"/>
  <c r="L145" i="31"/>
  <c r="C158" i="31"/>
  <c r="F277" i="31"/>
  <c r="J81" i="31"/>
  <c r="J136" i="31"/>
  <c r="J302" i="31"/>
  <c r="N65" i="31"/>
  <c r="G304" i="31"/>
  <c r="E77" i="31"/>
  <c r="G112" i="31"/>
  <c r="M159" i="31"/>
  <c r="N329" i="31"/>
  <c r="C207" i="31"/>
  <c r="F108" i="31"/>
  <c r="F209" i="31"/>
  <c r="H311" i="31"/>
  <c r="M336" i="31"/>
  <c r="J247" i="31"/>
  <c r="N55" i="31"/>
  <c r="C109" i="31"/>
  <c r="K340" i="31"/>
  <c r="E126" i="31"/>
  <c r="J73" i="31"/>
  <c r="K204" i="31"/>
  <c r="H207" i="31"/>
  <c r="E314" i="31"/>
  <c r="G201" i="31"/>
  <c r="N287" i="31"/>
  <c r="N192" i="31"/>
  <c r="E101" i="31"/>
  <c r="F286" i="31"/>
  <c r="C93" i="31"/>
  <c r="H105" i="31"/>
  <c r="K201" i="31"/>
  <c r="M221" i="31"/>
  <c r="L270" i="31"/>
  <c r="G234" i="31"/>
  <c r="L209" i="31"/>
  <c r="K278" i="31"/>
  <c r="F112" i="31"/>
  <c r="L137" i="31"/>
  <c r="H164" i="31"/>
  <c r="N218" i="31"/>
  <c r="I316" i="31"/>
  <c r="E348" i="31"/>
  <c r="E342" i="31"/>
  <c r="F223" i="31"/>
  <c r="C331" i="31"/>
  <c r="C335" i="31"/>
  <c r="G211" i="31"/>
  <c r="F287" i="31"/>
  <c r="L324" i="31"/>
  <c r="F297" i="31"/>
  <c r="E329" i="31"/>
  <c r="C213" i="31"/>
  <c r="F322" i="31"/>
  <c r="D187" i="31"/>
  <c r="F341" i="31"/>
  <c r="M279" i="31"/>
  <c r="H347" i="31"/>
  <c r="G348" i="31"/>
  <c r="E108" i="31"/>
  <c r="I249" i="31"/>
  <c r="L56" i="31"/>
  <c r="G202" i="31"/>
  <c r="C346" i="31"/>
  <c r="N362" i="31"/>
  <c r="E169" i="31"/>
  <c r="E255" i="31"/>
  <c r="F169" i="31"/>
  <c r="C229" i="31"/>
  <c r="J240" i="31"/>
  <c r="C314" i="31"/>
  <c r="D209" i="31"/>
  <c r="C275" i="31"/>
  <c r="J322" i="31"/>
  <c r="I176" i="31"/>
  <c r="D143" i="31"/>
  <c r="D338" i="31"/>
  <c r="N285" i="31"/>
  <c r="D241" i="31"/>
  <c r="L241" i="31"/>
  <c r="N302" i="31"/>
  <c r="E105" i="31"/>
  <c r="I262" i="31"/>
  <c r="C195" i="31"/>
  <c r="K82" i="31"/>
  <c r="C117" i="31"/>
  <c r="G191" i="31"/>
  <c r="I237" i="31"/>
  <c r="H252" i="31"/>
  <c r="G120" i="31"/>
  <c r="K162" i="31"/>
  <c r="E117" i="31"/>
  <c r="L328" i="31"/>
  <c r="I75" i="31"/>
  <c r="I198" i="31"/>
  <c r="J108" i="31"/>
  <c r="D190" i="31"/>
  <c r="F186" i="31"/>
  <c r="K105" i="31"/>
  <c r="C232" i="31"/>
  <c r="L280" i="31"/>
  <c r="F237" i="31"/>
  <c r="N81" i="31"/>
  <c r="M73" i="31"/>
  <c r="E191" i="31"/>
  <c r="D137" i="31"/>
  <c r="K135" i="31"/>
  <c r="F120" i="31"/>
  <c r="E185" i="31"/>
  <c r="I128" i="31"/>
  <c r="C293" i="31"/>
  <c r="J159" i="31"/>
  <c r="I157" i="31"/>
  <c r="M126" i="31"/>
  <c r="H191" i="31"/>
  <c r="J286" i="31"/>
  <c r="H173" i="31"/>
  <c r="C354" i="31"/>
  <c r="L360" i="31"/>
  <c r="D270" i="31"/>
  <c r="C219" i="31"/>
  <c r="J131" i="31"/>
  <c r="I133" i="31"/>
  <c r="N300" i="31"/>
  <c r="K250" i="31"/>
  <c r="C78" i="31"/>
  <c r="J222" i="31"/>
  <c r="I256" i="31"/>
  <c r="N133" i="31"/>
  <c r="L311" i="31"/>
  <c r="E277" i="31"/>
  <c r="I190" i="31"/>
  <c r="J283" i="31"/>
  <c r="L285" i="31"/>
  <c r="G132" i="31"/>
  <c r="E110" i="31"/>
  <c r="F212" i="31"/>
  <c r="I172" i="31"/>
  <c r="D167" i="31"/>
  <c r="G193" i="31"/>
  <c r="G81" i="31"/>
  <c r="J148" i="31"/>
  <c r="C211" i="31"/>
  <c r="N214" i="31"/>
  <c r="G361" i="31"/>
  <c r="G333" i="31"/>
  <c r="N343" i="31"/>
  <c r="H227" i="31"/>
  <c r="J78" i="31"/>
  <c r="M137" i="31"/>
  <c r="C365" i="31"/>
  <c r="M82" i="31"/>
  <c r="J311" i="31"/>
  <c r="I277" i="31"/>
  <c r="I151" i="31"/>
  <c r="L272" i="31"/>
  <c r="M107" i="31"/>
  <c r="K234" i="31"/>
  <c r="G117" i="31"/>
  <c r="J254" i="31"/>
  <c r="L67" i="31"/>
  <c r="I282" i="31"/>
  <c r="L198" i="31"/>
  <c r="M257" i="31"/>
  <c r="H230" i="31"/>
  <c r="D275" i="31"/>
  <c r="L229" i="31"/>
  <c r="J210" i="31"/>
  <c r="K342" i="31"/>
  <c r="E79" i="31"/>
  <c r="E361" i="31"/>
  <c r="G271" i="31"/>
  <c r="H244" i="31"/>
  <c r="N99" i="31"/>
  <c r="F348" i="31"/>
  <c r="J242" i="31"/>
  <c r="F188" i="31"/>
  <c r="H338" i="31"/>
  <c r="G198" i="31"/>
  <c r="H108" i="31"/>
  <c r="J100" i="31"/>
  <c r="C73" i="31"/>
  <c r="E312" i="31"/>
  <c r="J139" i="31"/>
  <c r="G192" i="31"/>
  <c r="I210" i="31"/>
  <c r="N208" i="31"/>
  <c r="G310" i="31"/>
  <c r="G331" i="31"/>
  <c r="K138" i="31"/>
  <c r="M321" i="31"/>
  <c r="E218" i="31"/>
  <c r="H310" i="31"/>
  <c r="N159" i="31"/>
  <c r="K160" i="31"/>
  <c r="K152" i="31"/>
  <c r="L159" i="31"/>
  <c r="K78" i="31"/>
  <c r="G99" i="31"/>
  <c r="H332" i="31"/>
  <c r="N322" i="31"/>
  <c r="L245" i="31"/>
  <c r="M236" i="31"/>
  <c r="K263" i="31"/>
  <c r="E56" i="31"/>
  <c r="L267" i="31"/>
  <c r="N266" i="31"/>
  <c r="M55" i="31"/>
  <c r="F133" i="31"/>
  <c r="K139" i="31"/>
  <c r="E139" i="31"/>
  <c r="G235" i="31"/>
  <c r="L316" i="31"/>
  <c r="D240" i="31"/>
  <c r="C126" i="31"/>
  <c r="F107" i="31"/>
  <c r="J251" i="31"/>
  <c r="D106" i="31"/>
  <c r="H237" i="31"/>
  <c r="D229" i="31"/>
  <c r="L362" i="31"/>
  <c r="C227" i="31"/>
  <c r="D56" i="31"/>
  <c r="J158" i="31"/>
  <c r="I246" i="31"/>
  <c r="D214" i="31"/>
  <c r="F158" i="31"/>
  <c r="G246" i="31"/>
  <c r="F339" i="31"/>
  <c r="J357" i="31"/>
  <c r="J363" i="31"/>
  <c r="C359" i="31"/>
  <c r="M326" i="31"/>
  <c r="C341" i="31"/>
  <c r="D322" i="31"/>
  <c r="K256" i="31"/>
  <c r="D258" i="31"/>
  <c r="J328" i="31"/>
  <c r="J203" i="31"/>
  <c r="K279" i="31"/>
  <c r="G227" i="31"/>
  <c r="N304" i="31"/>
  <c r="L331" i="31"/>
  <c r="C308" i="31"/>
  <c r="M148" i="31"/>
  <c r="F185" i="31"/>
  <c r="F324" i="31"/>
  <c r="J137" i="31"/>
  <c r="I238" i="31"/>
  <c r="H134" i="31"/>
  <c r="I278" i="31"/>
  <c r="G360" i="31"/>
  <c r="C299" i="31"/>
  <c r="M209" i="31"/>
  <c r="F131" i="31"/>
  <c r="E332" i="31"/>
  <c r="H132" i="31"/>
  <c r="I362" i="31"/>
  <c r="J319" i="31"/>
  <c r="E264" i="31"/>
  <c r="D218" i="31"/>
  <c r="G275" i="31"/>
  <c r="L77" i="31"/>
  <c r="I338" i="31"/>
  <c r="E349" i="31"/>
  <c r="C260" i="31"/>
  <c r="H136" i="31"/>
  <c r="F123" i="31"/>
  <c r="N311" i="31"/>
  <c r="N132" i="31"/>
  <c r="J244" i="31"/>
  <c r="N363" i="31"/>
  <c r="I140" i="31"/>
  <c r="N316" i="31"/>
  <c r="L337" i="31"/>
  <c r="E280" i="31"/>
  <c r="F109" i="31"/>
  <c r="C329" i="31"/>
  <c r="D364" i="31"/>
  <c r="H152" i="31"/>
  <c r="F220" i="31"/>
  <c r="N310" i="31"/>
  <c r="D264" i="31"/>
  <c r="G251" i="31"/>
  <c r="I135" i="31"/>
  <c r="L189" i="31"/>
  <c r="I116" i="31"/>
  <c r="M305" i="31"/>
  <c r="H360" i="31"/>
  <c r="C252" i="31"/>
  <c r="M145" i="31"/>
  <c r="K271" i="31"/>
  <c r="J135" i="31"/>
  <c r="N202" i="31"/>
  <c r="L342" i="31"/>
  <c r="F260" i="31"/>
  <c r="M172" i="31"/>
  <c r="D310" i="31"/>
  <c r="I214" i="31"/>
  <c r="L155" i="31"/>
  <c r="E365" i="31"/>
  <c r="F117" i="31"/>
  <c r="N108" i="31"/>
  <c r="N242" i="31"/>
  <c r="K223" i="31"/>
  <c r="F77" i="31"/>
  <c r="J116" i="31"/>
  <c r="G128" i="31"/>
  <c r="E354" i="31"/>
  <c r="H272" i="31"/>
  <c r="L354" i="31"/>
  <c r="D224" i="31"/>
  <c r="D349" i="31"/>
  <c r="I354" i="31"/>
  <c r="H304" i="31"/>
  <c r="L230" i="31"/>
  <c r="N213" i="31"/>
  <c r="G223" i="31"/>
  <c r="I160" i="31"/>
  <c r="M233" i="31"/>
  <c r="C231" i="31"/>
  <c r="F331" i="31"/>
  <c r="M251" i="31"/>
  <c r="N347" i="31"/>
  <c r="J141" i="31"/>
  <c r="L322" i="31"/>
  <c r="D244" i="31"/>
  <c r="E304" i="31"/>
  <c r="E145" i="31"/>
  <c r="N331" i="31"/>
  <c r="I148" i="31"/>
  <c r="L250" i="31"/>
  <c r="K154" i="31"/>
  <c r="J263" i="31"/>
  <c r="G286" i="31"/>
  <c r="J232" i="31"/>
  <c r="G285" i="31"/>
  <c r="L202" i="31"/>
  <c r="K187" i="31"/>
  <c r="D71" i="31"/>
  <c r="H185" i="31"/>
  <c r="D316" i="31"/>
  <c r="I254" i="31"/>
  <c r="H148" i="31"/>
  <c r="H206" i="31"/>
  <c r="K207" i="31"/>
  <c r="E153" i="31"/>
  <c r="K208" i="31"/>
  <c r="D297" i="31"/>
  <c r="D161" i="31"/>
  <c r="J230" i="31"/>
  <c r="N369" i="31"/>
  <c r="M369" i="31"/>
  <c r="C313" i="31"/>
  <c r="N313" i="31"/>
  <c r="N227" i="31"/>
  <c r="G336" i="31"/>
  <c r="N334" i="31"/>
  <c r="L308" i="31"/>
  <c r="D136" i="31"/>
  <c r="N186" i="31"/>
  <c r="E270" i="31"/>
  <c r="G254" i="31"/>
  <c r="N204" i="31"/>
  <c r="N326" i="31"/>
  <c r="C286" i="31"/>
  <c r="M234" i="31"/>
  <c r="I324" i="31"/>
  <c r="I348" i="31"/>
  <c r="I364" i="31"/>
  <c r="M224" i="31"/>
  <c r="N264" i="31"/>
  <c r="I349" i="31"/>
  <c r="H198" i="31"/>
  <c r="J271" i="31"/>
  <c r="D124" i="31"/>
  <c r="J211" i="31"/>
  <c r="H163" i="31"/>
  <c r="L186" i="31"/>
  <c r="H234" i="31"/>
  <c r="H99" i="31"/>
  <c r="H116" i="31"/>
  <c r="I302" i="31"/>
  <c r="F206" i="31"/>
  <c r="I329" i="31"/>
  <c r="C167" i="31"/>
  <c r="H145" i="31"/>
  <c r="N152" i="31"/>
  <c r="L72" i="31"/>
  <c r="L276" i="31"/>
  <c r="F126" i="31"/>
  <c r="L275" i="31"/>
  <c r="C147" i="31"/>
  <c r="C241" i="31"/>
  <c r="E172" i="31"/>
  <c r="N163" i="31"/>
  <c r="J321" i="31"/>
  <c r="G363" i="31"/>
  <c r="H150" i="31"/>
  <c r="M239" i="31"/>
  <c r="G262" i="31"/>
  <c r="H320" i="31"/>
  <c r="N276" i="31"/>
  <c r="E293" i="31"/>
  <c r="J124" i="31"/>
  <c r="G214" i="31"/>
  <c r="G105" i="31"/>
  <c r="E106" i="31"/>
  <c r="G208" i="31"/>
  <c r="H359" i="31"/>
  <c r="K153" i="31"/>
  <c r="L333" i="31"/>
  <c r="D223" i="31"/>
  <c r="H126" i="31"/>
  <c r="M157" i="31"/>
  <c r="L284" i="31"/>
  <c r="K285" i="31"/>
  <c r="H57" i="31"/>
  <c r="I186" i="31"/>
  <c r="K305" i="31"/>
  <c r="M250" i="31"/>
  <c r="C133" i="31"/>
  <c r="J119" i="31"/>
  <c r="M185" i="31"/>
  <c r="N277" i="31"/>
  <c r="F153" i="31"/>
  <c r="I189" i="31"/>
  <c r="D158" i="31"/>
  <c r="L338" i="31"/>
  <c r="M306" i="31"/>
  <c r="K177" i="31"/>
  <c r="K126" i="31"/>
  <c r="H331" i="31"/>
  <c r="F251" i="31"/>
  <c r="L302" i="31"/>
  <c r="E158" i="31"/>
  <c r="D248" i="31"/>
  <c r="J227" i="31"/>
  <c r="C287" i="31"/>
  <c r="D78" i="31"/>
  <c r="I222" i="31"/>
  <c r="E313" i="31"/>
  <c r="C151" i="31"/>
  <c r="F306" i="31"/>
  <c r="J330" i="31"/>
  <c r="F100" i="31"/>
  <c r="D343" i="31"/>
  <c r="C214" i="31"/>
  <c r="D344" i="31"/>
  <c r="K54" i="31"/>
  <c r="I162" i="31"/>
  <c r="J58" i="31"/>
  <c r="M99" i="31"/>
  <c r="N284" i="31"/>
  <c r="J218" i="31"/>
  <c r="H209" i="31"/>
  <c r="E148" i="31"/>
  <c r="D330" i="31"/>
  <c r="I281" i="31"/>
  <c r="J110" i="31"/>
  <c r="I65" i="31"/>
  <c r="C209" i="31"/>
  <c r="F135" i="31"/>
  <c r="L140" i="31"/>
  <c r="C136" i="31"/>
  <c r="N197" i="31"/>
  <c r="K209" i="31"/>
  <c r="M100" i="31"/>
  <c r="L237" i="31"/>
  <c r="H192" i="31"/>
  <c r="D105" i="31"/>
  <c r="E284" i="31"/>
  <c r="F227" i="31"/>
  <c r="C311" i="31"/>
  <c r="I212" i="31"/>
  <c r="N138" i="31"/>
  <c r="C236" i="31"/>
  <c r="M218" i="31"/>
  <c r="M252" i="31"/>
  <c r="H141" i="31"/>
  <c r="D123" i="31"/>
  <c r="J117" i="31"/>
  <c r="G93" i="31"/>
  <c r="F203" i="31"/>
  <c r="M271" i="31"/>
  <c r="E333" i="31"/>
  <c r="N160" i="31"/>
  <c r="M270" i="31"/>
  <c r="M165" i="31"/>
  <c r="F342" i="31"/>
  <c r="E212" i="31"/>
  <c r="E147" i="31"/>
  <c r="M222" i="31"/>
  <c r="H335" i="31"/>
  <c r="F284" i="31"/>
  <c r="I248" i="31"/>
  <c r="H302" i="31"/>
  <c r="J121" i="31"/>
  <c r="K117" i="31"/>
  <c r="D210" i="31"/>
  <c r="E340" i="31"/>
  <c r="E205" i="31"/>
  <c r="G121" i="31"/>
  <c r="L340" i="31"/>
  <c r="K361" i="31"/>
  <c r="M142" i="31"/>
  <c r="N73" i="31"/>
  <c r="M308" i="31"/>
  <c r="I121" i="31"/>
  <c r="I242" i="31"/>
  <c r="K142" i="31"/>
  <c r="M105" i="31"/>
  <c r="H201" i="31"/>
  <c r="M354" i="31"/>
  <c r="G107" i="31"/>
  <c r="J155" i="31"/>
  <c r="C87" i="31"/>
  <c r="D185" i="31"/>
  <c r="H321" i="31"/>
  <c r="D108" i="31"/>
  <c r="D354" i="31"/>
  <c r="F242" i="31"/>
  <c r="H330" i="31"/>
  <c r="J134" i="31"/>
  <c r="G54" i="31"/>
  <c r="H67" i="31"/>
  <c r="G73" i="31"/>
  <c r="L107" i="31"/>
  <c r="H223" i="31"/>
  <c r="L139" i="31"/>
  <c r="N172" i="31"/>
  <c r="I68" i="31"/>
  <c r="C82" i="31"/>
  <c r="K264" i="31"/>
  <c r="J172" i="31"/>
  <c r="F321" i="31"/>
  <c r="C320" i="31"/>
  <c r="F214" i="31"/>
  <c r="E72" i="31"/>
  <c r="K72" i="31"/>
  <c r="C132" i="31"/>
  <c r="E343" i="31"/>
  <c r="K262" i="31"/>
  <c r="F66" i="31"/>
  <c r="C284" i="31"/>
  <c r="C264" i="31"/>
  <c r="H322" i="31"/>
  <c r="K53" i="31"/>
  <c r="E99" i="31"/>
  <c r="D360" i="31"/>
  <c r="D215" i="31"/>
  <c r="K202" i="31"/>
  <c r="J255" i="31"/>
  <c r="I185" i="31"/>
  <c r="G143" i="31"/>
  <c r="H276" i="31"/>
  <c r="G329" i="31"/>
  <c r="E229" i="31"/>
  <c r="E286" i="31"/>
  <c r="D222" i="31"/>
  <c r="M348" i="31"/>
  <c r="D260" i="31"/>
  <c r="N319" i="31"/>
  <c r="K322" i="31"/>
  <c r="I321" i="31"/>
  <c r="L195" i="31"/>
  <c r="E176" i="31"/>
  <c r="C140" i="31"/>
  <c r="D363" i="31"/>
  <c r="G232" i="31"/>
  <c r="K286" i="31"/>
  <c r="L119" i="31"/>
  <c r="H346" i="31"/>
  <c r="E281" i="31"/>
  <c r="K335" i="31"/>
  <c r="M287" i="31"/>
  <c r="I276" i="31"/>
  <c r="G253" i="31"/>
  <c r="F198" i="31"/>
  <c r="J160" i="31"/>
  <c r="D283" i="31"/>
  <c r="M277" i="31"/>
  <c r="E238" i="31"/>
  <c r="I315" i="31"/>
  <c r="F56" i="31"/>
  <c r="D150" i="31"/>
  <c r="L191" i="31"/>
  <c r="D276" i="31"/>
  <c r="D252" i="31"/>
  <c r="L283" i="31"/>
  <c r="L256" i="31"/>
  <c r="D237" i="31"/>
  <c r="N281" i="31"/>
  <c r="F283" i="31"/>
  <c r="N241" i="31"/>
  <c r="F254" i="31"/>
  <c r="C141" i="31"/>
  <c r="M260" i="31"/>
  <c r="G189" i="31"/>
  <c r="D251" i="31"/>
  <c r="C326" i="31"/>
  <c r="N341" i="31"/>
  <c r="M240" i="31"/>
  <c r="E288" i="31"/>
  <c r="L319" i="31"/>
  <c r="H143" i="31"/>
  <c r="E242" i="31"/>
  <c r="G135" i="31"/>
  <c r="I152" i="31"/>
  <c r="D139" i="31"/>
  <c r="M276" i="31"/>
  <c r="F363" i="31"/>
  <c r="I141" i="31"/>
  <c r="G276" i="31"/>
  <c r="H137" i="31"/>
  <c r="M78" i="31"/>
  <c r="E335" i="31"/>
  <c r="M207" i="31"/>
  <c r="J217" i="31"/>
  <c r="H147" i="31"/>
  <c r="H157" i="31"/>
  <c r="N137" i="31"/>
  <c r="I159" i="31"/>
  <c r="N246" i="31"/>
  <c r="I219" i="31"/>
  <c r="L55" i="31"/>
  <c r="G195" i="31"/>
  <c r="G176" i="31"/>
  <c r="E326" i="31"/>
  <c r="N354" i="31"/>
  <c r="K242" i="31"/>
  <c r="N167" i="31"/>
  <c r="M259" i="31"/>
  <c r="K341" i="31"/>
  <c r="D141" i="31"/>
  <c r="H341" i="31"/>
  <c r="C340" i="31"/>
  <c r="E140" i="31"/>
  <c r="C66" i="31"/>
  <c r="G68" i="31"/>
  <c r="C343" i="31"/>
  <c r="J133" i="31"/>
  <c r="M258" i="31"/>
  <c r="K310" i="31"/>
  <c r="D267" i="31"/>
  <c r="L349" i="31"/>
  <c r="I260" i="31"/>
  <c r="C110" i="31"/>
  <c r="L112" i="31"/>
  <c r="J266" i="31"/>
  <c r="K88" i="31"/>
  <c r="C244" i="31"/>
  <c r="F111" i="31"/>
  <c r="E223" i="31"/>
  <c r="K314" i="31"/>
  <c r="J353" i="31"/>
  <c r="L232" i="31"/>
  <c r="H153" i="31"/>
  <c r="G308" i="31"/>
  <c r="C138" i="31"/>
  <c r="N207" i="31"/>
  <c r="J248" i="31"/>
  <c r="F190" i="31"/>
  <c r="I99" i="31"/>
  <c r="C233" i="31"/>
  <c r="L357" i="31"/>
  <c r="G317" i="31"/>
  <c r="J147" i="31"/>
  <c r="M140" i="31"/>
  <c r="K349" i="31"/>
  <c r="J326" i="31"/>
  <c r="M238" i="31"/>
  <c r="C65" i="31"/>
  <c r="D73" i="31"/>
  <c r="J82" i="31"/>
  <c r="H357" i="31"/>
  <c r="E233" i="31"/>
  <c r="E137" i="31"/>
  <c r="J338" i="31"/>
  <c r="J206" i="31"/>
  <c r="N321" i="31"/>
  <c r="J186" i="31"/>
  <c r="K241" i="31"/>
  <c r="K244" i="31"/>
  <c r="M363" i="31"/>
  <c r="I341" i="31"/>
  <c r="I108" i="31"/>
  <c r="L82" i="31"/>
  <c r="N205" i="31"/>
  <c r="J249" i="31"/>
  <c r="L180" i="31"/>
  <c r="K186" i="31"/>
  <c r="G365" i="31"/>
  <c r="H280" i="31"/>
  <c r="E133" i="31"/>
  <c r="K219" i="31"/>
  <c r="M342" i="31"/>
  <c r="F155" i="31"/>
  <c r="J256" i="31"/>
  <c r="E328" i="31"/>
  <c r="J362" i="31"/>
  <c r="L138" i="31"/>
  <c r="C121" i="31"/>
  <c r="J243" i="31"/>
  <c r="F280" i="31"/>
  <c r="H158" i="31"/>
  <c r="K128" i="31"/>
  <c r="F244" i="31"/>
  <c r="M174" i="31"/>
  <c r="N107" i="31"/>
  <c r="F239" i="31"/>
  <c r="H72" i="31"/>
  <c r="M317" i="31"/>
  <c r="M132" i="31"/>
  <c r="C363" i="31"/>
  <c r="L226" i="31"/>
  <c r="E142" i="31"/>
  <c r="N191" i="31"/>
  <c r="M285" i="31"/>
  <c r="K190" i="31"/>
  <c r="F128" i="31"/>
  <c r="F261" i="31"/>
  <c r="E213" i="31"/>
  <c r="K354" i="31"/>
  <c r="K350" i="31"/>
  <c r="E177" i="31"/>
  <c r="H155" i="31"/>
  <c r="M261" i="31"/>
  <c r="D171" i="31"/>
  <c r="K86" i="31"/>
  <c r="L317" i="31"/>
  <c r="M273" i="31"/>
  <c r="E214" i="31"/>
  <c r="G334" i="31"/>
  <c r="F99" i="31"/>
  <c r="I342" i="31"/>
  <c r="L268" i="31"/>
  <c r="D153" i="31"/>
  <c r="C262" i="31"/>
  <c r="G328" i="31"/>
  <c r="C139" i="31"/>
  <c r="I87" i="31"/>
  <c r="C362" i="31"/>
  <c r="H144" i="31"/>
  <c r="C67" i="31"/>
  <c r="N188" i="31"/>
  <c r="E241" i="31"/>
  <c r="K108" i="31"/>
  <c r="M324" i="31"/>
  <c r="E134" i="31"/>
  <c r="M283" i="31"/>
  <c r="K133" i="31"/>
  <c r="M87" i="31"/>
  <c r="L217" i="31"/>
  <c r="M167" i="31"/>
  <c r="J312" i="31"/>
  <c r="L271" i="31"/>
  <c r="J199" i="31"/>
  <c r="H283" i="31"/>
  <c r="G217" i="31"/>
  <c r="I122" i="31"/>
  <c r="I304" i="31"/>
  <c r="M304" i="31"/>
  <c r="D304" i="31"/>
  <c r="I261" i="31"/>
  <c r="H345" i="31"/>
  <c r="E230" i="31"/>
  <c r="I230" i="31"/>
  <c r="L86" i="31"/>
  <c r="N230" i="31"/>
  <c r="J173" i="31"/>
  <c r="H79" i="31"/>
  <c r="J174" i="31"/>
  <c r="J207" i="31"/>
  <c r="D75" i="31"/>
  <c r="I244" i="31"/>
  <c r="C334" i="31"/>
  <c r="L260" i="31"/>
  <c r="E152" i="31"/>
  <c r="E82" i="31"/>
  <c r="F141" i="31"/>
  <c r="F314" i="31"/>
  <c r="L320" i="31"/>
  <c r="D287" i="31"/>
  <c r="M186" i="31"/>
  <c r="F105" i="31"/>
  <c r="N219" i="31"/>
  <c r="M226" i="31"/>
  <c r="E143" i="31"/>
  <c r="I187" i="31"/>
  <c r="L106" i="31"/>
  <c r="H172" i="31"/>
  <c r="K109" i="31"/>
  <c r="I120" i="31"/>
  <c r="L203" i="31"/>
  <c r="K111" i="31"/>
  <c r="L257" i="31"/>
  <c r="E357" i="31"/>
  <c r="E262" i="31"/>
  <c r="I77" i="31"/>
  <c r="I215" i="31"/>
  <c r="E307" i="31"/>
  <c r="I231" i="31"/>
  <c r="F340" i="31"/>
  <c r="G203" i="31"/>
  <c r="C205" i="31"/>
  <c r="D234" i="31"/>
  <c r="L172" i="31"/>
  <c r="D81" i="31"/>
  <c r="J109" i="31"/>
  <c r="C150" i="31"/>
  <c r="M79" i="31"/>
  <c r="J220" i="31"/>
  <c r="J340" i="31"/>
  <c r="C120" i="31"/>
  <c r="K71" i="31"/>
  <c r="K143" i="31"/>
  <c r="E278" i="31"/>
  <c r="D88" i="31"/>
  <c r="C279" i="31"/>
  <c r="J278" i="31"/>
  <c r="C74" i="31"/>
  <c r="J150" i="31"/>
  <c r="F119" i="31"/>
  <c r="E319" i="31"/>
  <c r="G136" i="31"/>
  <c r="E324" i="31"/>
  <c r="N346" i="31"/>
  <c r="D131" i="31"/>
  <c r="E111" i="31"/>
  <c r="H365" i="31"/>
  <c r="I337" i="31"/>
  <c r="D226" i="31"/>
  <c r="N88" i="31"/>
  <c r="E311" i="31"/>
  <c r="G281" i="31"/>
  <c r="D328" i="31"/>
  <c r="N77" i="31"/>
  <c r="L123" i="31"/>
  <c r="C251" i="31"/>
  <c r="L299" i="31"/>
  <c r="G77" i="31"/>
  <c r="F264" i="31"/>
  <c r="G145" i="31"/>
  <c r="C55" i="31"/>
  <c r="D202" i="31"/>
  <c r="N112" i="31"/>
  <c r="H287" i="31"/>
  <c r="K282" i="31"/>
  <c r="I56" i="31"/>
  <c r="K293" i="31"/>
  <c r="F201" i="31"/>
  <c r="I142" i="31"/>
  <c r="I258" i="31"/>
  <c r="D125" i="31"/>
  <c r="C128" i="31"/>
  <c r="M158" i="31"/>
  <c r="N56" i="31"/>
  <c r="E189" i="31"/>
  <c r="H285" i="31"/>
  <c r="D194" i="31"/>
  <c r="I209" i="31"/>
  <c r="F337" i="31"/>
  <c r="N144" i="31"/>
  <c r="I202" i="31"/>
  <c r="C310" i="31"/>
  <c r="G347" i="31"/>
  <c r="K205" i="31"/>
  <c r="C186" i="31"/>
  <c r="I143" i="31"/>
  <c r="D116" i="31"/>
  <c r="C321" i="31"/>
  <c r="M272" i="31"/>
  <c r="D285" i="31"/>
  <c r="G230" i="31"/>
  <c r="N145" i="31"/>
  <c r="E131" i="31"/>
  <c r="E197" i="31"/>
  <c r="C276" i="31"/>
  <c r="G157" i="31"/>
  <c r="H56" i="31"/>
  <c r="F208" i="31"/>
  <c r="K364" i="31"/>
  <c r="K249" i="31"/>
  <c r="F74" i="31"/>
  <c r="M194" i="31"/>
  <c r="I232" i="31"/>
  <c r="F336" i="31"/>
  <c r="J343" i="31"/>
  <c r="I153" i="31"/>
  <c r="H271" i="31"/>
  <c r="L210" i="31"/>
  <c r="E320" i="31"/>
  <c r="C364" i="31"/>
  <c r="L336" i="31"/>
  <c r="E208" i="31"/>
  <c r="I310" i="31"/>
  <c r="K237" i="31"/>
  <c r="H281" i="31"/>
  <c r="G343" i="31"/>
  <c r="L214" i="31"/>
  <c r="K87" i="31"/>
  <c r="L249" i="31"/>
  <c r="E275" i="31"/>
  <c r="C357" i="31"/>
  <c r="D320" i="31"/>
  <c r="G277" i="31"/>
  <c r="K81" i="31"/>
  <c r="H264" i="31"/>
  <c r="M108" i="31"/>
  <c r="I191" i="31"/>
  <c r="L206" i="31"/>
  <c r="D162" i="31"/>
  <c r="F272" i="31"/>
  <c r="L205" i="31"/>
  <c r="H232" i="31"/>
  <c r="H212" i="31"/>
  <c r="C105" i="31"/>
  <c r="E317" i="31"/>
  <c r="L223" i="31"/>
  <c r="E215" i="31"/>
  <c r="E194" i="31"/>
  <c r="M337" i="31"/>
  <c r="G180" i="31"/>
  <c r="L341" i="31"/>
  <c r="H306" i="31"/>
  <c r="J192" i="31"/>
  <c r="N147" i="31"/>
  <c r="G162" i="31"/>
  <c r="J344" i="31"/>
  <c r="K308" i="31"/>
  <c r="G55" i="31"/>
  <c r="E120" i="31"/>
  <c r="F191" i="31"/>
  <c r="J314" i="31"/>
  <c r="E73" i="31"/>
  <c r="D172" i="31"/>
  <c r="J236" i="31"/>
  <c r="H117" i="31"/>
  <c r="F53" i="31"/>
  <c r="M359" i="31"/>
  <c r="N100" i="31"/>
  <c r="D160" i="31"/>
  <c r="H222" i="31"/>
  <c r="M212" i="31"/>
  <c r="F76" i="31"/>
  <c r="J265" i="31"/>
  <c r="C240" i="31"/>
  <c r="N268" i="31"/>
  <c r="H326" i="31"/>
  <c r="N223" i="31"/>
  <c r="C285" i="31"/>
  <c r="N210" i="31"/>
  <c r="I287" i="31"/>
  <c r="I307" i="31"/>
  <c r="J162" i="31"/>
  <c r="E87" i="31"/>
  <c r="M119" i="31"/>
  <c r="L220" i="31"/>
  <c r="J267" i="31"/>
  <c r="M253" i="31"/>
  <c r="E119" i="31"/>
  <c r="N303" i="31"/>
  <c r="L194" i="31"/>
  <c r="G242" i="31"/>
  <c r="J157" i="31"/>
  <c r="N349" i="31"/>
  <c r="I110" i="31"/>
  <c r="M204" i="31"/>
  <c r="C86" i="31"/>
  <c r="M155" i="31"/>
  <c r="J280" i="31"/>
  <c r="L343" i="31"/>
  <c r="N153" i="31"/>
  <c r="E65" i="31"/>
  <c r="G204" i="31"/>
  <c r="N312" i="31"/>
  <c r="G284" i="31"/>
  <c r="L142" i="31"/>
  <c r="D277" i="31"/>
  <c r="G226" i="31"/>
  <c r="H245" i="31"/>
  <c r="K188" i="31"/>
  <c r="M335" i="31"/>
  <c r="D231" i="31"/>
  <c r="J188" i="31"/>
  <c r="E71" i="31"/>
  <c r="D245" i="31"/>
  <c r="L307" i="31"/>
  <c r="L81" i="31"/>
  <c r="G100" i="31"/>
  <c r="F192" i="31"/>
  <c r="C237" i="31"/>
  <c r="J57" i="31"/>
  <c r="L219" i="31"/>
  <c r="M242" i="31"/>
  <c r="F110" i="31"/>
  <c r="I217" i="31"/>
  <c r="K131" i="31"/>
  <c r="D176" i="31"/>
  <c r="F210" i="31"/>
  <c r="J143" i="31"/>
  <c r="M111" i="31"/>
  <c r="G67" i="31"/>
  <c r="N364" i="31"/>
  <c r="C304" i="31"/>
  <c r="G293" i="31"/>
  <c r="L65" i="31"/>
  <c r="F234" i="31"/>
  <c r="L199" i="31"/>
  <c r="F343" i="31"/>
  <c r="K129" i="31"/>
  <c r="N203" i="31"/>
  <c r="N87" i="31"/>
  <c r="L215" i="31"/>
  <c r="G357" i="31"/>
  <c r="M203" i="31"/>
  <c r="I105" i="31"/>
  <c r="I111" i="31"/>
  <c r="I234" i="31"/>
  <c r="L135" i="31"/>
  <c r="C269" i="31"/>
  <c r="L93" i="31"/>
  <c r="G256" i="31"/>
  <c r="M347" i="31"/>
  <c r="I136" i="31"/>
  <c r="I158" i="31"/>
  <c r="F252" i="31"/>
  <c r="K145" i="31"/>
  <c r="F236" i="31"/>
  <c r="I154" i="31"/>
  <c r="J288" i="31"/>
  <c r="F302" i="31"/>
  <c r="D53" i="31"/>
  <c r="H278" i="31"/>
  <c r="J138" i="31"/>
  <c r="H78" i="31"/>
  <c r="M197" i="31"/>
  <c r="H266" i="31"/>
  <c r="E363" i="31"/>
  <c r="F219" i="31"/>
  <c r="D321" i="31"/>
  <c r="J241" i="31"/>
  <c r="H307" i="31"/>
  <c r="M192" i="31"/>
  <c r="D117" i="31"/>
  <c r="M343" i="31"/>
  <c r="I226" i="31"/>
  <c r="C247" i="31"/>
  <c r="J238" i="31"/>
  <c r="E273" i="31"/>
  <c r="G88" i="31"/>
  <c r="E246" i="31"/>
  <c r="M133" i="31"/>
  <c r="G199" i="31"/>
  <c r="M88" i="31"/>
  <c r="H239" i="31"/>
  <c r="C288" i="31"/>
  <c r="K93" i="31"/>
  <c r="D333" i="31"/>
  <c r="N140" i="31"/>
  <c r="M135" i="31"/>
  <c r="G87" i="31"/>
  <c r="I57" i="31"/>
  <c r="K329" i="31"/>
  <c r="G239" i="31"/>
  <c r="D312" i="31"/>
  <c r="M213" i="31"/>
  <c r="D311" i="31"/>
  <c r="F194" i="31"/>
  <c r="L364" i="31"/>
  <c r="G56" i="31"/>
  <c r="N280" i="31"/>
  <c r="J257" i="31"/>
  <c r="K317" i="31"/>
  <c r="J72" i="31"/>
  <c r="I218" i="31"/>
  <c r="G250" i="31"/>
  <c r="F319" i="31"/>
  <c r="N260" i="31"/>
  <c r="G311" i="31"/>
  <c r="E260" i="31"/>
  <c r="F167" i="31"/>
  <c r="G86" i="31"/>
  <c r="E195" i="31"/>
  <c r="C173" i="31"/>
  <c r="J145" i="31"/>
  <c r="L88" i="31"/>
  <c r="K136" i="31"/>
  <c r="G141" i="31"/>
  <c r="C194" i="31"/>
  <c r="N222" i="31"/>
  <c r="E57" i="31"/>
  <c r="G261" i="31"/>
  <c r="N135" i="31"/>
  <c r="N286" i="31"/>
  <c r="M190" i="31"/>
  <c r="M340" i="31"/>
  <c r="E299" i="31"/>
  <c r="G138" i="31"/>
  <c r="M74" i="31"/>
  <c r="E192" i="31"/>
  <c r="F101" i="31"/>
  <c r="C79" i="31"/>
  <c r="K267" i="31"/>
  <c r="G364" i="31"/>
  <c r="J364" i="31"/>
  <c r="J56" i="31"/>
  <c r="N220" i="31"/>
  <c r="C210" i="31"/>
  <c r="M116" i="31"/>
  <c r="N150" i="31"/>
  <c r="D193" i="31"/>
  <c r="H199" i="31"/>
  <c r="J334" i="31"/>
  <c r="C192" i="31"/>
  <c r="H240" i="31"/>
  <c r="L134" i="31"/>
  <c r="M361" i="31"/>
  <c r="J209" i="31"/>
  <c r="K110" i="31"/>
  <c r="J112" i="31"/>
  <c r="D107" i="31"/>
  <c r="D154" i="31"/>
  <c r="L332" i="31"/>
  <c r="M300" i="31"/>
  <c r="K360" i="31"/>
  <c r="N189" i="31"/>
  <c r="C143" i="31"/>
  <c r="C253" i="31"/>
  <c r="N57" i="31"/>
  <c r="F78" i="31"/>
  <c r="C208" i="31"/>
  <c r="K274" i="31"/>
  <c r="E344" i="31"/>
  <c r="M184" i="31"/>
  <c r="L235" i="31"/>
  <c r="I293" i="31"/>
  <c r="D353" i="31"/>
  <c r="C339" i="31"/>
  <c r="N339" i="31"/>
  <c r="N184" i="31"/>
  <c r="F312" i="31"/>
  <c r="J215" i="31"/>
  <c r="I206" i="31"/>
  <c r="J303" i="31"/>
  <c r="D280" i="31"/>
  <c r="D306" i="31"/>
  <c r="C81" i="31"/>
  <c r="G108" i="31"/>
  <c r="L132" i="31"/>
  <c r="K66" i="31"/>
  <c r="I55" i="31"/>
  <c r="K306" i="31"/>
  <c r="D211" i="31"/>
  <c r="F332" i="31"/>
  <c r="G167" i="31"/>
  <c r="D157" i="31"/>
  <c r="D255" i="31"/>
  <c r="N66" i="31"/>
  <c r="K247" i="31"/>
  <c r="G210" i="31"/>
  <c r="N185" i="31"/>
  <c r="L312" i="31"/>
  <c r="N215" i="31"/>
  <c r="H112" i="31"/>
  <c r="D281" i="31"/>
  <c r="N273" i="31"/>
  <c r="K214" i="31"/>
  <c r="M338" i="31"/>
  <c r="K74" i="31"/>
  <c r="C202" i="31"/>
  <c r="F369" i="31"/>
  <c r="H261" i="31"/>
  <c r="N128" i="31"/>
  <c r="E128" i="31"/>
  <c r="G369" i="31"/>
  <c r="N146" i="31"/>
  <c r="I369" i="31"/>
  <c r="K227" i="31"/>
  <c r="J369" i="31"/>
  <c r="L369" i="31"/>
  <c r="I72" i="31"/>
  <c r="K191" i="31"/>
  <c r="M217" i="31"/>
  <c r="N240" i="31"/>
  <c r="C204" i="31"/>
  <c r="D197" i="31"/>
  <c r="N348" i="31"/>
  <c r="E78" i="31"/>
  <c r="I78" i="31"/>
  <c r="C107" i="31"/>
  <c r="L141" i="31"/>
  <c r="D362" i="31"/>
  <c r="H328" i="31"/>
  <c r="D174" i="31"/>
  <c r="H53" i="31"/>
  <c r="L79" i="31"/>
  <c r="L242" i="31"/>
  <c r="L243" i="31"/>
  <c r="N198" i="31"/>
  <c r="I211" i="31"/>
  <c r="G106" i="31"/>
  <c r="G335" i="31"/>
  <c r="G57" i="31"/>
  <c r="G315" i="31"/>
  <c r="K116" i="31"/>
  <c r="C111" i="31"/>
  <c r="M195" i="31"/>
  <c r="E245" i="31"/>
  <c r="J152" i="31"/>
  <c r="N78" i="31"/>
  <c r="G155" i="31"/>
  <c r="J349" i="31"/>
  <c r="J156" i="31"/>
  <c r="L339" i="31"/>
  <c r="M227" i="31"/>
  <c r="H146" i="31"/>
  <c r="F304" i="31"/>
  <c r="D127" i="31"/>
  <c r="H68" i="31"/>
  <c r="E155" i="31"/>
  <c r="M365" i="31"/>
  <c r="E253" i="31"/>
  <c r="M164" i="31"/>
  <c r="D232" i="31"/>
  <c r="K321" i="31"/>
  <c r="L78" i="31"/>
  <c r="M180" i="31"/>
  <c r="J270" i="31"/>
  <c r="K260" i="31"/>
  <c r="J234" i="31"/>
  <c r="M110" i="31"/>
  <c r="L288" i="31"/>
  <c r="C71" i="31"/>
  <c r="H342" i="31"/>
  <c r="L253" i="31"/>
  <c r="F207" i="31"/>
  <c r="G241" i="31"/>
  <c r="L244" i="31"/>
  <c r="L359" i="31"/>
  <c r="G245" i="31"/>
  <c r="D112" i="31"/>
  <c r="G247" i="31"/>
  <c r="K197" i="31"/>
  <c r="N120" i="31"/>
  <c r="D326" i="31"/>
  <c r="E160" i="31"/>
  <c r="E112" i="31"/>
  <c r="J305" i="31"/>
  <c r="N93" i="31"/>
  <c r="J208" i="31"/>
  <c r="C344" i="31"/>
  <c r="L182" i="31"/>
  <c r="G349" i="31"/>
  <c r="D177" i="31"/>
  <c r="J161" i="31"/>
  <c r="J272" i="31"/>
  <c r="C68" i="31"/>
  <c r="K184" i="31"/>
  <c r="I184" i="31"/>
  <c r="C181" i="31"/>
  <c r="L303" i="31"/>
  <c r="L315" i="31"/>
  <c r="G259" i="31"/>
  <c r="I164" i="31"/>
  <c r="C221" i="31"/>
  <c r="J235" i="31"/>
  <c r="E353" i="31"/>
  <c r="J313" i="31"/>
  <c r="J250" i="31"/>
  <c r="J268" i="31"/>
  <c r="G170" i="31"/>
  <c r="H221" i="31"/>
  <c r="N315" i="31"/>
  <c r="H174" i="31"/>
  <c r="K337" i="31"/>
  <c r="H213" i="31"/>
  <c r="M170" i="31"/>
  <c r="L170" i="31"/>
  <c r="G196" i="31"/>
  <c r="E315" i="31"/>
  <c r="E345" i="31"/>
  <c r="J289" i="31"/>
  <c r="G58" i="31"/>
  <c r="E80" i="31"/>
  <c r="C182" i="31"/>
  <c r="L175" i="31"/>
  <c r="K164" i="31"/>
  <c r="D250" i="31"/>
  <c r="E259" i="31"/>
  <c r="J261" i="31"/>
  <c r="K67" i="31"/>
  <c r="K339" i="31"/>
  <c r="H337" i="31"/>
  <c r="C76" i="31"/>
  <c r="M201" i="31"/>
  <c r="L334" i="31"/>
  <c r="J132" i="31"/>
  <c r="I335" i="31"/>
  <c r="H159" i="31"/>
  <c r="F245" i="31"/>
  <c r="H82" i="31"/>
  <c r="N234" i="31"/>
  <c r="E252" i="31"/>
  <c r="D307" i="31"/>
  <c r="C245" i="31"/>
  <c r="H220" i="31"/>
  <c r="M202" i="31"/>
  <c r="D249" i="31"/>
  <c r="M319" i="31"/>
  <c r="E300" i="31"/>
  <c r="C203" i="31"/>
  <c r="H75" i="31"/>
  <c r="J65" i="31"/>
  <c r="K330" i="31"/>
  <c r="J197" i="31"/>
  <c r="K163" i="31"/>
  <c r="J354" i="31"/>
  <c r="J281" i="31"/>
  <c r="E306" i="31"/>
  <c r="I317" i="31"/>
  <c r="E151" i="31"/>
  <c r="G154" i="31"/>
  <c r="F204" i="31"/>
  <c r="M220" i="31"/>
  <c r="I233" i="31"/>
  <c r="K79" i="31"/>
  <c r="D134" i="31"/>
  <c r="D221" i="31"/>
  <c r="L329" i="31"/>
  <c r="M199" i="31"/>
  <c r="N126" i="31"/>
  <c r="D188" i="31"/>
  <c r="K235" i="31"/>
  <c r="E204" i="31"/>
  <c r="G131" i="31"/>
  <c r="F273" i="31"/>
  <c r="K132" i="31"/>
  <c r="G362" i="31"/>
  <c r="F87" i="31"/>
  <c r="N344" i="31"/>
  <c r="M266" i="31"/>
  <c r="E359" i="31"/>
  <c r="D110" i="31"/>
  <c r="J231" i="31"/>
  <c r="E107" i="31"/>
  <c r="M357" i="31"/>
  <c r="H121" i="31"/>
  <c r="C270" i="31"/>
  <c r="J348" i="31"/>
  <c r="L236" i="31"/>
  <c r="F333" i="31"/>
  <c r="K255" i="31"/>
  <c r="F136" i="31"/>
  <c r="M282" i="31"/>
  <c r="E66" i="31"/>
  <c r="G153" i="31"/>
  <c r="L181" i="31"/>
  <c r="F199" i="31"/>
  <c r="E334" i="31"/>
  <c r="K194" i="31"/>
  <c r="E331" i="31"/>
  <c r="I343" i="31"/>
  <c r="H211" i="31"/>
  <c r="K347" i="31"/>
  <c r="I265" i="31"/>
  <c r="H361" i="31"/>
  <c r="E244" i="31"/>
  <c r="G218" i="31"/>
  <c r="F116" i="31"/>
  <c r="H188" i="31"/>
  <c r="K169" i="31"/>
  <c r="N154" i="31"/>
  <c r="K173" i="31"/>
  <c r="M284" i="31"/>
  <c r="I131" i="31"/>
  <c r="F275" i="31"/>
  <c r="I194" i="31"/>
  <c r="J205" i="31"/>
  <c r="I322" i="31"/>
  <c r="M205" i="31"/>
  <c r="N155" i="31"/>
  <c r="F177" i="31"/>
  <c r="M235" i="31"/>
  <c r="N256" i="31"/>
  <c r="D342" i="31"/>
  <c r="F338" i="31"/>
  <c r="E53" i="31"/>
  <c r="L152" i="31"/>
  <c r="E100" i="31"/>
  <c r="D203" i="31"/>
  <c r="I127" i="31"/>
  <c r="J184" i="31"/>
  <c r="C256" i="31"/>
  <c r="L346" i="31"/>
  <c r="L66" i="31"/>
  <c r="E239" i="31"/>
  <c r="N212" i="31"/>
  <c r="G185" i="31"/>
  <c r="G260" i="31"/>
  <c r="I201" i="31"/>
  <c r="N252" i="31"/>
  <c r="J169" i="31"/>
  <c r="D66" i="31"/>
  <c r="L150" i="31"/>
  <c r="K275" i="31"/>
  <c r="F138" i="31"/>
  <c r="E256" i="31"/>
  <c r="C309" i="31"/>
  <c r="N86" i="31"/>
  <c r="J213" i="31"/>
  <c r="I227" i="31"/>
  <c r="M225" i="31"/>
  <c r="C349" i="31"/>
  <c r="K272" i="31"/>
  <c r="E268" i="31"/>
  <c r="D257" i="31"/>
  <c r="J316" i="31"/>
  <c r="D242" i="31"/>
  <c r="I359" i="31"/>
  <c r="E364" i="31"/>
  <c r="I145" i="31"/>
  <c r="E285" i="31"/>
  <c r="J223" i="31"/>
  <c r="C322" i="31"/>
  <c r="J194" i="31"/>
  <c r="H204" i="31"/>
  <c r="G233" i="31"/>
  <c r="N299" i="31"/>
  <c r="K233" i="31"/>
  <c r="L286" i="31"/>
  <c r="L143" i="31"/>
  <c r="C223" i="31"/>
  <c r="K180" i="31"/>
  <c r="J359" i="31"/>
  <c r="D233" i="31"/>
  <c r="M267" i="31"/>
  <c r="C280" i="31"/>
  <c r="C155" i="31"/>
  <c r="J86" i="31"/>
  <c r="D371" i="31"/>
  <c r="D345" i="31"/>
  <c r="J336" i="31"/>
  <c r="N345" i="31"/>
  <c r="M80" i="31"/>
  <c r="C224" i="31"/>
  <c r="D259" i="31"/>
  <c r="I224" i="31"/>
  <c r="J59" i="31"/>
  <c r="K58" i="31"/>
  <c r="E124" i="31"/>
  <c r="C298" i="31"/>
  <c r="E250" i="31"/>
  <c r="K75" i="31"/>
  <c r="I221" i="31"/>
  <c r="G268" i="31"/>
  <c r="F269" i="31"/>
  <c r="D298" i="31"/>
  <c r="M177" i="31"/>
  <c r="H353" i="31"/>
  <c r="F67" i="31"/>
  <c r="D337" i="31"/>
  <c r="H125" i="31"/>
  <c r="F68" i="31"/>
  <c r="K76" i="31"/>
  <c r="J164" i="31"/>
  <c r="F255" i="31"/>
  <c r="M54" i="31"/>
  <c r="M293" i="31"/>
  <c r="N170" i="31"/>
  <c r="J372" i="31"/>
  <c r="I54" i="31"/>
  <c r="I170" i="31"/>
  <c r="D163" i="31"/>
  <c r="L54" i="31"/>
  <c r="H255" i="31"/>
  <c r="K353" i="31"/>
  <c r="E297" i="31"/>
  <c r="H313" i="31"/>
  <c r="E163" i="31"/>
  <c r="F170" i="31"/>
  <c r="G200" i="31"/>
  <c r="G224" i="31"/>
  <c r="L75" i="31"/>
  <c r="D336" i="31"/>
  <c r="N263" i="31"/>
  <c r="G353" i="31"/>
  <c r="H100" i="31"/>
  <c r="D200" i="31"/>
  <c r="H243" i="31"/>
  <c r="L269" i="31"/>
  <c r="J101" i="31"/>
  <c r="I303" i="31"/>
  <c r="K181" i="31"/>
  <c r="C144" i="31"/>
  <c r="D168" i="31"/>
  <c r="G177" i="31"/>
  <c r="N75" i="31"/>
  <c r="F350" i="31"/>
  <c r="J293" i="31"/>
  <c r="K367" i="31"/>
  <c r="L248" i="31"/>
  <c r="J170" i="31"/>
  <c r="H93" i="31"/>
  <c r="J189" i="31"/>
  <c r="D361" i="31"/>
  <c r="C199" i="31"/>
  <c r="N247" i="31"/>
  <c r="E322" i="31"/>
  <c r="M173" i="31"/>
  <c r="H133" i="31"/>
  <c r="F229" i="31"/>
  <c r="K357" i="31"/>
  <c r="N248" i="31"/>
  <c r="L273" i="31"/>
  <c r="C272" i="31"/>
  <c r="E240" i="31"/>
  <c r="E258" i="31"/>
  <c r="D133" i="31"/>
  <c r="D109" i="31"/>
  <c r="M66" i="31"/>
  <c r="I235" i="31"/>
  <c r="F184" i="31"/>
  <c r="L184" i="31"/>
  <c r="C184" i="31"/>
  <c r="G354" i="31"/>
  <c r="C369" i="31"/>
  <c r="I86" i="31"/>
  <c r="K313" i="31"/>
  <c r="G300" i="31"/>
  <c r="J75" i="31"/>
  <c r="J339" i="31"/>
  <c r="C259" i="31"/>
  <c r="E224" i="31"/>
  <c r="D196" i="31"/>
  <c r="L224" i="31"/>
  <c r="D149" i="31"/>
  <c r="D80" i="31"/>
  <c r="J371" i="31"/>
  <c r="H170" i="31"/>
  <c r="H165" i="31"/>
  <c r="C289" i="31"/>
  <c r="K336" i="31"/>
  <c r="G101" i="31"/>
  <c r="C175" i="31"/>
  <c r="N261" i="31"/>
  <c r="N174" i="31"/>
  <c r="E301" i="31"/>
  <c r="G297" i="31"/>
  <c r="C124" i="31"/>
  <c r="I174" i="31"/>
  <c r="L258" i="31"/>
  <c r="H339" i="31"/>
  <c r="L124" i="31"/>
  <c r="L305" i="31"/>
  <c r="I146" i="31"/>
  <c r="J216" i="31"/>
  <c r="N101" i="31"/>
  <c r="K100" i="31"/>
  <c r="C325" i="31"/>
  <c r="I255" i="31"/>
  <c r="E305" i="31"/>
  <c r="I345" i="31"/>
  <c r="C146" i="31"/>
  <c r="C345" i="31"/>
  <c r="C193" i="31"/>
  <c r="J76" i="31"/>
  <c r="I144" i="31"/>
  <c r="D68" i="31"/>
  <c r="N68" i="31"/>
  <c r="M68" i="31"/>
  <c r="D101" i="31"/>
  <c r="C177" i="31"/>
  <c r="H303" i="31"/>
  <c r="K309" i="31"/>
  <c r="F305" i="31"/>
  <c r="L221" i="31"/>
  <c r="D129" i="31"/>
  <c r="H336" i="31"/>
  <c r="C54" i="31"/>
  <c r="M101" i="31"/>
  <c r="H315" i="31"/>
  <c r="K300" i="31"/>
  <c r="J337" i="31"/>
  <c r="I193" i="31"/>
  <c r="E170" i="31"/>
  <c r="C101" i="31"/>
  <c r="N221" i="31"/>
  <c r="F124" i="31"/>
  <c r="F224" i="31"/>
  <c r="N67" i="31"/>
  <c r="E221" i="31"/>
  <c r="E337" i="31"/>
  <c r="G221" i="31"/>
  <c r="M353" i="31"/>
  <c r="K149" i="31"/>
  <c r="N353" i="31"/>
  <c r="I100" i="31"/>
  <c r="G303" i="31"/>
  <c r="F301" i="31"/>
  <c r="L353" i="31"/>
  <c r="M175" i="31"/>
  <c r="J221" i="31"/>
  <c r="I129" i="31"/>
  <c r="G313" i="31"/>
  <c r="M124" i="31"/>
  <c r="K315" i="31"/>
  <c r="N111" i="31"/>
  <c r="F354" i="31"/>
  <c r="J87" i="31"/>
  <c r="H253" i="31"/>
  <c r="D175" i="31"/>
  <c r="K130" i="31"/>
  <c r="F121" i="31"/>
  <c r="I199" i="31"/>
  <c r="M151" i="31"/>
  <c r="N71" i="31"/>
  <c r="C99" i="31"/>
  <c r="H88" i="31"/>
  <c r="F150" i="31"/>
  <c r="K199" i="31"/>
  <c r="N142" i="31"/>
  <c r="E265" i="31"/>
  <c r="K251" i="31"/>
  <c r="C215" i="31"/>
  <c r="K304" i="31"/>
  <c r="H319" i="31"/>
  <c r="E206" i="31"/>
  <c r="M275" i="31"/>
  <c r="H107" i="31"/>
  <c r="H160" i="31"/>
  <c r="M334" i="31"/>
  <c r="C336" i="31"/>
  <c r="I71" i="31"/>
  <c r="M131" i="31"/>
  <c r="E190" i="31"/>
  <c r="M86" i="31"/>
  <c r="D236" i="31"/>
  <c r="L277" i="31"/>
  <c r="K123" i="31"/>
  <c r="N105" i="31"/>
  <c r="N293" i="31"/>
  <c r="H235" i="31"/>
  <c r="I357" i="31"/>
  <c r="D272" i="31"/>
  <c r="I240" i="31"/>
  <c r="I264" i="31"/>
  <c r="I284" i="31"/>
  <c r="K243" i="31"/>
  <c r="N250" i="31"/>
  <c r="G279" i="31"/>
  <c r="F268" i="31"/>
  <c r="L213" i="31"/>
  <c r="K122" i="31"/>
  <c r="H128" i="31"/>
  <c r="I330" i="31"/>
  <c r="H142" i="31"/>
  <c r="L365" i="31"/>
  <c r="M344" i="31"/>
  <c r="M280" i="31"/>
  <c r="L266" i="31"/>
  <c r="D324" i="31"/>
  <c r="K124" i="31"/>
  <c r="F189" i="31"/>
  <c r="I167" i="31"/>
  <c r="L162" i="31"/>
  <c r="J287" i="31"/>
  <c r="M128" i="31"/>
  <c r="J345" i="31"/>
  <c r="E184" i="31"/>
  <c r="M228" i="31"/>
  <c r="G125" i="31"/>
  <c r="D289" i="31"/>
  <c r="J259" i="31"/>
  <c r="D350" i="31"/>
  <c r="F315" i="31"/>
  <c r="J177" i="31"/>
  <c r="F353" i="31"/>
  <c r="M309" i="31"/>
  <c r="C170" i="31"/>
  <c r="D225" i="31"/>
  <c r="J325" i="31"/>
  <c r="M268" i="31"/>
  <c r="J80" i="31"/>
  <c r="F213" i="31"/>
  <c r="N224" i="31"/>
  <c r="G80" i="31"/>
  <c r="J300" i="31"/>
  <c r="L293" i="31"/>
  <c r="G175" i="31"/>
  <c r="L261" i="31"/>
  <c r="H166" i="31"/>
  <c r="D339" i="31"/>
  <c r="N259" i="31"/>
  <c r="I353" i="31"/>
  <c r="C164" i="31"/>
  <c r="D67" i="31"/>
  <c r="C75" i="31"/>
  <c r="H111" i="31"/>
  <c r="M244" i="31"/>
  <c r="D192" i="31"/>
  <c r="N244" i="31"/>
  <c r="F256" i="31"/>
  <c r="I360" i="31"/>
  <c r="L190" i="31"/>
  <c r="H176" i="31"/>
  <c r="H312" i="31"/>
  <c r="G252" i="31"/>
  <c r="N340" i="31"/>
  <c r="M364" i="31"/>
  <c r="N245" i="31"/>
  <c r="C185" i="31"/>
  <c r="C242" i="31"/>
  <c r="K155" i="31"/>
  <c r="D87" i="31"/>
  <c r="G159" i="31"/>
  <c r="M123" i="31"/>
  <c r="G149" i="31"/>
  <c r="F344" i="31"/>
  <c r="G188" i="31"/>
  <c r="C238" i="31"/>
  <c r="C201" i="31"/>
  <c r="L197" i="31"/>
  <c r="H81" i="31"/>
  <c r="J74" i="31"/>
  <c r="E231" i="31"/>
  <c r="C319" i="31"/>
  <c r="D173" i="31"/>
  <c r="K112" i="31"/>
  <c r="K276" i="31"/>
  <c r="L264" i="31"/>
  <c r="D347" i="31"/>
  <c r="I117" i="31"/>
  <c r="N262" i="31"/>
  <c r="H308" i="31"/>
  <c r="K254" i="31"/>
  <c r="C337" i="31"/>
  <c r="J163" i="31"/>
  <c r="C315" i="31"/>
  <c r="D319" i="31"/>
  <c r="I275" i="31"/>
  <c r="L218" i="31"/>
  <c r="E226" i="31"/>
  <c r="H131" i="31"/>
  <c r="C112" i="31"/>
  <c r="M121" i="31"/>
  <c r="J275" i="31"/>
  <c r="I267" i="31"/>
  <c r="H279" i="31"/>
  <c r="E249" i="31"/>
  <c r="E276" i="31"/>
  <c r="I125" i="31"/>
  <c r="M189" i="31"/>
  <c r="G332" i="31"/>
  <c r="F271" i="31"/>
  <c r="C220" i="31"/>
  <c r="L188" i="31"/>
  <c r="E174" i="31"/>
  <c r="D74" i="31"/>
  <c r="F250" i="31"/>
  <c r="E247" i="31"/>
  <c r="I311" i="31"/>
  <c r="J332" i="31"/>
  <c r="G124" i="31"/>
  <c r="I208" i="31"/>
  <c r="I326" i="31"/>
  <c r="L255" i="31"/>
  <c r="F270" i="31"/>
  <c r="I346" i="31"/>
  <c r="M281" i="31"/>
  <c r="J262" i="31"/>
  <c r="D198" i="31"/>
  <c r="L246" i="31"/>
  <c r="D313" i="31"/>
  <c r="D148" i="31"/>
  <c r="L128" i="31"/>
  <c r="D204" i="31"/>
  <c r="D293" i="31"/>
  <c r="D256" i="31"/>
  <c r="L347" i="31"/>
  <c r="D266" i="31"/>
  <c r="I223" i="31"/>
  <c r="M106" i="31"/>
  <c r="N158" i="31"/>
  <c r="G110" i="31"/>
  <c r="G339" i="31"/>
  <c r="H184" i="31"/>
  <c r="K365" i="31"/>
  <c r="N123" i="31"/>
  <c r="D282" i="31"/>
  <c r="H208" i="31"/>
  <c r="K57" i="31"/>
  <c r="N328" i="31"/>
  <c r="K176" i="31"/>
  <c r="M134" i="31"/>
  <c r="D155" i="31"/>
  <c r="D369" i="31"/>
  <c r="G150" i="31"/>
  <c r="C317" i="31"/>
  <c r="H277" i="31"/>
  <c r="J153" i="31"/>
  <c r="I73" i="31"/>
  <c r="C197" i="31"/>
  <c r="N162" i="31"/>
  <c r="G237" i="31"/>
  <c r="J120" i="31"/>
  <c r="D227" i="31"/>
  <c r="H169" i="31"/>
  <c r="G338" i="31"/>
  <c r="N116" i="31"/>
  <c r="F247" i="31"/>
  <c r="F71" i="31"/>
  <c r="J128" i="31"/>
  <c r="I344" i="31"/>
  <c r="G344" i="31"/>
  <c r="C297" i="31"/>
  <c r="E68" i="31"/>
  <c r="H369" i="31"/>
  <c r="E336" i="31"/>
  <c r="N365" i="31"/>
  <c r="K331" i="31"/>
  <c r="N239" i="31"/>
  <c r="N243" i="31"/>
  <c r="H297" i="31"/>
  <c r="K170" i="31"/>
  <c r="L177" i="31"/>
  <c r="K345" i="31"/>
  <c r="L100" i="31"/>
  <c r="F258" i="31"/>
  <c r="F164" i="31"/>
  <c r="D97" i="31"/>
  <c r="G182" i="31"/>
  <c r="J168" i="31"/>
  <c r="L345" i="31"/>
  <c r="D305" i="31"/>
  <c r="J125" i="31"/>
  <c r="G181" i="31"/>
  <c r="J284" i="31"/>
  <c r="F162" i="31"/>
  <c r="J245" i="31"/>
  <c r="K343" i="31"/>
  <c r="J324" i="31"/>
  <c r="F293" i="31"/>
  <c r="L282" i="31"/>
  <c r="D142" i="31"/>
  <c r="D235" i="31"/>
  <c r="C254" i="31"/>
  <c r="K266" i="31"/>
  <c r="L176" i="31"/>
  <c r="M163" i="31"/>
  <c r="I363" i="31"/>
  <c r="D220" i="31"/>
  <c r="H219" i="31"/>
  <c r="K192" i="31"/>
  <c r="M360" i="31"/>
  <c r="H71" i="31"/>
  <c r="E282" i="31"/>
  <c r="G215" i="31"/>
  <c r="L204" i="31"/>
  <c r="K346" i="31"/>
  <c r="I269" i="31"/>
  <c r="H167" i="31"/>
  <c r="K220" i="31"/>
  <c r="K332" i="31"/>
  <c r="D119" i="31"/>
  <c r="K333" i="31"/>
  <c r="H349" i="31"/>
  <c r="E199" i="31"/>
  <c r="J214" i="31"/>
  <c r="C131" i="31"/>
  <c r="N194" i="31"/>
  <c r="K151" i="31"/>
  <c r="C338" i="31"/>
  <c r="G255" i="31"/>
  <c r="G229" i="31"/>
  <c r="C159" i="31"/>
  <c r="J180" i="31"/>
  <c r="F175" i="31"/>
  <c r="M181" i="31"/>
  <c r="L208" i="31"/>
  <c r="K344" i="31"/>
  <c r="I305" i="31"/>
  <c r="J224" i="31"/>
  <c r="N164" i="31"/>
  <c r="J67" i="31"/>
  <c r="L163" i="31"/>
  <c r="C261" i="31"/>
  <c r="C353" i="31"/>
  <c r="M67" i="31"/>
  <c r="N181" i="31"/>
  <c r="K68" i="31"/>
  <c r="G163" i="31"/>
  <c r="E339" i="31"/>
  <c r="K261" i="31"/>
  <c r="N125" i="31"/>
  <c r="J175" i="31"/>
  <c r="C348" i="31"/>
  <c r="N283" i="31"/>
  <c r="L310" i="31"/>
  <c r="F300" i="31"/>
  <c r="H119" i="31"/>
  <c r="I112" i="31"/>
  <c r="I312" i="31"/>
  <c r="D261" i="31"/>
  <c r="I124" i="31"/>
  <c r="M307" i="31"/>
  <c r="I243" i="31"/>
  <c r="G324" i="31"/>
  <c r="C77" i="31"/>
  <c r="H288" i="31"/>
  <c r="I241" i="31"/>
  <c r="M153" i="31"/>
  <c r="I334" i="31"/>
  <c r="L131" i="31"/>
  <c r="G267" i="31"/>
  <c r="N110" i="31"/>
  <c r="F334" i="31"/>
  <c r="L105" i="31"/>
  <c r="G148" i="31"/>
  <c r="D219" i="31"/>
  <c r="N173" i="31"/>
  <c r="N308" i="31"/>
  <c r="G322" i="31"/>
  <c r="M160" i="31"/>
  <c r="J331" i="31"/>
  <c r="K284" i="31"/>
  <c r="J246" i="31"/>
  <c r="L240" i="31"/>
  <c r="G326" i="31"/>
  <c r="G220" i="31"/>
  <c r="K106" i="31"/>
  <c r="G151" i="31"/>
  <c r="H138" i="31"/>
  <c r="M349" i="31"/>
  <c r="K212" i="31"/>
  <c r="C217" i="31"/>
  <c r="G74" i="31"/>
  <c r="I169" i="31"/>
  <c r="C148" i="31"/>
  <c r="E243" i="31"/>
  <c r="G187" i="31"/>
  <c r="I300" i="31"/>
  <c r="E121" i="31"/>
  <c r="N54" i="31"/>
  <c r="L111" i="31"/>
  <c r="G346" i="31"/>
  <c r="C157" i="31"/>
  <c r="C153" i="31"/>
  <c r="N151" i="31"/>
  <c r="D191" i="31"/>
  <c r="I268" i="31"/>
  <c r="M215" i="31"/>
  <c r="L287" i="31"/>
  <c r="H363" i="31"/>
  <c r="H269" i="31"/>
  <c r="C273" i="31"/>
  <c r="G160" i="31"/>
  <c r="J55" i="31"/>
  <c r="D86" i="31"/>
  <c r="E338" i="31"/>
  <c r="C277" i="31"/>
  <c r="F202" i="31"/>
  <c r="D253" i="31"/>
  <c r="D288" i="31"/>
  <c r="L116" i="31"/>
  <c r="N176" i="31"/>
  <c r="I257" i="31"/>
  <c r="I288" i="31"/>
  <c r="K174" i="31"/>
  <c r="K121" i="31"/>
  <c r="H299" i="31"/>
  <c r="I139" i="31"/>
  <c r="J282" i="31"/>
  <c r="I192" i="31"/>
  <c r="N279" i="31"/>
  <c r="L281" i="31"/>
  <c r="J239" i="31"/>
  <c r="I229" i="31"/>
  <c r="J154" i="31"/>
  <c r="H226" i="31"/>
  <c r="J142" i="31"/>
  <c r="I247" i="31"/>
  <c r="E207" i="31"/>
  <c r="K239" i="31"/>
  <c r="L344" i="31"/>
  <c r="J171" i="31"/>
  <c r="M330" i="31"/>
  <c r="N235" i="31"/>
  <c r="H248" i="31"/>
  <c r="M286" i="31"/>
  <c r="K77" i="31"/>
  <c r="J191" i="31"/>
  <c r="N226" i="31"/>
  <c r="D216" i="31"/>
  <c r="F235" i="31"/>
  <c r="D122" i="31"/>
  <c r="E67" i="31"/>
  <c r="E330" i="31"/>
  <c r="I66" i="31"/>
  <c r="I339" i="31"/>
  <c r="M255" i="31"/>
  <c r="D317" i="31"/>
  <c r="I173" i="31"/>
  <c r="H65" i="31"/>
  <c r="H249" i="31"/>
  <c r="C312" i="31"/>
  <c r="M237" i="31"/>
  <c r="I361" i="31"/>
  <c r="F253" i="31"/>
  <c r="K148" i="31"/>
  <c r="E159" i="31"/>
  <c r="L174" i="31"/>
  <c r="K230" i="31"/>
  <c r="G184" i="31"/>
  <c r="G272" i="31"/>
  <c r="F345" i="31"/>
  <c r="D184" i="31"/>
  <c r="N336" i="31"/>
  <c r="J304" i="31"/>
  <c r="L74" i="31"/>
  <c r="I283" i="31"/>
  <c r="C135" i="31"/>
  <c r="H267" i="31"/>
  <c r="G152" i="31"/>
  <c r="C342" i="31"/>
  <c r="G142" i="31"/>
  <c r="E203" i="31"/>
  <c r="F231" i="31"/>
  <c r="I271" i="31"/>
  <c r="I253" i="31"/>
  <c r="M332" i="31"/>
  <c r="F310" i="31"/>
  <c r="I306" i="31"/>
  <c r="H74" i="31"/>
  <c r="J66" i="31"/>
  <c r="E157" i="31"/>
  <c r="L254" i="31"/>
  <c r="M231" i="31"/>
  <c r="J126" i="31"/>
  <c r="D278" i="31"/>
  <c r="M313" i="31"/>
  <c r="D230" i="31"/>
  <c r="I80" i="31"/>
  <c r="E369" i="31"/>
  <c r="K127" i="31"/>
  <c r="D156" i="31"/>
  <c r="K369" i="31"/>
  <c r="I313" i="31"/>
  <c r="K298" i="31"/>
  <c r="N289" i="31"/>
  <c r="J68" i="31"/>
  <c r="D268" i="31"/>
  <c r="E303" i="31"/>
  <c r="M303" i="31"/>
  <c r="E289" i="31"/>
  <c r="G213" i="31"/>
  <c r="D54" i="31"/>
  <c r="G309" i="31"/>
  <c r="I213" i="31"/>
  <c r="F221" i="31"/>
  <c r="H224" i="31"/>
  <c r="H54" i="31"/>
  <c r="F298" i="31"/>
  <c r="L289" i="31"/>
  <c r="D372" i="31"/>
  <c r="K269" i="31"/>
  <c r="G264" i="31"/>
  <c r="L306" i="31"/>
  <c r="H250" i="31"/>
  <c r="K56" i="31"/>
  <c r="M109" i="31"/>
  <c r="C198" i="31"/>
  <c r="H106" i="31"/>
  <c r="C134" i="31"/>
  <c r="G119" i="31"/>
  <c r="C235" i="31"/>
  <c r="N270" i="31"/>
  <c r="D359" i="31"/>
  <c r="M176" i="31"/>
  <c r="G359" i="31"/>
  <c r="F176" i="31"/>
  <c r="L207" i="31"/>
  <c r="H317" i="31"/>
  <c r="F143" i="31"/>
  <c r="F362" i="31"/>
  <c r="C218" i="31"/>
  <c r="K252" i="31"/>
  <c r="N143" i="31"/>
  <c r="F266" i="31"/>
  <c r="L149" i="31"/>
  <c r="H265" i="31"/>
  <c r="H334" i="31"/>
  <c r="G194" i="31"/>
  <c r="G79" i="31"/>
  <c r="L108" i="31"/>
  <c r="F313" i="31"/>
  <c r="H162" i="31"/>
  <c r="M182" i="31"/>
  <c r="J151" i="31"/>
  <c r="N282" i="31"/>
  <c r="D357" i="31"/>
  <c r="M345" i="31"/>
  <c r="F349" i="31"/>
  <c r="C154" i="31"/>
  <c r="C248" i="31"/>
  <c r="E209" i="31"/>
  <c r="H77" i="31"/>
  <c r="I109" i="31"/>
  <c r="K297" i="31"/>
  <c r="M230" i="31"/>
  <c r="K258" i="31"/>
  <c r="F54" i="31"/>
  <c r="H258" i="31"/>
  <c r="K182" i="31"/>
  <c r="H149" i="31"/>
  <c r="M289" i="31"/>
  <c r="K213" i="31"/>
  <c r="E54" i="31"/>
  <c r="N182" i="31"/>
  <c r="E350" i="31"/>
  <c r="G345" i="31"/>
  <c r="H300" i="31"/>
  <c r="D303" i="31"/>
  <c r="AO167" i="34" l="1"/>
  <c r="AX167" i="34"/>
  <c r="AV167" i="34"/>
  <c r="AT78" i="34"/>
  <c r="AR78" i="34"/>
  <c r="AO318" i="34"/>
  <c r="AX78" i="34"/>
  <c r="AO144" i="34"/>
  <c r="AT301" i="34"/>
  <c r="AN220" i="34"/>
  <c r="AN115" i="34"/>
  <c r="AT132" i="34"/>
  <c r="AT133" i="34"/>
  <c r="AU319" i="34"/>
  <c r="AS240" i="34"/>
  <c r="AR144" i="34"/>
  <c r="AS112" i="34"/>
  <c r="AS322" i="34"/>
  <c r="AS107" i="34"/>
  <c r="AW220" i="34"/>
  <c r="AU95" i="34"/>
  <c r="AU97" i="34"/>
  <c r="AV176" i="34"/>
  <c r="AT220" i="34"/>
  <c r="AS81" i="34"/>
  <c r="AS225" i="34"/>
  <c r="AW276" i="34"/>
  <c r="AP318" i="34"/>
  <c r="AR167" i="34"/>
  <c r="AQ167" i="34"/>
  <c r="AX248" i="34"/>
  <c r="AS167" i="34"/>
  <c r="AQ73" i="34"/>
  <c r="AT116" i="34"/>
  <c r="AT117" i="34"/>
  <c r="AU52" i="34"/>
  <c r="AR52" i="34"/>
  <c r="AV76" i="34"/>
  <c r="AT11" i="34"/>
  <c r="AW301" i="34"/>
  <c r="AX252" i="34"/>
  <c r="AR249" i="34"/>
  <c r="AR132" i="34"/>
  <c r="AR133" i="34"/>
  <c r="AV260" i="34"/>
  <c r="AN252" i="34"/>
  <c r="AS52" i="34"/>
  <c r="AS151" i="34"/>
  <c r="AS147" i="34"/>
  <c r="AR80" i="34"/>
  <c r="AO241" i="34"/>
  <c r="AP260" i="34"/>
  <c r="AQ27" i="34"/>
  <c r="AO76" i="34"/>
  <c r="AX31" i="34"/>
  <c r="AN132" i="34"/>
  <c r="AN133" i="34"/>
  <c r="AT80" i="34"/>
  <c r="AT176" i="34"/>
  <c r="AR27" i="34"/>
  <c r="AV115" i="34"/>
  <c r="AQ176" i="34"/>
  <c r="AT321" i="34"/>
  <c r="AP240" i="34"/>
  <c r="AR176" i="34"/>
  <c r="AR210" i="34"/>
  <c r="AR31" i="34"/>
  <c r="AN179" i="34"/>
  <c r="AN214" i="34"/>
  <c r="AU144" i="34"/>
  <c r="AO132" i="34"/>
  <c r="AO133" i="34"/>
  <c r="AV214" i="34"/>
  <c r="AX176" i="34"/>
  <c r="AQ301" i="34"/>
  <c r="AN241" i="34"/>
  <c r="AM241" i="34"/>
  <c r="AV248" i="34"/>
  <c r="AM116" i="34"/>
  <c r="AM117" i="34"/>
  <c r="AT144" i="34"/>
  <c r="AP76" i="34"/>
  <c r="AO112" i="34"/>
  <c r="AO322" i="34"/>
  <c r="AO107" i="34"/>
  <c r="AM112" i="34"/>
  <c r="AM322" i="34"/>
  <c r="AM167" i="34"/>
  <c r="AM107" i="34"/>
  <c r="AQ115" i="34"/>
  <c r="AX9" i="34"/>
  <c r="AS248" i="34"/>
  <c r="AV301" i="34"/>
  <c r="AW144" i="34"/>
  <c r="AX80" i="34"/>
  <c r="AS27" i="34"/>
  <c r="AP53" i="34"/>
  <c r="AM252" i="34"/>
  <c r="AP95" i="34"/>
  <c r="AP97" i="34"/>
  <c r="AR214" i="34"/>
  <c r="AU167" i="34"/>
  <c r="AR73" i="34"/>
  <c r="AT73" i="34"/>
  <c r="AP167" i="34"/>
  <c r="AV241" i="34"/>
  <c r="AU276" i="34"/>
  <c r="AT248" i="34"/>
  <c r="AQ80" i="34"/>
  <c r="AS116" i="34"/>
  <c r="AS117" i="34"/>
  <c r="AV95" i="34"/>
  <c r="AV97" i="34"/>
  <c r="AV112" i="34"/>
  <c r="AV322" i="34"/>
  <c r="AV107" i="34"/>
  <c r="AN260" i="34"/>
  <c r="AV52" i="34"/>
  <c r="AM76" i="34"/>
  <c r="AR126" i="34"/>
  <c r="AR128" i="34"/>
  <c r="AP112" i="34"/>
  <c r="AP322" i="34"/>
  <c r="AP107" i="34"/>
  <c r="AU172" i="34"/>
  <c r="AU175" i="34"/>
  <c r="AP214" i="34"/>
  <c r="AX126" i="34"/>
  <c r="AX128" i="34"/>
  <c r="AS126" i="34"/>
  <c r="AS128" i="34"/>
  <c r="AN318" i="34"/>
  <c r="AN27" i="34"/>
  <c r="AO249" i="34"/>
  <c r="AW248" i="34"/>
  <c r="AT274" i="34"/>
  <c r="AT278" i="34"/>
  <c r="AQ252" i="34"/>
  <c r="AU210" i="34"/>
  <c r="AW112" i="34"/>
  <c r="AW322" i="34"/>
  <c r="AW167" i="34"/>
  <c r="AW107" i="34"/>
  <c r="AU240" i="34"/>
  <c r="AQ78" i="34"/>
  <c r="AQ112" i="34"/>
  <c r="AQ322" i="34"/>
  <c r="AQ107" i="34"/>
  <c r="AS214" i="34"/>
  <c r="AW27" i="34"/>
  <c r="AV210" i="34"/>
  <c r="AV31" i="34"/>
  <c r="AM214" i="34"/>
  <c r="AO220" i="34"/>
  <c r="AX116" i="34"/>
  <c r="AX117" i="34"/>
  <c r="AP176" i="34"/>
  <c r="AO27" i="34"/>
  <c r="AV144" i="34"/>
  <c r="AW252" i="34"/>
  <c r="AS132" i="34"/>
  <c r="AS133" i="34"/>
  <c r="AO260" i="34"/>
  <c r="AX112" i="34"/>
  <c r="AX322" i="34"/>
  <c r="AX107" i="34"/>
  <c r="AT241" i="34"/>
  <c r="AU10" i="34"/>
  <c r="AQ276" i="34"/>
  <c r="AS260" i="34"/>
  <c r="AM31" i="34"/>
  <c r="AQ249" i="34"/>
  <c r="AX256" i="34"/>
  <c r="AN321" i="34"/>
  <c r="AX73" i="34"/>
  <c r="AU112" i="34"/>
  <c r="AU322" i="34"/>
  <c r="AU107" i="34"/>
  <c r="AR112" i="34"/>
  <c r="AR107" i="34"/>
  <c r="AR322" i="34"/>
  <c r="AP116" i="34"/>
  <c r="AP117" i="34"/>
  <c r="AS176" i="34"/>
  <c r="AW214" i="34"/>
  <c r="AM274" i="34"/>
  <c r="AM278" i="34"/>
  <c r="AP132" i="34"/>
  <c r="AP133" i="34"/>
  <c r="AP210" i="34"/>
  <c r="AO115" i="34"/>
  <c r="AX241" i="34"/>
  <c r="AT252" i="34"/>
  <c r="AO53" i="34"/>
  <c r="AP144" i="34"/>
  <c r="AR256" i="34"/>
  <c r="AQ220" i="34"/>
  <c r="AM301" i="34"/>
  <c r="AX144" i="34"/>
  <c r="AM151" i="34"/>
  <c r="AM147" i="34"/>
  <c r="AR240" i="34"/>
  <c r="AQ240" i="34"/>
  <c r="AW76" i="34"/>
  <c r="AM176" i="34"/>
  <c r="AU116" i="34"/>
  <c r="AU117" i="34"/>
  <c r="AV27" i="34"/>
  <c r="AN81" i="34"/>
  <c r="AN225" i="34"/>
  <c r="AW241" i="34"/>
  <c r="AO176" i="34"/>
  <c r="AO214" i="34"/>
  <c r="AQ10" i="34"/>
  <c r="E371" i="31"/>
  <c r="F171" i="31"/>
  <c r="M125" i="31"/>
  <c r="E263" i="31"/>
  <c r="N156" i="31"/>
  <c r="C350" i="31"/>
  <c r="E76" i="31"/>
  <c r="L171" i="31"/>
  <c r="K224" i="31"/>
  <c r="E171" i="31"/>
  <c r="D130" i="31"/>
  <c r="D274" i="31"/>
  <c r="E298" i="31"/>
  <c r="C200" i="31"/>
  <c r="N89" i="31"/>
  <c r="D164" i="31"/>
  <c r="C323" i="31"/>
  <c r="J327" i="31"/>
  <c r="F309" i="31"/>
  <c r="N129" i="31"/>
  <c r="E193" i="31"/>
  <c r="L164" i="31"/>
  <c r="K144" i="31"/>
  <c r="I297" i="31"/>
  <c r="E181" i="31"/>
  <c r="I161" i="31"/>
  <c r="N305" i="31"/>
  <c r="D89" i="31"/>
  <c r="G298" i="31"/>
  <c r="D301" i="31"/>
  <c r="H305" i="31"/>
  <c r="L350" i="31"/>
  <c r="I181" i="31"/>
  <c r="L371" i="31"/>
  <c r="N225" i="31"/>
  <c r="J225" i="31"/>
  <c r="G156" i="31"/>
  <c r="K259" i="31"/>
  <c r="E182" i="31"/>
  <c r="L309" i="31"/>
  <c r="E156" i="31"/>
  <c r="C196" i="31"/>
  <c r="E164" i="31"/>
  <c r="M325" i="31"/>
  <c r="E97" i="31"/>
  <c r="F371" i="31"/>
  <c r="H371" i="31"/>
  <c r="C263" i="31"/>
  <c r="N175" i="31"/>
  <c r="H76" i="31"/>
  <c r="G171" i="31"/>
  <c r="M171" i="31"/>
  <c r="N177" i="31"/>
  <c r="I309" i="31"/>
  <c r="C290" i="31"/>
  <c r="N122" i="31"/>
  <c r="I216" i="31"/>
  <c r="I166" i="31"/>
  <c r="L216" i="31"/>
  <c r="J166" i="31"/>
  <c r="D181" i="31"/>
  <c r="L225" i="31"/>
  <c r="M269" i="31"/>
  <c r="K59" i="31"/>
  <c r="I76" i="31"/>
  <c r="I130" i="31"/>
  <c r="J181" i="31"/>
  <c r="G371" i="31"/>
  <c r="H80" i="31"/>
  <c r="M193" i="31"/>
  <c r="H193" i="31"/>
  <c r="L144" i="31"/>
  <c r="G289" i="31"/>
  <c r="M156" i="31"/>
  <c r="K325" i="31"/>
  <c r="K289" i="31"/>
  <c r="F225" i="31"/>
  <c r="N216" i="31"/>
  <c r="L80" i="31"/>
  <c r="J182" i="31"/>
  <c r="F102" i="31"/>
  <c r="N171" i="31"/>
  <c r="N80" i="31"/>
  <c r="H161" i="31"/>
  <c r="I371" i="31"/>
  <c r="D367" i="31"/>
  <c r="H129" i="31"/>
  <c r="G59" i="31"/>
  <c r="I196" i="31"/>
  <c r="E367" i="31"/>
  <c r="L259" i="31"/>
  <c r="F97" i="31"/>
  <c r="G325" i="31"/>
  <c r="G76" i="31"/>
  <c r="E269" i="31"/>
  <c r="D370" i="31"/>
  <c r="L125" i="31"/>
  <c r="F144" i="31"/>
  <c r="C156" i="31"/>
  <c r="I289" i="31"/>
  <c r="H171" i="31"/>
  <c r="I175" i="31"/>
  <c r="D228" i="31"/>
  <c r="L263" i="31"/>
  <c r="C301" i="31"/>
  <c r="H181" i="31"/>
  <c r="J129" i="31"/>
  <c r="E216" i="31"/>
  <c r="H101" i="31"/>
  <c r="J370" i="31"/>
  <c r="I263" i="31"/>
  <c r="D269" i="31"/>
  <c r="L146" i="31"/>
  <c r="H298" i="31"/>
  <c r="H259" i="31"/>
  <c r="G122" i="31"/>
  <c r="M350" i="31"/>
  <c r="E290" i="31"/>
  <c r="G161" i="31"/>
  <c r="K193" i="31"/>
  <c r="D290" i="31"/>
  <c r="C225" i="31"/>
  <c r="D263" i="31"/>
  <c r="C98" i="31"/>
  <c r="I171" i="31"/>
  <c r="M297" i="31"/>
  <c r="J290" i="31"/>
  <c r="N371" i="31"/>
  <c r="E89" i="31"/>
  <c r="L161" i="31"/>
  <c r="K161" i="31"/>
  <c r="N58" i="31"/>
  <c r="F193" i="31"/>
  <c r="L290" i="31"/>
  <c r="F263" i="31"/>
  <c r="C327" i="31"/>
  <c r="F98" i="31"/>
  <c r="I101" i="31"/>
  <c r="H182" i="31"/>
  <c r="N301" i="31"/>
  <c r="F146" i="31"/>
  <c r="I200" i="31"/>
  <c r="F181" i="31"/>
  <c r="J350" i="31"/>
  <c r="H225" i="31"/>
  <c r="G97" i="31"/>
  <c r="N297" i="31"/>
  <c r="C125" i="31"/>
  <c r="J165" i="31"/>
  <c r="G269" i="31"/>
  <c r="F166" i="31"/>
  <c r="H289" i="31"/>
  <c r="L89" i="31"/>
  <c r="J301" i="31"/>
  <c r="D309" i="31"/>
  <c r="C166" i="31"/>
  <c r="K166" i="31"/>
  <c r="M301" i="31"/>
  <c r="J122" i="31"/>
  <c r="L156" i="31"/>
  <c r="F367" i="31"/>
  <c r="M216" i="31"/>
  <c r="N165" i="31"/>
  <c r="H175" i="31"/>
  <c r="C371" i="31"/>
  <c r="J127" i="31"/>
  <c r="C89" i="31"/>
  <c r="D98" i="31"/>
  <c r="E102" i="31"/>
  <c r="C216" i="31"/>
  <c r="F156" i="31"/>
  <c r="H97" i="31"/>
  <c r="C161" i="31"/>
  <c r="K368" i="31"/>
  <c r="E161" i="31"/>
  <c r="J193" i="31"/>
  <c r="C97" i="31"/>
  <c r="G164" i="31"/>
  <c r="K221" i="31"/>
  <c r="H122" i="31"/>
  <c r="K171" i="31"/>
  <c r="G129" i="31"/>
  <c r="D76" i="31"/>
  <c r="I182" i="31"/>
  <c r="F289" i="31"/>
  <c r="M290" i="31"/>
  <c r="K371" i="31"/>
  <c r="K156" i="31"/>
  <c r="E309" i="31"/>
  <c r="I274" i="31"/>
  <c r="J269" i="31"/>
  <c r="E125" i="31"/>
  <c r="J297" i="31"/>
  <c r="I177" i="31"/>
  <c r="H177" i="31"/>
  <c r="D182" i="31"/>
  <c r="M89" i="31"/>
  <c r="J323" i="31"/>
  <c r="N166" i="31"/>
  <c r="G350" i="31"/>
  <c r="K146" i="31"/>
  <c r="L101" i="31"/>
  <c r="N193" i="31"/>
  <c r="F259" i="31"/>
  <c r="F216" i="31"/>
  <c r="F182" i="31"/>
  <c r="L76" i="31"/>
  <c r="N161" i="31"/>
  <c r="K98" i="31"/>
  <c r="K97" i="31"/>
  <c r="J60" i="31"/>
  <c r="G216" i="31"/>
  <c r="K216" i="31"/>
  <c r="H263" i="31"/>
  <c r="I225" i="31"/>
  <c r="I156" i="31"/>
  <c r="F161" i="31"/>
  <c r="C171" i="31"/>
  <c r="G225" i="31"/>
  <c r="G127" i="31"/>
  <c r="H216" i="31"/>
  <c r="F165" i="31"/>
  <c r="H156" i="31"/>
  <c r="G301" i="31"/>
  <c r="M263" i="31"/>
  <c r="J89" i="31"/>
  <c r="L193" i="31"/>
  <c r="F125" i="31"/>
  <c r="K101" i="31"/>
  <c r="C80" i="31"/>
  <c r="C165" i="31"/>
  <c r="H127" i="31"/>
  <c r="N290" i="31"/>
  <c r="I165" i="31"/>
  <c r="K165" i="31"/>
  <c r="M371" i="31"/>
  <c r="L297" i="31"/>
  <c r="N127" i="31"/>
  <c r="M161" i="31"/>
  <c r="M76" i="31"/>
  <c r="E225" i="31"/>
  <c r="AO319" i="34" l="1"/>
  <c r="AO307" i="34" s="1"/>
  <c r="AU307" i="34"/>
  <c r="AU317" i="34" s="1"/>
  <c r="AV34" i="34"/>
  <c r="AM179" i="34"/>
  <c r="AR260" i="34"/>
  <c r="AP31" i="34"/>
  <c r="AT242" i="34"/>
  <c r="AV252" i="34"/>
  <c r="AV119" i="34"/>
  <c r="AV323" i="34"/>
  <c r="AS34" i="34"/>
  <c r="AQ116" i="34"/>
  <c r="AQ117" i="34"/>
  <c r="AO119" i="34"/>
  <c r="AO323" i="34"/>
  <c r="AM242" i="34"/>
  <c r="AX179" i="34"/>
  <c r="AP241" i="34"/>
  <c r="AQ179" i="34"/>
  <c r="AT81" i="34"/>
  <c r="AT225" i="34"/>
  <c r="AX34" i="34"/>
  <c r="AQ34" i="34"/>
  <c r="AP276" i="34"/>
  <c r="AR81" i="34"/>
  <c r="AR225" i="34"/>
  <c r="AS252" i="34"/>
  <c r="AV276" i="34"/>
  <c r="AV80" i="34"/>
  <c r="AU252" i="34"/>
  <c r="AV179" i="34"/>
  <c r="AN95" i="34"/>
  <c r="AN97" i="34"/>
  <c r="AO151" i="34"/>
  <c r="AO147" i="34"/>
  <c r="AM318" i="34"/>
  <c r="AX119" i="34"/>
  <c r="AX323" i="34"/>
  <c r="AV151" i="34"/>
  <c r="AV147" i="34"/>
  <c r="AP179" i="34"/>
  <c r="AO95" i="34"/>
  <c r="AO97" i="34"/>
  <c r="AS9" i="34"/>
  <c r="AW119" i="34"/>
  <c r="AW323" i="34"/>
  <c r="AQ53" i="34"/>
  <c r="AW249" i="34"/>
  <c r="AN34" i="34"/>
  <c r="AU176" i="34"/>
  <c r="AP323" i="34"/>
  <c r="AP119" i="34"/>
  <c r="AQ81" i="34"/>
  <c r="AQ225" i="34"/>
  <c r="AU274" i="34"/>
  <c r="AU278" i="34"/>
  <c r="AP73" i="34"/>
  <c r="AP78" i="34"/>
  <c r="AW318" i="34"/>
  <c r="AV73" i="34"/>
  <c r="AV78" i="34"/>
  <c r="AP319" i="34"/>
  <c r="AR151" i="34"/>
  <c r="AR147" i="34"/>
  <c r="AO9" i="34"/>
  <c r="AX242" i="34"/>
  <c r="AW9" i="34"/>
  <c r="AM34" i="34"/>
  <c r="AX301" i="34"/>
  <c r="AM53" i="34"/>
  <c r="AS249" i="34"/>
  <c r="AP80" i="34"/>
  <c r="AW80" i="34"/>
  <c r="AX151" i="34"/>
  <c r="AX147" i="34"/>
  <c r="AP151" i="34"/>
  <c r="AP147" i="34"/>
  <c r="AT53" i="34"/>
  <c r="AS179" i="34"/>
  <c r="AS276" i="34"/>
  <c r="AQ119" i="34"/>
  <c r="AQ323" i="34"/>
  <c r="AP9" i="34"/>
  <c r="AN276" i="34"/>
  <c r="AP54" i="34"/>
  <c r="AX10" i="34"/>
  <c r="AV249" i="34"/>
  <c r="AV9" i="34"/>
  <c r="AV116" i="34"/>
  <c r="AV117" i="34"/>
  <c r="AT179" i="34"/>
  <c r="AO80" i="34"/>
  <c r="AO242" i="34"/>
  <c r="AN53" i="34"/>
  <c r="AX53" i="34"/>
  <c r="AT12" i="34"/>
  <c r="AR252" i="34"/>
  <c r="AX249" i="34"/>
  <c r="AW274" i="34"/>
  <c r="AW278" i="34"/>
  <c r="AT95" i="34"/>
  <c r="AT97" i="34"/>
  <c r="AW95" i="34"/>
  <c r="AW97" i="34"/>
  <c r="AS119" i="34"/>
  <c r="AS323" i="34"/>
  <c r="AN116" i="34"/>
  <c r="AN117" i="34"/>
  <c r="AW242" i="34"/>
  <c r="AQ241" i="34"/>
  <c r="AO54" i="34"/>
  <c r="AQ274" i="34"/>
  <c r="AQ278" i="34"/>
  <c r="AR301" i="34"/>
  <c r="AR9" i="34"/>
  <c r="AW151" i="34"/>
  <c r="AW147" i="34"/>
  <c r="AN9" i="34"/>
  <c r="AQ11" i="34"/>
  <c r="AO179" i="34"/>
  <c r="AR241" i="34"/>
  <c r="AQ95" i="34"/>
  <c r="AQ97" i="34"/>
  <c r="AO116" i="34"/>
  <c r="AO117" i="34"/>
  <c r="AX260" i="34"/>
  <c r="AU11" i="34"/>
  <c r="AS301" i="34"/>
  <c r="AM80" i="34"/>
  <c r="AX81" i="34"/>
  <c r="AX225" i="34"/>
  <c r="AV318" i="34"/>
  <c r="AT151" i="34"/>
  <c r="AT147" i="34"/>
  <c r="AN242" i="34"/>
  <c r="AQ318" i="34"/>
  <c r="AU151" i="34"/>
  <c r="AU147" i="34"/>
  <c r="AR179" i="34"/>
  <c r="AW73" i="34"/>
  <c r="AW78" i="34"/>
  <c r="AR119" i="34"/>
  <c r="AR323" i="34"/>
  <c r="AU323" i="34"/>
  <c r="AU119" i="34"/>
  <c r="AO276" i="34"/>
  <c r="AW53" i="34"/>
  <c r="AO34" i="34"/>
  <c r="AM9" i="34"/>
  <c r="AW34" i="34"/>
  <c r="AU241" i="34"/>
  <c r="AU31" i="34"/>
  <c r="AN319" i="34"/>
  <c r="AM73" i="34"/>
  <c r="AM78" i="34"/>
  <c r="AT249" i="34"/>
  <c r="AV242" i="34"/>
  <c r="AM119" i="34"/>
  <c r="AM323" i="34"/>
  <c r="AT34" i="34"/>
  <c r="AO73" i="34"/>
  <c r="AO78" i="34"/>
  <c r="AS241" i="34"/>
  <c r="AU134" i="34"/>
  <c r="AT318" i="34"/>
  <c r="E58" i="31"/>
  <c r="G144" i="31"/>
  <c r="C168" i="31"/>
  <c r="K196" i="31"/>
  <c r="H372" i="31"/>
  <c r="E356" i="31"/>
  <c r="M127" i="31"/>
  <c r="J367" i="31"/>
  <c r="N274" i="31"/>
  <c r="F80" i="31"/>
  <c r="L166" i="31"/>
  <c r="H89" i="31"/>
  <c r="C127" i="31"/>
  <c r="N298" i="31"/>
  <c r="H98" i="31"/>
  <c r="L372" i="31"/>
  <c r="D58" i="31"/>
  <c r="N83" i="31"/>
  <c r="E144" i="31"/>
  <c r="H168" i="31"/>
  <c r="G228" i="31"/>
  <c r="L122" i="31"/>
  <c r="F58" i="31"/>
  <c r="F372" i="31"/>
  <c r="E129" i="31"/>
  <c r="M196" i="31"/>
  <c r="J130" i="31"/>
  <c r="L129" i="31"/>
  <c r="K301" i="31"/>
  <c r="G166" i="31"/>
  <c r="N168" i="31"/>
  <c r="J61" i="31"/>
  <c r="M129" i="31"/>
  <c r="I301" i="31"/>
  <c r="M90" i="31"/>
  <c r="M144" i="31"/>
  <c r="F129" i="31"/>
  <c r="N59" i="31"/>
  <c r="D83" i="31"/>
  <c r="H274" i="31"/>
  <c r="H196" i="31"/>
  <c r="H58" i="31"/>
  <c r="C83" i="31"/>
  <c r="M372" i="31"/>
  <c r="J97" i="31"/>
  <c r="H290" i="31"/>
  <c r="N309" i="31"/>
  <c r="L83" i="31"/>
  <c r="E146" i="31"/>
  <c r="F168" i="31"/>
  <c r="L58" i="31"/>
  <c r="K183" i="31"/>
  <c r="J90" i="31"/>
  <c r="C372" i="31"/>
  <c r="K372" i="31"/>
  <c r="M146" i="31"/>
  <c r="J144" i="31"/>
  <c r="E127" i="31"/>
  <c r="G323" i="31"/>
  <c r="K200" i="31"/>
  <c r="G327" i="31"/>
  <c r="G367" i="31"/>
  <c r="E196" i="31"/>
  <c r="D90" i="31"/>
  <c r="I168" i="31"/>
  <c r="I89" i="31"/>
  <c r="F368" i="31"/>
  <c r="N372" i="31"/>
  <c r="E228" i="31"/>
  <c r="L367" i="31"/>
  <c r="C367" i="31"/>
  <c r="L301" i="31"/>
  <c r="K323" i="31"/>
  <c r="G89" i="31"/>
  <c r="M200" i="31"/>
  <c r="K89" i="31"/>
  <c r="G60" i="31"/>
  <c r="I325" i="31"/>
  <c r="I372" i="31"/>
  <c r="H200" i="31"/>
  <c r="D144" i="31"/>
  <c r="N97" i="31"/>
  <c r="C102" i="31"/>
  <c r="H130" i="31"/>
  <c r="E368" i="31"/>
  <c r="H350" i="31"/>
  <c r="L291" i="31"/>
  <c r="F103" i="31"/>
  <c r="G130" i="31"/>
  <c r="K225" i="31"/>
  <c r="N200" i="31"/>
  <c r="G290" i="31"/>
  <c r="E103" i="31"/>
  <c r="D325" i="31"/>
  <c r="N196" i="31"/>
  <c r="E83" i="31"/>
  <c r="N130" i="31"/>
  <c r="C129" i="31"/>
  <c r="E165" i="31"/>
  <c r="D166" i="31"/>
  <c r="L168" i="31"/>
  <c r="E98" i="31"/>
  <c r="M291" i="31"/>
  <c r="L127" i="31"/>
  <c r="K80" i="31"/>
  <c r="G146" i="31"/>
  <c r="I83" i="31"/>
  <c r="F127" i="31"/>
  <c r="J83" i="31"/>
  <c r="F290" i="31"/>
  <c r="M102" i="31"/>
  <c r="L90" i="31"/>
  <c r="I97" i="31"/>
  <c r="I228" i="31"/>
  <c r="F196" i="31"/>
  <c r="E166" i="31"/>
  <c r="J228" i="31"/>
  <c r="H228" i="31"/>
  <c r="J146" i="31"/>
  <c r="G83" i="31"/>
  <c r="M367" i="31"/>
  <c r="K60" i="31"/>
  <c r="F228" i="31"/>
  <c r="E200" i="31"/>
  <c r="G102" i="31"/>
  <c r="N350" i="31"/>
  <c r="N102" i="31"/>
  <c r="L325" i="31"/>
  <c r="N291" i="31"/>
  <c r="E90" i="31"/>
  <c r="L97" i="31"/>
  <c r="K290" i="31"/>
  <c r="D368" i="31"/>
  <c r="L228" i="31"/>
  <c r="G168" i="31"/>
  <c r="C122" i="31"/>
  <c r="N90" i="31"/>
  <c r="I350" i="31"/>
  <c r="G165" i="31"/>
  <c r="M327" i="31"/>
  <c r="J102" i="31"/>
  <c r="D146" i="31"/>
  <c r="D102" i="31"/>
  <c r="M323" i="31"/>
  <c r="L165" i="31"/>
  <c r="K356" i="31"/>
  <c r="D165" i="31"/>
  <c r="M298" i="31"/>
  <c r="H309" i="31"/>
  <c r="F122" i="31"/>
  <c r="I298" i="31"/>
  <c r="K168" i="31"/>
  <c r="J196" i="31"/>
  <c r="I290" i="31"/>
  <c r="C58" i="31"/>
  <c r="F89" i="31"/>
  <c r="N228" i="31"/>
  <c r="E168" i="31"/>
  <c r="J291" i="31"/>
  <c r="M97" i="31"/>
  <c r="M122" i="31"/>
  <c r="L298" i="31"/>
  <c r="E372" i="31"/>
  <c r="J274" i="31"/>
  <c r="D291" i="31"/>
  <c r="G274" i="31"/>
  <c r="C90" i="31"/>
  <c r="F325" i="31"/>
  <c r="L200" i="31"/>
  <c r="H301" i="31"/>
  <c r="F200" i="31"/>
  <c r="E325" i="31"/>
  <c r="I58" i="31"/>
  <c r="E122" i="31"/>
  <c r="C228" i="31"/>
  <c r="M83" i="31"/>
  <c r="G372" i="31"/>
  <c r="L196" i="31"/>
  <c r="E291" i="31"/>
  <c r="C291" i="31"/>
  <c r="K366" i="31"/>
  <c r="J298" i="31"/>
  <c r="M168" i="31"/>
  <c r="M58" i="31"/>
  <c r="G98" i="31"/>
  <c r="J200" i="31"/>
  <c r="K327" i="31"/>
  <c r="AO134" i="34" l="1"/>
  <c r="AO306" i="34" s="1"/>
  <c r="AU302" i="34"/>
  <c r="AU130" i="34"/>
  <c r="AU306" i="34"/>
  <c r="AO130" i="34"/>
  <c r="AN307" i="34"/>
  <c r="AU242" i="34"/>
  <c r="AX276" i="34"/>
  <c r="AR10" i="34"/>
  <c r="AW243" i="34"/>
  <c r="AO10" i="34"/>
  <c r="AP134" i="34"/>
  <c r="AU179" i="34"/>
  <c r="AM319" i="34"/>
  <c r="AR276" i="34"/>
  <c r="AS242" i="34"/>
  <c r="AT35" i="34"/>
  <c r="AT36" i="34"/>
  <c r="AM321" i="34"/>
  <c r="AN134" i="34"/>
  <c r="AN243" i="34"/>
  <c r="AR318" i="34"/>
  <c r="AS321" i="34"/>
  <c r="AT13" i="34"/>
  <c r="AO243" i="34"/>
  <c r="AP55" i="34"/>
  <c r="AO317" i="34"/>
  <c r="AW81" i="34"/>
  <c r="AW225" i="34"/>
  <c r="AP81" i="34"/>
  <c r="AP225" i="34"/>
  <c r="AM54" i="34"/>
  <c r="AW319" i="34"/>
  <c r="AS10" i="34"/>
  <c r="AV81" i="34"/>
  <c r="AV225" i="34"/>
  <c r="AS53" i="34"/>
  <c r="AP274" i="34"/>
  <c r="AP278" i="34"/>
  <c r="AX35" i="34"/>
  <c r="AX36" i="34"/>
  <c r="AR34" i="34"/>
  <c r="AV243" i="34"/>
  <c r="AW54" i="34"/>
  <c r="AQ319" i="34"/>
  <c r="AV319" i="34"/>
  <c r="AO55" i="34"/>
  <c r="AW10" i="34"/>
  <c r="AT243" i="34"/>
  <c r="AS318" i="34"/>
  <c r="AR53" i="34"/>
  <c r="AX54" i="34"/>
  <c r="AN54" i="34"/>
  <c r="AO81" i="34"/>
  <c r="AO225" i="34"/>
  <c r="AV10" i="34"/>
  <c r="AX11" i="34"/>
  <c r="AN274" i="34"/>
  <c r="AN278" i="34"/>
  <c r="AS274" i="34"/>
  <c r="AS278" i="34"/>
  <c r="AT54" i="34"/>
  <c r="AO302" i="34"/>
  <c r="AX318" i="34"/>
  <c r="AP307" i="34"/>
  <c r="AP321" i="34"/>
  <c r="AW321" i="34"/>
  <c r="AU53" i="34"/>
  <c r="AV274" i="34"/>
  <c r="AV278" i="34"/>
  <c r="AQ35" i="34"/>
  <c r="AQ36" i="34"/>
  <c r="AO321" i="34"/>
  <c r="AS35" i="34"/>
  <c r="AS36" i="34"/>
  <c r="AM10" i="34"/>
  <c r="AN10" i="34"/>
  <c r="AP10" i="34"/>
  <c r="AQ321" i="34"/>
  <c r="AV321" i="34"/>
  <c r="AV35" i="34"/>
  <c r="AV36" i="34"/>
  <c r="AT319" i="34"/>
  <c r="AU34" i="34"/>
  <c r="AW35" i="34"/>
  <c r="AW36" i="34"/>
  <c r="AO35" i="34"/>
  <c r="AO36" i="34"/>
  <c r="AO274" i="34"/>
  <c r="AO278" i="34"/>
  <c r="AU321" i="34"/>
  <c r="AR321" i="34"/>
  <c r="AM81" i="34"/>
  <c r="AM225" i="34"/>
  <c r="AU12" i="34"/>
  <c r="AR242" i="34"/>
  <c r="AQ12" i="34"/>
  <c r="AQ242" i="34"/>
  <c r="AM35" i="34"/>
  <c r="AM36" i="34"/>
  <c r="AX243" i="34"/>
  <c r="AN35" i="34"/>
  <c r="AN36" i="34"/>
  <c r="AQ54" i="34"/>
  <c r="AX321" i="34"/>
  <c r="AP242" i="34"/>
  <c r="AM243" i="34"/>
  <c r="AV53" i="34"/>
  <c r="AP34" i="34"/>
  <c r="H90" i="31"/>
  <c r="K228" i="31"/>
  <c r="H59" i="31"/>
  <c r="H325" i="31"/>
  <c r="E130" i="31"/>
  <c r="L368" i="31"/>
  <c r="L323" i="31"/>
  <c r="E355" i="31"/>
  <c r="N292" i="31"/>
  <c r="L59" i="31"/>
  <c r="M274" i="31"/>
  <c r="K370" i="31"/>
  <c r="E323" i="31"/>
  <c r="L91" i="31"/>
  <c r="L327" i="31"/>
  <c r="N60" i="31"/>
  <c r="H102" i="31"/>
  <c r="J91" i="31"/>
  <c r="F327" i="31"/>
  <c r="D292" i="31"/>
  <c r="E183" i="31"/>
  <c r="G61" i="31"/>
  <c r="I84" i="31"/>
  <c r="D91" i="31"/>
  <c r="E366" i="31"/>
  <c r="I85" i="31"/>
  <c r="M370" i="31"/>
  <c r="G85" i="31"/>
  <c r="L292" i="31"/>
  <c r="F130" i="31"/>
  <c r="K291" i="31"/>
  <c r="M98" i="31"/>
  <c r="N84" i="31"/>
  <c r="M368" i="31"/>
  <c r="G291" i="31"/>
  <c r="E85" i="31"/>
  <c r="N85" i="31"/>
  <c r="E327" i="31"/>
  <c r="J292" i="31"/>
  <c r="D323" i="31"/>
  <c r="L130" i="31"/>
  <c r="G84" i="31"/>
  <c r="H370" i="31"/>
  <c r="E292" i="31"/>
  <c r="D327" i="31"/>
  <c r="K61" i="31"/>
  <c r="F59" i="31"/>
  <c r="C368" i="31"/>
  <c r="F183" i="31"/>
  <c r="F356" i="31"/>
  <c r="L85" i="31"/>
  <c r="H83" i="31"/>
  <c r="G368" i="31"/>
  <c r="M103" i="31"/>
  <c r="E351" i="31"/>
  <c r="E104" i="31"/>
  <c r="I291" i="31"/>
  <c r="D356" i="31"/>
  <c r="D85" i="31"/>
  <c r="N370" i="31"/>
  <c r="I98" i="31"/>
  <c r="E91" i="31"/>
  <c r="D84" i="31"/>
  <c r="C274" i="31"/>
  <c r="E84" i="31"/>
  <c r="L102" i="31"/>
  <c r="C130" i="31"/>
  <c r="C370" i="31"/>
  <c r="G103" i="31"/>
  <c r="K351" i="31"/>
  <c r="L84" i="31"/>
  <c r="E179" i="31"/>
  <c r="E370" i="31"/>
  <c r="C84" i="31"/>
  <c r="F291" i="31"/>
  <c r="G90" i="31"/>
  <c r="G370" i="31"/>
  <c r="F274" i="31"/>
  <c r="E274" i="31"/>
  <c r="D103" i="31"/>
  <c r="I327" i="31"/>
  <c r="K355" i="31"/>
  <c r="M84" i="31"/>
  <c r="I367" i="31"/>
  <c r="K102" i="31"/>
  <c r="E59" i="31"/>
  <c r="M59" i="31"/>
  <c r="H367" i="31"/>
  <c r="L98" i="31"/>
  <c r="C103" i="31"/>
  <c r="J84" i="31"/>
  <c r="L274" i="31"/>
  <c r="I90" i="31"/>
  <c r="M292" i="31"/>
  <c r="C91" i="31"/>
  <c r="C59" i="31"/>
  <c r="K83" i="31"/>
  <c r="D59" i="31"/>
  <c r="J103" i="31"/>
  <c r="N103" i="31"/>
  <c r="I59" i="31"/>
  <c r="M130" i="31"/>
  <c r="C292" i="31"/>
  <c r="F370" i="31"/>
  <c r="K90" i="31"/>
  <c r="C85" i="31"/>
  <c r="J85" i="31"/>
  <c r="N91" i="31"/>
  <c r="M91" i="31"/>
  <c r="I323" i="31"/>
  <c r="H291" i="31"/>
  <c r="J98" i="31"/>
  <c r="F104" i="31"/>
  <c r="J368" i="31"/>
  <c r="M85" i="31"/>
  <c r="F83" i="31"/>
  <c r="K179" i="31"/>
  <c r="D183" i="31"/>
  <c r="N325" i="31"/>
  <c r="I102" i="31"/>
  <c r="L370" i="31"/>
  <c r="I370" i="31"/>
  <c r="F323" i="31"/>
  <c r="F90" i="31"/>
  <c r="N98" i="31"/>
  <c r="J62" i="31"/>
  <c r="N367" i="31"/>
  <c r="AN317" i="34" l="1"/>
  <c r="AU309" i="34"/>
  <c r="AO129" i="34"/>
  <c r="AU129" i="34"/>
  <c r="AN130" i="34"/>
  <c r="AN129" i="34" s="1"/>
  <c r="AN302" i="34"/>
  <c r="AT307" i="34"/>
  <c r="AQ307" i="34"/>
  <c r="AM307" i="34"/>
  <c r="AM130" i="34" s="1"/>
  <c r="AO309" i="34"/>
  <c r="AP35" i="34"/>
  <c r="AP36" i="34"/>
  <c r="AP11" i="34"/>
  <c r="AW11" i="34"/>
  <c r="AR35" i="34"/>
  <c r="AR36" i="34"/>
  <c r="AN245" i="34"/>
  <c r="AN246" i="34"/>
  <c r="AN247" i="34" s="1"/>
  <c r="AQ55" i="34"/>
  <c r="AQ13" i="34"/>
  <c r="AT55" i="34"/>
  <c r="AV11" i="34"/>
  <c r="AN55" i="34"/>
  <c r="AR54" i="34"/>
  <c r="AS319" i="34"/>
  <c r="AQ134" i="34"/>
  <c r="AO245" i="34"/>
  <c r="AO246" i="34"/>
  <c r="AO247" i="34" s="1"/>
  <c r="AR319" i="34"/>
  <c r="AS243" i="34"/>
  <c r="AR11" i="34"/>
  <c r="AU243" i="34"/>
  <c r="AR243" i="34"/>
  <c r="AU35" i="34"/>
  <c r="AU36" i="34"/>
  <c r="AV134" i="34"/>
  <c r="AV245" i="34"/>
  <c r="AV246" i="34"/>
  <c r="AV247" i="34" s="1"/>
  <c r="AX12" i="34"/>
  <c r="AX55" i="34"/>
  <c r="AW134" i="34"/>
  <c r="AM55" i="34"/>
  <c r="AP64" i="34"/>
  <c r="AT14" i="34"/>
  <c r="AR274" i="34"/>
  <c r="AR278" i="34"/>
  <c r="AM134" i="34"/>
  <c r="AO11" i="34"/>
  <c r="AW245" i="34"/>
  <c r="AW246" i="34"/>
  <c r="AW247" i="34" s="1"/>
  <c r="AX274" i="34"/>
  <c r="AX278" i="34"/>
  <c r="AM245" i="34"/>
  <c r="AM246" i="34"/>
  <c r="AM247" i="34" s="1"/>
  <c r="AQ243" i="34"/>
  <c r="AM11" i="34"/>
  <c r="AW55" i="34"/>
  <c r="AV54" i="34"/>
  <c r="AP243" i="34"/>
  <c r="AX245" i="34"/>
  <c r="AX246" i="34"/>
  <c r="AX247" i="34" s="1"/>
  <c r="AU13" i="34"/>
  <c r="AT134" i="34"/>
  <c r="AN11" i="34"/>
  <c r="AU54" i="34"/>
  <c r="AP317" i="34"/>
  <c r="AP130" i="34"/>
  <c r="AP302" i="34"/>
  <c r="AX319" i="34"/>
  <c r="AT245" i="34"/>
  <c r="AT246" i="34"/>
  <c r="AT247" i="34" s="1"/>
  <c r="AO64" i="34"/>
  <c r="AV307" i="34"/>
  <c r="AS54" i="34"/>
  <c r="AS11" i="34"/>
  <c r="AW307" i="34"/>
  <c r="AN306" i="34"/>
  <c r="AP306" i="34"/>
  <c r="F355" i="31"/>
  <c r="K178" i="31"/>
  <c r="L183" i="31"/>
  <c r="L294" i="31"/>
  <c r="M92" i="31"/>
  <c r="C294" i="31"/>
  <c r="J92" i="31"/>
  <c r="K84" i="31"/>
  <c r="N295" i="31"/>
  <c r="L60" i="31"/>
  <c r="L92" i="31"/>
  <c r="E92" i="31"/>
  <c r="C356" i="31"/>
  <c r="L356" i="31"/>
  <c r="C295" i="31"/>
  <c r="D295" i="31"/>
  <c r="F292" i="31"/>
  <c r="N104" i="31"/>
  <c r="C183" i="31"/>
  <c r="L295" i="31"/>
  <c r="E178" i="31"/>
  <c r="D104" i="31"/>
  <c r="G292" i="31"/>
  <c r="H60" i="31"/>
  <c r="J356" i="31"/>
  <c r="M294" i="31"/>
  <c r="J104" i="31"/>
  <c r="H327" i="31"/>
  <c r="I60" i="31"/>
  <c r="G183" i="31"/>
  <c r="K103" i="31"/>
  <c r="D355" i="31"/>
  <c r="E113" i="31"/>
  <c r="D60" i="31"/>
  <c r="D351" i="31"/>
  <c r="C60" i="31"/>
  <c r="K292" i="31"/>
  <c r="G91" i="31"/>
  <c r="F351" i="31"/>
  <c r="I292" i="31"/>
  <c r="D178" i="31"/>
  <c r="C179" i="31"/>
  <c r="K358" i="31"/>
  <c r="E295" i="31"/>
  <c r="L103" i="31"/>
  <c r="N368" i="31"/>
  <c r="H292" i="31"/>
  <c r="M356" i="31"/>
  <c r="I368" i="31"/>
  <c r="C104" i="31"/>
  <c r="G62" i="31"/>
  <c r="H85" i="31"/>
  <c r="D92" i="31"/>
  <c r="I103" i="31"/>
  <c r="G104" i="31"/>
  <c r="H91" i="31"/>
  <c r="G356" i="31"/>
  <c r="N327" i="31"/>
  <c r="F366" i="31"/>
  <c r="H103" i="31"/>
  <c r="N323" i="31"/>
  <c r="J183" i="31"/>
  <c r="H323" i="31"/>
  <c r="N92" i="31"/>
  <c r="H368" i="31"/>
  <c r="C92" i="31"/>
  <c r="I91" i="31"/>
  <c r="D179" i="31"/>
  <c r="K91" i="31"/>
  <c r="E60" i="31"/>
  <c r="J294" i="31"/>
  <c r="F91" i="31"/>
  <c r="H84" i="31"/>
  <c r="M60" i="31"/>
  <c r="F113" i="31"/>
  <c r="M295" i="31"/>
  <c r="F179" i="31"/>
  <c r="F85" i="31"/>
  <c r="K85" i="31"/>
  <c r="F84" i="31"/>
  <c r="J295" i="31"/>
  <c r="F60" i="31"/>
  <c r="D294" i="31"/>
  <c r="N61" i="31"/>
  <c r="D366" i="31"/>
  <c r="E294" i="31"/>
  <c r="J63" i="31"/>
  <c r="M183" i="31"/>
  <c r="N294" i="31"/>
  <c r="K62" i="31"/>
  <c r="M104" i="31"/>
  <c r="E358" i="31"/>
  <c r="AQ302" i="34" l="1"/>
  <c r="AM302" i="34"/>
  <c r="AM317" i="34"/>
  <c r="AT130" i="34"/>
  <c r="AT129" i="34" s="1"/>
  <c r="AQ130" i="34"/>
  <c r="AQ129" i="34" s="1"/>
  <c r="AQ317" i="34"/>
  <c r="AW306" i="34"/>
  <c r="AT317" i="34"/>
  <c r="AS307" i="34"/>
  <c r="AV306" i="34"/>
  <c r="AT302" i="34"/>
  <c r="AR307" i="34"/>
  <c r="AT306" i="34"/>
  <c r="AM306" i="34"/>
  <c r="AU14" i="34"/>
  <c r="AP245" i="34"/>
  <c r="AP246" i="34"/>
  <c r="AP247" i="34" s="1"/>
  <c r="AW64" i="34"/>
  <c r="AQ245" i="34"/>
  <c r="AQ246" i="34"/>
  <c r="AQ247" i="34" s="1"/>
  <c r="AX13" i="34"/>
  <c r="AN64" i="34"/>
  <c r="AT64" i="34"/>
  <c r="AQ64" i="34"/>
  <c r="AW12" i="34"/>
  <c r="AS12" i="34"/>
  <c r="AP309" i="34"/>
  <c r="AV130" i="34"/>
  <c r="AV317" i="34"/>
  <c r="AV302" i="34"/>
  <c r="AP65" i="34"/>
  <c r="AR245" i="34"/>
  <c r="AR246" i="34"/>
  <c r="AR247" i="34" s="1"/>
  <c r="AN309" i="34"/>
  <c r="AS55" i="34"/>
  <c r="AX134" i="34"/>
  <c r="AV55" i="34"/>
  <c r="AO12" i="34"/>
  <c r="AX64" i="34"/>
  <c r="AR134" i="34"/>
  <c r="AQ306" i="34"/>
  <c r="AR55" i="34"/>
  <c r="AV12" i="34"/>
  <c r="AQ14" i="34"/>
  <c r="AM129" i="34"/>
  <c r="AP12" i="34"/>
  <c r="AU55" i="34"/>
  <c r="AR12" i="34"/>
  <c r="AO65" i="34"/>
  <c r="AP129" i="34"/>
  <c r="AM12" i="34"/>
  <c r="AW302" i="34"/>
  <c r="AW317" i="34"/>
  <c r="AW130" i="34"/>
  <c r="AX307" i="34"/>
  <c r="AN12" i="34"/>
  <c r="AT15" i="34"/>
  <c r="AM64" i="34"/>
  <c r="AU245" i="34"/>
  <c r="AU246" i="34"/>
  <c r="AU247" i="34" s="1"/>
  <c r="AS245" i="34"/>
  <c r="AS246" i="34"/>
  <c r="AS247" i="34" s="1"/>
  <c r="AS134" i="34"/>
  <c r="K294" i="31"/>
  <c r="D95" i="31"/>
  <c r="C95" i="31"/>
  <c r="M179" i="31"/>
  <c r="J95" i="31"/>
  <c r="G63" i="31"/>
  <c r="J64" i="31"/>
  <c r="C366" i="31"/>
  <c r="H61" i="31"/>
  <c r="J355" i="31"/>
  <c r="C355" i="31"/>
  <c r="I356" i="31"/>
  <c r="F114" i="31"/>
  <c r="H104" i="31"/>
  <c r="L95" i="31"/>
  <c r="L104" i="31"/>
  <c r="J366" i="31"/>
  <c r="I295" i="31"/>
  <c r="I294" i="31"/>
  <c r="L179" i="31"/>
  <c r="L351" i="31"/>
  <c r="C178" i="31"/>
  <c r="D358" i="31"/>
  <c r="N113" i="31"/>
  <c r="M355" i="31"/>
  <c r="G295" i="31"/>
  <c r="E95" i="31"/>
  <c r="H294" i="31"/>
  <c r="N94" i="31"/>
  <c r="J113" i="31"/>
  <c r="G92" i="31"/>
  <c r="C94" i="31"/>
  <c r="D94" i="31"/>
  <c r="M94" i="31"/>
  <c r="K295" i="31"/>
  <c r="L366" i="31"/>
  <c r="F61" i="31"/>
  <c r="E61" i="31"/>
  <c r="M61" i="31"/>
  <c r="C61" i="31"/>
  <c r="F295" i="31"/>
  <c r="K104" i="31"/>
  <c r="G351" i="31"/>
  <c r="L355" i="31"/>
  <c r="J179" i="31"/>
  <c r="J178" i="31"/>
  <c r="K63" i="31"/>
  <c r="N62" i="31"/>
  <c r="N356" i="31"/>
  <c r="L296" i="31"/>
  <c r="D113" i="31"/>
  <c r="M366" i="31"/>
  <c r="F294" i="31"/>
  <c r="J351" i="31"/>
  <c r="L61" i="31"/>
  <c r="G113" i="31"/>
  <c r="G366" i="31"/>
  <c r="F358" i="31"/>
  <c r="C296" i="31"/>
  <c r="G294" i="31"/>
  <c r="J94" i="31"/>
  <c r="N95" i="31"/>
  <c r="H183" i="31"/>
  <c r="M95" i="31"/>
  <c r="E114" i="31"/>
  <c r="K92" i="31"/>
  <c r="I104" i="31"/>
  <c r="I183" i="31"/>
  <c r="N183" i="31"/>
  <c r="D296" i="31"/>
  <c r="F178" i="31"/>
  <c r="I92" i="31"/>
  <c r="E94" i="31"/>
  <c r="H92" i="31"/>
  <c r="J296" i="31"/>
  <c r="C113" i="31"/>
  <c r="M296" i="31"/>
  <c r="G178" i="31"/>
  <c r="D61" i="31"/>
  <c r="F92" i="31"/>
  <c r="G355" i="31"/>
  <c r="L94" i="31"/>
  <c r="M351" i="31"/>
  <c r="N296" i="31"/>
  <c r="I61" i="31"/>
  <c r="M113" i="31"/>
  <c r="G179" i="31"/>
  <c r="H356" i="31"/>
  <c r="E296" i="31"/>
  <c r="C351" i="31"/>
  <c r="H295" i="31"/>
  <c r="AR302" i="34" l="1"/>
  <c r="AW309" i="34"/>
  <c r="AV309" i="34"/>
  <c r="AS130" i="34"/>
  <c r="AS302" i="34"/>
  <c r="AS317" i="34"/>
  <c r="AM309" i="34"/>
  <c r="AR306" i="34"/>
  <c r="AR317" i="34"/>
  <c r="AT309" i="34"/>
  <c r="AS306" i="34"/>
  <c r="AR130" i="34"/>
  <c r="AT20" i="34"/>
  <c r="AT21" i="34"/>
  <c r="AX317" i="34"/>
  <c r="AX302" i="34"/>
  <c r="AX130" i="34"/>
  <c r="AP13" i="34"/>
  <c r="AV64" i="34"/>
  <c r="AN13" i="34"/>
  <c r="AX65" i="34"/>
  <c r="AO13" i="34"/>
  <c r="AV129" i="34"/>
  <c r="AS13" i="34"/>
  <c r="AW13" i="34"/>
  <c r="AX14" i="34"/>
  <c r="AO66" i="34"/>
  <c r="AO269" i="34"/>
  <c r="AR64" i="34"/>
  <c r="AN65" i="34"/>
  <c r="AW65" i="34"/>
  <c r="AU15" i="34"/>
  <c r="AW129" i="34"/>
  <c r="AM13" i="34"/>
  <c r="AS64" i="34"/>
  <c r="AP66" i="34"/>
  <c r="AP269" i="34"/>
  <c r="AU64" i="34"/>
  <c r="AQ15" i="34"/>
  <c r="AQ65" i="34"/>
  <c r="AM65" i="34"/>
  <c r="AR13" i="34"/>
  <c r="AV13" i="34"/>
  <c r="AQ309" i="34"/>
  <c r="AX306" i="34"/>
  <c r="AT65" i="34"/>
  <c r="M96" i="31"/>
  <c r="M114" i="31"/>
  <c r="N96" i="31"/>
  <c r="I355" i="31"/>
  <c r="N366" i="31"/>
  <c r="L358" i="31"/>
  <c r="E96" i="31"/>
  <c r="G95" i="31"/>
  <c r="C96" i="31"/>
  <c r="G64" i="31"/>
  <c r="K95" i="31"/>
  <c r="N351" i="31"/>
  <c r="H95" i="31"/>
  <c r="D114" i="31"/>
  <c r="L96" i="31"/>
  <c r="J96" i="31"/>
  <c r="F94" i="31"/>
  <c r="K296" i="31"/>
  <c r="E115" i="31"/>
  <c r="H355" i="31"/>
  <c r="C114" i="31"/>
  <c r="I94" i="31"/>
  <c r="L178" i="31"/>
  <c r="K94" i="31"/>
  <c r="K113" i="31"/>
  <c r="E318" i="31"/>
  <c r="H62" i="31"/>
  <c r="H366" i="31"/>
  <c r="J13" i="32"/>
  <c r="C358" i="31"/>
  <c r="N355" i="31"/>
  <c r="J69" i="31"/>
  <c r="M358" i="31"/>
  <c r="G296" i="31"/>
  <c r="I351" i="31"/>
  <c r="H296" i="31"/>
  <c r="C62" i="31"/>
  <c r="M178" i="31"/>
  <c r="G358" i="31"/>
  <c r="N179" i="31"/>
  <c r="E62" i="31"/>
  <c r="H179" i="31"/>
  <c r="D96" i="31"/>
  <c r="F115" i="31"/>
  <c r="N114" i="31"/>
  <c r="L113" i="31"/>
  <c r="D62" i="31"/>
  <c r="H351" i="31"/>
  <c r="J70" i="31"/>
  <c r="F62" i="31"/>
  <c r="I366" i="31"/>
  <c r="H113" i="31"/>
  <c r="N63" i="31"/>
  <c r="I179" i="31"/>
  <c r="F95" i="31"/>
  <c r="J358" i="31"/>
  <c r="I62" i="31"/>
  <c r="F296" i="31"/>
  <c r="M62" i="31"/>
  <c r="I113" i="31"/>
  <c r="I296" i="31"/>
  <c r="G114" i="31"/>
  <c r="I95" i="31"/>
  <c r="G94" i="31"/>
  <c r="F318" i="31"/>
  <c r="L62" i="31"/>
  <c r="J114" i="31"/>
  <c r="K64" i="31"/>
  <c r="H94" i="31"/>
  <c r="AR129" i="34" l="1"/>
  <c r="AS309" i="34"/>
  <c r="AR309" i="34"/>
  <c r="AS129" i="34"/>
  <c r="AW66" i="34"/>
  <c r="AW269" i="34"/>
  <c r="AV14" i="34"/>
  <c r="AM66" i="34"/>
  <c r="AM269" i="34"/>
  <c r="AQ20" i="34"/>
  <c r="AQ21" i="34"/>
  <c r="AX15" i="34"/>
  <c r="AS14" i="34"/>
  <c r="AX66" i="34"/>
  <c r="AX269" i="34"/>
  <c r="AN14" i="34"/>
  <c r="AO69" i="34"/>
  <c r="AR14" i="34"/>
  <c r="AQ66" i="34"/>
  <c r="AQ269" i="34"/>
  <c r="AU65" i="34"/>
  <c r="AP69" i="34"/>
  <c r="AW14" i="34"/>
  <c r="AO14" i="34"/>
  <c r="AT66" i="34"/>
  <c r="AT269" i="34"/>
  <c r="AX309" i="34"/>
  <c r="AV65" i="34"/>
  <c r="AX129" i="34"/>
  <c r="AS65" i="34"/>
  <c r="AM14" i="34"/>
  <c r="AU20" i="34"/>
  <c r="AU21" i="34"/>
  <c r="AN66" i="34"/>
  <c r="AN269" i="34"/>
  <c r="AR65" i="34"/>
  <c r="AP14" i="34"/>
  <c r="G318" i="31"/>
  <c r="I96" i="31"/>
  <c r="D115" i="31"/>
  <c r="I63" i="31"/>
  <c r="J318" i="31"/>
  <c r="N115" i="31"/>
  <c r="H114" i="31"/>
  <c r="H178" i="31"/>
  <c r="F118" i="31"/>
  <c r="I178" i="31"/>
  <c r="E118" i="31"/>
  <c r="L63" i="31"/>
  <c r="M115" i="31"/>
  <c r="M63" i="31"/>
  <c r="K69" i="31"/>
  <c r="I114" i="31"/>
  <c r="F63" i="31"/>
  <c r="G115" i="31"/>
  <c r="M318" i="31"/>
  <c r="G70" i="31"/>
  <c r="I358" i="31"/>
  <c r="K70" i="31"/>
  <c r="N178" i="31"/>
  <c r="F96" i="31"/>
  <c r="H96" i="31"/>
  <c r="G69" i="31"/>
  <c r="L114" i="31"/>
  <c r="D318" i="31"/>
  <c r="N358" i="31"/>
  <c r="N64" i="31"/>
  <c r="C115" i="31"/>
  <c r="C63" i="31"/>
  <c r="H63" i="31"/>
  <c r="D63" i="31"/>
  <c r="C318" i="31"/>
  <c r="N318" i="31"/>
  <c r="K114" i="31"/>
  <c r="G96" i="31"/>
  <c r="E63" i="31"/>
  <c r="H358" i="31"/>
  <c r="K96" i="31"/>
  <c r="J115" i="31"/>
  <c r="AM15" i="34" l="1"/>
  <c r="AU66" i="34"/>
  <c r="AU269" i="34"/>
  <c r="AR66" i="34"/>
  <c r="AR269" i="34"/>
  <c r="AS66" i="34"/>
  <c r="AS269" i="34"/>
  <c r="AT69" i="34"/>
  <c r="AQ69" i="34"/>
  <c r="AS15" i="34"/>
  <c r="AN69" i="34"/>
  <c r="AR15" i="34"/>
  <c r="AX69" i="34"/>
  <c r="AX20" i="34"/>
  <c r="AX21" i="34"/>
  <c r="AV15" i="34"/>
  <c r="AW69" i="34"/>
  <c r="AW15" i="34"/>
  <c r="AP15" i="34"/>
  <c r="AV66" i="34"/>
  <c r="AV269" i="34"/>
  <c r="AO15" i="34"/>
  <c r="AN15" i="34"/>
  <c r="AM69" i="34"/>
  <c r="C64" i="31"/>
  <c r="I318" i="31"/>
  <c r="K318" i="31"/>
  <c r="N118" i="31"/>
  <c r="F64" i="31"/>
  <c r="D118" i="31"/>
  <c r="N69" i="31"/>
  <c r="N70" i="31"/>
  <c r="C118" i="31"/>
  <c r="M64" i="31"/>
  <c r="I64" i="31"/>
  <c r="I115" i="31"/>
  <c r="E64" i="31"/>
  <c r="M118" i="31"/>
  <c r="J118" i="31"/>
  <c r="D64" i="31"/>
  <c r="H64" i="31"/>
  <c r="K115" i="31"/>
  <c r="L115" i="31"/>
  <c r="L64" i="31"/>
  <c r="H115" i="31"/>
  <c r="L318" i="31"/>
  <c r="H318" i="31"/>
  <c r="G118" i="31"/>
  <c r="AN20" i="34" l="1"/>
  <c r="AN21" i="34"/>
  <c r="AW20" i="34"/>
  <c r="AW21" i="34"/>
  <c r="AR20" i="34"/>
  <c r="AR21" i="34"/>
  <c r="AR69" i="34"/>
  <c r="AP20" i="34"/>
  <c r="AP21" i="34"/>
  <c r="AV20" i="34"/>
  <c r="AV21" i="34"/>
  <c r="AS69" i="34"/>
  <c r="AU69" i="34"/>
  <c r="AO20" i="34"/>
  <c r="AO21" i="34"/>
  <c r="AV69" i="34"/>
  <c r="AS20" i="34"/>
  <c r="AS21" i="34"/>
  <c r="AM20" i="34"/>
  <c r="AM21" i="34"/>
  <c r="D69" i="31"/>
  <c r="M70" i="31"/>
  <c r="K118" i="31"/>
  <c r="H118" i="31"/>
  <c r="C70" i="31"/>
  <c r="F69" i="31"/>
  <c r="M69" i="31"/>
  <c r="L70" i="31"/>
  <c r="I69" i="31"/>
  <c r="C69" i="31"/>
  <c r="I70" i="31"/>
  <c r="L69" i="31"/>
  <c r="E70" i="31"/>
  <c r="D70" i="31"/>
  <c r="L118" i="31"/>
  <c r="H69" i="31"/>
  <c r="I118" i="31"/>
  <c r="F70" i="31"/>
  <c r="E69" i="31"/>
  <c r="H70" i="31"/>
  <c r="F8" i="31" l="1"/>
  <c r="K9" i="31"/>
  <c r="J9" i="31"/>
  <c r="D7" i="31"/>
  <c r="J6" i="31"/>
  <c r="M9" i="31"/>
  <c r="H9" i="31"/>
  <c r="E7" i="31"/>
  <c r="K7" i="31"/>
  <c r="H8" i="31"/>
  <c r="D9" i="31"/>
  <c r="G9" i="31"/>
  <c r="N6" i="31"/>
  <c r="F6" i="31"/>
  <c r="I7" i="31"/>
  <c r="C8" i="31"/>
  <c r="G8" i="31"/>
  <c r="N9" i="31"/>
  <c r="L8" i="31"/>
  <c r="M6" i="31"/>
  <c r="I6" i="31"/>
  <c r="I8" i="31"/>
  <c r="N7" i="31"/>
  <c r="C7" i="31"/>
  <c r="D6" i="31"/>
  <c r="K8" i="31"/>
  <c r="C6" i="31"/>
  <c r="H7" i="31"/>
  <c r="G7" i="31"/>
  <c r="H6" i="31"/>
  <c r="J8" i="31"/>
  <c r="E8" i="31"/>
  <c r="C9" i="31"/>
  <c r="L6" i="31"/>
  <c r="I9" i="31"/>
  <c r="N8" i="31"/>
  <c r="G6" i="31"/>
  <c r="F9" i="31"/>
  <c r="L9" i="31"/>
  <c r="M8" i="31"/>
  <c r="F7" i="31"/>
  <c r="E9" i="31"/>
  <c r="K6" i="31"/>
  <c r="J7" i="31"/>
  <c r="E6" i="31"/>
  <c r="L7" i="31"/>
  <c r="D8" i="31"/>
  <c r="M7" i="31"/>
  <c r="I195" i="32" l="1"/>
  <c r="G28" i="32"/>
  <c r="J160" i="32"/>
  <c r="M10" i="32"/>
  <c r="O220" i="32"/>
  <c r="L17" i="32"/>
  <c r="J205" i="32"/>
  <c r="D21" i="32"/>
  <c r="F185" i="32"/>
  <c r="E189" i="32"/>
  <c r="K84" i="32"/>
  <c r="L31" i="32"/>
  <c r="I10" i="32"/>
  <c r="L117" i="32"/>
  <c r="H32" i="32"/>
  <c r="L44" i="32"/>
  <c r="D128" i="32"/>
  <c r="L41" i="32"/>
  <c r="D90" i="32"/>
  <c r="I97" i="32"/>
  <c r="L176" i="32"/>
  <c r="N153" i="32"/>
  <c r="L79" i="32"/>
  <c r="L242" i="32"/>
  <c r="J257" i="32"/>
  <c r="J163" i="32"/>
  <c r="H94" i="32"/>
  <c r="O38" i="32"/>
  <c r="I196" i="32"/>
  <c r="N27" i="32"/>
  <c r="K56" i="32"/>
  <c r="E73" i="32"/>
  <c r="L14" i="32"/>
  <c r="H263" i="32"/>
  <c r="K39" i="32"/>
  <c r="E153" i="32"/>
  <c r="M152" i="32"/>
  <c r="G54" i="32"/>
  <c r="O159" i="32"/>
  <c r="N7" i="32"/>
  <c r="D162" i="32"/>
  <c r="I67" i="32"/>
  <c r="E143" i="32"/>
  <c r="F143" i="32"/>
  <c r="F220" i="32"/>
  <c r="J38" i="32"/>
  <c r="E100" i="32"/>
  <c r="H70" i="32"/>
  <c r="L90" i="32"/>
  <c r="N154" i="32"/>
  <c r="I186" i="32"/>
  <c r="I145" i="32"/>
  <c r="F205" i="32"/>
  <c r="K116" i="32"/>
  <c r="K35" i="32"/>
  <c r="J26" i="32"/>
  <c r="D38" i="32"/>
  <c r="M12" i="32"/>
  <c r="H20" i="32"/>
  <c r="G119" i="32"/>
  <c r="N120" i="32"/>
  <c r="O70" i="32"/>
  <c r="H161" i="32"/>
  <c r="K71" i="32"/>
  <c r="M186" i="32"/>
  <c r="K13" i="32"/>
  <c r="K57" i="32"/>
  <c r="I202" i="32"/>
  <c r="H196" i="32"/>
  <c r="M78" i="32"/>
  <c r="G26" i="32"/>
  <c r="E196" i="32"/>
  <c r="D203" i="32"/>
  <c r="J242" i="32"/>
  <c r="K189" i="32"/>
  <c r="F196" i="32"/>
  <c r="G40" i="32"/>
  <c r="E152" i="32"/>
  <c r="M220" i="32"/>
  <c r="N97" i="32"/>
  <c r="F69" i="32"/>
  <c r="E176" i="32"/>
  <c r="G18" i="32"/>
  <c r="J92" i="32"/>
  <c r="H100" i="32"/>
  <c r="G34" i="32"/>
  <c r="I44" i="32"/>
  <c r="F120" i="32"/>
  <c r="G173" i="32"/>
  <c r="G231" i="32"/>
  <c r="F93" i="32"/>
  <c r="I178" i="32"/>
  <c r="L143" i="32"/>
  <c r="F190" i="32"/>
  <c r="I94" i="32"/>
  <c r="L200" i="32"/>
  <c r="M147" i="32"/>
  <c r="G143" i="32"/>
  <c r="L49" i="32"/>
  <c r="F14" i="32"/>
  <c r="H220" i="32"/>
  <c r="O172" i="32"/>
  <c r="I15" i="32"/>
  <c r="L269" i="32"/>
  <c r="L71" i="32"/>
  <c r="I129" i="32"/>
  <c r="O39" i="32"/>
  <c r="N59" i="32"/>
  <c r="O92" i="32"/>
  <c r="D12" i="32"/>
  <c r="O34" i="32"/>
  <c r="N247" i="32"/>
  <c r="F72" i="32"/>
  <c r="I163" i="32"/>
  <c r="E161" i="32"/>
  <c r="I92" i="32"/>
  <c r="H122" i="32"/>
  <c r="J130" i="32"/>
  <c r="J269" i="32"/>
  <c r="H90" i="32"/>
  <c r="K92" i="32"/>
  <c r="H84" i="32"/>
  <c r="I198" i="32"/>
  <c r="G35" i="32"/>
  <c r="K29" i="32"/>
  <c r="M128" i="32"/>
  <c r="J93" i="32"/>
  <c r="D269" i="32"/>
  <c r="L128" i="32"/>
  <c r="G128" i="32"/>
  <c r="M270" i="32"/>
  <c r="F10" i="32"/>
  <c r="I147" i="32"/>
  <c r="O237" i="32"/>
  <c r="N187" i="32"/>
  <c r="M197" i="32"/>
  <c r="D27" i="32"/>
  <c r="K118" i="32"/>
  <c r="N64" i="32"/>
  <c r="I78" i="32"/>
  <c r="J79" i="32"/>
  <c r="D8" i="32"/>
  <c r="H55" i="32"/>
  <c r="M110" i="32"/>
  <c r="J12" i="32"/>
  <c r="H247" i="32"/>
  <c r="F92" i="32"/>
  <c r="O99" i="32"/>
  <c r="D99" i="32"/>
  <c r="J85" i="32"/>
  <c r="M11" i="32"/>
  <c r="J64" i="32"/>
  <c r="O84" i="32"/>
  <c r="H198" i="32"/>
  <c r="N144" i="32"/>
  <c r="J72" i="32"/>
  <c r="M21" i="32"/>
  <c r="J32" i="32"/>
  <c r="L119" i="32"/>
  <c r="I154" i="32"/>
  <c r="H37" i="32"/>
  <c r="J128" i="32"/>
  <c r="J136" i="32"/>
  <c r="E229" i="32"/>
  <c r="H16" i="32"/>
  <c r="E269" i="32"/>
  <c r="E270" i="32"/>
  <c r="G162" i="32"/>
  <c r="I91" i="32"/>
  <c r="J73" i="32"/>
  <c r="D189" i="32"/>
  <c r="L8" i="32"/>
  <c r="J189" i="32"/>
  <c r="D129" i="32"/>
  <c r="G43" i="32"/>
  <c r="D44" i="32"/>
  <c r="H19" i="32"/>
  <c r="K173" i="32"/>
  <c r="O118" i="32"/>
  <c r="O175" i="32"/>
  <c r="E26" i="32"/>
  <c r="I38" i="32"/>
  <c r="L118" i="32"/>
  <c r="E257" i="32"/>
  <c r="H142" i="32"/>
  <c r="E144" i="32"/>
  <c r="F131" i="32"/>
  <c r="D130" i="32"/>
  <c r="M99" i="32"/>
  <c r="H69" i="32"/>
  <c r="F115" i="32"/>
  <c r="D200" i="32"/>
  <c r="J232" i="32"/>
  <c r="G27" i="32"/>
  <c r="K131" i="32"/>
  <c r="E19" i="32"/>
  <c r="M127" i="32"/>
  <c r="E141" i="32"/>
  <c r="J14" i="32"/>
  <c r="G122" i="32"/>
  <c r="I131" i="32"/>
  <c r="D127" i="32"/>
  <c r="J66" i="32"/>
  <c r="L21" i="32"/>
  <c r="O73" i="32"/>
  <c r="J71" i="32"/>
  <c r="H202" i="32"/>
  <c r="G121" i="32"/>
  <c r="F183" i="32"/>
  <c r="E146" i="32"/>
  <c r="D237" i="32"/>
  <c r="K129" i="32"/>
  <c r="L210" i="32"/>
  <c r="F33" i="32"/>
  <c r="M96" i="32"/>
  <c r="I230" i="32"/>
  <c r="E38" i="32"/>
  <c r="G100" i="32"/>
  <c r="J39" i="32"/>
  <c r="J68" i="32"/>
  <c r="J70" i="32"/>
  <c r="M27" i="32"/>
  <c r="H21" i="32"/>
  <c r="K11" i="32"/>
  <c r="J7" i="32"/>
  <c r="F154" i="32"/>
  <c r="F12" i="32"/>
  <c r="N99" i="32"/>
  <c r="F32" i="32"/>
  <c r="K30" i="32"/>
  <c r="L56" i="32"/>
  <c r="J176" i="32"/>
  <c r="L43" i="32"/>
  <c r="G57" i="32"/>
  <c r="O79" i="32"/>
  <c r="F99" i="32"/>
  <c r="G154" i="32"/>
  <c r="H176" i="32"/>
  <c r="L34" i="32"/>
  <c r="H15" i="32"/>
  <c r="M97" i="32"/>
  <c r="F35" i="32"/>
  <c r="M172" i="32"/>
  <c r="J65" i="32"/>
  <c r="G195" i="32"/>
  <c r="I159" i="32"/>
  <c r="E195" i="32"/>
  <c r="O231" i="32"/>
  <c r="H49" i="32"/>
  <c r="D58" i="32"/>
  <c r="L54" i="32"/>
  <c r="K256" i="32"/>
  <c r="L70" i="32"/>
  <c r="K7" i="32"/>
  <c r="M183" i="32"/>
  <c r="N18" i="32"/>
  <c r="F147" i="32"/>
  <c r="E188" i="32"/>
  <c r="I237" i="32"/>
  <c r="I43" i="32"/>
  <c r="K32" i="32"/>
  <c r="K78" i="32"/>
  <c r="H79" i="32"/>
  <c r="H136" i="32"/>
  <c r="M93" i="32"/>
  <c r="O27" i="32"/>
  <c r="N269" i="32"/>
  <c r="O122" i="32"/>
  <c r="G97" i="32"/>
  <c r="H38" i="32"/>
  <c r="E128" i="32"/>
  <c r="L201" i="32"/>
  <c r="N31" i="32"/>
  <c r="L96" i="32"/>
  <c r="F65" i="32"/>
  <c r="M34" i="32"/>
  <c r="K21" i="32"/>
  <c r="K122" i="32"/>
  <c r="J55" i="32"/>
  <c r="F232" i="32"/>
  <c r="G178" i="32"/>
  <c r="O42" i="32"/>
  <c r="K237" i="32"/>
  <c r="O59" i="32"/>
  <c r="L121" i="32"/>
  <c r="M105" i="32"/>
  <c r="I118" i="32"/>
  <c r="E55" i="32"/>
  <c r="K197" i="32"/>
  <c r="J185" i="32"/>
  <c r="D31" i="32"/>
  <c r="E163" i="32"/>
  <c r="E174" i="32"/>
  <c r="H210" i="32"/>
  <c r="O178" i="32"/>
  <c r="E147" i="32"/>
  <c r="O176" i="32"/>
  <c r="H201" i="32"/>
  <c r="L91" i="32"/>
  <c r="M232" i="32"/>
  <c r="H262" i="32"/>
  <c r="F94" i="32"/>
  <c r="H128" i="32"/>
  <c r="N91" i="32"/>
  <c r="O17" i="32"/>
  <c r="E27" i="32"/>
  <c r="G146" i="32"/>
  <c r="D92" i="32"/>
  <c r="N186" i="32"/>
  <c r="L220" i="32"/>
  <c r="D145" i="32"/>
  <c r="F130" i="32"/>
  <c r="K145" i="32"/>
  <c r="E31" i="32"/>
  <c r="J18" i="32"/>
  <c r="N19" i="32"/>
  <c r="G187" i="32"/>
  <c r="H65" i="32"/>
  <c r="O264" i="32"/>
  <c r="M33" i="32"/>
  <c r="G175" i="32"/>
  <c r="L29" i="32"/>
  <c r="L174" i="32"/>
  <c r="M36" i="32"/>
  <c r="N178" i="32"/>
  <c r="D13" i="32"/>
  <c r="O262" i="32"/>
  <c r="N127" i="32"/>
  <c r="J41" i="32"/>
  <c r="D242" i="32"/>
  <c r="O9" i="32"/>
  <c r="J201" i="32"/>
  <c r="L28" i="32"/>
  <c r="I41" i="32"/>
  <c r="F269" i="32"/>
  <c r="J121" i="32"/>
  <c r="N189" i="32"/>
  <c r="L215" i="32"/>
  <c r="M14" i="32"/>
  <c r="H231" i="32"/>
  <c r="L186" i="32"/>
  <c r="G220" i="32"/>
  <c r="E16" i="32"/>
  <c r="I162" i="32"/>
  <c r="N33" i="32"/>
  <c r="D174" i="32"/>
  <c r="K8" i="32"/>
  <c r="N131" i="32"/>
  <c r="M7" i="32"/>
  <c r="M28" i="32"/>
  <c r="F129" i="32"/>
  <c r="H129" i="32"/>
  <c r="J264" i="32"/>
  <c r="L84" i="32"/>
  <c r="D55" i="32"/>
  <c r="F142" i="32"/>
  <c r="J154" i="32"/>
  <c r="O97" i="32"/>
  <c r="O68" i="32"/>
  <c r="D26" i="32"/>
  <c r="G73" i="32"/>
  <c r="M145" i="32"/>
  <c r="F30" i="32"/>
  <c r="N21" i="32"/>
  <c r="M98" i="32"/>
  <c r="O93" i="32"/>
  <c r="F256" i="32"/>
  <c r="E210" i="32"/>
  <c r="K68" i="32"/>
  <c r="H72" i="32"/>
  <c r="I90" i="32"/>
  <c r="K204" i="32"/>
  <c r="D186" i="32"/>
  <c r="M231" i="32"/>
  <c r="L72" i="32"/>
  <c r="M26" i="32"/>
  <c r="I176" i="32"/>
  <c r="N142" i="32"/>
  <c r="M121" i="32"/>
  <c r="J237" i="32"/>
  <c r="G36" i="32"/>
  <c r="G174" i="32"/>
  <c r="L100" i="32"/>
  <c r="J10" i="32"/>
  <c r="H9" i="32"/>
  <c r="I184" i="32"/>
  <c r="I42" i="32"/>
  <c r="H242" i="32"/>
  <c r="D41" i="32"/>
  <c r="F195" i="32"/>
  <c r="G96" i="32"/>
  <c r="K264" i="32"/>
  <c r="F29" i="32"/>
  <c r="E262" i="32"/>
  <c r="H116" i="32"/>
  <c r="D198" i="32"/>
  <c r="F100" i="32"/>
  <c r="M72" i="32"/>
  <c r="L147" i="32"/>
  <c r="F7" i="32"/>
  <c r="E70" i="32"/>
  <c r="K188" i="32"/>
  <c r="F97" i="32"/>
  <c r="M117" i="32"/>
  <c r="L127" i="32"/>
  <c r="H18" i="32"/>
  <c r="K199" i="32"/>
  <c r="J8" i="32"/>
  <c r="D190" i="32"/>
  <c r="O37" i="32"/>
  <c r="O57" i="32"/>
  <c r="K195" i="32"/>
  <c r="H178" i="32"/>
  <c r="E199" i="32"/>
  <c r="O199" i="32"/>
  <c r="M153" i="32"/>
  <c r="J204" i="32"/>
  <c r="F122" i="32"/>
  <c r="L68" i="32"/>
  <c r="G56" i="32"/>
  <c r="I84" i="32"/>
  <c r="H237" i="32"/>
  <c r="L26" i="32"/>
  <c r="L262" i="32"/>
  <c r="J33" i="32"/>
  <c r="I65" i="32"/>
  <c r="K136" i="32"/>
  <c r="F28" i="32"/>
  <c r="D37" i="32"/>
  <c r="O35" i="32"/>
  <c r="M187" i="32"/>
  <c r="G91" i="32"/>
  <c r="H68" i="32"/>
  <c r="K117" i="32"/>
  <c r="G256" i="32"/>
  <c r="E30" i="32"/>
  <c r="K28" i="32"/>
  <c r="K231" i="32"/>
  <c r="F145" i="32"/>
  <c r="O210" i="32"/>
  <c r="O33" i="32"/>
  <c r="K202" i="32"/>
  <c r="F229" i="32"/>
  <c r="E205" i="32"/>
  <c r="H28" i="32"/>
  <c r="O96" i="32"/>
  <c r="K44" i="32"/>
  <c r="N12" i="32"/>
  <c r="F117" i="32"/>
  <c r="J94" i="32"/>
  <c r="M162" i="32"/>
  <c r="L73" i="32"/>
  <c r="L175" i="32"/>
  <c r="H154" i="32"/>
  <c r="N49" i="32"/>
  <c r="H270" i="32"/>
  <c r="F173" i="32"/>
  <c r="L120" i="32"/>
  <c r="H264" i="32"/>
  <c r="L177" i="32"/>
  <c r="H257" i="32"/>
  <c r="H183" i="32"/>
  <c r="E118" i="32"/>
  <c r="I199" i="32"/>
  <c r="O229" i="32"/>
  <c r="I119" i="32"/>
  <c r="J183" i="32"/>
  <c r="E43" i="32"/>
  <c r="F231" i="32"/>
  <c r="H200" i="32"/>
  <c r="E7" i="32"/>
  <c r="J96" i="32"/>
  <c r="O91" i="32"/>
  <c r="L199" i="32"/>
  <c r="K119" i="32"/>
  <c r="F119" i="32"/>
  <c r="D30" i="32"/>
  <c r="I247" i="32"/>
  <c r="M189" i="32"/>
  <c r="N56" i="32"/>
  <c r="E90" i="32"/>
  <c r="I40" i="32"/>
  <c r="M16" i="32"/>
  <c r="D195" i="32"/>
  <c r="J110" i="32"/>
  <c r="D71" i="32"/>
  <c r="L257" i="32"/>
  <c r="N270" i="32"/>
  <c r="D32" i="32"/>
  <c r="I190" i="32"/>
  <c r="N190" i="32"/>
  <c r="N84" i="32"/>
  <c r="E177" i="32"/>
  <c r="N200" i="32"/>
  <c r="H59" i="32"/>
  <c r="I136" i="32"/>
  <c r="G78" i="32"/>
  <c r="G38" i="32"/>
  <c r="M59" i="32"/>
  <c r="N161" i="32"/>
  <c r="I79" i="32"/>
  <c r="F136" i="32"/>
  <c r="D11" i="32"/>
  <c r="K175" i="32"/>
  <c r="D177" i="32"/>
  <c r="N175" i="32"/>
  <c r="E91" i="32"/>
  <c r="D176" i="32"/>
  <c r="F270" i="32"/>
  <c r="J58" i="32"/>
  <c r="M131" i="32"/>
  <c r="M229" i="32"/>
  <c r="E172" i="32"/>
  <c r="H174" i="32"/>
  <c r="J84" i="32"/>
  <c r="D79" i="32"/>
  <c r="G200" i="32"/>
  <c r="O29" i="32"/>
  <c r="G184" i="32"/>
  <c r="K34" i="32"/>
  <c r="E54" i="32"/>
  <c r="G33" i="32"/>
  <c r="E130" i="32"/>
  <c r="O196" i="32"/>
  <c r="D120" i="32"/>
  <c r="L232" i="32"/>
  <c r="N14" i="32"/>
  <c r="L203" i="32"/>
  <c r="I143" i="32"/>
  <c r="O41" i="32"/>
  <c r="F264" i="32"/>
  <c r="M161" i="32"/>
  <c r="O100" i="32"/>
  <c r="D187" i="32"/>
  <c r="D66" i="32"/>
  <c r="H159" i="32"/>
  <c r="M70" i="32"/>
  <c r="J159" i="32"/>
  <c r="M57" i="32"/>
  <c r="H118" i="32"/>
  <c r="L37" i="32"/>
  <c r="D122" i="32"/>
  <c r="K18" i="32"/>
  <c r="I205" i="32"/>
  <c r="I55" i="32"/>
  <c r="L160" i="32"/>
  <c r="H98" i="32"/>
  <c r="I200" i="32"/>
  <c r="D9" i="32"/>
  <c r="L178" i="32"/>
  <c r="N147" i="32"/>
  <c r="H33" i="32"/>
  <c r="F203" i="32"/>
  <c r="N173" i="32"/>
  <c r="G116" i="32"/>
  <c r="M210" i="32"/>
  <c r="D40" i="32"/>
  <c r="M64" i="32"/>
  <c r="D163" i="32"/>
  <c r="H215" i="32"/>
  <c r="O32" i="32"/>
  <c r="L187" i="32"/>
  <c r="G136" i="32"/>
  <c r="M94" i="32"/>
  <c r="K37" i="32"/>
  <c r="H56" i="32"/>
  <c r="N176" i="32"/>
  <c r="G99" i="32"/>
  <c r="D201" i="32"/>
  <c r="K67" i="32"/>
  <c r="E202" i="32"/>
  <c r="M120" i="32"/>
  <c r="O202" i="32"/>
  <c r="M56" i="32"/>
  <c r="I12" i="32"/>
  <c r="I32" i="32"/>
  <c r="E136" i="32"/>
  <c r="G14" i="32"/>
  <c r="J95" i="32"/>
  <c r="E264" i="32"/>
  <c r="E29" i="32"/>
  <c r="E131" i="32"/>
  <c r="O67" i="32"/>
  <c r="G9" i="32"/>
  <c r="K262" i="32"/>
  <c r="M67" i="32"/>
  <c r="J116" i="32"/>
  <c r="L264" i="32"/>
  <c r="L59" i="32"/>
  <c r="L78" i="32"/>
  <c r="K247" i="32"/>
  <c r="F201" i="32"/>
  <c r="M257" i="32"/>
  <c r="I57" i="32"/>
  <c r="K93" i="32"/>
  <c r="I263" i="32"/>
  <c r="E20" i="32"/>
  <c r="L185" i="32"/>
  <c r="D202" i="32"/>
  <c r="O15" i="32"/>
  <c r="N17" i="32"/>
  <c r="F184" i="32"/>
  <c r="K141" i="32"/>
  <c r="N26" i="32"/>
  <c r="N188" i="32"/>
  <c r="F128" i="32"/>
  <c r="G66" i="32"/>
  <c r="E64" i="32"/>
  <c r="L12" i="32"/>
  <c r="K143" i="32"/>
  <c r="L122" i="32"/>
  <c r="H117" i="32"/>
  <c r="N69" i="32"/>
  <c r="M178" i="32"/>
  <c r="F17" i="32"/>
  <c r="K146" i="32"/>
  <c r="K147" i="32"/>
  <c r="F187" i="32"/>
  <c r="O30" i="32"/>
  <c r="H119" i="32"/>
  <c r="L94" i="32"/>
  <c r="K105" i="32"/>
  <c r="N199" i="32"/>
  <c r="E160" i="32"/>
  <c r="M118" i="32"/>
  <c r="L9" i="32"/>
  <c r="H93" i="32"/>
  <c r="G163" i="32"/>
  <c r="E237" i="32"/>
  <c r="M8" i="32"/>
  <c r="N174" i="32"/>
  <c r="N73" i="32"/>
  <c r="M30" i="32"/>
  <c r="D68" i="32"/>
  <c r="F257" i="32"/>
  <c r="J270" i="32"/>
  <c r="K229" i="32"/>
  <c r="I177" i="32"/>
  <c r="J161" i="32"/>
  <c r="G161" i="32"/>
  <c r="D232" i="32"/>
  <c r="E231" i="32"/>
  <c r="L97" i="32"/>
  <c r="E13" i="32"/>
  <c r="I19" i="32"/>
  <c r="I146" i="32"/>
  <c r="O13" i="32"/>
  <c r="G172" i="32"/>
  <c r="H172" i="32"/>
  <c r="F141" i="32"/>
  <c r="O129" i="32"/>
  <c r="G65" i="32"/>
  <c r="M190" i="32"/>
  <c r="D85" i="32"/>
  <c r="H13" i="32"/>
  <c r="L229" i="32"/>
  <c r="L58" i="32"/>
  <c r="N55" i="32"/>
  <c r="H78" i="32"/>
  <c r="M196" i="32"/>
  <c r="J36" i="32"/>
  <c r="E175" i="32"/>
  <c r="F189" i="32"/>
  <c r="F175" i="32"/>
  <c r="J196" i="32"/>
  <c r="G144" i="32"/>
  <c r="I96" i="32"/>
  <c r="I121" i="32"/>
  <c r="N172" i="32"/>
  <c r="F146" i="32"/>
  <c r="L42" i="32"/>
  <c r="N96" i="32"/>
  <c r="L57" i="32"/>
  <c r="M136" i="32"/>
  <c r="N143" i="32"/>
  <c r="H29" i="32"/>
  <c r="E84" i="32"/>
  <c r="M100" i="32"/>
  <c r="F54" i="32"/>
  <c r="L66" i="32"/>
  <c r="E42" i="32"/>
  <c r="I242" i="32"/>
  <c r="O20" i="32"/>
  <c r="E37" i="32"/>
  <c r="D196" i="32"/>
  <c r="E18" i="32"/>
  <c r="L18" i="32"/>
  <c r="J131" i="32"/>
  <c r="O143" i="32"/>
  <c r="H232" i="32"/>
  <c r="I54" i="32"/>
  <c r="J57" i="32"/>
  <c r="D231" i="32"/>
  <c r="K187" i="32"/>
  <c r="L38" i="32"/>
  <c r="I183" i="32"/>
  <c r="L237" i="32"/>
  <c r="G44" i="32"/>
  <c r="G185" i="32"/>
  <c r="O66" i="32"/>
  <c r="N70" i="32"/>
  <c r="H27" i="32"/>
  <c r="I210" i="32"/>
  <c r="H141" i="32"/>
  <c r="L13" i="32"/>
  <c r="F98" i="32"/>
  <c r="N79" i="32"/>
  <c r="O55" i="32"/>
  <c r="K176" i="32"/>
  <c r="I68" i="32"/>
  <c r="G16" i="32"/>
  <c r="D178" i="32"/>
  <c r="M173" i="32"/>
  <c r="G71" i="32"/>
  <c r="K43" i="32"/>
  <c r="D256" i="32"/>
  <c r="L116" i="32"/>
  <c r="K128" i="32"/>
  <c r="O183" i="32"/>
  <c r="K33" i="32"/>
  <c r="D17" i="32"/>
  <c r="J118" i="32"/>
  <c r="J42" i="32"/>
  <c r="E12" i="32"/>
  <c r="I231" i="32"/>
  <c r="G69" i="32"/>
  <c r="I20" i="32"/>
  <c r="J120" i="32"/>
  <c r="M32" i="32"/>
  <c r="H121" i="32"/>
  <c r="H187" i="32"/>
  <c r="O141" i="32"/>
  <c r="D185" i="32"/>
  <c r="O49" i="32"/>
  <c r="E127" i="32"/>
  <c r="N264" i="32"/>
  <c r="N36" i="32"/>
  <c r="G205" i="32"/>
  <c r="E67" i="32"/>
  <c r="L204" i="32"/>
  <c r="H26" i="32"/>
  <c r="E230" i="32"/>
  <c r="F55" i="32"/>
  <c r="I264" i="32"/>
  <c r="G85" i="32"/>
  <c r="H66" i="32"/>
  <c r="O173" i="32"/>
  <c r="D143" i="32"/>
  <c r="N128" i="32"/>
  <c r="N9" i="32"/>
  <c r="L231" i="32"/>
  <c r="O197" i="32"/>
  <c r="H189" i="32"/>
  <c r="N100" i="32"/>
  <c r="K85" i="32"/>
  <c r="F162" i="32"/>
  <c r="E129" i="32"/>
  <c r="F230" i="32"/>
  <c r="J184" i="32"/>
  <c r="F26" i="32"/>
  <c r="J115" i="32"/>
  <c r="L188" i="32"/>
  <c r="I16" i="32"/>
  <c r="I215" i="32"/>
  <c r="O8" i="32"/>
  <c r="J20" i="32"/>
  <c r="D154" i="32"/>
  <c r="K121" i="32"/>
  <c r="H144" i="32"/>
  <c r="J186" i="32"/>
  <c r="G32" i="32"/>
  <c r="M177" i="32"/>
  <c r="N116" i="32"/>
  <c r="K72" i="32"/>
  <c r="L196" i="32"/>
  <c r="D15" i="32"/>
  <c r="I95" i="32"/>
  <c r="D264" i="32"/>
  <c r="D147" i="32"/>
  <c r="K64" i="32"/>
  <c r="I128" i="32"/>
  <c r="F152" i="32"/>
  <c r="M160" i="32"/>
  <c r="H44" i="32"/>
  <c r="M58" i="32"/>
  <c r="K27" i="32"/>
  <c r="E256" i="32"/>
  <c r="L15" i="32"/>
  <c r="D100" i="32"/>
  <c r="K177" i="32"/>
  <c r="H115" i="32"/>
  <c r="N205" i="32"/>
  <c r="O12" i="32"/>
  <c r="E232" i="32"/>
  <c r="M159" i="32"/>
  <c r="I256" i="32"/>
  <c r="M91" i="32"/>
  <c r="K142" i="32"/>
  <c r="H31" i="32"/>
  <c r="I98" i="32"/>
  <c r="G90" i="32"/>
  <c r="M242" i="32"/>
  <c r="I122" i="32"/>
  <c r="H230" i="32"/>
  <c r="M55" i="32"/>
  <c r="K38" i="32"/>
  <c r="D199" i="32"/>
  <c r="F105" i="32"/>
  <c r="M146" i="32"/>
  <c r="L198" i="32"/>
  <c r="H184" i="32"/>
  <c r="M264" i="32"/>
  <c r="N13" i="32"/>
  <c r="N118" i="32"/>
  <c r="J9" i="32"/>
  <c r="K270" i="32"/>
  <c r="G8" i="32"/>
  <c r="M49" i="32"/>
  <c r="L10" i="32"/>
  <c r="J54" i="32"/>
  <c r="O115" i="32"/>
  <c r="K178" i="32"/>
  <c r="I66" i="32"/>
  <c r="H99" i="32"/>
  <c r="I144" i="32"/>
  <c r="L136" i="32"/>
  <c r="M92" i="32"/>
  <c r="O232" i="32"/>
  <c r="K115" i="32"/>
  <c r="D220" i="32"/>
  <c r="E190" i="32"/>
  <c r="F40" i="32"/>
  <c r="J262" i="32"/>
  <c r="G263" i="32"/>
  <c r="G177" i="32"/>
  <c r="I64" i="32"/>
  <c r="J173" i="32"/>
  <c r="N34" i="32"/>
  <c r="E36" i="32"/>
  <c r="O186" i="32"/>
  <c r="O201" i="32"/>
  <c r="E186" i="32"/>
  <c r="D153" i="32"/>
  <c r="G237" i="32"/>
  <c r="I160" i="32"/>
  <c r="E9" i="32"/>
  <c r="L161" i="32"/>
  <c r="K36" i="32"/>
  <c r="E105" i="32"/>
  <c r="F34" i="32"/>
  <c r="J198" i="32"/>
  <c r="I161" i="32"/>
  <c r="M35" i="32"/>
  <c r="H131" i="32"/>
  <c r="N54" i="32"/>
  <c r="F71" i="32"/>
  <c r="I232" i="32"/>
  <c r="G120" i="32"/>
  <c r="K184" i="32"/>
  <c r="N210" i="32"/>
  <c r="H14" i="32"/>
  <c r="J29" i="32"/>
  <c r="I175" i="32"/>
  <c r="G55" i="32"/>
  <c r="H162" i="32"/>
  <c r="D115" i="32"/>
  <c r="G105" i="32"/>
  <c r="I18" i="32"/>
  <c r="G145" i="32"/>
  <c r="K196" i="32"/>
  <c r="M198" i="32"/>
  <c r="J27" i="32"/>
  <c r="J67" i="32"/>
  <c r="I9" i="32"/>
  <c r="L99" i="32"/>
  <c r="E117" i="32"/>
  <c r="K160" i="32"/>
  <c r="F84" i="32"/>
  <c r="M215" i="32"/>
  <c r="L256" i="32"/>
  <c r="N146" i="32"/>
  <c r="F159" i="32"/>
  <c r="N41" i="32"/>
  <c r="K73" i="32"/>
  <c r="G183" i="32"/>
  <c r="H205" i="32"/>
  <c r="K70" i="32"/>
  <c r="I29" i="32"/>
  <c r="F49" i="32"/>
  <c r="K54" i="32"/>
  <c r="M175" i="32"/>
  <c r="G68" i="32"/>
  <c r="D270" i="32"/>
  <c r="F198" i="32"/>
  <c r="N198" i="32"/>
  <c r="M200" i="32"/>
  <c r="E184" i="32"/>
  <c r="F37" i="32"/>
  <c r="G198" i="32"/>
  <c r="D160" i="32"/>
  <c r="O28" i="32"/>
  <c r="J162" i="32"/>
  <c r="J263" i="32"/>
  <c r="I197" i="32"/>
  <c r="F118" i="32"/>
  <c r="D19" i="32"/>
  <c r="O162" i="32"/>
  <c r="N20" i="32"/>
  <c r="O69" i="32"/>
  <c r="M188" i="32"/>
  <c r="M90" i="32"/>
  <c r="O110" i="32"/>
  <c r="E145" i="32"/>
  <c r="J215" i="32"/>
  <c r="O121" i="32"/>
  <c r="H204" i="32"/>
  <c r="N105" i="32"/>
  <c r="H92" i="32"/>
  <c r="E154" i="32"/>
  <c r="I152" i="32"/>
  <c r="D131" i="32"/>
  <c r="D144" i="32"/>
  <c r="D42" i="32"/>
  <c r="F31" i="32"/>
  <c r="H269" i="32"/>
  <c r="M43" i="32"/>
  <c r="J17" i="32"/>
  <c r="K15" i="32"/>
  <c r="O270" i="32"/>
  <c r="K163" i="32"/>
  <c r="M18" i="32"/>
  <c r="N183" i="32"/>
  <c r="H73" i="32"/>
  <c r="I189" i="32"/>
  <c r="J177" i="32"/>
  <c r="N16" i="32"/>
  <c r="N72" i="32"/>
  <c r="N122" i="32"/>
  <c r="I70" i="32"/>
  <c r="D64" i="32"/>
  <c r="E142" i="32"/>
  <c r="I105" i="32"/>
  <c r="G264" i="32"/>
  <c r="N57" i="32"/>
  <c r="K31" i="32"/>
  <c r="G210" i="32"/>
  <c r="H40" i="32"/>
  <c r="G197" i="32"/>
  <c r="L152" i="32"/>
  <c r="E56" i="32"/>
  <c r="J99" i="32"/>
  <c r="K185" i="32"/>
  <c r="M201" i="32"/>
  <c r="E68" i="32"/>
  <c r="G115" i="32"/>
  <c r="E32" i="32"/>
  <c r="J256" i="32"/>
  <c r="N195" i="32"/>
  <c r="N230" i="32"/>
  <c r="I71" i="32"/>
  <c r="H17" i="32"/>
  <c r="N177" i="32"/>
  <c r="D29" i="32"/>
  <c r="G19" i="32"/>
  <c r="K198" i="32"/>
  <c r="J178" i="32"/>
  <c r="G229" i="32"/>
  <c r="O184" i="32"/>
  <c r="O190" i="32"/>
  <c r="O36" i="32"/>
  <c r="I220" i="32"/>
  <c r="G13" i="32"/>
  <c r="N242" i="32"/>
  <c r="J153" i="32"/>
  <c r="O257" i="32"/>
  <c r="J127" i="32"/>
  <c r="M20" i="32"/>
  <c r="J129" i="32"/>
  <c r="J141" i="32"/>
  <c r="E247" i="32"/>
  <c r="O188" i="32"/>
  <c r="I69" i="32"/>
  <c r="N28" i="32"/>
  <c r="O58" i="32"/>
  <c r="D142" i="32"/>
  <c r="N121" i="32"/>
  <c r="G72" i="32"/>
  <c r="J187" i="32"/>
  <c r="L205" i="32"/>
  <c r="O116" i="32"/>
  <c r="K130" i="32"/>
  <c r="D159" i="32"/>
  <c r="O189" i="32"/>
  <c r="N78" i="32"/>
  <c r="J40" i="32"/>
  <c r="F39" i="32"/>
  <c r="F27" i="32"/>
  <c r="L110" i="32"/>
  <c r="M116" i="32"/>
  <c r="M256" i="32"/>
  <c r="K127" i="32"/>
  <c r="L173" i="32"/>
  <c r="L141" i="32"/>
  <c r="M85" i="32"/>
  <c r="J37" i="32"/>
  <c r="E71" i="32"/>
  <c r="I7" i="32"/>
  <c r="O195" i="32"/>
  <c r="E116" i="32"/>
  <c r="G94" i="32"/>
  <c r="M40" i="32"/>
  <c r="E119" i="32"/>
  <c r="G127" i="32"/>
  <c r="L67" i="32"/>
  <c r="F174" i="32"/>
  <c r="F161" i="32"/>
  <c r="M230" i="32"/>
  <c r="I35" i="32"/>
  <c r="F242" i="32"/>
  <c r="M95" i="32"/>
  <c r="F67" i="32"/>
  <c r="H67" i="32"/>
  <c r="F18" i="32"/>
  <c r="N129" i="32"/>
  <c r="D205" i="32"/>
  <c r="K19" i="32"/>
  <c r="J231" i="32"/>
  <c r="N10" i="32"/>
  <c r="H146" i="32"/>
  <c r="I37" i="32"/>
  <c r="L92" i="32"/>
  <c r="K263" i="32"/>
  <c r="L27" i="32"/>
  <c r="I257" i="32"/>
  <c r="H58" i="32"/>
  <c r="H186" i="32"/>
  <c r="E58" i="32"/>
  <c r="G64" i="32"/>
  <c r="E17" i="32"/>
  <c r="F95" i="32"/>
  <c r="K200" i="32"/>
  <c r="E11" i="32"/>
  <c r="G12" i="32"/>
  <c r="H42" i="32"/>
  <c r="J144" i="32"/>
  <c r="J175" i="32"/>
  <c r="O119" i="32"/>
  <c r="H130" i="32"/>
  <c r="L153" i="32"/>
  <c r="E96" i="32"/>
  <c r="K49" i="32"/>
  <c r="I30" i="32"/>
  <c r="O153" i="32"/>
  <c r="E69" i="32"/>
  <c r="O154" i="32"/>
  <c r="M163" i="32"/>
  <c r="N40" i="32"/>
  <c r="H160" i="32"/>
  <c r="H197" i="32"/>
  <c r="L154" i="32"/>
  <c r="J117" i="32"/>
  <c r="E59" i="32"/>
  <c r="L163" i="32"/>
  <c r="F56" i="32"/>
  <c r="J78" i="32"/>
  <c r="H41" i="32"/>
  <c r="N263" i="32"/>
  <c r="L202" i="32"/>
  <c r="M65" i="32"/>
  <c r="O187" i="32"/>
  <c r="O90" i="32"/>
  <c r="K172" i="32"/>
  <c r="D173" i="32"/>
  <c r="K100" i="32"/>
  <c r="J44" i="32"/>
  <c r="F160" i="32"/>
  <c r="G257" i="32"/>
  <c r="I172" i="32"/>
  <c r="O21" i="32"/>
  <c r="N37" i="32"/>
  <c r="D96" i="32"/>
  <c r="M37" i="32"/>
  <c r="I99" i="32"/>
  <c r="O247" i="32"/>
  <c r="M31" i="32"/>
  <c r="K65" i="32"/>
  <c r="L30" i="32"/>
  <c r="L115" i="32"/>
  <c r="I11" i="32"/>
  <c r="F78" i="32"/>
  <c r="E93" i="32"/>
  <c r="K201" i="32"/>
  <c r="N152" i="32"/>
  <c r="D34" i="32"/>
  <c r="F116" i="32"/>
  <c r="J100" i="32"/>
  <c r="N196" i="32"/>
  <c r="G130" i="32"/>
  <c r="L146" i="32"/>
  <c r="G15" i="32"/>
  <c r="L172" i="32"/>
  <c r="I110" i="32"/>
  <c r="O127" i="32"/>
  <c r="K66" i="32"/>
  <c r="G201" i="32"/>
  <c r="O11" i="32"/>
  <c r="I36" i="32"/>
  <c r="F36" i="32"/>
  <c r="D263" i="32"/>
  <c r="D70" i="32"/>
  <c r="N66" i="32"/>
  <c r="G30" i="32"/>
  <c r="O131" i="32"/>
  <c r="F64" i="32"/>
  <c r="H71" i="32"/>
  <c r="J31" i="32"/>
  <c r="J43" i="32"/>
  <c r="N42" i="32"/>
  <c r="L19" i="32"/>
  <c r="H12" i="32"/>
  <c r="H96" i="32"/>
  <c r="F70" i="32"/>
  <c r="I39" i="32"/>
  <c r="K153" i="32"/>
  <c r="J21" i="32"/>
  <c r="L263" i="32"/>
  <c r="N93" i="32"/>
  <c r="D229" i="32"/>
  <c r="H199" i="32"/>
  <c r="J34" i="32"/>
  <c r="L270" i="32"/>
  <c r="O95" i="32"/>
  <c r="H173" i="32"/>
  <c r="O146" i="32"/>
  <c r="I204" i="32"/>
  <c r="H8" i="32"/>
  <c r="K94" i="32"/>
  <c r="K20" i="32"/>
  <c r="D262" i="32"/>
  <c r="G21" i="32"/>
  <c r="O19" i="32"/>
  <c r="I174" i="32"/>
  <c r="O145" i="32"/>
  <c r="E98" i="32"/>
  <c r="E121" i="32"/>
  <c r="N201" i="32"/>
  <c r="H143" i="32"/>
  <c r="K215" i="32"/>
  <c r="J28" i="32"/>
  <c r="L7" i="32"/>
  <c r="N220" i="32"/>
  <c r="D257" i="32"/>
  <c r="G152" i="32"/>
  <c r="J174" i="32"/>
  <c r="J145" i="32"/>
  <c r="D105" i="32"/>
  <c r="O200" i="32"/>
  <c r="F19" i="32"/>
  <c r="L184" i="32"/>
  <c r="E242" i="32"/>
  <c r="K10" i="32"/>
  <c r="E200" i="32"/>
  <c r="M262" i="32"/>
  <c r="I270" i="32"/>
  <c r="K257" i="32"/>
  <c r="H256" i="32"/>
  <c r="G67" i="32"/>
  <c r="N197" i="32"/>
  <c r="I59" i="32"/>
  <c r="F42" i="32"/>
  <c r="N30" i="32"/>
  <c r="I14" i="32"/>
  <c r="E14" i="32"/>
  <c r="O7" i="32"/>
  <c r="D110" i="32"/>
  <c r="L55" i="32"/>
  <c r="G242" i="32"/>
  <c r="G93" i="32"/>
  <c r="N98" i="32"/>
  <c r="O203" i="32"/>
  <c r="N163" i="32"/>
  <c r="O71" i="32"/>
  <c r="G131" i="32"/>
  <c r="I269" i="32"/>
  <c r="G11" i="32"/>
  <c r="N85" i="32"/>
  <c r="G110" i="32"/>
  <c r="G142" i="32"/>
  <c r="L129" i="32"/>
  <c r="G190" i="32"/>
  <c r="N90" i="32"/>
  <c r="K183" i="32"/>
  <c r="N94" i="32"/>
  <c r="G58" i="32"/>
  <c r="O242" i="32"/>
  <c r="O105" i="32"/>
  <c r="F20" i="32"/>
  <c r="E41" i="32"/>
  <c r="M205" i="32"/>
  <c r="D91" i="32"/>
  <c r="G232" i="32"/>
  <c r="J202" i="32"/>
  <c r="M17" i="32"/>
  <c r="M41" i="32"/>
  <c r="N203" i="32"/>
  <c r="I58" i="32"/>
  <c r="D210" i="32"/>
  <c r="N204" i="32"/>
  <c r="G147" i="32"/>
  <c r="D117" i="32"/>
  <c r="D188" i="32"/>
  <c r="N65" i="32"/>
  <c r="M247" i="32"/>
  <c r="O185" i="32"/>
  <c r="E49" i="32"/>
  <c r="D18" i="32"/>
  <c r="O94" i="32"/>
  <c r="M13" i="32"/>
  <c r="F44" i="32"/>
  <c r="F68" i="32"/>
  <c r="K98" i="32"/>
  <c r="D78" i="32"/>
  <c r="N237" i="32"/>
  <c r="K91" i="32"/>
  <c r="M15" i="32"/>
  <c r="E97" i="32"/>
  <c r="O56" i="32"/>
  <c r="L142" i="32"/>
  <c r="K90" i="32"/>
  <c r="H127" i="32"/>
  <c r="G84" i="32"/>
  <c r="M19" i="32"/>
  <c r="J203" i="32"/>
  <c r="D69" i="32"/>
  <c r="G129" i="32"/>
  <c r="N58" i="32"/>
  <c r="H97" i="32"/>
  <c r="J247" i="32"/>
  <c r="J30" i="32"/>
  <c r="O152" i="32"/>
  <c r="I262" i="32"/>
  <c r="O14" i="32"/>
  <c r="L162" i="32"/>
  <c r="O10" i="32"/>
  <c r="J19" i="32"/>
  <c r="D54" i="32"/>
  <c r="I187" i="32"/>
  <c r="D10" i="32"/>
  <c r="N184" i="32"/>
  <c r="H152" i="32"/>
  <c r="I93" i="32"/>
  <c r="H190" i="32"/>
  <c r="L33" i="32"/>
  <c r="D152" i="32"/>
  <c r="O215" i="32"/>
  <c r="D204" i="32"/>
  <c r="D97" i="32"/>
  <c r="J199" i="32"/>
  <c r="M129" i="32"/>
  <c r="F91" i="32"/>
  <c r="F263" i="32"/>
  <c r="M38" i="32"/>
  <c r="H229" i="32"/>
  <c r="D73" i="32"/>
  <c r="E92" i="32"/>
  <c r="N202" i="32"/>
  <c r="E34" i="32"/>
  <c r="K79" i="32"/>
  <c r="N229" i="32"/>
  <c r="M71" i="32"/>
  <c r="L93" i="32"/>
  <c r="L190" i="32"/>
  <c r="F177" i="32"/>
  <c r="G10" i="32"/>
  <c r="M119" i="32"/>
  <c r="J147" i="32"/>
  <c r="E178" i="32"/>
  <c r="F66" i="32"/>
  <c r="I31" i="32"/>
  <c r="D43" i="32"/>
  <c r="L197" i="32"/>
  <c r="D197" i="32"/>
  <c r="I116" i="32"/>
  <c r="G42" i="32"/>
  <c r="E215" i="32"/>
  <c r="H85" i="32"/>
  <c r="O43" i="32"/>
  <c r="G188" i="32"/>
  <c r="H105" i="32"/>
  <c r="G202" i="32"/>
  <c r="D33" i="32"/>
  <c r="D20" i="32"/>
  <c r="I17" i="32"/>
  <c r="G269" i="32"/>
  <c r="E203" i="32"/>
  <c r="F215" i="32"/>
  <c r="G17" i="32"/>
  <c r="N29" i="32"/>
  <c r="E95" i="32"/>
  <c r="D94" i="32"/>
  <c r="F127" i="32"/>
  <c r="M39" i="32"/>
  <c r="E15" i="32"/>
  <c r="M237" i="32"/>
  <c r="J105" i="32"/>
  <c r="D36" i="32"/>
  <c r="G39" i="32"/>
  <c r="E162" i="32"/>
  <c r="M69" i="32"/>
  <c r="G59" i="32"/>
  <c r="D65" i="32"/>
  <c r="I8" i="32"/>
  <c r="M185" i="32"/>
  <c r="E197" i="32"/>
  <c r="D247" i="32"/>
  <c r="J190" i="32"/>
  <c r="N11" i="32"/>
  <c r="G92" i="32"/>
  <c r="K26" i="32"/>
  <c r="J11" i="32"/>
  <c r="K144" i="32"/>
  <c r="N256" i="32"/>
  <c r="I185" i="32"/>
  <c r="G20" i="32"/>
  <c r="E99" i="32"/>
  <c r="K154" i="32"/>
  <c r="M115" i="32"/>
  <c r="O16" i="32"/>
  <c r="M44" i="32"/>
  <c r="M195" i="32"/>
  <c r="J143" i="32"/>
  <c r="O85" i="32"/>
  <c r="G29" i="32"/>
  <c r="F197" i="32"/>
  <c r="H57" i="32"/>
  <c r="F247" i="32"/>
  <c r="F79" i="32"/>
  <c r="O161" i="32"/>
  <c r="J59" i="32"/>
  <c r="I141" i="32"/>
  <c r="I229" i="32"/>
  <c r="O269" i="32"/>
  <c r="N185" i="32"/>
  <c r="I49" i="32"/>
  <c r="F13" i="32"/>
  <c r="O128" i="32"/>
  <c r="E65" i="32"/>
  <c r="N119" i="32"/>
  <c r="M143" i="32"/>
  <c r="N8" i="32"/>
  <c r="D184" i="32"/>
  <c r="F96" i="32"/>
  <c r="O40" i="32"/>
  <c r="G262" i="32"/>
  <c r="M130" i="32"/>
  <c r="H10" i="32"/>
  <c r="J122" i="32"/>
  <c r="O160" i="32"/>
  <c r="E185" i="32"/>
  <c r="O54" i="32"/>
  <c r="H120" i="32"/>
  <c r="H36" i="32"/>
  <c r="G118" i="32"/>
  <c r="K40" i="32"/>
  <c r="H203" i="32"/>
  <c r="E10" i="32"/>
  <c r="E263" i="32"/>
  <c r="H43" i="32"/>
  <c r="L40" i="32"/>
  <c r="E39" i="32"/>
  <c r="N68" i="32"/>
  <c r="M142" i="32"/>
  <c r="I27" i="32"/>
  <c r="D98" i="32"/>
  <c r="I26" i="32"/>
  <c r="I33" i="32"/>
  <c r="E198" i="32"/>
  <c r="G70" i="32"/>
  <c r="O31" i="32"/>
  <c r="O177" i="32"/>
  <c r="G31" i="32"/>
  <c r="K55" i="32"/>
  <c r="F11" i="32"/>
  <c r="N110" i="32"/>
  <c r="L65" i="32"/>
  <c r="K16" i="32"/>
  <c r="K152" i="32"/>
  <c r="D183" i="32"/>
  <c r="J229" i="32"/>
  <c r="E110" i="32"/>
  <c r="F204" i="32"/>
  <c r="N232" i="32"/>
  <c r="O78" i="32"/>
  <c r="O120" i="32"/>
  <c r="D28" i="32"/>
  <c r="I127" i="32"/>
  <c r="H95" i="32"/>
  <c r="I117" i="32"/>
  <c r="O98" i="32"/>
  <c r="L98" i="32"/>
  <c r="L183" i="32"/>
  <c r="H110" i="32"/>
  <c r="I203" i="32"/>
  <c r="F176" i="32"/>
  <c r="J220" i="32"/>
  <c r="F110" i="32"/>
  <c r="O205" i="32"/>
  <c r="J15" i="32"/>
  <c r="K159" i="32"/>
  <c r="G196" i="32"/>
  <c r="F43" i="32"/>
  <c r="M79" i="32"/>
  <c r="E183" i="32"/>
  <c r="G204" i="32"/>
  <c r="K203" i="32"/>
  <c r="K110" i="32"/>
  <c r="G98" i="32"/>
  <c r="L145" i="32"/>
  <c r="O198" i="32"/>
  <c r="J90" i="32"/>
  <c r="I85" i="32"/>
  <c r="M174" i="32"/>
  <c r="N35" i="32"/>
  <c r="D161" i="32"/>
  <c r="H34" i="32"/>
  <c r="D59" i="32"/>
  <c r="N39" i="32"/>
  <c r="D116" i="32"/>
  <c r="J210" i="32"/>
  <c r="G49" i="32"/>
  <c r="F144" i="32"/>
  <c r="D35" i="32"/>
  <c r="H145" i="32"/>
  <c r="J195" i="32"/>
  <c r="G230" i="32"/>
  <c r="D118" i="32"/>
  <c r="K42" i="32"/>
  <c r="N130" i="32"/>
  <c r="D121" i="32"/>
  <c r="E115" i="32"/>
  <c r="J98" i="32"/>
  <c r="M202" i="32"/>
  <c r="F41" i="32"/>
  <c r="I142" i="32"/>
  <c r="J146" i="32"/>
  <c r="N141" i="32"/>
  <c r="E204" i="32"/>
  <c r="N257" i="32"/>
  <c r="D7" i="32"/>
  <c r="K14" i="32"/>
  <c r="L131" i="32"/>
  <c r="I115" i="32"/>
  <c r="N44" i="32"/>
  <c r="F58" i="32"/>
  <c r="I130" i="32"/>
  <c r="K96" i="32"/>
  <c r="J56" i="32"/>
  <c r="N215" i="32"/>
  <c r="J230" i="32"/>
  <c r="L230" i="32"/>
  <c r="N262" i="32"/>
  <c r="D175" i="32"/>
  <c r="F202" i="32"/>
  <c r="J35" i="32"/>
  <c r="H7" i="32"/>
  <c r="D230" i="32"/>
  <c r="H11" i="32"/>
  <c r="I173" i="32"/>
  <c r="F8" i="32"/>
  <c r="G215" i="32"/>
  <c r="F262" i="32"/>
  <c r="D172" i="32"/>
  <c r="D39" i="32"/>
  <c r="K97" i="32"/>
  <c r="L144" i="32"/>
  <c r="N15" i="32"/>
  <c r="D93" i="32"/>
  <c r="K186" i="32"/>
  <c r="I28" i="32"/>
  <c r="G7" i="32"/>
  <c r="J119" i="32"/>
  <c r="F121" i="32"/>
  <c r="F59" i="32"/>
  <c r="H39" i="32"/>
  <c r="I100" i="32"/>
  <c r="I188" i="32"/>
  <c r="K269" i="32"/>
  <c r="H153" i="32"/>
  <c r="F188" i="32"/>
  <c r="E85" i="32"/>
  <c r="E40" i="32"/>
  <c r="G199" i="32"/>
  <c r="D84" i="32"/>
  <c r="L35" i="32"/>
  <c r="F9" i="32"/>
  <c r="F153" i="32"/>
  <c r="F178" i="32"/>
  <c r="K17" i="32"/>
  <c r="L95" i="32"/>
  <c r="G176" i="32"/>
  <c r="F200" i="32"/>
  <c r="N159" i="32"/>
  <c r="N32" i="32"/>
  <c r="J69" i="32"/>
  <c r="E120" i="32"/>
  <c r="J91" i="32"/>
  <c r="F73" i="32"/>
  <c r="O72" i="32"/>
  <c r="K161" i="32"/>
  <c r="O163" i="32"/>
  <c r="M68" i="32"/>
  <c r="L195" i="32"/>
  <c r="D215" i="32"/>
  <c r="E201" i="32"/>
  <c r="N136" i="32"/>
  <c r="F237" i="32"/>
  <c r="G270" i="32"/>
  <c r="G117" i="32"/>
  <c r="N71" i="32"/>
  <c r="M199" i="32"/>
  <c r="K190" i="32"/>
  <c r="G79" i="32"/>
  <c r="O230" i="32"/>
  <c r="I153" i="32"/>
  <c r="F16" i="32"/>
  <c r="D14" i="32"/>
  <c r="M176" i="32"/>
  <c r="O44" i="32"/>
  <c r="L11" i="32"/>
  <c r="J97" i="32"/>
  <c r="F186" i="32"/>
  <c r="E28" i="32"/>
  <c r="J172" i="32"/>
  <c r="L39" i="32"/>
  <c r="M144" i="32"/>
  <c r="D67" i="32"/>
  <c r="M204" i="32"/>
  <c r="J49" i="32"/>
  <c r="E122" i="32"/>
  <c r="L247" i="32"/>
  <c r="E159" i="32"/>
  <c r="F163" i="32"/>
  <c r="O144" i="32"/>
  <c r="G159" i="32"/>
  <c r="L159" i="32"/>
  <c r="D72" i="32"/>
  <c r="O256" i="32"/>
  <c r="D56" i="32"/>
  <c r="G203" i="32"/>
  <c r="K41" i="32"/>
  <c r="O65" i="32"/>
  <c r="G141" i="32"/>
  <c r="I21" i="32"/>
  <c r="K210" i="32"/>
  <c r="K58" i="32"/>
  <c r="E66" i="32"/>
  <c r="O204" i="32"/>
  <c r="F85" i="32"/>
  <c r="F21" i="32"/>
  <c r="M203" i="32"/>
  <c r="F199" i="32"/>
  <c r="N95" i="32"/>
  <c r="M9" i="32"/>
  <c r="L20" i="32"/>
  <c r="H177" i="32"/>
  <c r="K9" i="32"/>
  <c r="M269" i="32"/>
  <c r="E220" i="32"/>
  <c r="E187" i="32"/>
  <c r="O263" i="32"/>
  <c r="N145" i="32"/>
  <c r="L36" i="32"/>
  <c r="D146" i="32"/>
  <c r="H54" i="32"/>
  <c r="F90" i="32"/>
  <c r="I201" i="32"/>
  <c r="E21" i="32"/>
  <c r="M29" i="32"/>
  <c r="F38" i="32"/>
  <c r="E44" i="32"/>
  <c r="G153" i="32"/>
  <c r="O117" i="32"/>
  <c r="M84" i="32"/>
  <c r="J188" i="32"/>
  <c r="M66" i="32"/>
  <c r="K242" i="32"/>
  <c r="N92" i="32"/>
  <c r="N67" i="32"/>
  <c r="M184" i="32"/>
  <c r="K12" i="32"/>
  <c r="K230" i="32"/>
  <c r="M122" i="32"/>
  <c r="L189" i="32"/>
  <c r="O147" i="32"/>
  <c r="M73" i="32"/>
  <c r="H30" i="32"/>
  <c r="J200" i="32"/>
  <c r="H188" i="32"/>
  <c r="N160" i="32"/>
  <c r="I72" i="32"/>
  <c r="O136" i="32"/>
  <c r="E78" i="32"/>
  <c r="J16" i="32"/>
  <c r="H195" i="32"/>
  <c r="M54" i="32"/>
  <c r="K95" i="32"/>
  <c r="J197" i="32"/>
  <c r="E72" i="32"/>
  <c r="F57" i="32"/>
  <c r="H64" i="32"/>
  <c r="F210" i="32"/>
  <c r="J142" i="32"/>
  <c r="G160" i="32"/>
  <c r="O142" i="32"/>
  <c r="E94" i="32"/>
  <c r="G189" i="32"/>
  <c r="D49" i="32"/>
  <c r="F172" i="32"/>
  <c r="H175" i="32"/>
  <c r="G247" i="32"/>
  <c r="E8" i="32"/>
  <c r="I13" i="32"/>
  <c r="D119" i="32"/>
  <c r="N43" i="32"/>
  <c r="L69" i="32"/>
  <c r="I120" i="32"/>
  <c r="D57" i="32"/>
  <c r="N231" i="32"/>
  <c r="G95" i="32"/>
  <c r="H35" i="32"/>
  <c r="N117" i="32"/>
  <c r="M154" i="32"/>
  <c r="N162" i="32"/>
  <c r="O174" i="32"/>
  <c r="K69" i="32"/>
  <c r="I56" i="32"/>
  <c r="H147" i="32"/>
  <c r="I73" i="32"/>
  <c r="E173" i="32"/>
  <c r="L105" i="32"/>
  <c r="H91" i="32"/>
  <c r="O26" i="32"/>
  <c r="E79" i="32"/>
  <c r="N38" i="32"/>
  <c r="L130" i="32"/>
  <c r="I34" i="32"/>
  <c r="N115" i="32"/>
  <c r="K174" i="32"/>
  <c r="K162" i="32"/>
  <c r="L85" i="32"/>
  <c r="K220" i="32"/>
  <c r="E57" i="32"/>
  <c r="L32" i="32"/>
  <c r="M42" i="32"/>
  <c r="K120" i="32"/>
  <c r="D136" i="32"/>
  <c r="E35" i="32"/>
  <c r="H163" i="32"/>
  <c r="O18" i="32"/>
  <c r="O130" i="32"/>
  <c r="D16" i="32"/>
  <c r="H185" i="32"/>
  <c r="L16" i="32"/>
  <c r="D141" i="32"/>
  <c r="K232" i="32"/>
  <c r="G37" i="32"/>
  <c r="K59" i="32"/>
  <c r="M263" i="32"/>
  <c r="G41" i="32"/>
  <c r="O64" i="32"/>
  <c r="D95" i="32"/>
  <c r="J152" i="32"/>
  <c r="K99" i="32"/>
  <c r="E33" i="32"/>
  <c r="F15" i="32"/>
  <c r="L64" i="32"/>
  <c r="G186" i="32"/>
  <c r="M141" i="32"/>
  <c r="K205" i="32"/>
  <c r="M148" i="32" l="1"/>
  <c r="L32" i="31" s="1"/>
  <c r="L74" i="32"/>
  <c r="K23" i="31" s="1"/>
  <c r="J155" i="32"/>
  <c r="I33" i="31" s="1"/>
  <c r="O74" i="32"/>
  <c r="N23" i="31" s="1"/>
  <c r="D148" i="32"/>
  <c r="C32" i="31" s="1"/>
  <c r="D137" i="32"/>
  <c r="C31" i="31" s="1"/>
  <c r="K221" i="32"/>
  <c r="J40" i="31" s="1"/>
  <c r="N123" i="32"/>
  <c r="M29" i="31" s="1"/>
  <c r="O45" i="32"/>
  <c r="N20" i="31" s="1"/>
  <c r="L106" i="32"/>
  <c r="K27" i="31" s="1"/>
  <c r="G248" i="32"/>
  <c r="F44" i="31" s="1"/>
  <c r="F179" i="32"/>
  <c r="D50" i="32"/>
  <c r="C21" i="31" s="1"/>
  <c r="F211" i="32"/>
  <c r="E38" i="31" s="1"/>
  <c r="H74" i="32"/>
  <c r="G23" i="31" s="1"/>
  <c r="M60" i="32"/>
  <c r="L22" i="31" s="1"/>
  <c r="H206" i="32"/>
  <c r="G37" i="31" s="1"/>
  <c r="E80" i="32"/>
  <c r="D24" i="31" s="1"/>
  <c r="O137" i="32"/>
  <c r="N31" i="31" s="1"/>
  <c r="K243" i="32"/>
  <c r="J43" i="31" s="1"/>
  <c r="M86" i="32"/>
  <c r="L25" i="31" s="1"/>
  <c r="F101" i="32"/>
  <c r="E26" i="31" s="1"/>
  <c r="H60" i="32"/>
  <c r="G22" i="31" s="1"/>
  <c r="E221" i="32"/>
  <c r="D40" i="31" s="1"/>
  <c r="M271" i="32"/>
  <c r="L47" i="31" s="1"/>
  <c r="K211" i="32"/>
  <c r="J38" i="31" s="1"/>
  <c r="G148" i="32"/>
  <c r="F32" i="31" s="1"/>
  <c r="O258" i="32"/>
  <c r="L164" i="32"/>
  <c r="K34" i="31" s="1"/>
  <c r="G164" i="32"/>
  <c r="F34" i="31" s="1"/>
  <c r="E164" i="32"/>
  <c r="D34" i="31" s="1"/>
  <c r="L248" i="32"/>
  <c r="K44" i="31" s="1"/>
  <c r="J50" i="32"/>
  <c r="I21" i="31" s="1"/>
  <c r="J179" i="32"/>
  <c r="F238" i="32"/>
  <c r="E42" i="31" s="1"/>
  <c r="N137" i="32"/>
  <c r="M31" i="31" s="1"/>
  <c r="D216" i="32"/>
  <c r="C39" i="31" s="1"/>
  <c r="L206" i="32"/>
  <c r="K37" i="31" s="1"/>
  <c r="N164" i="32"/>
  <c r="M34" i="31" s="1"/>
  <c r="D86" i="32"/>
  <c r="C25" i="31" s="1"/>
  <c r="K271" i="32"/>
  <c r="J47" i="31" s="1"/>
  <c r="G22" i="32"/>
  <c r="D179" i="32"/>
  <c r="F265" i="32"/>
  <c r="E46" i="31" s="1"/>
  <c r="G216" i="32"/>
  <c r="F39" i="31" s="1"/>
  <c r="H22" i="32"/>
  <c r="N265" i="32"/>
  <c r="M46" i="31" s="1"/>
  <c r="N216" i="32"/>
  <c r="M39" i="31" s="1"/>
  <c r="I123" i="32"/>
  <c r="H29" i="31" s="1"/>
  <c r="D22" i="32"/>
  <c r="N148" i="32"/>
  <c r="M32" i="31" s="1"/>
  <c r="E123" i="32"/>
  <c r="D29" i="31" s="1"/>
  <c r="J206" i="32"/>
  <c r="I37" i="31" s="1"/>
  <c r="G50" i="32"/>
  <c r="F21" i="31" s="1"/>
  <c r="J211" i="32"/>
  <c r="I38" i="31" s="1"/>
  <c r="J101" i="32"/>
  <c r="I26" i="31" s="1"/>
  <c r="K111" i="32"/>
  <c r="J28" i="31" s="1"/>
  <c r="E191" i="32"/>
  <c r="D36" i="31" s="1"/>
  <c r="K164" i="32"/>
  <c r="J34" i="31" s="1"/>
  <c r="F111" i="32"/>
  <c r="E28" i="31" s="1"/>
  <c r="J221" i="32"/>
  <c r="I40" i="31" s="1"/>
  <c r="H111" i="32"/>
  <c r="G28" i="31" s="1"/>
  <c r="L191" i="32"/>
  <c r="K36" i="31" s="1"/>
  <c r="I132" i="32"/>
  <c r="H30" i="31" s="1"/>
  <c r="O80" i="32"/>
  <c r="N24" i="31" s="1"/>
  <c r="E111" i="32"/>
  <c r="D28" i="31" s="1"/>
  <c r="J233" i="32"/>
  <c r="D191" i="32"/>
  <c r="C36" i="31" s="1"/>
  <c r="K155" i="32"/>
  <c r="J33" i="31" s="1"/>
  <c r="N111" i="32"/>
  <c r="M28" i="31" s="1"/>
  <c r="I45" i="32"/>
  <c r="H20" i="31" s="1"/>
  <c r="O60" i="32"/>
  <c r="N22" i="31" s="1"/>
  <c r="G265" i="32"/>
  <c r="F46" i="31" s="1"/>
  <c r="I50" i="32"/>
  <c r="H21" i="31" s="1"/>
  <c r="O271" i="32"/>
  <c r="N47" i="31" s="1"/>
  <c r="I233" i="32"/>
  <c r="I148" i="32"/>
  <c r="H32" i="31" s="1"/>
  <c r="F248" i="32"/>
  <c r="E44" i="31" s="1"/>
  <c r="M206" i="32"/>
  <c r="L37" i="31" s="1"/>
  <c r="M123" i="32"/>
  <c r="L29" i="31" s="1"/>
  <c r="N258" i="32"/>
  <c r="K45" i="32"/>
  <c r="J20" i="31" s="1"/>
  <c r="D248" i="32"/>
  <c r="C44" i="31" s="1"/>
  <c r="J106" i="32"/>
  <c r="I27" i="31" s="1"/>
  <c r="M238" i="32"/>
  <c r="L42" i="31" s="1"/>
  <c r="F132" i="32"/>
  <c r="E30" i="31" s="1"/>
  <c r="F216" i="32"/>
  <c r="E39" i="31" s="1"/>
  <c r="G271" i="32"/>
  <c r="F47" i="31" s="1"/>
  <c r="H106" i="32"/>
  <c r="G27" i="31" s="1"/>
  <c r="E216" i="32"/>
  <c r="D39" i="31" s="1"/>
  <c r="N233" i="32"/>
  <c r="H233" i="32"/>
  <c r="O216" i="32"/>
  <c r="N39" i="31" s="1"/>
  <c r="D155" i="32"/>
  <c r="C33" i="31" s="1"/>
  <c r="H155" i="32"/>
  <c r="G33" i="31" s="1"/>
  <c r="D60" i="32"/>
  <c r="C22" i="31" s="1"/>
  <c r="I265" i="32"/>
  <c r="H46" i="31" s="1"/>
  <c r="O155" i="32"/>
  <c r="N33" i="31" s="1"/>
  <c r="J248" i="32"/>
  <c r="I44" i="31" s="1"/>
  <c r="G86" i="32"/>
  <c r="F25" i="31" s="1"/>
  <c r="H132" i="32"/>
  <c r="G30" i="31" s="1"/>
  <c r="K101" i="32"/>
  <c r="J26" i="31" s="1"/>
  <c r="N238" i="32"/>
  <c r="M42" i="31" s="1"/>
  <c r="D80" i="32"/>
  <c r="C24" i="31" s="1"/>
  <c r="E50" i="32"/>
  <c r="D21" i="31" s="1"/>
  <c r="M248" i="32"/>
  <c r="L44" i="31" s="1"/>
  <c r="D211" i="32"/>
  <c r="C38" i="31" s="1"/>
  <c r="O106" i="32"/>
  <c r="N27" i="31" s="1"/>
  <c r="O243" i="32"/>
  <c r="N43" i="31" s="1"/>
  <c r="K191" i="32"/>
  <c r="J36" i="31" s="1"/>
  <c r="N101" i="32"/>
  <c r="M26" i="31" s="1"/>
  <c r="G111" i="32"/>
  <c r="F28" i="31" s="1"/>
  <c r="I271" i="32"/>
  <c r="H47" i="31" s="1"/>
  <c r="G243" i="32"/>
  <c r="F43" i="31" s="1"/>
  <c r="D111" i="32"/>
  <c r="C28" i="31" s="1"/>
  <c r="O22" i="32"/>
  <c r="H258" i="32"/>
  <c r="M265" i="32"/>
  <c r="L46" i="31" s="1"/>
  <c r="E243" i="32"/>
  <c r="D43" i="31" s="1"/>
  <c r="D106" i="32"/>
  <c r="C27" i="31" s="1"/>
  <c r="G155" i="32"/>
  <c r="F33" i="31" s="1"/>
  <c r="N221" i="32"/>
  <c r="M40" i="31" s="1"/>
  <c r="L22" i="32"/>
  <c r="K216" i="32"/>
  <c r="J39" i="31" s="1"/>
  <c r="D265" i="32"/>
  <c r="C46" i="31" s="1"/>
  <c r="D233" i="32"/>
  <c r="F74" i="32"/>
  <c r="E23" i="31" s="1"/>
  <c r="O132" i="32"/>
  <c r="N30" i="31" s="1"/>
  <c r="I111" i="32"/>
  <c r="H28" i="31" s="1"/>
  <c r="L179" i="32"/>
  <c r="N155" i="32"/>
  <c r="M33" i="31" s="1"/>
  <c r="F80" i="32"/>
  <c r="E24" i="31" s="1"/>
  <c r="L123" i="32"/>
  <c r="K29" i="31" s="1"/>
  <c r="O248" i="32"/>
  <c r="N44" i="31" s="1"/>
  <c r="I179" i="32"/>
  <c r="K179" i="32"/>
  <c r="O101" i="32"/>
  <c r="N26" i="31" s="1"/>
  <c r="J80" i="32"/>
  <c r="I24" i="31" s="1"/>
  <c r="K50" i="32"/>
  <c r="J21" i="31" s="1"/>
  <c r="G74" i="32"/>
  <c r="F23" i="31" s="1"/>
  <c r="F243" i="32"/>
  <c r="E43" i="31" s="1"/>
  <c r="G132" i="32"/>
  <c r="F30" i="31" s="1"/>
  <c r="O206" i="32"/>
  <c r="N37" i="31" s="1"/>
  <c r="I22" i="32"/>
  <c r="L148" i="32"/>
  <c r="K32" i="31" s="1"/>
  <c r="K132" i="32"/>
  <c r="J30" i="31" s="1"/>
  <c r="M258" i="32"/>
  <c r="L111" i="32"/>
  <c r="K28" i="31" s="1"/>
  <c r="N80" i="32"/>
  <c r="M24" i="31" s="1"/>
  <c r="D164" i="32"/>
  <c r="C34" i="31" s="1"/>
  <c r="E248" i="32"/>
  <c r="D44" i="31" s="1"/>
  <c r="J148" i="32"/>
  <c r="I32" i="31" s="1"/>
  <c r="J132" i="32"/>
  <c r="I30" i="31" s="1"/>
  <c r="N243" i="32"/>
  <c r="M43" i="31" s="1"/>
  <c r="I221" i="32"/>
  <c r="H40" i="31" s="1"/>
  <c r="G233" i="32"/>
  <c r="N206" i="32"/>
  <c r="M37" i="31" s="1"/>
  <c r="J258" i="32"/>
  <c r="G123" i="32"/>
  <c r="F29" i="31" s="1"/>
  <c r="L155" i="32"/>
  <c r="K33" i="31" s="1"/>
  <c r="G211" i="32"/>
  <c r="F38" i="31" s="1"/>
  <c r="I106" i="32"/>
  <c r="H27" i="31" s="1"/>
  <c r="D74" i="32"/>
  <c r="C23" i="31" s="1"/>
  <c r="N191" i="32"/>
  <c r="M36" i="31" s="1"/>
  <c r="H271" i="32"/>
  <c r="G47" i="31" s="1"/>
  <c r="I155" i="32"/>
  <c r="H33" i="31" s="1"/>
  <c r="N106" i="32"/>
  <c r="M27" i="31" s="1"/>
  <c r="J216" i="32"/>
  <c r="I39" i="31" s="1"/>
  <c r="O111" i="32"/>
  <c r="N28" i="31" s="1"/>
  <c r="M101" i="32"/>
  <c r="L26" i="31" s="1"/>
  <c r="K60" i="32"/>
  <c r="J22" i="31" s="1"/>
  <c r="F50" i="32"/>
  <c r="E21" i="31" s="1"/>
  <c r="G191" i="32"/>
  <c r="F36" i="31" s="1"/>
  <c r="F164" i="32"/>
  <c r="E34" i="31" s="1"/>
  <c r="L258" i="32"/>
  <c r="M216" i="32"/>
  <c r="L39" i="31" s="1"/>
  <c r="F86" i="32"/>
  <c r="E25" i="31" s="1"/>
  <c r="G106" i="32"/>
  <c r="F27" i="31" s="1"/>
  <c r="D123" i="32"/>
  <c r="C29" i="31" s="1"/>
  <c r="N211" i="32"/>
  <c r="M38" i="31" s="1"/>
  <c r="N60" i="32"/>
  <c r="M22" i="31" s="1"/>
  <c r="E106" i="32"/>
  <c r="D27" i="31" s="1"/>
  <c r="G238" i="32"/>
  <c r="F42" i="31" s="1"/>
  <c r="I74" i="32"/>
  <c r="H23" i="31" s="1"/>
  <c r="J265" i="32"/>
  <c r="I46" i="31" s="1"/>
  <c r="D221" i="32"/>
  <c r="C40" i="31" s="1"/>
  <c r="K123" i="32"/>
  <c r="J29" i="31" s="1"/>
  <c r="L137" i="32"/>
  <c r="K31" i="31" s="1"/>
  <c r="O123" i="32"/>
  <c r="N29" i="31" s="1"/>
  <c r="J60" i="32"/>
  <c r="I22" i="31" s="1"/>
  <c r="M50" i="32"/>
  <c r="L21" i="31" s="1"/>
  <c r="F106" i="32"/>
  <c r="E27" i="31" s="1"/>
  <c r="M243" i="32"/>
  <c r="L43" i="31" s="1"/>
  <c r="G101" i="32"/>
  <c r="F26" i="31" s="1"/>
  <c r="I258" i="32"/>
  <c r="M164" i="32"/>
  <c r="L34" i="31" s="1"/>
  <c r="H123" i="32"/>
  <c r="G29" i="31" s="1"/>
  <c r="E258" i="32"/>
  <c r="F155" i="32"/>
  <c r="E33" i="31" s="1"/>
  <c r="K74" i="32"/>
  <c r="J23" i="31" s="1"/>
  <c r="I216" i="32"/>
  <c r="H39" i="31" s="1"/>
  <c r="J123" i="32"/>
  <c r="I29" i="31" s="1"/>
  <c r="F45" i="32"/>
  <c r="E20" i="31" s="1"/>
  <c r="H45" i="32"/>
  <c r="G20" i="31" s="1"/>
  <c r="E132" i="32"/>
  <c r="D30" i="31" s="1"/>
  <c r="O50" i="32"/>
  <c r="N21" i="31" s="1"/>
  <c r="O148" i="32"/>
  <c r="N32" i="31" s="1"/>
  <c r="O191" i="32"/>
  <c r="N36" i="31" s="1"/>
  <c r="D258" i="32"/>
  <c r="H148" i="32"/>
  <c r="G32" i="31" s="1"/>
  <c r="I211" i="32"/>
  <c r="H38" i="31" s="1"/>
  <c r="L238" i="32"/>
  <c r="K42" i="31" s="1"/>
  <c r="I191" i="32"/>
  <c r="H36" i="31" s="1"/>
  <c r="I60" i="32"/>
  <c r="H22" i="31" s="1"/>
  <c r="I243" i="32"/>
  <c r="H43" i="31" s="1"/>
  <c r="F60" i="32"/>
  <c r="E22" i="31" s="1"/>
  <c r="E86" i="32"/>
  <c r="D25" i="31" s="1"/>
  <c r="M137" i="32"/>
  <c r="L31" i="31" s="1"/>
  <c r="N179" i="32"/>
  <c r="H80" i="32"/>
  <c r="G24" i="31" s="1"/>
  <c r="L233" i="32"/>
  <c r="F148" i="32"/>
  <c r="E32" i="31" s="1"/>
  <c r="H179" i="32"/>
  <c r="G179" i="32"/>
  <c r="K233" i="32"/>
  <c r="E238" i="32"/>
  <c r="D42" i="31" s="1"/>
  <c r="K106" i="32"/>
  <c r="J27" i="31" s="1"/>
  <c r="E74" i="32"/>
  <c r="D23" i="31" s="1"/>
  <c r="N45" i="32"/>
  <c r="M20" i="31" s="1"/>
  <c r="K148" i="32"/>
  <c r="J32" i="31" s="1"/>
  <c r="K248" i="32"/>
  <c r="J44" i="31" s="1"/>
  <c r="L80" i="32"/>
  <c r="K24" i="31" s="1"/>
  <c r="K265" i="32"/>
  <c r="J46" i="31" s="1"/>
  <c r="E137" i="32"/>
  <c r="D31" i="31" s="1"/>
  <c r="G137" i="32"/>
  <c r="F31" i="31" s="1"/>
  <c r="H216" i="32"/>
  <c r="G39" i="31" s="1"/>
  <c r="M74" i="32"/>
  <c r="L23" i="31" s="1"/>
  <c r="M211" i="32"/>
  <c r="L38" i="31" s="1"/>
  <c r="J164" i="32"/>
  <c r="I34" i="31" s="1"/>
  <c r="H164" i="32"/>
  <c r="G34" i="31" s="1"/>
  <c r="E60" i="32"/>
  <c r="D22" i="31" s="1"/>
  <c r="J86" i="32"/>
  <c r="I25" i="31" s="1"/>
  <c r="E179" i="32"/>
  <c r="M233" i="32"/>
  <c r="F137" i="32"/>
  <c r="E31" i="31" s="1"/>
  <c r="G80" i="32"/>
  <c r="F24" i="31" s="1"/>
  <c r="I137" i="32"/>
  <c r="H31" i="31" s="1"/>
  <c r="N86" i="32"/>
  <c r="M25" i="31" s="1"/>
  <c r="J111" i="32"/>
  <c r="I28" i="31" s="1"/>
  <c r="D206" i="32"/>
  <c r="C37" i="31" s="1"/>
  <c r="E101" i="32"/>
  <c r="D26" i="31" s="1"/>
  <c r="I248" i="32"/>
  <c r="H44" i="31" s="1"/>
  <c r="E22" i="32"/>
  <c r="J191" i="32"/>
  <c r="I36" i="31" s="1"/>
  <c r="O233" i="32"/>
  <c r="H191" i="32"/>
  <c r="G36" i="31" s="1"/>
  <c r="N50" i="32"/>
  <c r="M21" i="31" s="1"/>
  <c r="F233" i="32"/>
  <c r="O211" i="32"/>
  <c r="N38" i="31" s="1"/>
  <c r="G258" i="32"/>
  <c r="K137" i="32"/>
  <c r="J31" i="31" s="1"/>
  <c r="L265" i="32"/>
  <c r="K46" i="31" s="1"/>
  <c r="L45" i="32"/>
  <c r="K20" i="31" s="1"/>
  <c r="H238" i="32"/>
  <c r="G42" i="31" s="1"/>
  <c r="I86" i="32"/>
  <c r="H25" i="31" s="1"/>
  <c r="K206" i="32"/>
  <c r="J37" i="31" s="1"/>
  <c r="L132" i="32"/>
  <c r="K30" i="31" s="1"/>
  <c r="F22" i="32"/>
  <c r="E265" i="32"/>
  <c r="D46" i="31" s="1"/>
  <c r="F206" i="32"/>
  <c r="E37" i="31" s="1"/>
  <c r="H243" i="32"/>
  <c r="G43" i="31" s="1"/>
  <c r="J238" i="32"/>
  <c r="I42" i="31" s="1"/>
  <c r="M45" i="32"/>
  <c r="L20" i="31" s="1"/>
  <c r="I101" i="32"/>
  <c r="H26" i="31" s="1"/>
  <c r="E211" i="32"/>
  <c r="D38" i="31" s="1"/>
  <c r="F258" i="32"/>
  <c r="D45" i="32"/>
  <c r="C20" i="31" s="1"/>
  <c r="L86" i="32"/>
  <c r="K25" i="31" s="1"/>
  <c r="M22" i="32"/>
  <c r="G221" i="32"/>
  <c r="F40" i="31" s="1"/>
  <c r="L216" i="32"/>
  <c r="K39" i="31" s="1"/>
  <c r="F271" i="32"/>
  <c r="E47" i="31" s="1"/>
  <c r="D243" i="32"/>
  <c r="C43" i="31" s="1"/>
  <c r="N132" i="32"/>
  <c r="M30" i="31" s="1"/>
  <c r="O265" i="32"/>
  <c r="N46" i="31" s="1"/>
  <c r="L221" i="32"/>
  <c r="K40" i="31" s="1"/>
  <c r="H265" i="32"/>
  <c r="G46" i="31" s="1"/>
  <c r="H211" i="32"/>
  <c r="G38" i="31" s="1"/>
  <c r="M106" i="32"/>
  <c r="L27" i="31" s="1"/>
  <c r="K238" i="32"/>
  <c r="J42" i="31" s="1"/>
  <c r="N271" i="32"/>
  <c r="M47" i="31" s="1"/>
  <c r="H137" i="32"/>
  <c r="G31" i="31" s="1"/>
  <c r="K80" i="32"/>
  <c r="J24" i="31" s="1"/>
  <c r="I238" i="32"/>
  <c r="H42" i="31" s="1"/>
  <c r="M191" i="32"/>
  <c r="L36" i="31" s="1"/>
  <c r="K22" i="32"/>
  <c r="K258" i="32"/>
  <c r="L60" i="32"/>
  <c r="K22" i="31" s="1"/>
  <c r="H50" i="32"/>
  <c r="G21" i="31" s="1"/>
  <c r="E206" i="32"/>
  <c r="D37" i="31" s="1"/>
  <c r="I164" i="32"/>
  <c r="H34" i="31" s="1"/>
  <c r="G206" i="32"/>
  <c r="F37" i="31" s="1"/>
  <c r="M179" i="32"/>
  <c r="J22" i="32"/>
  <c r="L211" i="32"/>
  <c r="K38" i="31" s="1"/>
  <c r="D238" i="32"/>
  <c r="C42" i="31" s="1"/>
  <c r="F191" i="32"/>
  <c r="E36" i="31" s="1"/>
  <c r="D132" i="32"/>
  <c r="C30" i="31" s="1"/>
  <c r="E148" i="32"/>
  <c r="D32" i="31" s="1"/>
  <c r="M132" i="32"/>
  <c r="L30" i="31" s="1"/>
  <c r="F123" i="32"/>
  <c r="E29" i="31" s="1"/>
  <c r="E45" i="32"/>
  <c r="D20" i="31" s="1"/>
  <c r="E271" i="32"/>
  <c r="D47" i="31" s="1"/>
  <c r="E233" i="32"/>
  <c r="J137" i="32"/>
  <c r="I31" i="31" s="1"/>
  <c r="O86" i="32"/>
  <c r="N25" i="31" s="1"/>
  <c r="J74" i="32"/>
  <c r="I23" i="31" s="1"/>
  <c r="H248" i="32"/>
  <c r="G44" i="31" s="1"/>
  <c r="M111" i="32"/>
  <c r="L28" i="31" s="1"/>
  <c r="I80" i="32"/>
  <c r="H24" i="31" s="1"/>
  <c r="N74" i="32"/>
  <c r="M23" i="31" s="1"/>
  <c r="O238" i="32"/>
  <c r="N42" i="31" s="1"/>
  <c r="D271" i="32"/>
  <c r="C47" i="31" s="1"/>
  <c r="H86" i="32"/>
  <c r="G25" i="31" s="1"/>
  <c r="H101" i="32"/>
  <c r="G26" i="31" s="1"/>
  <c r="J271" i="32"/>
  <c r="I47" i="31" s="1"/>
  <c r="N248" i="32"/>
  <c r="M44" i="31" s="1"/>
  <c r="L271" i="32"/>
  <c r="K47" i="31" s="1"/>
  <c r="O179" i="32"/>
  <c r="H221" i="32"/>
  <c r="G40" i="31" s="1"/>
  <c r="L50" i="32"/>
  <c r="K21" i="31" s="1"/>
  <c r="M221" i="32"/>
  <c r="L40" i="31" s="1"/>
  <c r="E155" i="32"/>
  <c r="D33" i="31" s="1"/>
  <c r="J243" i="32"/>
  <c r="I43" i="31" s="1"/>
  <c r="G45" i="32"/>
  <c r="F20" i="31" s="1"/>
  <c r="M80" i="32"/>
  <c r="L24" i="31" s="1"/>
  <c r="J45" i="32"/>
  <c r="I20" i="31" s="1"/>
  <c r="L101" i="32"/>
  <c r="K26" i="31" s="1"/>
  <c r="F221" i="32"/>
  <c r="E40" i="31" s="1"/>
  <c r="N22" i="32"/>
  <c r="O164" i="32"/>
  <c r="N34" i="31" s="1"/>
  <c r="G60" i="32"/>
  <c r="F22" i="31" s="1"/>
  <c r="M155" i="32"/>
  <c r="L33" i="31" s="1"/>
  <c r="L243" i="32"/>
  <c r="K43" i="31" s="1"/>
  <c r="D101" i="32"/>
  <c r="C26" i="31" s="1"/>
  <c r="K86" i="32"/>
  <c r="J25" i="31" s="1"/>
  <c r="O221" i="32"/>
  <c r="N40" i="31" s="1"/>
  <c r="I206" i="32"/>
  <c r="H37" i="31" s="1"/>
  <c r="M225" i="32" l="1"/>
  <c r="L16" i="31" s="1"/>
  <c r="Y7" i="31" s="1"/>
  <c r="L35" i="31"/>
  <c r="M168" i="32"/>
  <c r="L15" i="31" s="1"/>
  <c r="Y6" i="31" s="1"/>
  <c r="L19" i="31"/>
  <c r="O252" i="32"/>
  <c r="N17" i="31" s="1"/>
  <c r="AA8" i="31" s="1"/>
  <c r="N41" i="31"/>
  <c r="D35" i="31"/>
  <c r="E225" i="32"/>
  <c r="D16" i="31" s="1"/>
  <c r="Q7" i="31" s="1"/>
  <c r="G35" i="31"/>
  <c r="H225" i="32"/>
  <c r="G16" i="31" s="1"/>
  <c r="T7" i="31" s="1"/>
  <c r="N225" i="32"/>
  <c r="M16" i="31" s="1"/>
  <c r="Z7" i="31" s="1"/>
  <c r="M35" i="31"/>
  <c r="H45" i="31"/>
  <c r="I275" i="32"/>
  <c r="H18" i="31" s="1"/>
  <c r="U9" i="31" s="1"/>
  <c r="I225" i="32"/>
  <c r="H16" i="31" s="1"/>
  <c r="U7" i="31" s="1"/>
  <c r="H35" i="31"/>
  <c r="L168" i="32"/>
  <c r="K15" i="31" s="1"/>
  <c r="X6" i="31" s="1"/>
  <c r="K19" i="31"/>
  <c r="I41" i="31"/>
  <c r="J252" i="32"/>
  <c r="I17" i="31" s="1"/>
  <c r="V8" i="31" s="1"/>
  <c r="D41" i="31"/>
  <c r="E252" i="32"/>
  <c r="D17" i="31" s="1"/>
  <c r="Q8" i="31" s="1"/>
  <c r="F252" i="32"/>
  <c r="E17" i="31" s="1"/>
  <c r="R8" i="31" s="1"/>
  <c r="E41" i="31"/>
  <c r="E275" i="32"/>
  <c r="D18" i="31" s="1"/>
  <c r="Q9" i="31" s="1"/>
  <c r="D45" i="31"/>
  <c r="I45" i="31"/>
  <c r="J275" i="32"/>
  <c r="I18" i="31" s="1"/>
  <c r="V9" i="31" s="1"/>
  <c r="D252" i="32"/>
  <c r="C17" i="31" s="1"/>
  <c r="C41" i="31"/>
  <c r="D168" i="32"/>
  <c r="C15" i="31" s="1"/>
  <c r="C19" i="31"/>
  <c r="H168" i="32"/>
  <c r="G15" i="31" s="1"/>
  <c r="T6" i="31" s="1"/>
  <c r="G19" i="31"/>
  <c r="F19" i="31"/>
  <c r="G168" i="32"/>
  <c r="F15" i="31" s="1"/>
  <c r="S6" i="31" s="1"/>
  <c r="I35" i="31"/>
  <c r="J225" i="32"/>
  <c r="I16" i="31" s="1"/>
  <c r="V7" i="31" s="1"/>
  <c r="J45" i="31"/>
  <c r="K275" i="32"/>
  <c r="J18" i="31" s="1"/>
  <c r="W9" i="31" s="1"/>
  <c r="N168" i="32"/>
  <c r="M15" i="31" s="1"/>
  <c r="Z6" i="31" s="1"/>
  <c r="M19" i="31"/>
  <c r="J168" i="32"/>
  <c r="I15" i="31" s="1"/>
  <c r="V6" i="31" s="1"/>
  <c r="I19" i="31"/>
  <c r="J19" i="31"/>
  <c r="K168" i="32"/>
  <c r="J15" i="31" s="1"/>
  <c r="W6" i="31" s="1"/>
  <c r="E45" i="31"/>
  <c r="F275" i="32"/>
  <c r="E18" i="31" s="1"/>
  <c r="R9" i="31" s="1"/>
  <c r="F168" i="32"/>
  <c r="E15" i="31" s="1"/>
  <c r="R6" i="31" s="1"/>
  <c r="E19" i="31"/>
  <c r="F45" i="31"/>
  <c r="G275" i="32"/>
  <c r="F18" i="31" s="1"/>
  <c r="S9" i="31" s="1"/>
  <c r="M252" i="32"/>
  <c r="L17" i="31" s="1"/>
  <c r="Y8" i="31" s="1"/>
  <c r="L41" i="31"/>
  <c r="G225" i="32"/>
  <c r="F16" i="31" s="1"/>
  <c r="S7" i="31" s="1"/>
  <c r="F35" i="31"/>
  <c r="F41" i="31"/>
  <c r="G252" i="32"/>
  <c r="F17" i="31" s="1"/>
  <c r="S8" i="31" s="1"/>
  <c r="I168" i="32"/>
  <c r="H15" i="31" s="1"/>
  <c r="U6" i="31" s="1"/>
  <c r="H19" i="31"/>
  <c r="K225" i="32"/>
  <c r="J16" i="31" s="1"/>
  <c r="W7" i="31" s="1"/>
  <c r="J35" i="31"/>
  <c r="O168" i="32"/>
  <c r="N15" i="31" s="1"/>
  <c r="AA6" i="31" s="1"/>
  <c r="N19" i="31"/>
  <c r="H252" i="32"/>
  <c r="G17" i="31" s="1"/>
  <c r="T8" i="31" s="1"/>
  <c r="G41" i="31"/>
  <c r="H41" i="31"/>
  <c r="I252" i="32"/>
  <c r="H17" i="31" s="1"/>
  <c r="U8" i="31" s="1"/>
  <c r="O275" i="32"/>
  <c r="N18" i="31" s="1"/>
  <c r="AA9" i="31" s="1"/>
  <c r="N45" i="31"/>
  <c r="F225" i="32"/>
  <c r="E16" i="31" s="1"/>
  <c r="R7" i="31" s="1"/>
  <c r="E35" i="31"/>
  <c r="L275" i="32"/>
  <c r="K18" i="31" s="1"/>
  <c r="X9" i="31" s="1"/>
  <c r="K45" i="31"/>
  <c r="L45" i="31"/>
  <c r="M275" i="32"/>
  <c r="L18" i="31" s="1"/>
  <c r="Y9" i="31" s="1"/>
  <c r="N252" i="32"/>
  <c r="M17" i="31" s="1"/>
  <c r="Z8" i="31" s="1"/>
  <c r="M41" i="31"/>
  <c r="D225" i="32"/>
  <c r="C16" i="31" s="1"/>
  <c r="C35" i="31"/>
  <c r="L225" i="32"/>
  <c r="K16" i="31" s="1"/>
  <c r="X7" i="31" s="1"/>
  <c r="K35" i="31"/>
  <c r="O225" i="32"/>
  <c r="N16" i="31" s="1"/>
  <c r="AA7" i="31" s="1"/>
  <c r="N35" i="31"/>
  <c r="E168" i="32"/>
  <c r="D15" i="31" s="1"/>
  <c r="Q6" i="31" s="1"/>
  <c r="D19" i="31"/>
  <c r="K252" i="32"/>
  <c r="J17" i="31" s="1"/>
  <c r="W8" i="31" s="1"/>
  <c r="J41" i="31"/>
  <c r="K41" i="31"/>
  <c r="L252" i="32"/>
  <c r="K17" i="31" s="1"/>
  <c r="X8" i="31" s="1"/>
  <c r="C45" i="31"/>
  <c r="D275" i="32"/>
  <c r="C18" i="31" s="1"/>
  <c r="H275" i="32"/>
  <c r="G18" i="31" s="1"/>
  <c r="T9" i="31" s="1"/>
  <c r="G45" i="31"/>
  <c r="N275" i="32"/>
  <c r="M18" i="31" s="1"/>
  <c r="Z9" i="31" s="1"/>
  <c r="M45" i="31"/>
  <c r="P6" i="31" l="1"/>
  <c r="N2" i="7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P9" i="31"/>
  <c r="N5" i="7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N3" i="7"/>
  <c r="O3" i="7" s="1"/>
  <c r="P3" i="7" s="1"/>
  <c r="Q3" i="7" s="1"/>
  <c r="R3" i="7" s="1"/>
  <c r="S3" i="7" s="1"/>
  <c r="T3" i="7" s="1"/>
  <c r="U3" i="7" s="1"/>
  <c r="V3" i="7" s="1"/>
  <c r="W3" i="7" s="1"/>
  <c r="X3" i="7" s="1"/>
  <c r="Y3" i="7" s="1"/>
  <c r="P7" i="31"/>
  <c r="P8" i="31"/>
  <c r="N4" i="7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</calcChain>
</file>

<file path=xl/sharedStrings.xml><?xml version="1.0" encoding="utf-8"?>
<sst xmlns="http://schemas.openxmlformats.org/spreadsheetml/2006/main" count="3999" uniqueCount="798">
  <si>
    <t>% MLT</t>
  </si>
  <si>
    <t>NORTE</t>
  </si>
  <si>
    <t>Grande</t>
  </si>
  <si>
    <t>Paranaíba</t>
  </si>
  <si>
    <t>Tietê</t>
  </si>
  <si>
    <t>Paranapanema (SE)</t>
  </si>
  <si>
    <t>Paranapanema (S)</t>
  </si>
  <si>
    <t>Alto Paraná</t>
  </si>
  <si>
    <t>Baixo Paraná</t>
  </si>
  <si>
    <t>Alto Tietê</t>
  </si>
  <si>
    <t>Paraíba do Sul</t>
  </si>
  <si>
    <t>Itabapoana</t>
  </si>
  <si>
    <t>Mucuri</t>
  </si>
  <si>
    <t>Doce</t>
  </si>
  <si>
    <t>Paraguai</t>
  </si>
  <si>
    <t>Iguaçu</t>
  </si>
  <si>
    <t>Jacuí</t>
  </si>
  <si>
    <t>Uruguai</t>
  </si>
  <si>
    <t>Capivari</t>
  </si>
  <si>
    <t>Itajaí-Açu</t>
  </si>
  <si>
    <t>São Francisco (SE)</t>
  </si>
  <si>
    <t>São Francisco (NE)</t>
  </si>
  <si>
    <t>Parnaíba</t>
  </si>
  <si>
    <t>Paraguaçu</t>
  </si>
  <si>
    <t>Jequitinhonha (SE)</t>
  </si>
  <si>
    <t>Jequitinhonha (NE)</t>
  </si>
  <si>
    <t>Tocantins (SE)</t>
  </si>
  <si>
    <t>Tocantins (N)</t>
  </si>
  <si>
    <t>Amazonas (SE)</t>
  </si>
  <si>
    <t>Amazonas (N)</t>
  </si>
  <si>
    <t>FURNAS</t>
  </si>
  <si>
    <t>EMBORCACAO</t>
  </si>
  <si>
    <t>NOVA PONTE</t>
  </si>
  <si>
    <t>FOZ DO AREIA</t>
  </si>
  <si>
    <t xml:space="preserve">PASSO REAL  </t>
  </si>
  <si>
    <t>ITÁ</t>
  </si>
  <si>
    <t xml:space="preserve">SOBRADINHO  </t>
  </si>
  <si>
    <t xml:space="preserve">TUCURUI     </t>
  </si>
  <si>
    <t>Posto</t>
  </si>
  <si>
    <t>Cód.</t>
  </si>
  <si>
    <t>Aproveitamento</t>
  </si>
  <si>
    <t>BACIA DO RIO GRANDE</t>
  </si>
  <si>
    <t>CAMARGOS</t>
  </si>
  <si>
    <t>ITUTINGA</t>
  </si>
  <si>
    <t>FUNIL-GRANDE</t>
  </si>
  <si>
    <t>MASC. DE MORAES</t>
  </si>
  <si>
    <t>ESTREITO</t>
  </si>
  <si>
    <t>JAGUARA</t>
  </si>
  <si>
    <t>IGARAPAVA</t>
  </si>
  <si>
    <t>VOLTA GRANDE</t>
  </si>
  <si>
    <t>P COLOMBIA</t>
  </si>
  <si>
    <t>CACONDE</t>
  </si>
  <si>
    <t>EUC DA CUNHA</t>
  </si>
  <si>
    <t>LIMOEIRO</t>
  </si>
  <si>
    <t>MARIMBONDO</t>
  </si>
  <si>
    <t>AGUA VERMELHA</t>
  </si>
  <si>
    <t>TOTAL</t>
  </si>
  <si>
    <t>BACIA DO RIO PARANAÍBA</t>
  </si>
  <si>
    <t>BACIA DO RIO</t>
  </si>
  <si>
    <t>PARANAÍBA</t>
  </si>
  <si>
    <t>BATALHA</t>
  </si>
  <si>
    <t>SERRA FACAO</t>
  </si>
  <si>
    <t>MIRANDA</t>
  </si>
  <si>
    <t>CAPIM BRANCO 1</t>
  </si>
  <si>
    <t>CAPIM BRANCO 2</t>
  </si>
  <si>
    <t>CORUMBA IV</t>
  </si>
  <si>
    <t>CORUMBA III</t>
  </si>
  <si>
    <t>CORUMBA I</t>
  </si>
  <si>
    <t>ITUMBIARA</t>
  </si>
  <si>
    <t>CACH DOURADA</t>
  </si>
  <si>
    <t>SAO SIMAO</t>
  </si>
  <si>
    <t>CACU</t>
  </si>
  <si>
    <t>B. COQUEIROS</t>
  </si>
  <si>
    <t>FOZ DO RIO CLARO</t>
  </si>
  <si>
    <t>SALTO</t>
  </si>
  <si>
    <t>SLT VERDINHO</t>
  </si>
  <si>
    <t>ESPORA</t>
  </si>
  <si>
    <t>BACIA DO ALTO TIETE</t>
  </si>
  <si>
    <t>ALTO TIETÊ</t>
  </si>
  <si>
    <t>H.BORDEN</t>
  </si>
  <si>
    <t>BACIA DO RIO TIETE</t>
  </si>
  <si>
    <t>TIETÊ</t>
  </si>
  <si>
    <t>BARRA BONITA</t>
  </si>
  <si>
    <t>BARIRI</t>
  </si>
  <si>
    <t>IBITINGA</t>
  </si>
  <si>
    <t>PROMISSAO</t>
  </si>
  <si>
    <t>N.AVANHANDAVA</t>
  </si>
  <si>
    <t>TRES IRMAOS</t>
  </si>
  <si>
    <t>BACIA DO PARANAPANEMA</t>
  </si>
  <si>
    <t>PARANAPANEMA (SE)</t>
  </si>
  <si>
    <t>JURUMIRIM</t>
  </si>
  <si>
    <t>PIRAJU</t>
  </si>
  <si>
    <t>CHAVANTES</t>
  </si>
  <si>
    <t>OURINHOS</t>
  </si>
  <si>
    <t>LUCAS GARCEZ</t>
  </si>
  <si>
    <t>CANOAS 2</t>
  </si>
  <si>
    <t>CANOAS 1</t>
  </si>
  <si>
    <t>CAPIVARA</t>
  </si>
  <si>
    <t>TAQUARUCU</t>
  </si>
  <si>
    <t>ROSANA</t>
  </si>
  <si>
    <t>BACIA DO ALTO PARANÁ</t>
  </si>
  <si>
    <t>ALTO PARANÁ</t>
  </si>
  <si>
    <t>ILHA SOLTEIRA</t>
  </si>
  <si>
    <t>JUPIA</t>
  </si>
  <si>
    <t>BACIA DO BAIXO PARANÁ</t>
  </si>
  <si>
    <t>BAIXO PARANÁ</t>
  </si>
  <si>
    <t>P.PRIMAVERA</t>
  </si>
  <si>
    <t>ITAIPU</t>
  </si>
  <si>
    <t>BACIA DO RIO PARAÍBA DO SUL</t>
  </si>
  <si>
    <t>ITABAPOANA</t>
  </si>
  <si>
    <t>JAGUARI</t>
  </si>
  <si>
    <t>PARAIBUNA</t>
  </si>
  <si>
    <t>SANTA BRANCA</t>
  </si>
  <si>
    <t>FUNIL</t>
  </si>
  <si>
    <t>PICADA</t>
  </si>
  <si>
    <t>SOBRAGI</t>
  </si>
  <si>
    <t>SIMPLÍCIO ART.</t>
  </si>
  <si>
    <t>FONTES</t>
  </si>
  <si>
    <t>NILO PEÇANHA</t>
  </si>
  <si>
    <t>PEREIRA PASSOS</t>
  </si>
  <si>
    <t>ILHA POMBOS</t>
  </si>
  <si>
    <t>BACIA DO RIO ITABAPOANA</t>
  </si>
  <si>
    <t>ROSAL</t>
  </si>
  <si>
    <t>BACIA DO RIO MUCURÍ</t>
  </si>
  <si>
    <t>MUCURI</t>
  </si>
  <si>
    <t>SANTA CLARA - MG</t>
  </si>
  <si>
    <t>BACIA DO RIO DOCE</t>
  </si>
  <si>
    <t>DOCE</t>
  </si>
  <si>
    <t>GUILMAN</t>
  </si>
  <si>
    <t>A. DIAS + SÁ CARVALHO</t>
  </si>
  <si>
    <t>SALTO GRANDE</t>
  </si>
  <si>
    <t>PORTO ESTRELA</t>
  </si>
  <si>
    <t>CANDONGA</t>
  </si>
  <si>
    <t>BAGUARI</t>
  </si>
  <si>
    <t>AIMORÉS</t>
  </si>
  <si>
    <t>MASCARENHAS</t>
  </si>
  <si>
    <t>BACIA DO RIO PARAGUAI</t>
  </si>
  <si>
    <t>PARAGUAI</t>
  </si>
  <si>
    <t>MANSO</t>
  </si>
  <si>
    <t>P.PEDRA</t>
  </si>
  <si>
    <t>JAURU</t>
  </si>
  <si>
    <t>ITIQUIRA I</t>
  </si>
  <si>
    <t>ITIQUIRA II</t>
  </si>
  <si>
    <t>BACIA DO JEQUITINHONHA</t>
  </si>
  <si>
    <t>JEQUITINHONHA (SE)</t>
  </si>
  <si>
    <t>IRAPÉ</t>
  </si>
  <si>
    <t>BACIA DO RIO AMAZONAS</t>
  </si>
  <si>
    <t>AMAZONAS (SE)</t>
  </si>
  <si>
    <t>SAMUEL</t>
  </si>
  <si>
    <t>RONDON II</t>
  </si>
  <si>
    <t>JIRAU</t>
  </si>
  <si>
    <t>SANTO ANTONIO</t>
  </si>
  <si>
    <t>DARDANELOS</t>
  </si>
  <si>
    <t>GUAPORÉ</t>
  </si>
  <si>
    <t>BACIA DO SÃO FRANCISCO</t>
  </si>
  <si>
    <t>SÃO FRANCISCO (SE)</t>
  </si>
  <si>
    <t>RETIRO BAIXO</t>
  </si>
  <si>
    <t>TRES MARIAS</t>
  </si>
  <si>
    <t>QUEIMADO</t>
  </si>
  <si>
    <t>BACIA DO RIO TOCANTINS</t>
  </si>
  <si>
    <t>TOCANTINS (SE)</t>
  </si>
  <si>
    <t>SERRA DA MESA</t>
  </si>
  <si>
    <t>CANA BRAVA</t>
  </si>
  <si>
    <t>SÃO SALVADOR</t>
  </si>
  <si>
    <t>PEIXE ANGICAL</t>
  </si>
  <si>
    <t>LAJEADO</t>
  </si>
  <si>
    <t>SUBSISTEMA SUDESTE</t>
  </si>
  <si>
    <t>SUBSISTEMA</t>
  </si>
  <si>
    <t>Bacia do Rio Iguaçu</t>
  </si>
  <si>
    <t>IGUAÇU</t>
  </si>
  <si>
    <t>STA CLARA PR</t>
  </si>
  <si>
    <t>FUNDÃO</t>
  </si>
  <si>
    <t>SEGREDO</t>
  </si>
  <si>
    <t>SLT SANTIAGO</t>
  </si>
  <si>
    <t>SALTO OSORIO</t>
  </si>
  <si>
    <t>SALTO CAXIAS</t>
  </si>
  <si>
    <t>Bacia do Rio Jacuí</t>
  </si>
  <si>
    <t>JACUÍ</t>
  </si>
  <si>
    <t>ERNESTINA</t>
  </si>
  <si>
    <t xml:space="preserve">JACUI       </t>
  </si>
  <si>
    <t xml:space="preserve">ITAUBA      </t>
  </si>
  <si>
    <t>D.FRANCISCA</t>
  </si>
  <si>
    <t>MONTE CLARO</t>
  </si>
  <si>
    <t>CASTRO ALVES</t>
  </si>
  <si>
    <t>14 DE JULHO</t>
  </si>
  <si>
    <t>Bacia do Uruguai</t>
  </si>
  <si>
    <t>URUGUAI</t>
  </si>
  <si>
    <t>BARRA GRANDE</t>
  </si>
  <si>
    <t>GARIBALDI</t>
  </si>
  <si>
    <t>CAMPOS NOVOS</t>
  </si>
  <si>
    <t>MACHADINHO</t>
  </si>
  <si>
    <t xml:space="preserve">PASSO FUNDO </t>
  </si>
  <si>
    <t>MONJOLINHO</t>
  </si>
  <si>
    <t>FOZ CHAPECO</t>
  </si>
  <si>
    <t>QUEBRA-QUEIXO</t>
  </si>
  <si>
    <t>SÃO JOSÉ</t>
  </si>
  <si>
    <t>PASSO SÃO JOÃO</t>
  </si>
  <si>
    <t>Bacia do Rio Capivari</t>
  </si>
  <si>
    <t>CAPIVARI</t>
  </si>
  <si>
    <t xml:space="preserve">CAP.CACH.   </t>
  </si>
  <si>
    <t>Bacia do Itajaí-Açu</t>
  </si>
  <si>
    <t>ITAJAÍ-AÇU</t>
  </si>
  <si>
    <t>SALTO PILAO</t>
  </si>
  <si>
    <t>Bacia do Rio Paranapanema</t>
  </si>
  <si>
    <t>PARANAPANEMA (S)</t>
  </si>
  <si>
    <t>MAUÁ</t>
  </si>
  <si>
    <t>Subsistema Sul</t>
  </si>
  <si>
    <t xml:space="preserve">Bacia do Rio São Francisco </t>
  </si>
  <si>
    <t>ITAPARICA</t>
  </si>
  <si>
    <t>COMPLEXO</t>
  </si>
  <si>
    <t>XINGÓ</t>
  </si>
  <si>
    <t>Bacia do Rio Jequitinhonha</t>
  </si>
  <si>
    <t>JEQUITINHONHA (NE)</t>
  </si>
  <si>
    <t>ITAPEBI</t>
  </si>
  <si>
    <t>Bacia do Parnaíba</t>
  </si>
  <si>
    <t>PARNAÍBA</t>
  </si>
  <si>
    <t>B. ESPERANCA</t>
  </si>
  <si>
    <t>Bacia do Rio Paraguaçu</t>
  </si>
  <si>
    <t>PARAGUAÇU</t>
  </si>
  <si>
    <t>PEDRA DO CAVALO</t>
  </si>
  <si>
    <t>Subsistema Nordeste</t>
  </si>
  <si>
    <t>Bacia do Rio Tocantins</t>
  </si>
  <si>
    <t>ESTREITO TOC</t>
  </si>
  <si>
    <t>Bacia do Rio Amazonas</t>
  </si>
  <si>
    <t xml:space="preserve">CURUA-UNA   </t>
  </si>
  <si>
    <t>BALBINA</t>
  </si>
  <si>
    <t>Subsistema Norte</t>
  </si>
  <si>
    <t>IRAPE</t>
  </si>
  <si>
    <t>TOCOS</t>
  </si>
  <si>
    <t>GUARAPIRANGA</t>
  </si>
  <si>
    <t>BILLINGS</t>
  </si>
  <si>
    <t>SAO SALVADOR</t>
  </si>
  <si>
    <t>PASSO REAL</t>
  </si>
  <si>
    <t>ITAUBA</t>
  </si>
  <si>
    <t>JORDAO</t>
  </si>
  <si>
    <t>FUNDAO</t>
  </si>
  <si>
    <t>PASSO FUNDO</t>
  </si>
  <si>
    <t>QUEBRA QUEIX</t>
  </si>
  <si>
    <t xml:space="preserve">SALTO PILAO </t>
  </si>
  <si>
    <t>MOXOTO</t>
  </si>
  <si>
    <t>TUCURUI</t>
  </si>
  <si>
    <t>SLT.SANTIAGO</t>
  </si>
  <si>
    <t>Bacia</t>
  </si>
  <si>
    <t>Submercado</t>
  </si>
  <si>
    <t>Produtibilidade</t>
  </si>
  <si>
    <t>GRANDE</t>
  </si>
  <si>
    <t>PARAÍBA DO SUL</t>
  </si>
  <si>
    <t>SÃO FRANCISCO (NE)</t>
  </si>
  <si>
    <t>AMAZONAS (N)</t>
  </si>
  <si>
    <t>TOCANTINS (N)</t>
  </si>
  <si>
    <t>SANTO ANT JARI</t>
  </si>
  <si>
    <t>COARACY NUNES</t>
  </si>
  <si>
    <t>SANTANA</t>
  </si>
  <si>
    <t>VIGÁRIO</t>
  </si>
  <si>
    <t>ANTA</t>
  </si>
  <si>
    <t>LAJES</t>
  </si>
  <si>
    <t>CAPIM BRANC1</t>
  </si>
  <si>
    <t>CAPIM BRANC2</t>
  </si>
  <si>
    <t>AIMORES</t>
  </si>
  <si>
    <t>GUILMAN-AMOR</t>
  </si>
  <si>
    <t>NAVANHANDAVA</t>
  </si>
  <si>
    <t>SIMPLICIO</t>
  </si>
  <si>
    <t xml:space="preserve">STA CECILIA </t>
  </si>
  <si>
    <t>STA CLARA MG</t>
  </si>
  <si>
    <t>GUAPORE</t>
  </si>
  <si>
    <t xml:space="preserve">CORUMBA III </t>
  </si>
  <si>
    <t xml:space="preserve">ITIQUIRA II </t>
  </si>
  <si>
    <t>A.S.OLIVEIRA</t>
  </si>
  <si>
    <t>M. DE MORAES</t>
  </si>
  <si>
    <t>CACH.DOURADA</t>
  </si>
  <si>
    <t xml:space="preserve">P. PASSOS   </t>
  </si>
  <si>
    <t>FERREIRA GOMES</t>
  </si>
  <si>
    <t>QI</t>
  </si>
  <si>
    <t>CENÁRIO 1</t>
  </si>
  <si>
    <t>COD</t>
  </si>
  <si>
    <t>NOME</t>
  </si>
  <si>
    <t>BACIA</t>
  </si>
  <si>
    <t>RIO</t>
  </si>
  <si>
    <t>SITUAÇÃO</t>
  </si>
  <si>
    <t>TIPO DE SÉRIE</t>
  </si>
  <si>
    <t>FÓRMULA</t>
  </si>
  <si>
    <t>OBSERVAÇÃO</t>
  </si>
  <si>
    <t>Operação</t>
  </si>
  <si>
    <t>Natural</t>
  </si>
  <si>
    <t>MASCARENHAS DE MORAES</t>
  </si>
  <si>
    <t>PORTO COLOMBIA</t>
  </si>
  <si>
    <t>Pardo</t>
  </si>
  <si>
    <t>São Marcos</t>
  </si>
  <si>
    <t>Corumbá</t>
  </si>
  <si>
    <t>Araguari</t>
  </si>
  <si>
    <t>CACHOEIRA DOURADA</t>
  </si>
  <si>
    <t>Paraná</t>
  </si>
  <si>
    <t>Artificial</t>
  </si>
  <si>
    <t>= vaz(237) – 0,1 x [vaz(161) – vaz(117) – vaz(118)] – vaz(117) – vaz(118)</t>
  </si>
  <si>
    <t>Considera bombeamento para H.Borden</t>
  </si>
  <si>
    <t>= vaz(238) – 0,1 x [vaz(161) – vaz(117) – vaz(118)] – vaz(117) – vaz(118)</t>
  </si>
  <si>
    <t>= vaz(239) – 0,1 x [vaz(161) – vaz(117) – vaz(118)] – vaz(117) – vaz(118)</t>
  </si>
  <si>
    <t>= vaz(240) – 0,1 x [vaz(161) – vaz(117) – vaz(118)] – vaz(117) – vaz(118)</t>
  </si>
  <si>
    <t>NOVA AVANHANDAVA</t>
  </si>
  <si>
    <t>= vaz(242) – 0,1 x [vaz(161) – vaz(117) – vaz(118)] – vaz(117) – vaz(118)</t>
  </si>
  <si>
    <t>= vaz(243) – 0,1 x [vaz(161) – vaz(117) – vaz(118)] – vaz(117) – vaz(118)</t>
  </si>
  <si>
    <t>ILHA SOLTEIRA EQUIVALENTE</t>
  </si>
  <si>
    <t>Tietê e Paraná</t>
  </si>
  <si>
    <t>= vaz(244) – 0,1 x [vaz(161) – vaz(117) – vaz(118)] – vaz(117) – vaz(118)</t>
  </si>
  <si>
    <t>= vaz(245) – 0,1 x [vaz(161) – vaz(117) – vaz(118)] – vaz(117) – vaz(118)</t>
  </si>
  <si>
    <t>PORTO PRIMAVERA</t>
  </si>
  <si>
    <t>= vaz(246) – 0,1 x [vaz(161) – vaz(117) – vaz(118)] – vaz(117) – vaz(118)</t>
  </si>
  <si>
    <t>Paranapanema</t>
  </si>
  <si>
    <t>Tibagi</t>
  </si>
  <si>
    <t>= vaz(266) – 0,1 x [vaz(161) – vaz(117) – vaz(118)] – vaz(117) – vaz(118)</t>
  </si>
  <si>
    <t>JORDÃO</t>
  </si>
  <si>
    <t>Jordão e Iguaçu</t>
  </si>
  <si>
    <t>= vaz(73) – min(vaz(73) – 10 m³/s; 173,5 m³/s)</t>
  </si>
  <si>
    <t>Reduzida da vazão desviada para o rio Iguaçu a montante de Segredo</t>
  </si>
  <si>
    <t>SANTA CLARA PR</t>
  </si>
  <si>
    <t>Jordão</t>
  </si>
  <si>
    <t>Jordão/Iratim</t>
  </si>
  <si>
    <t>SEGREDO + DESVIO</t>
  </si>
  <si>
    <t>= vaz(76) + min(vaz(73) – 10 m³/s ; 173,5 m³/s)</t>
  </si>
  <si>
    <t>Acréscimo do Desvio Jordão a montante</t>
  </si>
  <si>
    <t>SALTO SANTIAGO</t>
  </si>
  <si>
    <t>BAIXO IGUAÇU</t>
  </si>
  <si>
    <t>Expansão</t>
  </si>
  <si>
    <t>SÃO ROQUE</t>
  </si>
  <si>
    <t>Canoas</t>
  </si>
  <si>
    <t>Passo Fundo</t>
  </si>
  <si>
    <t>FOZ CHAPECÓ</t>
  </si>
  <si>
    <t>Taquari-Antas</t>
  </si>
  <si>
    <t>Corrente</t>
  </si>
  <si>
    <t>Atlântico Sudeste</t>
  </si>
  <si>
    <t>Ijuí</t>
  </si>
  <si>
    <t>TRAIÇÃO</t>
  </si>
  <si>
    <t>Pinheiros</t>
  </si>
  <si>
    <t>= vaz(117) + vaz(118)</t>
  </si>
  <si>
    <t>PEDREIRA</t>
  </si>
  <si>
    <t>= vaz(118)</t>
  </si>
  <si>
    <t>JACUI</t>
  </si>
  <si>
    <t>DONA FRANCISCA</t>
  </si>
  <si>
    <t>CAPIVARI CACHOEIRA</t>
  </si>
  <si>
    <t>Capivari-Cachoeira</t>
  </si>
  <si>
    <t>PEDRAS</t>
  </si>
  <si>
    <t>Cubatão</t>
  </si>
  <si>
    <t>Rio das Pedras</t>
  </si>
  <si>
    <t>= vaz(119) – vaz(118)</t>
  </si>
  <si>
    <t>Guarapiranga</t>
  </si>
  <si>
    <t>BILLINGS + PEDRAS</t>
  </si>
  <si>
    <t>Tietê/Cubatão</t>
  </si>
  <si>
    <t>Pinheiros/Pedras</t>
  </si>
  <si>
    <t>= (vaz(118) – 0,185) / 0,8103</t>
  </si>
  <si>
    <t>Vazão natural formada pelo reservatório Billings considerando a contribuição do reservatório de Pedras</t>
  </si>
  <si>
    <t>Jaguari</t>
  </si>
  <si>
    <t>Paraibuna-Paraitinga</t>
  </si>
  <si>
    <t>SANTA CECILIA</t>
  </si>
  <si>
    <t>Se vaz(127) ≤ 430 m³/s então = max (0 ; vaz(127) – 90 m³/s)      Se vaz(127) ≥ 430 m³/s então = 340 m³/s</t>
  </si>
  <si>
    <t>Limitação de vazão máxima pelo túnel de desvio de vazão mínima na bacia.</t>
  </si>
  <si>
    <t>= vaz(129) – vaz(298) – vaz(203) + vaz(304)</t>
  </si>
  <si>
    <t>Desconto do bombeamento em Santa Cecília e acréscimo de vertimento de Santana</t>
  </si>
  <si>
    <t>NILO PECANHA</t>
  </si>
  <si>
    <t>Não definido</t>
  </si>
  <si>
    <t>= min(vaz(316) ; 144 m³/s)</t>
  </si>
  <si>
    <t>Limitado à máxima vazão defluente do reservatório de Vigário</t>
  </si>
  <si>
    <t>Ribeirão das Lajes</t>
  </si>
  <si>
    <t>= vaz(202) + min(vaz(201) ; 25 m³/s)</t>
  </si>
  <si>
    <t>Com acréscimo do Desvio em Tocos limitado em, no máximo, 25 m³/s</t>
  </si>
  <si>
    <t>Amazonas</t>
  </si>
  <si>
    <t>Comemoração</t>
  </si>
  <si>
    <t>São Francisco</t>
  </si>
  <si>
    <t>Paraopeba</t>
  </si>
  <si>
    <t>Preto</t>
  </si>
  <si>
    <t>PONTE NOVA</t>
  </si>
  <si>
    <t>EDGARD DE SOUZA COM TRIBUTÁRIOS</t>
  </si>
  <si>
    <t>EDGARD DE SOUZA SEM TRIBUTÁRIOS</t>
  </si>
  <si>
    <t>= vaz(161) – vaz(117) – vaz(118)</t>
  </si>
  <si>
    <t>Vazões de Edgard de Souza sem a contribuição do canal Pinheiros</t>
  </si>
  <si>
    <t>SOBRADINHO INCREMENTAL</t>
  </si>
  <si>
    <t>Vazões incrementais entre Três Marias e Sobradinho</t>
  </si>
  <si>
    <t>SOBRADINHO</t>
  </si>
  <si>
    <t>ITAPARICA INCREMENTAL</t>
  </si>
  <si>
    <t>Vazões incrementais entre Sobradinho e Itaparica</t>
  </si>
  <si>
    <t>= vaz(172)</t>
  </si>
  <si>
    <t>PAULO AFONSO</t>
  </si>
  <si>
    <t>COMPLEXO PAULO AFONSO –MOXOTÓ</t>
  </si>
  <si>
    <t>= vaz(173)</t>
  </si>
  <si>
    <t>ANTÔNIO DIAS+SÁ CARVALHO</t>
  </si>
  <si>
    <t>Piracicaba e Severo</t>
  </si>
  <si>
    <t>Jequitinhonha</t>
  </si>
  <si>
    <t>BOA ESPERANÇA</t>
  </si>
  <si>
    <t>Tocantins</t>
  </si>
  <si>
    <t>Peixe</t>
  </si>
  <si>
    <t>Paraibuna</t>
  </si>
  <si>
    <t>ITAOCARA</t>
  </si>
  <si>
    <t>Piraí</t>
  </si>
  <si>
    <t>LAJES / PEREIRA PASSOS / FONTES</t>
  </si>
  <si>
    <t>CACHOEIRA CALDEIRÃO</t>
  </si>
  <si>
    <t>CORUMBÁ 4</t>
  </si>
  <si>
    <t>CORUMBA 1</t>
  </si>
  <si>
    <t>Pelotas</t>
  </si>
  <si>
    <t>SALTO APIACÁS</t>
  </si>
  <si>
    <t>Apiacás</t>
  </si>
  <si>
    <t>SINOP</t>
  </si>
  <si>
    <t>Teles Pires</t>
  </si>
  <si>
    <t>COLIDER</t>
  </si>
  <si>
    <t>TELES PIRES</t>
  </si>
  <si>
    <t>SÃO MANOEL</t>
  </si>
  <si>
    <t>SALTO VERDINHO</t>
  </si>
  <si>
    <t>Verde</t>
  </si>
  <si>
    <t>= vaz(34) + vaz(243)</t>
  </si>
  <si>
    <t>CAÇU</t>
  </si>
  <si>
    <t>Claro</t>
  </si>
  <si>
    <t>BARRA DOS COQUEIROS</t>
  </si>
  <si>
    <t>Atlântico Leste</t>
  </si>
  <si>
    <t>MURTA</t>
  </si>
  <si>
    <t>ITIQUIRA I E II</t>
  </si>
  <si>
    <t>Itiquira</t>
  </si>
  <si>
    <t>GUILMAN-AMORIM</t>
  </si>
  <si>
    <t>Piracicaba</t>
  </si>
  <si>
    <t>Santo Antônio</t>
  </si>
  <si>
    <t>Uatumã</t>
  </si>
  <si>
    <t>ESTREITO TOCANTINS</t>
  </si>
  <si>
    <t>CURUA-UMA</t>
  </si>
  <si>
    <t>Curuá-Una</t>
  </si>
  <si>
    <t>Manso</t>
  </si>
  <si>
    <t>Jamari</t>
  </si>
  <si>
    <t>PONTE DE PEDRA</t>
  </si>
  <si>
    <t>Correntes</t>
  </si>
  <si>
    <t>SANTA CLARA MG</t>
  </si>
  <si>
    <t>Antas</t>
  </si>
  <si>
    <t>Madeira</t>
  </si>
  <si>
    <t>QUEBRA QUEIXO</t>
  </si>
  <si>
    <t>Chapecó</t>
  </si>
  <si>
    <t>BELO MONTE</t>
  </si>
  <si>
    <t>Xingu</t>
  </si>
  <si>
    <t>SANTO ANTONIO DO JARI</t>
  </si>
  <si>
    <t>Jari</t>
  </si>
  <si>
    <t>Aripuanã</t>
  </si>
  <si>
    <t>BELO MONTE  PRINCIPAL</t>
  </si>
  <si>
    <t>Série gerada a partir da diferença entre a série de vazão natural (posto 288) e alternância dos hidrogramas ecológicos começando pelo hidrograma B e os valores negativos obtidos substituídos por zero.</t>
  </si>
  <si>
    <t>BELO MONTE JUSANTE</t>
  </si>
  <si>
    <t>Série gerada a partir da soma entre 7% da vazão natural (posto 288) e alternância dos hidrogramas ecológicos começando pelo hidrograma B e acrescidos os valores negativos encontrados no posto 292.</t>
  </si>
  <si>
    <t>Jauru</t>
  </si>
  <si>
    <t>Guaporé</t>
  </si>
  <si>
    <t>SANTA CECÍLIA BOMBEAMENTO</t>
  </si>
  <si>
    <t>Se vaz(125) ≤ 190 m³/s então = [vaz(125) x 119 m³/s] / 190 m³/s       Se 190 m³/s ≤ vaz(125) ≤ 209 m³/s então = 119 m³/s     Se 209 m³/s ≤ vaz(125) ≤ 250 m³/s então = vaz(125) – 90 m³/s     Se vaz(125) ³ 250 m³/s</t>
  </si>
  <si>
    <t>Bombeamento em Santa Cecília</t>
  </si>
  <si>
    <t>ILHA DOS POMBOS</t>
  </si>
  <si>
    <t>= vaz(130) – vaz(298) – vaz(203) + vaz(304)</t>
  </si>
  <si>
    <t>POSTO NULO</t>
  </si>
  <si>
    <t>Série nula para postos onde originalmente não existia vazão</t>
  </si>
  <si>
    <t>BELO MONTE COMPLEMENTAR</t>
  </si>
  <si>
    <t>Série gerada a partir da soma dos vertimentos da casa de força principal e alternância dos hidrogramas ecológicos começando pelo hidrograma B e acrescidos os valores negativos encontrados no posto 292.</t>
  </si>
  <si>
    <t>= vaz(132) + min(vaz(316) – vaz(131) ; 51 m³/s])</t>
  </si>
  <si>
    <t>SANTANA vertimento</t>
  </si>
  <si>
    <t>= vaz(315) – vaz(316)</t>
  </si>
  <si>
    <t>= vaz(303) + vaz(131)</t>
  </si>
  <si>
    <t>Acréscimo de Nilo Peçanha</t>
  </si>
  <si>
    <t>= vaz(199) – vaz(298) – vaz(203) + vaz(304)</t>
  </si>
  <si>
    <t>= (vaz(203) – vaz(201)) + vaz(317) + vaz(298)</t>
  </si>
  <si>
    <t>= min(vaz(315); 190 m³/s)</t>
  </si>
  <si>
    <t>TOCOS vertimento</t>
  </si>
  <si>
    <t>= max[ 0; (vaz(201) – 25 m³/s)]</t>
  </si>
  <si>
    <t>Vazão restante no rio Piraí após desvio para Lajes</t>
  </si>
  <si>
    <t>HENRY BORDEN</t>
  </si>
  <si>
    <t>= vaz(116) + vaz(117) + vaz(118) + 0,1 x [vaz(161) – vaz(117) – vaz(118)]</t>
  </si>
  <si>
    <t>Vazão disponível em H.Borden contabilizando o possível de ser bombeado no Tietê e as retiradas para abastecimento nos reservatórios de Guarapiranga e Billings</t>
  </si>
  <si>
    <t>= vaz(117) + vaz(118) + 0,1 x [vaz(161) – vaz(117) – vaz(118)]</t>
  </si>
  <si>
    <t>Vazão desviada para H.Borden contabilizando o possível de ser bombeado no Tietê e as retiradas para abastecimento nos reservatórios de Guarapiranga e Billings</t>
  </si>
  <si>
    <t>USINA</t>
  </si>
  <si>
    <t>POSTO</t>
  </si>
  <si>
    <t>JORDÃO NAT.</t>
  </si>
  <si>
    <t>SEGREDO NAT.</t>
  </si>
  <si>
    <t>CAP.CACH.</t>
  </si>
  <si>
    <t>STA. CECILIA</t>
  </si>
  <si>
    <t>ANTA NAT.</t>
  </si>
  <si>
    <t>ILHA POMBOS NAT.</t>
  </si>
  <si>
    <t>E. DE SOUZA</t>
  </si>
  <si>
    <t>INCR.3M/SBD</t>
  </si>
  <si>
    <t>ITAPARICA DA SERRA</t>
  </si>
  <si>
    <t>LAJES NAT.</t>
  </si>
  <si>
    <t>SANTANA NAT.</t>
  </si>
  <si>
    <t>BARRA BONITA NAT.</t>
  </si>
  <si>
    <t>BARIRI NAT.</t>
  </si>
  <si>
    <t>IBITINGA NAT.</t>
  </si>
  <si>
    <t>PROMISSAO NAT.</t>
  </si>
  <si>
    <t>N.AVANHANDAVA NAT.</t>
  </si>
  <si>
    <t>TRES IRMAOS NAT.</t>
  </si>
  <si>
    <t>ILHA SOLTEIRA EQUIVALENTE NAT.</t>
  </si>
  <si>
    <t>JUPIA NAT.</t>
  </si>
  <si>
    <t>P.PRIMAVERA NAT.</t>
  </si>
  <si>
    <t>ITAIPU NAT.</t>
  </si>
  <si>
    <t>CURUÁ-UNA</t>
  </si>
  <si>
    <t>BILLINGS_ANTIGA</t>
  </si>
  <si>
    <t>ITAIPU ART.</t>
  </si>
  <si>
    <t xml:space="preserve">Bacia </t>
  </si>
  <si>
    <t>Rio</t>
  </si>
  <si>
    <t>M0</t>
  </si>
  <si>
    <t>M1</t>
  </si>
  <si>
    <t>M2</t>
  </si>
  <si>
    <t>M3</t>
  </si>
  <si>
    <t>M4</t>
  </si>
  <si>
    <t>S</t>
  </si>
  <si>
    <t>NE</t>
  </si>
  <si>
    <t>N</t>
  </si>
  <si>
    <t>SE/CO</t>
  </si>
  <si>
    <t>Bacia do Rio Araguari</t>
  </si>
  <si>
    <t>MLT (MWmes)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</si>
  <si>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</si>
  <si>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</si>
  <si>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</si>
  <si>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</si>
  <si>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</si>
  <si>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</si>
  <si>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</si>
  <si>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</si>
  <si>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</si>
  <si>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</si>
  <si>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</si>
  <si>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</si>
  <si>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base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</si>
  <si>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</si>
  <si>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</si>
  <si>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</si>
  <si>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</si>
  <si>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</si>
  <si>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</si>
  <si>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</si>
  <si>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</si>
  <si>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</si>
  <si>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</si>
  <si>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</si>
  <si>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</si>
  <si>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Nome</t>
  </si>
  <si>
    <t>Entrada</t>
  </si>
  <si>
    <t>Cen1</t>
  </si>
  <si>
    <t>Cod</t>
  </si>
  <si>
    <t>InicioHistorico</t>
  </si>
  <si>
    <t>FinalHistorico</t>
  </si>
  <si>
    <t xml:space="preserve">CAMARGOS    </t>
  </si>
  <si>
    <t xml:space="preserve">ITUTINGA    </t>
  </si>
  <si>
    <t xml:space="preserve">FURNAS      </t>
  </si>
  <si>
    <t xml:space="preserve">ESTREITO    </t>
  </si>
  <si>
    <t xml:space="preserve">JAGUARA     </t>
  </si>
  <si>
    <t xml:space="preserve">IGARAPAVA   </t>
  </si>
  <si>
    <t xml:space="preserve">P. COLOMBIA </t>
  </si>
  <si>
    <t xml:space="preserve">CACONDE     </t>
  </si>
  <si>
    <t xml:space="preserve">E. DA CUNHA </t>
  </si>
  <si>
    <t xml:space="preserve">MARIMBONDO  </t>
  </si>
  <si>
    <t xml:space="preserve">A. VERMELHA </t>
  </si>
  <si>
    <t xml:space="preserve">BOCAINA     </t>
  </si>
  <si>
    <t xml:space="preserve">BATALHA     </t>
  </si>
  <si>
    <t xml:space="preserve">EMBORCACAO  </t>
  </si>
  <si>
    <t xml:space="preserve">NOVA PONTE  </t>
  </si>
  <si>
    <t xml:space="preserve">ITUMBIARA   </t>
  </si>
  <si>
    <t xml:space="preserve">SAO SIMAO   </t>
  </si>
  <si>
    <t xml:space="preserve">I.SOLTEIRA  </t>
  </si>
  <si>
    <t xml:space="preserve">A.S.LIMA    </t>
  </si>
  <si>
    <t xml:space="preserve">IBITINGA    </t>
  </si>
  <si>
    <t xml:space="preserve">PROMISSAO   </t>
  </si>
  <si>
    <t xml:space="preserve">T.IRMAOS    </t>
  </si>
  <si>
    <t>I.SOLT. EQV.</t>
  </si>
  <si>
    <t xml:space="preserve">JUPIA       </t>
  </si>
  <si>
    <t xml:space="preserve">P.PRIMAVERA </t>
  </si>
  <si>
    <t xml:space="preserve">A.A.LAYDNER </t>
  </si>
  <si>
    <t xml:space="preserve">PIRAJU      </t>
  </si>
  <si>
    <t xml:space="preserve">CHAVANTES   </t>
  </si>
  <si>
    <t xml:space="preserve">L.N. GARCEZ </t>
  </si>
  <si>
    <t xml:space="preserve">CANOAS II   </t>
  </si>
  <si>
    <t xml:space="preserve">CANOAS I    </t>
  </si>
  <si>
    <t xml:space="preserve">MAUA        </t>
  </si>
  <si>
    <t>SAO JERONIMO</t>
  </si>
  <si>
    <t xml:space="preserve">CAPIVARA    </t>
  </si>
  <si>
    <t xml:space="preserve">TAQUARUCU   </t>
  </si>
  <si>
    <t xml:space="preserve">ROSANA      </t>
  </si>
  <si>
    <t>S GDE CHOPIM</t>
  </si>
  <si>
    <t xml:space="preserve">ITAIPU      </t>
  </si>
  <si>
    <t xml:space="preserve">JORDAO      </t>
  </si>
  <si>
    <t xml:space="preserve">FUNDAO      </t>
  </si>
  <si>
    <t xml:space="preserve">G.B.MUNHOZ  </t>
  </si>
  <si>
    <t xml:space="preserve">SEGREDO     </t>
  </si>
  <si>
    <t xml:space="preserve">SAO JOAO    </t>
  </si>
  <si>
    <t>BAIXO IGUACU</t>
  </si>
  <si>
    <t>CACHOEIRINHA</t>
  </si>
  <si>
    <t xml:space="preserve">PAI QUERE   </t>
  </si>
  <si>
    <t xml:space="preserve">SAO ROQUE   </t>
  </si>
  <si>
    <t xml:space="preserve">GARIBALDI   </t>
  </si>
  <si>
    <t xml:space="preserve">ITA         </t>
  </si>
  <si>
    <t xml:space="preserve">FOZ CHAPECO </t>
  </si>
  <si>
    <t xml:space="preserve">MONTE CLARO </t>
  </si>
  <si>
    <t xml:space="preserve">ESPORA      </t>
  </si>
  <si>
    <t xml:space="preserve">CUBATAO     </t>
  </si>
  <si>
    <t xml:space="preserve">SAO JOSE    </t>
  </si>
  <si>
    <t>PASSO SAO JO</t>
  </si>
  <si>
    <t xml:space="preserve">TRAICAO     </t>
  </si>
  <si>
    <t xml:space="preserve">PEDREIRA    </t>
  </si>
  <si>
    <t xml:space="preserve">ERNESTINA   </t>
  </si>
  <si>
    <t xml:space="preserve">D.FRANCISCA </t>
  </si>
  <si>
    <t xml:space="preserve">G.P.SOUZA   </t>
  </si>
  <si>
    <t xml:space="preserve">PEDRAS      </t>
  </si>
  <si>
    <t xml:space="preserve">BILLINGS    </t>
  </si>
  <si>
    <t>BILLINGS_PED</t>
  </si>
  <si>
    <t xml:space="preserve">JAGUARI     </t>
  </si>
  <si>
    <t xml:space="preserve">PARAIBUNA   </t>
  </si>
  <si>
    <t xml:space="preserve">FUNIL       </t>
  </si>
  <si>
    <t xml:space="preserve">SIMPLICIO   </t>
  </si>
  <si>
    <t xml:space="preserve">ANTA_ARTF   </t>
  </si>
  <si>
    <t xml:space="preserve">ANTA        </t>
  </si>
  <si>
    <t xml:space="preserve">I. POMBOS   </t>
  </si>
  <si>
    <t xml:space="preserve">LAJES       </t>
  </si>
  <si>
    <t xml:space="preserve">BAGUARI     </t>
  </si>
  <si>
    <t xml:space="preserve">MASCARENHAS </t>
  </si>
  <si>
    <t xml:space="preserve">RONDON II   </t>
  </si>
  <si>
    <t xml:space="preserve">AIMORES     </t>
  </si>
  <si>
    <t xml:space="preserve">CANDONGA    </t>
  </si>
  <si>
    <t xml:space="preserve">TRES MARIAS </t>
  </si>
  <si>
    <t xml:space="preserve">QUEIMADO    </t>
  </si>
  <si>
    <t xml:space="preserve">ALTO TIET�  </t>
  </si>
  <si>
    <t xml:space="preserve">E.SOUZA     </t>
  </si>
  <si>
    <t>SOBRADINHO F</t>
  </si>
  <si>
    <t>ITAPARICA FI</t>
  </si>
  <si>
    <t xml:space="preserve">ITAPARICA   </t>
  </si>
  <si>
    <t xml:space="preserve">MOXOTO      </t>
  </si>
  <si>
    <t>P.AFONSO 123</t>
  </si>
  <si>
    <t>COMP. MOXOTO</t>
  </si>
  <si>
    <t xml:space="preserve">XINGO       </t>
  </si>
  <si>
    <t xml:space="preserve">SA CARVALHO </t>
  </si>
  <si>
    <t>COUTO MAGALH</t>
  </si>
  <si>
    <t xml:space="preserve">ITAPEBI     </t>
  </si>
  <si>
    <t xml:space="preserve">CANA BRAVA  </t>
  </si>
  <si>
    <t xml:space="preserve">ROSAL       </t>
  </si>
  <si>
    <t xml:space="preserve">PICADA      </t>
  </si>
  <si>
    <t xml:space="preserve">SOBRAGI     </t>
  </si>
  <si>
    <t xml:space="preserve">ITAOCARA    </t>
  </si>
  <si>
    <t xml:space="preserve">TOCOS       </t>
  </si>
  <si>
    <t xml:space="preserve">SANTANA     </t>
  </si>
  <si>
    <t>CACH.CALDEIR</t>
  </si>
  <si>
    <t xml:space="preserve">CORUMBA IV  </t>
  </si>
  <si>
    <t xml:space="preserve">MIRANDA     </t>
  </si>
  <si>
    <t xml:space="preserve">CORUMBA I   </t>
  </si>
  <si>
    <t xml:space="preserve">MACHADINHO  </t>
  </si>
  <si>
    <t xml:space="preserve">MONJOLINHO  </t>
  </si>
  <si>
    <t xml:space="preserve">SLT APIACAS </t>
  </si>
  <si>
    <t xml:space="preserve">SINOP       </t>
  </si>
  <si>
    <t xml:space="preserve">COLIDER     </t>
  </si>
  <si>
    <t xml:space="preserve">TELES PIRES </t>
  </si>
  <si>
    <t xml:space="preserve">SAO MANOEL  </t>
  </si>
  <si>
    <t>SALTO DO RIO</t>
  </si>
  <si>
    <t xml:space="preserve">CACU        </t>
  </si>
  <si>
    <t>BARRA DOS CO</t>
  </si>
  <si>
    <t xml:space="preserve">OURINHOS    </t>
  </si>
  <si>
    <t xml:space="preserve">SERRA FACAO </t>
  </si>
  <si>
    <t xml:space="preserve">P.CAVALO    </t>
  </si>
  <si>
    <t xml:space="preserve">IRAPE       </t>
  </si>
  <si>
    <t xml:space="preserve">PEIXE ANGIC </t>
  </si>
  <si>
    <t xml:space="preserve">MURTA       </t>
  </si>
  <si>
    <t xml:space="preserve">ITIQUIRA I  </t>
  </si>
  <si>
    <t>FOZ DO RIO C</t>
  </si>
  <si>
    <t xml:space="preserve">P. ESTRELA  </t>
  </si>
  <si>
    <t xml:space="preserve">TRAIRA      </t>
  </si>
  <si>
    <t xml:space="preserve">BAU I       </t>
  </si>
  <si>
    <t xml:space="preserve">BALBINA     </t>
  </si>
  <si>
    <t xml:space="preserve">SERRA MESA  </t>
  </si>
  <si>
    <t xml:space="preserve">LAJEADO     </t>
  </si>
  <si>
    <t xml:space="preserve">S. QUEBRADA </t>
  </si>
  <si>
    <t>SANTA ISABEL</t>
  </si>
  <si>
    <t xml:space="preserve">MANSO       </t>
  </si>
  <si>
    <t xml:space="preserve">SAMUEL      </t>
  </si>
  <si>
    <t>COARACY NUNE</t>
  </si>
  <si>
    <t xml:space="preserve">PONTE PEDRA </t>
  </si>
  <si>
    <t xml:space="preserve">OLHO DAGUA  </t>
  </si>
  <si>
    <t xml:space="preserve">14 DE JULHO </t>
  </si>
  <si>
    <t xml:space="preserve">JIRAU       </t>
  </si>
  <si>
    <t xml:space="preserve">STO ANTONIO </t>
  </si>
  <si>
    <t xml:space="preserve">BELO MONTE  </t>
  </si>
  <si>
    <t xml:space="preserve">ITUMIRIM    </t>
  </si>
  <si>
    <t>STO ANT JARI</t>
  </si>
  <si>
    <t xml:space="preserve">DARDANELOS  </t>
  </si>
  <si>
    <t>BELO MONTE P</t>
  </si>
  <si>
    <t>BELO MONTE J</t>
  </si>
  <si>
    <t xml:space="preserve">SALTO       </t>
  </si>
  <si>
    <t xml:space="preserve">JAURU       </t>
  </si>
  <si>
    <t xml:space="preserve">GUAPORE     </t>
  </si>
  <si>
    <t>FERREIRA GOM</t>
  </si>
  <si>
    <t xml:space="preserve">POSTO ZERO  </t>
  </si>
  <si>
    <t>BILLINGS ANT</t>
  </si>
  <si>
    <t>BELO MONTE C</t>
  </si>
  <si>
    <t xml:space="preserve">FONTES      </t>
  </si>
  <si>
    <t xml:space="preserve">ITAGUACU    </t>
  </si>
  <si>
    <t xml:space="preserve">VIGARIO     </t>
  </si>
  <si>
    <t>M5</t>
  </si>
  <si>
    <t/>
  </si>
  <si>
    <t>MONTANTES</t>
  </si>
  <si>
    <t>Q</t>
  </si>
  <si>
    <t>QM</t>
  </si>
  <si>
    <t>INDEX</t>
  </si>
  <si>
    <t>F</t>
  </si>
  <si>
    <t>Art</t>
  </si>
  <si>
    <t>AA</t>
  </si>
  <si>
    <t>AM</t>
  </si>
  <si>
    <t>Referencia</t>
  </si>
  <si>
    <t>% Referencia</t>
  </si>
  <si>
    <t>month</t>
  </si>
  <si>
    <t>weights</t>
  </si>
  <si>
    <t>Vazao</t>
  </si>
  <si>
    <t>C</t>
  </si>
  <si>
    <t>E</t>
  </si>
  <si>
    <t>AjustesCen1!$AA$4:$AX$323</t>
  </si>
  <si>
    <t>AjustesCen1!$AM$4:$AX$323</t>
  </si>
  <si>
    <t>M. DE MORAE</t>
  </si>
  <si>
    <t>VOLTA GRAND</t>
  </si>
  <si>
    <t>P. COLOMBIA</t>
  </si>
  <si>
    <t>E. DA CUNHA</t>
  </si>
  <si>
    <t>A.S.OLIVEIR</t>
  </si>
  <si>
    <t>A. VERMELHA</t>
  </si>
  <si>
    <t>BOCAINA</t>
  </si>
  <si>
    <t>CAPIM BRANC</t>
  </si>
  <si>
    <t>CACH.DOURAD</t>
  </si>
  <si>
    <t>I.SOLTEIRA</t>
  </si>
  <si>
    <t>BARRA BONIT</t>
  </si>
  <si>
    <t>A.S.LIMA</t>
  </si>
  <si>
    <t>NAVANHANDAV</t>
  </si>
  <si>
    <t>T.IRMAOS</t>
  </si>
  <si>
    <t>I.SOLT. EQV</t>
  </si>
  <si>
    <t>A.A.LAYDNER</t>
  </si>
  <si>
    <t>L.N. GARCEZ</t>
  </si>
  <si>
    <t>CANOAS II</t>
  </si>
  <si>
    <t>CANOAS I</t>
  </si>
  <si>
    <t>MAUA</t>
  </si>
  <si>
    <t>SAO JERONIM</t>
  </si>
  <si>
    <t>S GDE CHOPI</t>
  </si>
  <si>
    <t>STA CLARA P</t>
  </si>
  <si>
    <t>G.B.MUNHOZ</t>
  </si>
  <si>
    <t>SLT.SANTIAG</t>
  </si>
  <si>
    <t>SALTO OSORI</t>
  </si>
  <si>
    <t>SAO JOAO</t>
  </si>
  <si>
    <t>BAIXO IGUAC</t>
  </si>
  <si>
    <t>CACHOEIRINH</t>
  </si>
  <si>
    <t>PAI QUERE</t>
  </si>
  <si>
    <t>SAO ROQUE</t>
  </si>
  <si>
    <t>ITA</t>
  </si>
  <si>
    <t>CASTRO ALVE</t>
  </si>
  <si>
    <t>CUBATAO</t>
  </si>
  <si>
    <t>SAO JOSE</t>
  </si>
  <si>
    <t>PASSO SAO J</t>
  </si>
  <si>
    <t>TRAICAO</t>
  </si>
  <si>
    <t>G.P.SOUZA</t>
  </si>
  <si>
    <t>GUARAPIRANG</t>
  </si>
  <si>
    <t>SANTA BRANC</t>
  </si>
  <si>
    <t>STA CECILIA</t>
  </si>
  <si>
    <t>ANTA_ARTF</t>
  </si>
  <si>
    <t>I. POMBOS</t>
  </si>
  <si>
    <t>NILO PECANH</t>
  </si>
  <si>
    <t>SALTO GRAND</t>
  </si>
  <si>
    <t>RETIRO BAIX</t>
  </si>
  <si>
    <t>E.SOUZA</t>
  </si>
  <si>
    <t>ITAPARICA F</t>
  </si>
  <si>
    <t>P.AFONSO 12</t>
  </si>
  <si>
    <t>COMP. MOXOT</t>
  </si>
  <si>
    <t>XINGO</t>
  </si>
  <si>
    <t>SA CARVALHO</t>
  </si>
  <si>
    <t>COUTO MAGAL</t>
  </si>
  <si>
    <t>B. ESPERANC</t>
  </si>
  <si>
    <t>CACH.CALDEI</t>
  </si>
  <si>
    <t>FUNIL-GRAND</t>
  </si>
  <si>
    <t>BARRA GRAND</t>
  </si>
  <si>
    <t>CAMPOS NOVO</t>
  </si>
  <si>
    <t>SALTO CAXIA</t>
  </si>
  <si>
    <t>SLT APIACAS</t>
  </si>
  <si>
    <t>SAO MANOEL</t>
  </si>
  <si>
    <t>SALTO DO RI</t>
  </si>
  <si>
    <t>BARRA DOS C</t>
  </si>
  <si>
    <t>SAO SALVADO</t>
  </si>
  <si>
    <t>P.CAVALO</t>
  </si>
  <si>
    <t>PEIXE ANGIC</t>
  </si>
  <si>
    <t>FOZ DO RIO</t>
  </si>
  <si>
    <t>GUILMAN-AMO</t>
  </si>
  <si>
    <t>P. ESTRELA</t>
  </si>
  <si>
    <t>TRAIRA</t>
  </si>
  <si>
    <t>BAU I</t>
  </si>
  <si>
    <t>SERRA MESA</t>
  </si>
  <si>
    <t>ESTREITO TO</t>
  </si>
  <si>
    <t>S. QUEBRADA</t>
  </si>
  <si>
    <t>SANTA ISABE</t>
  </si>
  <si>
    <t>CURUA-UNA</t>
  </si>
  <si>
    <t>COARACY NUN</t>
  </si>
  <si>
    <t>PONTE PEDRA</t>
  </si>
  <si>
    <t>OLHO DAGUA</t>
  </si>
  <si>
    <t>STA CLARA M</t>
  </si>
  <si>
    <t>QUEBRA QUEI</t>
  </si>
  <si>
    <t>STO ANTONIO</t>
  </si>
  <si>
    <t>ITUMIRIM</t>
  </si>
  <si>
    <t>STO ANT JAR</t>
  </si>
  <si>
    <t>FERREIRA GO</t>
  </si>
  <si>
    <t>VIGARIO</t>
  </si>
  <si>
    <t>BILLINGS AN</t>
  </si>
  <si>
    <t>P. PASSOS</t>
  </si>
  <si>
    <t>ITAGUACU</t>
  </si>
  <si>
    <t>BILLINGS_PE</t>
  </si>
  <si>
    <t>Posto Artificial [C]alculado / [E]ntrada</t>
  </si>
  <si>
    <t>v: 2015-09-08 18:00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</si>
</sst>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&quot;Sem &quot;0"/>
    <numFmt numFmtId="165" formatCode="000"/>
    <numFmt numFmtId="166" formatCode="0.0000"/>
    <numFmt numFmtId="167" formatCode="_-* #,##0_-;\-* #,##0_-;_-* &quot;-&quot;??_-;_-@_-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8"/>
      <color theme="1" tint="0.249977111117893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3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 style="thin">
        <color theme="0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0"/>
      </bottom>
      <diagonal/>
    </border>
    <border>
      <left/>
      <right/>
      <top style="thin">
        <color theme="2" tint="-0.499984740745262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1" tint="0.49998474074526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thin">
        <color theme="0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</cellStyleXfs>
  <cellXfs count="351">
    <xf numFmtId="0" fontId="0" fillId="0" borderId="0" xfId="0"/>
    <xf numFmtId="165" fontId="3" fillId="0" borderId="0" xfId="1" applyNumberFormat="1" applyFont="1" applyBorder="1" applyAlignment="1">
      <alignment horizontal="center"/>
    </xf>
    <xf numFmtId="165" fontId="12" fillId="0" borderId="0" xfId="1" applyNumberFormat="1" applyFont="1" applyBorder="1" applyAlignment="1">
      <alignment horizontal="center"/>
    </xf>
    <xf numFmtId="0" fontId="12" fillId="0" borderId="0" xfId="1" applyFont="1" applyBorder="1" applyAlignment="1">
      <alignment horizontal="center"/>
    </xf>
    <xf numFmtId="165" fontId="7" fillId="3" borderId="6" xfId="1" applyNumberFormat="1" applyFont="1" applyFill="1" applyBorder="1" applyAlignment="1">
      <alignment horizontal="center"/>
    </xf>
    <xf numFmtId="0" fontId="7" fillId="3" borderId="7" xfId="1" applyFont="1" applyFill="1" applyBorder="1" applyAlignment="1">
      <alignment horizontal="center"/>
    </xf>
    <xf numFmtId="165" fontId="9" fillId="4" borderId="6" xfId="1" applyNumberFormat="1" applyFont="1" applyFill="1" applyBorder="1" applyAlignment="1">
      <alignment horizontal="center"/>
    </xf>
    <xf numFmtId="0" fontId="9" fillId="4" borderId="7" xfId="1" applyFont="1" applyFill="1" applyBorder="1" applyAlignment="1">
      <alignment horizontal="center"/>
    </xf>
    <xf numFmtId="165" fontId="12" fillId="6" borderId="6" xfId="1" applyNumberFormat="1" applyFont="1" applyFill="1" applyBorder="1" applyAlignment="1">
      <alignment horizontal="center"/>
    </xf>
    <xf numFmtId="0" fontId="9" fillId="6" borderId="7" xfId="1" applyFont="1" applyFill="1" applyBorder="1" applyAlignment="1">
      <alignment horizontal="center"/>
    </xf>
    <xf numFmtId="165" fontId="12" fillId="6" borderId="8" xfId="1" applyNumberFormat="1" applyFont="1" applyFill="1" applyBorder="1" applyAlignment="1">
      <alignment horizontal="center"/>
    </xf>
    <xf numFmtId="0" fontId="9" fillId="6" borderId="10" xfId="1" applyFont="1" applyFill="1" applyBorder="1" applyAlignment="1">
      <alignment horizontal="center"/>
    </xf>
    <xf numFmtId="165" fontId="7" fillId="3" borderId="3" xfId="1" applyNumberFormat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165" fontId="4" fillId="6" borderId="24" xfId="1" applyNumberFormat="1" applyFont="1" applyFill="1" applyBorder="1" applyAlignment="1">
      <alignment horizontal="center"/>
    </xf>
    <xf numFmtId="0" fontId="9" fillId="6" borderId="25" xfId="1" applyFont="1" applyFill="1" applyBorder="1" applyAlignment="1">
      <alignment horizontal="center"/>
    </xf>
    <xf numFmtId="165" fontId="4" fillId="6" borderId="26" xfId="1" applyNumberFormat="1" applyFont="1" applyFill="1" applyBorder="1" applyAlignment="1">
      <alignment horizontal="center"/>
    </xf>
    <xf numFmtId="0" fontId="9" fillId="6" borderId="28" xfId="1" applyFont="1" applyFill="1" applyBorder="1" applyAlignment="1">
      <alignment horizontal="center"/>
    </xf>
    <xf numFmtId="165" fontId="10" fillId="6" borderId="24" xfId="1" applyNumberFormat="1" applyFont="1" applyFill="1" applyBorder="1" applyAlignment="1">
      <alignment horizontal="center"/>
    </xf>
    <xf numFmtId="0" fontId="10" fillId="6" borderId="25" xfId="1" applyFont="1" applyFill="1" applyBorder="1" applyAlignment="1">
      <alignment horizontal="center"/>
    </xf>
    <xf numFmtId="165" fontId="10" fillId="6" borderId="26" xfId="1" applyNumberFormat="1" applyFont="1" applyFill="1" applyBorder="1" applyAlignment="1">
      <alignment horizontal="center"/>
    </xf>
    <xf numFmtId="0" fontId="10" fillId="6" borderId="28" xfId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4" fontId="5" fillId="8" borderId="2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/>
    </xf>
    <xf numFmtId="14" fontId="18" fillId="2" borderId="0" xfId="0" applyNumberFormat="1" applyFont="1" applyFill="1" applyAlignment="1">
      <alignment horizontal="center" vertical="center"/>
    </xf>
    <xf numFmtId="165" fontId="7" fillId="3" borderId="31" xfId="1" applyNumberFormat="1" applyFont="1" applyFill="1" applyBorder="1" applyAlignment="1">
      <alignment horizontal="center"/>
    </xf>
    <xf numFmtId="0" fontId="7" fillId="3" borderId="32" xfId="1" applyFont="1" applyFill="1" applyBorder="1" applyAlignment="1">
      <alignment horizontal="center"/>
    </xf>
    <xf numFmtId="165" fontId="9" fillId="4" borderId="31" xfId="1" applyNumberFormat="1" applyFont="1" applyFill="1" applyBorder="1" applyAlignment="1">
      <alignment horizontal="center"/>
    </xf>
    <xf numFmtId="0" fontId="9" fillId="4" borderId="32" xfId="1" applyFont="1" applyFill="1" applyBorder="1" applyAlignment="1">
      <alignment horizontal="center"/>
    </xf>
    <xf numFmtId="165" fontId="12" fillId="6" borderId="31" xfId="1" applyNumberFormat="1" applyFont="1" applyFill="1" applyBorder="1" applyAlignment="1">
      <alignment horizontal="center"/>
    </xf>
    <xf numFmtId="0" fontId="9" fillId="6" borderId="32" xfId="1" applyFont="1" applyFill="1" applyBorder="1" applyAlignment="1">
      <alignment horizontal="center"/>
    </xf>
    <xf numFmtId="165" fontId="12" fillId="6" borderId="33" xfId="1" applyNumberFormat="1" applyFont="1" applyFill="1" applyBorder="1" applyAlignment="1">
      <alignment horizontal="center"/>
    </xf>
    <xf numFmtId="0" fontId="9" fillId="6" borderId="34" xfId="1" applyFont="1" applyFill="1" applyBorder="1" applyAlignment="1">
      <alignment horizontal="center"/>
    </xf>
    <xf numFmtId="165" fontId="7" fillId="3" borderId="29" xfId="1" applyNumberFormat="1" applyFont="1" applyFill="1" applyBorder="1" applyAlignment="1">
      <alignment horizontal="center"/>
    </xf>
    <xf numFmtId="0" fontId="7" fillId="3" borderId="30" xfId="1" applyFont="1" applyFill="1" applyBorder="1" applyAlignment="1">
      <alignment horizontal="center"/>
    </xf>
    <xf numFmtId="165" fontId="6" fillId="3" borderId="29" xfId="1" applyNumberFormat="1" applyFont="1" applyFill="1" applyBorder="1" applyAlignment="1">
      <alignment horizontal="center"/>
    </xf>
    <xf numFmtId="0" fontId="6" fillId="3" borderId="30" xfId="1" applyFont="1" applyFill="1" applyBorder="1" applyAlignment="1">
      <alignment horizontal="center"/>
    </xf>
    <xf numFmtId="165" fontId="10" fillId="6" borderId="31" xfId="1" applyNumberFormat="1" applyFont="1" applyFill="1" applyBorder="1" applyAlignment="1">
      <alignment horizontal="center"/>
    </xf>
    <xf numFmtId="0" fontId="10" fillId="6" borderId="32" xfId="1" applyFont="1" applyFill="1" applyBorder="1" applyAlignment="1">
      <alignment horizontal="center"/>
    </xf>
    <xf numFmtId="165" fontId="10" fillId="6" borderId="33" xfId="1" applyNumberFormat="1" applyFont="1" applyFill="1" applyBorder="1" applyAlignment="1">
      <alignment horizontal="center"/>
    </xf>
    <xf numFmtId="0" fontId="10" fillId="6" borderId="34" xfId="1" applyFont="1" applyFill="1" applyBorder="1" applyAlignment="1">
      <alignment horizontal="center"/>
    </xf>
    <xf numFmtId="0" fontId="0" fillId="0" borderId="0" xfId="0"/>
    <xf numFmtId="164" fontId="5" fillId="8" borderId="2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center"/>
    </xf>
    <xf numFmtId="3" fontId="9" fillId="6" borderId="2" xfId="1" applyNumberFormat="1" applyFont="1" applyFill="1" applyBorder="1" applyAlignment="1">
      <alignment horizontal="center"/>
    </xf>
    <xf numFmtId="3" fontId="10" fillId="6" borderId="2" xfId="1" applyNumberFormat="1" applyFont="1" applyFill="1" applyBorder="1" applyAlignment="1">
      <alignment horizontal="center"/>
    </xf>
    <xf numFmtId="16" fontId="3" fillId="0" borderId="0" xfId="1" applyNumberFormat="1" applyFont="1" applyBorder="1" applyAlignment="1">
      <alignment horizontal="center"/>
    </xf>
    <xf numFmtId="1" fontId="3" fillId="0" borderId="0" xfId="1" applyNumberFormat="1" applyFont="1" applyBorder="1" applyAlignment="1">
      <alignment horizontal="center"/>
    </xf>
    <xf numFmtId="1" fontId="3" fillId="2" borderId="0" xfId="1" applyNumberFormat="1" applyFont="1" applyFill="1" applyBorder="1" applyAlignment="1">
      <alignment horizontal="center"/>
    </xf>
    <xf numFmtId="16" fontId="12" fillId="0" borderId="0" xfId="1" applyNumberFormat="1" applyFont="1" applyBorder="1" applyAlignment="1">
      <alignment horizontal="center"/>
    </xf>
    <xf numFmtId="1" fontId="12" fillId="0" borderId="0" xfId="1" applyNumberFormat="1" applyFont="1" applyBorder="1" applyAlignment="1">
      <alignment horizontal="center"/>
    </xf>
    <xf numFmtId="3" fontId="9" fillId="6" borderId="6" xfId="1" applyNumberFormat="1" applyFont="1" applyFill="1" applyBorder="1" applyAlignment="1">
      <alignment horizontal="center"/>
    </xf>
    <xf numFmtId="3" fontId="9" fillId="6" borderId="7" xfId="1" applyNumberFormat="1" applyFont="1" applyFill="1" applyBorder="1" applyAlignment="1">
      <alignment horizontal="center"/>
    </xf>
    <xf numFmtId="3" fontId="9" fillId="6" borderId="8" xfId="1" applyNumberFormat="1" applyFont="1" applyFill="1" applyBorder="1" applyAlignment="1">
      <alignment horizontal="center"/>
    </xf>
    <xf numFmtId="3" fontId="9" fillId="6" borderId="9" xfId="1" applyNumberFormat="1" applyFont="1" applyFill="1" applyBorder="1" applyAlignment="1">
      <alignment horizontal="center"/>
    </xf>
    <xf numFmtId="3" fontId="9" fillId="6" borderId="10" xfId="1" applyNumberFormat="1" applyFont="1" applyFill="1" applyBorder="1" applyAlignment="1">
      <alignment horizontal="center"/>
    </xf>
    <xf numFmtId="0" fontId="0" fillId="2" borderId="0" xfId="0" applyFill="1" applyAlignment="1">
      <alignment vertical="center"/>
    </xf>
    <xf numFmtId="165" fontId="9" fillId="4" borderId="24" xfId="1" applyNumberFormat="1" applyFont="1" applyFill="1" applyBorder="1" applyAlignment="1">
      <alignment horizontal="center"/>
    </xf>
    <xf numFmtId="0" fontId="9" fillId="4" borderId="25" xfId="1" applyFont="1" applyFill="1" applyBorder="1" applyAlignment="1">
      <alignment horizontal="center"/>
    </xf>
    <xf numFmtId="165" fontId="6" fillId="3" borderId="21" xfId="1" applyNumberFormat="1" applyFont="1" applyFill="1" applyBorder="1" applyAlignment="1">
      <alignment horizontal="center"/>
    </xf>
    <xf numFmtId="0" fontId="6" fillId="3" borderId="23" xfId="1" applyFont="1" applyFill="1" applyBorder="1" applyAlignment="1">
      <alignment horizontal="center"/>
    </xf>
    <xf numFmtId="3" fontId="11" fillId="4" borderId="24" xfId="1" applyNumberFormat="1" applyFont="1" applyFill="1" applyBorder="1" applyAlignment="1">
      <alignment horizontal="center"/>
    </xf>
    <xf numFmtId="3" fontId="10" fillId="6" borderId="24" xfId="1" applyNumberFormat="1" applyFont="1" applyFill="1" applyBorder="1" applyAlignment="1">
      <alignment horizontal="center"/>
    </xf>
    <xf numFmtId="3" fontId="10" fillId="6" borderId="25" xfId="1" applyNumberFormat="1" applyFont="1" applyFill="1" applyBorder="1" applyAlignment="1">
      <alignment horizontal="center"/>
    </xf>
    <xf numFmtId="3" fontId="10" fillId="6" borderId="26" xfId="1" applyNumberFormat="1" applyFont="1" applyFill="1" applyBorder="1" applyAlignment="1">
      <alignment horizontal="center"/>
    </xf>
    <xf numFmtId="3" fontId="10" fillId="6" borderId="27" xfId="1" applyNumberFormat="1" applyFont="1" applyFill="1" applyBorder="1" applyAlignment="1">
      <alignment horizontal="center"/>
    </xf>
    <xf numFmtId="3" fontId="10" fillId="6" borderId="28" xfId="1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3" fontId="9" fillId="6" borderId="31" xfId="1" applyNumberFormat="1" applyFont="1" applyFill="1" applyBorder="1" applyAlignment="1">
      <alignment horizontal="center"/>
    </xf>
    <xf numFmtId="3" fontId="9" fillId="6" borderId="32" xfId="1" applyNumberFormat="1" applyFont="1" applyFill="1" applyBorder="1" applyAlignment="1">
      <alignment horizontal="center"/>
    </xf>
    <xf numFmtId="3" fontId="9" fillId="6" borderId="33" xfId="1" applyNumberFormat="1" applyFont="1" applyFill="1" applyBorder="1" applyAlignment="1">
      <alignment horizontal="center"/>
    </xf>
    <xf numFmtId="3" fontId="9" fillId="6" borderId="36" xfId="1" applyNumberFormat="1" applyFont="1" applyFill="1" applyBorder="1" applyAlignment="1">
      <alignment horizontal="center"/>
    </xf>
    <xf numFmtId="3" fontId="9" fillId="6" borderId="34" xfId="1" applyNumberFormat="1" applyFont="1" applyFill="1" applyBorder="1" applyAlignment="1">
      <alignment horizontal="center"/>
    </xf>
    <xf numFmtId="14" fontId="8" fillId="7" borderId="31" xfId="0" applyNumberFormat="1" applyFont="1" applyFill="1" applyBorder="1" applyAlignment="1">
      <alignment horizontal="center" vertical="center"/>
    </xf>
    <xf numFmtId="3" fontId="10" fillId="6" borderId="33" xfId="1" applyNumberFormat="1" applyFont="1" applyFill="1" applyBorder="1" applyAlignment="1">
      <alignment horizontal="center"/>
    </xf>
    <xf numFmtId="3" fontId="10" fillId="6" borderId="36" xfId="1" applyNumberFormat="1" applyFont="1" applyFill="1" applyBorder="1" applyAlignment="1">
      <alignment horizontal="center"/>
    </xf>
    <xf numFmtId="3" fontId="10" fillId="6" borderId="34" xfId="1" applyNumberFormat="1" applyFont="1" applyFill="1" applyBorder="1" applyAlignment="1">
      <alignment horizontal="center"/>
    </xf>
    <xf numFmtId="3" fontId="10" fillId="6" borderId="31" xfId="1" applyNumberFormat="1" applyFont="1" applyFill="1" applyBorder="1" applyAlignment="1">
      <alignment horizontal="center"/>
    </xf>
    <xf numFmtId="3" fontId="10" fillId="6" borderId="32" xfId="1" applyNumberFormat="1" applyFont="1" applyFill="1" applyBorder="1" applyAlignment="1">
      <alignment horizontal="center"/>
    </xf>
    <xf numFmtId="165" fontId="20" fillId="3" borderId="29" xfId="1" applyNumberFormat="1" applyFont="1" applyFill="1" applyBorder="1" applyAlignment="1">
      <alignment horizontal="center"/>
    </xf>
    <xf numFmtId="0" fontId="20" fillId="3" borderId="30" xfId="1" applyFont="1" applyFill="1" applyBorder="1" applyAlignment="1">
      <alignment horizontal="center"/>
    </xf>
    <xf numFmtId="165" fontId="2" fillId="6" borderId="31" xfId="1" applyNumberFormat="1" applyFont="1" applyFill="1" applyBorder="1" applyAlignment="1">
      <alignment horizontal="center"/>
    </xf>
    <xf numFmtId="3" fontId="20" fillId="12" borderId="31" xfId="1" applyNumberFormat="1" applyFont="1" applyFill="1" applyBorder="1" applyAlignment="1">
      <alignment horizontal="center"/>
    </xf>
    <xf numFmtId="3" fontId="20" fillId="12" borderId="2" xfId="1" applyNumberFormat="1" applyFont="1" applyFill="1" applyBorder="1" applyAlignment="1">
      <alignment horizontal="center"/>
    </xf>
    <xf numFmtId="3" fontId="20" fillId="12" borderId="32" xfId="1" applyNumberFormat="1" applyFont="1" applyFill="1" applyBorder="1" applyAlignment="1">
      <alignment horizontal="center"/>
    </xf>
    <xf numFmtId="165" fontId="6" fillId="11" borderId="41" xfId="1" applyNumberFormat="1" applyFont="1" applyFill="1" applyBorder="1" applyAlignment="1">
      <alignment horizontal="center" vertical="center" wrapText="1"/>
    </xf>
    <xf numFmtId="0" fontId="6" fillId="11" borderId="42" xfId="1" applyFont="1" applyFill="1" applyBorder="1" applyAlignment="1">
      <alignment horizontal="center" vertical="center" wrapText="1"/>
    </xf>
    <xf numFmtId="0" fontId="0" fillId="11" borderId="0" xfId="0" applyFill="1"/>
    <xf numFmtId="14" fontId="8" fillId="11" borderId="40" xfId="0" applyNumberFormat="1" applyFont="1" applyFill="1" applyBorder="1" applyAlignment="1">
      <alignment horizontal="center" vertical="center"/>
    </xf>
    <xf numFmtId="14" fontId="8" fillId="11" borderId="19" xfId="0" applyNumberFormat="1" applyFont="1" applyFill="1" applyBorder="1" applyAlignment="1">
      <alignment horizontal="center" vertical="center"/>
    </xf>
    <xf numFmtId="14" fontId="8" fillId="11" borderId="43" xfId="0" applyNumberFormat="1" applyFont="1" applyFill="1" applyBorder="1" applyAlignment="1">
      <alignment horizontal="center" vertical="center"/>
    </xf>
    <xf numFmtId="0" fontId="14" fillId="11" borderId="0" xfId="0" applyFont="1" applyFill="1"/>
    <xf numFmtId="165" fontId="7" fillId="11" borderId="31" xfId="1" applyNumberFormat="1" applyFont="1" applyFill="1" applyBorder="1" applyAlignment="1">
      <alignment horizontal="center" vertical="center" wrapText="1"/>
    </xf>
    <xf numFmtId="0" fontId="7" fillId="11" borderId="32" xfId="1" applyFont="1" applyFill="1" applyBorder="1" applyAlignment="1">
      <alignment horizontal="center" vertical="center" wrapText="1"/>
    </xf>
    <xf numFmtId="14" fontId="8" fillId="11" borderId="31" xfId="0" applyNumberFormat="1" applyFont="1" applyFill="1" applyBorder="1" applyAlignment="1">
      <alignment horizontal="center" vertical="center"/>
    </xf>
    <xf numFmtId="14" fontId="8" fillId="11" borderId="2" xfId="0" applyNumberFormat="1" applyFont="1" applyFill="1" applyBorder="1" applyAlignment="1">
      <alignment horizontal="center" vertical="center"/>
    </xf>
    <xf numFmtId="14" fontId="8" fillId="11" borderId="32" xfId="0" applyNumberFormat="1" applyFont="1" applyFill="1" applyBorder="1" applyAlignment="1">
      <alignment horizontal="center" vertical="center"/>
    </xf>
    <xf numFmtId="165" fontId="7" fillId="14" borderId="11" xfId="1" applyNumberFormat="1" applyFont="1" applyFill="1" applyBorder="1" applyAlignment="1">
      <alignment vertical="center" wrapText="1"/>
    </xf>
    <xf numFmtId="0" fontId="7" fillId="14" borderId="12" xfId="1" applyFont="1" applyFill="1" applyBorder="1" applyAlignment="1">
      <alignment vertical="center" wrapText="1"/>
    </xf>
    <xf numFmtId="0" fontId="13" fillId="14" borderId="0" xfId="0" applyFont="1" applyFill="1" applyAlignment="1">
      <alignment horizontal="center"/>
    </xf>
    <xf numFmtId="14" fontId="8" fillId="14" borderId="6" xfId="0" applyNumberFormat="1" applyFont="1" applyFill="1" applyBorder="1" applyAlignment="1">
      <alignment horizontal="center" vertical="center"/>
    </xf>
    <xf numFmtId="14" fontId="8" fillId="14" borderId="2" xfId="0" applyNumberFormat="1" applyFont="1" applyFill="1" applyBorder="1" applyAlignment="1">
      <alignment horizontal="center" vertical="center"/>
    </xf>
    <xf numFmtId="14" fontId="8" fillId="14" borderId="7" xfId="0" applyNumberFormat="1" applyFont="1" applyFill="1" applyBorder="1" applyAlignment="1">
      <alignment horizontal="center" vertical="center"/>
    </xf>
    <xf numFmtId="1" fontId="17" fillId="4" borderId="2" xfId="0" applyNumberFormat="1" applyFont="1" applyFill="1" applyBorder="1" applyAlignment="1">
      <alignment horizontal="center"/>
    </xf>
    <xf numFmtId="1" fontId="0" fillId="4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1" fontId="0" fillId="15" borderId="2" xfId="0" applyNumberFormat="1" applyFill="1" applyBorder="1" applyAlignment="1">
      <alignment horizontal="center"/>
    </xf>
    <xf numFmtId="0" fontId="0" fillId="0" borderId="0" xfId="0"/>
    <xf numFmtId="0" fontId="0" fillId="17" borderId="0" xfId="0" applyFill="1"/>
    <xf numFmtId="0" fontId="0" fillId="0" borderId="37" xfId="0" applyBorder="1"/>
    <xf numFmtId="0" fontId="0" fillId="0" borderId="39" xfId="0" applyBorder="1"/>
    <xf numFmtId="0" fontId="0" fillId="11" borderId="39" xfId="0" applyFill="1" applyBorder="1"/>
    <xf numFmtId="0" fontId="0" fillId="11" borderId="38" xfId="0" applyFill="1" applyBorder="1"/>
    <xf numFmtId="0" fontId="0" fillId="11" borderId="44" xfId="0" applyFill="1" applyBorder="1"/>
    <xf numFmtId="0" fontId="19" fillId="16" borderId="45" xfId="0" applyFont="1" applyFill="1" applyBorder="1" applyAlignment="1">
      <alignment horizontal="center"/>
    </xf>
    <xf numFmtId="0" fontId="19" fillId="10" borderId="46" xfId="0" applyFont="1" applyFill="1" applyBorder="1" applyAlignment="1">
      <alignment horizontal="center"/>
    </xf>
    <xf numFmtId="0" fontId="19" fillId="13" borderId="46" xfId="0" applyFont="1" applyFill="1" applyBorder="1" applyAlignment="1">
      <alignment horizontal="center"/>
    </xf>
    <xf numFmtId="0" fontId="19" fillId="19" borderId="47" xfId="0" applyFont="1" applyFill="1" applyBorder="1" applyAlignment="1">
      <alignment horizontal="center"/>
    </xf>
    <xf numFmtId="0" fontId="19" fillId="16" borderId="46" xfId="0" applyFont="1" applyFill="1" applyBorder="1" applyAlignment="1">
      <alignment horizontal="center"/>
    </xf>
    <xf numFmtId="0" fontId="19" fillId="19" borderId="46" xfId="0" applyFont="1" applyFill="1" applyBorder="1" applyAlignment="1">
      <alignment horizontal="center"/>
    </xf>
    <xf numFmtId="0" fontId="22" fillId="2" borderId="0" xfId="0" applyFont="1" applyFill="1" applyAlignment="1">
      <alignment vertical="center"/>
    </xf>
    <xf numFmtId="0" fontId="19" fillId="16" borderId="49" xfId="0" applyFont="1" applyFill="1" applyBorder="1" applyAlignment="1">
      <alignment horizontal="center"/>
    </xf>
    <xf numFmtId="0" fontId="19" fillId="10" borderId="58" xfId="0" applyFont="1" applyFill="1" applyBorder="1" applyAlignment="1">
      <alignment horizontal="center"/>
    </xf>
    <xf numFmtId="0" fontId="19" fillId="10" borderId="49" xfId="0" applyFont="1" applyFill="1" applyBorder="1" applyAlignment="1">
      <alignment horizontal="center"/>
    </xf>
    <xf numFmtId="0" fontId="19" fillId="13" borderId="58" xfId="0" applyFont="1" applyFill="1" applyBorder="1" applyAlignment="1">
      <alignment horizontal="center"/>
    </xf>
    <xf numFmtId="0" fontId="19" fillId="13" borderId="49" xfId="0" applyFont="1" applyFill="1" applyBorder="1" applyAlignment="1">
      <alignment horizontal="center"/>
    </xf>
    <xf numFmtId="166" fontId="0" fillId="17" borderId="2" xfId="0" applyNumberForma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14" fontId="18" fillId="2" borderId="0" xfId="0" applyNumberFormat="1" applyFont="1" applyFill="1" applyAlignment="1">
      <alignment horizontal="center"/>
    </xf>
    <xf numFmtId="0" fontId="3" fillId="0" borderId="0" xfId="1" applyFont="1" applyBorder="1" applyAlignment="1">
      <alignment horizontal="center"/>
    </xf>
    <xf numFmtId="0" fontId="16" fillId="3" borderId="65" xfId="3" applyNumberFormat="1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75" xfId="0" applyFill="1" applyBorder="1"/>
    <xf numFmtId="0" fontId="0" fillId="2" borderId="76" xfId="0" applyFill="1" applyBorder="1"/>
    <xf numFmtId="0" fontId="0" fillId="2" borderId="77" xfId="0" applyFill="1" applyBorder="1"/>
    <xf numFmtId="0" fontId="0" fillId="2" borderId="77" xfId="0" applyFill="1" applyBorder="1" applyAlignment="1">
      <alignment vertical="center"/>
    </xf>
    <xf numFmtId="0" fontId="0" fillId="2" borderId="78" xfId="0" applyFill="1" applyBorder="1" applyAlignment="1">
      <alignment vertical="center"/>
    </xf>
    <xf numFmtId="0" fontId="0" fillId="2" borderId="79" xfId="0" applyFill="1" applyBorder="1"/>
    <xf numFmtId="0" fontId="0" fillId="2" borderId="0" xfId="0" applyFill="1" applyBorder="1" applyAlignment="1">
      <alignment vertical="center"/>
    </xf>
    <xf numFmtId="0" fontId="0" fillId="2" borderId="80" xfId="0" applyFill="1" applyBorder="1" applyAlignment="1">
      <alignment vertical="center"/>
    </xf>
    <xf numFmtId="0" fontId="0" fillId="2" borderId="80" xfId="0" applyFill="1" applyBorder="1"/>
    <xf numFmtId="0" fontId="0" fillId="2" borderId="81" xfId="0" applyFill="1" applyBorder="1"/>
    <xf numFmtId="0" fontId="0" fillId="2" borderId="82" xfId="0" applyFill="1" applyBorder="1"/>
    <xf numFmtId="0" fontId="16" fillId="3" borderId="86" xfId="3" applyNumberFormat="1" applyFont="1" applyFill="1" applyBorder="1" applyAlignment="1">
      <alignment horizontal="center" vertical="center"/>
    </xf>
    <xf numFmtId="0" fontId="16" fillId="3" borderId="87" xfId="3" applyNumberFormat="1" applyFont="1" applyFill="1" applyBorder="1" applyAlignment="1">
      <alignment horizontal="center" vertical="center"/>
    </xf>
    <xf numFmtId="0" fontId="16" fillId="3" borderId="88" xfId="3" applyNumberFormat="1" applyFont="1" applyFill="1" applyBorder="1" applyAlignment="1">
      <alignment horizontal="center" vertical="center"/>
    </xf>
    <xf numFmtId="3" fontId="17" fillId="4" borderId="53" xfId="0" applyNumberFormat="1" applyFont="1" applyFill="1" applyBorder="1" applyAlignment="1">
      <alignment horizontal="center" vertical="center"/>
    </xf>
    <xf numFmtId="3" fontId="17" fillId="4" borderId="66" xfId="0" applyNumberFormat="1" applyFont="1" applyFill="1" applyBorder="1" applyAlignment="1">
      <alignment horizontal="center" vertical="center"/>
    </xf>
    <xf numFmtId="3" fontId="17" fillId="4" borderId="67" xfId="0" applyNumberFormat="1" applyFont="1" applyFill="1" applyBorder="1" applyAlignment="1">
      <alignment horizontal="center" vertical="center"/>
    </xf>
    <xf numFmtId="3" fontId="17" fillId="4" borderId="51" xfId="0" applyNumberFormat="1" applyFont="1" applyFill="1" applyBorder="1" applyAlignment="1">
      <alignment horizontal="center" vertical="center"/>
    </xf>
    <xf numFmtId="3" fontId="17" fillId="4" borderId="2" xfId="0" applyNumberFormat="1" applyFont="1" applyFill="1" applyBorder="1" applyAlignment="1">
      <alignment horizontal="center" vertical="center"/>
    </xf>
    <xf numFmtId="3" fontId="17" fillId="4" borderId="68" xfId="0" applyNumberFormat="1" applyFont="1" applyFill="1" applyBorder="1" applyAlignment="1">
      <alignment horizontal="center" vertical="center"/>
    </xf>
    <xf numFmtId="3" fontId="17" fillId="4" borderId="52" xfId="0" applyNumberFormat="1" applyFont="1" applyFill="1" applyBorder="1" applyAlignment="1">
      <alignment horizontal="center" vertical="center"/>
    </xf>
    <xf numFmtId="3" fontId="17" fillId="4" borderId="70" xfId="0" applyNumberFormat="1" applyFont="1" applyFill="1" applyBorder="1" applyAlignment="1">
      <alignment horizontal="center" vertical="center"/>
    </xf>
    <xf numFmtId="3" fontId="17" fillId="4" borderId="71" xfId="0" applyNumberFormat="1" applyFont="1" applyFill="1" applyBorder="1" applyAlignment="1">
      <alignment horizontal="center" vertical="center"/>
    </xf>
    <xf numFmtId="9" fontId="0" fillId="2" borderId="0" xfId="4" applyFont="1" applyFill="1"/>
    <xf numFmtId="3" fontId="16" fillId="21" borderId="66" xfId="0" applyNumberFormat="1" applyFont="1" applyFill="1" applyBorder="1" applyAlignment="1">
      <alignment horizontal="center" vertical="center"/>
    </xf>
    <xf numFmtId="3" fontId="16" fillId="21" borderId="67" xfId="0" applyNumberFormat="1" applyFont="1" applyFill="1" applyBorder="1" applyAlignment="1">
      <alignment horizontal="center" vertical="center"/>
    </xf>
    <xf numFmtId="3" fontId="16" fillId="21" borderId="51" xfId="0" applyNumberFormat="1" applyFont="1" applyFill="1" applyBorder="1" applyAlignment="1">
      <alignment horizontal="center" vertical="center"/>
    </xf>
    <xf numFmtId="3" fontId="16" fillId="21" borderId="2" xfId="0" applyNumberFormat="1" applyFont="1" applyFill="1" applyBorder="1" applyAlignment="1">
      <alignment horizontal="center" vertical="center"/>
    </xf>
    <xf numFmtId="3" fontId="16" fillId="21" borderId="68" xfId="0" applyNumberFormat="1" applyFont="1" applyFill="1" applyBorder="1" applyAlignment="1">
      <alignment horizontal="center" vertical="center"/>
    </xf>
    <xf numFmtId="3" fontId="16" fillId="21" borderId="52" xfId="0" applyNumberFormat="1" applyFont="1" applyFill="1" applyBorder="1" applyAlignment="1">
      <alignment horizontal="center" vertical="center"/>
    </xf>
    <xf numFmtId="3" fontId="16" fillId="21" borderId="70" xfId="0" applyNumberFormat="1" applyFont="1" applyFill="1" applyBorder="1" applyAlignment="1">
      <alignment horizontal="center" vertical="center"/>
    </xf>
    <xf numFmtId="3" fontId="16" fillId="21" borderId="71" xfId="0" applyNumberFormat="1" applyFont="1" applyFill="1" applyBorder="1" applyAlignment="1">
      <alignment horizontal="center" vertical="center"/>
    </xf>
    <xf numFmtId="3" fontId="23" fillId="21" borderId="53" xfId="0" applyNumberFormat="1" applyFont="1" applyFill="1" applyBorder="1" applyAlignment="1">
      <alignment horizontal="center" vertical="center"/>
    </xf>
    <xf numFmtId="3" fontId="23" fillId="21" borderId="66" xfId="0" applyNumberFormat="1" applyFont="1" applyFill="1" applyBorder="1" applyAlignment="1">
      <alignment horizontal="center" vertical="center"/>
    </xf>
    <xf numFmtId="3" fontId="23" fillId="21" borderId="67" xfId="0" applyNumberFormat="1" applyFont="1" applyFill="1" applyBorder="1" applyAlignment="1">
      <alignment horizontal="center" vertical="center"/>
    </xf>
    <xf numFmtId="3" fontId="23" fillId="21" borderId="51" xfId="0" applyNumberFormat="1" applyFont="1" applyFill="1" applyBorder="1" applyAlignment="1">
      <alignment horizontal="center" vertical="center"/>
    </xf>
    <xf numFmtId="3" fontId="23" fillId="21" borderId="2" xfId="0" applyNumberFormat="1" applyFont="1" applyFill="1" applyBorder="1" applyAlignment="1">
      <alignment horizontal="center" vertical="center"/>
    </xf>
    <xf numFmtId="3" fontId="23" fillId="21" borderId="68" xfId="0" applyNumberFormat="1" applyFont="1" applyFill="1" applyBorder="1" applyAlignment="1">
      <alignment horizontal="center" vertical="center"/>
    </xf>
    <xf numFmtId="3" fontId="23" fillId="21" borderId="57" xfId="0" applyNumberFormat="1" applyFont="1" applyFill="1" applyBorder="1" applyAlignment="1">
      <alignment horizontal="center" vertical="center"/>
    </xf>
    <xf numFmtId="3" fontId="23" fillId="21" borderId="36" xfId="0" applyNumberFormat="1" applyFont="1" applyFill="1" applyBorder="1" applyAlignment="1">
      <alignment horizontal="center" vertical="center"/>
    </xf>
    <xf numFmtId="3" fontId="23" fillId="21" borderId="73" xfId="0" applyNumberFormat="1" applyFont="1" applyFill="1" applyBorder="1" applyAlignment="1">
      <alignment horizontal="center" vertical="center"/>
    </xf>
    <xf numFmtId="3" fontId="23" fillId="21" borderId="50" xfId="0" applyNumberFormat="1" applyFont="1" applyFill="1" applyBorder="1" applyAlignment="1">
      <alignment horizontal="center" vertical="center"/>
    </xf>
    <xf numFmtId="3" fontId="23" fillId="21" borderId="35" xfId="0" applyNumberFormat="1" applyFont="1" applyFill="1" applyBorder="1" applyAlignment="1">
      <alignment horizontal="center" vertical="center"/>
    </xf>
    <xf numFmtId="3" fontId="23" fillId="21" borderId="74" xfId="0" applyNumberFormat="1" applyFont="1" applyFill="1" applyBorder="1" applyAlignment="1">
      <alignment horizontal="center" vertical="center"/>
    </xf>
    <xf numFmtId="3" fontId="23" fillId="21" borderId="56" xfId="0" applyNumberFormat="1" applyFont="1" applyFill="1" applyBorder="1" applyAlignment="1">
      <alignment horizontal="center" vertical="center"/>
    </xf>
    <xf numFmtId="3" fontId="23" fillId="21" borderId="19" xfId="0" applyNumberFormat="1" applyFont="1" applyFill="1" applyBorder="1" applyAlignment="1">
      <alignment horizontal="center" vertical="center"/>
    </xf>
    <xf numFmtId="3" fontId="23" fillId="21" borderId="72" xfId="0" applyNumberFormat="1" applyFont="1" applyFill="1" applyBorder="1" applyAlignment="1">
      <alignment horizontal="center" vertical="center"/>
    </xf>
    <xf numFmtId="3" fontId="23" fillId="21" borderId="52" xfId="0" applyNumberFormat="1" applyFont="1" applyFill="1" applyBorder="1" applyAlignment="1">
      <alignment horizontal="center" vertical="center"/>
    </xf>
    <xf numFmtId="3" fontId="23" fillId="21" borderId="70" xfId="0" applyNumberFormat="1" applyFont="1" applyFill="1" applyBorder="1" applyAlignment="1">
      <alignment horizontal="center" vertical="center"/>
    </xf>
    <xf numFmtId="3" fontId="23" fillId="21" borderId="71" xfId="0" applyNumberFormat="1" applyFont="1" applyFill="1" applyBorder="1" applyAlignment="1">
      <alignment horizontal="center" vertical="center"/>
    </xf>
    <xf numFmtId="3" fontId="24" fillId="4" borderId="53" xfId="0" applyNumberFormat="1" applyFont="1" applyFill="1" applyBorder="1" applyAlignment="1">
      <alignment horizontal="center" vertical="center"/>
    </xf>
    <xf numFmtId="3" fontId="24" fillId="4" borderId="66" xfId="0" applyNumberFormat="1" applyFont="1" applyFill="1" applyBorder="1" applyAlignment="1">
      <alignment horizontal="center" vertical="center"/>
    </xf>
    <xf numFmtId="3" fontId="24" fillId="4" borderId="67" xfId="0" applyNumberFormat="1" applyFont="1" applyFill="1" applyBorder="1" applyAlignment="1">
      <alignment horizontal="center" vertical="center"/>
    </xf>
    <xf numFmtId="3" fontId="24" fillId="4" borderId="51" xfId="0" applyNumberFormat="1" applyFont="1" applyFill="1" applyBorder="1" applyAlignment="1">
      <alignment horizontal="center" vertical="center"/>
    </xf>
    <xf numFmtId="3" fontId="24" fillId="4" borderId="2" xfId="0" applyNumberFormat="1" applyFont="1" applyFill="1" applyBorder="1" applyAlignment="1">
      <alignment horizontal="center" vertical="center"/>
    </xf>
    <xf numFmtId="3" fontId="24" fillId="4" borderId="68" xfId="0" applyNumberFormat="1" applyFont="1" applyFill="1" applyBorder="1" applyAlignment="1">
      <alignment horizontal="center" vertical="center"/>
    </xf>
    <xf numFmtId="3" fontId="24" fillId="4" borderId="57" xfId="0" applyNumberFormat="1" applyFont="1" applyFill="1" applyBorder="1" applyAlignment="1">
      <alignment horizontal="center" vertical="center"/>
    </xf>
    <xf numFmtId="3" fontId="24" fillId="4" borderId="36" xfId="0" applyNumberFormat="1" applyFont="1" applyFill="1" applyBorder="1" applyAlignment="1">
      <alignment horizontal="center" vertical="center"/>
    </xf>
    <xf numFmtId="3" fontId="24" fillId="4" borderId="73" xfId="0" applyNumberFormat="1" applyFont="1" applyFill="1" applyBorder="1" applyAlignment="1">
      <alignment horizontal="center" vertical="center"/>
    </xf>
    <xf numFmtId="3" fontId="24" fillId="4" borderId="50" xfId="0" applyNumberFormat="1" applyFont="1" applyFill="1" applyBorder="1" applyAlignment="1">
      <alignment horizontal="center" vertical="center"/>
    </xf>
    <xf numFmtId="3" fontId="24" fillId="4" borderId="35" xfId="0" applyNumberFormat="1" applyFont="1" applyFill="1" applyBorder="1" applyAlignment="1">
      <alignment horizontal="center" vertical="center"/>
    </xf>
    <xf numFmtId="3" fontId="24" fillId="4" borderId="74" xfId="0" applyNumberFormat="1" applyFont="1" applyFill="1" applyBorder="1" applyAlignment="1">
      <alignment horizontal="center" vertical="center"/>
    </xf>
    <xf numFmtId="3" fontId="24" fillId="4" borderId="56" xfId="0" applyNumberFormat="1" applyFont="1" applyFill="1" applyBorder="1" applyAlignment="1">
      <alignment horizontal="center" vertical="center"/>
    </xf>
    <xf numFmtId="3" fontId="24" fillId="4" borderId="19" xfId="0" applyNumberFormat="1" applyFont="1" applyFill="1" applyBorder="1" applyAlignment="1">
      <alignment horizontal="center" vertical="center"/>
    </xf>
    <xf numFmtId="3" fontId="24" fillId="4" borderId="72" xfId="0" applyNumberFormat="1" applyFont="1" applyFill="1" applyBorder="1" applyAlignment="1">
      <alignment horizontal="center" vertical="center"/>
    </xf>
    <xf numFmtId="3" fontId="24" fillId="4" borderId="52" xfId="0" applyNumberFormat="1" applyFont="1" applyFill="1" applyBorder="1" applyAlignment="1">
      <alignment horizontal="center" vertical="center"/>
    </xf>
    <xf numFmtId="3" fontId="24" fillId="4" borderId="70" xfId="0" applyNumberFormat="1" applyFont="1" applyFill="1" applyBorder="1" applyAlignment="1">
      <alignment horizontal="center" vertical="center"/>
    </xf>
    <xf numFmtId="3" fontId="24" fillId="4" borderId="71" xfId="0" applyNumberFormat="1" applyFont="1" applyFill="1" applyBorder="1" applyAlignment="1">
      <alignment horizontal="center" vertical="center"/>
    </xf>
    <xf numFmtId="0" fontId="0" fillId="4" borderId="20" xfId="0" applyFill="1" applyBorder="1" applyAlignment="1">
      <alignment horizontal="center"/>
    </xf>
    <xf numFmtId="166" fontId="0" fillId="4" borderId="20" xfId="0" applyNumberFormat="1" applyFill="1" applyBorder="1" applyAlignment="1">
      <alignment horizontal="center"/>
    </xf>
    <xf numFmtId="1" fontId="25" fillId="11" borderId="2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11" borderId="39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166" fontId="0" fillId="4" borderId="2" xfId="0" applyNumberFormat="1" applyFill="1" applyBorder="1" applyAlignment="1">
      <alignment horizontal="center" vertical="center"/>
    </xf>
    <xf numFmtId="0" fontId="0" fillId="11" borderId="79" xfId="0" applyFill="1" applyBorder="1"/>
    <xf numFmtId="0" fontId="0" fillId="11" borderId="0" xfId="0" applyFill="1" applyBorder="1"/>
    <xf numFmtId="49" fontId="0" fillId="11" borderId="0" xfId="0" applyNumberFormat="1" applyFill="1"/>
    <xf numFmtId="0" fontId="0" fillId="11" borderId="0" xfId="0" applyFill="1" applyAlignment="1">
      <alignment horizontal="center" vertical="center"/>
    </xf>
    <xf numFmtId="164" fontId="5" fillId="8" borderId="2" xfId="0" applyNumberFormat="1" applyFont="1" applyFill="1" applyBorder="1" applyAlignment="1">
      <alignment horizontal="left" vertical="center" wrapText="1"/>
    </xf>
    <xf numFmtId="0" fontId="0" fillId="9" borderId="0" xfId="0" applyFill="1"/>
    <xf numFmtId="0" fontId="0" fillId="23" borderId="0" xfId="0" applyFill="1"/>
    <xf numFmtId="0" fontId="0" fillId="2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8" borderId="79" xfId="0" applyFill="1" applyBorder="1"/>
    <xf numFmtId="167" fontId="0" fillId="0" borderId="0" xfId="3" applyNumberFormat="1" applyFont="1"/>
    <xf numFmtId="0" fontId="0" fillId="25" borderId="0" xfId="0" applyFill="1"/>
    <xf numFmtId="0" fontId="0" fillId="26" borderId="0" xfId="0" applyFill="1"/>
    <xf numFmtId="14" fontId="18" fillId="2" borderId="0" xfId="0" applyNumberFormat="1" applyFont="1" applyFill="1" applyAlignment="1"/>
    <xf numFmtId="9" fontId="0" fillId="2" borderId="0" xfId="4" applyFont="1" applyFill="1" applyAlignment="1">
      <alignment vertical="center"/>
    </xf>
    <xf numFmtId="3" fontId="16" fillId="5" borderId="66" xfId="0" applyNumberFormat="1" applyFont="1" applyFill="1" applyBorder="1" applyAlignment="1">
      <alignment horizontal="center" vertical="center"/>
    </xf>
    <xf numFmtId="3" fontId="16" fillId="5" borderId="67" xfId="0" applyNumberFormat="1" applyFont="1" applyFill="1" applyBorder="1" applyAlignment="1">
      <alignment horizontal="center" vertical="center"/>
    </xf>
    <xf numFmtId="3" fontId="16" fillId="5" borderId="51" xfId="0" applyNumberFormat="1" applyFont="1" applyFill="1" applyBorder="1" applyAlignment="1">
      <alignment horizontal="center" vertical="center"/>
    </xf>
    <xf numFmtId="3" fontId="16" fillId="5" borderId="2" xfId="0" applyNumberFormat="1" applyFont="1" applyFill="1" applyBorder="1" applyAlignment="1">
      <alignment horizontal="center" vertical="center"/>
    </xf>
    <xf numFmtId="3" fontId="16" fillId="5" borderId="68" xfId="0" applyNumberFormat="1" applyFont="1" applyFill="1" applyBorder="1" applyAlignment="1">
      <alignment horizontal="center" vertical="center"/>
    </xf>
    <xf numFmtId="3" fontId="16" fillId="5" borderId="52" xfId="0" applyNumberFormat="1" applyFont="1" applyFill="1" applyBorder="1" applyAlignment="1">
      <alignment horizontal="center" vertical="center"/>
    </xf>
    <xf numFmtId="3" fontId="16" fillId="5" borderId="70" xfId="0" applyNumberFormat="1" applyFont="1" applyFill="1" applyBorder="1" applyAlignment="1">
      <alignment horizontal="center" vertical="center"/>
    </xf>
    <xf numFmtId="3" fontId="16" fillId="5" borderId="71" xfId="0" applyNumberFormat="1" applyFont="1" applyFill="1" applyBorder="1" applyAlignment="1">
      <alignment horizontal="center" vertical="center"/>
    </xf>
    <xf numFmtId="3" fontId="23" fillId="5" borderId="53" xfId="0" applyNumberFormat="1" applyFont="1" applyFill="1" applyBorder="1" applyAlignment="1">
      <alignment horizontal="center" vertical="center"/>
    </xf>
    <xf numFmtId="3" fontId="23" fillId="5" borderId="66" xfId="0" applyNumberFormat="1" applyFont="1" applyFill="1" applyBorder="1" applyAlignment="1">
      <alignment horizontal="center" vertical="center"/>
    </xf>
    <xf numFmtId="3" fontId="23" fillId="5" borderId="67" xfId="0" applyNumberFormat="1" applyFont="1" applyFill="1" applyBorder="1" applyAlignment="1">
      <alignment horizontal="center" vertical="center"/>
    </xf>
    <xf numFmtId="3" fontId="23" fillId="5" borderId="51" xfId="0" applyNumberFormat="1" applyFont="1" applyFill="1" applyBorder="1" applyAlignment="1">
      <alignment horizontal="center" vertical="center"/>
    </xf>
    <xf numFmtId="3" fontId="23" fillId="5" borderId="2" xfId="0" applyNumberFormat="1" applyFont="1" applyFill="1" applyBorder="1" applyAlignment="1">
      <alignment horizontal="center" vertical="center"/>
    </xf>
    <xf numFmtId="3" fontId="23" fillId="5" borderId="68" xfId="0" applyNumberFormat="1" applyFont="1" applyFill="1" applyBorder="1" applyAlignment="1">
      <alignment horizontal="center" vertical="center"/>
    </xf>
    <xf numFmtId="3" fontId="23" fillId="5" borderId="57" xfId="0" applyNumberFormat="1" applyFont="1" applyFill="1" applyBorder="1" applyAlignment="1">
      <alignment horizontal="center" vertical="center"/>
    </xf>
    <xf numFmtId="3" fontId="23" fillId="5" borderId="36" xfId="0" applyNumberFormat="1" applyFont="1" applyFill="1" applyBorder="1" applyAlignment="1">
      <alignment horizontal="center" vertical="center"/>
    </xf>
    <xf numFmtId="3" fontId="23" fillId="5" borderId="73" xfId="0" applyNumberFormat="1" applyFont="1" applyFill="1" applyBorder="1" applyAlignment="1">
      <alignment horizontal="center" vertical="center"/>
    </xf>
    <xf numFmtId="3" fontId="23" fillId="5" borderId="50" xfId="0" applyNumberFormat="1" applyFont="1" applyFill="1" applyBorder="1" applyAlignment="1">
      <alignment horizontal="center" vertical="center"/>
    </xf>
    <xf numFmtId="3" fontId="23" fillId="5" borderId="35" xfId="0" applyNumberFormat="1" applyFont="1" applyFill="1" applyBorder="1" applyAlignment="1">
      <alignment horizontal="center" vertical="center"/>
    </xf>
    <xf numFmtId="3" fontId="23" fillId="5" borderId="74" xfId="0" applyNumberFormat="1" applyFont="1" applyFill="1" applyBorder="1" applyAlignment="1">
      <alignment horizontal="center" vertical="center"/>
    </xf>
    <xf numFmtId="3" fontId="23" fillId="5" borderId="56" xfId="0" applyNumberFormat="1" applyFont="1" applyFill="1" applyBorder="1" applyAlignment="1">
      <alignment horizontal="center" vertical="center"/>
    </xf>
    <xf numFmtId="3" fontId="23" fillId="5" borderId="19" xfId="0" applyNumberFormat="1" applyFont="1" applyFill="1" applyBorder="1" applyAlignment="1">
      <alignment horizontal="center" vertical="center"/>
    </xf>
    <xf numFmtId="3" fontId="23" fillId="5" borderId="72" xfId="0" applyNumberFormat="1" applyFont="1" applyFill="1" applyBorder="1" applyAlignment="1">
      <alignment horizontal="center" vertical="center"/>
    </xf>
    <xf numFmtId="3" fontId="23" fillId="5" borderId="52" xfId="0" applyNumberFormat="1" applyFont="1" applyFill="1" applyBorder="1" applyAlignment="1">
      <alignment horizontal="center" vertical="center"/>
    </xf>
    <xf numFmtId="3" fontId="23" fillId="5" borderId="70" xfId="0" applyNumberFormat="1" applyFont="1" applyFill="1" applyBorder="1" applyAlignment="1">
      <alignment horizontal="center" vertical="center"/>
    </xf>
    <xf numFmtId="3" fontId="23" fillId="5" borderId="71" xfId="0" applyNumberFormat="1" applyFont="1" applyFill="1" applyBorder="1" applyAlignment="1">
      <alignment horizontal="center" vertical="center"/>
    </xf>
    <xf numFmtId="9" fontId="26" fillId="22" borderId="53" xfId="4" applyFont="1" applyFill="1" applyBorder="1" applyAlignment="1">
      <alignment horizontal="center" vertical="center"/>
    </xf>
    <xf numFmtId="9" fontId="26" fillId="22" borderId="66" xfId="4" applyFont="1" applyFill="1" applyBorder="1" applyAlignment="1">
      <alignment horizontal="center" vertical="center"/>
    </xf>
    <xf numFmtId="9" fontId="26" fillId="22" borderId="67" xfId="4" applyFont="1" applyFill="1" applyBorder="1" applyAlignment="1">
      <alignment horizontal="center" vertical="center"/>
    </xf>
    <xf numFmtId="9" fontId="26" fillId="22" borderId="51" xfId="4" applyFont="1" applyFill="1" applyBorder="1" applyAlignment="1">
      <alignment horizontal="center" vertical="center"/>
    </xf>
    <xf numFmtId="9" fontId="26" fillId="22" borderId="2" xfId="4" applyFont="1" applyFill="1" applyBorder="1" applyAlignment="1">
      <alignment horizontal="center" vertical="center"/>
    </xf>
    <xf numFmtId="9" fontId="26" fillId="22" borderId="68" xfId="4" applyFont="1" applyFill="1" applyBorder="1" applyAlignment="1">
      <alignment horizontal="center" vertical="center"/>
    </xf>
    <xf numFmtId="9" fontId="26" fillId="22" borderId="52" xfId="4" applyFont="1" applyFill="1" applyBorder="1" applyAlignment="1">
      <alignment horizontal="center" vertical="center"/>
    </xf>
    <xf numFmtId="9" fontId="26" fillId="22" borderId="70" xfId="4" applyFont="1" applyFill="1" applyBorder="1" applyAlignment="1">
      <alignment horizontal="center" vertical="center"/>
    </xf>
    <xf numFmtId="9" fontId="26" fillId="22" borderId="71" xfId="4" applyFont="1" applyFill="1" applyBorder="1" applyAlignment="1">
      <alignment horizontal="center" vertical="center"/>
    </xf>
    <xf numFmtId="9" fontId="27" fillId="22" borderId="53" xfId="4" applyFont="1" applyFill="1" applyBorder="1" applyAlignment="1">
      <alignment horizontal="center" vertical="center"/>
    </xf>
    <xf numFmtId="9" fontId="27" fillId="22" borderId="66" xfId="4" applyFont="1" applyFill="1" applyBorder="1" applyAlignment="1">
      <alignment horizontal="center" vertical="center"/>
    </xf>
    <xf numFmtId="9" fontId="27" fillId="22" borderId="67" xfId="4" applyFont="1" applyFill="1" applyBorder="1" applyAlignment="1">
      <alignment horizontal="center" vertical="center"/>
    </xf>
    <xf numFmtId="9" fontId="27" fillId="22" borderId="51" xfId="4" applyFont="1" applyFill="1" applyBorder="1" applyAlignment="1">
      <alignment horizontal="center" vertical="center"/>
    </xf>
    <xf numFmtId="9" fontId="27" fillId="22" borderId="2" xfId="4" applyFont="1" applyFill="1" applyBorder="1" applyAlignment="1">
      <alignment horizontal="center" vertical="center"/>
    </xf>
    <xf numFmtId="9" fontId="27" fillId="22" borderId="68" xfId="4" applyFont="1" applyFill="1" applyBorder="1" applyAlignment="1">
      <alignment horizontal="center" vertical="center"/>
    </xf>
    <xf numFmtId="9" fontId="27" fillId="22" borderId="57" xfId="4" applyFont="1" applyFill="1" applyBorder="1" applyAlignment="1">
      <alignment horizontal="center" vertical="center"/>
    </xf>
    <xf numFmtId="9" fontId="27" fillId="22" borderId="36" xfId="4" applyFont="1" applyFill="1" applyBorder="1" applyAlignment="1">
      <alignment horizontal="center" vertical="center"/>
    </xf>
    <xf numFmtId="9" fontId="27" fillId="22" borderId="73" xfId="4" applyFont="1" applyFill="1" applyBorder="1" applyAlignment="1">
      <alignment horizontal="center" vertical="center"/>
    </xf>
    <xf numFmtId="9" fontId="27" fillId="22" borderId="50" xfId="4" applyFont="1" applyFill="1" applyBorder="1" applyAlignment="1">
      <alignment horizontal="center" vertical="center"/>
    </xf>
    <xf numFmtId="9" fontId="27" fillId="22" borderId="35" xfId="4" applyFont="1" applyFill="1" applyBorder="1" applyAlignment="1">
      <alignment horizontal="center" vertical="center"/>
    </xf>
    <xf numFmtId="9" fontId="27" fillId="22" borderId="74" xfId="4" applyFont="1" applyFill="1" applyBorder="1" applyAlignment="1">
      <alignment horizontal="center" vertical="center"/>
    </xf>
    <xf numFmtId="9" fontId="27" fillId="22" borderId="56" xfId="4" applyFont="1" applyFill="1" applyBorder="1" applyAlignment="1">
      <alignment horizontal="center" vertical="center"/>
    </xf>
    <xf numFmtId="9" fontId="27" fillId="22" borderId="19" xfId="4" applyFont="1" applyFill="1" applyBorder="1" applyAlignment="1">
      <alignment horizontal="center" vertical="center"/>
    </xf>
    <xf numFmtId="9" fontId="27" fillId="22" borderId="72" xfId="4" applyFont="1" applyFill="1" applyBorder="1" applyAlignment="1">
      <alignment horizontal="center" vertical="center"/>
    </xf>
    <xf numFmtId="9" fontId="27" fillId="22" borderId="52" xfId="4" applyFont="1" applyFill="1" applyBorder="1" applyAlignment="1">
      <alignment horizontal="center" vertical="center"/>
    </xf>
    <xf numFmtId="9" fontId="27" fillId="22" borderId="70" xfId="4" applyFont="1" applyFill="1" applyBorder="1" applyAlignment="1">
      <alignment horizontal="center" vertical="center"/>
    </xf>
    <xf numFmtId="9" fontId="27" fillId="22" borderId="71" xfId="4" applyFont="1" applyFill="1" applyBorder="1" applyAlignment="1">
      <alignment horizontal="center" vertical="center"/>
    </xf>
    <xf numFmtId="0" fontId="19" fillId="16" borderId="38" xfId="0" applyFont="1" applyFill="1" applyBorder="1" applyAlignment="1">
      <alignment horizontal="center"/>
    </xf>
    <xf numFmtId="0" fontId="0" fillId="17" borderId="39" xfId="0" applyFill="1" applyBorder="1"/>
    <xf numFmtId="0" fontId="0" fillId="0" borderId="44" xfId="0" applyBorder="1"/>
    <xf numFmtId="0" fontId="19" fillId="16" borderId="89" xfId="0" applyFont="1" applyFill="1" applyBorder="1" applyAlignment="1">
      <alignment horizontal="center"/>
    </xf>
    <xf numFmtId="0" fontId="0" fillId="0" borderId="90" xfId="0" applyBorder="1"/>
    <xf numFmtId="0" fontId="19" fillId="10" borderId="89" xfId="0" applyFont="1" applyFill="1" applyBorder="1" applyAlignment="1">
      <alignment horizontal="center"/>
    </xf>
    <xf numFmtId="0" fontId="19" fillId="13" borderId="89" xfId="0" applyFont="1" applyFill="1" applyBorder="1" applyAlignment="1">
      <alignment horizontal="center"/>
    </xf>
    <xf numFmtId="0" fontId="19" fillId="19" borderId="89" xfId="0" applyFont="1" applyFill="1" applyBorder="1" applyAlignment="1">
      <alignment horizontal="center"/>
    </xf>
    <xf numFmtId="0" fontId="19" fillId="19" borderId="91" xfId="0" applyFont="1" applyFill="1" applyBorder="1" applyAlignment="1">
      <alignment horizontal="center"/>
    </xf>
    <xf numFmtId="0" fontId="0" fillId="0" borderId="92" xfId="0" applyBorder="1"/>
    <xf numFmtId="0" fontId="0" fillId="0" borderId="93" xfId="0" applyBorder="1"/>
    <xf numFmtId="3" fontId="17" fillId="11" borderId="66" xfId="0" applyNumberFormat="1" applyFont="1" applyFill="1" applyBorder="1" applyAlignment="1">
      <alignment horizontal="center" vertical="center"/>
    </xf>
    <xf numFmtId="3" fontId="17" fillId="11" borderId="2" xfId="0" applyNumberFormat="1" applyFont="1" applyFill="1" applyBorder="1" applyAlignment="1">
      <alignment horizontal="center" vertical="center"/>
    </xf>
    <xf numFmtId="3" fontId="17" fillId="11" borderId="70" xfId="0" applyNumberFormat="1" applyFont="1" applyFill="1" applyBorder="1" applyAlignment="1">
      <alignment horizontal="center" vertical="center"/>
    </xf>
    <xf numFmtId="9" fontId="26" fillId="22" borderId="66" xfId="3" applyNumberFormat="1" applyFont="1" applyFill="1" applyBorder="1" applyAlignment="1">
      <alignment horizontal="center" vertical="center"/>
    </xf>
    <xf numFmtId="9" fontId="26" fillId="22" borderId="2" xfId="3" applyNumberFormat="1" applyFont="1" applyFill="1" applyBorder="1" applyAlignment="1">
      <alignment horizontal="center" vertical="center"/>
    </xf>
    <xf numFmtId="9" fontId="26" fillId="22" borderId="70" xfId="3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14" fontId="18" fillId="2" borderId="0" xfId="0" applyNumberFormat="1" applyFont="1" applyFill="1" applyAlignment="1">
      <alignment horizontal="center"/>
    </xf>
    <xf numFmtId="14" fontId="16" fillId="5" borderId="54" xfId="0" applyNumberFormat="1" applyFont="1" applyFill="1" applyBorder="1" applyAlignment="1">
      <alignment horizontal="center" vertical="center"/>
    </xf>
    <xf numFmtId="0" fontId="21" fillId="20" borderId="55" xfId="0" quotePrefix="1" applyFont="1" applyFill="1" applyBorder="1" applyAlignment="1">
      <alignment horizontal="center" vertical="center"/>
    </xf>
    <xf numFmtId="0" fontId="16" fillId="3" borderId="94" xfId="3" applyNumberFormat="1" applyFont="1" applyFill="1" applyBorder="1" applyAlignment="1">
      <alignment horizontal="center" vertical="center"/>
    </xf>
    <xf numFmtId="0" fontId="16" fillId="3" borderId="20" xfId="3" applyNumberFormat="1" applyFont="1" applyFill="1" applyBorder="1" applyAlignment="1">
      <alignment horizontal="center" vertical="center"/>
    </xf>
    <xf numFmtId="0" fontId="16" fillId="3" borderId="95" xfId="3" applyNumberFormat="1" applyFont="1" applyFill="1" applyBorder="1" applyAlignment="1">
      <alignment horizontal="center" vertical="center"/>
    </xf>
    <xf numFmtId="9" fontId="26" fillId="22" borderId="47" xfId="4" applyFont="1" applyFill="1" applyBorder="1" applyAlignment="1">
      <alignment horizontal="center" vertical="center"/>
    </xf>
    <xf numFmtId="9" fontId="26" fillId="22" borderId="1" xfId="4" applyFont="1" applyFill="1" applyBorder="1" applyAlignment="1">
      <alignment horizontal="center" vertical="center"/>
    </xf>
    <xf numFmtId="9" fontId="26" fillId="22" borderId="1" xfId="3" applyNumberFormat="1" applyFont="1" applyFill="1" applyBorder="1" applyAlignment="1">
      <alignment horizontal="center" vertical="center"/>
    </xf>
    <xf numFmtId="9" fontId="26" fillId="22" borderId="97" xfId="4" applyFont="1" applyFill="1" applyBorder="1" applyAlignment="1">
      <alignment horizontal="center" vertical="center"/>
    </xf>
    <xf numFmtId="9" fontId="0" fillId="2" borderId="0" xfId="4" applyNumberFormat="1" applyFont="1" applyFill="1" applyAlignment="1">
      <alignment vertical="center"/>
    </xf>
    <xf numFmtId="14" fontId="18" fillId="2" borderId="0" xfId="0" applyNumberFormat="1" applyFont="1" applyFill="1" applyAlignment="1">
      <alignment horizontal="center"/>
    </xf>
    <xf numFmtId="14" fontId="16" fillId="5" borderId="63" xfId="0" applyNumberFormat="1" applyFont="1" applyFill="1" applyBorder="1" applyAlignment="1">
      <alignment horizontal="center" vertical="center"/>
    </xf>
    <xf numFmtId="14" fontId="16" fillId="5" borderId="64" xfId="0" applyNumberFormat="1" applyFont="1" applyFill="1" applyBorder="1" applyAlignment="1">
      <alignment horizontal="center" vertical="center"/>
    </xf>
    <xf numFmtId="14" fontId="16" fillId="5" borderId="69" xfId="0" applyNumberFormat="1" applyFont="1" applyFill="1" applyBorder="1" applyAlignment="1">
      <alignment horizontal="center" vertical="center"/>
    </xf>
    <xf numFmtId="14" fontId="16" fillId="5" borderId="45" xfId="0" applyNumberFormat="1" applyFont="1" applyFill="1" applyBorder="1" applyAlignment="1">
      <alignment horizontal="center" vertical="center"/>
    </xf>
    <xf numFmtId="14" fontId="16" fillId="5" borderId="96" xfId="0" applyNumberFormat="1" applyFont="1" applyFill="1" applyBorder="1" applyAlignment="1">
      <alignment horizontal="center" vertical="center"/>
    </xf>
    <xf numFmtId="14" fontId="16" fillId="5" borderId="48" xfId="0" applyNumberFormat="1" applyFont="1" applyFill="1" applyBorder="1" applyAlignment="1">
      <alignment horizontal="center" vertical="center"/>
    </xf>
    <xf numFmtId="1" fontId="8" fillId="3" borderId="83" xfId="0" applyNumberFormat="1" applyFont="1" applyFill="1" applyBorder="1" applyAlignment="1">
      <alignment horizontal="center" vertical="center"/>
    </xf>
    <xf numFmtId="1" fontId="8" fillId="3" borderId="84" xfId="0" applyNumberFormat="1" applyFont="1" applyFill="1" applyBorder="1" applyAlignment="1">
      <alignment horizontal="center" vertical="center"/>
    </xf>
    <xf numFmtId="1" fontId="8" fillId="3" borderId="85" xfId="0" applyNumberFormat="1" applyFont="1" applyFill="1" applyBorder="1" applyAlignment="1">
      <alignment horizontal="center" vertical="center"/>
    </xf>
    <xf numFmtId="165" fontId="6" fillId="7" borderId="21" xfId="1" applyNumberFormat="1" applyFont="1" applyFill="1" applyBorder="1" applyAlignment="1">
      <alignment horizontal="center" vertical="center" wrapText="1"/>
    </xf>
    <xf numFmtId="165" fontId="6" fillId="7" borderId="24" xfId="1" applyNumberFormat="1" applyFont="1" applyFill="1" applyBorder="1" applyAlignment="1">
      <alignment horizontal="center" vertical="center" wrapText="1"/>
    </xf>
    <xf numFmtId="0" fontId="6" fillId="7" borderId="23" xfId="1" applyFont="1" applyFill="1" applyBorder="1" applyAlignment="1">
      <alignment horizontal="center" vertical="center" wrapText="1"/>
    </xf>
    <xf numFmtId="0" fontId="6" fillId="7" borderId="25" xfId="1" applyFont="1" applyFill="1" applyBorder="1" applyAlignment="1">
      <alignment horizontal="center" vertical="center" wrapText="1"/>
    </xf>
    <xf numFmtId="1" fontId="8" fillId="3" borderId="59" xfId="0" applyNumberFormat="1" applyFont="1" applyFill="1" applyBorder="1" applyAlignment="1">
      <alignment horizontal="center" vertical="center"/>
    </xf>
    <xf numFmtId="1" fontId="8" fillId="3" borderId="0" xfId="0" applyNumberFormat="1" applyFont="1" applyFill="1" applyBorder="1" applyAlignment="1">
      <alignment horizontal="center" vertical="center"/>
    </xf>
    <xf numFmtId="1" fontId="8" fillId="3" borderId="21" xfId="0" applyNumberFormat="1" applyFont="1" applyFill="1" applyBorder="1" applyAlignment="1">
      <alignment horizontal="center" vertical="center"/>
    </xf>
    <xf numFmtId="1" fontId="8" fillId="3" borderId="22" xfId="0" applyNumberFormat="1" applyFont="1" applyFill="1" applyBorder="1" applyAlignment="1">
      <alignment horizontal="center" vertical="center"/>
    </xf>
    <xf numFmtId="1" fontId="8" fillId="3" borderId="23" xfId="0" applyNumberFormat="1" applyFont="1" applyFill="1" applyBorder="1" applyAlignment="1">
      <alignment horizontal="center" vertical="center"/>
    </xf>
    <xf numFmtId="1" fontId="8" fillId="3" borderId="29" xfId="0" applyNumberFormat="1" applyFont="1" applyFill="1" applyBorder="1" applyAlignment="1">
      <alignment horizontal="center" vertical="center"/>
    </xf>
    <xf numFmtId="1" fontId="8" fillId="3" borderId="35" xfId="0" applyNumberFormat="1" applyFont="1" applyFill="1" applyBorder="1" applyAlignment="1">
      <alignment horizontal="center" vertical="center"/>
    </xf>
    <xf numFmtId="1" fontId="8" fillId="3" borderId="30" xfId="0" applyNumberFormat="1" applyFont="1" applyFill="1" applyBorder="1" applyAlignment="1">
      <alignment horizontal="center" vertical="center"/>
    </xf>
    <xf numFmtId="1" fontId="5" fillId="3" borderId="60" xfId="0" applyNumberFormat="1" applyFont="1" applyFill="1" applyBorder="1" applyAlignment="1">
      <alignment horizontal="center" vertical="center"/>
    </xf>
    <xf numFmtId="1" fontId="5" fillId="3" borderId="61" xfId="0" applyNumberFormat="1" applyFont="1" applyFill="1" applyBorder="1" applyAlignment="1">
      <alignment horizontal="center" vertical="center"/>
    </xf>
    <xf numFmtId="1" fontId="5" fillId="3" borderId="62" xfId="0" applyNumberFormat="1" applyFont="1" applyFill="1" applyBorder="1" applyAlignment="1">
      <alignment horizontal="center" vertical="center"/>
    </xf>
    <xf numFmtId="1" fontId="8" fillId="3" borderId="16" xfId="0" applyNumberFormat="1" applyFont="1" applyFill="1" applyBorder="1" applyAlignment="1">
      <alignment horizontal="center" vertical="center"/>
    </xf>
    <xf numFmtId="1" fontId="8" fillId="3" borderId="17" xfId="0" applyNumberFormat="1" applyFont="1" applyFill="1" applyBorder="1" applyAlignment="1">
      <alignment horizontal="center" vertical="center"/>
    </xf>
    <xf numFmtId="1" fontId="8" fillId="3" borderId="18" xfId="0" applyNumberFormat="1" applyFont="1" applyFill="1" applyBorder="1" applyAlignment="1">
      <alignment horizontal="center" vertical="center"/>
    </xf>
    <xf numFmtId="1" fontId="8" fillId="3" borderId="31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1" fontId="8" fillId="3" borderId="32" xfId="0" applyNumberFormat="1" applyFont="1" applyFill="1" applyBorder="1" applyAlignment="1">
      <alignment horizontal="center" vertical="center"/>
    </xf>
    <xf numFmtId="1" fontId="8" fillId="3" borderId="3" xfId="0" applyNumberFormat="1" applyFont="1" applyFill="1" applyBorder="1" applyAlignment="1">
      <alignment horizontal="center" vertical="center"/>
    </xf>
    <xf numFmtId="1" fontId="8" fillId="3" borderId="4" xfId="0" applyNumberFormat="1" applyFont="1" applyFill="1" applyBorder="1" applyAlignment="1">
      <alignment horizontal="center" vertical="center"/>
    </xf>
    <xf numFmtId="1" fontId="8" fillId="3" borderId="5" xfId="0" applyNumberFormat="1" applyFont="1" applyFill="1" applyBorder="1" applyAlignment="1">
      <alignment horizontal="center" vertical="center"/>
    </xf>
    <xf numFmtId="1" fontId="8" fillId="3" borderId="13" xfId="0" applyNumberFormat="1" applyFont="1" applyFill="1" applyBorder="1" applyAlignment="1">
      <alignment horizontal="center" vertical="center"/>
    </xf>
    <xf numFmtId="1" fontId="8" fillId="3" borderId="14" xfId="0" applyNumberFormat="1" applyFont="1" applyFill="1" applyBorder="1" applyAlignment="1">
      <alignment horizontal="center" vertical="center"/>
    </xf>
    <xf numFmtId="1" fontId="8" fillId="3" borderId="15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6">
    <cellStyle name="Normal" xfId="0" builtinId="0"/>
    <cellStyle name="Normal 2" xfId="1"/>
    <cellStyle name="Porcentagem" xfId="4" builtinId="5"/>
    <cellStyle name="Porcentagem 2" xfId="2"/>
    <cellStyle name="Vírgula" xfId="3" builtinId="3"/>
    <cellStyle name="Vírgula 2 3" xfId="5"/>
  </cellStyles>
  <dxfs count="0"/>
  <tableStyles count="0" defaultTableStyle="TableStyleMedium2" defaultPivotStyle="PivotStyleLight16"/>
  <colors>
    <mruColors>
      <color rgb="FF58267E"/>
      <color rgb="FFBA8CD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</c:v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#REF!</c:f>
              <c:numCache>
                <c:formatCode>#,##0</c:formatCode>
                <c:ptCount val="12"/>
                <c:pt idx="0">
                  <c:v>55969.998000000014</c:v>
                </c:pt>
                <c:pt idx="1">
                  <c:v>58559.566199999994</c:v>
                </c:pt>
                <c:pt idx="2">
                  <c:v>54678.837100000012</c:v>
                </c:pt>
                <c:pt idx="3">
                  <c:v>41444.549099999989</c:v>
                </c:pt>
                <c:pt idx="4">
                  <c:v>29905.362999999998</c:v>
                </c:pt>
                <c:pt idx="5">
                  <c:v>25533.5946</c:v>
                </c:pt>
                <c:pt idx="6">
                  <c:v>21182.232399999994</c:v>
                </c:pt>
                <c:pt idx="7">
                  <c:v>17684.899400000002</c:v>
                </c:pt>
                <c:pt idx="8">
                  <c:v>17543.204699999995</c:v>
                </c:pt>
                <c:pt idx="9">
                  <c:v>21105.841300000007</c:v>
                </c:pt>
                <c:pt idx="10">
                  <c:v>26987.522399999994</c:v>
                </c:pt>
                <c:pt idx="11">
                  <c:v>40922.817500000005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Resumo!$M$2</c:f>
              <c:strCache>
                <c:ptCount val="1"/>
                <c:pt idx="0">
                  <c:v>base</c:v>
                </c:pt>
              </c:strCache>
            </c:strRef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Resumo!$N$2:$Y$2</c:f>
              <c:numCache>
                <c:formatCode>General</c:formatCode>
                <c:ptCount val="12"/>
                <c:pt idx="0">
                  <c:v>55969.998000000014</c:v>
                </c:pt>
                <c:pt idx="1">
                  <c:v>58559.566199999994</c:v>
                </c:pt>
                <c:pt idx="2">
                  <c:v>54678.837100000012</c:v>
                </c:pt>
                <c:pt idx="3">
                  <c:v>41444.549099999989</c:v>
                </c:pt>
                <c:pt idx="4">
                  <c:v>29905.362999999998</c:v>
                </c:pt>
                <c:pt idx="5">
                  <c:v>25533.5946</c:v>
                </c:pt>
                <c:pt idx="6">
                  <c:v>21182.232399999994</c:v>
                </c:pt>
                <c:pt idx="7">
                  <c:v>17684.899400000002</c:v>
                </c:pt>
                <c:pt idx="8">
                  <c:v>17543.204699999995</c:v>
                </c:pt>
                <c:pt idx="9">
                  <c:v>21105.841300000007</c:v>
                </c:pt>
                <c:pt idx="10">
                  <c:v>26987.522399999994</c:v>
                </c:pt>
                <c:pt idx="11">
                  <c:v>40922.817500000005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032704"/>
        <c:axId val="714758336"/>
      </c:lineChart>
      <c:catAx>
        <c:axId val="681032704"/>
        <c:scaling>
          <c:orientation val="minMax"/>
        </c:scaling>
        <c:delete val="0"/>
        <c:axPos val="b"/>
        <c:majorTickMark val="out"/>
        <c:minorTickMark val="none"/>
        <c:tickLblPos val="nextTo"/>
        <c:crossAx val="714758336"/>
        <c:crosses val="autoZero"/>
        <c:auto val="1"/>
        <c:lblAlgn val="ctr"/>
        <c:lblOffset val="100"/>
        <c:noMultiLvlLbl val="0"/>
      </c:catAx>
      <c:valAx>
        <c:axId val="71475833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681032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</c:v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#REF!</c:f>
              <c:numCache>
                <c:formatCode>#,##0</c:formatCode>
                <c:ptCount val="12"/>
                <c:pt idx="0">
                  <c:v>7270.8217999999997</c:v>
                </c:pt>
                <c:pt idx="1">
                  <c:v>8348.9972999999991</c:v>
                </c:pt>
                <c:pt idx="2">
                  <c:v>6999.5530000000008</c:v>
                </c:pt>
                <c:pt idx="3">
                  <c:v>6584.4034999999994</c:v>
                </c:pt>
                <c:pt idx="4">
                  <c:v>8561.4878000000008</c:v>
                </c:pt>
                <c:pt idx="5">
                  <c:v>9931.4465000000018</c:v>
                </c:pt>
                <c:pt idx="6">
                  <c:v>10917.3685</c:v>
                </c:pt>
                <c:pt idx="7">
                  <c:v>10323.0345</c:v>
                </c:pt>
                <c:pt idx="8">
                  <c:v>11997.3441</c:v>
                </c:pt>
                <c:pt idx="9">
                  <c:v>13254.0923</c:v>
                </c:pt>
                <c:pt idx="10">
                  <c:v>9357.5785999999989</c:v>
                </c:pt>
                <c:pt idx="11">
                  <c:v>7381.5131000000001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Resumo!$M$3</c:f>
              <c:strCache>
                <c:ptCount val="1"/>
                <c:pt idx="0">
                  <c:v>base</c:v>
                </c:pt>
              </c:strCache>
            </c:strRef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Resumo!$N$3:$Y$3</c:f>
              <c:numCache>
                <c:formatCode>General</c:formatCode>
                <c:ptCount val="12"/>
                <c:pt idx="0">
                  <c:v>7270.8217999999997</c:v>
                </c:pt>
                <c:pt idx="1">
                  <c:v>8348.9972999999991</c:v>
                </c:pt>
                <c:pt idx="2">
                  <c:v>6999.5530000000008</c:v>
                </c:pt>
                <c:pt idx="3">
                  <c:v>6584.4034999999994</c:v>
                </c:pt>
                <c:pt idx="4">
                  <c:v>8561.4878000000008</c:v>
                </c:pt>
                <c:pt idx="5">
                  <c:v>9931.4465000000018</c:v>
                </c:pt>
                <c:pt idx="6">
                  <c:v>10917.3685</c:v>
                </c:pt>
                <c:pt idx="7">
                  <c:v>10323.0345</c:v>
                </c:pt>
                <c:pt idx="8">
                  <c:v>11997.3441</c:v>
                </c:pt>
                <c:pt idx="9">
                  <c:v>13254.0923</c:v>
                </c:pt>
                <c:pt idx="10">
                  <c:v>9357.5785999999989</c:v>
                </c:pt>
                <c:pt idx="11">
                  <c:v>7381.5131000000001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78432"/>
        <c:axId val="750551040"/>
      </c:lineChart>
      <c:catAx>
        <c:axId val="685778432"/>
        <c:scaling>
          <c:orientation val="minMax"/>
        </c:scaling>
        <c:delete val="0"/>
        <c:axPos val="b"/>
        <c:majorTickMark val="out"/>
        <c:minorTickMark val="none"/>
        <c:tickLblPos val="nextTo"/>
        <c:crossAx val="750551040"/>
        <c:crosses val="autoZero"/>
        <c:auto val="1"/>
        <c:lblAlgn val="ctr"/>
        <c:lblOffset val="100"/>
        <c:noMultiLvlLbl val="0"/>
      </c:catAx>
      <c:valAx>
        <c:axId val="7505510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68577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</c:v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#REF!</c:f>
              <c:numCache>
                <c:formatCode>#,##0</c:formatCode>
                <c:ptCount val="12"/>
                <c:pt idx="0">
                  <c:v>14160.132399999999</c:v>
                </c:pt>
                <c:pt idx="1">
                  <c:v>14892.4866</c:v>
                </c:pt>
                <c:pt idx="2">
                  <c:v>14829.474099999998</c:v>
                </c:pt>
                <c:pt idx="3">
                  <c:v>12073.456300000002</c:v>
                </c:pt>
                <c:pt idx="4">
                  <c:v>7313.483400000001</c:v>
                </c:pt>
                <c:pt idx="5">
                  <c:v>4824.5924000000014</c:v>
                </c:pt>
                <c:pt idx="6">
                  <c:v>3973.5953999999997</c:v>
                </c:pt>
                <c:pt idx="7">
                  <c:v>3461.5191</c:v>
                </c:pt>
                <c:pt idx="8">
                  <c:v>3095.0844999999999</c:v>
                </c:pt>
                <c:pt idx="9">
                  <c:v>3392.4041999999999</c:v>
                </c:pt>
                <c:pt idx="10">
                  <c:v>5552.6243000000004</c:v>
                </c:pt>
                <c:pt idx="11">
                  <c:v>10210.5905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Resumo!$M$4</c:f>
              <c:strCache>
                <c:ptCount val="1"/>
                <c:pt idx="0">
                  <c:v>base</c:v>
                </c:pt>
              </c:strCache>
            </c:strRef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Resumo!$N$4:$Y$4</c:f>
              <c:numCache>
                <c:formatCode>General</c:formatCode>
                <c:ptCount val="12"/>
                <c:pt idx="0">
                  <c:v>14160.132399999999</c:v>
                </c:pt>
                <c:pt idx="1">
                  <c:v>14892.4866</c:v>
                </c:pt>
                <c:pt idx="2">
                  <c:v>14829.474099999998</c:v>
                </c:pt>
                <c:pt idx="3">
                  <c:v>12073.456300000002</c:v>
                </c:pt>
                <c:pt idx="4">
                  <c:v>7313.483400000001</c:v>
                </c:pt>
                <c:pt idx="5">
                  <c:v>4824.5924000000014</c:v>
                </c:pt>
                <c:pt idx="6">
                  <c:v>3973.5953999999997</c:v>
                </c:pt>
                <c:pt idx="7">
                  <c:v>3461.5191</c:v>
                </c:pt>
                <c:pt idx="8">
                  <c:v>3095.0844999999999</c:v>
                </c:pt>
                <c:pt idx="9">
                  <c:v>3392.4041999999999</c:v>
                </c:pt>
                <c:pt idx="10">
                  <c:v>5552.6243000000004</c:v>
                </c:pt>
                <c:pt idx="11">
                  <c:v>10210.5905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79456"/>
        <c:axId val="750552768"/>
      </c:lineChart>
      <c:catAx>
        <c:axId val="685779456"/>
        <c:scaling>
          <c:orientation val="minMax"/>
        </c:scaling>
        <c:delete val="0"/>
        <c:axPos val="b"/>
        <c:majorTickMark val="out"/>
        <c:minorTickMark val="none"/>
        <c:tickLblPos val="nextTo"/>
        <c:crossAx val="750552768"/>
        <c:crosses val="autoZero"/>
        <c:auto val="1"/>
        <c:lblAlgn val="ctr"/>
        <c:lblOffset val="100"/>
        <c:noMultiLvlLbl val="0"/>
      </c:catAx>
      <c:valAx>
        <c:axId val="75055276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685779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</c:v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#REF!</c:f>
              <c:numCache>
                <c:formatCode>#,##0</c:formatCode>
                <c:ptCount val="12"/>
                <c:pt idx="0">
                  <c:v>10037.978899999998</c:v>
                </c:pt>
                <c:pt idx="1">
                  <c:v>13475.824000000001</c:v>
                </c:pt>
                <c:pt idx="2">
                  <c:v>15677.231500000002</c:v>
                </c:pt>
                <c:pt idx="3">
                  <c:v>15615.0532</c:v>
                </c:pt>
                <c:pt idx="4">
                  <c:v>10498.321900000003</c:v>
                </c:pt>
                <c:pt idx="5">
                  <c:v>5478.1198000000004</c:v>
                </c:pt>
                <c:pt idx="6">
                  <c:v>3334.5636999999997</c:v>
                </c:pt>
                <c:pt idx="7">
                  <c:v>2337.0961000000002</c:v>
                </c:pt>
                <c:pt idx="8">
                  <c:v>1807.1817000000001</c:v>
                </c:pt>
                <c:pt idx="9">
                  <c:v>1932.0153</c:v>
                </c:pt>
                <c:pt idx="10">
                  <c:v>3065.3700000000008</c:v>
                </c:pt>
                <c:pt idx="11">
                  <c:v>5855.4626000000007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Resumo!$M$5</c:f>
              <c:strCache>
                <c:ptCount val="1"/>
                <c:pt idx="0">
                  <c:v>base</c:v>
                </c:pt>
              </c:strCache>
            </c:strRef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Resumo!$N$5:$Y$5</c:f>
              <c:numCache>
                <c:formatCode>General</c:formatCode>
                <c:ptCount val="12"/>
                <c:pt idx="0">
                  <c:v>10037.978899999998</c:v>
                </c:pt>
                <c:pt idx="1">
                  <c:v>13475.824000000001</c:v>
                </c:pt>
                <c:pt idx="2">
                  <c:v>15677.231500000002</c:v>
                </c:pt>
                <c:pt idx="3">
                  <c:v>15615.0532</c:v>
                </c:pt>
                <c:pt idx="4">
                  <c:v>10498.321900000003</c:v>
                </c:pt>
                <c:pt idx="5">
                  <c:v>5478.1198000000004</c:v>
                </c:pt>
                <c:pt idx="6">
                  <c:v>3334.5636999999997</c:v>
                </c:pt>
                <c:pt idx="7">
                  <c:v>2337.0961000000002</c:v>
                </c:pt>
                <c:pt idx="8">
                  <c:v>1807.1817000000001</c:v>
                </c:pt>
                <c:pt idx="9">
                  <c:v>1932.0153</c:v>
                </c:pt>
                <c:pt idx="10">
                  <c:v>3065.3700000000008</c:v>
                </c:pt>
                <c:pt idx="11">
                  <c:v>5855.4626000000007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79968"/>
        <c:axId val="750554496"/>
      </c:lineChart>
      <c:catAx>
        <c:axId val="685779968"/>
        <c:scaling>
          <c:orientation val="minMax"/>
        </c:scaling>
        <c:delete val="0"/>
        <c:axPos val="b"/>
        <c:majorTickMark val="out"/>
        <c:minorTickMark val="none"/>
        <c:tickLblPos val="nextTo"/>
        <c:crossAx val="750554496"/>
        <c:crosses val="autoZero"/>
        <c:auto val="1"/>
        <c:lblAlgn val="ctr"/>
        <c:lblOffset val="100"/>
        <c:noMultiLvlLbl val="0"/>
      </c:catAx>
      <c:valAx>
        <c:axId val="75055449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685779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14287</xdr:rowOff>
    </xdr:from>
    <xdr:to>
      <xdr:col>10</xdr:col>
      <xdr:colOff>552450</xdr:colOff>
      <xdr:row>15</xdr:row>
      <xdr:rowOff>90487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15</xdr:row>
      <xdr:rowOff>114300</xdr:rowOff>
    </xdr:from>
    <xdr:to>
      <xdr:col>10</xdr:col>
      <xdr:colOff>552450</xdr:colOff>
      <xdr:row>30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247650</xdr:colOff>
      <xdr:row>30</xdr:row>
      <xdr:rowOff>19050</xdr:rowOff>
    </xdr:from>
    <xdr:to>
      <xdr:col>10</xdr:col>
      <xdr:colOff>561975</xdr:colOff>
      <xdr:row>44</xdr:row>
      <xdr:rowOff>95250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228600</xdr:colOff>
      <xdr:row>44</xdr:row>
      <xdr:rowOff>123825</xdr:rowOff>
    </xdr:from>
    <xdr:to>
      <xdr:col>10</xdr:col>
      <xdr:colOff>542925</xdr:colOff>
      <xdr:row>59</xdr:row>
      <xdr:rowOff>9525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161925</xdr:rowOff>
        </xdr:from>
        <xdr:to>
          <xdr:col>1</xdr:col>
          <xdr:colOff>771525</xdr:colOff>
          <xdr:row>12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161925</xdr:rowOff>
        </xdr:from>
        <xdr:to>
          <xdr:col>3</xdr:col>
          <xdr:colOff>0</xdr:colOff>
          <xdr:row>12</xdr:row>
          <xdr:rowOff>133350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Prevs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</xdr:colOff>
      <xdr:row>9</xdr:row>
      <xdr:rowOff>161926</xdr:rowOff>
    </xdr:from>
    <xdr:to>
      <xdr:col>6</xdr:col>
      <xdr:colOff>590550</xdr:colOff>
      <xdr:row>12</xdr:row>
      <xdr:rowOff>9526</xdr:rowOff>
    </xdr:to>
    <xdr:sp macro="" textlink="">
      <xdr:nvSpPr>
        <xdr:cNvPr id="4" name="_ActiveXWrapper1" hidden="1">
          <a:extLst>
            <a:ext uri="{63B3BB69-23CF-44E3-9099-C40C66FF867C}">
              <a14:compatExt xmlns:a14="http://schemas.microsoft.com/office/drawing/2010/main" spid="_x0000_s3075"/>
            </a:ext>
          </a:extLst>
        </xdr:cNvPr>
        <xdr:cNvSpPr/>
      </xdr:nvSpPr>
      <xdr:spPr>
        <a:xfrm>
          <a:off x="3524250" y="1971676"/>
          <a:ext cx="1181100" cy="419100"/>
        </a:xfrm>
        <a:prstGeom prst="rect">
          <a:avLst/>
        </a:prstGeom>
      </xdr:spPr>
    </xdr:sp>
    <xdr:clientData/>
  </xdr:twoCellAnchor>
  <xdr:twoCellAnchor editAs="oneCell">
    <xdr:from>
      <xdr:col>5</xdr:col>
      <xdr:colOff>38100</xdr:colOff>
      <xdr:row>9</xdr:row>
      <xdr:rowOff>161925</xdr:rowOff>
    </xdr:from>
    <xdr:to>
      <xdr:col>6</xdr:col>
      <xdr:colOff>590550</xdr:colOff>
      <xdr:row>12</xdr:row>
      <xdr:rowOff>9525</xdr:rowOff>
    </xdr:to>
    <xdr:sp macro="" textlink="">
      <xdr:nvSpPr>
        <xdr:cNvPr id="5" name="_ActiveXWrapper1" hidden="1">
          <a:extLst>
            <a:ext uri="{63B3BB69-23CF-44E3-9099-C40C66FF867C}">
              <a14:compatExt xmlns:a14="http://schemas.microsoft.com/office/drawing/2010/main" spid="_x0000_s3075"/>
            </a:ext>
          </a:extLst>
        </xdr:cNvPr>
        <xdr:cNvSpPr/>
      </xdr:nvSpPr>
      <xdr:spPr>
        <a:xfrm>
          <a:off x="3524250" y="1971675"/>
          <a:ext cx="1181100" cy="41910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</xdr:row>
          <xdr:rowOff>152400</xdr:rowOff>
        </xdr:from>
        <xdr:to>
          <xdr:col>5</xdr:col>
          <xdr:colOff>371475</xdr:colOff>
          <xdr:row>12</xdr:row>
          <xdr:rowOff>123825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Copiar Referencia (MLT)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10</xdr:row>
          <xdr:rowOff>104775</xdr:rowOff>
        </xdr:from>
        <xdr:to>
          <xdr:col>16</xdr:col>
          <xdr:colOff>152400</xdr:colOff>
          <xdr:row>12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200025</xdr:colOff>
          <xdr:row>10</xdr:row>
          <xdr:rowOff>104775</xdr:rowOff>
        </xdr:from>
        <xdr:to>
          <xdr:col>18</xdr:col>
          <xdr:colOff>104775</xdr:colOff>
          <xdr:row>12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Atingir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10</xdr:row>
          <xdr:rowOff>104775</xdr:rowOff>
        </xdr:from>
        <xdr:to>
          <xdr:col>26</xdr:col>
          <xdr:colOff>571500</xdr:colOff>
          <xdr:row>12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Prevs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190500</xdr:colOff>
          <xdr:row>10</xdr:row>
          <xdr:rowOff>123825</xdr:rowOff>
        </xdr:from>
        <xdr:to>
          <xdr:col>24</xdr:col>
          <xdr:colOff>590550</xdr:colOff>
          <xdr:row>12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Vazpast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L2:Z5"/>
  <sheetViews>
    <sheetView workbookViewId="0">
      <selection activeCell="M8" sqref="M8"/>
    </sheetView>
  </sheetViews>
  <sheetFormatPr defaultRowHeight="15" x14ac:dyDescent="0.25"/>
  <cols>
    <col min="1" max="1" width="30.42578125" customWidth="1"/>
    <col min="2" max="2" width="11.28515625" customWidth="1"/>
    <col min="3" max="5" width="10.42578125" customWidth="1"/>
    <col min="6" max="6" width="13.5703125" customWidth="1"/>
    <col min="7" max="7" width="16.28515625" customWidth="1"/>
  </cols>
  <sheetData>
    <row r="2" spans="12:26" x14ac:dyDescent="0.25">
      <c r="L2" t="s">
        <v>532</v>
      </c>
      <c r="M2" t="str">
        <f>IF('Cen1'!B13&lt;&gt;"",'Cen1'!B13,"")</f>
        <v>base</v>
      </c>
      <c r="N2">
        <f ca="1">IF(M2&lt;&gt;"",'Cen1'!C15,"")</f>
        <v>55969.998000000014</v>
      </c>
      <c r="O2" s="113">
        <f ca="1">IF(N2&lt;&gt;"",'Cen1'!D15,"")</f>
        <v>58559.566199999994</v>
      </c>
      <c r="P2" s="113">
        <f ca="1">IF(O2&lt;&gt;"",'Cen1'!E15,"")</f>
        <v>54678.837100000012</v>
      </c>
      <c r="Q2" s="113">
        <f ca="1">IF(P2&lt;&gt;"",'Cen1'!F15,"")</f>
        <v>41444.549099999989</v>
      </c>
      <c r="R2" s="113">
        <f ca="1">IF(Q2&lt;&gt;"",'Cen1'!G15,"")</f>
        <v>29905.362999999998</v>
      </c>
      <c r="S2" s="113">
        <f ca="1">IF(R2&lt;&gt;"",'Cen1'!H15,"")</f>
        <v>25533.5946</v>
      </c>
      <c r="T2" s="113">
        <f ca="1">IF(S2&lt;&gt;"",'Cen1'!I15,"")</f>
        <v>21182.232399999994</v>
      </c>
      <c r="U2" s="113">
        <f ca="1">IF(T2&lt;&gt;"",'Cen1'!J15,"")</f>
        <v>17684.899400000002</v>
      </c>
      <c r="V2" s="113">
        <f ca="1">IF(U2&lt;&gt;"",'Cen1'!K15,"")</f>
        <v>17543.204699999995</v>
      </c>
      <c r="W2" s="113">
        <f ca="1">IF(V2&lt;&gt;"",'Cen1'!L15,"")</f>
        <v>21105.841300000007</v>
      </c>
      <c r="X2" s="113">
        <f ca="1">IF(W2&lt;&gt;"",'Cen1'!M15,"")</f>
        <v>26987.522399999994</v>
      </c>
      <c r="Y2" s="113">
        <f ca="1">IF(X2&lt;&gt;"",'Cen1'!N15,"")</f>
        <v>40922.817500000005</v>
      </c>
      <c r="Z2" s="113"/>
    </row>
    <row r="3" spans="12:26" x14ac:dyDescent="0.25">
      <c r="M3" s="113" t="str">
        <f>M2</f>
        <v>base</v>
      </c>
      <c r="N3" s="113">
        <f ca="1">IF(M3&lt;&gt;"",'Cen1'!C16,"")</f>
        <v>7270.8217999999997</v>
      </c>
      <c r="O3" s="113">
        <f ca="1">IF(N3&lt;&gt;"",'Cen1'!D16,"")</f>
        <v>8348.9972999999991</v>
      </c>
      <c r="P3" s="113">
        <f ca="1">IF(O3&lt;&gt;"",'Cen1'!E16,"")</f>
        <v>6999.5530000000008</v>
      </c>
      <c r="Q3" s="113">
        <f ca="1">IF(P3&lt;&gt;"",'Cen1'!F16,"")</f>
        <v>6584.4034999999994</v>
      </c>
      <c r="R3" s="113">
        <f ca="1">IF(Q3&lt;&gt;"",'Cen1'!G16,"")</f>
        <v>8561.4878000000008</v>
      </c>
      <c r="S3" s="113">
        <f ca="1">IF(R3&lt;&gt;"",'Cen1'!H16,"")</f>
        <v>9931.4465000000018</v>
      </c>
      <c r="T3" s="113">
        <f ca="1">IF(S3&lt;&gt;"",'Cen1'!I16,"")</f>
        <v>10917.3685</v>
      </c>
      <c r="U3" s="113">
        <f ca="1">IF(T3&lt;&gt;"",'Cen1'!J16,"")</f>
        <v>10323.0345</v>
      </c>
      <c r="V3" s="113">
        <f ca="1">IF(U3&lt;&gt;"",'Cen1'!K16,"")</f>
        <v>11997.3441</v>
      </c>
      <c r="W3" s="113">
        <f ca="1">IF(V3&lt;&gt;"",'Cen1'!L16,"")</f>
        <v>13254.0923</v>
      </c>
      <c r="X3" s="113">
        <f ca="1">IF(W3&lt;&gt;"",'Cen1'!M16,"")</f>
        <v>9357.5785999999989</v>
      </c>
      <c r="Y3" s="113">
        <f ca="1">IF(X3&lt;&gt;"",'Cen1'!N16,"")</f>
        <v>7381.5131000000001</v>
      </c>
    </row>
    <row r="4" spans="12:26" x14ac:dyDescent="0.25">
      <c r="M4" s="113" t="str">
        <f>M3</f>
        <v>base</v>
      </c>
      <c r="N4" s="113">
        <f ca="1">IF(M4&lt;&gt;"",'Cen1'!C17,"")</f>
        <v>14160.132399999999</v>
      </c>
      <c r="O4" s="113">
        <f ca="1">IF(N4&lt;&gt;"",'Cen1'!D17,"")</f>
        <v>14892.4866</v>
      </c>
      <c r="P4" s="113">
        <f ca="1">IF(O4&lt;&gt;"",'Cen1'!E17,"")</f>
        <v>14829.474099999998</v>
      </c>
      <c r="Q4" s="113">
        <f ca="1">IF(P4&lt;&gt;"",'Cen1'!F17,"")</f>
        <v>12073.456300000002</v>
      </c>
      <c r="R4" s="113">
        <f ca="1">IF(Q4&lt;&gt;"",'Cen1'!G17,"")</f>
        <v>7313.483400000001</v>
      </c>
      <c r="S4" s="113">
        <f ca="1">IF(R4&lt;&gt;"",'Cen1'!H17,"")</f>
        <v>4824.5924000000014</v>
      </c>
      <c r="T4" s="113">
        <f ca="1">IF(S4&lt;&gt;"",'Cen1'!I17,"")</f>
        <v>3973.5953999999997</v>
      </c>
      <c r="U4" s="113">
        <f ca="1">IF(T4&lt;&gt;"",'Cen1'!J17,"")</f>
        <v>3461.5191</v>
      </c>
      <c r="V4" s="113">
        <f ca="1">IF(U4&lt;&gt;"",'Cen1'!K17,"")</f>
        <v>3095.0844999999999</v>
      </c>
      <c r="W4" s="113">
        <f ca="1">IF(V4&lt;&gt;"",'Cen1'!L17,"")</f>
        <v>3392.4041999999999</v>
      </c>
      <c r="X4" s="113">
        <f ca="1">IF(W4&lt;&gt;"",'Cen1'!M17,"")</f>
        <v>5552.6243000000004</v>
      </c>
      <c r="Y4" s="113">
        <f ca="1">IF(X4&lt;&gt;"",'Cen1'!N17,"")</f>
        <v>10210.5905</v>
      </c>
    </row>
    <row r="5" spans="12:26" x14ac:dyDescent="0.25">
      <c r="M5" s="113" t="str">
        <f>M4</f>
        <v>base</v>
      </c>
      <c r="N5" s="113">
        <f ca="1">IF(M5&lt;&gt;"",'Cen1'!C18,"")</f>
        <v>10037.978899999998</v>
      </c>
      <c r="O5" s="113">
        <f ca="1">IF(N5&lt;&gt;"",'Cen1'!D18,"")</f>
        <v>13475.824000000001</v>
      </c>
      <c r="P5" s="113">
        <f ca="1">IF(O5&lt;&gt;"",'Cen1'!E18,"")</f>
        <v>15677.231500000002</v>
      </c>
      <c r="Q5" s="113">
        <f ca="1">IF(P5&lt;&gt;"",'Cen1'!F18,"")</f>
        <v>15615.0532</v>
      </c>
      <c r="R5" s="113">
        <f ca="1">IF(Q5&lt;&gt;"",'Cen1'!G18,"")</f>
        <v>10498.321900000003</v>
      </c>
      <c r="S5" s="113">
        <f ca="1">IF(R5&lt;&gt;"",'Cen1'!H18,"")</f>
        <v>5478.1198000000004</v>
      </c>
      <c r="T5" s="113">
        <f ca="1">IF(S5&lt;&gt;"",'Cen1'!I18,"")</f>
        <v>3334.5636999999997</v>
      </c>
      <c r="U5" s="113">
        <f ca="1">IF(T5&lt;&gt;"",'Cen1'!J18,"")</f>
        <v>2337.0961000000002</v>
      </c>
      <c r="V5" s="113">
        <f ca="1">IF(U5&lt;&gt;"",'Cen1'!K18,"")</f>
        <v>1807.1817000000001</v>
      </c>
      <c r="W5" s="113">
        <f ca="1">IF(V5&lt;&gt;"",'Cen1'!L18,"")</f>
        <v>1932.0153</v>
      </c>
      <c r="X5" s="113">
        <f ca="1">IF(W5&lt;&gt;"",'Cen1'!M18,"")</f>
        <v>3065.3700000000008</v>
      </c>
      <c r="Y5" s="113">
        <f ca="1">IF(X5&lt;&gt;"",'Cen1'!N18,"")</f>
        <v>5855.4626000000007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58267E"/>
  </sheetPr>
  <dimension ref="A1:AA372"/>
  <sheetViews>
    <sheetView zoomScale="85" zoomScaleNormal="85" workbookViewId="0">
      <selection activeCell="F18" sqref="F18"/>
    </sheetView>
  </sheetViews>
  <sheetFormatPr defaultRowHeight="15" x14ac:dyDescent="0.25"/>
  <cols>
    <col min="1" max="1" width="6.5703125" customWidth="1"/>
    <col min="2" max="2" width="17.42578125" customWidth="1"/>
    <col min="3" max="14" width="9.42578125" customWidth="1"/>
    <col min="15" max="16384" width="9.140625" style="46"/>
  </cols>
  <sheetData>
    <row r="1" spans="2:27" s="46" customFormat="1" x14ac:dyDescent="0.25">
      <c r="B1" s="313">
        <f ca="1">TODAY()</f>
        <v>42258</v>
      </c>
      <c r="C1" s="313"/>
      <c r="J1" s="46" t="s">
        <v>797</v>
      </c>
    </row>
    <row r="2" spans="2:27" s="46" customFormat="1" x14ac:dyDescent="0.25">
      <c r="B2" s="302"/>
      <c r="C2" s="302"/>
    </row>
    <row r="3" spans="2:27" s="46" customFormat="1" x14ac:dyDescent="0.25">
      <c r="B3" s="113"/>
      <c r="C3" s="113"/>
      <c r="D3" s="113"/>
      <c r="E3" s="113"/>
      <c r="F3" s="113"/>
      <c r="G3" s="113"/>
      <c r="H3" s="113"/>
      <c r="I3" s="113"/>
    </row>
    <row r="4" spans="2:27" s="46" customFormat="1" ht="18.75" customHeight="1" x14ac:dyDescent="0.25">
      <c r="B4" s="302"/>
      <c r="C4" s="60"/>
      <c r="D4" s="60"/>
      <c r="E4" s="60"/>
      <c r="F4" s="60"/>
      <c r="G4" s="60"/>
      <c r="H4" s="126"/>
      <c r="I4" s="60"/>
    </row>
    <row r="5" spans="2:27" s="60" customFormat="1" ht="18" customHeight="1" thickBot="1" x14ac:dyDescent="0.3">
      <c r="B5" s="113"/>
      <c r="C5" s="136" t="s">
        <v>518</v>
      </c>
      <c r="D5" s="136" t="s">
        <v>519</v>
      </c>
      <c r="E5" s="136" t="s">
        <v>520</v>
      </c>
      <c r="F5" s="136" t="s">
        <v>521</v>
      </c>
      <c r="G5" s="136" t="s">
        <v>522</v>
      </c>
      <c r="H5" s="136" t="s">
        <v>523</v>
      </c>
      <c r="I5" s="136" t="s">
        <v>524</v>
      </c>
      <c r="J5" s="136" t="s">
        <v>525</v>
      </c>
      <c r="K5" s="136" t="s">
        <v>526</v>
      </c>
      <c r="L5" s="136" t="s">
        <v>527</v>
      </c>
      <c r="M5" s="136" t="s">
        <v>528</v>
      </c>
      <c r="N5" s="136" t="s">
        <v>529</v>
      </c>
      <c r="P5" s="60" t="s">
        <v>698</v>
      </c>
    </row>
    <row r="6" spans="2:27" s="60" customFormat="1" x14ac:dyDescent="0.25">
      <c r="B6" s="314" t="s">
        <v>504</v>
      </c>
      <c r="C6" s="294">
        <f ca="1">MemMlt!D168</f>
        <v>55969.998000000014</v>
      </c>
      <c r="D6" s="294">
        <f ca="1">MemMlt!E168</f>
        <v>58559.566199999994</v>
      </c>
      <c r="E6" s="294">
        <f ca="1">MemMlt!F168</f>
        <v>54678.837100000012</v>
      </c>
      <c r="F6" s="294">
        <f ca="1">MemMlt!G168</f>
        <v>41444.549099999989</v>
      </c>
      <c r="G6" s="294">
        <f ca="1">MemMlt!H168</f>
        <v>29905.362999999998</v>
      </c>
      <c r="H6" s="294">
        <f ca="1">MemMlt!I168</f>
        <v>25533.5946</v>
      </c>
      <c r="I6" s="294">
        <f ca="1">MemMlt!J168</f>
        <v>21182.232399999994</v>
      </c>
      <c r="J6" s="294">
        <f ca="1">MemMlt!K168</f>
        <v>17684.899400000002</v>
      </c>
      <c r="K6" s="294">
        <f ca="1">MemMlt!L168</f>
        <v>17543.204699999995</v>
      </c>
      <c r="L6" s="294">
        <f ca="1">MemMlt!M168</f>
        <v>21105.841300000007</v>
      </c>
      <c r="M6" s="294">
        <f ca="1">MemMlt!N168</f>
        <v>26987.522399999994</v>
      </c>
      <c r="N6" s="294">
        <f ca="1">MemMlt!O168</f>
        <v>40922.817500000005</v>
      </c>
      <c r="P6" s="229">
        <f ca="1">C15/C6</f>
        <v>1</v>
      </c>
      <c r="Q6" s="229">
        <f t="shared" ref="Q6:AA6" ca="1" si="0">D15/D6</f>
        <v>1</v>
      </c>
      <c r="R6" s="229">
        <f t="shared" ca="1" si="0"/>
        <v>1</v>
      </c>
      <c r="S6" s="229">
        <f t="shared" ca="1" si="0"/>
        <v>1</v>
      </c>
      <c r="T6" s="229">
        <f t="shared" ca="1" si="0"/>
        <v>1</v>
      </c>
      <c r="U6" s="229">
        <f t="shared" ca="1" si="0"/>
        <v>1</v>
      </c>
      <c r="V6" s="229">
        <f t="shared" ca="1" si="0"/>
        <v>1</v>
      </c>
      <c r="W6" s="229">
        <f t="shared" ca="1" si="0"/>
        <v>1</v>
      </c>
      <c r="X6" s="229">
        <f t="shared" ca="1" si="0"/>
        <v>1</v>
      </c>
      <c r="Y6" s="229">
        <f t="shared" ca="1" si="0"/>
        <v>1</v>
      </c>
      <c r="Z6" s="229">
        <f t="shared" ca="1" si="0"/>
        <v>1</v>
      </c>
      <c r="AA6" s="229">
        <f t="shared" ca="1" si="0"/>
        <v>1</v>
      </c>
    </row>
    <row r="7" spans="2:27" s="60" customFormat="1" x14ac:dyDescent="0.25">
      <c r="B7" s="315"/>
      <c r="C7" s="295">
        <f ca="1">MemMlt!D225</f>
        <v>7270.8217999999997</v>
      </c>
      <c r="D7" s="295">
        <f ca="1">MemMlt!E225</f>
        <v>8348.9972999999991</v>
      </c>
      <c r="E7" s="295">
        <f ca="1">MemMlt!F225</f>
        <v>6999.5530000000008</v>
      </c>
      <c r="F7" s="295">
        <f ca="1">MemMlt!G225</f>
        <v>6584.4034999999994</v>
      </c>
      <c r="G7" s="295">
        <f ca="1">MemMlt!H225</f>
        <v>8561.4878000000008</v>
      </c>
      <c r="H7" s="295">
        <f ca="1">MemMlt!I225</f>
        <v>9931.4465000000018</v>
      </c>
      <c r="I7" s="295">
        <f ca="1">MemMlt!J225</f>
        <v>10917.3685</v>
      </c>
      <c r="J7" s="295">
        <f ca="1">MemMlt!K225</f>
        <v>10323.0345</v>
      </c>
      <c r="K7" s="295">
        <f ca="1">MemMlt!L225</f>
        <v>11997.3441</v>
      </c>
      <c r="L7" s="295">
        <f ca="1">MemMlt!M225</f>
        <v>13254.0923</v>
      </c>
      <c r="M7" s="295">
        <f ca="1">MemMlt!N225</f>
        <v>9357.5785999999989</v>
      </c>
      <c r="N7" s="295">
        <f ca="1">MemMlt!O225</f>
        <v>7381.5131000000001</v>
      </c>
      <c r="P7" s="229">
        <f t="shared" ref="P7:AA9" ca="1" si="1">C16/C7</f>
        <v>1</v>
      </c>
      <c r="Q7" s="229">
        <f t="shared" ca="1" si="1"/>
        <v>1</v>
      </c>
      <c r="R7" s="229">
        <f t="shared" ca="1" si="1"/>
        <v>1</v>
      </c>
      <c r="S7" s="229">
        <f t="shared" ca="1" si="1"/>
        <v>1</v>
      </c>
      <c r="T7" s="229">
        <f t="shared" ca="1" si="1"/>
        <v>1</v>
      </c>
      <c r="U7" s="229">
        <f t="shared" ca="1" si="1"/>
        <v>1</v>
      </c>
      <c r="V7" s="229">
        <f t="shared" ca="1" si="1"/>
        <v>1</v>
      </c>
      <c r="W7" s="229">
        <f t="shared" ca="1" si="1"/>
        <v>1</v>
      </c>
      <c r="X7" s="229">
        <f t="shared" ca="1" si="1"/>
        <v>1</v>
      </c>
      <c r="Y7" s="229">
        <f t="shared" ca="1" si="1"/>
        <v>1</v>
      </c>
      <c r="Z7" s="229">
        <f t="shared" ca="1" si="1"/>
        <v>1</v>
      </c>
      <c r="AA7" s="229">
        <f t="shared" ca="1" si="1"/>
        <v>1</v>
      </c>
    </row>
    <row r="8" spans="2:27" s="60" customFormat="1" x14ac:dyDescent="0.25">
      <c r="B8" s="315"/>
      <c r="C8" s="295">
        <f ca="1">MemMlt!D252</f>
        <v>14160.132399999999</v>
      </c>
      <c r="D8" s="295">
        <f ca="1">MemMlt!E252</f>
        <v>14892.4866</v>
      </c>
      <c r="E8" s="295">
        <f ca="1">MemMlt!F252</f>
        <v>14829.474099999998</v>
      </c>
      <c r="F8" s="295">
        <f ca="1">MemMlt!G252</f>
        <v>12073.456300000002</v>
      </c>
      <c r="G8" s="295">
        <f ca="1">MemMlt!H252</f>
        <v>7313.483400000001</v>
      </c>
      <c r="H8" s="295">
        <f ca="1">MemMlt!I252</f>
        <v>4824.5924000000014</v>
      </c>
      <c r="I8" s="295">
        <f ca="1">MemMlt!J252</f>
        <v>3973.5953999999997</v>
      </c>
      <c r="J8" s="295">
        <f ca="1">MemMlt!K252</f>
        <v>3461.5191</v>
      </c>
      <c r="K8" s="295">
        <f ca="1">MemMlt!L252</f>
        <v>3095.0844999999999</v>
      </c>
      <c r="L8" s="295">
        <f ca="1">MemMlt!M252</f>
        <v>3392.4041999999999</v>
      </c>
      <c r="M8" s="295">
        <f ca="1">MemMlt!N252</f>
        <v>5552.6243000000004</v>
      </c>
      <c r="N8" s="295">
        <f ca="1">MemMlt!O252</f>
        <v>10210.5905</v>
      </c>
      <c r="P8" s="229">
        <f t="shared" ca="1" si="1"/>
        <v>1</v>
      </c>
      <c r="Q8" s="229">
        <f t="shared" ca="1" si="1"/>
        <v>1</v>
      </c>
      <c r="R8" s="229">
        <f t="shared" ca="1" si="1"/>
        <v>1</v>
      </c>
      <c r="S8" s="229">
        <f t="shared" ca="1" si="1"/>
        <v>1</v>
      </c>
      <c r="T8" s="229">
        <f t="shared" ca="1" si="1"/>
        <v>1</v>
      </c>
      <c r="U8" s="229">
        <f t="shared" ca="1" si="1"/>
        <v>1</v>
      </c>
      <c r="V8" s="229">
        <f t="shared" ca="1" si="1"/>
        <v>1</v>
      </c>
      <c r="W8" s="229">
        <f t="shared" ca="1" si="1"/>
        <v>1</v>
      </c>
      <c r="X8" s="229">
        <f t="shared" ca="1" si="1"/>
        <v>1</v>
      </c>
      <c r="Y8" s="229">
        <f t="shared" ca="1" si="1"/>
        <v>1</v>
      </c>
      <c r="Z8" s="229">
        <f t="shared" ca="1" si="1"/>
        <v>1</v>
      </c>
      <c r="AA8" s="229">
        <f t="shared" ca="1" si="1"/>
        <v>1</v>
      </c>
    </row>
    <row r="9" spans="2:27" s="60" customFormat="1" ht="15.75" thickBot="1" x14ac:dyDescent="0.3">
      <c r="B9" s="316"/>
      <c r="C9" s="296">
        <f ca="1">MemMlt!D275</f>
        <v>10037.978899999998</v>
      </c>
      <c r="D9" s="296">
        <f ca="1">MemMlt!E275</f>
        <v>13475.824000000001</v>
      </c>
      <c r="E9" s="296">
        <f ca="1">MemMlt!F275</f>
        <v>15677.231500000002</v>
      </c>
      <c r="F9" s="296">
        <f ca="1">MemMlt!G275</f>
        <v>15615.0532</v>
      </c>
      <c r="G9" s="296">
        <f ca="1">MemMlt!H275</f>
        <v>10498.321900000003</v>
      </c>
      <c r="H9" s="296">
        <f ca="1">MemMlt!I275</f>
        <v>5478.1198000000004</v>
      </c>
      <c r="I9" s="296">
        <f ca="1">MemMlt!J275</f>
        <v>3334.5636999999997</v>
      </c>
      <c r="J9" s="296">
        <f ca="1">MemMlt!K275</f>
        <v>2337.0961000000002</v>
      </c>
      <c r="K9" s="296">
        <f ca="1">MemMlt!L275</f>
        <v>1807.1817000000001</v>
      </c>
      <c r="L9" s="296">
        <f ca="1">MemMlt!M275</f>
        <v>1932.0153</v>
      </c>
      <c r="M9" s="296">
        <f ca="1">MemMlt!N275</f>
        <v>3065.3700000000008</v>
      </c>
      <c r="N9" s="296">
        <f ca="1">MemMlt!O275</f>
        <v>5855.4626000000007</v>
      </c>
      <c r="P9" s="229">
        <f t="shared" ca="1" si="1"/>
        <v>1</v>
      </c>
      <c r="Q9" s="229">
        <f t="shared" ca="1" si="1"/>
        <v>1</v>
      </c>
      <c r="R9" s="229">
        <f t="shared" ca="1" si="1"/>
        <v>1</v>
      </c>
      <c r="S9" s="229">
        <f t="shared" ca="1" si="1"/>
        <v>1</v>
      </c>
      <c r="T9" s="229">
        <f t="shared" ca="1" si="1"/>
        <v>1</v>
      </c>
      <c r="U9" s="229">
        <f t="shared" ca="1" si="1"/>
        <v>1</v>
      </c>
      <c r="V9" s="229">
        <f t="shared" ca="1" si="1"/>
        <v>1</v>
      </c>
      <c r="W9" s="229">
        <f t="shared" ca="1" si="1"/>
        <v>1</v>
      </c>
      <c r="X9" s="229">
        <f t="shared" ca="1" si="1"/>
        <v>1</v>
      </c>
      <c r="Y9" s="229">
        <f t="shared" ca="1" si="1"/>
        <v>1</v>
      </c>
      <c r="Z9" s="229">
        <f t="shared" ca="1" si="1"/>
        <v>1</v>
      </c>
      <c r="AA9" s="229">
        <f t="shared" ca="1" si="1"/>
        <v>1</v>
      </c>
    </row>
    <row r="10" spans="2:27" s="60" customFormat="1" x14ac:dyDescent="0.25">
      <c r="B10" s="27"/>
    </row>
    <row r="11" spans="2:27" s="46" customFormat="1" x14ac:dyDescent="0.25">
      <c r="B11" s="26"/>
      <c r="C11" s="161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</row>
    <row r="12" spans="2:27" s="46" customFormat="1" x14ac:dyDescent="0.25">
      <c r="B12" s="26"/>
      <c r="C12" s="113"/>
      <c r="D12" s="113"/>
      <c r="E12" s="113"/>
      <c r="F12" s="113"/>
      <c r="G12" s="113"/>
      <c r="H12" s="113"/>
      <c r="I12" s="113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</row>
    <row r="13" spans="2:27" s="46" customFormat="1" ht="15.75" thickBot="1" x14ac:dyDescent="0.3">
      <c r="B13" s="26"/>
      <c r="C13" s="113"/>
      <c r="D13" s="113"/>
      <c r="E13" s="113"/>
      <c r="F13" s="113"/>
      <c r="G13" s="113"/>
      <c r="H13" s="113"/>
      <c r="I13" s="113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</row>
    <row r="14" spans="2:27" s="46" customFormat="1" ht="15.75" thickBot="1" x14ac:dyDescent="0.3">
      <c r="B14" s="26"/>
      <c r="C14" s="149" t="s">
        <v>518</v>
      </c>
      <c r="D14" s="150" t="s">
        <v>519</v>
      </c>
      <c r="E14" s="150" t="s">
        <v>520</v>
      </c>
      <c r="F14" s="150" t="s">
        <v>521</v>
      </c>
      <c r="G14" s="150" t="s">
        <v>522</v>
      </c>
      <c r="H14" s="150" t="s">
        <v>523</v>
      </c>
      <c r="I14" s="150" t="s">
        <v>524</v>
      </c>
      <c r="J14" s="150" t="s">
        <v>525</v>
      </c>
      <c r="K14" s="150" t="s">
        <v>526</v>
      </c>
      <c r="L14" s="150" t="s">
        <v>527</v>
      </c>
      <c r="M14" s="150" t="s">
        <v>528</v>
      </c>
      <c r="N14" s="151" t="s">
        <v>529</v>
      </c>
      <c r="O14" s="60"/>
      <c r="P14" s="60"/>
      <c r="Q14" s="60"/>
      <c r="R14" s="60"/>
      <c r="S14" s="60"/>
      <c r="T14" s="60"/>
      <c r="U14" s="60"/>
    </row>
    <row r="15" spans="2:27" s="46" customFormat="1" x14ac:dyDescent="0.25">
      <c r="B15" s="120" t="s">
        <v>502</v>
      </c>
      <c r="C15" s="152">
        <f ca="1">MemEntrada!D168</f>
        <v>55969.998000000014</v>
      </c>
      <c r="D15" s="153">
        <f ca="1">MemEntrada!E168</f>
        <v>58559.566199999994</v>
      </c>
      <c r="E15" s="153">
        <f ca="1">MemEntrada!F168</f>
        <v>54678.837100000012</v>
      </c>
      <c r="F15" s="153">
        <f ca="1">MemEntrada!G168</f>
        <v>41444.549099999989</v>
      </c>
      <c r="G15" s="153">
        <f ca="1">MemEntrada!H168</f>
        <v>29905.362999999998</v>
      </c>
      <c r="H15" s="153">
        <f ca="1">MemEntrada!I168</f>
        <v>25533.5946</v>
      </c>
      <c r="I15" s="153">
        <f ca="1">MemEntrada!J168</f>
        <v>21182.232399999994</v>
      </c>
      <c r="J15" s="153">
        <f ca="1">MemEntrada!K168</f>
        <v>17684.899400000002</v>
      </c>
      <c r="K15" s="153">
        <f ca="1">MemEntrada!L168</f>
        <v>17543.204699999995</v>
      </c>
      <c r="L15" s="153">
        <f ca="1">MemEntrada!M168</f>
        <v>21105.841300000007</v>
      </c>
      <c r="M15" s="153">
        <f ca="1">MemEntrada!N168</f>
        <v>26987.522399999994</v>
      </c>
      <c r="N15" s="154">
        <f ca="1">MemEntrada!O168</f>
        <v>40922.817500000005</v>
      </c>
      <c r="O15" s="60"/>
      <c r="P15" s="60"/>
      <c r="Q15" s="60"/>
      <c r="R15" s="60"/>
      <c r="S15" s="60"/>
      <c r="T15" s="60"/>
      <c r="U15" s="60"/>
    </row>
    <row r="16" spans="2:27" s="46" customFormat="1" x14ac:dyDescent="0.25">
      <c r="B16" s="121" t="s">
        <v>499</v>
      </c>
      <c r="C16" s="155">
        <f ca="1">MemEntrada!D225</f>
        <v>7270.8217999999997</v>
      </c>
      <c r="D16" s="156">
        <f ca="1">MemEntrada!E225</f>
        <v>8348.9972999999991</v>
      </c>
      <c r="E16" s="156">
        <f ca="1">MemEntrada!F225</f>
        <v>6999.5530000000008</v>
      </c>
      <c r="F16" s="156">
        <f ca="1">MemEntrada!G225</f>
        <v>6584.4034999999994</v>
      </c>
      <c r="G16" s="156">
        <f ca="1">MemEntrada!H225</f>
        <v>8561.4878000000008</v>
      </c>
      <c r="H16" s="156">
        <f ca="1">MemEntrada!I225</f>
        <v>9931.4465000000018</v>
      </c>
      <c r="I16" s="156">
        <f ca="1">MemEntrada!J225</f>
        <v>10917.3685</v>
      </c>
      <c r="J16" s="156">
        <f ca="1">MemEntrada!K225</f>
        <v>10323.0345</v>
      </c>
      <c r="K16" s="156">
        <f ca="1">MemEntrada!L225</f>
        <v>11997.3441</v>
      </c>
      <c r="L16" s="156">
        <f ca="1">MemEntrada!M225</f>
        <v>13254.0923</v>
      </c>
      <c r="M16" s="156">
        <f ca="1">MemEntrada!N225</f>
        <v>9357.5785999999989</v>
      </c>
      <c r="N16" s="157">
        <f ca="1">MemEntrada!O225</f>
        <v>7381.5131000000001</v>
      </c>
      <c r="O16" s="60"/>
      <c r="P16" s="60"/>
      <c r="Q16" s="60"/>
      <c r="R16" s="60"/>
      <c r="S16" s="60"/>
      <c r="T16" s="60"/>
      <c r="U16" s="60"/>
    </row>
    <row r="17" spans="2:21" s="46" customFormat="1" x14ac:dyDescent="0.25">
      <c r="B17" s="122" t="s">
        <v>500</v>
      </c>
      <c r="C17" s="155">
        <f ca="1">MemEntrada!D252</f>
        <v>14160.132399999999</v>
      </c>
      <c r="D17" s="156">
        <f ca="1">MemEntrada!E252</f>
        <v>14892.4866</v>
      </c>
      <c r="E17" s="156">
        <f ca="1">MemEntrada!F252</f>
        <v>14829.474099999998</v>
      </c>
      <c r="F17" s="156">
        <f ca="1">MemEntrada!G252</f>
        <v>12073.456300000002</v>
      </c>
      <c r="G17" s="156">
        <f ca="1">MemEntrada!H252</f>
        <v>7313.483400000001</v>
      </c>
      <c r="H17" s="156">
        <f ca="1">MemEntrada!I252</f>
        <v>4824.5924000000014</v>
      </c>
      <c r="I17" s="156">
        <f ca="1">MemEntrada!J252</f>
        <v>3973.5953999999997</v>
      </c>
      <c r="J17" s="156">
        <f ca="1">MemEntrada!K252</f>
        <v>3461.5191</v>
      </c>
      <c r="K17" s="156">
        <f ca="1">MemEntrada!L252</f>
        <v>3095.0844999999999</v>
      </c>
      <c r="L17" s="156">
        <f ca="1">MemEntrada!M252</f>
        <v>3392.4041999999999</v>
      </c>
      <c r="M17" s="156">
        <f ca="1">MemEntrada!N252</f>
        <v>5552.6243000000004</v>
      </c>
      <c r="N17" s="157">
        <f ca="1">MemEntrada!O252</f>
        <v>10210.5905</v>
      </c>
      <c r="O17" s="60"/>
      <c r="P17" s="60"/>
      <c r="Q17" s="60"/>
      <c r="R17" s="60"/>
      <c r="S17" s="60"/>
      <c r="T17" s="60"/>
      <c r="U17" s="60"/>
    </row>
    <row r="18" spans="2:21" s="46" customFormat="1" ht="15.75" thickBot="1" x14ac:dyDescent="0.3">
      <c r="B18" s="123" t="s">
        <v>501</v>
      </c>
      <c r="C18" s="158">
        <f ca="1">MemEntrada!D275</f>
        <v>10037.978899999998</v>
      </c>
      <c r="D18" s="159">
        <f ca="1">MemEntrada!E275</f>
        <v>13475.824000000001</v>
      </c>
      <c r="E18" s="159">
        <f ca="1">MemEntrada!F275</f>
        <v>15677.231500000002</v>
      </c>
      <c r="F18" s="159">
        <f ca="1">MemEntrada!G275</f>
        <v>15615.0532</v>
      </c>
      <c r="G18" s="159">
        <f ca="1">MemEntrada!H275</f>
        <v>10498.321900000003</v>
      </c>
      <c r="H18" s="159">
        <f ca="1">MemEntrada!I275</f>
        <v>5478.1198000000004</v>
      </c>
      <c r="I18" s="159">
        <f ca="1">MemEntrada!J275</f>
        <v>3334.5636999999997</v>
      </c>
      <c r="J18" s="159">
        <f ca="1">MemEntrada!K275</f>
        <v>2337.0961000000002</v>
      </c>
      <c r="K18" s="159">
        <f ca="1">MemEntrada!L275</f>
        <v>1807.1817000000001</v>
      </c>
      <c r="L18" s="159">
        <f ca="1">MemEntrada!M275</f>
        <v>1932.0153</v>
      </c>
      <c r="M18" s="159">
        <f ca="1">MemEntrada!N275</f>
        <v>3065.3700000000008</v>
      </c>
      <c r="N18" s="160">
        <f ca="1">MemEntrada!O275</f>
        <v>5855.4626000000007</v>
      </c>
      <c r="O18" s="60"/>
      <c r="P18" s="60"/>
      <c r="Q18" s="60"/>
      <c r="R18" s="60"/>
      <c r="S18" s="60"/>
      <c r="T18" s="60"/>
      <c r="U18" s="60"/>
    </row>
    <row r="19" spans="2:21" s="46" customFormat="1" x14ac:dyDescent="0.25">
      <c r="B19" s="120" t="s">
        <v>2</v>
      </c>
      <c r="C19" s="188">
        <f ca="1">MemEntrada!D22</f>
        <v>9305.5499000000018</v>
      </c>
      <c r="D19" s="189">
        <f ca="1">MemEntrada!E22</f>
        <v>9082.3019999999997</v>
      </c>
      <c r="E19" s="189">
        <f ca="1">MemEntrada!F22</f>
        <v>8110.9993999999997</v>
      </c>
      <c r="F19" s="189">
        <f ca="1">MemEntrada!G22</f>
        <v>5717.4046000000008</v>
      </c>
      <c r="G19" s="189">
        <f ca="1">MemEntrada!H22</f>
        <v>4126.9616999999998</v>
      </c>
      <c r="H19" s="189">
        <f ca="1">MemEntrada!I22</f>
        <v>3433.1162999999997</v>
      </c>
      <c r="I19" s="189">
        <f ca="1">MemEntrada!J22</f>
        <v>2813.4535999999994</v>
      </c>
      <c r="J19" s="189">
        <f ca="1">MemEntrada!K22</f>
        <v>2324.7512999999994</v>
      </c>
      <c r="K19" s="189">
        <f ca="1">MemEntrada!L22</f>
        <v>2353.0582999999997</v>
      </c>
      <c r="L19" s="189">
        <f ca="1">MemEntrada!M22</f>
        <v>2752.1955000000003</v>
      </c>
      <c r="M19" s="189">
        <f ca="1">MemEntrada!N22</f>
        <v>3766.5231999999996</v>
      </c>
      <c r="N19" s="190">
        <f ca="1">MemEntrada!O22</f>
        <v>6350.6214999999993</v>
      </c>
      <c r="O19" s="60"/>
      <c r="P19" s="60"/>
      <c r="Q19" s="60"/>
      <c r="R19" s="60"/>
      <c r="S19" s="60"/>
      <c r="T19" s="60"/>
      <c r="U19" s="60"/>
    </row>
    <row r="20" spans="2:21" s="46" customFormat="1" x14ac:dyDescent="0.25">
      <c r="B20" s="124" t="s">
        <v>3</v>
      </c>
      <c r="C20" s="191">
        <f ca="1">MemEntrada!D45</f>
        <v>9172.9087</v>
      </c>
      <c r="D20" s="192">
        <f ca="1">MemEntrada!E45</f>
        <v>9501.5702000000001</v>
      </c>
      <c r="E20" s="192">
        <f ca="1">MemEntrada!F45</f>
        <v>9266.0079000000005</v>
      </c>
      <c r="F20" s="192">
        <f ca="1">MemEntrada!G45</f>
        <v>7013.097600000001</v>
      </c>
      <c r="G20" s="192">
        <f ca="1">MemEntrada!H45</f>
        <v>4607.5847000000003</v>
      </c>
      <c r="H20" s="192">
        <f ca="1">MemEntrada!I45</f>
        <v>3585.8961000000004</v>
      </c>
      <c r="I20" s="192">
        <f ca="1">MemEntrada!J45</f>
        <v>2895.9571000000001</v>
      </c>
      <c r="J20" s="192">
        <f ca="1">MemEntrada!K45</f>
        <v>2361.6932999999999</v>
      </c>
      <c r="K20" s="192">
        <f ca="1">MemEntrada!L45</f>
        <v>2141.7345</v>
      </c>
      <c r="L20" s="192">
        <f ca="1">MemEntrada!M45</f>
        <v>2582.1788000000001</v>
      </c>
      <c r="M20" s="192">
        <f ca="1">MemEntrada!N45</f>
        <v>3969.9098999999997</v>
      </c>
      <c r="N20" s="193">
        <f ca="1">MemEntrada!O45</f>
        <v>6683.1997999999994</v>
      </c>
      <c r="O20" s="60"/>
      <c r="P20" s="60"/>
      <c r="Q20" s="60"/>
      <c r="R20" s="60"/>
      <c r="S20" s="60"/>
      <c r="T20" s="60"/>
      <c r="U20" s="60"/>
    </row>
    <row r="21" spans="2:21" s="46" customFormat="1" x14ac:dyDescent="0.25">
      <c r="B21" s="124" t="s">
        <v>9</v>
      </c>
      <c r="C21" s="191">
        <f ca="1">MemEntrada!D50</f>
        <v>361.83679999999998</v>
      </c>
      <c r="D21" s="192">
        <f ca="1">MemEntrada!E50</f>
        <v>373.14419999999996</v>
      </c>
      <c r="E21" s="192">
        <f ca="1">MemEntrada!F50</f>
        <v>327.91460000000001</v>
      </c>
      <c r="F21" s="192">
        <f ca="1">MemEntrada!G50</f>
        <v>231.80169999999998</v>
      </c>
      <c r="G21" s="192">
        <f ca="1">MemEntrada!H50</f>
        <v>175.2647</v>
      </c>
      <c r="H21" s="192">
        <f ca="1">MemEntrada!I50</f>
        <v>163.9573</v>
      </c>
      <c r="I21" s="192">
        <f ca="1">MemEntrada!J50</f>
        <v>135.68879999999999</v>
      </c>
      <c r="J21" s="192">
        <f ca="1">MemEntrada!K50</f>
        <v>118.7277</v>
      </c>
      <c r="K21" s="192">
        <f ca="1">MemEntrada!L50</f>
        <v>163.9573</v>
      </c>
      <c r="L21" s="192">
        <f ca="1">MemEntrada!M50</f>
        <v>203.53319999999999</v>
      </c>
      <c r="M21" s="192">
        <f ca="1">MemEntrada!N50</f>
        <v>209.18689999999998</v>
      </c>
      <c r="N21" s="193">
        <f ca="1">MemEntrada!O50</f>
        <v>277.03129999999999</v>
      </c>
      <c r="O21" s="60"/>
      <c r="P21" s="60"/>
      <c r="Q21" s="60"/>
      <c r="R21" s="60"/>
      <c r="S21" s="60"/>
      <c r="T21" s="60"/>
      <c r="U21" s="60"/>
    </row>
    <row r="22" spans="2:21" s="46" customFormat="1" x14ac:dyDescent="0.25">
      <c r="B22" s="124" t="s">
        <v>4</v>
      </c>
      <c r="C22" s="191">
        <f ca="1">MemEntrada!D60</f>
        <v>1479.9179999999999</v>
      </c>
      <c r="D22" s="192">
        <f ca="1">MemEntrada!E60</f>
        <v>1586.0933</v>
      </c>
      <c r="E22" s="192">
        <f ca="1">MemEntrada!F60</f>
        <v>1363.8966</v>
      </c>
      <c r="F22" s="192">
        <f ca="1">MemEntrada!G60</f>
        <v>927.81849999999997</v>
      </c>
      <c r="G22" s="192">
        <f ca="1">MemEntrada!H60</f>
        <v>729.78189999999995</v>
      </c>
      <c r="H22" s="192">
        <f ca="1">MemEntrada!I60</f>
        <v>719.60649999999998</v>
      </c>
      <c r="I22" s="192">
        <f ca="1">MemEntrada!J60</f>
        <v>582.75369999999998</v>
      </c>
      <c r="J22" s="192">
        <f ca="1">MemEntrada!K60</f>
        <v>501.53560000000004</v>
      </c>
      <c r="K22" s="192">
        <f ca="1">MemEntrada!L60</f>
        <v>528.23700000000008</v>
      </c>
      <c r="L22" s="192">
        <f ca="1">MemEntrada!M60</f>
        <v>626.00199999999995</v>
      </c>
      <c r="M22" s="192">
        <f ca="1">MemEntrada!N60</f>
        <v>670.50110000000006</v>
      </c>
      <c r="N22" s="193">
        <f ca="1">MemEntrada!O60</f>
        <v>1006.3512000000001</v>
      </c>
      <c r="O22" s="60"/>
      <c r="P22" s="60"/>
      <c r="Q22" s="60"/>
      <c r="R22" s="60"/>
      <c r="S22" s="60"/>
      <c r="T22" s="60"/>
      <c r="U22" s="60"/>
    </row>
    <row r="23" spans="2:21" s="46" customFormat="1" x14ac:dyDescent="0.25">
      <c r="B23" s="124" t="s">
        <v>5</v>
      </c>
      <c r="C23" s="191">
        <f ca="1">MemEntrada!D74</f>
        <v>2050.0221000000001</v>
      </c>
      <c r="D23" s="192">
        <f ca="1">MemEntrada!E74</f>
        <v>2198.0115999999998</v>
      </c>
      <c r="E23" s="192">
        <f ca="1">MemEntrada!F74</f>
        <v>1822.5245</v>
      </c>
      <c r="F23" s="192">
        <f ca="1">MemEntrada!G74</f>
        <v>1361.6677999999999</v>
      </c>
      <c r="G23" s="192">
        <f ca="1">MemEntrada!H74</f>
        <v>1312.0001</v>
      </c>
      <c r="H23" s="192">
        <f ca="1">MemEntrada!I74</f>
        <v>1409.7475999999999</v>
      </c>
      <c r="I23" s="192">
        <f ca="1">MemEntrada!J74</f>
        <v>1261.8361</v>
      </c>
      <c r="J23" s="192">
        <f ca="1">MemEntrada!K74</f>
        <v>1044.7266999999999</v>
      </c>
      <c r="K23" s="192">
        <f ca="1">MemEntrada!L74</f>
        <v>1147.3741</v>
      </c>
      <c r="L23" s="192">
        <f ca="1">MemEntrada!M74</f>
        <v>1406.2357999999999</v>
      </c>
      <c r="M23" s="192">
        <f ca="1">MemEntrada!N74</f>
        <v>1286.5246999999997</v>
      </c>
      <c r="N23" s="193">
        <f ca="1">MemEntrada!O74</f>
        <v>1479.3720000000001</v>
      </c>
    </row>
    <row r="24" spans="2:21" s="46" customFormat="1" x14ac:dyDescent="0.25">
      <c r="B24" s="124" t="s">
        <v>7</v>
      </c>
      <c r="C24" s="191">
        <f ca="1">MemEntrada!D80</f>
        <v>5602.5864000000001</v>
      </c>
      <c r="D24" s="192">
        <f ca="1">MemEntrada!E80</f>
        <v>5904.1984000000002</v>
      </c>
      <c r="E24" s="192">
        <f ca="1">MemEntrada!F80</f>
        <v>5616.5946000000004</v>
      </c>
      <c r="F24" s="192">
        <f ca="1">MemEntrada!G80</f>
        <v>4224.2945</v>
      </c>
      <c r="G24" s="192">
        <f ca="1">MemEntrada!H80</f>
        <v>2920.4008000000003</v>
      </c>
      <c r="H24" s="192">
        <f ca="1">MemEntrada!I80</f>
        <v>2419.3042</v>
      </c>
      <c r="I24" s="192">
        <f ca="1">MemEntrada!J80</f>
        <v>1986.5871999999999</v>
      </c>
      <c r="J24" s="192">
        <f ca="1">MemEntrada!K80</f>
        <v>1676.1268</v>
      </c>
      <c r="K24" s="192">
        <f ca="1">MemEntrada!L80</f>
        <v>1605.3686</v>
      </c>
      <c r="L24" s="192">
        <f ca="1">MemEntrada!M80</f>
        <v>1851.9536000000001</v>
      </c>
      <c r="M24" s="192">
        <f ca="1">MemEntrada!N80</f>
        <v>2474.8577</v>
      </c>
      <c r="N24" s="193">
        <f ca="1">MemEntrada!O80</f>
        <v>3929.0683000000004</v>
      </c>
    </row>
    <row r="25" spans="2:21" s="46" customFormat="1" x14ac:dyDescent="0.25">
      <c r="B25" s="124" t="s">
        <v>8</v>
      </c>
      <c r="C25" s="191">
        <f ca="1">MemEntrada!D86</f>
        <v>17121.722099999999</v>
      </c>
      <c r="D25" s="192">
        <f ca="1">MemEntrada!E86</f>
        <v>18674.383099999999</v>
      </c>
      <c r="E25" s="192">
        <f ca="1">MemEntrada!F86</f>
        <v>17407.363099999999</v>
      </c>
      <c r="F25" s="192">
        <f ca="1">MemEntrada!G86</f>
        <v>13780.776099999999</v>
      </c>
      <c r="G25" s="192">
        <f ca="1">MemEntrada!H86</f>
        <v>10906.8056</v>
      </c>
      <c r="H25" s="192">
        <f ca="1">MemEntrada!I86</f>
        <v>10037.831699999999</v>
      </c>
      <c r="I25" s="192">
        <f ca="1">MemEntrada!J86</f>
        <v>8475.2816000000003</v>
      </c>
      <c r="J25" s="192">
        <f ca="1">MemEntrada!K86</f>
        <v>7132.8384000000005</v>
      </c>
      <c r="K25" s="192">
        <f ca="1">MemEntrada!L86</f>
        <v>7151.2721999999994</v>
      </c>
      <c r="L25" s="192">
        <f ca="1">MemEntrada!M86</f>
        <v>8549.2945</v>
      </c>
      <c r="M25" s="192">
        <f ca="1">MemEntrada!N86</f>
        <v>9495.9567999999999</v>
      </c>
      <c r="N25" s="193">
        <f ca="1">MemEntrada!O86</f>
        <v>12657.8619</v>
      </c>
    </row>
    <row r="26" spans="2:21" s="46" customFormat="1" x14ac:dyDescent="0.25">
      <c r="B26" s="124" t="s">
        <v>10</v>
      </c>
      <c r="C26" s="191">
        <f ca="1">MemEntrada!D101</f>
        <v>1585.7349000000002</v>
      </c>
      <c r="D26" s="192">
        <f ca="1">MemEntrada!E101</f>
        <v>1599.6371999999999</v>
      </c>
      <c r="E26" s="192">
        <f ca="1">MemEntrada!F101</f>
        <v>1553.5520000000001</v>
      </c>
      <c r="F26" s="192">
        <f ca="1">MemEntrada!G101</f>
        <v>1308.9265</v>
      </c>
      <c r="G26" s="192">
        <f ca="1">MemEntrada!H101</f>
        <v>1035.3341</v>
      </c>
      <c r="H26" s="192">
        <f ca="1">MemEntrada!I101</f>
        <v>868.65509999999995</v>
      </c>
      <c r="I26" s="192">
        <f ca="1">MemEntrada!J101</f>
        <v>736.85860000000002</v>
      </c>
      <c r="J26" s="192">
        <f ca="1">MemEntrada!K101</f>
        <v>622.05840000000001</v>
      </c>
      <c r="K26" s="192">
        <f ca="1">MemEntrada!L101</f>
        <v>635.50749999999994</v>
      </c>
      <c r="L26" s="192">
        <f ca="1">MemEntrada!M101</f>
        <v>765.99239999999998</v>
      </c>
      <c r="M26" s="192">
        <f ca="1">MemEntrada!N101</f>
        <v>1010.5265000000001</v>
      </c>
      <c r="N26" s="193">
        <f ca="1">MemEntrada!O101</f>
        <v>1340.4030000000002</v>
      </c>
    </row>
    <row r="27" spans="2:21" s="46" customFormat="1" x14ac:dyDescent="0.25">
      <c r="B27" s="124" t="s">
        <v>11</v>
      </c>
      <c r="C27" s="191">
        <f ca="1">MemEntrada!D106</f>
        <v>106.78500000000001</v>
      </c>
      <c r="D27" s="192">
        <f ca="1">MemEntrada!E106</f>
        <v>79.665000000000006</v>
      </c>
      <c r="E27" s="192">
        <f ca="1">MemEntrada!F106</f>
        <v>77.97</v>
      </c>
      <c r="F27" s="192">
        <f ca="1">MemEntrada!G106</f>
        <v>62.715000000000003</v>
      </c>
      <c r="G27" s="192">
        <f ca="1">MemEntrada!H106</f>
        <v>44.07</v>
      </c>
      <c r="H27" s="192">
        <f ca="1">MemEntrada!I106</f>
        <v>33.9</v>
      </c>
      <c r="I27" s="192">
        <f ca="1">MemEntrada!J106</f>
        <v>30.51</v>
      </c>
      <c r="J27" s="192">
        <f ca="1">MemEntrada!K106</f>
        <v>25.425000000000001</v>
      </c>
      <c r="K27" s="192">
        <f ca="1">MemEntrada!L106</f>
        <v>25.425000000000001</v>
      </c>
      <c r="L27" s="192">
        <f ca="1">MemEntrada!M106</f>
        <v>33.9</v>
      </c>
      <c r="M27" s="192">
        <f ca="1">MemEntrada!N106</f>
        <v>64.41</v>
      </c>
      <c r="N27" s="193">
        <f ca="1">MemEntrada!O106</f>
        <v>98.31</v>
      </c>
    </row>
    <row r="28" spans="2:21" s="46" customFormat="1" x14ac:dyDescent="0.25">
      <c r="B28" s="124" t="s">
        <v>12</v>
      </c>
      <c r="C28" s="191">
        <f ca="1">MemEntrada!D111</f>
        <v>80.678399999999996</v>
      </c>
      <c r="D28" s="192">
        <f ca="1">MemEntrada!E111</f>
        <v>56.8416</v>
      </c>
      <c r="E28" s="192">
        <f ca="1">MemEntrada!F111</f>
        <v>55.924799999999998</v>
      </c>
      <c r="F28" s="192">
        <f ca="1">MemEntrada!G111</f>
        <v>49.507199999999997</v>
      </c>
      <c r="G28" s="192">
        <f ca="1">MemEntrada!H111</f>
        <v>33.921599999999998</v>
      </c>
      <c r="H28" s="192">
        <f ca="1">MemEntrada!I111</f>
        <v>28.4208</v>
      </c>
      <c r="I28" s="192">
        <f ca="1">MemEntrada!J111</f>
        <v>27.962399999999999</v>
      </c>
      <c r="J28" s="192">
        <f ca="1">MemEntrada!K111</f>
        <v>23.378399999999999</v>
      </c>
      <c r="K28" s="192">
        <f ca="1">MemEntrada!L111</f>
        <v>20.628</v>
      </c>
      <c r="L28" s="192">
        <f ca="1">MemEntrada!M111</f>
        <v>28.4208</v>
      </c>
      <c r="M28" s="192">
        <f ca="1">MemEntrada!N111</f>
        <v>56.383199999999995</v>
      </c>
      <c r="N28" s="193">
        <f ca="1">MemEntrada!O111</f>
        <v>84.804000000000002</v>
      </c>
    </row>
    <row r="29" spans="2:21" s="46" customFormat="1" x14ac:dyDescent="0.25">
      <c r="B29" s="124" t="s">
        <v>13</v>
      </c>
      <c r="C29" s="191">
        <f ca="1">MemEntrada!D123</f>
        <v>1718.1073999999999</v>
      </c>
      <c r="D29" s="192">
        <f ca="1">MemEntrada!E123</f>
        <v>1357.0293000000001</v>
      </c>
      <c r="E29" s="192">
        <f ca="1">MemEntrada!F123</f>
        <v>1203.3426999999999</v>
      </c>
      <c r="F29" s="192">
        <f ca="1">MemEntrada!G123</f>
        <v>917.29830000000004</v>
      </c>
      <c r="G29" s="192">
        <f ca="1">MemEntrada!H123</f>
        <v>672.72879999999998</v>
      </c>
      <c r="H29" s="192">
        <f ca="1">MemEntrada!I123</f>
        <v>566.10579999999993</v>
      </c>
      <c r="I29" s="192">
        <f ca="1">MemEntrada!J123</f>
        <v>497.60149999999999</v>
      </c>
      <c r="J29" s="192">
        <f ca="1">MemEntrada!K123</f>
        <v>440.53949999999998</v>
      </c>
      <c r="K29" s="192">
        <f ca="1">MemEntrada!L123</f>
        <v>428.62039999999996</v>
      </c>
      <c r="L29" s="192">
        <f ca="1">MemEntrada!M123</f>
        <v>535.59799999999996</v>
      </c>
      <c r="M29" s="192">
        <f ca="1">MemEntrada!N123</f>
        <v>903.40819999999997</v>
      </c>
      <c r="N29" s="193">
        <f ca="1">MemEntrada!O123</f>
        <v>1486.8343</v>
      </c>
    </row>
    <row r="30" spans="2:21" s="46" customFormat="1" x14ac:dyDescent="0.25">
      <c r="B30" s="124" t="s">
        <v>14</v>
      </c>
      <c r="C30" s="191">
        <f ca="1">MemEntrada!D132</f>
        <v>641.57039999999995</v>
      </c>
      <c r="D30" s="192">
        <f ca="1">MemEntrada!E132</f>
        <v>702.42259999999999</v>
      </c>
      <c r="E30" s="192">
        <f ca="1">MemEntrada!F132</f>
        <v>696.63380000000006</v>
      </c>
      <c r="F30" s="192">
        <f ca="1">MemEntrada!G132</f>
        <v>565.11990000000003</v>
      </c>
      <c r="G30" s="192">
        <f ca="1">MemEntrada!H132</f>
        <v>442.45249999999999</v>
      </c>
      <c r="H30" s="192">
        <f ca="1">MemEntrada!I132</f>
        <v>388.62180000000006</v>
      </c>
      <c r="I30" s="192">
        <f ca="1">MemEntrada!J132</f>
        <v>359.81790000000001</v>
      </c>
      <c r="J30" s="192">
        <f ca="1">MemEntrada!K132</f>
        <v>336.87779999999998</v>
      </c>
      <c r="K30" s="192">
        <f ca="1">MemEntrada!L132</f>
        <v>336.28120000000001</v>
      </c>
      <c r="L30" s="192">
        <f ca="1">MemEntrada!M132</f>
        <v>369.14</v>
      </c>
      <c r="M30" s="192">
        <f ca="1">MemEntrada!N132</f>
        <v>420.41550000000001</v>
      </c>
      <c r="N30" s="193">
        <f ca="1">MemEntrada!O132</f>
        <v>519.66070000000002</v>
      </c>
    </row>
    <row r="31" spans="2:21" s="46" customFormat="1" x14ac:dyDescent="0.25">
      <c r="B31" s="124" t="s">
        <v>24</v>
      </c>
      <c r="C31" s="191">
        <f ca="1">MemEntrada!D137</f>
        <v>517.93219999999997</v>
      </c>
      <c r="D31" s="192">
        <f ca="1">MemEntrada!E137</f>
        <v>350.76099999999997</v>
      </c>
      <c r="E31" s="192">
        <f ca="1">MemEntrada!F137</f>
        <v>317.92379999999997</v>
      </c>
      <c r="F31" s="192">
        <f ca="1">MemEntrada!G137</f>
        <v>200.00839999999999</v>
      </c>
      <c r="G31" s="192">
        <f ca="1">MemEntrada!H137</f>
        <v>105.9746</v>
      </c>
      <c r="H31" s="192">
        <f ca="1">MemEntrada!I137</f>
        <v>79.107799999999997</v>
      </c>
      <c r="I31" s="192">
        <f ca="1">MemEntrada!J137</f>
        <v>65.674399999999991</v>
      </c>
      <c r="J31" s="192">
        <f ca="1">MemEntrada!K137</f>
        <v>55.226199999999999</v>
      </c>
      <c r="K31" s="192">
        <f ca="1">MemEntrada!L137</f>
        <v>52.241</v>
      </c>
      <c r="L31" s="192">
        <f ca="1">MemEntrada!M137</f>
        <v>101.49679999999999</v>
      </c>
      <c r="M31" s="192">
        <f ca="1">MemEntrada!N137</f>
        <v>300.01259999999996</v>
      </c>
      <c r="N31" s="193">
        <f ca="1">MemEntrada!O137</f>
        <v>537.33600000000001</v>
      </c>
    </row>
    <row r="32" spans="2:21" s="46" customFormat="1" x14ac:dyDescent="0.25">
      <c r="B32" s="124" t="s">
        <v>28</v>
      </c>
      <c r="C32" s="191">
        <f ca="1">MemEntrada!D148</f>
        <v>669.96560000000011</v>
      </c>
      <c r="D32" s="192">
        <f ca="1">MemEntrada!E148</f>
        <v>959.60690000000011</v>
      </c>
      <c r="E32" s="192">
        <f ca="1">MemEntrada!F148</f>
        <v>1070.3017</v>
      </c>
      <c r="F32" s="192">
        <f ca="1">MemEntrada!G148</f>
        <v>934.84100000000001</v>
      </c>
      <c r="G32" s="192">
        <f ca="1">MemEntrada!H148</f>
        <v>607.86930000000007</v>
      </c>
      <c r="H32" s="192">
        <f ca="1">MemEntrada!I148</f>
        <v>328.5557</v>
      </c>
      <c r="I32" s="192">
        <f ca="1">MemEntrada!J148</f>
        <v>195.80200000000002</v>
      </c>
      <c r="J32" s="192">
        <f ca="1">MemEntrada!K148</f>
        <v>141.72219999999999</v>
      </c>
      <c r="K32" s="192">
        <f ca="1">MemEntrada!L148</f>
        <v>125.4466</v>
      </c>
      <c r="L32" s="192">
        <f ca="1">MemEntrada!M148</f>
        <v>134.33539999999999</v>
      </c>
      <c r="M32" s="192">
        <f ca="1">MemEntrada!N148</f>
        <v>189.61190000000002</v>
      </c>
      <c r="N32" s="193">
        <f ca="1">MemEntrada!O148</f>
        <v>352.39190000000002</v>
      </c>
    </row>
    <row r="33" spans="2:14" s="46" customFormat="1" x14ac:dyDescent="0.25">
      <c r="B33" s="124" t="s">
        <v>20</v>
      </c>
      <c r="C33" s="191">
        <f ca="1">MemEntrada!D155</f>
        <v>876.11249999999995</v>
      </c>
      <c r="D33" s="192">
        <f ca="1">MemEntrada!E155</f>
        <v>814.54299999999989</v>
      </c>
      <c r="E33" s="192">
        <f ca="1">MemEntrada!F155</f>
        <v>707.90930000000003</v>
      </c>
      <c r="F33" s="192">
        <f ca="1">MemEntrada!G155</f>
        <v>485.9667</v>
      </c>
      <c r="G33" s="192">
        <f ca="1">MemEntrada!H155</f>
        <v>305.98559999999998</v>
      </c>
      <c r="H33" s="192">
        <f ca="1">MemEntrada!I155</f>
        <v>240.16909999999999</v>
      </c>
      <c r="I33" s="192">
        <f ca="1">MemEntrada!J155</f>
        <v>197.78919999999999</v>
      </c>
      <c r="J33" s="192">
        <f ca="1">MemEntrada!K155</f>
        <v>165.00369999999998</v>
      </c>
      <c r="K33" s="192">
        <f ca="1">MemEntrada!L155</f>
        <v>157.38929999999999</v>
      </c>
      <c r="L33" s="192">
        <f ca="1">MemEntrada!M155</f>
        <v>206.63830000000002</v>
      </c>
      <c r="M33" s="192">
        <f ca="1">MemEntrada!N155</f>
        <v>382.47399999999999</v>
      </c>
      <c r="N33" s="193">
        <f ca="1">MemEntrada!O155</f>
        <v>687.58660000000009</v>
      </c>
    </row>
    <row r="34" spans="2:14" s="46" customFormat="1" x14ac:dyDescent="0.25">
      <c r="B34" s="127" t="s">
        <v>26</v>
      </c>
      <c r="C34" s="194">
        <f ca="1">MemEntrada!D164</f>
        <v>4678.5675999999994</v>
      </c>
      <c r="D34" s="195">
        <f ca="1">MemEntrada!E164</f>
        <v>5319.3568000000005</v>
      </c>
      <c r="E34" s="195">
        <f ca="1">MemEntrada!F164</f>
        <v>5079.9782999999998</v>
      </c>
      <c r="F34" s="195">
        <f ca="1">MemEntrada!G164</f>
        <v>3663.3053000000004</v>
      </c>
      <c r="G34" s="195">
        <f ca="1">MemEntrada!H164</f>
        <v>1878.2270000000001</v>
      </c>
      <c r="H34" s="195">
        <f ca="1">MemEntrada!I164</f>
        <v>1230.5988</v>
      </c>
      <c r="I34" s="195">
        <f ca="1">MemEntrada!J164</f>
        <v>918.65830000000005</v>
      </c>
      <c r="J34" s="195">
        <f ca="1">MemEntrada!K164</f>
        <v>714.26839999999993</v>
      </c>
      <c r="K34" s="195">
        <f ca="1">MemEntrada!L164</f>
        <v>670.66369999999995</v>
      </c>
      <c r="L34" s="195">
        <f ca="1">MemEntrada!M164</f>
        <v>958.92620000000011</v>
      </c>
      <c r="M34" s="195">
        <f ca="1">MemEntrada!N164</f>
        <v>1786.8202000000001</v>
      </c>
      <c r="N34" s="196">
        <f ca="1">MemEntrada!O164</f>
        <v>3431.9849999999997</v>
      </c>
    </row>
    <row r="35" spans="2:14" s="46" customFormat="1" x14ac:dyDescent="0.25">
      <c r="B35" s="128" t="s">
        <v>15</v>
      </c>
      <c r="C35" s="197">
        <f ca="1">MemEntrada!D179</f>
        <v>3667.0928999999996</v>
      </c>
      <c r="D35" s="198">
        <f ca="1">MemEntrada!E179</f>
        <v>4073.1866</v>
      </c>
      <c r="E35" s="198">
        <f ca="1">MemEntrada!F179</f>
        <v>3579.5592000000001</v>
      </c>
      <c r="F35" s="198">
        <f ca="1">MemEntrada!G179</f>
        <v>3116.2644999999998</v>
      </c>
      <c r="G35" s="198">
        <f ca="1">MemEntrada!H179</f>
        <v>3898.547</v>
      </c>
      <c r="H35" s="198">
        <f ca="1">MemEntrada!I179</f>
        <v>4610.8588999999993</v>
      </c>
      <c r="I35" s="198">
        <f ca="1">MemEntrada!J179</f>
        <v>4657.3197</v>
      </c>
      <c r="J35" s="198">
        <f ca="1">MemEntrada!K179</f>
        <v>3876.5623999999998</v>
      </c>
      <c r="K35" s="198">
        <f ca="1">MemEntrada!L179</f>
        <v>4564.7398999999996</v>
      </c>
      <c r="L35" s="198">
        <f ca="1">MemEntrada!M179</f>
        <v>5859.7097000000003</v>
      </c>
      <c r="M35" s="198">
        <f ca="1">MemEntrada!N179</f>
        <v>4421.9402</v>
      </c>
      <c r="N35" s="199">
        <f ca="1">MemEntrada!O179</f>
        <v>3610.9828000000007</v>
      </c>
    </row>
    <row r="36" spans="2:14" s="46" customFormat="1" x14ac:dyDescent="0.25">
      <c r="B36" s="121" t="s">
        <v>16</v>
      </c>
      <c r="C36" s="191">
        <f ca="1">MemEntrada!D191</f>
        <v>546.15089999999998</v>
      </c>
      <c r="D36" s="192">
        <f ca="1">MemEntrada!E191</f>
        <v>572.32579999999996</v>
      </c>
      <c r="E36" s="192">
        <f ca="1">MemEntrada!F191</f>
        <v>465.46389999999997</v>
      </c>
      <c r="F36" s="192">
        <f ca="1">MemEntrada!G191</f>
        <v>581.42969999999991</v>
      </c>
      <c r="G36" s="192">
        <f ca="1">MemEntrada!H191</f>
        <v>801.3078999999999</v>
      </c>
      <c r="H36" s="192">
        <f ca="1">MemEntrada!I191</f>
        <v>1007.0904</v>
      </c>
      <c r="I36" s="192">
        <f ca="1">MemEntrada!J191</f>
        <v>1193.3054</v>
      </c>
      <c r="J36" s="192">
        <f ca="1">MemEntrada!K191</f>
        <v>1228.1709999999998</v>
      </c>
      <c r="K36" s="192">
        <f ca="1">MemEntrada!L191</f>
        <v>1382.8147999999999</v>
      </c>
      <c r="L36" s="192">
        <f ca="1">MemEntrada!M191</f>
        <v>1277.9580999999998</v>
      </c>
      <c r="M36" s="192">
        <f ca="1">MemEntrada!N191</f>
        <v>865.57089999999994</v>
      </c>
      <c r="N36" s="193">
        <f ca="1">MemEntrada!O191</f>
        <v>665.18659999999988</v>
      </c>
    </row>
    <row r="37" spans="2:14" s="46" customFormat="1" x14ac:dyDescent="0.25">
      <c r="B37" s="121" t="s">
        <v>17</v>
      </c>
      <c r="C37" s="191">
        <f ca="1">MemEntrada!D206</f>
        <v>2377.9775</v>
      </c>
      <c r="D37" s="192">
        <f ca="1">MemEntrada!E206</f>
        <v>2959.0389999999998</v>
      </c>
      <c r="E37" s="192">
        <f ca="1">MemEntrada!F206</f>
        <v>2342.8031000000001</v>
      </c>
      <c r="F37" s="192">
        <f ca="1">MemEntrada!G206</f>
        <v>2432.8190999999997</v>
      </c>
      <c r="G37" s="192">
        <f ca="1">MemEntrada!H206</f>
        <v>3340.0070000000005</v>
      </c>
      <c r="H37" s="192">
        <f ca="1">MemEntrada!I206</f>
        <v>3751.4981000000007</v>
      </c>
      <c r="I37" s="192">
        <f ca="1">MemEntrada!J206</f>
        <v>4451.0473000000002</v>
      </c>
      <c r="J37" s="192">
        <f ca="1">MemEntrada!K206</f>
        <v>4652.9697000000006</v>
      </c>
      <c r="K37" s="192">
        <f ca="1">MemEntrada!L206</f>
        <v>5369.2755999999999</v>
      </c>
      <c r="L37" s="192">
        <f ca="1">MemEntrada!M206</f>
        <v>5327.7239</v>
      </c>
      <c r="M37" s="192">
        <f ca="1">MemEntrada!N206</f>
        <v>3449.0716000000002</v>
      </c>
      <c r="N37" s="193">
        <f ca="1">MemEntrada!O206</f>
        <v>2541.0038999999997</v>
      </c>
    </row>
    <row r="38" spans="2:14" s="46" customFormat="1" x14ac:dyDescent="0.25">
      <c r="B38" s="121" t="s">
        <v>18</v>
      </c>
      <c r="C38" s="191">
        <f ca="1">MemEntrada!D211</f>
        <v>163.14750000000001</v>
      </c>
      <c r="D38" s="192">
        <f ca="1">MemEntrada!E211</f>
        <v>176.19929999999999</v>
      </c>
      <c r="E38" s="192">
        <f ca="1">MemEntrada!F211</f>
        <v>156.6216</v>
      </c>
      <c r="F38" s="192">
        <f ca="1">MemEntrada!G211</f>
        <v>117.4662</v>
      </c>
      <c r="G38" s="192">
        <f ca="1">MemEntrada!H211</f>
        <v>110.94030000000001</v>
      </c>
      <c r="H38" s="192">
        <f ca="1">MemEntrada!I211</f>
        <v>110.94030000000001</v>
      </c>
      <c r="I38" s="192">
        <f ca="1">MemEntrada!J211</f>
        <v>110.94030000000001</v>
      </c>
      <c r="J38" s="192">
        <f ca="1">MemEntrada!K211</f>
        <v>91.3626</v>
      </c>
      <c r="K38" s="192">
        <f ca="1">MemEntrada!L211</f>
        <v>117.4662</v>
      </c>
      <c r="L38" s="192">
        <f ca="1">MemEntrada!M211</f>
        <v>130.518</v>
      </c>
      <c r="M38" s="192">
        <f ca="1">MemEntrada!N211</f>
        <v>123.99209999999999</v>
      </c>
      <c r="N38" s="193">
        <f ca="1">MemEntrada!O211</f>
        <v>130.518</v>
      </c>
    </row>
    <row r="39" spans="2:14" s="46" customFormat="1" x14ac:dyDescent="0.25">
      <c r="B39" s="121" t="s">
        <v>19</v>
      </c>
      <c r="C39" s="191">
        <f ca="1">MemEntrada!D216</f>
        <v>201.54680000000002</v>
      </c>
      <c r="D39" s="192">
        <f ca="1">MemEntrada!E216</f>
        <v>240.786</v>
      </c>
      <c r="E39" s="192">
        <f ca="1">MemEntrada!F216</f>
        <v>187.27800000000002</v>
      </c>
      <c r="F39" s="192">
        <f ca="1">MemEntrada!G216</f>
        <v>135.55360000000002</v>
      </c>
      <c r="G39" s="192">
        <f ca="1">MemEntrada!H216</f>
        <v>165.87479999999999</v>
      </c>
      <c r="H39" s="192">
        <f ca="1">MemEntrada!I216</f>
        <v>162.30760000000001</v>
      </c>
      <c r="I39" s="192">
        <f ca="1">MemEntrada!J216</f>
        <v>208.68120000000002</v>
      </c>
      <c r="J39" s="192">
        <f ca="1">MemEntrada!K216</f>
        <v>235.43520000000001</v>
      </c>
      <c r="K39" s="192">
        <f ca="1">MemEntrada!L216</f>
        <v>288.94319999999999</v>
      </c>
      <c r="L39" s="192">
        <f ca="1">MemEntrada!M216</f>
        <v>301.42840000000001</v>
      </c>
      <c r="M39" s="192">
        <f ca="1">MemEntrada!N216</f>
        <v>205.114</v>
      </c>
      <c r="N39" s="193">
        <f ca="1">MemEntrada!O216</f>
        <v>171.22560000000001</v>
      </c>
    </row>
    <row r="40" spans="2:14" s="46" customFormat="1" x14ac:dyDescent="0.25">
      <c r="B40" s="129" t="s">
        <v>6</v>
      </c>
      <c r="C40" s="194">
        <f ca="1">MemEntrada!D221</f>
        <v>314.90620000000001</v>
      </c>
      <c r="D40" s="195">
        <f ca="1">MemEntrada!E221</f>
        <v>327.4606</v>
      </c>
      <c r="E40" s="195">
        <f ca="1">MemEntrada!F221</f>
        <v>267.8272</v>
      </c>
      <c r="F40" s="195">
        <f ca="1">MemEntrada!G221</f>
        <v>200.87040000000002</v>
      </c>
      <c r="G40" s="195">
        <f ca="1">MemEntrada!H221</f>
        <v>244.8108</v>
      </c>
      <c r="H40" s="195">
        <f ca="1">MemEntrada!I221</f>
        <v>288.75119999999998</v>
      </c>
      <c r="I40" s="195">
        <f ca="1">MemEntrada!J221</f>
        <v>296.07460000000003</v>
      </c>
      <c r="J40" s="195">
        <f ca="1">MemEntrada!K221</f>
        <v>238.53360000000001</v>
      </c>
      <c r="K40" s="195">
        <f ca="1">MemEntrada!L221</f>
        <v>274.1044</v>
      </c>
      <c r="L40" s="195">
        <f ca="1">MemEntrada!M221</f>
        <v>356.75420000000003</v>
      </c>
      <c r="M40" s="195">
        <f ca="1">MemEntrada!N221</f>
        <v>291.88979999999998</v>
      </c>
      <c r="N40" s="196">
        <f ca="1">MemEntrada!O221</f>
        <v>262.59620000000001</v>
      </c>
    </row>
    <row r="41" spans="2:14" s="46" customFormat="1" x14ac:dyDescent="0.25">
      <c r="B41" s="130" t="s">
        <v>21</v>
      </c>
      <c r="C41" s="197">
        <f ca="1">MemEntrada!D233</f>
        <v>13178.6664</v>
      </c>
      <c r="D41" s="198">
        <f ca="1">MemEntrada!E233</f>
        <v>14041.2174</v>
      </c>
      <c r="E41" s="198">
        <f ca="1">MemEntrada!F233</f>
        <v>14037.199799999999</v>
      </c>
      <c r="F41" s="198">
        <f ca="1">MemEntrada!G233</f>
        <v>11452.182700000001</v>
      </c>
      <c r="G41" s="198">
        <f ca="1">MemEntrada!H233</f>
        <v>6926.2161000000006</v>
      </c>
      <c r="H41" s="198">
        <f ca="1">MemEntrada!I233</f>
        <v>4541.4027000000006</v>
      </c>
      <c r="I41" s="198">
        <f ca="1">MemEntrada!J233</f>
        <v>3724.6857</v>
      </c>
      <c r="J41" s="198">
        <f ca="1">MemEntrada!K233</f>
        <v>3246.7049999999999</v>
      </c>
      <c r="K41" s="198">
        <f ca="1">MemEntrada!L233</f>
        <v>2902.1925000000001</v>
      </c>
      <c r="L41" s="198">
        <f ca="1">MemEntrada!M233</f>
        <v>3128.0005000000001</v>
      </c>
      <c r="M41" s="198">
        <f ca="1">MemEntrada!N233</f>
        <v>4975.3161</v>
      </c>
      <c r="N41" s="199">
        <f ca="1">MemEntrada!O233</f>
        <v>9187.1790000000001</v>
      </c>
    </row>
    <row r="42" spans="2:14" s="46" customFormat="1" x14ac:dyDescent="0.25">
      <c r="B42" s="122" t="s">
        <v>25</v>
      </c>
      <c r="C42" s="191">
        <f ca="1">MemEntrada!D238</f>
        <v>592.8202</v>
      </c>
      <c r="D42" s="192">
        <f ca="1">MemEntrada!E238</f>
        <v>434.92619999999999</v>
      </c>
      <c r="E42" s="192">
        <f ca="1">MemEntrada!F238</f>
        <v>359.5677</v>
      </c>
      <c r="F42" s="192">
        <f ca="1">MemEntrada!G238</f>
        <v>246.8888</v>
      </c>
      <c r="G42" s="192">
        <f ca="1">MemEntrada!H238</f>
        <v>149.99930000000001</v>
      </c>
      <c r="H42" s="192">
        <f ca="1">MemEntrada!I238</f>
        <v>119.1382</v>
      </c>
      <c r="I42" s="192">
        <f ca="1">MemEntrada!J238</f>
        <v>100.47799999999999</v>
      </c>
      <c r="J42" s="192">
        <f ca="1">MemEntrada!K238</f>
        <v>84.688599999999994</v>
      </c>
      <c r="K42" s="192">
        <f ca="1">MemEntrada!L238</f>
        <v>77.511600000000001</v>
      </c>
      <c r="L42" s="192">
        <f ca="1">MemEntrada!M238</f>
        <v>124.1621</v>
      </c>
      <c r="M42" s="192">
        <f ca="1">MemEntrada!N238</f>
        <v>340.18979999999999</v>
      </c>
      <c r="N42" s="193">
        <f ca="1">MemEntrada!O238</f>
        <v>640.1884</v>
      </c>
    </row>
    <row r="43" spans="2:14" s="46" customFormat="1" x14ac:dyDescent="0.25">
      <c r="B43" s="122" t="s">
        <v>22</v>
      </c>
      <c r="C43" s="191">
        <f ca="1">MemEntrada!D243</f>
        <v>243.2226</v>
      </c>
      <c r="D43" s="192">
        <f ca="1">MemEntrada!E243</f>
        <v>269.99939999999998</v>
      </c>
      <c r="E43" s="192">
        <f ca="1">MemEntrada!F243</f>
        <v>286.363</v>
      </c>
      <c r="F43" s="192">
        <f ca="1">MemEntrada!G243</f>
        <v>252.892</v>
      </c>
      <c r="G43" s="192">
        <f ca="1">MemEntrada!H243</f>
        <v>163.636</v>
      </c>
      <c r="H43" s="192">
        <f ca="1">MemEntrada!I243</f>
        <v>113.4295</v>
      </c>
      <c r="I43" s="192">
        <f ca="1">MemEntrada!J243</f>
        <v>97.809700000000007</v>
      </c>
      <c r="J43" s="192">
        <f ca="1">MemEntrada!K243</f>
        <v>89.627899999999997</v>
      </c>
      <c r="K43" s="192">
        <f ca="1">MemEntrada!L243</f>
        <v>87.7684</v>
      </c>
      <c r="L43" s="192">
        <f ca="1">MemEntrada!M243</f>
        <v>107.10720000000001</v>
      </c>
      <c r="M43" s="192">
        <f ca="1">MemEntrada!N243</f>
        <v>148.76</v>
      </c>
      <c r="N43" s="193">
        <f ca="1">MemEntrada!O243</f>
        <v>198.2227</v>
      </c>
    </row>
    <row r="44" spans="2:14" s="46" customFormat="1" x14ac:dyDescent="0.25">
      <c r="B44" s="131" t="s">
        <v>23</v>
      </c>
      <c r="C44" s="194">
        <f ca="1">MemEntrada!D248</f>
        <v>145.42320000000001</v>
      </c>
      <c r="D44" s="195">
        <f ca="1">MemEntrada!E248</f>
        <v>146.34360000000001</v>
      </c>
      <c r="E44" s="195">
        <f ca="1">MemEntrada!F248</f>
        <v>146.34360000000001</v>
      </c>
      <c r="F44" s="195">
        <f ca="1">MemEntrada!G248</f>
        <v>121.4928</v>
      </c>
      <c r="G44" s="195">
        <f ca="1">MemEntrada!H248</f>
        <v>73.632000000000005</v>
      </c>
      <c r="H44" s="195">
        <f ca="1">MemEntrada!I248</f>
        <v>50.622</v>
      </c>
      <c r="I44" s="195">
        <f ca="1">MemEntrada!J248</f>
        <v>50.622</v>
      </c>
      <c r="J44" s="195">
        <f ca="1">MemEntrada!K248</f>
        <v>40.497599999999998</v>
      </c>
      <c r="K44" s="195">
        <f ca="1">MemEntrada!L248</f>
        <v>27.611999999999998</v>
      </c>
      <c r="L44" s="195">
        <f ca="1">MemEntrada!M248</f>
        <v>33.134399999999999</v>
      </c>
      <c r="M44" s="195">
        <f ca="1">MemEntrada!N248</f>
        <v>88.358400000000003</v>
      </c>
      <c r="N44" s="196">
        <f ca="1">MemEntrada!O248</f>
        <v>185.00040000000001</v>
      </c>
    </row>
    <row r="45" spans="2:14" s="46" customFormat="1" x14ac:dyDescent="0.25">
      <c r="B45" s="125" t="s">
        <v>27</v>
      </c>
      <c r="C45" s="200">
        <f ca="1">MemEntrada!D258</f>
        <v>9691.5325999999986</v>
      </c>
      <c r="D45" s="201">
        <f ca="1">MemEntrada!E258</f>
        <v>12916.3688</v>
      </c>
      <c r="E45" s="201">
        <f ca="1">MemEntrada!F258</f>
        <v>14917.779400000001</v>
      </c>
      <c r="F45" s="201">
        <f ca="1">MemEntrada!G258</f>
        <v>14624.3822</v>
      </c>
      <c r="G45" s="201">
        <f ca="1">MemEntrada!H258</f>
        <v>9385.3372000000018</v>
      </c>
      <c r="H45" s="201">
        <f ca="1">MemEntrada!I258</f>
        <v>4484.1118000000006</v>
      </c>
      <c r="I45" s="201">
        <f ca="1">MemEntrada!J258</f>
        <v>2642.2835999999998</v>
      </c>
      <c r="J45" s="201">
        <f ca="1">MemEntrada!K258</f>
        <v>1877.5394000000001</v>
      </c>
      <c r="K45" s="201">
        <f ca="1">MemEntrada!L258</f>
        <v>1510.4126000000001</v>
      </c>
      <c r="L45" s="201">
        <f ca="1">MemEntrada!M258</f>
        <v>1735.8820000000001</v>
      </c>
      <c r="M45" s="201">
        <f ca="1">MemEntrada!N258</f>
        <v>2903.7176000000004</v>
      </c>
      <c r="N45" s="202">
        <f ca="1">MemEntrada!O258</f>
        <v>5658.1788000000006</v>
      </c>
    </row>
    <row r="46" spans="2:14" s="46" customFormat="1" x14ac:dyDescent="0.25">
      <c r="B46" s="125" t="s">
        <v>29</v>
      </c>
      <c r="C46" s="191">
        <f ca="1">MemEntrada!D265</f>
        <v>262.9821</v>
      </c>
      <c r="D46" s="192">
        <f ca="1">MemEntrada!E265</f>
        <v>403.46780000000001</v>
      </c>
      <c r="E46" s="192">
        <f ca="1">MemEntrada!F265</f>
        <v>521.56349999999998</v>
      </c>
      <c r="F46" s="192">
        <f ca="1">MemEntrada!G265</f>
        <v>696.20180000000005</v>
      </c>
      <c r="G46" s="192">
        <f ca="1">MemEntrada!H265</f>
        <v>798.19650000000001</v>
      </c>
      <c r="H46" s="192">
        <f ca="1">MemEntrada!I265</f>
        <v>744.55320000000006</v>
      </c>
      <c r="I46" s="192">
        <f ca="1">MemEntrada!J265</f>
        <v>508.15870000000001</v>
      </c>
      <c r="J46" s="192">
        <f ca="1">MemEntrada!K265</f>
        <v>335.29820000000001</v>
      </c>
      <c r="K46" s="192">
        <f ca="1">MemEntrada!L265</f>
        <v>224.87110000000001</v>
      </c>
      <c r="L46" s="192">
        <f ca="1">MemEntrada!M265</f>
        <v>152.5256</v>
      </c>
      <c r="M46" s="192">
        <f ca="1">MemEntrada!N265</f>
        <v>130.39240000000001</v>
      </c>
      <c r="N46" s="193">
        <f ca="1">MemEntrada!O265</f>
        <v>161.0222</v>
      </c>
    </row>
    <row r="47" spans="2:14" s="46" customFormat="1" ht="15.75" thickBot="1" x14ac:dyDescent="0.3">
      <c r="B47" s="123" t="s">
        <v>289</v>
      </c>
      <c r="C47" s="203">
        <f ca="1">MemEntrada!D271</f>
        <v>83.464199999999991</v>
      </c>
      <c r="D47" s="204">
        <f ca="1">MemEntrada!E271</f>
        <v>155.98740000000001</v>
      </c>
      <c r="E47" s="204">
        <f ca="1">MemEntrada!F271</f>
        <v>237.8886</v>
      </c>
      <c r="F47" s="204">
        <f ca="1">MemEntrada!G271</f>
        <v>294.4692</v>
      </c>
      <c r="G47" s="204">
        <f ca="1">MemEntrada!H271</f>
        <v>314.78819999999996</v>
      </c>
      <c r="H47" s="204">
        <f ca="1">MemEntrada!I271</f>
        <v>249.45479999999998</v>
      </c>
      <c r="I47" s="204">
        <f ca="1">MemEntrada!J271</f>
        <v>184.12139999999999</v>
      </c>
      <c r="J47" s="204">
        <f ca="1">MemEntrada!K271</f>
        <v>124.2585</v>
      </c>
      <c r="K47" s="204">
        <f ca="1">MemEntrada!L271</f>
        <v>71.897999999999996</v>
      </c>
      <c r="L47" s="204">
        <f ca="1">MemEntrada!M271</f>
        <v>43.607700000000001</v>
      </c>
      <c r="M47" s="204">
        <f ca="1">MemEntrada!N271</f>
        <v>31.259999999999998</v>
      </c>
      <c r="N47" s="205">
        <f ca="1">MemEntrada!O271</f>
        <v>36.261600000000001</v>
      </c>
    </row>
    <row r="48" spans="2:14" s="46" customFormat="1" x14ac:dyDescent="0.25">
      <c r="F48" s="60"/>
      <c r="G48" s="60"/>
      <c r="H48" s="60"/>
      <c r="I48" s="60"/>
      <c r="J48" s="60"/>
      <c r="K48" s="60"/>
      <c r="L48" s="60"/>
      <c r="M48" s="60"/>
      <c r="N48" s="60"/>
    </row>
    <row r="49" spans="1:14" x14ac:dyDescent="0.25">
      <c r="A49" s="46"/>
      <c r="B49" s="46"/>
      <c r="C49" s="46"/>
      <c r="D49" s="46"/>
      <c r="E49" s="46"/>
      <c r="F49" s="60"/>
      <c r="G49" s="60"/>
      <c r="H49" s="60"/>
      <c r="I49" s="60"/>
      <c r="J49" s="60"/>
      <c r="K49" s="60"/>
      <c r="L49" s="60"/>
      <c r="M49" s="60"/>
      <c r="N49" s="60"/>
    </row>
    <row r="50" spans="1:14" x14ac:dyDescent="0.25">
      <c r="A50" s="46"/>
      <c r="B50" s="46"/>
      <c r="C50" s="46"/>
      <c r="D50" s="46"/>
      <c r="E50" s="46"/>
      <c r="F50" s="60"/>
      <c r="G50" s="60"/>
      <c r="H50" s="60"/>
      <c r="I50" s="60"/>
      <c r="J50" s="60"/>
      <c r="K50" s="60"/>
      <c r="L50" s="60"/>
      <c r="M50" s="60"/>
      <c r="N50" s="60"/>
    </row>
    <row r="51" spans="1:14" x14ac:dyDescent="0.25">
      <c r="A51" s="46"/>
      <c r="B51" s="46"/>
      <c r="C51" s="46"/>
      <c r="D51" s="46"/>
      <c r="E51" s="46"/>
      <c r="F51" s="46"/>
      <c r="G51" s="60"/>
      <c r="H51" s="60"/>
      <c r="I51" s="60"/>
      <c r="J51" s="60"/>
      <c r="K51" s="60"/>
      <c r="L51" s="60"/>
      <c r="M51" s="60"/>
      <c r="N51" s="60"/>
    </row>
    <row r="52" spans="1:14" x14ac:dyDescent="0.25">
      <c r="A52" s="136" t="s">
        <v>38</v>
      </c>
      <c r="B52" s="136" t="s">
        <v>530</v>
      </c>
      <c r="C52" s="136" t="s">
        <v>518</v>
      </c>
      <c r="D52" s="136" t="s">
        <v>519</v>
      </c>
      <c r="E52" s="136" t="s">
        <v>520</v>
      </c>
      <c r="F52" s="136" t="s">
        <v>521</v>
      </c>
      <c r="G52" s="136" t="s">
        <v>522</v>
      </c>
      <c r="H52" s="136" t="s">
        <v>523</v>
      </c>
      <c r="I52" s="136" t="s">
        <v>524</v>
      </c>
      <c r="J52" s="136" t="s">
        <v>525</v>
      </c>
      <c r="K52" s="136" t="s">
        <v>526</v>
      </c>
      <c r="L52" s="136" t="s">
        <v>527</v>
      </c>
      <c r="M52" s="136" t="s">
        <v>528</v>
      </c>
      <c r="N52" s="136" t="s">
        <v>529</v>
      </c>
    </row>
    <row r="53" spans="1:14" x14ac:dyDescent="0.25">
      <c r="A53" s="113">
        <v>1</v>
      </c>
      <c r="B53" s="113" t="s">
        <v>42</v>
      </c>
      <c r="C53" s="113">
        <v>254</v>
      </c>
      <c r="D53" s="113">
        <v>230</v>
      </c>
      <c r="E53" s="113">
        <v>204</v>
      </c>
      <c r="F53" s="113">
        <v>139</v>
      </c>
      <c r="G53" s="113">
        <v>105</v>
      </c>
      <c r="H53" s="113">
        <v>89</v>
      </c>
      <c r="I53" s="113">
        <v>74</v>
      </c>
      <c r="J53" s="113">
        <v>64</v>
      </c>
      <c r="K53" s="113">
        <v>67</v>
      </c>
      <c r="L53" s="113">
        <v>79</v>
      </c>
      <c r="M53" s="113">
        <v>111</v>
      </c>
      <c r="N53" s="113">
        <v>182</v>
      </c>
    </row>
    <row r="54" spans="1:14" x14ac:dyDescent="0.25">
      <c r="A54" s="113">
        <v>2</v>
      </c>
      <c r="B54" s="113" t="s">
        <v>43</v>
      </c>
      <c r="C54" s="113">
        <v>254</v>
      </c>
      <c r="D54" s="113">
        <v>230</v>
      </c>
      <c r="E54" s="113">
        <v>204</v>
      </c>
      <c r="F54" s="113">
        <v>139</v>
      </c>
      <c r="G54" s="113">
        <v>105</v>
      </c>
      <c r="H54" s="113">
        <v>89</v>
      </c>
      <c r="I54" s="113">
        <v>74</v>
      </c>
      <c r="J54" s="113">
        <v>64</v>
      </c>
      <c r="K54" s="113">
        <v>67</v>
      </c>
      <c r="L54" s="113">
        <v>79</v>
      </c>
      <c r="M54" s="113">
        <v>111</v>
      </c>
      <c r="N54" s="113">
        <v>182</v>
      </c>
    </row>
    <row r="55" spans="1:14" x14ac:dyDescent="0.25">
      <c r="A55" s="113">
        <v>6</v>
      </c>
      <c r="B55" s="113" t="s">
        <v>30</v>
      </c>
      <c r="C55" s="113">
        <v>1782</v>
      </c>
      <c r="D55" s="113">
        <v>1653</v>
      </c>
      <c r="E55" s="113">
        <v>1470</v>
      </c>
      <c r="F55" s="113">
        <v>1010</v>
      </c>
      <c r="G55" s="113">
        <v>738</v>
      </c>
      <c r="H55" s="113">
        <v>616</v>
      </c>
      <c r="I55" s="113">
        <v>506</v>
      </c>
      <c r="J55" s="113">
        <v>416</v>
      </c>
      <c r="K55" s="113">
        <v>433</v>
      </c>
      <c r="L55" s="113">
        <v>511</v>
      </c>
      <c r="M55" s="113">
        <v>722</v>
      </c>
      <c r="N55" s="113">
        <v>1244</v>
      </c>
    </row>
    <row r="56" spans="1:14" x14ac:dyDescent="0.25">
      <c r="A56" s="113">
        <v>7</v>
      </c>
      <c r="B56" s="113" t="s">
        <v>706</v>
      </c>
      <c r="C56" s="113">
        <v>1986</v>
      </c>
      <c r="D56" s="113">
        <v>1860</v>
      </c>
      <c r="E56" s="113">
        <v>1656</v>
      </c>
      <c r="F56" s="113">
        <v>1139</v>
      </c>
      <c r="G56" s="113">
        <v>830</v>
      </c>
      <c r="H56" s="113">
        <v>688</v>
      </c>
      <c r="I56" s="113">
        <v>565</v>
      </c>
      <c r="J56" s="113">
        <v>464</v>
      </c>
      <c r="K56" s="113">
        <v>480</v>
      </c>
      <c r="L56" s="113">
        <v>567</v>
      </c>
      <c r="M56" s="113">
        <v>796</v>
      </c>
      <c r="N56" s="113">
        <v>1370</v>
      </c>
    </row>
    <row r="57" spans="1:14" x14ac:dyDescent="0.25">
      <c r="A57" s="113">
        <v>8</v>
      </c>
      <c r="B57" s="113" t="s">
        <v>46</v>
      </c>
      <c r="C57" s="113">
        <v>2029</v>
      </c>
      <c r="D57" s="113">
        <v>1910</v>
      </c>
      <c r="E57" s="113">
        <v>1702</v>
      </c>
      <c r="F57" s="113">
        <v>1175</v>
      </c>
      <c r="G57" s="113">
        <v>854</v>
      </c>
      <c r="H57" s="113">
        <v>707</v>
      </c>
      <c r="I57" s="113">
        <v>580</v>
      </c>
      <c r="J57" s="113">
        <v>475</v>
      </c>
      <c r="K57" s="113">
        <v>490</v>
      </c>
      <c r="L57" s="113">
        <v>578</v>
      </c>
      <c r="M57" s="113">
        <v>811</v>
      </c>
      <c r="N57" s="113">
        <v>1392</v>
      </c>
    </row>
    <row r="58" spans="1:14" x14ac:dyDescent="0.25">
      <c r="A58" s="113">
        <v>9</v>
      </c>
      <c r="B58" s="113" t="s">
        <v>47</v>
      </c>
      <c r="C58" s="113">
        <v>2046</v>
      </c>
      <c r="D58" s="113">
        <v>1932</v>
      </c>
      <c r="E58" s="113">
        <v>1722</v>
      </c>
      <c r="F58" s="113">
        <v>1192</v>
      </c>
      <c r="G58" s="113">
        <v>864</v>
      </c>
      <c r="H58" s="113">
        <v>715</v>
      </c>
      <c r="I58" s="113">
        <v>586</v>
      </c>
      <c r="J58" s="113">
        <v>480</v>
      </c>
      <c r="K58" s="113">
        <v>494</v>
      </c>
      <c r="L58" s="113">
        <v>583</v>
      </c>
      <c r="M58" s="113">
        <v>816</v>
      </c>
      <c r="N58" s="113">
        <v>1399</v>
      </c>
    </row>
    <row r="59" spans="1:14" x14ac:dyDescent="0.25">
      <c r="A59" s="113">
        <v>10</v>
      </c>
      <c r="B59" s="113" t="s">
        <v>48</v>
      </c>
      <c r="C59" s="113">
        <v>2096</v>
      </c>
      <c r="D59" s="113">
        <v>1994</v>
      </c>
      <c r="E59" s="113">
        <v>1777</v>
      </c>
      <c r="F59" s="113">
        <v>1236</v>
      </c>
      <c r="G59" s="113">
        <v>891</v>
      </c>
      <c r="H59" s="113">
        <v>736</v>
      </c>
      <c r="I59" s="113">
        <v>603</v>
      </c>
      <c r="J59" s="113">
        <v>494</v>
      </c>
      <c r="K59" s="113">
        <v>506</v>
      </c>
      <c r="L59" s="113">
        <v>596</v>
      </c>
      <c r="M59" s="113">
        <v>832</v>
      </c>
      <c r="N59" s="113">
        <v>1423</v>
      </c>
    </row>
    <row r="60" spans="1:14" x14ac:dyDescent="0.25">
      <c r="A60" s="113">
        <v>11</v>
      </c>
      <c r="B60" s="113" t="s">
        <v>707</v>
      </c>
      <c r="C60" s="113">
        <v>2210</v>
      </c>
      <c r="D60" s="113">
        <v>2123</v>
      </c>
      <c r="E60" s="113">
        <v>1895</v>
      </c>
      <c r="F60" s="113">
        <v>1328</v>
      </c>
      <c r="G60" s="113">
        <v>952</v>
      </c>
      <c r="H60" s="113">
        <v>785</v>
      </c>
      <c r="I60" s="113">
        <v>641</v>
      </c>
      <c r="J60" s="113">
        <v>524</v>
      </c>
      <c r="K60" s="113">
        <v>533</v>
      </c>
      <c r="L60" s="113">
        <v>627</v>
      </c>
      <c r="M60" s="113">
        <v>873</v>
      </c>
      <c r="N60" s="113">
        <v>1487</v>
      </c>
    </row>
    <row r="61" spans="1:14" x14ac:dyDescent="0.25">
      <c r="A61" s="113">
        <v>12</v>
      </c>
      <c r="B61" s="113" t="s">
        <v>708</v>
      </c>
      <c r="C61" s="113">
        <v>2494</v>
      </c>
      <c r="D61" s="113">
        <v>2425</v>
      </c>
      <c r="E61" s="113">
        <v>2172</v>
      </c>
      <c r="F61" s="113">
        <v>1534</v>
      </c>
      <c r="G61" s="113">
        <v>1094</v>
      </c>
      <c r="H61" s="113">
        <v>896</v>
      </c>
      <c r="I61" s="113">
        <v>728</v>
      </c>
      <c r="J61" s="113">
        <v>594</v>
      </c>
      <c r="K61" s="113">
        <v>598</v>
      </c>
      <c r="L61" s="113">
        <v>705</v>
      </c>
      <c r="M61" s="113">
        <v>979</v>
      </c>
      <c r="N61" s="113">
        <v>1662</v>
      </c>
    </row>
    <row r="62" spans="1:14" x14ac:dyDescent="0.25">
      <c r="A62" s="113">
        <v>14</v>
      </c>
      <c r="B62" s="113" t="s">
        <v>51</v>
      </c>
      <c r="C62" s="113">
        <v>98</v>
      </c>
      <c r="D62" s="113">
        <v>100</v>
      </c>
      <c r="E62" s="113">
        <v>87</v>
      </c>
      <c r="F62" s="113">
        <v>60</v>
      </c>
      <c r="G62" s="113">
        <v>44</v>
      </c>
      <c r="H62" s="113">
        <v>36</v>
      </c>
      <c r="I62" s="113">
        <v>29</v>
      </c>
      <c r="J62" s="113">
        <v>25</v>
      </c>
      <c r="K62" s="113">
        <v>25</v>
      </c>
      <c r="L62" s="113">
        <v>31</v>
      </c>
      <c r="M62" s="113">
        <v>40</v>
      </c>
      <c r="N62" s="113">
        <v>70</v>
      </c>
    </row>
    <row r="63" spans="1:14" x14ac:dyDescent="0.25">
      <c r="A63" s="113">
        <v>15</v>
      </c>
      <c r="B63" s="113" t="s">
        <v>709</v>
      </c>
      <c r="C63" s="113">
        <v>160</v>
      </c>
      <c r="D63" s="113">
        <v>164</v>
      </c>
      <c r="E63" s="113">
        <v>142</v>
      </c>
      <c r="F63" s="113">
        <v>97</v>
      </c>
      <c r="G63" s="113">
        <v>71</v>
      </c>
      <c r="H63" s="113">
        <v>59</v>
      </c>
      <c r="I63" s="113">
        <v>49</v>
      </c>
      <c r="J63" s="113">
        <v>41</v>
      </c>
      <c r="K63" s="113">
        <v>42</v>
      </c>
      <c r="L63" s="113">
        <v>51</v>
      </c>
      <c r="M63" s="113">
        <v>64</v>
      </c>
      <c r="N63" s="113">
        <v>114</v>
      </c>
    </row>
    <row r="64" spans="1:14" x14ac:dyDescent="0.25">
      <c r="A64" s="113">
        <v>16</v>
      </c>
      <c r="B64" s="113" t="s">
        <v>710</v>
      </c>
      <c r="C64" s="113">
        <v>162</v>
      </c>
      <c r="D64" s="113">
        <v>167</v>
      </c>
      <c r="E64" s="113">
        <v>145</v>
      </c>
      <c r="F64" s="113">
        <v>99</v>
      </c>
      <c r="G64" s="113">
        <v>72</v>
      </c>
      <c r="H64" s="113">
        <v>60</v>
      </c>
      <c r="I64" s="113">
        <v>49</v>
      </c>
      <c r="J64" s="113">
        <v>42</v>
      </c>
      <c r="K64" s="113">
        <v>43</v>
      </c>
      <c r="L64" s="113">
        <v>52</v>
      </c>
      <c r="M64" s="113">
        <v>65</v>
      </c>
      <c r="N64" s="113">
        <v>116</v>
      </c>
    </row>
    <row r="65" spans="1:14" x14ac:dyDescent="0.25">
      <c r="A65" s="113">
        <v>17</v>
      </c>
      <c r="B65" s="113" t="s">
        <v>54</v>
      </c>
      <c r="C65" s="113">
        <v>3311</v>
      </c>
      <c r="D65" s="113">
        <v>3391</v>
      </c>
      <c r="E65" s="113">
        <v>3037</v>
      </c>
      <c r="F65" s="113">
        <v>2195</v>
      </c>
      <c r="G65" s="113">
        <v>1574</v>
      </c>
      <c r="H65" s="113">
        <v>1314</v>
      </c>
      <c r="I65" s="113">
        <v>1074</v>
      </c>
      <c r="J65" s="113">
        <v>891</v>
      </c>
      <c r="K65" s="113">
        <v>882</v>
      </c>
      <c r="L65" s="113">
        <v>1014</v>
      </c>
      <c r="M65" s="113">
        <v>1352</v>
      </c>
      <c r="N65" s="113">
        <v>2233</v>
      </c>
    </row>
    <row r="66" spans="1:14" x14ac:dyDescent="0.25">
      <c r="A66" s="113">
        <v>18</v>
      </c>
      <c r="B66" s="113" t="s">
        <v>711</v>
      </c>
      <c r="C66" s="113">
        <v>3688</v>
      </c>
      <c r="D66" s="113">
        <v>3840</v>
      </c>
      <c r="E66" s="113">
        <v>3458</v>
      </c>
      <c r="F66" s="113">
        <v>2518</v>
      </c>
      <c r="G66" s="113">
        <v>1797</v>
      </c>
      <c r="H66" s="113">
        <v>1506</v>
      </c>
      <c r="I66" s="113">
        <v>1233</v>
      </c>
      <c r="J66" s="113">
        <v>1028</v>
      </c>
      <c r="K66" s="113">
        <v>1011</v>
      </c>
      <c r="L66" s="113">
        <v>1163</v>
      </c>
      <c r="M66" s="113">
        <v>1520</v>
      </c>
      <c r="N66" s="113">
        <v>2466</v>
      </c>
    </row>
    <row r="67" spans="1:14" x14ac:dyDescent="0.25">
      <c r="A67" s="113">
        <v>20</v>
      </c>
      <c r="B67" s="113" t="s">
        <v>712</v>
      </c>
      <c r="C67" s="113">
        <v>331</v>
      </c>
      <c r="D67" s="113">
        <v>332</v>
      </c>
      <c r="E67" s="113">
        <v>301</v>
      </c>
      <c r="F67" s="113">
        <v>215</v>
      </c>
      <c r="G67" s="113">
        <v>136</v>
      </c>
      <c r="H67" s="113">
        <v>104</v>
      </c>
      <c r="I67" s="113">
        <v>82</v>
      </c>
      <c r="J67" s="113">
        <v>65</v>
      </c>
      <c r="K67" s="113">
        <v>56</v>
      </c>
      <c r="L67" s="113">
        <v>70</v>
      </c>
      <c r="M67" s="113">
        <v>122</v>
      </c>
      <c r="N67" s="113">
        <v>236</v>
      </c>
    </row>
    <row r="68" spans="1:14" x14ac:dyDescent="0.25">
      <c r="A68" s="113">
        <v>22</v>
      </c>
      <c r="B68" s="113" t="s">
        <v>60</v>
      </c>
      <c r="C68" s="113">
        <v>193</v>
      </c>
      <c r="D68" s="113">
        <v>196</v>
      </c>
      <c r="E68" s="113">
        <v>199</v>
      </c>
      <c r="F68" s="113">
        <v>150</v>
      </c>
      <c r="G68" s="113">
        <v>96</v>
      </c>
      <c r="H68" s="113">
        <v>73</v>
      </c>
      <c r="I68" s="113">
        <v>58</v>
      </c>
      <c r="J68" s="113">
        <v>45</v>
      </c>
      <c r="K68" s="113">
        <v>39</v>
      </c>
      <c r="L68" s="113">
        <v>46</v>
      </c>
      <c r="M68" s="113">
        <v>78</v>
      </c>
      <c r="N68" s="113">
        <v>146</v>
      </c>
    </row>
    <row r="69" spans="1:14" x14ac:dyDescent="0.25">
      <c r="A69" s="113">
        <v>23</v>
      </c>
      <c r="B69" s="113" t="s">
        <v>66</v>
      </c>
      <c r="C69" s="113">
        <v>273</v>
      </c>
      <c r="D69" s="113">
        <v>299</v>
      </c>
      <c r="E69" s="113">
        <v>299</v>
      </c>
      <c r="F69" s="113">
        <v>234</v>
      </c>
      <c r="G69" s="113">
        <v>148</v>
      </c>
      <c r="H69" s="113">
        <v>109</v>
      </c>
      <c r="I69" s="113">
        <v>85</v>
      </c>
      <c r="J69" s="113">
        <v>67</v>
      </c>
      <c r="K69" s="113">
        <v>58</v>
      </c>
      <c r="L69" s="113">
        <v>76</v>
      </c>
      <c r="M69" s="113">
        <v>125</v>
      </c>
      <c r="N69" s="113">
        <v>201</v>
      </c>
    </row>
    <row r="70" spans="1:14" x14ac:dyDescent="0.25">
      <c r="A70" s="113">
        <v>24</v>
      </c>
      <c r="B70" s="113" t="s">
        <v>31</v>
      </c>
      <c r="C70" s="113">
        <v>903</v>
      </c>
      <c r="D70" s="113">
        <v>899</v>
      </c>
      <c r="E70" s="113">
        <v>860</v>
      </c>
      <c r="F70" s="113">
        <v>626</v>
      </c>
      <c r="G70" s="113">
        <v>397</v>
      </c>
      <c r="H70" s="113">
        <v>306</v>
      </c>
      <c r="I70" s="113">
        <v>245</v>
      </c>
      <c r="J70" s="113">
        <v>196</v>
      </c>
      <c r="K70" s="113">
        <v>173</v>
      </c>
      <c r="L70" s="113">
        <v>207</v>
      </c>
      <c r="M70" s="113">
        <v>353</v>
      </c>
      <c r="N70" s="113">
        <v>658</v>
      </c>
    </row>
    <row r="71" spans="1:14" x14ac:dyDescent="0.25">
      <c r="A71" s="113">
        <v>25</v>
      </c>
      <c r="B71" s="113" t="s">
        <v>32</v>
      </c>
      <c r="C71" s="113">
        <v>530</v>
      </c>
      <c r="D71" s="113">
        <v>532</v>
      </c>
      <c r="E71" s="113">
        <v>499</v>
      </c>
      <c r="F71" s="113">
        <v>375</v>
      </c>
      <c r="G71" s="113">
        <v>257</v>
      </c>
      <c r="H71" s="113">
        <v>201</v>
      </c>
      <c r="I71" s="113">
        <v>166</v>
      </c>
      <c r="J71" s="113">
        <v>135</v>
      </c>
      <c r="K71" s="113">
        <v>123</v>
      </c>
      <c r="L71" s="113">
        <v>152</v>
      </c>
      <c r="M71" s="113">
        <v>224</v>
      </c>
      <c r="N71" s="113">
        <v>376</v>
      </c>
    </row>
    <row r="72" spans="1:14" x14ac:dyDescent="0.25">
      <c r="A72" s="113">
        <v>28</v>
      </c>
      <c r="B72" s="113" t="s">
        <v>713</v>
      </c>
      <c r="C72" s="113">
        <v>644</v>
      </c>
      <c r="D72" s="113">
        <v>653</v>
      </c>
      <c r="E72" s="113">
        <v>614</v>
      </c>
      <c r="F72" s="113">
        <v>469</v>
      </c>
      <c r="G72" s="113">
        <v>321</v>
      </c>
      <c r="H72" s="113">
        <v>251</v>
      </c>
      <c r="I72" s="113">
        <v>208</v>
      </c>
      <c r="J72" s="113">
        <v>173</v>
      </c>
      <c r="K72" s="113">
        <v>159</v>
      </c>
      <c r="L72" s="113">
        <v>191</v>
      </c>
      <c r="M72" s="113">
        <v>279</v>
      </c>
      <c r="N72" s="113">
        <v>458</v>
      </c>
    </row>
    <row r="73" spans="1:14" x14ac:dyDescent="0.25">
      <c r="A73" s="113">
        <v>31</v>
      </c>
      <c r="B73" s="113" t="s">
        <v>68</v>
      </c>
      <c r="C73" s="113">
        <v>2741</v>
      </c>
      <c r="D73" s="113">
        <v>2834</v>
      </c>
      <c r="E73" s="113">
        <v>2757</v>
      </c>
      <c r="F73" s="113">
        <v>2060</v>
      </c>
      <c r="G73" s="113">
        <v>1331</v>
      </c>
      <c r="H73" s="113">
        <v>1029</v>
      </c>
      <c r="I73" s="113">
        <v>818</v>
      </c>
      <c r="J73" s="113">
        <v>656</v>
      </c>
      <c r="K73" s="113">
        <v>582</v>
      </c>
      <c r="L73" s="113">
        <v>707</v>
      </c>
      <c r="M73" s="113">
        <v>1138</v>
      </c>
      <c r="N73" s="113">
        <v>1973</v>
      </c>
    </row>
    <row r="74" spans="1:14" x14ac:dyDescent="0.25">
      <c r="A74" s="113">
        <v>32</v>
      </c>
      <c r="B74" s="113" t="s">
        <v>714</v>
      </c>
      <c r="C74" s="113">
        <v>2868</v>
      </c>
      <c r="D74" s="113">
        <v>2975</v>
      </c>
      <c r="E74" s="113">
        <v>2894</v>
      </c>
      <c r="F74" s="113">
        <v>2169</v>
      </c>
      <c r="G74" s="113">
        <v>1403</v>
      </c>
      <c r="H74" s="113">
        <v>1086</v>
      </c>
      <c r="I74" s="113">
        <v>866</v>
      </c>
      <c r="J74" s="113">
        <v>695</v>
      </c>
      <c r="K74" s="113">
        <v>618</v>
      </c>
      <c r="L74" s="113">
        <v>745</v>
      </c>
      <c r="M74" s="113">
        <v>1193</v>
      </c>
      <c r="N74" s="113">
        <v>2064</v>
      </c>
    </row>
    <row r="75" spans="1:14" x14ac:dyDescent="0.25">
      <c r="A75" s="113">
        <v>33</v>
      </c>
      <c r="B75" s="113" t="s">
        <v>70</v>
      </c>
      <c r="C75" s="113">
        <v>4106</v>
      </c>
      <c r="D75" s="113">
        <v>4280</v>
      </c>
      <c r="E75" s="113">
        <v>4229</v>
      </c>
      <c r="F75" s="113">
        <v>3229</v>
      </c>
      <c r="G75" s="113">
        <v>2110</v>
      </c>
      <c r="H75" s="113">
        <v>1651</v>
      </c>
      <c r="I75" s="113">
        <v>1327</v>
      </c>
      <c r="J75" s="113">
        <v>1082</v>
      </c>
      <c r="K75" s="113">
        <v>981</v>
      </c>
      <c r="L75" s="113">
        <v>1164</v>
      </c>
      <c r="M75" s="113">
        <v>1770</v>
      </c>
      <c r="N75" s="113">
        <v>2980</v>
      </c>
    </row>
    <row r="76" spans="1:14" x14ac:dyDescent="0.25">
      <c r="A76" s="113">
        <v>34</v>
      </c>
      <c r="B76" s="113" t="s">
        <v>715</v>
      </c>
      <c r="C76" s="113">
        <v>8964</v>
      </c>
      <c r="D76" s="113">
        <v>9424</v>
      </c>
      <c r="E76" s="113">
        <v>9006</v>
      </c>
      <c r="F76" s="113">
        <v>6785</v>
      </c>
      <c r="G76" s="113">
        <v>4648</v>
      </c>
      <c r="H76" s="113">
        <v>3802</v>
      </c>
      <c r="I76" s="113">
        <v>3112</v>
      </c>
      <c r="J76" s="113">
        <v>2608</v>
      </c>
      <c r="K76" s="113">
        <v>2486</v>
      </c>
      <c r="L76" s="113">
        <v>2876</v>
      </c>
      <c r="M76" s="113">
        <v>3917</v>
      </c>
      <c r="N76" s="113">
        <v>6283</v>
      </c>
    </row>
    <row r="77" spans="1:14" x14ac:dyDescent="0.25">
      <c r="A77" s="113">
        <v>37</v>
      </c>
      <c r="B77" s="113" t="s">
        <v>716</v>
      </c>
      <c r="C77" s="113">
        <v>694</v>
      </c>
      <c r="D77" s="113">
        <v>734</v>
      </c>
      <c r="E77" s="113">
        <v>619</v>
      </c>
      <c r="F77" s="113">
        <v>408</v>
      </c>
      <c r="G77" s="113">
        <v>322</v>
      </c>
      <c r="H77" s="113">
        <v>319</v>
      </c>
      <c r="I77" s="113">
        <v>254</v>
      </c>
      <c r="J77" s="113">
        <v>213</v>
      </c>
      <c r="K77" s="113">
        <v>230</v>
      </c>
      <c r="L77" s="113">
        <v>283</v>
      </c>
      <c r="M77" s="113">
        <v>305</v>
      </c>
      <c r="N77" s="113">
        <v>468</v>
      </c>
    </row>
    <row r="78" spans="1:14" x14ac:dyDescent="0.25">
      <c r="A78" s="113">
        <v>38</v>
      </c>
      <c r="B78" s="113" t="s">
        <v>717</v>
      </c>
      <c r="C78" s="113">
        <v>777</v>
      </c>
      <c r="D78" s="113">
        <v>825</v>
      </c>
      <c r="E78" s="113">
        <v>698</v>
      </c>
      <c r="F78" s="113">
        <v>464</v>
      </c>
      <c r="G78" s="113">
        <v>367</v>
      </c>
      <c r="H78" s="113">
        <v>364</v>
      </c>
      <c r="I78" s="113">
        <v>288</v>
      </c>
      <c r="J78" s="113">
        <v>244</v>
      </c>
      <c r="K78" s="113">
        <v>261</v>
      </c>
      <c r="L78" s="113">
        <v>317</v>
      </c>
      <c r="M78" s="113">
        <v>343</v>
      </c>
      <c r="N78" s="113">
        <v>522</v>
      </c>
    </row>
    <row r="79" spans="1:14" x14ac:dyDescent="0.25">
      <c r="A79" s="113">
        <v>39</v>
      </c>
      <c r="B79" s="113" t="s">
        <v>84</v>
      </c>
      <c r="C79" s="113">
        <v>980</v>
      </c>
      <c r="D79" s="113">
        <v>1037</v>
      </c>
      <c r="E79" s="113">
        <v>887</v>
      </c>
      <c r="F79" s="113">
        <v>609</v>
      </c>
      <c r="G79" s="113">
        <v>483</v>
      </c>
      <c r="H79" s="113">
        <v>475</v>
      </c>
      <c r="I79" s="113">
        <v>384</v>
      </c>
      <c r="J79" s="113">
        <v>329</v>
      </c>
      <c r="K79" s="113">
        <v>353</v>
      </c>
      <c r="L79" s="113">
        <v>422</v>
      </c>
      <c r="M79" s="113">
        <v>452</v>
      </c>
      <c r="N79" s="113">
        <v>675</v>
      </c>
    </row>
    <row r="80" spans="1:14" x14ac:dyDescent="0.25">
      <c r="A80" s="113">
        <v>40</v>
      </c>
      <c r="B80" s="113" t="s">
        <v>85</v>
      </c>
      <c r="C80" s="113">
        <v>1113</v>
      </c>
      <c r="D80" s="113">
        <v>1185</v>
      </c>
      <c r="E80" s="113">
        <v>1021</v>
      </c>
      <c r="F80" s="113">
        <v>695</v>
      </c>
      <c r="G80" s="113">
        <v>554</v>
      </c>
      <c r="H80" s="113">
        <v>543</v>
      </c>
      <c r="I80" s="113">
        <v>443</v>
      </c>
      <c r="J80" s="113">
        <v>384</v>
      </c>
      <c r="K80" s="113">
        <v>404</v>
      </c>
      <c r="L80" s="113">
        <v>473</v>
      </c>
      <c r="M80" s="113">
        <v>506</v>
      </c>
      <c r="N80" s="113">
        <v>761</v>
      </c>
    </row>
    <row r="81" spans="1:14" x14ac:dyDescent="0.25">
      <c r="A81" s="113">
        <v>42</v>
      </c>
      <c r="B81" s="113" t="s">
        <v>718</v>
      </c>
      <c r="C81" s="113">
        <v>1198</v>
      </c>
      <c r="D81" s="113">
        <v>1279</v>
      </c>
      <c r="E81" s="113">
        <v>1099</v>
      </c>
      <c r="F81" s="113">
        <v>746</v>
      </c>
      <c r="G81" s="113">
        <v>590</v>
      </c>
      <c r="H81" s="113">
        <v>580</v>
      </c>
      <c r="I81" s="113">
        <v>472</v>
      </c>
      <c r="J81" s="113">
        <v>407</v>
      </c>
      <c r="K81" s="113">
        <v>429</v>
      </c>
      <c r="L81" s="113">
        <v>505</v>
      </c>
      <c r="M81" s="113">
        <v>541</v>
      </c>
      <c r="N81" s="113">
        <v>814</v>
      </c>
    </row>
    <row r="82" spans="1:14" x14ac:dyDescent="0.25">
      <c r="A82" s="113">
        <v>43</v>
      </c>
      <c r="B82" s="113" t="s">
        <v>719</v>
      </c>
      <c r="C82" s="113">
        <v>1256</v>
      </c>
      <c r="D82" s="113">
        <v>1368</v>
      </c>
      <c r="E82" s="113">
        <v>1189</v>
      </c>
      <c r="F82" s="113">
        <v>818</v>
      </c>
      <c r="G82" s="113">
        <v>634</v>
      </c>
      <c r="H82" s="113">
        <v>627</v>
      </c>
      <c r="I82" s="113">
        <v>510</v>
      </c>
      <c r="J82" s="113">
        <v>442</v>
      </c>
      <c r="K82" s="113">
        <v>458</v>
      </c>
      <c r="L82" s="113">
        <v>538</v>
      </c>
      <c r="M82" s="113">
        <v>574</v>
      </c>
      <c r="N82" s="113">
        <v>853</v>
      </c>
    </row>
    <row r="83" spans="1:14" x14ac:dyDescent="0.25">
      <c r="A83" s="113">
        <v>44</v>
      </c>
      <c r="B83" s="113" t="s">
        <v>720</v>
      </c>
      <c r="C83" s="113">
        <v>10220</v>
      </c>
      <c r="D83" s="113">
        <v>10792</v>
      </c>
      <c r="E83" s="113">
        <v>10195</v>
      </c>
      <c r="F83" s="113">
        <v>7603</v>
      </c>
      <c r="G83" s="113">
        <v>5282</v>
      </c>
      <c r="H83" s="113">
        <v>4429</v>
      </c>
      <c r="I83" s="113">
        <v>3623</v>
      </c>
      <c r="J83" s="113">
        <v>3050</v>
      </c>
      <c r="K83" s="113">
        <v>2944</v>
      </c>
      <c r="L83" s="113">
        <v>3414</v>
      </c>
      <c r="M83" s="113">
        <v>4491</v>
      </c>
      <c r="N83" s="113">
        <v>7136</v>
      </c>
    </row>
    <row r="84" spans="1:14" x14ac:dyDescent="0.25">
      <c r="A84" s="113">
        <v>45</v>
      </c>
      <c r="B84" s="113" t="s">
        <v>103</v>
      </c>
      <c r="C84" s="113">
        <v>10635</v>
      </c>
      <c r="D84" s="113">
        <v>11252</v>
      </c>
      <c r="E84" s="113">
        <v>10623</v>
      </c>
      <c r="F84" s="113">
        <v>7967</v>
      </c>
      <c r="G84" s="113">
        <v>5592</v>
      </c>
      <c r="H84" s="113">
        <v>4728</v>
      </c>
      <c r="I84" s="113">
        <v>3902</v>
      </c>
      <c r="J84" s="113">
        <v>3327</v>
      </c>
      <c r="K84" s="113">
        <v>3210</v>
      </c>
      <c r="L84" s="113">
        <v>3687</v>
      </c>
      <c r="M84" s="113">
        <v>4782</v>
      </c>
      <c r="N84" s="113">
        <v>7465</v>
      </c>
    </row>
    <row r="85" spans="1:14" x14ac:dyDescent="0.25">
      <c r="A85" s="113">
        <v>46</v>
      </c>
      <c r="B85" s="113" t="s">
        <v>106</v>
      </c>
      <c r="C85" s="113">
        <v>11501</v>
      </c>
      <c r="D85" s="113">
        <v>12373</v>
      </c>
      <c r="E85" s="113">
        <v>11723</v>
      </c>
      <c r="F85" s="113">
        <v>9005</v>
      </c>
      <c r="G85" s="113">
        <v>6480</v>
      </c>
      <c r="H85" s="113">
        <v>5615</v>
      </c>
      <c r="I85" s="113">
        <v>4616</v>
      </c>
      <c r="J85" s="113">
        <v>3934</v>
      </c>
      <c r="K85" s="113">
        <v>3816</v>
      </c>
      <c r="L85" s="113">
        <v>4347</v>
      </c>
      <c r="M85" s="113">
        <v>5440</v>
      </c>
      <c r="N85" s="113">
        <v>8117</v>
      </c>
    </row>
    <row r="86" spans="1:14" x14ac:dyDescent="0.25">
      <c r="A86" s="113">
        <v>47</v>
      </c>
      <c r="B86" s="113" t="s">
        <v>721</v>
      </c>
      <c r="C86" s="113">
        <v>327</v>
      </c>
      <c r="D86" s="113">
        <v>368</v>
      </c>
      <c r="E86" s="113">
        <v>312</v>
      </c>
      <c r="F86" s="113">
        <v>220</v>
      </c>
      <c r="G86" s="113">
        <v>193</v>
      </c>
      <c r="H86" s="113">
        <v>201</v>
      </c>
      <c r="I86" s="113">
        <v>177</v>
      </c>
      <c r="J86" s="113">
        <v>148</v>
      </c>
      <c r="K86" s="113">
        <v>159</v>
      </c>
      <c r="L86" s="113">
        <v>191</v>
      </c>
      <c r="M86" s="113">
        <v>181</v>
      </c>
      <c r="N86" s="113">
        <v>233</v>
      </c>
    </row>
    <row r="87" spans="1:14" x14ac:dyDescent="0.25">
      <c r="A87" s="113">
        <v>48</v>
      </c>
      <c r="B87" s="113" t="s">
        <v>91</v>
      </c>
      <c r="C87" s="113">
        <v>334</v>
      </c>
      <c r="D87" s="113">
        <v>377</v>
      </c>
      <c r="E87" s="113">
        <v>320</v>
      </c>
      <c r="F87" s="113">
        <v>226</v>
      </c>
      <c r="G87" s="113">
        <v>197</v>
      </c>
      <c r="H87" s="113">
        <v>207</v>
      </c>
      <c r="I87" s="113">
        <v>181</v>
      </c>
      <c r="J87" s="113">
        <v>151</v>
      </c>
      <c r="K87" s="113">
        <v>163</v>
      </c>
      <c r="L87" s="113">
        <v>196</v>
      </c>
      <c r="M87" s="113">
        <v>186</v>
      </c>
      <c r="N87" s="113">
        <v>238</v>
      </c>
    </row>
    <row r="88" spans="1:14" x14ac:dyDescent="0.25">
      <c r="A88" s="113">
        <v>49</v>
      </c>
      <c r="B88" s="113" t="s">
        <v>92</v>
      </c>
      <c r="C88" s="113">
        <v>506</v>
      </c>
      <c r="D88" s="113">
        <v>547</v>
      </c>
      <c r="E88" s="113">
        <v>453</v>
      </c>
      <c r="F88" s="113">
        <v>326</v>
      </c>
      <c r="G88" s="113">
        <v>301</v>
      </c>
      <c r="H88" s="113">
        <v>314</v>
      </c>
      <c r="I88" s="113">
        <v>277</v>
      </c>
      <c r="J88" s="113">
        <v>229</v>
      </c>
      <c r="K88" s="113">
        <v>255</v>
      </c>
      <c r="L88" s="113">
        <v>305</v>
      </c>
      <c r="M88" s="113">
        <v>282</v>
      </c>
      <c r="N88" s="113">
        <v>351</v>
      </c>
    </row>
    <row r="89" spans="1:14" x14ac:dyDescent="0.25">
      <c r="A89" s="113">
        <v>50</v>
      </c>
      <c r="B89" s="113" t="s">
        <v>722</v>
      </c>
      <c r="C89" s="113">
        <v>655</v>
      </c>
      <c r="D89" s="113">
        <v>716</v>
      </c>
      <c r="E89" s="113">
        <v>606</v>
      </c>
      <c r="F89" s="113">
        <v>448</v>
      </c>
      <c r="G89" s="113">
        <v>409</v>
      </c>
      <c r="H89" s="113">
        <v>425</v>
      </c>
      <c r="I89" s="113">
        <v>370</v>
      </c>
      <c r="J89" s="113">
        <v>310</v>
      </c>
      <c r="K89" s="113">
        <v>338</v>
      </c>
      <c r="L89" s="113">
        <v>399</v>
      </c>
      <c r="M89" s="113">
        <v>375</v>
      </c>
      <c r="N89" s="113">
        <v>464</v>
      </c>
    </row>
    <row r="90" spans="1:14" x14ac:dyDescent="0.25">
      <c r="A90" s="113">
        <v>51</v>
      </c>
      <c r="B90" s="113" t="s">
        <v>723</v>
      </c>
      <c r="C90" s="113">
        <v>665</v>
      </c>
      <c r="D90" s="113">
        <v>729</v>
      </c>
      <c r="E90" s="113">
        <v>618</v>
      </c>
      <c r="F90" s="113">
        <v>457</v>
      </c>
      <c r="G90" s="113">
        <v>417</v>
      </c>
      <c r="H90" s="113">
        <v>434</v>
      </c>
      <c r="I90" s="113">
        <v>377</v>
      </c>
      <c r="J90" s="113">
        <v>316</v>
      </c>
      <c r="K90" s="113">
        <v>345</v>
      </c>
      <c r="L90" s="113">
        <v>407</v>
      </c>
      <c r="M90" s="113">
        <v>383</v>
      </c>
      <c r="N90" s="113">
        <v>472</v>
      </c>
    </row>
    <row r="91" spans="1:14" x14ac:dyDescent="0.25">
      <c r="A91" s="113">
        <v>52</v>
      </c>
      <c r="B91" s="113" t="s">
        <v>724</v>
      </c>
      <c r="C91" s="113">
        <v>688</v>
      </c>
      <c r="D91" s="113">
        <v>756</v>
      </c>
      <c r="E91" s="113">
        <v>642</v>
      </c>
      <c r="F91" s="113">
        <v>477</v>
      </c>
      <c r="G91" s="113">
        <v>434</v>
      </c>
      <c r="H91" s="113">
        <v>452</v>
      </c>
      <c r="I91" s="113">
        <v>392</v>
      </c>
      <c r="J91" s="113">
        <v>329</v>
      </c>
      <c r="K91" s="113">
        <v>358</v>
      </c>
      <c r="L91" s="113">
        <v>422</v>
      </c>
      <c r="M91" s="113">
        <v>398</v>
      </c>
      <c r="N91" s="113">
        <v>490</v>
      </c>
    </row>
    <row r="92" spans="1:14" x14ac:dyDescent="0.25">
      <c r="A92" s="113">
        <v>57</v>
      </c>
      <c r="B92" s="113" t="s">
        <v>725</v>
      </c>
      <c r="C92" s="113">
        <v>301</v>
      </c>
      <c r="D92" s="113">
        <v>313</v>
      </c>
      <c r="E92" s="113">
        <v>256</v>
      </c>
      <c r="F92" s="113">
        <v>192</v>
      </c>
      <c r="G92" s="113">
        <v>234</v>
      </c>
      <c r="H92" s="113">
        <v>276</v>
      </c>
      <c r="I92" s="113">
        <v>283</v>
      </c>
      <c r="J92" s="113">
        <v>228</v>
      </c>
      <c r="K92" s="113">
        <v>262</v>
      </c>
      <c r="L92" s="113">
        <v>341</v>
      </c>
      <c r="M92" s="113">
        <v>279</v>
      </c>
      <c r="N92" s="113">
        <v>251</v>
      </c>
    </row>
    <row r="93" spans="1:14" x14ac:dyDescent="0.25">
      <c r="A93" s="113">
        <v>58</v>
      </c>
      <c r="B93" s="113" t="s">
        <v>726</v>
      </c>
      <c r="C93" s="113">
        <v>363</v>
      </c>
      <c r="D93" s="113">
        <v>378</v>
      </c>
      <c r="E93" s="113">
        <v>305</v>
      </c>
      <c r="F93" s="113">
        <v>231</v>
      </c>
      <c r="G93" s="113">
        <v>275</v>
      </c>
      <c r="H93" s="113">
        <v>320</v>
      </c>
      <c r="I93" s="113">
        <v>321</v>
      </c>
      <c r="J93" s="113">
        <v>261</v>
      </c>
      <c r="K93" s="113">
        <v>302</v>
      </c>
      <c r="L93" s="113">
        <v>392</v>
      </c>
      <c r="M93" s="113">
        <v>324</v>
      </c>
      <c r="N93" s="113">
        <v>301</v>
      </c>
    </row>
    <row r="94" spans="1:14" x14ac:dyDescent="0.25">
      <c r="A94" s="113">
        <v>61</v>
      </c>
      <c r="B94" s="113" t="s">
        <v>97</v>
      </c>
      <c r="C94" s="113">
        <v>1490</v>
      </c>
      <c r="D94" s="113">
        <v>1571</v>
      </c>
      <c r="E94" s="113">
        <v>1285</v>
      </c>
      <c r="F94" s="113">
        <v>980</v>
      </c>
      <c r="G94" s="113">
        <v>982</v>
      </c>
      <c r="H94" s="113">
        <v>1072</v>
      </c>
      <c r="I94" s="113">
        <v>970</v>
      </c>
      <c r="J94" s="113">
        <v>798</v>
      </c>
      <c r="K94" s="113">
        <v>882</v>
      </c>
      <c r="L94" s="113">
        <v>1096</v>
      </c>
      <c r="M94" s="113">
        <v>987</v>
      </c>
      <c r="N94" s="113">
        <v>1087</v>
      </c>
    </row>
    <row r="95" spans="1:14" x14ac:dyDescent="0.25">
      <c r="A95" s="113">
        <v>62</v>
      </c>
      <c r="B95" s="113" t="s">
        <v>98</v>
      </c>
      <c r="C95" s="113">
        <v>1564</v>
      </c>
      <c r="D95" s="113">
        <v>1652</v>
      </c>
      <c r="E95" s="113">
        <v>1355</v>
      </c>
      <c r="F95" s="113">
        <v>1034</v>
      </c>
      <c r="G95" s="113">
        <v>1036</v>
      </c>
      <c r="H95" s="113">
        <v>1132</v>
      </c>
      <c r="I95" s="113">
        <v>1027</v>
      </c>
      <c r="J95" s="113">
        <v>846</v>
      </c>
      <c r="K95" s="113">
        <v>930</v>
      </c>
      <c r="L95" s="113">
        <v>1160</v>
      </c>
      <c r="M95" s="113">
        <v>1046</v>
      </c>
      <c r="N95" s="113">
        <v>1145</v>
      </c>
    </row>
    <row r="96" spans="1:14" x14ac:dyDescent="0.25">
      <c r="A96" s="113">
        <v>63</v>
      </c>
      <c r="B96" s="113" t="s">
        <v>99</v>
      </c>
      <c r="C96" s="113">
        <v>1727</v>
      </c>
      <c r="D96" s="113">
        <v>1830</v>
      </c>
      <c r="E96" s="113">
        <v>1521</v>
      </c>
      <c r="F96" s="113">
        <v>1164</v>
      </c>
      <c r="G96" s="113">
        <v>1160</v>
      </c>
      <c r="H96" s="113">
        <v>1275</v>
      </c>
      <c r="I96" s="113">
        <v>1156</v>
      </c>
      <c r="J96" s="113">
        <v>961</v>
      </c>
      <c r="K96" s="113">
        <v>1045</v>
      </c>
      <c r="L96" s="113">
        <v>1303</v>
      </c>
      <c r="M96" s="113">
        <v>1187</v>
      </c>
      <c r="N96" s="113">
        <v>1284</v>
      </c>
    </row>
    <row r="97" spans="1:14" x14ac:dyDescent="0.25">
      <c r="A97" s="113">
        <v>65</v>
      </c>
      <c r="B97" s="113" t="s">
        <v>727</v>
      </c>
      <c r="C97" s="113">
        <v>82</v>
      </c>
      <c r="D97" s="113">
        <v>89</v>
      </c>
      <c r="E97" s="113">
        <v>76</v>
      </c>
      <c r="F97" s="113">
        <v>81</v>
      </c>
      <c r="G97" s="113">
        <v>116</v>
      </c>
      <c r="H97" s="113">
        <v>136</v>
      </c>
      <c r="I97" s="113">
        <v>120</v>
      </c>
      <c r="J97" s="113">
        <v>103</v>
      </c>
      <c r="K97" s="113">
        <v>117</v>
      </c>
      <c r="L97" s="113">
        <v>156</v>
      </c>
      <c r="M97" s="113">
        <v>118</v>
      </c>
      <c r="N97" s="113">
        <v>87</v>
      </c>
    </row>
    <row r="98" spans="1:14" x14ac:dyDescent="0.25">
      <c r="A98" s="113">
        <v>66</v>
      </c>
      <c r="B98" s="113" t="s">
        <v>107</v>
      </c>
      <c r="C98" s="113">
        <v>14784</v>
      </c>
      <c r="D98" s="113">
        <v>16151</v>
      </c>
      <c r="E98" s="113">
        <v>15026</v>
      </c>
      <c r="F98" s="113">
        <v>11938</v>
      </c>
      <c r="G98" s="113">
        <v>9548</v>
      </c>
      <c r="H98" s="113">
        <v>8841</v>
      </c>
      <c r="I98" s="113">
        <v>7484</v>
      </c>
      <c r="J98" s="113">
        <v>6291</v>
      </c>
      <c r="K98" s="113">
        <v>6327</v>
      </c>
      <c r="L98" s="113">
        <v>7597</v>
      </c>
      <c r="M98" s="113">
        <v>8344</v>
      </c>
      <c r="N98" s="113">
        <v>10989</v>
      </c>
    </row>
    <row r="99" spans="1:14" x14ac:dyDescent="0.25">
      <c r="A99" s="113">
        <v>70</v>
      </c>
      <c r="B99" s="113" t="s">
        <v>234</v>
      </c>
      <c r="C99" s="113">
        <v>21</v>
      </c>
      <c r="D99" s="113">
        <v>21</v>
      </c>
      <c r="E99" s="113">
        <v>14</v>
      </c>
      <c r="F99" s="113">
        <v>21</v>
      </c>
      <c r="G99" s="113">
        <v>42</v>
      </c>
      <c r="H99" s="113">
        <v>45</v>
      </c>
      <c r="I99" s="113">
        <v>41</v>
      </c>
      <c r="J99" s="113">
        <v>22</v>
      </c>
      <c r="K99" s="113">
        <v>39</v>
      </c>
      <c r="L99" s="113">
        <v>51</v>
      </c>
      <c r="M99" s="113">
        <v>26</v>
      </c>
      <c r="N99" s="113">
        <v>18</v>
      </c>
    </row>
    <row r="100" spans="1:14" x14ac:dyDescent="0.25">
      <c r="A100" s="113">
        <v>71</v>
      </c>
      <c r="B100" s="113" t="s">
        <v>728</v>
      </c>
      <c r="C100" s="113">
        <v>91</v>
      </c>
      <c r="D100" s="113">
        <v>95</v>
      </c>
      <c r="E100" s="113">
        <v>80</v>
      </c>
      <c r="F100" s="113">
        <v>80</v>
      </c>
      <c r="G100" s="113">
        <v>107</v>
      </c>
      <c r="H100" s="113">
        <v>125</v>
      </c>
      <c r="I100" s="113">
        <v>118</v>
      </c>
      <c r="J100" s="113">
        <v>90</v>
      </c>
      <c r="K100" s="113">
        <v>111</v>
      </c>
      <c r="L100" s="113">
        <v>140</v>
      </c>
      <c r="M100" s="113">
        <v>108</v>
      </c>
      <c r="N100" s="113">
        <v>92</v>
      </c>
    </row>
    <row r="101" spans="1:14" x14ac:dyDescent="0.25">
      <c r="A101" s="113">
        <v>72</v>
      </c>
      <c r="B101" s="113" t="s">
        <v>235</v>
      </c>
      <c r="C101" s="113">
        <v>95</v>
      </c>
      <c r="D101" s="113">
        <v>100</v>
      </c>
      <c r="E101" s="113">
        <v>84</v>
      </c>
      <c r="F101" s="113">
        <v>84</v>
      </c>
      <c r="G101" s="113">
        <v>112</v>
      </c>
      <c r="H101" s="113">
        <v>131</v>
      </c>
      <c r="I101" s="113">
        <v>124</v>
      </c>
      <c r="J101" s="113">
        <v>94</v>
      </c>
      <c r="K101" s="113">
        <v>117</v>
      </c>
      <c r="L101" s="113">
        <v>146</v>
      </c>
      <c r="M101" s="113">
        <v>114</v>
      </c>
      <c r="N101" s="113">
        <v>96</v>
      </c>
    </row>
    <row r="102" spans="1:14" x14ac:dyDescent="0.25">
      <c r="A102" s="113">
        <v>73</v>
      </c>
      <c r="B102" s="113" t="s">
        <v>234</v>
      </c>
      <c r="C102" s="113">
        <v>113</v>
      </c>
      <c r="D102" s="113">
        <v>117</v>
      </c>
      <c r="E102" s="113">
        <v>100</v>
      </c>
      <c r="F102" s="113">
        <v>100</v>
      </c>
      <c r="G102" s="113">
        <v>134</v>
      </c>
      <c r="H102" s="113">
        <v>156</v>
      </c>
      <c r="I102" s="113">
        <v>148</v>
      </c>
      <c r="J102" s="113">
        <v>113</v>
      </c>
      <c r="K102" s="113">
        <v>138</v>
      </c>
      <c r="L102" s="113">
        <v>172</v>
      </c>
      <c r="M102" s="113">
        <v>135</v>
      </c>
      <c r="N102" s="113">
        <v>113</v>
      </c>
    </row>
    <row r="103" spans="1:14" x14ac:dyDescent="0.25">
      <c r="A103" s="113">
        <v>74</v>
      </c>
      <c r="B103" s="113" t="s">
        <v>729</v>
      </c>
      <c r="C103" s="113">
        <v>597</v>
      </c>
      <c r="D103" s="113">
        <v>674</v>
      </c>
      <c r="E103" s="113">
        <v>602</v>
      </c>
      <c r="F103" s="113">
        <v>483</v>
      </c>
      <c r="G103" s="113">
        <v>585</v>
      </c>
      <c r="H103" s="113">
        <v>685</v>
      </c>
      <c r="I103" s="113">
        <v>728</v>
      </c>
      <c r="J103" s="113">
        <v>620</v>
      </c>
      <c r="K103" s="113">
        <v>731</v>
      </c>
      <c r="L103" s="113">
        <v>923</v>
      </c>
      <c r="M103" s="113">
        <v>688</v>
      </c>
      <c r="N103" s="113">
        <v>575</v>
      </c>
    </row>
    <row r="104" spans="1:14" x14ac:dyDescent="0.25">
      <c r="A104" s="113">
        <v>75</v>
      </c>
      <c r="B104" s="113" t="s">
        <v>172</v>
      </c>
      <c r="C104" s="113">
        <v>774</v>
      </c>
      <c r="D104" s="113">
        <v>861</v>
      </c>
      <c r="E104" s="113">
        <v>767</v>
      </c>
      <c r="F104" s="113">
        <v>642</v>
      </c>
      <c r="G104" s="113">
        <v>782</v>
      </c>
      <c r="H104" s="113">
        <v>923</v>
      </c>
      <c r="I104" s="113">
        <v>951</v>
      </c>
      <c r="J104" s="113">
        <v>804</v>
      </c>
      <c r="K104" s="113">
        <v>942</v>
      </c>
      <c r="L104" s="113">
        <v>1191</v>
      </c>
      <c r="M104" s="113">
        <v>910</v>
      </c>
      <c r="N104" s="113">
        <v>755</v>
      </c>
    </row>
    <row r="105" spans="1:14" x14ac:dyDescent="0.25">
      <c r="A105" s="113">
        <v>76</v>
      </c>
      <c r="B105" s="113" t="s">
        <v>172</v>
      </c>
      <c r="C105" s="113">
        <v>682</v>
      </c>
      <c r="D105" s="113">
        <v>765</v>
      </c>
      <c r="E105" s="113">
        <v>681</v>
      </c>
      <c r="F105" s="113">
        <v>564</v>
      </c>
      <c r="G105" s="113">
        <v>689</v>
      </c>
      <c r="H105" s="113">
        <v>811</v>
      </c>
      <c r="I105" s="113">
        <v>844</v>
      </c>
      <c r="J105" s="113">
        <v>713</v>
      </c>
      <c r="K105" s="113">
        <v>843</v>
      </c>
      <c r="L105" s="113">
        <v>1070</v>
      </c>
      <c r="M105" s="113">
        <v>801</v>
      </c>
      <c r="N105" s="113">
        <v>660</v>
      </c>
    </row>
    <row r="106" spans="1:14" x14ac:dyDescent="0.25">
      <c r="A106" s="113">
        <v>77</v>
      </c>
      <c r="B106" s="113" t="s">
        <v>730</v>
      </c>
      <c r="C106" s="113">
        <v>885</v>
      </c>
      <c r="D106" s="113">
        <v>982</v>
      </c>
      <c r="E106" s="113">
        <v>856</v>
      </c>
      <c r="F106" s="113">
        <v>757</v>
      </c>
      <c r="G106" s="113">
        <v>948</v>
      </c>
      <c r="H106" s="113">
        <v>1127</v>
      </c>
      <c r="I106" s="113">
        <v>1135</v>
      </c>
      <c r="J106" s="113">
        <v>937</v>
      </c>
      <c r="K106" s="113">
        <v>1110</v>
      </c>
      <c r="L106" s="113">
        <v>1426</v>
      </c>
      <c r="M106" s="113">
        <v>1070</v>
      </c>
      <c r="N106" s="113">
        <v>868</v>
      </c>
    </row>
    <row r="107" spans="1:14" x14ac:dyDescent="0.25">
      <c r="A107" s="113">
        <v>78</v>
      </c>
      <c r="B107" s="113" t="s">
        <v>731</v>
      </c>
      <c r="C107" s="113">
        <v>922</v>
      </c>
      <c r="D107" s="113">
        <v>1023</v>
      </c>
      <c r="E107" s="113">
        <v>894</v>
      </c>
      <c r="F107" s="113">
        <v>792</v>
      </c>
      <c r="G107" s="113">
        <v>996</v>
      </c>
      <c r="H107" s="113">
        <v>1182</v>
      </c>
      <c r="I107" s="113">
        <v>1187</v>
      </c>
      <c r="J107" s="113">
        <v>980</v>
      </c>
      <c r="K107" s="113">
        <v>1156</v>
      </c>
      <c r="L107" s="113">
        <v>1500</v>
      </c>
      <c r="M107" s="113">
        <v>1128</v>
      </c>
      <c r="N107" s="113">
        <v>909</v>
      </c>
    </row>
    <row r="108" spans="1:14" x14ac:dyDescent="0.25">
      <c r="A108" s="113">
        <v>80</v>
      </c>
      <c r="B108" s="113" t="s">
        <v>732</v>
      </c>
      <c r="C108" s="113">
        <v>52</v>
      </c>
      <c r="D108" s="113">
        <v>59</v>
      </c>
      <c r="E108" s="113">
        <v>49</v>
      </c>
      <c r="F108" s="113">
        <v>53</v>
      </c>
      <c r="G108" s="113">
        <v>73</v>
      </c>
      <c r="H108" s="113">
        <v>87</v>
      </c>
      <c r="I108" s="113">
        <v>79</v>
      </c>
      <c r="J108" s="113">
        <v>66</v>
      </c>
      <c r="K108" s="113">
        <v>78</v>
      </c>
      <c r="L108" s="113">
        <v>100</v>
      </c>
      <c r="M108" s="113">
        <v>73</v>
      </c>
      <c r="N108" s="113">
        <v>54</v>
      </c>
    </row>
    <row r="109" spans="1:14" x14ac:dyDescent="0.25">
      <c r="A109" s="113">
        <v>81</v>
      </c>
      <c r="B109" s="113" t="s">
        <v>733</v>
      </c>
      <c r="C109" s="113">
        <v>1235</v>
      </c>
      <c r="D109" s="113">
        <v>1367</v>
      </c>
      <c r="E109" s="113">
        <v>1190</v>
      </c>
      <c r="F109" s="113">
        <v>1104</v>
      </c>
      <c r="G109" s="113">
        <v>1432</v>
      </c>
      <c r="H109" s="113">
        <v>1702</v>
      </c>
      <c r="I109" s="113">
        <v>1647</v>
      </c>
      <c r="J109" s="113">
        <v>1366</v>
      </c>
      <c r="K109" s="113">
        <v>1586</v>
      </c>
      <c r="L109" s="113">
        <v>2091</v>
      </c>
      <c r="M109" s="113">
        <v>1580</v>
      </c>
      <c r="N109" s="113">
        <v>1253</v>
      </c>
    </row>
    <row r="110" spans="1:14" x14ac:dyDescent="0.25">
      <c r="A110" s="113">
        <v>83</v>
      </c>
      <c r="B110" s="113" t="s">
        <v>734</v>
      </c>
      <c r="C110" s="113">
        <v>56</v>
      </c>
      <c r="D110" s="113">
        <v>63</v>
      </c>
      <c r="E110" s="113">
        <v>52</v>
      </c>
      <c r="F110" s="113">
        <v>57</v>
      </c>
      <c r="G110" s="113">
        <v>78</v>
      </c>
      <c r="H110" s="113">
        <v>93</v>
      </c>
      <c r="I110" s="113">
        <v>84</v>
      </c>
      <c r="J110" s="113">
        <v>71</v>
      </c>
      <c r="K110" s="113">
        <v>83</v>
      </c>
      <c r="L110" s="113">
        <v>107</v>
      </c>
      <c r="M110" s="113">
        <v>78</v>
      </c>
      <c r="N110" s="113">
        <v>58</v>
      </c>
    </row>
    <row r="111" spans="1:14" x14ac:dyDescent="0.25">
      <c r="A111" s="113">
        <v>85</v>
      </c>
      <c r="B111" s="113" t="s">
        <v>735</v>
      </c>
      <c r="C111" s="113">
        <v>108</v>
      </c>
      <c r="D111" s="113">
        <v>141</v>
      </c>
      <c r="E111" s="113">
        <v>106</v>
      </c>
      <c r="F111" s="113">
        <v>107</v>
      </c>
      <c r="G111" s="113">
        <v>138</v>
      </c>
      <c r="H111" s="113">
        <v>153</v>
      </c>
      <c r="I111" s="113">
        <v>202</v>
      </c>
      <c r="J111" s="113">
        <v>216</v>
      </c>
      <c r="K111" s="113">
        <v>245</v>
      </c>
      <c r="L111" s="113">
        <v>207</v>
      </c>
      <c r="M111" s="113">
        <v>128</v>
      </c>
      <c r="N111" s="113">
        <v>106</v>
      </c>
    </row>
    <row r="112" spans="1:14" x14ac:dyDescent="0.25">
      <c r="A112" s="113">
        <v>88</v>
      </c>
      <c r="B112" s="113" t="s">
        <v>736</v>
      </c>
      <c r="C112" s="113">
        <v>177</v>
      </c>
      <c r="D112" s="113">
        <v>222</v>
      </c>
      <c r="E112" s="113">
        <v>180</v>
      </c>
      <c r="F112" s="113">
        <v>158</v>
      </c>
      <c r="G112" s="113">
        <v>203</v>
      </c>
      <c r="H112" s="113">
        <v>222</v>
      </c>
      <c r="I112" s="113">
        <v>265</v>
      </c>
      <c r="J112" s="113">
        <v>285</v>
      </c>
      <c r="K112" s="113">
        <v>336</v>
      </c>
      <c r="L112" s="113">
        <v>350</v>
      </c>
      <c r="M112" s="113">
        <v>232</v>
      </c>
      <c r="N112" s="113">
        <v>170</v>
      </c>
    </row>
    <row r="113" spans="1:14" x14ac:dyDescent="0.25">
      <c r="A113" s="113">
        <v>89</v>
      </c>
      <c r="B113" s="113" t="s">
        <v>188</v>
      </c>
      <c r="C113" s="113">
        <v>209</v>
      </c>
      <c r="D113" s="113">
        <v>261</v>
      </c>
      <c r="E113" s="113">
        <v>211</v>
      </c>
      <c r="F113" s="113">
        <v>192</v>
      </c>
      <c r="G113" s="113">
        <v>251</v>
      </c>
      <c r="H113" s="113">
        <v>274</v>
      </c>
      <c r="I113" s="113">
        <v>329</v>
      </c>
      <c r="J113" s="113">
        <v>346</v>
      </c>
      <c r="K113" s="113">
        <v>415</v>
      </c>
      <c r="L113" s="113">
        <v>427</v>
      </c>
      <c r="M113" s="113">
        <v>282</v>
      </c>
      <c r="N113" s="113">
        <v>204</v>
      </c>
    </row>
    <row r="114" spans="1:14" x14ac:dyDescent="0.25">
      <c r="A114" s="113">
        <v>92</v>
      </c>
      <c r="B114" s="113" t="s">
        <v>737</v>
      </c>
      <c r="C114" s="113">
        <v>670</v>
      </c>
      <c r="D114" s="113">
        <v>854</v>
      </c>
      <c r="E114" s="113">
        <v>670</v>
      </c>
      <c r="F114" s="113">
        <v>702</v>
      </c>
      <c r="G114" s="113">
        <v>972</v>
      </c>
      <c r="H114" s="113">
        <v>1087</v>
      </c>
      <c r="I114" s="113">
        <v>1293</v>
      </c>
      <c r="J114" s="113">
        <v>1370</v>
      </c>
      <c r="K114" s="113">
        <v>1578</v>
      </c>
      <c r="L114" s="113">
        <v>1552</v>
      </c>
      <c r="M114" s="113">
        <v>985</v>
      </c>
      <c r="N114" s="113">
        <v>718</v>
      </c>
    </row>
    <row r="115" spans="1:14" x14ac:dyDescent="0.25">
      <c r="A115" s="113">
        <v>93</v>
      </c>
      <c r="B115" s="113" t="s">
        <v>236</v>
      </c>
      <c r="C115" s="113">
        <v>34</v>
      </c>
      <c r="D115" s="113">
        <v>34</v>
      </c>
      <c r="E115" s="113">
        <v>29</v>
      </c>
      <c r="F115" s="113">
        <v>36</v>
      </c>
      <c r="G115" s="113">
        <v>55</v>
      </c>
      <c r="H115" s="113">
        <v>69</v>
      </c>
      <c r="I115" s="113">
        <v>77</v>
      </c>
      <c r="J115" s="113">
        <v>71</v>
      </c>
      <c r="K115" s="113">
        <v>79</v>
      </c>
      <c r="L115" s="113">
        <v>84</v>
      </c>
      <c r="M115" s="113">
        <v>59</v>
      </c>
      <c r="N115" s="113">
        <v>44</v>
      </c>
    </row>
    <row r="116" spans="1:14" x14ac:dyDescent="0.25">
      <c r="A116" s="113">
        <v>94</v>
      </c>
      <c r="B116" s="113" t="s">
        <v>193</v>
      </c>
      <c r="C116" s="113">
        <v>806</v>
      </c>
      <c r="D116" s="113">
        <v>1008</v>
      </c>
      <c r="E116" s="113">
        <v>805</v>
      </c>
      <c r="F116" s="113">
        <v>860</v>
      </c>
      <c r="G116" s="113">
        <v>1199</v>
      </c>
      <c r="H116" s="113">
        <v>1362</v>
      </c>
      <c r="I116" s="113">
        <v>1595</v>
      </c>
      <c r="J116" s="113">
        <v>1676</v>
      </c>
      <c r="K116" s="113">
        <v>1904</v>
      </c>
      <c r="L116" s="113">
        <v>1886</v>
      </c>
      <c r="M116" s="113">
        <v>1231</v>
      </c>
      <c r="N116" s="113">
        <v>897</v>
      </c>
    </row>
    <row r="117" spans="1:14" x14ac:dyDescent="0.25">
      <c r="A117" s="113">
        <v>97</v>
      </c>
      <c r="B117" s="113" t="s">
        <v>182</v>
      </c>
      <c r="C117" s="113">
        <v>160</v>
      </c>
      <c r="D117" s="113">
        <v>205</v>
      </c>
      <c r="E117" s="113">
        <v>155</v>
      </c>
      <c r="F117" s="113">
        <v>174</v>
      </c>
      <c r="G117" s="113">
        <v>241</v>
      </c>
      <c r="H117" s="113">
        <v>314</v>
      </c>
      <c r="I117" s="113">
        <v>406</v>
      </c>
      <c r="J117" s="113">
        <v>424</v>
      </c>
      <c r="K117" s="113">
        <v>471</v>
      </c>
      <c r="L117" s="113">
        <v>387</v>
      </c>
      <c r="M117" s="113">
        <v>227</v>
      </c>
      <c r="N117" s="113">
        <v>181</v>
      </c>
    </row>
    <row r="118" spans="1:14" x14ac:dyDescent="0.25">
      <c r="A118" s="113">
        <v>98</v>
      </c>
      <c r="B118" s="113" t="s">
        <v>738</v>
      </c>
      <c r="C118" s="113">
        <v>93</v>
      </c>
      <c r="D118" s="113">
        <v>121</v>
      </c>
      <c r="E118" s="113">
        <v>92</v>
      </c>
      <c r="F118" s="113">
        <v>99</v>
      </c>
      <c r="G118" s="113">
        <v>128</v>
      </c>
      <c r="H118" s="113">
        <v>170</v>
      </c>
      <c r="I118" s="113">
        <v>219</v>
      </c>
      <c r="J118" s="113">
        <v>233</v>
      </c>
      <c r="K118" s="113">
        <v>252</v>
      </c>
      <c r="L118" s="113">
        <v>202</v>
      </c>
      <c r="M118" s="113">
        <v>123</v>
      </c>
      <c r="N118" s="113">
        <v>98</v>
      </c>
    </row>
    <row r="119" spans="1:14" x14ac:dyDescent="0.25">
      <c r="A119" s="113">
        <v>99</v>
      </c>
      <c r="B119" s="113" t="s">
        <v>76</v>
      </c>
      <c r="C119" s="113">
        <v>80</v>
      </c>
      <c r="D119" s="113">
        <v>85</v>
      </c>
      <c r="E119" s="113">
        <v>85</v>
      </c>
      <c r="F119" s="113">
        <v>73</v>
      </c>
      <c r="G119" s="113">
        <v>60</v>
      </c>
      <c r="H119" s="113">
        <v>54</v>
      </c>
      <c r="I119" s="113">
        <v>49</v>
      </c>
      <c r="J119" s="113">
        <v>46</v>
      </c>
      <c r="K119" s="113">
        <v>47</v>
      </c>
      <c r="L119" s="113">
        <v>51</v>
      </c>
      <c r="M119" s="113">
        <v>58</v>
      </c>
      <c r="N119" s="113">
        <v>69</v>
      </c>
    </row>
    <row r="120" spans="1:14" x14ac:dyDescent="0.25">
      <c r="A120" s="113">
        <v>100</v>
      </c>
      <c r="B120" s="113" t="s">
        <v>739</v>
      </c>
      <c r="C120" s="113">
        <v>5</v>
      </c>
      <c r="D120" s="113">
        <v>6</v>
      </c>
      <c r="E120" s="113">
        <v>6</v>
      </c>
      <c r="F120" s="113">
        <v>5</v>
      </c>
      <c r="G120" s="113">
        <v>4</v>
      </c>
      <c r="H120" s="113">
        <v>4</v>
      </c>
      <c r="I120" s="113">
        <v>4</v>
      </c>
      <c r="J120" s="113">
        <v>3</v>
      </c>
      <c r="K120" s="113">
        <v>4</v>
      </c>
      <c r="L120" s="113">
        <v>5</v>
      </c>
      <c r="M120" s="113">
        <v>5</v>
      </c>
      <c r="N120" s="113">
        <v>5</v>
      </c>
    </row>
    <row r="121" spans="1:14" x14ac:dyDescent="0.25">
      <c r="A121" s="113">
        <v>101</v>
      </c>
      <c r="B121" s="113" t="s">
        <v>202</v>
      </c>
      <c r="C121" s="113">
        <v>113</v>
      </c>
      <c r="D121" s="113">
        <v>135</v>
      </c>
      <c r="E121" s="113">
        <v>105</v>
      </c>
      <c r="F121" s="113">
        <v>76</v>
      </c>
      <c r="G121" s="113">
        <v>93</v>
      </c>
      <c r="H121" s="113">
        <v>91</v>
      </c>
      <c r="I121" s="113">
        <v>117</v>
      </c>
      <c r="J121" s="113">
        <v>132</v>
      </c>
      <c r="K121" s="113">
        <v>162</v>
      </c>
      <c r="L121" s="113">
        <v>169</v>
      </c>
      <c r="M121" s="113">
        <v>115</v>
      </c>
      <c r="N121" s="113">
        <v>96</v>
      </c>
    </row>
    <row r="122" spans="1:14" x14ac:dyDescent="0.25">
      <c r="A122" s="113">
        <v>102</v>
      </c>
      <c r="B122" s="113" t="s">
        <v>740</v>
      </c>
      <c r="C122" s="113">
        <v>154</v>
      </c>
      <c r="D122" s="113">
        <v>142</v>
      </c>
      <c r="E122" s="113">
        <v>121</v>
      </c>
      <c r="F122" s="113">
        <v>185</v>
      </c>
      <c r="G122" s="113">
        <v>243</v>
      </c>
      <c r="H122" s="113">
        <v>291</v>
      </c>
      <c r="I122" s="113">
        <v>286</v>
      </c>
      <c r="J122" s="113">
        <v>281</v>
      </c>
      <c r="K122" s="113">
        <v>327</v>
      </c>
      <c r="L122" s="113">
        <v>364</v>
      </c>
      <c r="M122" s="113">
        <v>268</v>
      </c>
      <c r="N122" s="113">
        <v>205</v>
      </c>
    </row>
    <row r="123" spans="1:14" x14ac:dyDescent="0.25">
      <c r="A123" s="113">
        <v>103</v>
      </c>
      <c r="B123" s="113" t="s">
        <v>741</v>
      </c>
      <c r="C123" s="113">
        <v>160</v>
      </c>
      <c r="D123" s="113">
        <v>148</v>
      </c>
      <c r="E123" s="113">
        <v>126</v>
      </c>
      <c r="F123" s="113">
        <v>191</v>
      </c>
      <c r="G123" s="113">
        <v>251</v>
      </c>
      <c r="H123" s="113">
        <v>302</v>
      </c>
      <c r="I123" s="113">
        <v>297</v>
      </c>
      <c r="J123" s="113">
        <v>292</v>
      </c>
      <c r="K123" s="113">
        <v>339</v>
      </c>
      <c r="L123" s="113">
        <v>378</v>
      </c>
      <c r="M123" s="113">
        <v>280</v>
      </c>
      <c r="N123" s="113">
        <v>213</v>
      </c>
    </row>
    <row r="124" spans="1:14" x14ac:dyDescent="0.25">
      <c r="A124" s="113">
        <v>104</v>
      </c>
      <c r="B124" s="113" t="s">
        <v>742</v>
      </c>
      <c r="C124" s="113">
        <v>45</v>
      </c>
      <c r="D124" s="113">
        <v>46</v>
      </c>
      <c r="E124" s="113">
        <v>41</v>
      </c>
      <c r="F124" s="113">
        <v>29</v>
      </c>
      <c r="G124" s="113">
        <v>22</v>
      </c>
      <c r="H124" s="113">
        <v>21</v>
      </c>
      <c r="I124" s="113">
        <v>18</v>
      </c>
      <c r="J124" s="113">
        <v>16</v>
      </c>
      <c r="K124" s="113">
        <v>21</v>
      </c>
      <c r="L124" s="113">
        <v>27</v>
      </c>
      <c r="M124" s="113">
        <v>26</v>
      </c>
      <c r="N124" s="113">
        <v>35</v>
      </c>
    </row>
    <row r="125" spans="1:14" x14ac:dyDescent="0.25">
      <c r="A125" s="113">
        <v>109</v>
      </c>
      <c r="B125" s="113" t="s">
        <v>334</v>
      </c>
      <c r="C125" s="113">
        <v>26</v>
      </c>
      <c r="D125" s="113">
        <v>26</v>
      </c>
      <c r="E125" s="113">
        <v>23</v>
      </c>
      <c r="F125" s="113">
        <v>17</v>
      </c>
      <c r="G125" s="113">
        <v>12</v>
      </c>
      <c r="H125" s="113">
        <v>11</v>
      </c>
      <c r="I125" s="113">
        <v>9</v>
      </c>
      <c r="J125" s="113">
        <v>8</v>
      </c>
      <c r="K125" s="113">
        <v>12</v>
      </c>
      <c r="L125" s="113">
        <v>15</v>
      </c>
      <c r="M125" s="113">
        <v>15</v>
      </c>
      <c r="N125" s="113">
        <v>21</v>
      </c>
    </row>
    <row r="126" spans="1:14" x14ac:dyDescent="0.25">
      <c r="A126" s="113">
        <v>110</v>
      </c>
      <c r="B126" s="113" t="s">
        <v>178</v>
      </c>
      <c r="C126" s="113">
        <v>20</v>
      </c>
      <c r="D126" s="113">
        <v>19</v>
      </c>
      <c r="E126" s="113">
        <v>15</v>
      </c>
      <c r="F126" s="113">
        <v>20</v>
      </c>
      <c r="G126" s="113">
        <v>27</v>
      </c>
      <c r="H126" s="113">
        <v>33</v>
      </c>
      <c r="I126" s="113">
        <v>38</v>
      </c>
      <c r="J126" s="113">
        <v>40</v>
      </c>
      <c r="K126" s="113">
        <v>43</v>
      </c>
      <c r="L126" s="113">
        <v>45</v>
      </c>
      <c r="M126" s="113">
        <v>32</v>
      </c>
      <c r="N126" s="113">
        <v>23</v>
      </c>
    </row>
    <row r="127" spans="1:14" x14ac:dyDescent="0.25">
      <c r="A127" s="113">
        <v>111</v>
      </c>
      <c r="B127" s="113" t="s">
        <v>232</v>
      </c>
      <c r="C127" s="113">
        <v>132</v>
      </c>
      <c r="D127" s="113">
        <v>123</v>
      </c>
      <c r="E127" s="113">
        <v>104</v>
      </c>
      <c r="F127" s="113">
        <v>137</v>
      </c>
      <c r="G127" s="113">
        <v>192</v>
      </c>
      <c r="H127" s="113">
        <v>235</v>
      </c>
      <c r="I127" s="113">
        <v>264</v>
      </c>
      <c r="J127" s="113">
        <v>273</v>
      </c>
      <c r="K127" s="113">
        <v>312</v>
      </c>
      <c r="L127" s="113">
        <v>308</v>
      </c>
      <c r="M127" s="113">
        <v>219</v>
      </c>
      <c r="N127" s="113">
        <v>170</v>
      </c>
    </row>
    <row r="128" spans="1:14" x14ac:dyDescent="0.25">
      <c r="A128" s="113">
        <v>112</v>
      </c>
      <c r="B128" s="113" t="s">
        <v>336</v>
      </c>
      <c r="C128" s="113">
        <v>134</v>
      </c>
      <c r="D128" s="113">
        <v>124</v>
      </c>
      <c r="E128" s="113">
        <v>105</v>
      </c>
      <c r="F128" s="113">
        <v>138</v>
      </c>
      <c r="G128" s="113">
        <v>194</v>
      </c>
      <c r="H128" s="113">
        <v>237</v>
      </c>
      <c r="I128" s="113">
        <v>266</v>
      </c>
      <c r="J128" s="113">
        <v>275</v>
      </c>
      <c r="K128" s="113">
        <v>314</v>
      </c>
      <c r="L128" s="113">
        <v>311</v>
      </c>
      <c r="M128" s="113">
        <v>221</v>
      </c>
      <c r="N128" s="113">
        <v>171</v>
      </c>
    </row>
    <row r="129" spans="1:14" x14ac:dyDescent="0.25">
      <c r="A129" s="113">
        <v>113</v>
      </c>
      <c r="B129" s="113" t="s">
        <v>233</v>
      </c>
      <c r="C129" s="113">
        <v>166</v>
      </c>
      <c r="D129" s="113">
        <v>154</v>
      </c>
      <c r="E129" s="113">
        <v>131</v>
      </c>
      <c r="F129" s="113">
        <v>176</v>
      </c>
      <c r="G129" s="113">
        <v>247</v>
      </c>
      <c r="H129" s="113">
        <v>301</v>
      </c>
      <c r="I129" s="113">
        <v>343</v>
      </c>
      <c r="J129" s="113">
        <v>348</v>
      </c>
      <c r="K129" s="113">
        <v>398</v>
      </c>
      <c r="L129" s="113">
        <v>394</v>
      </c>
      <c r="M129" s="113">
        <v>285</v>
      </c>
      <c r="N129" s="113">
        <v>212</v>
      </c>
    </row>
    <row r="130" spans="1:14" x14ac:dyDescent="0.25">
      <c r="A130" s="113">
        <v>114</v>
      </c>
      <c r="B130" s="113" t="s">
        <v>181</v>
      </c>
      <c r="C130" s="113">
        <v>201</v>
      </c>
      <c r="D130" s="113">
        <v>191</v>
      </c>
      <c r="E130" s="113">
        <v>163</v>
      </c>
      <c r="F130" s="113">
        <v>225</v>
      </c>
      <c r="G130" s="113">
        <v>302</v>
      </c>
      <c r="H130" s="113">
        <v>384</v>
      </c>
      <c r="I130" s="113">
        <v>433</v>
      </c>
      <c r="J130" s="113">
        <v>425</v>
      </c>
      <c r="K130" s="113">
        <v>483</v>
      </c>
      <c r="L130" s="113">
        <v>475</v>
      </c>
      <c r="M130" s="113">
        <v>341</v>
      </c>
      <c r="N130" s="113">
        <v>254</v>
      </c>
    </row>
    <row r="131" spans="1:14" x14ac:dyDescent="0.25">
      <c r="A131" s="113">
        <v>115</v>
      </c>
      <c r="B131" s="113" t="s">
        <v>743</v>
      </c>
      <c r="C131" s="113">
        <v>25</v>
      </c>
      <c r="D131" s="113">
        <v>27</v>
      </c>
      <c r="E131" s="113">
        <v>24</v>
      </c>
      <c r="F131" s="113">
        <v>18</v>
      </c>
      <c r="G131" s="113">
        <v>17</v>
      </c>
      <c r="H131" s="113">
        <v>17</v>
      </c>
      <c r="I131" s="113">
        <v>17</v>
      </c>
      <c r="J131" s="113">
        <v>14</v>
      </c>
      <c r="K131" s="113">
        <v>18</v>
      </c>
      <c r="L131" s="113">
        <v>20</v>
      </c>
      <c r="M131" s="113">
        <v>19</v>
      </c>
      <c r="N131" s="113">
        <v>20</v>
      </c>
    </row>
    <row r="132" spans="1:14" x14ac:dyDescent="0.25">
      <c r="A132" s="113">
        <v>116</v>
      </c>
      <c r="B132" s="113" t="s">
        <v>340</v>
      </c>
      <c r="C132" s="113">
        <v>6</v>
      </c>
      <c r="D132" s="113">
        <v>6</v>
      </c>
      <c r="E132" s="113">
        <v>5</v>
      </c>
      <c r="F132" s="113">
        <v>4</v>
      </c>
      <c r="G132" s="113">
        <v>3</v>
      </c>
      <c r="H132" s="113">
        <v>2</v>
      </c>
      <c r="I132" s="113">
        <v>2</v>
      </c>
      <c r="J132" s="113">
        <v>2</v>
      </c>
      <c r="K132" s="113">
        <v>3</v>
      </c>
      <c r="L132" s="113">
        <v>3</v>
      </c>
      <c r="M132" s="113">
        <v>3</v>
      </c>
      <c r="N132" s="113">
        <v>5</v>
      </c>
    </row>
    <row r="133" spans="1:14" x14ac:dyDescent="0.25">
      <c r="A133" s="113">
        <v>117</v>
      </c>
      <c r="B133" s="113" t="s">
        <v>744</v>
      </c>
      <c r="C133" s="113">
        <v>19</v>
      </c>
      <c r="D133" s="113">
        <v>20</v>
      </c>
      <c r="E133" s="113">
        <v>18</v>
      </c>
      <c r="F133" s="113">
        <v>13</v>
      </c>
      <c r="G133" s="113">
        <v>10</v>
      </c>
      <c r="H133" s="113">
        <v>10</v>
      </c>
      <c r="I133" s="113">
        <v>8</v>
      </c>
      <c r="J133" s="113">
        <v>7</v>
      </c>
      <c r="K133" s="113">
        <v>9</v>
      </c>
      <c r="L133" s="113">
        <v>11</v>
      </c>
      <c r="M133" s="113">
        <v>11</v>
      </c>
      <c r="N133" s="113">
        <v>14</v>
      </c>
    </row>
    <row r="134" spans="1:14" x14ac:dyDescent="0.25">
      <c r="A134" s="113">
        <v>118</v>
      </c>
      <c r="B134" s="113" t="s">
        <v>230</v>
      </c>
      <c r="C134" s="113">
        <v>26</v>
      </c>
      <c r="D134" s="113">
        <v>26</v>
      </c>
      <c r="E134" s="113">
        <v>23</v>
      </c>
      <c r="F134" s="113">
        <v>17</v>
      </c>
      <c r="G134" s="113">
        <v>12</v>
      </c>
      <c r="H134" s="113">
        <v>11</v>
      </c>
      <c r="I134" s="113">
        <v>9</v>
      </c>
      <c r="J134" s="113">
        <v>8</v>
      </c>
      <c r="K134" s="113">
        <v>12</v>
      </c>
      <c r="L134" s="113">
        <v>15</v>
      </c>
      <c r="M134" s="113">
        <v>15</v>
      </c>
      <c r="N134" s="113">
        <v>21</v>
      </c>
    </row>
    <row r="135" spans="1:14" x14ac:dyDescent="0.25">
      <c r="A135" s="113">
        <v>119</v>
      </c>
      <c r="B135" s="113" t="s">
        <v>230</v>
      </c>
      <c r="C135" s="113">
        <v>32</v>
      </c>
      <c r="D135" s="113">
        <v>31</v>
      </c>
      <c r="E135" s="113">
        <v>28</v>
      </c>
      <c r="F135" s="113">
        <v>20</v>
      </c>
      <c r="G135" s="113">
        <v>15</v>
      </c>
      <c r="H135" s="113">
        <v>13</v>
      </c>
      <c r="I135" s="113">
        <v>11</v>
      </c>
      <c r="J135" s="113">
        <v>10</v>
      </c>
      <c r="K135" s="113">
        <v>15</v>
      </c>
      <c r="L135" s="113">
        <v>19</v>
      </c>
      <c r="M135" s="113">
        <v>19</v>
      </c>
      <c r="N135" s="113">
        <v>25</v>
      </c>
    </row>
    <row r="136" spans="1:14" x14ac:dyDescent="0.25">
      <c r="A136" s="113">
        <v>120</v>
      </c>
      <c r="B136" s="113" t="s">
        <v>110</v>
      </c>
      <c r="C136" s="113">
        <v>45</v>
      </c>
      <c r="D136" s="113">
        <v>48</v>
      </c>
      <c r="E136" s="113">
        <v>46</v>
      </c>
      <c r="F136" s="113">
        <v>34</v>
      </c>
      <c r="G136" s="113">
        <v>27</v>
      </c>
      <c r="H136" s="113">
        <v>24</v>
      </c>
      <c r="I136" s="113">
        <v>20</v>
      </c>
      <c r="J136" s="113">
        <v>17</v>
      </c>
      <c r="K136" s="113">
        <v>18</v>
      </c>
      <c r="L136" s="113">
        <v>20</v>
      </c>
      <c r="M136" s="113">
        <v>24</v>
      </c>
      <c r="N136" s="113">
        <v>34</v>
      </c>
    </row>
    <row r="137" spans="1:14" x14ac:dyDescent="0.25">
      <c r="A137" s="113">
        <v>121</v>
      </c>
      <c r="B137" s="113" t="s">
        <v>111</v>
      </c>
      <c r="C137" s="113">
        <v>107</v>
      </c>
      <c r="D137" s="113">
        <v>113</v>
      </c>
      <c r="E137" s="113">
        <v>103</v>
      </c>
      <c r="F137" s="113">
        <v>80</v>
      </c>
      <c r="G137" s="113">
        <v>62</v>
      </c>
      <c r="H137" s="113">
        <v>55</v>
      </c>
      <c r="I137" s="113">
        <v>48</v>
      </c>
      <c r="J137" s="113">
        <v>42</v>
      </c>
      <c r="K137" s="113">
        <v>45</v>
      </c>
      <c r="L137" s="113">
        <v>51</v>
      </c>
      <c r="M137" s="113">
        <v>59</v>
      </c>
      <c r="N137" s="113">
        <v>80</v>
      </c>
    </row>
    <row r="138" spans="1:14" x14ac:dyDescent="0.25">
      <c r="A138" s="113">
        <v>122</v>
      </c>
      <c r="B138" s="113" t="s">
        <v>745</v>
      </c>
      <c r="C138" s="113">
        <v>121</v>
      </c>
      <c r="D138" s="113">
        <v>130</v>
      </c>
      <c r="E138" s="113">
        <v>117</v>
      </c>
      <c r="F138" s="113">
        <v>91</v>
      </c>
      <c r="G138" s="113">
        <v>71</v>
      </c>
      <c r="H138" s="113">
        <v>63</v>
      </c>
      <c r="I138" s="113">
        <v>55</v>
      </c>
      <c r="J138" s="113">
        <v>48</v>
      </c>
      <c r="K138" s="113">
        <v>52</v>
      </c>
      <c r="L138" s="113">
        <v>58</v>
      </c>
      <c r="M138" s="113">
        <v>67</v>
      </c>
      <c r="N138" s="113">
        <v>90</v>
      </c>
    </row>
    <row r="139" spans="1:14" x14ac:dyDescent="0.25">
      <c r="A139" s="113">
        <v>123</v>
      </c>
      <c r="B139" s="113" t="s">
        <v>113</v>
      </c>
      <c r="C139" s="113">
        <v>382</v>
      </c>
      <c r="D139" s="113">
        <v>404</v>
      </c>
      <c r="E139" s="113">
        <v>388</v>
      </c>
      <c r="F139" s="113">
        <v>277</v>
      </c>
      <c r="G139" s="113">
        <v>193</v>
      </c>
      <c r="H139" s="113">
        <v>167</v>
      </c>
      <c r="I139" s="113">
        <v>142</v>
      </c>
      <c r="J139" s="113">
        <v>121</v>
      </c>
      <c r="K139" s="113">
        <v>126</v>
      </c>
      <c r="L139" s="113">
        <v>150</v>
      </c>
      <c r="M139" s="113">
        <v>187</v>
      </c>
      <c r="N139" s="113">
        <v>270</v>
      </c>
    </row>
    <row r="140" spans="1:14" x14ac:dyDescent="0.25">
      <c r="A140" s="113">
        <v>125</v>
      </c>
      <c r="B140" s="113" t="s">
        <v>746</v>
      </c>
      <c r="C140" s="113">
        <v>501</v>
      </c>
      <c r="D140" s="113">
        <v>523</v>
      </c>
      <c r="E140" s="113">
        <v>497</v>
      </c>
      <c r="F140" s="113">
        <v>350</v>
      </c>
      <c r="G140" s="113">
        <v>245</v>
      </c>
      <c r="H140" s="113">
        <v>210</v>
      </c>
      <c r="I140" s="113">
        <v>176</v>
      </c>
      <c r="J140" s="113">
        <v>150</v>
      </c>
      <c r="K140" s="113">
        <v>155</v>
      </c>
      <c r="L140" s="113">
        <v>186</v>
      </c>
      <c r="M140" s="113">
        <v>241</v>
      </c>
      <c r="N140" s="113">
        <v>353</v>
      </c>
    </row>
    <row r="141" spans="1:14" x14ac:dyDescent="0.25">
      <c r="A141" s="113">
        <v>126</v>
      </c>
      <c r="B141" s="113" t="s">
        <v>261</v>
      </c>
      <c r="C141" s="113">
        <v>328</v>
      </c>
      <c r="D141" s="113">
        <v>327</v>
      </c>
      <c r="E141" s="113">
        <v>331</v>
      </c>
      <c r="F141" s="113">
        <v>297</v>
      </c>
      <c r="G141" s="113">
        <v>218</v>
      </c>
      <c r="H141" s="113">
        <v>163</v>
      </c>
      <c r="I141" s="113">
        <v>126</v>
      </c>
      <c r="J141" s="113">
        <v>94</v>
      </c>
      <c r="K141" s="113">
        <v>94</v>
      </c>
      <c r="L141" s="113">
        <v>130</v>
      </c>
      <c r="M141" s="113">
        <v>213</v>
      </c>
      <c r="N141" s="113">
        <v>305</v>
      </c>
    </row>
    <row r="142" spans="1:14" x14ac:dyDescent="0.25">
      <c r="A142" s="113">
        <v>127</v>
      </c>
      <c r="B142" s="113" t="s">
        <v>747</v>
      </c>
      <c r="C142" s="113">
        <v>775</v>
      </c>
      <c r="D142" s="113">
        <v>775</v>
      </c>
      <c r="E142" s="113">
        <v>712</v>
      </c>
      <c r="F142" s="113">
        <v>476</v>
      </c>
      <c r="G142" s="113">
        <v>312</v>
      </c>
      <c r="H142" s="113">
        <v>260</v>
      </c>
      <c r="I142" s="113">
        <v>217</v>
      </c>
      <c r="J142" s="113">
        <v>184</v>
      </c>
      <c r="K142" s="113">
        <v>188</v>
      </c>
      <c r="L142" s="113">
        <v>222</v>
      </c>
      <c r="M142" s="113">
        <v>316</v>
      </c>
      <c r="N142" s="113">
        <v>520</v>
      </c>
    </row>
    <row r="143" spans="1:14" x14ac:dyDescent="0.25">
      <c r="A143" s="113">
        <v>129</v>
      </c>
      <c r="B143" s="113" t="s">
        <v>254</v>
      </c>
      <c r="C143" s="113">
        <v>972</v>
      </c>
      <c r="D143" s="113">
        <v>971</v>
      </c>
      <c r="E143" s="113">
        <v>908</v>
      </c>
      <c r="F143" s="113">
        <v>662</v>
      </c>
      <c r="G143" s="113">
        <v>473</v>
      </c>
      <c r="H143" s="113">
        <v>397</v>
      </c>
      <c r="I143" s="113">
        <v>336</v>
      </c>
      <c r="J143" s="113">
        <v>288</v>
      </c>
      <c r="K143" s="113">
        <v>292</v>
      </c>
      <c r="L143" s="113">
        <v>347</v>
      </c>
      <c r="M143" s="113">
        <v>471</v>
      </c>
      <c r="N143" s="113">
        <v>705</v>
      </c>
    </row>
    <row r="144" spans="1:14" x14ac:dyDescent="0.25">
      <c r="A144" s="113">
        <v>130</v>
      </c>
      <c r="B144" s="113" t="s">
        <v>748</v>
      </c>
      <c r="C144" s="113">
        <v>1086</v>
      </c>
      <c r="D144" s="113">
        <v>1088</v>
      </c>
      <c r="E144" s="113">
        <v>1018</v>
      </c>
      <c r="F144" s="113">
        <v>737</v>
      </c>
      <c r="G144" s="113">
        <v>522</v>
      </c>
      <c r="H144" s="113">
        <v>438</v>
      </c>
      <c r="I144" s="113">
        <v>369</v>
      </c>
      <c r="J144" s="113">
        <v>316</v>
      </c>
      <c r="K144" s="113">
        <v>321</v>
      </c>
      <c r="L144" s="113">
        <v>383</v>
      </c>
      <c r="M144" s="113">
        <v>522</v>
      </c>
      <c r="N144" s="113">
        <v>787</v>
      </c>
    </row>
    <row r="145" spans="1:14" x14ac:dyDescent="0.25">
      <c r="A145" s="113">
        <v>131</v>
      </c>
      <c r="B145" s="113" t="s">
        <v>749</v>
      </c>
      <c r="C145" s="113">
        <v>144</v>
      </c>
      <c r="D145" s="113">
        <v>143</v>
      </c>
      <c r="E145" s="113">
        <v>144</v>
      </c>
      <c r="F145" s="113">
        <v>143</v>
      </c>
      <c r="G145" s="113">
        <v>135</v>
      </c>
      <c r="H145" s="113">
        <v>122</v>
      </c>
      <c r="I145" s="113">
        <v>110</v>
      </c>
      <c r="J145" s="113">
        <v>96</v>
      </c>
      <c r="K145" s="113">
        <v>97</v>
      </c>
      <c r="L145" s="113">
        <v>112</v>
      </c>
      <c r="M145" s="113">
        <v>131</v>
      </c>
      <c r="N145" s="113">
        <v>142</v>
      </c>
    </row>
    <row r="146" spans="1:14" x14ac:dyDescent="0.25">
      <c r="A146" s="113">
        <v>132</v>
      </c>
      <c r="B146" s="113" t="s">
        <v>255</v>
      </c>
      <c r="C146" s="113">
        <v>31</v>
      </c>
      <c r="D146" s="113">
        <v>30</v>
      </c>
      <c r="E146" s="113">
        <v>29</v>
      </c>
      <c r="F146" s="113">
        <v>24</v>
      </c>
      <c r="G146" s="113">
        <v>17</v>
      </c>
      <c r="H146" s="113">
        <v>12</v>
      </c>
      <c r="I146" s="113">
        <v>10</v>
      </c>
      <c r="J146" s="113">
        <v>9</v>
      </c>
      <c r="K146" s="113">
        <v>9</v>
      </c>
      <c r="L146" s="113">
        <v>11</v>
      </c>
      <c r="M146" s="113">
        <v>17</v>
      </c>
      <c r="N146" s="113">
        <v>25</v>
      </c>
    </row>
    <row r="147" spans="1:14" x14ac:dyDescent="0.25">
      <c r="A147" s="113">
        <v>134</v>
      </c>
      <c r="B147" s="113" t="s">
        <v>750</v>
      </c>
      <c r="C147" s="113">
        <v>297</v>
      </c>
      <c r="D147" s="113">
        <v>240</v>
      </c>
      <c r="E147" s="113">
        <v>215</v>
      </c>
      <c r="F147" s="113">
        <v>163</v>
      </c>
      <c r="G147" s="113">
        <v>117</v>
      </c>
      <c r="H147" s="113">
        <v>96</v>
      </c>
      <c r="I147" s="113">
        <v>82</v>
      </c>
      <c r="J147" s="113">
        <v>71</v>
      </c>
      <c r="K147" s="113">
        <v>68</v>
      </c>
      <c r="L147" s="113">
        <v>87</v>
      </c>
      <c r="M147" s="113">
        <v>162</v>
      </c>
      <c r="N147" s="113">
        <v>258</v>
      </c>
    </row>
    <row r="148" spans="1:14" x14ac:dyDescent="0.25">
      <c r="A148" s="113">
        <v>141</v>
      </c>
      <c r="B148" s="113" t="s">
        <v>133</v>
      </c>
      <c r="C148" s="113">
        <v>1053</v>
      </c>
      <c r="D148" s="113">
        <v>855</v>
      </c>
      <c r="E148" s="113">
        <v>756</v>
      </c>
      <c r="F148" s="113">
        <v>593</v>
      </c>
      <c r="G148" s="113">
        <v>444</v>
      </c>
      <c r="H148" s="113">
        <v>378</v>
      </c>
      <c r="I148" s="113">
        <v>335</v>
      </c>
      <c r="J148" s="113">
        <v>300</v>
      </c>
      <c r="K148" s="113">
        <v>292</v>
      </c>
      <c r="L148" s="113">
        <v>352</v>
      </c>
      <c r="M148" s="113">
        <v>563</v>
      </c>
      <c r="N148" s="113">
        <v>910</v>
      </c>
    </row>
    <row r="149" spans="1:14" x14ac:dyDescent="0.25">
      <c r="A149" s="113">
        <v>144</v>
      </c>
      <c r="B149" s="113" t="s">
        <v>135</v>
      </c>
      <c r="C149" s="113">
        <v>1888</v>
      </c>
      <c r="D149" s="113">
        <v>1463</v>
      </c>
      <c r="E149" s="113">
        <v>1285</v>
      </c>
      <c r="F149" s="113">
        <v>993</v>
      </c>
      <c r="G149" s="113">
        <v>719</v>
      </c>
      <c r="H149" s="113">
        <v>601</v>
      </c>
      <c r="I149" s="113">
        <v>532</v>
      </c>
      <c r="J149" s="113">
        <v>471</v>
      </c>
      <c r="K149" s="113">
        <v>454</v>
      </c>
      <c r="L149" s="113">
        <v>571</v>
      </c>
      <c r="M149" s="113">
        <v>974</v>
      </c>
      <c r="N149" s="113">
        <v>1649</v>
      </c>
    </row>
    <row r="150" spans="1:14" x14ac:dyDescent="0.25">
      <c r="A150" s="113">
        <v>145</v>
      </c>
      <c r="B150" s="113" t="s">
        <v>149</v>
      </c>
      <c r="C150" s="113">
        <v>117</v>
      </c>
      <c r="D150" s="113">
        <v>135</v>
      </c>
      <c r="E150" s="113">
        <v>148</v>
      </c>
      <c r="F150" s="113">
        <v>111</v>
      </c>
      <c r="G150" s="113">
        <v>78</v>
      </c>
      <c r="H150" s="113">
        <v>64</v>
      </c>
      <c r="I150" s="113">
        <v>58</v>
      </c>
      <c r="J150" s="113">
        <v>54</v>
      </c>
      <c r="K150" s="113">
        <v>52</v>
      </c>
      <c r="L150" s="113">
        <v>56</v>
      </c>
      <c r="M150" s="113">
        <v>65</v>
      </c>
      <c r="N150" s="113">
        <v>88</v>
      </c>
    </row>
    <row r="151" spans="1:14" x14ac:dyDescent="0.25">
      <c r="A151" s="113">
        <v>148</v>
      </c>
      <c r="B151" s="113" t="s">
        <v>258</v>
      </c>
      <c r="C151" s="113">
        <v>1620</v>
      </c>
      <c r="D151" s="113">
        <v>1260</v>
      </c>
      <c r="E151" s="113">
        <v>1107</v>
      </c>
      <c r="F151" s="113">
        <v>856</v>
      </c>
      <c r="G151" s="113">
        <v>621</v>
      </c>
      <c r="H151" s="113">
        <v>521</v>
      </c>
      <c r="I151" s="113">
        <v>461</v>
      </c>
      <c r="J151" s="113">
        <v>410</v>
      </c>
      <c r="K151" s="113">
        <v>396</v>
      </c>
      <c r="L151" s="113">
        <v>496</v>
      </c>
      <c r="M151" s="113">
        <v>839</v>
      </c>
      <c r="N151" s="113">
        <v>1414</v>
      </c>
    </row>
    <row r="152" spans="1:14" x14ac:dyDescent="0.25">
      <c r="A152" s="113">
        <v>149</v>
      </c>
      <c r="B152" s="113" t="s">
        <v>132</v>
      </c>
      <c r="C152" s="113">
        <v>273</v>
      </c>
      <c r="D152" s="113">
        <v>232</v>
      </c>
      <c r="E152" s="113">
        <v>206</v>
      </c>
      <c r="F152" s="113">
        <v>160</v>
      </c>
      <c r="G152" s="113">
        <v>123</v>
      </c>
      <c r="H152" s="113">
        <v>107</v>
      </c>
      <c r="I152" s="113">
        <v>96</v>
      </c>
      <c r="J152" s="113">
        <v>86</v>
      </c>
      <c r="K152" s="113">
        <v>85</v>
      </c>
      <c r="L152" s="113">
        <v>101</v>
      </c>
      <c r="M152" s="113">
        <v>147</v>
      </c>
      <c r="N152" s="113">
        <v>230</v>
      </c>
    </row>
    <row r="153" spans="1:14" x14ac:dyDescent="0.25">
      <c r="A153" s="113">
        <v>155</v>
      </c>
      <c r="B153" s="113" t="s">
        <v>751</v>
      </c>
      <c r="C153" s="113">
        <v>333</v>
      </c>
      <c r="D153" s="113">
        <v>284</v>
      </c>
      <c r="E153" s="113">
        <v>242</v>
      </c>
      <c r="F153" s="113">
        <v>160</v>
      </c>
      <c r="G153" s="113">
        <v>111</v>
      </c>
      <c r="H153" s="113">
        <v>90</v>
      </c>
      <c r="I153" s="113">
        <v>73</v>
      </c>
      <c r="J153" s="113">
        <v>63</v>
      </c>
      <c r="K153" s="113">
        <v>61</v>
      </c>
      <c r="L153" s="113">
        <v>77</v>
      </c>
      <c r="M153" s="113">
        <v>132</v>
      </c>
      <c r="N153" s="113">
        <v>252</v>
      </c>
    </row>
    <row r="154" spans="1:14" x14ac:dyDescent="0.25">
      <c r="A154" s="113">
        <v>156</v>
      </c>
      <c r="B154" s="113" t="s">
        <v>157</v>
      </c>
      <c r="C154" s="113">
        <v>1475</v>
      </c>
      <c r="D154" s="113">
        <v>1369</v>
      </c>
      <c r="E154" s="113">
        <v>1138</v>
      </c>
      <c r="F154" s="113">
        <v>755</v>
      </c>
      <c r="G154" s="113">
        <v>452</v>
      </c>
      <c r="H154" s="113">
        <v>341</v>
      </c>
      <c r="I154" s="113">
        <v>274</v>
      </c>
      <c r="J154" s="113">
        <v>224</v>
      </c>
      <c r="K154" s="113">
        <v>219</v>
      </c>
      <c r="L154" s="113">
        <v>299</v>
      </c>
      <c r="M154" s="113">
        <v>599</v>
      </c>
      <c r="N154" s="113">
        <v>1113</v>
      </c>
    </row>
    <row r="155" spans="1:14" x14ac:dyDescent="0.25">
      <c r="A155" s="113">
        <v>158</v>
      </c>
      <c r="B155" s="113" t="s">
        <v>158</v>
      </c>
      <c r="C155" s="113">
        <v>83</v>
      </c>
      <c r="D155" s="113">
        <v>83</v>
      </c>
      <c r="E155" s="113">
        <v>87</v>
      </c>
      <c r="F155" s="113">
        <v>68</v>
      </c>
      <c r="G155" s="113">
        <v>47</v>
      </c>
      <c r="H155" s="113">
        <v>40</v>
      </c>
      <c r="I155" s="113">
        <v>35</v>
      </c>
      <c r="J155" s="113">
        <v>30</v>
      </c>
      <c r="K155" s="113">
        <v>27</v>
      </c>
      <c r="L155" s="113">
        <v>33</v>
      </c>
      <c r="M155" s="113">
        <v>51</v>
      </c>
      <c r="N155" s="113">
        <v>79</v>
      </c>
    </row>
    <row r="156" spans="1:14" x14ac:dyDescent="0.25">
      <c r="A156" s="113">
        <v>160</v>
      </c>
      <c r="B156" s="113" t="s">
        <v>78</v>
      </c>
      <c r="C156" s="113">
        <v>11</v>
      </c>
      <c r="D156" s="113">
        <v>11</v>
      </c>
      <c r="E156" s="113">
        <v>11</v>
      </c>
      <c r="F156" s="113">
        <v>9</v>
      </c>
      <c r="G156" s="113">
        <v>7</v>
      </c>
      <c r="H156" s="113">
        <v>6</v>
      </c>
      <c r="I156" s="113">
        <v>6</v>
      </c>
      <c r="J156" s="113">
        <v>5</v>
      </c>
      <c r="K156" s="113">
        <v>6</v>
      </c>
      <c r="L156" s="113">
        <v>7</v>
      </c>
      <c r="M156" s="113">
        <v>7</v>
      </c>
      <c r="N156" s="113">
        <v>9</v>
      </c>
    </row>
    <row r="157" spans="1:14" x14ac:dyDescent="0.25">
      <c r="A157" s="113">
        <v>161</v>
      </c>
      <c r="B157" s="113" t="s">
        <v>752</v>
      </c>
      <c r="C157" s="113">
        <v>177</v>
      </c>
      <c r="D157" s="113">
        <v>185</v>
      </c>
      <c r="E157" s="113">
        <v>161</v>
      </c>
      <c r="F157" s="113">
        <v>108</v>
      </c>
      <c r="G157" s="113">
        <v>83</v>
      </c>
      <c r="H157" s="113">
        <v>77</v>
      </c>
      <c r="I157" s="113">
        <v>65</v>
      </c>
      <c r="J157" s="113">
        <v>55</v>
      </c>
      <c r="K157" s="113">
        <v>70</v>
      </c>
      <c r="L157" s="113">
        <v>91</v>
      </c>
      <c r="M157" s="113">
        <v>98</v>
      </c>
      <c r="N157" s="113">
        <v>130</v>
      </c>
    </row>
    <row r="158" spans="1:14" x14ac:dyDescent="0.25">
      <c r="A158" s="113">
        <v>164</v>
      </c>
      <c r="B158" s="113" t="s">
        <v>752</v>
      </c>
      <c r="C158" s="113">
        <v>132</v>
      </c>
      <c r="D158" s="113">
        <v>139</v>
      </c>
      <c r="E158" s="113">
        <v>120</v>
      </c>
      <c r="F158" s="113">
        <v>78</v>
      </c>
      <c r="G158" s="113">
        <v>61</v>
      </c>
      <c r="H158" s="113">
        <v>57</v>
      </c>
      <c r="I158" s="113">
        <v>47</v>
      </c>
      <c r="J158" s="113">
        <v>39</v>
      </c>
      <c r="K158" s="113">
        <v>49</v>
      </c>
      <c r="L158" s="113">
        <v>64</v>
      </c>
      <c r="M158" s="113">
        <v>71</v>
      </c>
      <c r="N158" s="113">
        <v>95</v>
      </c>
    </row>
    <row r="159" spans="1:14" x14ac:dyDescent="0.25">
      <c r="A159" s="113">
        <v>168</v>
      </c>
      <c r="B159" s="113" t="s">
        <v>376</v>
      </c>
      <c r="C159" s="113">
        <v>3274</v>
      </c>
      <c r="D159" s="113">
        <v>3390</v>
      </c>
      <c r="E159" s="113">
        <v>3410</v>
      </c>
      <c r="F159" s="113">
        <v>2728</v>
      </c>
      <c r="G159" s="113">
        <v>1651</v>
      </c>
      <c r="H159" s="113">
        <v>1127</v>
      </c>
      <c r="I159" s="113">
        <v>962</v>
      </c>
      <c r="J159" s="113">
        <v>850</v>
      </c>
      <c r="K159" s="113">
        <v>760</v>
      </c>
      <c r="L159" s="113">
        <v>836</v>
      </c>
      <c r="M159" s="113">
        <v>1358</v>
      </c>
      <c r="N159" s="113">
        <v>2433</v>
      </c>
    </row>
    <row r="160" spans="1:14" x14ac:dyDescent="0.25">
      <c r="A160" s="113">
        <v>169</v>
      </c>
      <c r="B160" s="113" t="s">
        <v>376</v>
      </c>
      <c r="C160" s="113">
        <v>4692</v>
      </c>
      <c r="D160" s="113">
        <v>4903</v>
      </c>
      <c r="E160" s="113">
        <v>4744</v>
      </c>
      <c r="F160" s="113">
        <v>3757</v>
      </c>
      <c r="G160" s="113">
        <v>2274</v>
      </c>
      <c r="H160" s="113">
        <v>1555</v>
      </c>
      <c r="I160" s="113">
        <v>1297</v>
      </c>
      <c r="J160" s="113">
        <v>1123</v>
      </c>
      <c r="K160" s="113">
        <v>1005</v>
      </c>
      <c r="L160" s="113">
        <v>1129</v>
      </c>
      <c r="M160" s="113">
        <v>1865</v>
      </c>
      <c r="N160" s="113">
        <v>3359</v>
      </c>
    </row>
    <row r="161" spans="1:14" x14ac:dyDescent="0.25">
      <c r="A161" s="113">
        <v>171</v>
      </c>
      <c r="B161" s="113" t="s">
        <v>753</v>
      </c>
      <c r="C161" s="113">
        <v>111</v>
      </c>
      <c r="D161" s="113">
        <v>143</v>
      </c>
      <c r="E161" s="113">
        <v>224</v>
      </c>
      <c r="F161" s="113">
        <v>196</v>
      </c>
      <c r="G161" s="113">
        <v>66</v>
      </c>
      <c r="H161" s="113">
        <v>18</v>
      </c>
      <c r="I161" s="113">
        <v>11</v>
      </c>
      <c r="J161" s="113">
        <v>14</v>
      </c>
      <c r="K161" s="113">
        <v>21</v>
      </c>
      <c r="L161" s="113">
        <v>22</v>
      </c>
      <c r="M161" s="113">
        <v>37</v>
      </c>
      <c r="N161" s="113">
        <v>84</v>
      </c>
    </row>
    <row r="162" spans="1:14" x14ac:dyDescent="0.25">
      <c r="A162" s="113">
        <v>172</v>
      </c>
      <c r="B162" s="113" t="s">
        <v>208</v>
      </c>
      <c r="C162" s="113">
        <v>4724</v>
      </c>
      <c r="D162" s="113">
        <v>5023</v>
      </c>
      <c r="E162" s="113">
        <v>5015</v>
      </c>
      <c r="F162" s="113">
        <v>4072</v>
      </c>
      <c r="G162" s="113">
        <v>2455</v>
      </c>
      <c r="H162" s="113">
        <v>1615</v>
      </c>
      <c r="I162" s="113">
        <v>1326</v>
      </c>
      <c r="J162" s="113">
        <v>1156</v>
      </c>
      <c r="K162" s="113">
        <v>1033</v>
      </c>
      <c r="L162" s="113">
        <v>1118</v>
      </c>
      <c r="M162" s="113">
        <v>1792</v>
      </c>
      <c r="N162" s="113">
        <v>3301</v>
      </c>
    </row>
    <row r="163" spans="1:14" x14ac:dyDescent="0.25">
      <c r="A163" s="113">
        <v>173</v>
      </c>
      <c r="B163" s="113" t="s">
        <v>239</v>
      </c>
      <c r="C163" s="113">
        <v>4720</v>
      </c>
      <c r="D163" s="113">
        <v>5041</v>
      </c>
      <c r="E163" s="113">
        <v>5059</v>
      </c>
      <c r="F163" s="113">
        <v>4145</v>
      </c>
      <c r="G163" s="113">
        <v>2508</v>
      </c>
      <c r="H163" s="113">
        <v>1636</v>
      </c>
      <c r="I163" s="113">
        <v>1339</v>
      </c>
      <c r="J163" s="113">
        <v>1168</v>
      </c>
      <c r="K163" s="113">
        <v>1044</v>
      </c>
      <c r="L163" s="113">
        <v>1119</v>
      </c>
      <c r="M163" s="113">
        <v>1769</v>
      </c>
      <c r="N163" s="113">
        <v>3279</v>
      </c>
    </row>
    <row r="164" spans="1:14" x14ac:dyDescent="0.25">
      <c r="A164" s="113">
        <v>175</v>
      </c>
      <c r="B164" s="113" t="s">
        <v>754</v>
      </c>
      <c r="C164" s="113">
        <v>4720</v>
      </c>
      <c r="D164" s="113">
        <v>5041</v>
      </c>
      <c r="E164" s="113">
        <v>5059</v>
      </c>
      <c r="F164" s="113">
        <v>4145</v>
      </c>
      <c r="G164" s="113">
        <v>2508</v>
      </c>
      <c r="H164" s="113">
        <v>1636</v>
      </c>
      <c r="I164" s="113">
        <v>1339</v>
      </c>
      <c r="J164" s="113">
        <v>1168</v>
      </c>
      <c r="K164" s="113">
        <v>1044</v>
      </c>
      <c r="L164" s="113">
        <v>1119</v>
      </c>
      <c r="M164" s="113">
        <v>1769</v>
      </c>
      <c r="N164" s="113">
        <v>3279</v>
      </c>
    </row>
    <row r="165" spans="1:14" x14ac:dyDescent="0.25">
      <c r="A165" s="113">
        <v>176</v>
      </c>
      <c r="B165" s="113" t="s">
        <v>755</v>
      </c>
      <c r="C165" s="113">
        <v>4720</v>
      </c>
      <c r="D165" s="113">
        <v>5041</v>
      </c>
      <c r="E165" s="113">
        <v>5059</v>
      </c>
      <c r="F165" s="113">
        <v>4145</v>
      </c>
      <c r="G165" s="113">
        <v>2508</v>
      </c>
      <c r="H165" s="113">
        <v>1636</v>
      </c>
      <c r="I165" s="113">
        <v>1339</v>
      </c>
      <c r="J165" s="113">
        <v>1168</v>
      </c>
      <c r="K165" s="113">
        <v>1044</v>
      </c>
      <c r="L165" s="113">
        <v>1119</v>
      </c>
      <c r="M165" s="113">
        <v>1769</v>
      </c>
      <c r="N165" s="113">
        <v>3279</v>
      </c>
    </row>
    <row r="166" spans="1:14" x14ac:dyDescent="0.25">
      <c r="A166" s="113">
        <v>178</v>
      </c>
      <c r="B166" s="113" t="s">
        <v>756</v>
      </c>
      <c r="C166" s="113">
        <v>4718</v>
      </c>
      <c r="D166" s="113">
        <v>5041</v>
      </c>
      <c r="E166" s="113">
        <v>5059</v>
      </c>
      <c r="F166" s="113">
        <v>4144</v>
      </c>
      <c r="G166" s="113">
        <v>2508</v>
      </c>
      <c r="H166" s="113">
        <v>1636</v>
      </c>
      <c r="I166" s="113">
        <v>1339</v>
      </c>
      <c r="J166" s="113">
        <v>1168</v>
      </c>
      <c r="K166" s="113">
        <v>1044</v>
      </c>
      <c r="L166" s="113">
        <v>1119</v>
      </c>
      <c r="M166" s="113">
        <v>1769</v>
      </c>
      <c r="N166" s="113">
        <v>3277</v>
      </c>
    </row>
    <row r="167" spans="1:14" x14ac:dyDescent="0.25">
      <c r="A167" s="113">
        <v>183</v>
      </c>
      <c r="B167" s="113" t="s">
        <v>757</v>
      </c>
      <c r="C167" s="113">
        <v>168</v>
      </c>
      <c r="D167" s="113">
        <v>128</v>
      </c>
      <c r="E167" s="113">
        <v>115</v>
      </c>
      <c r="F167" s="113">
        <v>83</v>
      </c>
      <c r="G167" s="113">
        <v>62</v>
      </c>
      <c r="H167" s="113">
        <v>53</v>
      </c>
      <c r="I167" s="113">
        <v>47</v>
      </c>
      <c r="J167" s="113">
        <v>42</v>
      </c>
      <c r="K167" s="113">
        <v>42</v>
      </c>
      <c r="L167" s="113">
        <v>53</v>
      </c>
      <c r="M167" s="113">
        <v>86</v>
      </c>
      <c r="N167" s="113">
        <v>143</v>
      </c>
    </row>
    <row r="168" spans="1:14" x14ac:dyDescent="0.25">
      <c r="A168" s="113">
        <v>187</v>
      </c>
      <c r="B168" s="113" t="s">
        <v>758</v>
      </c>
      <c r="C168" s="113">
        <v>122</v>
      </c>
      <c r="D168" s="113">
        <v>123</v>
      </c>
      <c r="E168" s="113">
        <v>122</v>
      </c>
      <c r="F168" s="113">
        <v>101</v>
      </c>
      <c r="G168" s="113">
        <v>87</v>
      </c>
      <c r="H168" s="113">
        <v>77</v>
      </c>
      <c r="I168" s="113">
        <v>68</v>
      </c>
      <c r="J168" s="113">
        <v>62</v>
      </c>
      <c r="K168" s="113">
        <v>61</v>
      </c>
      <c r="L168" s="113">
        <v>68</v>
      </c>
      <c r="M168" s="113">
        <v>86</v>
      </c>
      <c r="N168" s="113">
        <v>112</v>
      </c>
    </row>
    <row r="169" spans="1:14" x14ac:dyDescent="0.25">
      <c r="A169" s="113">
        <v>188</v>
      </c>
      <c r="B169" s="113" t="s">
        <v>213</v>
      </c>
      <c r="C169" s="113">
        <v>826</v>
      </c>
      <c r="D169" s="113">
        <v>606</v>
      </c>
      <c r="E169" s="113">
        <v>501</v>
      </c>
      <c r="F169" s="113">
        <v>344</v>
      </c>
      <c r="G169" s="113">
        <v>209</v>
      </c>
      <c r="H169" s="113">
        <v>166</v>
      </c>
      <c r="I169" s="113">
        <v>140</v>
      </c>
      <c r="J169" s="113">
        <v>118</v>
      </c>
      <c r="K169" s="113">
        <v>108</v>
      </c>
      <c r="L169" s="113">
        <v>173</v>
      </c>
      <c r="M169" s="113">
        <v>474</v>
      </c>
      <c r="N169" s="113">
        <v>892</v>
      </c>
    </row>
    <row r="170" spans="1:14" x14ac:dyDescent="0.25">
      <c r="A170" s="113">
        <v>190</v>
      </c>
      <c r="B170" s="113" t="s">
        <v>759</v>
      </c>
      <c r="C170" s="113">
        <v>654</v>
      </c>
      <c r="D170" s="113">
        <v>726</v>
      </c>
      <c r="E170" s="113">
        <v>770</v>
      </c>
      <c r="F170" s="113">
        <v>680</v>
      </c>
      <c r="G170" s="113">
        <v>440</v>
      </c>
      <c r="H170" s="113">
        <v>305</v>
      </c>
      <c r="I170" s="113">
        <v>263</v>
      </c>
      <c r="J170" s="113">
        <v>241</v>
      </c>
      <c r="K170" s="113">
        <v>236</v>
      </c>
      <c r="L170" s="113">
        <v>288</v>
      </c>
      <c r="M170" s="113">
        <v>400</v>
      </c>
      <c r="N170" s="113">
        <v>533</v>
      </c>
    </row>
    <row r="171" spans="1:14" x14ac:dyDescent="0.25">
      <c r="A171" s="113">
        <v>191</v>
      </c>
      <c r="B171" s="113" t="s">
        <v>162</v>
      </c>
      <c r="C171" s="113">
        <v>1600</v>
      </c>
      <c r="D171" s="113">
        <v>1810</v>
      </c>
      <c r="E171" s="113">
        <v>1675</v>
      </c>
      <c r="F171" s="113">
        <v>1187</v>
      </c>
      <c r="G171" s="113">
        <v>632</v>
      </c>
      <c r="H171" s="113">
        <v>439</v>
      </c>
      <c r="I171" s="113">
        <v>333</v>
      </c>
      <c r="J171" s="113">
        <v>260</v>
      </c>
      <c r="K171" s="113">
        <v>246</v>
      </c>
      <c r="L171" s="113">
        <v>359</v>
      </c>
      <c r="M171" s="113">
        <v>644</v>
      </c>
      <c r="N171" s="113">
        <v>1186</v>
      </c>
    </row>
    <row r="172" spans="1:14" x14ac:dyDescent="0.25">
      <c r="A172" s="113">
        <v>196</v>
      </c>
      <c r="B172" s="113" t="s">
        <v>122</v>
      </c>
      <c r="C172" s="113">
        <v>63</v>
      </c>
      <c r="D172" s="113">
        <v>47</v>
      </c>
      <c r="E172" s="113">
        <v>46</v>
      </c>
      <c r="F172" s="113">
        <v>37</v>
      </c>
      <c r="G172" s="113">
        <v>26</v>
      </c>
      <c r="H172" s="113">
        <v>20</v>
      </c>
      <c r="I172" s="113">
        <v>18</v>
      </c>
      <c r="J172" s="113">
        <v>15</v>
      </c>
      <c r="K172" s="113">
        <v>15</v>
      </c>
      <c r="L172" s="113">
        <v>20</v>
      </c>
      <c r="M172" s="113">
        <v>38</v>
      </c>
      <c r="N172" s="113">
        <v>58</v>
      </c>
    </row>
    <row r="173" spans="1:14" x14ac:dyDescent="0.25">
      <c r="A173" s="113">
        <v>197</v>
      </c>
      <c r="B173" s="113" t="s">
        <v>114</v>
      </c>
      <c r="C173" s="113">
        <v>65</v>
      </c>
      <c r="D173" s="113">
        <v>64</v>
      </c>
      <c r="E173" s="113">
        <v>58</v>
      </c>
      <c r="F173" s="113">
        <v>43</v>
      </c>
      <c r="G173" s="113">
        <v>33</v>
      </c>
      <c r="H173" s="113">
        <v>29</v>
      </c>
      <c r="I173" s="113">
        <v>25</v>
      </c>
      <c r="J173" s="113">
        <v>22</v>
      </c>
      <c r="K173" s="113">
        <v>22</v>
      </c>
      <c r="L173" s="113">
        <v>25</v>
      </c>
      <c r="M173" s="113">
        <v>34</v>
      </c>
      <c r="N173" s="113">
        <v>49</v>
      </c>
    </row>
    <row r="174" spans="1:14" x14ac:dyDescent="0.25">
      <c r="A174" s="113">
        <v>198</v>
      </c>
      <c r="B174" s="113" t="s">
        <v>115</v>
      </c>
      <c r="C174" s="113">
        <v>129</v>
      </c>
      <c r="D174" s="113">
        <v>125</v>
      </c>
      <c r="E174" s="113">
        <v>114</v>
      </c>
      <c r="F174" s="113">
        <v>84</v>
      </c>
      <c r="G174" s="113">
        <v>65</v>
      </c>
      <c r="H174" s="113">
        <v>56</v>
      </c>
      <c r="I174" s="113">
        <v>49</v>
      </c>
      <c r="J174" s="113">
        <v>44</v>
      </c>
      <c r="K174" s="113">
        <v>44</v>
      </c>
      <c r="L174" s="113">
        <v>51</v>
      </c>
      <c r="M174" s="113">
        <v>70</v>
      </c>
      <c r="N174" s="113">
        <v>102</v>
      </c>
    </row>
    <row r="175" spans="1:14" x14ac:dyDescent="0.25">
      <c r="A175" s="113">
        <v>199</v>
      </c>
      <c r="B175" s="113" t="s">
        <v>390</v>
      </c>
      <c r="C175" s="113">
        <v>1139</v>
      </c>
      <c r="D175" s="113">
        <v>1143</v>
      </c>
      <c r="E175" s="113">
        <v>1073</v>
      </c>
      <c r="F175" s="113">
        <v>780</v>
      </c>
      <c r="G175" s="113">
        <v>551</v>
      </c>
      <c r="H175" s="113">
        <v>461</v>
      </c>
      <c r="I175" s="113">
        <v>389</v>
      </c>
      <c r="J175" s="113">
        <v>332</v>
      </c>
      <c r="K175" s="113">
        <v>338</v>
      </c>
      <c r="L175" s="113">
        <v>402</v>
      </c>
      <c r="M175" s="113">
        <v>546</v>
      </c>
      <c r="N175" s="113">
        <v>822</v>
      </c>
    </row>
    <row r="176" spans="1:14" x14ac:dyDescent="0.25">
      <c r="A176" s="113">
        <v>201</v>
      </c>
      <c r="B176" s="113" t="s">
        <v>228</v>
      </c>
      <c r="C176" s="113">
        <v>25</v>
      </c>
      <c r="D176" s="113">
        <v>25</v>
      </c>
      <c r="E176" s="113">
        <v>23</v>
      </c>
      <c r="F176" s="113">
        <v>18</v>
      </c>
      <c r="G176" s="113">
        <v>12</v>
      </c>
      <c r="H176" s="113">
        <v>9</v>
      </c>
      <c r="I176" s="113">
        <v>7</v>
      </c>
      <c r="J176" s="113">
        <v>6</v>
      </c>
      <c r="K176" s="113">
        <v>7</v>
      </c>
      <c r="L176" s="113">
        <v>8</v>
      </c>
      <c r="M176" s="113">
        <v>12</v>
      </c>
      <c r="N176" s="113">
        <v>18</v>
      </c>
    </row>
    <row r="177" spans="1:14" x14ac:dyDescent="0.25">
      <c r="A177" s="113">
        <v>202</v>
      </c>
      <c r="B177" s="113" t="s">
        <v>255</v>
      </c>
      <c r="C177" s="113">
        <v>10</v>
      </c>
      <c r="D177" s="113">
        <v>9</v>
      </c>
      <c r="E177" s="113">
        <v>9</v>
      </c>
      <c r="F177" s="113">
        <v>7</v>
      </c>
      <c r="G177" s="113">
        <v>5</v>
      </c>
      <c r="H177" s="113">
        <v>3</v>
      </c>
      <c r="I177" s="113">
        <v>3</v>
      </c>
      <c r="J177" s="113">
        <v>2</v>
      </c>
      <c r="K177" s="113">
        <v>3</v>
      </c>
      <c r="L177" s="113">
        <v>3</v>
      </c>
      <c r="M177" s="113">
        <v>5</v>
      </c>
      <c r="N177" s="113">
        <v>8</v>
      </c>
    </row>
    <row r="178" spans="1:14" x14ac:dyDescent="0.25">
      <c r="A178" s="113">
        <v>203</v>
      </c>
      <c r="B178" s="113" t="s">
        <v>252</v>
      </c>
      <c r="C178" s="113">
        <v>42</v>
      </c>
      <c r="D178" s="113">
        <v>42</v>
      </c>
      <c r="E178" s="113">
        <v>39</v>
      </c>
      <c r="F178" s="113">
        <v>30</v>
      </c>
      <c r="G178" s="113">
        <v>21</v>
      </c>
      <c r="H178" s="113">
        <v>15</v>
      </c>
      <c r="I178" s="113">
        <v>13</v>
      </c>
      <c r="J178" s="113">
        <v>11</v>
      </c>
      <c r="K178" s="113">
        <v>11</v>
      </c>
      <c r="L178" s="113">
        <v>14</v>
      </c>
      <c r="M178" s="113">
        <v>20</v>
      </c>
      <c r="N178" s="113">
        <v>31</v>
      </c>
    </row>
    <row r="179" spans="1:14" x14ac:dyDescent="0.25">
      <c r="A179" s="113">
        <v>204</v>
      </c>
      <c r="B179" s="113" t="s">
        <v>760</v>
      </c>
      <c r="C179" s="113">
        <v>528</v>
      </c>
      <c r="D179" s="113">
        <v>987</v>
      </c>
      <c r="E179" s="113">
        <v>1505</v>
      </c>
      <c r="F179" s="113">
        <v>1863</v>
      </c>
      <c r="G179" s="113">
        <v>1991</v>
      </c>
      <c r="H179" s="113">
        <v>1578</v>
      </c>
      <c r="I179" s="113">
        <v>1164</v>
      </c>
      <c r="J179" s="113">
        <v>786</v>
      </c>
      <c r="K179" s="113">
        <v>455</v>
      </c>
      <c r="L179" s="113">
        <v>275</v>
      </c>
      <c r="M179" s="113">
        <v>198</v>
      </c>
      <c r="N179" s="113">
        <v>230</v>
      </c>
    </row>
    <row r="180" spans="1:14" x14ac:dyDescent="0.25">
      <c r="A180" s="113">
        <v>205</v>
      </c>
      <c r="B180" s="113" t="s">
        <v>65</v>
      </c>
      <c r="C180" s="113">
        <v>219</v>
      </c>
      <c r="D180" s="113">
        <v>241</v>
      </c>
      <c r="E180" s="113">
        <v>239</v>
      </c>
      <c r="F180" s="113">
        <v>190</v>
      </c>
      <c r="G180" s="113">
        <v>119</v>
      </c>
      <c r="H180" s="113">
        <v>87</v>
      </c>
      <c r="I180" s="113">
        <v>68</v>
      </c>
      <c r="J180" s="113">
        <v>54</v>
      </c>
      <c r="K180" s="113">
        <v>47</v>
      </c>
      <c r="L180" s="113">
        <v>61</v>
      </c>
      <c r="M180" s="113">
        <v>100</v>
      </c>
      <c r="N180" s="113">
        <v>161</v>
      </c>
    </row>
    <row r="181" spans="1:14" x14ac:dyDescent="0.25">
      <c r="A181" s="113">
        <v>206</v>
      </c>
      <c r="B181" s="113" t="s">
        <v>62</v>
      </c>
      <c r="C181" s="113">
        <v>610</v>
      </c>
      <c r="D181" s="113">
        <v>615</v>
      </c>
      <c r="E181" s="113">
        <v>578</v>
      </c>
      <c r="F181" s="113">
        <v>439</v>
      </c>
      <c r="G181" s="113">
        <v>300</v>
      </c>
      <c r="H181" s="113">
        <v>235</v>
      </c>
      <c r="I181" s="113">
        <v>195</v>
      </c>
      <c r="J181" s="113">
        <v>161</v>
      </c>
      <c r="K181" s="113">
        <v>148</v>
      </c>
      <c r="L181" s="113">
        <v>180</v>
      </c>
      <c r="M181" s="113">
        <v>263</v>
      </c>
      <c r="N181" s="113">
        <v>434</v>
      </c>
    </row>
    <row r="182" spans="1:14" x14ac:dyDescent="0.25">
      <c r="A182" s="113">
        <v>207</v>
      </c>
      <c r="B182" s="113" t="s">
        <v>713</v>
      </c>
      <c r="C182" s="113">
        <v>620</v>
      </c>
      <c r="D182" s="113">
        <v>626</v>
      </c>
      <c r="E182" s="113">
        <v>589</v>
      </c>
      <c r="F182" s="113">
        <v>448</v>
      </c>
      <c r="G182" s="113">
        <v>307</v>
      </c>
      <c r="H182" s="113">
        <v>240</v>
      </c>
      <c r="I182" s="113">
        <v>199</v>
      </c>
      <c r="J182" s="113">
        <v>164</v>
      </c>
      <c r="K182" s="113">
        <v>151</v>
      </c>
      <c r="L182" s="113">
        <v>183</v>
      </c>
      <c r="M182" s="113">
        <v>268</v>
      </c>
      <c r="N182" s="113">
        <v>441</v>
      </c>
    </row>
    <row r="183" spans="1:14" x14ac:dyDescent="0.25">
      <c r="A183" s="113">
        <v>209</v>
      </c>
      <c r="B183" s="113" t="s">
        <v>67</v>
      </c>
      <c r="C183" s="113">
        <v>756</v>
      </c>
      <c r="D183" s="113">
        <v>833</v>
      </c>
      <c r="E183" s="113">
        <v>833</v>
      </c>
      <c r="F183" s="113">
        <v>643</v>
      </c>
      <c r="G183" s="113">
        <v>406</v>
      </c>
      <c r="H183" s="113">
        <v>302</v>
      </c>
      <c r="I183" s="113">
        <v>237</v>
      </c>
      <c r="J183" s="113">
        <v>187</v>
      </c>
      <c r="K183" s="113">
        <v>162</v>
      </c>
      <c r="L183" s="113">
        <v>204</v>
      </c>
      <c r="M183" s="113">
        <v>339</v>
      </c>
      <c r="N183" s="113">
        <v>555</v>
      </c>
    </row>
    <row r="184" spans="1:14" x14ac:dyDescent="0.25">
      <c r="A184" s="113">
        <v>211</v>
      </c>
      <c r="B184" s="113" t="s">
        <v>761</v>
      </c>
      <c r="C184" s="113">
        <v>595</v>
      </c>
      <c r="D184" s="113">
        <v>527</v>
      </c>
      <c r="E184" s="113">
        <v>466</v>
      </c>
      <c r="F184" s="113">
        <v>322</v>
      </c>
      <c r="G184" s="113">
        <v>237</v>
      </c>
      <c r="H184" s="113">
        <v>198</v>
      </c>
      <c r="I184" s="113">
        <v>167</v>
      </c>
      <c r="J184" s="113">
        <v>142</v>
      </c>
      <c r="K184" s="113">
        <v>145</v>
      </c>
      <c r="L184" s="113">
        <v>174</v>
      </c>
      <c r="M184" s="113">
        <v>255</v>
      </c>
      <c r="N184" s="113">
        <v>432</v>
      </c>
    </row>
    <row r="185" spans="1:14" x14ac:dyDescent="0.25">
      <c r="A185" s="113">
        <v>215</v>
      </c>
      <c r="B185" s="113" t="s">
        <v>762</v>
      </c>
      <c r="C185" s="113">
        <v>181</v>
      </c>
      <c r="D185" s="113">
        <v>236</v>
      </c>
      <c r="E185" s="113">
        <v>177</v>
      </c>
      <c r="F185" s="113">
        <v>185</v>
      </c>
      <c r="G185" s="113">
        <v>251</v>
      </c>
      <c r="H185" s="113">
        <v>278</v>
      </c>
      <c r="I185" s="113">
        <v>356</v>
      </c>
      <c r="J185" s="113">
        <v>383</v>
      </c>
      <c r="K185" s="113">
        <v>434</v>
      </c>
      <c r="L185" s="113">
        <v>382</v>
      </c>
      <c r="M185" s="113">
        <v>236</v>
      </c>
      <c r="N185" s="113">
        <v>185</v>
      </c>
    </row>
    <row r="186" spans="1:14" x14ac:dyDescent="0.25">
      <c r="A186" s="113">
        <v>216</v>
      </c>
      <c r="B186" s="113" t="s">
        <v>763</v>
      </c>
      <c r="C186" s="113">
        <v>226</v>
      </c>
      <c r="D186" s="113">
        <v>283</v>
      </c>
      <c r="E186" s="113">
        <v>228</v>
      </c>
      <c r="F186" s="113">
        <v>212</v>
      </c>
      <c r="G186" s="113">
        <v>279</v>
      </c>
      <c r="H186" s="113">
        <v>305</v>
      </c>
      <c r="I186" s="113">
        <v>366</v>
      </c>
      <c r="J186" s="113">
        <v>384</v>
      </c>
      <c r="K186" s="113">
        <v>460</v>
      </c>
      <c r="L186" s="113">
        <v>474</v>
      </c>
      <c r="M186" s="113">
        <v>311</v>
      </c>
      <c r="N186" s="113">
        <v>223</v>
      </c>
    </row>
    <row r="187" spans="1:14" x14ac:dyDescent="0.25">
      <c r="A187" s="113">
        <v>217</v>
      </c>
      <c r="B187" s="113" t="s">
        <v>190</v>
      </c>
      <c r="C187" s="113">
        <v>493</v>
      </c>
      <c r="D187" s="113">
        <v>630</v>
      </c>
      <c r="E187" s="113">
        <v>492</v>
      </c>
      <c r="F187" s="113">
        <v>495</v>
      </c>
      <c r="G187" s="113">
        <v>676</v>
      </c>
      <c r="H187" s="113">
        <v>746</v>
      </c>
      <c r="I187" s="113">
        <v>913</v>
      </c>
      <c r="J187" s="113">
        <v>964</v>
      </c>
      <c r="K187" s="113">
        <v>1118</v>
      </c>
      <c r="L187" s="113">
        <v>1091</v>
      </c>
      <c r="M187" s="113">
        <v>690</v>
      </c>
      <c r="N187" s="113">
        <v>510</v>
      </c>
    </row>
    <row r="188" spans="1:14" x14ac:dyDescent="0.25">
      <c r="A188" s="113">
        <v>220</v>
      </c>
      <c r="B188" s="113" t="s">
        <v>192</v>
      </c>
      <c r="C188" s="113">
        <v>59</v>
      </c>
      <c r="D188" s="113">
        <v>58</v>
      </c>
      <c r="E188" s="113">
        <v>49</v>
      </c>
      <c r="F188" s="113">
        <v>62</v>
      </c>
      <c r="G188" s="113">
        <v>96</v>
      </c>
      <c r="H188" s="113">
        <v>118</v>
      </c>
      <c r="I188" s="113">
        <v>132</v>
      </c>
      <c r="J188" s="113">
        <v>119</v>
      </c>
      <c r="K188" s="113">
        <v>132</v>
      </c>
      <c r="L188" s="113">
        <v>147</v>
      </c>
      <c r="M188" s="113">
        <v>103</v>
      </c>
      <c r="N188" s="113">
        <v>77</v>
      </c>
    </row>
    <row r="189" spans="1:14" x14ac:dyDescent="0.25">
      <c r="A189" s="113">
        <v>222</v>
      </c>
      <c r="B189" s="113" t="s">
        <v>764</v>
      </c>
      <c r="C189" s="113">
        <v>1143</v>
      </c>
      <c r="D189" s="113">
        <v>1265</v>
      </c>
      <c r="E189" s="113">
        <v>1101</v>
      </c>
      <c r="F189" s="113">
        <v>1021</v>
      </c>
      <c r="G189" s="113">
        <v>1325</v>
      </c>
      <c r="H189" s="113">
        <v>1575</v>
      </c>
      <c r="I189" s="113">
        <v>1524</v>
      </c>
      <c r="J189" s="113">
        <v>1264</v>
      </c>
      <c r="K189" s="113">
        <v>1467</v>
      </c>
      <c r="L189" s="113">
        <v>1935</v>
      </c>
      <c r="M189" s="113">
        <v>1462</v>
      </c>
      <c r="N189" s="113">
        <v>1160</v>
      </c>
    </row>
    <row r="190" spans="1:14" x14ac:dyDescent="0.25">
      <c r="A190" s="113">
        <v>225</v>
      </c>
      <c r="B190" s="113" t="s">
        <v>765</v>
      </c>
      <c r="C190" s="113">
        <v>379</v>
      </c>
      <c r="D190" s="113">
        <v>470</v>
      </c>
      <c r="E190" s="113">
        <v>506</v>
      </c>
      <c r="F190" s="113">
        <v>370</v>
      </c>
      <c r="G190" s="113">
        <v>183</v>
      </c>
      <c r="H190" s="113">
        <v>72</v>
      </c>
      <c r="I190" s="113">
        <v>39</v>
      </c>
      <c r="J190" s="113">
        <v>25</v>
      </c>
      <c r="K190" s="113">
        <v>20</v>
      </c>
      <c r="L190" s="113">
        <v>31</v>
      </c>
      <c r="M190" s="113">
        <v>76</v>
      </c>
      <c r="N190" s="113">
        <v>212</v>
      </c>
    </row>
    <row r="191" spans="1:14" x14ac:dyDescent="0.25">
      <c r="A191" s="113">
        <v>227</v>
      </c>
      <c r="B191" s="113" t="s">
        <v>399</v>
      </c>
      <c r="C191" s="113">
        <v>1456</v>
      </c>
      <c r="D191" s="113">
        <v>1620</v>
      </c>
      <c r="E191" s="113">
        <v>1615</v>
      </c>
      <c r="F191" s="113">
        <v>1285</v>
      </c>
      <c r="G191" s="113">
        <v>883</v>
      </c>
      <c r="H191" s="113">
        <v>661</v>
      </c>
      <c r="I191" s="113">
        <v>528</v>
      </c>
      <c r="J191" s="113">
        <v>449</v>
      </c>
      <c r="K191" s="113">
        <v>412</v>
      </c>
      <c r="L191" s="113">
        <v>481</v>
      </c>
      <c r="M191" s="113">
        <v>708</v>
      </c>
      <c r="N191" s="113">
        <v>1096</v>
      </c>
    </row>
    <row r="192" spans="1:14" x14ac:dyDescent="0.25">
      <c r="A192" s="113">
        <v>228</v>
      </c>
      <c r="B192" s="113" t="s">
        <v>401</v>
      </c>
      <c r="C192" s="113">
        <v>1590</v>
      </c>
      <c r="D192" s="113">
        <v>1771</v>
      </c>
      <c r="E192" s="113">
        <v>1763</v>
      </c>
      <c r="F192" s="113">
        <v>1403</v>
      </c>
      <c r="G192" s="113">
        <v>965</v>
      </c>
      <c r="H192" s="113">
        <v>722</v>
      </c>
      <c r="I192" s="113">
        <v>577</v>
      </c>
      <c r="J192" s="113">
        <v>490</v>
      </c>
      <c r="K192" s="113">
        <v>451</v>
      </c>
      <c r="L192" s="113">
        <v>527</v>
      </c>
      <c r="M192" s="113">
        <v>773</v>
      </c>
      <c r="N192" s="113">
        <v>1197</v>
      </c>
    </row>
    <row r="193" spans="1:14" x14ac:dyDescent="0.25">
      <c r="A193" s="113">
        <v>229</v>
      </c>
      <c r="B193" s="113" t="s">
        <v>402</v>
      </c>
      <c r="C193" s="113">
        <v>3700</v>
      </c>
      <c r="D193" s="113">
        <v>4305</v>
      </c>
      <c r="E193" s="113">
        <v>4469</v>
      </c>
      <c r="F193" s="113">
        <v>3568</v>
      </c>
      <c r="G193" s="113">
        <v>2289</v>
      </c>
      <c r="H193" s="113">
        <v>1476</v>
      </c>
      <c r="I193" s="113">
        <v>1050</v>
      </c>
      <c r="J193" s="113">
        <v>810</v>
      </c>
      <c r="K193" s="113">
        <v>704</v>
      </c>
      <c r="L193" s="113">
        <v>889</v>
      </c>
      <c r="M193" s="113">
        <v>1491</v>
      </c>
      <c r="N193" s="113">
        <v>2585</v>
      </c>
    </row>
    <row r="194" spans="1:14" x14ac:dyDescent="0.25">
      <c r="A194" s="113">
        <v>230</v>
      </c>
      <c r="B194" s="113" t="s">
        <v>766</v>
      </c>
      <c r="C194" s="113">
        <v>3728</v>
      </c>
      <c r="D194" s="113">
        <v>4324</v>
      </c>
      <c r="E194" s="113">
        <v>4500</v>
      </c>
      <c r="F194" s="113">
        <v>3582</v>
      </c>
      <c r="G194" s="113">
        <v>2297</v>
      </c>
      <c r="H194" s="113">
        <v>1482</v>
      </c>
      <c r="I194" s="113">
        <v>1057</v>
      </c>
      <c r="J194" s="113">
        <v>816</v>
      </c>
      <c r="K194" s="113">
        <v>709</v>
      </c>
      <c r="L194" s="113">
        <v>895</v>
      </c>
      <c r="M194" s="113">
        <v>1495</v>
      </c>
      <c r="N194" s="113">
        <v>2602</v>
      </c>
    </row>
    <row r="195" spans="1:14" x14ac:dyDescent="0.25">
      <c r="A195" s="113">
        <v>237</v>
      </c>
      <c r="B195" s="113" t="s">
        <v>716</v>
      </c>
      <c r="C195" s="113">
        <v>752</v>
      </c>
      <c r="D195" s="113">
        <v>794</v>
      </c>
      <c r="E195" s="113">
        <v>672</v>
      </c>
      <c r="F195" s="113">
        <v>445</v>
      </c>
      <c r="G195" s="113">
        <v>350</v>
      </c>
      <c r="H195" s="113">
        <v>346</v>
      </c>
      <c r="I195" s="113">
        <v>276</v>
      </c>
      <c r="J195" s="113">
        <v>233</v>
      </c>
      <c r="K195" s="113">
        <v>256</v>
      </c>
      <c r="L195" s="113">
        <v>316</v>
      </c>
      <c r="M195" s="113">
        <v>338</v>
      </c>
      <c r="N195" s="113">
        <v>512</v>
      </c>
    </row>
    <row r="196" spans="1:14" x14ac:dyDescent="0.25">
      <c r="A196" s="113">
        <v>238</v>
      </c>
      <c r="B196" s="113" t="s">
        <v>717</v>
      </c>
      <c r="C196" s="113">
        <v>835</v>
      </c>
      <c r="D196" s="113">
        <v>885</v>
      </c>
      <c r="E196" s="113">
        <v>751</v>
      </c>
      <c r="F196" s="113">
        <v>501</v>
      </c>
      <c r="G196" s="113">
        <v>395</v>
      </c>
      <c r="H196" s="113">
        <v>390</v>
      </c>
      <c r="I196" s="113">
        <v>310</v>
      </c>
      <c r="J196" s="113">
        <v>263</v>
      </c>
      <c r="K196" s="113">
        <v>287</v>
      </c>
      <c r="L196" s="113">
        <v>350</v>
      </c>
      <c r="M196" s="113">
        <v>376</v>
      </c>
      <c r="N196" s="113">
        <v>566</v>
      </c>
    </row>
    <row r="197" spans="1:14" x14ac:dyDescent="0.25">
      <c r="A197" s="113">
        <v>239</v>
      </c>
      <c r="B197" s="113" t="s">
        <v>84</v>
      </c>
      <c r="C197" s="113">
        <v>922</v>
      </c>
      <c r="D197" s="113">
        <v>977</v>
      </c>
      <c r="E197" s="113">
        <v>834</v>
      </c>
      <c r="F197" s="113">
        <v>571</v>
      </c>
      <c r="G197" s="113">
        <v>455</v>
      </c>
      <c r="H197" s="113">
        <v>448</v>
      </c>
      <c r="I197" s="113">
        <v>362</v>
      </c>
      <c r="J197" s="113">
        <v>309</v>
      </c>
      <c r="K197" s="113">
        <v>327</v>
      </c>
      <c r="L197" s="113">
        <v>389</v>
      </c>
      <c r="M197" s="113">
        <v>419</v>
      </c>
      <c r="N197" s="113">
        <v>631</v>
      </c>
    </row>
    <row r="198" spans="1:14" x14ac:dyDescent="0.25">
      <c r="A198" s="113">
        <v>240</v>
      </c>
      <c r="B198" s="113" t="s">
        <v>85</v>
      </c>
      <c r="C198" s="113">
        <v>1171</v>
      </c>
      <c r="D198" s="113">
        <v>1244</v>
      </c>
      <c r="E198" s="113">
        <v>1074</v>
      </c>
      <c r="F198" s="113">
        <v>733</v>
      </c>
      <c r="G198" s="113">
        <v>582</v>
      </c>
      <c r="H198" s="113">
        <v>569</v>
      </c>
      <c r="I198" s="113">
        <v>466</v>
      </c>
      <c r="J198" s="113">
        <v>403</v>
      </c>
      <c r="K198" s="113">
        <v>430</v>
      </c>
      <c r="L198" s="113">
        <v>506</v>
      </c>
      <c r="M198" s="113">
        <v>540</v>
      </c>
      <c r="N198" s="113">
        <v>806</v>
      </c>
    </row>
    <row r="199" spans="1:14" x14ac:dyDescent="0.25">
      <c r="A199" s="113">
        <v>241</v>
      </c>
      <c r="B199" s="113" t="s">
        <v>767</v>
      </c>
      <c r="C199" s="113">
        <v>265</v>
      </c>
      <c r="D199" s="113">
        <v>286</v>
      </c>
      <c r="E199" s="113">
        <v>287</v>
      </c>
      <c r="F199" s="113">
        <v>232</v>
      </c>
      <c r="G199" s="113">
        <v>180</v>
      </c>
      <c r="H199" s="113">
        <v>157</v>
      </c>
      <c r="I199" s="113">
        <v>140</v>
      </c>
      <c r="J199" s="113">
        <v>129</v>
      </c>
      <c r="K199" s="113">
        <v>133</v>
      </c>
      <c r="L199" s="113">
        <v>152</v>
      </c>
      <c r="M199" s="113">
        <v>180</v>
      </c>
      <c r="N199" s="113">
        <v>224</v>
      </c>
    </row>
    <row r="200" spans="1:14" x14ac:dyDescent="0.25">
      <c r="A200" s="113">
        <v>242</v>
      </c>
      <c r="B200" s="113" t="s">
        <v>718</v>
      </c>
      <c r="C200" s="113">
        <v>1256</v>
      </c>
      <c r="D200" s="113">
        <v>1339</v>
      </c>
      <c r="E200" s="113">
        <v>1152</v>
      </c>
      <c r="F200" s="113">
        <v>783</v>
      </c>
      <c r="G200" s="113">
        <v>618</v>
      </c>
      <c r="H200" s="113">
        <v>606</v>
      </c>
      <c r="I200" s="113">
        <v>494</v>
      </c>
      <c r="J200" s="113">
        <v>427</v>
      </c>
      <c r="K200" s="113">
        <v>455</v>
      </c>
      <c r="L200" s="113">
        <v>537</v>
      </c>
      <c r="M200" s="113">
        <v>574</v>
      </c>
      <c r="N200" s="113">
        <v>859</v>
      </c>
    </row>
    <row r="201" spans="1:14" x14ac:dyDescent="0.25">
      <c r="A201" s="113">
        <v>243</v>
      </c>
      <c r="B201" s="113" t="s">
        <v>719</v>
      </c>
      <c r="C201" s="113">
        <v>1314</v>
      </c>
      <c r="D201" s="113">
        <v>1428</v>
      </c>
      <c r="E201" s="113">
        <v>1242</v>
      </c>
      <c r="F201" s="113">
        <v>856</v>
      </c>
      <c r="G201" s="113">
        <v>662</v>
      </c>
      <c r="H201" s="113">
        <v>653</v>
      </c>
      <c r="I201" s="113">
        <v>533</v>
      </c>
      <c r="J201" s="113">
        <v>462</v>
      </c>
      <c r="K201" s="113">
        <v>484</v>
      </c>
      <c r="L201" s="113">
        <v>571</v>
      </c>
      <c r="M201" s="113">
        <v>607</v>
      </c>
      <c r="N201" s="113">
        <v>898</v>
      </c>
    </row>
    <row r="202" spans="1:14" x14ac:dyDescent="0.25">
      <c r="A202" s="113">
        <v>244</v>
      </c>
      <c r="B202" s="113" t="s">
        <v>720</v>
      </c>
      <c r="C202" s="113">
        <v>10278</v>
      </c>
      <c r="D202" s="113">
        <v>10851</v>
      </c>
      <c r="E202" s="113">
        <v>10248</v>
      </c>
      <c r="F202" s="113">
        <v>7640</v>
      </c>
      <c r="G202" s="113">
        <v>5311</v>
      </c>
      <c r="H202" s="113">
        <v>4456</v>
      </c>
      <c r="I202" s="113">
        <v>3645</v>
      </c>
      <c r="J202" s="113">
        <v>3069</v>
      </c>
      <c r="K202" s="113">
        <v>2970</v>
      </c>
      <c r="L202" s="113">
        <v>3447</v>
      </c>
      <c r="M202" s="113">
        <v>4525</v>
      </c>
      <c r="N202" s="113">
        <v>7180</v>
      </c>
    </row>
    <row r="203" spans="1:14" x14ac:dyDescent="0.25">
      <c r="A203" s="113">
        <v>245</v>
      </c>
      <c r="B203" s="113" t="s">
        <v>103</v>
      </c>
      <c r="C203" s="113">
        <v>10693</v>
      </c>
      <c r="D203" s="113">
        <v>11311</v>
      </c>
      <c r="E203" s="113">
        <v>10676</v>
      </c>
      <c r="F203" s="113">
        <v>8004</v>
      </c>
      <c r="G203" s="113">
        <v>5621</v>
      </c>
      <c r="H203" s="113">
        <v>4754</v>
      </c>
      <c r="I203" s="113">
        <v>3925</v>
      </c>
      <c r="J203" s="113">
        <v>3347</v>
      </c>
      <c r="K203" s="113">
        <v>3236</v>
      </c>
      <c r="L203" s="113">
        <v>3720</v>
      </c>
      <c r="M203" s="113">
        <v>4816</v>
      </c>
      <c r="N203" s="113">
        <v>7509</v>
      </c>
    </row>
    <row r="204" spans="1:14" x14ac:dyDescent="0.25">
      <c r="A204" s="113">
        <v>246</v>
      </c>
      <c r="B204" s="113" t="s">
        <v>106</v>
      </c>
      <c r="C204" s="113">
        <v>11559</v>
      </c>
      <c r="D204" s="113">
        <v>12433</v>
      </c>
      <c r="E204" s="113">
        <v>11776</v>
      </c>
      <c r="F204" s="113">
        <v>9042</v>
      </c>
      <c r="G204" s="113">
        <v>6508</v>
      </c>
      <c r="H204" s="113">
        <v>5641</v>
      </c>
      <c r="I204" s="113">
        <v>4639</v>
      </c>
      <c r="J204" s="113">
        <v>3954</v>
      </c>
      <c r="K204" s="113">
        <v>3842</v>
      </c>
      <c r="L204" s="113">
        <v>4380</v>
      </c>
      <c r="M204" s="113">
        <v>5473</v>
      </c>
      <c r="N204" s="113">
        <v>8161</v>
      </c>
    </row>
    <row r="205" spans="1:14" x14ac:dyDescent="0.25">
      <c r="A205" s="113">
        <v>247</v>
      </c>
      <c r="B205" s="113" t="s">
        <v>71</v>
      </c>
      <c r="C205" s="113">
        <v>289</v>
      </c>
      <c r="D205" s="113">
        <v>323</v>
      </c>
      <c r="E205" s="113">
        <v>328</v>
      </c>
      <c r="F205" s="113">
        <v>253</v>
      </c>
      <c r="G205" s="113">
        <v>177</v>
      </c>
      <c r="H205" s="113">
        <v>139</v>
      </c>
      <c r="I205" s="113">
        <v>116</v>
      </c>
      <c r="J205" s="113">
        <v>101</v>
      </c>
      <c r="K205" s="113">
        <v>103</v>
      </c>
      <c r="L205" s="113">
        <v>128</v>
      </c>
      <c r="M205" s="113">
        <v>166</v>
      </c>
      <c r="N205" s="113">
        <v>231</v>
      </c>
    </row>
    <row r="206" spans="1:14" x14ac:dyDescent="0.25">
      <c r="A206" s="113">
        <v>248</v>
      </c>
      <c r="B206" s="113" t="s">
        <v>768</v>
      </c>
      <c r="C206" s="113">
        <v>301</v>
      </c>
      <c r="D206" s="113">
        <v>336</v>
      </c>
      <c r="E206" s="113">
        <v>341</v>
      </c>
      <c r="F206" s="113">
        <v>263</v>
      </c>
      <c r="G206" s="113">
        <v>184</v>
      </c>
      <c r="H206" s="113">
        <v>145</v>
      </c>
      <c r="I206" s="113">
        <v>121</v>
      </c>
      <c r="J206" s="113">
        <v>105</v>
      </c>
      <c r="K206" s="113">
        <v>107</v>
      </c>
      <c r="L206" s="113">
        <v>133</v>
      </c>
      <c r="M206" s="113">
        <v>173</v>
      </c>
      <c r="N206" s="113">
        <v>241</v>
      </c>
    </row>
    <row r="207" spans="1:14" x14ac:dyDescent="0.25">
      <c r="A207" s="113">
        <v>249</v>
      </c>
      <c r="B207" s="113" t="s">
        <v>93</v>
      </c>
      <c r="C207" s="113">
        <v>512</v>
      </c>
      <c r="D207" s="113">
        <v>553</v>
      </c>
      <c r="E207" s="113">
        <v>458</v>
      </c>
      <c r="F207" s="113">
        <v>331</v>
      </c>
      <c r="G207" s="113">
        <v>305</v>
      </c>
      <c r="H207" s="113">
        <v>319</v>
      </c>
      <c r="I207" s="113">
        <v>281</v>
      </c>
      <c r="J207" s="113">
        <v>232</v>
      </c>
      <c r="K207" s="113">
        <v>258</v>
      </c>
      <c r="L207" s="113">
        <v>309</v>
      </c>
      <c r="M207" s="113">
        <v>286</v>
      </c>
      <c r="N207" s="113">
        <v>355</v>
      </c>
    </row>
    <row r="208" spans="1:14" x14ac:dyDescent="0.25">
      <c r="A208" s="113">
        <v>251</v>
      </c>
      <c r="B208" s="113" t="s">
        <v>61</v>
      </c>
      <c r="C208" s="113">
        <v>322</v>
      </c>
      <c r="D208" s="113">
        <v>322</v>
      </c>
      <c r="E208" s="113">
        <v>322</v>
      </c>
      <c r="F208" s="113">
        <v>241</v>
      </c>
      <c r="G208" s="113">
        <v>152</v>
      </c>
      <c r="H208" s="113">
        <v>116</v>
      </c>
      <c r="I208" s="113">
        <v>91</v>
      </c>
      <c r="J208" s="113">
        <v>72</v>
      </c>
      <c r="K208" s="113">
        <v>61</v>
      </c>
      <c r="L208" s="113">
        <v>74</v>
      </c>
      <c r="M208" s="113">
        <v>127</v>
      </c>
      <c r="N208" s="113">
        <v>242</v>
      </c>
    </row>
    <row r="209" spans="1:14" x14ac:dyDescent="0.25">
      <c r="A209" s="113">
        <v>252</v>
      </c>
      <c r="B209" s="113" t="s">
        <v>142</v>
      </c>
      <c r="C209" s="113">
        <v>102</v>
      </c>
      <c r="D209" s="113">
        <v>115</v>
      </c>
      <c r="E209" s="113">
        <v>113</v>
      </c>
      <c r="F209" s="113">
        <v>89</v>
      </c>
      <c r="G209" s="113">
        <v>66</v>
      </c>
      <c r="H209" s="113">
        <v>56</v>
      </c>
      <c r="I209" s="113">
        <v>51</v>
      </c>
      <c r="J209" s="113">
        <v>47</v>
      </c>
      <c r="K209" s="113">
        <v>48</v>
      </c>
      <c r="L209" s="113">
        <v>52</v>
      </c>
      <c r="M209" s="113">
        <v>61</v>
      </c>
      <c r="N209" s="113">
        <v>80</v>
      </c>
    </row>
    <row r="210" spans="1:14" x14ac:dyDescent="0.25">
      <c r="A210" s="113">
        <v>253</v>
      </c>
      <c r="B210" s="113" t="s">
        <v>769</v>
      </c>
      <c r="C210" s="113">
        <v>1759</v>
      </c>
      <c r="D210" s="113">
        <v>1996</v>
      </c>
      <c r="E210" s="113">
        <v>1864</v>
      </c>
      <c r="F210" s="113">
        <v>1343</v>
      </c>
      <c r="G210" s="113">
        <v>710</v>
      </c>
      <c r="H210" s="113">
        <v>482</v>
      </c>
      <c r="I210" s="113">
        <v>365</v>
      </c>
      <c r="J210" s="113">
        <v>285</v>
      </c>
      <c r="K210" s="113">
        <v>269</v>
      </c>
      <c r="L210" s="113">
        <v>386</v>
      </c>
      <c r="M210" s="113">
        <v>698</v>
      </c>
      <c r="N210" s="113">
        <v>1306</v>
      </c>
    </row>
    <row r="211" spans="1:14" x14ac:dyDescent="0.25">
      <c r="A211" s="113">
        <v>254</v>
      </c>
      <c r="B211" s="113" t="s">
        <v>770</v>
      </c>
      <c r="C211" s="113">
        <v>158</v>
      </c>
      <c r="D211" s="113">
        <v>159</v>
      </c>
      <c r="E211" s="113">
        <v>159</v>
      </c>
      <c r="F211" s="113">
        <v>132</v>
      </c>
      <c r="G211" s="113">
        <v>80</v>
      </c>
      <c r="H211" s="113">
        <v>55</v>
      </c>
      <c r="I211" s="113">
        <v>55</v>
      </c>
      <c r="J211" s="113">
        <v>44</v>
      </c>
      <c r="K211" s="113">
        <v>30</v>
      </c>
      <c r="L211" s="113">
        <v>36</v>
      </c>
      <c r="M211" s="113">
        <v>96</v>
      </c>
      <c r="N211" s="113">
        <v>201</v>
      </c>
    </row>
    <row r="212" spans="1:14" x14ac:dyDescent="0.25">
      <c r="A212" s="113">
        <v>255</v>
      </c>
      <c r="B212" s="113" t="s">
        <v>227</v>
      </c>
      <c r="C212" s="113">
        <v>347</v>
      </c>
      <c r="D212" s="113">
        <v>235</v>
      </c>
      <c r="E212" s="113">
        <v>213</v>
      </c>
      <c r="F212" s="113">
        <v>134</v>
      </c>
      <c r="G212" s="113">
        <v>71</v>
      </c>
      <c r="H212" s="113">
        <v>53</v>
      </c>
      <c r="I212" s="113">
        <v>44</v>
      </c>
      <c r="J212" s="113">
        <v>37</v>
      </c>
      <c r="K212" s="113">
        <v>35</v>
      </c>
      <c r="L212" s="113">
        <v>68</v>
      </c>
      <c r="M212" s="113">
        <v>201</v>
      </c>
      <c r="N212" s="113">
        <v>360</v>
      </c>
    </row>
    <row r="213" spans="1:14" x14ac:dyDescent="0.25">
      <c r="A213" s="113">
        <v>257</v>
      </c>
      <c r="B213" s="113" t="s">
        <v>771</v>
      </c>
      <c r="C213" s="113">
        <v>3125</v>
      </c>
      <c r="D213" s="113">
        <v>3519</v>
      </c>
      <c r="E213" s="113">
        <v>3369</v>
      </c>
      <c r="F213" s="113">
        <v>2386</v>
      </c>
      <c r="G213" s="113">
        <v>1189</v>
      </c>
      <c r="H213" s="113">
        <v>783</v>
      </c>
      <c r="I213" s="113">
        <v>600</v>
      </c>
      <c r="J213" s="113">
        <v>482</v>
      </c>
      <c r="K213" s="113">
        <v>459</v>
      </c>
      <c r="L213" s="113">
        <v>635</v>
      </c>
      <c r="M213" s="113">
        <v>1197</v>
      </c>
      <c r="N213" s="113">
        <v>2332</v>
      </c>
    </row>
    <row r="214" spans="1:14" x14ac:dyDescent="0.25">
      <c r="A214" s="113">
        <v>258</v>
      </c>
      <c r="B214" s="113" t="s">
        <v>411</v>
      </c>
      <c r="C214" s="113">
        <v>415</v>
      </c>
      <c r="D214" s="113">
        <v>286</v>
      </c>
      <c r="E214" s="113">
        <v>249</v>
      </c>
      <c r="F214" s="113">
        <v>158</v>
      </c>
      <c r="G214" s="113">
        <v>84</v>
      </c>
      <c r="H214" s="113">
        <v>63</v>
      </c>
      <c r="I214" s="113">
        <v>53</v>
      </c>
      <c r="J214" s="113">
        <v>44</v>
      </c>
      <c r="K214" s="113">
        <v>43</v>
      </c>
      <c r="L214" s="113">
        <v>79</v>
      </c>
      <c r="M214" s="113">
        <v>236</v>
      </c>
      <c r="N214" s="113">
        <v>430</v>
      </c>
    </row>
    <row r="215" spans="1:14" x14ac:dyDescent="0.25">
      <c r="A215" s="113">
        <v>259</v>
      </c>
      <c r="B215" s="113" t="s">
        <v>141</v>
      </c>
      <c r="C215" s="113">
        <v>102</v>
      </c>
      <c r="D215" s="113">
        <v>115</v>
      </c>
      <c r="E215" s="113">
        <v>113</v>
      </c>
      <c r="F215" s="113">
        <v>89</v>
      </c>
      <c r="G215" s="113">
        <v>66</v>
      </c>
      <c r="H215" s="113">
        <v>56</v>
      </c>
      <c r="I215" s="113">
        <v>51</v>
      </c>
      <c r="J215" s="113">
        <v>47</v>
      </c>
      <c r="K215" s="113">
        <v>48</v>
      </c>
      <c r="L215" s="113">
        <v>52</v>
      </c>
      <c r="M215" s="113">
        <v>61</v>
      </c>
      <c r="N215" s="113">
        <v>80</v>
      </c>
    </row>
    <row r="216" spans="1:14" x14ac:dyDescent="0.25">
      <c r="A216" s="113">
        <v>261</v>
      </c>
      <c r="B216" s="113" t="s">
        <v>772</v>
      </c>
      <c r="C216" s="113">
        <v>322</v>
      </c>
      <c r="D216" s="113">
        <v>360</v>
      </c>
      <c r="E216" s="113">
        <v>365</v>
      </c>
      <c r="F216" s="113">
        <v>283</v>
      </c>
      <c r="G216" s="113">
        <v>198</v>
      </c>
      <c r="H216" s="113">
        <v>156</v>
      </c>
      <c r="I216" s="113">
        <v>130</v>
      </c>
      <c r="J216" s="113">
        <v>113</v>
      </c>
      <c r="K216" s="113">
        <v>115</v>
      </c>
      <c r="L216" s="113">
        <v>143</v>
      </c>
      <c r="M216" s="113">
        <v>185</v>
      </c>
      <c r="N216" s="113">
        <v>257</v>
      </c>
    </row>
    <row r="217" spans="1:14" x14ac:dyDescent="0.25">
      <c r="A217" s="113">
        <v>262</v>
      </c>
      <c r="B217" s="113" t="s">
        <v>773</v>
      </c>
      <c r="C217" s="113">
        <v>153</v>
      </c>
      <c r="D217" s="113">
        <v>117</v>
      </c>
      <c r="E217" s="113">
        <v>105</v>
      </c>
      <c r="F217" s="113">
        <v>76</v>
      </c>
      <c r="G217" s="113">
        <v>57</v>
      </c>
      <c r="H217" s="113">
        <v>49</v>
      </c>
      <c r="I217" s="113">
        <v>43</v>
      </c>
      <c r="J217" s="113">
        <v>38</v>
      </c>
      <c r="K217" s="113">
        <v>38</v>
      </c>
      <c r="L217" s="113">
        <v>48</v>
      </c>
      <c r="M217" s="113">
        <v>79</v>
      </c>
      <c r="N217" s="113">
        <v>131</v>
      </c>
    </row>
    <row r="218" spans="1:14" x14ac:dyDescent="0.25">
      <c r="A218" s="113">
        <v>263</v>
      </c>
      <c r="B218" s="113" t="s">
        <v>774</v>
      </c>
      <c r="C218" s="113">
        <v>310</v>
      </c>
      <c r="D218" s="113">
        <v>251</v>
      </c>
      <c r="E218" s="113">
        <v>224</v>
      </c>
      <c r="F218" s="113">
        <v>170</v>
      </c>
      <c r="G218" s="113">
        <v>122</v>
      </c>
      <c r="H218" s="113">
        <v>100</v>
      </c>
      <c r="I218" s="113">
        <v>85</v>
      </c>
      <c r="J218" s="113">
        <v>74</v>
      </c>
      <c r="K218" s="113">
        <v>71</v>
      </c>
      <c r="L218" s="113">
        <v>91</v>
      </c>
      <c r="M218" s="113">
        <v>169</v>
      </c>
      <c r="N218" s="113">
        <v>269</v>
      </c>
    </row>
    <row r="219" spans="1:14" x14ac:dyDescent="0.25">
      <c r="A219" s="113">
        <v>265</v>
      </c>
      <c r="B219" s="113" t="s">
        <v>775</v>
      </c>
      <c r="C219" s="113">
        <v>69</v>
      </c>
      <c r="D219" s="113">
        <v>54</v>
      </c>
      <c r="E219" s="113">
        <v>49</v>
      </c>
      <c r="F219" s="113">
        <v>41</v>
      </c>
      <c r="G219" s="113">
        <v>31</v>
      </c>
      <c r="H219" s="113">
        <v>27</v>
      </c>
      <c r="I219" s="113">
        <v>25</v>
      </c>
      <c r="J219" s="113">
        <v>22</v>
      </c>
      <c r="K219" s="113">
        <v>21</v>
      </c>
      <c r="L219" s="113">
        <v>25</v>
      </c>
      <c r="M219" s="113">
        <v>40</v>
      </c>
      <c r="N219" s="113">
        <v>62</v>
      </c>
    </row>
    <row r="220" spans="1:14" x14ac:dyDescent="0.25">
      <c r="A220" s="113">
        <v>266</v>
      </c>
      <c r="B220" s="113" t="s">
        <v>107</v>
      </c>
      <c r="C220" s="113">
        <v>14842</v>
      </c>
      <c r="D220" s="113">
        <v>16211</v>
      </c>
      <c r="E220" s="113">
        <v>15079</v>
      </c>
      <c r="F220" s="113">
        <v>11975</v>
      </c>
      <c r="G220" s="113">
        <v>9577</v>
      </c>
      <c r="H220" s="113">
        <v>8867</v>
      </c>
      <c r="I220" s="113">
        <v>7506</v>
      </c>
      <c r="J220" s="113">
        <v>6311</v>
      </c>
      <c r="K220" s="113">
        <v>6353</v>
      </c>
      <c r="L220" s="113">
        <v>7630</v>
      </c>
      <c r="M220" s="113">
        <v>8377</v>
      </c>
      <c r="N220" s="113">
        <v>11034</v>
      </c>
    </row>
    <row r="221" spans="1:14" x14ac:dyDescent="0.25">
      <c r="A221" s="113">
        <v>267</v>
      </c>
      <c r="B221" s="113" t="s">
        <v>776</v>
      </c>
      <c r="C221" s="113">
        <v>271</v>
      </c>
      <c r="D221" s="113">
        <v>230</v>
      </c>
      <c r="E221" s="113">
        <v>205</v>
      </c>
      <c r="F221" s="113">
        <v>159</v>
      </c>
      <c r="G221" s="113">
        <v>122</v>
      </c>
      <c r="H221" s="113">
        <v>107</v>
      </c>
      <c r="I221" s="113">
        <v>95</v>
      </c>
      <c r="J221" s="113">
        <v>85</v>
      </c>
      <c r="K221" s="113">
        <v>85</v>
      </c>
      <c r="L221" s="113">
        <v>100</v>
      </c>
      <c r="M221" s="113">
        <v>146</v>
      </c>
      <c r="N221" s="113">
        <v>230</v>
      </c>
    </row>
    <row r="222" spans="1:14" x14ac:dyDescent="0.25">
      <c r="A222" s="113">
        <v>269</v>
      </c>
      <c r="B222" s="113" t="s">
        <v>225</v>
      </c>
      <c r="C222" s="113">
        <v>383</v>
      </c>
      <c r="D222" s="113">
        <v>584</v>
      </c>
      <c r="E222" s="113">
        <v>747</v>
      </c>
      <c r="F222" s="113">
        <v>1021</v>
      </c>
      <c r="G222" s="113">
        <v>1186</v>
      </c>
      <c r="H222" s="113">
        <v>1053</v>
      </c>
      <c r="I222" s="113">
        <v>670</v>
      </c>
      <c r="J222" s="113">
        <v>422</v>
      </c>
      <c r="K222" s="113">
        <v>315</v>
      </c>
      <c r="L222" s="113">
        <v>266</v>
      </c>
      <c r="M222" s="113">
        <v>263</v>
      </c>
      <c r="N222" s="113">
        <v>293</v>
      </c>
    </row>
    <row r="223" spans="1:14" x14ac:dyDescent="0.25">
      <c r="A223" s="113">
        <v>270</v>
      </c>
      <c r="B223" s="113" t="s">
        <v>777</v>
      </c>
      <c r="C223" s="113">
        <v>1435</v>
      </c>
      <c r="D223" s="113">
        <v>1626</v>
      </c>
      <c r="E223" s="113">
        <v>1501</v>
      </c>
      <c r="F223" s="113">
        <v>1062</v>
      </c>
      <c r="G223" s="113">
        <v>562</v>
      </c>
      <c r="H223" s="113">
        <v>390</v>
      </c>
      <c r="I223" s="113">
        <v>294</v>
      </c>
      <c r="J223" s="113">
        <v>227</v>
      </c>
      <c r="K223" s="113">
        <v>216</v>
      </c>
      <c r="L223" s="113">
        <v>316</v>
      </c>
      <c r="M223" s="113">
        <v>570</v>
      </c>
      <c r="N223" s="113">
        <v>1064</v>
      </c>
    </row>
    <row r="224" spans="1:14" x14ac:dyDescent="0.25">
      <c r="A224" s="113">
        <v>271</v>
      </c>
      <c r="B224" s="113" t="s">
        <v>778</v>
      </c>
      <c r="C224" s="113">
        <v>6904</v>
      </c>
      <c r="D224" s="113">
        <v>8298</v>
      </c>
      <c r="E224" s="113">
        <v>8801</v>
      </c>
      <c r="F224" s="113">
        <v>7326</v>
      </c>
      <c r="G224" s="113">
        <v>4115</v>
      </c>
      <c r="H224" s="113">
        <v>2349</v>
      </c>
      <c r="I224" s="113">
        <v>1663</v>
      </c>
      <c r="J224" s="113">
        <v>1280</v>
      </c>
      <c r="K224" s="113">
        <v>1155</v>
      </c>
      <c r="L224" s="113">
        <v>1495</v>
      </c>
      <c r="M224" s="113">
        <v>2601</v>
      </c>
      <c r="N224" s="113">
        <v>4780</v>
      </c>
    </row>
    <row r="225" spans="1:14" x14ac:dyDescent="0.25">
      <c r="A225" s="113">
        <v>273</v>
      </c>
      <c r="B225" s="113" t="s">
        <v>165</v>
      </c>
      <c r="C225" s="113">
        <v>4457</v>
      </c>
      <c r="D225" s="113">
        <v>5124</v>
      </c>
      <c r="E225" s="113">
        <v>5144</v>
      </c>
      <c r="F225" s="113">
        <v>3833</v>
      </c>
      <c r="G225" s="113">
        <v>1893</v>
      </c>
      <c r="H225" s="113">
        <v>1127</v>
      </c>
      <c r="I225" s="113">
        <v>811</v>
      </c>
      <c r="J225" s="113">
        <v>622</v>
      </c>
      <c r="K225" s="113">
        <v>567</v>
      </c>
      <c r="L225" s="113">
        <v>794</v>
      </c>
      <c r="M225" s="113">
        <v>1573</v>
      </c>
      <c r="N225" s="113">
        <v>3179</v>
      </c>
    </row>
    <row r="226" spans="1:14" x14ac:dyDescent="0.25">
      <c r="A226" s="113">
        <v>274</v>
      </c>
      <c r="B226" s="113" t="s">
        <v>779</v>
      </c>
      <c r="C226" s="113">
        <v>7182</v>
      </c>
      <c r="D226" s="113">
        <v>8754</v>
      </c>
      <c r="E226" s="113">
        <v>9319</v>
      </c>
      <c r="F226" s="113">
        <v>8029</v>
      </c>
      <c r="G226" s="113">
        <v>4608</v>
      </c>
      <c r="H226" s="113">
        <v>2683</v>
      </c>
      <c r="I226" s="113">
        <v>1928</v>
      </c>
      <c r="J226" s="113">
        <v>1523</v>
      </c>
      <c r="K226" s="113">
        <v>1385</v>
      </c>
      <c r="L226" s="113">
        <v>1705</v>
      </c>
      <c r="M226" s="113">
        <v>2772</v>
      </c>
      <c r="N226" s="113">
        <v>4877</v>
      </c>
    </row>
    <row r="227" spans="1:14" x14ac:dyDescent="0.25">
      <c r="A227" s="113">
        <v>275</v>
      </c>
      <c r="B227" s="113" t="s">
        <v>240</v>
      </c>
      <c r="C227" s="113">
        <v>15155</v>
      </c>
      <c r="D227" s="113">
        <v>20528</v>
      </c>
      <c r="E227" s="113">
        <v>23995</v>
      </c>
      <c r="F227" s="113">
        <v>23999</v>
      </c>
      <c r="G227" s="113">
        <v>15616</v>
      </c>
      <c r="H227" s="113">
        <v>7321</v>
      </c>
      <c r="I227" s="113">
        <v>4212</v>
      </c>
      <c r="J227" s="113">
        <v>2957</v>
      </c>
      <c r="K227" s="113">
        <v>2333</v>
      </c>
      <c r="L227" s="113">
        <v>2620</v>
      </c>
      <c r="M227" s="113">
        <v>4346</v>
      </c>
      <c r="N227" s="113">
        <v>8574</v>
      </c>
    </row>
    <row r="228" spans="1:14" x14ac:dyDescent="0.25">
      <c r="A228" s="113">
        <v>276</v>
      </c>
      <c r="B228" s="113" t="s">
        <v>780</v>
      </c>
      <c r="C228" s="113">
        <v>6621</v>
      </c>
      <c r="D228" s="113">
        <v>10134</v>
      </c>
      <c r="E228" s="113">
        <v>12568</v>
      </c>
      <c r="F228" s="113">
        <v>13240</v>
      </c>
      <c r="G228" s="113">
        <v>8842</v>
      </c>
      <c r="H228" s="113">
        <v>3664</v>
      </c>
      <c r="I228" s="113">
        <v>1797</v>
      </c>
      <c r="J228" s="113">
        <v>1112</v>
      </c>
      <c r="K228" s="113">
        <v>823</v>
      </c>
      <c r="L228" s="113">
        <v>955</v>
      </c>
      <c r="M228" s="113">
        <v>1653</v>
      </c>
      <c r="N228" s="113">
        <v>3360</v>
      </c>
    </row>
    <row r="229" spans="1:14" x14ac:dyDescent="0.25">
      <c r="A229" s="113">
        <v>277</v>
      </c>
      <c r="B229" s="113" t="s">
        <v>781</v>
      </c>
      <c r="C229" s="113">
        <v>143</v>
      </c>
      <c r="D229" s="113">
        <v>208</v>
      </c>
      <c r="E229" s="113">
        <v>320</v>
      </c>
      <c r="F229" s="113">
        <v>406</v>
      </c>
      <c r="G229" s="113">
        <v>389</v>
      </c>
      <c r="H229" s="113">
        <v>267</v>
      </c>
      <c r="I229" s="113">
        <v>198</v>
      </c>
      <c r="J229" s="113">
        <v>149</v>
      </c>
      <c r="K229" s="113">
        <v>129</v>
      </c>
      <c r="L229" s="113">
        <v>115</v>
      </c>
      <c r="M229" s="113">
        <v>115</v>
      </c>
      <c r="N229" s="113">
        <v>119</v>
      </c>
    </row>
    <row r="230" spans="1:14" x14ac:dyDescent="0.25">
      <c r="A230" s="113">
        <v>278</v>
      </c>
      <c r="B230" s="113" t="s">
        <v>138</v>
      </c>
      <c r="C230" s="113">
        <v>306</v>
      </c>
      <c r="D230" s="113">
        <v>345</v>
      </c>
      <c r="E230" s="113">
        <v>323</v>
      </c>
      <c r="F230" s="113">
        <v>216</v>
      </c>
      <c r="G230" s="113">
        <v>123</v>
      </c>
      <c r="H230" s="113">
        <v>92</v>
      </c>
      <c r="I230" s="113">
        <v>78</v>
      </c>
      <c r="J230" s="113">
        <v>69</v>
      </c>
      <c r="K230" s="113">
        <v>70</v>
      </c>
      <c r="L230" s="113">
        <v>94</v>
      </c>
      <c r="M230" s="113">
        <v>130</v>
      </c>
      <c r="N230" s="113">
        <v>207</v>
      </c>
    </row>
    <row r="231" spans="1:14" x14ac:dyDescent="0.25">
      <c r="A231" s="113">
        <v>279</v>
      </c>
      <c r="B231" s="113" t="s">
        <v>148</v>
      </c>
      <c r="C231" s="113">
        <v>475</v>
      </c>
      <c r="D231" s="113">
        <v>742</v>
      </c>
      <c r="E231" s="113">
        <v>843</v>
      </c>
      <c r="F231" s="113">
        <v>757</v>
      </c>
      <c r="G231" s="113">
        <v>462</v>
      </c>
      <c r="H231" s="113">
        <v>245</v>
      </c>
      <c r="I231" s="113">
        <v>145</v>
      </c>
      <c r="J231" s="113">
        <v>89</v>
      </c>
      <c r="K231" s="113">
        <v>63</v>
      </c>
      <c r="L231" s="113">
        <v>60</v>
      </c>
      <c r="M231" s="113">
        <v>117</v>
      </c>
      <c r="N231" s="113">
        <v>238</v>
      </c>
    </row>
    <row r="232" spans="1:14" x14ac:dyDescent="0.25">
      <c r="A232" s="113">
        <v>280</v>
      </c>
      <c r="B232" s="113" t="s">
        <v>782</v>
      </c>
      <c r="C232" s="113">
        <v>529</v>
      </c>
      <c r="D232" s="113">
        <v>989</v>
      </c>
      <c r="E232" s="113">
        <v>1509</v>
      </c>
      <c r="F232" s="113">
        <v>1867</v>
      </c>
      <c r="G232" s="113">
        <v>1996</v>
      </c>
      <c r="H232" s="113">
        <v>1582</v>
      </c>
      <c r="I232" s="113">
        <v>1167</v>
      </c>
      <c r="J232" s="113">
        <v>788</v>
      </c>
      <c r="K232" s="113">
        <v>456</v>
      </c>
      <c r="L232" s="113">
        <v>276</v>
      </c>
      <c r="M232" s="113">
        <v>198</v>
      </c>
      <c r="N232" s="113">
        <v>230</v>
      </c>
    </row>
    <row r="233" spans="1:14" x14ac:dyDescent="0.25">
      <c r="A233" s="113">
        <v>281</v>
      </c>
      <c r="B233" s="113" t="s">
        <v>783</v>
      </c>
      <c r="C233" s="113">
        <v>86</v>
      </c>
      <c r="D233" s="113">
        <v>91</v>
      </c>
      <c r="E233" s="113">
        <v>92</v>
      </c>
      <c r="F233" s="113">
        <v>85</v>
      </c>
      <c r="G233" s="113">
        <v>77</v>
      </c>
      <c r="H233" s="113">
        <v>71</v>
      </c>
      <c r="I233" s="113">
        <v>67</v>
      </c>
      <c r="J233" s="113">
        <v>64</v>
      </c>
      <c r="K233" s="113">
        <v>63</v>
      </c>
      <c r="L233" s="113">
        <v>67</v>
      </c>
      <c r="M233" s="113">
        <v>72</v>
      </c>
      <c r="N233" s="113">
        <v>78</v>
      </c>
    </row>
    <row r="234" spans="1:14" x14ac:dyDescent="0.25">
      <c r="A234" s="113">
        <v>282</v>
      </c>
      <c r="B234" s="113" t="s">
        <v>784</v>
      </c>
      <c r="C234" s="113">
        <v>100</v>
      </c>
      <c r="D234" s="113">
        <v>106</v>
      </c>
      <c r="E234" s="113">
        <v>106</v>
      </c>
      <c r="F234" s="113">
        <v>90</v>
      </c>
      <c r="G234" s="113">
        <v>73</v>
      </c>
      <c r="H234" s="113">
        <v>65</v>
      </c>
      <c r="I234" s="113">
        <v>60</v>
      </c>
      <c r="J234" s="113">
        <v>56</v>
      </c>
      <c r="K234" s="113">
        <v>57</v>
      </c>
      <c r="L234" s="113">
        <v>62</v>
      </c>
      <c r="M234" s="113">
        <v>71</v>
      </c>
      <c r="N234" s="113">
        <v>86</v>
      </c>
    </row>
    <row r="235" spans="1:14" x14ac:dyDescent="0.25">
      <c r="A235" s="113">
        <v>283</v>
      </c>
      <c r="B235" s="113" t="s">
        <v>785</v>
      </c>
      <c r="C235" s="113">
        <v>176</v>
      </c>
      <c r="D235" s="113">
        <v>124</v>
      </c>
      <c r="E235" s="113">
        <v>122</v>
      </c>
      <c r="F235" s="113">
        <v>108</v>
      </c>
      <c r="G235" s="113">
        <v>74</v>
      </c>
      <c r="H235" s="113">
        <v>62</v>
      </c>
      <c r="I235" s="113">
        <v>61</v>
      </c>
      <c r="J235" s="113">
        <v>51</v>
      </c>
      <c r="K235" s="113">
        <v>45</v>
      </c>
      <c r="L235" s="113">
        <v>62</v>
      </c>
      <c r="M235" s="113">
        <v>123</v>
      </c>
      <c r="N235" s="113">
        <v>185</v>
      </c>
    </row>
    <row r="236" spans="1:14" x14ac:dyDescent="0.25">
      <c r="A236" s="113">
        <v>284</v>
      </c>
      <c r="B236" s="113" t="s">
        <v>184</v>
      </c>
      <c r="C236" s="113">
        <v>166</v>
      </c>
      <c r="D236" s="113">
        <v>211</v>
      </c>
      <c r="E236" s="113">
        <v>161</v>
      </c>
      <c r="F236" s="113">
        <v>179</v>
      </c>
      <c r="G236" s="113">
        <v>249</v>
      </c>
      <c r="H236" s="113">
        <v>324</v>
      </c>
      <c r="I236" s="113">
        <v>420</v>
      </c>
      <c r="J236" s="113">
        <v>438</v>
      </c>
      <c r="K236" s="113">
        <v>487</v>
      </c>
      <c r="L236" s="113">
        <v>400</v>
      </c>
      <c r="M236" s="113">
        <v>235</v>
      </c>
      <c r="N236" s="113">
        <v>187</v>
      </c>
    </row>
    <row r="237" spans="1:14" x14ac:dyDescent="0.25">
      <c r="A237" s="113">
        <v>285</v>
      </c>
      <c r="B237" s="113" t="s">
        <v>150</v>
      </c>
      <c r="C237" s="113">
        <v>23475</v>
      </c>
      <c r="D237" s="113">
        <v>30153</v>
      </c>
      <c r="E237" s="113">
        <v>34783</v>
      </c>
      <c r="F237" s="113">
        <v>33793</v>
      </c>
      <c r="G237" s="113">
        <v>25953</v>
      </c>
      <c r="H237" s="113">
        <v>18042</v>
      </c>
      <c r="I237" s="113">
        <v>11536</v>
      </c>
      <c r="J237" s="113">
        <v>7115</v>
      </c>
      <c r="K237" s="113">
        <v>5318</v>
      </c>
      <c r="L237" s="113">
        <v>6424</v>
      </c>
      <c r="M237" s="113">
        <v>10145</v>
      </c>
      <c r="N237" s="113">
        <v>16181</v>
      </c>
    </row>
    <row r="238" spans="1:14" x14ac:dyDescent="0.25">
      <c r="A238" s="113">
        <v>286</v>
      </c>
      <c r="B238" s="113" t="s">
        <v>786</v>
      </c>
      <c r="C238" s="113">
        <v>56</v>
      </c>
      <c r="D238" s="113">
        <v>66</v>
      </c>
      <c r="E238" s="113">
        <v>56</v>
      </c>
      <c r="F238" s="113">
        <v>58</v>
      </c>
      <c r="G238" s="113">
        <v>82</v>
      </c>
      <c r="H238" s="113">
        <v>93</v>
      </c>
      <c r="I238" s="113">
        <v>91</v>
      </c>
      <c r="J238" s="113">
        <v>88</v>
      </c>
      <c r="K238" s="113">
        <v>99</v>
      </c>
      <c r="L238" s="113">
        <v>121</v>
      </c>
      <c r="M238" s="113">
        <v>83</v>
      </c>
      <c r="N238" s="113">
        <v>62</v>
      </c>
    </row>
    <row r="239" spans="1:14" x14ac:dyDescent="0.25">
      <c r="A239" s="113">
        <v>287</v>
      </c>
      <c r="B239" s="113" t="s">
        <v>787</v>
      </c>
      <c r="C239" s="113">
        <v>23831</v>
      </c>
      <c r="D239" s="113">
        <v>30604</v>
      </c>
      <c r="E239" s="113">
        <v>35308</v>
      </c>
      <c r="F239" s="113">
        <v>34309</v>
      </c>
      <c r="G239" s="113">
        <v>26349</v>
      </c>
      <c r="H239" s="113">
        <v>18318</v>
      </c>
      <c r="I239" s="113">
        <v>11713</v>
      </c>
      <c r="J239" s="113">
        <v>7223</v>
      </c>
      <c r="K239" s="113">
        <v>5400</v>
      </c>
      <c r="L239" s="113">
        <v>6518</v>
      </c>
      <c r="M239" s="113">
        <v>10298</v>
      </c>
      <c r="N239" s="113">
        <v>16424</v>
      </c>
    </row>
    <row r="240" spans="1:14" x14ac:dyDescent="0.25">
      <c r="A240" s="113">
        <v>288</v>
      </c>
      <c r="B240" s="113" t="s">
        <v>430</v>
      </c>
      <c r="C240" s="113">
        <v>8125</v>
      </c>
      <c r="D240" s="113">
        <v>13406</v>
      </c>
      <c r="E240" s="113">
        <v>18188</v>
      </c>
      <c r="F240" s="113">
        <v>21466</v>
      </c>
      <c r="G240" s="113">
        <v>15553</v>
      </c>
      <c r="H240" s="113">
        <v>7399</v>
      </c>
      <c r="I240" s="113">
        <v>2952</v>
      </c>
      <c r="J240" s="113">
        <v>1594</v>
      </c>
      <c r="K240" s="113">
        <v>1089</v>
      </c>
      <c r="L240" s="113">
        <v>1115</v>
      </c>
      <c r="M240" s="113">
        <v>1908</v>
      </c>
      <c r="N240" s="113">
        <v>3893</v>
      </c>
    </row>
    <row r="241" spans="1:14" x14ac:dyDescent="0.25">
      <c r="A241" s="113">
        <v>289</v>
      </c>
      <c r="B241" s="113" t="s">
        <v>788</v>
      </c>
      <c r="C241" s="113">
        <v>65</v>
      </c>
      <c r="D241" s="113">
        <v>68</v>
      </c>
      <c r="E241" s="113">
        <v>69</v>
      </c>
      <c r="F241" s="113">
        <v>59</v>
      </c>
      <c r="G241" s="113">
        <v>49</v>
      </c>
      <c r="H241" s="113">
        <v>44</v>
      </c>
      <c r="I241" s="113">
        <v>40</v>
      </c>
      <c r="J241" s="113">
        <v>38</v>
      </c>
      <c r="K241" s="113">
        <v>38</v>
      </c>
      <c r="L241" s="113">
        <v>42</v>
      </c>
      <c r="M241" s="113">
        <v>47</v>
      </c>
      <c r="N241" s="113">
        <v>56</v>
      </c>
    </row>
    <row r="242" spans="1:14" x14ac:dyDescent="0.25">
      <c r="A242" s="113">
        <v>290</v>
      </c>
      <c r="B242" s="113" t="s">
        <v>789</v>
      </c>
      <c r="C242" s="113">
        <v>693</v>
      </c>
      <c r="D242" s="113">
        <v>1074</v>
      </c>
      <c r="E242" s="113">
        <v>1361</v>
      </c>
      <c r="F242" s="113">
        <v>1810</v>
      </c>
      <c r="G242" s="113">
        <v>2113</v>
      </c>
      <c r="H242" s="113">
        <v>2082</v>
      </c>
      <c r="I242" s="113">
        <v>1453</v>
      </c>
      <c r="J242" s="113">
        <v>964</v>
      </c>
      <c r="K242" s="113">
        <v>599</v>
      </c>
      <c r="L242" s="113">
        <v>342</v>
      </c>
      <c r="M242" s="113">
        <v>250</v>
      </c>
      <c r="N242" s="113">
        <v>352</v>
      </c>
    </row>
    <row r="243" spans="1:14" x14ac:dyDescent="0.25">
      <c r="A243" s="113">
        <v>291</v>
      </c>
      <c r="B243" s="113" t="s">
        <v>152</v>
      </c>
      <c r="C243" s="113">
        <v>505</v>
      </c>
      <c r="D243" s="113">
        <v>747</v>
      </c>
      <c r="E243" s="113">
        <v>834</v>
      </c>
      <c r="F243" s="113">
        <v>729</v>
      </c>
      <c r="G243" s="113">
        <v>463</v>
      </c>
      <c r="H243" s="113">
        <v>216</v>
      </c>
      <c r="I243" s="113">
        <v>99</v>
      </c>
      <c r="J243" s="113">
        <v>57</v>
      </c>
      <c r="K243" s="113">
        <v>47</v>
      </c>
      <c r="L243" s="113">
        <v>54</v>
      </c>
      <c r="M243" s="113">
        <v>94</v>
      </c>
      <c r="N243" s="113">
        <v>229</v>
      </c>
    </row>
    <row r="244" spans="1:14" x14ac:dyDescent="0.25">
      <c r="A244" s="113">
        <v>292</v>
      </c>
      <c r="B244" s="113" t="s">
        <v>430</v>
      </c>
      <c r="C244" s="113">
        <v>7025</v>
      </c>
      <c r="D244" s="113">
        <v>11806</v>
      </c>
      <c r="E244" s="113">
        <v>14929</v>
      </c>
      <c r="F244" s="113">
        <v>15442</v>
      </c>
      <c r="G244" s="113">
        <v>12640</v>
      </c>
      <c r="H244" s="113">
        <v>5794</v>
      </c>
      <c r="I244" s="113">
        <v>1850</v>
      </c>
      <c r="J244" s="113">
        <v>694</v>
      </c>
      <c r="K244" s="113">
        <v>346</v>
      </c>
      <c r="L244" s="113">
        <v>428</v>
      </c>
      <c r="M244" s="113">
        <v>1111</v>
      </c>
      <c r="N244" s="113">
        <v>2993</v>
      </c>
    </row>
    <row r="245" spans="1:14" x14ac:dyDescent="0.25">
      <c r="A245" s="113">
        <v>293</v>
      </c>
      <c r="B245" s="113" t="s">
        <v>430</v>
      </c>
      <c r="C245" s="113">
        <v>1669</v>
      </c>
      <c r="D245" s="113">
        <v>2538</v>
      </c>
      <c r="E245" s="113">
        <v>4532</v>
      </c>
      <c r="F245" s="113">
        <v>7527</v>
      </c>
      <c r="G245" s="113">
        <v>4002</v>
      </c>
      <c r="H245" s="113">
        <v>2123</v>
      </c>
      <c r="I245" s="113">
        <v>1308</v>
      </c>
      <c r="J245" s="113">
        <v>1012</v>
      </c>
      <c r="K245" s="113">
        <v>820</v>
      </c>
      <c r="L245" s="113">
        <v>765</v>
      </c>
      <c r="M245" s="113">
        <v>931</v>
      </c>
      <c r="N245" s="113">
        <v>1173</v>
      </c>
    </row>
    <row r="246" spans="1:14" x14ac:dyDescent="0.25">
      <c r="A246" s="113">
        <v>294</v>
      </c>
      <c r="B246" s="113" t="s">
        <v>74</v>
      </c>
      <c r="C246" s="113">
        <v>243</v>
      </c>
      <c r="D246" s="113">
        <v>263</v>
      </c>
      <c r="E246" s="113">
        <v>264</v>
      </c>
      <c r="F246" s="113">
        <v>212</v>
      </c>
      <c r="G246" s="113">
        <v>165</v>
      </c>
      <c r="H246" s="113">
        <v>144</v>
      </c>
      <c r="I246" s="113">
        <v>128</v>
      </c>
      <c r="J246" s="113">
        <v>119</v>
      </c>
      <c r="K246" s="113">
        <v>122</v>
      </c>
      <c r="L246" s="113">
        <v>140</v>
      </c>
      <c r="M246" s="113">
        <v>165</v>
      </c>
      <c r="N246" s="113">
        <v>206</v>
      </c>
    </row>
    <row r="247" spans="1:14" x14ac:dyDescent="0.25">
      <c r="A247" s="113">
        <v>295</v>
      </c>
      <c r="B247" s="113" t="s">
        <v>140</v>
      </c>
      <c r="C247" s="113">
        <v>98</v>
      </c>
      <c r="D247" s="113">
        <v>102</v>
      </c>
      <c r="E247" s="113">
        <v>110</v>
      </c>
      <c r="F247" s="113">
        <v>96</v>
      </c>
      <c r="G247" s="113">
        <v>84</v>
      </c>
      <c r="H247" s="113">
        <v>79</v>
      </c>
      <c r="I247" s="113">
        <v>76</v>
      </c>
      <c r="J247" s="113">
        <v>72</v>
      </c>
      <c r="K247" s="113">
        <v>71</v>
      </c>
      <c r="L247" s="113">
        <v>75</v>
      </c>
      <c r="M247" s="113">
        <v>79</v>
      </c>
      <c r="N247" s="113">
        <v>88</v>
      </c>
    </row>
    <row r="248" spans="1:14" x14ac:dyDescent="0.25">
      <c r="A248" s="113">
        <v>296</v>
      </c>
      <c r="B248" s="113" t="s">
        <v>264</v>
      </c>
      <c r="C248" s="113">
        <v>35</v>
      </c>
      <c r="D248" s="113">
        <v>37</v>
      </c>
      <c r="E248" s="113">
        <v>39</v>
      </c>
      <c r="F248" s="113">
        <v>37</v>
      </c>
      <c r="G248" s="113">
        <v>34</v>
      </c>
      <c r="H248" s="113">
        <v>32</v>
      </c>
      <c r="I248" s="113">
        <v>30</v>
      </c>
      <c r="J248" s="113">
        <v>29</v>
      </c>
      <c r="K248" s="113">
        <v>29</v>
      </c>
      <c r="L248" s="113">
        <v>30</v>
      </c>
      <c r="M248" s="113">
        <v>31</v>
      </c>
      <c r="N248" s="113">
        <v>33</v>
      </c>
    </row>
    <row r="249" spans="1:14" x14ac:dyDescent="0.25">
      <c r="A249" s="113">
        <v>297</v>
      </c>
      <c r="B249" s="113" t="s">
        <v>790</v>
      </c>
      <c r="C249" s="113">
        <v>534</v>
      </c>
      <c r="D249" s="113">
        <v>998</v>
      </c>
      <c r="E249" s="113">
        <v>1522</v>
      </c>
      <c r="F249" s="113">
        <v>1884</v>
      </c>
      <c r="G249" s="113">
        <v>2014</v>
      </c>
      <c r="H249" s="113">
        <v>1596</v>
      </c>
      <c r="I249" s="113">
        <v>1178</v>
      </c>
      <c r="J249" s="113">
        <v>795</v>
      </c>
      <c r="K249" s="113">
        <v>460</v>
      </c>
      <c r="L249" s="113">
        <v>279</v>
      </c>
      <c r="M249" s="113">
        <v>200</v>
      </c>
      <c r="N249" s="113">
        <v>232</v>
      </c>
    </row>
    <row r="250" spans="1:14" x14ac:dyDescent="0.25">
      <c r="A250" s="113">
        <v>298</v>
      </c>
      <c r="B250" s="113" t="s">
        <v>746</v>
      </c>
      <c r="C250" s="113">
        <v>159</v>
      </c>
      <c r="D250" s="113">
        <v>158</v>
      </c>
      <c r="E250" s="113">
        <v>159</v>
      </c>
      <c r="F250" s="113">
        <v>156</v>
      </c>
      <c r="G250" s="113">
        <v>140</v>
      </c>
      <c r="H250" s="113">
        <v>121</v>
      </c>
      <c r="I250" s="113">
        <v>106</v>
      </c>
      <c r="J250" s="113">
        <v>93</v>
      </c>
      <c r="K250" s="113">
        <v>93</v>
      </c>
      <c r="L250" s="113">
        <v>111</v>
      </c>
      <c r="M250" s="113">
        <v>135</v>
      </c>
      <c r="N250" s="113">
        <v>155</v>
      </c>
    </row>
    <row r="251" spans="1:14" x14ac:dyDescent="0.25">
      <c r="A251" s="113">
        <v>299</v>
      </c>
      <c r="B251" s="113" t="s">
        <v>748</v>
      </c>
      <c r="C251" s="113">
        <v>889</v>
      </c>
      <c r="D251" s="113">
        <v>892</v>
      </c>
      <c r="E251" s="113">
        <v>822</v>
      </c>
      <c r="F251" s="113">
        <v>551</v>
      </c>
      <c r="G251" s="113">
        <v>362</v>
      </c>
      <c r="H251" s="113">
        <v>301</v>
      </c>
      <c r="I251" s="113">
        <v>250</v>
      </c>
      <c r="J251" s="113">
        <v>212</v>
      </c>
      <c r="K251" s="113">
        <v>217</v>
      </c>
      <c r="L251" s="113">
        <v>259</v>
      </c>
      <c r="M251" s="113">
        <v>367</v>
      </c>
      <c r="N251" s="113">
        <v>602</v>
      </c>
    </row>
    <row r="252" spans="1:14" x14ac:dyDescent="0.25">
      <c r="A252" s="113">
        <v>300</v>
      </c>
      <c r="B252" s="113" t="s">
        <v>791</v>
      </c>
      <c r="C252" s="113">
        <v>0</v>
      </c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</row>
    <row r="253" spans="1:14" x14ac:dyDescent="0.25">
      <c r="A253" s="113">
        <v>301</v>
      </c>
      <c r="B253" s="113" t="s">
        <v>792</v>
      </c>
      <c r="C253" s="113">
        <v>30</v>
      </c>
      <c r="D253" s="113">
        <v>30</v>
      </c>
      <c r="E253" s="113">
        <v>27</v>
      </c>
      <c r="F253" s="113">
        <v>18</v>
      </c>
      <c r="G253" s="113">
        <v>13</v>
      </c>
      <c r="H253" s="113">
        <v>11</v>
      </c>
      <c r="I253" s="113">
        <v>10</v>
      </c>
      <c r="J253" s="113">
        <v>9</v>
      </c>
      <c r="K253" s="113">
        <v>14</v>
      </c>
      <c r="L253" s="113">
        <v>18</v>
      </c>
      <c r="M253" s="113">
        <v>18</v>
      </c>
      <c r="N253" s="113">
        <v>24</v>
      </c>
    </row>
    <row r="254" spans="1:14" x14ac:dyDescent="0.25">
      <c r="A254" s="113">
        <v>302</v>
      </c>
      <c r="B254" s="113" t="s">
        <v>430</v>
      </c>
      <c r="C254" s="113">
        <v>1232</v>
      </c>
      <c r="D254" s="113">
        <v>2641</v>
      </c>
      <c r="E254" s="113">
        <v>6228</v>
      </c>
      <c r="F254" s="113">
        <v>10039</v>
      </c>
      <c r="G254" s="113">
        <v>4806</v>
      </c>
      <c r="H254" s="113">
        <v>1605</v>
      </c>
      <c r="I254" s="113">
        <v>1101</v>
      </c>
      <c r="J254" s="113">
        <v>900</v>
      </c>
      <c r="K254" s="113">
        <v>743</v>
      </c>
      <c r="L254" s="113">
        <v>687</v>
      </c>
      <c r="M254" s="113">
        <v>797</v>
      </c>
      <c r="N254" s="113">
        <v>900</v>
      </c>
    </row>
    <row r="255" spans="1:14" x14ac:dyDescent="0.25">
      <c r="A255" s="113">
        <v>303</v>
      </c>
      <c r="B255" s="113" t="s">
        <v>117</v>
      </c>
      <c r="C255" s="113">
        <v>46</v>
      </c>
      <c r="D255" s="113">
        <v>46</v>
      </c>
      <c r="E255" s="113">
        <v>46</v>
      </c>
      <c r="F255" s="113">
        <v>41</v>
      </c>
      <c r="G255" s="113">
        <v>28</v>
      </c>
      <c r="H255" s="113">
        <v>18</v>
      </c>
      <c r="I255" s="113">
        <v>12</v>
      </c>
      <c r="J255" s="113">
        <v>9</v>
      </c>
      <c r="K255" s="113">
        <v>10</v>
      </c>
      <c r="L255" s="113">
        <v>15</v>
      </c>
      <c r="M255" s="113">
        <v>26</v>
      </c>
      <c r="N255" s="113">
        <v>41</v>
      </c>
    </row>
    <row r="256" spans="1:14" x14ac:dyDescent="0.25">
      <c r="A256" s="113">
        <v>304</v>
      </c>
      <c r="B256" s="113" t="s">
        <v>252</v>
      </c>
      <c r="C256" s="113">
        <v>3</v>
      </c>
      <c r="D256" s="113">
        <v>4</v>
      </c>
      <c r="E256" s="113">
        <v>2</v>
      </c>
      <c r="F256" s="113">
        <v>0</v>
      </c>
      <c r="G256" s="113">
        <v>0</v>
      </c>
      <c r="H256" s="113">
        <v>0</v>
      </c>
      <c r="I256" s="113">
        <v>0</v>
      </c>
      <c r="J256" s="113">
        <v>0</v>
      </c>
      <c r="K256" s="113">
        <v>0</v>
      </c>
      <c r="L256" s="113">
        <v>0</v>
      </c>
      <c r="M256" s="113">
        <v>0</v>
      </c>
      <c r="N256" s="113">
        <v>1</v>
      </c>
    </row>
    <row r="257" spans="1:14" x14ac:dyDescent="0.25">
      <c r="A257" s="113">
        <v>306</v>
      </c>
      <c r="B257" s="113" t="s">
        <v>793</v>
      </c>
      <c r="C257" s="113">
        <v>190</v>
      </c>
      <c r="D257" s="113">
        <v>189</v>
      </c>
      <c r="E257" s="113">
        <v>190</v>
      </c>
      <c r="F257" s="113">
        <v>184</v>
      </c>
      <c r="G257" s="113">
        <v>163</v>
      </c>
      <c r="H257" s="113">
        <v>140</v>
      </c>
      <c r="I257" s="113">
        <v>122</v>
      </c>
      <c r="J257" s="113">
        <v>106</v>
      </c>
      <c r="K257" s="113">
        <v>107</v>
      </c>
      <c r="L257" s="113">
        <v>127</v>
      </c>
      <c r="M257" s="113">
        <v>157</v>
      </c>
      <c r="N257" s="113">
        <v>183</v>
      </c>
    </row>
    <row r="258" spans="1:14" x14ac:dyDescent="0.25">
      <c r="A258" s="113">
        <v>313</v>
      </c>
      <c r="B258" s="113" t="s">
        <v>794</v>
      </c>
      <c r="C258" s="113">
        <v>320</v>
      </c>
      <c r="D258" s="113">
        <v>358</v>
      </c>
      <c r="E258" s="113">
        <v>362</v>
      </c>
      <c r="F258" s="113">
        <v>280</v>
      </c>
      <c r="G258" s="113">
        <v>196</v>
      </c>
      <c r="H258" s="113">
        <v>154</v>
      </c>
      <c r="I258" s="113">
        <v>129</v>
      </c>
      <c r="J258" s="113">
        <v>112</v>
      </c>
      <c r="K258" s="113">
        <v>115</v>
      </c>
      <c r="L258" s="113">
        <v>142</v>
      </c>
      <c r="M258" s="113">
        <v>184</v>
      </c>
      <c r="N258" s="113">
        <v>258</v>
      </c>
    </row>
    <row r="259" spans="1:14" x14ac:dyDescent="0.25">
      <c r="A259" s="113">
        <v>314</v>
      </c>
      <c r="B259" s="113" t="s">
        <v>390</v>
      </c>
      <c r="C259" s="113">
        <v>942</v>
      </c>
      <c r="D259" s="113">
        <v>948</v>
      </c>
      <c r="E259" s="113">
        <v>877</v>
      </c>
      <c r="F259" s="113">
        <v>594</v>
      </c>
      <c r="G259" s="113">
        <v>390</v>
      </c>
      <c r="H259" s="113">
        <v>325</v>
      </c>
      <c r="I259" s="113">
        <v>270</v>
      </c>
      <c r="J259" s="113">
        <v>229</v>
      </c>
      <c r="K259" s="113">
        <v>233</v>
      </c>
      <c r="L259" s="113">
        <v>277</v>
      </c>
      <c r="M259" s="113">
        <v>391</v>
      </c>
      <c r="N259" s="113">
        <v>637</v>
      </c>
    </row>
    <row r="260" spans="1:14" x14ac:dyDescent="0.25">
      <c r="A260" s="113">
        <v>315</v>
      </c>
      <c r="B260" s="113" t="s">
        <v>252</v>
      </c>
      <c r="C260" s="113">
        <v>180</v>
      </c>
      <c r="D260" s="113">
        <v>180</v>
      </c>
      <c r="E260" s="113">
        <v>178</v>
      </c>
      <c r="F260" s="113">
        <v>169</v>
      </c>
      <c r="G260" s="113">
        <v>148</v>
      </c>
      <c r="H260" s="113">
        <v>127</v>
      </c>
      <c r="I260" s="113">
        <v>112</v>
      </c>
      <c r="J260" s="113">
        <v>97</v>
      </c>
      <c r="K260" s="113">
        <v>98</v>
      </c>
      <c r="L260" s="113">
        <v>116</v>
      </c>
      <c r="M260" s="113">
        <v>143</v>
      </c>
      <c r="N260" s="113">
        <v>169</v>
      </c>
    </row>
    <row r="261" spans="1:14" x14ac:dyDescent="0.25">
      <c r="A261" s="113">
        <v>316</v>
      </c>
      <c r="B261" s="113" t="s">
        <v>791</v>
      </c>
      <c r="C261" s="113">
        <v>176</v>
      </c>
      <c r="D261" s="113">
        <v>176</v>
      </c>
      <c r="E261" s="113">
        <v>176</v>
      </c>
      <c r="F261" s="113">
        <v>169</v>
      </c>
      <c r="G261" s="113">
        <v>148</v>
      </c>
      <c r="H261" s="113">
        <v>127</v>
      </c>
      <c r="I261" s="113">
        <v>112</v>
      </c>
      <c r="J261" s="113">
        <v>97</v>
      </c>
      <c r="K261" s="113">
        <v>98</v>
      </c>
      <c r="L261" s="113">
        <v>116</v>
      </c>
      <c r="M261" s="113">
        <v>143</v>
      </c>
      <c r="N261" s="113">
        <v>168</v>
      </c>
    </row>
    <row r="262" spans="1:14" x14ac:dyDescent="0.25">
      <c r="A262" s="113">
        <v>317</v>
      </c>
      <c r="B262" s="113" t="s">
        <v>228</v>
      </c>
      <c r="C262" s="113">
        <v>4</v>
      </c>
      <c r="D262" s="113">
        <v>5</v>
      </c>
      <c r="E262" s="113">
        <v>3</v>
      </c>
      <c r="F262" s="113">
        <v>1</v>
      </c>
      <c r="G262" s="113">
        <v>0</v>
      </c>
      <c r="H262" s="113">
        <v>0</v>
      </c>
      <c r="I262" s="113">
        <v>0</v>
      </c>
      <c r="J262" s="113">
        <v>0</v>
      </c>
      <c r="K262" s="113">
        <v>0</v>
      </c>
      <c r="L262" s="113">
        <v>0</v>
      </c>
      <c r="M262" s="113">
        <v>0</v>
      </c>
      <c r="N262" s="113">
        <v>1</v>
      </c>
    </row>
    <row r="263" spans="1:14" x14ac:dyDescent="0.25">
      <c r="A263" s="113">
        <v>318</v>
      </c>
      <c r="B263" s="113" t="s">
        <v>340</v>
      </c>
      <c r="C263" s="113">
        <v>64</v>
      </c>
      <c r="D263" s="113">
        <v>66</v>
      </c>
      <c r="E263" s="113">
        <v>58</v>
      </c>
      <c r="F263" s="113">
        <v>41</v>
      </c>
      <c r="G263" s="113">
        <v>31</v>
      </c>
      <c r="H263" s="113">
        <v>29</v>
      </c>
      <c r="I263" s="113">
        <v>24</v>
      </c>
      <c r="J263" s="113">
        <v>21</v>
      </c>
      <c r="K263" s="113">
        <v>29</v>
      </c>
      <c r="L263" s="113">
        <v>36</v>
      </c>
      <c r="M263" s="113">
        <v>37</v>
      </c>
      <c r="N263" s="113">
        <v>49</v>
      </c>
    </row>
    <row r="264" spans="1:14" x14ac:dyDescent="0.25">
      <c r="A264" s="113">
        <v>319</v>
      </c>
      <c r="B264" s="113" t="s">
        <v>230</v>
      </c>
      <c r="C264" s="113">
        <v>58</v>
      </c>
      <c r="D264" s="113">
        <v>60</v>
      </c>
      <c r="E264" s="113">
        <v>53</v>
      </c>
      <c r="F264" s="113">
        <v>37</v>
      </c>
      <c r="G264" s="113">
        <v>29</v>
      </c>
      <c r="H264" s="113">
        <v>26</v>
      </c>
      <c r="I264" s="113">
        <v>22</v>
      </c>
      <c r="J264" s="113">
        <v>20</v>
      </c>
      <c r="K264" s="113">
        <v>26</v>
      </c>
      <c r="L264" s="113">
        <v>33</v>
      </c>
      <c r="M264" s="113">
        <v>34</v>
      </c>
      <c r="N264" s="113">
        <v>45</v>
      </c>
    </row>
    <row r="265" spans="1:14" x14ac:dyDescent="0.25">
      <c r="A265" s="113">
        <v>320</v>
      </c>
      <c r="B265" s="113" t="s">
        <v>795</v>
      </c>
      <c r="C265" s="113">
        <v>31</v>
      </c>
      <c r="D265" s="113">
        <v>31</v>
      </c>
      <c r="E265" s="113">
        <v>27</v>
      </c>
      <c r="F265" s="113">
        <v>19</v>
      </c>
      <c r="G265" s="113">
        <v>13</v>
      </c>
      <c r="H265" s="113">
        <v>11</v>
      </c>
      <c r="I265" s="113">
        <v>10</v>
      </c>
      <c r="J265" s="113">
        <v>9</v>
      </c>
      <c r="K265" s="113">
        <v>14</v>
      </c>
      <c r="L265" s="113">
        <v>19</v>
      </c>
      <c r="M265" s="113">
        <v>18</v>
      </c>
      <c r="N265" s="113">
        <v>24</v>
      </c>
    </row>
    <row r="266" spans="1:14" x14ac:dyDescent="0.25">
      <c r="A266" s="113"/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1:14" x14ac:dyDescent="0.25">
      <c r="A267" s="113"/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1:14" x14ac:dyDescent="0.25">
      <c r="A268" s="113"/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1:14" x14ac:dyDescent="0.25">
      <c r="A269" s="113"/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1:14" x14ac:dyDescent="0.25">
      <c r="A270" s="113"/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1:14" x14ac:dyDescent="0.25">
      <c r="A271" s="113"/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1:14" x14ac:dyDescent="0.25">
      <c r="A272" s="113"/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1:14" x14ac:dyDescent="0.25">
      <c r="A273" s="113"/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1:14" x14ac:dyDescent="0.25">
      <c r="A274" s="113"/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1:14" x14ac:dyDescent="0.25">
      <c r="A275" s="113"/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1:14" x14ac:dyDescent="0.25">
      <c r="A276" s="113"/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1:14" x14ac:dyDescent="0.25">
      <c r="A277" s="113"/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1:14" x14ac:dyDescent="0.25">
      <c r="A278" s="113"/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1:14" x14ac:dyDescent="0.25">
      <c r="A279" s="113"/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1:14" x14ac:dyDescent="0.25">
      <c r="A280" s="113"/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1:14" x14ac:dyDescent="0.25">
      <c r="A281" s="113"/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1:14" x14ac:dyDescent="0.25">
      <c r="A282" s="113"/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1:14" x14ac:dyDescent="0.25">
      <c r="A283" s="113"/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1:14" x14ac:dyDescent="0.25">
      <c r="A284" s="113"/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1:14" x14ac:dyDescent="0.25">
      <c r="A285" s="113"/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1:14" x14ac:dyDescent="0.25">
      <c r="A286" s="113"/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1:14" x14ac:dyDescent="0.25">
      <c r="A287" s="113"/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1:14" x14ac:dyDescent="0.25">
      <c r="A288" s="113"/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1:14" x14ac:dyDescent="0.25">
      <c r="A289" s="113"/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1:14" x14ac:dyDescent="0.25">
      <c r="A290" s="113"/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1:14" x14ac:dyDescent="0.25">
      <c r="A291" s="113"/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1:14" x14ac:dyDescent="0.25">
      <c r="A292" s="113"/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1:14" x14ac:dyDescent="0.25">
      <c r="A293" s="113"/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1:14" x14ac:dyDescent="0.25">
      <c r="A294" s="113"/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1:14" x14ac:dyDescent="0.25">
      <c r="A295" s="113"/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1:14" x14ac:dyDescent="0.25">
      <c r="A296" s="113"/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1:14" x14ac:dyDescent="0.25">
      <c r="A297" s="113"/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1:14" x14ac:dyDescent="0.25">
      <c r="A298" s="113"/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1:14" x14ac:dyDescent="0.25">
      <c r="A299" s="113"/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1:14" x14ac:dyDescent="0.25">
      <c r="A300" s="113"/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1:14" x14ac:dyDescent="0.25">
      <c r="A301" s="113"/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1:14" x14ac:dyDescent="0.25">
      <c r="A302" s="113"/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1:14" x14ac:dyDescent="0.25">
      <c r="A303" s="113"/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1:14" x14ac:dyDescent="0.25">
      <c r="A304" s="113"/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1:14" x14ac:dyDescent="0.25">
      <c r="A305" s="113"/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1:14" x14ac:dyDescent="0.25">
      <c r="A306" s="113"/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1:14" x14ac:dyDescent="0.25">
      <c r="A307" s="113"/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1:14" x14ac:dyDescent="0.25">
      <c r="A308" s="113"/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1:14" x14ac:dyDescent="0.25">
      <c r="A309" s="113"/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1:14" x14ac:dyDescent="0.25">
      <c r="A310" s="113"/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1:14" x14ac:dyDescent="0.25">
      <c r="A311" s="113"/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1:14" x14ac:dyDescent="0.25">
      <c r="A312" s="113"/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1:14" x14ac:dyDescent="0.25">
      <c r="A313" s="113"/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1:14" x14ac:dyDescent="0.25">
      <c r="A314" s="113"/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1:14" x14ac:dyDescent="0.25">
      <c r="A315" s="113"/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1:14" x14ac:dyDescent="0.25">
      <c r="A316" s="113"/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1:14" x14ac:dyDescent="0.25">
      <c r="A317" s="113"/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1:14" x14ac:dyDescent="0.25">
      <c r="A318" s="113"/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1:14" x14ac:dyDescent="0.25">
      <c r="A319" s="113"/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1:14" x14ac:dyDescent="0.25">
      <c r="A320" s="113"/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1:14" x14ac:dyDescent="0.25">
      <c r="A321" s="113"/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1:14" x14ac:dyDescent="0.25">
      <c r="A322" s="113"/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1:14" x14ac:dyDescent="0.25">
      <c r="A323" s="113"/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1:14" x14ac:dyDescent="0.25">
      <c r="A324" s="113"/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1:14" x14ac:dyDescent="0.25">
      <c r="A325" s="113"/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1:14" x14ac:dyDescent="0.25">
      <c r="A326" s="113"/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  <row r="327" spans="1:14" x14ac:dyDescent="0.25">
      <c r="A327" s="113"/>
      <c r="B327" s="113"/>
      <c r="C327" s="113"/>
      <c r="D327" s="113"/>
      <c r="E327" s="113"/>
      <c r="F327" s="113"/>
      <c r="G327" s="113"/>
      <c r="H327" s="113"/>
      <c r="I327" s="113"/>
      <c r="J327" s="113"/>
      <c r="K327" s="113"/>
      <c r="L327" s="113"/>
      <c r="M327" s="113"/>
      <c r="N327" s="113"/>
    </row>
    <row r="328" spans="1:14" x14ac:dyDescent="0.25">
      <c r="A328" s="113"/>
      <c r="B328" s="113"/>
      <c r="C328" s="113"/>
      <c r="D328" s="113"/>
      <c r="E328" s="113"/>
      <c r="F328" s="113"/>
      <c r="G328" s="113"/>
      <c r="H328" s="113"/>
      <c r="I328" s="113"/>
      <c r="J328" s="113"/>
      <c r="K328" s="113"/>
      <c r="L328" s="113"/>
      <c r="M328" s="113"/>
      <c r="N328" s="113"/>
    </row>
    <row r="329" spans="1:14" x14ac:dyDescent="0.25">
      <c r="A329" s="113"/>
      <c r="B329" s="113"/>
      <c r="C329" s="113"/>
      <c r="D329" s="113"/>
      <c r="E329" s="113"/>
      <c r="F329" s="113"/>
      <c r="G329" s="113"/>
      <c r="H329" s="113"/>
      <c r="I329" s="113"/>
      <c r="J329" s="113"/>
      <c r="K329" s="113"/>
      <c r="L329" s="113"/>
      <c r="M329" s="113"/>
      <c r="N329" s="113"/>
    </row>
    <row r="330" spans="1:14" x14ac:dyDescent="0.25">
      <c r="A330" s="113"/>
      <c r="B330" s="113"/>
      <c r="C330" s="113"/>
      <c r="D330" s="113"/>
      <c r="E330" s="113"/>
      <c r="F330" s="113"/>
      <c r="G330" s="113"/>
      <c r="H330" s="113"/>
      <c r="I330" s="113"/>
      <c r="J330" s="113"/>
      <c r="K330" s="113"/>
      <c r="L330" s="113"/>
      <c r="M330" s="113"/>
      <c r="N330" s="113"/>
    </row>
    <row r="331" spans="1:14" x14ac:dyDescent="0.25">
      <c r="A331" s="113"/>
      <c r="B331" s="113"/>
      <c r="C331" s="113"/>
      <c r="D331" s="113"/>
      <c r="E331" s="113"/>
      <c r="F331" s="113"/>
      <c r="G331" s="113"/>
      <c r="H331" s="113"/>
      <c r="I331" s="113"/>
      <c r="J331" s="113"/>
      <c r="K331" s="113"/>
      <c r="L331" s="113"/>
      <c r="M331" s="113"/>
      <c r="N331" s="113"/>
    </row>
    <row r="332" spans="1:14" x14ac:dyDescent="0.25">
      <c r="A332" s="113"/>
      <c r="B332" s="113"/>
      <c r="C332" s="113"/>
      <c r="D332" s="113"/>
      <c r="E332" s="113"/>
      <c r="F332" s="113"/>
      <c r="G332" s="113"/>
      <c r="H332" s="113"/>
      <c r="I332" s="113"/>
      <c r="J332" s="113"/>
      <c r="K332" s="113"/>
      <c r="L332" s="113"/>
      <c r="M332" s="113"/>
      <c r="N332" s="113"/>
    </row>
    <row r="333" spans="1:14" x14ac:dyDescent="0.25">
      <c r="A333" s="113"/>
      <c r="B333" s="113"/>
      <c r="C333" s="113"/>
      <c r="D333" s="113"/>
      <c r="E333" s="113"/>
      <c r="F333" s="113"/>
      <c r="G333" s="113"/>
      <c r="H333" s="113"/>
      <c r="I333" s="113"/>
      <c r="J333" s="113"/>
      <c r="K333" s="113"/>
      <c r="L333" s="113"/>
      <c r="M333" s="113"/>
      <c r="N333" s="113"/>
    </row>
    <row r="334" spans="1:14" x14ac:dyDescent="0.25">
      <c r="A334" s="113"/>
      <c r="B334" s="113"/>
      <c r="C334" s="113"/>
      <c r="D334" s="113"/>
      <c r="E334" s="113"/>
      <c r="F334" s="113"/>
      <c r="G334" s="113"/>
      <c r="H334" s="113"/>
      <c r="I334" s="113"/>
      <c r="J334" s="113"/>
      <c r="K334" s="113"/>
      <c r="L334" s="113"/>
      <c r="M334" s="113"/>
      <c r="N334" s="113"/>
    </row>
    <row r="335" spans="1:14" x14ac:dyDescent="0.25">
      <c r="A335" s="113"/>
      <c r="B335" s="113"/>
      <c r="C335" s="113"/>
      <c r="D335" s="113"/>
      <c r="E335" s="113"/>
      <c r="F335" s="113"/>
      <c r="G335" s="113"/>
      <c r="H335" s="113"/>
      <c r="I335" s="113"/>
      <c r="J335" s="113"/>
      <c r="K335" s="113"/>
      <c r="L335" s="113"/>
      <c r="M335" s="113"/>
      <c r="N335" s="113"/>
    </row>
    <row r="336" spans="1:14" x14ac:dyDescent="0.25">
      <c r="A336" s="113"/>
      <c r="B336" s="113"/>
      <c r="C336" s="113"/>
      <c r="D336" s="113"/>
      <c r="E336" s="113"/>
      <c r="F336" s="113"/>
      <c r="G336" s="113"/>
      <c r="H336" s="113"/>
      <c r="I336" s="113"/>
      <c r="J336" s="113"/>
      <c r="K336" s="113"/>
      <c r="L336" s="113"/>
      <c r="M336" s="113"/>
      <c r="N336" s="113"/>
    </row>
    <row r="337" spans="1:14" x14ac:dyDescent="0.25">
      <c r="A337" s="113"/>
      <c r="B337" s="113"/>
      <c r="C337" s="113"/>
      <c r="D337" s="113"/>
      <c r="E337" s="113"/>
      <c r="F337" s="113"/>
      <c r="G337" s="113"/>
      <c r="H337" s="113"/>
      <c r="I337" s="113"/>
      <c r="J337" s="113"/>
      <c r="K337" s="113"/>
      <c r="L337" s="113"/>
      <c r="M337" s="113"/>
      <c r="N337" s="113"/>
    </row>
    <row r="338" spans="1:14" x14ac:dyDescent="0.25">
      <c r="A338" s="113"/>
      <c r="B338" s="113"/>
      <c r="C338" s="113"/>
      <c r="D338" s="113"/>
      <c r="E338" s="113"/>
      <c r="F338" s="113"/>
      <c r="G338" s="113"/>
      <c r="H338" s="113"/>
      <c r="I338" s="113"/>
      <c r="J338" s="113"/>
      <c r="K338" s="113"/>
      <c r="L338" s="113"/>
      <c r="M338" s="113"/>
      <c r="N338" s="113"/>
    </row>
    <row r="339" spans="1:14" x14ac:dyDescent="0.25">
      <c r="A339" s="113"/>
      <c r="B339" s="113"/>
      <c r="C339" s="113"/>
      <c r="D339" s="113"/>
      <c r="E339" s="113"/>
      <c r="F339" s="113"/>
      <c r="G339" s="113"/>
      <c r="H339" s="113"/>
      <c r="I339" s="113"/>
      <c r="J339" s="113"/>
      <c r="K339" s="113"/>
      <c r="L339" s="113"/>
      <c r="M339" s="113"/>
      <c r="N339" s="113"/>
    </row>
    <row r="340" spans="1:14" x14ac:dyDescent="0.25">
      <c r="A340" s="113"/>
      <c r="B340" s="113"/>
      <c r="C340" s="113"/>
      <c r="D340" s="113"/>
      <c r="E340" s="113"/>
      <c r="F340" s="113"/>
      <c r="G340" s="113"/>
      <c r="H340" s="113"/>
      <c r="I340" s="113"/>
      <c r="J340" s="113"/>
      <c r="K340" s="113"/>
      <c r="L340" s="113"/>
      <c r="M340" s="113"/>
      <c r="N340" s="113"/>
    </row>
    <row r="341" spans="1:14" x14ac:dyDescent="0.25">
      <c r="A341" s="113"/>
      <c r="B341" s="113"/>
      <c r="C341" s="113"/>
      <c r="D341" s="113"/>
      <c r="E341" s="113"/>
      <c r="F341" s="113"/>
      <c r="G341" s="113"/>
      <c r="H341" s="113"/>
      <c r="I341" s="113"/>
      <c r="J341" s="113"/>
      <c r="K341" s="113"/>
      <c r="L341" s="113"/>
      <c r="M341" s="113"/>
      <c r="N341" s="113"/>
    </row>
    <row r="342" spans="1:14" x14ac:dyDescent="0.25">
      <c r="A342" s="113"/>
      <c r="B342" s="113"/>
      <c r="C342" s="113"/>
      <c r="D342" s="113"/>
      <c r="E342" s="113"/>
      <c r="F342" s="113"/>
      <c r="G342" s="113"/>
      <c r="H342" s="113"/>
      <c r="I342" s="113"/>
      <c r="J342" s="113"/>
      <c r="K342" s="113"/>
      <c r="L342" s="113"/>
      <c r="M342" s="113"/>
      <c r="N342" s="113"/>
    </row>
    <row r="343" spans="1:14" x14ac:dyDescent="0.25">
      <c r="A343" s="113"/>
      <c r="B343" s="113"/>
      <c r="C343" s="113"/>
      <c r="D343" s="113"/>
      <c r="E343" s="113"/>
      <c r="F343" s="113"/>
      <c r="G343" s="113"/>
      <c r="H343" s="113"/>
      <c r="I343" s="113"/>
      <c r="J343" s="113"/>
      <c r="K343" s="113"/>
      <c r="L343" s="113"/>
      <c r="M343" s="113"/>
      <c r="N343" s="113"/>
    </row>
    <row r="344" spans="1:14" x14ac:dyDescent="0.25">
      <c r="A344" s="113"/>
      <c r="B344" s="113"/>
      <c r="C344" s="113"/>
      <c r="D344" s="113"/>
      <c r="E344" s="113"/>
      <c r="F344" s="113"/>
      <c r="G344" s="113"/>
      <c r="H344" s="113"/>
      <c r="I344" s="113"/>
      <c r="J344" s="113"/>
      <c r="K344" s="113"/>
      <c r="L344" s="113"/>
      <c r="M344" s="113"/>
      <c r="N344" s="113"/>
    </row>
    <row r="345" spans="1:14" x14ac:dyDescent="0.25">
      <c r="A345" s="113"/>
      <c r="B345" s="113"/>
      <c r="C345" s="113"/>
      <c r="D345" s="113"/>
      <c r="E345" s="113"/>
      <c r="F345" s="113"/>
      <c r="G345" s="113"/>
      <c r="H345" s="113"/>
      <c r="I345" s="113"/>
      <c r="J345" s="113"/>
      <c r="K345" s="113"/>
      <c r="L345" s="113"/>
      <c r="M345" s="113"/>
      <c r="N345" s="113"/>
    </row>
    <row r="346" spans="1:14" x14ac:dyDescent="0.25">
      <c r="A346" s="113"/>
      <c r="B346" s="113"/>
      <c r="C346" s="113"/>
      <c r="D346" s="113"/>
      <c r="E346" s="113"/>
      <c r="F346" s="113"/>
      <c r="G346" s="113"/>
      <c r="H346" s="113"/>
      <c r="I346" s="113"/>
      <c r="J346" s="113"/>
      <c r="K346" s="113"/>
      <c r="L346" s="113"/>
      <c r="M346" s="113"/>
      <c r="N346" s="113"/>
    </row>
    <row r="347" spans="1:14" x14ac:dyDescent="0.25">
      <c r="A347" s="113"/>
      <c r="B347" s="113"/>
      <c r="C347" s="113"/>
      <c r="D347" s="113"/>
      <c r="E347" s="113"/>
      <c r="F347" s="113"/>
      <c r="G347" s="113"/>
      <c r="H347" s="113"/>
      <c r="I347" s="113"/>
      <c r="J347" s="113"/>
      <c r="K347" s="113"/>
      <c r="L347" s="113"/>
      <c r="M347" s="113"/>
      <c r="N347" s="113"/>
    </row>
    <row r="348" spans="1:14" x14ac:dyDescent="0.25">
      <c r="A348" s="113"/>
      <c r="B348" s="113"/>
      <c r="C348" s="113"/>
      <c r="D348" s="113"/>
      <c r="E348" s="113"/>
      <c r="F348" s="113"/>
      <c r="G348" s="113"/>
      <c r="H348" s="113"/>
      <c r="I348" s="113"/>
      <c r="J348" s="113"/>
      <c r="K348" s="113"/>
      <c r="L348" s="113"/>
      <c r="M348" s="113"/>
      <c r="N348" s="113"/>
    </row>
    <row r="349" spans="1:14" x14ac:dyDescent="0.25">
      <c r="A349" s="113"/>
      <c r="B349" s="113"/>
      <c r="C349" s="113"/>
      <c r="D349" s="113"/>
      <c r="E349" s="113"/>
      <c r="F349" s="113"/>
      <c r="G349" s="113"/>
      <c r="H349" s="113"/>
      <c r="I349" s="113"/>
      <c r="J349" s="113"/>
      <c r="K349" s="113"/>
      <c r="L349" s="113"/>
      <c r="M349" s="113"/>
      <c r="N349" s="113"/>
    </row>
    <row r="350" spans="1:14" x14ac:dyDescent="0.25">
      <c r="A350" s="113"/>
      <c r="B350" s="113"/>
      <c r="C350" s="113"/>
      <c r="D350" s="113"/>
      <c r="E350" s="113"/>
      <c r="F350" s="113"/>
      <c r="G350" s="113"/>
      <c r="H350" s="113"/>
      <c r="I350" s="113"/>
      <c r="J350" s="113"/>
      <c r="K350" s="113"/>
      <c r="L350" s="113"/>
      <c r="M350" s="113"/>
      <c r="N350" s="113"/>
    </row>
    <row r="351" spans="1:14" x14ac:dyDescent="0.25">
      <c r="A351" s="113"/>
      <c r="B351" s="113"/>
      <c r="C351" s="113"/>
      <c r="D351" s="113"/>
      <c r="E351" s="113"/>
      <c r="F351" s="113"/>
      <c r="G351" s="113"/>
      <c r="H351" s="113"/>
      <c r="I351" s="113"/>
      <c r="J351" s="113"/>
      <c r="K351" s="113"/>
      <c r="L351" s="113"/>
      <c r="M351" s="113"/>
      <c r="N351" s="113"/>
    </row>
    <row r="352" spans="1:14" x14ac:dyDescent="0.25">
      <c r="A352" s="113"/>
      <c r="B352" s="113"/>
      <c r="C352" s="113"/>
      <c r="D352" s="113"/>
      <c r="E352" s="113"/>
      <c r="F352" s="113"/>
      <c r="G352" s="113"/>
      <c r="H352" s="113"/>
      <c r="I352" s="113"/>
      <c r="J352" s="113"/>
      <c r="K352" s="113"/>
      <c r="L352" s="113"/>
      <c r="M352" s="113"/>
      <c r="N352" s="113"/>
    </row>
    <row r="353" spans="1:14" x14ac:dyDescent="0.25">
      <c r="A353" s="113"/>
      <c r="B353" s="113"/>
      <c r="C353" s="113"/>
      <c r="D353" s="113"/>
      <c r="E353" s="113"/>
      <c r="F353" s="113"/>
      <c r="G353" s="113"/>
      <c r="H353" s="113"/>
      <c r="I353" s="113"/>
      <c r="J353" s="113"/>
      <c r="K353" s="113"/>
      <c r="L353" s="113"/>
      <c r="M353" s="113"/>
      <c r="N353" s="113"/>
    </row>
    <row r="354" spans="1:14" x14ac:dyDescent="0.25">
      <c r="A354" s="113"/>
      <c r="B354" s="113"/>
      <c r="C354" s="113"/>
      <c r="D354" s="113"/>
      <c r="E354" s="113"/>
      <c r="F354" s="113"/>
      <c r="G354" s="113"/>
      <c r="H354" s="113"/>
      <c r="I354" s="113"/>
      <c r="J354" s="113"/>
      <c r="K354" s="113"/>
      <c r="L354" s="113"/>
      <c r="M354" s="113"/>
      <c r="N354" s="113"/>
    </row>
    <row r="355" spans="1:14" x14ac:dyDescent="0.25">
      <c r="A355" s="113"/>
      <c r="B355" s="113"/>
      <c r="C355" s="113"/>
      <c r="D355" s="113"/>
      <c r="E355" s="113"/>
      <c r="F355" s="113"/>
      <c r="G355" s="113"/>
      <c r="H355" s="113"/>
      <c r="I355" s="113"/>
      <c r="J355" s="113"/>
      <c r="K355" s="113"/>
      <c r="L355" s="113"/>
      <c r="M355" s="113"/>
      <c r="N355" s="113"/>
    </row>
    <row r="356" spans="1:14" x14ac:dyDescent="0.25">
      <c r="A356" s="113"/>
      <c r="B356" s="113"/>
      <c r="C356" s="113"/>
      <c r="D356" s="113"/>
      <c r="E356" s="113"/>
      <c r="F356" s="113"/>
      <c r="G356" s="113"/>
      <c r="H356" s="113"/>
      <c r="I356" s="113"/>
      <c r="J356" s="113"/>
      <c r="K356" s="113"/>
      <c r="L356" s="113"/>
      <c r="M356" s="113"/>
      <c r="N356" s="113"/>
    </row>
    <row r="357" spans="1:14" x14ac:dyDescent="0.25">
      <c r="A357" s="113"/>
      <c r="B357" s="113"/>
      <c r="C357" s="113"/>
      <c r="D357" s="113"/>
      <c r="E357" s="113"/>
      <c r="F357" s="113"/>
      <c r="G357" s="113"/>
      <c r="H357" s="113"/>
      <c r="I357" s="113"/>
      <c r="J357" s="113"/>
      <c r="K357" s="113"/>
      <c r="L357" s="113"/>
      <c r="M357" s="113"/>
      <c r="N357" s="113"/>
    </row>
    <row r="358" spans="1:14" x14ac:dyDescent="0.25">
      <c r="A358" s="113"/>
      <c r="B358" s="113"/>
      <c r="C358" s="113"/>
      <c r="D358" s="113"/>
      <c r="E358" s="113"/>
      <c r="F358" s="113"/>
      <c r="G358" s="113"/>
      <c r="H358" s="113"/>
      <c r="I358" s="113"/>
      <c r="J358" s="113"/>
      <c r="K358" s="113"/>
      <c r="L358" s="113"/>
      <c r="M358" s="113"/>
      <c r="N358" s="113"/>
    </row>
    <row r="359" spans="1:14" x14ac:dyDescent="0.25">
      <c r="A359" s="113"/>
      <c r="B359" s="113"/>
      <c r="C359" s="113"/>
      <c r="D359" s="113"/>
      <c r="E359" s="113"/>
      <c r="F359" s="113"/>
      <c r="G359" s="113"/>
      <c r="H359" s="113"/>
      <c r="I359" s="113"/>
      <c r="J359" s="113"/>
      <c r="K359" s="113"/>
      <c r="L359" s="113"/>
      <c r="M359" s="113"/>
      <c r="N359" s="113"/>
    </row>
    <row r="360" spans="1:14" x14ac:dyDescent="0.25">
      <c r="A360" s="113"/>
      <c r="B360" s="113"/>
      <c r="C360" s="113"/>
      <c r="D360" s="113"/>
      <c r="E360" s="113"/>
      <c r="F360" s="113"/>
      <c r="G360" s="113"/>
      <c r="H360" s="113"/>
      <c r="I360" s="113"/>
      <c r="J360" s="113"/>
      <c r="K360" s="113"/>
      <c r="L360" s="113"/>
      <c r="M360" s="113"/>
      <c r="N360" s="113"/>
    </row>
    <row r="361" spans="1:14" x14ac:dyDescent="0.25">
      <c r="A361" s="113"/>
      <c r="B361" s="113"/>
      <c r="C361" s="113"/>
      <c r="D361" s="113"/>
      <c r="E361" s="113"/>
      <c r="F361" s="113"/>
      <c r="G361" s="113"/>
      <c r="H361" s="113"/>
      <c r="I361" s="113"/>
      <c r="J361" s="113"/>
      <c r="K361" s="113"/>
      <c r="L361" s="113"/>
      <c r="M361" s="113"/>
      <c r="N361" s="113"/>
    </row>
    <row r="362" spans="1:14" x14ac:dyDescent="0.25">
      <c r="A362" s="113"/>
      <c r="B362" s="113"/>
      <c r="C362" s="113"/>
      <c r="D362" s="113"/>
      <c r="E362" s="113"/>
      <c r="F362" s="113"/>
      <c r="G362" s="113"/>
      <c r="H362" s="113"/>
      <c r="I362" s="113"/>
      <c r="J362" s="113"/>
      <c r="K362" s="113"/>
      <c r="L362" s="113"/>
      <c r="M362" s="113"/>
      <c r="N362" s="113"/>
    </row>
    <row r="363" spans="1:14" x14ac:dyDescent="0.25">
      <c r="A363" s="113"/>
      <c r="B363" s="113"/>
      <c r="C363" s="113"/>
      <c r="D363" s="113"/>
      <c r="E363" s="113"/>
      <c r="F363" s="113"/>
      <c r="G363" s="113"/>
      <c r="H363" s="113"/>
      <c r="I363" s="113"/>
      <c r="J363" s="113"/>
      <c r="K363" s="113"/>
      <c r="L363" s="113"/>
      <c r="M363" s="113"/>
      <c r="N363" s="113"/>
    </row>
    <row r="364" spans="1:14" x14ac:dyDescent="0.25">
      <c r="A364" s="113"/>
      <c r="B364" s="113"/>
      <c r="C364" s="113"/>
      <c r="D364" s="113"/>
      <c r="E364" s="113"/>
      <c r="F364" s="113"/>
      <c r="G364" s="113"/>
      <c r="H364" s="113"/>
      <c r="I364" s="113"/>
      <c r="J364" s="113"/>
      <c r="K364" s="113"/>
      <c r="L364" s="113"/>
      <c r="M364" s="113"/>
      <c r="N364" s="113"/>
    </row>
    <row r="365" spans="1:14" x14ac:dyDescent="0.25">
      <c r="A365" s="113"/>
      <c r="B365" s="113"/>
      <c r="C365" s="113"/>
      <c r="D365" s="113"/>
      <c r="E365" s="113"/>
      <c r="F365" s="113"/>
      <c r="G365" s="113"/>
      <c r="H365" s="113"/>
      <c r="I365" s="113"/>
      <c r="J365" s="113"/>
      <c r="K365" s="113"/>
      <c r="L365" s="113"/>
      <c r="M365" s="113"/>
      <c r="N365" s="113"/>
    </row>
    <row r="366" spans="1:14" x14ac:dyDescent="0.25">
      <c r="A366" s="113"/>
      <c r="B366" s="113"/>
      <c r="C366" s="113"/>
      <c r="D366" s="113"/>
      <c r="E366" s="113"/>
      <c r="F366" s="113"/>
      <c r="G366" s="113"/>
      <c r="H366" s="113"/>
      <c r="I366" s="113"/>
      <c r="J366" s="113"/>
      <c r="K366" s="113"/>
      <c r="L366" s="113"/>
      <c r="M366" s="113"/>
      <c r="N366" s="113"/>
    </row>
    <row r="367" spans="1:14" x14ac:dyDescent="0.25">
      <c r="A367" s="113"/>
      <c r="B367" s="113"/>
      <c r="C367" s="113"/>
      <c r="D367" s="113"/>
      <c r="E367" s="113"/>
      <c r="F367" s="113"/>
      <c r="G367" s="113"/>
      <c r="H367" s="113"/>
      <c r="I367" s="113"/>
      <c r="J367" s="113"/>
      <c r="K367" s="113"/>
      <c r="L367" s="113"/>
      <c r="M367" s="113"/>
      <c r="N367" s="113"/>
    </row>
    <row r="368" spans="1:14" x14ac:dyDescent="0.25">
      <c r="A368" s="113"/>
      <c r="B368" s="113"/>
      <c r="C368" s="113"/>
      <c r="D368" s="113"/>
      <c r="E368" s="113"/>
      <c r="F368" s="113"/>
      <c r="G368" s="113"/>
      <c r="H368" s="113"/>
      <c r="I368" s="113"/>
      <c r="J368" s="113"/>
      <c r="K368" s="113"/>
      <c r="L368" s="113"/>
      <c r="M368" s="113"/>
      <c r="N368" s="113"/>
    </row>
    <row r="369" spans="1:14" x14ac:dyDescent="0.25">
      <c r="A369" s="113"/>
      <c r="B369" s="113"/>
      <c r="C369" s="113"/>
      <c r="D369" s="113"/>
      <c r="E369" s="113"/>
      <c r="F369" s="113"/>
      <c r="G369" s="113"/>
      <c r="H369" s="113"/>
      <c r="I369" s="113"/>
      <c r="J369" s="113"/>
      <c r="K369" s="113"/>
      <c r="L369" s="113"/>
      <c r="M369" s="113"/>
      <c r="N369" s="113"/>
    </row>
    <row r="370" spans="1:14" x14ac:dyDescent="0.25">
      <c r="A370" s="113"/>
      <c r="B370" s="113"/>
      <c r="C370" s="113"/>
      <c r="D370" s="113"/>
      <c r="E370" s="113"/>
      <c r="F370" s="113"/>
      <c r="G370" s="113"/>
      <c r="H370" s="113"/>
      <c r="I370" s="113"/>
      <c r="J370" s="113"/>
      <c r="K370" s="113"/>
      <c r="L370" s="113"/>
      <c r="M370" s="113"/>
      <c r="N370" s="113"/>
    </row>
    <row r="371" spans="1:14" x14ac:dyDescent="0.25">
      <c r="A371" s="113"/>
      <c r="B371" s="113"/>
      <c r="C371" s="113"/>
      <c r="D371" s="113"/>
      <c r="E371" s="113"/>
      <c r="F371" s="113"/>
      <c r="G371" s="113"/>
      <c r="H371" s="113"/>
      <c r="I371" s="113"/>
      <c r="J371" s="113"/>
      <c r="K371" s="113"/>
      <c r="L371" s="113"/>
      <c r="M371" s="113"/>
      <c r="N371" s="113"/>
    </row>
    <row r="372" spans="1:14" x14ac:dyDescent="0.25">
      <c r="A372" s="113"/>
      <c r="B372" s="113"/>
      <c r="C372" s="113"/>
      <c r="D372" s="113"/>
      <c r="E372" s="113"/>
      <c r="F372" s="113"/>
      <c r="G372" s="113"/>
      <c r="H372" s="113"/>
      <c r="I372" s="113"/>
      <c r="J372" s="113"/>
      <c r="K372" s="113"/>
      <c r="L372" s="113"/>
      <c r="M372" s="113"/>
      <c r="N372" s="113"/>
    </row>
  </sheetData>
  <mergeCells count="2">
    <mergeCell ref="B1:C1"/>
    <mergeCell ref="B6:B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arregarVazpast">
                <anchor moveWithCells="1">
                  <from>
                    <xdr:col>1</xdr:col>
                    <xdr:colOff>47625</xdr:colOff>
                    <xdr:row>9</xdr:row>
                    <xdr:rowOff>161925</xdr:rowOff>
                  </from>
                  <to>
                    <xdr:col>1</xdr:col>
                    <xdr:colOff>771525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arregarPrevs">
                <anchor moveWithCells="1" sizeWithCells="1">
                  <from>
                    <xdr:col>2</xdr:col>
                    <xdr:colOff>38100</xdr:colOff>
                    <xdr:row>9</xdr:row>
                    <xdr:rowOff>161925</xdr:rowOff>
                  </from>
                  <to>
                    <xdr:col>3</xdr:col>
                    <xdr:colOff>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CopiarReferencia">
                <anchor moveWithCells="1" sizeWithCells="1">
                  <from>
                    <xdr:col>3</xdr:col>
                    <xdr:colOff>371475</xdr:colOff>
                    <xdr:row>9</xdr:row>
                    <xdr:rowOff>152400</xdr:rowOff>
                  </from>
                  <to>
                    <xdr:col>5</xdr:col>
                    <xdr:colOff>371475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-0.499984740745262"/>
  </sheetPr>
  <dimension ref="A1:AA372"/>
  <sheetViews>
    <sheetView topLeftCell="A2" zoomScale="85" zoomScaleNormal="85" workbookViewId="0">
      <selection activeCell="A2" sqref="A2"/>
    </sheetView>
  </sheetViews>
  <sheetFormatPr defaultRowHeight="15" zeroHeight="1" x14ac:dyDescent="0.25"/>
  <cols>
    <col min="1" max="1" width="9.140625" style="46"/>
    <col min="2" max="2" width="18.140625" style="26" customWidth="1"/>
    <col min="3" max="3" width="12.5703125" style="46" customWidth="1"/>
    <col min="4" max="14" width="10.7109375" style="46" customWidth="1"/>
    <col min="15" max="22" width="9.140625" style="46"/>
    <col min="23" max="23" width="15.42578125" style="46" bestFit="1" customWidth="1"/>
    <col min="24" max="24" width="15.85546875" style="46" bestFit="1" customWidth="1"/>
    <col min="25" max="16384" width="9.140625" style="46"/>
  </cols>
  <sheetData>
    <row r="1" spans="2:27" x14ac:dyDescent="0.25">
      <c r="B1" s="228"/>
      <c r="C1" s="228"/>
    </row>
    <row r="2" spans="2:27" x14ac:dyDescent="0.25">
      <c r="B2" s="46"/>
      <c r="C2" s="134"/>
    </row>
    <row r="3" spans="2:27" customFormat="1" x14ac:dyDescent="0.25"/>
    <row r="4" spans="2:27" ht="18.75" customHeight="1" x14ac:dyDescent="0.25">
      <c r="B4" s="134"/>
      <c r="C4" s="60"/>
      <c r="D4" s="60"/>
      <c r="E4" s="60"/>
      <c r="F4" s="60"/>
      <c r="G4" s="60"/>
      <c r="H4" s="126"/>
      <c r="I4" s="60"/>
    </row>
    <row r="5" spans="2:27" s="60" customFormat="1" ht="18" customHeight="1" thickBot="1" x14ac:dyDescent="0.3">
      <c r="B5" s="113"/>
      <c r="C5" s="136" t="s">
        <v>518</v>
      </c>
      <c r="D5" s="136" t="s">
        <v>519</v>
      </c>
      <c r="E5" s="136" t="s">
        <v>520</v>
      </c>
      <c r="F5" s="136" t="s">
        <v>521</v>
      </c>
      <c r="G5" s="136" t="s">
        <v>522</v>
      </c>
      <c r="H5" s="136" t="s">
        <v>523</v>
      </c>
      <c r="I5" s="136" t="s">
        <v>524</v>
      </c>
      <c r="J5" s="136" t="s">
        <v>525</v>
      </c>
      <c r="K5" s="136" t="s">
        <v>526</v>
      </c>
      <c r="L5" s="136" t="s">
        <v>527</v>
      </c>
      <c r="M5" s="136" t="s">
        <v>528</v>
      </c>
      <c r="N5" s="136" t="s">
        <v>529</v>
      </c>
      <c r="P5" s="60" t="s">
        <v>698</v>
      </c>
    </row>
    <row r="6" spans="2:27" s="60" customFormat="1" x14ac:dyDescent="0.25">
      <c r="B6" s="314" t="s">
        <v>504</v>
      </c>
      <c r="C6" s="294">
        <f ca="1">MemMlt!D168</f>
        <v>55969.998000000014</v>
      </c>
      <c r="D6" s="294">
        <f ca="1">MemMlt!E168</f>
        <v>58559.566199999994</v>
      </c>
      <c r="E6" s="294">
        <f ca="1">MemMlt!F168</f>
        <v>54678.837100000012</v>
      </c>
      <c r="F6" s="294">
        <f ca="1">MemMlt!G168</f>
        <v>41444.549099999989</v>
      </c>
      <c r="G6" s="294">
        <f ca="1">MemMlt!H168</f>
        <v>29905.362999999998</v>
      </c>
      <c r="H6" s="294">
        <f ca="1">MemMlt!I168</f>
        <v>25533.5946</v>
      </c>
      <c r="I6" s="294">
        <f ca="1">MemMlt!J168</f>
        <v>21182.232399999994</v>
      </c>
      <c r="J6" s="294">
        <f ca="1">MemMlt!K168</f>
        <v>17684.899400000002</v>
      </c>
      <c r="K6" s="294">
        <f ca="1">MemMlt!L168</f>
        <v>17543.204699999995</v>
      </c>
      <c r="L6" s="294">
        <f ca="1">MemMlt!M168</f>
        <v>21105.841300000007</v>
      </c>
      <c r="M6" s="294">
        <f ca="1">MemMlt!N168</f>
        <v>26987.522399999994</v>
      </c>
      <c r="N6" s="294">
        <f ca="1">MemMlt!O168</f>
        <v>40922.817500000005</v>
      </c>
      <c r="P6" s="312">
        <f ca="1">C15/C6</f>
        <v>1</v>
      </c>
      <c r="Q6" s="312">
        <f t="shared" ref="Q6:AA6" ca="1" si="0">D15/D6</f>
        <v>1</v>
      </c>
      <c r="R6" s="312">
        <f t="shared" ca="1" si="0"/>
        <v>1</v>
      </c>
      <c r="S6" s="312">
        <f t="shared" ca="1" si="0"/>
        <v>1</v>
      </c>
      <c r="T6" s="312">
        <f t="shared" ca="1" si="0"/>
        <v>1</v>
      </c>
      <c r="U6" s="312">
        <f t="shared" ca="1" si="0"/>
        <v>1</v>
      </c>
      <c r="V6" s="312">
        <f t="shared" ca="1" si="0"/>
        <v>1</v>
      </c>
      <c r="W6" s="312">
        <f t="shared" ca="1" si="0"/>
        <v>1</v>
      </c>
      <c r="X6" s="312">
        <f t="shared" ca="1" si="0"/>
        <v>1</v>
      </c>
      <c r="Y6" s="312">
        <f t="shared" ca="1" si="0"/>
        <v>1</v>
      </c>
      <c r="Z6" s="312">
        <f t="shared" ca="1" si="0"/>
        <v>1</v>
      </c>
      <c r="AA6" s="312">
        <f t="shared" ca="1" si="0"/>
        <v>1</v>
      </c>
    </row>
    <row r="7" spans="2:27" s="60" customFormat="1" x14ac:dyDescent="0.25">
      <c r="B7" s="315"/>
      <c r="C7" s="295">
        <f ca="1">MemMlt!D225</f>
        <v>7270.8217999999997</v>
      </c>
      <c r="D7" s="295">
        <f ca="1">MemMlt!E225</f>
        <v>8348.9972999999991</v>
      </c>
      <c r="E7" s="295">
        <f ca="1">MemMlt!F225</f>
        <v>6999.5530000000008</v>
      </c>
      <c r="F7" s="295">
        <f ca="1">MemMlt!G225</f>
        <v>6584.4034999999994</v>
      </c>
      <c r="G7" s="295">
        <f ca="1">MemMlt!H225</f>
        <v>8561.4878000000008</v>
      </c>
      <c r="H7" s="295">
        <f ca="1">MemMlt!I225</f>
        <v>9931.4465000000018</v>
      </c>
      <c r="I7" s="295">
        <f ca="1">MemMlt!J225</f>
        <v>10917.3685</v>
      </c>
      <c r="J7" s="295">
        <f ca="1">MemMlt!K225</f>
        <v>10323.0345</v>
      </c>
      <c r="K7" s="295">
        <f ca="1">MemMlt!L225</f>
        <v>11997.3441</v>
      </c>
      <c r="L7" s="295">
        <f ca="1">MemMlt!M225</f>
        <v>13254.0923</v>
      </c>
      <c r="M7" s="295">
        <f ca="1">MemMlt!N225</f>
        <v>9357.5785999999989</v>
      </c>
      <c r="N7" s="295">
        <f ca="1">MemMlt!O225</f>
        <v>7381.5131000000001</v>
      </c>
      <c r="P7" s="312">
        <f t="shared" ref="P7:AA7" ca="1" si="1">C16/C7</f>
        <v>1</v>
      </c>
      <c r="Q7" s="312">
        <f t="shared" ca="1" si="1"/>
        <v>1</v>
      </c>
      <c r="R7" s="312">
        <f t="shared" ca="1" si="1"/>
        <v>1</v>
      </c>
      <c r="S7" s="312">
        <f t="shared" ca="1" si="1"/>
        <v>1</v>
      </c>
      <c r="T7" s="312">
        <f t="shared" ca="1" si="1"/>
        <v>1</v>
      </c>
      <c r="U7" s="312">
        <f t="shared" ca="1" si="1"/>
        <v>1</v>
      </c>
      <c r="V7" s="312">
        <f t="shared" ca="1" si="1"/>
        <v>1</v>
      </c>
      <c r="W7" s="312">
        <f t="shared" ca="1" si="1"/>
        <v>1</v>
      </c>
      <c r="X7" s="312">
        <f t="shared" ca="1" si="1"/>
        <v>1</v>
      </c>
      <c r="Y7" s="312">
        <f t="shared" ca="1" si="1"/>
        <v>1</v>
      </c>
      <c r="Z7" s="312">
        <f t="shared" ca="1" si="1"/>
        <v>1</v>
      </c>
      <c r="AA7" s="312">
        <f t="shared" ca="1" si="1"/>
        <v>1</v>
      </c>
    </row>
    <row r="8" spans="2:27" s="60" customFormat="1" x14ac:dyDescent="0.25">
      <c r="B8" s="315"/>
      <c r="C8" s="295">
        <f ca="1">MemMlt!D252</f>
        <v>14160.132399999999</v>
      </c>
      <c r="D8" s="295">
        <f ca="1">MemMlt!E252</f>
        <v>14892.4866</v>
      </c>
      <c r="E8" s="295">
        <f ca="1">MemMlt!F252</f>
        <v>14829.474099999998</v>
      </c>
      <c r="F8" s="295">
        <f ca="1">MemMlt!G252</f>
        <v>12073.456300000002</v>
      </c>
      <c r="G8" s="295">
        <f ca="1">MemMlt!H252</f>
        <v>7313.483400000001</v>
      </c>
      <c r="H8" s="295">
        <f ca="1">MemMlt!I252</f>
        <v>4824.5924000000014</v>
      </c>
      <c r="I8" s="295">
        <f ca="1">MemMlt!J252</f>
        <v>3973.5953999999997</v>
      </c>
      <c r="J8" s="295">
        <f ca="1">MemMlt!K252</f>
        <v>3461.5191</v>
      </c>
      <c r="K8" s="295">
        <f ca="1">MemMlt!L252</f>
        <v>3095.0844999999999</v>
      </c>
      <c r="L8" s="295">
        <f ca="1">MemMlt!M252</f>
        <v>3392.4041999999999</v>
      </c>
      <c r="M8" s="295">
        <f ca="1">MemMlt!N252</f>
        <v>5552.6243000000004</v>
      </c>
      <c r="N8" s="295">
        <f ca="1">MemMlt!O252</f>
        <v>10210.5905</v>
      </c>
      <c r="P8" s="312">
        <f t="shared" ref="P8:AA8" ca="1" si="2">C17/C8</f>
        <v>1</v>
      </c>
      <c r="Q8" s="312">
        <f t="shared" ca="1" si="2"/>
        <v>1</v>
      </c>
      <c r="R8" s="312">
        <f t="shared" ca="1" si="2"/>
        <v>1</v>
      </c>
      <c r="S8" s="312">
        <f t="shared" ca="1" si="2"/>
        <v>1</v>
      </c>
      <c r="T8" s="312">
        <f t="shared" ca="1" si="2"/>
        <v>1</v>
      </c>
      <c r="U8" s="312">
        <f t="shared" ca="1" si="2"/>
        <v>1</v>
      </c>
      <c r="V8" s="312">
        <f t="shared" ca="1" si="2"/>
        <v>1</v>
      </c>
      <c r="W8" s="312">
        <f t="shared" ca="1" si="2"/>
        <v>1</v>
      </c>
      <c r="X8" s="312">
        <f t="shared" ca="1" si="2"/>
        <v>1</v>
      </c>
      <c r="Y8" s="312">
        <f t="shared" ca="1" si="2"/>
        <v>1</v>
      </c>
      <c r="Z8" s="312">
        <f t="shared" ca="1" si="2"/>
        <v>1</v>
      </c>
      <c r="AA8" s="312">
        <f t="shared" ca="1" si="2"/>
        <v>1</v>
      </c>
    </row>
    <row r="9" spans="2:27" s="60" customFormat="1" ht="15.75" thickBot="1" x14ac:dyDescent="0.3">
      <c r="B9" s="316"/>
      <c r="C9" s="296">
        <f ca="1">MemMlt!D275</f>
        <v>10037.978899999998</v>
      </c>
      <c r="D9" s="296">
        <f ca="1">MemMlt!E275</f>
        <v>13475.824000000001</v>
      </c>
      <c r="E9" s="296">
        <f ca="1">MemMlt!F275</f>
        <v>15677.231500000002</v>
      </c>
      <c r="F9" s="296">
        <f ca="1">MemMlt!G275</f>
        <v>15615.0532</v>
      </c>
      <c r="G9" s="296">
        <f ca="1">MemMlt!H275</f>
        <v>10498.321900000003</v>
      </c>
      <c r="H9" s="296">
        <f ca="1">MemMlt!I275</f>
        <v>5478.1198000000004</v>
      </c>
      <c r="I9" s="296">
        <f ca="1">MemMlt!J275</f>
        <v>3334.5636999999997</v>
      </c>
      <c r="J9" s="296">
        <f ca="1">MemMlt!K275</f>
        <v>2337.0961000000002</v>
      </c>
      <c r="K9" s="296">
        <f ca="1">MemMlt!L275</f>
        <v>1807.1817000000001</v>
      </c>
      <c r="L9" s="296">
        <f ca="1">MemMlt!M275</f>
        <v>1932.0153</v>
      </c>
      <c r="M9" s="296">
        <f ca="1">MemMlt!N275</f>
        <v>3065.3700000000008</v>
      </c>
      <c r="N9" s="296">
        <f ca="1">MemMlt!O275</f>
        <v>5855.4626000000007</v>
      </c>
      <c r="P9" s="312">
        <f t="shared" ref="P9:AA9" ca="1" si="3">C18/C9</f>
        <v>1</v>
      </c>
      <c r="Q9" s="312">
        <f t="shared" ca="1" si="3"/>
        <v>1</v>
      </c>
      <c r="R9" s="312">
        <f t="shared" ca="1" si="3"/>
        <v>1</v>
      </c>
      <c r="S9" s="312">
        <f t="shared" ca="1" si="3"/>
        <v>1</v>
      </c>
      <c r="T9" s="312">
        <f t="shared" ca="1" si="3"/>
        <v>1</v>
      </c>
      <c r="U9" s="312">
        <f t="shared" ca="1" si="3"/>
        <v>1</v>
      </c>
      <c r="V9" s="312">
        <f t="shared" ca="1" si="3"/>
        <v>1</v>
      </c>
      <c r="W9" s="312">
        <f t="shared" ca="1" si="3"/>
        <v>1</v>
      </c>
      <c r="X9" s="312">
        <f t="shared" ca="1" si="3"/>
        <v>1</v>
      </c>
      <c r="Y9" s="312">
        <f t="shared" ca="1" si="3"/>
        <v>1</v>
      </c>
      <c r="Z9" s="312">
        <f t="shared" ca="1" si="3"/>
        <v>1</v>
      </c>
      <c r="AA9" s="312">
        <f t="shared" ca="1" si="3"/>
        <v>1</v>
      </c>
    </row>
    <row r="10" spans="2:27" s="60" customFormat="1" x14ac:dyDescent="0.25">
      <c r="B10" s="27"/>
    </row>
    <row r="11" spans="2:27" ht="15.75" thickBot="1" x14ac:dyDescent="0.3">
      <c r="C11" s="161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</row>
    <row r="12" spans="2:27" x14ac:dyDescent="0.25">
      <c r="B12" s="303" t="s">
        <v>273</v>
      </c>
      <c r="C12" s="317" t="s">
        <v>796</v>
      </c>
      <c r="D12" s="318"/>
      <c r="E12" s="318"/>
      <c r="F12" s="318"/>
      <c r="G12" s="318"/>
      <c r="H12" s="318"/>
      <c r="I12" s="318"/>
      <c r="J12" s="318"/>
      <c r="K12" s="318"/>
      <c r="L12" s="318"/>
      <c r="M12" s="318"/>
      <c r="N12" s="319"/>
      <c r="O12" s="60"/>
      <c r="P12"/>
      <c r="Q12"/>
      <c r="R12" s="60"/>
      <c r="S12" s="60"/>
      <c r="T12" s="60"/>
      <c r="U12" s="60"/>
    </row>
    <row r="13" spans="2:27" ht="16.5" thickBot="1" x14ac:dyDescent="0.3">
      <c r="B13" s="304" t="s">
        <v>517</v>
      </c>
      <c r="C13" s="308" t="s">
        <v>703</v>
      </c>
      <c r="D13" s="309" t="s">
        <v>703</v>
      </c>
      <c r="E13" s="309" t="s">
        <v>703</v>
      </c>
      <c r="F13" s="309" t="s">
        <v>703</v>
      </c>
      <c r="G13" s="309" t="s">
        <v>703</v>
      </c>
      <c r="H13" s="309" t="s">
        <v>703</v>
      </c>
      <c r="I13" s="309" t="s">
        <v>703</v>
      </c>
      <c r="J13" s="310" t="s">
        <v>703</v>
      </c>
      <c r="K13" s="310" t="s">
        <v>703</v>
      </c>
      <c r="L13" s="309" t="s">
        <v>703</v>
      </c>
      <c r="M13" s="309" t="s">
        <v>703</v>
      </c>
      <c r="N13" s="311" t="s">
        <v>703</v>
      </c>
      <c r="O13" s="60"/>
      <c r="P13"/>
      <c r="Q13"/>
      <c r="R13" s="60"/>
      <c r="S13" s="60"/>
      <c r="T13" s="60"/>
      <c r="U13" s="60"/>
    </row>
    <row r="14" spans="2:27" ht="15.75" thickBot="1" x14ac:dyDescent="0.3">
      <c r="C14" s="305" t="s">
        <v>518</v>
      </c>
      <c r="D14" s="306" t="s">
        <v>519</v>
      </c>
      <c r="E14" s="306" t="s">
        <v>520</v>
      </c>
      <c r="F14" s="306" t="s">
        <v>521</v>
      </c>
      <c r="G14" s="306" t="s">
        <v>522</v>
      </c>
      <c r="H14" s="306" t="s">
        <v>523</v>
      </c>
      <c r="I14" s="306" t="s">
        <v>524</v>
      </c>
      <c r="J14" s="306" t="s">
        <v>525</v>
      </c>
      <c r="K14" s="306" t="s">
        <v>526</v>
      </c>
      <c r="L14" s="306" t="s">
        <v>527</v>
      </c>
      <c r="M14" s="306" t="s">
        <v>528</v>
      </c>
      <c r="N14" s="307" t="s">
        <v>529</v>
      </c>
      <c r="O14" s="60"/>
      <c r="P14" s="149" t="s">
        <v>518</v>
      </c>
      <c r="Q14" s="150" t="s">
        <v>519</v>
      </c>
      <c r="R14" s="150" t="s">
        <v>520</v>
      </c>
      <c r="S14" s="150" t="s">
        <v>521</v>
      </c>
      <c r="T14" s="150" t="s">
        <v>522</v>
      </c>
      <c r="U14" s="150" t="s">
        <v>523</v>
      </c>
      <c r="V14" s="150" t="s">
        <v>524</v>
      </c>
      <c r="W14" s="150" t="s">
        <v>525</v>
      </c>
      <c r="X14" s="150" t="s">
        <v>526</v>
      </c>
      <c r="Y14" s="150" t="s">
        <v>527</v>
      </c>
      <c r="Z14" s="150" t="s">
        <v>528</v>
      </c>
      <c r="AA14" s="151" t="s">
        <v>529</v>
      </c>
    </row>
    <row r="15" spans="2:27" x14ac:dyDescent="0.25">
      <c r="B15" s="120" t="s">
        <v>502</v>
      </c>
      <c r="C15" s="162">
        <f ca="1">MemCen1!D168</f>
        <v>55969.998000000014</v>
      </c>
      <c r="D15" s="162">
        <f ca="1">MemCen1!E168</f>
        <v>58559.566199999994</v>
      </c>
      <c r="E15" s="162">
        <f ca="1">MemCen1!F168</f>
        <v>54678.837100000012</v>
      </c>
      <c r="F15" s="162">
        <f ca="1">MemCen1!G168</f>
        <v>41444.549099999989</v>
      </c>
      <c r="G15" s="162">
        <f ca="1">MemCen1!H168</f>
        <v>29905.362999999998</v>
      </c>
      <c r="H15" s="162">
        <f ca="1">MemCen1!I168</f>
        <v>25533.5946</v>
      </c>
      <c r="I15" s="162">
        <f ca="1">MemCen1!J168</f>
        <v>21182.232399999994</v>
      </c>
      <c r="J15" s="162">
        <f ca="1">MemCen1!K168</f>
        <v>17684.899400000002</v>
      </c>
      <c r="K15" s="162">
        <f ca="1">MemCen1!L168</f>
        <v>17543.204699999995</v>
      </c>
      <c r="L15" s="162">
        <f ca="1">MemCen1!M168</f>
        <v>21105.841300000007</v>
      </c>
      <c r="M15" s="162">
        <f ca="1">MemCen1!N168</f>
        <v>26987.522399999994</v>
      </c>
      <c r="N15" s="163">
        <f ca="1">MemCen1!O168</f>
        <v>40922.817500000005</v>
      </c>
      <c r="O15" s="60"/>
      <c r="P15" s="256">
        <v>1</v>
      </c>
      <c r="Q15" s="257">
        <v>1</v>
      </c>
      <c r="R15" s="257">
        <v>1</v>
      </c>
      <c r="S15" s="257">
        <v>1</v>
      </c>
      <c r="T15" s="257">
        <v>1</v>
      </c>
      <c r="U15" s="257">
        <v>1</v>
      </c>
      <c r="V15" s="257">
        <v>1</v>
      </c>
      <c r="W15" s="297">
        <v>1</v>
      </c>
      <c r="X15" s="297">
        <v>1</v>
      </c>
      <c r="Y15" s="257">
        <v>1</v>
      </c>
      <c r="Z15" s="257">
        <v>1</v>
      </c>
      <c r="AA15" s="258">
        <v>1</v>
      </c>
    </row>
    <row r="16" spans="2:27" x14ac:dyDescent="0.25">
      <c r="B16" s="121" t="s">
        <v>499</v>
      </c>
      <c r="C16" s="164">
        <f ca="1">MemCen1!D225</f>
        <v>7270.8217999999997</v>
      </c>
      <c r="D16" s="165">
        <f ca="1">MemCen1!E225</f>
        <v>8348.9972999999991</v>
      </c>
      <c r="E16" s="165">
        <f ca="1">MemCen1!F225</f>
        <v>6999.5530000000008</v>
      </c>
      <c r="F16" s="165">
        <f ca="1">MemCen1!G225</f>
        <v>6584.4034999999994</v>
      </c>
      <c r="G16" s="165">
        <f ca="1">MemCen1!H225</f>
        <v>8561.4878000000008</v>
      </c>
      <c r="H16" s="165">
        <f ca="1">MemCen1!I225</f>
        <v>9931.4465000000018</v>
      </c>
      <c r="I16" s="165">
        <f ca="1">MemCen1!J225</f>
        <v>10917.3685</v>
      </c>
      <c r="J16" s="165">
        <f ca="1">MemCen1!K225</f>
        <v>10323.0345</v>
      </c>
      <c r="K16" s="165">
        <f ca="1">MemCen1!L225</f>
        <v>11997.3441</v>
      </c>
      <c r="L16" s="165">
        <f ca="1">MemCen1!M225</f>
        <v>13254.0923</v>
      </c>
      <c r="M16" s="165">
        <f ca="1">MemCen1!N225</f>
        <v>9357.5785999999989</v>
      </c>
      <c r="N16" s="166">
        <f ca="1">MemCen1!O225</f>
        <v>7381.5131000000001</v>
      </c>
      <c r="O16" s="60"/>
      <c r="P16" s="259">
        <v>1</v>
      </c>
      <c r="Q16" s="260">
        <v>1</v>
      </c>
      <c r="R16" s="260">
        <v>1</v>
      </c>
      <c r="S16" s="260">
        <v>1</v>
      </c>
      <c r="T16" s="260">
        <v>1</v>
      </c>
      <c r="U16" s="260">
        <v>1</v>
      </c>
      <c r="V16" s="260">
        <v>1</v>
      </c>
      <c r="W16" s="298">
        <v>1</v>
      </c>
      <c r="X16" s="298">
        <v>1</v>
      </c>
      <c r="Y16" s="260">
        <v>1</v>
      </c>
      <c r="Z16" s="260">
        <v>1</v>
      </c>
      <c r="AA16" s="261">
        <v>1</v>
      </c>
    </row>
    <row r="17" spans="2:27" x14ac:dyDescent="0.25">
      <c r="B17" s="122" t="s">
        <v>500</v>
      </c>
      <c r="C17" s="164">
        <f ca="1">MemCen1!D252</f>
        <v>14160.132399999999</v>
      </c>
      <c r="D17" s="165">
        <f ca="1">MemCen1!E252</f>
        <v>14892.4866</v>
      </c>
      <c r="E17" s="165">
        <f ca="1">MemCen1!F252</f>
        <v>14829.474099999998</v>
      </c>
      <c r="F17" s="165">
        <f ca="1">MemCen1!G252</f>
        <v>12073.456300000002</v>
      </c>
      <c r="G17" s="165">
        <f ca="1">MemCen1!H252</f>
        <v>7313.483400000001</v>
      </c>
      <c r="H17" s="165">
        <f ca="1">MemCen1!I252</f>
        <v>4824.5924000000014</v>
      </c>
      <c r="I17" s="165">
        <f ca="1">MemCen1!J252</f>
        <v>3973.5953999999997</v>
      </c>
      <c r="J17" s="165">
        <f ca="1">MemCen1!K252</f>
        <v>3461.5191</v>
      </c>
      <c r="K17" s="165">
        <f ca="1">MemCen1!L252</f>
        <v>3095.0844999999999</v>
      </c>
      <c r="L17" s="165">
        <f ca="1">MemCen1!M252</f>
        <v>3392.4041999999999</v>
      </c>
      <c r="M17" s="165">
        <f ca="1">MemCen1!N252</f>
        <v>5552.6243000000004</v>
      </c>
      <c r="N17" s="166">
        <f ca="1">MemCen1!O252</f>
        <v>10210.5905</v>
      </c>
      <c r="O17" s="60"/>
      <c r="P17" s="259">
        <v>0.55000000000000004</v>
      </c>
      <c r="Q17" s="260">
        <v>0.55000000000000004</v>
      </c>
      <c r="R17" s="260">
        <v>0.55000000000000004</v>
      </c>
      <c r="S17" s="260">
        <v>0.55000000000000004</v>
      </c>
      <c r="T17" s="260">
        <v>0.55000000000000004</v>
      </c>
      <c r="U17" s="260">
        <v>0.55000000000000004</v>
      </c>
      <c r="V17" s="260">
        <v>0.55000000000000004</v>
      </c>
      <c r="W17" s="298">
        <v>0.55000000000000004</v>
      </c>
      <c r="X17" s="298">
        <v>0.55000000000000004</v>
      </c>
      <c r="Y17" s="260">
        <v>0.55000000000000004</v>
      </c>
      <c r="Z17" s="260">
        <v>0.55000000000000004</v>
      </c>
      <c r="AA17" s="261">
        <v>0.55000000000000004</v>
      </c>
    </row>
    <row r="18" spans="2:27" ht="15.75" thickBot="1" x14ac:dyDescent="0.3">
      <c r="B18" s="123" t="s">
        <v>501</v>
      </c>
      <c r="C18" s="167">
        <f ca="1">MemCen1!D275</f>
        <v>10037.978899999998</v>
      </c>
      <c r="D18" s="168">
        <f ca="1">MemCen1!E275</f>
        <v>13475.824000000001</v>
      </c>
      <c r="E18" s="168">
        <f ca="1">MemCen1!F275</f>
        <v>15677.231500000002</v>
      </c>
      <c r="F18" s="168">
        <f ca="1">MemCen1!G275</f>
        <v>15615.0532</v>
      </c>
      <c r="G18" s="168">
        <f ca="1">MemCen1!H275</f>
        <v>10498.321900000003</v>
      </c>
      <c r="H18" s="168">
        <f ca="1">MemCen1!I275</f>
        <v>5478.1198000000004</v>
      </c>
      <c r="I18" s="168">
        <f ca="1">MemCen1!J275</f>
        <v>3334.5636999999997</v>
      </c>
      <c r="J18" s="168">
        <f ca="1">MemCen1!K275</f>
        <v>2337.0961000000002</v>
      </c>
      <c r="K18" s="168">
        <f ca="1">MemCen1!L275</f>
        <v>1807.1817000000001</v>
      </c>
      <c r="L18" s="168">
        <f ca="1">MemCen1!M275</f>
        <v>1932.0153</v>
      </c>
      <c r="M18" s="168">
        <f ca="1">MemCen1!N275</f>
        <v>3065.3700000000008</v>
      </c>
      <c r="N18" s="169">
        <f ca="1">MemCen1!O275</f>
        <v>5855.4626000000007</v>
      </c>
      <c r="O18" s="60"/>
      <c r="P18" s="262">
        <v>0.9</v>
      </c>
      <c r="Q18" s="263">
        <v>0.9</v>
      </c>
      <c r="R18" s="263">
        <v>0.9</v>
      </c>
      <c r="S18" s="263">
        <v>0.9</v>
      </c>
      <c r="T18" s="263">
        <v>0.9</v>
      </c>
      <c r="U18" s="263">
        <v>0.9</v>
      </c>
      <c r="V18" s="263">
        <v>0.9</v>
      </c>
      <c r="W18" s="299">
        <v>0.9</v>
      </c>
      <c r="X18" s="299">
        <v>0.9</v>
      </c>
      <c r="Y18" s="263">
        <v>0.9</v>
      </c>
      <c r="Z18" s="263">
        <v>0.9</v>
      </c>
      <c r="AA18" s="264">
        <v>0.9</v>
      </c>
    </row>
    <row r="19" spans="2:27" x14ac:dyDescent="0.25">
      <c r="B19" s="120" t="s">
        <v>2</v>
      </c>
      <c r="C19" s="170">
        <f ca="1">MemCen1!D22</f>
        <v>9305.5499000000018</v>
      </c>
      <c r="D19" s="171">
        <f ca="1">MemCen1!E22</f>
        <v>9082.3019999999997</v>
      </c>
      <c r="E19" s="171">
        <f ca="1">MemCen1!F22</f>
        <v>8110.9993999999997</v>
      </c>
      <c r="F19" s="171">
        <f ca="1">MemCen1!G22</f>
        <v>5717.4046000000008</v>
      </c>
      <c r="G19" s="171">
        <f ca="1">MemCen1!H22</f>
        <v>4126.9616999999998</v>
      </c>
      <c r="H19" s="171">
        <f ca="1">MemCen1!I22</f>
        <v>3433.1162999999997</v>
      </c>
      <c r="I19" s="171">
        <f ca="1">MemCen1!J22</f>
        <v>2813.4535999999994</v>
      </c>
      <c r="J19" s="171">
        <f ca="1">MemCen1!K22</f>
        <v>2324.7512999999994</v>
      </c>
      <c r="K19" s="171">
        <f ca="1">MemCen1!L22</f>
        <v>2353.0582999999997</v>
      </c>
      <c r="L19" s="171">
        <f ca="1">MemCen1!M22</f>
        <v>2752.1955000000003</v>
      </c>
      <c r="M19" s="171">
        <f ca="1">MemCen1!N22</f>
        <v>3766.5231999999996</v>
      </c>
      <c r="N19" s="172">
        <f ca="1">MemCen1!O22</f>
        <v>6350.6214999999993</v>
      </c>
      <c r="O19" s="60"/>
      <c r="P19" s="265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7"/>
    </row>
    <row r="20" spans="2:27" x14ac:dyDescent="0.25">
      <c r="B20" s="124" t="s">
        <v>3</v>
      </c>
      <c r="C20" s="173">
        <f ca="1">MemCen1!D45</f>
        <v>9172.9087</v>
      </c>
      <c r="D20" s="174">
        <f ca="1">MemCen1!E45</f>
        <v>9501.5702000000001</v>
      </c>
      <c r="E20" s="174">
        <f ca="1">MemCen1!F45</f>
        <v>9266.0079000000005</v>
      </c>
      <c r="F20" s="174">
        <f ca="1">MemCen1!G45</f>
        <v>7013.097600000001</v>
      </c>
      <c r="G20" s="174">
        <f ca="1">MemCen1!H45</f>
        <v>4607.5847000000003</v>
      </c>
      <c r="H20" s="174">
        <f ca="1">MemCen1!I45</f>
        <v>3585.8961000000004</v>
      </c>
      <c r="I20" s="174">
        <f ca="1">MemCen1!J45</f>
        <v>2895.9571000000001</v>
      </c>
      <c r="J20" s="174">
        <f ca="1">MemCen1!K45</f>
        <v>2361.6932999999999</v>
      </c>
      <c r="K20" s="174">
        <f ca="1">MemCen1!L45</f>
        <v>2141.7345</v>
      </c>
      <c r="L20" s="174">
        <f ca="1">MemCen1!M45</f>
        <v>2582.1788000000001</v>
      </c>
      <c r="M20" s="174">
        <f ca="1">MemCen1!N45</f>
        <v>3969.9098999999997</v>
      </c>
      <c r="N20" s="175">
        <f ca="1">MemCen1!O45</f>
        <v>6683.1997999999994</v>
      </c>
      <c r="O20" s="60"/>
      <c r="P20" s="268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70"/>
    </row>
    <row r="21" spans="2:27" x14ac:dyDescent="0.25">
      <c r="B21" s="124" t="s">
        <v>9</v>
      </c>
      <c r="C21" s="173">
        <f ca="1">MemCen1!D50</f>
        <v>361.83679999999998</v>
      </c>
      <c r="D21" s="174">
        <f ca="1">MemCen1!E50</f>
        <v>373.14419999999996</v>
      </c>
      <c r="E21" s="174">
        <f ca="1">MemCen1!F50</f>
        <v>327.91460000000001</v>
      </c>
      <c r="F21" s="174">
        <f ca="1">MemCen1!G50</f>
        <v>231.80169999999998</v>
      </c>
      <c r="G21" s="174">
        <f ca="1">MemCen1!H50</f>
        <v>175.2647</v>
      </c>
      <c r="H21" s="174">
        <f ca="1">MemCen1!I50</f>
        <v>163.9573</v>
      </c>
      <c r="I21" s="174">
        <f ca="1">MemCen1!J50</f>
        <v>135.68879999999999</v>
      </c>
      <c r="J21" s="174">
        <f ca="1">MemCen1!K50</f>
        <v>118.7277</v>
      </c>
      <c r="K21" s="174">
        <f ca="1">MemCen1!L50</f>
        <v>163.9573</v>
      </c>
      <c r="L21" s="174">
        <f ca="1">MemCen1!M50</f>
        <v>203.53319999999999</v>
      </c>
      <c r="M21" s="174">
        <f ca="1">MemCen1!N50</f>
        <v>209.18689999999998</v>
      </c>
      <c r="N21" s="175">
        <f ca="1">MemCen1!O50</f>
        <v>277.03129999999999</v>
      </c>
      <c r="O21" s="60"/>
      <c r="P21" s="268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70"/>
    </row>
    <row r="22" spans="2:27" x14ac:dyDescent="0.25">
      <c r="B22" s="124" t="s">
        <v>4</v>
      </c>
      <c r="C22" s="173">
        <f ca="1">MemCen1!D60</f>
        <v>1479.9179999999999</v>
      </c>
      <c r="D22" s="174">
        <f ca="1">MemCen1!E60</f>
        <v>1586.0933</v>
      </c>
      <c r="E22" s="174">
        <f ca="1">MemCen1!F60</f>
        <v>1363.8966</v>
      </c>
      <c r="F22" s="174">
        <f ca="1">MemCen1!G60</f>
        <v>927.81849999999997</v>
      </c>
      <c r="G22" s="174">
        <f ca="1">MemCen1!H60</f>
        <v>729.78189999999995</v>
      </c>
      <c r="H22" s="174">
        <f ca="1">MemCen1!I60</f>
        <v>719.60649999999998</v>
      </c>
      <c r="I22" s="174">
        <f ca="1">MemCen1!J60</f>
        <v>582.75369999999998</v>
      </c>
      <c r="J22" s="174">
        <f ca="1">MemCen1!K60</f>
        <v>501.53560000000004</v>
      </c>
      <c r="K22" s="174">
        <f ca="1">MemCen1!L60</f>
        <v>528.23700000000008</v>
      </c>
      <c r="L22" s="174">
        <f ca="1">MemCen1!M60</f>
        <v>626.00199999999995</v>
      </c>
      <c r="M22" s="174">
        <f ca="1">MemCen1!N60</f>
        <v>670.50110000000006</v>
      </c>
      <c r="N22" s="175">
        <f ca="1">MemCen1!O60</f>
        <v>1006.3512000000001</v>
      </c>
      <c r="O22" s="60"/>
      <c r="P22" s="268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70"/>
    </row>
    <row r="23" spans="2:27" x14ac:dyDescent="0.25">
      <c r="B23" s="124" t="s">
        <v>5</v>
      </c>
      <c r="C23" s="173">
        <f ca="1">MemCen1!D74</f>
        <v>2050.0221000000001</v>
      </c>
      <c r="D23" s="174">
        <f ca="1">MemCen1!E74</f>
        <v>2198.0115999999998</v>
      </c>
      <c r="E23" s="174">
        <f ca="1">MemCen1!F74</f>
        <v>1822.5245</v>
      </c>
      <c r="F23" s="174">
        <f ca="1">MemCen1!G74</f>
        <v>1361.6677999999999</v>
      </c>
      <c r="G23" s="174">
        <f ca="1">MemCen1!H74</f>
        <v>1312.0001</v>
      </c>
      <c r="H23" s="174">
        <f ca="1">MemCen1!I74</f>
        <v>1409.7475999999999</v>
      </c>
      <c r="I23" s="174">
        <f ca="1">MemCen1!J74</f>
        <v>1261.8361</v>
      </c>
      <c r="J23" s="174">
        <f ca="1">MemCen1!K74</f>
        <v>1044.7266999999999</v>
      </c>
      <c r="K23" s="174">
        <f ca="1">MemCen1!L74</f>
        <v>1147.3741</v>
      </c>
      <c r="L23" s="174">
        <f ca="1">MemCen1!M74</f>
        <v>1406.2357999999999</v>
      </c>
      <c r="M23" s="174">
        <f ca="1">MemCen1!N74</f>
        <v>1286.5246999999997</v>
      </c>
      <c r="N23" s="175">
        <f ca="1">MemCen1!O74</f>
        <v>1479.3720000000001</v>
      </c>
      <c r="O23" s="60"/>
      <c r="P23" s="268"/>
      <c r="Q23" s="269"/>
      <c r="R23" s="269"/>
      <c r="S23" s="269"/>
      <c r="T23" s="269"/>
      <c r="U23" s="269"/>
      <c r="V23" s="269"/>
      <c r="W23" s="269"/>
      <c r="X23" s="269"/>
      <c r="Y23" s="269"/>
      <c r="Z23" s="269"/>
      <c r="AA23" s="270"/>
    </row>
    <row r="24" spans="2:27" x14ac:dyDescent="0.25">
      <c r="B24" s="124" t="s">
        <v>7</v>
      </c>
      <c r="C24" s="173">
        <f ca="1">MemCen1!D80</f>
        <v>5602.5864000000001</v>
      </c>
      <c r="D24" s="174">
        <f ca="1">MemCen1!E80</f>
        <v>5904.1984000000002</v>
      </c>
      <c r="E24" s="174">
        <f ca="1">MemCen1!F80</f>
        <v>5616.5946000000004</v>
      </c>
      <c r="F24" s="174">
        <f ca="1">MemCen1!G80</f>
        <v>4224.2945</v>
      </c>
      <c r="G24" s="174">
        <f ca="1">MemCen1!H80</f>
        <v>2920.4008000000003</v>
      </c>
      <c r="H24" s="174">
        <f ca="1">MemCen1!I80</f>
        <v>2419.3042</v>
      </c>
      <c r="I24" s="174">
        <f ca="1">MemCen1!J80</f>
        <v>1986.5871999999999</v>
      </c>
      <c r="J24" s="174">
        <f ca="1">MemCen1!K80</f>
        <v>1676.1268</v>
      </c>
      <c r="K24" s="174">
        <f ca="1">MemCen1!L80</f>
        <v>1605.3686</v>
      </c>
      <c r="L24" s="174">
        <f ca="1">MemCen1!M80</f>
        <v>1851.9536000000001</v>
      </c>
      <c r="M24" s="174">
        <f ca="1">MemCen1!N80</f>
        <v>2474.8577</v>
      </c>
      <c r="N24" s="175">
        <f ca="1">MemCen1!O80</f>
        <v>3929.0683000000004</v>
      </c>
      <c r="O24" s="60"/>
      <c r="P24" s="268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70"/>
    </row>
    <row r="25" spans="2:27" x14ac:dyDescent="0.25">
      <c r="B25" s="124" t="s">
        <v>8</v>
      </c>
      <c r="C25" s="173">
        <f ca="1">MemCen1!D86</f>
        <v>17121.722099999999</v>
      </c>
      <c r="D25" s="174">
        <f ca="1">MemCen1!E86</f>
        <v>18674.383099999999</v>
      </c>
      <c r="E25" s="174">
        <f ca="1">MemCen1!F86</f>
        <v>17407.363099999999</v>
      </c>
      <c r="F25" s="174">
        <f ca="1">MemCen1!G86</f>
        <v>13780.776099999999</v>
      </c>
      <c r="G25" s="174">
        <f ca="1">MemCen1!H86</f>
        <v>10906.8056</v>
      </c>
      <c r="H25" s="174">
        <f ca="1">MemCen1!I86</f>
        <v>10037.831699999999</v>
      </c>
      <c r="I25" s="174">
        <f ca="1">MemCen1!J86</f>
        <v>8475.2816000000003</v>
      </c>
      <c r="J25" s="174">
        <f ca="1">MemCen1!K86</f>
        <v>7132.8384000000005</v>
      </c>
      <c r="K25" s="174">
        <f ca="1">MemCen1!L86</f>
        <v>7151.2721999999994</v>
      </c>
      <c r="L25" s="174">
        <f ca="1">MemCen1!M86</f>
        <v>8549.2945</v>
      </c>
      <c r="M25" s="174">
        <f ca="1">MemCen1!N86</f>
        <v>9495.9567999999999</v>
      </c>
      <c r="N25" s="175">
        <f ca="1">MemCen1!O86</f>
        <v>12657.8619</v>
      </c>
      <c r="O25" s="60"/>
      <c r="P25" s="268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70"/>
    </row>
    <row r="26" spans="2:27" x14ac:dyDescent="0.25">
      <c r="B26" s="124" t="s">
        <v>10</v>
      </c>
      <c r="C26" s="173">
        <f ca="1">MemCen1!D101</f>
        <v>1585.7349000000002</v>
      </c>
      <c r="D26" s="174">
        <f ca="1">MemCen1!E101</f>
        <v>1599.6371999999999</v>
      </c>
      <c r="E26" s="174">
        <f ca="1">MemCen1!F101</f>
        <v>1553.5520000000001</v>
      </c>
      <c r="F26" s="174">
        <f ca="1">MemCen1!G101</f>
        <v>1308.9265</v>
      </c>
      <c r="G26" s="174">
        <f ca="1">MemCen1!H101</f>
        <v>1035.3341</v>
      </c>
      <c r="H26" s="174">
        <f ca="1">MemCen1!I101</f>
        <v>868.65509999999995</v>
      </c>
      <c r="I26" s="174">
        <f ca="1">MemCen1!J101</f>
        <v>736.85860000000002</v>
      </c>
      <c r="J26" s="174">
        <f ca="1">MemCen1!K101</f>
        <v>622.05840000000001</v>
      </c>
      <c r="K26" s="174">
        <f ca="1">MemCen1!L101</f>
        <v>635.50749999999994</v>
      </c>
      <c r="L26" s="174">
        <f ca="1">MemCen1!M101</f>
        <v>765.99239999999998</v>
      </c>
      <c r="M26" s="174">
        <f ca="1">MemCen1!N101</f>
        <v>1010.5265000000001</v>
      </c>
      <c r="N26" s="175">
        <f ca="1">MemCen1!O101</f>
        <v>1340.4030000000002</v>
      </c>
      <c r="O26" s="60"/>
      <c r="P26" s="268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70"/>
    </row>
    <row r="27" spans="2:27" x14ac:dyDescent="0.25">
      <c r="B27" s="124" t="s">
        <v>11</v>
      </c>
      <c r="C27" s="173">
        <f ca="1">MemCen1!D106</f>
        <v>106.78500000000001</v>
      </c>
      <c r="D27" s="174">
        <f ca="1">MemCen1!E106</f>
        <v>79.665000000000006</v>
      </c>
      <c r="E27" s="174">
        <f ca="1">MemCen1!F106</f>
        <v>77.97</v>
      </c>
      <c r="F27" s="174">
        <f ca="1">MemCen1!G106</f>
        <v>62.715000000000003</v>
      </c>
      <c r="G27" s="174">
        <f ca="1">MemCen1!H106</f>
        <v>44.07</v>
      </c>
      <c r="H27" s="174">
        <f ca="1">MemCen1!I106</f>
        <v>33.9</v>
      </c>
      <c r="I27" s="174">
        <f ca="1">MemCen1!J106</f>
        <v>30.51</v>
      </c>
      <c r="J27" s="174">
        <f ca="1">MemCen1!K106</f>
        <v>25.425000000000001</v>
      </c>
      <c r="K27" s="174">
        <f ca="1">MemCen1!L106</f>
        <v>25.425000000000001</v>
      </c>
      <c r="L27" s="174">
        <f ca="1">MemCen1!M106</f>
        <v>33.9</v>
      </c>
      <c r="M27" s="174">
        <f ca="1">MemCen1!N106</f>
        <v>64.41</v>
      </c>
      <c r="N27" s="175">
        <f ca="1">MemCen1!O106</f>
        <v>98.31</v>
      </c>
      <c r="O27" s="60"/>
      <c r="P27" s="268"/>
      <c r="Q27" s="269"/>
      <c r="R27" s="269"/>
      <c r="S27" s="269"/>
      <c r="T27" s="269"/>
      <c r="U27" s="269"/>
      <c r="V27" s="269"/>
      <c r="W27" s="269"/>
      <c r="X27" s="269"/>
      <c r="Y27" s="269"/>
      <c r="Z27" s="269"/>
      <c r="AA27" s="270"/>
    </row>
    <row r="28" spans="2:27" x14ac:dyDescent="0.25">
      <c r="B28" s="124" t="s">
        <v>12</v>
      </c>
      <c r="C28" s="173">
        <f ca="1">MemCen1!D111</f>
        <v>80.678399999999996</v>
      </c>
      <c r="D28" s="174">
        <f ca="1">MemCen1!E111</f>
        <v>56.8416</v>
      </c>
      <c r="E28" s="174">
        <f ca="1">MemCen1!F111</f>
        <v>55.924799999999998</v>
      </c>
      <c r="F28" s="174">
        <f ca="1">MemCen1!G111</f>
        <v>49.507199999999997</v>
      </c>
      <c r="G28" s="174">
        <f ca="1">MemCen1!H111</f>
        <v>33.921599999999998</v>
      </c>
      <c r="H28" s="174">
        <f ca="1">MemCen1!I111</f>
        <v>28.4208</v>
      </c>
      <c r="I28" s="174">
        <f ca="1">MemCen1!J111</f>
        <v>27.962399999999999</v>
      </c>
      <c r="J28" s="174">
        <f ca="1">MemCen1!K111</f>
        <v>23.378399999999999</v>
      </c>
      <c r="K28" s="174">
        <f ca="1">MemCen1!L111</f>
        <v>20.628</v>
      </c>
      <c r="L28" s="174">
        <f ca="1">MemCen1!M111</f>
        <v>28.4208</v>
      </c>
      <c r="M28" s="174">
        <f ca="1">MemCen1!N111</f>
        <v>56.383199999999995</v>
      </c>
      <c r="N28" s="175">
        <f ca="1">MemCen1!O111</f>
        <v>84.804000000000002</v>
      </c>
      <c r="O28" s="60"/>
      <c r="P28" s="268"/>
      <c r="Q28" s="269"/>
      <c r="R28" s="269"/>
      <c r="S28" s="269"/>
      <c r="T28" s="269"/>
      <c r="U28" s="269"/>
      <c r="V28" s="269"/>
      <c r="W28" s="269"/>
      <c r="X28" s="269"/>
      <c r="Y28" s="269"/>
      <c r="Z28" s="269"/>
      <c r="AA28" s="270"/>
    </row>
    <row r="29" spans="2:27" x14ac:dyDescent="0.25">
      <c r="B29" s="124" t="s">
        <v>13</v>
      </c>
      <c r="C29" s="173">
        <f ca="1">MemCen1!D123</f>
        <v>1718.1073999999999</v>
      </c>
      <c r="D29" s="174">
        <f ca="1">MemCen1!E123</f>
        <v>1357.0293000000001</v>
      </c>
      <c r="E29" s="174">
        <f ca="1">MemCen1!F123</f>
        <v>1203.3426999999999</v>
      </c>
      <c r="F29" s="174">
        <f ca="1">MemCen1!G123</f>
        <v>917.29830000000004</v>
      </c>
      <c r="G29" s="174">
        <f ca="1">MemCen1!H123</f>
        <v>672.72879999999998</v>
      </c>
      <c r="H29" s="174">
        <f ca="1">MemCen1!I123</f>
        <v>566.10579999999993</v>
      </c>
      <c r="I29" s="174">
        <f ca="1">MemCen1!J123</f>
        <v>497.60149999999999</v>
      </c>
      <c r="J29" s="174">
        <f ca="1">MemCen1!K123</f>
        <v>440.53949999999998</v>
      </c>
      <c r="K29" s="174">
        <f ca="1">MemCen1!L123</f>
        <v>428.62039999999996</v>
      </c>
      <c r="L29" s="174">
        <f ca="1">MemCen1!M123</f>
        <v>535.59799999999996</v>
      </c>
      <c r="M29" s="174">
        <f ca="1">MemCen1!N123</f>
        <v>903.40819999999997</v>
      </c>
      <c r="N29" s="175">
        <f ca="1">MemCen1!O123</f>
        <v>1486.8343</v>
      </c>
      <c r="O29" s="60"/>
      <c r="P29" s="268"/>
      <c r="Q29" s="269"/>
      <c r="R29" s="269"/>
      <c r="S29" s="269"/>
      <c r="T29" s="269"/>
      <c r="U29" s="269"/>
      <c r="V29" s="269"/>
      <c r="W29" s="269"/>
      <c r="X29" s="269"/>
      <c r="Y29" s="269"/>
      <c r="Z29" s="269"/>
      <c r="AA29" s="270"/>
    </row>
    <row r="30" spans="2:27" x14ac:dyDescent="0.25">
      <c r="B30" s="124" t="s">
        <v>14</v>
      </c>
      <c r="C30" s="173">
        <f ca="1">MemCen1!D132</f>
        <v>641.57039999999995</v>
      </c>
      <c r="D30" s="174">
        <f ca="1">MemCen1!E132</f>
        <v>702.42259999999999</v>
      </c>
      <c r="E30" s="174">
        <f ca="1">MemCen1!F132</f>
        <v>696.63380000000006</v>
      </c>
      <c r="F30" s="174">
        <f ca="1">MemCen1!G132</f>
        <v>565.11990000000003</v>
      </c>
      <c r="G30" s="174">
        <f ca="1">MemCen1!H132</f>
        <v>442.45249999999999</v>
      </c>
      <c r="H30" s="174">
        <f ca="1">MemCen1!I132</f>
        <v>388.62180000000006</v>
      </c>
      <c r="I30" s="174">
        <f ca="1">MemCen1!J132</f>
        <v>359.81790000000001</v>
      </c>
      <c r="J30" s="174">
        <f ca="1">MemCen1!K132</f>
        <v>336.87779999999998</v>
      </c>
      <c r="K30" s="174">
        <f ca="1">MemCen1!L132</f>
        <v>336.28120000000001</v>
      </c>
      <c r="L30" s="174">
        <f ca="1">MemCen1!M132</f>
        <v>369.14</v>
      </c>
      <c r="M30" s="174">
        <f ca="1">MemCen1!N132</f>
        <v>420.41550000000001</v>
      </c>
      <c r="N30" s="175">
        <f ca="1">MemCen1!O132</f>
        <v>519.66070000000002</v>
      </c>
      <c r="O30" s="60"/>
      <c r="P30" s="268"/>
      <c r="Q30" s="269"/>
      <c r="R30" s="269"/>
      <c r="S30" s="269"/>
      <c r="T30" s="269"/>
      <c r="U30" s="269"/>
      <c r="V30" s="269"/>
      <c r="W30" s="269"/>
      <c r="X30" s="269"/>
      <c r="Y30" s="269"/>
      <c r="Z30" s="269"/>
      <c r="AA30" s="270"/>
    </row>
    <row r="31" spans="2:27" x14ac:dyDescent="0.25">
      <c r="B31" s="124" t="s">
        <v>24</v>
      </c>
      <c r="C31" s="173">
        <f ca="1">MemCen1!D137</f>
        <v>517.93219999999997</v>
      </c>
      <c r="D31" s="174">
        <f ca="1">MemCen1!E137</f>
        <v>350.76099999999997</v>
      </c>
      <c r="E31" s="174">
        <f ca="1">MemCen1!F137</f>
        <v>317.92379999999997</v>
      </c>
      <c r="F31" s="174">
        <f ca="1">MemCen1!G137</f>
        <v>200.00839999999999</v>
      </c>
      <c r="G31" s="174">
        <f ca="1">MemCen1!H137</f>
        <v>105.9746</v>
      </c>
      <c r="H31" s="174">
        <f ca="1">MemCen1!I137</f>
        <v>79.107799999999997</v>
      </c>
      <c r="I31" s="174">
        <f ca="1">MemCen1!J137</f>
        <v>65.674399999999991</v>
      </c>
      <c r="J31" s="174">
        <f ca="1">MemCen1!K137</f>
        <v>55.226199999999999</v>
      </c>
      <c r="K31" s="174">
        <f ca="1">MemCen1!L137</f>
        <v>52.241</v>
      </c>
      <c r="L31" s="174">
        <f ca="1">MemCen1!M137</f>
        <v>101.49679999999999</v>
      </c>
      <c r="M31" s="174">
        <f ca="1">MemCen1!N137</f>
        <v>300.01259999999996</v>
      </c>
      <c r="N31" s="175">
        <f ca="1">MemCen1!O137</f>
        <v>537.33600000000001</v>
      </c>
      <c r="O31" s="60"/>
      <c r="P31" s="268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70"/>
    </row>
    <row r="32" spans="2:27" x14ac:dyDescent="0.25">
      <c r="B32" s="124" t="s">
        <v>28</v>
      </c>
      <c r="C32" s="173">
        <f ca="1">MemCen1!D148</f>
        <v>669.96560000000011</v>
      </c>
      <c r="D32" s="174">
        <f ca="1">MemCen1!E148</f>
        <v>959.60690000000011</v>
      </c>
      <c r="E32" s="174">
        <f ca="1">MemCen1!F148</f>
        <v>1070.3017</v>
      </c>
      <c r="F32" s="174">
        <f ca="1">MemCen1!G148</f>
        <v>934.84100000000001</v>
      </c>
      <c r="G32" s="174">
        <f ca="1">MemCen1!H148</f>
        <v>607.86930000000007</v>
      </c>
      <c r="H32" s="174">
        <f ca="1">MemCen1!I148</f>
        <v>328.5557</v>
      </c>
      <c r="I32" s="174">
        <f ca="1">MemCen1!J148</f>
        <v>195.80200000000002</v>
      </c>
      <c r="J32" s="174">
        <f ca="1">MemCen1!K148</f>
        <v>141.72219999999999</v>
      </c>
      <c r="K32" s="174">
        <f ca="1">MemCen1!L148</f>
        <v>125.4466</v>
      </c>
      <c r="L32" s="174">
        <f ca="1">MemCen1!M148</f>
        <v>134.33539999999999</v>
      </c>
      <c r="M32" s="174">
        <f ca="1">MemCen1!N148</f>
        <v>189.61190000000002</v>
      </c>
      <c r="N32" s="175">
        <f ca="1">MemCen1!O148</f>
        <v>352.39190000000002</v>
      </c>
      <c r="O32" s="60"/>
      <c r="P32" s="268"/>
      <c r="Q32" s="269"/>
      <c r="R32" s="269"/>
      <c r="S32" s="269"/>
      <c r="T32" s="269"/>
      <c r="U32" s="269"/>
      <c r="V32" s="269"/>
      <c r="W32" s="269"/>
      <c r="X32" s="269"/>
      <c r="Y32" s="269"/>
      <c r="Z32" s="269"/>
      <c r="AA32" s="270"/>
    </row>
    <row r="33" spans="2:27" x14ac:dyDescent="0.25">
      <c r="B33" s="124" t="s">
        <v>20</v>
      </c>
      <c r="C33" s="173">
        <f ca="1">MemCen1!D155</f>
        <v>876.11249999999995</v>
      </c>
      <c r="D33" s="174">
        <f ca="1">MemCen1!E155</f>
        <v>814.54299999999989</v>
      </c>
      <c r="E33" s="174">
        <f ca="1">MemCen1!F155</f>
        <v>707.90930000000003</v>
      </c>
      <c r="F33" s="174">
        <f ca="1">MemCen1!G155</f>
        <v>485.9667</v>
      </c>
      <c r="G33" s="174">
        <f ca="1">MemCen1!H155</f>
        <v>305.98559999999998</v>
      </c>
      <c r="H33" s="174">
        <f ca="1">MemCen1!I155</f>
        <v>240.16909999999999</v>
      </c>
      <c r="I33" s="174">
        <f ca="1">MemCen1!J155</f>
        <v>197.78919999999999</v>
      </c>
      <c r="J33" s="174">
        <f ca="1">MemCen1!K155</f>
        <v>165.00369999999998</v>
      </c>
      <c r="K33" s="174">
        <f ca="1">MemCen1!L155</f>
        <v>157.38929999999999</v>
      </c>
      <c r="L33" s="174">
        <f ca="1">MemCen1!M155</f>
        <v>206.63830000000002</v>
      </c>
      <c r="M33" s="174">
        <f ca="1">MemCen1!N155</f>
        <v>382.47399999999999</v>
      </c>
      <c r="N33" s="175">
        <f ca="1">MemCen1!O155</f>
        <v>687.58660000000009</v>
      </c>
      <c r="O33" s="60"/>
      <c r="P33" s="268"/>
      <c r="Q33" s="269"/>
      <c r="R33" s="269"/>
      <c r="S33" s="269"/>
      <c r="T33" s="269"/>
      <c r="U33" s="269"/>
      <c r="V33" s="269"/>
      <c r="W33" s="269"/>
      <c r="X33" s="269"/>
      <c r="Y33" s="269"/>
      <c r="Z33" s="269"/>
      <c r="AA33" s="270"/>
    </row>
    <row r="34" spans="2:27" x14ac:dyDescent="0.25">
      <c r="B34" s="127" t="s">
        <v>26</v>
      </c>
      <c r="C34" s="176">
        <f ca="1">MemCen1!D164</f>
        <v>4678.5675999999994</v>
      </c>
      <c r="D34" s="177">
        <f ca="1">MemCen1!E164</f>
        <v>5319.3568000000005</v>
      </c>
      <c r="E34" s="177">
        <f ca="1">MemCen1!F164</f>
        <v>5079.9782999999998</v>
      </c>
      <c r="F34" s="177">
        <f ca="1">MemCen1!G164</f>
        <v>3663.3053000000004</v>
      </c>
      <c r="G34" s="177">
        <f ca="1">MemCen1!H164</f>
        <v>1878.2270000000001</v>
      </c>
      <c r="H34" s="177">
        <f ca="1">MemCen1!I164</f>
        <v>1230.5988</v>
      </c>
      <c r="I34" s="177">
        <f ca="1">MemCen1!J164</f>
        <v>918.65830000000005</v>
      </c>
      <c r="J34" s="177">
        <f ca="1">MemCen1!K164</f>
        <v>714.26839999999993</v>
      </c>
      <c r="K34" s="177">
        <f ca="1">MemCen1!L164</f>
        <v>670.66369999999995</v>
      </c>
      <c r="L34" s="177">
        <f ca="1">MemCen1!M164</f>
        <v>958.92620000000011</v>
      </c>
      <c r="M34" s="177">
        <f ca="1">MemCen1!N164</f>
        <v>1786.8202000000001</v>
      </c>
      <c r="N34" s="178">
        <f ca="1">MemCen1!O164</f>
        <v>3431.9849999999997</v>
      </c>
      <c r="O34" s="60"/>
      <c r="P34" s="271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3"/>
    </row>
    <row r="35" spans="2:27" x14ac:dyDescent="0.25">
      <c r="B35" s="128" t="s">
        <v>15</v>
      </c>
      <c r="C35" s="179">
        <f ca="1">MemCen1!D179</f>
        <v>3667.0928999999996</v>
      </c>
      <c r="D35" s="180">
        <f ca="1">MemCen1!E179</f>
        <v>4073.1866</v>
      </c>
      <c r="E35" s="180">
        <f ca="1">MemCen1!F179</f>
        <v>3579.5592000000001</v>
      </c>
      <c r="F35" s="180">
        <f ca="1">MemCen1!G179</f>
        <v>3116.2644999999998</v>
      </c>
      <c r="G35" s="180">
        <f ca="1">MemCen1!H179</f>
        <v>3898.547</v>
      </c>
      <c r="H35" s="180">
        <f ca="1">MemCen1!I179</f>
        <v>4610.8588999999993</v>
      </c>
      <c r="I35" s="180">
        <f ca="1">MemCen1!J179</f>
        <v>4657.3197</v>
      </c>
      <c r="J35" s="180">
        <f ca="1">MemCen1!K179</f>
        <v>3876.5623999999998</v>
      </c>
      <c r="K35" s="180">
        <f ca="1">MemCen1!L179</f>
        <v>4564.7398999999996</v>
      </c>
      <c r="L35" s="180">
        <f ca="1">MemCen1!M179</f>
        <v>5859.7097000000003</v>
      </c>
      <c r="M35" s="180">
        <f ca="1">MemCen1!N179</f>
        <v>4421.9402</v>
      </c>
      <c r="N35" s="181">
        <f ca="1">MemCen1!O179</f>
        <v>3610.9828000000007</v>
      </c>
      <c r="O35" s="60"/>
      <c r="P35" s="274"/>
      <c r="Q35" s="275"/>
      <c r="R35" s="275"/>
      <c r="S35" s="275"/>
      <c r="T35" s="275"/>
      <c r="U35" s="275"/>
      <c r="V35" s="275"/>
      <c r="W35" s="275"/>
      <c r="X35" s="275"/>
      <c r="Y35" s="275"/>
      <c r="Z35" s="275"/>
      <c r="AA35" s="276"/>
    </row>
    <row r="36" spans="2:27" x14ac:dyDescent="0.25">
      <c r="B36" s="121" t="s">
        <v>16</v>
      </c>
      <c r="C36" s="173">
        <f ca="1">MemCen1!D191</f>
        <v>546.15089999999998</v>
      </c>
      <c r="D36" s="174">
        <f ca="1">MemCen1!E191</f>
        <v>572.32579999999996</v>
      </c>
      <c r="E36" s="174">
        <f ca="1">MemCen1!F191</f>
        <v>465.46389999999997</v>
      </c>
      <c r="F36" s="174">
        <f ca="1">MemCen1!G191</f>
        <v>581.42969999999991</v>
      </c>
      <c r="G36" s="174">
        <f ca="1">MemCen1!H191</f>
        <v>801.3078999999999</v>
      </c>
      <c r="H36" s="174">
        <f ca="1">MemCen1!I191</f>
        <v>1007.0904</v>
      </c>
      <c r="I36" s="174">
        <f ca="1">MemCen1!J191</f>
        <v>1193.3054</v>
      </c>
      <c r="J36" s="174">
        <f ca="1">MemCen1!K191</f>
        <v>1228.1709999999998</v>
      </c>
      <c r="K36" s="174">
        <f ca="1">MemCen1!L191</f>
        <v>1382.8147999999999</v>
      </c>
      <c r="L36" s="174">
        <f ca="1">MemCen1!M191</f>
        <v>1277.9580999999998</v>
      </c>
      <c r="M36" s="174">
        <f ca="1">MemCen1!N191</f>
        <v>865.57089999999994</v>
      </c>
      <c r="N36" s="175">
        <f ca="1">MemCen1!O191</f>
        <v>665.18659999999988</v>
      </c>
      <c r="O36" s="60"/>
      <c r="P36" s="268"/>
      <c r="Q36" s="269"/>
      <c r="R36" s="269"/>
      <c r="S36" s="269"/>
      <c r="T36" s="269"/>
      <c r="U36" s="269"/>
      <c r="V36" s="269"/>
      <c r="W36" s="269"/>
      <c r="X36" s="269"/>
      <c r="Y36" s="269"/>
      <c r="Z36" s="269"/>
      <c r="AA36" s="270"/>
    </row>
    <row r="37" spans="2:27" x14ac:dyDescent="0.25">
      <c r="B37" s="121" t="s">
        <v>17</v>
      </c>
      <c r="C37" s="173">
        <f ca="1">MemCen1!D206</f>
        <v>2377.9775</v>
      </c>
      <c r="D37" s="174">
        <f ca="1">MemCen1!E206</f>
        <v>2959.0389999999998</v>
      </c>
      <c r="E37" s="174">
        <f ca="1">MemCen1!F206</f>
        <v>2342.8031000000001</v>
      </c>
      <c r="F37" s="174">
        <f ca="1">MemCen1!G206</f>
        <v>2432.8190999999997</v>
      </c>
      <c r="G37" s="174">
        <f ca="1">MemCen1!H206</f>
        <v>3340.0070000000005</v>
      </c>
      <c r="H37" s="174">
        <f ca="1">MemCen1!I206</f>
        <v>3751.4981000000007</v>
      </c>
      <c r="I37" s="174">
        <f ca="1">MemCen1!J206</f>
        <v>4451.0473000000002</v>
      </c>
      <c r="J37" s="174">
        <f ca="1">MemCen1!K206</f>
        <v>4652.9697000000006</v>
      </c>
      <c r="K37" s="174">
        <f ca="1">MemCen1!L206</f>
        <v>5369.2755999999999</v>
      </c>
      <c r="L37" s="174">
        <f ca="1">MemCen1!M206</f>
        <v>5327.7239</v>
      </c>
      <c r="M37" s="174">
        <f ca="1">MemCen1!N206</f>
        <v>3449.0716000000002</v>
      </c>
      <c r="N37" s="175">
        <f ca="1">MemCen1!O206</f>
        <v>2541.0038999999997</v>
      </c>
      <c r="O37" s="60"/>
      <c r="P37" s="268"/>
      <c r="Q37" s="269"/>
      <c r="R37" s="269"/>
      <c r="S37" s="269"/>
      <c r="T37" s="269"/>
      <c r="U37" s="269"/>
      <c r="V37" s="269"/>
      <c r="W37" s="269"/>
      <c r="X37" s="269"/>
      <c r="Y37" s="269"/>
      <c r="Z37" s="269"/>
      <c r="AA37" s="270"/>
    </row>
    <row r="38" spans="2:27" x14ac:dyDescent="0.25">
      <c r="B38" s="121" t="s">
        <v>18</v>
      </c>
      <c r="C38" s="173">
        <f ca="1">MemCen1!D211</f>
        <v>163.14750000000001</v>
      </c>
      <c r="D38" s="174">
        <f ca="1">MemCen1!E211</f>
        <v>176.19929999999999</v>
      </c>
      <c r="E38" s="174">
        <f ca="1">MemCen1!F211</f>
        <v>156.6216</v>
      </c>
      <c r="F38" s="174">
        <f ca="1">MemCen1!G211</f>
        <v>117.4662</v>
      </c>
      <c r="G38" s="174">
        <f ca="1">MemCen1!H211</f>
        <v>110.94030000000001</v>
      </c>
      <c r="H38" s="174">
        <f ca="1">MemCen1!I211</f>
        <v>110.94030000000001</v>
      </c>
      <c r="I38" s="174">
        <f ca="1">MemCen1!J211</f>
        <v>110.94030000000001</v>
      </c>
      <c r="J38" s="174">
        <f ca="1">MemCen1!K211</f>
        <v>91.3626</v>
      </c>
      <c r="K38" s="174">
        <f ca="1">MemCen1!L211</f>
        <v>117.4662</v>
      </c>
      <c r="L38" s="174">
        <f ca="1">MemCen1!M211</f>
        <v>130.518</v>
      </c>
      <c r="M38" s="174">
        <f ca="1">MemCen1!N211</f>
        <v>123.99209999999999</v>
      </c>
      <c r="N38" s="175">
        <f ca="1">MemCen1!O211</f>
        <v>130.518</v>
      </c>
      <c r="O38" s="60"/>
      <c r="P38" s="268"/>
      <c r="Q38" s="269"/>
      <c r="R38" s="269"/>
      <c r="S38" s="269"/>
      <c r="T38" s="269"/>
      <c r="U38" s="269"/>
      <c r="V38" s="269"/>
      <c r="W38" s="269"/>
      <c r="X38" s="269"/>
      <c r="Y38" s="269"/>
      <c r="Z38" s="269"/>
      <c r="AA38" s="270"/>
    </row>
    <row r="39" spans="2:27" x14ac:dyDescent="0.25">
      <c r="B39" s="121" t="s">
        <v>19</v>
      </c>
      <c r="C39" s="173">
        <f ca="1">MemCen1!D216</f>
        <v>201.54680000000002</v>
      </c>
      <c r="D39" s="174">
        <f ca="1">MemCen1!E216</f>
        <v>240.786</v>
      </c>
      <c r="E39" s="174">
        <f ca="1">MemCen1!F216</f>
        <v>187.27800000000002</v>
      </c>
      <c r="F39" s="174">
        <f ca="1">MemCen1!G216</f>
        <v>135.55360000000002</v>
      </c>
      <c r="G39" s="174">
        <f ca="1">MemCen1!H216</f>
        <v>165.87479999999999</v>
      </c>
      <c r="H39" s="174">
        <f ca="1">MemCen1!I216</f>
        <v>162.30760000000001</v>
      </c>
      <c r="I39" s="174">
        <f ca="1">MemCen1!J216</f>
        <v>208.68120000000002</v>
      </c>
      <c r="J39" s="174">
        <f ca="1">MemCen1!K216</f>
        <v>235.43520000000001</v>
      </c>
      <c r="K39" s="174">
        <f ca="1">MemCen1!L216</f>
        <v>288.94319999999999</v>
      </c>
      <c r="L39" s="174">
        <f ca="1">MemCen1!M216</f>
        <v>301.42840000000001</v>
      </c>
      <c r="M39" s="174">
        <f ca="1">MemCen1!N216</f>
        <v>205.114</v>
      </c>
      <c r="N39" s="175">
        <f ca="1">MemCen1!O216</f>
        <v>171.22560000000001</v>
      </c>
      <c r="O39" s="60"/>
      <c r="P39" s="268"/>
      <c r="Q39" s="269"/>
      <c r="R39" s="269"/>
      <c r="S39" s="269"/>
      <c r="T39" s="269"/>
      <c r="U39" s="269"/>
      <c r="V39" s="269"/>
      <c r="W39" s="269"/>
      <c r="X39" s="269"/>
      <c r="Y39" s="269"/>
      <c r="Z39" s="269"/>
      <c r="AA39" s="270"/>
    </row>
    <row r="40" spans="2:27" x14ac:dyDescent="0.25">
      <c r="B40" s="129" t="s">
        <v>6</v>
      </c>
      <c r="C40" s="176">
        <f ca="1">MemCen1!D221</f>
        <v>314.90620000000001</v>
      </c>
      <c r="D40" s="177">
        <f ca="1">MemCen1!E221</f>
        <v>327.4606</v>
      </c>
      <c r="E40" s="177">
        <f ca="1">MemCen1!F221</f>
        <v>267.8272</v>
      </c>
      <c r="F40" s="177">
        <f ca="1">MemCen1!G221</f>
        <v>200.87040000000002</v>
      </c>
      <c r="G40" s="177">
        <f ca="1">MemCen1!H221</f>
        <v>244.8108</v>
      </c>
      <c r="H40" s="177">
        <f ca="1">MemCen1!I221</f>
        <v>288.75119999999998</v>
      </c>
      <c r="I40" s="177">
        <f ca="1">MemCen1!J221</f>
        <v>296.07460000000003</v>
      </c>
      <c r="J40" s="177">
        <f ca="1">MemCen1!K221</f>
        <v>238.53360000000001</v>
      </c>
      <c r="K40" s="177">
        <f ca="1">MemCen1!L221</f>
        <v>274.1044</v>
      </c>
      <c r="L40" s="177">
        <f ca="1">MemCen1!M221</f>
        <v>356.75420000000003</v>
      </c>
      <c r="M40" s="177">
        <f ca="1">MemCen1!N221</f>
        <v>291.88979999999998</v>
      </c>
      <c r="N40" s="178">
        <f ca="1">MemCen1!O221</f>
        <v>262.59620000000001</v>
      </c>
      <c r="O40" s="60"/>
      <c r="P40" s="271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3"/>
    </row>
    <row r="41" spans="2:27" x14ac:dyDescent="0.25">
      <c r="B41" s="130" t="s">
        <v>21</v>
      </c>
      <c r="C41" s="179">
        <f ca="1">MemCen1!D233</f>
        <v>13178.6664</v>
      </c>
      <c r="D41" s="180">
        <f ca="1">MemCen1!E233</f>
        <v>14041.2174</v>
      </c>
      <c r="E41" s="180">
        <f ca="1">MemCen1!F233</f>
        <v>14037.199799999999</v>
      </c>
      <c r="F41" s="180">
        <f ca="1">MemCen1!G233</f>
        <v>11452.182700000001</v>
      </c>
      <c r="G41" s="180">
        <f ca="1">MemCen1!H233</f>
        <v>6926.2161000000006</v>
      </c>
      <c r="H41" s="180">
        <f ca="1">MemCen1!I233</f>
        <v>4541.4027000000006</v>
      </c>
      <c r="I41" s="180">
        <f ca="1">MemCen1!J233</f>
        <v>3724.6857</v>
      </c>
      <c r="J41" s="180">
        <f ca="1">MemCen1!K233</f>
        <v>3246.7049999999999</v>
      </c>
      <c r="K41" s="180">
        <f ca="1">MemCen1!L233</f>
        <v>2902.1925000000001</v>
      </c>
      <c r="L41" s="180">
        <f ca="1">MemCen1!M233</f>
        <v>3128.0005000000001</v>
      </c>
      <c r="M41" s="180">
        <f ca="1">MemCen1!N233</f>
        <v>4975.3161</v>
      </c>
      <c r="N41" s="181">
        <f ca="1">MemCen1!O233</f>
        <v>9187.1790000000001</v>
      </c>
      <c r="O41" s="60"/>
      <c r="P41" s="274"/>
      <c r="Q41" s="275"/>
      <c r="R41" s="275"/>
      <c r="S41" s="275"/>
      <c r="T41" s="275"/>
      <c r="U41" s="275"/>
      <c r="V41" s="275"/>
      <c r="W41" s="275"/>
      <c r="X41" s="275"/>
      <c r="Y41" s="275"/>
      <c r="Z41" s="275"/>
      <c r="AA41" s="276"/>
    </row>
    <row r="42" spans="2:27" x14ac:dyDescent="0.25">
      <c r="B42" s="122" t="s">
        <v>25</v>
      </c>
      <c r="C42" s="173">
        <f ca="1">MemCen1!D238</f>
        <v>592.8202</v>
      </c>
      <c r="D42" s="174">
        <f ca="1">MemCen1!E238</f>
        <v>434.92619999999999</v>
      </c>
      <c r="E42" s="174">
        <f ca="1">MemCen1!F238</f>
        <v>359.5677</v>
      </c>
      <c r="F42" s="174">
        <f ca="1">MemCen1!G238</f>
        <v>246.8888</v>
      </c>
      <c r="G42" s="174">
        <f ca="1">MemCen1!H238</f>
        <v>149.99930000000001</v>
      </c>
      <c r="H42" s="174">
        <f ca="1">MemCen1!I238</f>
        <v>119.1382</v>
      </c>
      <c r="I42" s="174">
        <f ca="1">MemCen1!J238</f>
        <v>100.47799999999999</v>
      </c>
      <c r="J42" s="174">
        <f ca="1">MemCen1!K238</f>
        <v>84.688599999999994</v>
      </c>
      <c r="K42" s="174">
        <f ca="1">MemCen1!L238</f>
        <v>77.511600000000001</v>
      </c>
      <c r="L42" s="174">
        <f ca="1">MemCen1!M238</f>
        <v>124.1621</v>
      </c>
      <c r="M42" s="174">
        <f ca="1">MemCen1!N238</f>
        <v>340.18979999999999</v>
      </c>
      <c r="N42" s="175">
        <f ca="1">MemCen1!O238</f>
        <v>640.1884</v>
      </c>
      <c r="O42" s="60"/>
      <c r="P42" s="268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70"/>
    </row>
    <row r="43" spans="2:27" x14ac:dyDescent="0.25">
      <c r="B43" s="122" t="s">
        <v>22</v>
      </c>
      <c r="C43" s="173">
        <f ca="1">MemCen1!D243</f>
        <v>243.2226</v>
      </c>
      <c r="D43" s="174">
        <f ca="1">MemCen1!E243</f>
        <v>269.99939999999998</v>
      </c>
      <c r="E43" s="174">
        <f ca="1">MemCen1!F243</f>
        <v>286.363</v>
      </c>
      <c r="F43" s="174">
        <f ca="1">MemCen1!G243</f>
        <v>252.892</v>
      </c>
      <c r="G43" s="174">
        <f ca="1">MemCen1!H243</f>
        <v>163.636</v>
      </c>
      <c r="H43" s="174">
        <f ca="1">MemCen1!I243</f>
        <v>113.4295</v>
      </c>
      <c r="I43" s="174">
        <f ca="1">MemCen1!J243</f>
        <v>97.809700000000007</v>
      </c>
      <c r="J43" s="174">
        <f ca="1">MemCen1!K243</f>
        <v>89.627899999999997</v>
      </c>
      <c r="K43" s="174">
        <f ca="1">MemCen1!L243</f>
        <v>87.7684</v>
      </c>
      <c r="L43" s="174">
        <f ca="1">MemCen1!M243</f>
        <v>107.10720000000001</v>
      </c>
      <c r="M43" s="174">
        <f ca="1">MemCen1!N243</f>
        <v>148.76</v>
      </c>
      <c r="N43" s="175">
        <f ca="1">MemCen1!O243</f>
        <v>198.2227</v>
      </c>
      <c r="O43" s="60"/>
      <c r="P43" s="268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70"/>
    </row>
    <row r="44" spans="2:27" x14ac:dyDescent="0.25">
      <c r="B44" s="131" t="s">
        <v>23</v>
      </c>
      <c r="C44" s="176">
        <f ca="1">MemCen1!D248</f>
        <v>145.42320000000001</v>
      </c>
      <c r="D44" s="177">
        <f ca="1">MemCen1!E248</f>
        <v>146.34360000000001</v>
      </c>
      <c r="E44" s="177">
        <f ca="1">MemCen1!F248</f>
        <v>146.34360000000001</v>
      </c>
      <c r="F44" s="177">
        <f ca="1">MemCen1!G248</f>
        <v>121.4928</v>
      </c>
      <c r="G44" s="177">
        <f ca="1">MemCen1!H248</f>
        <v>73.632000000000005</v>
      </c>
      <c r="H44" s="177">
        <f ca="1">MemCen1!I248</f>
        <v>50.622</v>
      </c>
      <c r="I44" s="177">
        <f ca="1">MemCen1!J248</f>
        <v>50.622</v>
      </c>
      <c r="J44" s="177">
        <f ca="1">MemCen1!K248</f>
        <v>40.497599999999998</v>
      </c>
      <c r="K44" s="177">
        <f ca="1">MemCen1!L248</f>
        <v>27.611999999999998</v>
      </c>
      <c r="L44" s="177">
        <f ca="1">MemCen1!M248</f>
        <v>33.134399999999999</v>
      </c>
      <c r="M44" s="177">
        <f ca="1">MemCen1!N248</f>
        <v>88.358400000000003</v>
      </c>
      <c r="N44" s="178">
        <f ca="1">MemCen1!O248</f>
        <v>185.00040000000001</v>
      </c>
      <c r="O44" s="60"/>
      <c r="P44" s="271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3"/>
    </row>
    <row r="45" spans="2:27" x14ac:dyDescent="0.25">
      <c r="B45" s="125" t="s">
        <v>27</v>
      </c>
      <c r="C45" s="182">
        <f ca="1">MemCen1!D258</f>
        <v>9691.5325999999986</v>
      </c>
      <c r="D45" s="183">
        <f ca="1">MemCen1!E258</f>
        <v>12916.3688</v>
      </c>
      <c r="E45" s="183">
        <f ca="1">MemCen1!F258</f>
        <v>14917.779400000001</v>
      </c>
      <c r="F45" s="183">
        <f ca="1">MemCen1!G258</f>
        <v>14624.3822</v>
      </c>
      <c r="G45" s="183">
        <f ca="1">MemCen1!H258</f>
        <v>9385.3372000000018</v>
      </c>
      <c r="H45" s="183">
        <f ca="1">MemCen1!I258</f>
        <v>4484.1118000000006</v>
      </c>
      <c r="I45" s="183">
        <f ca="1">MemCen1!J258</f>
        <v>2642.2835999999998</v>
      </c>
      <c r="J45" s="183">
        <f ca="1">MemCen1!K258</f>
        <v>1877.5394000000001</v>
      </c>
      <c r="K45" s="183">
        <f ca="1">MemCen1!L258</f>
        <v>1510.4126000000001</v>
      </c>
      <c r="L45" s="183">
        <f ca="1">MemCen1!M258</f>
        <v>1735.8820000000001</v>
      </c>
      <c r="M45" s="183">
        <f ca="1">MemCen1!N258</f>
        <v>2903.7176000000004</v>
      </c>
      <c r="N45" s="184">
        <f ca="1">MemCen1!O258</f>
        <v>5658.1788000000006</v>
      </c>
      <c r="O45" s="60"/>
      <c r="P45" s="277"/>
      <c r="Q45" s="278"/>
      <c r="R45" s="278"/>
      <c r="S45" s="278"/>
      <c r="T45" s="278"/>
      <c r="U45" s="278"/>
      <c r="V45" s="278"/>
      <c r="W45" s="278"/>
      <c r="X45" s="278"/>
      <c r="Y45" s="278"/>
      <c r="Z45" s="278"/>
      <c r="AA45" s="279"/>
    </row>
    <row r="46" spans="2:27" x14ac:dyDescent="0.25">
      <c r="B46" s="125" t="s">
        <v>29</v>
      </c>
      <c r="C46" s="173">
        <f ca="1">MemCen1!D265</f>
        <v>262.9821</v>
      </c>
      <c r="D46" s="174">
        <f ca="1">MemCen1!E265</f>
        <v>403.46780000000001</v>
      </c>
      <c r="E46" s="174">
        <f ca="1">MemCen1!F265</f>
        <v>521.56349999999998</v>
      </c>
      <c r="F46" s="174">
        <f ca="1">MemCen1!G265</f>
        <v>696.20180000000005</v>
      </c>
      <c r="G46" s="174">
        <f ca="1">MemCen1!H265</f>
        <v>798.19650000000001</v>
      </c>
      <c r="H46" s="174">
        <f ca="1">MemCen1!I265</f>
        <v>744.55320000000006</v>
      </c>
      <c r="I46" s="174">
        <f ca="1">MemCen1!J265</f>
        <v>508.15870000000001</v>
      </c>
      <c r="J46" s="174">
        <f ca="1">MemCen1!K265</f>
        <v>335.29820000000001</v>
      </c>
      <c r="K46" s="174">
        <f ca="1">MemCen1!L265</f>
        <v>224.87110000000001</v>
      </c>
      <c r="L46" s="174">
        <f ca="1">MemCen1!M265</f>
        <v>152.5256</v>
      </c>
      <c r="M46" s="174">
        <f ca="1">MemCen1!N265</f>
        <v>130.39240000000001</v>
      </c>
      <c r="N46" s="175">
        <f ca="1">MemCen1!O265</f>
        <v>161.0222</v>
      </c>
      <c r="O46" s="60"/>
      <c r="P46" s="268"/>
      <c r="Q46" s="269"/>
      <c r="R46" s="269"/>
      <c r="S46" s="269"/>
      <c r="T46" s="269"/>
      <c r="U46" s="269"/>
      <c r="V46" s="269"/>
      <c r="W46" s="269"/>
      <c r="X46" s="269"/>
      <c r="Y46" s="269"/>
      <c r="Z46" s="269"/>
      <c r="AA46" s="270"/>
    </row>
    <row r="47" spans="2:27" ht="15.75" thickBot="1" x14ac:dyDescent="0.3">
      <c r="B47" s="123" t="s">
        <v>289</v>
      </c>
      <c r="C47" s="185">
        <f ca="1">MemCen1!D271</f>
        <v>83.464199999999991</v>
      </c>
      <c r="D47" s="186">
        <f ca="1">MemCen1!E271</f>
        <v>155.98740000000001</v>
      </c>
      <c r="E47" s="186">
        <f ca="1">MemCen1!F271</f>
        <v>237.8886</v>
      </c>
      <c r="F47" s="186">
        <f ca="1">MemCen1!G271</f>
        <v>294.4692</v>
      </c>
      <c r="G47" s="186">
        <f ca="1">MemCen1!H271</f>
        <v>314.78819999999996</v>
      </c>
      <c r="H47" s="186">
        <f ca="1">MemCen1!I271</f>
        <v>249.45479999999998</v>
      </c>
      <c r="I47" s="186">
        <f ca="1">MemCen1!J271</f>
        <v>184.12139999999999</v>
      </c>
      <c r="J47" s="186">
        <f ca="1">MemCen1!K271</f>
        <v>124.2585</v>
      </c>
      <c r="K47" s="186">
        <f ca="1">MemCen1!L271</f>
        <v>71.897999999999996</v>
      </c>
      <c r="L47" s="186">
        <f ca="1">MemCen1!M271</f>
        <v>43.607700000000001</v>
      </c>
      <c r="M47" s="186">
        <f ca="1">MemCen1!N271</f>
        <v>31.259999999999998</v>
      </c>
      <c r="N47" s="187">
        <f ca="1">MemCen1!O271</f>
        <v>36.261600000000001</v>
      </c>
      <c r="O47" s="60"/>
      <c r="P47" s="280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2"/>
    </row>
    <row r="48" spans="2:27" x14ac:dyDescent="0.25">
      <c r="B48" s="46"/>
      <c r="F48" s="60"/>
      <c r="G48" s="60"/>
      <c r="H48" s="60"/>
      <c r="I48" s="60"/>
      <c r="J48" s="60"/>
      <c r="K48" s="60"/>
      <c r="L48" s="60"/>
      <c r="M48" s="60"/>
      <c r="N48" s="60"/>
    </row>
    <row r="49" spans="1:19" x14ac:dyDescent="0.25">
      <c r="B49" s="46"/>
      <c r="F49" s="60"/>
      <c r="G49" s="60"/>
      <c r="H49" s="60"/>
      <c r="I49" s="60"/>
      <c r="J49" s="60"/>
      <c r="K49" s="60"/>
      <c r="L49" s="60"/>
      <c r="M49" s="60"/>
      <c r="N49" s="60"/>
    </row>
    <row r="50" spans="1:19" x14ac:dyDescent="0.25">
      <c r="F50" s="60"/>
      <c r="G50" s="60"/>
      <c r="H50" s="60"/>
      <c r="I50" s="60"/>
      <c r="J50" s="60"/>
      <c r="K50" s="60"/>
      <c r="L50" s="60"/>
      <c r="M50" s="60"/>
      <c r="N50" s="60"/>
    </row>
    <row r="51" spans="1:19" x14ac:dyDescent="0.25"/>
    <row r="52" spans="1:19" x14ac:dyDescent="0.25">
      <c r="A52" s="136" t="s">
        <v>38</v>
      </c>
      <c r="B52" s="136" t="s">
        <v>530</v>
      </c>
      <c r="C52" s="136">
        <v>1</v>
      </c>
      <c r="D52" s="136">
        <v>2</v>
      </c>
      <c r="E52" s="136">
        <v>3</v>
      </c>
      <c r="F52" s="136">
        <v>4</v>
      </c>
      <c r="G52" s="136">
        <v>5</v>
      </c>
      <c r="H52" s="136">
        <v>6</v>
      </c>
      <c r="I52" s="136">
        <v>7</v>
      </c>
      <c r="J52" s="136">
        <v>8</v>
      </c>
      <c r="K52" s="136">
        <v>9</v>
      </c>
      <c r="L52" s="136">
        <v>10</v>
      </c>
      <c r="M52" s="136">
        <v>11</v>
      </c>
      <c r="N52" s="136">
        <v>12</v>
      </c>
      <c r="Q52" s="46" t="s">
        <v>532</v>
      </c>
      <c r="R52" s="46" t="s">
        <v>695</v>
      </c>
      <c r="S52" s="46" t="s">
        <v>696</v>
      </c>
    </row>
    <row r="53" spans="1:19" x14ac:dyDescent="0.25">
      <c r="A53" s="139">
        <v>1</v>
      </c>
      <c r="B53" s="140"/>
      <c r="C53" s="140">
        <f t="shared" ref="C53:N62" ca="1" si="4">ROUND(INDEX(INDIRECT(IF(C$13="E",$Q$53,$Q$54)),$A53,C$52),0)</f>
        <v>254</v>
      </c>
      <c r="D53" s="140">
        <f t="shared" ca="1" si="4"/>
        <v>230</v>
      </c>
      <c r="E53" s="140">
        <f t="shared" ca="1" si="4"/>
        <v>204</v>
      </c>
      <c r="F53" s="140">
        <f t="shared" ca="1" si="4"/>
        <v>139</v>
      </c>
      <c r="G53" s="141">
        <f t="shared" ca="1" si="4"/>
        <v>105</v>
      </c>
      <c r="H53" s="141">
        <f t="shared" ca="1" si="4"/>
        <v>89</v>
      </c>
      <c r="I53" s="141">
        <f t="shared" ca="1" si="4"/>
        <v>74</v>
      </c>
      <c r="J53" s="141">
        <f t="shared" ca="1" si="4"/>
        <v>64</v>
      </c>
      <c r="K53" s="141">
        <f t="shared" ca="1" si="4"/>
        <v>67</v>
      </c>
      <c r="L53" s="141">
        <f t="shared" ca="1" si="4"/>
        <v>79</v>
      </c>
      <c r="M53" s="141">
        <f t="shared" ca="1" si="4"/>
        <v>111</v>
      </c>
      <c r="N53" s="142">
        <f t="shared" ca="1" si="4"/>
        <v>182</v>
      </c>
      <c r="P53" s="46" t="s">
        <v>703</v>
      </c>
      <c r="Q53" s="46" t="s">
        <v>704</v>
      </c>
    </row>
    <row r="54" spans="1:19" x14ac:dyDescent="0.25">
      <c r="A54" s="143">
        <v>2</v>
      </c>
      <c r="B54" s="137"/>
      <c r="C54" s="137">
        <f t="shared" ca="1" si="4"/>
        <v>254</v>
      </c>
      <c r="D54" s="137">
        <f t="shared" ca="1" si="4"/>
        <v>230</v>
      </c>
      <c r="E54" s="137">
        <f t="shared" ca="1" si="4"/>
        <v>204</v>
      </c>
      <c r="F54" s="144">
        <f t="shared" ca="1" si="4"/>
        <v>139</v>
      </c>
      <c r="G54" s="144">
        <f t="shared" ca="1" si="4"/>
        <v>105</v>
      </c>
      <c r="H54" s="144">
        <f t="shared" ca="1" si="4"/>
        <v>89</v>
      </c>
      <c r="I54" s="144">
        <f t="shared" ca="1" si="4"/>
        <v>74</v>
      </c>
      <c r="J54" s="144">
        <f t="shared" ca="1" si="4"/>
        <v>64</v>
      </c>
      <c r="K54" s="144">
        <f t="shared" ca="1" si="4"/>
        <v>67</v>
      </c>
      <c r="L54" s="144">
        <f t="shared" ca="1" si="4"/>
        <v>79</v>
      </c>
      <c r="M54" s="144">
        <f t="shared" ca="1" si="4"/>
        <v>111</v>
      </c>
      <c r="N54" s="145">
        <f t="shared" ca="1" si="4"/>
        <v>182</v>
      </c>
      <c r="P54" s="46" t="s">
        <v>702</v>
      </c>
      <c r="Q54" s="46" t="s">
        <v>705</v>
      </c>
    </row>
    <row r="55" spans="1:19" x14ac:dyDescent="0.25">
      <c r="A55" s="143">
        <v>3</v>
      </c>
      <c r="B55" s="137"/>
      <c r="C55" s="137">
        <f t="shared" ca="1" si="4"/>
        <v>0</v>
      </c>
      <c r="D55" s="137">
        <f t="shared" ca="1" si="4"/>
        <v>0</v>
      </c>
      <c r="E55" s="137">
        <f t="shared" ca="1" si="4"/>
        <v>0</v>
      </c>
      <c r="F55" s="144">
        <f t="shared" ca="1" si="4"/>
        <v>0</v>
      </c>
      <c r="G55" s="144">
        <f t="shared" ca="1" si="4"/>
        <v>0</v>
      </c>
      <c r="H55" s="144">
        <f t="shared" ca="1" si="4"/>
        <v>0</v>
      </c>
      <c r="I55" s="144">
        <f t="shared" ca="1" si="4"/>
        <v>0</v>
      </c>
      <c r="J55" s="144">
        <f t="shared" ca="1" si="4"/>
        <v>0</v>
      </c>
      <c r="K55" s="144">
        <f t="shared" ca="1" si="4"/>
        <v>0</v>
      </c>
      <c r="L55" s="144">
        <f t="shared" ca="1" si="4"/>
        <v>0</v>
      </c>
      <c r="M55" s="144">
        <f t="shared" ca="1" si="4"/>
        <v>0</v>
      </c>
      <c r="N55" s="145">
        <f t="shared" ca="1" si="4"/>
        <v>0</v>
      </c>
    </row>
    <row r="56" spans="1:19" x14ac:dyDescent="0.25">
      <c r="A56" s="143">
        <v>4</v>
      </c>
      <c r="B56" s="137"/>
      <c r="C56" s="137">
        <f t="shared" ca="1" si="4"/>
        <v>0</v>
      </c>
      <c r="D56" s="137">
        <f t="shared" ca="1" si="4"/>
        <v>0</v>
      </c>
      <c r="E56" s="137">
        <f t="shared" ca="1" si="4"/>
        <v>0</v>
      </c>
      <c r="F56" s="144">
        <f t="shared" ca="1" si="4"/>
        <v>0</v>
      </c>
      <c r="G56" s="144">
        <f t="shared" ca="1" si="4"/>
        <v>0</v>
      </c>
      <c r="H56" s="144">
        <f t="shared" ca="1" si="4"/>
        <v>0</v>
      </c>
      <c r="I56" s="144">
        <f t="shared" ca="1" si="4"/>
        <v>0</v>
      </c>
      <c r="J56" s="144">
        <f t="shared" ca="1" si="4"/>
        <v>0</v>
      </c>
      <c r="K56" s="144">
        <f t="shared" ca="1" si="4"/>
        <v>0</v>
      </c>
      <c r="L56" s="144">
        <f t="shared" ca="1" si="4"/>
        <v>0</v>
      </c>
      <c r="M56" s="144">
        <f t="shared" ca="1" si="4"/>
        <v>0</v>
      </c>
      <c r="N56" s="145">
        <f t="shared" ca="1" si="4"/>
        <v>0</v>
      </c>
    </row>
    <row r="57" spans="1:19" x14ac:dyDescent="0.25">
      <c r="A57" s="143">
        <v>5</v>
      </c>
      <c r="B57" s="137"/>
      <c r="C57" s="137">
        <f t="shared" ca="1" si="4"/>
        <v>0</v>
      </c>
      <c r="D57" s="137">
        <f t="shared" ca="1" si="4"/>
        <v>0</v>
      </c>
      <c r="E57" s="137">
        <f t="shared" ca="1" si="4"/>
        <v>0</v>
      </c>
      <c r="F57" s="144">
        <f t="shared" ca="1" si="4"/>
        <v>0</v>
      </c>
      <c r="G57" s="144">
        <f t="shared" ca="1" si="4"/>
        <v>0</v>
      </c>
      <c r="H57" s="144">
        <f t="shared" ca="1" si="4"/>
        <v>0</v>
      </c>
      <c r="I57" s="144">
        <f t="shared" ca="1" si="4"/>
        <v>0</v>
      </c>
      <c r="J57" s="144">
        <f t="shared" ca="1" si="4"/>
        <v>0</v>
      </c>
      <c r="K57" s="144">
        <f t="shared" ca="1" si="4"/>
        <v>0</v>
      </c>
      <c r="L57" s="144">
        <f t="shared" ca="1" si="4"/>
        <v>0</v>
      </c>
      <c r="M57" s="144">
        <f t="shared" ca="1" si="4"/>
        <v>0</v>
      </c>
      <c r="N57" s="145">
        <f t="shared" ca="1" si="4"/>
        <v>0</v>
      </c>
    </row>
    <row r="58" spans="1:19" x14ac:dyDescent="0.25">
      <c r="A58" s="143">
        <v>6</v>
      </c>
      <c r="B58" s="137"/>
      <c r="C58" s="137">
        <f t="shared" ca="1" si="4"/>
        <v>1782</v>
      </c>
      <c r="D58" s="137">
        <f t="shared" ca="1" si="4"/>
        <v>1653</v>
      </c>
      <c r="E58" s="137">
        <f t="shared" ca="1" si="4"/>
        <v>1470</v>
      </c>
      <c r="F58" s="144">
        <f t="shared" ca="1" si="4"/>
        <v>1010</v>
      </c>
      <c r="G58" s="144">
        <f t="shared" ca="1" si="4"/>
        <v>738</v>
      </c>
      <c r="H58" s="144">
        <f t="shared" ca="1" si="4"/>
        <v>616</v>
      </c>
      <c r="I58" s="144">
        <f t="shared" ca="1" si="4"/>
        <v>506</v>
      </c>
      <c r="J58" s="144">
        <f t="shared" ca="1" si="4"/>
        <v>416</v>
      </c>
      <c r="K58" s="144">
        <f t="shared" ca="1" si="4"/>
        <v>433</v>
      </c>
      <c r="L58" s="144">
        <f t="shared" ca="1" si="4"/>
        <v>511</v>
      </c>
      <c r="M58" s="144">
        <f t="shared" ca="1" si="4"/>
        <v>722</v>
      </c>
      <c r="N58" s="145">
        <f t="shared" ca="1" si="4"/>
        <v>1244</v>
      </c>
    </row>
    <row r="59" spans="1:19" x14ac:dyDescent="0.25">
      <c r="A59" s="143">
        <v>7</v>
      </c>
      <c r="B59" s="137"/>
      <c r="C59" s="137">
        <f t="shared" ca="1" si="4"/>
        <v>1986</v>
      </c>
      <c r="D59" s="137">
        <f t="shared" ca="1" si="4"/>
        <v>1860</v>
      </c>
      <c r="E59" s="137">
        <f t="shared" ca="1" si="4"/>
        <v>1656</v>
      </c>
      <c r="F59" s="144">
        <f t="shared" ca="1" si="4"/>
        <v>1139</v>
      </c>
      <c r="G59" s="144">
        <f t="shared" ca="1" si="4"/>
        <v>830</v>
      </c>
      <c r="H59" s="144">
        <f t="shared" ca="1" si="4"/>
        <v>688</v>
      </c>
      <c r="I59" s="144">
        <f t="shared" ca="1" si="4"/>
        <v>565</v>
      </c>
      <c r="J59" s="144">
        <f t="shared" ca="1" si="4"/>
        <v>464</v>
      </c>
      <c r="K59" s="144">
        <f t="shared" ca="1" si="4"/>
        <v>480</v>
      </c>
      <c r="L59" s="144">
        <f t="shared" ca="1" si="4"/>
        <v>567</v>
      </c>
      <c r="M59" s="144">
        <f t="shared" ca="1" si="4"/>
        <v>796</v>
      </c>
      <c r="N59" s="145">
        <f t="shared" ca="1" si="4"/>
        <v>1370</v>
      </c>
    </row>
    <row r="60" spans="1:19" x14ac:dyDescent="0.25">
      <c r="A60" s="143">
        <v>8</v>
      </c>
      <c r="B60" s="137"/>
      <c r="C60" s="137">
        <f t="shared" ca="1" si="4"/>
        <v>2029</v>
      </c>
      <c r="D60" s="137">
        <f t="shared" ca="1" si="4"/>
        <v>1910</v>
      </c>
      <c r="E60" s="137">
        <f t="shared" ca="1" si="4"/>
        <v>1702</v>
      </c>
      <c r="F60" s="144">
        <f t="shared" ca="1" si="4"/>
        <v>1175</v>
      </c>
      <c r="G60" s="144">
        <f t="shared" ca="1" si="4"/>
        <v>854</v>
      </c>
      <c r="H60" s="144">
        <f t="shared" ca="1" si="4"/>
        <v>707</v>
      </c>
      <c r="I60" s="144">
        <f t="shared" ca="1" si="4"/>
        <v>580</v>
      </c>
      <c r="J60" s="144">
        <f t="shared" ca="1" si="4"/>
        <v>475</v>
      </c>
      <c r="K60" s="144">
        <f t="shared" ca="1" si="4"/>
        <v>490</v>
      </c>
      <c r="L60" s="144">
        <f t="shared" ca="1" si="4"/>
        <v>578</v>
      </c>
      <c r="M60" s="144">
        <f t="shared" ca="1" si="4"/>
        <v>811</v>
      </c>
      <c r="N60" s="145">
        <f t="shared" ca="1" si="4"/>
        <v>1392</v>
      </c>
    </row>
    <row r="61" spans="1:19" x14ac:dyDescent="0.25">
      <c r="A61" s="143">
        <v>9</v>
      </c>
      <c r="B61" s="137"/>
      <c r="C61" s="137">
        <f t="shared" ca="1" si="4"/>
        <v>2046</v>
      </c>
      <c r="D61" s="137">
        <f t="shared" ca="1" si="4"/>
        <v>1932</v>
      </c>
      <c r="E61" s="137">
        <f t="shared" ca="1" si="4"/>
        <v>1722</v>
      </c>
      <c r="F61" s="144">
        <f t="shared" ca="1" si="4"/>
        <v>1192</v>
      </c>
      <c r="G61" s="144">
        <f t="shared" ca="1" si="4"/>
        <v>864</v>
      </c>
      <c r="H61" s="144">
        <f t="shared" ca="1" si="4"/>
        <v>715</v>
      </c>
      <c r="I61" s="144">
        <f t="shared" ca="1" si="4"/>
        <v>586</v>
      </c>
      <c r="J61" s="144">
        <f t="shared" ca="1" si="4"/>
        <v>480</v>
      </c>
      <c r="K61" s="144">
        <f t="shared" ca="1" si="4"/>
        <v>494</v>
      </c>
      <c r="L61" s="144">
        <f t="shared" ca="1" si="4"/>
        <v>583</v>
      </c>
      <c r="M61" s="144">
        <f t="shared" ca="1" si="4"/>
        <v>816</v>
      </c>
      <c r="N61" s="145">
        <f t="shared" ca="1" si="4"/>
        <v>1399</v>
      </c>
    </row>
    <row r="62" spans="1:19" x14ac:dyDescent="0.25">
      <c r="A62" s="143">
        <v>10</v>
      </c>
      <c r="B62" s="137"/>
      <c r="C62" s="137">
        <f t="shared" ca="1" si="4"/>
        <v>2096</v>
      </c>
      <c r="D62" s="137">
        <f t="shared" ca="1" si="4"/>
        <v>1994</v>
      </c>
      <c r="E62" s="137">
        <f t="shared" ca="1" si="4"/>
        <v>1777</v>
      </c>
      <c r="F62" s="144">
        <f t="shared" ca="1" si="4"/>
        <v>1236</v>
      </c>
      <c r="G62" s="144">
        <f t="shared" ca="1" si="4"/>
        <v>891</v>
      </c>
      <c r="H62" s="144">
        <f t="shared" ca="1" si="4"/>
        <v>736</v>
      </c>
      <c r="I62" s="144">
        <f t="shared" ca="1" si="4"/>
        <v>603</v>
      </c>
      <c r="J62" s="144">
        <f t="shared" ca="1" si="4"/>
        <v>494</v>
      </c>
      <c r="K62" s="144">
        <f t="shared" ca="1" si="4"/>
        <v>506</v>
      </c>
      <c r="L62" s="144">
        <f t="shared" ca="1" si="4"/>
        <v>596</v>
      </c>
      <c r="M62" s="144">
        <f t="shared" ca="1" si="4"/>
        <v>832</v>
      </c>
      <c r="N62" s="145">
        <f t="shared" ca="1" si="4"/>
        <v>1423</v>
      </c>
    </row>
    <row r="63" spans="1:19" x14ac:dyDescent="0.25">
      <c r="A63" s="143">
        <v>11</v>
      </c>
      <c r="B63" s="137"/>
      <c r="C63" s="137">
        <f t="shared" ref="C63:N72" ca="1" si="5">ROUND(INDEX(INDIRECT(IF(C$13="E",$Q$53,$Q$54)),$A63,C$52),0)</f>
        <v>2210</v>
      </c>
      <c r="D63" s="137">
        <f t="shared" ca="1" si="5"/>
        <v>2123</v>
      </c>
      <c r="E63" s="137">
        <f t="shared" ca="1" si="5"/>
        <v>1895</v>
      </c>
      <c r="F63" s="144">
        <f t="shared" ca="1" si="5"/>
        <v>1328</v>
      </c>
      <c r="G63" s="144">
        <f t="shared" ca="1" si="5"/>
        <v>952</v>
      </c>
      <c r="H63" s="144">
        <f t="shared" ca="1" si="5"/>
        <v>785</v>
      </c>
      <c r="I63" s="144">
        <f t="shared" ca="1" si="5"/>
        <v>641</v>
      </c>
      <c r="J63" s="144">
        <f t="shared" ca="1" si="5"/>
        <v>524</v>
      </c>
      <c r="K63" s="144">
        <f t="shared" ca="1" si="5"/>
        <v>533</v>
      </c>
      <c r="L63" s="144">
        <f t="shared" ca="1" si="5"/>
        <v>627</v>
      </c>
      <c r="M63" s="144">
        <f t="shared" ca="1" si="5"/>
        <v>873</v>
      </c>
      <c r="N63" s="145">
        <f t="shared" ca="1" si="5"/>
        <v>1487</v>
      </c>
    </row>
    <row r="64" spans="1:19" x14ac:dyDescent="0.25">
      <c r="A64" s="143">
        <v>12</v>
      </c>
      <c r="B64" s="137"/>
      <c r="C64" s="137">
        <f t="shared" ca="1" si="5"/>
        <v>2494</v>
      </c>
      <c r="D64" s="137">
        <f t="shared" ca="1" si="5"/>
        <v>2425</v>
      </c>
      <c r="E64" s="137">
        <f t="shared" ca="1" si="5"/>
        <v>2172</v>
      </c>
      <c r="F64" s="144">
        <f t="shared" ca="1" si="5"/>
        <v>1534</v>
      </c>
      <c r="G64" s="144">
        <f t="shared" ca="1" si="5"/>
        <v>1094</v>
      </c>
      <c r="H64" s="144">
        <f t="shared" ca="1" si="5"/>
        <v>896</v>
      </c>
      <c r="I64" s="144">
        <f t="shared" ca="1" si="5"/>
        <v>728</v>
      </c>
      <c r="J64" s="144">
        <f t="shared" ca="1" si="5"/>
        <v>594</v>
      </c>
      <c r="K64" s="144">
        <f t="shared" ca="1" si="5"/>
        <v>598</v>
      </c>
      <c r="L64" s="144">
        <f t="shared" ca="1" si="5"/>
        <v>705</v>
      </c>
      <c r="M64" s="144">
        <f t="shared" ca="1" si="5"/>
        <v>979</v>
      </c>
      <c r="N64" s="145">
        <f t="shared" ca="1" si="5"/>
        <v>1662</v>
      </c>
    </row>
    <row r="65" spans="1:14" x14ac:dyDescent="0.25">
      <c r="A65" s="143">
        <v>13</v>
      </c>
      <c r="B65" s="137"/>
      <c r="C65" s="137">
        <f t="shared" ca="1" si="5"/>
        <v>0</v>
      </c>
      <c r="D65" s="137">
        <f t="shared" ca="1" si="5"/>
        <v>0</v>
      </c>
      <c r="E65" s="137">
        <f t="shared" ca="1" si="5"/>
        <v>0</v>
      </c>
      <c r="F65" s="144">
        <f t="shared" ca="1" si="5"/>
        <v>0</v>
      </c>
      <c r="G65" s="144">
        <f t="shared" ca="1" si="5"/>
        <v>0</v>
      </c>
      <c r="H65" s="144">
        <f t="shared" ca="1" si="5"/>
        <v>0</v>
      </c>
      <c r="I65" s="144">
        <f t="shared" ca="1" si="5"/>
        <v>0</v>
      </c>
      <c r="J65" s="144">
        <f t="shared" ca="1" si="5"/>
        <v>0</v>
      </c>
      <c r="K65" s="144">
        <f t="shared" ca="1" si="5"/>
        <v>0</v>
      </c>
      <c r="L65" s="144">
        <f t="shared" ca="1" si="5"/>
        <v>0</v>
      </c>
      <c r="M65" s="144">
        <f t="shared" ca="1" si="5"/>
        <v>0</v>
      </c>
      <c r="N65" s="145">
        <f t="shared" ca="1" si="5"/>
        <v>0</v>
      </c>
    </row>
    <row r="66" spans="1:14" x14ac:dyDescent="0.25">
      <c r="A66" s="143">
        <v>14</v>
      </c>
      <c r="B66" s="137"/>
      <c r="C66" s="137">
        <f t="shared" ca="1" si="5"/>
        <v>98</v>
      </c>
      <c r="D66" s="137">
        <f t="shared" ca="1" si="5"/>
        <v>100</v>
      </c>
      <c r="E66" s="137">
        <f t="shared" ca="1" si="5"/>
        <v>87</v>
      </c>
      <c r="F66" s="144">
        <f t="shared" ca="1" si="5"/>
        <v>60</v>
      </c>
      <c r="G66" s="144">
        <f t="shared" ca="1" si="5"/>
        <v>44</v>
      </c>
      <c r="H66" s="144">
        <f t="shared" ca="1" si="5"/>
        <v>36</v>
      </c>
      <c r="I66" s="144">
        <f t="shared" ca="1" si="5"/>
        <v>29</v>
      </c>
      <c r="J66" s="144">
        <f t="shared" ca="1" si="5"/>
        <v>25</v>
      </c>
      <c r="K66" s="144">
        <f t="shared" ca="1" si="5"/>
        <v>25</v>
      </c>
      <c r="L66" s="144">
        <f t="shared" ca="1" si="5"/>
        <v>31</v>
      </c>
      <c r="M66" s="144">
        <f t="shared" ca="1" si="5"/>
        <v>40</v>
      </c>
      <c r="N66" s="145">
        <f t="shared" ca="1" si="5"/>
        <v>70</v>
      </c>
    </row>
    <row r="67" spans="1:14" x14ac:dyDescent="0.25">
      <c r="A67" s="143">
        <v>15</v>
      </c>
      <c r="B67" s="137"/>
      <c r="C67" s="137">
        <f t="shared" ca="1" si="5"/>
        <v>160</v>
      </c>
      <c r="D67" s="137">
        <f t="shared" ca="1" si="5"/>
        <v>164</v>
      </c>
      <c r="E67" s="137">
        <f t="shared" ca="1" si="5"/>
        <v>142</v>
      </c>
      <c r="F67" s="144">
        <f t="shared" ca="1" si="5"/>
        <v>97</v>
      </c>
      <c r="G67" s="144">
        <f t="shared" ca="1" si="5"/>
        <v>71</v>
      </c>
      <c r="H67" s="144">
        <f t="shared" ca="1" si="5"/>
        <v>59</v>
      </c>
      <c r="I67" s="144">
        <f t="shared" ca="1" si="5"/>
        <v>49</v>
      </c>
      <c r="J67" s="144">
        <f t="shared" ca="1" si="5"/>
        <v>41</v>
      </c>
      <c r="K67" s="144">
        <f t="shared" ca="1" si="5"/>
        <v>42</v>
      </c>
      <c r="L67" s="144">
        <f t="shared" ca="1" si="5"/>
        <v>51</v>
      </c>
      <c r="M67" s="144">
        <f t="shared" ca="1" si="5"/>
        <v>64</v>
      </c>
      <c r="N67" s="145">
        <f t="shared" ca="1" si="5"/>
        <v>114</v>
      </c>
    </row>
    <row r="68" spans="1:14" x14ac:dyDescent="0.25">
      <c r="A68" s="143">
        <v>16</v>
      </c>
      <c r="B68" s="137"/>
      <c r="C68" s="137">
        <f t="shared" ca="1" si="5"/>
        <v>162</v>
      </c>
      <c r="D68" s="137">
        <f t="shared" ca="1" si="5"/>
        <v>167</v>
      </c>
      <c r="E68" s="137">
        <f t="shared" ca="1" si="5"/>
        <v>145</v>
      </c>
      <c r="F68" s="144">
        <f t="shared" ca="1" si="5"/>
        <v>99</v>
      </c>
      <c r="G68" s="144">
        <f t="shared" ca="1" si="5"/>
        <v>72</v>
      </c>
      <c r="H68" s="144">
        <f t="shared" ca="1" si="5"/>
        <v>60</v>
      </c>
      <c r="I68" s="144">
        <f t="shared" ca="1" si="5"/>
        <v>49</v>
      </c>
      <c r="J68" s="144">
        <f t="shared" ca="1" si="5"/>
        <v>42</v>
      </c>
      <c r="K68" s="144">
        <f t="shared" ca="1" si="5"/>
        <v>43</v>
      </c>
      <c r="L68" s="144">
        <f t="shared" ca="1" si="5"/>
        <v>52</v>
      </c>
      <c r="M68" s="144">
        <f t="shared" ca="1" si="5"/>
        <v>65</v>
      </c>
      <c r="N68" s="145">
        <f t="shared" ca="1" si="5"/>
        <v>116</v>
      </c>
    </row>
    <row r="69" spans="1:14" x14ac:dyDescent="0.25">
      <c r="A69" s="143">
        <v>17</v>
      </c>
      <c r="B69" s="137"/>
      <c r="C69" s="137">
        <f t="shared" ca="1" si="5"/>
        <v>3311</v>
      </c>
      <c r="D69" s="137">
        <f t="shared" ca="1" si="5"/>
        <v>3391</v>
      </c>
      <c r="E69" s="137">
        <f t="shared" ca="1" si="5"/>
        <v>3037</v>
      </c>
      <c r="F69" s="144">
        <f t="shared" ca="1" si="5"/>
        <v>2195</v>
      </c>
      <c r="G69" s="144">
        <f t="shared" ca="1" si="5"/>
        <v>1574</v>
      </c>
      <c r="H69" s="144">
        <f t="shared" ca="1" si="5"/>
        <v>1314</v>
      </c>
      <c r="I69" s="144">
        <f t="shared" ca="1" si="5"/>
        <v>1074</v>
      </c>
      <c r="J69" s="144">
        <f t="shared" ca="1" si="5"/>
        <v>891</v>
      </c>
      <c r="K69" s="144">
        <f t="shared" ca="1" si="5"/>
        <v>882</v>
      </c>
      <c r="L69" s="144">
        <f t="shared" ca="1" si="5"/>
        <v>1014</v>
      </c>
      <c r="M69" s="144">
        <f t="shared" ca="1" si="5"/>
        <v>1352</v>
      </c>
      <c r="N69" s="145">
        <f t="shared" ca="1" si="5"/>
        <v>2233</v>
      </c>
    </row>
    <row r="70" spans="1:14" x14ac:dyDescent="0.25">
      <c r="A70" s="143">
        <v>18</v>
      </c>
      <c r="B70" s="137"/>
      <c r="C70" s="137">
        <f t="shared" ca="1" si="5"/>
        <v>3688</v>
      </c>
      <c r="D70" s="137">
        <f t="shared" ca="1" si="5"/>
        <v>3840</v>
      </c>
      <c r="E70" s="137">
        <f t="shared" ca="1" si="5"/>
        <v>3458</v>
      </c>
      <c r="F70" s="144">
        <f t="shared" ca="1" si="5"/>
        <v>2518</v>
      </c>
      <c r="G70" s="144">
        <f t="shared" ca="1" si="5"/>
        <v>1797</v>
      </c>
      <c r="H70" s="144">
        <f t="shared" ca="1" si="5"/>
        <v>1506</v>
      </c>
      <c r="I70" s="144">
        <f t="shared" ca="1" si="5"/>
        <v>1233</v>
      </c>
      <c r="J70" s="144">
        <f t="shared" ca="1" si="5"/>
        <v>1028</v>
      </c>
      <c r="K70" s="144">
        <f t="shared" ca="1" si="5"/>
        <v>1011</v>
      </c>
      <c r="L70" s="144">
        <f t="shared" ca="1" si="5"/>
        <v>1163</v>
      </c>
      <c r="M70" s="144">
        <f t="shared" ca="1" si="5"/>
        <v>1520</v>
      </c>
      <c r="N70" s="145">
        <f t="shared" ca="1" si="5"/>
        <v>2466</v>
      </c>
    </row>
    <row r="71" spans="1:14" x14ac:dyDescent="0.25">
      <c r="A71" s="143">
        <v>19</v>
      </c>
      <c r="B71" s="137"/>
      <c r="C71" s="137">
        <f t="shared" ca="1" si="5"/>
        <v>0</v>
      </c>
      <c r="D71" s="137">
        <f t="shared" ca="1" si="5"/>
        <v>0</v>
      </c>
      <c r="E71" s="137">
        <f t="shared" ca="1" si="5"/>
        <v>0</v>
      </c>
      <c r="F71" s="144">
        <f t="shared" ca="1" si="5"/>
        <v>0</v>
      </c>
      <c r="G71" s="144">
        <f t="shared" ca="1" si="5"/>
        <v>0</v>
      </c>
      <c r="H71" s="144">
        <f t="shared" ca="1" si="5"/>
        <v>0</v>
      </c>
      <c r="I71" s="144">
        <f t="shared" ca="1" si="5"/>
        <v>0</v>
      </c>
      <c r="J71" s="144">
        <f t="shared" ca="1" si="5"/>
        <v>0</v>
      </c>
      <c r="K71" s="144">
        <f t="shared" ca="1" si="5"/>
        <v>0</v>
      </c>
      <c r="L71" s="144">
        <f t="shared" ca="1" si="5"/>
        <v>0</v>
      </c>
      <c r="M71" s="144">
        <f t="shared" ca="1" si="5"/>
        <v>0</v>
      </c>
      <c r="N71" s="145">
        <f t="shared" ca="1" si="5"/>
        <v>0</v>
      </c>
    </row>
    <row r="72" spans="1:14" x14ac:dyDescent="0.25">
      <c r="A72" s="143">
        <v>20</v>
      </c>
      <c r="B72" s="137"/>
      <c r="C72" s="137">
        <f t="shared" ca="1" si="5"/>
        <v>331</v>
      </c>
      <c r="D72" s="137">
        <f t="shared" ca="1" si="5"/>
        <v>332</v>
      </c>
      <c r="E72" s="137">
        <f t="shared" ca="1" si="5"/>
        <v>301</v>
      </c>
      <c r="F72" s="144">
        <f t="shared" ca="1" si="5"/>
        <v>215</v>
      </c>
      <c r="G72" s="144">
        <f t="shared" ca="1" si="5"/>
        <v>136</v>
      </c>
      <c r="H72" s="144">
        <f t="shared" ca="1" si="5"/>
        <v>104</v>
      </c>
      <c r="I72" s="144">
        <f t="shared" ca="1" si="5"/>
        <v>82</v>
      </c>
      <c r="J72" s="144">
        <f t="shared" ca="1" si="5"/>
        <v>65</v>
      </c>
      <c r="K72" s="144">
        <f t="shared" ca="1" si="5"/>
        <v>56</v>
      </c>
      <c r="L72" s="144">
        <f t="shared" ca="1" si="5"/>
        <v>70</v>
      </c>
      <c r="M72" s="144">
        <f t="shared" ca="1" si="5"/>
        <v>122</v>
      </c>
      <c r="N72" s="145">
        <f t="shared" ca="1" si="5"/>
        <v>236</v>
      </c>
    </row>
    <row r="73" spans="1:14" x14ac:dyDescent="0.25">
      <c r="A73" s="143">
        <v>21</v>
      </c>
      <c r="B73" s="137"/>
      <c r="C73" s="137">
        <f t="shared" ref="C73:N82" ca="1" si="6">ROUND(INDEX(INDIRECT(IF(C$13="E",$Q$53,$Q$54)),$A73,C$52),0)</f>
        <v>0</v>
      </c>
      <c r="D73" s="137">
        <f t="shared" ca="1" si="6"/>
        <v>0</v>
      </c>
      <c r="E73" s="137">
        <f t="shared" ca="1" si="6"/>
        <v>0</v>
      </c>
      <c r="F73" s="144">
        <f t="shared" ca="1" si="6"/>
        <v>0</v>
      </c>
      <c r="G73" s="144">
        <f t="shared" ca="1" si="6"/>
        <v>0</v>
      </c>
      <c r="H73" s="144">
        <f t="shared" ca="1" si="6"/>
        <v>0</v>
      </c>
      <c r="I73" s="144">
        <f t="shared" ca="1" si="6"/>
        <v>0</v>
      </c>
      <c r="J73" s="144">
        <f t="shared" ca="1" si="6"/>
        <v>0</v>
      </c>
      <c r="K73" s="144">
        <f t="shared" ca="1" si="6"/>
        <v>0</v>
      </c>
      <c r="L73" s="144">
        <f t="shared" ca="1" si="6"/>
        <v>0</v>
      </c>
      <c r="M73" s="144">
        <f t="shared" ca="1" si="6"/>
        <v>0</v>
      </c>
      <c r="N73" s="145">
        <f t="shared" ca="1" si="6"/>
        <v>0</v>
      </c>
    </row>
    <row r="74" spans="1:14" x14ac:dyDescent="0.25">
      <c r="A74" s="143">
        <v>22</v>
      </c>
      <c r="B74" s="137"/>
      <c r="C74" s="137">
        <f t="shared" ca="1" si="6"/>
        <v>193</v>
      </c>
      <c r="D74" s="137">
        <f t="shared" ca="1" si="6"/>
        <v>196</v>
      </c>
      <c r="E74" s="137">
        <f t="shared" ca="1" si="6"/>
        <v>199</v>
      </c>
      <c r="F74" s="144">
        <f t="shared" ca="1" si="6"/>
        <v>150</v>
      </c>
      <c r="G74" s="144">
        <f t="shared" ca="1" si="6"/>
        <v>96</v>
      </c>
      <c r="H74" s="144">
        <f t="shared" ca="1" si="6"/>
        <v>73</v>
      </c>
      <c r="I74" s="144">
        <f t="shared" ca="1" si="6"/>
        <v>58</v>
      </c>
      <c r="J74" s="144">
        <f t="shared" ca="1" si="6"/>
        <v>45</v>
      </c>
      <c r="K74" s="144">
        <f t="shared" ca="1" si="6"/>
        <v>39</v>
      </c>
      <c r="L74" s="144">
        <f t="shared" ca="1" si="6"/>
        <v>46</v>
      </c>
      <c r="M74" s="144">
        <f t="shared" ca="1" si="6"/>
        <v>78</v>
      </c>
      <c r="N74" s="145">
        <f t="shared" ca="1" si="6"/>
        <v>146</v>
      </c>
    </row>
    <row r="75" spans="1:14" x14ac:dyDescent="0.25">
      <c r="A75" s="143">
        <v>23</v>
      </c>
      <c r="B75" s="137"/>
      <c r="C75" s="144">
        <f t="shared" ca="1" si="6"/>
        <v>273</v>
      </c>
      <c r="D75" s="144">
        <f t="shared" ca="1" si="6"/>
        <v>299</v>
      </c>
      <c r="E75" s="144">
        <f t="shared" ca="1" si="6"/>
        <v>299</v>
      </c>
      <c r="F75" s="144">
        <f t="shared" ca="1" si="6"/>
        <v>234</v>
      </c>
      <c r="G75" s="144">
        <f t="shared" ca="1" si="6"/>
        <v>148</v>
      </c>
      <c r="H75" s="144">
        <f t="shared" ca="1" si="6"/>
        <v>109</v>
      </c>
      <c r="I75" s="144">
        <f t="shared" ca="1" si="6"/>
        <v>85</v>
      </c>
      <c r="J75" s="144">
        <f t="shared" ca="1" si="6"/>
        <v>67</v>
      </c>
      <c r="K75" s="144">
        <f t="shared" ca="1" si="6"/>
        <v>58</v>
      </c>
      <c r="L75" s="144">
        <f t="shared" ca="1" si="6"/>
        <v>76</v>
      </c>
      <c r="M75" s="144">
        <f t="shared" ca="1" si="6"/>
        <v>125</v>
      </c>
      <c r="N75" s="145">
        <f t="shared" ca="1" si="6"/>
        <v>201</v>
      </c>
    </row>
    <row r="76" spans="1:14" x14ac:dyDescent="0.25">
      <c r="A76" s="143">
        <v>24</v>
      </c>
      <c r="B76" s="137"/>
      <c r="C76" s="137">
        <f t="shared" ca="1" si="6"/>
        <v>903</v>
      </c>
      <c r="D76" s="137">
        <f t="shared" ca="1" si="6"/>
        <v>899</v>
      </c>
      <c r="E76" s="137">
        <f t="shared" ca="1" si="6"/>
        <v>860</v>
      </c>
      <c r="F76" s="144">
        <f t="shared" ca="1" si="6"/>
        <v>626</v>
      </c>
      <c r="G76" s="144">
        <f t="shared" ca="1" si="6"/>
        <v>397</v>
      </c>
      <c r="H76" s="144">
        <f t="shared" ca="1" si="6"/>
        <v>306</v>
      </c>
      <c r="I76" s="144">
        <f t="shared" ca="1" si="6"/>
        <v>245</v>
      </c>
      <c r="J76" s="144">
        <f t="shared" ca="1" si="6"/>
        <v>196</v>
      </c>
      <c r="K76" s="144">
        <f t="shared" ca="1" si="6"/>
        <v>173</v>
      </c>
      <c r="L76" s="144">
        <f t="shared" ca="1" si="6"/>
        <v>207</v>
      </c>
      <c r="M76" s="144">
        <f t="shared" ca="1" si="6"/>
        <v>353</v>
      </c>
      <c r="N76" s="145">
        <f t="shared" ca="1" si="6"/>
        <v>658</v>
      </c>
    </row>
    <row r="77" spans="1:14" x14ac:dyDescent="0.25">
      <c r="A77" s="143">
        <v>25</v>
      </c>
      <c r="B77" s="137"/>
      <c r="C77" s="137">
        <f t="shared" ca="1" si="6"/>
        <v>530</v>
      </c>
      <c r="D77" s="137">
        <f t="shared" ca="1" si="6"/>
        <v>532</v>
      </c>
      <c r="E77" s="137">
        <f t="shared" ca="1" si="6"/>
        <v>499</v>
      </c>
      <c r="F77" s="144">
        <f t="shared" ca="1" si="6"/>
        <v>375</v>
      </c>
      <c r="G77" s="144">
        <f t="shared" ca="1" si="6"/>
        <v>257</v>
      </c>
      <c r="H77" s="144">
        <f t="shared" ca="1" si="6"/>
        <v>201</v>
      </c>
      <c r="I77" s="144">
        <f t="shared" ca="1" si="6"/>
        <v>166</v>
      </c>
      <c r="J77" s="144">
        <f t="shared" ca="1" si="6"/>
        <v>135</v>
      </c>
      <c r="K77" s="144">
        <f t="shared" ca="1" si="6"/>
        <v>123</v>
      </c>
      <c r="L77" s="144">
        <f t="shared" ca="1" si="6"/>
        <v>152</v>
      </c>
      <c r="M77" s="144">
        <f t="shared" ca="1" si="6"/>
        <v>224</v>
      </c>
      <c r="N77" s="145">
        <f t="shared" ca="1" si="6"/>
        <v>376</v>
      </c>
    </row>
    <row r="78" spans="1:14" x14ac:dyDescent="0.25">
      <c r="A78" s="143">
        <v>26</v>
      </c>
      <c r="B78" s="137"/>
      <c r="C78" s="137">
        <f t="shared" ca="1" si="6"/>
        <v>0</v>
      </c>
      <c r="D78" s="137">
        <f t="shared" ca="1" si="6"/>
        <v>0</v>
      </c>
      <c r="E78" s="137">
        <f t="shared" ca="1" si="6"/>
        <v>0</v>
      </c>
      <c r="F78" s="144">
        <f t="shared" ca="1" si="6"/>
        <v>0</v>
      </c>
      <c r="G78" s="144">
        <f t="shared" ca="1" si="6"/>
        <v>0</v>
      </c>
      <c r="H78" s="144">
        <f t="shared" ca="1" si="6"/>
        <v>0</v>
      </c>
      <c r="I78" s="144">
        <f t="shared" ca="1" si="6"/>
        <v>0</v>
      </c>
      <c r="J78" s="144">
        <f t="shared" ca="1" si="6"/>
        <v>0</v>
      </c>
      <c r="K78" s="144">
        <f t="shared" ca="1" si="6"/>
        <v>0</v>
      </c>
      <c r="L78" s="144">
        <f t="shared" ca="1" si="6"/>
        <v>0</v>
      </c>
      <c r="M78" s="144">
        <f t="shared" ca="1" si="6"/>
        <v>0</v>
      </c>
      <c r="N78" s="145">
        <f t="shared" ca="1" si="6"/>
        <v>0</v>
      </c>
    </row>
    <row r="79" spans="1:14" x14ac:dyDescent="0.25">
      <c r="A79" s="143">
        <v>27</v>
      </c>
      <c r="B79" s="137"/>
      <c r="C79" s="137">
        <f t="shared" ca="1" si="6"/>
        <v>0</v>
      </c>
      <c r="D79" s="137">
        <f t="shared" ca="1" si="6"/>
        <v>0</v>
      </c>
      <c r="E79" s="137">
        <f t="shared" ca="1" si="6"/>
        <v>0</v>
      </c>
      <c r="F79" s="144">
        <f t="shared" ca="1" si="6"/>
        <v>0</v>
      </c>
      <c r="G79" s="144">
        <f t="shared" ca="1" si="6"/>
        <v>0</v>
      </c>
      <c r="H79" s="144">
        <f t="shared" ca="1" si="6"/>
        <v>0</v>
      </c>
      <c r="I79" s="144">
        <f t="shared" ca="1" si="6"/>
        <v>0</v>
      </c>
      <c r="J79" s="144">
        <f t="shared" ca="1" si="6"/>
        <v>0</v>
      </c>
      <c r="K79" s="144">
        <f t="shared" ca="1" si="6"/>
        <v>0</v>
      </c>
      <c r="L79" s="144">
        <f t="shared" ca="1" si="6"/>
        <v>0</v>
      </c>
      <c r="M79" s="144">
        <f t="shared" ca="1" si="6"/>
        <v>0</v>
      </c>
      <c r="N79" s="145">
        <f t="shared" ca="1" si="6"/>
        <v>0</v>
      </c>
    </row>
    <row r="80" spans="1:14" x14ac:dyDescent="0.25">
      <c r="A80" s="143">
        <v>28</v>
      </c>
      <c r="B80" s="137"/>
      <c r="C80" s="137">
        <f t="shared" ca="1" si="6"/>
        <v>644</v>
      </c>
      <c r="D80" s="137">
        <f t="shared" ca="1" si="6"/>
        <v>653</v>
      </c>
      <c r="E80" s="137">
        <f t="shared" ca="1" si="6"/>
        <v>614</v>
      </c>
      <c r="F80" s="144">
        <f t="shared" ca="1" si="6"/>
        <v>469</v>
      </c>
      <c r="G80" s="144">
        <f t="shared" ca="1" si="6"/>
        <v>321</v>
      </c>
      <c r="H80" s="144">
        <f t="shared" ca="1" si="6"/>
        <v>251</v>
      </c>
      <c r="I80" s="144">
        <f t="shared" ca="1" si="6"/>
        <v>208</v>
      </c>
      <c r="J80" s="144">
        <f t="shared" ca="1" si="6"/>
        <v>173</v>
      </c>
      <c r="K80" s="144">
        <f t="shared" ca="1" si="6"/>
        <v>159</v>
      </c>
      <c r="L80" s="144">
        <f t="shared" ca="1" si="6"/>
        <v>191</v>
      </c>
      <c r="M80" s="144">
        <f t="shared" ca="1" si="6"/>
        <v>279</v>
      </c>
      <c r="N80" s="145">
        <f t="shared" ca="1" si="6"/>
        <v>458</v>
      </c>
    </row>
    <row r="81" spans="1:14" x14ac:dyDescent="0.25">
      <c r="A81" s="143">
        <v>29</v>
      </c>
      <c r="B81" s="137"/>
      <c r="C81" s="137">
        <f t="shared" ca="1" si="6"/>
        <v>0</v>
      </c>
      <c r="D81" s="137">
        <f t="shared" ca="1" si="6"/>
        <v>0</v>
      </c>
      <c r="E81" s="137">
        <f t="shared" ca="1" si="6"/>
        <v>0</v>
      </c>
      <c r="F81" s="144">
        <f t="shared" ca="1" si="6"/>
        <v>0</v>
      </c>
      <c r="G81" s="144">
        <f t="shared" ca="1" si="6"/>
        <v>0</v>
      </c>
      <c r="H81" s="144">
        <f t="shared" ca="1" si="6"/>
        <v>0</v>
      </c>
      <c r="I81" s="144">
        <f t="shared" ca="1" si="6"/>
        <v>0</v>
      </c>
      <c r="J81" s="144">
        <f t="shared" ca="1" si="6"/>
        <v>0</v>
      </c>
      <c r="K81" s="144">
        <f t="shared" ca="1" si="6"/>
        <v>0</v>
      </c>
      <c r="L81" s="144">
        <f t="shared" ca="1" si="6"/>
        <v>0</v>
      </c>
      <c r="M81" s="144">
        <f t="shared" ca="1" si="6"/>
        <v>0</v>
      </c>
      <c r="N81" s="145">
        <f t="shared" ca="1" si="6"/>
        <v>0</v>
      </c>
    </row>
    <row r="82" spans="1:14" x14ac:dyDescent="0.25">
      <c r="A82" s="143">
        <v>30</v>
      </c>
      <c r="B82" s="137"/>
      <c r="C82" s="137">
        <f t="shared" ca="1" si="6"/>
        <v>0</v>
      </c>
      <c r="D82" s="137">
        <f t="shared" ca="1" si="6"/>
        <v>0</v>
      </c>
      <c r="E82" s="137">
        <f t="shared" ca="1" si="6"/>
        <v>0</v>
      </c>
      <c r="F82" s="144">
        <f t="shared" ca="1" si="6"/>
        <v>0</v>
      </c>
      <c r="G82" s="144">
        <f t="shared" ca="1" si="6"/>
        <v>0</v>
      </c>
      <c r="H82" s="144">
        <f t="shared" ca="1" si="6"/>
        <v>0</v>
      </c>
      <c r="I82" s="144">
        <f t="shared" ca="1" si="6"/>
        <v>0</v>
      </c>
      <c r="J82" s="144">
        <f t="shared" ca="1" si="6"/>
        <v>0</v>
      </c>
      <c r="K82" s="144">
        <f t="shared" ca="1" si="6"/>
        <v>0</v>
      </c>
      <c r="L82" s="144">
        <f t="shared" ca="1" si="6"/>
        <v>0</v>
      </c>
      <c r="M82" s="144">
        <f t="shared" ca="1" si="6"/>
        <v>0</v>
      </c>
      <c r="N82" s="145">
        <f t="shared" ca="1" si="6"/>
        <v>0</v>
      </c>
    </row>
    <row r="83" spans="1:14" x14ac:dyDescent="0.25">
      <c r="A83" s="143">
        <v>31</v>
      </c>
      <c r="B83" s="137"/>
      <c r="C83" s="137">
        <f t="shared" ref="C83:N92" ca="1" si="7">ROUND(INDEX(INDIRECT(IF(C$13="E",$Q$53,$Q$54)),$A83,C$52),0)</f>
        <v>2741</v>
      </c>
      <c r="D83" s="137">
        <f t="shared" ca="1" si="7"/>
        <v>2834</v>
      </c>
      <c r="E83" s="137">
        <f t="shared" ca="1" si="7"/>
        <v>2757</v>
      </c>
      <c r="F83" s="144">
        <f t="shared" ca="1" si="7"/>
        <v>2060</v>
      </c>
      <c r="G83" s="144">
        <f t="shared" ca="1" si="7"/>
        <v>1331</v>
      </c>
      <c r="H83" s="144">
        <f t="shared" ca="1" si="7"/>
        <v>1029</v>
      </c>
      <c r="I83" s="144">
        <f t="shared" ca="1" si="7"/>
        <v>818</v>
      </c>
      <c r="J83" s="144">
        <f t="shared" ca="1" si="7"/>
        <v>656</v>
      </c>
      <c r="K83" s="144">
        <f t="shared" ca="1" si="7"/>
        <v>582</v>
      </c>
      <c r="L83" s="144">
        <f t="shared" ca="1" si="7"/>
        <v>707</v>
      </c>
      <c r="M83" s="144">
        <f t="shared" ca="1" si="7"/>
        <v>1138</v>
      </c>
      <c r="N83" s="145">
        <f t="shared" ca="1" si="7"/>
        <v>1973</v>
      </c>
    </row>
    <row r="84" spans="1:14" x14ac:dyDescent="0.25">
      <c r="A84" s="143">
        <v>32</v>
      </c>
      <c r="B84" s="137"/>
      <c r="C84" s="137">
        <f t="shared" ca="1" si="7"/>
        <v>2868</v>
      </c>
      <c r="D84" s="137">
        <f t="shared" ca="1" si="7"/>
        <v>2975</v>
      </c>
      <c r="E84" s="137">
        <f t="shared" ca="1" si="7"/>
        <v>2894</v>
      </c>
      <c r="F84" s="144">
        <f t="shared" ca="1" si="7"/>
        <v>2169</v>
      </c>
      <c r="G84" s="144">
        <f t="shared" ca="1" si="7"/>
        <v>1403</v>
      </c>
      <c r="H84" s="144">
        <f t="shared" ca="1" si="7"/>
        <v>1086</v>
      </c>
      <c r="I84" s="144">
        <f t="shared" ca="1" si="7"/>
        <v>866</v>
      </c>
      <c r="J84" s="144">
        <f t="shared" ca="1" si="7"/>
        <v>695</v>
      </c>
      <c r="K84" s="144">
        <f t="shared" ca="1" si="7"/>
        <v>618</v>
      </c>
      <c r="L84" s="144">
        <f t="shared" ca="1" si="7"/>
        <v>745</v>
      </c>
      <c r="M84" s="144">
        <f t="shared" ca="1" si="7"/>
        <v>1193</v>
      </c>
      <c r="N84" s="145">
        <f t="shared" ca="1" si="7"/>
        <v>2064</v>
      </c>
    </row>
    <row r="85" spans="1:14" x14ac:dyDescent="0.25">
      <c r="A85" s="143">
        <v>33</v>
      </c>
      <c r="B85" s="137"/>
      <c r="C85" s="137">
        <f t="shared" ca="1" si="7"/>
        <v>4106</v>
      </c>
      <c r="D85" s="137">
        <f t="shared" ca="1" si="7"/>
        <v>4280</v>
      </c>
      <c r="E85" s="137">
        <f t="shared" ca="1" si="7"/>
        <v>4229</v>
      </c>
      <c r="F85" s="144">
        <f t="shared" ca="1" si="7"/>
        <v>3229</v>
      </c>
      <c r="G85" s="144">
        <f t="shared" ca="1" si="7"/>
        <v>2110</v>
      </c>
      <c r="H85" s="144">
        <f t="shared" ca="1" si="7"/>
        <v>1651</v>
      </c>
      <c r="I85" s="144">
        <f t="shared" ca="1" si="7"/>
        <v>1327</v>
      </c>
      <c r="J85" s="144">
        <f t="shared" ca="1" si="7"/>
        <v>1082</v>
      </c>
      <c r="K85" s="144">
        <f t="shared" ca="1" si="7"/>
        <v>981</v>
      </c>
      <c r="L85" s="144">
        <f t="shared" ca="1" si="7"/>
        <v>1164</v>
      </c>
      <c r="M85" s="144">
        <f t="shared" ca="1" si="7"/>
        <v>1770</v>
      </c>
      <c r="N85" s="145">
        <f t="shared" ca="1" si="7"/>
        <v>2980</v>
      </c>
    </row>
    <row r="86" spans="1:14" x14ac:dyDescent="0.25">
      <c r="A86" s="143">
        <v>34</v>
      </c>
      <c r="B86" s="137"/>
      <c r="C86" s="137">
        <f t="shared" ca="1" si="7"/>
        <v>8964</v>
      </c>
      <c r="D86" s="137">
        <f t="shared" ca="1" si="7"/>
        <v>9424</v>
      </c>
      <c r="E86" s="137">
        <f t="shared" ca="1" si="7"/>
        <v>9006</v>
      </c>
      <c r="F86" s="144">
        <f t="shared" ca="1" si="7"/>
        <v>6785</v>
      </c>
      <c r="G86" s="144">
        <f t="shared" ca="1" si="7"/>
        <v>4648</v>
      </c>
      <c r="H86" s="144">
        <f t="shared" ca="1" si="7"/>
        <v>3802</v>
      </c>
      <c r="I86" s="144">
        <f t="shared" ca="1" si="7"/>
        <v>3112</v>
      </c>
      <c r="J86" s="144">
        <f t="shared" ca="1" si="7"/>
        <v>2608</v>
      </c>
      <c r="K86" s="144">
        <f t="shared" ca="1" si="7"/>
        <v>2486</v>
      </c>
      <c r="L86" s="144">
        <f t="shared" ca="1" si="7"/>
        <v>2876</v>
      </c>
      <c r="M86" s="144">
        <f t="shared" ca="1" si="7"/>
        <v>3917</v>
      </c>
      <c r="N86" s="145">
        <f t="shared" ca="1" si="7"/>
        <v>6283</v>
      </c>
    </row>
    <row r="87" spans="1:14" x14ac:dyDescent="0.25">
      <c r="A87" s="143">
        <v>35</v>
      </c>
      <c r="B87" s="137"/>
      <c r="C87" s="137">
        <f t="shared" ca="1" si="7"/>
        <v>0</v>
      </c>
      <c r="D87" s="137">
        <f t="shared" ca="1" si="7"/>
        <v>0</v>
      </c>
      <c r="E87" s="137">
        <f t="shared" ca="1" si="7"/>
        <v>0</v>
      </c>
      <c r="F87" s="137">
        <f t="shared" ca="1" si="7"/>
        <v>0</v>
      </c>
      <c r="G87" s="137">
        <f t="shared" ca="1" si="7"/>
        <v>0</v>
      </c>
      <c r="H87" s="137">
        <f t="shared" ca="1" si="7"/>
        <v>0</v>
      </c>
      <c r="I87" s="137">
        <f t="shared" ca="1" si="7"/>
        <v>0</v>
      </c>
      <c r="J87" s="137">
        <f t="shared" ca="1" si="7"/>
        <v>0</v>
      </c>
      <c r="K87" s="137">
        <f t="shared" ca="1" si="7"/>
        <v>0</v>
      </c>
      <c r="L87" s="137">
        <f t="shared" ca="1" si="7"/>
        <v>0</v>
      </c>
      <c r="M87" s="137">
        <f t="shared" ca="1" si="7"/>
        <v>0</v>
      </c>
      <c r="N87" s="146">
        <f t="shared" ca="1" si="7"/>
        <v>0</v>
      </c>
    </row>
    <row r="88" spans="1:14" x14ac:dyDescent="0.25">
      <c r="A88" s="143">
        <v>36</v>
      </c>
      <c r="B88" s="137"/>
      <c r="C88" s="137">
        <f t="shared" ca="1" si="7"/>
        <v>0</v>
      </c>
      <c r="D88" s="137">
        <f t="shared" ca="1" si="7"/>
        <v>0</v>
      </c>
      <c r="E88" s="137">
        <f t="shared" ca="1" si="7"/>
        <v>0</v>
      </c>
      <c r="F88" s="137">
        <f t="shared" ca="1" si="7"/>
        <v>0</v>
      </c>
      <c r="G88" s="137">
        <f t="shared" ca="1" si="7"/>
        <v>0</v>
      </c>
      <c r="H88" s="137">
        <f t="shared" ca="1" si="7"/>
        <v>0</v>
      </c>
      <c r="I88" s="137">
        <f t="shared" ca="1" si="7"/>
        <v>0</v>
      </c>
      <c r="J88" s="137">
        <f t="shared" ca="1" si="7"/>
        <v>0</v>
      </c>
      <c r="K88" s="137">
        <f t="shared" ca="1" si="7"/>
        <v>0</v>
      </c>
      <c r="L88" s="137">
        <f t="shared" ca="1" si="7"/>
        <v>0</v>
      </c>
      <c r="M88" s="137">
        <f t="shared" ca="1" si="7"/>
        <v>0</v>
      </c>
      <c r="N88" s="146">
        <f t="shared" ca="1" si="7"/>
        <v>0</v>
      </c>
    </row>
    <row r="89" spans="1:14" x14ac:dyDescent="0.25">
      <c r="A89" s="143">
        <v>37</v>
      </c>
      <c r="B89" s="137"/>
      <c r="C89" s="137">
        <f t="shared" ca="1" si="7"/>
        <v>694</v>
      </c>
      <c r="D89" s="137">
        <f t="shared" ca="1" si="7"/>
        <v>734</v>
      </c>
      <c r="E89" s="137">
        <f t="shared" ca="1" si="7"/>
        <v>619</v>
      </c>
      <c r="F89" s="137">
        <f t="shared" ca="1" si="7"/>
        <v>408</v>
      </c>
      <c r="G89" s="137">
        <f t="shared" ca="1" si="7"/>
        <v>322</v>
      </c>
      <c r="H89" s="137">
        <f t="shared" ca="1" si="7"/>
        <v>319</v>
      </c>
      <c r="I89" s="137">
        <f t="shared" ca="1" si="7"/>
        <v>254</v>
      </c>
      <c r="J89" s="137">
        <f t="shared" ca="1" si="7"/>
        <v>213</v>
      </c>
      <c r="K89" s="137">
        <f t="shared" ca="1" si="7"/>
        <v>230</v>
      </c>
      <c r="L89" s="137">
        <f t="shared" ca="1" si="7"/>
        <v>283</v>
      </c>
      <c r="M89" s="137">
        <f t="shared" ca="1" si="7"/>
        <v>305</v>
      </c>
      <c r="N89" s="146">
        <f t="shared" ca="1" si="7"/>
        <v>468</v>
      </c>
    </row>
    <row r="90" spans="1:14" x14ac:dyDescent="0.25">
      <c r="A90" s="143">
        <v>38</v>
      </c>
      <c r="B90" s="137"/>
      <c r="C90" s="137">
        <f t="shared" ca="1" si="7"/>
        <v>777</v>
      </c>
      <c r="D90" s="137">
        <f t="shared" ca="1" si="7"/>
        <v>825</v>
      </c>
      <c r="E90" s="137">
        <f t="shared" ca="1" si="7"/>
        <v>698</v>
      </c>
      <c r="F90" s="137">
        <f t="shared" ca="1" si="7"/>
        <v>464</v>
      </c>
      <c r="G90" s="137">
        <f t="shared" ca="1" si="7"/>
        <v>367</v>
      </c>
      <c r="H90" s="137">
        <f t="shared" ca="1" si="7"/>
        <v>364</v>
      </c>
      <c r="I90" s="137">
        <f t="shared" ca="1" si="7"/>
        <v>288</v>
      </c>
      <c r="J90" s="137">
        <f t="shared" ca="1" si="7"/>
        <v>244</v>
      </c>
      <c r="K90" s="137">
        <f t="shared" ca="1" si="7"/>
        <v>261</v>
      </c>
      <c r="L90" s="137">
        <f t="shared" ca="1" si="7"/>
        <v>317</v>
      </c>
      <c r="M90" s="137">
        <f t="shared" ca="1" si="7"/>
        <v>343</v>
      </c>
      <c r="N90" s="146">
        <f t="shared" ca="1" si="7"/>
        <v>522</v>
      </c>
    </row>
    <row r="91" spans="1:14" x14ac:dyDescent="0.25">
      <c r="A91" s="143">
        <v>39</v>
      </c>
      <c r="B91" s="137"/>
      <c r="C91" s="137">
        <f t="shared" ca="1" si="7"/>
        <v>980</v>
      </c>
      <c r="D91" s="137">
        <f t="shared" ca="1" si="7"/>
        <v>1037</v>
      </c>
      <c r="E91" s="137">
        <f t="shared" ca="1" si="7"/>
        <v>887</v>
      </c>
      <c r="F91" s="137">
        <f t="shared" ca="1" si="7"/>
        <v>609</v>
      </c>
      <c r="G91" s="137">
        <f t="shared" ca="1" si="7"/>
        <v>483</v>
      </c>
      <c r="H91" s="137">
        <f t="shared" ca="1" si="7"/>
        <v>475</v>
      </c>
      <c r="I91" s="137">
        <f t="shared" ca="1" si="7"/>
        <v>384</v>
      </c>
      <c r="J91" s="137">
        <f t="shared" ca="1" si="7"/>
        <v>329</v>
      </c>
      <c r="K91" s="137">
        <f t="shared" ca="1" si="7"/>
        <v>353</v>
      </c>
      <c r="L91" s="137">
        <f t="shared" ca="1" si="7"/>
        <v>422</v>
      </c>
      <c r="M91" s="137">
        <f t="shared" ca="1" si="7"/>
        <v>452</v>
      </c>
      <c r="N91" s="146">
        <f t="shared" ca="1" si="7"/>
        <v>675</v>
      </c>
    </row>
    <row r="92" spans="1:14" x14ac:dyDescent="0.25">
      <c r="A92" s="143">
        <v>40</v>
      </c>
      <c r="B92" s="137"/>
      <c r="C92" s="137">
        <f t="shared" ca="1" si="7"/>
        <v>1113</v>
      </c>
      <c r="D92" s="137">
        <f t="shared" ca="1" si="7"/>
        <v>1185</v>
      </c>
      <c r="E92" s="137">
        <f t="shared" ca="1" si="7"/>
        <v>1021</v>
      </c>
      <c r="F92" s="137">
        <f t="shared" ca="1" si="7"/>
        <v>695</v>
      </c>
      <c r="G92" s="137">
        <f t="shared" ca="1" si="7"/>
        <v>554</v>
      </c>
      <c r="H92" s="137">
        <f t="shared" ca="1" si="7"/>
        <v>543</v>
      </c>
      <c r="I92" s="137">
        <f t="shared" ca="1" si="7"/>
        <v>443</v>
      </c>
      <c r="J92" s="137">
        <f t="shared" ca="1" si="7"/>
        <v>384</v>
      </c>
      <c r="K92" s="137">
        <f t="shared" ca="1" si="7"/>
        <v>404</v>
      </c>
      <c r="L92" s="137">
        <f t="shared" ca="1" si="7"/>
        <v>473</v>
      </c>
      <c r="M92" s="137">
        <f t="shared" ca="1" si="7"/>
        <v>506</v>
      </c>
      <c r="N92" s="146">
        <f t="shared" ca="1" si="7"/>
        <v>761</v>
      </c>
    </row>
    <row r="93" spans="1:14" x14ac:dyDescent="0.25">
      <c r="A93" s="143">
        <v>41</v>
      </c>
      <c r="B93" s="137"/>
      <c r="C93" s="137">
        <f t="shared" ref="C93:N102" ca="1" si="8">ROUND(INDEX(INDIRECT(IF(C$13="E",$Q$53,$Q$54)),$A93,C$52),0)</f>
        <v>0</v>
      </c>
      <c r="D93" s="137">
        <f t="shared" ca="1" si="8"/>
        <v>0</v>
      </c>
      <c r="E93" s="137">
        <f t="shared" ca="1" si="8"/>
        <v>0</v>
      </c>
      <c r="F93" s="137">
        <f t="shared" ca="1" si="8"/>
        <v>0</v>
      </c>
      <c r="G93" s="137">
        <f t="shared" ca="1" si="8"/>
        <v>0</v>
      </c>
      <c r="H93" s="137">
        <f t="shared" ca="1" si="8"/>
        <v>0</v>
      </c>
      <c r="I93" s="137">
        <f t="shared" ca="1" si="8"/>
        <v>0</v>
      </c>
      <c r="J93" s="137">
        <f t="shared" ca="1" si="8"/>
        <v>0</v>
      </c>
      <c r="K93" s="137">
        <f t="shared" ca="1" si="8"/>
        <v>0</v>
      </c>
      <c r="L93" s="137">
        <f t="shared" ca="1" si="8"/>
        <v>0</v>
      </c>
      <c r="M93" s="137">
        <f t="shared" ca="1" si="8"/>
        <v>0</v>
      </c>
      <c r="N93" s="146">
        <f t="shared" ca="1" si="8"/>
        <v>0</v>
      </c>
    </row>
    <row r="94" spans="1:14" x14ac:dyDescent="0.25">
      <c r="A94" s="143">
        <v>42</v>
      </c>
      <c r="B94" s="137"/>
      <c r="C94" s="137">
        <f t="shared" ca="1" si="8"/>
        <v>1198</v>
      </c>
      <c r="D94" s="137">
        <f t="shared" ca="1" si="8"/>
        <v>1279</v>
      </c>
      <c r="E94" s="137">
        <f t="shared" ca="1" si="8"/>
        <v>1099</v>
      </c>
      <c r="F94" s="137">
        <f t="shared" ca="1" si="8"/>
        <v>746</v>
      </c>
      <c r="G94" s="137">
        <f t="shared" ca="1" si="8"/>
        <v>590</v>
      </c>
      <c r="H94" s="137">
        <f t="shared" ca="1" si="8"/>
        <v>580</v>
      </c>
      <c r="I94" s="137">
        <f t="shared" ca="1" si="8"/>
        <v>472</v>
      </c>
      <c r="J94" s="137">
        <f t="shared" ca="1" si="8"/>
        <v>407</v>
      </c>
      <c r="K94" s="137">
        <f t="shared" ca="1" si="8"/>
        <v>429</v>
      </c>
      <c r="L94" s="137">
        <f t="shared" ca="1" si="8"/>
        <v>505</v>
      </c>
      <c r="M94" s="137">
        <f t="shared" ca="1" si="8"/>
        <v>541</v>
      </c>
      <c r="N94" s="146">
        <f t="shared" ca="1" si="8"/>
        <v>814</v>
      </c>
    </row>
    <row r="95" spans="1:14" x14ac:dyDescent="0.25">
      <c r="A95" s="143">
        <v>43</v>
      </c>
      <c r="B95" s="137"/>
      <c r="C95" s="137">
        <f t="shared" ca="1" si="8"/>
        <v>1256</v>
      </c>
      <c r="D95" s="137">
        <f t="shared" ca="1" si="8"/>
        <v>1368</v>
      </c>
      <c r="E95" s="137">
        <f t="shared" ca="1" si="8"/>
        <v>1189</v>
      </c>
      <c r="F95" s="137">
        <f t="shared" ca="1" si="8"/>
        <v>818</v>
      </c>
      <c r="G95" s="137">
        <f t="shared" ca="1" si="8"/>
        <v>634</v>
      </c>
      <c r="H95" s="137">
        <f t="shared" ca="1" si="8"/>
        <v>627</v>
      </c>
      <c r="I95" s="137">
        <f t="shared" ca="1" si="8"/>
        <v>510</v>
      </c>
      <c r="J95" s="137">
        <f t="shared" ca="1" si="8"/>
        <v>442</v>
      </c>
      <c r="K95" s="137">
        <f t="shared" ca="1" si="8"/>
        <v>458</v>
      </c>
      <c r="L95" s="137">
        <f t="shared" ca="1" si="8"/>
        <v>538</v>
      </c>
      <c r="M95" s="137">
        <f t="shared" ca="1" si="8"/>
        <v>574</v>
      </c>
      <c r="N95" s="146">
        <f t="shared" ca="1" si="8"/>
        <v>853</v>
      </c>
    </row>
    <row r="96" spans="1:14" x14ac:dyDescent="0.25">
      <c r="A96" s="143">
        <v>44</v>
      </c>
      <c r="B96" s="137"/>
      <c r="C96" s="137">
        <f t="shared" ca="1" si="8"/>
        <v>10220</v>
      </c>
      <c r="D96" s="137">
        <f t="shared" ca="1" si="8"/>
        <v>10792</v>
      </c>
      <c r="E96" s="137">
        <f t="shared" ca="1" si="8"/>
        <v>10195</v>
      </c>
      <c r="F96" s="137">
        <f t="shared" ca="1" si="8"/>
        <v>7603</v>
      </c>
      <c r="G96" s="137">
        <f t="shared" ca="1" si="8"/>
        <v>5282</v>
      </c>
      <c r="H96" s="137">
        <f t="shared" ca="1" si="8"/>
        <v>4429</v>
      </c>
      <c r="I96" s="137">
        <f t="shared" ca="1" si="8"/>
        <v>3623</v>
      </c>
      <c r="J96" s="137">
        <f t="shared" ca="1" si="8"/>
        <v>3050</v>
      </c>
      <c r="K96" s="137">
        <f t="shared" ca="1" si="8"/>
        <v>2944</v>
      </c>
      <c r="L96" s="137">
        <f t="shared" ca="1" si="8"/>
        <v>3414</v>
      </c>
      <c r="M96" s="137">
        <f t="shared" ca="1" si="8"/>
        <v>4491</v>
      </c>
      <c r="N96" s="146">
        <f t="shared" ca="1" si="8"/>
        <v>7136</v>
      </c>
    </row>
    <row r="97" spans="1:14" x14ac:dyDescent="0.25">
      <c r="A97" s="143">
        <v>45</v>
      </c>
      <c r="B97" s="137"/>
      <c r="C97" s="137">
        <f t="shared" ca="1" si="8"/>
        <v>10635</v>
      </c>
      <c r="D97" s="137">
        <f t="shared" ca="1" si="8"/>
        <v>11252</v>
      </c>
      <c r="E97" s="137">
        <f t="shared" ca="1" si="8"/>
        <v>10623</v>
      </c>
      <c r="F97" s="137">
        <f t="shared" ca="1" si="8"/>
        <v>7967</v>
      </c>
      <c r="G97" s="137">
        <f t="shared" ca="1" si="8"/>
        <v>5592</v>
      </c>
      <c r="H97" s="137">
        <f t="shared" ca="1" si="8"/>
        <v>4728</v>
      </c>
      <c r="I97" s="137">
        <f t="shared" ca="1" si="8"/>
        <v>3902</v>
      </c>
      <c r="J97" s="137">
        <f t="shared" ca="1" si="8"/>
        <v>3327</v>
      </c>
      <c r="K97" s="137">
        <f t="shared" ca="1" si="8"/>
        <v>3210</v>
      </c>
      <c r="L97" s="137">
        <f t="shared" ca="1" si="8"/>
        <v>3687</v>
      </c>
      <c r="M97" s="137">
        <f t="shared" ca="1" si="8"/>
        <v>4782</v>
      </c>
      <c r="N97" s="146">
        <f t="shared" ca="1" si="8"/>
        <v>7465</v>
      </c>
    </row>
    <row r="98" spans="1:14" x14ac:dyDescent="0.25">
      <c r="A98" s="143">
        <v>46</v>
      </c>
      <c r="B98" s="137"/>
      <c r="C98" s="137">
        <f t="shared" ca="1" si="8"/>
        <v>11501</v>
      </c>
      <c r="D98" s="137">
        <f t="shared" ca="1" si="8"/>
        <v>12373</v>
      </c>
      <c r="E98" s="137">
        <f t="shared" ca="1" si="8"/>
        <v>11723</v>
      </c>
      <c r="F98" s="137">
        <f t="shared" ca="1" si="8"/>
        <v>9005</v>
      </c>
      <c r="G98" s="137">
        <f t="shared" ca="1" si="8"/>
        <v>6480</v>
      </c>
      <c r="H98" s="137">
        <f t="shared" ca="1" si="8"/>
        <v>5615</v>
      </c>
      <c r="I98" s="137">
        <f t="shared" ca="1" si="8"/>
        <v>4616</v>
      </c>
      <c r="J98" s="137">
        <f t="shared" ca="1" si="8"/>
        <v>3934</v>
      </c>
      <c r="K98" s="137">
        <f t="shared" ca="1" si="8"/>
        <v>3816</v>
      </c>
      <c r="L98" s="137">
        <f t="shared" ca="1" si="8"/>
        <v>4347</v>
      </c>
      <c r="M98" s="137">
        <f t="shared" ca="1" si="8"/>
        <v>5440</v>
      </c>
      <c r="N98" s="146">
        <f t="shared" ca="1" si="8"/>
        <v>8117</v>
      </c>
    </row>
    <row r="99" spans="1:14" x14ac:dyDescent="0.25">
      <c r="A99" s="143">
        <v>47</v>
      </c>
      <c r="B99" s="137"/>
      <c r="C99" s="137">
        <f t="shared" ca="1" si="8"/>
        <v>327</v>
      </c>
      <c r="D99" s="137">
        <f t="shared" ca="1" si="8"/>
        <v>368</v>
      </c>
      <c r="E99" s="137">
        <f t="shared" ca="1" si="8"/>
        <v>312</v>
      </c>
      <c r="F99" s="137">
        <f t="shared" ca="1" si="8"/>
        <v>220</v>
      </c>
      <c r="G99" s="137">
        <f t="shared" ca="1" si="8"/>
        <v>193</v>
      </c>
      <c r="H99" s="137">
        <f t="shared" ca="1" si="8"/>
        <v>201</v>
      </c>
      <c r="I99" s="137">
        <f t="shared" ca="1" si="8"/>
        <v>177</v>
      </c>
      <c r="J99" s="137">
        <f t="shared" ca="1" si="8"/>
        <v>148</v>
      </c>
      <c r="K99" s="137">
        <f t="shared" ca="1" si="8"/>
        <v>159</v>
      </c>
      <c r="L99" s="137">
        <f t="shared" ca="1" si="8"/>
        <v>191</v>
      </c>
      <c r="M99" s="137">
        <f t="shared" ca="1" si="8"/>
        <v>181</v>
      </c>
      <c r="N99" s="146">
        <f t="shared" ca="1" si="8"/>
        <v>233</v>
      </c>
    </row>
    <row r="100" spans="1:14" x14ac:dyDescent="0.25">
      <c r="A100" s="143">
        <v>48</v>
      </c>
      <c r="B100" s="137"/>
      <c r="C100" s="137">
        <f t="shared" ca="1" si="8"/>
        <v>334</v>
      </c>
      <c r="D100" s="137">
        <f t="shared" ca="1" si="8"/>
        <v>377</v>
      </c>
      <c r="E100" s="137">
        <f t="shared" ca="1" si="8"/>
        <v>320</v>
      </c>
      <c r="F100" s="137">
        <f t="shared" ca="1" si="8"/>
        <v>226</v>
      </c>
      <c r="G100" s="137">
        <f t="shared" ca="1" si="8"/>
        <v>197</v>
      </c>
      <c r="H100" s="137">
        <f t="shared" ca="1" si="8"/>
        <v>207</v>
      </c>
      <c r="I100" s="137">
        <f t="shared" ca="1" si="8"/>
        <v>181</v>
      </c>
      <c r="J100" s="137">
        <f t="shared" ca="1" si="8"/>
        <v>151</v>
      </c>
      <c r="K100" s="137">
        <f t="shared" ca="1" si="8"/>
        <v>163</v>
      </c>
      <c r="L100" s="137">
        <f t="shared" ca="1" si="8"/>
        <v>196</v>
      </c>
      <c r="M100" s="137">
        <f t="shared" ca="1" si="8"/>
        <v>186</v>
      </c>
      <c r="N100" s="146">
        <f t="shared" ca="1" si="8"/>
        <v>238</v>
      </c>
    </row>
    <row r="101" spans="1:14" x14ac:dyDescent="0.25">
      <c r="A101" s="143">
        <v>49</v>
      </c>
      <c r="B101" s="137"/>
      <c r="C101" s="137">
        <f t="shared" ca="1" si="8"/>
        <v>506</v>
      </c>
      <c r="D101" s="137">
        <f t="shared" ca="1" si="8"/>
        <v>547</v>
      </c>
      <c r="E101" s="137">
        <f t="shared" ca="1" si="8"/>
        <v>453</v>
      </c>
      <c r="F101" s="137">
        <f t="shared" ca="1" si="8"/>
        <v>326</v>
      </c>
      <c r="G101" s="137">
        <f t="shared" ca="1" si="8"/>
        <v>301</v>
      </c>
      <c r="H101" s="137">
        <f t="shared" ca="1" si="8"/>
        <v>314</v>
      </c>
      <c r="I101" s="137">
        <f t="shared" ca="1" si="8"/>
        <v>277</v>
      </c>
      <c r="J101" s="137">
        <f t="shared" ca="1" si="8"/>
        <v>229</v>
      </c>
      <c r="K101" s="137">
        <f t="shared" ca="1" si="8"/>
        <v>255</v>
      </c>
      <c r="L101" s="137">
        <f t="shared" ca="1" si="8"/>
        <v>305</v>
      </c>
      <c r="M101" s="137">
        <f t="shared" ca="1" si="8"/>
        <v>282</v>
      </c>
      <c r="N101" s="146">
        <f t="shared" ca="1" si="8"/>
        <v>351</v>
      </c>
    </row>
    <row r="102" spans="1:14" x14ac:dyDescent="0.25">
      <c r="A102" s="143">
        <v>50</v>
      </c>
      <c r="B102" s="137"/>
      <c r="C102" s="137">
        <f t="shared" ca="1" si="8"/>
        <v>655</v>
      </c>
      <c r="D102" s="137">
        <f t="shared" ca="1" si="8"/>
        <v>716</v>
      </c>
      <c r="E102" s="137">
        <f t="shared" ca="1" si="8"/>
        <v>606</v>
      </c>
      <c r="F102" s="137">
        <f t="shared" ca="1" si="8"/>
        <v>448</v>
      </c>
      <c r="G102" s="137">
        <f t="shared" ca="1" si="8"/>
        <v>409</v>
      </c>
      <c r="H102" s="137">
        <f t="shared" ca="1" si="8"/>
        <v>425</v>
      </c>
      <c r="I102" s="137">
        <f t="shared" ca="1" si="8"/>
        <v>370</v>
      </c>
      <c r="J102" s="137">
        <f t="shared" ca="1" si="8"/>
        <v>310</v>
      </c>
      <c r="K102" s="137">
        <f t="shared" ca="1" si="8"/>
        <v>338</v>
      </c>
      <c r="L102" s="137">
        <f t="shared" ca="1" si="8"/>
        <v>399</v>
      </c>
      <c r="M102" s="137">
        <f t="shared" ca="1" si="8"/>
        <v>375</v>
      </c>
      <c r="N102" s="146">
        <f t="shared" ca="1" si="8"/>
        <v>464</v>
      </c>
    </row>
    <row r="103" spans="1:14" x14ac:dyDescent="0.25">
      <c r="A103" s="143">
        <v>51</v>
      </c>
      <c r="B103" s="137"/>
      <c r="C103" s="137">
        <f t="shared" ref="C103:N112" ca="1" si="9">ROUND(INDEX(INDIRECT(IF(C$13="E",$Q$53,$Q$54)),$A103,C$52),0)</f>
        <v>665</v>
      </c>
      <c r="D103" s="137">
        <f t="shared" ca="1" si="9"/>
        <v>729</v>
      </c>
      <c r="E103" s="137">
        <f t="shared" ca="1" si="9"/>
        <v>618</v>
      </c>
      <c r="F103" s="137">
        <f t="shared" ca="1" si="9"/>
        <v>457</v>
      </c>
      <c r="G103" s="137">
        <f t="shared" ca="1" si="9"/>
        <v>417</v>
      </c>
      <c r="H103" s="137">
        <f t="shared" ca="1" si="9"/>
        <v>434</v>
      </c>
      <c r="I103" s="137">
        <f t="shared" ca="1" si="9"/>
        <v>377</v>
      </c>
      <c r="J103" s="137">
        <f t="shared" ca="1" si="9"/>
        <v>316</v>
      </c>
      <c r="K103" s="137">
        <f t="shared" ca="1" si="9"/>
        <v>345</v>
      </c>
      <c r="L103" s="137">
        <f t="shared" ca="1" si="9"/>
        <v>407</v>
      </c>
      <c r="M103" s="137">
        <f t="shared" ca="1" si="9"/>
        <v>383</v>
      </c>
      <c r="N103" s="146">
        <f t="shared" ca="1" si="9"/>
        <v>472</v>
      </c>
    </row>
    <row r="104" spans="1:14" x14ac:dyDescent="0.25">
      <c r="A104" s="143">
        <v>52</v>
      </c>
      <c r="B104" s="137"/>
      <c r="C104" s="137">
        <f t="shared" ca="1" si="9"/>
        <v>688</v>
      </c>
      <c r="D104" s="137">
        <f t="shared" ca="1" si="9"/>
        <v>756</v>
      </c>
      <c r="E104" s="137">
        <f t="shared" ca="1" si="9"/>
        <v>642</v>
      </c>
      <c r="F104" s="137">
        <f t="shared" ca="1" si="9"/>
        <v>477</v>
      </c>
      <c r="G104" s="137">
        <f t="shared" ca="1" si="9"/>
        <v>434</v>
      </c>
      <c r="H104" s="137">
        <f t="shared" ca="1" si="9"/>
        <v>452</v>
      </c>
      <c r="I104" s="137">
        <f t="shared" ca="1" si="9"/>
        <v>392</v>
      </c>
      <c r="J104" s="137">
        <f t="shared" ca="1" si="9"/>
        <v>329</v>
      </c>
      <c r="K104" s="137">
        <f t="shared" ca="1" si="9"/>
        <v>358</v>
      </c>
      <c r="L104" s="137">
        <f t="shared" ca="1" si="9"/>
        <v>422</v>
      </c>
      <c r="M104" s="137">
        <f t="shared" ca="1" si="9"/>
        <v>398</v>
      </c>
      <c r="N104" s="146">
        <f t="shared" ca="1" si="9"/>
        <v>490</v>
      </c>
    </row>
    <row r="105" spans="1:14" x14ac:dyDescent="0.25">
      <c r="A105" s="143">
        <v>53</v>
      </c>
      <c r="B105" s="137"/>
      <c r="C105" s="137">
        <f t="shared" ca="1" si="9"/>
        <v>0</v>
      </c>
      <c r="D105" s="137">
        <f t="shared" ca="1" si="9"/>
        <v>0</v>
      </c>
      <c r="E105" s="137">
        <f t="shared" ca="1" si="9"/>
        <v>0</v>
      </c>
      <c r="F105" s="137">
        <f t="shared" ca="1" si="9"/>
        <v>0</v>
      </c>
      <c r="G105" s="137">
        <f t="shared" ca="1" si="9"/>
        <v>0</v>
      </c>
      <c r="H105" s="137">
        <f t="shared" ca="1" si="9"/>
        <v>0</v>
      </c>
      <c r="I105" s="137">
        <f t="shared" ca="1" si="9"/>
        <v>0</v>
      </c>
      <c r="J105" s="137">
        <f t="shared" ca="1" si="9"/>
        <v>0</v>
      </c>
      <c r="K105" s="137">
        <f t="shared" ca="1" si="9"/>
        <v>0</v>
      </c>
      <c r="L105" s="137">
        <f t="shared" ca="1" si="9"/>
        <v>0</v>
      </c>
      <c r="M105" s="137">
        <f t="shared" ca="1" si="9"/>
        <v>0</v>
      </c>
      <c r="N105" s="146">
        <f t="shared" ca="1" si="9"/>
        <v>0</v>
      </c>
    </row>
    <row r="106" spans="1:14" x14ac:dyDescent="0.25">
      <c r="A106" s="143">
        <v>54</v>
      </c>
      <c r="B106" s="137"/>
      <c r="C106" s="137">
        <f t="shared" ca="1" si="9"/>
        <v>0</v>
      </c>
      <c r="D106" s="137">
        <f t="shared" ca="1" si="9"/>
        <v>0</v>
      </c>
      <c r="E106" s="137">
        <f t="shared" ca="1" si="9"/>
        <v>0</v>
      </c>
      <c r="F106" s="137">
        <f t="shared" ca="1" si="9"/>
        <v>0</v>
      </c>
      <c r="G106" s="137">
        <f t="shared" ca="1" si="9"/>
        <v>0</v>
      </c>
      <c r="H106" s="137">
        <f t="shared" ca="1" si="9"/>
        <v>0</v>
      </c>
      <c r="I106" s="137">
        <f t="shared" ca="1" si="9"/>
        <v>0</v>
      </c>
      <c r="J106" s="137">
        <f t="shared" ca="1" si="9"/>
        <v>0</v>
      </c>
      <c r="K106" s="137">
        <f t="shared" ca="1" si="9"/>
        <v>0</v>
      </c>
      <c r="L106" s="137">
        <f t="shared" ca="1" si="9"/>
        <v>0</v>
      </c>
      <c r="M106" s="137">
        <f t="shared" ca="1" si="9"/>
        <v>0</v>
      </c>
      <c r="N106" s="146">
        <f t="shared" ca="1" si="9"/>
        <v>0</v>
      </c>
    </row>
    <row r="107" spans="1:14" x14ac:dyDescent="0.25">
      <c r="A107" s="143">
        <v>55</v>
      </c>
      <c r="B107" s="137"/>
      <c r="C107" s="137">
        <f t="shared" ca="1" si="9"/>
        <v>0</v>
      </c>
      <c r="D107" s="137">
        <f t="shared" ca="1" si="9"/>
        <v>0</v>
      </c>
      <c r="E107" s="137">
        <f t="shared" ca="1" si="9"/>
        <v>0</v>
      </c>
      <c r="F107" s="137">
        <f t="shared" ca="1" si="9"/>
        <v>0</v>
      </c>
      <c r="G107" s="137">
        <f t="shared" ca="1" si="9"/>
        <v>0</v>
      </c>
      <c r="H107" s="137">
        <f t="shared" ca="1" si="9"/>
        <v>0</v>
      </c>
      <c r="I107" s="137">
        <f t="shared" ca="1" si="9"/>
        <v>0</v>
      </c>
      <c r="J107" s="137">
        <f t="shared" ca="1" si="9"/>
        <v>0</v>
      </c>
      <c r="K107" s="137">
        <f t="shared" ca="1" si="9"/>
        <v>0</v>
      </c>
      <c r="L107" s="137">
        <f t="shared" ca="1" si="9"/>
        <v>0</v>
      </c>
      <c r="M107" s="137">
        <f t="shared" ca="1" si="9"/>
        <v>0</v>
      </c>
      <c r="N107" s="146">
        <f t="shared" ca="1" si="9"/>
        <v>0</v>
      </c>
    </row>
    <row r="108" spans="1:14" x14ac:dyDescent="0.25">
      <c r="A108" s="143">
        <v>56</v>
      </c>
      <c r="B108" s="137"/>
      <c r="C108" s="137">
        <f t="shared" ca="1" si="9"/>
        <v>0</v>
      </c>
      <c r="D108" s="137">
        <f t="shared" ca="1" si="9"/>
        <v>0</v>
      </c>
      <c r="E108" s="137">
        <f t="shared" ca="1" si="9"/>
        <v>0</v>
      </c>
      <c r="F108" s="137">
        <f t="shared" ca="1" si="9"/>
        <v>0</v>
      </c>
      <c r="G108" s="137">
        <f t="shared" ca="1" si="9"/>
        <v>0</v>
      </c>
      <c r="H108" s="137">
        <f t="shared" ca="1" si="9"/>
        <v>0</v>
      </c>
      <c r="I108" s="137">
        <f t="shared" ca="1" si="9"/>
        <v>0</v>
      </c>
      <c r="J108" s="137">
        <f t="shared" ca="1" si="9"/>
        <v>0</v>
      </c>
      <c r="K108" s="137">
        <f t="shared" ca="1" si="9"/>
        <v>0</v>
      </c>
      <c r="L108" s="137">
        <f t="shared" ca="1" si="9"/>
        <v>0</v>
      </c>
      <c r="M108" s="137">
        <f t="shared" ca="1" si="9"/>
        <v>0</v>
      </c>
      <c r="N108" s="146">
        <f t="shared" ca="1" si="9"/>
        <v>0</v>
      </c>
    </row>
    <row r="109" spans="1:14" x14ac:dyDescent="0.25">
      <c r="A109" s="143">
        <v>57</v>
      </c>
      <c r="B109" s="137"/>
      <c r="C109" s="137">
        <f t="shared" ca="1" si="9"/>
        <v>301</v>
      </c>
      <c r="D109" s="137">
        <f t="shared" ca="1" si="9"/>
        <v>313</v>
      </c>
      <c r="E109" s="137">
        <f t="shared" ca="1" si="9"/>
        <v>256</v>
      </c>
      <c r="F109" s="137">
        <f t="shared" ca="1" si="9"/>
        <v>192</v>
      </c>
      <c r="G109" s="137">
        <f t="shared" ca="1" si="9"/>
        <v>234</v>
      </c>
      <c r="H109" s="137">
        <f t="shared" ca="1" si="9"/>
        <v>276</v>
      </c>
      <c r="I109" s="137">
        <f t="shared" ca="1" si="9"/>
        <v>283</v>
      </c>
      <c r="J109" s="137">
        <f t="shared" ca="1" si="9"/>
        <v>228</v>
      </c>
      <c r="K109" s="137">
        <f t="shared" ca="1" si="9"/>
        <v>262</v>
      </c>
      <c r="L109" s="137">
        <f t="shared" ca="1" si="9"/>
        <v>341</v>
      </c>
      <c r="M109" s="137">
        <f t="shared" ca="1" si="9"/>
        <v>279</v>
      </c>
      <c r="N109" s="146">
        <f t="shared" ca="1" si="9"/>
        <v>251</v>
      </c>
    </row>
    <row r="110" spans="1:14" x14ac:dyDescent="0.25">
      <c r="A110" s="143">
        <v>58</v>
      </c>
      <c r="B110" s="137"/>
      <c r="C110" s="137">
        <f t="shared" ca="1" si="9"/>
        <v>363</v>
      </c>
      <c r="D110" s="137">
        <f t="shared" ca="1" si="9"/>
        <v>378</v>
      </c>
      <c r="E110" s="137">
        <f t="shared" ca="1" si="9"/>
        <v>305</v>
      </c>
      <c r="F110" s="137">
        <f t="shared" ca="1" si="9"/>
        <v>231</v>
      </c>
      <c r="G110" s="137">
        <f t="shared" ca="1" si="9"/>
        <v>275</v>
      </c>
      <c r="H110" s="137">
        <f t="shared" ca="1" si="9"/>
        <v>320</v>
      </c>
      <c r="I110" s="137">
        <f t="shared" ca="1" si="9"/>
        <v>321</v>
      </c>
      <c r="J110" s="137">
        <f t="shared" ca="1" si="9"/>
        <v>261</v>
      </c>
      <c r="K110" s="137">
        <f t="shared" ca="1" si="9"/>
        <v>302</v>
      </c>
      <c r="L110" s="137">
        <f t="shared" ca="1" si="9"/>
        <v>392</v>
      </c>
      <c r="M110" s="137">
        <f t="shared" ca="1" si="9"/>
        <v>324</v>
      </c>
      <c r="N110" s="146">
        <f t="shared" ca="1" si="9"/>
        <v>301</v>
      </c>
    </row>
    <row r="111" spans="1:14" x14ac:dyDescent="0.25">
      <c r="A111" s="143">
        <v>59</v>
      </c>
      <c r="B111" s="137"/>
      <c r="C111" s="137">
        <f t="shared" ca="1" si="9"/>
        <v>0</v>
      </c>
      <c r="D111" s="137">
        <f t="shared" ca="1" si="9"/>
        <v>0</v>
      </c>
      <c r="E111" s="137">
        <f t="shared" ca="1" si="9"/>
        <v>0</v>
      </c>
      <c r="F111" s="137">
        <f t="shared" ca="1" si="9"/>
        <v>0</v>
      </c>
      <c r="G111" s="137">
        <f t="shared" ca="1" si="9"/>
        <v>0</v>
      </c>
      <c r="H111" s="137">
        <f t="shared" ca="1" si="9"/>
        <v>0</v>
      </c>
      <c r="I111" s="137">
        <f t="shared" ca="1" si="9"/>
        <v>0</v>
      </c>
      <c r="J111" s="137">
        <f t="shared" ca="1" si="9"/>
        <v>0</v>
      </c>
      <c r="K111" s="137">
        <f t="shared" ca="1" si="9"/>
        <v>0</v>
      </c>
      <c r="L111" s="137">
        <f t="shared" ca="1" si="9"/>
        <v>0</v>
      </c>
      <c r="M111" s="137">
        <f t="shared" ca="1" si="9"/>
        <v>0</v>
      </c>
      <c r="N111" s="146">
        <f t="shared" ca="1" si="9"/>
        <v>0</v>
      </c>
    </row>
    <row r="112" spans="1:14" x14ac:dyDescent="0.25">
      <c r="A112" s="143">
        <v>60</v>
      </c>
      <c r="B112" s="137"/>
      <c r="C112" s="137">
        <f t="shared" ca="1" si="9"/>
        <v>0</v>
      </c>
      <c r="D112" s="137">
        <f t="shared" ca="1" si="9"/>
        <v>0</v>
      </c>
      <c r="E112" s="137">
        <f t="shared" ca="1" si="9"/>
        <v>0</v>
      </c>
      <c r="F112" s="137">
        <f t="shared" ca="1" si="9"/>
        <v>0</v>
      </c>
      <c r="G112" s="137">
        <f t="shared" ca="1" si="9"/>
        <v>0</v>
      </c>
      <c r="H112" s="137">
        <f t="shared" ca="1" si="9"/>
        <v>0</v>
      </c>
      <c r="I112" s="137">
        <f t="shared" ca="1" si="9"/>
        <v>0</v>
      </c>
      <c r="J112" s="137">
        <f t="shared" ca="1" si="9"/>
        <v>0</v>
      </c>
      <c r="K112" s="137">
        <f t="shared" ca="1" si="9"/>
        <v>0</v>
      </c>
      <c r="L112" s="137">
        <f t="shared" ca="1" si="9"/>
        <v>0</v>
      </c>
      <c r="M112" s="137">
        <f t="shared" ca="1" si="9"/>
        <v>0</v>
      </c>
      <c r="N112" s="146">
        <f t="shared" ca="1" si="9"/>
        <v>0</v>
      </c>
    </row>
    <row r="113" spans="1:14" x14ac:dyDescent="0.25">
      <c r="A113" s="143">
        <v>61</v>
      </c>
      <c r="B113" s="137"/>
      <c r="C113" s="137">
        <f t="shared" ref="C113:N122" ca="1" si="10">ROUND(INDEX(INDIRECT(IF(C$13="E",$Q$53,$Q$54)),$A113,C$52),0)</f>
        <v>1490</v>
      </c>
      <c r="D113" s="137">
        <f t="shared" ca="1" si="10"/>
        <v>1571</v>
      </c>
      <c r="E113" s="137">
        <f t="shared" ca="1" si="10"/>
        <v>1285</v>
      </c>
      <c r="F113" s="137">
        <f t="shared" ca="1" si="10"/>
        <v>980</v>
      </c>
      <c r="G113" s="137">
        <f t="shared" ca="1" si="10"/>
        <v>982</v>
      </c>
      <c r="H113" s="137">
        <f t="shared" ca="1" si="10"/>
        <v>1072</v>
      </c>
      <c r="I113" s="137">
        <f t="shared" ca="1" si="10"/>
        <v>970</v>
      </c>
      <c r="J113" s="137">
        <f t="shared" ca="1" si="10"/>
        <v>798</v>
      </c>
      <c r="K113" s="137">
        <f t="shared" ca="1" si="10"/>
        <v>882</v>
      </c>
      <c r="L113" s="137">
        <f t="shared" ca="1" si="10"/>
        <v>1096</v>
      </c>
      <c r="M113" s="137">
        <f t="shared" ca="1" si="10"/>
        <v>987</v>
      </c>
      <c r="N113" s="146">
        <f t="shared" ca="1" si="10"/>
        <v>1087</v>
      </c>
    </row>
    <row r="114" spans="1:14" x14ac:dyDescent="0.25">
      <c r="A114" s="143">
        <v>62</v>
      </c>
      <c r="B114" s="137"/>
      <c r="C114" s="137">
        <f t="shared" ca="1" si="10"/>
        <v>1564</v>
      </c>
      <c r="D114" s="137">
        <f t="shared" ca="1" si="10"/>
        <v>1652</v>
      </c>
      <c r="E114" s="137">
        <f t="shared" ca="1" si="10"/>
        <v>1355</v>
      </c>
      <c r="F114" s="137">
        <f t="shared" ca="1" si="10"/>
        <v>1034</v>
      </c>
      <c r="G114" s="137">
        <f t="shared" ca="1" si="10"/>
        <v>1036</v>
      </c>
      <c r="H114" s="137">
        <f t="shared" ca="1" si="10"/>
        <v>1132</v>
      </c>
      <c r="I114" s="137">
        <f t="shared" ca="1" si="10"/>
        <v>1027</v>
      </c>
      <c r="J114" s="137">
        <f t="shared" ca="1" si="10"/>
        <v>846</v>
      </c>
      <c r="K114" s="137">
        <f t="shared" ca="1" si="10"/>
        <v>930</v>
      </c>
      <c r="L114" s="137">
        <f t="shared" ca="1" si="10"/>
        <v>1160</v>
      </c>
      <c r="M114" s="137">
        <f t="shared" ca="1" si="10"/>
        <v>1046</v>
      </c>
      <c r="N114" s="146">
        <f t="shared" ca="1" si="10"/>
        <v>1145</v>
      </c>
    </row>
    <row r="115" spans="1:14" x14ac:dyDescent="0.25">
      <c r="A115" s="143">
        <v>63</v>
      </c>
      <c r="B115" s="137"/>
      <c r="C115" s="137">
        <f t="shared" ca="1" si="10"/>
        <v>1727</v>
      </c>
      <c r="D115" s="137">
        <f t="shared" ca="1" si="10"/>
        <v>1830</v>
      </c>
      <c r="E115" s="137">
        <f t="shared" ca="1" si="10"/>
        <v>1521</v>
      </c>
      <c r="F115" s="137">
        <f t="shared" ca="1" si="10"/>
        <v>1164</v>
      </c>
      <c r="G115" s="137">
        <f t="shared" ca="1" si="10"/>
        <v>1160</v>
      </c>
      <c r="H115" s="137">
        <f t="shared" ca="1" si="10"/>
        <v>1275</v>
      </c>
      <c r="I115" s="137">
        <f t="shared" ca="1" si="10"/>
        <v>1156</v>
      </c>
      <c r="J115" s="137">
        <f t="shared" ca="1" si="10"/>
        <v>961</v>
      </c>
      <c r="K115" s="137">
        <f t="shared" ca="1" si="10"/>
        <v>1045</v>
      </c>
      <c r="L115" s="137">
        <f t="shared" ca="1" si="10"/>
        <v>1303</v>
      </c>
      <c r="M115" s="137">
        <f t="shared" ca="1" si="10"/>
        <v>1187</v>
      </c>
      <c r="N115" s="146">
        <f t="shared" ca="1" si="10"/>
        <v>1284</v>
      </c>
    </row>
    <row r="116" spans="1:14" x14ac:dyDescent="0.25">
      <c r="A116" s="143">
        <v>64</v>
      </c>
      <c r="B116" s="137"/>
      <c r="C116" s="137">
        <f t="shared" ca="1" si="10"/>
        <v>0</v>
      </c>
      <c r="D116" s="137">
        <f t="shared" ca="1" si="10"/>
        <v>0</v>
      </c>
      <c r="E116" s="137">
        <f t="shared" ca="1" si="10"/>
        <v>0</v>
      </c>
      <c r="F116" s="137">
        <f t="shared" ca="1" si="10"/>
        <v>0</v>
      </c>
      <c r="G116" s="137">
        <f t="shared" ca="1" si="10"/>
        <v>0</v>
      </c>
      <c r="H116" s="137">
        <f t="shared" ca="1" si="10"/>
        <v>0</v>
      </c>
      <c r="I116" s="137">
        <f t="shared" ca="1" si="10"/>
        <v>0</v>
      </c>
      <c r="J116" s="137">
        <f t="shared" ca="1" si="10"/>
        <v>0</v>
      </c>
      <c r="K116" s="137">
        <f t="shared" ca="1" si="10"/>
        <v>0</v>
      </c>
      <c r="L116" s="137">
        <f t="shared" ca="1" si="10"/>
        <v>0</v>
      </c>
      <c r="M116" s="137">
        <f t="shared" ca="1" si="10"/>
        <v>0</v>
      </c>
      <c r="N116" s="146">
        <f t="shared" ca="1" si="10"/>
        <v>0</v>
      </c>
    </row>
    <row r="117" spans="1:14" x14ac:dyDescent="0.25">
      <c r="A117" s="143">
        <v>65</v>
      </c>
      <c r="B117" s="137"/>
      <c r="C117" s="137">
        <f t="shared" ca="1" si="10"/>
        <v>82</v>
      </c>
      <c r="D117" s="137">
        <f t="shared" ca="1" si="10"/>
        <v>89</v>
      </c>
      <c r="E117" s="137">
        <f t="shared" ca="1" si="10"/>
        <v>76</v>
      </c>
      <c r="F117" s="137">
        <f t="shared" ca="1" si="10"/>
        <v>81</v>
      </c>
      <c r="G117" s="137">
        <f t="shared" ca="1" si="10"/>
        <v>116</v>
      </c>
      <c r="H117" s="137">
        <f t="shared" ca="1" si="10"/>
        <v>136</v>
      </c>
      <c r="I117" s="137">
        <f t="shared" ca="1" si="10"/>
        <v>120</v>
      </c>
      <c r="J117" s="137">
        <f t="shared" ca="1" si="10"/>
        <v>103</v>
      </c>
      <c r="K117" s="137">
        <f t="shared" ca="1" si="10"/>
        <v>117</v>
      </c>
      <c r="L117" s="137">
        <f t="shared" ca="1" si="10"/>
        <v>156</v>
      </c>
      <c r="M117" s="137">
        <f t="shared" ca="1" si="10"/>
        <v>118</v>
      </c>
      <c r="N117" s="146">
        <f t="shared" ca="1" si="10"/>
        <v>87</v>
      </c>
    </row>
    <row r="118" spans="1:14" x14ac:dyDescent="0.25">
      <c r="A118" s="143">
        <v>66</v>
      </c>
      <c r="B118" s="137"/>
      <c r="C118" s="137">
        <f t="shared" ca="1" si="10"/>
        <v>14784</v>
      </c>
      <c r="D118" s="137">
        <f t="shared" ca="1" si="10"/>
        <v>16151</v>
      </c>
      <c r="E118" s="137">
        <f t="shared" ca="1" si="10"/>
        <v>15026</v>
      </c>
      <c r="F118" s="137">
        <f t="shared" ca="1" si="10"/>
        <v>11938</v>
      </c>
      <c r="G118" s="137">
        <f t="shared" ca="1" si="10"/>
        <v>9548</v>
      </c>
      <c r="H118" s="137">
        <f t="shared" ca="1" si="10"/>
        <v>8841</v>
      </c>
      <c r="I118" s="137">
        <f t="shared" ca="1" si="10"/>
        <v>7484</v>
      </c>
      <c r="J118" s="137">
        <f t="shared" ca="1" si="10"/>
        <v>6291</v>
      </c>
      <c r="K118" s="137">
        <f t="shared" ca="1" si="10"/>
        <v>6327</v>
      </c>
      <c r="L118" s="137">
        <f t="shared" ca="1" si="10"/>
        <v>7597</v>
      </c>
      <c r="M118" s="137">
        <f t="shared" ca="1" si="10"/>
        <v>8344</v>
      </c>
      <c r="N118" s="146">
        <f t="shared" ca="1" si="10"/>
        <v>10989</v>
      </c>
    </row>
    <row r="119" spans="1:14" x14ac:dyDescent="0.25">
      <c r="A119" s="143">
        <v>67</v>
      </c>
      <c r="B119" s="137"/>
      <c r="C119" s="137">
        <f t="shared" ca="1" si="10"/>
        <v>0</v>
      </c>
      <c r="D119" s="137">
        <f t="shared" ca="1" si="10"/>
        <v>0</v>
      </c>
      <c r="E119" s="137">
        <f t="shared" ca="1" si="10"/>
        <v>0</v>
      </c>
      <c r="F119" s="137">
        <f t="shared" ca="1" si="10"/>
        <v>0</v>
      </c>
      <c r="G119" s="137">
        <f t="shared" ca="1" si="10"/>
        <v>0</v>
      </c>
      <c r="H119" s="137">
        <f t="shared" ca="1" si="10"/>
        <v>0</v>
      </c>
      <c r="I119" s="137">
        <f t="shared" ca="1" si="10"/>
        <v>0</v>
      </c>
      <c r="J119" s="137">
        <f t="shared" ca="1" si="10"/>
        <v>0</v>
      </c>
      <c r="K119" s="137">
        <f t="shared" ca="1" si="10"/>
        <v>0</v>
      </c>
      <c r="L119" s="137">
        <f t="shared" ca="1" si="10"/>
        <v>0</v>
      </c>
      <c r="M119" s="137">
        <f t="shared" ca="1" si="10"/>
        <v>0</v>
      </c>
      <c r="N119" s="146">
        <f t="shared" ca="1" si="10"/>
        <v>0</v>
      </c>
    </row>
    <row r="120" spans="1:14" x14ac:dyDescent="0.25">
      <c r="A120" s="143">
        <v>68</v>
      </c>
      <c r="B120" s="137"/>
      <c r="C120" s="137">
        <f t="shared" ca="1" si="10"/>
        <v>0</v>
      </c>
      <c r="D120" s="137">
        <f t="shared" ca="1" si="10"/>
        <v>0</v>
      </c>
      <c r="E120" s="137">
        <f t="shared" ca="1" si="10"/>
        <v>0</v>
      </c>
      <c r="F120" s="137">
        <f t="shared" ca="1" si="10"/>
        <v>0</v>
      </c>
      <c r="G120" s="137">
        <f t="shared" ca="1" si="10"/>
        <v>0</v>
      </c>
      <c r="H120" s="137">
        <f t="shared" ca="1" si="10"/>
        <v>0</v>
      </c>
      <c r="I120" s="137">
        <f t="shared" ca="1" si="10"/>
        <v>0</v>
      </c>
      <c r="J120" s="137">
        <f t="shared" ca="1" si="10"/>
        <v>0</v>
      </c>
      <c r="K120" s="137">
        <f t="shared" ca="1" si="10"/>
        <v>0</v>
      </c>
      <c r="L120" s="137">
        <f t="shared" ca="1" si="10"/>
        <v>0</v>
      </c>
      <c r="M120" s="137">
        <f t="shared" ca="1" si="10"/>
        <v>0</v>
      </c>
      <c r="N120" s="146">
        <f t="shared" ca="1" si="10"/>
        <v>0</v>
      </c>
    </row>
    <row r="121" spans="1:14" x14ac:dyDescent="0.25">
      <c r="A121" s="143">
        <v>69</v>
      </c>
      <c r="B121" s="137"/>
      <c r="C121" s="137">
        <f t="shared" ca="1" si="10"/>
        <v>0</v>
      </c>
      <c r="D121" s="137">
        <f t="shared" ca="1" si="10"/>
        <v>0</v>
      </c>
      <c r="E121" s="137">
        <f t="shared" ca="1" si="10"/>
        <v>0</v>
      </c>
      <c r="F121" s="137">
        <f t="shared" ca="1" si="10"/>
        <v>0</v>
      </c>
      <c r="G121" s="137">
        <f t="shared" ca="1" si="10"/>
        <v>0</v>
      </c>
      <c r="H121" s="137">
        <f t="shared" ca="1" si="10"/>
        <v>0</v>
      </c>
      <c r="I121" s="137">
        <f t="shared" ca="1" si="10"/>
        <v>0</v>
      </c>
      <c r="J121" s="137">
        <f t="shared" ca="1" si="10"/>
        <v>0</v>
      </c>
      <c r="K121" s="137">
        <f t="shared" ca="1" si="10"/>
        <v>0</v>
      </c>
      <c r="L121" s="137">
        <f t="shared" ca="1" si="10"/>
        <v>0</v>
      </c>
      <c r="M121" s="137">
        <f t="shared" ca="1" si="10"/>
        <v>0</v>
      </c>
      <c r="N121" s="146">
        <f t="shared" ca="1" si="10"/>
        <v>0</v>
      </c>
    </row>
    <row r="122" spans="1:14" x14ac:dyDescent="0.25">
      <c r="A122" s="143">
        <v>70</v>
      </c>
      <c r="B122" s="137"/>
      <c r="C122" s="137">
        <f t="shared" ca="1" si="10"/>
        <v>21</v>
      </c>
      <c r="D122" s="137">
        <f t="shared" ca="1" si="10"/>
        <v>21</v>
      </c>
      <c r="E122" s="137">
        <f t="shared" ca="1" si="10"/>
        <v>14</v>
      </c>
      <c r="F122" s="137">
        <f t="shared" ca="1" si="10"/>
        <v>21</v>
      </c>
      <c r="G122" s="137">
        <f t="shared" ca="1" si="10"/>
        <v>42</v>
      </c>
      <c r="H122" s="137">
        <f t="shared" ca="1" si="10"/>
        <v>45</v>
      </c>
      <c r="I122" s="137">
        <f t="shared" ca="1" si="10"/>
        <v>41</v>
      </c>
      <c r="J122" s="137">
        <f t="shared" ca="1" si="10"/>
        <v>22</v>
      </c>
      <c r="K122" s="137">
        <f t="shared" ca="1" si="10"/>
        <v>39</v>
      </c>
      <c r="L122" s="137">
        <f t="shared" ca="1" si="10"/>
        <v>51</v>
      </c>
      <c r="M122" s="137">
        <f t="shared" ca="1" si="10"/>
        <v>26</v>
      </c>
      <c r="N122" s="146">
        <f t="shared" ca="1" si="10"/>
        <v>18</v>
      </c>
    </row>
    <row r="123" spans="1:14" x14ac:dyDescent="0.25">
      <c r="A123" s="143">
        <v>71</v>
      </c>
      <c r="B123" s="137"/>
      <c r="C123" s="137">
        <f t="shared" ref="C123:N132" ca="1" si="11">ROUND(INDEX(INDIRECT(IF(C$13="E",$Q$53,$Q$54)),$A123,C$52),0)</f>
        <v>91</v>
      </c>
      <c r="D123" s="137">
        <f t="shared" ca="1" si="11"/>
        <v>95</v>
      </c>
      <c r="E123" s="137">
        <f t="shared" ca="1" si="11"/>
        <v>80</v>
      </c>
      <c r="F123" s="137">
        <f t="shared" ca="1" si="11"/>
        <v>80</v>
      </c>
      <c r="G123" s="137">
        <f t="shared" ca="1" si="11"/>
        <v>107</v>
      </c>
      <c r="H123" s="137">
        <f t="shared" ca="1" si="11"/>
        <v>125</v>
      </c>
      <c r="I123" s="137">
        <f t="shared" ca="1" si="11"/>
        <v>118</v>
      </c>
      <c r="J123" s="137">
        <f t="shared" ca="1" si="11"/>
        <v>90</v>
      </c>
      <c r="K123" s="137">
        <f t="shared" ca="1" si="11"/>
        <v>111</v>
      </c>
      <c r="L123" s="137">
        <f t="shared" ca="1" si="11"/>
        <v>140</v>
      </c>
      <c r="M123" s="137">
        <f t="shared" ca="1" si="11"/>
        <v>108</v>
      </c>
      <c r="N123" s="146">
        <f t="shared" ca="1" si="11"/>
        <v>92</v>
      </c>
    </row>
    <row r="124" spans="1:14" x14ac:dyDescent="0.25">
      <c r="A124" s="143">
        <v>72</v>
      </c>
      <c r="B124" s="137"/>
      <c r="C124" s="137">
        <f t="shared" ca="1" si="11"/>
        <v>95</v>
      </c>
      <c r="D124" s="137">
        <f t="shared" ca="1" si="11"/>
        <v>100</v>
      </c>
      <c r="E124" s="137">
        <f t="shared" ca="1" si="11"/>
        <v>84</v>
      </c>
      <c r="F124" s="137">
        <f t="shared" ca="1" si="11"/>
        <v>84</v>
      </c>
      <c r="G124" s="137">
        <f t="shared" ca="1" si="11"/>
        <v>112</v>
      </c>
      <c r="H124" s="137">
        <f t="shared" ca="1" si="11"/>
        <v>131</v>
      </c>
      <c r="I124" s="137">
        <f t="shared" ca="1" si="11"/>
        <v>124</v>
      </c>
      <c r="J124" s="137">
        <f t="shared" ca="1" si="11"/>
        <v>94</v>
      </c>
      <c r="K124" s="137">
        <f t="shared" ca="1" si="11"/>
        <v>117</v>
      </c>
      <c r="L124" s="137">
        <f t="shared" ca="1" si="11"/>
        <v>146</v>
      </c>
      <c r="M124" s="137">
        <f t="shared" ca="1" si="11"/>
        <v>114</v>
      </c>
      <c r="N124" s="146">
        <f t="shared" ca="1" si="11"/>
        <v>96</v>
      </c>
    </row>
    <row r="125" spans="1:14" x14ac:dyDescent="0.25">
      <c r="A125" s="143">
        <v>73</v>
      </c>
      <c r="B125" s="137"/>
      <c r="C125" s="137">
        <f t="shared" ca="1" si="11"/>
        <v>113</v>
      </c>
      <c r="D125" s="137">
        <f t="shared" ca="1" si="11"/>
        <v>117</v>
      </c>
      <c r="E125" s="137">
        <f t="shared" ca="1" si="11"/>
        <v>100</v>
      </c>
      <c r="F125" s="137">
        <f t="shared" ca="1" si="11"/>
        <v>100</v>
      </c>
      <c r="G125" s="137">
        <f t="shared" ca="1" si="11"/>
        <v>134</v>
      </c>
      <c r="H125" s="137">
        <f t="shared" ca="1" si="11"/>
        <v>156</v>
      </c>
      <c r="I125" s="137">
        <f t="shared" ca="1" si="11"/>
        <v>148</v>
      </c>
      <c r="J125" s="137">
        <f t="shared" ca="1" si="11"/>
        <v>113</v>
      </c>
      <c r="K125" s="137">
        <f t="shared" ca="1" si="11"/>
        <v>138</v>
      </c>
      <c r="L125" s="137">
        <f t="shared" ca="1" si="11"/>
        <v>172</v>
      </c>
      <c r="M125" s="137">
        <f t="shared" ca="1" si="11"/>
        <v>135</v>
      </c>
      <c r="N125" s="146">
        <f t="shared" ca="1" si="11"/>
        <v>113</v>
      </c>
    </row>
    <row r="126" spans="1:14" x14ac:dyDescent="0.25">
      <c r="A126" s="143">
        <v>74</v>
      </c>
      <c r="B126" s="137"/>
      <c r="C126" s="137">
        <f t="shared" ca="1" si="11"/>
        <v>597</v>
      </c>
      <c r="D126" s="137">
        <f t="shared" ca="1" si="11"/>
        <v>674</v>
      </c>
      <c r="E126" s="137">
        <f t="shared" ca="1" si="11"/>
        <v>602</v>
      </c>
      <c r="F126" s="137">
        <f t="shared" ca="1" si="11"/>
        <v>483</v>
      </c>
      <c r="G126" s="137">
        <f t="shared" ca="1" si="11"/>
        <v>585</v>
      </c>
      <c r="H126" s="137">
        <f t="shared" ca="1" si="11"/>
        <v>685</v>
      </c>
      <c r="I126" s="137">
        <f t="shared" ca="1" si="11"/>
        <v>728</v>
      </c>
      <c r="J126" s="137">
        <f t="shared" ca="1" si="11"/>
        <v>620</v>
      </c>
      <c r="K126" s="137">
        <f t="shared" ca="1" si="11"/>
        <v>731</v>
      </c>
      <c r="L126" s="137">
        <f t="shared" ca="1" si="11"/>
        <v>923</v>
      </c>
      <c r="M126" s="137">
        <f t="shared" ca="1" si="11"/>
        <v>688</v>
      </c>
      <c r="N126" s="146">
        <f t="shared" ca="1" si="11"/>
        <v>575</v>
      </c>
    </row>
    <row r="127" spans="1:14" x14ac:dyDescent="0.25">
      <c r="A127" s="143">
        <v>75</v>
      </c>
      <c r="B127" s="137"/>
      <c r="C127" s="137">
        <f t="shared" ca="1" si="11"/>
        <v>774</v>
      </c>
      <c r="D127" s="137">
        <f t="shared" ca="1" si="11"/>
        <v>861</v>
      </c>
      <c r="E127" s="137">
        <f t="shared" ca="1" si="11"/>
        <v>767</v>
      </c>
      <c r="F127" s="137">
        <f t="shared" ca="1" si="11"/>
        <v>642</v>
      </c>
      <c r="G127" s="137">
        <f t="shared" ca="1" si="11"/>
        <v>782</v>
      </c>
      <c r="H127" s="137">
        <f t="shared" ca="1" si="11"/>
        <v>923</v>
      </c>
      <c r="I127" s="137">
        <f t="shared" ca="1" si="11"/>
        <v>951</v>
      </c>
      <c r="J127" s="137">
        <f t="shared" ca="1" si="11"/>
        <v>804</v>
      </c>
      <c r="K127" s="137">
        <f t="shared" ca="1" si="11"/>
        <v>942</v>
      </c>
      <c r="L127" s="137">
        <f t="shared" ca="1" si="11"/>
        <v>1191</v>
      </c>
      <c r="M127" s="137">
        <f t="shared" ca="1" si="11"/>
        <v>910</v>
      </c>
      <c r="N127" s="146">
        <f t="shared" ca="1" si="11"/>
        <v>755</v>
      </c>
    </row>
    <row r="128" spans="1:14" x14ac:dyDescent="0.25">
      <c r="A128" s="143">
        <v>76</v>
      </c>
      <c r="B128" s="137"/>
      <c r="C128" s="137">
        <f t="shared" ca="1" si="11"/>
        <v>682</v>
      </c>
      <c r="D128" s="137">
        <f t="shared" ca="1" si="11"/>
        <v>765</v>
      </c>
      <c r="E128" s="137">
        <f t="shared" ca="1" si="11"/>
        <v>681</v>
      </c>
      <c r="F128" s="137">
        <f t="shared" ca="1" si="11"/>
        <v>564</v>
      </c>
      <c r="G128" s="137">
        <f t="shared" ca="1" si="11"/>
        <v>689</v>
      </c>
      <c r="H128" s="137">
        <f t="shared" ca="1" si="11"/>
        <v>811</v>
      </c>
      <c r="I128" s="137">
        <f t="shared" ca="1" si="11"/>
        <v>844</v>
      </c>
      <c r="J128" s="137">
        <f t="shared" ca="1" si="11"/>
        <v>713</v>
      </c>
      <c r="K128" s="137">
        <f t="shared" ca="1" si="11"/>
        <v>843</v>
      </c>
      <c r="L128" s="137">
        <f t="shared" ca="1" si="11"/>
        <v>1070</v>
      </c>
      <c r="M128" s="137">
        <f t="shared" ca="1" si="11"/>
        <v>801</v>
      </c>
      <c r="N128" s="146">
        <f t="shared" ca="1" si="11"/>
        <v>660</v>
      </c>
    </row>
    <row r="129" spans="1:14" x14ac:dyDescent="0.25">
      <c r="A129" s="143">
        <v>77</v>
      </c>
      <c r="B129" s="137"/>
      <c r="C129" s="137">
        <f t="shared" ca="1" si="11"/>
        <v>885</v>
      </c>
      <c r="D129" s="137">
        <f t="shared" ca="1" si="11"/>
        <v>982</v>
      </c>
      <c r="E129" s="137">
        <f t="shared" ca="1" si="11"/>
        <v>856</v>
      </c>
      <c r="F129" s="137">
        <f t="shared" ca="1" si="11"/>
        <v>757</v>
      </c>
      <c r="G129" s="137">
        <f t="shared" ca="1" si="11"/>
        <v>948</v>
      </c>
      <c r="H129" s="137">
        <f t="shared" ca="1" si="11"/>
        <v>1127</v>
      </c>
      <c r="I129" s="137">
        <f t="shared" ca="1" si="11"/>
        <v>1135</v>
      </c>
      <c r="J129" s="137">
        <f t="shared" ca="1" si="11"/>
        <v>937</v>
      </c>
      <c r="K129" s="137">
        <f t="shared" ca="1" si="11"/>
        <v>1110</v>
      </c>
      <c r="L129" s="137">
        <f t="shared" ca="1" si="11"/>
        <v>1426</v>
      </c>
      <c r="M129" s="137">
        <f t="shared" ca="1" si="11"/>
        <v>1070</v>
      </c>
      <c r="N129" s="146">
        <f t="shared" ca="1" si="11"/>
        <v>868</v>
      </c>
    </row>
    <row r="130" spans="1:14" x14ac:dyDescent="0.25">
      <c r="A130" s="143">
        <v>78</v>
      </c>
      <c r="B130" s="137"/>
      <c r="C130" s="137">
        <f t="shared" ca="1" si="11"/>
        <v>922</v>
      </c>
      <c r="D130" s="137">
        <f t="shared" ca="1" si="11"/>
        <v>1023</v>
      </c>
      <c r="E130" s="137">
        <f t="shared" ca="1" si="11"/>
        <v>894</v>
      </c>
      <c r="F130" s="137">
        <f t="shared" ca="1" si="11"/>
        <v>792</v>
      </c>
      <c r="G130" s="137">
        <f t="shared" ca="1" si="11"/>
        <v>996</v>
      </c>
      <c r="H130" s="137">
        <f t="shared" ca="1" si="11"/>
        <v>1182</v>
      </c>
      <c r="I130" s="137">
        <f t="shared" ca="1" si="11"/>
        <v>1187</v>
      </c>
      <c r="J130" s="137">
        <f t="shared" ca="1" si="11"/>
        <v>980</v>
      </c>
      <c r="K130" s="137">
        <f t="shared" ca="1" si="11"/>
        <v>1156</v>
      </c>
      <c r="L130" s="137">
        <f t="shared" ca="1" si="11"/>
        <v>1500</v>
      </c>
      <c r="M130" s="137">
        <f t="shared" ca="1" si="11"/>
        <v>1128</v>
      </c>
      <c r="N130" s="146">
        <f t="shared" ca="1" si="11"/>
        <v>909</v>
      </c>
    </row>
    <row r="131" spans="1:14" x14ac:dyDescent="0.25">
      <c r="A131" s="143">
        <v>79</v>
      </c>
      <c r="B131" s="137"/>
      <c r="C131" s="137">
        <f t="shared" ca="1" si="11"/>
        <v>0</v>
      </c>
      <c r="D131" s="137">
        <f t="shared" ca="1" si="11"/>
        <v>0</v>
      </c>
      <c r="E131" s="137">
        <f t="shared" ca="1" si="11"/>
        <v>0</v>
      </c>
      <c r="F131" s="137">
        <f t="shared" ca="1" si="11"/>
        <v>0</v>
      </c>
      <c r="G131" s="137">
        <f t="shared" ca="1" si="11"/>
        <v>0</v>
      </c>
      <c r="H131" s="137">
        <f t="shared" ca="1" si="11"/>
        <v>0</v>
      </c>
      <c r="I131" s="137">
        <f t="shared" ca="1" si="11"/>
        <v>0</v>
      </c>
      <c r="J131" s="137">
        <f t="shared" ca="1" si="11"/>
        <v>0</v>
      </c>
      <c r="K131" s="137">
        <f t="shared" ca="1" si="11"/>
        <v>0</v>
      </c>
      <c r="L131" s="137">
        <f t="shared" ca="1" si="11"/>
        <v>0</v>
      </c>
      <c r="M131" s="137">
        <f t="shared" ca="1" si="11"/>
        <v>0</v>
      </c>
      <c r="N131" s="146">
        <f t="shared" ca="1" si="11"/>
        <v>0</v>
      </c>
    </row>
    <row r="132" spans="1:14" x14ac:dyDescent="0.25">
      <c r="A132" s="143">
        <v>80</v>
      </c>
      <c r="B132" s="137"/>
      <c r="C132" s="137">
        <f t="shared" ca="1" si="11"/>
        <v>52</v>
      </c>
      <c r="D132" s="137">
        <f t="shared" ca="1" si="11"/>
        <v>59</v>
      </c>
      <c r="E132" s="137">
        <f t="shared" ca="1" si="11"/>
        <v>49</v>
      </c>
      <c r="F132" s="137">
        <f t="shared" ca="1" si="11"/>
        <v>53</v>
      </c>
      <c r="G132" s="137">
        <f t="shared" ca="1" si="11"/>
        <v>73</v>
      </c>
      <c r="H132" s="137">
        <f t="shared" ca="1" si="11"/>
        <v>87</v>
      </c>
      <c r="I132" s="137">
        <f t="shared" ca="1" si="11"/>
        <v>79</v>
      </c>
      <c r="J132" s="137">
        <f t="shared" ca="1" si="11"/>
        <v>66</v>
      </c>
      <c r="K132" s="137">
        <f t="shared" ca="1" si="11"/>
        <v>78</v>
      </c>
      <c r="L132" s="137">
        <f t="shared" ca="1" si="11"/>
        <v>100</v>
      </c>
      <c r="M132" s="137">
        <f t="shared" ca="1" si="11"/>
        <v>73</v>
      </c>
      <c r="N132" s="146">
        <f t="shared" ca="1" si="11"/>
        <v>54</v>
      </c>
    </row>
    <row r="133" spans="1:14" x14ac:dyDescent="0.25">
      <c r="A133" s="143">
        <v>81</v>
      </c>
      <c r="B133" s="137"/>
      <c r="C133" s="137">
        <f t="shared" ref="C133:N142" ca="1" si="12">ROUND(INDEX(INDIRECT(IF(C$13="E",$Q$53,$Q$54)),$A133,C$52),0)</f>
        <v>1235</v>
      </c>
      <c r="D133" s="137">
        <f t="shared" ca="1" si="12"/>
        <v>1367</v>
      </c>
      <c r="E133" s="137">
        <f t="shared" ca="1" si="12"/>
        <v>1190</v>
      </c>
      <c r="F133" s="137">
        <f t="shared" ca="1" si="12"/>
        <v>1104</v>
      </c>
      <c r="G133" s="137">
        <f t="shared" ca="1" si="12"/>
        <v>1432</v>
      </c>
      <c r="H133" s="137">
        <f t="shared" ca="1" si="12"/>
        <v>1702</v>
      </c>
      <c r="I133" s="137">
        <f t="shared" ca="1" si="12"/>
        <v>1647</v>
      </c>
      <c r="J133" s="137">
        <f t="shared" ca="1" si="12"/>
        <v>1366</v>
      </c>
      <c r="K133" s="137">
        <f t="shared" ca="1" si="12"/>
        <v>1586</v>
      </c>
      <c r="L133" s="137">
        <f t="shared" ca="1" si="12"/>
        <v>2091</v>
      </c>
      <c r="M133" s="137">
        <f t="shared" ca="1" si="12"/>
        <v>1580</v>
      </c>
      <c r="N133" s="146">
        <f t="shared" ca="1" si="12"/>
        <v>1253</v>
      </c>
    </row>
    <row r="134" spans="1:14" x14ac:dyDescent="0.25">
      <c r="A134" s="143">
        <v>82</v>
      </c>
      <c r="B134" s="137"/>
      <c r="C134" s="137">
        <f t="shared" ca="1" si="12"/>
        <v>0</v>
      </c>
      <c r="D134" s="137">
        <f t="shared" ca="1" si="12"/>
        <v>0</v>
      </c>
      <c r="E134" s="137">
        <f t="shared" ca="1" si="12"/>
        <v>0</v>
      </c>
      <c r="F134" s="137">
        <f t="shared" ca="1" si="12"/>
        <v>0</v>
      </c>
      <c r="G134" s="137">
        <f t="shared" ca="1" si="12"/>
        <v>0</v>
      </c>
      <c r="H134" s="137">
        <f t="shared" ca="1" si="12"/>
        <v>0</v>
      </c>
      <c r="I134" s="137">
        <f t="shared" ca="1" si="12"/>
        <v>0</v>
      </c>
      <c r="J134" s="137">
        <f t="shared" ca="1" si="12"/>
        <v>0</v>
      </c>
      <c r="K134" s="137">
        <f t="shared" ca="1" si="12"/>
        <v>0</v>
      </c>
      <c r="L134" s="137">
        <f t="shared" ca="1" si="12"/>
        <v>0</v>
      </c>
      <c r="M134" s="137">
        <f t="shared" ca="1" si="12"/>
        <v>0</v>
      </c>
      <c r="N134" s="146">
        <f t="shared" ca="1" si="12"/>
        <v>0</v>
      </c>
    </row>
    <row r="135" spans="1:14" x14ac:dyDescent="0.25">
      <c r="A135" s="143">
        <v>83</v>
      </c>
      <c r="B135" s="137"/>
      <c r="C135" s="137">
        <f t="shared" ca="1" si="12"/>
        <v>56</v>
      </c>
      <c r="D135" s="137">
        <f t="shared" ca="1" si="12"/>
        <v>63</v>
      </c>
      <c r="E135" s="137">
        <f t="shared" ca="1" si="12"/>
        <v>52</v>
      </c>
      <c r="F135" s="137">
        <f t="shared" ca="1" si="12"/>
        <v>57</v>
      </c>
      <c r="G135" s="137">
        <f t="shared" ca="1" si="12"/>
        <v>78</v>
      </c>
      <c r="H135" s="137">
        <f t="shared" ca="1" si="12"/>
        <v>93</v>
      </c>
      <c r="I135" s="137">
        <f t="shared" ca="1" si="12"/>
        <v>84</v>
      </c>
      <c r="J135" s="137">
        <f t="shared" ca="1" si="12"/>
        <v>71</v>
      </c>
      <c r="K135" s="137">
        <f t="shared" ca="1" si="12"/>
        <v>83</v>
      </c>
      <c r="L135" s="137">
        <f t="shared" ca="1" si="12"/>
        <v>107</v>
      </c>
      <c r="M135" s="137">
        <f t="shared" ca="1" si="12"/>
        <v>78</v>
      </c>
      <c r="N135" s="146">
        <f t="shared" ca="1" si="12"/>
        <v>58</v>
      </c>
    </row>
    <row r="136" spans="1:14" x14ac:dyDescent="0.25">
      <c r="A136" s="143">
        <v>84</v>
      </c>
      <c r="B136" s="137"/>
      <c r="C136" s="137">
        <f t="shared" ca="1" si="12"/>
        <v>0</v>
      </c>
      <c r="D136" s="137">
        <f t="shared" ca="1" si="12"/>
        <v>0</v>
      </c>
      <c r="E136" s="137">
        <f t="shared" ca="1" si="12"/>
        <v>0</v>
      </c>
      <c r="F136" s="137">
        <f t="shared" ca="1" si="12"/>
        <v>0</v>
      </c>
      <c r="G136" s="137">
        <f t="shared" ca="1" si="12"/>
        <v>0</v>
      </c>
      <c r="H136" s="137">
        <f t="shared" ca="1" si="12"/>
        <v>0</v>
      </c>
      <c r="I136" s="137">
        <f t="shared" ca="1" si="12"/>
        <v>0</v>
      </c>
      <c r="J136" s="137">
        <f t="shared" ca="1" si="12"/>
        <v>0</v>
      </c>
      <c r="K136" s="137">
        <f t="shared" ca="1" si="12"/>
        <v>0</v>
      </c>
      <c r="L136" s="137">
        <f t="shared" ca="1" si="12"/>
        <v>0</v>
      </c>
      <c r="M136" s="137">
        <f t="shared" ca="1" si="12"/>
        <v>0</v>
      </c>
      <c r="N136" s="146">
        <f t="shared" ca="1" si="12"/>
        <v>0</v>
      </c>
    </row>
    <row r="137" spans="1:14" x14ac:dyDescent="0.25">
      <c r="A137" s="143">
        <v>85</v>
      </c>
      <c r="B137" s="137"/>
      <c r="C137" s="137">
        <f t="shared" ca="1" si="12"/>
        <v>108</v>
      </c>
      <c r="D137" s="137">
        <f t="shared" ca="1" si="12"/>
        <v>141</v>
      </c>
      <c r="E137" s="137">
        <f t="shared" ca="1" si="12"/>
        <v>106</v>
      </c>
      <c r="F137" s="137">
        <f t="shared" ca="1" si="12"/>
        <v>107</v>
      </c>
      <c r="G137" s="137">
        <f t="shared" ca="1" si="12"/>
        <v>138</v>
      </c>
      <c r="H137" s="137">
        <f t="shared" ca="1" si="12"/>
        <v>153</v>
      </c>
      <c r="I137" s="137">
        <f t="shared" ca="1" si="12"/>
        <v>202</v>
      </c>
      <c r="J137" s="137">
        <f t="shared" ca="1" si="12"/>
        <v>216</v>
      </c>
      <c r="K137" s="137">
        <f t="shared" ca="1" si="12"/>
        <v>245</v>
      </c>
      <c r="L137" s="137">
        <f t="shared" ca="1" si="12"/>
        <v>207</v>
      </c>
      <c r="M137" s="137">
        <f t="shared" ca="1" si="12"/>
        <v>128</v>
      </c>
      <c r="N137" s="146">
        <f t="shared" ca="1" si="12"/>
        <v>106</v>
      </c>
    </row>
    <row r="138" spans="1:14" x14ac:dyDescent="0.25">
      <c r="A138" s="143">
        <v>86</v>
      </c>
      <c r="B138" s="137"/>
      <c r="C138" s="137">
        <f t="shared" ca="1" si="12"/>
        <v>0</v>
      </c>
      <c r="D138" s="137">
        <f t="shared" ca="1" si="12"/>
        <v>0</v>
      </c>
      <c r="E138" s="137">
        <f t="shared" ca="1" si="12"/>
        <v>0</v>
      </c>
      <c r="F138" s="137">
        <f t="shared" ca="1" si="12"/>
        <v>0</v>
      </c>
      <c r="G138" s="137">
        <f t="shared" ca="1" si="12"/>
        <v>0</v>
      </c>
      <c r="H138" s="137">
        <f t="shared" ca="1" si="12"/>
        <v>0</v>
      </c>
      <c r="I138" s="137">
        <f t="shared" ca="1" si="12"/>
        <v>0</v>
      </c>
      <c r="J138" s="137">
        <f t="shared" ca="1" si="12"/>
        <v>0</v>
      </c>
      <c r="K138" s="137">
        <f t="shared" ca="1" si="12"/>
        <v>0</v>
      </c>
      <c r="L138" s="137">
        <f t="shared" ca="1" si="12"/>
        <v>0</v>
      </c>
      <c r="M138" s="137">
        <f t="shared" ca="1" si="12"/>
        <v>0</v>
      </c>
      <c r="N138" s="146">
        <f t="shared" ca="1" si="12"/>
        <v>0</v>
      </c>
    </row>
    <row r="139" spans="1:14" x14ac:dyDescent="0.25">
      <c r="A139" s="143">
        <v>87</v>
      </c>
      <c r="B139" s="137"/>
      <c r="C139" s="137">
        <f t="shared" ca="1" si="12"/>
        <v>0</v>
      </c>
      <c r="D139" s="137">
        <f t="shared" ca="1" si="12"/>
        <v>0</v>
      </c>
      <c r="E139" s="137">
        <f t="shared" ca="1" si="12"/>
        <v>0</v>
      </c>
      <c r="F139" s="137">
        <f t="shared" ca="1" si="12"/>
        <v>0</v>
      </c>
      <c r="G139" s="137">
        <f t="shared" ca="1" si="12"/>
        <v>0</v>
      </c>
      <c r="H139" s="137">
        <f t="shared" ca="1" si="12"/>
        <v>0</v>
      </c>
      <c r="I139" s="137">
        <f t="shared" ca="1" si="12"/>
        <v>0</v>
      </c>
      <c r="J139" s="137">
        <f t="shared" ca="1" si="12"/>
        <v>0</v>
      </c>
      <c r="K139" s="137">
        <f t="shared" ca="1" si="12"/>
        <v>0</v>
      </c>
      <c r="L139" s="137">
        <f t="shared" ca="1" si="12"/>
        <v>0</v>
      </c>
      <c r="M139" s="137">
        <f t="shared" ca="1" si="12"/>
        <v>0</v>
      </c>
      <c r="N139" s="146">
        <f t="shared" ca="1" si="12"/>
        <v>0</v>
      </c>
    </row>
    <row r="140" spans="1:14" x14ac:dyDescent="0.25">
      <c r="A140" s="143">
        <v>88</v>
      </c>
      <c r="B140" s="137"/>
      <c r="C140" s="137">
        <f t="shared" ca="1" si="12"/>
        <v>177</v>
      </c>
      <c r="D140" s="137">
        <f t="shared" ca="1" si="12"/>
        <v>222</v>
      </c>
      <c r="E140" s="137">
        <f t="shared" ca="1" si="12"/>
        <v>180</v>
      </c>
      <c r="F140" s="137">
        <f t="shared" ca="1" si="12"/>
        <v>158</v>
      </c>
      <c r="G140" s="137">
        <f t="shared" ca="1" si="12"/>
        <v>203</v>
      </c>
      <c r="H140" s="137">
        <f t="shared" ca="1" si="12"/>
        <v>222</v>
      </c>
      <c r="I140" s="137">
        <f t="shared" ca="1" si="12"/>
        <v>265</v>
      </c>
      <c r="J140" s="137">
        <f t="shared" ca="1" si="12"/>
        <v>285</v>
      </c>
      <c r="K140" s="137">
        <f t="shared" ca="1" si="12"/>
        <v>336</v>
      </c>
      <c r="L140" s="137">
        <f t="shared" ca="1" si="12"/>
        <v>350</v>
      </c>
      <c r="M140" s="137">
        <f t="shared" ca="1" si="12"/>
        <v>232</v>
      </c>
      <c r="N140" s="146">
        <f t="shared" ca="1" si="12"/>
        <v>170</v>
      </c>
    </row>
    <row r="141" spans="1:14" x14ac:dyDescent="0.25">
      <c r="A141" s="143">
        <v>89</v>
      </c>
      <c r="B141" s="137"/>
      <c r="C141" s="137">
        <f t="shared" ca="1" si="12"/>
        <v>209</v>
      </c>
      <c r="D141" s="137">
        <f t="shared" ca="1" si="12"/>
        <v>261</v>
      </c>
      <c r="E141" s="137">
        <f t="shared" ca="1" si="12"/>
        <v>211</v>
      </c>
      <c r="F141" s="137">
        <f t="shared" ca="1" si="12"/>
        <v>192</v>
      </c>
      <c r="G141" s="137">
        <f t="shared" ca="1" si="12"/>
        <v>251</v>
      </c>
      <c r="H141" s="137">
        <f t="shared" ca="1" si="12"/>
        <v>274</v>
      </c>
      <c r="I141" s="137">
        <f t="shared" ca="1" si="12"/>
        <v>329</v>
      </c>
      <c r="J141" s="137">
        <f t="shared" ca="1" si="12"/>
        <v>346</v>
      </c>
      <c r="K141" s="137">
        <f t="shared" ca="1" si="12"/>
        <v>415</v>
      </c>
      <c r="L141" s="137">
        <f t="shared" ca="1" si="12"/>
        <v>427</v>
      </c>
      <c r="M141" s="137">
        <f t="shared" ca="1" si="12"/>
        <v>282</v>
      </c>
      <c r="N141" s="146">
        <f t="shared" ca="1" si="12"/>
        <v>204</v>
      </c>
    </row>
    <row r="142" spans="1:14" x14ac:dyDescent="0.25">
      <c r="A142" s="143">
        <v>90</v>
      </c>
      <c r="B142" s="137"/>
      <c r="C142" s="137">
        <f t="shared" ca="1" si="12"/>
        <v>0</v>
      </c>
      <c r="D142" s="137">
        <f t="shared" ca="1" si="12"/>
        <v>0</v>
      </c>
      <c r="E142" s="137">
        <f t="shared" ca="1" si="12"/>
        <v>0</v>
      </c>
      <c r="F142" s="137">
        <f t="shared" ca="1" si="12"/>
        <v>0</v>
      </c>
      <c r="G142" s="137">
        <f t="shared" ca="1" si="12"/>
        <v>0</v>
      </c>
      <c r="H142" s="137">
        <f t="shared" ca="1" si="12"/>
        <v>0</v>
      </c>
      <c r="I142" s="137">
        <f t="shared" ca="1" si="12"/>
        <v>0</v>
      </c>
      <c r="J142" s="137">
        <f t="shared" ca="1" si="12"/>
        <v>0</v>
      </c>
      <c r="K142" s="137">
        <f t="shared" ca="1" si="12"/>
        <v>0</v>
      </c>
      <c r="L142" s="137">
        <f t="shared" ca="1" si="12"/>
        <v>0</v>
      </c>
      <c r="M142" s="137">
        <f t="shared" ca="1" si="12"/>
        <v>0</v>
      </c>
      <c r="N142" s="146">
        <f t="shared" ca="1" si="12"/>
        <v>0</v>
      </c>
    </row>
    <row r="143" spans="1:14" x14ac:dyDescent="0.25">
      <c r="A143" s="143">
        <v>91</v>
      </c>
      <c r="B143" s="137"/>
      <c r="C143" s="137">
        <f t="shared" ref="C143:N152" ca="1" si="13">ROUND(INDEX(INDIRECT(IF(C$13="E",$Q$53,$Q$54)),$A143,C$52),0)</f>
        <v>0</v>
      </c>
      <c r="D143" s="137">
        <f t="shared" ca="1" si="13"/>
        <v>0</v>
      </c>
      <c r="E143" s="137">
        <f t="shared" ca="1" si="13"/>
        <v>0</v>
      </c>
      <c r="F143" s="137">
        <f t="shared" ca="1" si="13"/>
        <v>0</v>
      </c>
      <c r="G143" s="137">
        <f t="shared" ca="1" si="13"/>
        <v>0</v>
      </c>
      <c r="H143" s="137">
        <f t="shared" ca="1" si="13"/>
        <v>0</v>
      </c>
      <c r="I143" s="137">
        <f t="shared" ca="1" si="13"/>
        <v>0</v>
      </c>
      <c r="J143" s="137">
        <f t="shared" ca="1" si="13"/>
        <v>0</v>
      </c>
      <c r="K143" s="137">
        <f t="shared" ca="1" si="13"/>
        <v>0</v>
      </c>
      <c r="L143" s="137">
        <f t="shared" ca="1" si="13"/>
        <v>0</v>
      </c>
      <c r="M143" s="137">
        <f t="shared" ca="1" si="13"/>
        <v>0</v>
      </c>
      <c r="N143" s="146">
        <f t="shared" ca="1" si="13"/>
        <v>0</v>
      </c>
    </row>
    <row r="144" spans="1:14" x14ac:dyDescent="0.25">
      <c r="A144" s="143">
        <v>92</v>
      </c>
      <c r="B144" s="137"/>
      <c r="C144" s="137">
        <f t="shared" ca="1" si="13"/>
        <v>670</v>
      </c>
      <c r="D144" s="137">
        <f t="shared" ca="1" si="13"/>
        <v>854</v>
      </c>
      <c r="E144" s="137">
        <f t="shared" ca="1" si="13"/>
        <v>670</v>
      </c>
      <c r="F144" s="137">
        <f t="shared" ca="1" si="13"/>
        <v>702</v>
      </c>
      <c r="G144" s="137">
        <f t="shared" ca="1" si="13"/>
        <v>972</v>
      </c>
      <c r="H144" s="137">
        <f t="shared" ca="1" si="13"/>
        <v>1087</v>
      </c>
      <c r="I144" s="137">
        <f t="shared" ca="1" si="13"/>
        <v>1293</v>
      </c>
      <c r="J144" s="137">
        <f t="shared" ca="1" si="13"/>
        <v>1370</v>
      </c>
      <c r="K144" s="137">
        <f t="shared" ca="1" si="13"/>
        <v>1578</v>
      </c>
      <c r="L144" s="137">
        <f t="shared" ca="1" si="13"/>
        <v>1552</v>
      </c>
      <c r="M144" s="137">
        <f t="shared" ca="1" si="13"/>
        <v>985</v>
      </c>
      <c r="N144" s="146">
        <f t="shared" ca="1" si="13"/>
        <v>718</v>
      </c>
    </row>
    <row r="145" spans="1:14" x14ac:dyDescent="0.25">
      <c r="A145" s="143">
        <v>93</v>
      </c>
      <c r="B145" s="137"/>
      <c r="C145" s="137">
        <f t="shared" ca="1" si="13"/>
        <v>34</v>
      </c>
      <c r="D145" s="137">
        <f t="shared" ca="1" si="13"/>
        <v>34</v>
      </c>
      <c r="E145" s="137">
        <f t="shared" ca="1" si="13"/>
        <v>29</v>
      </c>
      <c r="F145" s="137">
        <f t="shared" ca="1" si="13"/>
        <v>36</v>
      </c>
      <c r="G145" s="137">
        <f t="shared" ca="1" si="13"/>
        <v>55</v>
      </c>
      <c r="H145" s="137">
        <f t="shared" ca="1" si="13"/>
        <v>69</v>
      </c>
      <c r="I145" s="137">
        <f t="shared" ca="1" si="13"/>
        <v>77</v>
      </c>
      <c r="J145" s="137">
        <f t="shared" ca="1" si="13"/>
        <v>71</v>
      </c>
      <c r="K145" s="137">
        <f t="shared" ca="1" si="13"/>
        <v>79</v>
      </c>
      <c r="L145" s="137">
        <f t="shared" ca="1" si="13"/>
        <v>84</v>
      </c>
      <c r="M145" s="137">
        <f t="shared" ca="1" si="13"/>
        <v>59</v>
      </c>
      <c r="N145" s="146">
        <f t="shared" ca="1" si="13"/>
        <v>44</v>
      </c>
    </row>
    <row r="146" spans="1:14" x14ac:dyDescent="0.25">
      <c r="A146" s="143">
        <v>94</v>
      </c>
      <c r="B146" s="137"/>
      <c r="C146" s="137">
        <f t="shared" ca="1" si="13"/>
        <v>806</v>
      </c>
      <c r="D146" s="137">
        <f t="shared" ca="1" si="13"/>
        <v>1008</v>
      </c>
      <c r="E146" s="137">
        <f t="shared" ca="1" si="13"/>
        <v>805</v>
      </c>
      <c r="F146" s="137">
        <f t="shared" ca="1" si="13"/>
        <v>860</v>
      </c>
      <c r="G146" s="137">
        <f t="shared" ca="1" si="13"/>
        <v>1199</v>
      </c>
      <c r="H146" s="137">
        <f t="shared" ca="1" si="13"/>
        <v>1362</v>
      </c>
      <c r="I146" s="137">
        <f t="shared" ca="1" si="13"/>
        <v>1595</v>
      </c>
      <c r="J146" s="137">
        <f t="shared" ca="1" si="13"/>
        <v>1676</v>
      </c>
      <c r="K146" s="137">
        <f t="shared" ca="1" si="13"/>
        <v>1904</v>
      </c>
      <c r="L146" s="137">
        <f t="shared" ca="1" si="13"/>
        <v>1886</v>
      </c>
      <c r="M146" s="137">
        <f t="shared" ca="1" si="13"/>
        <v>1231</v>
      </c>
      <c r="N146" s="146">
        <f t="shared" ca="1" si="13"/>
        <v>897</v>
      </c>
    </row>
    <row r="147" spans="1:14" x14ac:dyDescent="0.25">
      <c r="A147" s="143">
        <v>95</v>
      </c>
      <c r="B147" s="137"/>
      <c r="C147" s="137">
        <f t="shared" ca="1" si="13"/>
        <v>0</v>
      </c>
      <c r="D147" s="137">
        <f t="shared" ca="1" si="13"/>
        <v>0</v>
      </c>
      <c r="E147" s="137">
        <f t="shared" ca="1" si="13"/>
        <v>0</v>
      </c>
      <c r="F147" s="137">
        <f t="shared" ca="1" si="13"/>
        <v>0</v>
      </c>
      <c r="G147" s="137">
        <f t="shared" ca="1" si="13"/>
        <v>0</v>
      </c>
      <c r="H147" s="137">
        <f t="shared" ca="1" si="13"/>
        <v>0</v>
      </c>
      <c r="I147" s="137">
        <f t="shared" ca="1" si="13"/>
        <v>0</v>
      </c>
      <c r="J147" s="137">
        <f t="shared" ca="1" si="13"/>
        <v>0</v>
      </c>
      <c r="K147" s="137">
        <f t="shared" ca="1" si="13"/>
        <v>0</v>
      </c>
      <c r="L147" s="137">
        <f t="shared" ca="1" si="13"/>
        <v>0</v>
      </c>
      <c r="M147" s="137">
        <f t="shared" ca="1" si="13"/>
        <v>0</v>
      </c>
      <c r="N147" s="146">
        <f t="shared" ca="1" si="13"/>
        <v>0</v>
      </c>
    </row>
    <row r="148" spans="1:14" x14ac:dyDescent="0.25">
      <c r="A148" s="143">
        <v>96</v>
      </c>
      <c r="B148" s="137"/>
      <c r="C148" s="137">
        <f t="shared" ca="1" si="13"/>
        <v>0</v>
      </c>
      <c r="D148" s="137">
        <f t="shared" ca="1" si="13"/>
        <v>0</v>
      </c>
      <c r="E148" s="137">
        <f t="shared" ca="1" si="13"/>
        <v>0</v>
      </c>
      <c r="F148" s="137">
        <f t="shared" ca="1" si="13"/>
        <v>0</v>
      </c>
      <c r="G148" s="137">
        <f t="shared" ca="1" si="13"/>
        <v>0</v>
      </c>
      <c r="H148" s="137">
        <f t="shared" ca="1" si="13"/>
        <v>0</v>
      </c>
      <c r="I148" s="137">
        <f t="shared" ca="1" si="13"/>
        <v>0</v>
      </c>
      <c r="J148" s="137">
        <f t="shared" ca="1" si="13"/>
        <v>0</v>
      </c>
      <c r="K148" s="137">
        <f t="shared" ca="1" si="13"/>
        <v>0</v>
      </c>
      <c r="L148" s="137">
        <f t="shared" ca="1" si="13"/>
        <v>0</v>
      </c>
      <c r="M148" s="137">
        <f t="shared" ca="1" si="13"/>
        <v>0</v>
      </c>
      <c r="N148" s="146">
        <f t="shared" ca="1" si="13"/>
        <v>0</v>
      </c>
    </row>
    <row r="149" spans="1:14" x14ac:dyDescent="0.25">
      <c r="A149" s="143">
        <v>97</v>
      </c>
      <c r="B149" s="137"/>
      <c r="C149" s="137">
        <f t="shared" ca="1" si="13"/>
        <v>160</v>
      </c>
      <c r="D149" s="137">
        <f t="shared" ca="1" si="13"/>
        <v>205</v>
      </c>
      <c r="E149" s="137">
        <f t="shared" ca="1" si="13"/>
        <v>155</v>
      </c>
      <c r="F149" s="137">
        <f t="shared" ca="1" si="13"/>
        <v>174</v>
      </c>
      <c r="G149" s="137">
        <f t="shared" ca="1" si="13"/>
        <v>241</v>
      </c>
      <c r="H149" s="137">
        <f t="shared" ca="1" si="13"/>
        <v>314</v>
      </c>
      <c r="I149" s="137">
        <f t="shared" ca="1" si="13"/>
        <v>406</v>
      </c>
      <c r="J149" s="137">
        <f t="shared" ca="1" si="13"/>
        <v>424</v>
      </c>
      <c r="K149" s="137">
        <f t="shared" ca="1" si="13"/>
        <v>471</v>
      </c>
      <c r="L149" s="137">
        <f t="shared" ca="1" si="13"/>
        <v>387</v>
      </c>
      <c r="M149" s="137">
        <f t="shared" ca="1" si="13"/>
        <v>227</v>
      </c>
      <c r="N149" s="146">
        <f t="shared" ca="1" si="13"/>
        <v>181</v>
      </c>
    </row>
    <row r="150" spans="1:14" x14ac:dyDescent="0.25">
      <c r="A150" s="143">
        <v>98</v>
      </c>
      <c r="B150" s="137"/>
      <c r="C150" s="137">
        <f t="shared" ca="1" si="13"/>
        <v>93</v>
      </c>
      <c r="D150" s="137">
        <f t="shared" ca="1" si="13"/>
        <v>121</v>
      </c>
      <c r="E150" s="137">
        <f t="shared" ca="1" si="13"/>
        <v>92</v>
      </c>
      <c r="F150" s="137">
        <f t="shared" ca="1" si="13"/>
        <v>99</v>
      </c>
      <c r="G150" s="137">
        <f t="shared" ca="1" si="13"/>
        <v>128</v>
      </c>
      <c r="H150" s="137">
        <f t="shared" ca="1" si="13"/>
        <v>170</v>
      </c>
      <c r="I150" s="137">
        <f t="shared" ca="1" si="13"/>
        <v>219</v>
      </c>
      <c r="J150" s="137">
        <f t="shared" ca="1" si="13"/>
        <v>233</v>
      </c>
      <c r="K150" s="137">
        <f t="shared" ca="1" si="13"/>
        <v>252</v>
      </c>
      <c r="L150" s="137">
        <f t="shared" ca="1" si="13"/>
        <v>202</v>
      </c>
      <c r="M150" s="137">
        <f t="shared" ca="1" si="13"/>
        <v>123</v>
      </c>
      <c r="N150" s="146">
        <f t="shared" ca="1" si="13"/>
        <v>98</v>
      </c>
    </row>
    <row r="151" spans="1:14" x14ac:dyDescent="0.25">
      <c r="A151" s="143">
        <v>99</v>
      </c>
      <c r="B151" s="137"/>
      <c r="C151" s="137">
        <f t="shared" ca="1" si="13"/>
        <v>80</v>
      </c>
      <c r="D151" s="137">
        <f t="shared" ca="1" si="13"/>
        <v>85</v>
      </c>
      <c r="E151" s="137">
        <f t="shared" ca="1" si="13"/>
        <v>85</v>
      </c>
      <c r="F151" s="137">
        <f t="shared" ca="1" si="13"/>
        <v>73</v>
      </c>
      <c r="G151" s="137">
        <f t="shared" ca="1" si="13"/>
        <v>60</v>
      </c>
      <c r="H151" s="137">
        <f t="shared" ca="1" si="13"/>
        <v>54</v>
      </c>
      <c r="I151" s="137">
        <f t="shared" ca="1" si="13"/>
        <v>49</v>
      </c>
      <c r="J151" s="137">
        <f t="shared" ca="1" si="13"/>
        <v>46</v>
      </c>
      <c r="K151" s="137">
        <f t="shared" ca="1" si="13"/>
        <v>47</v>
      </c>
      <c r="L151" s="137">
        <f t="shared" ca="1" si="13"/>
        <v>51</v>
      </c>
      <c r="M151" s="137">
        <f t="shared" ca="1" si="13"/>
        <v>58</v>
      </c>
      <c r="N151" s="146">
        <f t="shared" ca="1" si="13"/>
        <v>69</v>
      </c>
    </row>
    <row r="152" spans="1:14" x14ac:dyDescent="0.25">
      <c r="A152" s="143">
        <v>100</v>
      </c>
      <c r="B152" s="137"/>
      <c r="C152" s="137">
        <f t="shared" ca="1" si="13"/>
        <v>5</v>
      </c>
      <c r="D152" s="137">
        <f t="shared" ca="1" si="13"/>
        <v>6</v>
      </c>
      <c r="E152" s="137">
        <f t="shared" ca="1" si="13"/>
        <v>6</v>
      </c>
      <c r="F152" s="137">
        <f t="shared" ca="1" si="13"/>
        <v>5</v>
      </c>
      <c r="G152" s="137">
        <f t="shared" ca="1" si="13"/>
        <v>4</v>
      </c>
      <c r="H152" s="137">
        <f t="shared" ca="1" si="13"/>
        <v>4</v>
      </c>
      <c r="I152" s="137">
        <f t="shared" ca="1" si="13"/>
        <v>4</v>
      </c>
      <c r="J152" s="137">
        <f t="shared" ca="1" si="13"/>
        <v>3</v>
      </c>
      <c r="K152" s="137">
        <f t="shared" ca="1" si="13"/>
        <v>4</v>
      </c>
      <c r="L152" s="137">
        <f t="shared" ca="1" si="13"/>
        <v>5</v>
      </c>
      <c r="M152" s="137">
        <f t="shared" ca="1" si="13"/>
        <v>5</v>
      </c>
      <c r="N152" s="146">
        <f t="shared" ca="1" si="13"/>
        <v>5</v>
      </c>
    </row>
    <row r="153" spans="1:14" x14ac:dyDescent="0.25">
      <c r="A153" s="143">
        <v>101</v>
      </c>
      <c r="B153" s="137"/>
      <c r="C153" s="137">
        <f t="shared" ref="C153:N162" ca="1" si="14">ROUND(INDEX(INDIRECT(IF(C$13="E",$Q$53,$Q$54)),$A153,C$52),0)</f>
        <v>113</v>
      </c>
      <c r="D153" s="137">
        <f t="shared" ca="1" si="14"/>
        <v>135</v>
      </c>
      <c r="E153" s="137">
        <f t="shared" ca="1" si="14"/>
        <v>105</v>
      </c>
      <c r="F153" s="137">
        <f t="shared" ca="1" si="14"/>
        <v>76</v>
      </c>
      <c r="G153" s="137">
        <f t="shared" ca="1" si="14"/>
        <v>93</v>
      </c>
      <c r="H153" s="137">
        <f t="shared" ca="1" si="14"/>
        <v>91</v>
      </c>
      <c r="I153" s="137">
        <f t="shared" ca="1" si="14"/>
        <v>117</v>
      </c>
      <c r="J153" s="137">
        <f t="shared" ca="1" si="14"/>
        <v>132</v>
      </c>
      <c r="K153" s="137">
        <f t="shared" ca="1" si="14"/>
        <v>162</v>
      </c>
      <c r="L153" s="137">
        <f t="shared" ca="1" si="14"/>
        <v>169</v>
      </c>
      <c r="M153" s="137">
        <f t="shared" ca="1" si="14"/>
        <v>115</v>
      </c>
      <c r="N153" s="146">
        <f t="shared" ca="1" si="14"/>
        <v>96</v>
      </c>
    </row>
    <row r="154" spans="1:14" x14ac:dyDescent="0.25">
      <c r="A154" s="143">
        <v>102</v>
      </c>
      <c r="B154" s="137"/>
      <c r="C154" s="137">
        <f t="shared" ca="1" si="14"/>
        <v>154</v>
      </c>
      <c r="D154" s="137">
        <f t="shared" ca="1" si="14"/>
        <v>142</v>
      </c>
      <c r="E154" s="137">
        <f t="shared" ca="1" si="14"/>
        <v>121</v>
      </c>
      <c r="F154" s="137">
        <f t="shared" ca="1" si="14"/>
        <v>185</v>
      </c>
      <c r="G154" s="137">
        <f t="shared" ca="1" si="14"/>
        <v>243</v>
      </c>
      <c r="H154" s="137">
        <f t="shared" ca="1" si="14"/>
        <v>291</v>
      </c>
      <c r="I154" s="137">
        <f t="shared" ca="1" si="14"/>
        <v>286</v>
      </c>
      <c r="J154" s="137">
        <f t="shared" ca="1" si="14"/>
        <v>281</v>
      </c>
      <c r="K154" s="137">
        <f t="shared" ca="1" si="14"/>
        <v>327</v>
      </c>
      <c r="L154" s="137">
        <f t="shared" ca="1" si="14"/>
        <v>364</v>
      </c>
      <c r="M154" s="137">
        <f t="shared" ca="1" si="14"/>
        <v>268</v>
      </c>
      <c r="N154" s="146">
        <f t="shared" ca="1" si="14"/>
        <v>205</v>
      </c>
    </row>
    <row r="155" spans="1:14" x14ac:dyDescent="0.25">
      <c r="A155" s="143">
        <v>103</v>
      </c>
      <c r="B155" s="137"/>
      <c r="C155" s="137">
        <f t="shared" ca="1" si="14"/>
        <v>160</v>
      </c>
      <c r="D155" s="137">
        <f t="shared" ca="1" si="14"/>
        <v>148</v>
      </c>
      <c r="E155" s="137">
        <f t="shared" ca="1" si="14"/>
        <v>126</v>
      </c>
      <c r="F155" s="137">
        <f t="shared" ca="1" si="14"/>
        <v>191</v>
      </c>
      <c r="G155" s="137">
        <f t="shared" ca="1" si="14"/>
        <v>251</v>
      </c>
      <c r="H155" s="137">
        <f t="shared" ca="1" si="14"/>
        <v>302</v>
      </c>
      <c r="I155" s="137">
        <f t="shared" ca="1" si="14"/>
        <v>297</v>
      </c>
      <c r="J155" s="137">
        <f t="shared" ca="1" si="14"/>
        <v>292</v>
      </c>
      <c r="K155" s="137">
        <f t="shared" ca="1" si="14"/>
        <v>339</v>
      </c>
      <c r="L155" s="137">
        <f t="shared" ca="1" si="14"/>
        <v>378</v>
      </c>
      <c r="M155" s="137">
        <f t="shared" ca="1" si="14"/>
        <v>280</v>
      </c>
      <c r="N155" s="146">
        <f t="shared" ca="1" si="14"/>
        <v>213</v>
      </c>
    </row>
    <row r="156" spans="1:14" x14ac:dyDescent="0.25">
      <c r="A156" s="143">
        <v>104</v>
      </c>
      <c r="B156" s="137"/>
      <c r="C156" s="137">
        <f t="shared" ca="1" si="14"/>
        <v>45</v>
      </c>
      <c r="D156" s="137">
        <f t="shared" ca="1" si="14"/>
        <v>46</v>
      </c>
      <c r="E156" s="137">
        <f t="shared" ca="1" si="14"/>
        <v>41</v>
      </c>
      <c r="F156" s="137">
        <f t="shared" ca="1" si="14"/>
        <v>29</v>
      </c>
      <c r="G156" s="137">
        <f t="shared" ca="1" si="14"/>
        <v>22</v>
      </c>
      <c r="H156" s="137">
        <f t="shared" ca="1" si="14"/>
        <v>21</v>
      </c>
      <c r="I156" s="137">
        <f t="shared" ca="1" si="14"/>
        <v>18</v>
      </c>
      <c r="J156" s="137">
        <f t="shared" ca="1" si="14"/>
        <v>16</v>
      </c>
      <c r="K156" s="137">
        <f t="shared" ca="1" si="14"/>
        <v>21</v>
      </c>
      <c r="L156" s="137">
        <f t="shared" ca="1" si="14"/>
        <v>27</v>
      </c>
      <c r="M156" s="137">
        <f t="shared" ca="1" si="14"/>
        <v>26</v>
      </c>
      <c r="N156" s="146">
        <f t="shared" ca="1" si="14"/>
        <v>35</v>
      </c>
    </row>
    <row r="157" spans="1:14" x14ac:dyDescent="0.25">
      <c r="A157" s="143">
        <v>105</v>
      </c>
      <c r="B157" s="137"/>
      <c r="C157" s="137">
        <f t="shared" ca="1" si="14"/>
        <v>0</v>
      </c>
      <c r="D157" s="137">
        <f t="shared" ca="1" si="14"/>
        <v>0</v>
      </c>
      <c r="E157" s="137">
        <f t="shared" ca="1" si="14"/>
        <v>0</v>
      </c>
      <c r="F157" s="137">
        <f t="shared" ca="1" si="14"/>
        <v>0</v>
      </c>
      <c r="G157" s="137">
        <f t="shared" ca="1" si="14"/>
        <v>0</v>
      </c>
      <c r="H157" s="137">
        <f t="shared" ca="1" si="14"/>
        <v>0</v>
      </c>
      <c r="I157" s="137">
        <f t="shared" ca="1" si="14"/>
        <v>0</v>
      </c>
      <c r="J157" s="137">
        <f t="shared" ca="1" si="14"/>
        <v>0</v>
      </c>
      <c r="K157" s="137">
        <f t="shared" ca="1" si="14"/>
        <v>0</v>
      </c>
      <c r="L157" s="137">
        <f t="shared" ca="1" si="14"/>
        <v>0</v>
      </c>
      <c r="M157" s="137">
        <f t="shared" ca="1" si="14"/>
        <v>0</v>
      </c>
      <c r="N157" s="146">
        <f t="shared" ca="1" si="14"/>
        <v>0</v>
      </c>
    </row>
    <row r="158" spans="1:14" x14ac:dyDescent="0.25">
      <c r="A158" s="143">
        <v>106</v>
      </c>
      <c r="B158" s="137"/>
      <c r="C158" s="137">
        <f t="shared" ca="1" si="14"/>
        <v>0</v>
      </c>
      <c r="D158" s="137">
        <f t="shared" ca="1" si="14"/>
        <v>0</v>
      </c>
      <c r="E158" s="137">
        <f t="shared" ca="1" si="14"/>
        <v>0</v>
      </c>
      <c r="F158" s="137">
        <f t="shared" ca="1" si="14"/>
        <v>0</v>
      </c>
      <c r="G158" s="137">
        <f t="shared" ca="1" si="14"/>
        <v>0</v>
      </c>
      <c r="H158" s="137">
        <f t="shared" ca="1" si="14"/>
        <v>0</v>
      </c>
      <c r="I158" s="137">
        <f t="shared" ca="1" si="14"/>
        <v>0</v>
      </c>
      <c r="J158" s="137">
        <f t="shared" ca="1" si="14"/>
        <v>0</v>
      </c>
      <c r="K158" s="137">
        <f t="shared" ca="1" si="14"/>
        <v>0</v>
      </c>
      <c r="L158" s="137">
        <f t="shared" ca="1" si="14"/>
        <v>0</v>
      </c>
      <c r="M158" s="137">
        <f t="shared" ca="1" si="14"/>
        <v>0</v>
      </c>
      <c r="N158" s="146">
        <f t="shared" ca="1" si="14"/>
        <v>0</v>
      </c>
    </row>
    <row r="159" spans="1:14" x14ac:dyDescent="0.25">
      <c r="A159" s="143">
        <v>107</v>
      </c>
      <c r="B159" s="137"/>
      <c r="C159" s="137">
        <f t="shared" ca="1" si="14"/>
        <v>0</v>
      </c>
      <c r="D159" s="137">
        <f t="shared" ca="1" si="14"/>
        <v>0</v>
      </c>
      <c r="E159" s="137">
        <f t="shared" ca="1" si="14"/>
        <v>0</v>
      </c>
      <c r="F159" s="137">
        <f t="shared" ca="1" si="14"/>
        <v>0</v>
      </c>
      <c r="G159" s="137">
        <f t="shared" ca="1" si="14"/>
        <v>0</v>
      </c>
      <c r="H159" s="137">
        <f t="shared" ca="1" si="14"/>
        <v>0</v>
      </c>
      <c r="I159" s="137">
        <f t="shared" ca="1" si="14"/>
        <v>0</v>
      </c>
      <c r="J159" s="137">
        <f t="shared" ca="1" si="14"/>
        <v>0</v>
      </c>
      <c r="K159" s="137">
        <f t="shared" ca="1" si="14"/>
        <v>0</v>
      </c>
      <c r="L159" s="137">
        <f t="shared" ca="1" si="14"/>
        <v>0</v>
      </c>
      <c r="M159" s="137">
        <f t="shared" ca="1" si="14"/>
        <v>0</v>
      </c>
      <c r="N159" s="146">
        <f t="shared" ca="1" si="14"/>
        <v>0</v>
      </c>
    </row>
    <row r="160" spans="1:14" x14ac:dyDescent="0.25">
      <c r="A160" s="143">
        <v>108</v>
      </c>
      <c r="B160" s="137"/>
      <c r="C160" s="137">
        <f t="shared" ca="1" si="14"/>
        <v>0</v>
      </c>
      <c r="D160" s="137">
        <f t="shared" ca="1" si="14"/>
        <v>0</v>
      </c>
      <c r="E160" s="137">
        <f t="shared" ca="1" si="14"/>
        <v>0</v>
      </c>
      <c r="F160" s="137">
        <f t="shared" ca="1" si="14"/>
        <v>0</v>
      </c>
      <c r="G160" s="137">
        <f t="shared" ca="1" si="14"/>
        <v>0</v>
      </c>
      <c r="H160" s="137">
        <f t="shared" ca="1" si="14"/>
        <v>0</v>
      </c>
      <c r="I160" s="137">
        <f t="shared" ca="1" si="14"/>
        <v>0</v>
      </c>
      <c r="J160" s="137">
        <f t="shared" ca="1" si="14"/>
        <v>0</v>
      </c>
      <c r="K160" s="137">
        <f t="shared" ca="1" si="14"/>
        <v>0</v>
      </c>
      <c r="L160" s="137">
        <f t="shared" ca="1" si="14"/>
        <v>0</v>
      </c>
      <c r="M160" s="137">
        <f t="shared" ca="1" si="14"/>
        <v>0</v>
      </c>
      <c r="N160" s="146">
        <f t="shared" ca="1" si="14"/>
        <v>0</v>
      </c>
    </row>
    <row r="161" spans="1:14" x14ac:dyDescent="0.25">
      <c r="A161" s="143">
        <v>109</v>
      </c>
      <c r="B161" s="137"/>
      <c r="C161" s="137">
        <f t="shared" ca="1" si="14"/>
        <v>26</v>
      </c>
      <c r="D161" s="137">
        <f t="shared" ca="1" si="14"/>
        <v>26</v>
      </c>
      <c r="E161" s="137">
        <f t="shared" ca="1" si="14"/>
        <v>23</v>
      </c>
      <c r="F161" s="137">
        <f t="shared" ca="1" si="14"/>
        <v>17</v>
      </c>
      <c r="G161" s="137">
        <f t="shared" ca="1" si="14"/>
        <v>12</v>
      </c>
      <c r="H161" s="137">
        <f t="shared" ca="1" si="14"/>
        <v>11</v>
      </c>
      <c r="I161" s="137">
        <f t="shared" ca="1" si="14"/>
        <v>9</v>
      </c>
      <c r="J161" s="137">
        <f t="shared" ca="1" si="14"/>
        <v>8</v>
      </c>
      <c r="K161" s="137">
        <f t="shared" ca="1" si="14"/>
        <v>12</v>
      </c>
      <c r="L161" s="137">
        <f t="shared" ca="1" si="14"/>
        <v>15</v>
      </c>
      <c r="M161" s="137">
        <f t="shared" ca="1" si="14"/>
        <v>15</v>
      </c>
      <c r="N161" s="146">
        <f t="shared" ca="1" si="14"/>
        <v>21</v>
      </c>
    </row>
    <row r="162" spans="1:14" x14ac:dyDescent="0.25">
      <c r="A162" s="143">
        <v>110</v>
      </c>
      <c r="B162" s="137"/>
      <c r="C162" s="137">
        <f t="shared" ca="1" si="14"/>
        <v>20</v>
      </c>
      <c r="D162" s="137">
        <f t="shared" ca="1" si="14"/>
        <v>19</v>
      </c>
      <c r="E162" s="137">
        <f t="shared" ca="1" si="14"/>
        <v>15</v>
      </c>
      <c r="F162" s="137">
        <f t="shared" ca="1" si="14"/>
        <v>20</v>
      </c>
      <c r="G162" s="137">
        <f t="shared" ca="1" si="14"/>
        <v>27</v>
      </c>
      <c r="H162" s="137">
        <f t="shared" ca="1" si="14"/>
        <v>33</v>
      </c>
      <c r="I162" s="137">
        <f t="shared" ca="1" si="14"/>
        <v>38</v>
      </c>
      <c r="J162" s="137">
        <f t="shared" ca="1" si="14"/>
        <v>40</v>
      </c>
      <c r="K162" s="137">
        <f t="shared" ca="1" si="14"/>
        <v>43</v>
      </c>
      <c r="L162" s="137">
        <f t="shared" ca="1" si="14"/>
        <v>45</v>
      </c>
      <c r="M162" s="137">
        <f t="shared" ca="1" si="14"/>
        <v>32</v>
      </c>
      <c r="N162" s="146">
        <f t="shared" ca="1" si="14"/>
        <v>23</v>
      </c>
    </row>
    <row r="163" spans="1:14" x14ac:dyDescent="0.25">
      <c r="A163" s="143">
        <v>111</v>
      </c>
      <c r="B163" s="137"/>
      <c r="C163" s="137">
        <f t="shared" ref="C163:N172" ca="1" si="15">ROUND(INDEX(INDIRECT(IF(C$13="E",$Q$53,$Q$54)),$A163,C$52),0)</f>
        <v>132</v>
      </c>
      <c r="D163" s="137">
        <f t="shared" ca="1" si="15"/>
        <v>123</v>
      </c>
      <c r="E163" s="137">
        <f t="shared" ca="1" si="15"/>
        <v>104</v>
      </c>
      <c r="F163" s="137">
        <f t="shared" ca="1" si="15"/>
        <v>137</v>
      </c>
      <c r="G163" s="137">
        <f t="shared" ca="1" si="15"/>
        <v>192</v>
      </c>
      <c r="H163" s="137">
        <f t="shared" ca="1" si="15"/>
        <v>235</v>
      </c>
      <c r="I163" s="137">
        <f t="shared" ca="1" si="15"/>
        <v>264</v>
      </c>
      <c r="J163" s="137">
        <f t="shared" ca="1" si="15"/>
        <v>273</v>
      </c>
      <c r="K163" s="137">
        <f t="shared" ca="1" si="15"/>
        <v>312</v>
      </c>
      <c r="L163" s="137">
        <f t="shared" ca="1" si="15"/>
        <v>308</v>
      </c>
      <c r="M163" s="137">
        <f t="shared" ca="1" si="15"/>
        <v>219</v>
      </c>
      <c r="N163" s="146">
        <f t="shared" ca="1" si="15"/>
        <v>170</v>
      </c>
    </row>
    <row r="164" spans="1:14" x14ac:dyDescent="0.25">
      <c r="A164" s="143">
        <v>112</v>
      </c>
      <c r="B164" s="137"/>
      <c r="C164" s="137">
        <f t="shared" ca="1" si="15"/>
        <v>134</v>
      </c>
      <c r="D164" s="137">
        <f t="shared" ca="1" si="15"/>
        <v>124</v>
      </c>
      <c r="E164" s="137">
        <f t="shared" ca="1" si="15"/>
        <v>105</v>
      </c>
      <c r="F164" s="137">
        <f t="shared" ca="1" si="15"/>
        <v>138</v>
      </c>
      <c r="G164" s="137">
        <f t="shared" ca="1" si="15"/>
        <v>194</v>
      </c>
      <c r="H164" s="137">
        <f t="shared" ca="1" si="15"/>
        <v>237</v>
      </c>
      <c r="I164" s="137">
        <f t="shared" ca="1" si="15"/>
        <v>266</v>
      </c>
      <c r="J164" s="137">
        <f t="shared" ca="1" si="15"/>
        <v>275</v>
      </c>
      <c r="K164" s="137">
        <f t="shared" ca="1" si="15"/>
        <v>314</v>
      </c>
      <c r="L164" s="137">
        <f t="shared" ca="1" si="15"/>
        <v>311</v>
      </c>
      <c r="M164" s="137">
        <f t="shared" ca="1" si="15"/>
        <v>221</v>
      </c>
      <c r="N164" s="146">
        <f t="shared" ca="1" si="15"/>
        <v>171</v>
      </c>
    </row>
    <row r="165" spans="1:14" x14ac:dyDescent="0.25">
      <c r="A165" s="143">
        <v>113</v>
      </c>
      <c r="B165" s="137"/>
      <c r="C165" s="137">
        <f t="shared" ca="1" si="15"/>
        <v>166</v>
      </c>
      <c r="D165" s="137">
        <f t="shared" ca="1" si="15"/>
        <v>154</v>
      </c>
      <c r="E165" s="137">
        <f t="shared" ca="1" si="15"/>
        <v>131</v>
      </c>
      <c r="F165" s="137">
        <f t="shared" ca="1" si="15"/>
        <v>176</v>
      </c>
      <c r="G165" s="137">
        <f t="shared" ca="1" si="15"/>
        <v>247</v>
      </c>
      <c r="H165" s="137">
        <f t="shared" ca="1" si="15"/>
        <v>301</v>
      </c>
      <c r="I165" s="137">
        <f t="shared" ca="1" si="15"/>
        <v>343</v>
      </c>
      <c r="J165" s="137">
        <f t="shared" ca="1" si="15"/>
        <v>348</v>
      </c>
      <c r="K165" s="137">
        <f t="shared" ca="1" si="15"/>
        <v>398</v>
      </c>
      <c r="L165" s="137">
        <f t="shared" ca="1" si="15"/>
        <v>394</v>
      </c>
      <c r="M165" s="137">
        <f t="shared" ca="1" si="15"/>
        <v>285</v>
      </c>
      <c r="N165" s="146">
        <f t="shared" ca="1" si="15"/>
        <v>212</v>
      </c>
    </row>
    <row r="166" spans="1:14" x14ac:dyDescent="0.25">
      <c r="A166" s="143">
        <v>114</v>
      </c>
      <c r="B166" s="137"/>
      <c r="C166" s="137">
        <f t="shared" ca="1" si="15"/>
        <v>201</v>
      </c>
      <c r="D166" s="137">
        <f t="shared" ca="1" si="15"/>
        <v>191</v>
      </c>
      <c r="E166" s="137">
        <f t="shared" ca="1" si="15"/>
        <v>163</v>
      </c>
      <c r="F166" s="137">
        <f t="shared" ca="1" si="15"/>
        <v>225</v>
      </c>
      <c r="G166" s="137">
        <f t="shared" ca="1" si="15"/>
        <v>302</v>
      </c>
      <c r="H166" s="137">
        <f t="shared" ca="1" si="15"/>
        <v>384</v>
      </c>
      <c r="I166" s="137">
        <f t="shared" ca="1" si="15"/>
        <v>433</v>
      </c>
      <c r="J166" s="137">
        <f t="shared" ca="1" si="15"/>
        <v>425</v>
      </c>
      <c r="K166" s="137">
        <f t="shared" ca="1" si="15"/>
        <v>483</v>
      </c>
      <c r="L166" s="137">
        <f t="shared" ca="1" si="15"/>
        <v>475</v>
      </c>
      <c r="M166" s="137">
        <f t="shared" ca="1" si="15"/>
        <v>341</v>
      </c>
      <c r="N166" s="146">
        <f t="shared" ca="1" si="15"/>
        <v>254</v>
      </c>
    </row>
    <row r="167" spans="1:14" x14ac:dyDescent="0.25">
      <c r="A167" s="143">
        <v>115</v>
      </c>
      <c r="B167" s="137"/>
      <c r="C167" s="137">
        <f t="shared" ca="1" si="15"/>
        <v>25</v>
      </c>
      <c r="D167" s="137">
        <f t="shared" ca="1" si="15"/>
        <v>27</v>
      </c>
      <c r="E167" s="137">
        <f t="shared" ca="1" si="15"/>
        <v>24</v>
      </c>
      <c r="F167" s="137">
        <f t="shared" ca="1" si="15"/>
        <v>18</v>
      </c>
      <c r="G167" s="137">
        <f t="shared" ca="1" si="15"/>
        <v>17</v>
      </c>
      <c r="H167" s="137">
        <f t="shared" ca="1" si="15"/>
        <v>17</v>
      </c>
      <c r="I167" s="137">
        <f t="shared" ca="1" si="15"/>
        <v>17</v>
      </c>
      <c r="J167" s="137">
        <f t="shared" ca="1" si="15"/>
        <v>14</v>
      </c>
      <c r="K167" s="137">
        <f t="shared" ca="1" si="15"/>
        <v>18</v>
      </c>
      <c r="L167" s="137">
        <f t="shared" ca="1" si="15"/>
        <v>20</v>
      </c>
      <c r="M167" s="137">
        <f t="shared" ca="1" si="15"/>
        <v>19</v>
      </c>
      <c r="N167" s="146">
        <f t="shared" ca="1" si="15"/>
        <v>20</v>
      </c>
    </row>
    <row r="168" spans="1:14" x14ac:dyDescent="0.25">
      <c r="A168" s="143">
        <v>116</v>
      </c>
      <c r="B168" s="137"/>
      <c r="C168" s="137">
        <f t="shared" ca="1" si="15"/>
        <v>6</v>
      </c>
      <c r="D168" s="137">
        <f t="shared" ca="1" si="15"/>
        <v>6</v>
      </c>
      <c r="E168" s="137">
        <f t="shared" ca="1" si="15"/>
        <v>5</v>
      </c>
      <c r="F168" s="137">
        <f t="shared" ca="1" si="15"/>
        <v>4</v>
      </c>
      <c r="G168" s="137">
        <f t="shared" ca="1" si="15"/>
        <v>3</v>
      </c>
      <c r="H168" s="137">
        <f t="shared" ca="1" si="15"/>
        <v>2</v>
      </c>
      <c r="I168" s="137">
        <f t="shared" ca="1" si="15"/>
        <v>2</v>
      </c>
      <c r="J168" s="137">
        <f t="shared" ca="1" si="15"/>
        <v>2</v>
      </c>
      <c r="K168" s="137">
        <f t="shared" ca="1" si="15"/>
        <v>3</v>
      </c>
      <c r="L168" s="137">
        <f t="shared" ca="1" si="15"/>
        <v>3</v>
      </c>
      <c r="M168" s="137">
        <f t="shared" ca="1" si="15"/>
        <v>3</v>
      </c>
      <c r="N168" s="146">
        <f t="shared" ca="1" si="15"/>
        <v>5</v>
      </c>
    </row>
    <row r="169" spans="1:14" x14ac:dyDescent="0.25">
      <c r="A169" s="143">
        <v>117</v>
      </c>
      <c r="B169" s="137"/>
      <c r="C169" s="137">
        <f t="shared" ca="1" si="15"/>
        <v>19</v>
      </c>
      <c r="D169" s="137">
        <f t="shared" ca="1" si="15"/>
        <v>20</v>
      </c>
      <c r="E169" s="137">
        <f t="shared" ca="1" si="15"/>
        <v>18</v>
      </c>
      <c r="F169" s="137">
        <f t="shared" ca="1" si="15"/>
        <v>13</v>
      </c>
      <c r="G169" s="137">
        <f t="shared" ca="1" si="15"/>
        <v>10</v>
      </c>
      <c r="H169" s="137">
        <f t="shared" ca="1" si="15"/>
        <v>10</v>
      </c>
      <c r="I169" s="137">
        <f t="shared" ca="1" si="15"/>
        <v>8</v>
      </c>
      <c r="J169" s="137">
        <f t="shared" ca="1" si="15"/>
        <v>7</v>
      </c>
      <c r="K169" s="137">
        <f t="shared" ca="1" si="15"/>
        <v>9</v>
      </c>
      <c r="L169" s="137">
        <f t="shared" ca="1" si="15"/>
        <v>11</v>
      </c>
      <c r="M169" s="137">
        <f t="shared" ca="1" si="15"/>
        <v>11</v>
      </c>
      <c r="N169" s="146">
        <f t="shared" ca="1" si="15"/>
        <v>14</v>
      </c>
    </row>
    <row r="170" spans="1:14" x14ac:dyDescent="0.25">
      <c r="A170" s="143">
        <v>118</v>
      </c>
      <c r="B170" s="137"/>
      <c r="C170" s="137">
        <f t="shared" ca="1" si="15"/>
        <v>26</v>
      </c>
      <c r="D170" s="137">
        <f t="shared" ca="1" si="15"/>
        <v>26</v>
      </c>
      <c r="E170" s="137">
        <f t="shared" ca="1" si="15"/>
        <v>23</v>
      </c>
      <c r="F170" s="137">
        <f t="shared" ca="1" si="15"/>
        <v>17</v>
      </c>
      <c r="G170" s="137">
        <f t="shared" ca="1" si="15"/>
        <v>12</v>
      </c>
      <c r="H170" s="137">
        <f t="shared" ca="1" si="15"/>
        <v>11</v>
      </c>
      <c r="I170" s="137">
        <f t="shared" ca="1" si="15"/>
        <v>9</v>
      </c>
      <c r="J170" s="137">
        <f t="shared" ca="1" si="15"/>
        <v>8</v>
      </c>
      <c r="K170" s="137">
        <f t="shared" ca="1" si="15"/>
        <v>12</v>
      </c>
      <c r="L170" s="137">
        <f t="shared" ca="1" si="15"/>
        <v>15</v>
      </c>
      <c r="M170" s="137">
        <f t="shared" ca="1" si="15"/>
        <v>15</v>
      </c>
      <c r="N170" s="146">
        <f t="shared" ca="1" si="15"/>
        <v>21</v>
      </c>
    </row>
    <row r="171" spans="1:14" x14ac:dyDescent="0.25">
      <c r="A171" s="143">
        <v>119</v>
      </c>
      <c r="B171" s="137"/>
      <c r="C171" s="137">
        <f t="shared" ca="1" si="15"/>
        <v>32</v>
      </c>
      <c r="D171" s="137">
        <f t="shared" ca="1" si="15"/>
        <v>31</v>
      </c>
      <c r="E171" s="137">
        <f t="shared" ca="1" si="15"/>
        <v>28</v>
      </c>
      <c r="F171" s="137">
        <f t="shared" ca="1" si="15"/>
        <v>20</v>
      </c>
      <c r="G171" s="137">
        <f t="shared" ca="1" si="15"/>
        <v>15</v>
      </c>
      <c r="H171" s="137">
        <f t="shared" ca="1" si="15"/>
        <v>13</v>
      </c>
      <c r="I171" s="137">
        <f t="shared" ca="1" si="15"/>
        <v>11</v>
      </c>
      <c r="J171" s="137">
        <f t="shared" ca="1" si="15"/>
        <v>10</v>
      </c>
      <c r="K171" s="137">
        <f t="shared" ca="1" si="15"/>
        <v>15</v>
      </c>
      <c r="L171" s="137">
        <f t="shared" ca="1" si="15"/>
        <v>19</v>
      </c>
      <c r="M171" s="137">
        <f t="shared" ca="1" si="15"/>
        <v>19</v>
      </c>
      <c r="N171" s="146">
        <f t="shared" ca="1" si="15"/>
        <v>25</v>
      </c>
    </row>
    <row r="172" spans="1:14" x14ac:dyDescent="0.25">
      <c r="A172" s="143">
        <v>120</v>
      </c>
      <c r="B172" s="137"/>
      <c r="C172" s="137">
        <f t="shared" ca="1" si="15"/>
        <v>45</v>
      </c>
      <c r="D172" s="137">
        <f t="shared" ca="1" si="15"/>
        <v>48</v>
      </c>
      <c r="E172" s="137">
        <f t="shared" ca="1" si="15"/>
        <v>46</v>
      </c>
      <c r="F172" s="137">
        <f t="shared" ca="1" si="15"/>
        <v>34</v>
      </c>
      <c r="G172" s="137">
        <f t="shared" ca="1" si="15"/>
        <v>27</v>
      </c>
      <c r="H172" s="137">
        <f t="shared" ca="1" si="15"/>
        <v>24</v>
      </c>
      <c r="I172" s="137">
        <f t="shared" ca="1" si="15"/>
        <v>20</v>
      </c>
      <c r="J172" s="137">
        <f t="shared" ca="1" si="15"/>
        <v>17</v>
      </c>
      <c r="K172" s="137">
        <f t="shared" ca="1" si="15"/>
        <v>18</v>
      </c>
      <c r="L172" s="137">
        <f t="shared" ca="1" si="15"/>
        <v>20</v>
      </c>
      <c r="M172" s="137">
        <f t="shared" ca="1" si="15"/>
        <v>24</v>
      </c>
      <c r="N172" s="146">
        <f t="shared" ca="1" si="15"/>
        <v>34</v>
      </c>
    </row>
    <row r="173" spans="1:14" x14ac:dyDescent="0.25">
      <c r="A173" s="143">
        <v>121</v>
      </c>
      <c r="B173" s="137"/>
      <c r="C173" s="137">
        <f t="shared" ref="C173:N182" ca="1" si="16">ROUND(INDEX(INDIRECT(IF(C$13="E",$Q$53,$Q$54)),$A173,C$52),0)</f>
        <v>107</v>
      </c>
      <c r="D173" s="137">
        <f t="shared" ca="1" si="16"/>
        <v>113</v>
      </c>
      <c r="E173" s="137">
        <f t="shared" ca="1" si="16"/>
        <v>103</v>
      </c>
      <c r="F173" s="137">
        <f t="shared" ca="1" si="16"/>
        <v>80</v>
      </c>
      <c r="G173" s="137">
        <f t="shared" ca="1" si="16"/>
        <v>62</v>
      </c>
      <c r="H173" s="137">
        <f t="shared" ca="1" si="16"/>
        <v>55</v>
      </c>
      <c r="I173" s="137">
        <f t="shared" ca="1" si="16"/>
        <v>48</v>
      </c>
      <c r="J173" s="137">
        <f t="shared" ca="1" si="16"/>
        <v>42</v>
      </c>
      <c r="K173" s="137">
        <f t="shared" ca="1" si="16"/>
        <v>45</v>
      </c>
      <c r="L173" s="137">
        <f t="shared" ca="1" si="16"/>
        <v>51</v>
      </c>
      <c r="M173" s="137">
        <f t="shared" ca="1" si="16"/>
        <v>59</v>
      </c>
      <c r="N173" s="146">
        <f t="shared" ca="1" si="16"/>
        <v>80</v>
      </c>
    </row>
    <row r="174" spans="1:14" x14ac:dyDescent="0.25">
      <c r="A174" s="143">
        <v>122</v>
      </c>
      <c r="B174" s="137"/>
      <c r="C174" s="137">
        <f t="shared" ca="1" si="16"/>
        <v>121</v>
      </c>
      <c r="D174" s="137">
        <f t="shared" ca="1" si="16"/>
        <v>130</v>
      </c>
      <c r="E174" s="137">
        <f t="shared" ca="1" si="16"/>
        <v>117</v>
      </c>
      <c r="F174" s="137">
        <f t="shared" ca="1" si="16"/>
        <v>91</v>
      </c>
      <c r="G174" s="137">
        <f t="shared" ca="1" si="16"/>
        <v>71</v>
      </c>
      <c r="H174" s="137">
        <f t="shared" ca="1" si="16"/>
        <v>63</v>
      </c>
      <c r="I174" s="137">
        <f t="shared" ca="1" si="16"/>
        <v>55</v>
      </c>
      <c r="J174" s="137">
        <f t="shared" ca="1" si="16"/>
        <v>48</v>
      </c>
      <c r="K174" s="137">
        <f t="shared" ca="1" si="16"/>
        <v>52</v>
      </c>
      <c r="L174" s="137">
        <f t="shared" ca="1" si="16"/>
        <v>58</v>
      </c>
      <c r="M174" s="137">
        <f t="shared" ca="1" si="16"/>
        <v>67</v>
      </c>
      <c r="N174" s="146">
        <f t="shared" ca="1" si="16"/>
        <v>90</v>
      </c>
    </row>
    <row r="175" spans="1:14" x14ac:dyDescent="0.25">
      <c r="A175" s="143">
        <v>123</v>
      </c>
      <c r="B175" s="137"/>
      <c r="C175" s="137">
        <f t="shared" ca="1" si="16"/>
        <v>382</v>
      </c>
      <c r="D175" s="137">
        <f t="shared" ca="1" si="16"/>
        <v>404</v>
      </c>
      <c r="E175" s="137">
        <f t="shared" ca="1" si="16"/>
        <v>388</v>
      </c>
      <c r="F175" s="137">
        <f t="shared" ca="1" si="16"/>
        <v>277</v>
      </c>
      <c r="G175" s="137">
        <f t="shared" ca="1" si="16"/>
        <v>193</v>
      </c>
      <c r="H175" s="137">
        <f t="shared" ca="1" si="16"/>
        <v>167</v>
      </c>
      <c r="I175" s="137">
        <f t="shared" ca="1" si="16"/>
        <v>142</v>
      </c>
      <c r="J175" s="137">
        <f t="shared" ca="1" si="16"/>
        <v>121</v>
      </c>
      <c r="K175" s="137">
        <f t="shared" ca="1" si="16"/>
        <v>126</v>
      </c>
      <c r="L175" s="137">
        <f t="shared" ca="1" si="16"/>
        <v>150</v>
      </c>
      <c r="M175" s="137">
        <f t="shared" ca="1" si="16"/>
        <v>187</v>
      </c>
      <c r="N175" s="146">
        <f t="shared" ca="1" si="16"/>
        <v>270</v>
      </c>
    </row>
    <row r="176" spans="1:14" x14ac:dyDescent="0.25">
      <c r="A176" s="143">
        <v>124</v>
      </c>
      <c r="B176" s="137"/>
      <c r="C176" s="137">
        <f t="shared" ca="1" si="16"/>
        <v>0</v>
      </c>
      <c r="D176" s="137">
        <f t="shared" ca="1" si="16"/>
        <v>0</v>
      </c>
      <c r="E176" s="137">
        <f t="shared" ca="1" si="16"/>
        <v>0</v>
      </c>
      <c r="F176" s="137">
        <f t="shared" ca="1" si="16"/>
        <v>0</v>
      </c>
      <c r="G176" s="137">
        <f t="shared" ca="1" si="16"/>
        <v>0</v>
      </c>
      <c r="H176" s="137">
        <f t="shared" ca="1" si="16"/>
        <v>0</v>
      </c>
      <c r="I176" s="137">
        <f t="shared" ca="1" si="16"/>
        <v>0</v>
      </c>
      <c r="J176" s="137">
        <f t="shared" ca="1" si="16"/>
        <v>0</v>
      </c>
      <c r="K176" s="137">
        <f t="shared" ca="1" si="16"/>
        <v>0</v>
      </c>
      <c r="L176" s="137">
        <f t="shared" ca="1" si="16"/>
        <v>0</v>
      </c>
      <c r="M176" s="137">
        <f t="shared" ca="1" si="16"/>
        <v>0</v>
      </c>
      <c r="N176" s="146">
        <f t="shared" ca="1" si="16"/>
        <v>0</v>
      </c>
    </row>
    <row r="177" spans="1:14" x14ac:dyDescent="0.25">
      <c r="A177" s="143">
        <v>125</v>
      </c>
      <c r="B177" s="137"/>
      <c r="C177" s="137">
        <f t="shared" ca="1" si="16"/>
        <v>501</v>
      </c>
      <c r="D177" s="137">
        <f t="shared" ca="1" si="16"/>
        <v>523</v>
      </c>
      <c r="E177" s="137">
        <f t="shared" ca="1" si="16"/>
        <v>497</v>
      </c>
      <c r="F177" s="137">
        <f t="shared" ca="1" si="16"/>
        <v>350</v>
      </c>
      <c r="G177" s="137">
        <f t="shared" ca="1" si="16"/>
        <v>245</v>
      </c>
      <c r="H177" s="137">
        <f t="shared" ca="1" si="16"/>
        <v>210</v>
      </c>
      <c r="I177" s="137">
        <f t="shared" ca="1" si="16"/>
        <v>176</v>
      </c>
      <c r="J177" s="137">
        <f t="shared" ca="1" si="16"/>
        <v>150</v>
      </c>
      <c r="K177" s="137">
        <f t="shared" ca="1" si="16"/>
        <v>155</v>
      </c>
      <c r="L177" s="137">
        <f t="shared" ca="1" si="16"/>
        <v>186</v>
      </c>
      <c r="M177" s="137">
        <f t="shared" ca="1" si="16"/>
        <v>241</v>
      </c>
      <c r="N177" s="146">
        <f t="shared" ca="1" si="16"/>
        <v>353</v>
      </c>
    </row>
    <row r="178" spans="1:14" x14ac:dyDescent="0.25">
      <c r="A178" s="143">
        <v>126</v>
      </c>
      <c r="B178" s="137"/>
      <c r="C178" s="137">
        <f t="shared" ca="1" si="16"/>
        <v>328</v>
      </c>
      <c r="D178" s="137">
        <f t="shared" ca="1" si="16"/>
        <v>327</v>
      </c>
      <c r="E178" s="137">
        <f t="shared" ca="1" si="16"/>
        <v>331</v>
      </c>
      <c r="F178" s="137">
        <f t="shared" ca="1" si="16"/>
        <v>297</v>
      </c>
      <c r="G178" s="137">
        <f t="shared" ca="1" si="16"/>
        <v>218</v>
      </c>
      <c r="H178" s="137">
        <f t="shared" ca="1" si="16"/>
        <v>163</v>
      </c>
      <c r="I178" s="137">
        <f t="shared" ca="1" si="16"/>
        <v>126</v>
      </c>
      <c r="J178" s="137">
        <f t="shared" ca="1" si="16"/>
        <v>94</v>
      </c>
      <c r="K178" s="137">
        <f t="shared" ca="1" si="16"/>
        <v>94</v>
      </c>
      <c r="L178" s="137">
        <f t="shared" ca="1" si="16"/>
        <v>130</v>
      </c>
      <c r="M178" s="137">
        <f t="shared" ca="1" si="16"/>
        <v>213</v>
      </c>
      <c r="N178" s="146">
        <f t="shared" ca="1" si="16"/>
        <v>305</v>
      </c>
    </row>
    <row r="179" spans="1:14" x14ac:dyDescent="0.25">
      <c r="A179" s="143">
        <v>127</v>
      </c>
      <c r="B179" s="137"/>
      <c r="C179" s="137">
        <f t="shared" ca="1" si="16"/>
        <v>775</v>
      </c>
      <c r="D179" s="137">
        <f t="shared" ca="1" si="16"/>
        <v>775</v>
      </c>
      <c r="E179" s="137">
        <f t="shared" ca="1" si="16"/>
        <v>712</v>
      </c>
      <c r="F179" s="137">
        <f t="shared" ca="1" si="16"/>
        <v>476</v>
      </c>
      <c r="G179" s="137">
        <f t="shared" ca="1" si="16"/>
        <v>312</v>
      </c>
      <c r="H179" s="137">
        <f t="shared" ca="1" si="16"/>
        <v>260</v>
      </c>
      <c r="I179" s="137">
        <f t="shared" ca="1" si="16"/>
        <v>217</v>
      </c>
      <c r="J179" s="137">
        <f t="shared" ca="1" si="16"/>
        <v>184</v>
      </c>
      <c r="K179" s="137">
        <f t="shared" ca="1" si="16"/>
        <v>188</v>
      </c>
      <c r="L179" s="137">
        <f t="shared" ca="1" si="16"/>
        <v>222</v>
      </c>
      <c r="M179" s="137">
        <f t="shared" ca="1" si="16"/>
        <v>316</v>
      </c>
      <c r="N179" s="146">
        <f t="shared" ca="1" si="16"/>
        <v>520</v>
      </c>
    </row>
    <row r="180" spans="1:14" x14ac:dyDescent="0.25">
      <c r="A180" s="143">
        <v>128</v>
      </c>
      <c r="B180" s="137"/>
      <c r="C180" s="137">
        <f t="shared" ca="1" si="16"/>
        <v>0</v>
      </c>
      <c r="D180" s="137">
        <f t="shared" ca="1" si="16"/>
        <v>0</v>
      </c>
      <c r="E180" s="137">
        <f t="shared" ca="1" si="16"/>
        <v>0</v>
      </c>
      <c r="F180" s="137">
        <f t="shared" ca="1" si="16"/>
        <v>0</v>
      </c>
      <c r="G180" s="137">
        <f t="shared" ca="1" si="16"/>
        <v>0</v>
      </c>
      <c r="H180" s="137">
        <f t="shared" ca="1" si="16"/>
        <v>0</v>
      </c>
      <c r="I180" s="137">
        <f t="shared" ca="1" si="16"/>
        <v>0</v>
      </c>
      <c r="J180" s="137">
        <f t="shared" ca="1" si="16"/>
        <v>0</v>
      </c>
      <c r="K180" s="137">
        <f t="shared" ca="1" si="16"/>
        <v>0</v>
      </c>
      <c r="L180" s="137">
        <f t="shared" ca="1" si="16"/>
        <v>0</v>
      </c>
      <c r="M180" s="137">
        <f t="shared" ca="1" si="16"/>
        <v>0</v>
      </c>
      <c r="N180" s="146">
        <f t="shared" ca="1" si="16"/>
        <v>0</v>
      </c>
    </row>
    <row r="181" spans="1:14" x14ac:dyDescent="0.25">
      <c r="A181" s="143">
        <v>129</v>
      </c>
      <c r="B181" s="137"/>
      <c r="C181" s="137">
        <f t="shared" ca="1" si="16"/>
        <v>972</v>
      </c>
      <c r="D181" s="137">
        <f t="shared" ca="1" si="16"/>
        <v>971</v>
      </c>
      <c r="E181" s="137">
        <f t="shared" ca="1" si="16"/>
        <v>908</v>
      </c>
      <c r="F181" s="137">
        <f t="shared" ca="1" si="16"/>
        <v>662</v>
      </c>
      <c r="G181" s="137">
        <f t="shared" ca="1" si="16"/>
        <v>473</v>
      </c>
      <c r="H181" s="137">
        <f t="shared" ca="1" si="16"/>
        <v>397</v>
      </c>
      <c r="I181" s="137">
        <f t="shared" ca="1" si="16"/>
        <v>336</v>
      </c>
      <c r="J181" s="137">
        <f t="shared" ca="1" si="16"/>
        <v>288</v>
      </c>
      <c r="K181" s="137">
        <f t="shared" ca="1" si="16"/>
        <v>292</v>
      </c>
      <c r="L181" s="137">
        <f t="shared" ca="1" si="16"/>
        <v>347</v>
      </c>
      <c r="M181" s="137">
        <f t="shared" ca="1" si="16"/>
        <v>471</v>
      </c>
      <c r="N181" s="146">
        <f t="shared" ca="1" si="16"/>
        <v>705</v>
      </c>
    </row>
    <row r="182" spans="1:14" x14ac:dyDescent="0.25">
      <c r="A182" s="143">
        <v>130</v>
      </c>
      <c r="B182" s="137"/>
      <c r="C182" s="137">
        <f t="shared" ca="1" si="16"/>
        <v>1086</v>
      </c>
      <c r="D182" s="137">
        <f t="shared" ca="1" si="16"/>
        <v>1088</v>
      </c>
      <c r="E182" s="137">
        <f t="shared" ca="1" si="16"/>
        <v>1018</v>
      </c>
      <c r="F182" s="137">
        <f t="shared" ca="1" si="16"/>
        <v>737</v>
      </c>
      <c r="G182" s="137">
        <f t="shared" ca="1" si="16"/>
        <v>522</v>
      </c>
      <c r="H182" s="137">
        <f t="shared" ca="1" si="16"/>
        <v>438</v>
      </c>
      <c r="I182" s="137">
        <f t="shared" ca="1" si="16"/>
        <v>369</v>
      </c>
      <c r="J182" s="137">
        <f t="shared" ca="1" si="16"/>
        <v>316</v>
      </c>
      <c r="K182" s="137">
        <f t="shared" ca="1" si="16"/>
        <v>321</v>
      </c>
      <c r="L182" s="137">
        <f t="shared" ca="1" si="16"/>
        <v>383</v>
      </c>
      <c r="M182" s="137">
        <f t="shared" ca="1" si="16"/>
        <v>522</v>
      </c>
      <c r="N182" s="146">
        <f t="shared" ca="1" si="16"/>
        <v>787</v>
      </c>
    </row>
    <row r="183" spans="1:14" x14ac:dyDescent="0.25">
      <c r="A183" s="143">
        <v>131</v>
      </c>
      <c r="B183" s="137"/>
      <c r="C183" s="137">
        <f t="shared" ref="C183:N192" ca="1" si="17">ROUND(INDEX(INDIRECT(IF(C$13="E",$Q$53,$Q$54)),$A183,C$52),0)</f>
        <v>144</v>
      </c>
      <c r="D183" s="137">
        <f t="shared" ca="1" si="17"/>
        <v>143</v>
      </c>
      <c r="E183" s="137">
        <f t="shared" ca="1" si="17"/>
        <v>144</v>
      </c>
      <c r="F183" s="137">
        <f t="shared" ca="1" si="17"/>
        <v>143</v>
      </c>
      <c r="G183" s="137">
        <f t="shared" ca="1" si="17"/>
        <v>135</v>
      </c>
      <c r="H183" s="137">
        <f t="shared" ca="1" si="17"/>
        <v>122</v>
      </c>
      <c r="I183" s="137">
        <f t="shared" ca="1" si="17"/>
        <v>110</v>
      </c>
      <c r="J183" s="137">
        <f t="shared" ca="1" si="17"/>
        <v>96</v>
      </c>
      <c r="K183" s="137">
        <f t="shared" ca="1" si="17"/>
        <v>97</v>
      </c>
      <c r="L183" s="137">
        <f t="shared" ca="1" si="17"/>
        <v>112</v>
      </c>
      <c r="M183" s="137">
        <f t="shared" ca="1" si="17"/>
        <v>131</v>
      </c>
      <c r="N183" s="146">
        <f t="shared" ca="1" si="17"/>
        <v>142</v>
      </c>
    </row>
    <row r="184" spans="1:14" x14ac:dyDescent="0.25">
      <c r="A184" s="143">
        <v>132</v>
      </c>
      <c r="B184" s="137"/>
      <c r="C184" s="137">
        <f t="shared" ca="1" si="17"/>
        <v>31</v>
      </c>
      <c r="D184" s="137">
        <f t="shared" ca="1" si="17"/>
        <v>30</v>
      </c>
      <c r="E184" s="137">
        <f t="shared" ca="1" si="17"/>
        <v>29</v>
      </c>
      <c r="F184" s="137">
        <f t="shared" ca="1" si="17"/>
        <v>24</v>
      </c>
      <c r="G184" s="137">
        <f t="shared" ca="1" si="17"/>
        <v>17</v>
      </c>
      <c r="H184" s="137">
        <f t="shared" ca="1" si="17"/>
        <v>12</v>
      </c>
      <c r="I184" s="137">
        <f t="shared" ca="1" si="17"/>
        <v>10</v>
      </c>
      <c r="J184" s="137">
        <f t="shared" ca="1" si="17"/>
        <v>9</v>
      </c>
      <c r="K184" s="137">
        <f t="shared" ca="1" si="17"/>
        <v>9</v>
      </c>
      <c r="L184" s="137">
        <f t="shared" ca="1" si="17"/>
        <v>11</v>
      </c>
      <c r="M184" s="137">
        <f t="shared" ca="1" si="17"/>
        <v>17</v>
      </c>
      <c r="N184" s="146">
        <f t="shared" ca="1" si="17"/>
        <v>25</v>
      </c>
    </row>
    <row r="185" spans="1:14" x14ac:dyDescent="0.25">
      <c r="A185" s="143">
        <v>133</v>
      </c>
      <c r="B185" s="137"/>
      <c r="C185" s="137">
        <f t="shared" ca="1" si="17"/>
        <v>0</v>
      </c>
      <c r="D185" s="137">
        <f t="shared" ca="1" si="17"/>
        <v>0</v>
      </c>
      <c r="E185" s="137">
        <f t="shared" ca="1" si="17"/>
        <v>0</v>
      </c>
      <c r="F185" s="137">
        <f t="shared" ca="1" si="17"/>
        <v>0</v>
      </c>
      <c r="G185" s="137">
        <f t="shared" ca="1" si="17"/>
        <v>0</v>
      </c>
      <c r="H185" s="137">
        <f t="shared" ca="1" si="17"/>
        <v>0</v>
      </c>
      <c r="I185" s="137">
        <f t="shared" ca="1" si="17"/>
        <v>0</v>
      </c>
      <c r="J185" s="137">
        <f t="shared" ca="1" si="17"/>
        <v>0</v>
      </c>
      <c r="K185" s="137">
        <f t="shared" ca="1" si="17"/>
        <v>0</v>
      </c>
      <c r="L185" s="137">
        <f t="shared" ca="1" si="17"/>
        <v>0</v>
      </c>
      <c r="M185" s="137">
        <f t="shared" ca="1" si="17"/>
        <v>0</v>
      </c>
      <c r="N185" s="146">
        <f t="shared" ca="1" si="17"/>
        <v>0</v>
      </c>
    </row>
    <row r="186" spans="1:14" x14ac:dyDescent="0.25">
      <c r="A186" s="143">
        <v>134</v>
      </c>
      <c r="B186" s="137"/>
      <c r="C186" s="137">
        <f t="shared" ca="1" si="17"/>
        <v>297</v>
      </c>
      <c r="D186" s="137">
        <f t="shared" ca="1" si="17"/>
        <v>240</v>
      </c>
      <c r="E186" s="137">
        <f t="shared" ca="1" si="17"/>
        <v>215</v>
      </c>
      <c r="F186" s="137">
        <f t="shared" ca="1" si="17"/>
        <v>163</v>
      </c>
      <c r="G186" s="137">
        <f t="shared" ca="1" si="17"/>
        <v>117</v>
      </c>
      <c r="H186" s="137">
        <f t="shared" ca="1" si="17"/>
        <v>96</v>
      </c>
      <c r="I186" s="137">
        <f t="shared" ca="1" si="17"/>
        <v>82</v>
      </c>
      <c r="J186" s="137">
        <f t="shared" ca="1" si="17"/>
        <v>71</v>
      </c>
      <c r="K186" s="137">
        <f t="shared" ca="1" si="17"/>
        <v>68</v>
      </c>
      <c r="L186" s="137">
        <f t="shared" ca="1" si="17"/>
        <v>87</v>
      </c>
      <c r="M186" s="137">
        <f t="shared" ca="1" si="17"/>
        <v>162</v>
      </c>
      <c r="N186" s="146">
        <f t="shared" ca="1" si="17"/>
        <v>258</v>
      </c>
    </row>
    <row r="187" spans="1:14" x14ac:dyDescent="0.25">
      <c r="A187" s="143">
        <v>135</v>
      </c>
      <c r="B187" s="137"/>
      <c r="C187" s="137">
        <f t="shared" ca="1" si="17"/>
        <v>0</v>
      </c>
      <c r="D187" s="137">
        <f t="shared" ca="1" si="17"/>
        <v>0</v>
      </c>
      <c r="E187" s="137">
        <f t="shared" ca="1" si="17"/>
        <v>0</v>
      </c>
      <c r="F187" s="137">
        <f t="shared" ca="1" si="17"/>
        <v>0</v>
      </c>
      <c r="G187" s="137">
        <f t="shared" ca="1" si="17"/>
        <v>0</v>
      </c>
      <c r="H187" s="137">
        <f t="shared" ca="1" si="17"/>
        <v>0</v>
      </c>
      <c r="I187" s="137">
        <f t="shared" ca="1" si="17"/>
        <v>0</v>
      </c>
      <c r="J187" s="137">
        <f t="shared" ca="1" si="17"/>
        <v>0</v>
      </c>
      <c r="K187" s="137">
        <f t="shared" ca="1" si="17"/>
        <v>0</v>
      </c>
      <c r="L187" s="137">
        <f t="shared" ca="1" si="17"/>
        <v>0</v>
      </c>
      <c r="M187" s="137">
        <f t="shared" ca="1" si="17"/>
        <v>0</v>
      </c>
      <c r="N187" s="146">
        <f t="shared" ca="1" si="17"/>
        <v>0</v>
      </c>
    </row>
    <row r="188" spans="1:14" x14ac:dyDescent="0.25">
      <c r="A188" s="143">
        <v>136</v>
      </c>
      <c r="B188" s="137"/>
      <c r="C188" s="137">
        <f t="shared" ca="1" si="17"/>
        <v>0</v>
      </c>
      <c r="D188" s="137">
        <f t="shared" ca="1" si="17"/>
        <v>0</v>
      </c>
      <c r="E188" s="137">
        <f t="shared" ca="1" si="17"/>
        <v>0</v>
      </c>
      <c r="F188" s="137">
        <f t="shared" ca="1" si="17"/>
        <v>0</v>
      </c>
      <c r="G188" s="137">
        <f t="shared" ca="1" si="17"/>
        <v>0</v>
      </c>
      <c r="H188" s="137">
        <f t="shared" ca="1" si="17"/>
        <v>0</v>
      </c>
      <c r="I188" s="137">
        <f t="shared" ca="1" si="17"/>
        <v>0</v>
      </c>
      <c r="J188" s="137">
        <f t="shared" ca="1" si="17"/>
        <v>0</v>
      </c>
      <c r="K188" s="137">
        <f t="shared" ca="1" si="17"/>
        <v>0</v>
      </c>
      <c r="L188" s="137">
        <f t="shared" ca="1" si="17"/>
        <v>0</v>
      </c>
      <c r="M188" s="137">
        <f t="shared" ca="1" si="17"/>
        <v>0</v>
      </c>
      <c r="N188" s="146">
        <f t="shared" ca="1" si="17"/>
        <v>0</v>
      </c>
    </row>
    <row r="189" spans="1:14" x14ac:dyDescent="0.25">
      <c r="A189" s="143">
        <v>137</v>
      </c>
      <c r="B189" s="137"/>
      <c r="C189" s="137">
        <f t="shared" ca="1" si="17"/>
        <v>0</v>
      </c>
      <c r="D189" s="137">
        <f t="shared" ca="1" si="17"/>
        <v>0</v>
      </c>
      <c r="E189" s="137">
        <f t="shared" ca="1" si="17"/>
        <v>0</v>
      </c>
      <c r="F189" s="137">
        <f t="shared" ca="1" si="17"/>
        <v>0</v>
      </c>
      <c r="G189" s="137">
        <f t="shared" ca="1" si="17"/>
        <v>0</v>
      </c>
      <c r="H189" s="137">
        <f t="shared" ca="1" si="17"/>
        <v>0</v>
      </c>
      <c r="I189" s="137">
        <f t="shared" ca="1" si="17"/>
        <v>0</v>
      </c>
      <c r="J189" s="137">
        <f t="shared" ca="1" si="17"/>
        <v>0</v>
      </c>
      <c r="K189" s="137">
        <f t="shared" ca="1" si="17"/>
        <v>0</v>
      </c>
      <c r="L189" s="137">
        <f t="shared" ca="1" si="17"/>
        <v>0</v>
      </c>
      <c r="M189" s="137">
        <f t="shared" ca="1" si="17"/>
        <v>0</v>
      </c>
      <c r="N189" s="146">
        <f t="shared" ca="1" si="17"/>
        <v>0</v>
      </c>
    </row>
    <row r="190" spans="1:14" x14ac:dyDescent="0.25">
      <c r="A190" s="143">
        <v>138</v>
      </c>
      <c r="B190" s="137"/>
      <c r="C190" s="137">
        <f t="shared" ca="1" si="17"/>
        <v>0</v>
      </c>
      <c r="D190" s="137">
        <f t="shared" ca="1" si="17"/>
        <v>0</v>
      </c>
      <c r="E190" s="137">
        <f t="shared" ca="1" si="17"/>
        <v>0</v>
      </c>
      <c r="F190" s="137">
        <f t="shared" ca="1" si="17"/>
        <v>0</v>
      </c>
      <c r="G190" s="137">
        <f t="shared" ca="1" si="17"/>
        <v>0</v>
      </c>
      <c r="H190" s="137">
        <f t="shared" ca="1" si="17"/>
        <v>0</v>
      </c>
      <c r="I190" s="137">
        <f t="shared" ca="1" si="17"/>
        <v>0</v>
      </c>
      <c r="J190" s="137">
        <f t="shared" ca="1" si="17"/>
        <v>0</v>
      </c>
      <c r="K190" s="137">
        <f t="shared" ca="1" si="17"/>
        <v>0</v>
      </c>
      <c r="L190" s="137">
        <f t="shared" ca="1" si="17"/>
        <v>0</v>
      </c>
      <c r="M190" s="137">
        <f t="shared" ca="1" si="17"/>
        <v>0</v>
      </c>
      <c r="N190" s="146">
        <f t="shared" ca="1" si="17"/>
        <v>0</v>
      </c>
    </row>
    <row r="191" spans="1:14" x14ac:dyDescent="0.25">
      <c r="A191" s="143">
        <v>139</v>
      </c>
      <c r="B191" s="137"/>
      <c r="C191" s="137">
        <f t="shared" ca="1" si="17"/>
        <v>0</v>
      </c>
      <c r="D191" s="137">
        <f t="shared" ca="1" si="17"/>
        <v>0</v>
      </c>
      <c r="E191" s="137">
        <f t="shared" ca="1" si="17"/>
        <v>0</v>
      </c>
      <c r="F191" s="137">
        <f t="shared" ca="1" si="17"/>
        <v>0</v>
      </c>
      <c r="G191" s="137">
        <f t="shared" ca="1" si="17"/>
        <v>0</v>
      </c>
      <c r="H191" s="137">
        <f t="shared" ca="1" si="17"/>
        <v>0</v>
      </c>
      <c r="I191" s="137">
        <f t="shared" ca="1" si="17"/>
        <v>0</v>
      </c>
      <c r="J191" s="137">
        <f t="shared" ca="1" si="17"/>
        <v>0</v>
      </c>
      <c r="K191" s="137">
        <f t="shared" ca="1" si="17"/>
        <v>0</v>
      </c>
      <c r="L191" s="137">
        <f t="shared" ca="1" si="17"/>
        <v>0</v>
      </c>
      <c r="M191" s="137">
        <f t="shared" ca="1" si="17"/>
        <v>0</v>
      </c>
      <c r="N191" s="146">
        <f t="shared" ca="1" si="17"/>
        <v>0</v>
      </c>
    </row>
    <row r="192" spans="1:14" x14ac:dyDescent="0.25">
      <c r="A192" s="143">
        <v>140</v>
      </c>
      <c r="B192" s="137"/>
      <c r="C192" s="137">
        <f t="shared" ca="1" si="17"/>
        <v>0</v>
      </c>
      <c r="D192" s="137">
        <f t="shared" ca="1" si="17"/>
        <v>0</v>
      </c>
      <c r="E192" s="137">
        <f t="shared" ca="1" si="17"/>
        <v>0</v>
      </c>
      <c r="F192" s="137">
        <f t="shared" ca="1" si="17"/>
        <v>0</v>
      </c>
      <c r="G192" s="137">
        <f t="shared" ca="1" si="17"/>
        <v>0</v>
      </c>
      <c r="H192" s="137">
        <f t="shared" ca="1" si="17"/>
        <v>0</v>
      </c>
      <c r="I192" s="137">
        <f t="shared" ca="1" si="17"/>
        <v>0</v>
      </c>
      <c r="J192" s="137">
        <f t="shared" ca="1" si="17"/>
        <v>0</v>
      </c>
      <c r="K192" s="137">
        <f t="shared" ca="1" si="17"/>
        <v>0</v>
      </c>
      <c r="L192" s="137">
        <f t="shared" ca="1" si="17"/>
        <v>0</v>
      </c>
      <c r="M192" s="137">
        <f t="shared" ca="1" si="17"/>
        <v>0</v>
      </c>
      <c r="N192" s="146">
        <f t="shared" ca="1" si="17"/>
        <v>0</v>
      </c>
    </row>
    <row r="193" spans="1:14" x14ac:dyDescent="0.25">
      <c r="A193" s="143">
        <v>141</v>
      </c>
      <c r="B193" s="137"/>
      <c r="C193" s="137">
        <f t="shared" ref="C193:N202" ca="1" si="18">ROUND(INDEX(INDIRECT(IF(C$13="E",$Q$53,$Q$54)),$A193,C$52),0)</f>
        <v>1053</v>
      </c>
      <c r="D193" s="137">
        <f t="shared" ca="1" si="18"/>
        <v>855</v>
      </c>
      <c r="E193" s="137">
        <f t="shared" ca="1" si="18"/>
        <v>756</v>
      </c>
      <c r="F193" s="137">
        <f t="shared" ca="1" si="18"/>
        <v>593</v>
      </c>
      <c r="G193" s="137">
        <f t="shared" ca="1" si="18"/>
        <v>444</v>
      </c>
      <c r="H193" s="137">
        <f t="shared" ca="1" si="18"/>
        <v>378</v>
      </c>
      <c r="I193" s="137">
        <f t="shared" ca="1" si="18"/>
        <v>335</v>
      </c>
      <c r="J193" s="137">
        <f t="shared" ca="1" si="18"/>
        <v>300</v>
      </c>
      <c r="K193" s="137">
        <f t="shared" ca="1" si="18"/>
        <v>292</v>
      </c>
      <c r="L193" s="137">
        <f t="shared" ca="1" si="18"/>
        <v>352</v>
      </c>
      <c r="M193" s="137">
        <f t="shared" ca="1" si="18"/>
        <v>563</v>
      </c>
      <c r="N193" s="146">
        <f t="shared" ca="1" si="18"/>
        <v>910</v>
      </c>
    </row>
    <row r="194" spans="1:14" x14ac:dyDescent="0.25">
      <c r="A194" s="143">
        <v>142</v>
      </c>
      <c r="B194" s="137"/>
      <c r="C194" s="137">
        <f t="shared" ca="1" si="18"/>
        <v>0</v>
      </c>
      <c r="D194" s="137">
        <f t="shared" ca="1" si="18"/>
        <v>0</v>
      </c>
      <c r="E194" s="137">
        <f t="shared" ca="1" si="18"/>
        <v>0</v>
      </c>
      <c r="F194" s="137">
        <f t="shared" ca="1" si="18"/>
        <v>0</v>
      </c>
      <c r="G194" s="137">
        <f t="shared" ca="1" si="18"/>
        <v>0</v>
      </c>
      <c r="H194" s="137">
        <f t="shared" ca="1" si="18"/>
        <v>0</v>
      </c>
      <c r="I194" s="137">
        <f t="shared" ca="1" si="18"/>
        <v>0</v>
      </c>
      <c r="J194" s="137">
        <f t="shared" ca="1" si="18"/>
        <v>0</v>
      </c>
      <c r="K194" s="137">
        <f t="shared" ca="1" si="18"/>
        <v>0</v>
      </c>
      <c r="L194" s="137">
        <f t="shared" ca="1" si="18"/>
        <v>0</v>
      </c>
      <c r="M194" s="137">
        <f t="shared" ca="1" si="18"/>
        <v>0</v>
      </c>
      <c r="N194" s="146">
        <f t="shared" ca="1" si="18"/>
        <v>0</v>
      </c>
    </row>
    <row r="195" spans="1:14" x14ac:dyDescent="0.25">
      <c r="A195" s="143">
        <v>143</v>
      </c>
      <c r="B195" s="137"/>
      <c r="C195" s="137">
        <f t="shared" ca="1" si="18"/>
        <v>0</v>
      </c>
      <c r="D195" s="137">
        <f t="shared" ca="1" si="18"/>
        <v>0</v>
      </c>
      <c r="E195" s="137">
        <f t="shared" ca="1" si="18"/>
        <v>0</v>
      </c>
      <c r="F195" s="137">
        <f t="shared" ca="1" si="18"/>
        <v>0</v>
      </c>
      <c r="G195" s="137">
        <f t="shared" ca="1" si="18"/>
        <v>0</v>
      </c>
      <c r="H195" s="137">
        <f t="shared" ca="1" si="18"/>
        <v>0</v>
      </c>
      <c r="I195" s="137">
        <f t="shared" ca="1" si="18"/>
        <v>0</v>
      </c>
      <c r="J195" s="137">
        <f t="shared" ca="1" si="18"/>
        <v>0</v>
      </c>
      <c r="K195" s="137">
        <f t="shared" ca="1" si="18"/>
        <v>0</v>
      </c>
      <c r="L195" s="137">
        <f t="shared" ca="1" si="18"/>
        <v>0</v>
      </c>
      <c r="M195" s="137">
        <f t="shared" ca="1" si="18"/>
        <v>0</v>
      </c>
      <c r="N195" s="146">
        <f t="shared" ca="1" si="18"/>
        <v>0</v>
      </c>
    </row>
    <row r="196" spans="1:14" x14ac:dyDescent="0.25">
      <c r="A196" s="143">
        <v>144</v>
      </c>
      <c r="B196" s="137"/>
      <c r="C196" s="137">
        <f t="shared" ca="1" si="18"/>
        <v>1888</v>
      </c>
      <c r="D196" s="137">
        <f t="shared" ca="1" si="18"/>
        <v>1463</v>
      </c>
      <c r="E196" s="137">
        <f t="shared" ca="1" si="18"/>
        <v>1285</v>
      </c>
      <c r="F196" s="137">
        <f t="shared" ca="1" si="18"/>
        <v>993</v>
      </c>
      <c r="G196" s="137">
        <f t="shared" ca="1" si="18"/>
        <v>719</v>
      </c>
      <c r="H196" s="137">
        <f t="shared" ca="1" si="18"/>
        <v>601</v>
      </c>
      <c r="I196" s="137">
        <f t="shared" ca="1" si="18"/>
        <v>532</v>
      </c>
      <c r="J196" s="137">
        <f t="shared" ca="1" si="18"/>
        <v>471</v>
      </c>
      <c r="K196" s="137">
        <f t="shared" ca="1" si="18"/>
        <v>454</v>
      </c>
      <c r="L196" s="137">
        <f t="shared" ca="1" si="18"/>
        <v>571</v>
      </c>
      <c r="M196" s="137">
        <f t="shared" ca="1" si="18"/>
        <v>974</v>
      </c>
      <c r="N196" s="146">
        <f t="shared" ca="1" si="18"/>
        <v>1649</v>
      </c>
    </row>
    <row r="197" spans="1:14" x14ac:dyDescent="0.25">
      <c r="A197" s="143">
        <v>145</v>
      </c>
      <c r="B197" s="137"/>
      <c r="C197" s="137">
        <f t="shared" ca="1" si="18"/>
        <v>117</v>
      </c>
      <c r="D197" s="137">
        <f t="shared" ca="1" si="18"/>
        <v>135</v>
      </c>
      <c r="E197" s="137">
        <f t="shared" ca="1" si="18"/>
        <v>148</v>
      </c>
      <c r="F197" s="137">
        <f t="shared" ca="1" si="18"/>
        <v>111</v>
      </c>
      <c r="G197" s="137">
        <f t="shared" ca="1" si="18"/>
        <v>78</v>
      </c>
      <c r="H197" s="137">
        <f t="shared" ca="1" si="18"/>
        <v>64</v>
      </c>
      <c r="I197" s="137">
        <f t="shared" ca="1" si="18"/>
        <v>58</v>
      </c>
      <c r="J197" s="137">
        <f t="shared" ca="1" si="18"/>
        <v>54</v>
      </c>
      <c r="K197" s="137">
        <f t="shared" ca="1" si="18"/>
        <v>52</v>
      </c>
      <c r="L197" s="137">
        <f t="shared" ca="1" si="18"/>
        <v>56</v>
      </c>
      <c r="M197" s="137">
        <f t="shared" ca="1" si="18"/>
        <v>65</v>
      </c>
      <c r="N197" s="146">
        <f t="shared" ca="1" si="18"/>
        <v>88</v>
      </c>
    </row>
    <row r="198" spans="1:14" x14ac:dyDescent="0.25">
      <c r="A198" s="143">
        <v>146</v>
      </c>
      <c r="B198" s="137"/>
      <c r="C198" s="137">
        <f t="shared" ca="1" si="18"/>
        <v>0</v>
      </c>
      <c r="D198" s="137">
        <f t="shared" ca="1" si="18"/>
        <v>0</v>
      </c>
      <c r="E198" s="137">
        <f t="shared" ca="1" si="18"/>
        <v>0</v>
      </c>
      <c r="F198" s="137">
        <f t="shared" ca="1" si="18"/>
        <v>0</v>
      </c>
      <c r="G198" s="137">
        <f t="shared" ca="1" si="18"/>
        <v>0</v>
      </c>
      <c r="H198" s="137">
        <f t="shared" ca="1" si="18"/>
        <v>0</v>
      </c>
      <c r="I198" s="137">
        <f t="shared" ca="1" si="18"/>
        <v>0</v>
      </c>
      <c r="J198" s="137">
        <f t="shared" ca="1" si="18"/>
        <v>0</v>
      </c>
      <c r="K198" s="137">
        <f t="shared" ca="1" si="18"/>
        <v>0</v>
      </c>
      <c r="L198" s="137">
        <f t="shared" ca="1" si="18"/>
        <v>0</v>
      </c>
      <c r="M198" s="137">
        <f t="shared" ca="1" si="18"/>
        <v>0</v>
      </c>
      <c r="N198" s="146">
        <f t="shared" ca="1" si="18"/>
        <v>0</v>
      </c>
    </row>
    <row r="199" spans="1:14" x14ac:dyDescent="0.25">
      <c r="A199" s="143">
        <v>147</v>
      </c>
      <c r="B199" s="137"/>
      <c r="C199" s="137">
        <f t="shared" ca="1" si="18"/>
        <v>0</v>
      </c>
      <c r="D199" s="137">
        <f t="shared" ca="1" si="18"/>
        <v>0</v>
      </c>
      <c r="E199" s="137">
        <f t="shared" ca="1" si="18"/>
        <v>0</v>
      </c>
      <c r="F199" s="137">
        <f t="shared" ca="1" si="18"/>
        <v>0</v>
      </c>
      <c r="G199" s="137">
        <f t="shared" ca="1" si="18"/>
        <v>0</v>
      </c>
      <c r="H199" s="137">
        <f t="shared" ca="1" si="18"/>
        <v>0</v>
      </c>
      <c r="I199" s="137">
        <f t="shared" ca="1" si="18"/>
        <v>0</v>
      </c>
      <c r="J199" s="137">
        <f t="shared" ca="1" si="18"/>
        <v>0</v>
      </c>
      <c r="K199" s="137">
        <f t="shared" ca="1" si="18"/>
        <v>0</v>
      </c>
      <c r="L199" s="137">
        <f t="shared" ca="1" si="18"/>
        <v>0</v>
      </c>
      <c r="M199" s="137">
        <f t="shared" ca="1" si="18"/>
        <v>0</v>
      </c>
      <c r="N199" s="146">
        <f t="shared" ca="1" si="18"/>
        <v>0</v>
      </c>
    </row>
    <row r="200" spans="1:14" x14ac:dyDescent="0.25">
      <c r="A200" s="143">
        <v>148</v>
      </c>
      <c r="B200" s="137"/>
      <c r="C200" s="137">
        <f t="shared" ca="1" si="18"/>
        <v>1620</v>
      </c>
      <c r="D200" s="137">
        <f t="shared" ca="1" si="18"/>
        <v>1260</v>
      </c>
      <c r="E200" s="137">
        <f t="shared" ca="1" si="18"/>
        <v>1107</v>
      </c>
      <c r="F200" s="137">
        <f t="shared" ca="1" si="18"/>
        <v>856</v>
      </c>
      <c r="G200" s="137">
        <f t="shared" ca="1" si="18"/>
        <v>621</v>
      </c>
      <c r="H200" s="137">
        <f t="shared" ca="1" si="18"/>
        <v>521</v>
      </c>
      <c r="I200" s="137">
        <f t="shared" ca="1" si="18"/>
        <v>461</v>
      </c>
      <c r="J200" s="137">
        <f t="shared" ca="1" si="18"/>
        <v>410</v>
      </c>
      <c r="K200" s="137">
        <f t="shared" ca="1" si="18"/>
        <v>396</v>
      </c>
      <c r="L200" s="137">
        <f t="shared" ca="1" si="18"/>
        <v>496</v>
      </c>
      <c r="M200" s="137">
        <f t="shared" ca="1" si="18"/>
        <v>839</v>
      </c>
      <c r="N200" s="146">
        <f t="shared" ca="1" si="18"/>
        <v>1414</v>
      </c>
    </row>
    <row r="201" spans="1:14" x14ac:dyDescent="0.25">
      <c r="A201" s="143">
        <v>149</v>
      </c>
      <c r="B201" s="137"/>
      <c r="C201" s="137">
        <f t="shared" ca="1" si="18"/>
        <v>273</v>
      </c>
      <c r="D201" s="137">
        <f t="shared" ca="1" si="18"/>
        <v>232</v>
      </c>
      <c r="E201" s="137">
        <f t="shared" ca="1" si="18"/>
        <v>206</v>
      </c>
      <c r="F201" s="137">
        <f t="shared" ca="1" si="18"/>
        <v>160</v>
      </c>
      <c r="G201" s="137">
        <f t="shared" ca="1" si="18"/>
        <v>123</v>
      </c>
      <c r="H201" s="137">
        <f t="shared" ca="1" si="18"/>
        <v>107</v>
      </c>
      <c r="I201" s="137">
        <f t="shared" ca="1" si="18"/>
        <v>96</v>
      </c>
      <c r="J201" s="137">
        <f t="shared" ca="1" si="18"/>
        <v>86</v>
      </c>
      <c r="K201" s="137">
        <f t="shared" ca="1" si="18"/>
        <v>85</v>
      </c>
      <c r="L201" s="137">
        <f t="shared" ca="1" si="18"/>
        <v>101</v>
      </c>
      <c r="M201" s="137">
        <f t="shared" ca="1" si="18"/>
        <v>147</v>
      </c>
      <c r="N201" s="146">
        <f t="shared" ca="1" si="18"/>
        <v>230</v>
      </c>
    </row>
    <row r="202" spans="1:14" x14ac:dyDescent="0.25">
      <c r="A202" s="143">
        <v>150</v>
      </c>
      <c r="B202" s="137"/>
      <c r="C202" s="137">
        <f t="shared" ca="1" si="18"/>
        <v>0</v>
      </c>
      <c r="D202" s="137">
        <f t="shared" ca="1" si="18"/>
        <v>0</v>
      </c>
      <c r="E202" s="137">
        <f t="shared" ca="1" si="18"/>
        <v>0</v>
      </c>
      <c r="F202" s="137">
        <f t="shared" ca="1" si="18"/>
        <v>0</v>
      </c>
      <c r="G202" s="137">
        <f t="shared" ca="1" si="18"/>
        <v>0</v>
      </c>
      <c r="H202" s="137">
        <f t="shared" ca="1" si="18"/>
        <v>0</v>
      </c>
      <c r="I202" s="137">
        <f t="shared" ca="1" si="18"/>
        <v>0</v>
      </c>
      <c r="J202" s="137">
        <f t="shared" ca="1" si="18"/>
        <v>0</v>
      </c>
      <c r="K202" s="137">
        <f t="shared" ca="1" si="18"/>
        <v>0</v>
      </c>
      <c r="L202" s="137">
        <f t="shared" ca="1" si="18"/>
        <v>0</v>
      </c>
      <c r="M202" s="137">
        <f t="shared" ca="1" si="18"/>
        <v>0</v>
      </c>
      <c r="N202" s="146">
        <f t="shared" ca="1" si="18"/>
        <v>0</v>
      </c>
    </row>
    <row r="203" spans="1:14" x14ac:dyDescent="0.25">
      <c r="A203" s="143">
        <v>151</v>
      </c>
      <c r="B203" s="137"/>
      <c r="C203" s="137">
        <f t="shared" ref="C203:N212" ca="1" si="19">ROUND(INDEX(INDIRECT(IF(C$13="E",$Q$53,$Q$54)),$A203,C$52),0)</f>
        <v>0</v>
      </c>
      <c r="D203" s="137">
        <f t="shared" ca="1" si="19"/>
        <v>0</v>
      </c>
      <c r="E203" s="137">
        <f t="shared" ca="1" si="19"/>
        <v>0</v>
      </c>
      <c r="F203" s="137">
        <f t="shared" ca="1" si="19"/>
        <v>0</v>
      </c>
      <c r="G203" s="137">
        <f t="shared" ca="1" si="19"/>
        <v>0</v>
      </c>
      <c r="H203" s="137">
        <f t="shared" ca="1" si="19"/>
        <v>0</v>
      </c>
      <c r="I203" s="137">
        <f t="shared" ca="1" si="19"/>
        <v>0</v>
      </c>
      <c r="J203" s="137">
        <f t="shared" ca="1" si="19"/>
        <v>0</v>
      </c>
      <c r="K203" s="137">
        <f t="shared" ca="1" si="19"/>
        <v>0</v>
      </c>
      <c r="L203" s="137">
        <f t="shared" ca="1" si="19"/>
        <v>0</v>
      </c>
      <c r="M203" s="137">
        <f t="shared" ca="1" si="19"/>
        <v>0</v>
      </c>
      <c r="N203" s="146">
        <f t="shared" ca="1" si="19"/>
        <v>0</v>
      </c>
    </row>
    <row r="204" spans="1:14" x14ac:dyDescent="0.25">
      <c r="A204" s="143">
        <v>152</v>
      </c>
      <c r="B204" s="137"/>
      <c r="C204" s="137">
        <f t="shared" ca="1" si="19"/>
        <v>0</v>
      </c>
      <c r="D204" s="137">
        <f t="shared" ca="1" si="19"/>
        <v>0</v>
      </c>
      <c r="E204" s="137">
        <f t="shared" ca="1" si="19"/>
        <v>0</v>
      </c>
      <c r="F204" s="137">
        <f t="shared" ca="1" si="19"/>
        <v>0</v>
      </c>
      <c r="G204" s="137">
        <f t="shared" ca="1" si="19"/>
        <v>0</v>
      </c>
      <c r="H204" s="137">
        <f t="shared" ca="1" si="19"/>
        <v>0</v>
      </c>
      <c r="I204" s="137">
        <f t="shared" ca="1" si="19"/>
        <v>0</v>
      </c>
      <c r="J204" s="137">
        <f t="shared" ca="1" si="19"/>
        <v>0</v>
      </c>
      <c r="K204" s="137">
        <f t="shared" ca="1" si="19"/>
        <v>0</v>
      </c>
      <c r="L204" s="137">
        <f t="shared" ca="1" si="19"/>
        <v>0</v>
      </c>
      <c r="M204" s="137">
        <f t="shared" ca="1" si="19"/>
        <v>0</v>
      </c>
      <c r="N204" s="146">
        <f t="shared" ca="1" si="19"/>
        <v>0</v>
      </c>
    </row>
    <row r="205" spans="1:14" x14ac:dyDescent="0.25">
      <c r="A205" s="143">
        <v>153</v>
      </c>
      <c r="B205" s="137"/>
      <c r="C205" s="137">
        <f t="shared" ca="1" si="19"/>
        <v>0</v>
      </c>
      <c r="D205" s="137">
        <f t="shared" ca="1" si="19"/>
        <v>0</v>
      </c>
      <c r="E205" s="137">
        <f t="shared" ca="1" si="19"/>
        <v>0</v>
      </c>
      <c r="F205" s="137">
        <f t="shared" ca="1" si="19"/>
        <v>0</v>
      </c>
      <c r="G205" s="137">
        <f t="shared" ca="1" si="19"/>
        <v>0</v>
      </c>
      <c r="H205" s="137">
        <f t="shared" ca="1" si="19"/>
        <v>0</v>
      </c>
      <c r="I205" s="137">
        <f t="shared" ca="1" si="19"/>
        <v>0</v>
      </c>
      <c r="J205" s="137">
        <f t="shared" ca="1" si="19"/>
        <v>0</v>
      </c>
      <c r="K205" s="137">
        <f t="shared" ca="1" si="19"/>
        <v>0</v>
      </c>
      <c r="L205" s="137">
        <f t="shared" ca="1" si="19"/>
        <v>0</v>
      </c>
      <c r="M205" s="137">
        <f t="shared" ca="1" si="19"/>
        <v>0</v>
      </c>
      <c r="N205" s="146">
        <f t="shared" ca="1" si="19"/>
        <v>0</v>
      </c>
    </row>
    <row r="206" spans="1:14" x14ac:dyDescent="0.25">
      <c r="A206" s="143">
        <v>154</v>
      </c>
      <c r="B206" s="137"/>
      <c r="C206" s="137">
        <f t="shared" ca="1" si="19"/>
        <v>0</v>
      </c>
      <c r="D206" s="137">
        <f t="shared" ca="1" si="19"/>
        <v>0</v>
      </c>
      <c r="E206" s="137">
        <f t="shared" ca="1" si="19"/>
        <v>0</v>
      </c>
      <c r="F206" s="137">
        <f t="shared" ca="1" si="19"/>
        <v>0</v>
      </c>
      <c r="G206" s="137">
        <f t="shared" ca="1" si="19"/>
        <v>0</v>
      </c>
      <c r="H206" s="137">
        <f t="shared" ca="1" si="19"/>
        <v>0</v>
      </c>
      <c r="I206" s="137">
        <f t="shared" ca="1" si="19"/>
        <v>0</v>
      </c>
      <c r="J206" s="137">
        <f t="shared" ca="1" si="19"/>
        <v>0</v>
      </c>
      <c r="K206" s="137">
        <f t="shared" ca="1" si="19"/>
        <v>0</v>
      </c>
      <c r="L206" s="137">
        <f t="shared" ca="1" si="19"/>
        <v>0</v>
      </c>
      <c r="M206" s="137">
        <f t="shared" ca="1" si="19"/>
        <v>0</v>
      </c>
      <c r="N206" s="146">
        <f t="shared" ca="1" si="19"/>
        <v>0</v>
      </c>
    </row>
    <row r="207" spans="1:14" x14ac:dyDescent="0.25">
      <c r="A207" s="143">
        <v>155</v>
      </c>
      <c r="B207" s="137"/>
      <c r="C207" s="137">
        <f t="shared" ca="1" si="19"/>
        <v>333</v>
      </c>
      <c r="D207" s="137">
        <f t="shared" ca="1" si="19"/>
        <v>284</v>
      </c>
      <c r="E207" s="137">
        <f t="shared" ca="1" si="19"/>
        <v>242</v>
      </c>
      <c r="F207" s="137">
        <f t="shared" ca="1" si="19"/>
        <v>160</v>
      </c>
      <c r="G207" s="137">
        <f t="shared" ca="1" si="19"/>
        <v>111</v>
      </c>
      <c r="H207" s="137">
        <f t="shared" ca="1" si="19"/>
        <v>90</v>
      </c>
      <c r="I207" s="137">
        <f t="shared" ca="1" si="19"/>
        <v>73</v>
      </c>
      <c r="J207" s="137">
        <f t="shared" ca="1" si="19"/>
        <v>63</v>
      </c>
      <c r="K207" s="137">
        <f t="shared" ca="1" si="19"/>
        <v>61</v>
      </c>
      <c r="L207" s="137">
        <f t="shared" ca="1" si="19"/>
        <v>77</v>
      </c>
      <c r="M207" s="137">
        <f t="shared" ca="1" si="19"/>
        <v>132</v>
      </c>
      <c r="N207" s="146">
        <f t="shared" ca="1" si="19"/>
        <v>252</v>
      </c>
    </row>
    <row r="208" spans="1:14" x14ac:dyDescent="0.25">
      <c r="A208" s="143">
        <v>156</v>
      </c>
      <c r="B208" s="137"/>
      <c r="C208" s="137">
        <f t="shared" ca="1" si="19"/>
        <v>1475</v>
      </c>
      <c r="D208" s="137">
        <f t="shared" ca="1" si="19"/>
        <v>1369</v>
      </c>
      <c r="E208" s="137">
        <f t="shared" ca="1" si="19"/>
        <v>1138</v>
      </c>
      <c r="F208" s="137">
        <f t="shared" ca="1" si="19"/>
        <v>755</v>
      </c>
      <c r="G208" s="137">
        <f t="shared" ca="1" si="19"/>
        <v>452</v>
      </c>
      <c r="H208" s="137">
        <f t="shared" ca="1" si="19"/>
        <v>341</v>
      </c>
      <c r="I208" s="137">
        <f t="shared" ca="1" si="19"/>
        <v>274</v>
      </c>
      <c r="J208" s="137">
        <f t="shared" ca="1" si="19"/>
        <v>224</v>
      </c>
      <c r="K208" s="137">
        <f t="shared" ca="1" si="19"/>
        <v>219</v>
      </c>
      <c r="L208" s="137">
        <f t="shared" ca="1" si="19"/>
        <v>299</v>
      </c>
      <c r="M208" s="137">
        <f t="shared" ca="1" si="19"/>
        <v>599</v>
      </c>
      <c r="N208" s="146">
        <f t="shared" ca="1" si="19"/>
        <v>1113</v>
      </c>
    </row>
    <row r="209" spans="1:14" x14ac:dyDescent="0.25">
      <c r="A209" s="143">
        <v>157</v>
      </c>
      <c r="B209" s="137"/>
      <c r="C209" s="137">
        <f t="shared" ca="1" si="19"/>
        <v>0</v>
      </c>
      <c r="D209" s="137">
        <f t="shared" ca="1" si="19"/>
        <v>0</v>
      </c>
      <c r="E209" s="137">
        <f t="shared" ca="1" si="19"/>
        <v>0</v>
      </c>
      <c r="F209" s="137">
        <f t="shared" ca="1" si="19"/>
        <v>0</v>
      </c>
      <c r="G209" s="137">
        <f t="shared" ca="1" si="19"/>
        <v>0</v>
      </c>
      <c r="H209" s="137">
        <f t="shared" ca="1" si="19"/>
        <v>0</v>
      </c>
      <c r="I209" s="137">
        <f t="shared" ca="1" si="19"/>
        <v>0</v>
      </c>
      <c r="J209" s="137">
        <f t="shared" ca="1" si="19"/>
        <v>0</v>
      </c>
      <c r="K209" s="137">
        <f t="shared" ca="1" si="19"/>
        <v>0</v>
      </c>
      <c r="L209" s="137">
        <f t="shared" ca="1" si="19"/>
        <v>0</v>
      </c>
      <c r="M209" s="137">
        <f t="shared" ca="1" si="19"/>
        <v>0</v>
      </c>
      <c r="N209" s="146">
        <f t="shared" ca="1" si="19"/>
        <v>0</v>
      </c>
    </row>
    <row r="210" spans="1:14" x14ac:dyDescent="0.25">
      <c r="A210" s="143">
        <v>158</v>
      </c>
      <c r="B210" s="137"/>
      <c r="C210" s="137">
        <f t="shared" ca="1" si="19"/>
        <v>83</v>
      </c>
      <c r="D210" s="137">
        <f t="shared" ca="1" si="19"/>
        <v>83</v>
      </c>
      <c r="E210" s="137">
        <f t="shared" ca="1" si="19"/>
        <v>87</v>
      </c>
      <c r="F210" s="137">
        <f t="shared" ca="1" si="19"/>
        <v>68</v>
      </c>
      <c r="G210" s="137">
        <f t="shared" ca="1" si="19"/>
        <v>47</v>
      </c>
      <c r="H210" s="137">
        <f t="shared" ca="1" si="19"/>
        <v>40</v>
      </c>
      <c r="I210" s="137">
        <f t="shared" ca="1" si="19"/>
        <v>35</v>
      </c>
      <c r="J210" s="137">
        <f t="shared" ca="1" si="19"/>
        <v>30</v>
      </c>
      <c r="K210" s="137">
        <f t="shared" ca="1" si="19"/>
        <v>27</v>
      </c>
      <c r="L210" s="137">
        <f t="shared" ca="1" si="19"/>
        <v>33</v>
      </c>
      <c r="M210" s="137">
        <f t="shared" ca="1" si="19"/>
        <v>51</v>
      </c>
      <c r="N210" s="146">
        <f t="shared" ca="1" si="19"/>
        <v>79</v>
      </c>
    </row>
    <row r="211" spans="1:14" x14ac:dyDescent="0.25">
      <c r="A211" s="143">
        <v>159</v>
      </c>
      <c r="B211" s="137"/>
      <c r="C211" s="137">
        <f t="shared" ca="1" si="19"/>
        <v>0</v>
      </c>
      <c r="D211" s="137">
        <f t="shared" ca="1" si="19"/>
        <v>0</v>
      </c>
      <c r="E211" s="137">
        <f t="shared" ca="1" si="19"/>
        <v>0</v>
      </c>
      <c r="F211" s="137">
        <f t="shared" ca="1" si="19"/>
        <v>0</v>
      </c>
      <c r="G211" s="137">
        <f t="shared" ca="1" si="19"/>
        <v>0</v>
      </c>
      <c r="H211" s="137">
        <f t="shared" ca="1" si="19"/>
        <v>0</v>
      </c>
      <c r="I211" s="137">
        <f t="shared" ca="1" si="19"/>
        <v>0</v>
      </c>
      <c r="J211" s="137">
        <f t="shared" ca="1" si="19"/>
        <v>0</v>
      </c>
      <c r="K211" s="137">
        <f t="shared" ca="1" si="19"/>
        <v>0</v>
      </c>
      <c r="L211" s="137">
        <f t="shared" ca="1" si="19"/>
        <v>0</v>
      </c>
      <c r="M211" s="137">
        <f t="shared" ca="1" si="19"/>
        <v>0</v>
      </c>
      <c r="N211" s="146">
        <f t="shared" ca="1" si="19"/>
        <v>0</v>
      </c>
    </row>
    <row r="212" spans="1:14" x14ac:dyDescent="0.25">
      <c r="A212" s="143">
        <v>160</v>
      </c>
      <c r="B212" s="137"/>
      <c r="C212" s="137">
        <f t="shared" ca="1" si="19"/>
        <v>11</v>
      </c>
      <c r="D212" s="137">
        <f t="shared" ca="1" si="19"/>
        <v>11</v>
      </c>
      <c r="E212" s="137">
        <f t="shared" ca="1" si="19"/>
        <v>11</v>
      </c>
      <c r="F212" s="137">
        <f t="shared" ca="1" si="19"/>
        <v>9</v>
      </c>
      <c r="G212" s="137">
        <f t="shared" ca="1" si="19"/>
        <v>7</v>
      </c>
      <c r="H212" s="137">
        <f t="shared" ca="1" si="19"/>
        <v>6</v>
      </c>
      <c r="I212" s="137">
        <f t="shared" ca="1" si="19"/>
        <v>6</v>
      </c>
      <c r="J212" s="137">
        <f t="shared" ca="1" si="19"/>
        <v>5</v>
      </c>
      <c r="K212" s="137">
        <f t="shared" ca="1" si="19"/>
        <v>6</v>
      </c>
      <c r="L212" s="137">
        <f t="shared" ca="1" si="19"/>
        <v>7</v>
      </c>
      <c r="M212" s="137">
        <f t="shared" ca="1" si="19"/>
        <v>7</v>
      </c>
      <c r="N212" s="146">
        <f t="shared" ca="1" si="19"/>
        <v>9</v>
      </c>
    </row>
    <row r="213" spans="1:14" x14ac:dyDescent="0.25">
      <c r="A213" s="143">
        <v>161</v>
      </c>
      <c r="B213" s="137"/>
      <c r="C213" s="137">
        <f t="shared" ref="C213:N222" ca="1" si="20">ROUND(INDEX(INDIRECT(IF(C$13="E",$Q$53,$Q$54)),$A213,C$52),0)</f>
        <v>177</v>
      </c>
      <c r="D213" s="137">
        <f t="shared" ca="1" si="20"/>
        <v>185</v>
      </c>
      <c r="E213" s="137">
        <f t="shared" ca="1" si="20"/>
        <v>161</v>
      </c>
      <c r="F213" s="137">
        <f t="shared" ca="1" si="20"/>
        <v>108</v>
      </c>
      <c r="G213" s="137">
        <f t="shared" ca="1" si="20"/>
        <v>83</v>
      </c>
      <c r="H213" s="137">
        <f t="shared" ca="1" si="20"/>
        <v>77</v>
      </c>
      <c r="I213" s="137">
        <f t="shared" ca="1" si="20"/>
        <v>65</v>
      </c>
      <c r="J213" s="137">
        <f t="shared" ca="1" si="20"/>
        <v>55</v>
      </c>
      <c r="K213" s="137">
        <f t="shared" ca="1" si="20"/>
        <v>70</v>
      </c>
      <c r="L213" s="137">
        <f t="shared" ca="1" si="20"/>
        <v>91</v>
      </c>
      <c r="M213" s="137">
        <f t="shared" ca="1" si="20"/>
        <v>98</v>
      </c>
      <c r="N213" s="146">
        <f t="shared" ca="1" si="20"/>
        <v>130</v>
      </c>
    </row>
    <row r="214" spans="1:14" x14ac:dyDescent="0.25">
      <c r="A214" s="143">
        <v>162</v>
      </c>
      <c r="B214" s="137"/>
      <c r="C214" s="137">
        <f t="shared" ca="1" si="20"/>
        <v>0</v>
      </c>
      <c r="D214" s="137">
        <f t="shared" ca="1" si="20"/>
        <v>0</v>
      </c>
      <c r="E214" s="137">
        <f t="shared" ca="1" si="20"/>
        <v>0</v>
      </c>
      <c r="F214" s="137">
        <f t="shared" ca="1" si="20"/>
        <v>0</v>
      </c>
      <c r="G214" s="137">
        <f t="shared" ca="1" si="20"/>
        <v>0</v>
      </c>
      <c r="H214" s="137">
        <f t="shared" ca="1" si="20"/>
        <v>0</v>
      </c>
      <c r="I214" s="137">
        <f t="shared" ca="1" si="20"/>
        <v>0</v>
      </c>
      <c r="J214" s="137">
        <f t="shared" ca="1" si="20"/>
        <v>0</v>
      </c>
      <c r="K214" s="137">
        <f t="shared" ca="1" si="20"/>
        <v>0</v>
      </c>
      <c r="L214" s="137">
        <f t="shared" ca="1" si="20"/>
        <v>0</v>
      </c>
      <c r="M214" s="137">
        <f t="shared" ca="1" si="20"/>
        <v>0</v>
      </c>
      <c r="N214" s="146">
        <f t="shared" ca="1" si="20"/>
        <v>0</v>
      </c>
    </row>
    <row r="215" spans="1:14" x14ac:dyDescent="0.25">
      <c r="A215" s="143">
        <v>163</v>
      </c>
      <c r="B215" s="137"/>
      <c r="C215" s="137">
        <f t="shared" ca="1" si="20"/>
        <v>0</v>
      </c>
      <c r="D215" s="137">
        <f t="shared" ca="1" si="20"/>
        <v>0</v>
      </c>
      <c r="E215" s="137">
        <f t="shared" ca="1" si="20"/>
        <v>0</v>
      </c>
      <c r="F215" s="137">
        <f t="shared" ca="1" si="20"/>
        <v>0</v>
      </c>
      <c r="G215" s="137">
        <f t="shared" ca="1" si="20"/>
        <v>0</v>
      </c>
      <c r="H215" s="137">
        <f t="shared" ca="1" si="20"/>
        <v>0</v>
      </c>
      <c r="I215" s="137">
        <f t="shared" ca="1" si="20"/>
        <v>0</v>
      </c>
      <c r="J215" s="137">
        <f t="shared" ca="1" si="20"/>
        <v>0</v>
      </c>
      <c r="K215" s="137">
        <f t="shared" ca="1" si="20"/>
        <v>0</v>
      </c>
      <c r="L215" s="137">
        <f t="shared" ca="1" si="20"/>
        <v>0</v>
      </c>
      <c r="M215" s="137">
        <f t="shared" ca="1" si="20"/>
        <v>0</v>
      </c>
      <c r="N215" s="146">
        <f t="shared" ca="1" si="20"/>
        <v>0</v>
      </c>
    </row>
    <row r="216" spans="1:14" x14ac:dyDescent="0.25">
      <c r="A216" s="143">
        <v>164</v>
      </c>
      <c r="B216" s="137"/>
      <c r="C216" s="137">
        <f t="shared" ca="1" si="20"/>
        <v>132</v>
      </c>
      <c r="D216" s="137">
        <f t="shared" ca="1" si="20"/>
        <v>139</v>
      </c>
      <c r="E216" s="137">
        <f t="shared" ca="1" si="20"/>
        <v>120</v>
      </c>
      <c r="F216" s="137">
        <f t="shared" ca="1" si="20"/>
        <v>78</v>
      </c>
      <c r="G216" s="137">
        <f t="shared" ca="1" si="20"/>
        <v>61</v>
      </c>
      <c r="H216" s="137">
        <f t="shared" ca="1" si="20"/>
        <v>57</v>
      </c>
      <c r="I216" s="137">
        <f t="shared" ca="1" si="20"/>
        <v>47</v>
      </c>
      <c r="J216" s="137">
        <f t="shared" ca="1" si="20"/>
        <v>39</v>
      </c>
      <c r="K216" s="137">
        <f t="shared" ca="1" si="20"/>
        <v>49</v>
      </c>
      <c r="L216" s="137">
        <f t="shared" ca="1" si="20"/>
        <v>64</v>
      </c>
      <c r="M216" s="137">
        <f t="shared" ca="1" si="20"/>
        <v>71</v>
      </c>
      <c r="N216" s="146">
        <f t="shared" ca="1" si="20"/>
        <v>95</v>
      </c>
    </row>
    <row r="217" spans="1:14" x14ac:dyDescent="0.25">
      <c r="A217" s="143">
        <v>165</v>
      </c>
      <c r="B217" s="137"/>
      <c r="C217" s="137">
        <f t="shared" ca="1" si="20"/>
        <v>0</v>
      </c>
      <c r="D217" s="137">
        <f t="shared" ca="1" si="20"/>
        <v>0</v>
      </c>
      <c r="E217" s="137">
        <f t="shared" ca="1" si="20"/>
        <v>0</v>
      </c>
      <c r="F217" s="137">
        <f t="shared" ca="1" si="20"/>
        <v>0</v>
      </c>
      <c r="G217" s="137">
        <f t="shared" ca="1" si="20"/>
        <v>0</v>
      </c>
      <c r="H217" s="137">
        <f t="shared" ca="1" si="20"/>
        <v>0</v>
      </c>
      <c r="I217" s="137">
        <f t="shared" ca="1" si="20"/>
        <v>0</v>
      </c>
      <c r="J217" s="137">
        <f t="shared" ca="1" si="20"/>
        <v>0</v>
      </c>
      <c r="K217" s="137">
        <f t="shared" ca="1" si="20"/>
        <v>0</v>
      </c>
      <c r="L217" s="137">
        <f t="shared" ca="1" si="20"/>
        <v>0</v>
      </c>
      <c r="M217" s="137">
        <f t="shared" ca="1" si="20"/>
        <v>0</v>
      </c>
      <c r="N217" s="146">
        <f t="shared" ca="1" si="20"/>
        <v>0</v>
      </c>
    </row>
    <row r="218" spans="1:14" x14ac:dyDescent="0.25">
      <c r="A218" s="143">
        <v>166</v>
      </c>
      <c r="B218" s="137"/>
      <c r="C218" s="137">
        <f t="shared" ca="1" si="20"/>
        <v>0</v>
      </c>
      <c r="D218" s="137">
        <f t="shared" ca="1" si="20"/>
        <v>0</v>
      </c>
      <c r="E218" s="137">
        <f t="shared" ca="1" si="20"/>
        <v>0</v>
      </c>
      <c r="F218" s="137">
        <f t="shared" ca="1" si="20"/>
        <v>0</v>
      </c>
      <c r="G218" s="137">
        <f t="shared" ca="1" si="20"/>
        <v>0</v>
      </c>
      <c r="H218" s="137">
        <f t="shared" ca="1" si="20"/>
        <v>0</v>
      </c>
      <c r="I218" s="137">
        <f t="shared" ca="1" si="20"/>
        <v>0</v>
      </c>
      <c r="J218" s="137">
        <f t="shared" ca="1" si="20"/>
        <v>0</v>
      </c>
      <c r="K218" s="137">
        <f t="shared" ca="1" si="20"/>
        <v>0</v>
      </c>
      <c r="L218" s="137">
        <f t="shared" ca="1" si="20"/>
        <v>0</v>
      </c>
      <c r="M218" s="137">
        <f t="shared" ca="1" si="20"/>
        <v>0</v>
      </c>
      <c r="N218" s="146">
        <f t="shared" ca="1" si="20"/>
        <v>0</v>
      </c>
    </row>
    <row r="219" spans="1:14" x14ac:dyDescent="0.25">
      <c r="A219" s="143">
        <v>167</v>
      </c>
      <c r="B219" s="137"/>
      <c r="C219" s="137">
        <f t="shared" ca="1" si="20"/>
        <v>0</v>
      </c>
      <c r="D219" s="137">
        <f t="shared" ca="1" si="20"/>
        <v>0</v>
      </c>
      <c r="E219" s="137">
        <f t="shared" ca="1" si="20"/>
        <v>0</v>
      </c>
      <c r="F219" s="137">
        <f t="shared" ca="1" si="20"/>
        <v>0</v>
      </c>
      <c r="G219" s="137">
        <f t="shared" ca="1" si="20"/>
        <v>0</v>
      </c>
      <c r="H219" s="137">
        <f t="shared" ca="1" si="20"/>
        <v>0</v>
      </c>
      <c r="I219" s="137">
        <f t="shared" ca="1" si="20"/>
        <v>0</v>
      </c>
      <c r="J219" s="137">
        <f t="shared" ca="1" si="20"/>
        <v>0</v>
      </c>
      <c r="K219" s="137">
        <f t="shared" ca="1" si="20"/>
        <v>0</v>
      </c>
      <c r="L219" s="137">
        <f t="shared" ca="1" si="20"/>
        <v>0</v>
      </c>
      <c r="M219" s="137">
        <f t="shared" ca="1" si="20"/>
        <v>0</v>
      </c>
      <c r="N219" s="146">
        <f t="shared" ca="1" si="20"/>
        <v>0</v>
      </c>
    </row>
    <row r="220" spans="1:14" x14ac:dyDescent="0.25">
      <c r="A220" s="143">
        <v>168</v>
      </c>
      <c r="B220" s="137"/>
      <c r="C220" s="137">
        <f t="shared" ca="1" si="20"/>
        <v>3274</v>
      </c>
      <c r="D220" s="137">
        <f t="shared" ca="1" si="20"/>
        <v>3390</v>
      </c>
      <c r="E220" s="137">
        <f t="shared" ca="1" si="20"/>
        <v>3410</v>
      </c>
      <c r="F220" s="137">
        <f t="shared" ca="1" si="20"/>
        <v>2728</v>
      </c>
      <c r="G220" s="137">
        <f t="shared" ca="1" si="20"/>
        <v>1651</v>
      </c>
      <c r="H220" s="137">
        <f t="shared" ca="1" si="20"/>
        <v>1127</v>
      </c>
      <c r="I220" s="137">
        <f t="shared" ca="1" si="20"/>
        <v>962</v>
      </c>
      <c r="J220" s="137">
        <f t="shared" ca="1" si="20"/>
        <v>850</v>
      </c>
      <c r="K220" s="137">
        <f t="shared" ca="1" si="20"/>
        <v>760</v>
      </c>
      <c r="L220" s="137">
        <f t="shared" ca="1" si="20"/>
        <v>836</v>
      </c>
      <c r="M220" s="137">
        <f t="shared" ca="1" si="20"/>
        <v>1358</v>
      </c>
      <c r="N220" s="146">
        <f t="shared" ca="1" si="20"/>
        <v>2433</v>
      </c>
    </row>
    <row r="221" spans="1:14" x14ac:dyDescent="0.25">
      <c r="A221" s="143">
        <v>169</v>
      </c>
      <c r="B221" s="137"/>
      <c r="C221" s="137">
        <f t="shared" ca="1" si="20"/>
        <v>4692</v>
      </c>
      <c r="D221" s="137">
        <f t="shared" ca="1" si="20"/>
        <v>4903</v>
      </c>
      <c r="E221" s="137">
        <f t="shared" ca="1" si="20"/>
        <v>4744</v>
      </c>
      <c r="F221" s="137">
        <f t="shared" ca="1" si="20"/>
        <v>3757</v>
      </c>
      <c r="G221" s="137">
        <f t="shared" ca="1" si="20"/>
        <v>2274</v>
      </c>
      <c r="H221" s="137">
        <f t="shared" ca="1" si="20"/>
        <v>1555</v>
      </c>
      <c r="I221" s="137">
        <f t="shared" ca="1" si="20"/>
        <v>1297</v>
      </c>
      <c r="J221" s="137">
        <f t="shared" ca="1" si="20"/>
        <v>1123</v>
      </c>
      <c r="K221" s="137">
        <f t="shared" ca="1" si="20"/>
        <v>1005</v>
      </c>
      <c r="L221" s="137">
        <f t="shared" ca="1" si="20"/>
        <v>1129</v>
      </c>
      <c r="M221" s="137">
        <f t="shared" ca="1" si="20"/>
        <v>1865</v>
      </c>
      <c r="N221" s="146">
        <f t="shared" ca="1" si="20"/>
        <v>3359</v>
      </c>
    </row>
    <row r="222" spans="1:14" x14ac:dyDescent="0.25">
      <c r="A222" s="143">
        <v>170</v>
      </c>
      <c r="B222" s="137"/>
      <c r="C222" s="137">
        <f t="shared" ca="1" si="20"/>
        <v>0</v>
      </c>
      <c r="D222" s="137">
        <f t="shared" ca="1" si="20"/>
        <v>0</v>
      </c>
      <c r="E222" s="137">
        <f t="shared" ca="1" si="20"/>
        <v>0</v>
      </c>
      <c r="F222" s="137">
        <f t="shared" ca="1" si="20"/>
        <v>0</v>
      </c>
      <c r="G222" s="137">
        <f t="shared" ca="1" si="20"/>
        <v>0</v>
      </c>
      <c r="H222" s="137">
        <f t="shared" ca="1" si="20"/>
        <v>0</v>
      </c>
      <c r="I222" s="137">
        <f t="shared" ca="1" si="20"/>
        <v>0</v>
      </c>
      <c r="J222" s="137">
        <f t="shared" ca="1" si="20"/>
        <v>0</v>
      </c>
      <c r="K222" s="137">
        <f t="shared" ca="1" si="20"/>
        <v>0</v>
      </c>
      <c r="L222" s="137">
        <f t="shared" ca="1" si="20"/>
        <v>0</v>
      </c>
      <c r="M222" s="137">
        <f t="shared" ca="1" si="20"/>
        <v>0</v>
      </c>
      <c r="N222" s="146">
        <f t="shared" ca="1" si="20"/>
        <v>0</v>
      </c>
    </row>
    <row r="223" spans="1:14" x14ac:dyDescent="0.25">
      <c r="A223" s="143">
        <v>171</v>
      </c>
      <c r="B223" s="137"/>
      <c r="C223" s="137">
        <f t="shared" ref="C223:N232" ca="1" si="21">ROUND(INDEX(INDIRECT(IF(C$13="E",$Q$53,$Q$54)),$A223,C$52),0)</f>
        <v>111</v>
      </c>
      <c r="D223" s="137">
        <f t="shared" ca="1" si="21"/>
        <v>143</v>
      </c>
      <c r="E223" s="137">
        <f t="shared" ca="1" si="21"/>
        <v>224</v>
      </c>
      <c r="F223" s="137">
        <f t="shared" ca="1" si="21"/>
        <v>196</v>
      </c>
      <c r="G223" s="137">
        <f t="shared" ca="1" si="21"/>
        <v>66</v>
      </c>
      <c r="H223" s="137">
        <f t="shared" ca="1" si="21"/>
        <v>18</v>
      </c>
      <c r="I223" s="137">
        <f t="shared" ca="1" si="21"/>
        <v>11</v>
      </c>
      <c r="J223" s="137">
        <f t="shared" ca="1" si="21"/>
        <v>14</v>
      </c>
      <c r="K223" s="137">
        <f t="shared" ca="1" si="21"/>
        <v>21</v>
      </c>
      <c r="L223" s="137">
        <f t="shared" ca="1" si="21"/>
        <v>22</v>
      </c>
      <c r="M223" s="137">
        <f t="shared" ca="1" si="21"/>
        <v>37</v>
      </c>
      <c r="N223" s="146">
        <f t="shared" ca="1" si="21"/>
        <v>84</v>
      </c>
    </row>
    <row r="224" spans="1:14" x14ac:dyDescent="0.25">
      <c r="A224" s="143">
        <v>172</v>
      </c>
      <c r="B224" s="137"/>
      <c r="C224" s="137">
        <f t="shared" ca="1" si="21"/>
        <v>4724</v>
      </c>
      <c r="D224" s="137">
        <f t="shared" ca="1" si="21"/>
        <v>5023</v>
      </c>
      <c r="E224" s="137">
        <f t="shared" ca="1" si="21"/>
        <v>5015</v>
      </c>
      <c r="F224" s="137">
        <f t="shared" ca="1" si="21"/>
        <v>4072</v>
      </c>
      <c r="G224" s="137">
        <f t="shared" ca="1" si="21"/>
        <v>2455</v>
      </c>
      <c r="H224" s="137">
        <f t="shared" ca="1" si="21"/>
        <v>1615</v>
      </c>
      <c r="I224" s="137">
        <f t="shared" ca="1" si="21"/>
        <v>1326</v>
      </c>
      <c r="J224" s="137">
        <f t="shared" ca="1" si="21"/>
        <v>1156</v>
      </c>
      <c r="K224" s="137">
        <f t="shared" ca="1" si="21"/>
        <v>1033</v>
      </c>
      <c r="L224" s="137">
        <f t="shared" ca="1" si="21"/>
        <v>1118</v>
      </c>
      <c r="M224" s="137">
        <f t="shared" ca="1" si="21"/>
        <v>1792</v>
      </c>
      <c r="N224" s="146">
        <f t="shared" ca="1" si="21"/>
        <v>3301</v>
      </c>
    </row>
    <row r="225" spans="1:14" x14ac:dyDescent="0.25">
      <c r="A225" s="143">
        <v>173</v>
      </c>
      <c r="B225" s="137"/>
      <c r="C225" s="137">
        <f t="shared" ca="1" si="21"/>
        <v>4720</v>
      </c>
      <c r="D225" s="137">
        <f t="shared" ca="1" si="21"/>
        <v>5041</v>
      </c>
      <c r="E225" s="137">
        <f t="shared" ca="1" si="21"/>
        <v>5059</v>
      </c>
      <c r="F225" s="137">
        <f t="shared" ca="1" si="21"/>
        <v>4145</v>
      </c>
      <c r="G225" s="137">
        <f t="shared" ca="1" si="21"/>
        <v>2508</v>
      </c>
      <c r="H225" s="137">
        <f t="shared" ca="1" si="21"/>
        <v>1636</v>
      </c>
      <c r="I225" s="137">
        <f t="shared" ca="1" si="21"/>
        <v>1339</v>
      </c>
      <c r="J225" s="137">
        <f t="shared" ca="1" si="21"/>
        <v>1168</v>
      </c>
      <c r="K225" s="137">
        <f t="shared" ca="1" si="21"/>
        <v>1044</v>
      </c>
      <c r="L225" s="137">
        <f t="shared" ca="1" si="21"/>
        <v>1119</v>
      </c>
      <c r="M225" s="137">
        <f t="shared" ca="1" si="21"/>
        <v>1769</v>
      </c>
      <c r="N225" s="146">
        <f t="shared" ca="1" si="21"/>
        <v>3279</v>
      </c>
    </row>
    <row r="226" spans="1:14" x14ac:dyDescent="0.25">
      <c r="A226" s="143">
        <v>174</v>
      </c>
      <c r="B226" s="137"/>
      <c r="C226" s="137">
        <f t="shared" ca="1" si="21"/>
        <v>0</v>
      </c>
      <c r="D226" s="137">
        <f t="shared" ca="1" si="21"/>
        <v>0</v>
      </c>
      <c r="E226" s="137">
        <f t="shared" ca="1" si="21"/>
        <v>0</v>
      </c>
      <c r="F226" s="137">
        <f t="shared" ca="1" si="21"/>
        <v>0</v>
      </c>
      <c r="G226" s="137">
        <f t="shared" ca="1" si="21"/>
        <v>0</v>
      </c>
      <c r="H226" s="137">
        <f t="shared" ca="1" si="21"/>
        <v>0</v>
      </c>
      <c r="I226" s="137">
        <f t="shared" ca="1" si="21"/>
        <v>0</v>
      </c>
      <c r="J226" s="137">
        <f t="shared" ca="1" si="21"/>
        <v>0</v>
      </c>
      <c r="K226" s="137">
        <f t="shared" ca="1" si="21"/>
        <v>0</v>
      </c>
      <c r="L226" s="137">
        <f t="shared" ca="1" si="21"/>
        <v>0</v>
      </c>
      <c r="M226" s="137">
        <f t="shared" ca="1" si="21"/>
        <v>0</v>
      </c>
      <c r="N226" s="146">
        <f t="shared" ca="1" si="21"/>
        <v>0</v>
      </c>
    </row>
    <row r="227" spans="1:14" x14ac:dyDescent="0.25">
      <c r="A227" s="143">
        <v>175</v>
      </c>
      <c r="B227" s="137"/>
      <c r="C227" s="137">
        <f t="shared" ca="1" si="21"/>
        <v>4720</v>
      </c>
      <c r="D227" s="137">
        <f t="shared" ca="1" si="21"/>
        <v>5041</v>
      </c>
      <c r="E227" s="137">
        <f t="shared" ca="1" si="21"/>
        <v>5059</v>
      </c>
      <c r="F227" s="137">
        <f t="shared" ca="1" si="21"/>
        <v>4145</v>
      </c>
      <c r="G227" s="137">
        <f t="shared" ca="1" si="21"/>
        <v>2508</v>
      </c>
      <c r="H227" s="137">
        <f t="shared" ca="1" si="21"/>
        <v>1636</v>
      </c>
      <c r="I227" s="137">
        <f t="shared" ca="1" si="21"/>
        <v>1339</v>
      </c>
      <c r="J227" s="137">
        <f t="shared" ca="1" si="21"/>
        <v>1168</v>
      </c>
      <c r="K227" s="137">
        <f t="shared" ca="1" si="21"/>
        <v>1044</v>
      </c>
      <c r="L227" s="137">
        <f t="shared" ca="1" si="21"/>
        <v>1119</v>
      </c>
      <c r="M227" s="137">
        <f t="shared" ca="1" si="21"/>
        <v>1769</v>
      </c>
      <c r="N227" s="146">
        <f t="shared" ca="1" si="21"/>
        <v>3279</v>
      </c>
    </row>
    <row r="228" spans="1:14" x14ac:dyDescent="0.25">
      <c r="A228" s="143">
        <v>176</v>
      </c>
      <c r="B228" s="137"/>
      <c r="C228" s="137">
        <f t="shared" ca="1" si="21"/>
        <v>4720</v>
      </c>
      <c r="D228" s="137">
        <f t="shared" ca="1" si="21"/>
        <v>5041</v>
      </c>
      <c r="E228" s="137">
        <f t="shared" ca="1" si="21"/>
        <v>5059</v>
      </c>
      <c r="F228" s="137">
        <f t="shared" ca="1" si="21"/>
        <v>4145</v>
      </c>
      <c r="G228" s="137">
        <f t="shared" ca="1" si="21"/>
        <v>2508</v>
      </c>
      <c r="H228" s="137">
        <f t="shared" ca="1" si="21"/>
        <v>1636</v>
      </c>
      <c r="I228" s="137">
        <f t="shared" ca="1" si="21"/>
        <v>1339</v>
      </c>
      <c r="J228" s="137">
        <f t="shared" ca="1" si="21"/>
        <v>1168</v>
      </c>
      <c r="K228" s="137">
        <f t="shared" ca="1" si="21"/>
        <v>1044</v>
      </c>
      <c r="L228" s="137">
        <f t="shared" ca="1" si="21"/>
        <v>1119</v>
      </c>
      <c r="M228" s="137">
        <f t="shared" ca="1" si="21"/>
        <v>1769</v>
      </c>
      <c r="N228" s="146">
        <f t="shared" ca="1" si="21"/>
        <v>3279</v>
      </c>
    </row>
    <row r="229" spans="1:14" x14ac:dyDescent="0.25">
      <c r="A229" s="143">
        <v>177</v>
      </c>
      <c r="B229" s="137"/>
      <c r="C229" s="137">
        <f t="shared" ca="1" si="21"/>
        <v>0</v>
      </c>
      <c r="D229" s="137">
        <f t="shared" ca="1" si="21"/>
        <v>0</v>
      </c>
      <c r="E229" s="137">
        <f t="shared" ca="1" si="21"/>
        <v>0</v>
      </c>
      <c r="F229" s="137">
        <f t="shared" ca="1" si="21"/>
        <v>0</v>
      </c>
      <c r="G229" s="137">
        <f t="shared" ca="1" si="21"/>
        <v>0</v>
      </c>
      <c r="H229" s="137">
        <f t="shared" ca="1" si="21"/>
        <v>0</v>
      </c>
      <c r="I229" s="137">
        <f t="shared" ca="1" si="21"/>
        <v>0</v>
      </c>
      <c r="J229" s="137">
        <f t="shared" ca="1" si="21"/>
        <v>0</v>
      </c>
      <c r="K229" s="137">
        <f t="shared" ca="1" si="21"/>
        <v>0</v>
      </c>
      <c r="L229" s="137">
        <f t="shared" ca="1" si="21"/>
        <v>0</v>
      </c>
      <c r="M229" s="137">
        <f t="shared" ca="1" si="21"/>
        <v>0</v>
      </c>
      <c r="N229" s="146">
        <f t="shared" ca="1" si="21"/>
        <v>0</v>
      </c>
    </row>
    <row r="230" spans="1:14" x14ac:dyDescent="0.25">
      <c r="A230" s="143">
        <v>178</v>
      </c>
      <c r="B230" s="137"/>
      <c r="C230" s="137">
        <f t="shared" ca="1" si="21"/>
        <v>4718</v>
      </c>
      <c r="D230" s="137">
        <f t="shared" ca="1" si="21"/>
        <v>5041</v>
      </c>
      <c r="E230" s="137">
        <f t="shared" ca="1" si="21"/>
        <v>5059</v>
      </c>
      <c r="F230" s="137">
        <f t="shared" ca="1" si="21"/>
        <v>4144</v>
      </c>
      <c r="G230" s="137">
        <f t="shared" ca="1" si="21"/>
        <v>2508</v>
      </c>
      <c r="H230" s="137">
        <f t="shared" ca="1" si="21"/>
        <v>1636</v>
      </c>
      <c r="I230" s="137">
        <f t="shared" ca="1" si="21"/>
        <v>1339</v>
      </c>
      <c r="J230" s="137">
        <f t="shared" ca="1" si="21"/>
        <v>1168</v>
      </c>
      <c r="K230" s="137">
        <f t="shared" ca="1" si="21"/>
        <v>1044</v>
      </c>
      <c r="L230" s="137">
        <f t="shared" ca="1" si="21"/>
        <v>1119</v>
      </c>
      <c r="M230" s="137">
        <f t="shared" ca="1" si="21"/>
        <v>1769</v>
      </c>
      <c r="N230" s="146">
        <f t="shared" ca="1" si="21"/>
        <v>3277</v>
      </c>
    </row>
    <row r="231" spans="1:14" x14ac:dyDescent="0.25">
      <c r="A231" s="143">
        <v>179</v>
      </c>
      <c r="B231" s="137"/>
      <c r="C231" s="137">
        <f t="shared" ca="1" si="21"/>
        <v>0</v>
      </c>
      <c r="D231" s="137">
        <f t="shared" ca="1" si="21"/>
        <v>0</v>
      </c>
      <c r="E231" s="137">
        <f t="shared" ca="1" si="21"/>
        <v>0</v>
      </c>
      <c r="F231" s="137">
        <f t="shared" ca="1" si="21"/>
        <v>0</v>
      </c>
      <c r="G231" s="137">
        <f t="shared" ca="1" si="21"/>
        <v>0</v>
      </c>
      <c r="H231" s="137">
        <f t="shared" ca="1" si="21"/>
        <v>0</v>
      </c>
      <c r="I231" s="137">
        <f t="shared" ca="1" si="21"/>
        <v>0</v>
      </c>
      <c r="J231" s="137">
        <f t="shared" ca="1" si="21"/>
        <v>0</v>
      </c>
      <c r="K231" s="137">
        <f t="shared" ca="1" si="21"/>
        <v>0</v>
      </c>
      <c r="L231" s="137">
        <f t="shared" ca="1" si="21"/>
        <v>0</v>
      </c>
      <c r="M231" s="137">
        <f t="shared" ca="1" si="21"/>
        <v>0</v>
      </c>
      <c r="N231" s="146">
        <f t="shared" ca="1" si="21"/>
        <v>0</v>
      </c>
    </row>
    <row r="232" spans="1:14" x14ac:dyDescent="0.25">
      <c r="A232" s="143">
        <v>180</v>
      </c>
      <c r="B232" s="137"/>
      <c r="C232" s="137">
        <f t="shared" ca="1" si="21"/>
        <v>0</v>
      </c>
      <c r="D232" s="137">
        <f t="shared" ca="1" si="21"/>
        <v>0</v>
      </c>
      <c r="E232" s="137">
        <f t="shared" ca="1" si="21"/>
        <v>0</v>
      </c>
      <c r="F232" s="137">
        <f t="shared" ca="1" si="21"/>
        <v>0</v>
      </c>
      <c r="G232" s="137">
        <f t="shared" ca="1" si="21"/>
        <v>0</v>
      </c>
      <c r="H232" s="137">
        <f t="shared" ca="1" si="21"/>
        <v>0</v>
      </c>
      <c r="I232" s="137">
        <f t="shared" ca="1" si="21"/>
        <v>0</v>
      </c>
      <c r="J232" s="137">
        <f t="shared" ca="1" si="21"/>
        <v>0</v>
      </c>
      <c r="K232" s="137">
        <f t="shared" ca="1" si="21"/>
        <v>0</v>
      </c>
      <c r="L232" s="137">
        <f t="shared" ca="1" si="21"/>
        <v>0</v>
      </c>
      <c r="M232" s="137">
        <f t="shared" ca="1" si="21"/>
        <v>0</v>
      </c>
      <c r="N232" s="146">
        <f t="shared" ca="1" si="21"/>
        <v>0</v>
      </c>
    </row>
    <row r="233" spans="1:14" x14ac:dyDescent="0.25">
      <c r="A233" s="143">
        <v>181</v>
      </c>
      <c r="B233" s="137"/>
      <c r="C233" s="137">
        <f t="shared" ref="C233:N242" ca="1" si="22">ROUND(INDEX(INDIRECT(IF(C$13="E",$Q$53,$Q$54)),$A233,C$52),0)</f>
        <v>0</v>
      </c>
      <c r="D233" s="137">
        <f t="shared" ca="1" si="22"/>
        <v>0</v>
      </c>
      <c r="E233" s="137">
        <f t="shared" ca="1" si="22"/>
        <v>0</v>
      </c>
      <c r="F233" s="137">
        <f t="shared" ca="1" si="22"/>
        <v>0</v>
      </c>
      <c r="G233" s="137">
        <f t="shared" ca="1" si="22"/>
        <v>0</v>
      </c>
      <c r="H233" s="137">
        <f t="shared" ca="1" si="22"/>
        <v>0</v>
      </c>
      <c r="I233" s="137">
        <f t="shared" ca="1" si="22"/>
        <v>0</v>
      </c>
      <c r="J233" s="137">
        <f t="shared" ca="1" si="22"/>
        <v>0</v>
      </c>
      <c r="K233" s="137">
        <f t="shared" ca="1" si="22"/>
        <v>0</v>
      </c>
      <c r="L233" s="137">
        <f t="shared" ca="1" si="22"/>
        <v>0</v>
      </c>
      <c r="M233" s="137">
        <f t="shared" ca="1" si="22"/>
        <v>0</v>
      </c>
      <c r="N233" s="146">
        <f t="shared" ca="1" si="22"/>
        <v>0</v>
      </c>
    </row>
    <row r="234" spans="1:14" x14ac:dyDescent="0.25">
      <c r="A234" s="143">
        <v>182</v>
      </c>
      <c r="B234" s="137"/>
      <c r="C234" s="137">
        <f t="shared" ca="1" si="22"/>
        <v>0</v>
      </c>
      <c r="D234" s="137">
        <f t="shared" ca="1" si="22"/>
        <v>0</v>
      </c>
      <c r="E234" s="137">
        <f t="shared" ca="1" si="22"/>
        <v>0</v>
      </c>
      <c r="F234" s="137">
        <f t="shared" ca="1" si="22"/>
        <v>0</v>
      </c>
      <c r="G234" s="137">
        <f t="shared" ca="1" si="22"/>
        <v>0</v>
      </c>
      <c r="H234" s="137">
        <f t="shared" ca="1" si="22"/>
        <v>0</v>
      </c>
      <c r="I234" s="137">
        <f t="shared" ca="1" si="22"/>
        <v>0</v>
      </c>
      <c r="J234" s="137">
        <f t="shared" ca="1" si="22"/>
        <v>0</v>
      </c>
      <c r="K234" s="137">
        <f t="shared" ca="1" si="22"/>
        <v>0</v>
      </c>
      <c r="L234" s="137">
        <f t="shared" ca="1" si="22"/>
        <v>0</v>
      </c>
      <c r="M234" s="137">
        <f t="shared" ca="1" si="22"/>
        <v>0</v>
      </c>
      <c r="N234" s="146">
        <f t="shared" ca="1" si="22"/>
        <v>0</v>
      </c>
    </row>
    <row r="235" spans="1:14" x14ac:dyDescent="0.25">
      <c r="A235" s="143">
        <v>183</v>
      </c>
      <c r="B235" s="137"/>
      <c r="C235" s="137">
        <f t="shared" ca="1" si="22"/>
        <v>168</v>
      </c>
      <c r="D235" s="137">
        <f t="shared" ca="1" si="22"/>
        <v>128</v>
      </c>
      <c r="E235" s="137">
        <f t="shared" ca="1" si="22"/>
        <v>115</v>
      </c>
      <c r="F235" s="137">
        <f t="shared" ca="1" si="22"/>
        <v>83</v>
      </c>
      <c r="G235" s="137">
        <f t="shared" ca="1" si="22"/>
        <v>62</v>
      </c>
      <c r="H235" s="137">
        <f t="shared" ca="1" si="22"/>
        <v>53</v>
      </c>
      <c r="I235" s="137">
        <f t="shared" ca="1" si="22"/>
        <v>47</v>
      </c>
      <c r="J235" s="137">
        <f t="shared" ca="1" si="22"/>
        <v>42</v>
      </c>
      <c r="K235" s="137">
        <f t="shared" ca="1" si="22"/>
        <v>42</v>
      </c>
      <c r="L235" s="137">
        <f t="shared" ca="1" si="22"/>
        <v>53</v>
      </c>
      <c r="M235" s="137">
        <f t="shared" ca="1" si="22"/>
        <v>86</v>
      </c>
      <c r="N235" s="146">
        <f t="shared" ca="1" si="22"/>
        <v>143</v>
      </c>
    </row>
    <row r="236" spans="1:14" x14ac:dyDescent="0.25">
      <c r="A236" s="143">
        <v>184</v>
      </c>
      <c r="B236" s="137"/>
      <c r="C236" s="137">
        <f t="shared" ca="1" si="22"/>
        <v>0</v>
      </c>
      <c r="D236" s="137">
        <f t="shared" ca="1" si="22"/>
        <v>0</v>
      </c>
      <c r="E236" s="137">
        <f t="shared" ca="1" si="22"/>
        <v>0</v>
      </c>
      <c r="F236" s="137">
        <f t="shared" ca="1" si="22"/>
        <v>0</v>
      </c>
      <c r="G236" s="137">
        <f t="shared" ca="1" si="22"/>
        <v>0</v>
      </c>
      <c r="H236" s="137">
        <f t="shared" ca="1" si="22"/>
        <v>0</v>
      </c>
      <c r="I236" s="137">
        <f t="shared" ca="1" si="22"/>
        <v>0</v>
      </c>
      <c r="J236" s="137">
        <f t="shared" ca="1" si="22"/>
        <v>0</v>
      </c>
      <c r="K236" s="137">
        <f t="shared" ca="1" si="22"/>
        <v>0</v>
      </c>
      <c r="L236" s="137">
        <f t="shared" ca="1" si="22"/>
        <v>0</v>
      </c>
      <c r="M236" s="137">
        <f t="shared" ca="1" si="22"/>
        <v>0</v>
      </c>
      <c r="N236" s="146">
        <f t="shared" ca="1" si="22"/>
        <v>0</v>
      </c>
    </row>
    <row r="237" spans="1:14" x14ac:dyDescent="0.25">
      <c r="A237" s="143">
        <v>185</v>
      </c>
      <c r="B237" s="137"/>
      <c r="C237" s="137">
        <f t="shared" ca="1" si="22"/>
        <v>0</v>
      </c>
      <c r="D237" s="137">
        <f t="shared" ca="1" si="22"/>
        <v>0</v>
      </c>
      <c r="E237" s="137">
        <f t="shared" ca="1" si="22"/>
        <v>0</v>
      </c>
      <c r="F237" s="137">
        <f t="shared" ca="1" si="22"/>
        <v>0</v>
      </c>
      <c r="G237" s="137">
        <f t="shared" ca="1" si="22"/>
        <v>0</v>
      </c>
      <c r="H237" s="137">
        <f t="shared" ca="1" si="22"/>
        <v>0</v>
      </c>
      <c r="I237" s="137">
        <f t="shared" ca="1" si="22"/>
        <v>0</v>
      </c>
      <c r="J237" s="137">
        <f t="shared" ca="1" si="22"/>
        <v>0</v>
      </c>
      <c r="K237" s="137">
        <f t="shared" ca="1" si="22"/>
        <v>0</v>
      </c>
      <c r="L237" s="137">
        <f t="shared" ca="1" si="22"/>
        <v>0</v>
      </c>
      <c r="M237" s="137">
        <f t="shared" ca="1" si="22"/>
        <v>0</v>
      </c>
      <c r="N237" s="146">
        <f t="shared" ca="1" si="22"/>
        <v>0</v>
      </c>
    </row>
    <row r="238" spans="1:14" x14ac:dyDescent="0.25">
      <c r="A238" s="143">
        <v>186</v>
      </c>
      <c r="B238" s="137"/>
      <c r="C238" s="137">
        <f t="shared" ca="1" si="22"/>
        <v>0</v>
      </c>
      <c r="D238" s="137">
        <f t="shared" ca="1" si="22"/>
        <v>0</v>
      </c>
      <c r="E238" s="137">
        <f t="shared" ca="1" si="22"/>
        <v>0</v>
      </c>
      <c r="F238" s="137">
        <f t="shared" ca="1" si="22"/>
        <v>0</v>
      </c>
      <c r="G238" s="137">
        <f t="shared" ca="1" si="22"/>
        <v>0</v>
      </c>
      <c r="H238" s="137">
        <f t="shared" ca="1" si="22"/>
        <v>0</v>
      </c>
      <c r="I238" s="137">
        <f t="shared" ca="1" si="22"/>
        <v>0</v>
      </c>
      <c r="J238" s="137">
        <f t="shared" ca="1" si="22"/>
        <v>0</v>
      </c>
      <c r="K238" s="137">
        <f t="shared" ca="1" si="22"/>
        <v>0</v>
      </c>
      <c r="L238" s="137">
        <f t="shared" ca="1" si="22"/>
        <v>0</v>
      </c>
      <c r="M238" s="137">
        <f t="shared" ca="1" si="22"/>
        <v>0</v>
      </c>
      <c r="N238" s="146">
        <f t="shared" ca="1" si="22"/>
        <v>0</v>
      </c>
    </row>
    <row r="239" spans="1:14" x14ac:dyDescent="0.25">
      <c r="A239" s="143">
        <v>187</v>
      </c>
      <c r="B239" s="137"/>
      <c r="C239" s="137">
        <f t="shared" ca="1" si="22"/>
        <v>122</v>
      </c>
      <c r="D239" s="137">
        <f t="shared" ca="1" si="22"/>
        <v>123</v>
      </c>
      <c r="E239" s="137">
        <f t="shared" ca="1" si="22"/>
        <v>122</v>
      </c>
      <c r="F239" s="137">
        <f t="shared" ca="1" si="22"/>
        <v>101</v>
      </c>
      <c r="G239" s="137">
        <f t="shared" ca="1" si="22"/>
        <v>87</v>
      </c>
      <c r="H239" s="137">
        <f t="shared" ca="1" si="22"/>
        <v>77</v>
      </c>
      <c r="I239" s="137">
        <f t="shared" ca="1" si="22"/>
        <v>68</v>
      </c>
      <c r="J239" s="137">
        <f t="shared" ca="1" si="22"/>
        <v>62</v>
      </c>
      <c r="K239" s="137">
        <f t="shared" ca="1" si="22"/>
        <v>61</v>
      </c>
      <c r="L239" s="137">
        <f t="shared" ca="1" si="22"/>
        <v>68</v>
      </c>
      <c r="M239" s="137">
        <f t="shared" ca="1" si="22"/>
        <v>86</v>
      </c>
      <c r="N239" s="146">
        <f t="shared" ca="1" si="22"/>
        <v>112</v>
      </c>
    </row>
    <row r="240" spans="1:14" x14ac:dyDescent="0.25">
      <c r="A240" s="143">
        <v>188</v>
      </c>
      <c r="B240" s="137"/>
      <c r="C240" s="137">
        <f t="shared" ca="1" si="22"/>
        <v>826</v>
      </c>
      <c r="D240" s="137">
        <f t="shared" ca="1" si="22"/>
        <v>606</v>
      </c>
      <c r="E240" s="137">
        <f t="shared" ca="1" si="22"/>
        <v>501</v>
      </c>
      <c r="F240" s="137">
        <f t="shared" ca="1" si="22"/>
        <v>344</v>
      </c>
      <c r="G240" s="137">
        <f t="shared" ca="1" si="22"/>
        <v>209</v>
      </c>
      <c r="H240" s="137">
        <f t="shared" ca="1" si="22"/>
        <v>166</v>
      </c>
      <c r="I240" s="137">
        <f t="shared" ca="1" si="22"/>
        <v>140</v>
      </c>
      <c r="J240" s="137">
        <f t="shared" ca="1" si="22"/>
        <v>118</v>
      </c>
      <c r="K240" s="137">
        <f t="shared" ca="1" si="22"/>
        <v>108</v>
      </c>
      <c r="L240" s="137">
        <f t="shared" ca="1" si="22"/>
        <v>173</v>
      </c>
      <c r="M240" s="137">
        <f t="shared" ca="1" si="22"/>
        <v>474</v>
      </c>
      <c r="N240" s="146">
        <f t="shared" ca="1" si="22"/>
        <v>892</v>
      </c>
    </row>
    <row r="241" spans="1:14" x14ac:dyDescent="0.25">
      <c r="A241" s="143">
        <v>189</v>
      </c>
      <c r="B241" s="137"/>
      <c r="C241" s="137">
        <f t="shared" ca="1" si="22"/>
        <v>0</v>
      </c>
      <c r="D241" s="137">
        <f t="shared" ca="1" si="22"/>
        <v>0</v>
      </c>
      <c r="E241" s="137">
        <f t="shared" ca="1" si="22"/>
        <v>0</v>
      </c>
      <c r="F241" s="137">
        <f t="shared" ca="1" si="22"/>
        <v>0</v>
      </c>
      <c r="G241" s="137">
        <f t="shared" ca="1" si="22"/>
        <v>0</v>
      </c>
      <c r="H241" s="137">
        <f t="shared" ca="1" si="22"/>
        <v>0</v>
      </c>
      <c r="I241" s="137">
        <f t="shared" ca="1" si="22"/>
        <v>0</v>
      </c>
      <c r="J241" s="137">
        <f t="shared" ca="1" si="22"/>
        <v>0</v>
      </c>
      <c r="K241" s="137">
        <f t="shared" ca="1" si="22"/>
        <v>0</v>
      </c>
      <c r="L241" s="137">
        <f t="shared" ca="1" si="22"/>
        <v>0</v>
      </c>
      <c r="M241" s="137">
        <f t="shared" ca="1" si="22"/>
        <v>0</v>
      </c>
      <c r="N241" s="146">
        <f t="shared" ca="1" si="22"/>
        <v>0</v>
      </c>
    </row>
    <row r="242" spans="1:14" x14ac:dyDescent="0.25">
      <c r="A242" s="143">
        <v>190</v>
      </c>
      <c r="B242" s="137"/>
      <c r="C242" s="137">
        <f t="shared" ca="1" si="22"/>
        <v>654</v>
      </c>
      <c r="D242" s="137">
        <f t="shared" ca="1" si="22"/>
        <v>726</v>
      </c>
      <c r="E242" s="137">
        <f t="shared" ca="1" si="22"/>
        <v>770</v>
      </c>
      <c r="F242" s="137">
        <f t="shared" ca="1" si="22"/>
        <v>680</v>
      </c>
      <c r="G242" s="137">
        <f t="shared" ca="1" si="22"/>
        <v>440</v>
      </c>
      <c r="H242" s="137">
        <f t="shared" ca="1" si="22"/>
        <v>305</v>
      </c>
      <c r="I242" s="137">
        <f t="shared" ca="1" si="22"/>
        <v>263</v>
      </c>
      <c r="J242" s="137">
        <f t="shared" ca="1" si="22"/>
        <v>241</v>
      </c>
      <c r="K242" s="137">
        <f t="shared" ca="1" si="22"/>
        <v>236</v>
      </c>
      <c r="L242" s="137">
        <f t="shared" ca="1" si="22"/>
        <v>288</v>
      </c>
      <c r="M242" s="137">
        <f t="shared" ca="1" si="22"/>
        <v>400</v>
      </c>
      <c r="N242" s="146">
        <f t="shared" ca="1" si="22"/>
        <v>533</v>
      </c>
    </row>
    <row r="243" spans="1:14" x14ac:dyDescent="0.25">
      <c r="A243" s="143">
        <v>191</v>
      </c>
      <c r="B243" s="137"/>
      <c r="C243" s="137">
        <f t="shared" ref="C243:N252" ca="1" si="23">ROUND(INDEX(INDIRECT(IF(C$13="E",$Q$53,$Q$54)),$A243,C$52),0)</f>
        <v>1600</v>
      </c>
      <c r="D243" s="137">
        <f t="shared" ca="1" si="23"/>
        <v>1810</v>
      </c>
      <c r="E243" s="137">
        <f t="shared" ca="1" si="23"/>
        <v>1675</v>
      </c>
      <c r="F243" s="137">
        <f t="shared" ca="1" si="23"/>
        <v>1187</v>
      </c>
      <c r="G243" s="137">
        <f t="shared" ca="1" si="23"/>
        <v>632</v>
      </c>
      <c r="H243" s="137">
        <f t="shared" ca="1" si="23"/>
        <v>439</v>
      </c>
      <c r="I243" s="137">
        <f t="shared" ca="1" si="23"/>
        <v>333</v>
      </c>
      <c r="J243" s="137">
        <f t="shared" ca="1" si="23"/>
        <v>260</v>
      </c>
      <c r="K243" s="137">
        <f t="shared" ca="1" si="23"/>
        <v>246</v>
      </c>
      <c r="L243" s="137">
        <f t="shared" ca="1" si="23"/>
        <v>359</v>
      </c>
      <c r="M243" s="137">
        <f t="shared" ca="1" si="23"/>
        <v>644</v>
      </c>
      <c r="N243" s="146">
        <f t="shared" ca="1" si="23"/>
        <v>1186</v>
      </c>
    </row>
    <row r="244" spans="1:14" x14ac:dyDescent="0.25">
      <c r="A244" s="143">
        <v>192</v>
      </c>
      <c r="B244" s="137"/>
      <c r="C244" s="137">
        <f t="shared" ca="1" si="23"/>
        <v>0</v>
      </c>
      <c r="D244" s="137">
        <f t="shared" ca="1" si="23"/>
        <v>0</v>
      </c>
      <c r="E244" s="137">
        <f t="shared" ca="1" si="23"/>
        <v>0</v>
      </c>
      <c r="F244" s="137">
        <f t="shared" ca="1" si="23"/>
        <v>0</v>
      </c>
      <c r="G244" s="137">
        <f t="shared" ca="1" si="23"/>
        <v>0</v>
      </c>
      <c r="H244" s="137">
        <f t="shared" ca="1" si="23"/>
        <v>0</v>
      </c>
      <c r="I244" s="137">
        <f t="shared" ca="1" si="23"/>
        <v>0</v>
      </c>
      <c r="J244" s="137">
        <f t="shared" ca="1" si="23"/>
        <v>0</v>
      </c>
      <c r="K244" s="137">
        <f t="shared" ca="1" si="23"/>
        <v>0</v>
      </c>
      <c r="L244" s="137">
        <f t="shared" ca="1" si="23"/>
        <v>0</v>
      </c>
      <c r="M244" s="137">
        <f t="shared" ca="1" si="23"/>
        <v>0</v>
      </c>
      <c r="N244" s="146">
        <f t="shared" ca="1" si="23"/>
        <v>0</v>
      </c>
    </row>
    <row r="245" spans="1:14" x14ac:dyDescent="0.25">
      <c r="A245" s="143">
        <v>193</v>
      </c>
      <c r="B245" s="137"/>
      <c r="C245" s="137">
        <f t="shared" ca="1" si="23"/>
        <v>0</v>
      </c>
      <c r="D245" s="137">
        <f t="shared" ca="1" si="23"/>
        <v>0</v>
      </c>
      <c r="E245" s="137">
        <f t="shared" ca="1" si="23"/>
        <v>0</v>
      </c>
      <c r="F245" s="137">
        <f t="shared" ca="1" si="23"/>
        <v>0</v>
      </c>
      <c r="G245" s="137">
        <f t="shared" ca="1" si="23"/>
        <v>0</v>
      </c>
      <c r="H245" s="137">
        <f t="shared" ca="1" si="23"/>
        <v>0</v>
      </c>
      <c r="I245" s="137">
        <f t="shared" ca="1" si="23"/>
        <v>0</v>
      </c>
      <c r="J245" s="137">
        <f t="shared" ca="1" si="23"/>
        <v>0</v>
      </c>
      <c r="K245" s="137">
        <f t="shared" ca="1" si="23"/>
        <v>0</v>
      </c>
      <c r="L245" s="137">
        <f t="shared" ca="1" si="23"/>
        <v>0</v>
      </c>
      <c r="M245" s="137">
        <f t="shared" ca="1" si="23"/>
        <v>0</v>
      </c>
      <c r="N245" s="146">
        <f t="shared" ca="1" si="23"/>
        <v>0</v>
      </c>
    </row>
    <row r="246" spans="1:14" x14ac:dyDescent="0.25">
      <c r="A246" s="143">
        <v>194</v>
      </c>
      <c r="B246" s="137"/>
      <c r="C246" s="137">
        <f t="shared" ca="1" si="23"/>
        <v>0</v>
      </c>
      <c r="D246" s="137">
        <f t="shared" ca="1" si="23"/>
        <v>0</v>
      </c>
      <c r="E246" s="137">
        <f t="shared" ca="1" si="23"/>
        <v>0</v>
      </c>
      <c r="F246" s="137">
        <f t="shared" ca="1" si="23"/>
        <v>0</v>
      </c>
      <c r="G246" s="137">
        <f t="shared" ca="1" si="23"/>
        <v>0</v>
      </c>
      <c r="H246" s="137">
        <f t="shared" ca="1" si="23"/>
        <v>0</v>
      </c>
      <c r="I246" s="137">
        <f t="shared" ca="1" si="23"/>
        <v>0</v>
      </c>
      <c r="J246" s="137">
        <f t="shared" ca="1" si="23"/>
        <v>0</v>
      </c>
      <c r="K246" s="137">
        <f t="shared" ca="1" si="23"/>
        <v>0</v>
      </c>
      <c r="L246" s="137">
        <f t="shared" ca="1" si="23"/>
        <v>0</v>
      </c>
      <c r="M246" s="137">
        <f t="shared" ca="1" si="23"/>
        <v>0</v>
      </c>
      <c r="N246" s="146">
        <f t="shared" ca="1" si="23"/>
        <v>0</v>
      </c>
    </row>
    <row r="247" spans="1:14" x14ac:dyDescent="0.25">
      <c r="A247" s="143">
        <v>195</v>
      </c>
      <c r="B247" s="137"/>
      <c r="C247" s="137">
        <f t="shared" ca="1" si="23"/>
        <v>0</v>
      </c>
      <c r="D247" s="137">
        <f t="shared" ca="1" si="23"/>
        <v>0</v>
      </c>
      <c r="E247" s="137">
        <f t="shared" ca="1" si="23"/>
        <v>0</v>
      </c>
      <c r="F247" s="137">
        <f t="shared" ca="1" si="23"/>
        <v>0</v>
      </c>
      <c r="G247" s="137">
        <f t="shared" ca="1" si="23"/>
        <v>0</v>
      </c>
      <c r="H247" s="137">
        <f t="shared" ca="1" si="23"/>
        <v>0</v>
      </c>
      <c r="I247" s="137">
        <f t="shared" ca="1" si="23"/>
        <v>0</v>
      </c>
      <c r="J247" s="137">
        <f t="shared" ca="1" si="23"/>
        <v>0</v>
      </c>
      <c r="K247" s="137">
        <f t="shared" ca="1" si="23"/>
        <v>0</v>
      </c>
      <c r="L247" s="137">
        <f t="shared" ca="1" si="23"/>
        <v>0</v>
      </c>
      <c r="M247" s="137">
        <f t="shared" ca="1" si="23"/>
        <v>0</v>
      </c>
      <c r="N247" s="146">
        <f t="shared" ca="1" si="23"/>
        <v>0</v>
      </c>
    </row>
    <row r="248" spans="1:14" x14ac:dyDescent="0.25">
      <c r="A248" s="143">
        <v>196</v>
      </c>
      <c r="B248" s="137"/>
      <c r="C248" s="137">
        <f t="shared" ca="1" si="23"/>
        <v>63</v>
      </c>
      <c r="D248" s="137">
        <f t="shared" ca="1" si="23"/>
        <v>47</v>
      </c>
      <c r="E248" s="137">
        <f t="shared" ca="1" si="23"/>
        <v>46</v>
      </c>
      <c r="F248" s="137">
        <f t="shared" ca="1" si="23"/>
        <v>37</v>
      </c>
      <c r="G248" s="137">
        <f t="shared" ca="1" si="23"/>
        <v>26</v>
      </c>
      <c r="H248" s="137">
        <f t="shared" ca="1" si="23"/>
        <v>20</v>
      </c>
      <c r="I248" s="137">
        <f t="shared" ca="1" si="23"/>
        <v>18</v>
      </c>
      <c r="J248" s="137">
        <f t="shared" ca="1" si="23"/>
        <v>15</v>
      </c>
      <c r="K248" s="137">
        <f t="shared" ca="1" si="23"/>
        <v>15</v>
      </c>
      <c r="L248" s="137">
        <f t="shared" ca="1" si="23"/>
        <v>20</v>
      </c>
      <c r="M248" s="137">
        <f t="shared" ca="1" si="23"/>
        <v>38</v>
      </c>
      <c r="N248" s="146">
        <f t="shared" ca="1" si="23"/>
        <v>58</v>
      </c>
    </row>
    <row r="249" spans="1:14" x14ac:dyDescent="0.25">
      <c r="A249" s="143">
        <v>197</v>
      </c>
      <c r="B249" s="137"/>
      <c r="C249" s="137">
        <f t="shared" ca="1" si="23"/>
        <v>65</v>
      </c>
      <c r="D249" s="137">
        <f t="shared" ca="1" si="23"/>
        <v>64</v>
      </c>
      <c r="E249" s="137">
        <f t="shared" ca="1" si="23"/>
        <v>58</v>
      </c>
      <c r="F249" s="137">
        <f t="shared" ca="1" si="23"/>
        <v>43</v>
      </c>
      <c r="G249" s="137">
        <f t="shared" ca="1" si="23"/>
        <v>33</v>
      </c>
      <c r="H249" s="137">
        <f t="shared" ca="1" si="23"/>
        <v>29</v>
      </c>
      <c r="I249" s="137">
        <f t="shared" ca="1" si="23"/>
        <v>25</v>
      </c>
      <c r="J249" s="137">
        <f t="shared" ca="1" si="23"/>
        <v>22</v>
      </c>
      <c r="K249" s="137">
        <f t="shared" ca="1" si="23"/>
        <v>22</v>
      </c>
      <c r="L249" s="137">
        <f t="shared" ca="1" si="23"/>
        <v>25</v>
      </c>
      <c r="M249" s="137">
        <f t="shared" ca="1" si="23"/>
        <v>34</v>
      </c>
      <c r="N249" s="146">
        <f t="shared" ca="1" si="23"/>
        <v>49</v>
      </c>
    </row>
    <row r="250" spans="1:14" x14ac:dyDescent="0.25">
      <c r="A250" s="143">
        <v>198</v>
      </c>
      <c r="B250" s="137"/>
      <c r="C250" s="137">
        <f t="shared" ca="1" si="23"/>
        <v>129</v>
      </c>
      <c r="D250" s="137">
        <f t="shared" ca="1" si="23"/>
        <v>125</v>
      </c>
      <c r="E250" s="137">
        <f t="shared" ca="1" si="23"/>
        <v>114</v>
      </c>
      <c r="F250" s="137">
        <f t="shared" ca="1" si="23"/>
        <v>84</v>
      </c>
      <c r="G250" s="137">
        <f t="shared" ca="1" si="23"/>
        <v>65</v>
      </c>
      <c r="H250" s="137">
        <f t="shared" ca="1" si="23"/>
        <v>56</v>
      </c>
      <c r="I250" s="137">
        <f t="shared" ca="1" si="23"/>
        <v>49</v>
      </c>
      <c r="J250" s="137">
        <f t="shared" ca="1" si="23"/>
        <v>44</v>
      </c>
      <c r="K250" s="137">
        <f t="shared" ca="1" si="23"/>
        <v>44</v>
      </c>
      <c r="L250" s="137">
        <f t="shared" ca="1" si="23"/>
        <v>51</v>
      </c>
      <c r="M250" s="137">
        <f t="shared" ca="1" si="23"/>
        <v>70</v>
      </c>
      <c r="N250" s="146">
        <f t="shared" ca="1" si="23"/>
        <v>102</v>
      </c>
    </row>
    <row r="251" spans="1:14" x14ac:dyDescent="0.25">
      <c r="A251" s="143">
        <v>199</v>
      </c>
      <c r="B251" s="137"/>
      <c r="C251" s="137">
        <f t="shared" ca="1" si="23"/>
        <v>1139</v>
      </c>
      <c r="D251" s="137">
        <f t="shared" ca="1" si="23"/>
        <v>1143</v>
      </c>
      <c r="E251" s="137">
        <f t="shared" ca="1" si="23"/>
        <v>1073</v>
      </c>
      <c r="F251" s="137">
        <f t="shared" ca="1" si="23"/>
        <v>780</v>
      </c>
      <c r="G251" s="137">
        <f t="shared" ca="1" si="23"/>
        <v>551</v>
      </c>
      <c r="H251" s="137">
        <f t="shared" ca="1" si="23"/>
        <v>461</v>
      </c>
      <c r="I251" s="137">
        <f t="shared" ca="1" si="23"/>
        <v>389</v>
      </c>
      <c r="J251" s="137">
        <f t="shared" ca="1" si="23"/>
        <v>332</v>
      </c>
      <c r="K251" s="137">
        <f t="shared" ca="1" si="23"/>
        <v>338</v>
      </c>
      <c r="L251" s="137">
        <f t="shared" ca="1" si="23"/>
        <v>402</v>
      </c>
      <c r="M251" s="137">
        <f t="shared" ca="1" si="23"/>
        <v>546</v>
      </c>
      <c r="N251" s="146">
        <f t="shared" ca="1" si="23"/>
        <v>822</v>
      </c>
    </row>
    <row r="252" spans="1:14" x14ac:dyDescent="0.25">
      <c r="A252" s="143">
        <v>200</v>
      </c>
      <c r="B252" s="137"/>
      <c r="C252" s="137">
        <f t="shared" ca="1" si="23"/>
        <v>0</v>
      </c>
      <c r="D252" s="137">
        <f t="shared" ca="1" si="23"/>
        <v>0</v>
      </c>
      <c r="E252" s="137">
        <f t="shared" ca="1" si="23"/>
        <v>0</v>
      </c>
      <c r="F252" s="137">
        <f t="shared" ca="1" si="23"/>
        <v>0</v>
      </c>
      <c r="G252" s="137">
        <f t="shared" ca="1" si="23"/>
        <v>0</v>
      </c>
      <c r="H252" s="137">
        <f t="shared" ca="1" si="23"/>
        <v>0</v>
      </c>
      <c r="I252" s="137">
        <f t="shared" ca="1" si="23"/>
        <v>0</v>
      </c>
      <c r="J252" s="137">
        <f t="shared" ca="1" si="23"/>
        <v>0</v>
      </c>
      <c r="K252" s="137">
        <f t="shared" ca="1" si="23"/>
        <v>0</v>
      </c>
      <c r="L252" s="137">
        <f t="shared" ca="1" si="23"/>
        <v>0</v>
      </c>
      <c r="M252" s="137">
        <f t="shared" ca="1" si="23"/>
        <v>0</v>
      </c>
      <c r="N252" s="146">
        <f t="shared" ca="1" si="23"/>
        <v>0</v>
      </c>
    </row>
    <row r="253" spans="1:14" x14ac:dyDescent="0.25">
      <c r="A253" s="143">
        <v>201</v>
      </c>
      <c r="B253" s="137"/>
      <c r="C253" s="137">
        <f t="shared" ref="C253:N262" ca="1" si="24">ROUND(INDEX(INDIRECT(IF(C$13="E",$Q$53,$Q$54)),$A253,C$52),0)</f>
        <v>25</v>
      </c>
      <c r="D253" s="137">
        <f t="shared" ca="1" si="24"/>
        <v>25</v>
      </c>
      <c r="E253" s="137">
        <f t="shared" ca="1" si="24"/>
        <v>23</v>
      </c>
      <c r="F253" s="137">
        <f t="shared" ca="1" si="24"/>
        <v>18</v>
      </c>
      <c r="G253" s="137">
        <f t="shared" ca="1" si="24"/>
        <v>12</v>
      </c>
      <c r="H253" s="137">
        <f t="shared" ca="1" si="24"/>
        <v>9</v>
      </c>
      <c r="I253" s="137">
        <f t="shared" ca="1" si="24"/>
        <v>7</v>
      </c>
      <c r="J253" s="137">
        <f t="shared" ca="1" si="24"/>
        <v>6</v>
      </c>
      <c r="K253" s="137">
        <f t="shared" ca="1" si="24"/>
        <v>7</v>
      </c>
      <c r="L253" s="137">
        <f t="shared" ca="1" si="24"/>
        <v>8</v>
      </c>
      <c r="M253" s="137">
        <f t="shared" ca="1" si="24"/>
        <v>12</v>
      </c>
      <c r="N253" s="146">
        <f t="shared" ca="1" si="24"/>
        <v>18</v>
      </c>
    </row>
    <row r="254" spans="1:14" x14ac:dyDescent="0.25">
      <c r="A254" s="143">
        <v>202</v>
      </c>
      <c r="B254" s="137"/>
      <c r="C254" s="137">
        <f t="shared" ca="1" si="24"/>
        <v>10</v>
      </c>
      <c r="D254" s="137">
        <f t="shared" ca="1" si="24"/>
        <v>9</v>
      </c>
      <c r="E254" s="137">
        <f t="shared" ca="1" si="24"/>
        <v>9</v>
      </c>
      <c r="F254" s="137">
        <f t="shared" ca="1" si="24"/>
        <v>7</v>
      </c>
      <c r="G254" s="137">
        <f t="shared" ca="1" si="24"/>
        <v>5</v>
      </c>
      <c r="H254" s="137">
        <f t="shared" ca="1" si="24"/>
        <v>3</v>
      </c>
      <c r="I254" s="137">
        <f t="shared" ca="1" si="24"/>
        <v>3</v>
      </c>
      <c r="J254" s="137">
        <f t="shared" ca="1" si="24"/>
        <v>2</v>
      </c>
      <c r="K254" s="137">
        <f t="shared" ca="1" si="24"/>
        <v>3</v>
      </c>
      <c r="L254" s="137">
        <f t="shared" ca="1" si="24"/>
        <v>3</v>
      </c>
      <c r="M254" s="137">
        <f t="shared" ca="1" si="24"/>
        <v>5</v>
      </c>
      <c r="N254" s="146">
        <f t="shared" ca="1" si="24"/>
        <v>8</v>
      </c>
    </row>
    <row r="255" spans="1:14" x14ac:dyDescent="0.25">
      <c r="A255" s="143">
        <v>203</v>
      </c>
      <c r="B255" s="137"/>
      <c r="C255" s="137">
        <f t="shared" ca="1" si="24"/>
        <v>42</v>
      </c>
      <c r="D255" s="137">
        <f t="shared" ca="1" si="24"/>
        <v>42</v>
      </c>
      <c r="E255" s="137">
        <f t="shared" ca="1" si="24"/>
        <v>39</v>
      </c>
      <c r="F255" s="137">
        <f t="shared" ca="1" si="24"/>
        <v>30</v>
      </c>
      <c r="G255" s="137">
        <f t="shared" ca="1" si="24"/>
        <v>21</v>
      </c>
      <c r="H255" s="137">
        <f t="shared" ca="1" si="24"/>
        <v>15</v>
      </c>
      <c r="I255" s="137">
        <f t="shared" ca="1" si="24"/>
        <v>13</v>
      </c>
      <c r="J255" s="137">
        <f t="shared" ca="1" si="24"/>
        <v>11</v>
      </c>
      <c r="K255" s="137">
        <f t="shared" ca="1" si="24"/>
        <v>11</v>
      </c>
      <c r="L255" s="137">
        <f t="shared" ca="1" si="24"/>
        <v>14</v>
      </c>
      <c r="M255" s="137">
        <f t="shared" ca="1" si="24"/>
        <v>20</v>
      </c>
      <c r="N255" s="146">
        <f t="shared" ca="1" si="24"/>
        <v>31</v>
      </c>
    </row>
    <row r="256" spans="1:14" x14ac:dyDescent="0.25">
      <c r="A256" s="143">
        <v>204</v>
      </c>
      <c r="B256" s="137"/>
      <c r="C256" s="137">
        <f t="shared" ca="1" si="24"/>
        <v>528</v>
      </c>
      <c r="D256" s="137">
        <f t="shared" ca="1" si="24"/>
        <v>987</v>
      </c>
      <c r="E256" s="137">
        <f t="shared" ca="1" si="24"/>
        <v>1505</v>
      </c>
      <c r="F256" s="137">
        <f t="shared" ca="1" si="24"/>
        <v>1863</v>
      </c>
      <c r="G256" s="137">
        <f t="shared" ca="1" si="24"/>
        <v>1991</v>
      </c>
      <c r="H256" s="137">
        <f t="shared" ca="1" si="24"/>
        <v>1578</v>
      </c>
      <c r="I256" s="137">
        <f t="shared" ca="1" si="24"/>
        <v>1164</v>
      </c>
      <c r="J256" s="137">
        <f t="shared" ca="1" si="24"/>
        <v>786</v>
      </c>
      <c r="K256" s="137">
        <f t="shared" ca="1" si="24"/>
        <v>455</v>
      </c>
      <c r="L256" s="137">
        <f t="shared" ca="1" si="24"/>
        <v>275</v>
      </c>
      <c r="M256" s="137">
        <f t="shared" ca="1" si="24"/>
        <v>198</v>
      </c>
      <c r="N256" s="146">
        <f t="shared" ca="1" si="24"/>
        <v>230</v>
      </c>
    </row>
    <row r="257" spans="1:14" x14ac:dyDescent="0.25">
      <c r="A257" s="143">
        <v>205</v>
      </c>
      <c r="B257" s="137"/>
      <c r="C257" s="137">
        <f t="shared" ca="1" si="24"/>
        <v>219</v>
      </c>
      <c r="D257" s="137">
        <f t="shared" ca="1" si="24"/>
        <v>241</v>
      </c>
      <c r="E257" s="137">
        <f t="shared" ca="1" si="24"/>
        <v>239</v>
      </c>
      <c r="F257" s="137">
        <f t="shared" ca="1" si="24"/>
        <v>190</v>
      </c>
      <c r="G257" s="137">
        <f t="shared" ca="1" si="24"/>
        <v>119</v>
      </c>
      <c r="H257" s="137">
        <f t="shared" ca="1" si="24"/>
        <v>87</v>
      </c>
      <c r="I257" s="137">
        <f t="shared" ca="1" si="24"/>
        <v>68</v>
      </c>
      <c r="J257" s="137">
        <f t="shared" ca="1" si="24"/>
        <v>54</v>
      </c>
      <c r="K257" s="137">
        <f t="shared" ca="1" si="24"/>
        <v>47</v>
      </c>
      <c r="L257" s="137">
        <f t="shared" ca="1" si="24"/>
        <v>61</v>
      </c>
      <c r="M257" s="137">
        <f t="shared" ca="1" si="24"/>
        <v>100</v>
      </c>
      <c r="N257" s="146">
        <f t="shared" ca="1" si="24"/>
        <v>161</v>
      </c>
    </row>
    <row r="258" spans="1:14" x14ac:dyDescent="0.25">
      <c r="A258" s="143">
        <v>206</v>
      </c>
      <c r="B258" s="137"/>
      <c r="C258" s="137">
        <f t="shared" ca="1" si="24"/>
        <v>610</v>
      </c>
      <c r="D258" s="137">
        <f t="shared" ca="1" si="24"/>
        <v>615</v>
      </c>
      <c r="E258" s="137">
        <f t="shared" ca="1" si="24"/>
        <v>578</v>
      </c>
      <c r="F258" s="137">
        <f t="shared" ca="1" si="24"/>
        <v>439</v>
      </c>
      <c r="G258" s="137">
        <f t="shared" ca="1" si="24"/>
        <v>300</v>
      </c>
      <c r="H258" s="137">
        <f t="shared" ca="1" si="24"/>
        <v>235</v>
      </c>
      <c r="I258" s="137">
        <f t="shared" ca="1" si="24"/>
        <v>195</v>
      </c>
      <c r="J258" s="137">
        <f t="shared" ca="1" si="24"/>
        <v>161</v>
      </c>
      <c r="K258" s="137">
        <f t="shared" ca="1" si="24"/>
        <v>148</v>
      </c>
      <c r="L258" s="137">
        <f t="shared" ca="1" si="24"/>
        <v>180</v>
      </c>
      <c r="M258" s="137">
        <f t="shared" ca="1" si="24"/>
        <v>263</v>
      </c>
      <c r="N258" s="146">
        <f t="shared" ca="1" si="24"/>
        <v>434</v>
      </c>
    </row>
    <row r="259" spans="1:14" x14ac:dyDescent="0.25">
      <c r="A259" s="143">
        <v>207</v>
      </c>
      <c r="B259" s="137"/>
      <c r="C259" s="137">
        <f t="shared" ca="1" si="24"/>
        <v>620</v>
      </c>
      <c r="D259" s="137">
        <f t="shared" ca="1" si="24"/>
        <v>626</v>
      </c>
      <c r="E259" s="137">
        <f t="shared" ca="1" si="24"/>
        <v>589</v>
      </c>
      <c r="F259" s="137">
        <f t="shared" ca="1" si="24"/>
        <v>448</v>
      </c>
      <c r="G259" s="137">
        <f t="shared" ca="1" si="24"/>
        <v>307</v>
      </c>
      <c r="H259" s="137">
        <f t="shared" ca="1" si="24"/>
        <v>240</v>
      </c>
      <c r="I259" s="137">
        <f t="shared" ca="1" si="24"/>
        <v>199</v>
      </c>
      <c r="J259" s="137">
        <f t="shared" ca="1" si="24"/>
        <v>164</v>
      </c>
      <c r="K259" s="137">
        <f t="shared" ca="1" si="24"/>
        <v>151</v>
      </c>
      <c r="L259" s="137">
        <f t="shared" ca="1" si="24"/>
        <v>183</v>
      </c>
      <c r="M259" s="137">
        <f t="shared" ca="1" si="24"/>
        <v>268</v>
      </c>
      <c r="N259" s="146">
        <f t="shared" ca="1" si="24"/>
        <v>441</v>
      </c>
    </row>
    <row r="260" spans="1:14" x14ac:dyDescent="0.25">
      <c r="A260" s="143">
        <v>208</v>
      </c>
      <c r="B260" s="137"/>
      <c r="C260" s="137">
        <f t="shared" ca="1" si="24"/>
        <v>0</v>
      </c>
      <c r="D260" s="137">
        <f t="shared" ca="1" si="24"/>
        <v>0</v>
      </c>
      <c r="E260" s="137">
        <f t="shared" ca="1" si="24"/>
        <v>0</v>
      </c>
      <c r="F260" s="137">
        <f t="shared" ca="1" si="24"/>
        <v>0</v>
      </c>
      <c r="G260" s="137">
        <f t="shared" ca="1" si="24"/>
        <v>0</v>
      </c>
      <c r="H260" s="137">
        <f t="shared" ca="1" si="24"/>
        <v>0</v>
      </c>
      <c r="I260" s="137">
        <f t="shared" ca="1" si="24"/>
        <v>0</v>
      </c>
      <c r="J260" s="137">
        <f t="shared" ca="1" si="24"/>
        <v>0</v>
      </c>
      <c r="K260" s="137">
        <f t="shared" ca="1" si="24"/>
        <v>0</v>
      </c>
      <c r="L260" s="137">
        <f t="shared" ca="1" si="24"/>
        <v>0</v>
      </c>
      <c r="M260" s="137">
        <f t="shared" ca="1" si="24"/>
        <v>0</v>
      </c>
      <c r="N260" s="146">
        <f t="shared" ca="1" si="24"/>
        <v>0</v>
      </c>
    </row>
    <row r="261" spans="1:14" x14ac:dyDescent="0.25">
      <c r="A261" s="143">
        <v>209</v>
      </c>
      <c r="B261" s="137"/>
      <c r="C261" s="137">
        <f t="shared" ca="1" si="24"/>
        <v>756</v>
      </c>
      <c r="D261" s="137">
        <f t="shared" ca="1" si="24"/>
        <v>833</v>
      </c>
      <c r="E261" s="137">
        <f t="shared" ca="1" si="24"/>
        <v>833</v>
      </c>
      <c r="F261" s="137">
        <f t="shared" ca="1" si="24"/>
        <v>643</v>
      </c>
      <c r="G261" s="137">
        <f t="shared" ca="1" si="24"/>
        <v>406</v>
      </c>
      <c r="H261" s="137">
        <f t="shared" ca="1" si="24"/>
        <v>302</v>
      </c>
      <c r="I261" s="137">
        <f t="shared" ca="1" si="24"/>
        <v>237</v>
      </c>
      <c r="J261" s="137">
        <f t="shared" ca="1" si="24"/>
        <v>187</v>
      </c>
      <c r="K261" s="137">
        <f t="shared" ca="1" si="24"/>
        <v>162</v>
      </c>
      <c r="L261" s="137">
        <f t="shared" ca="1" si="24"/>
        <v>204</v>
      </c>
      <c r="M261" s="137">
        <f t="shared" ca="1" si="24"/>
        <v>339</v>
      </c>
      <c r="N261" s="146">
        <f t="shared" ca="1" si="24"/>
        <v>555</v>
      </c>
    </row>
    <row r="262" spans="1:14" x14ac:dyDescent="0.25">
      <c r="A262" s="143">
        <v>210</v>
      </c>
      <c r="B262" s="137"/>
      <c r="C262" s="137">
        <f t="shared" ca="1" si="24"/>
        <v>0</v>
      </c>
      <c r="D262" s="137">
        <f t="shared" ca="1" si="24"/>
        <v>0</v>
      </c>
      <c r="E262" s="137">
        <f t="shared" ca="1" si="24"/>
        <v>0</v>
      </c>
      <c r="F262" s="137">
        <f t="shared" ca="1" si="24"/>
        <v>0</v>
      </c>
      <c r="G262" s="137">
        <f t="shared" ca="1" si="24"/>
        <v>0</v>
      </c>
      <c r="H262" s="137">
        <f t="shared" ca="1" si="24"/>
        <v>0</v>
      </c>
      <c r="I262" s="137">
        <f t="shared" ca="1" si="24"/>
        <v>0</v>
      </c>
      <c r="J262" s="137">
        <f t="shared" ca="1" si="24"/>
        <v>0</v>
      </c>
      <c r="K262" s="137">
        <f t="shared" ca="1" si="24"/>
        <v>0</v>
      </c>
      <c r="L262" s="137">
        <f t="shared" ca="1" si="24"/>
        <v>0</v>
      </c>
      <c r="M262" s="137">
        <f t="shared" ca="1" si="24"/>
        <v>0</v>
      </c>
      <c r="N262" s="146">
        <f t="shared" ca="1" si="24"/>
        <v>0</v>
      </c>
    </row>
    <row r="263" spans="1:14" x14ac:dyDescent="0.25">
      <c r="A263" s="143">
        <v>211</v>
      </c>
      <c r="B263" s="137"/>
      <c r="C263" s="137">
        <f t="shared" ref="C263:N272" ca="1" si="25">ROUND(INDEX(INDIRECT(IF(C$13="E",$Q$53,$Q$54)),$A263,C$52),0)</f>
        <v>595</v>
      </c>
      <c r="D263" s="137">
        <f t="shared" ca="1" si="25"/>
        <v>527</v>
      </c>
      <c r="E263" s="137">
        <f t="shared" ca="1" si="25"/>
        <v>466</v>
      </c>
      <c r="F263" s="137">
        <f t="shared" ca="1" si="25"/>
        <v>322</v>
      </c>
      <c r="G263" s="137">
        <f t="shared" ca="1" si="25"/>
        <v>237</v>
      </c>
      <c r="H263" s="137">
        <f t="shared" ca="1" si="25"/>
        <v>198</v>
      </c>
      <c r="I263" s="137">
        <f t="shared" ca="1" si="25"/>
        <v>167</v>
      </c>
      <c r="J263" s="137">
        <f t="shared" ca="1" si="25"/>
        <v>142</v>
      </c>
      <c r="K263" s="137">
        <f t="shared" ca="1" si="25"/>
        <v>145</v>
      </c>
      <c r="L263" s="137">
        <f t="shared" ca="1" si="25"/>
        <v>174</v>
      </c>
      <c r="M263" s="137">
        <f t="shared" ca="1" si="25"/>
        <v>255</v>
      </c>
      <c r="N263" s="146">
        <f t="shared" ca="1" si="25"/>
        <v>432</v>
      </c>
    </row>
    <row r="264" spans="1:14" x14ac:dyDescent="0.25">
      <c r="A264" s="143">
        <v>212</v>
      </c>
      <c r="B264" s="137"/>
      <c r="C264" s="137">
        <f t="shared" ca="1" si="25"/>
        <v>0</v>
      </c>
      <c r="D264" s="137">
        <f t="shared" ca="1" si="25"/>
        <v>0</v>
      </c>
      <c r="E264" s="137">
        <f t="shared" ca="1" si="25"/>
        <v>0</v>
      </c>
      <c r="F264" s="137">
        <f t="shared" ca="1" si="25"/>
        <v>0</v>
      </c>
      <c r="G264" s="137">
        <f t="shared" ca="1" si="25"/>
        <v>0</v>
      </c>
      <c r="H264" s="137">
        <f t="shared" ca="1" si="25"/>
        <v>0</v>
      </c>
      <c r="I264" s="137">
        <f t="shared" ca="1" si="25"/>
        <v>0</v>
      </c>
      <c r="J264" s="137">
        <f t="shared" ca="1" si="25"/>
        <v>0</v>
      </c>
      <c r="K264" s="137">
        <f t="shared" ca="1" si="25"/>
        <v>0</v>
      </c>
      <c r="L264" s="137">
        <f t="shared" ca="1" si="25"/>
        <v>0</v>
      </c>
      <c r="M264" s="137">
        <f t="shared" ca="1" si="25"/>
        <v>0</v>
      </c>
      <c r="N264" s="146">
        <f t="shared" ca="1" si="25"/>
        <v>0</v>
      </c>
    </row>
    <row r="265" spans="1:14" x14ac:dyDescent="0.25">
      <c r="A265" s="143">
        <v>213</v>
      </c>
      <c r="B265" s="137"/>
      <c r="C265" s="137">
        <f t="shared" ca="1" si="25"/>
        <v>0</v>
      </c>
      <c r="D265" s="137">
        <f t="shared" ca="1" si="25"/>
        <v>0</v>
      </c>
      <c r="E265" s="137">
        <f t="shared" ca="1" si="25"/>
        <v>0</v>
      </c>
      <c r="F265" s="137">
        <f t="shared" ca="1" si="25"/>
        <v>0</v>
      </c>
      <c r="G265" s="137">
        <f t="shared" ca="1" si="25"/>
        <v>0</v>
      </c>
      <c r="H265" s="137">
        <f t="shared" ca="1" si="25"/>
        <v>0</v>
      </c>
      <c r="I265" s="137">
        <f t="shared" ca="1" si="25"/>
        <v>0</v>
      </c>
      <c r="J265" s="137">
        <f t="shared" ca="1" si="25"/>
        <v>0</v>
      </c>
      <c r="K265" s="137">
        <f t="shared" ca="1" si="25"/>
        <v>0</v>
      </c>
      <c r="L265" s="137">
        <f t="shared" ca="1" si="25"/>
        <v>0</v>
      </c>
      <c r="M265" s="137">
        <f t="shared" ca="1" si="25"/>
        <v>0</v>
      </c>
      <c r="N265" s="146">
        <f t="shared" ca="1" si="25"/>
        <v>0</v>
      </c>
    </row>
    <row r="266" spans="1:14" x14ac:dyDescent="0.25">
      <c r="A266" s="143">
        <v>214</v>
      </c>
      <c r="B266" s="137"/>
      <c r="C266" s="137">
        <f t="shared" ca="1" si="25"/>
        <v>0</v>
      </c>
      <c r="D266" s="137">
        <f t="shared" ca="1" si="25"/>
        <v>0</v>
      </c>
      <c r="E266" s="137">
        <f t="shared" ca="1" si="25"/>
        <v>0</v>
      </c>
      <c r="F266" s="137">
        <f t="shared" ca="1" si="25"/>
        <v>0</v>
      </c>
      <c r="G266" s="137">
        <f t="shared" ca="1" si="25"/>
        <v>0</v>
      </c>
      <c r="H266" s="137">
        <f t="shared" ca="1" si="25"/>
        <v>0</v>
      </c>
      <c r="I266" s="137">
        <f t="shared" ca="1" si="25"/>
        <v>0</v>
      </c>
      <c r="J266" s="137">
        <f t="shared" ca="1" si="25"/>
        <v>0</v>
      </c>
      <c r="K266" s="137">
        <f t="shared" ca="1" si="25"/>
        <v>0</v>
      </c>
      <c r="L266" s="137">
        <f t="shared" ca="1" si="25"/>
        <v>0</v>
      </c>
      <c r="M266" s="137">
        <f t="shared" ca="1" si="25"/>
        <v>0</v>
      </c>
      <c r="N266" s="146">
        <f t="shared" ca="1" si="25"/>
        <v>0</v>
      </c>
    </row>
    <row r="267" spans="1:14" x14ac:dyDescent="0.25">
      <c r="A267" s="143">
        <v>215</v>
      </c>
      <c r="B267" s="137"/>
      <c r="C267" s="137">
        <f t="shared" ca="1" si="25"/>
        <v>181</v>
      </c>
      <c r="D267" s="137">
        <f t="shared" ca="1" si="25"/>
        <v>236</v>
      </c>
      <c r="E267" s="137">
        <f t="shared" ca="1" si="25"/>
        <v>177</v>
      </c>
      <c r="F267" s="137">
        <f t="shared" ca="1" si="25"/>
        <v>185</v>
      </c>
      <c r="G267" s="137">
        <f t="shared" ca="1" si="25"/>
        <v>251</v>
      </c>
      <c r="H267" s="137">
        <f t="shared" ca="1" si="25"/>
        <v>278</v>
      </c>
      <c r="I267" s="137">
        <f t="shared" ca="1" si="25"/>
        <v>356</v>
      </c>
      <c r="J267" s="137">
        <f t="shared" ca="1" si="25"/>
        <v>383</v>
      </c>
      <c r="K267" s="137">
        <f t="shared" ca="1" si="25"/>
        <v>434</v>
      </c>
      <c r="L267" s="137">
        <f t="shared" ca="1" si="25"/>
        <v>382</v>
      </c>
      <c r="M267" s="137">
        <f t="shared" ca="1" si="25"/>
        <v>236</v>
      </c>
      <c r="N267" s="146">
        <f t="shared" ca="1" si="25"/>
        <v>185</v>
      </c>
    </row>
    <row r="268" spans="1:14" x14ac:dyDescent="0.25">
      <c r="A268" s="143">
        <v>216</v>
      </c>
      <c r="B268" s="137"/>
      <c r="C268" s="137">
        <f t="shared" ca="1" si="25"/>
        <v>226</v>
      </c>
      <c r="D268" s="137">
        <f t="shared" ca="1" si="25"/>
        <v>283</v>
      </c>
      <c r="E268" s="137">
        <f t="shared" ca="1" si="25"/>
        <v>228</v>
      </c>
      <c r="F268" s="137">
        <f t="shared" ca="1" si="25"/>
        <v>212</v>
      </c>
      <c r="G268" s="137">
        <f t="shared" ca="1" si="25"/>
        <v>279</v>
      </c>
      <c r="H268" s="137">
        <f t="shared" ca="1" si="25"/>
        <v>305</v>
      </c>
      <c r="I268" s="137">
        <f t="shared" ca="1" si="25"/>
        <v>366</v>
      </c>
      <c r="J268" s="137">
        <f t="shared" ca="1" si="25"/>
        <v>384</v>
      </c>
      <c r="K268" s="137">
        <f t="shared" ca="1" si="25"/>
        <v>460</v>
      </c>
      <c r="L268" s="137">
        <f t="shared" ca="1" si="25"/>
        <v>474</v>
      </c>
      <c r="M268" s="137">
        <f t="shared" ca="1" si="25"/>
        <v>311</v>
      </c>
      <c r="N268" s="146">
        <f t="shared" ca="1" si="25"/>
        <v>223</v>
      </c>
    </row>
    <row r="269" spans="1:14" x14ac:dyDescent="0.25">
      <c r="A269" s="143">
        <v>217</v>
      </c>
      <c r="B269" s="137"/>
      <c r="C269" s="137">
        <f t="shared" ca="1" si="25"/>
        <v>493</v>
      </c>
      <c r="D269" s="137">
        <f t="shared" ca="1" si="25"/>
        <v>630</v>
      </c>
      <c r="E269" s="137">
        <f t="shared" ca="1" si="25"/>
        <v>492</v>
      </c>
      <c r="F269" s="137">
        <f t="shared" ca="1" si="25"/>
        <v>495</v>
      </c>
      <c r="G269" s="137">
        <f t="shared" ca="1" si="25"/>
        <v>676</v>
      </c>
      <c r="H269" s="137">
        <f t="shared" ca="1" si="25"/>
        <v>746</v>
      </c>
      <c r="I269" s="137">
        <f t="shared" ca="1" si="25"/>
        <v>913</v>
      </c>
      <c r="J269" s="137">
        <f t="shared" ca="1" si="25"/>
        <v>964</v>
      </c>
      <c r="K269" s="137">
        <f t="shared" ca="1" si="25"/>
        <v>1118</v>
      </c>
      <c r="L269" s="137">
        <f t="shared" ca="1" si="25"/>
        <v>1091</v>
      </c>
      <c r="M269" s="137">
        <f t="shared" ca="1" si="25"/>
        <v>690</v>
      </c>
      <c r="N269" s="146">
        <f t="shared" ca="1" si="25"/>
        <v>510</v>
      </c>
    </row>
    <row r="270" spans="1:14" x14ac:dyDescent="0.25">
      <c r="A270" s="143">
        <v>218</v>
      </c>
      <c r="B270" s="137"/>
      <c r="C270" s="137">
        <f t="shared" ca="1" si="25"/>
        <v>0</v>
      </c>
      <c r="D270" s="137">
        <f t="shared" ca="1" si="25"/>
        <v>0</v>
      </c>
      <c r="E270" s="137">
        <f t="shared" ca="1" si="25"/>
        <v>0</v>
      </c>
      <c r="F270" s="137">
        <f t="shared" ca="1" si="25"/>
        <v>0</v>
      </c>
      <c r="G270" s="137">
        <f t="shared" ca="1" si="25"/>
        <v>0</v>
      </c>
      <c r="H270" s="137">
        <f t="shared" ca="1" si="25"/>
        <v>0</v>
      </c>
      <c r="I270" s="137">
        <f t="shared" ca="1" si="25"/>
        <v>0</v>
      </c>
      <c r="J270" s="137">
        <f t="shared" ca="1" si="25"/>
        <v>0</v>
      </c>
      <c r="K270" s="137">
        <f t="shared" ca="1" si="25"/>
        <v>0</v>
      </c>
      <c r="L270" s="137">
        <f t="shared" ca="1" si="25"/>
        <v>0</v>
      </c>
      <c r="M270" s="137">
        <f t="shared" ca="1" si="25"/>
        <v>0</v>
      </c>
      <c r="N270" s="146">
        <f t="shared" ca="1" si="25"/>
        <v>0</v>
      </c>
    </row>
    <row r="271" spans="1:14" x14ac:dyDescent="0.25">
      <c r="A271" s="143">
        <v>219</v>
      </c>
      <c r="B271" s="137"/>
      <c r="C271" s="137">
        <f t="shared" ca="1" si="25"/>
        <v>0</v>
      </c>
      <c r="D271" s="137">
        <f t="shared" ca="1" si="25"/>
        <v>0</v>
      </c>
      <c r="E271" s="137">
        <f t="shared" ca="1" si="25"/>
        <v>0</v>
      </c>
      <c r="F271" s="137">
        <f t="shared" ca="1" si="25"/>
        <v>0</v>
      </c>
      <c r="G271" s="137">
        <f t="shared" ca="1" si="25"/>
        <v>0</v>
      </c>
      <c r="H271" s="137">
        <f t="shared" ca="1" si="25"/>
        <v>0</v>
      </c>
      <c r="I271" s="137">
        <f t="shared" ca="1" si="25"/>
        <v>0</v>
      </c>
      <c r="J271" s="137">
        <f t="shared" ca="1" si="25"/>
        <v>0</v>
      </c>
      <c r="K271" s="137">
        <f t="shared" ca="1" si="25"/>
        <v>0</v>
      </c>
      <c r="L271" s="137">
        <f t="shared" ca="1" si="25"/>
        <v>0</v>
      </c>
      <c r="M271" s="137">
        <f t="shared" ca="1" si="25"/>
        <v>0</v>
      </c>
      <c r="N271" s="146">
        <f t="shared" ca="1" si="25"/>
        <v>0</v>
      </c>
    </row>
    <row r="272" spans="1:14" x14ac:dyDescent="0.25">
      <c r="A272" s="143">
        <v>220</v>
      </c>
      <c r="B272" s="137"/>
      <c r="C272" s="137">
        <f t="shared" ca="1" si="25"/>
        <v>59</v>
      </c>
      <c r="D272" s="137">
        <f t="shared" ca="1" si="25"/>
        <v>58</v>
      </c>
      <c r="E272" s="137">
        <f t="shared" ca="1" si="25"/>
        <v>49</v>
      </c>
      <c r="F272" s="137">
        <f t="shared" ca="1" si="25"/>
        <v>62</v>
      </c>
      <c r="G272" s="137">
        <f t="shared" ca="1" si="25"/>
        <v>96</v>
      </c>
      <c r="H272" s="137">
        <f t="shared" ca="1" si="25"/>
        <v>118</v>
      </c>
      <c r="I272" s="137">
        <f t="shared" ca="1" si="25"/>
        <v>132</v>
      </c>
      <c r="J272" s="137">
        <f t="shared" ca="1" si="25"/>
        <v>119</v>
      </c>
      <c r="K272" s="137">
        <f t="shared" ca="1" si="25"/>
        <v>132</v>
      </c>
      <c r="L272" s="137">
        <f t="shared" ca="1" si="25"/>
        <v>147</v>
      </c>
      <c r="M272" s="137">
        <f t="shared" ca="1" si="25"/>
        <v>103</v>
      </c>
      <c r="N272" s="146">
        <f t="shared" ca="1" si="25"/>
        <v>77</v>
      </c>
    </row>
    <row r="273" spans="1:14" x14ac:dyDescent="0.25">
      <c r="A273" s="143">
        <v>221</v>
      </c>
      <c r="B273" s="137"/>
      <c r="C273" s="137">
        <f t="shared" ref="C273:N282" ca="1" si="26">ROUND(INDEX(INDIRECT(IF(C$13="E",$Q$53,$Q$54)),$A273,C$52),0)</f>
        <v>0</v>
      </c>
      <c r="D273" s="137">
        <f t="shared" ca="1" si="26"/>
        <v>0</v>
      </c>
      <c r="E273" s="137">
        <f t="shared" ca="1" si="26"/>
        <v>0</v>
      </c>
      <c r="F273" s="137">
        <f t="shared" ca="1" si="26"/>
        <v>0</v>
      </c>
      <c r="G273" s="137">
        <f t="shared" ca="1" si="26"/>
        <v>0</v>
      </c>
      <c r="H273" s="137">
        <f t="shared" ca="1" si="26"/>
        <v>0</v>
      </c>
      <c r="I273" s="137">
        <f t="shared" ca="1" si="26"/>
        <v>0</v>
      </c>
      <c r="J273" s="137">
        <f t="shared" ca="1" si="26"/>
        <v>0</v>
      </c>
      <c r="K273" s="137">
        <f t="shared" ca="1" si="26"/>
        <v>0</v>
      </c>
      <c r="L273" s="137">
        <f t="shared" ca="1" si="26"/>
        <v>0</v>
      </c>
      <c r="M273" s="137">
        <f t="shared" ca="1" si="26"/>
        <v>0</v>
      </c>
      <c r="N273" s="146">
        <f t="shared" ca="1" si="26"/>
        <v>0</v>
      </c>
    </row>
    <row r="274" spans="1:14" x14ac:dyDescent="0.25">
      <c r="A274" s="143">
        <v>222</v>
      </c>
      <c r="B274" s="137"/>
      <c r="C274" s="137">
        <f t="shared" ca="1" si="26"/>
        <v>1143</v>
      </c>
      <c r="D274" s="137">
        <f t="shared" ca="1" si="26"/>
        <v>1265</v>
      </c>
      <c r="E274" s="137">
        <f t="shared" ca="1" si="26"/>
        <v>1101</v>
      </c>
      <c r="F274" s="137">
        <f t="shared" ca="1" si="26"/>
        <v>1021</v>
      </c>
      <c r="G274" s="137">
        <f t="shared" ca="1" si="26"/>
        <v>1325</v>
      </c>
      <c r="H274" s="137">
        <f t="shared" ca="1" si="26"/>
        <v>1575</v>
      </c>
      <c r="I274" s="137">
        <f t="shared" ca="1" si="26"/>
        <v>1524</v>
      </c>
      <c r="J274" s="137">
        <f t="shared" ca="1" si="26"/>
        <v>1264</v>
      </c>
      <c r="K274" s="137">
        <f t="shared" ca="1" si="26"/>
        <v>1467</v>
      </c>
      <c r="L274" s="137">
        <f t="shared" ca="1" si="26"/>
        <v>1935</v>
      </c>
      <c r="M274" s="137">
        <f t="shared" ca="1" si="26"/>
        <v>1462</v>
      </c>
      <c r="N274" s="146">
        <f t="shared" ca="1" si="26"/>
        <v>1160</v>
      </c>
    </row>
    <row r="275" spans="1:14" x14ac:dyDescent="0.25">
      <c r="A275" s="143">
        <v>223</v>
      </c>
      <c r="B275" s="137"/>
      <c r="C275" s="137">
        <f t="shared" ca="1" si="26"/>
        <v>0</v>
      </c>
      <c r="D275" s="137">
        <f t="shared" ca="1" si="26"/>
        <v>0</v>
      </c>
      <c r="E275" s="137">
        <f t="shared" ca="1" si="26"/>
        <v>0</v>
      </c>
      <c r="F275" s="137">
        <f t="shared" ca="1" si="26"/>
        <v>0</v>
      </c>
      <c r="G275" s="137">
        <f t="shared" ca="1" si="26"/>
        <v>0</v>
      </c>
      <c r="H275" s="137">
        <f t="shared" ca="1" si="26"/>
        <v>0</v>
      </c>
      <c r="I275" s="137">
        <f t="shared" ca="1" si="26"/>
        <v>0</v>
      </c>
      <c r="J275" s="137">
        <f t="shared" ca="1" si="26"/>
        <v>0</v>
      </c>
      <c r="K275" s="137">
        <f t="shared" ca="1" si="26"/>
        <v>0</v>
      </c>
      <c r="L275" s="137">
        <f t="shared" ca="1" si="26"/>
        <v>0</v>
      </c>
      <c r="M275" s="137">
        <f t="shared" ca="1" si="26"/>
        <v>0</v>
      </c>
      <c r="N275" s="146">
        <f t="shared" ca="1" si="26"/>
        <v>0</v>
      </c>
    </row>
    <row r="276" spans="1:14" x14ac:dyDescent="0.25">
      <c r="A276" s="143">
        <v>224</v>
      </c>
      <c r="B276" s="137"/>
      <c r="C276" s="137">
        <f t="shared" ca="1" si="26"/>
        <v>0</v>
      </c>
      <c r="D276" s="137">
        <f t="shared" ca="1" si="26"/>
        <v>0</v>
      </c>
      <c r="E276" s="137">
        <f t="shared" ca="1" si="26"/>
        <v>0</v>
      </c>
      <c r="F276" s="137">
        <f t="shared" ca="1" si="26"/>
        <v>0</v>
      </c>
      <c r="G276" s="137">
        <f t="shared" ca="1" si="26"/>
        <v>0</v>
      </c>
      <c r="H276" s="137">
        <f t="shared" ca="1" si="26"/>
        <v>0</v>
      </c>
      <c r="I276" s="137">
        <f t="shared" ca="1" si="26"/>
        <v>0</v>
      </c>
      <c r="J276" s="137">
        <f t="shared" ca="1" si="26"/>
        <v>0</v>
      </c>
      <c r="K276" s="137">
        <f t="shared" ca="1" si="26"/>
        <v>0</v>
      </c>
      <c r="L276" s="137">
        <f t="shared" ca="1" si="26"/>
        <v>0</v>
      </c>
      <c r="M276" s="137">
        <f t="shared" ca="1" si="26"/>
        <v>0</v>
      </c>
      <c r="N276" s="146">
        <f t="shared" ca="1" si="26"/>
        <v>0</v>
      </c>
    </row>
    <row r="277" spans="1:14" x14ac:dyDescent="0.25">
      <c r="A277" s="143">
        <v>225</v>
      </c>
      <c r="B277" s="137"/>
      <c r="C277" s="137">
        <f t="shared" ca="1" si="26"/>
        <v>379</v>
      </c>
      <c r="D277" s="137">
        <f t="shared" ca="1" si="26"/>
        <v>470</v>
      </c>
      <c r="E277" s="137">
        <f t="shared" ca="1" si="26"/>
        <v>506</v>
      </c>
      <c r="F277" s="137">
        <f t="shared" ca="1" si="26"/>
        <v>370</v>
      </c>
      <c r="G277" s="137">
        <f t="shared" ca="1" si="26"/>
        <v>183</v>
      </c>
      <c r="H277" s="137">
        <f t="shared" ca="1" si="26"/>
        <v>72</v>
      </c>
      <c r="I277" s="137">
        <f t="shared" ca="1" si="26"/>
        <v>39</v>
      </c>
      <c r="J277" s="137">
        <f t="shared" ca="1" si="26"/>
        <v>25</v>
      </c>
      <c r="K277" s="137">
        <f t="shared" ca="1" si="26"/>
        <v>20</v>
      </c>
      <c r="L277" s="137">
        <f t="shared" ca="1" si="26"/>
        <v>31</v>
      </c>
      <c r="M277" s="137">
        <f t="shared" ca="1" si="26"/>
        <v>76</v>
      </c>
      <c r="N277" s="146">
        <f t="shared" ca="1" si="26"/>
        <v>212</v>
      </c>
    </row>
    <row r="278" spans="1:14" x14ac:dyDescent="0.25">
      <c r="A278" s="143">
        <v>226</v>
      </c>
      <c r="B278" s="137"/>
      <c r="C278" s="137">
        <f t="shared" ca="1" si="26"/>
        <v>0</v>
      </c>
      <c r="D278" s="137">
        <f t="shared" ca="1" si="26"/>
        <v>0</v>
      </c>
      <c r="E278" s="137">
        <f t="shared" ca="1" si="26"/>
        <v>0</v>
      </c>
      <c r="F278" s="137">
        <f t="shared" ca="1" si="26"/>
        <v>0</v>
      </c>
      <c r="G278" s="137">
        <f t="shared" ca="1" si="26"/>
        <v>0</v>
      </c>
      <c r="H278" s="137">
        <f t="shared" ca="1" si="26"/>
        <v>0</v>
      </c>
      <c r="I278" s="137">
        <f t="shared" ca="1" si="26"/>
        <v>0</v>
      </c>
      <c r="J278" s="137">
        <f t="shared" ca="1" si="26"/>
        <v>0</v>
      </c>
      <c r="K278" s="137">
        <f t="shared" ca="1" si="26"/>
        <v>0</v>
      </c>
      <c r="L278" s="137">
        <f t="shared" ca="1" si="26"/>
        <v>0</v>
      </c>
      <c r="M278" s="137">
        <f t="shared" ca="1" si="26"/>
        <v>0</v>
      </c>
      <c r="N278" s="146">
        <f t="shared" ca="1" si="26"/>
        <v>0</v>
      </c>
    </row>
    <row r="279" spans="1:14" x14ac:dyDescent="0.25">
      <c r="A279" s="143">
        <v>227</v>
      </c>
      <c r="B279" s="137"/>
      <c r="C279" s="137">
        <f t="shared" ca="1" si="26"/>
        <v>1456</v>
      </c>
      <c r="D279" s="137">
        <f t="shared" ca="1" si="26"/>
        <v>1620</v>
      </c>
      <c r="E279" s="137">
        <f t="shared" ca="1" si="26"/>
        <v>1615</v>
      </c>
      <c r="F279" s="137">
        <f t="shared" ca="1" si="26"/>
        <v>1285</v>
      </c>
      <c r="G279" s="137">
        <f t="shared" ca="1" si="26"/>
        <v>883</v>
      </c>
      <c r="H279" s="137">
        <f t="shared" ca="1" si="26"/>
        <v>661</v>
      </c>
      <c r="I279" s="137">
        <f t="shared" ca="1" si="26"/>
        <v>528</v>
      </c>
      <c r="J279" s="137">
        <f t="shared" ca="1" si="26"/>
        <v>449</v>
      </c>
      <c r="K279" s="137">
        <f t="shared" ca="1" si="26"/>
        <v>412</v>
      </c>
      <c r="L279" s="137">
        <f t="shared" ca="1" si="26"/>
        <v>481</v>
      </c>
      <c r="M279" s="137">
        <f t="shared" ca="1" si="26"/>
        <v>708</v>
      </c>
      <c r="N279" s="146">
        <f t="shared" ca="1" si="26"/>
        <v>1096</v>
      </c>
    </row>
    <row r="280" spans="1:14" x14ac:dyDescent="0.25">
      <c r="A280" s="143">
        <v>228</v>
      </c>
      <c r="B280" s="137"/>
      <c r="C280" s="137">
        <f t="shared" ca="1" si="26"/>
        <v>1590</v>
      </c>
      <c r="D280" s="137">
        <f t="shared" ca="1" si="26"/>
        <v>1771</v>
      </c>
      <c r="E280" s="137">
        <f t="shared" ca="1" si="26"/>
        <v>1763</v>
      </c>
      <c r="F280" s="137">
        <f t="shared" ca="1" si="26"/>
        <v>1403</v>
      </c>
      <c r="G280" s="137">
        <f t="shared" ca="1" si="26"/>
        <v>965</v>
      </c>
      <c r="H280" s="137">
        <f t="shared" ca="1" si="26"/>
        <v>722</v>
      </c>
      <c r="I280" s="137">
        <f t="shared" ca="1" si="26"/>
        <v>577</v>
      </c>
      <c r="J280" s="137">
        <f t="shared" ca="1" si="26"/>
        <v>490</v>
      </c>
      <c r="K280" s="137">
        <f t="shared" ca="1" si="26"/>
        <v>451</v>
      </c>
      <c r="L280" s="137">
        <f t="shared" ca="1" si="26"/>
        <v>527</v>
      </c>
      <c r="M280" s="137">
        <f t="shared" ca="1" si="26"/>
        <v>773</v>
      </c>
      <c r="N280" s="146">
        <f t="shared" ca="1" si="26"/>
        <v>1197</v>
      </c>
    </row>
    <row r="281" spans="1:14" x14ac:dyDescent="0.25">
      <c r="A281" s="143">
        <v>229</v>
      </c>
      <c r="B281" s="137"/>
      <c r="C281" s="137">
        <f t="shared" ca="1" si="26"/>
        <v>3700</v>
      </c>
      <c r="D281" s="137">
        <f t="shared" ca="1" si="26"/>
        <v>4305</v>
      </c>
      <c r="E281" s="137">
        <f t="shared" ca="1" si="26"/>
        <v>4469</v>
      </c>
      <c r="F281" s="137">
        <f t="shared" ca="1" si="26"/>
        <v>3568</v>
      </c>
      <c r="G281" s="137">
        <f t="shared" ca="1" si="26"/>
        <v>2289</v>
      </c>
      <c r="H281" s="137">
        <f t="shared" ca="1" si="26"/>
        <v>1476</v>
      </c>
      <c r="I281" s="137">
        <f t="shared" ca="1" si="26"/>
        <v>1050</v>
      </c>
      <c r="J281" s="137">
        <f t="shared" ca="1" si="26"/>
        <v>810</v>
      </c>
      <c r="K281" s="137">
        <f t="shared" ca="1" si="26"/>
        <v>704</v>
      </c>
      <c r="L281" s="137">
        <f t="shared" ca="1" si="26"/>
        <v>889</v>
      </c>
      <c r="M281" s="137">
        <f t="shared" ca="1" si="26"/>
        <v>1491</v>
      </c>
      <c r="N281" s="146">
        <f t="shared" ca="1" si="26"/>
        <v>2585</v>
      </c>
    </row>
    <row r="282" spans="1:14" x14ac:dyDescent="0.25">
      <c r="A282" s="143">
        <v>230</v>
      </c>
      <c r="B282" s="137"/>
      <c r="C282" s="137">
        <f t="shared" ca="1" si="26"/>
        <v>3728</v>
      </c>
      <c r="D282" s="137">
        <f t="shared" ca="1" si="26"/>
        <v>4324</v>
      </c>
      <c r="E282" s="137">
        <f t="shared" ca="1" si="26"/>
        <v>4500</v>
      </c>
      <c r="F282" s="137">
        <f t="shared" ca="1" si="26"/>
        <v>3582</v>
      </c>
      <c r="G282" s="137">
        <f t="shared" ca="1" si="26"/>
        <v>2297</v>
      </c>
      <c r="H282" s="137">
        <f t="shared" ca="1" si="26"/>
        <v>1482</v>
      </c>
      <c r="I282" s="137">
        <f t="shared" ca="1" si="26"/>
        <v>1057</v>
      </c>
      <c r="J282" s="137">
        <f t="shared" ca="1" si="26"/>
        <v>816</v>
      </c>
      <c r="K282" s="137">
        <f t="shared" ca="1" si="26"/>
        <v>709</v>
      </c>
      <c r="L282" s="137">
        <f t="shared" ca="1" si="26"/>
        <v>895</v>
      </c>
      <c r="M282" s="137">
        <f t="shared" ca="1" si="26"/>
        <v>1495</v>
      </c>
      <c r="N282" s="146">
        <f t="shared" ca="1" si="26"/>
        <v>2602</v>
      </c>
    </row>
    <row r="283" spans="1:14" x14ac:dyDescent="0.25">
      <c r="A283" s="143">
        <v>231</v>
      </c>
      <c r="B283" s="137"/>
      <c r="C283" s="137">
        <f t="shared" ref="C283:N292" ca="1" si="27">ROUND(INDEX(INDIRECT(IF(C$13="E",$Q$53,$Q$54)),$A283,C$52),0)</f>
        <v>0</v>
      </c>
      <c r="D283" s="137">
        <f t="shared" ca="1" si="27"/>
        <v>0</v>
      </c>
      <c r="E283" s="137">
        <f t="shared" ca="1" si="27"/>
        <v>0</v>
      </c>
      <c r="F283" s="137">
        <f t="shared" ca="1" si="27"/>
        <v>0</v>
      </c>
      <c r="G283" s="137">
        <f t="shared" ca="1" si="27"/>
        <v>0</v>
      </c>
      <c r="H283" s="137">
        <f t="shared" ca="1" si="27"/>
        <v>0</v>
      </c>
      <c r="I283" s="137">
        <f t="shared" ca="1" si="27"/>
        <v>0</v>
      </c>
      <c r="J283" s="137">
        <f t="shared" ca="1" si="27"/>
        <v>0</v>
      </c>
      <c r="K283" s="137">
        <f t="shared" ca="1" si="27"/>
        <v>0</v>
      </c>
      <c r="L283" s="137">
        <f t="shared" ca="1" si="27"/>
        <v>0</v>
      </c>
      <c r="M283" s="137">
        <f t="shared" ca="1" si="27"/>
        <v>0</v>
      </c>
      <c r="N283" s="146">
        <f t="shared" ca="1" si="27"/>
        <v>0</v>
      </c>
    </row>
    <row r="284" spans="1:14" x14ac:dyDescent="0.25">
      <c r="A284" s="143">
        <v>232</v>
      </c>
      <c r="B284" s="137"/>
      <c r="C284" s="137">
        <f t="shared" ca="1" si="27"/>
        <v>0</v>
      </c>
      <c r="D284" s="137">
        <f t="shared" ca="1" si="27"/>
        <v>0</v>
      </c>
      <c r="E284" s="137">
        <f t="shared" ca="1" si="27"/>
        <v>0</v>
      </c>
      <c r="F284" s="137">
        <f t="shared" ca="1" si="27"/>
        <v>0</v>
      </c>
      <c r="G284" s="137">
        <f t="shared" ca="1" si="27"/>
        <v>0</v>
      </c>
      <c r="H284" s="137">
        <f t="shared" ca="1" si="27"/>
        <v>0</v>
      </c>
      <c r="I284" s="137">
        <f t="shared" ca="1" si="27"/>
        <v>0</v>
      </c>
      <c r="J284" s="137">
        <f t="shared" ca="1" si="27"/>
        <v>0</v>
      </c>
      <c r="K284" s="137">
        <f t="shared" ca="1" si="27"/>
        <v>0</v>
      </c>
      <c r="L284" s="137">
        <f t="shared" ca="1" si="27"/>
        <v>0</v>
      </c>
      <c r="M284" s="137">
        <f t="shared" ca="1" si="27"/>
        <v>0</v>
      </c>
      <c r="N284" s="146">
        <f t="shared" ca="1" si="27"/>
        <v>0</v>
      </c>
    </row>
    <row r="285" spans="1:14" x14ac:dyDescent="0.25">
      <c r="A285" s="143">
        <v>233</v>
      </c>
      <c r="B285" s="137"/>
      <c r="C285" s="137">
        <f t="shared" ca="1" si="27"/>
        <v>0</v>
      </c>
      <c r="D285" s="137">
        <f t="shared" ca="1" si="27"/>
        <v>0</v>
      </c>
      <c r="E285" s="137">
        <f t="shared" ca="1" si="27"/>
        <v>0</v>
      </c>
      <c r="F285" s="137">
        <f t="shared" ca="1" si="27"/>
        <v>0</v>
      </c>
      <c r="G285" s="137">
        <f t="shared" ca="1" si="27"/>
        <v>0</v>
      </c>
      <c r="H285" s="137">
        <f t="shared" ca="1" si="27"/>
        <v>0</v>
      </c>
      <c r="I285" s="137">
        <f t="shared" ca="1" si="27"/>
        <v>0</v>
      </c>
      <c r="J285" s="137">
        <f t="shared" ca="1" si="27"/>
        <v>0</v>
      </c>
      <c r="K285" s="137">
        <f t="shared" ca="1" si="27"/>
        <v>0</v>
      </c>
      <c r="L285" s="137">
        <f t="shared" ca="1" si="27"/>
        <v>0</v>
      </c>
      <c r="M285" s="137">
        <f t="shared" ca="1" si="27"/>
        <v>0</v>
      </c>
      <c r="N285" s="146">
        <f t="shared" ca="1" si="27"/>
        <v>0</v>
      </c>
    </row>
    <row r="286" spans="1:14" x14ac:dyDescent="0.25">
      <c r="A286" s="143">
        <v>234</v>
      </c>
      <c r="B286" s="137"/>
      <c r="C286" s="137">
        <f t="shared" ca="1" si="27"/>
        <v>0</v>
      </c>
      <c r="D286" s="137">
        <f t="shared" ca="1" si="27"/>
        <v>0</v>
      </c>
      <c r="E286" s="137">
        <f t="shared" ca="1" si="27"/>
        <v>0</v>
      </c>
      <c r="F286" s="137">
        <f t="shared" ca="1" si="27"/>
        <v>0</v>
      </c>
      <c r="G286" s="137">
        <f t="shared" ca="1" si="27"/>
        <v>0</v>
      </c>
      <c r="H286" s="137">
        <f t="shared" ca="1" si="27"/>
        <v>0</v>
      </c>
      <c r="I286" s="137">
        <f t="shared" ca="1" si="27"/>
        <v>0</v>
      </c>
      <c r="J286" s="137">
        <f t="shared" ca="1" si="27"/>
        <v>0</v>
      </c>
      <c r="K286" s="137">
        <f t="shared" ca="1" si="27"/>
        <v>0</v>
      </c>
      <c r="L286" s="137">
        <f t="shared" ca="1" si="27"/>
        <v>0</v>
      </c>
      <c r="M286" s="137">
        <f t="shared" ca="1" si="27"/>
        <v>0</v>
      </c>
      <c r="N286" s="146">
        <f t="shared" ca="1" si="27"/>
        <v>0</v>
      </c>
    </row>
    <row r="287" spans="1:14" x14ac:dyDescent="0.25">
      <c r="A287" s="143">
        <v>235</v>
      </c>
      <c r="B287" s="137"/>
      <c r="C287" s="137">
        <f t="shared" ca="1" si="27"/>
        <v>0</v>
      </c>
      <c r="D287" s="137">
        <f t="shared" ca="1" si="27"/>
        <v>0</v>
      </c>
      <c r="E287" s="137">
        <f t="shared" ca="1" si="27"/>
        <v>0</v>
      </c>
      <c r="F287" s="137">
        <f t="shared" ca="1" si="27"/>
        <v>0</v>
      </c>
      <c r="G287" s="137">
        <f t="shared" ca="1" si="27"/>
        <v>0</v>
      </c>
      <c r="H287" s="137">
        <f t="shared" ca="1" si="27"/>
        <v>0</v>
      </c>
      <c r="I287" s="137">
        <f t="shared" ca="1" si="27"/>
        <v>0</v>
      </c>
      <c r="J287" s="137">
        <f t="shared" ca="1" si="27"/>
        <v>0</v>
      </c>
      <c r="K287" s="137">
        <f t="shared" ca="1" si="27"/>
        <v>0</v>
      </c>
      <c r="L287" s="137">
        <f t="shared" ca="1" si="27"/>
        <v>0</v>
      </c>
      <c r="M287" s="137">
        <f t="shared" ca="1" si="27"/>
        <v>0</v>
      </c>
      <c r="N287" s="146">
        <f t="shared" ca="1" si="27"/>
        <v>0</v>
      </c>
    </row>
    <row r="288" spans="1:14" x14ac:dyDescent="0.25">
      <c r="A288" s="143">
        <v>236</v>
      </c>
      <c r="B288" s="137"/>
      <c r="C288" s="137">
        <f t="shared" ca="1" si="27"/>
        <v>0</v>
      </c>
      <c r="D288" s="137">
        <f t="shared" ca="1" si="27"/>
        <v>0</v>
      </c>
      <c r="E288" s="137">
        <f t="shared" ca="1" si="27"/>
        <v>0</v>
      </c>
      <c r="F288" s="137">
        <f t="shared" ca="1" si="27"/>
        <v>0</v>
      </c>
      <c r="G288" s="137">
        <f t="shared" ca="1" si="27"/>
        <v>0</v>
      </c>
      <c r="H288" s="137">
        <f t="shared" ca="1" si="27"/>
        <v>0</v>
      </c>
      <c r="I288" s="137">
        <f t="shared" ca="1" si="27"/>
        <v>0</v>
      </c>
      <c r="J288" s="137">
        <f t="shared" ca="1" si="27"/>
        <v>0</v>
      </c>
      <c r="K288" s="137">
        <f t="shared" ca="1" si="27"/>
        <v>0</v>
      </c>
      <c r="L288" s="137">
        <f t="shared" ca="1" si="27"/>
        <v>0</v>
      </c>
      <c r="M288" s="137">
        <f t="shared" ca="1" si="27"/>
        <v>0</v>
      </c>
      <c r="N288" s="146">
        <f t="shared" ca="1" si="27"/>
        <v>0</v>
      </c>
    </row>
    <row r="289" spans="1:14" x14ac:dyDescent="0.25">
      <c r="A289" s="143">
        <v>237</v>
      </c>
      <c r="B289" s="137"/>
      <c r="C289" s="137">
        <f t="shared" ca="1" si="27"/>
        <v>752</v>
      </c>
      <c r="D289" s="137">
        <f t="shared" ca="1" si="27"/>
        <v>794</v>
      </c>
      <c r="E289" s="137">
        <f t="shared" ca="1" si="27"/>
        <v>672</v>
      </c>
      <c r="F289" s="137">
        <f t="shared" ca="1" si="27"/>
        <v>445</v>
      </c>
      <c r="G289" s="137">
        <f t="shared" ca="1" si="27"/>
        <v>350</v>
      </c>
      <c r="H289" s="137">
        <f t="shared" ca="1" si="27"/>
        <v>346</v>
      </c>
      <c r="I289" s="137">
        <f t="shared" ca="1" si="27"/>
        <v>276</v>
      </c>
      <c r="J289" s="137">
        <f t="shared" ca="1" si="27"/>
        <v>233</v>
      </c>
      <c r="K289" s="137">
        <f t="shared" ca="1" si="27"/>
        <v>256</v>
      </c>
      <c r="L289" s="137">
        <f t="shared" ca="1" si="27"/>
        <v>316</v>
      </c>
      <c r="M289" s="137">
        <f t="shared" ca="1" si="27"/>
        <v>338</v>
      </c>
      <c r="N289" s="146">
        <f t="shared" ca="1" si="27"/>
        <v>512</v>
      </c>
    </row>
    <row r="290" spans="1:14" x14ac:dyDescent="0.25">
      <c r="A290" s="143">
        <v>238</v>
      </c>
      <c r="B290" s="137"/>
      <c r="C290" s="137">
        <f t="shared" ca="1" si="27"/>
        <v>835</v>
      </c>
      <c r="D290" s="137">
        <f t="shared" ca="1" si="27"/>
        <v>885</v>
      </c>
      <c r="E290" s="137">
        <f t="shared" ca="1" si="27"/>
        <v>751</v>
      </c>
      <c r="F290" s="137">
        <f t="shared" ca="1" si="27"/>
        <v>501</v>
      </c>
      <c r="G290" s="137">
        <f t="shared" ca="1" si="27"/>
        <v>395</v>
      </c>
      <c r="H290" s="137">
        <f t="shared" ca="1" si="27"/>
        <v>390</v>
      </c>
      <c r="I290" s="137">
        <f t="shared" ca="1" si="27"/>
        <v>310</v>
      </c>
      <c r="J290" s="137">
        <f t="shared" ca="1" si="27"/>
        <v>263</v>
      </c>
      <c r="K290" s="137">
        <f t="shared" ca="1" si="27"/>
        <v>287</v>
      </c>
      <c r="L290" s="137">
        <f t="shared" ca="1" si="27"/>
        <v>350</v>
      </c>
      <c r="M290" s="137">
        <f t="shared" ca="1" si="27"/>
        <v>376</v>
      </c>
      <c r="N290" s="146">
        <f t="shared" ca="1" si="27"/>
        <v>566</v>
      </c>
    </row>
    <row r="291" spans="1:14" x14ac:dyDescent="0.25">
      <c r="A291" s="143">
        <v>239</v>
      </c>
      <c r="B291" s="137"/>
      <c r="C291" s="137">
        <f t="shared" ca="1" si="27"/>
        <v>922</v>
      </c>
      <c r="D291" s="137">
        <f t="shared" ca="1" si="27"/>
        <v>977</v>
      </c>
      <c r="E291" s="137">
        <f t="shared" ca="1" si="27"/>
        <v>834</v>
      </c>
      <c r="F291" s="137">
        <f t="shared" ca="1" si="27"/>
        <v>571</v>
      </c>
      <c r="G291" s="137">
        <f t="shared" ca="1" si="27"/>
        <v>455</v>
      </c>
      <c r="H291" s="137">
        <f t="shared" ca="1" si="27"/>
        <v>448</v>
      </c>
      <c r="I291" s="137">
        <f t="shared" ca="1" si="27"/>
        <v>362</v>
      </c>
      <c r="J291" s="137">
        <f t="shared" ca="1" si="27"/>
        <v>309</v>
      </c>
      <c r="K291" s="137">
        <f t="shared" ca="1" si="27"/>
        <v>327</v>
      </c>
      <c r="L291" s="137">
        <f t="shared" ca="1" si="27"/>
        <v>389</v>
      </c>
      <c r="M291" s="137">
        <f t="shared" ca="1" si="27"/>
        <v>419</v>
      </c>
      <c r="N291" s="146">
        <f t="shared" ca="1" si="27"/>
        <v>631</v>
      </c>
    </row>
    <row r="292" spans="1:14" x14ac:dyDescent="0.25">
      <c r="A292" s="143">
        <v>240</v>
      </c>
      <c r="B292" s="137"/>
      <c r="C292" s="137">
        <f t="shared" ca="1" si="27"/>
        <v>1171</v>
      </c>
      <c r="D292" s="137">
        <f t="shared" ca="1" si="27"/>
        <v>1244</v>
      </c>
      <c r="E292" s="137">
        <f t="shared" ca="1" si="27"/>
        <v>1074</v>
      </c>
      <c r="F292" s="137">
        <f t="shared" ca="1" si="27"/>
        <v>733</v>
      </c>
      <c r="G292" s="137">
        <f t="shared" ca="1" si="27"/>
        <v>582</v>
      </c>
      <c r="H292" s="137">
        <f t="shared" ca="1" si="27"/>
        <v>569</v>
      </c>
      <c r="I292" s="137">
        <f t="shared" ca="1" si="27"/>
        <v>466</v>
      </c>
      <c r="J292" s="137">
        <f t="shared" ca="1" si="27"/>
        <v>403</v>
      </c>
      <c r="K292" s="137">
        <f t="shared" ca="1" si="27"/>
        <v>430</v>
      </c>
      <c r="L292" s="137">
        <f t="shared" ca="1" si="27"/>
        <v>506</v>
      </c>
      <c r="M292" s="137">
        <f t="shared" ca="1" si="27"/>
        <v>540</v>
      </c>
      <c r="N292" s="146">
        <f t="shared" ca="1" si="27"/>
        <v>806</v>
      </c>
    </row>
    <row r="293" spans="1:14" x14ac:dyDescent="0.25">
      <c r="A293" s="143">
        <v>241</v>
      </c>
      <c r="B293" s="137"/>
      <c r="C293" s="137">
        <f t="shared" ref="C293:N302" ca="1" si="28">ROUND(INDEX(INDIRECT(IF(C$13="E",$Q$53,$Q$54)),$A293,C$52),0)</f>
        <v>265</v>
      </c>
      <c r="D293" s="137">
        <f t="shared" ca="1" si="28"/>
        <v>286</v>
      </c>
      <c r="E293" s="137">
        <f t="shared" ca="1" si="28"/>
        <v>287</v>
      </c>
      <c r="F293" s="137">
        <f t="shared" ca="1" si="28"/>
        <v>232</v>
      </c>
      <c r="G293" s="137">
        <f t="shared" ca="1" si="28"/>
        <v>180</v>
      </c>
      <c r="H293" s="137">
        <f t="shared" ca="1" si="28"/>
        <v>157</v>
      </c>
      <c r="I293" s="137">
        <f t="shared" ca="1" si="28"/>
        <v>140</v>
      </c>
      <c r="J293" s="137">
        <f t="shared" ca="1" si="28"/>
        <v>129</v>
      </c>
      <c r="K293" s="137">
        <f t="shared" ca="1" si="28"/>
        <v>133</v>
      </c>
      <c r="L293" s="137">
        <f t="shared" ca="1" si="28"/>
        <v>152</v>
      </c>
      <c r="M293" s="137">
        <f t="shared" ca="1" si="28"/>
        <v>180</v>
      </c>
      <c r="N293" s="146">
        <f t="shared" ca="1" si="28"/>
        <v>224</v>
      </c>
    </row>
    <row r="294" spans="1:14" x14ac:dyDescent="0.25">
      <c r="A294" s="143">
        <v>242</v>
      </c>
      <c r="B294" s="137"/>
      <c r="C294" s="137">
        <f t="shared" ca="1" si="28"/>
        <v>1256</v>
      </c>
      <c r="D294" s="137">
        <f t="shared" ca="1" si="28"/>
        <v>1339</v>
      </c>
      <c r="E294" s="137">
        <f t="shared" ca="1" si="28"/>
        <v>1152</v>
      </c>
      <c r="F294" s="137">
        <f t="shared" ca="1" si="28"/>
        <v>783</v>
      </c>
      <c r="G294" s="137">
        <f t="shared" ca="1" si="28"/>
        <v>618</v>
      </c>
      <c r="H294" s="137">
        <f t="shared" ca="1" si="28"/>
        <v>606</v>
      </c>
      <c r="I294" s="137">
        <f t="shared" ca="1" si="28"/>
        <v>494</v>
      </c>
      <c r="J294" s="137">
        <f t="shared" ca="1" si="28"/>
        <v>427</v>
      </c>
      <c r="K294" s="137">
        <f t="shared" ca="1" si="28"/>
        <v>455</v>
      </c>
      <c r="L294" s="137">
        <f t="shared" ca="1" si="28"/>
        <v>537</v>
      </c>
      <c r="M294" s="137">
        <f t="shared" ca="1" si="28"/>
        <v>574</v>
      </c>
      <c r="N294" s="146">
        <f t="shared" ca="1" si="28"/>
        <v>859</v>
      </c>
    </row>
    <row r="295" spans="1:14" x14ac:dyDescent="0.25">
      <c r="A295" s="143">
        <v>243</v>
      </c>
      <c r="B295" s="137"/>
      <c r="C295" s="137">
        <f t="shared" ca="1" si="28"/>
        <v>1314</v>
      </c>
      <c r="D295" s="137">
        <f t="shared" ca="1" si="28"/>
        <v>1428</v>
      </c>
      <c r="E295" s="137">
        <f t="shared" ca="1" si="28"/>
        <v>1242</v>
      </c>
      <c r="F295" s="137">
        <f t="shared" ca="1" si="28"/>
        <v>856</v>
      </c>
      <c r="G295" s="137">
        <f t="shared" ca="1" si="28"/>
        <v>662</v>
      </c>
      <c r="H295" s="137">
        <f t="shared" ca="1" si="28"/>
        <v>653</v>
      </c>
      <c r="I295" s="137">
        <f t="shared" ca="1" si="28"/>
        <v>533</v>
      </c>
      <c r="J295" s="137">
        <f t="shared" ca="1" si="28"/>
        <v>462</v>
      </c>
      <c r="K295" s="137">
        <f t="shared" ca="1" si="28"/>
        <v>484</v>
      </c>
      <c r="L295" s="137">
        <f t="shared" ca="1" si="28"/>
        <v>571</v>
      </c>
      <c r="M295" s="137">
        <f t="shared" ca="1" si="28"/>
        <v>607</v>
      </c>
      <c r="N295" s="146">
        <f t="shared" ca="1" si="28"/>
        <v>898</v>
      </c>
    </row>
    <row r="296" spans="1:14" x14ac:dyDescent="0.25">
      <c r="A296" s="143">
        <v>244</v>
      </c>
      <c r="B296" s="137"/>
      <c r="C296" s="137">
        <f t="shared" ca="1" si="28"/>
        <v>10278</v>
      </c>
      <c r="D296" s="137">
        <f t="shared" ca="1" si="28"/>
        <v>10851</v>
      </c>
      <c r="E296" s="137">
        <f t="shared" ca="1" si="28"/>
        <v>10248</v>
      </c>
      <c r="F296" s="137">
        <f t="shared" ca="1" si="28"/>
        <v>7640</v>
      </c>
      <c r="G296" s="137">
        <f t="shared" ca="1" si="28"/>
        <v>5311</v>
      </c>
      <c r="H296" s="137">
        <f t="shared" ca="1" si="28"/>
        <v>4456</v>
      </c>
      <c r="I296" s="137">
        <f t="shared" ca="1" si="28"/>
        <v>3645</v>
      </c>
      <c r="J296" s="137">
        <f t="shared" ca="1" si="28"/>
        <v>3069</v>
      </c>
      <c r="K296" s="137">
        <f t="shared" ca="1" si="28"/>
        <v>2970</v>
      </c>
      <c r="L296" s="137">
        <f t="shared" ca="1" si="28"/>
        <v>3447</v>
      </c>
      <c r="M296" s="137">
        <f t="shared" ca="1" si="28"/>
        <v>4525</v>
      </c>
      <c r="N296" s="146">
        <f t="shared" ca="1" si="28"/>
        <v>7180</v>
      </c>
    </row>
    <row r="297" spans="1:14" x14ac:dyDescent="0.25">
      <c r="A297" s="143">
        <v>245</v>
      </c>
      <c r="B297" s="137"/>
      <c r="C297" s="137">
        <f t="shared" ca="1" si="28"/>
        <v>10693</v>
      </c>
      <c r="D297" s="137">
        <f t="shared" ca="1" si="28"/>
        <v>11311</v>
      </c>
      <c r="E297" s="137">
        <f t="shared" ca="1" si="28"/>
        <v>10676</v>
      </c>
      <c r="F297" s="137">
        <f t="shared" ca="1" si="28"/>
        <v>8004</v>
      </c>
      <c r="G297" s="137">
        <f t="shared" ca="1" si="28"/>
        <v>5621</v>
      </c>
      <c r="H297" s="137">
        <f t="shared" ca="1" si="28"/>
        <v>4754</v>
      </c>
      <c r="I297" s="137">
        <f t="shared" ca="1" si="28"/>
        <v>3925</v>
      </c>
      <c r="J297" s="137">
        <f t="shared" ca="1" si="28"/>
        <v>3347</v>
      </c>
      <c r="K297" s="137">
        <f t="shared" ca="1" si="28"/>
        <v>3236</v>
      </c>
      <c r="L297" s="137">
        <f t="shared" ca="1" si="28"/>
        <v>3720</v>
      </c>
      <c r="M297" s="137">
        <f t="shared" ca="1" si="28"/>
        <v>4816</v>
      </c>
      <c r="N297" s="146">
        <f t="shared" ca="1" si="28"/>
        <v>7509</v>
      </c>
    </row>
    <row r="298" spans="1:14" x14ac:dyDescent="0.25">
      <c r="A298" s="143">
        <v>246</v>
      </c>
      <c r="B298" s="137"/>
      <c r="C298" s="137">
        <f t="shared" ca="1" si="28"/>
        <v>11559</v>
      </c>
      <c r="D298" s="137">
        <f t="shared" ca="1" si="28"/>
        <v>12433</v>
      </c>
      <c r="E298" s="137">
        <f t="shared" ca="1" si="28"/>
        <v>11776</v>
      </c>
      <c r="F298" s="137">
        <f t="shared" ca="1" si="28"/>
        <v>9042</v>
      </c>
      <c r="G298" s="137">
        <f t="shared" ca="1" si="28"/>
        <v>6508</v>
      </c>
      <c r="H298" s="137">
        <f t="shared" ca="1" si="28"/>
        <v>5641</v>
      </c>
      <c r="I298" s="137">
        <f t="shared" ca="1" si="28"/>
        <v>4639</v>
      </c>
      <c r="J298" s="137">
        <f t="shared" ca="1" si="28"/>
        <v>3954</v>
      </c>
      <c r="K298" s="137">
        <f t="shared" ca="1" si="28"/>
        <v>3842</v>
      </c>
      <c r="L298" s="137">
        <f t="shared" ca="1" si="28"/>
        <v>4380</v>
      </c>
      <c r="M298" s="137">
        <f t="shared" ca="1" si="28"/>
        <v>5473</v>
      </c>
      <c r="N298" s="146">
        <f t="shared" ca="1" si="28"/>
        <v>8161</v>
      </c>
    </row>
    <row r="299" spans="1:14" x14ac:dyDescent="0.25">
      <c r="A299" s="143">
        <v>247</v>
      </c>
      <c r="B299" s="137"/>
      <c r="C299" s="137">
        <f t="shared" ca="1" si="28"/>
        <v>289</v>
      </c>
      <c r="D299" s="137">
        <f t="shared" ca="1" si="28"/>
        <v>323</v>
      </c>
      <c r="E299" s="137">
        <f t="shared" ca="1" si="28"/>
        <v>328</v>
      </c>
      <c r="F299" s="137">
        <f t="shared" ca="1" si="28"/>
        <v>253</v>
      </c>
      <c r="G299" s="137">
        <f t="shared" ca="1" si="28"/>
        <v>177</v>
      </c>
      <c r="H299" s="137">
        <f t="shared" ca="1" si="28"/>
        <v>139</v>
      </c>
      <c r="I299" s="137">
        <f t="shared" ca="1" si="28"/>
        <v>116</v>
      </c>
      <c r="J299" s="137">
        <f t="shared" ca="1" si="28"/>
        <v>101</v>
      </c>
      <c r="K299" s="137">
        <f t="shared" ca="1" si="28"/>
        <v>103</v>
      </c>
      <c r="L299" s="137">
        <f t="shared" ca="1" si="28"/>
        <v>128</v>
      </c>
      <c r="M299" s="137">
        <f t="shared" ca="1" si="28"/>
        <v>166</v>
      </c>
      <c r="N299" s="146">
        <f t="shared" ca="1" si="28"/>
        <v>231</v>
      </c>
    </row>
    <row r="300" spans="1:14" x14ac:dyDescent="0.25">
      <c r="A300" s="143">
        <v>248</v>
      </c>
      <c r="B300" s="137"/>
      <c r="C300" s="137">
        <f t="shared" ca="1" si="28"/>
        <v>301</v>
      </c>
      <c r="D300" s="137">
        <f t="shared" ca="1" si="28"/>
        <v>336</v>
      </c>
      <c r="E300" s="137">
        <f t="shared" ca="1" si="28"/>
        <v>341</v>
      </c>
      <c r="F300" s="137">
        <f t="shared" ca="1" si="28"/>
        <v>263</v>
      </c>
      <c r="G300" s="137">
        <f t="shared" ca="1" si="28"/>
        <v>184</v>
      </c>
      <c r="H300" s="137">
        <f t="shared" ca="1" si="28"/>
        <v>145</v>
      </c>
      <c r="I300" s="137">
        <f t="shared" ca="1" si="28"/>
        <v>121</v>
      </c>
      <c r="J300" s="137">
        <f t="shared" ca="1" si="28"/>
        <v>105</v>
      </c>
      <c r="K300" s="137">
        <f t="shared" ca="1" si="28"/>
        <v>107</v>
      </c>
      <c r="L300" s="137">
        <f t="shared" ca="1" si="28"/>
        <v>133</v>
      </c>
      <c r="M300" s="137">
        <f t="shared" ca="1" si="28"/>
        <v>173</v>
      </c>
      <c r="N300" s="146">
        <f t="shared" ca="1" si="28"/>
        <v>241</v>
      </c>
    </row>
    <row r="301" spans="1:14" x14ac:dyDescent="0.25">
      <c r="A301" s="143">
        <v>249</v>
      </c>
      <c r="B301" s="137"/>
      <c r="C301" s="137">
        <f t="shared" ca="1" si="28"/>
        <v>512</v>
      </c>
      <c r="D301" s="137">
        <f t="shared" ca="1" si="28"/>
        <v>553</v>
      </c>
      <c r="E301" s="137">
        <f t="shared" ca="1" si="28"/>
        <v>458</v>
      </c>
      <c r="F301" s="137">
        <f t="shared" ca="1" si="28"/>
        <v>331</v>
      </c>
      <c r="G301" s="137">
        <f t="shared" ca="1" si="28"/>
        <v>305</v>
      </c>
      <c r="H301" s="137">
        <f t="shared" ca="1" si="28"/>
        <v>319</v>
      </c>
      <c r="I301" s="137">
        <f t="shared" ca="1" si="28"/>
        <v>281</v>
      </c>
      <c r="J301" s="137">
        <f t="shared" ca="1" si="28"/>
        <v>232</v>
      </c>
      <c r="K301" s="137">
        <f t="shared" ca="1" si="28"/>
        <v>258</v>
      </c>
      <c r="L301" s="137">
        <f t="shared" ca="1" si="28"/>
        <v>309</v>
      </c>
      <c r="M301" s="137">
        <f t="shared" ca="1" si="28"/>
        <v>286</v>
      </c>
      <c r="N301" s="146">
        <f t="shared" ca="1" si="28"/>
        <v>355</v>
      </c>
    </row>
    <row r="302" spans="1:14" x14ac:dyDescent="0.25">
      <c r="A302" s="143">
        <v>250</v>
      </c>
      <c r="B302" s="137"/>
      <c r="C302" s="137">
        <f t="shared" ca="1" si="28"/>
        <v>0</v>
      </c>
      <c r="D302" s="137">
        <f t="shared" ca="1" si="28"/>
        <v>0</v>
      </c>
      <c r="E302" s="137">
        <f t="shared" ca="1" si="28"/>
        <v>0</v>
      </c>
      <c r="F302" s="137">
        <f t="shared" ca="1" si="28"/>
        <v>0</v>
      </c>
      <c r="G302" s="137">
        <f t="shared" ca="1" si="28"/>
        <v>0</v>
      </c>
      <c r="H302" s="137">
        <f t="shared" ca="1" si="28"/>
        <v>0</v>
      </c>
      <c r="I302" s="137">
        <f t="shared" ca="1" si="28"/>
        <v>0</v>
      </c>
      <c r="J302" s="137">
        <f t="shared" ca="1" si="28"/>
        <v>0</v>
      </c>
      <c r="K302" s="137">
        <f t="shared" ca="1" si="28"/>
        <v>0</v>
      </c>
      <c r="L302" s="137">
        <f t="shared" ca="1" si="28"/>
        <v>0</v>
      </c>
      <c r="M302" s="137">
        <f t="shared" ca="1" si="28"/>
        <v>0</v>
      </c>
      <c r="N302" s="146">
        <f t="shared" ca="1" si="28"/>
        <v>0</v>
      </c>
    </row>
    <row r="303" spans="1:14" x14ac:dyDescent="0.25">
      <c r="A303" s="143">
        <v>251</v>
      </c>
      <c r="B303" s="137"/>
      <c r="C303" s="137">
        <f t="shared" ref="C303:N312" ca="1" si="29">ROUND(INDEX(INDIRECT(IF(C$13="E",$Q$53,$Q$54)),$A303,C$52),0)</f>
        <v>322</v>
      </c>
      <c r="D303" s="137">
        <f t="shared" ca="1" si="29"/>
        <v>322</v>
      </c>
      <c r="E303" s="137">
        <f t="shared" ca="1" si="29"/>
        <v>322</v>
      </c>
      <c r="F303" s="137">
        <f t="shared" ca="1" si="29"/>
        <v>241</v>
      </c>
      <c r="G303" s="137">
        <f t="shared" ca="1" si="29"/>
        <v>152</v>
      </c>
      <c r="H303" s="137">
        <f t="shared" ca="1" si="29"/>
        <v>116</v>
      </c>
      <c r="I303" s="137">
        <f t="shared" ca="1" si="29"/>
        <v>91</v>
      </c>
      <c r="J303" s="137">
        <f t="shared" ca="1" si="29"/>
        <v>72</v>
      </c>
      <c r="K303" s="137">
        <f t="shared" ca="1" si="29"/>
        <v>61</v>
      </c>
      <c r="L303" s="137">
        <f t="shared" ca="1" si="29"/>
        <v>74</v>
      </c>
      <c r="M303" s="137">
        <f t="shared" ca="1" si="29"/>
        <v>127</v>
      </c>
      <c r="N303" s="146">
        <f t="shared" ca="1" si="29"/>
        <v>242</v>
      </c>
    </row>
    <row r="304" spans="1:14" x14ac:dyDescent="0.25">
      <c r="A304" s="143">
        <v>252</v>
      </c>
      <c r="B304" s="137"/>
      <c r="C304" s="137">
        <f t="shared" ca="1" si="29"/>
        <v>102</v>
      </c>
      <c r="D304" s="137">
        <f t="shared" ca="1" si="29"/>
        <v>115</v>
      </c>
      <c r="E304" s="137">
        <f t="shared" ca="1" si="29"/>
        <v>113</v>
      </c>
      <c r="F304" s="137">
        <f t="shared" ca="1" si="29"/>
        <v>89</v>
      </c>
      <c r="G304" s="137">
        <f t="shared" ca="1" si="29"/>
        <v>66</v>
      </c>
      <c r="H304" s="137">
        <f t="shared" ca="1" si="29"/>
        <v>56</v>
      </c>
      <c r="I304" s="137">
        <f t="shared" ca="1" si="29"/>
        <v>51</v>
      </c>
      <c r="J304" s="137">
        <f t="shared" ca="1" si="29"/>
        <v>47</v>
      </c>
      <c r="K304" s="137">
        <f t="shared" ca="1" si="29"/>
        <v>48</v>
      </c>
      <c r="L304" s="137">
        <f t="shared" ca="1" si="29"/>
        <v>52</v>
      </c>
      <c r="M304" s="137">
        <f t="shared" ca="1" si="29"/>
        <v>61</v>
      </c>
      <c r="N304" s="146">
        <f t="shared" ca="1" si="29"/>
        <v>80</v>
      </c>
    </row>
    <row r="305" spans="1:14" x14ac:dyDescent="0.25">
      <c r="A305" s="143">
        <v>253</v>
      </c>
      <c r="B305" s="137"/>
      <c r="C305" s="137">
        <f t="shared" ca="1" si="29"/>
        <v>1759</v>
      </c>
      <c r="D305" s="137">
        <f t="shared" ca="1" si="29"/>
        <v>1996</v>
      </c>
      <c r="E305" s="137">
        <f t="shared" ca="1" si="29"/>
        <v>1864</v>
      </c>
      <c r="F305" s="137">
        <f t="shared" ca="1" si="29"/>
        <v>1343</v>
      </c>
      <c r="G305" s="137">
        <f t="shared" ca="1" si="29"/>
        <v>710</v>
      </c>
      <c r="H305" s="137">
        <f t="shared" ca="1" si="29"/>
        <v>482</v>
      </c>
      <c r="I305" s="137">
        <f t="shared" ca="1" si="29"/>
        <v>365</v>
      </c>
      <c r="J305" s="137">
        <f t="shared" ca="1" si="29"/>
        <v>285</v>
      </c>
      <c r="K305" s="137">
        <f t="shared" ca="1" si="29"/>
        <v>269</v>
      </c>
      <c r="L305" s="137">
        <f t="shared" ca="1" si="29"/>
        <v>386</v>
      </c>
      <c r="M305" s="137">
        <f t="shared" ca="1" si="29"/>
        <v>698</v>
      </c>
      <c r="N305" s="146">
        <f t="shared" ca="1" si="29"/>
        <v>1306</v>
      </c>
    </row>
    <row r="306" spans="1:14" x14ac:dyDescent="0.25">
      <c r="A306" s="143">
        <v>254</v>
      </c>
      <c r="B306" s="137"/>
      <c r="C306" s="137">
        <f t="shared" ca="1" si="29"/>
        <v>158</v>
      </c>
      <c r="D306" s="137">
        <f t="shared" ca="1" si="29"/>
        <v>159</v>
      </c>
      <c r="E306" s="137">
        <f t="shared" ca="1" si="29"/>
        <v>159</v>
      </c>
      <c r="F306" s="137">
        <f t="shared" ca="1" si="29"/>
        <v>132</v>
      </c>
      <c r="G306" s="137">
        <f t="shared" ca="1" si="29"/>
        <v>80</v>
      </c>
      <c r="H306" s="137">
        <f t="shared" ca="1" si="29"/>
        <v>55</v>
      </c>
      <c r="I306" s="137">
        <f t="shared" ca="1" si="29"/>
        <v>55</v>
      </c>
      <c r="J306" s="137">
        <f t="shared" ca="1" si="29"/>
        <v>44</v>
      </c>
      <c r="K306" s="137">
        <f t="shared" ca="1" si="29"/>
        <v>30</v>
      </c>
      <c r="L306" s="137">
        <f t="shared" ca="1" si="29"/>
        <v>36</v>
      </c>
      <c r="M306" s="137">
        <f t="shared" ca="1" si="29"/>
        <v>96</v>
      </c>
      <c r="N306" s="146">
        <f t="shared" ca="1" si="29"/>
        <v>201</v>
      </c>
    </row>
    <row r="307" spans="1:14" x14ac:dyDescent="0.25">
      <c r="A307" s="143">
        <v>255</v>
      </c>
      <c r="B307" s="137"/>
      <c r="C307" s="137">
        <f t="shared" ca="1" si="29"/>
        <v>347</v>
      </c>
      <c r="D307" s="137">
        <f t="shared" ca="1" si="29"/>
        <v>235</v>
      </c>
      <c r="E307" s="137">
        <f t="shared" ca="1" si="29"/>
        <v>213</v>
      </c>
      <c r="F307" s="137">
        <f t="shared" ca="1" si="29"/>
        <v>134</v>
      </c>
      <c r="G307" s="137">
        <f t="shared" ca="1" si="29"/>
        <v>71</v>
      </c>
      <c r="H307" s="137">
        <f t="shared" ca="1" si="29"/>
        <v>53</v>
      </c>
      <c r="I307" s="137">
        <f t="shared" ca="1" si="29"/>
        <v>44</v>
      </c>
      <c r="J307" s="137">
        <f t="shared" ca="1" si="29"/>
        <v>37</v>
      </c>
      <c r="K307" s="137">
        <f t="shared" ca="1" si="29"/>
        <v>35</v>
      </c>
      <c r="L307" s="137">
        <f t="shared" ca="1" si="29"/>
        <v>68</v>
      </c>
      <c r="M307" s="137">
        <f t="shared" ca="1" si="29"/>
        <v>201</v>
      </c>
      <c r="N307" s="146">
        <f t="shared" ca="1" si="29"/>
        <v>360</v>
      </c>
    </row>
    <row r="308" spans="1:14" x14ac:dyDescent="0.25">
      <c r="A308" s="143">
        <v>256</v>
      </c>
      <c r="B308" s="137"/>
      <c r="C308" s="137">
        <f t="shared" ca="1" si="29"/>
        <v>0</v>
      </c>
      <c r="D308" s="137">
        <f t="shared" ca="1" si="29"/>
        <v>0</v>
      </c>
      <c r="E308" s="137">
        <f t="shared" ca="1" si="29"/>
        <v>0</v>
      </c>
      <c r="F308" s="137">
        <f t="shared" ca="1" si="29"/>
        <v>0</v>
      </c>
      <c r="G308" s="137">
        <f t="shared" ca="1" si="29"/>
        <v>0</v>
      </c>
      <c r="H308" s="137">
        <f t="shared" ca="1" si="29"/>
        <v>0</v>
      </c>
      <c r="I308" s="137">
        <f t="shared" ca="1" si="29"/>
        <v>0</v>
      </c>
      <c r="J308" s="137">
        <f t="shared" ca="1" si="29"/>
        <v>0</v>
      </c>
      <c r="K308" s="137">
        <f t="shared" ca="1" si="29"/>
        <v>0</v>
      </c>
      <c r="L308" s="137">
        <f t="shared" ca="1" si="29"/>
        <v>0</v>
      </c>
      <c r="M308" s="137">
        <f t="shared" ca="1" si="29"/>
        <v>0</v>
      </c>
      <c r="N308" s="146">
        <f t="shared" ca="1" si="29"/>
        <v>0</v>
      </c>
    </row>
    <row r="309" spans="1:14" x14ac:dyDescent="0.25">
      <c r="A309" s="143">
        <v>257</v>
      </c>
      <c r="B309" s="137"/>
      <c r="C309" s="137">
        <f t="shared" ca="1" si="29"/>
        <v>3125</v>
      </c>
      <c r="D309" s="137">
        <f t="shared" ca="1" si="29"/>
        <v>3519</v>
      </c>
      <c r="E309" s="137">
        <f t="shared" ca="1" si="29"/>
        <v>3369</v>
      </c>
      <c r="F309" s="137">
        <f t="shared" ca="1" si="29"/>
        <v>2386</v>
      </c>
      <c r="G309" s="137">
        <f t="shared" ca="1" si="29"/>
        <v>1189</v>
      </c>
      <c r="H309" s="137">
        <f t="shared" ca="1" si="29"/>
        <v>783</v>
      </c>
      <c r="I309" s="137">
        <f t="shared" ca="1" si="29"/>
        <v>600</v>
      </c>
      <c r="J309" s="137">
        <f t="shared" ca="1" si="29"/>
        <v>482</v>
      </c>
      <c r="K309" s="137">
        <f t="shared" ca="1" si="29"/>
        <v>459</v>
      </c>
      <c r="L309" s="137">
        <f t="shared" ca="1" si="29"/>
        <v>635</v>
      </c>
      <c r="M309" s="137">
        <f t="shared" ca="1" si="29"/>
        <v>1197</v>
      </c>
      <c r="N309" s="146">
        <f t="shared" ca="1" si="29"/>
        <v>2332</v>
      </c>
    </row>
    <row r="310" spans="1:14" x14ac:dyDescent="0.25">
      <c r="A310" s="143">
        <v>258</v>
      </c>
      <c r="B310" s="137"/>
      <c r="C310" s="137">
        <f t="shared" ca="1" si="29"/>
        <v>415</v>
      </c>
      <c r="D310" s="137">
        <f t="shared" ca="1" si="29"/>
        <v>286</v>
      </c>
      <c r="E310" s="137">
        <f t="shared" ca="1" si="29"/>
        <v>249</v>
      </c>
      <c r="F310" s="137">
        <f t="shared" ca="1" si="29"/>
        <v>158</v>
      </c>
      <c r="G310" s="137">
        <f t="shared" ca="1" si="29"/>
        <v>84</v>
      </c>
      <c r="H310" s="137">
        <f t="shared" ca="1" si="29"/>
        <v>63</v>
      </c>
      <c r="I310" s="137">
        <f t="shared" ca="1" si="29"/>
        <v>53</v>
      </c>
      <c r="J310" s="137">
        <f t="shared" ca="1" si="29"/>
        <v>44</v>
      </c>
      <c r="K310" s="137">
        <f t="shared" ca="1" si="29"/>
        <v>43</v>
      </c>
      <c r="L310" s="137">
        <f t="shared" ca="1" si="29"/>
        <v>79</v>
      </c>
      <c r="M310" s="137">
        <f t="shared" ca="1" si="29"/>
        <v>236</v>
      </c>
      <c r="N310" s="146">
        <f t="shared" ca="1" si="29"/>
        <v>430</v>
      </c>
    </row>
    <row r="311" spans="1:14" x14ac:dyDescent="0.25">
      <c r="A311" s="143">
        <v>259</v>
      </c>
      <c r="B311" s="137"/>
      <c r="C311" s="137">
        <f t="shared" ca="1" si="29"/>
        <v>102</v>
      </c>
      <c r="D311" s="137">
        <f t="shared" ca="1" si="29"/>
        <v>115</v>
      </c>
      <c r="E311" s="137">
        <f t="shared" ca="1" si="29"/>
        <v>113</v>
      </c>
      <c r="F311" s="137">
        <f t="shared" ca="1" si="29"/>
        <v>89</v>
      </c>
      <c r="G311" s="137">
        <f t="shared" ca="1" si="29"/>
        <v>66</v>
      </c>
      <c r="H311" s="137">
        <f t="shared" ca="1" si="29"/>
        <v>56</v>
      </c>
      <c r="I311" s="137">
        <f t="shared" ca="1" si="29"/>
        <v>51</v>
      </c>
      <c r="J311" s="137">
        <f t="shared" ca="1" si="29"/>
        <v>47</v>
      </c>
      <c r="K311" s="137">
        <f t="shared" ca="1" si="29"/>
        <v>48</v>
      </c>
      <c r="L311" s="137">
        <f t="shared" ca="1" si="29"/>
        <v>52</v>
      </c>
      <c r="M311" s="137">
        <f t="shared" ca="1" si="29"/>
        <v>61</v>
      </c>
      <c r="N311" s="146">
        <f t="shared" ca="1" si="29"/>
        <v>80</v>
      </c>
    </row>
    <row r="312" spans="1:14" x14ac:dyDescent="0.25">
      <c r="A312" s="143">
        <v>260</v>
      </c>
      <c r="B312" s="137"/>
      <c r="C312" s="137">
        <f t="shared" ca="1" si="29"/>
        <v>0</v>
      </c>
      <c r="D312" s="137">
        <f t="shared" ca="1" si="29"/>
        <v>0</v>
      </c>
      <c r="E312" s="137">
        <f t="shared" ca="1" si="29"/>
        <v>0</v>
      </c>
      <c r="F312" s="137">
        <f t="shared" ca="1" si="29"/>
        <v>0</v>
      </c>
      <c r="G312" s="137">
        <f t="shared" ca="1" si="29"/>
        <v>0</v>
      </c>
      <c r="H312" s="137">
        <f t="shared" ca="1" si="29"/>
        <v>0</v>
      </c>
      <c r="I312" s="137">
        <f t="shared" ca="1" si="29"/>
        <v>0</v>
      </c>
      <c r="J312" s="137">
        <f t="shared" ca="1" si="29"/>
        <v>0</v>
      </c>
      <c r="K312" s="137">
        <f t="shared" ca="1" si="29"/>
        <v>0</v>
      </c>
      <c r="L312" s="137">
        <f t="shared" ca="1" si="29"/>
        <v>0</v>
      </c>
      <c r="M312" s="137">
        <f t="shared" ca="1" si="29"/>
        <v>0</v>
      </c>
      <c r="N312" s="146">
        <f t="shared" ca="1" si="29"/>
        <v>0</v>
      </c>
    </row>
    <row r="313" spans="1:14" x14ac:dyDescent="0.25">
      <c r="A313" s="143">
        <v>261</v>
      </c>
      <c r="B313" s="137"/>
      <c r="C313" s="137">
        <f t="shared" ref="C313:N322" ca="1" si="30">ROUND(INDEX(INDIRECT(IF(C$13="E",$Q$53,$Q$54)),$A313,C$52),0)</f>
        <v>322</v>
      </c>
      <c r="D313" s="137">
        <f t="shared" ca="1" si="30"/>
        <v>360</v>
      </c>
      <c r="E313" s="137">
        <f t="shared" ca="1" si="30"/>
        <v>365</v>
      </c>
      <c r="F313" s="137">
        <f t="shared" ca="1" si="30"/>
        <v>283</v>
      </c>
      <c r="G313" s="137">
        <f t="shared" ca="1" si="30"/>
        <v>198</v>
      </c>
      <c r="H313" s="137">
        <f t="shared" ca="1" si="30"/>
        <v>156</v>
      </c>
      <c r="I313" s="137">
        <f t="shared" ca="1" si="30"/>
        <v>130</v>
      </c>
      <c r="J313" s="137">
        <f t="shared" ca="1" si="30"/>
        <v>113</v>
      </c>
      <c r="K313" s="137">
        <f t="shared" ca="1" si="30"/>
        <v>115</v>
      </c>
      <c r="L313" s="137">
        <f t="shared" ca="1" si="30"/>
        <v>143</v>
      </c>
      <c r="M313" s="137">
        <f t="shared" ca="1" si="30"/>
        <v>185</v>
      </c>
      <c r="N313" s="146">
        <f t="shared" ca="1" si="30"/>
        <v>257</v>
      </c>
    </row>
    <row r="314" spans="1:14" x14ac:dyDescent="0.25">
      <c r="A314" s="143">
        <v>262</v>
      </c>
      <c r="B314" s="137"/>
      <c r="C314" s="137">
        <f t="shared" ca="1" si="30"/>
        <v>153</v>
      </c>
      <c r="D314" s="137">
        <f t="shared" ca="1" si="30"/>
        <v>117</v>
      </c>
      <c r="E314" s="137">
        <f t="shared" ca="1" si="30"/>
        <v>105</v>
      </c>
      <c r="F314" s="137">
        <f t="shared" ca="1" si="30"/>
        <v>76</v>
      </c>
      <c r="G314" s="137">
        <f t="shared" ca="1" si="30"/>
        <v>57</v>
      </c>
      <c r="H314" s="137">
        <f t="shared" ca="1" si="30"/>
        <v>49</v>
      </c>
      <c r="I314" s="137">
        <f t="shared" ca="1" si="30"/>
        <v>43</v>
      </c>
      <c r="J314" s="137">
        <f t="shared" ca="1" si="30"/>
        <v>38</v>
      </c>
      <c r="K314" s="137">
        <f t="shared" ca="1" si="30"/>
        <v>38</v>
      </c>
      <c r="L314" s="137">
        <f t="shared" ca="1" si="30"/>
        <v>48</v>
      </c>
      <c r="M314" s="137">
        <f t="shared" ca="1" si="30"/>
        <v>79</v>
      </c>
      <c r="N314" s="146">
        <f t="shared" ca="1" si="30"/>
        <v>131</v>
      </c>
    </row>
    <row r="315" spans="1:14" x14ac:dyDescent="0.25">
      <c r="A315" s="143">
        <v>263</v>
      </c>
      <c r="B315" s="137"/>
      <c r="C315" s="137">
        <f t="shared" ca="1" si="30"/>
        <v>310</v>
      </c>
      <c r="D315" s="137">
        <f t="shared" ca="1" si="30"/>
        <v>251</v>
      </c>
      <c r="E315" s="137">
        <f t="shared" ca="1" si="30"/>
        <v>224</v>
      </c>
      <c r="F315" s="137">
        <f t="shared" ca="1" si="30"/>
        <v>170</v>
      </c>
      <c r="G315" s="137">
        <f t="shared" ca="1" si="30"/>
        <v>122</v>
      </c>
      <c r="H315" s="137">
        <f t="shared" ca="1" si="30"/>
        <v>100</v>
      </c>
      <c r="I315" s="137">
        <f t="shared" ca="1" si="30"/>
        <v>85</v>
      </c>
      <c r="J315" s="137">
        <f t="shared" ca="1" si="30"/>
        <v>74</v>
      </c>
      <c r="K315" s="137">
        <f t="shared" ca="1" si="30"/>
        <v>71</v>
      </c>
      <c r="L315" s="137">
        <f t="shared" ca="1" si="30"/>
        <v>91</v>
      </c>
      <c r="M315" s="137">
        <f t="shared" ca="1" si="30"/>
        <v>169</v>
      </c>
      <c r="N315" s="146">
        <f t="shared" ca="1" si="30"/>
        <v>269</v>
      </c>
    </row>
    <row r="316" spans="1:14" x14ac:dyDescent="0.25">
      <c r="A316" s="143">
        <v>264</v>
      </c>
      <c r="B316" s="137"/>
      <c r="C316" s="137">
        <f t="shared" ca="1" si="30"/>
        <v>0</v>
      </c>
      <c r="D316" s="137">
        <f t="shared" ca="1" si="30"/>
        <v>0</v>
      </c>
      <c r="E316" s="137">
        <f t="shared" ca="1" si="30"/>
        <v>0</v>
      </c>
      <c r="F316" s="137">
        <f t="shared" ca="1" si="30"/>
        <v>0</v>
      </c>
      <c r="G316" s="137">
        <f t="shared" ca="1" si="30"/>
        <v>0</v>
      </c>
      <c r="H316" s="137">
        <f t="shared" ca="1" si="30"/>
        <v>0</v>
      </c>
      <c r="I316" s="137">
        <f t="shared" ca="1" si="30"/>
        <v>0</v>
      </c>
      <c r="J316" s="137">
        <f t="shared" ca="1" si="30"/>
        <v>0</v>
      </c>
      <c r="K316" s="137">
        <f t="shared" ca="1" si="30"/>
        <v>0</v>
      </c>
      <c r="L316" s="137">
        <f t="shared" ca="1" si="30"/>
        <v>0</v>
      </c>
      <c r="M316" s="137">
        <f t="shared" ca="1" si="30"/>
        <v>0</v>
      </c>
      <c r="N316" s="146">
        <f t="shared" ca="1" si="30"/>
        <v>0</v>
      </c>
    </row>
    <row r="317" spans="1:14" x14ac:dyDescent="0.25">
      <c r="A317" s="143">
        <v>265</v>
      </c>
      <c r="B317" s="137"/>
      <c r="C317" s="137">
        <f t="shared" ca="1" si="30"/>
        <v>69</v>
      </c>
      <c r="D317" s="137">
        <f t="shared" ca="1" si="30"/>
        <v>54</v>
      </c>
      <c r="E317" s="137">
        <f t="shared" ca="1" si="30"/>
        <v>49</v>
      </c>
      <c r="F317" s="137">
        <f t="shared" ca="1" si="30"/>
        <v>41</v>
      </c>
      <c r="G317" s="137">
        <f t="shared" ca="1" si="30"/>
        <v>31</v>
      </c>
      <c r="H317" s="137">
        <f t="shared" ca="1" si="30"/>
        <v>27</v>
      </c>
      <c r="I317" s="137">
        <f t="shared" ca="1" si="30"/>
        <v>25</v>
      </c>
      <c r="J317" s="137">
        <f t="shared" ca="1" si="30"/>
        <v>22</v>
      </c>
      <c r="K317" s="137">
        <f t="shared" ca="1" si="30"/>
        <v>21</v>
      </c>
      <c r="L317" s="137">
        <f t="shared" ca="1" si="30"/>
        <v>25</v>
      </c>
      <c r="M317" s="137">
        <f t="shared" ca="1" si="30"/>
        <v>40</v>
      </c>
      <c r="N317" s="146">
        <f t="shared" ca="1" si="30"/>
        <v>62</v>
      </c>
    </row>
    <row r="318" spans="1:14" x14ac:dyDescent="0.25">
      <c r="A318" s="143">
        <v>266</v>
      </c>
      <c r="B318" s="137"/>
      <c r="C318" s="137">
        <f t="shared" ca="1" si="30"/>
        <v>14842</v>
      </c>
      <c r="D318" s="137">
        <f t="shared" ca="1" si="30"/>
        <v>16211</v>
      </c>
      <c r="E318" s="137">
        <f t="shared" ca="1" si="30"/>
        <v>15079</v>
      </c>
      <c r="F318" s="137">
        <f t="shared" ca="1" si="30"/>
        <v>11975</v>
      </c>
      <c r="G318" s="137">
        <f t="shared" ca="1" si="30"/>
        <v>9577</v>
      </c>
      <c r="H318" s="137">
        <f t="shared" ca="1" si="30"/>
        <v>8867</v>
      </c>
      <c r="I318" s="137">
        <f t="shared" ca="1" si="30"/>
        <v>7506</v>
      </c>
      <c r="J318" s="137">
        <f t="shared" ca="1" si="30"/>
        <v>6311</v>
      </c>
      <c r="K318" s="137">
        <f t="shared" ca="1" si="30"/>
        <v>6353</v>
      </c>
      <c r="L318" s="137">
        <f t="shared" ca="1" si="30"/>
        <v>7630</v>
      </c>
      <c r="M318" s="137">
        <f t="shared" ca="1" si="30"/>
        <v>8377</v>
      </c>
      <c r="N318" s="146">
        <f t="shared" ca="1" si="30"/>
        <v>11034</v>
      </c>
    </row>
    <row r="319" spans="1:14" x14ac:dyDescent="0.25">
      <c r="A319" s="143">
        <v>267</v>
      </c>
      <c r="B319" s="137"/>
      <c r="C319" s="137">
        <f t="shared" ca="1" si="30"/>
        <v>271</v>
      </c>
      <c r="D319" s="137">
        <f t="shared" ca="1" si="30"/>
        <v>230</v>
      </c>
      <c r="E319" s="137">
        <f t="shared" ca="1" si="30"/>
        <v>205</v>
      </c>
      <c r="F319" s="137">
        <f t="shared" ca="1" si="30"/>
        <v>159</v>
      </c>
      <c r="G319" s="137">
        <f t="shared" ca="1" si="30"/>
        <v>122</v>
      </c>
      <c r="H319" s="137">
        <f t="shared" ca="1" si="30"/>
        <v>107</v>
      </c>
      <c r="I319" s="137">
        <f t="shared" ca="1" si="30"/>
        <v>95</v>
      </c>
      <c r="J319" s="137">
        <f t="shared" ca="1" si="30"/>
        <v>85</v>
      </c>
      <c r="K319" s="137">
        <f t="shared" ca="1" si="30"/>
        <v>85</v>
      </c>
      <c r="L319" s="137">
        <f t="shared" ca="1" si="30"/>
        <v>100</v>
      </c>
      <c r="M319" s="137">
        <f t="shared" ca="1" si="30"/>
        <v>146</v>
      </c>
      <c r="N319" s="146">
        <f t="shared" ca="1" si="30"/>
        <v>230</v>
      </c>
    </row>
    <row r="320" spans="1:14" x14ac:dyDescent="0.25">
      <c r="A320" s="143">
        <v>268</v>
      </c>
      <c r="B320" s="137"/>
      <c r="C320" s="137">
        <f t="shared" ca="1" si="30"/>
        <v>0</v>
      </c>
      <c r="D320" s="137">
        <f t="shared" ca="1" si="30"/>
        <v>0</v>
      </c>
      <c r="E320" s="137">
        <f t="shared" ca="1" si="30"/>
        <v>0</v>
      </c>
      <c r="F320" s="137">
        <f t="shared" ca="1" si="30"/>
        <v>0</v>
      </c>
      <c r="G320" s="137">
        <f t="shared" ca="1" si="30"/>
        <v>0</v>
      </c>
      <c r="H320" s="137">
        <f t="shared" ca="1" si="30"/>
        <v>0</v>
      </c>
      <c r="I320" s="137">
        <f t="shared" ca="1" si="30"/>
        <v>0</v>
      </c>
      <c r="J320" s="137">
        <f t="shared" ca="1" si="30"/>
        <v>0</v>
      </c>
      <c r="K320" s="137">
        <f t="shared" ca="1" si="30"/>
        <v>0</v>
      </c>
      <c r="L320" s="137">
        <f t="shared" ca="1" si="30"/>
        <v>0</v>
      </c>
      <c r="M320" s="137">
        <f t="shared" ca="1" si="30"/>
        <v>0</v>
      </c>
      <c r="N320" s="146">
        <f t="shared" ca="1" si="30"/>
        <v>0</v>
      </c>
    </row>
    <row r="321" spans="1:14" x14ac:dyDescent="0.25">
      <c r="A321" s="143">
        <v>269</v>
      </c>
      <c r="B321" s="137"/>
      <c r="C321" s="137">
        <f t="shared" ca="1" si="30"/>
        <v>383</v>
      </c>
      <c r="D321" s="137">
        <f t="shared" ca="1" si="30"/>
        <v>584</v>
      </c>
      <c r="E321" s="137">
        <f t="shared" ca="1" si="30"/>
        <v>747</v>
      </c>
      <c r="F321" s="137">
        <f t="shared" ca="1" si="30"/>
        <v>1021</v>
      </c>
      <c r="G321" s="137">
        <f t="shared" ca="1" si="30"/>
        <v>1186</v>
      </c>
      <c r="H321" s="137">
        <f t="shared" ca="1" si="30"/>
        <v>1053</v>
      </c>
      <c r="I321" s="137">
        <f t="shared" ca="1" si="30"/>
        <v>670</v>
      </c>
      <c r="J321" s="137">
        <f t="shared" ca="1" si="30"/>
        <v>422</v>
      </c>
      <c r="K321" s="137">
        <f t="shared" ca="1" si="30"/>
        <v>315</v>
      </c>
      <c r="L321" s="137">
        <f t="shared" ca="1" si="30"/>
        <v>266</v>
      </c>
      <c r="M321" s="137">
        <f t="shared" ca="1" si="30"/>
        <v>263</v>
      </c>
      <c r="N321" s="146">
        <f t="shared" ca="1" si="30"/>
        <v>293</v>
      </c>
    </row>
    <row r="322" spans="1:14" x14ac:dyDescent="0.25">
      <c r="A322" s="143">
        <v>270</v>
      </c>
      <c r="B322" s="137"/>
      <c r="C322" s="137">
        <f t="shared" ca="1" si="30"/>
        <v>1435</v>
      </c>
      <c r="D322" s="137">
        <f t="shared" ca="1" si="30"/>
        <v>1626</v>
      </c>
      <c r="E322" s="137">
        <f t="shared" ca="1" si="30"/>
        <v>1501</v>
      </c>
      <c r="F322" s="137">
        <f t="shared" ca="1" si="30"/>
        <v>1062</v>
      </c>
      <c r="G322" s="137">
        <f t="shared" ca="1" si="30"/>
        <v>562</v>
      </c>
      <c r="H322" s="137">
        <f t="shared" ca="1" si="30"/>
        <v>390</v>
      </c>
      <c r="I322" s="137">
        <f t="shared" ca="1" si="30"/>
        <v>294</v>
      </c>
      <c r="J322" s="137">
        <f t="shared" ca="1" si="30"/>
        <v>227</v>
      </c>
      <c r="K322" s="137">
        <f t="shared" ca="1" si="30"/>
        <v>216</v>
      </c>
      <c r="L322" s="137">
        <f t="shared" ca="1" si="30"/>
        <v>316</v>
      </c>
      <c r="M322" s="137">
        <f t="shared" ca="1" si="30"/>
        <v>570</v>
      </c>
      <c r="N322" s="146">
        <f t="shared" ca="1" si="30"/>
        <v>1064</v>
      </c>
    </row>
    <row r="323" spans="1:14" x14ac:dyDescent="0.25">
      <c r="A323" s="143">
        <v>271</v>
      </c>
      <c r="B323" s="137"/>
      <c r="C323" s="137">
        <f t="shared" ref="C323:N332" ca="1" si="31">ROUND(INDEX(INDIRECT(IF(C$13="E",$Q$53,$Q$54)),$A323,C$52),0)</f>
        <v>6904</v>
      </c>
      <c r="D323" s="137">
        <f t="shared" ca="1" si="31"/>
        <v>8298</v>
      </c>
      <c r="E323" s="137">
        <f t="shared" ca="1" si="31"/>
        <v>8801</v>
      </c>
      <c r="F323" s="137">
        <f t="shared" ca="1" si="31"/>
        <v>7326</v>
      </c>
      <c r="G323" s="137">
        <f t="shared" ca="1" si="31"/>
        <v>4115</v>
      </c>
      <c r="H323" s="137">
        <f t="shared" ca="1" si="31"/>
        <v>2349</v>
      </c>
      <c r="I323" s="137">
        <f t="shared" ca="1" si="31"/>
        <v>1663</v>
      </c>
      <c r="J323" s="137">
        <f t="shared" ca="1" si="31"/>
        <v>1280</v>
      </c>
      <c r="K323" s="137">
        <f t="shared" ca="1" si="31"/>
        <v>1155</v>
      </c>
      <c r="L323" s="137">
        <f t="shared" ca="1" si="31"/>
        <v>1495</v>
      </c>
      <c r="M323" s="137">
        <f t="shared" ca="1" si="31"/>
        <v>2601</v>
      </c>
      <c r="N323" s="146">
        <f t="shared" ca="1" si="31"/>
        <v>4780</v>
      </c>
    </row>
    <row r="324" spans="1:14" x14ac:dyDescent="0.25">
      <c r="A324" s="143">
        <v>272</v>
      </c>
      <c r="B324" s="137"/>
      <c r="C324" s="137">
        <f t="shared" ca="1" si="31"/>
        <v>0</v>
      </c>
      <c r="D324" s="137">
        <f t="shared" ca="1" si="31"/>
        <v>0</v>
      </c>
      <c r="E324" s="137">
        <f t="shared" ca="1" si="31"/>
        <v>0</v>
      </c>
      <c r="F324" s="137">
        <f t="shared" ca="1" si="31"/>
        <v>0</v>
      </c>
      <c r="G324" s="137">
        <f t="shared" ca="1" si="31"/>
        <v>0</v>
      </c>
      <c r="H324" s="137">
        <f t="shared" ca="1" si="31"/>
        <v>0</v>
      </c>
      <c r="I324" s="137">
        <f t="shared" ca="1" si="31"/>
        <v>0</v>
      </c>
      <c r="J324" s="137">
        <f t="shared" ca="1" si="31"/>
        <v>0</v>
      </c>
      <c r="K324" s="137">
        <f t="shared" ca="1" si="31"/>
        <v>0</v>
      </c>
      <c r="L324" s="137">
        <f t="shared" ca="1" si="31"/>
        <v>0</v>
      </c>
      <c r="M324" s="137">
        <f t="shared" ca="1" si="31"/>
        <v>0</v>
      </c>
      <c r="N324" s="146">
        <f t="shared" ca="1" si="31"/>
        <v>0</v>
      </c>
    </row>
    <row r="325" spans="1:14" x14ac:dyDescent="0.25">
      <c r="A325" s="143">
        <v>273</v>
      </c>
      <c r="B325" s="137"/>
      <c r="C325" s="137">
        <f t="shared" ca="1" si="31"/>
        <v>4457</v>
      </c>
      <c r="D325" s="137">
        <f t="shared" ca="1" si="31"/>
        <v>5124</v>
      </c>
      <c r="E325" s="137">
        <f t="shared" ca="1" si="31"/>
        <v>5144</v>
      </c>
      <c r="F325" s="137">
        <f t="shared" ca="1" si="31"/>
        <v>3833</v>
      </c>
      <c r="G325" s="137">
        <f t="shared" ca="1" si="31"/>
        <v>1893</v>
      </c>
      <c r="H325" s="137">
        <f t="shared" ca="1" si="31"/>
        <v>1127</v>
      </c>
      <c r="I325" s="137">
        <f t="shared" ca="1" si="31"/>
        <v>811</v>
      </c>
      <c r="J325" s="137">
        <f t="shared" ca="1" si="31"/>
        <v>622</v>
      </c>
      <c r="K325" s="137">
        <f t="shared" ca="1" si="31"/>
        <v>567</v>
      </c>
      <c r="L325" s="137">
        <f t="shared" ca="1" si="31"/>
        <v>794</v>
      </c>
      <c r="M325" s="137">
        <f t="shared" ca="1" si="31"/>
        <v>1573</v>
      </c>
      <c r="N325" s="146">
        <f t="shared" ca="1" si="31"/>
        <v>3179</v>
      </c>
    </row>
    <row r="326" spans="1:14" x14ac:dyDescent="0.25">
      <c r="A326" s="143">
        <v>274</v>
      </c>
      <c r="B326" s="137"/>
      <c r="C326" s="137">
        <f t="shared" ca="1" si="31"/>
        <v>7182</v>
      </c>
      <c r="D326" s="137">
        <f t="shared" ca="1" si="31"/>
        <v>8754</v>
      </c>
      <c r="E326" s="137">
        <f t="shared" ca="1" si="31"/>
        <v>9319</v>
      </c>
      <c r="F326" s="137">
        <f t="shared" ca="1" si="31"/>
        <v>8029</v>
      </c>
      <c r="G326" s="137">
        <f t="shared" ca="1" si="31"/>
        <v>4608</v>
      </c>
      <c r="H326" s="137">
        <f t="shared" ca="1" si="31"/>
        <v>2683</v>
      </c>
      <c r="I326" s="137">
        <f t="shared" ca="1" si="31"/>
        <v>1928</v>
      </c>
      <c r="J326" s="137">
        <f t="shared" ca="1" si="31"/>
        <v>1523</v>
      </c>
      <c r="K326" s="137">
        <f t="shared" ca="1" si="31"/>
        <v>1385</v>
      </c>
      <c r="L326" s="137">
        <f t="shared" ca="1" si="31"/>
        <v>1705</v>
      </c>
      <c r="M326" s="137">
        <f t="shared" ca="1" si="31"/>
        <v>2772</v>
      </c>
      <c r="N326" s="146">
        <f t="shared" ca="1" si="31"/>
        <v>4877</v>
      </c>
    </row>
    <row r="327" spans="1:14" x14ac:dyDescent="0.25">
      <c r="A327" s="143">
        <v>275</v>
      </c>
      <c r="B327" s="137"/>
      <c r="C327" s="137">
        <f t="shared" ca="1" si="31"/>
        <v>15155</v>
      </c>
      <c r="D327" s="137">
        <f t="shared" ca="1" si="31"/>
        <v>20528</v>
      </c>
      <c r="E327" s="137">
        <f t="shared" ca="1" si="31"/>
        <v>23995</v>
      </c>
      <c r="F327" s="137">
        <f t="shared" ca="1" si="31"/>
        <v>23999</v>
      </c>
      <c r="G327" s="137">
        <f t="shared" ca="1" si="31"/>
        <v>15616</v>
      </c>
      <c r="H327" s="137">
        <f t="shared" ca="1" si="31"/>
        <v>7321</v>
      </c>
      <c r="I327" s="137">
        <f t="shared" ca="1" si="31"/>
        <v>4212</v>
      </c>
      <c r="J327" s="137">
        <f t="shared" ca="1" si="31"/>
        <v>2957</v>
      </c>
      <c r="K327" s="137">
        <f t="shared" ca="1" si="31"/>
        <v>2333</v>
      </c>
      <c r="L327" s="137">
        <f t="shared" ca="1" si="31"/>
        <v>2620</v>
      </c>
      <c r="M327" s="137">
        <f t="shared" ca="1" si="31"/>
        <v>4346</v>
      </c>
      <c r="N327" s="146">
        <f t="shared" ca="1" si="31"/>
        <v>8574</v>
      </c>
    </row>
    <row r="328" spans="1:14" x14ac:dyDescent="0.25">
      <c r="A328" s="143">
        <v>276</v>
      </c>
      <c r="B328" s="137"/>
      <c r="C328" s="137">
        <f t="shared" ca="1" si="31"/>
        <v>6621</v>
      </c>
      <c r="D328" s="137">
        <f t="shared" ca="1" si="31"/>
        <v>10134</v>
      </c>
      <c r="E328" s="137">
        <f t="shared" ca="1" si="31"/>
        <v>12568</v>
      </c>
      <c r="F328" s="137">
        <f t="shared" ca="1" si="31"/>
        <v>13240</v>
      </c>
      <c r="G328" s="137">
        <f t="shared" ca="1" si="31"/>
        <v>8842</v>
      </c>
      <c r="H328" s="137">
        <f t="shared" ca="1" si="31"/>
        <v>3664</v>
      </c>
      <c r="I328" s="137">
        <f t="shared" ca="1" si="31"/>
        <v>1797</v>
      </c>
      <c r="J328" s="137">
        <f t="shared" ca="1" si="31"/>
        <v>1112</v>
      </c>
      <c r="K328" s="137">
        <f t="shared" ca="1" si="31"/>
        <v>823</v>
      </c>
      <c r="L328" s="137">
        <f t="shared" ca="1" si="31"/>
        <v>955</v>
      </c>
      <c r="M328" s="137">
        <f t="shared" ca="1" si="31"/>
        <v>1653</v>
      </c>
      <c r="N328" s="146">
        <f t="shared" ca="1" si="31"/>
        <v>3360</v>
      </c>
    </row>
    <row r="329" spans="1:14" x14ac:dyDescent="0.25">
      <c r="A329" s="143">
        <v>277</v>
      </c>
      <c r="B329" s="137"/>
      <c r="C329" s="137">
        <f t="shared" ca="1" si="31"/>
        <v>143</v>
      </c>
      <c r="D329" s="137">
        <f t="shared" ca="1" si="31"/>
        <v>208</v>
      </c>
      <c r="E329" s="137">
        <f t="shared" ca="1" si="31"/>
        <v>320</v>
      </c>
      <c r="F329" s="137">
        <f t="shared" ca="1" si="31"/>
        <v>406</v>
      </c>
      <c r="G329" s="137">
        <f t="shared" ca="1" si="31"/>
        <v>389</v>
      </c>
      <c r="H329" s="137">
        <f t="shared" ca="1" si="31"/>
        <v>267</v>
      </c>
      <c r="I329" s="137">
        <f t="shared" ca="1" si="31"/>
        <v>198</v>
      </c>
      <c r="J329" s="137">
        <f t="shared" ca="1" si="31"/>
        <v>149</v>
      </c>
      <c r="K329" s="137">
        <f t="shared" ca="1" si="31"/>
        <v>129</v>
      </c>
      <c r="L329" s="137">
        <f t="shared" ca="1" si="31"/>
        <v>115</v>
      </c>
      <c r="M329" s="137">
        <f t="shared" ca="1" si="31"/>
        <v>115</v>
      </c>
      <c r="N329" s="146">
        <f t="shared" ca="1" si="31"/>
        <v>119</v>
      </c>
    </row>
    <row r="330" spans="1:14" x14ac:dyDescent="0.25">
      <c r="A330" s="143">
        <v>278</v>
      </c>
      <c r="B330" s="137"/>
      <c r="C330" s="137">
        <f t="shared" ca="1" si="31"/>
        <v>306</v>
      </c>
      <c r="D330" s="137">
        <f t="shared" ca="1" si="31"/>
        <v>345</v>
      </c>
      <c r="E330" s="137">
        <f t="shared" ca="1" si="31"/>
        <v>323</v>
      </c>
      <c r="F330" s="137">
        <f t="shared" ca="1" si="31"/>
        <v>216</v>
      </c>
      <c r="G330" s="137">
        <f t="shared" ca="1" si="31"/>
        <v>123</v>
      </c>
      <c r="H330" s="137">
        <f t="shared" ca="1" si="31"/>
        <v>92</v>
      </c>
      <c r="I330" s="137">
        <f t="shared" ca="1" si="31"/>
        <v>78</v>
      </c>
      <c r="J330" s="137">
        <f t="shared" ca="1" si="31"/>
        <v>69</v>
      </c>
      <c r="K330" s="137">
        <f t="shared" ca="1" si="31"/>
        <v>70</v>
      </c>
      <c r="L330" s="137">
        <f t="shared" ca="1" si="31"/>
        <v>94</v>
      </c>
      <c r="M330" s="137">
        <f t="shared" ca="1" si="31"/>
        <v>130</v>
      </c>
      <c r="N330" s="146">
        <f t="shared" ca="1" si="31"/>
        <v>207</v>
      </c>
    </row>
    <row r="331" spans="1:14" x14ac:dyDescent="0.25">
      <c r="A331" s="143">
        <v>279</v>
      </c>
      <c r="B331" s="137"/>
      <c r="C331" s="137">
        <f t="shared" ca="1" si="31"/>
        <v>475</v>
      </c>
      <c r="D331" s="137">
        <f t="shared" ca="1" si="31"/>
        <v>742</v>
      </c>
      <c r="E331" s="137">
        <f t="shared" ca="1" si="31"/>
        <v>843</v>
      </c>
      <c r="F331" s="137">
        <f t="shared" ca="1" si="31"/>
        <v>757</v>
      </c>
      <c r="G331" s="137">
        <f t="shared" ca="1" si="31"/>
        <v>462</v>
      </c>
      <c r="H331" s="137">
        <f t="shared" ca="1" si="31"/>
        <v>245</v>
      </c>
      <c r="I331" s="137">
        <f t="shared" ca="1" si="31"/>
        <v>145</v>
      </c>
      <c r="J331" s="137">
        <f t="shared" ca="1" si="31"/>
        <v>89</v>
      </c>
      <c r="K331" s="137">
        <f t="shared" ca="1" si="31"/>
        <v>63</v>
      </c>
      <c r="L331" s="137">
        <f t="shared" ca="1" si="31"/>
        <v>60</v>
      </c>
      <c r="M331" s="137">
        <f t="shared" ca="1" si="31"/>
        <v>117</v>
      </c>
      <c r="N331" s="146">
        <f t="shared" ca="1" si="31"/>
        <v>238</v>
      </c>
    </row>
    <row r="332" spans="1:14" x14ac:dyDescent="0.25">
      <c r="A332" s="143">
        <v>280</v>
      </c>
      <c r="B332" s="137"/>
      <c r="C332" s="137">
        <f t="shared" ca="1" si="31"/>
        <v>529</v>
      </c>
      <c r="D332" s="137">
        <f t="shared" ca="1" si="31"/>
        <v>989</v>
      </c>
      <c r="E332" s="137">
        <f t="shared" ca="1" si="31"/>
        <v>1509</v>
      </c>
      <c r="F332" s="137">
        <f t="shared" ca="1" si="31"/>
        <v>1867</v>
      </c>
      <c r="G332" s="137">
        <f t="shared" ca="1" si="31"/>
        <v>1996</v>
      </c>
      <c r="H332" s="137">
        <f t="shared" ca="1" si="31"/>
        <v>1582</v>
      </c>
      <c r="I332" s="137">
        <f t="shared" ca="1" si="31"/>
        <v>1167</v>
      </c>
      <c r="J332" s="137">
        <f t="shared" ca="1" si="31"/>
        <v>788</v>
      </c>
      <c r="K332" s="137">
        <f t="shared" ca="1" si="31"/>
        <v>456</v>
      </c>
      <c r="L332" s="137">
        <f t="shared" ca="1" si="31"/>
        <v>276</v>
      </c>
      <c r="M332" s="137">
        <f t="shared" ca="1" si="31"/>
        <v>198</v>
      </c>
      <c r="N332" s="146">
        <f t="shared" ca="1" si="31"/>
        <v>230</v>
      </c>
    </row>
    <row r="333" spans="1:14" x14ac:dyDescent="0.25">
      <c r="A333" s="143">
        <v>281</v>
      </c>
      <c r="B333" s="137"/>
      <c r="C333" s="137">
        <f t="shared" ref="C333:N342" ca="1" si="32">ROUND(INDEX(INDIRECT(IF(C$13="E",$Q$53,$Q$54)),$A333,C$52),0)</f>
        <v>86</v>
      </c>
      <c r="D333" s="137">
        <f t="shared" ca="1" si="32"/>
        <v>91</v>
      </c>
      <c r="E333" s="137">
        <f t="shared" ca="1" si="32"/>
        <v>92</v>
      </c>
      <c r="F333" s="137">
        <f t="shared" ca="1" si="32"/>
        <v>85</v>
      </c>
      <c r="G333" s="137">
        <f t="shared" ca="1" si="32"/>
        <v>77</v>
      </c>
      <c r="H333" s="137">
        <f t="shared" ca="1" si="32"/>
        <v>71</v>
      </c>
      <c r="I333" s="137">
        <f t="shared" ca="1" si="32"/>
        <v>67</v>
      </c>
      <c r="J333" s="137">
        <f t="shared" ca="1" si="32"/>
        <v>64</v>
      </c>
      <c r="K333" s="137">
        <f t="shared" ca="1" si="32"/>
        <v>63</v>
      </c>
      <c r="L333" s="137">
        <f t="shared" ca="1" si="32"/>
        <v>67</v>
      </c>
      <c r="M333" s="137">
        <f t="shared" ca="1" si="32"/>
        <v>72</v>
      </c>
      <c r="N333" s="146">
        <f t="shared" ca="1" si="32"/>
        <v>78</v>
      </c>
    </row>
    <row r="334" spans="1:14" x14ac:dyDescent="0.25">
      <c r="A334" s="143">
        <v>282</v>
      </c>
      <c r="B334" s="137"/>
      <c r="C334" s="137">
        <f t="shared" ca="1" si="32"/>
        <v>100</v>
      </c>
      <c r="D334" s="137">
        <f t="shared" ca="1" si="32"/>
        <v>106</v>
      </c>
      <c r="E334" s="137">
        <f t="shared" ca="1" si="32"/>
        <v>106</v>
      </c>
      <c r="F334" s="137">
        <f t="shared" ca="1" si="32"/>
        <v>90</v>
      </c>
      <c r="G334" s="137">
        <f t="shared" ca="1" si="32"/>
        <v>73</v>
      </c>
      <c r="H334" s="137">
        <f t="shared" ca="1" si="32"/>
        <v>65</v>
      </c>
      <c r="I334" s="137">
        <f t="shared" ca="1" si="32"/>
        <v>60</v>
      </c>
      <c r="J334" s="137">
        <f t="shared" ca="1" si="32"/>
        <v>56</v>
      </c>
      <c r="K334" s="137">
        <f t="shared" ca="1" si="32"/>
        <v>57</v>
      </c>
      <c r="L334" s="137">
        <f t="shared" ca="1" si="32"/>
        <v>62</v>
      </c>
      <c r="M334" s="137">
        <f t="shared" ca="1" si="32"/>
        <v>71</v>
      </c>
      <c r="N334" s="146">
        <f t="shared" ca="1" si="32"/>
        <v>86</v>
      </c>
    </row>
    <row r="335" spans="1:14" x14ac:dyDescent="0.25">
      <c r="A335" s="143">
        <v>283</v>
      </c>
      <c r="B335" s="137"/>
      <c r="C335" s="137">
        <f t="shared" ca="1" si="32"/>
        <v>176</v>
      </c>
      <c r="D335" s="137">
        <f t="shared" ca="1" si="32"/>
        <v>124</v>
      </c>
      <c r="E335" s="137">
        <f t="shared" ca="1" si="32"/>
        <v>122</v>
      </c>
      <c r="F335" s="137">
        <f t="shared" ca="1" si="32"/>
        <v>108</v>
      </c>
      <c r="G335" s="137">
        <f t="shared" ca="1" si="32"/>
        <v>74</v>
      </c>
      <c r="H335" s="137">
        <f t="shared" ca="1" si="32"/>
        <v>62</v>
      </c>
      <c r="I335" s="137">
        <f t="shared" ca="1" si="32"/>
        <v>61</v>
      </c>
      <c r="J335" s="137">
        <f t="shared" ca="1" si="32"/>
        <v>51</v>
      </c>
      <c r="K335" s="137">
        <f t="shared" ca="1" si="32"/>
        <v>45</v>
      </c>
      <c r="L335" s="137">
        <f t="shared" ca="1" si="32"/>
        <v>62</v>
      </c>
      <c r="M335" s="137">
        <f t="shared" ca="1" si="32"/>
        <v>123</v>
      </c>
      <c r="N335" s="146">
        <f t="shared" ca="1" si="32"/>
        <v>185</v>
      </c>
    </row>
    <row r="336" spans="1:14" x14ac:dyDescent="0.25">
      <c r="A336" s="143">
        <v>284</v>
      </c>
      <c r="B336" s="137"/>
      <c r="C336" s="137">
        <f t="shared" ca="1" si="32"/>
        <v>166</v>
      </c>
      <c r="D336" s="137">
        <f t="shared" ca="1" si="32"/>
        <v>211</v>
      </c>
      <c r="E336" s="137">
        <f t="shared" ca="1" si="32"/>
        <v>161</v>
      </c>
      <c r="F336" s="137">
        <f t="shared" ca="1" si="32"/>
        <v>179</v>
      </c>
      <c r="G336" s="137">
        <f t="shared" ca="1" si="32"/>
        <v>249</v>
      </c>
      <c r="H336" s="137">
        <f t="shared" ca="1" si="32"/>
        <v>324</v>
      </c>
      <c r="I336" s="137">
        <f t="shared" ca="1" si="32"/>
        <v>420</v>
      </c>
      <c r="J336" s="137">
        <f t="shared" ca="1" si="32"/>
        <v>438</v>
      </c>
      <c r="K336" s="137">
        <f t="shared" ca="1" si="32"/>
        <v>487</v>
      </c>
      <c r="L336" s="137">
        <f t="shared" ca="1" si="32"/>
        <v>400</v>
      </c>
      <c r="M336" s="137">
        <f t="shared" ca="1" si="32"/>
        <v>235</v>
      </c>
      <c r="N336" s="146">
        <f t="shared" ca="1" si="32"/>
        <v>187</v>
      </c>
    </row>
    <row r="337" spans="1:14" x14ac:dyDescent="0.25">
      <c r="A337" s="143">
        <v>285</v>
      </c>
      <c r="B337" s="137"/>
      <c r="C337" s="137">
        <f t="shared" ca="1" si="32"/>
        <v>23475</v>
      </c>
      <c r="D337" s="137">
        <f t="shared" ca="1" si="32"/>
        <v>30153</v>
      </c>
      <c r="E337" s="137">
        <f t="shared" ca="1" si="32"/>
        <v>34783</v>
      </c>
      <c r="F337" s="137">
        <f t="shared" ca="1" si="32"/>
        <v>33793</v>
      </c>
      <c r="G337" s="137">
        <f t="shared" ca="1" si="32"/>
        <v>25953</v>
      </c>
      <c r="H337" s="137">
        <f t="shared" ca="1" si="32"/>
        <v>18042</v>
      </c>
      <c r="I337" s="137">
        <f t="shared" ca="1" si="32"/>
        <v>11536</v>
      </c>
      <c r="J337" s="137">
        <f t="shared" ca="1" si="32"/>
        <v>7115</v>
      </c>
      <c r="K337" s="137">
        <f t="shared" ca="1" si="32"/>
        <v>5318</v>
      </c>
      <c r="L337" s="137">
        <f t="shared" ca="1" si="32"/>
        <v>6424</v>
      </c>
      <c r="M337" s="137">
        <f t="shared" ca="1" si="32"/>
        <v>10145</v>
      </c>
      <c r="N337" s="146">
        <f t="shared" ca="1" si="32"/>
        <v>16181</v>
      </c>
    </row>
    <row r="338" spans="1:14" x14ac:dyDescent="0.25">
      <c r="A338" s="143">
        <v>286</v>
      </c>
      <c r="B338" s="137"/>
      <c r="C338" s="137">
        <f t="shared" ca="1" si="32"/>
        <v>56</v>
      </c>
      <c r="D338" s="137">
        <f t="shared" ca="1" si="32"/>
        <v>66</v>
      </c>
      <c r="E338" s="137">
        <f t="shared" ca="1" si="32"/>
        <v>56</v>
      </c>
      <c r="F338" s="137">
        <f t="shared" ca="1" si="32"/>
        <v>58</v>
      </c>
      <c r="G338" s="137">
        <f t="shared" ca="1" si="32"/>
        <v>82</v>
      </c>
      <c r="H338" s="137">
        <f t="shared" ca="1" si="32"/>
        <v>93</v>
      </c>
      <c r="I338" s="137">
        <f t="shared" ca="1" si="32"/>
        <v>91</v>
      </c>
      <c r="J338" s="137">
        <f t="shared" ca="1" si="32"/>
        <v>88</v>
      </c>
      <c r="K338" s="137">
        <f t="shared" ca="1" si="32"/>
        <v>99</v>
      </c>
      <c r="L338" s="137">
        <f t="shared" ca="1" si="32"/>
        <v>121</v>
      </c>
      <c r="M338" s="137">
        <f t="shared" ca="1" si="32"/>
        <v>83</v>
      </c>
      <c r="N338" s="146">
        <f t="shared" ca="1" si="32"/>
        <v>62</v>
      </c>
    </row>
    <row r="339" spans="1:14" x14ac:dyDescent="0.25">
      <c r="A339" s="143">
        <v>287</v>
      </c>
      <c r="B339" s="137"/>
      <c r="C339" s="137">
        <f t="shared" ca="1" si="32"/>
        <v>23831</v>
      </c>
      <c r="D339" s="137">
        <f t="shared" ca="1" si="32"/>
        <v>30604</v>
      </c>
      <c r="E339" s="137">
        <f t="shared" ca="1" si="32"/>
        <v>35308</v>
      </c>
      <c r="F339" s="137">
        <f t="shared" ca="1" si="32"/>
        <v>34309</v>
      </c>
      <c r="G339" s="137">
        <f t="shared" ca="1" si="32"/>
        <v>26349</v>
      </c>
      <c r="H339" s="137">
        <f t="shared" ca="1" si="32"/>
        <v>18318</v>
      </c>
      <c r="I339" s="137">
        <f t="shared" ca="1" si="32"/>
        <v>11713</v>
      </c>
      <c r="J339" s="137">
        <f t="shared" ca="1" si="32"/>
        <v>7223</v>
      </c>
      <c r="K339" s="137">
        <f t="shared" ca="1" si="32"/>
        <v>5400</v>
      </c>
      <c r="L339" s="137">
        <f t="shared" ca="1" si="32"/>
        <v>6518</v>
      </c>
      <c r="M339" s="137">
        <f t="shared" ca="1" si="32"/>
        <v>10298</v>
      </c>
      <c r="N339" s="146">
        <f t="shared" ca="1" si="32"/>
        <v>16424</v>
      </c>
    </row>
    <row r="340" spans="1:14" x14ac:dyDescent="0.25">
      <c r="A340" s="143">
        <v>288</v>
      </c>
      <c r="B340" s="137"/>
      <c r="C340" s="137">
        <f t="shared" ca="1" si="32"/>
        <v>8125</v>
      </c>
      <c r="D340" s="137">
        <f t="shared" ca="1" si="32"/>
        <v>13406</v>
      </c>
      <c r="E340" s="137">
        <f t="shared" ca="1" si="32"/>
        <v>18188</v>
      </c>
      <c r="F340" s="137">
        <f t="shared" ca="1" si="32"/>
        <v>21466</v>
      </c>
      <c r="G340" s="137">
        <f t="shared" ca="1" si="32"/>
        <v>15553</v>
      </c>
      <c r="H340" s="137">
        <f t="shared" ca="1" si="32"/>
        <v>7399</v>
      </c>
      <c r="I340" s="137">
        <f t="shared" ca="1" si="32"/>
        <v>2952</v>
      </c>
      <c r="J340" s="137">
        <f t="shared" ca="1" si="32"/>
        <v>1594</v>
      </c>
      <c r="K340" s="137">
        <f t="shared" ca="1" si="32"/>
        <v>1089</v>
      </c>
      <c r="L340" s="137">
        <f t="shared" ca="1" si="32"/>
        <v>1115</v>
      </c>
      <c r="M340" s="137">
        <f t="shared" ca="1" si="32"/>
        <v>1908</v>
      </c>
      <c r="N340" s="146">
        <f t="shared" ca="1" si="32"/>
        <v>3893</v>
      </c>
    </row>
    <row r="341" spans="1:14" x14ac:dyDescent="0.25">
      <c r="A341" s="143">
        <v>289</v>
      </c>
      <c r="B341" s="137"/>
      <c r="C341" s="137">
        <f t="shared" ca="1" si="32"/>
        <v>65</v>
      </c>
      <c r="D341" s="137">
        <f t="shared" ca="1" si="32"/>
        <v>68</v>
      </c>
      <c r="E341" s="137">
        <f t="shared" ca="1" si="32"/>
        <v>69</v>
      </c>
      <c r="F341" s="137">
        <f t="shared" ca="1" si="32"/>
        <v>59</v>
      </c>
      <c r="G341" s="137">
        <f t="shared" ca="1" si="32"/>
        <v>49</v>
      </c>
      <c r="H341" s="137">
        <f t="shared" ca="1" si="32"/>
        <v>44</v>
      </c>
      <c r="I341" s="137">
        <f t="shared" ca="1" si="32"/>
        <v>40</v>
      </c>
      <c r="J341" s="137">
        <f t="shared" ca="1" si="32"/>
        <v>38</v>
      </c>
      <c r="K341" s="137">
        <f t="shared" ca="1" si="32"/>
        <v>38</v>
      </c>
      <c r="L341" s="137">
        <f t="shared" ca="1" si="32"/>
        <v>42</v>
      </c>
      <c r="M341" s="137">
        <f t="shared" ca="1" si="32"/>
        <v>47</v>
      </c>
      <c r="N341" s="146">
        <f t="shared" ca="1" si="32"/>
        <v>56</v>
      </c>
    </row>
    <row r="342" spans="1:14" x14ac:dyDescent="0.25">
      <c r="A342" s="143">
        <v>290</v>
      </c>
      <c r="B342" s="137"/>
      <c r="C342" s="137">
        <f t="shared" ca="1" si="32"/>
        <v>693</v>
      </c>
      <c r="D342" s="137">
        <f t="shared" ca="1" si="32"/>
        <v>1074</v>
      </c>
      <c r="E342" s="137">
        <f t="shared" ca="1" si="32"/>
        <v>1361</v>
      </c>
      <c r="F342" s="137">
        <f t="shared" ca="1" si="32"/>
        <v>1810</v>
      </c>
      <c r="G342" s="137">
        <f t="shared" ca="1" si="32"/>
        <v>2113</v>
      </c>
      <c r="H342" s="137">
        <f t="shared" ca="1" si="32"/>
        <v>2082</v>
      </c>
      <c r="I342" s="137">
        <f t="shared" ca="1" si="32"/>
        <v>1453</v>
      </c>
      <c r="J342" s="137">
        <f t="shared" ca="1" si="32"/>
        <v>964</v>
      </c>
      <c r="K342" s="137">
        <f t="shared" ca="1" si="32"/>
        <v>599</v>
      </c>
      <c r="L342" s="137">
        <f t="shared" ca="1" si="32"/>
        <v>342</v>
      </c>
      <c r="M342" s="137">
        <f t="shared" ca="1" si="32"/>
        <v>250</v>
      </c>
      <c r="N342" s="146">
        <f t="shared" ca="1" si="32"/>
        <v>352</v>
      </c>
    </row>
    <row r="343" spans="1:14" x14ac:dyDescent="0.25">
      <c r="A343" s="143">
        <v>291</v>
      </c>
      <c r="B343" s="137"/>
      <c r="C343" s="137">
        <f t="shared" ref="C343:N352" ca="1" si="33">ROUND(INDEX(INDIRECT(IF(C$13="E",$Q$53,$Q$54)),$A343,C$52),0)</f>
        <v>505</v>
      </c>
      <c r="D343" s="137">
        <f t="shared" ca="1" si="33"/>
        <v>747</v>
      </c>
      <c r="E343" s="137">
        <f t="shared" ca="1" si="33"/>
        <v>834</v>
      </c>
      <c r="F343" s="137">
        <f t="shared" ca="1" si="33"/>
        <v>729</v>
      </c>
      <c r="G343" s="137">
        <f t="shared" ca="1" si="33"/>
        <v>463</v>
      </c>
      <c r="H343" s="137">
        <f t="shared" ca="1" si="33"/>
        <v>216</v>
      </c>
      <c r="I343" s="137">
        <f t="shared" ca="1" si="33"/>
        <v>99</v>
      </c>
      <c r="J343" s="137">
        <f t="shared" ca="1" si="33"/>
        <v>57</v>
      </c>
      <c r="K343" s="137">
        <f t="shared" ca="1" si="33"/>
        <v>47</v>
      </c>
      <c r="L343" s="137">
        <f t="shared" ca="1" si="33"/>
        <v>54</v>
      </c>
      <c r="M343" s="137">
        <f t="shared" ca="1" si="33"/>
        <v>94</v>
      </c>
      <c r="N343" s="146">
        <f t="shared" ca="1" si="33"/>
        <v>229</v>
      </c>
    </row>
    <row r="344" spans="1:14" x14ac:dyDescent="0.25">
      <c r="A344" s="143">
        <v>292</v>
      </c>
      <c r="B344" s="137"/>
      <c r="C344" s="137">
        <f t="shared" ca="1" si="33"/>
        <v>7025</v>
      </c>
      <c r="D344" s="137">
        <f t="shared" ca="1" si="33"/>
        <v>11806</v>
      </c>
      <c r="E344" s="137">
        <f t="shared" ca="1" si="33"/>
        <v>14929</v>
      </c>
      <c r="F344" s="137">
        <f t="shared" ca="1" si="33"/>
        <v>15442</v>
      </c>
      <c r="G344" s="137">
        <f t="shared" ca="1" si="33"/>
        <v>12640</v>
      </c>
      <c r="H344" s="137">
        <f t="shared" ca="1" si="33"/>
        <v>5794</v>
      </c>
      <c r="I344" s="137">
        <f t="shared" ca="1" si="33"/>
        <v>1850</v>
      </c>
      <c r="J344" s="137">
        <f t="shared" ca="1" si="33"/>
        <v>694</v>
      </c>
      <c r="K344" s="137">
        <f t="shared" ca="1" si="33"/>
        <v>346</v>
      </c>
      <c r="L344" s="137">
        <f t="shared" ca="1" si="33"/>
        <v>428</v>
      </c>
      <c r="M344" s="137">
        <f t="shared" ca="1" si="33"/>
        <v>1111</v>
      </c>
      <c r="N344" s="146">
        <f t="shared" ca="1" si="33"/>
        <v>2993</v>
      </c>
    </row>
    <row r="345" spans="1:14" x14ac:dyDescent="0.25">
      <c r="A345" s="143">
        <v>293</v>
      </c>
      <c r="B345" s="137"/>
      <c r="C345" s="137">
        <f t="shared" ca="1" si="33"/>
        <v>1669</v>
      </c>
      <c r="D345" s="137">
        <f t="shared" ca="1" si="33"/>
        <v>2538</v>
      </c>
      <c r="E345" s="137">
        <f t="shared" ca="1" si="33"/>
        <v>4532</v>
      </c>
      <c r="F345" s="137">
        <f t="shared" ca="1" si="33"/>
        <v>7527</v>
      </c>
      <c r="G345" s="137">
        <f t="shared" ca="1" si="33"/>
        <v>4002</v>
      </c>
      <c r="H345" s="137">
        <f t="shared" ca="1" si="33"/>
        <v>2123</v>
      </c>
      <c r="I345" s="137">
        <f t="shared" ca="1" si="33"/>
        <v>1308</v>
      </c>
      <c r="J345" s="137">
        <f t="shared" ca="1" si="33"/>
        <v>1012</v>
      </c>
      <c r="K345" s="137">
        <f t="shared" ca="1" si="33"/>
        <v>820</v>
      </c>
      <c r="L345" s="137">
        <f t="shared" ca="1" si="33"/>
        <v>765</v>
      </c>
      <c r="M345" s="137">
        <f t="shared" ca="1" si="33"/>
        <v>931</v>
      </c>
      <c r="N345" s="146">
        <f t="shared" ca="1" si="33"/>
        <v>1173</v>
      </c>
    </row>
    <row r="346" spans="1:14" x14ac:dyDescent="0.25">
      <c r="A346" s="143">
        <v>294</v>
      </c>
      <c r="B346" s="137"/>
      <c r="C346" s="137">
        <f t="shared" ca="1" si="33"/>
        <v>243</v>
      </c>
      <c r="D346" s="137">
        <f t="shared" ca="1" si="33"/>
        <v>263</v>
      </c>
      <c r="E346" s="137">
        <f t="shared" ca="1" si="33"/>
        <v>264</v>
      </c>
      <c r="F346" s="137">
        <f t="shared" ca="1" si="33"/>
        <v>212</v>
      </c>
      <c r="G346" s="137">
        <f t="shared" ca="1" si="33"/>
        <v>165</v>
      </c>
      <c r="H346" s="137">
        <f t="shared" ca="1" si="33"/>
        <v>144</v>
      </c>
      <c r="I346" s="137">
        <f t="shared" ca="1" si="33"/>
        <v>128</v>
      </c>
      <c r="J346" s="137">
        <f t="shared" ca="1" si="33"/>
        <v>119</v>
      </c>
      <c r="K346" s="137">
        <f t="shared" ca="1" si="33"/>
        <v>122</v>
      </c>
      <c r="L346" s="137">
        <f t="shared" ca="1" si="33"/>
        <v>140</v>
      </c>
      <c r="M346" s="137">
        <f t="shared" ca="1" si="33"/>
        <v>165</v>
      </c>
      <c r="N346" s="146">
        <f t="shared" ca="1" si="33"/>
        <v>206</v>
      </c>
    </row>
    <row r="347" spans="1:14" x14ac:dyDescent="0.25">
      <c r="A347" s="143">
        <v>295</v>
      </c>
      <c r="B347" s="137"/>
      <c r="C347" s="137">
        <f t="shared" ca="1" si="33"/>
        <v>98</v>
      </c>
      <c r="D347" s="137">
        <f t="shared" ca="1" si="33"/>
        <v>102</v>
      </c>
      <c r="E347" s="137">
        <f t="shared" ca="1" si="33"/>
        <v>110</v>
      </c>
      <c r="F347" s="137">
        <f t="shared" ca="1" si="33"/>
        <v>96</v>
      </c>
      <c r="G347" s="137">
        <f t="shared" ca="1" si="33"/>
        <v>84</v>
      </c>
      <c r="H347" s="137">
        <f t="shared" ca="1" si="33"/>
        <v>79</v>
      </c>
      <c r="I347" s="137">
        <f t="shared" ca="1" si="33"/>
        <v>76</v>
      </c>
      <c r="J347" s="137">
        <f t="shared" ca="1" si="33"/>
        <v>72</v>
      </c>
      <c r="K347" s="137">
        <f t="shared" ca="1" si="33"/>
        <v>71</v>
      </c>
      <c r="L347" s="137">
        <f t="shared" ca="1" si="33"/>
        <v>75</v>
      </c>
      <c r="M347" s="137">
        <f t="shared" ca="1" si="33"/>
        <v>79</v>
      </c>
      <c r="N347" s="146">
        <f t="shared" ca="1" si="33"/>
        <v>88</v>
      </c>
    </row>
    <row r="348" spans="1:14" x14ac:dyDescent="0.25">
      <c r="A348" s="143">
        <v>296</v>
      </c>
      <c r="B348" s="137"/>
      <c r="C348" s="137">
        <f t="shared" ca="1" si="33"/>
        <v>35</v>
      </c>
      <c r="D348" s="137">
        <f t="shared" ca="1" si="33"/>
        <v>37</v>
      </c>
      <c r="E348" s="137">
        <f t="shared" ca="1" si="33"/>
        <v>39</v>
      </c>
      <c r="F348" s="137">
        <f t="shared" ca="1" si="33"/>
        <v>37</v>
      </c>
      <c r="G348" s="137">
        <f t="shared" ca="1" si="33"/>
        <v>34</v>
      </c>
      <c r="H348" s="137">
        <f t="shared" ca="1" si="33"/>
        <v>32</v>
      </c>
      <c r="I348" s="137">
        <f t="shared" ca="1" si="33"/>
        <v>30</v>
      </c>
      <c r="J348" s="137">
        <f t="shared" ca="1" si="33"/>
        <v>29</v>
      </c>
      <c r="K348" s="137">
        <f t="shared" ca="1" si="33"/>
        <v>29</v>
      </c>
      <c r="L348" s="137">
        <f t="shared" ca="1" si="33"/>
        <v>30</v>
      </c>
      <c r="M348" s="137">
        <f t="shared" ca="1" si="33"/>
        <v>31</v>
      </c>
      <c r="N348" s="146">
        <f t="shared" ca="1" si="33"/>
        <v>33</v>
      </c>
    </row>
    <row r="349" spans="1:14" x14ac:dyDescent="0.25">
      <c r="A349" s="143">
        <v>297</v>
      </c>
      <c r="B349" s="137"/>
      <c r="C349" s="137">
        <f t="shared" ca="1" si="33"/>
        <v>534</v>
      </c>
      <c r="D349" s="137">
        <f t="shared" ca="1" si="33"/>
        <v>998</v>
      </c>
      <c r="E349" s="137">
        <f t="shared" ca="1" si="33"/>
        <v>1522</v>
      </c>
      <c r="F349" s="137">
        <f t="shared" ca="1" si="33"/>
        <v>1884</v>
      </c>
      <c r="G349" s="137">
        <f t="shared" ca="1" si="33"/>
        <v>2014</v>
      </c>
      <c r="H349" s="137">
        <f t="shared" ca="1" si="33"/>
        <v>1596</v>
      </c>
      <c r="I349" s="137">
        <f t="shared" ca="1" si="33"/>
        <v>1178</v>
      </c>
      <c r="J349" s="137">
        <f t="shared" ca="1" si="33"/>
        <v>795</v>
      </c>
      <c r="K349" s="137">
        <f t="shared" ca="1" si="33"/>
        <v>460</v>
      </c>
      <c r="L349" s="137">
        <f t="shared" ca="1" si="33"/>
        <v>279</v>
      </c>
      <c r="M349" s="137">
        <f t="shared" ca="1" si="33"/>
        <v>200</v>
      </c>
      <c r="N349" s="146">
        <f t="shared" ca="1" si="33"/>
        <v>232</v>
      </c>
    </row>
    <row r="350" spans="1:14" x14ac:dyDescent="0.25">
      <c r="A350" s="143">
        <v>298</v>
      </c>
      <c r="B350" s="137"/>
      <c r="C350" s="137">
        <f t="shared" ca="1" si="33"/>
        <v>159</v>
      </c>
      <c r="D350" s="137">
        <f t="shared" ca="1" si="33"/>
        <v>158</v>
      </c>
      <c r="E350" s="137">
        <f t="shared" ca="1" si="33"/>
        <v>159</v>
      </c>
      <c r="F350" s="137">
        <f t="shared" ca="1" si="33"/>
        <v>156</v>
      </c>
      <c r="G350" s="137">
        <f t="shared" ca="1" si="33"/>
        <v>140</v>
      </c>
      <c r="H350" s="137">
        <f t="shared" ca="1" si="33"/>
        <v>121</v>
      </c>
      <c r="I350" s="137">
        <f t="shared" ca="1" si="33"/>
        <v>106</v>
      </c>
      <c r="J350" s="137">
        <f t="shared" ca="1" si="33"/>
        <v>93</v>
      </c>
      <c r="K350" s="137">
        <f t="shared" ca="1" si="33"/>
        <v>93</v>
      </c>
      <c r="L350" s="137">
        <f t="shared" ca="1" si="33"/>
        <v>111</v>
      </c>
      <c r="M350" s="137">
        <f t="shared" ca="1" si="33"/>
        <v>135</v>
      </c>
      <c r="N350" s="146">
        <f t="shared" ca="1" si="33"/>
        <v>155</v>
      </c>
    </row>
    <row r="351" spans="1:14" x14ac:dyDescent="0.25">
      <c r="A351" s="143">
        <v>299</v>
      </c>
      <c r="B351" s="137"/>
      <c r="C351" s="137">
        <f t="shared" ca="1" si="33"/>
        <v>889</v>
      </c>
      <c r="D351" s="137">
        <f t="shared" ca="1" si="33"/>
        <v>892</v>
      </c>
      <c r="E351" s="137">
        <f t="shared" ca="1" si="33"/>
        <v>822</v>
      </c>
      <c r="F351" s="137">
        <f t="shared" ca="1" si="33"/>
        <v>551</v>
      </c>
      <c r="G351" s="137">
        <f t="shared" ca="1" si="33"/>
        <v>362</v>
      </c>
      <c r="H351" s="137">
        <f t="shared" ca="1" si="33"/>
        <v>301</v>
      </c>
      <c r="I351" s="137">
        <f t="shared" ca="1" si="33"/>
        <v>250</v>
      </c>
      <c r="J351" s="137">
        <f t="shared" ca="1" si="33"/>
        <v>212</v>
      </c>
      <c r="K351" s="137">
        <f t="shared" ca="1" si="33"/>
        <v>217</v>
      </c>
      <c r="L351" s="137">
        <f t="shared" ca="1" si="33"/>
        <v>259</v>
      </c>
      <c r="M351" s="137">
        <f t="shared" ca="1" si="33"/>
        <v>367</v>
      </c>
      <c r="N351" s="146">
        <f t="shared" ca="1" si="33"/>
        <v>602</v>
      </c>
    </row>
    <row r="352" spans="1:14" x14ac:dyDescent="0.25">
      <c r="A352" s="143">
        <v>300</v>
      </c>
      <c r="B352" s="137"/>
      <c r="C352" s="137">
        <f t="shared" ca="1" si="33"/>
        <v>0</v>
      </c>
      <c r="D352" s="137">
        <f t="shared" ca="1" si="33"/>
        <v>0</v>
      </c>
      <c r="E352" s="137">
        <f t="shared" ca="1" si="33"/>
        <v>0</v>
      </c>
      <c r="F352" s="137">
        <f t="shared" ca="1" si="33"/>
        <v>0</v>
      </c>
      <c r="G352" s="137">
        <f t="shared" ca="1" si="33"/>
        <v>0</v>
      </c>
      <c r="H352" s="137">
        <f t="shared" ca="1" si="33"/>
        <v>0</v>
      </c>
      <c r="I352" s="137">
        <f t="shared" ca="1" si="33"/>
        <v>0</v>
      </c>
      <c r="J352" s="137">
        <f t="shared" ca="1" si="33"/>
        <v>0</v>
      </c>
      <c r="K352" s="137">
        <f t="shared" ca="1" si="33"/>
        <v>0</v>
      </c>
      <c r="L352" s="137">
        <f t="shared" ca="1" si="33"/>
        <v>0</v>
      </c>
      <c r="M352" s="137">
        <f t="shared" ca="1" si="33"/>
        <v>0</v>
      </c>
      <c r="N352" s="146">
        <f t="shared" ca="1" si="33"/>
        <v>0</v>
      </c>
    </row>
    <row r="353" spans="1:14" x14ac:dyDescent="0.25">
      <c r="A353" s="143">
        <v>301</v>
      </c>
      <c r="B353" s="137"/>
      <c r="C353" s="137">
        <f t="shared" ref="C353:N362" ca="1" si="34">ROUND(INDEX(INDIRECT(IF(C$13="E",$Q$53,$Q$54)),$A353,C$52),0)</f>
        <v>30</v>
      </c>
      <c r="D353" s="137">
        <f t="shared" ca="1" si="34"/>
        <v>30</v>
      </c>
      <c r="E353" s="137">
        <f t="shared" ca="1" si="34"/>
        <v>27</v>
      </c>
      <c r="F353" s="137">
        <f t="shared" ca="1" si="34"/>
        <v>18</v>
      </c>
      <c r="G353" s="137">
        <f t="shared" ca="1" si="34"/>
        <v>13</v>
      </c>
      <c r="H353" s="137">
        <f t="shared" ca="1" si="34"/>
        <v>11</v>
      </c>
      <c r="I353" s="137">
        <f t="shared" ca="1" si="34"/>
        <v>10</v>
      </c>
      <c r="J353" s="137">
        <f t="shared" ca="1" si="34"/>
        <v>9</v>
      </c>
      <c r="K353" s="137">
        <f t="shared" ca="1" si="34"/>
        <v>14</v>
      </c>
      <c r="L353" s="137">
        <f t="shared" ca="1" si="34"/>
        <v>18</v>
      </c>
      <c r="M353" s="137">
        <f t="shared" ca="1" si="34"/>
        <v>18</v>
      </c>
      <c r="N353" s="146">
        <f t="shared" ca="1" si="34"/>
        <v>24</v>
      </c>
    </row>
    <row r="354" spans="1:14" x14ac:dyDescent="0.25">
      <c r="A354" s="143">
        <v>302</v>
      </c>
      <c r="B354" s="137"/>
      <c r="C354" s="137">
        <f t="shared" ca="1" si="34"/>
        <v>1232</v>
      </c>
      <c r="D354" s="137">
        <f t="shared" ca="1" si="34"/>
        <v>2641</v>
      </c>
      <c r="E354" s="137">
        <f t="shared" ca="1" si="34"/>
        <v>6228</v>
      </c>
      <c r="F354" s="137">
        <f t="shared" ca="1" si="34"/>
        <v>10039</v>
      </c>
      <c r="G354" s="137">
        <f t="shared" ca="1" si="34"/>
        <v>4806</v>
      </c>
      <c r="H354" s="137">
        <f t="shared" ca="1" si="34"/>
        <v>1605</v>
      </c>
      <c r="I354" s="137">
        <f t="shared" ca="1" si="34"/>
        <v>1101</v>
      </c>
      <c r="J354" s="137">
        <f t="shared" ca="1" si="34"/>
        <v>900</v>
      </c>
      <c r="K354" s="137">
        <f t="shared" ca="1" si="34"/>
        <v>743</v>
      </c>
      <c r="L354" s="137">
        <f t="shared" ca="1" si="34"/>
        <v>687</v>
      </c>
      <c r="M354" s="137">
        <f t="shared" ca="1" si="34"/>
        <v>797</v>
      </c>
      <c r="N354" s="146">
        <f t="shared" ca="1" si="34"/>
        <v>900</v>
      </c>
    </row>
    <row r="355" spans="1:14" x14ac:dyDescent="0.25">
      <c r="A355" s="143">
        <v>303</v>
      </c>
      <c r="B355" s="137"/>
      <c r="C355" s="137">
        <f t="shared" ca="1" si="34"/>
        <v>46</v>
      </c>
      <c r="D355" s="137">
        <f t="shared" ca="1" si="34"/>
        <v>46</v>
      </c>
      <c r="E355" s="137">
        <f t="shared" ca="1" si="34"/>
        <v>46</v>
      </c>
      <c r="F355" s="137">
        <f t="shared" ca="1" si="34"/>
        <v>41</v>
      </c>
      <c r="G355" s="137">
        <f t="shared" ca="1" si="34"/>
        <v>28</v>
      </c>
      <c r="H355" s="137">
        <f t="shared" ca="1" si="34"/>
        <v>18</v>
      </c>
      <c r="I355" s="137">
        <f t="shared" ca="1" si="34"/>
        <v>12</v>
      </c>
      <c r="J355" s="137">
        <f t="shared" ca="1" si="34"/>
        <v>9</v>
      </c>
      <c r="K355" s="137">
        <f t="shared" ca="1" si="34"/>
        <v>10</v>
      </c>
      <c r="L355" s="137">
        <f t="shared" ca="1" si="34"/>
        <v>15</v>
      </c>
      <c r="M355" s="137">
        <f t="shared" ca="1" si="34"/>
        <v>26</v>
      </c>
      <c r="N355" s="146">
        <f t="shared" ca="1" si="34"/>
        <v>41</v>
      </c>
    </row>
    <row r="356" spans="1:14" x14ac:dyDescent="0.25">
      <c r="A356" s="143">
        <v>304</v>
      </c>
      <c r="B356" s="137"/>
      <c r="C356" s="137">
        <f t="shared" ca="1" si="34"/>
        <v>3</v>
      </c>
      <c r="D356" s="137">
        <f t="shared" ca="1" si="34"/>
        <v>4</v>
      </c>
      <c r="E356" s="137">
        <f t="shared" ca="1" si="34"/>
        <v>2</v>
      </c>
      <c r="F356" s="137">
        <f t="shared" ca="1" si="34"/>
        <v>0</v>
      </c>
      <c r="G356" s="137">
        <f t="shared" ca="1" si="34"/>
        <v>0</v>
      </c>
      <c r="H356" s="137">
        <f t="shared" ca="1" si="34"/>
        <v>0</v>
      </c>
      <c r="I356" s="137">
        <f t="shared" ca="1" si="34"/>
        <v>0</v>
      </c>
      <c r="J356" s="137">
        <f t="shared" ca="1" si="34"/>
        <v>0</v>
      </c>
      <c r="K356" s="137">
        <f t="shared" ca="1" si="34"/>
        <v>0</v>
      </c>
      <c r="L356" s="137">
        <f t="shared" ca="1" si="34"/>
        <v>0</v>
      </c>
      <c r="M356" s="137">
        <f t="shared" ca="1" si="34"/>
        <v>0</v>
      </c>
      <c r="N356" s="146">
        <f t="shared" ca="1" si="34"/>
        <v>1</v>
      </c>
    </row>
    <row r="357" spans="1:14" x14ac:dyDescent="0.25">
      <c r="A357" s="143">
        <v>305</v>
      </c>
      <c r="B357" s="137"/>
      <c r="C357" s="137">
        <f t="shared" ca="1" si="34"/>
        <v>0</v>
      </c>
      <c r="D357" s="137">
        <f t="shared" ca="1" si="34"/>
        <v>0</v>
      </c>
      <c r="E357" s="137">
        <f t="shared" ca="1" si="34"/>
        <v>0</v>
      </c>
      <c r="F357" s="137">
        <f t="shared" ca="1" si="34"/>
        <v>0</v>
      </c>
      <c r="G357" s="137">
        <f t="shared" ca="1" si="34"/>
        <v>0</v>
      </c>
      <c r="H357" s="137">
        <f t="shared" ca="1" si="34"/>
        <v>0</v>
      </c>
      <c r="I357" s="137">
        <f t="shared" ca="1" si="34"/>
        <v>0</v>
      </c>
      <c r="J357" s="137">
        <f t="shared" ca="1" si="34"/>
        <v>0</v>
      </c>
      <c r="K357" s="137">
        <f t="shared" ca="1" si="34"/>
        <v>0</v>
      </c>
      <c r="L357" s="137">
        <f t="shared" ca="1" si="34"/>
        <v>0</v>
      </c>
      <c r="M357" s="137">
        <f t="shared" ca="1" si="34"/>
        <v>0</v>
      </c>
      <c r="N357" s="146">
        <f t="shared" ca="1" si="34"/>
        <v>0</v>
      </c>
    </row>
    <row r="358" spans="1:14" x14ac:dyDescent="0.25">
      <c r="A358" s="143">
        <v>306</v>
      </c>
      <c r="B358" s="137"/>
      <c r="C358" s="137">
        <f t="shared" ca="1" si="34"/>
        <v>190</v>
      </c>
      <c r="D358" s="137">
        <f t="shared" ca="1" si="34"/>
        <v>189</v>
      </c>
      <c r="E358" s="137">
        <f t="shared" ca="1" si="34"/>
        <v>190</v>
      </c>
      <c r="F358" s="137">
        <f t="shared" ca="1" si="34"/>
        <v>184</v>
      </c>
      <c r="G358" s="137">
        <f t="shared" ca="1" si="34"/>
        <v>163</v>
      </c>
      <c r="H358" s="137">
        <f t="shared" ca="1" si="34"/>
        <v>140</v>
      </c>
      <c r="I358" s="137">
        <f t="shared" ca="1" si="34"/>
        <v>122</v>
      </c>
      <c r="J358" s="137">
        <f t="shared" ca="1" si="34"/>
        <v>106</v>
      </c>
      <c r="K358" s="137">
        <f t="shared" ca="1" si="34"/>
        <v>107</v>
      </c>
      <c r="L358" s="137">
        <f t="shared" ca="1" si="34"/>
        <v>127</v>
      </c>
      <c r="M358" s="137">
        <f t="shared" ca="1" si="34"/>
        <v>157</v>
      </c>
      <c r="N358" s="146">
        <f t="shared" ca="1" si="34"/>
        <v>183</v>
      </c>
    </row>
    <row r="359" spans="1:14" x14ac:dyDescent="0.25">
      <c r="A359" s="143">
        <v>307</v>
      </c>
      <c r="B359" s="137"/>
      <c r="C359" s="137">
        <f t="shared" ca="1" si="34"/>
        <v>0</v>
      </c>
      <c r="D359" s="137">
        <f t="shared" ca="1" si="34"/>
        <v>0</v>
      </c>
      <c r="E359" s="137">
        <f t="shared" ca="1" si="34"/>
        <v>0</v>
      </c>
      <c r="F359" s="137">
        <f t="shared" ca="1" si="34"/>
        <v>0</v>
      </c>
      <c r="G359" s="137">
        <f t="shared" ca="1" si="34"/>
        <v>0</v>
      </c>
      <c r="H359" s="137">
        <f t="shared" ca="1" si="34"/>
        <v>0</v>
      </c>
      <c r="I359" s="137">
        <f t="shared" ca="1" si="34"/>
        <v>0</v>
      </c>
      <c r="J359" s="137">
        <f t="shared" ca="1" si="34"/>
        <v>0</v>
      </c>
      <c r="K359" s="137">
        <f t="shared" ca="1" si="34"/>
        <v>0</v>
      </c>
      <c r="L359" s="137">
        <f t="shared" ca="1" si="34"/>
        <v>0</v>
      </c>
      <c r="M359" s="137">
        <f t="shared" ca="1" si="34"/>
        <v>0</v>
      </c>
      <c r="N359" s="146">
        <f t="shared" ca="1" si="34"/>
        <v>0</v>
      </c>
    </row>
    <row r="360" spans="1:14" x14ac:dyDescent="0.25">
      <c r="A360" s="143">
        <v>308</v>
      </c>
      <c r="B360" s="137"/>
      <c r="C360" s="137">
        <f t="shared" ca="1" si="34"/>
        <v>0</v>
      </c>
      <c r="D360" s="137">
        <f t="shared" ca="1" si="34"/>
        <v>0</v>
      </c>
      <c r="E360" s="137">
        <f t="shared" ca="1" si="34"/>
        <v>0</v>
      </c>
      <c r="F360" s="137">
        <f t="shared" ca="1" si="34"/>
        <v>0</v>
      </c>
      <c r="G360" s="137">
        <f t="shared" ca="1" si="34"/>
        <v>0</v>
      </c>
      <c r="H360" s="137">
        <f t="shared" ca="1" si="34"/>
        <v>0</v>
      </c>
      <c r="I360" s="137">
        <f t="shared" ca="1" si="34"/>
        <v>0</v>
      </c>
      <c r="J360" s="137">
        <f t="shared" ca="1" si="34"/>
        <v>0</v>
      </c>
      <c r="K360" s="137">
        <f t="shared" ca="1" si="34"/>
        <v>0</v>
      </c>
      <c r="L360" s="137">
        <f t="shared" ca="1" si="34"/>
        <v>0</v>
      </c>
      <c r="M360" s="137">
        <f t="shared" ca="1" si="34"/>
        <v>0</v>
      </c>
      <c r="N360" s="146">
        <f t="shared" ca="1" si="34"/>
        <v>0</v>
      </c>
    </row>
    <row r="361" spans="1:14" x14ac:dyDescent="0.25">
      <c r="A361" s="143">
        <v>309</v>
      </c>
      <c r="B361" s="137"/>
      <c r="C361" s="137">
        <f t="shared" ca="1" si="34"/>
        <v>0</v>
      </c>
      <c r="D361" s="137">
        <f t="shared" ca="1" si="34"/>
        <v>0</v>
      </c>
      <c r="E361" s="137">
        <f t="shared" ca="1" si="34"/>
        <v>0</v>
      </c>
      <c r="F361" s="137">
        <f t="shared" ca="1" si="34"/>
        <v>0</v>
      </c>
      <c r="G361" s="137">
        <f t="shared" ca="1" si="34"/>
        <v>0</v>
      </c>
      <c r="H361" s="137">
        <f t="shared" ca="1" si="34"/>
        <v>0</v>
      </c>
      <c r="I361" s="137">
        <f t="shared" ca="1" si="34"/>
        <v>0</v>
      </c>
      <c r="J361" s="137">
        <f t="shared" ca="1" si="34"/>
        <v>0</v>
      </c>
      <c r="K361" s="137">
        <f t="shared" ca="1" si="34"/>
        <v>0</v>
      </c>
      <c r="L361" s="137">
        <f t="shared" ca="1" si="34"/>
        <v>0</v>
      </c>
      <c r="M361" s="137">
        <f t="shared" ca="1" si="34"/>
        <v>0</v>
      </c>
      <c r="N361" s="146">
        <f t="shared" ca="1" si="34"/>
        <v>0</v>
      </c>
    </row>
    <row r="362" spans="1:14" x14ac:dyDescent="0.25">
      <c r="A362" s="143">
        <v>310</v>
      </c>
      <c r="B362" s="137"/>
      <c r="C362" s="137">
        <f t="shared" ca="1" si="34"/>
        <v>0</v>
      </c>
      <c r="D362" s="137">
        <f t="shared" ca="1" si="34"/>
        <v>0</v>
      </c>
      <c r="E362" s="137">
        <f t="shared" ca="1" si="34"/>
        <v>0</v>
      </c>
      <c r="F362" s="137">
        <f t="shared" ca="1" si="34"/>
        <v>0</v>
      </c>
      <c r="G362" s="137">
        <f t="shared" ca="1" si="34"/>
        <v>0</v>
      </c>
      <c r="H362" s="137">
        <f t="shared" ca="1" si="34"/>
        <v>0</v>
      </c>
      <c r="I362" s="137">
        <f t="shared" ca="1" si="34"/>
        <v>0</v>
      </c>
      <c r="J362" s="137">
        <f t="shared" ca="1" si="34"/>
        <v>0</v>
      </c>
      <c r="K362" s="137">
        <f t="shared" ca="1" si="34"/>
        <v>0</v>
      </c>
      <c r="L362" s="137">
        <f t="shared" ca="1" si="34"/>
        <v>0</v>
      </c>
      <c r="M362" s="137">
        <f t="shared" ca="1" si="34"/>
        <v>0</v>
      </c>
      <c r="N362" s="146">
        <f t="shared" ca="1" si="34"/>
        <v>0</v>
      </c>
    </row>
    <row r="363" spans="1:14" x14ac:dyDescent="0.25">
      <c r="A363" s="143">
        <v>311</v>
      </c>
      <c r="B363" s="137"/>
      <c r="C363" s="137">
        <f t="shared" ref="C363:N372" ca="1" si="35">ROUND(INDEX(INDIRECT(IF(C$13="E",$Q$53,$Q$54)),$A363,C$52),0)</f>
        <v>0</v>
      </c>
      <c r="D363" s="137">
        <f t="shared" ca="1" si="35"/>
        <v>0</v>
      </c>
      <c r="E363" s="137">
        <f t="shared" ca="1" si="35"/>
        <v>0</v>
      </c>
      <c r="F363" s="137">
        <f t="shared" ca="1" si="35"/>
        <v>0</v>
      </c>
      <c r="G363" s="137">
        <f t="shared" ca="1" si="35"/>
        <v>0</v>
      </c>
      <c r="H363" s="137">
        <f t="shared" ca="1" si="35"/>
        <v>0</v>
      </c>
      <c r="I363" s="137">
        <f t="shared" ca="1" si="35"/>
        <v>0</v>
      </c>
      <c r="J363" s="137">
        <f t="shared" ca="1" si="35"/>
        <v>0</v>
      </c>
      <c r="K363" s="137">
        <f t="shared" ca="1" si="35"/>
        <v>0</v>
      </c>
      <c r="L363" s="137">
        <f t="shared" ca="1" si="35"/>
        <v>0</v>
      </c>
      <c r="M363" s="137">
        <f t="shared" ca="1" si="35"/>
        <v>0</v>
      </c>
      <c r="N363" s="146">
        <f t="shared" ca="1" si="35"/>
        <v>0</v>
      </c>
    </row>
    <row r="364" spans="1:14" x14ac:dyDescent="0.25">
      <c r="A364" s="143">
        <v>312</v>
      </c>
      <c r="B364" s="137"/>
      <c r="C364" s="137">
        <f t="shared" ca="1" si="35"/>
        <v>0</v>
      </c>
      <c r="D364" s="137">
        <f t="shared" ca="1" si="35"/>
        <v>0</v>
      </c>
      <c r="E364" s="137">
        <f t="shared" ca="1" si="35"/>
        <v>0</v>
      </c>
      <c r="F364" s="137">
        <f t="shared" ca="1" si="35"/>
        <v>0</v>
      </c>
      <c r="G364" s="137">
        <f t="shared" ca="1" si="35"/>
        <v>0</v>
      </c>
      <c r="H364" s="137">
        <f t="shared" ca="1" si="35"/>
        <v>0</v>
      </c>
      <c r="I364" s="137">
        <f t="shared" ca="1" si="35"/>
        <v>0</v>
      </c>
      <c r="J364" s="137">
        <f t="shared" ca="1" si="35"/>
        <v>0</v>
      </c>
      <c r="K364" s="137">
        <f t="shared" ca="1" si="35"/>
        <v>0</v>
      </c>
      <c r="L364" s="137">
        <f t="shared" ca="1" si="35"/>
        <v>0</v>
      </c>
      <c r="M364" s="137">
        <f t="shared" ca="1" si="35"/>
        <v>0</v>
      </c>
      <c r="N364" s="146">
        <f t="shared" ca="1" si="35"/>
        <v>0</v>
      </c>
    </row>
    <row r="365" spans="1:14" x14ac:dyDescent="0.25">
      <c r="A365" s="143">
        <v>313</v>
      </c>
      <c r="B365" s="137"/>
      <c r="C365" s="137">
        <f t="shared" ca="1" si="35"/>
        <v>320</v>
      </c>
      <c r="D365" s="137">
        <f t="shared" ca="1" si="35"/>
        <v>358</v>
      </c>
      <c r="E365" s="137">
        <f t="shared" ca="1" si="35"/>
        <v>362</v>
      </c>
      <c r="F365" s="137">
        <f t="shared" ca="1" si="35"/>
        <v>280</v>
      </c>
      <c r="G365" s="137">
        <f t="shared" ca="1" si="35"/>
        <v>196</v>
      </c>
      <c r="H365" s="137">
        <f t="shared" ca="1" si="35"/>
        <v>154</v>
      </c>
      <c r="I365" s="137">
        <f t="shared" ca="1" si="35"/>
        <v>129</v>
      </c>
      <c r="J365" s="137">
        <f t="shared" ca="1" si="35"/>
        <v>112</v>
      </c>
      <c r="K365" s="137">
        <f t="shared" ca="1" si="35"/>
        <v>115</v>
      </c>
      <c r="L365" s="137">
        <f t="shared" ca="1" si="35"/>
        <v>142</v>
      </c>
      <c r="M365" s="137">
        <f t="shared" ca="1" si="35"/>
        <v>184</v>
      </c>
      <c r="N365" s="146">
        <f t="shared" ca="1" si="35"/>
        <v>258</v>
      </c>
    </row>
    <row r="366" spans="1:14" x14ac:dyDescent="0.25">
      <c r="A366" s="143">
        <v>314</v>
      </c>
      <c r="B366" s="137"/>
      <c r="C366" s="137">
        <f t="shared" ca="1" si="35"/>
        <v>942</v>
      </c>
      <c r="D366" s="137">
        <f t="shared" ca="1" si="35"/>
        <v>948</v>
      </c>
      <c r="E366" s="137">
        <f t="shared" ca="1" si="35"/>
        <v>877</v>
      </c>
      <c r="F366" s="137">
        <f t="shared" ca="1" si="35"/>
        <v>594</v>
      </c>
      <c r="G366" s="137">
        <f t="shared" ca="1" si="35"/>
        <v>390</v>
      </c>
      <c r="H366" s="137">
        <f t="shared" ca="1" si="35"/>
        <v>325</v>
      </c>
      <c r="I366" s="137">
        <f t="shared" ca="1" si="35"/>
        <v>270</v>
      </c>
      <c r="J366" s="137">
        <f t="shared" ca="1" si="35"/>
        <v>229</v>
      </c>
      <c r="K366" s="137">
        <f t="shared" ca="1" si="35"/>
        <v>233</v>
      </c>
      <c r="L366" s="137">
        <f t="shared" ca="1" si="35"/>
        <v>277</v>
      </c>
      <c r="M366" s="137">
        <f t="shared" ca="1" si="35"/>
        <v>391</v>
      </c>
      <c r="N366" s="146">
        <f t="shared" ca="1" si="35"/>
        <v>637</v>
      </c>
    </row>
    <row r="367" spans="1:14" x14ac:dyDescent="0.25">
      <c r="A367" s="143">
        <v>315</v>
      </c>
      <c r="B367" s="137"/>
      <c r="C367" s="137">
        <f t="shared" ca="1" si="35"/>
        <v>180</v>
      </c>
      <c r="D367" s="137">
        <f t="shared" ca="1" si="35"/>
        <v>180</v>
      </c>
      <c r="E367" s="137">
        <f t="shared" ca="1" si="35"/>
        <v>178</v>
      </c>
      <c r="F367" s="137">
        <f t="shared" ca="1" si="35"/>
        <v>169</v>
      </c>
      <c r="G367" s="137">
        <f t="shared" ca="1" si="35"/>
        <v>148</v>
      </c>
      <c r="H367" s="137">
        <f t="shared" ca="1" si="35"/>
        <v>127</v>
      </c>
      <c r="I367" s="137">
        <f t="shared" ca="1" si="35"/>
        <v>112</v>
      </c>
      <c r="J367" s="137">
        <f t="shared" ca="1" si="35"/>
        <v>97</v>
      </c>
      <c r="K367" s="137">
        <f t="shared" ca="1" si="35"/>
        <v>98</v>
      </c>
      <c r="L367" s="137">
        <f t="shared" ca="1" si="35"/>
        <v>116</v>
      </c>
      <c r="M367" s="137">
        <f t="shared" ca="1" si="35"/>
        <v>143</v>
      </c>
      <c r="N367" s="146">
        <f t="shared" ca="1" si="35"/>
        <v>169</v>
      </c>
    </row>
    <row r="368" spans="1:14" x14ac:dyDescent="0.25">
      <c r="A368" s="143">
        <v>316</v>
      </c>
      <c r="B368" s="137"/>
      <c r="C368" s="137">
        <f t="shared" ca="1" si="35"/>
        <v>176</v>
      </c>
      <c r="D368" s="137">
        <f t="shared" ca="1" si="35"/>
        <v>176</v>
      </c>
      <c r="E368" s="137">
        <f t="shared" ca="1" si="35"/>
        <v>176</v>
      </c>
      <c r="F368" s="137">
        <f t="shared" ca="1" si="35"/>
        <v>169</v>
      </c>
      <c r="G368" s="137">
        <f t="shared" ca="1" si="35"/>
        <v>148</v>
      </c>
      <c r="H368" s="137">
        <f t="shared" ca="1" si="35"/>
        <v>127</v>
      </c>
      <c r="I368" s="137">
        <f t="shared" ca="1" si="35"/>
        <v>112</v>
      </c>
      <c r="J368" s="137">
        <f t="shared" ca="1" si="35"/>
        <v>97</v>
      </c>
      <c r="K368" s="137">
        <f t="shared" ca="1" si="35"/>
        <v>98</v>
      </c>
      <c r="L368" s="137">
        <f t="shared" ca="1" si="35"/>
        <v>116</v>
      </c>
      <c r="M368" s="137">
        <f t="shared" ca="1" si="35"/>
        <v>143</v>
      </c>
      <c r="N368" s="146">
        <f t="shared" ca="1" si="35"/>
        <v>168</v>
      </c>
    </row>
    <row r="369" spans="1:14" x14ac:dyDescent="0.25">
      <c r="A369" s="143">
        <v>317</v>
      </c>
      <c r="B369" s="137"/>
      <c r="C369" s="137">
        <f t="shared" ca="1" si="35"/>
        <v>4</v>
      </c>
      <c r="D369" s="137">
        <f t="shared" ca="1" si="35"/>
        <v>5</v>
      </c>
      <c r="E369" s="137">
        <f t="shared" ca="1" si="35"/>
        <v>3</v>
      </c>
      <c r="F369" s="137">
        <f t="shared" ca="1" si="35"/>
        <v>1</v>
      </c>
      <c r="G369" s="137">
        <f t="shared" ca="1" si="35"/>
        <v>0</v>
      </c>
      <c r="H369" s="137">
        <f t="shared" ca="1" si="35"/>
        <v>0</v>
      </c>
      <c r="I369" s="137">
        <f t="shared" ca="1" si="35"/>
        <v>0</v>
      </c>
      <c r="J369" s="137">
        <f t="shared" ca="1" si="35"/>
        <v>0</v>
      </c>
      <c r="K369" s="137">
        <f t="shared" ca="1" si="35"/>
        <v>0</v>
      </c>
      <c r="L369" s="137">
        <f t="shared" ca="1" si="35"/>
        <v>0</v>
      </c>
      <c r="M369" s="137">
        <f t="shared" ca="1" si="35"/>
        <v>0</v>
      </c>
      <c r="N369" s="146">
        <f t="shared" ca="1" si="35"/>
        <v>1</v>
      </c>
    </row>
    <row r="370" spans="1:14" x14ac:dyDescent="0.25">
      <c r="A370" s="143">
        <v>318</v>
      </c>
      <c r="B370" s="137"/>
      <c r="C370" s="137">
        <f t="shared" ca="1" si="35"/>
        <v>64</v>
      </c>
      <c r="D370" s="137">
        <f t="shared" ca="1" si="35"/>
        <v>66</v>
      </c>
      <c r="E370" s="137">
        <f t="shared" ca="1" si="35"/>
        <v>58</v>
      </c>
      <c r="F370" s="137">
        <f t="shared" ca="1" si="35"/>
        <v>41</v>
      </c>
      <c r="G370" s="137">
        <f t="shared" ca="1" si="35"/>
        <v>31</v>
      </c>
      <c r="H370" s="137">
        <f t="shared" ca="1" si="35"/>
        <v>29</v>
      </c>
      <c r="I370" s="137">
        <f t="shared" ca="1" si="35"/>
        <v>24</v>
      </c>
      <c r="J370" s="137">
        <f t="shared" ca="1" si="35"/>
        <v>21</v>
      </c>
      <c r="K370" s="137">
        <f t="shared" ca="1" si="35"/>
        <v>29</v>
      </c>
      <c r="L370" s="137">
        <f t="shared" ca="1" si="35"/>
        <v>36</v>
      </c>
      <c r="M370" s="137">
        <f t="shared" ca="1" si="35"/>
        <v>37</v>
      </c>
      <c r="N370" s="146">
        <f t="shared" ca="1" si="35"/>
        <v>49</v>
      </c>
    </row>
    <row r="371" spans="1:14" x14ac:dyDescent="0.25">
      <c r="A371" s="143">
        <v>319</v>
      </c>
      <c r="B371" s="137"/>
      <c r="C371" s="137">
        <f t="shared" ca="1" si="35"/>
        <v>58</v>
      </c>
      <c r="D371" s="137">
        <f t="shared" ca="1" si="35"/>
        <v>60</v>
      </c>
      <c r="E371" s="137">
        <f t="shared" ca="1" si="35"/>
        <v>53</v>
      </c>
      <c r="F371" s="137">
        <f t="shared" ca="1" si="35"/>
        <v>37</v>
      </c>
      <c r="G371" s="137">
        <f t="shared" ca="1" si="35"/>
        <v>29</v>
      </c>
      <c r="H371" s="137">
        <f t="shared" ca="1" si="35"/>
        <v>26</v>
      </c>
      <c r="I371" s="137">
        <f t="shared" ca="1" si="35"/>
        <v>22</v>
      </c>
      <c r="J371" s="137">
        <f t="shared" ca="1" si="35"/>
        <v>20</v>
      </c>
      <c r="K371" s="137">
        <f t="shared" ca="1" si="35"/>
        <v>26</v>
      </c>
      <c r="L371" s="137">
        <f t="shared" ca="1" si="35"/>
        <v>33</v>
      </c>
      <c r="M371" s="137">
        <f t="shared" ca="1" si="35"/>
        <v>34</v>
      </c>
      <c r="N371" s="146">
        <f t="shared" ca="1" si="35"/>
        <v>45</v>
      </c>
    </row>
    <row r="372" spans="1:14" x14ac:dyDescent="0.25">
      <c r="A372" s="147">
        <v>320</v>
      </c>
      <c r="B372" s="137"/>
      <c r="C372" s="138">
        <f t="shared" ca="1" si="35"/>
        <v>31</v>
      </c>
      <c r="D372" s="138">
        <f t="shared" ca="1" si="35"/>
        <v>31</v>
      </c>
      <c r="E372" s="138">
        <f t="shared" ca="1" si="35"/>
        <v>27</v>
      </c>
      <c r="F372" s="138">
        <f t="shared" ca="1" si="35"/>
        <v>19</v>
      </c>
      <c r="G372" s="138">
        <f t="shared" ca="1" si="35"/>
        <v>13</v>
      </c>
      <c r="H372" s="138">
        <f t="shared" ca="1" si="35"/>
        <v>11</v>
      </c>
      <c r="I372" s="138">
        <f t="shared" ca="1" si="35"/>
        <v>10</v>
      </c>
      <c r="J372" s="138">
        <f t="shared" ca="1" si="35"/>
        <v>9</v>
      </c>
      <c r="K372" s="138">
        <f t="shared" ca="1" si="35"/>
        <v>14</v>
      </c>
      <c r="L372" s="138">
        <f t="shared" ca="1" si="35"/>
        <v>19</v>
      </c>
      <c r="M372" s="138">
        <f t="shared" ca="1" si="35"/>
        <v>18</v>
      </c>
      <c r="N372" s="148">
        <f t="shared" ca="1" si="35"/>
        <v>24</v>
      </c>
    </row>
  </sheetData>
  <dataConsolidate/>
  <mergeCells count="2">
    <mergeCell ref="C12:N12"/>
    <mergeCell ref="B6:B9"/>
  </mergeCells>
  <dataValidations count="1">
    <dataValidation type="list" allowBlank="1" showInputMessage="1" showErrorMessage="1" sqref="C13:N13">
      <formula1>"E,C"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en1Limpa_Clique">
                <anchor moveWithCells="1">
                  <from>
                    <xdr:col>15</xdr:col>
                    <xdr:colOff>9525</xdr:colOff>
                    <xdr:row>10</xdr:row>
                    <xdr:rowOff>104775</xdr:rowOff>
                  </from>
                  <to>
                    <xdr:col>16</xdr:col>
                    <xdr:colOff>152400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justarCenarios">
                <anchor moveWithCells="1">
                  <from>
                    <xdr:col>16</xdr:col>
                    <xdr:colOff>200025</xdr:colOff>
                    <xdr:row>10</xdr:row>
                    <xdr:rowOff>104775</xdr:rowOff>
                  </from>
                  <to>
                    <xdr:col>18</xdr:col>
                    <xdr:colOff>104775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arPrevs">
                <anchor moveWithCells="1" sizeWithCells="1">
                  <from>
                    <xdr:col>25</xdr:col>
                    <xdr:colOff>85725</xdr:colOff>
                    <xdr:row>10</xdr:row>
                    <xdr:rowOff>104775</xdr:rowOff>
                  </from>
                  <to>
                    <xdr:col>26</xdr:col>
                    <xdr:colOff>571500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arVazpast">
                <anchor moveWithCells="1" sizeWithCells="1">
                  <from>
                    <xdr:col>23</xdr:col>
                    <xdr:colOff>190500</xdr:colOff>
                    <xdr:row>10</xdr:row>
                    <xdr:rowOff>123825</xdr:rowOff>
                  </from>
                  <to>
                    <xdr:col>24</xdr:col>
                    <xdr:colOff>590550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2" tint="-0.749992370372631"/>
  </sheetPr>
  <dimension ref="A1:N372"/>
  <sheetViews>
    <sheetView workbookViewId="0"/>
  </sheetViews>
  <sheetFormatPr defaultRowHeight="15" x14ac:dyDescent="0.25"/>
  <cols>
    <col min="2" max="2" width="16.42578125" bestFit="1" customWidth="1"/>
  </cols>
  <sheetData>
    <row r="1" spans="1:14" x14ac:dyDescent="0.25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</row>
    <row r="2" spans="1:14" x14ac:dyDescent="0.25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</row>
    <row r="3" spans="1:14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</row>
    <row r="4" spans="1:14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</row>
    <row r="5" spans="1:14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</row>
    <row r="6" spans="1:14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</row>
    <row r="7" spans="1:14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</row>
    <row r="8" spans="1:14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</row>
    <row r="9" spans="1:14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</row>
    <row r="10" spans="1:14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</row>
    <row r="11" spans="1:14" x14ac:dyDescent="0.25">
      <c r="A11" s="113"/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14" x14ac:dyDescent="0.25">
      <c r="A12" s="113"/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14" ht="15.75" thickBot="1" x14ac:dyDescent="0.3">
      <c r="A13" s="113"/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14" ht="15.75" thickBot="1" x14ac:dyDescent="0.3">
      <c r="A14" s="113"/>
      <c r="B14" s="26"/>
      <c r="C14" s="149" t="s">
        <v>518</v>
      </c>
      <c r="D14" s="150" t="s">
        <v>519</v>
      </c>
      <c r="E14" s="150" t="s">
        <v>520</v>
      </c>
      <c r="F14" s="150" t="s">
        <v>521</v>
      </c>
      <c r="G14" s="150" t="s">
        <v>522</v>
      </c>
      <c r="H14" s="150" t="s">
        <v>523</v>
      </c>
      <c r="I14" s="150" t="s">
        <v>524</v>
      </c>
      <c r="J14" s="150" t="s">
        <v>525</v>
      </c>
      <c r="K14" s="150" t="s">
        <v>526</v>
      </c>
      <c r="L14" s="150" t="s">
        <v>527</v>
      </c>
      <c r="M14" s="150" t="s">
        <v>528</v>
      </c>
      <c r="N14" s="151" t="s">
        <v>529</v>
      </c>
    </row>
    <row r="15" spans="1:14" x14ac:dyDescent="0.25">
      <c r="A15" s="113"/>
      <c r="B15" s="120" t="s">
        <v>502</v>
      </c>
      <c r="C15" s="230">
        <f ca="1">MemMlt!D168</f>
        <v>55969.998000000014</v>
      </c>
      <c r="D15" s="230">
        <f ca="1">MemMlt!E168</f>
        <v>58559.566199999994</v>
      </c>
      <c r="E15" s="230">
        <f ca="1">MemMlt!F168</f>
        <v>54678.837100000012</v>
      </c>
      <c r="F15" s="230">
        <f ca="1">MemMlt!G168</f>
        <v>41444.549099999989</v>
      </c>
      <c r="G15" s="230">
        <f ca="1">MemMlt!H168</f>
        <v>29905.362999999998</v>
      </c>
      <c r="H15" s="230">
        <f ca="1">MemMlt!I168</f>
        <v>25533.5946</v>
      </c>
      <c r="I15" s="230">
        <f ca="1">MemMlt!J168</f>
        <v>21182.232399999994</v>
      </c>
      <c r="J15" s="230">
        <f ca="1">MemMlt!K168</f>
        <v>17684.899400000002</v>
      </c>
      <c r="K15" s="230">
        <f ca="1">MemMlt!L168</f>
        <v>17543.204699999995</v>
      </c>
      <c r="L15" s="230">
        <f ca="1">MemMlt!M168</f>
        <v>21105.841300000007</v>
      </c>
      <c r="M15" s="230">
        <f ca="1">MemMlt!N168</f>
        <v>26987.522399999994</v>
      </c>
      <c r="N15" s="231">
        <f ca="1">MemMlt!O168</f>
        <v>40922.817500000005</v>
      </c>
    </row>
    <row r="16" spans="1:14" x14ac:dyDescent="0.25">
      <c r="A16" s="113"/>
      <c r="B16" s="121" t="s">
        <v>499</v>
      </c>
      <c r="C16" s="232">
        <f ca="1">MemMlt!D225</f>
        <v>7270.8217999999997</v>
      </c>
      <c r="D16" s="233">
        <f ca="1">MemMlt!E225</f>
        <v>8348.9972999999991</v>
      </c>
      <c r="E16" s="233">
        <f ca="1">MemMlt!F225</f>
        <v>6999.5530000000008</v>
      </c>
      <c r="F16" s="233">
        <f ca="1">MemMlt!G225</f>
        <v>6584.4034999999994</v>
      </c>
      <c r="G16" s="233">
        <f ca="1">MemMlt!H225</f>
        <v>8561.4878000000008</v>
      </c>
      <c r="H16" s="233">
        <f ca="1">MemMlt!I225</f>
        <v>9931.4465000000018</v>
      </c>
      <c r="I16" s="233">
        <f ca="1">MemMlt!J225</f>
        <v>10917.3685</v>
      </c>
      <c r="J16" s="233">
        <f ca="1">MemMlt!K225</f>
        <v>10323.0345</v>
      </c>
      <c r="K16" s="233">
        <f ca="1">MemMlt!L225</f>
        <v>11997.3441</v>
      </c>
      <c r="L16" s="233">
        <f ca="1">MemMlt!M225</f>
        <v>13254.0923</v>
      </c>
      <c r="M16" s="233">
        <f ca="1">MemMlt!N225</f>
        <v>9357.5785999999989</v>
      </c>
      <c r="N16" s="234">
        <f ca="1">MemMlt!O225</f>
        <v>7381.5131000000001</v>
      </c>
    </row>
    <row r="17" spans="1:14" x14ac:dyDescent="0.25">
      <c r="A17" s="113"/>
      <c r="B17" s="122" t="s">
        <v>500</v>
      </c>
      <c r="C17" s="232">
        <f ca="1">MemMlt!D252</f>
        <v>14160.132399999999</v>
      </c>
      <c r="D17" s="233">
        <f ca="1">MemMlt!E252</f>
        <v>14892.4866</v>
      </c>
      <c r="E17" s="233">
        <f ca="1">MemMlt!F252</f>
        <v>14829.474099999998</v>
      </c>
      <c r="F17" s="233">
        <f ca="1">MemMlt!G252</f>
        <v>12073.456300000002</v>
      </c>
      <c r="G17" s="233">
        <f ca="1">MemMlt!H252</f>
        <v>7313.483400000001</v>
      </c>
      <c r="H17" s="233">
        <f ca="1">MemMlt!I252</f>
        <v>4824.5924000000014</v>
      </c>
      <c r="I17" s="233">
        <f ca="1">MemMlt!J252</f>
        <v>3973.5953999999997</v>
      </c>
      <c r="J17" s="233">
        <f ca="1">MemMlt!K252</f>
        <v>3461.5191</v>
      </c>
      <c r="K17" s="233">
        <f ca="1">MemMlt!L252</f>
        <v>3095.0844999999999</v>
      </c>
      <c r="L17" s="233">
        <f ca="1">MemMlt!M252</f>
        <v>3392.4041999999999</v>
      </c>
      <c r="M17" s="233">
        <f ca="1">MemMlt!N252</f>
        <v>5552.6243000000004</v>
      </c>
      <c r="N17" s="234">
        <f ca="1">MemMlt!O252</f>
        <v>10210.5905</v>
      </c>
    </row>
    <row r="18" spans="1:14" ht="15.75" thickBot="1" x14ac:dyDescent="0.3">
      <c r="A18" s="113"/>
      <c r="B18" s="123" t="s">
        <v>501</v>
      </c>
      <c r="C18" s="235">
        <f ca="1">MemMlt!D275</f>
        <v>10037.978899999998</v>
      </c>
      <c r="D18" s="236">
        <f ca="1">MemMlt!E275</f>
        <v>13475.824000000001</v>
      </c>
      <c r="E18" s="236">
        <f ca="1">MemMlt!F275</f>
        <v>15677.231500000002</v>
      </c>
      <c r="F18" s="236">
        <f ca="1">MemMlt!G275</f>
        <v>15615.0532</v>
      </c>
      <c r="G18" s="236">
        <f ca="1">MemMlt!H275</f>
        <v>10498.321900000003</v>
      </c>
      <c r="H18" s="236">
        <f ca="1">MemMlt!I275</f>
        <v>5478.1198000000004</v>
      </c>
      <c r="I18" s="236">
        <f ca="1">MemMlt!J275</f>
        <v>3334.5636999999997</v>
      </c>
      <c r="J18" s="236">
        <f ca="1">MemMlt!K275</f>
        <v>2337.0961000000002</v>
      </c>
      <c r="K18" s="236">
        <f ca="1">MemMlt!L275</f>
        <v>1807.1817000000001</v>
      </c>
      <c r="L18" s="236">
        <f ca="1">MemMlt!M275</f>
        <v>1932.0153</v>
      </c>
      <c r="M18" s="236">
        <f ca="1">MemMlt!N275</f>
        <v>3065.3700000000008</v>
      </c>
      <c r="N18" s="237">
        <f ca="1">MemMlt!O275</f>
        <v>5855.4626000000007</v>
      </c>
    </row>
    <row r="19" spans="1:14" x14ac:dyDescent="0.25">
      <c r="A19" s="113"/>
      <c r="B19" s="120" t="s">
        <v>2</v>
      </c>
      <c r="C19" s="238">
        <f ca="1">MemMlt!D22</f>
        <v>9305.5499000000018</v>
      </c>
      <c r="D19" s="239">
        <f ca="1">MemMlt!E22</f>
        <v>9082.3019999999997</v>
      </c>
      <c r="E19" s="239">
        <f ca="1">MemMlt!F22</f>
        <v>8110.9993999999997</v>
      </c>
      <c r="F19" s="239">
        <f ca="1">MemMlt!G22</f>
        <v>5717.4046000000008</v>
      </c>
      <c r="G19" s="239">
        <f ca="1">MemMlt!H22</f>
        <v>4126.9616999999998</v>
      </c>
      <c r="H19" s="239">
        <f ca="1">MemMlt!I22</f>
        <v>3433.1162999999997</v>
      </c>
      <c r="I19" s="239">
        <f ca="1">MemMlt!J22</f>
        <v>2813.4535999999994</v>
      </c>
      <c r="J19" s="239">
        <f ca="1">MemMlt!K22</f>
        <v>2324.7512999999994</v>
      </c>
      <c r="K19" s="239">
        <f ca="1">MemMlt!L22</f>
        <v>2353.0582999999997</v>
      </c>
      <c r="L19" s="239">
        <f ca="1">MemMlt!M22</f>
        <v>2752.1955000000003</v>
      </c>
      <c r="M19" s="239">
        <f ca="1">MemMlt!N22</f>
        <v>3766.5231999999996</v>
      </c>
      <c r="N19" s="240">
        <f ca="1">MemMlt!O22</f>
        <v>6350.6214999999993</v>
      </c>
    </row>
    <row r="20" spans="1:14" x14ac:dyDescent="0.25">
      <c r="A20" s="113"/>
      <c r="B20" s="124" t="s">
        <v>3</v>
      </c>
      <c r="C20" s="241">
        <f ca="1">MemMlt!D45</f>
        <v>9172.9087</v>
      </c>
      <c r="D20" s="242">
        <f ca="1">MemMlt!E45</f>
        <v>9501.5702000000001</v>
      </c>
      <c r="E20" s="242">
        <f ca="1">MemMlt!F45</f>
        <v>9266.0079000000005</v>
      </c>
      <c r="F20" s="242">
        <f ca="1">MemMlt!G45</f>
        <v>7013.097600000001</v>
      </c>
      <c r="G20" s="242">
        <f ca="1">MemMlt!H45</f>
        <v>4607.5847000000003</v>
      </c>
      <c r="H20" s="242">
        <f ca="1">MemMlt!I45</f>
        <v>3585.8961000000004</v>
      </c>
      <c r="I20" s="242">
        <f ca="1">MemMlt!J45</f>
        <v>2895.9571000000001</v>
      </c>
      <c r="J20" s="242">
        <f ca="1">MemMlt!K45</f>
        <v>2361.6932999999999</v>
      </c>
      <c r="K20" s="242">
        <f ca="1">MemMlt!L45</f>
        <v>2141.7345</v>
      </c>
      <c r="L20" s="242">
        <f ca="1">MemMlt!M45</f>
        <v>2582.1788000000001</v>
      </c>
      <c r="M20" s="242">
        <f ca="1">MemMlt!N45</f>
        <v>3969.9098999999997</v>
      </c>
      <c r="N20" s="243">
        <f ca="1">MemMlt!O45</f>
        <v>6683.1997999999994</v>
      </c>
    </row>
    <row r="21" spans="1:14" x14ac:dyDescent="0.25">
      <c r="A21" s="113"/>
      <c r="B21" s="124" t="s">
        <v>9</v>
      </c>
      <c r="C21" s="241">
        <f ca="1">MemMlt!D50</f>
        <v>361.83679999999998</v>
      </c>
      <c r="D21" s="242">
        <f ca="1">MemMlt!E50</f>
        <v>373.14419999999996</v>
      </c>
      <c r="E21" s="242">
        <f ca="1">MemMlt!F50</f>
        <v>327.91460000000001</v>
      </c>
      <c r="F21" s="242">
        <f ca="1">MemMlt!G50</f>
        <v>231.80169999999998</v>
      </c>
      <c r="G21" s="242">
        <f ca="1">MemMlt!H50</f>
        <v>175.2647</v>
      </c>
      <c r="H21" s="242">
        <f ca="1">MemMlt!I50</f>
        <v>163.9573</v>
      </c>
      <c r="I21" s="242">
        <f ca="1">MemMlt!J50</f>
        <v>135.68879999999999</v>
      </c>
      <c r="J21" s="242">
        <f ca="1">MemMlt!K50</f>
        <v>118.7277</v>
      </c>
      <c r="K21" s="242">
        <f ca="1">MemMlt!L50</f>
        <v>163.9573</v>
      </c>
      <c r="L21" s="242">
        <f ca="1">MemMlt!M50</f>
        <v>203.53319999999999</v>
      </c>
      <c r="M21" s="242">
        <f ca="1">MemMlt!N50</f>
        <v>209.18689999999998</v>
      </c>
      <c r="N21" s="243">
        <f ca="1">MemMlt!O50</f>
        <v>277.03129999999999</v>
      </c>
    </row>
    <row r="22" spans="1:14" x14ac:dyDescent="0.25">
      <c r="A22" s="113"/>
      <c r="B22" s="124" t="s">
        <v>4</v>
      </c>
      <c r="C22" s="241">
        <f ca="1">MemMlt!D60</f>
        <v>1479.9179999999999</v>
      </c>
      <c r="D22" s="242">
        <f ca="1">MemMlt!E60</f>
        <v>1586.0933</v>
      </c>
      <c r="E22" s="242">
        <f ca="1">MemMlt!F60</f>
        <v>1363.8966</v>
      </c>
      <c r="F22" s="242">
        <f ca="1">MemMlt!G60</f>
        <v>927.81849999999997</v>
      </c>
      <c r="G22" s="242">
        <f ca="1">MemMlt!H60</f>
        <v>729.78189999999995</v>
      </c>
      <c r="H22" s="242">
        <f ca="1">MemMlt!I60</f>
        <v>719.60649999999998</v>
      </c>
      <c r="I22" s="242">
        <f ca="1">MemMlt!J60</f>
        <v>582.75369999999998</v>
      </c>
      <c r="J22" s="242">
        <f ca="1">MemMlt!K60</f>
        <v>501.53560000000004</v>
      </c>
      <c r="K22" s="242">
        <f ca="1">MemMlt!L60</f>
        <v>528.23700000000008</v>
      </c>
      <c r="L22" s="242">
        <f ca="1">MemMlt!M60</f>
        <v>626.00199999999995</v>
      </c>
      <c r="M22" s="242">
        <f ca="1">MemMlt!N60</f>
        <v>670.50110000000006</v>
      </c>
      <c r="N22" s="243">
        <f ca="1">MemMlt!O60</f>
        <v>1006.3512000000001</v>
      </c>
    </row>
    <row r="23" spans="1:14" x14ac:dyDescent="0.25">
      <c r="A23" s="113"/>
      <c r="B23" s="124" t="s">
        <v>5</v>
      </c>
      <c r="C23" s="241">
        <f ca="1">MemMlt!D74</f>
        <v>2050.0221000000001</v>
      </c>
      <c r="D23" s="242">
        <f ca="1">MemMlt!E74</f>
        <v>2198.0115999999998</v>
      </c>
      <c r="E23" s="242">
        <f ca="1">MemMlt!F74</f>
        <v>1822.5245</v>
      </c>
      <c r="F23" s="242">
        <f ca="1">MemMlt!G74</f>
        <v>1361.6677999999999</v>
      </c>
      <c r="G23" s="242">
        <f ca="1">MemMlt!H74</f>
        <v>1312.0001</v>
      </c>
      <c r="H23" s="242">
        <f ca="1">MemMlt!I74</f>
        <v>1409.7475999999999</v>
      </c>
      <c r="I23" s="242">
        <f ca="1">MemMlt!J74</f>
        <v>1261.8361</v>
      </c>
      <c r="J23" s="242">
        <f ca="1">MemMlt!K74</f>
        <v>1044.7266999999999</v>
      </c>
      <c r="K23" s="242">
        <f ca="1">MemMlt!L74</f>
        <v>1147.3741</v>
      </c>
      <c r="L23" s="242">
        <f ca="1">MemMlt!M74</f>
        <v>1406.2357999999999</v>
      </c>
      <c r="M23" s="242">
        <f ca="1">MemMlt!N74</f>
        <v>1286.5246999999997</v>
      </c>
      <c r="N23" s="243">
        <f ca="1">MemMlt!O74</f>
        <v>1479.3720000000001</v>
      </c>
    </row>
    <row r="24" spans="1:14" x14ac:dyDescent="0.25">
      <c r="A24" s="113"/>
      <c r="B24" s="124" t="s">
        <v>7</v>
      </c>
      <c r="C24" s="241">
        <f ca="1">MemMlt!D80</f>
        <v>5602.5864000000001</v>
      </c>
      <c r="D24" s="242">
        <f ca="1">MemMlt!E80</f>
        <v>5904.1984000000002</v>
      </c>
      <c r="E24" s="242">
        <f ca="1">MemMlt!F80</f>
        <v>5616.5946000000004</v>
      </c>
      <c r="F24" s="242">
        <f ca="1">MemMlt!G80</f>
        <v>4224.2945</v>
      </c>
      <c r="G24" s="242">
        <f ca="1">MemMlt!H80</f>
        <v>2920.4008000000003</v>
      </c>
      <c r="H24" s="242">
        <f ca="1">MemMlt!I80</f>
        <v>2419.3042</v>
      </c>
      <c r="I24" s="242">
        <f ca="1">MemMlt!J80</f>
        <v>1986.5871999999999</v>
      </c>
      <c r="J24" s="242">
        <f ca="1">MemMlt!K80</f>
        <v>1676.1268</v>
      </c>
      <c r="K24" s="242">
        <f ca="1">MemMlt!L80</f>
        <v>1605.3686</v>
      </c>
      <c r="L24" s="242">
        <f ca="1">MemMlt!M80</f>
        <v>1851.9536000000001</v>
      </c>
      <c r="M24" s="242">
        <f ca="1">MemMlt!N80</f>
        <v>2474.8577</v>
      </c>
      <c r="N24" s="243">
        <f ca="1">MemMlt!O80</f>
        <v>3929.0683000000004</v>
      </c>
    </row>
    <row r="25" spans="1:14" x14ac:dyDescent="0.25">
      <c r="A25" s="113"/>
      <c r="B25" s="124" t="s">
        <v>8</v>
      </c>
      <c r="C25" s="241">
        <f ca="1">MemMlt!D86</f>
        <v>17121.722099999999</v>
      </c>
      <c r="D25" s="242">
        <f ca="1">MemMlt!E86</f>
        <v>18674.383099999999</v>
      </c>
      <c r="E25" s="242">
        <f ca="1">MemMlt!F86</f>
        <v>17407.363099999999</v>
      </c>
      <c r="F25" s="242">
        <f ca="1">MemMlt!G86</f>
        <v>13780.776099999999</v>
      </c>
      <c r="G25" s="242">
        <f ca="1">MemMlt!H86</f>
        <v>10906.8056</v>
      </c>
      <c r="H25" s="242">
        <f ca="1">MemMlt!I86</f>
        <v>10037.831699999999</v>
      </c>
      <c r="I25" s="242">
        <f ca="1">MemMlt!J86</f>
        <v>8475.2816000000003</v>
      </c>
      <c r="J25" s="242">
        <f ca="1">MemMlt!K86</f>
        <v>7132.8384000000005</v>
      </c>
      <c r="K25" s="242">
        <f ca="1">MemMlt!L86</f>
        <v>7151.2721999999994</v>
      </c>
      <c r="L25" s="242">
        <f ca="1">MemMlt!M86</f>
        <v>8549.2945</v>
      </c>
      <c r="M25" s="242">
        <f ca="1">MemMlt!N86</f>
        <v>9495.9567999999999</v>
      </c>
      <c r="N25" s="243">
        <f ca="1">MemMlt!O86</f>
        <v>12657.8619</v>
      </c>
    </row>
    <row r="26" spans="1:14" x14ac:dyDescent="0.25">
      <c r="A26" s="113"/>
      <c r="B26" s="124" t="s">
        <v>10</v>
      </c>
      <c r="C26" s="241">
        <f ca="1">MemMlt!D101</f>
        <v>1585.7349000000002</v>
      </c>
      <c r="D26" s="242">
        <f ca="1">MemMlt!E101</f>
        <v>1599.6371999999999</v>
      </c>
      <c r="E26" s="242">
        <f ca="1">MemMlt!F101</f>
        <v>1553.5520000000001</v>
      </c>
      <c r="F26" s="242">
        <f ca="1">MemMlt!G101</f>
        <v>1308.9265</v>
      </c>
      <c r="G26" s="242">
        <f ca="1">MemMlt!H101</f>
        <v>1035.3341</v>
      </c>
      <c r="H26" s="242">
        <f ca="1">MemMlt!I101</f>
        <v>868.65509999999995</v>
      </c>
      <c r="I26" s="242">
        <f ca="1">MemMlt!J101</f>
        <v>736.85860000000002</v>
      </c>
      <c r="J26" s="242">
        <f ca="1">MemMlt!K101</f>
        <v>622.05840000000001</v>
      </c>
      <c r="K26" s="242">
        <f ca="1">MemMlt!L101</f>
        <v>635.50749999999994</v>
      </c>
      <c r="L26" s="242">
        <f ca="1">MemMlt!M101</f>
        <v>765.99239999999998</v>
      </c>
      <c r="M26" s="242">
        <f ca="1">MemMlt!N101</f>
        <v>1010.5265000000001</v>
      </c>
      <c r="N26" s="243">
        <f ca="1">MemMlt!O101</f>
        <v>1340.4030000000002</v>
      </c>
    </row>
    <row r="27" spans="1:14" x14ac:dyDescent="0.25">
      <c r="A27" s="113"/>
      <c r="B27" s="124" t="s">
        <v>11</v>
      </c>
      <c r="C27" s="241">
        <f ca="1">MemMlt!D106</f>
        <v>106.78500000000001</v>
      </c>
      <c r="D27" s="242">
        <f ca="1">MemMlt!E106</f>
        <v>79.665000000000006</v>
      </c>
      <c r="E27" s="242">
        <f ca="1">MemMlt!F106</f>
        <v>77.97</v>
      </c>
      <c r="F27" s="242">
        <f ca="1">MemMlt!G106</f>
        <v>62.715000000000003</v>
      </c>
      <c r="G27" s="242">
        <f ca="1">MemMlt!H106</f>
        <v>44.07</v>
      </c>
      <c r="H27" s="242">
        <f ca="1">MemMlt!I106</f>
        <v>33.9</v>
      </c>
      <c r="I27" s="242">
        <f ca="1">MemMlt!J106</f>
        <v>30.51</v>
      </c>
      <c r="J27" s="242">
        <f ca="1">MemMlt!K106</f>
        <v>25.425000000000001</v>
      </c>
      <c r="K27" s="242">
        <f ca="1">MemMlt!L106</f>
        <v>25.425000000000001</v>
      </c>
      <c r="L27" s="242">
        <f ca="1">MemMlt!M106</f>
        <v>33.9</v>
      </c>
      <c r="M27" s="242">
        <f ca="1">MemMlt!N106</f>
        <v>64.41</v>
      </c>
      <c r="N27" s="243">
        <f ca="1">MemMlt!O106</f>
        <v>98.31</v>
      </c>
    </row>
    <row r="28" spans="1:14" x14ac:dyDescent="0.25">
      <c r="A28" s="113"/>
      <c r="B28" s="124" t="s">
        <v>12</v>
      </c>
      <c r="C28" s="241">
        <f ca="1">MemMlt!D111</f>
        <v>80.678399999999996</v>
      </c>
      <c r="D28" s="242">
        <f ca="1">MemMlt!E111</f>
        <v>56.8416</v>
      </c>
      <c r="E28" s="242">
        <f ca="1">MemMlt!F111</f>
        <v>55.924799999999998</v>
      </c>
      <c r="F28" s="242">
        <f ca="1">MemMlt!G111</f>
        <v>49.507199999999997</v>
      </c>
      <c r="G28" s="242">
        <f ca="1">MemMlt!H111</f>
        <v>33.921599999999998</v>
      </c>
      <c r="H28" s="242">
        <f ca="1">MemMlt!I111</f>
        <v>28.4208</v>
      </c>
      <c r="I28" s="242">
        <f ca="1">MemMlt!J111</f>
        <v>27.962399999999999</v>
      </c>
      <c r="J28" s="242">
        <f ca="1">MemMlt!K111</f>
        <v>23.378399999999999</v>
      </c>
      <c r="K28" s="242">
        <f ca="1">MemMlt!L111</f>
        <v>20.628</v>
      </c>
      <c r="L28" s="242">
        <f ca="1">MemMlt!M111</f>
        <v>28.4208</v>
      </c>
      <c r="M28" s="242">
        <f ca="1">MemMlt!N111</f>
        <v>56.383199999999995</v>
      </c>
      <c r="N28" s="243">
        <f ca="1">MemMlt!O111</f>
        <v>84.804000000000002</v>
      </c>
    </row>
    <row r="29" spans="1:14" x14ac:dyDescent="0.25">
      <c r="A29" s="113"/>
      <c r="B29" s="124" t="s">
        <v>13</v>
      </c>
      <c r="C29" s="241">
        <f ca="1">MemMlt!D123</f>
        <v>1718.1073999999999</v>
      </c>
      <c r="D29" s="242">
        <f ca="1">MemMlt!E123</f>
        <v>1357.0293000000001</v>
      </c>
      <c r="E29" s="242">
        <f ca="1">MemMlt!F123</f>
        <v>1203.3426999999999</v>
      </c>
      <c r="F29" s="242">
        <f ca="1">MemMlt!G123</f>
        <v>917.29830000000004</v>
      </c>
      <c r="G29" s="242">
        <f ca="1">MemMlt!H123</f>
        <v>672.72879999999998</v>
      </c>
      <c r="H29" s="242">
        <f ca="1">MemMlt!I123</f>
        <v>566.10579999999993</v>
      </c>
      <c r="I29" s="242">
        <f ca="1">MemMlt!J123</f>
        <v>497.60149999999999</v>
      </c>
      <c r="J29" s="242">
        <f ca="1">MemMlt!K123</f>
        <v>440.53949999999998</v>
      </c>
      <c r="K29" s="242">
        <f ca="1">MemMlt!L123</f>
        <v>428.62039999999996</v>
      </c>
      <c r="L29" s="242">
        <f ca="1">MemMlt!M123</f>
        <v>535.59799999999996</v>
      </c>
      <c r="M29" s="242">
        <f ca="1">MemMlt!N123</f>
        <v>903.40819999999997</v>
      </c>
      <c r="N29" s="243">
        <f ca="1">MemMlt!O123</f>
        <v>1486.8343</v>
      </c>
    </row>
    <row r="30" spans="1:14" x14ac:dyDescent="0.25">
      <c r="A30" s="113"/>
      <c r="B30" s="124" t="s">
        <v>14</v>
      </c>
      <c r="C30" s="241">
        <f ca="1">MemMlt!D132</f>
        <v>641.57039999999995</v>
      </c>
      <c r="D30" s="242">
        <f ca="1">MemMlt!E132</f>
        <v>702.42259999999999</v>
      </c>
      <c r="E30" s="242">
        <f ca="1">MemMlt!F132</f>
        <v>696.63380000000006</v>
      </c>
      <c r="F30" s="242">
        <f ca="1">MemMlt!G132</f>
        <v>565.11990000000003</v>
      </c>
      <c r="G30" s="242">
        <f ca="1">MemMlt!H132</f>
        <v>442.45249999999999</v>
      </c>
      <c r="H30" s="242">
        <f ca="1">MemMlt!I132</f>
        <v>388.62180000000006</v>
      </c>
      <c r="I30" s="242">
        <f ca="1">MemMlt!J132</f>
        <v>359.81790000000001</v>
      </c>
      <c r="J30" s="242">
        <f ca="1">MemMlt!K132</f>
        <v>336.87779999999998</v>
      </c>
      <c r="K30" s="242">
        <f ca="1">MemMlt!L132</f>
        <v>336.28120000000001</v>
      </c>
      <c r="L30" s="242">
        <f ca="1">MemMlt!M132</f>
        <v>369.14</v>
      </c>
      <c r="M30" s="242">
        <f ca="1">MemMlt!N132</f>
        <v>420.41550000000001</v>
      </c>
      <c r="N30" s="243">
        <f ca="1">MemMlt!O132</f>
        <v>519.66070000000002</v>
      </c>
    </row>
    <row r="31" spans="1:14" x14ac:dyDescent="0.25">
      <c r="A31" s="113"/>
      <c r="B31" s="124" t="s">
        <v>24</v>
      </c>
      <c r="C31" s="241">
        <f ca="1">MemMlt!D137</f>
        <v>517.93219999999997</v>
      </c>
      <c r="D31" s="242">
        <f ca="1">MemMlt!E137</f>
        <v>350.76099999999997</v>
      </c>
      <c r="E31" s="242">
        <f ca="1">MemMlt!F137</f>
        <v>317.92379999999997</v>
      </c>
      <c r="F31" s="242">
        <f ca="1">MemMlt!G137</f>
        <v>200.00839999999999</v>
      </c>
      <c r="G31" s="242">
        <f ca="1">MemMlt!H137</f>
        <v>105.9746</v>
      </c>
      <c r="H31" s="242">
        <f ca="1">MemMlt!I137</f>
        <v>79.107799999999997</v>
      </c>
      <c r="I31" s="242">
        <f ca="1">MemMlt!J137</f>
        <v>65.674399999999991</v>
      </c>
      <c r="J31" s="242">
        <f ca="1">MemMlt!K137</f>
        <v>55.226199999999999</v>
      </c>
      <c r="K31" s="242">
        <f ca="1">MemMlt!L137</f>
        <v>52.241</v>
      </c>
      <c r="L31" s="242">
        <f ca="1">MemMlt!M137</f>
        <v>101.49679999999999</v>
      </c>
      <c r="M31" s="242">
        <f ca="1">MemMlt!N137</f>
        <v>300.01259999999996</v>
      </c>
      <c r="N31" s="243">
        <f ca="1">MemMlt!O137</f>
        <v>537.33600000000001</v>
      </c>
    </row>
    <row r="32" spans="1:14" x14ac:dyDescent="0.25">
      <c r="A32" s="113"/>
      <c r="B32" s="124" t="s">
        <v>28</v>
      </c>
      <c r="C32" s="241">
        <f ca="1">MemMlt!D148</f>
        <v>669.96560000000011</v>
      </c>
      <c r="D32" s="242">
        <f ca="1">MemMlt!E148</f>
        <v>959.60690000000011</v>
      </c>
      <c r="E32" s="242">
        <f ca="1">MemMlt!F148</f>
        <v>1070.3017</v>
      </c>
      <c r="F32" s="242">
        <f ca="1">MemMlt!G148</f>
        <v>934.84100000000001</v>
      </c>
      <c r="G32" s="242">
        <f ca="1">MemMlt!H148</f>
        <v>607.86930000000007</v>
      </c>
      <c r="H32" s="242">
        <f ca="1">MemMlt!I148</f>
        <v>328.5557</v>
      </c>
      <c r="I32" s="242">
        <f ca="1">MemMlt!J148</f>
        <v>195.80200000000002</v>
      </c>
      <c r="J32" s="242">
        <f ca="1">MemMlt!K148</f>
        <v>141.72219999999999</v>
      </c>
      <c r="K32" s="242">
        <f ca="1">MemMlt!L148</f>
        <v>125.4466</v>
      </c>
      <c r="L32" s="242">
        <f ca="1">MemMlt!M148</f>
        <v>134.33539999999999</v>
      </c>
      <c r="M32" s="242">
        <f ca="1">MemMlt!N148</f>
        <v>189.61190000000002</v>
      </c>
      <c r="N32" s="243">
        <f ca="1">MemMlt!O148</f>
        <v>352.39190000000002</v>
      </c>
    </row>
    <row r="33" spans="1:14" x14ac:dyDescent="0.25">
      <c r="A33" s="113"/>
      <c r="B33" s="124" t="s">
        <v>20</v>
      </c>
      <c r="C33" s="241">
        <f ca="1">MemMlt!D155</f>
        <v>876.11249999999995</v>
      </c>
      <c r="D33" s="242">
        <f ca="1">MemMlt!E155</f>
        <v>814.54299999999989</v>
      </c>
      <c r="E33" s="242">
        <f ca="1">MemMlt!F155</f>
        <v>707.90930000000003</v>
      </c>
      <c r="F33" s="242">
        <f ca="1">MemMlt!G155</f>
        <v>485.9667</v>
      </c>
      <c r="G33" s="242">
        <f ca="1">MemMlt!H155</f>
        <v>305.98559999999998</v>
      </c>
      <c r="H33" s="242">
        <f ca="1">MemMlt!I155</f>
        <v>240.16909999999999</v>
      </c>
      <c r="I33" s="242">
        <f ca="1">MemMlt!J155</f>
        <v>197.78919999999999</v>
      </c>
      <c r="J33" s="242">
        <f ca="1">MemMlt!K155</f>
        <v>165.00369999999998</v>
      </c>
      <c r="K33" s="242">
        <f ca="1">MemMlt!L155</f>
        <v>157.38929999999999</v>
      </c>
      <c r="L33" s="242">
        <f ca="1">MemMlt!M155</f>
        <v>206.63830000000002</v>
      </c>
      <c r="M33" s="242">
        <f ca="1">MemMlt!N155</f>
        <v>382.47399999999999</v>
      </c>
      <c r="N33" s="243">
        <f ca="1">MemMlt!O155</f>
        <v>687.58660000000009</v>
      </c>
    </row>
    <row r="34" spans="1:14" x14ac:dyDescent="0.25">
      <c r="A34" s="113"/>
      <c r="B34" s="127" t="s">
        <v>26</v>
      </c>
      <c r="C34" s="244">
        <f ca="1">MemMlt!D164</f>
        <v>4678.5675999999994</v>
      </c>
      <c r="D34" s="245">
        <f ca="1">MemMlt!E164</f>
        <v>5319.3568000000005</v>
      </c>
      <c r="E34" s="245">
        <f ca="1">MemMlt!F164</f>
        <v>5079.9782999999998</v>
      </c>
      <c r="F34" s="245">
        <f ca="1">MemMlt!G164</f>
        <v>3663.3053000000004</v>
      </c>
      <c r="G34" s="245">
        <f ca="1">MemMlt!H164</f>
        <v>1878.2270000000001</v>
      </c>
      <c r="H34" s="245">
        <f ca="1">MemMlt!I164</f>
        <v>1230.5988</v>
      </c>
      <c r="I34" s="245">
        <f ca="1">MemMlt!J164</f>
        <v>918.65830000000005</v>
      </c>
      <c r="J34" s="245">
        <f ca="1">MemMlt!K164</f>
        <v>714.26839999999993</v>
      </c>
      <c r="K34" s="245">
        <f ca="1">MemMlt!L164</f>
        <v>670.66369999999995</v>
      </c>
      <c r="L34" s="245">
        <f ca="1">MemMlt!M164</f>
        <v>958.92620000000011</v>
      </c>
      <c r="M34" s="245">
        <f ca="1">MemMlt!N164</f>
        <v>1786.8202000000001</v>
      </c>
      <c r="N34" s="246">
        <f ca="1">MemMlt!O164</f>
        <v>3431.9849999999997</v>
      </c>
    </row>
    <row r="35" spans="1:14" x14ac:dyDescent="0.25">
      <c r="A35" s="113"/>
      <c r="B35" s="128" t="s">
        <v>15</v>
      </c>
      <c r="C35" s="247">
        <f ca="1">MemMlt!D179</f>
        <v>3667.0928999999996</v>
      </c>
      <c r="D35" s="248">
        <f ca="1">MemMlt!E179</f>
        <v>4073.1866</v>
      </c>
      <c r="E35" s="248">
        <f ca="1">MemMlt!F179</f>
        <v>3579.5592000000001</v>
      </c>
      <c r="F35" s="248">
        <f ca="1">MemMlt!G179</f>
        <v>3116.2644999999998</v>
      </c>
      <c r="G35" s="248">
        <f ca="1">MemMlt!H179</f>
        <v>3898.547</v>
      </c>
      <c r="H35" s="248">
        <f ca="1">MemMlt!I179</f>
        <v>4610.8588999999993</v>
      </c>
      <c r="I35" s="248">
        <f ca="1">MemMlt!J179</f>
        <v>4657.3197</v>
      </c>
      <c r="J35" s="248">
        <f ca="1">MemMlt!K179</f>
        <v>3876.5623999999998</v>
      </c>
      <c r="K35" s="248">
        <f ca="1">MemMlt!L179</f>
        <v>4564.7398999999996</v>
      </c>
      <c r="L35" s="248">
        <f ca="1">MemMlt!M179</f>
        <v>5859.7097000000003</v>
      </c>
      <c r="M35" s="248">
        <f ca="1">MemMlt!N179</f>
        <v>4421.9402</v>
      </c>
      <c r="N35" s="249">
        <f ca="1">MemMlt!O179</f>
        <v>3610.9828000000007</v>
      </c>
    </row>
    <row r="36" spans="1:14" x14ac:dyDescent="0.25">
      <c r="A36" s="113"/>
      <c r="B36" s="121" t="s">
        <v>16</v>
      </c>
      <c r="C36" s="241">
        <f ca="1">MemMlt!D191</f>
        <v>546.15089999999998</v>
      </c>
      <c r="D36" s="242">
        <f ca="1">MemMlt!E191</f>
        <v>572.32579999999996</v>
      </c>
      <c r="E36" s="242">
        <f ca="1">MemMlt!F191</f>
        <v>465.46389999999997</v>
      </c>
      <c r="F36" s="242">
        <f ca="1">MemMlt!G191</f>
        <v>581.42969999999991</v>
      </c>
      <c r="G36" s="242">
        <f ca="1">MemMlt!H191</f>
        <v>801.3078999999999</v>
      </c>
      <c r="H36" s="242">
        <f ca="1">MemMlt!I191</f>
        <v>1007.0904</v>
      </c>
      <c r="I36" s="242">
        <f ca="1">MemMlt!J191</f>
        <v>1193.3054</v>
      </c>
      <c r="J36" s="242">
        <f ca="1">MemMlt!K191</f>
        <v>1228.1709999999998</v>
      </c>
      <c r="K36" s="242">
        <f ca="1">MemMlt!L191</f>
        <v>1382.8147999999999</v>
      </c>
      <c r="L36" s="242">
        <f ca="1">MemMlt!M191</f>
        <v>1277.9580999999998</v>
      </c>
      <c r="M36" s="242">
        <f ca="1">MemMlt!N191</f>
        <v>865.57089999999994</v>
      </c>
      <c r="N36" s="243">
        <f ca="1">MemMlt!O191</f>
        <v>665.18659999999988</v>
      </c>
    </row>
    <row r="37" spans="1:14" x14ac:dyDescent="0.25">
      <c r="A37" s="113"/>
      <c r="B37" s="121" t="s">
        <v>17</v>
      </c>
      <c r="C37" s="241">
        <f ca="1">MemMlt!D206</f>
        <v>2377.9775</v>
      </c>
      <c r="D37" s="242">
        <f ca="1">MemMlt!E206</f>
        <v>2959.0389999999998</v>
      </c>
      <c r="E37" s="242">
        <f ca="1">MemMlt!F206</f>
        <v>2342.8031000000001</v>
      </c>
      <c r="F37" s="242">
        <f ca="1">MemMlt!G206</f>
        <v>2432.8190999999997</v>
      </c>
      <c r="G37" s="242">
        <f ca="1">MemMlt!H206</f>
        <v>3340.0070000000005</v>
      </c>
      <c r="H37" s="242">
        <f ca="1">MemMlt!I206</f>
        <v>3751.4981000000007</v>
      </c>
      <c r="I37" s="242">
        <f ca="1">MemMlt!J206</f>
        <v>4451.0473000000002</v>
      </c>
      <c r="J37" s="242">
        <f ca="1">MemMlt!K206</f>
        <v>4652.9697000000006</v>
      </c>
      <c r="K37" s="242">
        <f ca="1">MemMlt!L206</f>
        <v>5369.2755999999999</v>
      </c>
      <c r="L37" s="242">
        <f ca="1">MemMlt!M206</f>
        <v>5327.7239</v>
      </c>
      <c r="M37" s="242">
        <f ca="1">MemMlt!N206</f>
        <v>3449.0716000000002</v>
      </c>
      <c r="N37" s="243">
        <f ca="1">MemMlt!O206</f>
        <v>2541.0038999999997</v>
      </c>
    </row>
    <row r="38" spans="1:14" x14ac:dyDescent="0.25">
      <c r="A38" s="113"/>
      <c r="B38" s="121" t="s">
        <v>18</v>
      </c>
      <c r="C38" s="241">
        <f ca="1">MemMlt!D211</f>
        <v>163.14750000000001</v>
      </c>
      <c r="D38" s="242">
        <f ca="1">MemMlt!E211</f>
        <v>176.19929999999999</v>
      </c>
      <c r="E38" s="242">
        <f ca="1">MemMlt!F211</f>
        <v>156.6216</v>
      </c>
      <c r="F38" s="242">
        <f ca="1">MemMlt!G211</f>
        <v>117.4662</v>
      </c>
      <c r="G38" s="242">
        <f ca="1">MemMlt!H211</f>
        <v>110.94030000000001</v>
      </c>
      <c r="H38" s="242">
        <f ca="1">MemMlt!I211</f>
        <v>110.94030000000001</v>
      </c>
      <c r="I38" s="242">
        <f ca="1">MemMlt!J211</f>
        <v>110.94030000000001</v>
      </c>
      <c r="J38" s="242">
        <f ca="1">MemMlt!K211</f>
        <v>91.3626</v>
      </c>
      <c r="K38" s="242">
        <f ca="1">MemMlt!L211</f>
        <v>117.4662</v>
      </c>
      <c r="L38" s="242">
        <f ca="1">MemMlt!M211</f>
        <v>130.518</v>
      </c>
      <c r="M38" s="242">
        <f ca="1">MemMlt!N211</f>
        <v>123.99209999999999</v>
      </c>
      <c r="N38" s="243">
        <f ca="1">MemMlt!O211</f>
        <v>130.518</v>
      </c>
    </row>
    <row r="39" spans="1:14" x14ac:dyDescent="0.25">
      <c r="A39" s="113"/>
      <c r="B39" s="121" t="s">
        <v>19</v>
      </c>
      <c r="C39" s="241">
        <f ca="1">MemMlt!D216</f>
        <v>201.54680000000002</v>
      </c>
      <c r="D39" s="242">
        <f ca="1">MemMlt!E216</f>
        <v>240.786</v>
      </c>
      <c r="E39" s="242">
        <f ca="1">MemMlt!F216</f>
        <v>187.27800000000002</v>
      </c>
      <c r="F39" s="242">
        <f ca="1">MemMlt!G216</f>
        <v>135.55360000000002</v>
      </c>
      <c r="G39" s="242">
        <f ca="1">MemMlt!H216</f>
        <v>165.87479999999999</v>
      </c>
      <c r="H39" s="242">
        <f ca="1">MemMlt!I216</f>
        <v>162.30760000000001</v>
      </c>
      <c r="I39" s="242">
        <f ca="1">MemMlt!J216</f>
        <v>208.68120000000002</v>
      </c>
      <c r="J39" s="242">
        <f ca="1">MemMlt!K216</f>
        <v>235.43520000000001</v>
      </c>
      <c r="K39" s="242">
        <f ca="1">MemMlt!L216</f>
        <v>288.94319999999999</v>
      </c>
      <c r="L39" s="242">
        <f ca="1">MemMlt!M216</f>
        <v>301.42840000000001</v>
      </c>
      <c r="M39" s="242">
        <f ca="1">MemMlt!N216</f>
        <v>205.114</v>
      </c>
      <c r="N39" s="243">
        <f ca="1">MemMlt!O216</f>
        <v>171.22560000000001</v>
      </c>
    </row>
    <row r="40" spans="1:14" x14ac:dyDescent="0.25">
      <c r="A40" s="113"/>
      <c r="B40" s="129" t="s">
        <v>6</v>
      </c>
      <c r="C40" s="244">
        <f ca="1">MemMlt!D221</f>
        <v>314.90620000000001</v>
      </c>
      <c r="D40" s="245">
        <f ca="1">MemMlt!E221</f>
        <v>327.4606</v>
      </c>
      <c r="E40" s="245">
        <f ca="1">MemMlt!F221</f>
        <v>267.8272</v>
      </c>
      <c r="F40" s="245">
        <f ca="1">MemMlt!G221</f>
        <v>200.87040000000002</v>
      </c>
      <c r="G40" s="245">
        <f ca="1">MemMlt!H221</f>
        <v>244.8108</v>
      </c>
      <c r="H40" s="245">
        <f ca="1">MemMlt!I221</f>
        <v>288.75119999999998</v>
      </c>
      <c r="I40" s="245">
        <f ca="1">MemMlt!J221</f>
        <v>296.07460000000003</v>
      </c>
      <c r="J40" s="245">
        <f ca="1">MemMlt!K221</f>
        <v>238.53360000000001</v>
      </c>
      <c r="K40" s="245">
        <f ca="1">MemMlt!L221</f>
        <v>274.1044</v>
      </c>
      <c r="L40" s="245">
        <f ca="1">MemMlt!M221</f>
        <v>356.75420000000003</v>
      </c>
      <c r="M40" s="245">
        <f ca="1">MemMlt!N221</f>
        <v>291.88979999999998</v>
      </c>
      <c r="N40" s="246">
        <f ca="1">MemMlt!O221</f>
        <v>262.59620000000001</v>
      </c>
    </row>
    <row r="41" spans="1:14" x14ac:dyDescent="0.25">
      <c r="A41" s="113"/>
      <c r="B41" s="130" t="s">
        <v>21</v>
      </c>
      <c r="C41" s="247">
        <f ca="1">MemMlt!D233</f>
        <v>13178.6664</v>
      </c>
      <c r="D41" s="248">
        <f ca="1">MemMlt!E233</f>
        <v>14041.2174</v>
      </c>
      <c r="E41" s="248">
        <f ca="1">MemMlt!F233</f>
        <v>14037.199799999999</v>
      </c>
      <c r="F41" s="248">
        <f ca="1">MemMlt!G233</f>
        <v>11452.182700000001</v>
      </c>
      <c r="G41" s="248">
        <f ca="1">MemMlt!H233</f>
        <v>6926.2161000000006</v>
      </c>
      <c r="H41" s="248">
        <f ca="1">MemMlt!I233</f>
        <v>4541.4027000000006</v>
      </c>
      <c r="I41" s="248">
        <f ca="1">MemMlt!J233</f>
        <v>3724.6857</v>
      </c>
      <c r="J41" s="248">
        <f ca="1">MemMlt!K233</f>
        <v>3246.7049999999999</v>
      </c>
      <c r="K41" s="248">
        <f ca="1">MemMlt!L233</f>
        <v>2902.1925000000001</v>
      </c>
      <c r="L41" s="248">
        <f ca="1">MemMlt!M233</f>
        <v>3128.0005000000001</v>
      </c>
      <c r="M41" s="248">
        <f ca="1">MemMlt!N233</f>
        <v>4975.3161</v>
      </c>
      <c r="N41" s="249">
        <f ca="1">MemMlt!O233</f>
        <v>9187.1790000000001</v>
      </c>
    </row>
    <row r="42" spans="1:14" x14ac:dyDescent="0.25">
      <c r="A42" s="113"/>
      <c r="B42" s="122" t="s">
        <v>25</v>
      </c>
      <c r="C42" s="241">
        <f ca="1">MemMlt!D238</f>
        <v>592.8202</v>
      </c>
      <c r="D42" s="242">
        <f ca="1">MemMlt!E238</f>
        <v>434.92619999999999</v>
      </c>
      <c r="E42" s="242">
        <f ca="1">MemMlt!F238</f>
        <v>359.5677</v>
      </c>
      <c r="F42" s="242">
        <f ca="1">MemMlt!G238</f>
        <v>246.8888</v>
      </c>
      <c r="G42" s="242">
        <f ca="1">MemMlt!H238</f>
        <v>149.99930000000001</v>
      </c>
      <c r="H42" s="242">
        <f ca="1">MemMlt!I238</f>
        <v>119.1382</v>
      </c>
      <c r="I42" s="242">
        <f ca="1">MemMlt!J238</f>
        <v>100.47799999999999</v>
      </c>
      <c r="J42" s="242">
        <f ca="1">MemMlt!K238</f>
        <v>84.688599999999994</v>
      </c>
      <c r="K42" s="242">
        <f ca="1">MemMlt!L238</f>
        <v>77.511600000000001</v>
      </c>
      <c r="L42" s="242">
        <f ca="1">MemMlt!M238</f>
        <v>124.1621</v>
      </c>
      <c r="M42" s="242">
        <f ca="1">MemMlt!N238</f>
        <v>340.18979999999999</v>
      </c>
      <c r="N42" s="243">
        <f ca="1">MemMlt!O238</f>
        <v>640.1884</v>
      </c>
    </row>
    <row r="43" spans="1:14" x14ac:dyDescent="0.25">
      <c r="A43" s="113"/>
      <c r="B43" s="122" t="s">
        <v>22</v>
      </c>
      <c r="C43" s="241">
        <f ca="1">MemMlt!D243</f>
        <v>243.2226</v>
      </c>
      <c r="D43" s="242">
        <f ca="1">MemMlt!E243</f>
        <v>269.99939999999998</v>
      </c>
      <c r="E43" s="242">
        <f ca="1">MemMlt!F243</f>
        <v>286.363</v>
      </c>
      <c r="F43" s="242">
        <f ca="1">MemMlt!G243</f>
        <v>252.892</v>
      </c>
      <c r="G43" s="242">
        <f ca="1">MemMlt!H243</f>
        <v>163.636</v>
      </c>
      <c r="H43" s="242">
        <f ca="1">MemMlt!I243</f>
        <v>113.4295</v>
      </c>
      <c r="I43" s="242">
        <f ca="1">MemMlt!J243</f>
        <v>97.809700000000007</v>
      </c>
      <c r="J43" s="242">
        <f ca="1">MemMlt!K243</f>
        <v>89.627899999999997</v>
      </c>
      <c r="K43" s="242">
        <f ca="1">MemMlt!L243</f>
        <v>87.7684</v>
      </c>
      <c r="L43" s="242">
        <f ca="1">MemMlt!M243</f>
        <v>107.10720000000001</v>
      </c>
      <c r="M43" s="242">
        <f ca="1">MemMlt!N243</f>
        <v>148.76</v>
      </c>
      <c r="N43" s="243">
        <f ca="1">MemMlt!O243</f>
        <v>198.2227</v>
      </c>
    </row>
    <row r="44" spans="1:14" x14ac:dyDescent="0.25">
      <c r="A44" s="113"/>
      <c r="B44" s="131" t="s">
        <v>23</v>
      </c>
      <c r="C44" s="244">
        <f ca="1">MemMlt!D248</f>
        <v>145.42320000000001</v>
      </c>
      <c r="D44" s="245">
        <f ca="1">MemMlt!E248</f>
        <v>146.34360000000001</v>
      </c>
      <c r="E44" s="245">
        <f ca="1">MemMlt!F248</f>
        <v>146.34360000000001</v>
      </c>
      <c r="F44" s="245">
        <f ca="1">MemMlt!G248</f>
        <v>121.4928</v>
      </c>
      <c r="G44" s="245">
        <f ca="1">MemMlt!H248</f>
        <v>73.632000000000005</v>
      </c>
      <c r="H44" s="245">
        <f ca="1">MemMlt!I248</f>
        <v>50.622</v>
      </c>
      <c r="I44" s="245">
        <f ca="1">MemMlt!J248</f>
        <v>50.622</v>
      </c>
      <c r="J44" s="245">
        <f ca="1">MemMlt!K248</f>
        <v>40.497599999999998</v>
      </c>
      <c r="K44" s="245">
        <f ca="1">MemMlt!L248</f>
        <v>27.611999999999998</v>
      </c>
      <c r="L44" s="245">
        <f ca="1">MemMlt!M248</f>
        <v>33.134399999999999</v>
      </c>
      <c r="M44" s="245">
        <f ca="1">MemMlt!N248</f>
        <v>88.358400000000003</v>
      </c>
      <c r="N44" s="246">
        <f ca="1">MemMlt!O248</f>
        <v>185.00040000000001</v>
      </c>
    </row>
    <row r="45" spans="1:14" x14ac:dyDescent="0.25">
      <c r="A45" s="113"/>
      <c r="B45" s="125" t="s">
        <v>27</v>
      </c>
      <c r="C45" s="250">
        <f ca="1">MemMlt!D258</f>
        <v>9691.5325999999986</v>
      </c>
      <c r="D45" s="251">
        <f ca="1">MemMlt!E258</f>
        <v>12916.3688</v>
      </c>
      <c r="E45" s="251">
        <f ca="1">MemMlt!F258</f>
        <v>14917.779400000001</v>
      </c>
      <c r="F45" s="251">
        <f ca="1">MemMlt!G258</f>
        <v>14624.3822</v>
      </c>
      <c r="G45" s="251">
        <f ca="1">MemMlt!H258</f>
        <v>9385.3372000000018</v>
      </c>
      <c r="H45" s="251">
        <f ca="1">MemMlt!I258</f>
        <v>4484.1118000000006</v>
      </c>
      <c r="I45" s="251">
        <f ca="1">MemMlt!J258</f>
        <v>2642.2835999999998</v>
      </c>
      <c r="J45" s="251">
        <f ca="1">MemMlt!K258</f>
        <v>1877.5394000000001</v>
      </c>
      <c r="K45" s="251">
        <f ca="1">MemMlt!L258</f>
        <v>1510.4126000000001</v>
      </c>
      <c r="L45" s="251">
        <f ca="1">MemMlt!M258</f>
        <v>1735.8820000000001</v>
      </c>
      <c r="M45" s="251">
        <f ca="1">MemMlt!N258</f>
        <v>2903.7176000000004</v>
      </c>
      <c r="N45" s="252">
        <f ca="1">MemMlt!O258</f>
        <v>5658.1788000000006</v>
      </c>
    </row>
    <row r="46" spans="1:14" x14ac:dyDescent="0.25">
      <c r="A46" s="113"/>
      <c r="B46" s="125" t="s">
        <v>29</v>
      </c>
      <c r="C46" s="241">
        <f ca="1">MemMlt!D265</f>
        <v>262.9821</v>
      </c>
      <c r="D46" s="242">
        <f ca="1">MemMlt!E265</f>
        <v>403.46780000000001</v>
      </c>
      <c r="E46" s="242">
        <f ca="1">MemMlt!F265</f>
        <v>521.56349999999998</v>
      </c>
      <c r="F46" s="242">
        <f ca="1">MemMlt!G265</f>
        <v>696.20180000000005</v>
      </c>
      <c r="G46" s="242">
        <f ca="1">MemMlt!H265</f>
        <v>798.19650000000001</v>
      </c>
      <c r="H46" s="242">
        <f ca="1">MemMlt!I265</f>
        <v>744.55320000000006</v>
      </c>
      <c r="I46" s="242">
        <f ca="1">MemMlt!J265</f>
        <v>508.15870000000001</v>
      </c>
      <c r="J46" s="242">
        <f ca="1">MemMlt!K265</f>
        <v>335.29820000000001</v>
      </c>
      <c r="K46" s="242">
        <f ca="1">MemMlt!L265</f>
        <v>224.87110000000001</v>
      </c>
      <c r="L46" s="242">
        <f ca="1">MemMlt!M265</f>
        <v>152.5256</v>
      </c>
      <c r="M46" s="242">
        <f ca="1">MemMlt!N265</f>
        <v>130.39240000000001</v>
      </c>
      <c r="N46" s="243">
        <f ca="1">MemMlt!O265</f>
        <v>161.0222</v>
      </c>
    </row>
    <row r="47" spans="1:14" ht="15.75" thickBot="1" x14ac:dyDescent="0.3">
      <c r="A47" s="113"/>
      <c r="B47" s="123" t="s">
        <v>289</v>
      </c>
      <c r="C47" s="253">
        <f ca="1">MemMlt!D271</f>
        <v>83.464199999999991</v>
      </c>
      <c r="D47" s="254">
        <f ca="1">MemMlt!E271</f>
        <v>155.98740000000001</v>
      </c>
      <c r="E47" s="254">
        <f ca="1">MemMlt!F271</f>
        <v>237.8886</v>
      </c>
      <c r="F47" s="254">
        <f ca="1">MemMlt!G271</f>
        <v>294.4692</v>
      </c>
      <c r="G47" s="254">
        <f ca="1">MemMlt!H271</f>
        <v>314.78819999999996</v>
      </c>
      <c r="H47" s="254">
        <f ca="1">MemMlt!I271</f>
        <v>249.45479999999998</v>
      </c>
      <c r="I47" s="254">
        <f ca="1">MemMlt!J271</f>
        <v>184.12139999999999</v>
      </c>
      <c r="J47" s="254">
        <f ca="1">MemMlt!K271</f>
        <v>124.2585</v>
      </c>
      <c r="K47" s="254">
        <f ca="1">MemMlt!L271</f>
        <v>71.897999999999996</v>
      </c>
      <c r="L47" s="254">
        <f ca="1">MemMlt!M271</f>
        <v>43.607700000000001</v>
      </c>
      <c r="M47" s="254">
        <f ca="1">MemMlt!N271</f>
        <v>31.259999999999998</v>
      </c>
      <c r="N47" s="255">
        <f ca="1">MemMlt!O271</f>
        <v>36.261600000000001</v>
      </c>
    </row>
    <row r="48" spans="1:14" x14ac:dyDescent="0.25">
      <c r="A48" s="113"/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1:14" x14ac:dyDescent="0.25">
      <c r="A49" s="113"/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1:14" x14ac:dyDescent="0.25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1:14" x14ac:dyDescent="0.2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1:14" x14ac:dyDescent="0.25">
      <c r="A52" s="136" t="s">
        <v>38</v>
      </c>
      <c r="B52" s="136" t="s">
        <v>530</v>
      </c>
      <c r="C52" s="136">
        <v>1</v>
      </c>
      <c r="D52" s="136">
        <v>2</v>
      </c>
      <c r="E52" s="136">
        <v>3</v>
      </c>
      <c r="F52" s="136">
        <v>4</v>
      </c>
      <c r="G52" s="136">
        <v>5</v>
      </c>
      <c r="H52" s="136">
        <v>6</v>
      </c>
      <c r="I52" s="136">
        <v>7</v>
      </c>
      <c r="J52" s="136">
        <v>8</v>
      </c>
      <c r="K52" s="136">
        <v>9</v>
      </c>
      <c r="L52" s="136">
        <v>10</v>
      </c>
      <c r="M52" s="136">
        <v>11</v>
      </c>
      <c r="N52" s="136">
        <v>12</v>
      </c>
    </row>
    <row r="53" spans="1:14" x14ac:dyDescent="0.25">
      <c r="A53" s="208">
        <v>1</v>
      </c>
      <c r="B53" s="47"/>
      <c r="C53" s="208">
        <v>254</v>
      </c>
      <c r="D53" s="208">
        <v>230</v>
      </c>
      <c r="E53" s="208">
        <v>204</v>
      </c>
      <c r="F53" s="208">
        <v>139</v>
      </c>
      <c r="G53" s="208">
        <v>105</v>
      </c>
      <c r="H53" s="208">
        <v>89</v>
      </c>
      <c r="I53" s="208">
        <v>74</v>
      </c>
      <c r="J53" s="208">
        <v>64</v>
      </c>
      <c r="K53" s="208">
        <v>67</v>
      </c>
      <c r="L53" s="208">
        <v>79</v>
      </c>
      <c r="M53" s="208">
        <v>111</v>
      </c>
      <c r="N53" s="208">
        <v>182</v>
      </c>
    </row>
    <row r="54" spans="1:14" x14ac:dyDescent="0.25">
      <c r="A54" s="208">
        <v>2</v>
      </c>
      <c r="B54" s="47"/>
      <c r="C54" s="208">
        <v>254</v>
      </c>
      <c r="D54" s="208">
        <v>230</v>
      </c>
      <c r="E54" s="208">
        <v>204</v>
      </c>
      <c r="F54" s="208">
        <v>139</v>
      </c>
      <c r="G54" s="208">
        <v>105</v>
      </c>
      <c r="H54" s="208">
        <v>89</v>
      </c>
      <c r="I54" s="208">
        <v>74</v>
      </c>
      <c r="J54" s="208">
        <v>64</v>
      </c>
      <c r="K54" s="208">
        <v>67</v>
      </c>
      <c r="L54" s="208">
        <v>79</v>
      </c>
      <c r="M54" s="208">
        <v>111</v>
      </c>
      <c r="N54" s="208">
        <v>182</v>
      </c>
    </row>
    <row r="55" spans="1:14" x14ac:dyDescent="0.25">
      <c r="A55" s="208">
        <v>3</v>
      </c>
      <c r="B55" s="47"/>
      <c r="C55" s="208">
        <v>0</v>
      </c>
      <c r="D55" s="208">
        <v>0</v>
      </c>
      <c r="E55" s="208">
        <v>0</v>
      </c>
      <c r="F55" s="208">
        <v>0</v>
      </c>
      <c r="G55" s="208">
        <v>0</v>
      </c>
      <c r="H55" s="208">
        <v>0</v>
      </c>
      <c r="I55" s="208">
        <v>0</v>
      </c>
      <c r="J55" s="208">
        <v>0</v>
      </c>
      <c r="K55" s="208">
        <v>0</v>
      </c>
      <c r="L55" s="208">
        <v>0</v>
      </c>
      <c r="M55" s="208">
        <v>0</v>
      </c>
      <c r="N55" s="208">
        <v>0</v>
      </c>
    </row>
    <row r="56" spans="1:14" x14ac:dyDescent="0.25">
      <c r="A56" s="208">
        <v>4</v>
      </c>
      <c r="B56" s="47"/>
      <c r="C56" s="208">
        <v>0</v>
      </c>
      <c r="D56" s="208">
        <v>0</v>
      </c>
      <c r="E56" s="208">
        <v>0</v>
      </c>
      <c r="F56" s="208">
        <v>0</v>
      </c>
      <c r="G56" s="208">
        <v>0</v>
      </c>
      <c r="H56" s="208">
        <v>0</v>
      </c>
      <c r="I56" s="208">
        <v>0</v>
      </c>
      <c r="J56" s="208">
        <v>0</v>
      </c>
      <c r="K56" s="208">
        <v>0</v>
      </c>
      <c r="L56" s="208">
        <v>0</v>
      </c>
      <c r="M56" s="208">
        <v>0</v>
      </c>
      <c r="N56" s="208">
        <v>0</v>
      </c>
    </row>
    <row r="57" spans="1:14" x14ac:dyDescent="0.25">
      <c r="A57" s="208">
        <v>5</v>
      </c>
      <c r="B57" s="47"/>
      <c r="C57" s="208">
        <v>0</v>
      </c>
      <c r="D57" s="208">
        <v>0</v>
      </c>
      <c r="E57" s="208">
        <v>0</v>
      </c>
      <c r="F57" s="208">
        <v>0</v>
      </c>
      <c r="G57" s="208">
        <v>0</v>
      </c>
      <c r="H57" s="208">
        <v>0</v>
      </c>
      <c r="I57" s="208">
        <v>0</v>
      </c>
      <c r="J57" s="208">
        <v>0</v>
      </c>
      <c r="K57" s="208">
        <v>0</v>
      </c>
      <c r="L57" s="208">
        <v>0</v>
      </c>
      <c r="M57" s="208">
        <v>0</v>
      </c>
      <c r="N57" s="208">
        <v>0</v>
      </c>
    </row>
    <row r="58" spans="1:14" x14ac:dyDescent="0.25">
      <c r="A58" s="208">
        <v>6</v>
      </c>
      <c r="B58" s="47"/>
      <c r="C58" s="208">
        <v>1782</v>
      </c>
      <c r="D58" s="208">
        <v>1653</v>
      </c>
      <c r="E58" s="208">
        <v>1470</v>
      </c>
      <c r="F58" s="208">
        <v>1010</v>
      </c>
      <c r="G58" s="208">
        <v>738</v>
      </c>
      <c r="H58" s="208">
        <v>616</v>
      </c>
      <c r="I58" s="208">
        <v>506</v>
      </c>
      <c r="J58" s="208">
        <v>416</v>
      </c>
      <c r="K58" s="208">
        <v>433</v>
      </c>
      <c r="L58" s="208">
        <v>511</v>
      </c>
      <c r="M58" s="208">
        <v>722</v>
      </c>
      <c r="N58" s="208">
        <v>1244</v>
      </c>
    </row>
    <row r="59" spans="1:14" x14ac:dyDescent="0.25">
      <c r="A59" s="208">
        <v>7</v>
      </c>
      <c r="B59" s="47"/>
      <c r="C59" s="208">
        <v>1986</v>
      </c>
      <c r="D59" s="208">
        <v>1860</v>
      </c>
      <c r="E59" s="208">
        <v>1656</v>
      </c>
      <c r="F59" s="208">
        <v>1139</v>
      </c>
      <c r="G59" s="208">
        <v>830</v>
      </c>
      <c r="H59" s="208">
        <v>688</v>
      </c>
      <c r="I59" s="208">
        <v>565</v>
      </c>
      <c r="J59" s="208">
        <v>464</v>
      </c>
      <c r="K59" s="208">
        <v>480</v>
      </c>
      <c r="L59" s="208">
        <v>567</v>
      </c>
      <c r="M59" s="208">
        <v>796</v>
      </c>
      <c r="N59" s="208">
        <v>1370</v>
      </c>
    </row>
    <row r="60" spans="1:14" x14ac:dyDescent="0.25">
      <c r="A60" s="208">
        <v>8</v>
      </c>
      <c r="B60" s="47"/>
      <c r="C60" s="208">
        <v>2029</v>
      </c>
      <c r="D60" s="208">
        <v>1910</v>
      </c>
      <c r="E60" s="208">
        <v>1702</v>
      </c>
      <c r="F60" s="208">
        <v>1175</v>
      </c>
      <c r="G60" s="208">
        <v>854</v>
      </c>
      <c r="H60" s="208">
        <v>707</v>
      </c>
      <c r="I60" s="208">
        <v>580</v>
      </c>
      <c r="J60" s="208">
        <v>475</v>
      </c>
      <c r="K60" s="208">
        <v>490</v>
      </c>
      <c r="L60" s="208">
        <v>578</v>
      </c>
      <c r="M60" s="208">
        <v>811</v>
      </c>
      <c r="N60" s="208">
        <v>1392</v>
      </c>
    </row>
    <row r="61" spans="1:14" x14ac:dyDescent="0.25">
      <c r="A61" s="208">
        <v>9</v>
      </c>
      <c r="B61" s="47"/>
      <c r="C61" s="208">
        <v>2046</v>
      </c>
      <c r="D61" s="208">
        <v>1932</v>
      </c>
      <c r="E61" s="208">
        <v>1722</v>
      </c>
      <c r="F61" s="208">
        <v>1192</v>
      </c>
      <c r="G61" s="208">
        <v>864</v>
      </c>
      <c r="H61" s="208">
        <v>715</v>
      </c>
      <c r="I61" s="208">
        <v>586</v>
      </c>
      <c r="J61" s="208">
        <v>480</v>
      </c>
      <c r="K61" s="208">
        <v>494</v>
      </c>
      <c r="L61" s="208">
        <v>583</v>
      </c>
      <c r="M61" s="208">
        <v>816</v>
      </c>
      <c r="N61" s="208">
        <v>1399</v>
      </c>
    </row>
    <row r="62" spans="1:14" x14ac:dyDescent="0.25">
      <c r="A62" s="208">
        <v>10</v>
      </c>
      <c r="B62" s="47"/>
      <c r="C62" s="208">
        <v>2096</v>
      </c>
      <c r="D62" s="208">
        <v>1994</v>
      </c>
      <c r="E62" s="208">
        <v>1777</v>
      </c>
      <c r="F62" s="208">
        <v>1236</v>
      </c>
      <c r="G62" s="208">
        <v>891</v>
      </c>
      <c r="H62" s="208">
        <v>736</v>
      </c>
      <c r="I62" s="208">
        <v>603</v>
      </c>
      <c r="J62" s="208">
        <v>494</v>
      </c>
      <c r="K62" s="208">
        <v>506</v>
      </c>
      <c r="L62" s="208">
        <v>596</v>
      </c>
      <c r="M62" s="208">
        <v>832</v>
      </c>
      <c r="N62" s="208">
        <v>1423</v>
      </c>
    </row>
    <row r="63" spans="1:14" x14ac:dyDescent="0.25">
      <c r="A63" s="208">
        <v>11</v>
      </c>
      <c r="B63" s="47"/>
      <c r="C63" s="208">
        <v>2210</v>
      </c>
      <c r="D63" s="208">
        <v>2123</v>
      </c>
      <c r="E63" s="208">
        <v>1895</v>
      </c>
      <c r="F63" s="208">
        <v>1328</v>
      </c>
      <c r="G63" s="208">
        <v>952</v>
      </c>
      <c r="H63" s="208">
        <v>785</v>
      </c>
      <c r="I63" s="208">
        <v>641</v>
      </c>
      <c r="J63" s="208">
        <v>524</v>
      </c>
      <c r="K63" s="208">
        <v>533</v>
      </c>
      <c r="L63" s="208">
        <v>627</v>
      </c>
      <c r="M63" s="208">
        <v>873</v>
      </c>
      <c r="N63" s="208">
        <v>1487</v>
      </c>
    </row>
    <row r="64" spans="1:14" x14ac:dyDescent="0.25">
      <c r="A64" s="208">
        <v>12</v>
      </c>
      <c r="B64" s="47"/>
      <c r="C64" s="208">
        <v>2494</v>
      </c>
      <c r="D64" s="208">
        <v>2425</v>
      </c>
      <c r="E64" s="208">
        <v>2172</v>
      </c>
      <c r="F64" s="208">
        <v>1534</v>
      </c>
      <c r="G64" s="208">
        <v>1094</v>
      </c>
      <c r="H64" s="208">
        <v>896</v>
      </c>
      <c r="I64" s="208">
        <v>728</v>
      </c>
      <c r="J64" s="208">
        <v>594</v>
      </c>
      <c r="K64" s="208">
        <v>598</v>
      </c>
      <c r="L64" s="208">
        <v>705</v>
      </c>
      <c r="M64" s="208">
        <v>979</v>
      </c>
      <c r="N64" s="208">
        <v>1662</v>
      </c>
    </row>
    <row r="65" spans="1:14" x14ac:dyDescent="0.25">
      <c r="A65" s="208">
        <v>13</v>
      </c>
      <c r="B65" s="47"/>
      <c r="C65" s="208">
        <v>0</v>
      </c>
      <c r="D65" s="208">
        <v>0</v>
      </c>
      <c r="E65" s="208">
        <v>0</v>
      </c>
      <c r="F65" s="208">
        <v>0</v>
      </c>
      <c r="G65" s="208">
        <v>0</v>
      </c>
      <c r="H65" s="208">
        <v>0</v>
      </c>
      <c r="I65" s="208">
        <v>0</v>
      </c>
      <c r="J65" s="208">
        <v>0</v>
      </c>
      <c r="K65" s="208">
        <v>0</v>
      </c>
      <c r="L65" s="208">
        <v>0</v>
      </c>
      <c r="M65" s="208">
        <v>0</v>
      </c>
      <c r="N65" s="208">
        <v>0</v>
      </c>
    </row>
    <row r="66" spans="1:14" x14ac:dyDescent="0.25">
      <c r="A66" s="208">
        <v>14</v>
      </c>
      <c r="B66" s="47"/>
      <c r="C66" s="208">
        <v>98</v>
      </c>
      <c r="D66" s="208">
        <v>100</v>
      </c>
      <c r="E66" s="208">
        <v>87</v>
      </c>
      <c r="F66" s="208">
        <v>60</v>
      </c>
      <c r="G66" s="208">
        <v>44</v>
      </c>
      <c r="H66" s="208">
        <v>36</v>
      </c>
      <c r="I66" s="208">
        <v>29</v>
      </c>
      <c r="J66" s="208">
        <v>25</v>
      </c>
      <c r="K66" s="208">
        <v>25</v>
      </c>
      <c r="L66" s="208">
        <v>31</v>
      </c>
      <c r="M66" s="208">
        <v>40</v>
      </c>
      <c r="N66" s="208">
        <v>70</v>
      </c>
    </row>
    <row r="67" spans="1:14" x14ac:dyDescent="0.25">
      <c r="A67" s="208">
        <v>15</v>
      </c>
      <c r="B67" s="47"/>
      <c r="C67" s="208">
        <v>160</v>
      </c>
      <c r="D67" s="208">
        <v>164</v>
      </c>
      <c r="E67" s="208">
        <v>142</v>
      </c>
      <c r="F67" s="208">
        <v>97</v>
      </c>
      <c r="G67" s="208">
        <v>71</v>
      </c>
      <c r="H67" s="208">
        <v>59</v>
      </c>
      <c r="I67" s="208">
        <v>49</v>
      </c>
      <c r="J67" s="208">
        <v>41</v>
      </c>
      <c r="K67" s="208">
        <v>42</v>
      </c>
      <c r="L67" s="208">
        <v>51</v>
      </c>
      <c r="M67" s="208">
        <v>64</v>
      </c>
      <c r="N67" s="208">
        <v>114</v>
      </c>
    </row>
    <row r="68" spans="1:14" x14ac:dyDescent="0.25">
      <c r="A68" s="208">
        <v>16</v>
      </c>
      <c r="B68" s="47"/>
      <c r="C68" s="208">
        <v>162</v>
      </c>
      <c r="D68" s="208">
        <v>167</v>
      </c>
      <c r="E68" s="208">
        <v>145</v>
      </c>
      <c r="F68" s="208">
        <v>99</v>
      </c>
      <c r="G68" s="208">
        <v>72</v>
      </c>
      <c r="H68" s="208">
        <v>60</v>
      </c>
      <c r="I68" s="208">
        <v>49</v>
      </c>
      <c r="J68" s="208">
        <v>42</v>
      </c>
      <c r="K68" s="208">
        <v>43</v>
      </c>
      <c r="L68" s="208">
        <v>52</v>
      </c>
      <c r="M68" s="208">
        <v>65</v>
      </c>
      <c r="N68" s="208">
        <v>116</v>
      </c>
    </row>
    <row r="69" spans="1:14" x14ac:dyDescent="0.25">
      <c r="A69" s="208">
        <v>17</v>
      </c>
      <c r="B69" s="47"/>
      <c r="C69" s="208">
        <v>3311</v>
      </c>
      <c r="D69" s="208">
        <v>3391</v>
      </c>
      <c r="E69" s="208">
        <v>3037</v>
      </c>
      <c r="F69" s="208">
        <v>2195</v>
      </c>
      <c r="G69" s="208">
        <v>1574</v>
      </c>
      <c r="H69" s="208">
        <v>1314</v>
      </c>
      <c r="I69" s="208">
        <v>1074</v>
      </c>
      <c r="J69" s="208">
        <v>891</v>
      </c>
      <c r="K69" s="208">
        <v>882</v>
      </c>
      <c r="L69" s="208">
        <v>1014</v>
      </c>
      <c r="M69" s="208">
        <v>1352</v>
      </c>
      <c r="N69" s="208">
        <v>2233</v>
      </c>
    </row>
    <row r="70" spans="1:14" x14ac:dyDescent="0.25">
      <c r="A70" s="208">
        <v>18</v>
      </c>
      <c r="B70" s="47"/>
      <c r="C70" s="208">
        <v>3688</v>
      </c>
      <c r="D70" s="208">
        <v>3840</v>
      </c>
      <c r="E70" s="208">
        <v>3458</v>
      </c>
      <c r="F70" s="208">
        <v>2518</v>
      </c>
      <c r="G70" s="208">
        <v>1797</v>
      </c>
      <c r="H70" s="208">
        <v>1506</v>
      </c>
      <c r="I70" s="208">
        <v>1233</v>
      </c>
      <c r="J70" s="208">
        <v>1028</v>
      </c>
      <c r="K70" s="208">
        <v>1011</v>
      </c>
      <c r="L70" s="208">
        <v>1163</v>
      </c>
      <c r="M70" s="208">
        <v>1520</v>
      </c>
      <c r="N70" s="208">
        <v>2466</v>
      </c>
    </row>
    <row r="71" spans="1:14" x14ac:dyDescent="0.25">
      <c r="A71" s="208">
        <v>19</v>
      </c>
      <c r="B71" s="47"/>
      <c r="C71" s="208">
        <v>0</v>
      </c>
      <c r="D71" s="208">
        <v>0</v>
      </c>
      <c r="E71" s="208">
        <v>0</v>
      </c>
      <c r="F71" s="208">
        <v>0</v>
      </c>
      <c r="G71" s="208">
        <v>0</v>
      </c>
      <c r="H71" s="208">
        <v>0</v>
      </c>
      <c r="I71" s="208">
        <v>0</v>
      </c>
      <c r="J71" s="208">
        <v>0</v>
      </c>
      <c r="K71" s="208">
        <v>0</v>
      </c>
      <c r="L71" s="208">
        <v>0</v>
      </c>
      <c r="M71" s="208">
        <v>0</v>
      </c>
      <c r="N71" s="208">
        <v>0</v>
      </c>
    </row>
    <row r="72" spans="1:14" x14ac:dyDescent="0.25">
      <c r="A72" s="208">
        <v>20</v>
      </c>
      <c r="B72" s="47"/>
      <c r="C72" s="208">
        <v>331</v>
      </c>
      <c r="D72" s="208">
        <v>332</v>
      </c>
      <c r="E72" s="208">
        <v>301</v>
      </c>
      <c r="F72" s="208">
        <v>215</v>
      </c>
      <c r="G72" s="208">
        <v>136</v>
      </c>
      <c r="H72" s="208">
        <v>104</v>
      </c>
      <c r="I72" s="208">
        <v>82</v>
      </c>
      <c r="J72" s="208">
        <v>65</v>
      </c>
      <c r="K72" s="208">
        <v>56</v>
      </c>
      <c r="L72" s="208">
        <v>70</v>
      </c>
      <c r="M72" s="208">
        <v>122</v>
      </c>
      <c r="N72" s="208">
        <v>236</v>
      </c>
    </row>
    <row r="73" spans="1:14" x14ac:dyDescent="0.25">
      <c r="A73" s="208">
        <v>21</v>
      </c>
      <c r="B73" s="47"/>
      <c r="C73" s="208">
        <v>0</v>
      </c>
      <c r="D73" s="208">
        <v>0</v>
      </c>
      <c r="E73" s="208">
        <v>0</v>
      </c>
      <c r="F73" s="208">
        <v>0</v>
      </c>
      <c r="G73" s="208">
        <v>0</v>
      </c>
      <c r="H73" s="208">
        <v>0</v>
      </c>
      <c r="I73" s="208">
        <v>0</v>
      </c>
      <c r="J73" s="208">
        <v>0</v>
      </c>
      <c r="K73" s="208">
        <v>0</v>
      </c>
      <c r="L73" s="208">
        <v>0</v>
      </c>
      <c r="M73" s="208">
        <v>0</v>
      </c>
      <c r="N73" s="208">
        <v>0</v>
      </c>
    </row>
    <row r="74" spans="1:14" x14ac:dyDescent="0.25">
      <c r="A74" s="208">
        <v>22</v>
      </c>
      <c r="B74" s="47"/>
      <c r="C74" s="208">
        <v>193</v>
      </c>
      <c r="D74" s="208">
        <v>196</v>
      </c>
      <c r="E74" s="208">
        <v>199</v>
      </c>
      <c r="F74" s="208">
        <v>150</v>
      </c>
      <c r="G74" s="208">
        <v>96</v>
      </c>
      <c r="H74" s="208">
        <v>73</v>
      </c>
      <c r="I74" s="208">
        <v>58</v>
      </c>
      <c r="J74" s="208">
        <v>45</v>
      </c>
      <c r="K74" s="208">
        <v>39</v>
      </c>
      <c r="L74" s="208">
        <v>46</v>
      </c>
      <c r="M74" s="208">
        <v>78</v>
      </c>
      <c r="N74" s="208">
        <v>146</v>
      </c>
    </row>
    <row r="75" spans="1:14" x14ac:dyDescent="0.25">
      <c r="A75" s="208">
        <v>23</v>
      </c>
      <c r="B75" s="47"/>
      <c r="C75" s="208">
        <v>273</v>
      </c>
      <c r="D75" s="208">
        <v>299</v>
      </c>
      <c r="E75" s="208">
        <v>299</v>
      </c>
      <c r="F75" s="208">
        <v>234</v>
      </c>
      <c r="G75" s="208">
        <v>148</v>
      </c>
      <c r="H75" s="208">
        <v>109</v>
      </c>
      <c r="I75" s="208">
        <v>85</v>
      </c>
      <c r="J75" s="208">
        <v>67</v>
      </c>
      <c r="K75" s="208">
        <v>58</v>
      </c>
      <c r="L75" s="208">
        <v>76</v>
      </c>
      <c r="M75" s="208">
        <v>125</v>
      </c>
      <c r="N75" s="208">
        <v>201</v>
      </c>
    </row>
    <row r="76" spans="1:14" x14ac:dyDescent="0.25">
      <c r="A76" s="208">
        <v>24</v>
      </c>
      <c r="B76" s="47"/>
      <c r="C76" s="208">
        <v>903</v>
      </c>
      <c r="D76" s="208">
        <v>899</v>
      </c>
      <c r="E76" s="208">
        <v>860</v>
      </c>
      <c r="F76" s="208">
        <v>626</v>
      </c>
      <c r="G76" s="208">
        <v>397</v>
      </c>
      <c r="H76" s="208">
        <v>306</v>
      </c>
      <c r="I76" s="208">
        <v>245</v>
      </c>
      <c r="J76" s="208">
        <v>196</v>
      </c>
      <c r="K76" s="208">
        <v>173</v>
      </c>
      <c r="L76" s="208">
        <v>207</v>
      </c>
      <c r="M76" s="208">
        <v>353</v>
      </c>
      <c r="N76" s="208">
        <v>658</v>
      </c>
    </row>
    <row r="77" spans="1:14" x14ac:dyDescent="0.25">
      <c r="A77" s="208">
        <v>25</v>
      </c>
      <c r="B77" s="47"/>
      <c r="C77" s="208">
        <v>530</v>
      </c>
      <c r="D77" s="208">
        <v>532</v>
      </c>
      <c r="E77" s="208">
        <v>499</v>
      </c>
      <c r="F77" s="208">
        <v>375</v>
      </c>
      <c r="G77" s="208">
        <v>257</v>
      </c>
      <c r="H77" s="208">
        <v>201</v>
      </c>
      <c r="I77" s="208">
        <v>166</v>
      </c>
      <c r="J77" s="208">
        <v>135</v>
      </c>
      <c r="K77" s="208">
        <v>123</v>
      </c>
      <c r="L77" s="208">
        <v>152</v>
      </c>
      <c r="M77" s="208">
        <v>224</v>
      </c>
      <c r="N77" s="208">
        <v>376</v>
      </c>
    </row>
    <row r="78" spans="1:14" x14ac:dyDescent="0.25">
      <c r="A78" s="208">
        <v>26</v>
      </c>
      <c r="B78" s="47"/>
      <c r="C78" s="208">
        <v>0</v>
      </c>
      <c r="D78" s="208">
        <v>0</v>
      </c>
      <c r="E78" s="208">
        <v>0</v>
      </c>
      <c r="F78" s="208">
        <v>0</v>
      </c>
      <c r="G78" s="208">
        <v>0</v>
      </c>
      <c r="H78" s="208">
        <v>0</v>
      </c>
      <c r="I78" s="208">
        <v>0</v>
      </c>
      <c r="J78" s="208">
        <v>0</v>
      </c>
      <c r="K78" s="208">
        <v>0</v>
      </c>
      <c r="L78" s="208">
        <v>0</v>
      </c>
      <c r="M78" s="208">
        <v>0</v>
      </c>
      <c r="N78" s="208">
        <v>0</v>
      </c>
    </row>
    <row r="79" spans="1:14" x14ac:dyDescent="0.25">
      <c r="A79" s="208">
        <v>27</v>
      </c>
      <c r="B79" s="47"/>
      <c r="C79" s="208">
        <v>0</v>
      </c>
      <c r="D79" s="208">
        <v>0</v>
      </c>
      <c r="E79" s="208">
        <v>0</v>
      </c>
      <c r="F79" s="208">
        <v>0</v>
      </c>
      <c r="G79" s="208">
        <v>0</v>
      </c>
      <c r="H79" s="208">
        <v>0</v>
      </c>
      <c r="I79" s="208">
        <v>0</v>
      </c>
      <c r="J79" s="208">
        <v>0</v>
      </c>
      <c r="K79" s="208">
        <v>0</v>
      </c>
      <c r="L79" s="208">
        <v>0</v>
      </c>
      <c r="M79" s="208">
        <v>0</v>
      </c>
      <c r="N79" s="208">
        <v>0</v>
      </c>
    </row>
    <row r="80" spans="1:14" x14ac:dyDescent="0.25">
      <c r="A80" s="208">
        <v>28</v>
      </c>
      <c r="B80" s="47"/>
      <c r="C80" s="208">
        <v>644</v>
      </c>
      <c r="D80" s="208">
        <v>653</v>
      </c>
      <c r="E80" s="208">
        <v>614</v>
      </c>
      <c r="F80" s="208">
        <v>469</v>
      </c>
      <c r="G80" s="208">
        <v>321</v>
      </c>
      <c r="H80" s="208">
        <v>251</v>
      </c>
      <c r="I80" s="208">
        <v>208</v>
      </c>
      <c r="J80" s="208">
        <v>173</v>
      </c>
      <c r="K80" s="208">
        <v>159</v>
      </c>
      <c r="L80" s="208">
        <v>191</v>
      </c>
      <c r="M80" s="208">
        <v>279</v>
      </c>
      <c r="N80" s="208">
        <v>458</v>
      </c>
    </row>
    <row r="81" spans="1:14" x14ac:dyDescent="0.25">
      <c r="A81" s="208">
        <v>29</v>
      </c>
      <c r="B81" s="47"/>
      <c r="C81" s="208">
        <v>0</v>
      </c>
      <c r="D81" s="208">
        <v>0</v>
      </c>
      <c r="E81" s="208">
        <v>0</v>
      </c>
      <c r="F81" s="208">
        <v>0</v>
      </c>
      <c r="G81" s="208">
        <v>0</v>
      </c>
      <c r="H81" s="208">
        <v>0</v>
      </c>
      <c r="I81" s="208">
        <v>0</v>
      </c>
      <c r="J81" s="208">
        <v>0</v>
      </c>
      <c r="K81" s="208">
        <v>0</v>
      </c>
      <c r="L81" s="208">
        <v>0</v>
      </c>
      <c r="M81" s="208">
        <v>0</v>
      </c>
      <c r="N81" s="208">
        <v>0</v>
      </c>
    </row>
    <row r="82" spans="1:14" x14ac:dyDescent="0.25">
      <c r="A82" s="208">
        <v>30</v>
      </c>
      <c r="B82" s="47"/>
      <c r="C82" s="208">
        <v>0</v>
      </c>
      <c r="D82" s="208">
        <v>0</v>
      </c>
      <c r="E82" s="208">
        <v>0</v>
      </c>
      <c r="F82" s="208">
        <v>0</v>
      </c>
      <c r="G82" s="208">
        <v>0</v>
      </c>
      <c r="H82" s="208">
        <v>0</v>
      </c>
      <c r="I82" s="208">
        <v>0</v>
      </c>
      <c r="J82" s="208">
        <v>0</v>
      </c>
      <c r="K82" s="208">
        <v>0</v>
      </c>
      <c r="L82" s="208">
        <v>0</v>
      </c>
      <c r="M82" s="208">
        <v>0</v>
      </c>
      <c r="N82" s="208">
        <v>0</v>
      </c>
    </row>
    <row r="83" spans="1:14" x14ac:dyDescent="0.25">
      <c r="A83" s="208">
        <v>31</v>
      </c>
      <c r="B83" s="47"/>
      <c r="C83" s="208">
        <v>2741</v>
      </c>
      <c r="D83" s="208">
        <v>2834</v>
      </c>
      <c r="E83" s="208">
        <v>2757</v>
      </c>
      <c r="F83" s="208">
        <v>2060</v>
      </c>
      <c r="G83" s="208">
        <v>1331</v>
      </c>
      <c r="H83" s="208">
        <v>1029</v>
      </c>
      <c r="I83" s="208">
        <v>818</v>
      </c>
      <c r="J83" s="208">
        <v>656</v>
      </c>
      <c r="K83" s="208">
        <v>582</v>
      </c>
      <c r="L83" s="208">
        <v>707</v>
      </c>
      <c r="M83" s="208">
        <v>1138</v>
      </c>
      <c r="N83" s="208">
        <v>1973</v>
      </c>
    </row>
    <row r="84" spans="1:14" x14ac:dyDescent="0.25">
      <c r="A84" s="208">
        <v>32</v>
      </c>
      <c r="B84" s="47"/>
      <c r="C84" s="208">
        <v>2868</v>
      </c>
      <c r="D84" s="208">
        <v>2975</v>
      </c>
      <c r="E84" s="208">
        <v>2894</v>
      </c>
      <c r="F84" s="208">
        <v>2169</v>
      </c>
      <c r="G84" s="208">
        <v>1403</v>
      </c>
      <c r="H84" s="208">
        <v>1086</v>
      </c>
      <c r="I84" s="208">
        <v>866</v>
      </c>
      <c r="J84" s="208">
        <v>695</v>
      </c>
      <c r="K84" s="208">
        <v>618</v>
      </c>
      <c r="L84" s="208">
        <v>745</v>
      </c>
      <c r="M84" s="208">
        <v>1193</v>
      </c>
      <c r="N84" s="208">
        <v>2064</v>
      </c>
    </row>
    <row r="85" spans="1:14" x14ac:dyDescent="0.25">
      <c r="A85" s="208">
        <v>33</v>
      </c>
      <c r="B85" s="47"/>
      <c r="C85" s="208">
        <v>4106</v>
      </c>
      <c r="D85" s="208">
        <v>4280</v>
      </c>
      <c r="E85" s="208">
        <v>4229</v>
      </c>
      <c r="F85" s="208">
        <v>3229</v>
      </c>
      <c r="G85" s="208">
        <v>2110</v>
      </c>
      <c r="H85" s="208">
        <v>1651</v>
      </c>
      <c r="I85" s="208">
        <v>1327</v>
      </c>
      <c r="J85" s="208">
        <v>1082</v>
      </c>
      <c r="K85" s="208">
        <v>981</v>
      </c>
      <c r="L85" s="208">
        <v>1164</v>
      </c>
      <c r="M85" s="208">
        <v>1770</v>
      </c>
      <c r="N85" s="208">
        <v>2980</v>
      </c>
    </row>
    <row r="86" spans="1:14" x14ac:dyDescent="0.25">
      <c r="A86" s="208">
        <v>34</v>
      </c>
      <c r="B86" s="47"/>
      <c r="C86" s="208">
        <v>8964</v>
      </c>
      <c r="D86" s="208">
        <v>9424</v>
      </c>
      <c r="E86" s="208">
        <v>9006</v>
      </c>
      <c r="F86" s="208">
        <v>6785</v>
      </c>
      <c r="G86" s="208">
        <v>4648</v>
      </c>
      <c r="H86" s="208">
        <v>3802</v>
      </c>
      <c r="I86" s="208">
        <v>3112</v>
      </c>
      <c r="J86" s="208">
        <v>2608</v>
      </c>
      <c r="K86" s="208">
        <v>2486</v>
      </c>
      <c r="L86" s="208">
        <v>2876</v>
      </c>
      <c r="M86" s="208">
        <v>3917</v>
      </c>
      <c r="N86" s="208">
        <v>6283</v>
      </c>
    </row>
    <row r="87" spans="1:14" x14ac:dyDescent="0.25">
      <c r="A87" s="208">
        <v>35</v>
      </c>
      <c r="B87" s="47"/>
      <c r="C87" s="208">
        <v>0</v>
      </c>
      <c r="D87" s="208">
        <v>0</v>
      </c>
      <c r="E87" s="208">
        <v>0</v>
      </c>
      <c r="F87" s="208">
        <v>0</v>
      </c>
      <c r="G87" s="208">
        <v>0</v>
      </c>
      <c r="H87" s="208">
        <v>0</v>
      </c>
      <c r="I87" s="208">
        <v>0</v>
      </c>
      <c r="J87" s="208">
        <v>0</v>
      </c>
      <c r="K87" s="208">
        <v>0</v>
      </c>
      <c r="L87" s="208">
        <v>0</v>
      </c>
      <c r="M87" s="208">
        <v>0</v>
      </c>
      <c r="N87" s="208">
        <v>0</v>
      </c>
    </row>
    <row r="88" spans="1:14" x14ac:dyDescent="0.25">
      <c r="A88" s="208">
        <v>36</v>
      </c>
      <c r="B88" s="47"/>
      <c r="C88" s="208">
        <v>0</v>
      </c>
      <c r="D88" s="208">
        <v>0</v>
      </c>
      <c r="E88" s="208">
        <v>0</v>
      </c>
      <c r="F88" s="208">
        <v>0</v>
      </c>
      <c r="G88" s="208">
        <v>0</v>
      </c>
      <c r="H88" s="208">
        <v>0</v>
      </c>
      <c r="I88" s="208">
        <v>0</v>
      </c>
      <c r="J88" s="208">
        <v>0</v>
      </c>
      <c r="K88" s="208">
        <v>0</v>
      </c>
      <c r="L88" s="208">
        <v>0</v>
      </c>
      <c r="M88" s="208">
        <v>0</v>
      </c>
      <c r="N88" s="208">
        <v>0</v>
      </c>
    </row>
    <row r="89" spans="1:14" x14ac:dyDescent="0.25">
      <c r="A89" s="208">
        <v>37</v>
      </c>
      <c r="B89" s="47"/>
      <c r="C89" s="208">
        <v>694</v>
      </c>
      <c r="D89" s="208">
        <v>734</v>
      </c>
      <c r="E89" s="208">
        <v>619</v>
      </c>
      <c r="F89" s="208">
        <v>408</v>
      </c>
      <c r="G89" s="208">
        <v>322</v>
      </c>
      <c r="H89" s="208">
        <v>319</v>
      </c>
      <c r="I89" s="208">
        <v>254</v>
      </c>
      <c r="J89" s="208">
        <v>213</v>
      </c>
      <c r="K89" s="208">
        <v>230</v>
      </c>
      <c r="L89" s="208">
        <v>283</v>
      </c>
      <c r="M89" s="208">
        <v>305</v>
      </c>
      <c r="N89" s="208">
        <v>468</v>
      </c>
    </row>
    <row r="90" spans="1:14" x14ac:dyDescent="0.25">
      <c r="A90" s="208">
        <v>38</v>
      </c>
      <c r="B90" s="47"/>
      <c r="C90" s="208">
        <v>777</v>
      </c>
      <c r="D90" s="208">
        <v>825</v>
      </c>
      <c r="E90" s="208">
        <v>698</v>
      </c>
      <c r="F90" s="208">
        <v>464</v>
      </c>
      <c r="G90" s="208">
        <v>367</v>
      </c>
      <c r="H90" s="208">
        <v>364</v>
      </c>
      <c r="I90" s="208">
        <v>288</v>
      </c>
      <c r="J90" s="208">
        <v>244</v>
      </c>
      <c r="K90" s="208">
        <v>261</v>
      </c>
      <c r="L90" s="208">
        <v>317</v>
      </c>
      <c r="M90" s="208">
        <v>343</v>
      </c>
      <c r="N90" s="208">
        <v>522</v>
      </c>
    </row>
    <row r="91" spans="1:14" x14ac:dyDescent="0.25">
      <c r="A91" s="208">
        <v>39</v>
      </c>
      <c r="B91" s="47"/>
      <c r="C91" s="208">
        <v>980</v>
      </c>
      <c r="D91" s="208">
        <v>1037</v>
      </c>
      <c r="E91" s="208">
        <v>887</v>
      </c>
      <c r="F91" s="208">
        <v>609</v>
      </c>
      <c r="G91" s="208">
        <v>483</v>
      </c>
      <c r="H91" s="208">
        <v>475</v>
      </c>
      <c r="I91" s="208">
        <v>384</v>
      </c>
      <c r="J91" s="208">
        <v>329</v>
      </c>
      <c r="K91" s="208">
        <v>353</v>
      </c>
      <c r="L91" s="208">
        <v>422</v>
      </c>
      <c r="M91" s="208">
        <v>452</v>
      </c>
      <c r="N91" s="208">
        <v>675</v>
      </c>
    </row>
    <row r="92" spans="1:14" x14ac:dyDescent="0.25">
      <c r="A92" s="208">
        <v>40</v>
      </c>
      <c r="B92" s="47"/>
      <c r="C92" s="208">
        <v>1113</v>
      </c>
      <c r="D92" s="208">
        <v>1185</v>
      </c>
      <c r="E92" s="208">
        <v>1021</v>
      </c>
      <c r="F92" s="208">
        <v>695</v>
      </c>
      <c r="G92" s="208">
        <v>554</v>
      </c>
      <c r="H92" s="208">
        <v>543</v>
      </c>
      <c r="I92" s="208">
        <v>443</v>
      </c>
      <c r="J92" s="208">
        <v>384</v>
      </c>
      <c r="K92" s="208">
        <v>404</v>
      </c>
      <c r="L92" s="208">
        <v>473</v>
      </c>
      <c r="M92" s="208">
        <v>506</v>
      </c>
      <c r="N92" s="208">
        <v>761</v>
      </c>
    </row>
    <row r="93" spans="1:14" x14ac:dyDescent="0.25">
      <c r="A93" s="208">
        <v>41</v>
      </c>
      <c r="B93" s="47"/>
      <c r="C93" s="208">
        <v>0</v>
      </c>
      <c r="D93" s="208">
        <v>0</v>
      </c>
      <c r="E93" s="208">
        <v>0</v>
      </c>
      <c r="F93" s="208">
        <v>0</v>
      </c>
      <c r="G93" s="208">
        <v>0</v>
      </c>
      <c r="H93" s="208">
        <v>0</v>
      </c>
      <c r="I93" s="208">
        <v>0</v>
      </c>
      <c r="J93" s="208">
        <v>0</v>
      </c>
      <c r="K93" s="208">
        <v>0</v>
      </c>
      <c r="L93" s="208">
        <v>0</v>
      </c>
      <c r="M93" s="208">
        <v>0</v>
      </c>
      <c r="N93" s="208">
        <v>0</v>
      </c>
    </row>
    <row r="94" spans="1:14" x14ac:dyDescent="0.25">
      <c r="A94" s="208">
        <v>42</v>
      </c>
      <c r="B94" s="47"/>
      <c r="C94" s="208">
        <v>1198</v>
      </c>
      <c r="D94" s="208">
        <v>1279</v>
      </c>
      <c r="E94" s="208">
        <v>1099</v>
      </c>
      <c r="F94" s="208">
        <v>746</v>
      </c>
      <c r="G94" s="208">
        <v>590</v>
      </c>
      <c r="H94" s="208">
        <v>580</v>
      </c>
      <c r="I94" s="208">
        <v>472</v>
      </c>
      <c r="J94" s="208">
        <v>407</v>
      </c>
      <c r="K94" s="208">
        <v>429</v>
      </c>
      <c r="L94" s="208">
        <v>505</v>
      </c>
      <c r="M94" s="208">
        <v>541</v>
      </c>
      <c r="N94" s="208">
        <v>814</v>
      </c>
    </row>
    <row r="95" spans="1:14" x14ac:dyDescent="0.25">
      <c r="A95" s="208">
        <v>43</v>
      </c>
      <c r="B95" s="47"/>
      <c r="C95" s="208">
        <v>1256</v>
      </c>
      <c r="D95" s="208">
        <v>1368</v>
      </c>
      <c r="E95" s="208">
        <v>1189</v>
      </c>
      <c r="F95" s="208">
        <v>818</v>
      </c>
      <c r="G95" s="208">
        <v>634</v>
      </c>
      <c r="H95" s="208">
        <v>627</v>
      </c>
      <c r="I95" s="208">
        <v>510</v>
      </c>
      <c r="J95" s="208">
        <v>442</v>
      </c>
      <c r="K95" s="208">
        <v>458</v>
      </c>
      <c r="L95" s="208">
        <v>538</v>
      </c>
      <c r="M95" s="208">
        <v>574</v>
      </c>
      <c r="N95" s="208">
        <v>853</v>
      </c>
    </row>
    <row r="96" spans="1:14" x14ac:dyDescent="0.25">
      <c r="A96" s="208">
        <v>44</v>
      </c>
      <c r="B96" s="47"/>
      <c r="C96" s="208">
        <v>10220</v>
      </c>
      <c r="D96" s="208">
        <v>10792</v>
      </c>
      <c r="E96" s="208">
        <v>10195</v>
      </c>
      <c r="F96" s="208">
        <v>7603</v>
      </c>
      <c r="G96" s="208">
        <v>5282</v>
      </c>
      <c r="H96" s="208">
        <v>4429</v>
      </c>
      <c r="I96" s="208">
        <v>3623</v>
      </c>
      <c r="J96" s="208">
        <v>3050</v>
      </c>
      <c r="K96" s="208">
        <v>2944</v>
      </c>
      <c r="L96" s="208">
        <v>3414</v>
      </c>
      <c r="M96" s="208">
        <v>4491</v>
      </c>
      <c r="N96" s="208">
        <v>7136</v>
      </c>
    </row>
    <row r="97" spans="1:14" x14ac:dyDescent="0.25">
      <c r="A97" s="208">
        <v>45</v>
      </c>
      <c r="B97" s="47"/>
      <c r="C97" s="208">
        <v>10635</v>
      </c>
      <c r="D97" s="208">
        <v>11252</v>
      </c>
      <c r="E97" s="208">
        <v>10623</v>
      </c>
      <c r="F97" s="208">
        <v>7967</v>
      </c>
      <c r="G97" s="208">
        <v>5592</v>
      </c>
      <c r="H97" s="208">
        <v>4728</v>
      </c>
      <c r="I97" s="208">
        <v>3902</v>
      </c>
      <c r="J97" s="208">
        <v>3327</v>
      </c>
      <c r="K97" s="208">
        <v>3210</v>
      </c>
      <c r="L97" s="208">
        <v>3687</v>
      </c>
      <c r="M97" s="208">
        <v>4782</v>
      </c>
      <c r="N97" s="208">
        <v>7465</v>
      </c>
    </row>
    <row r="98" spans="1:14" x14ac:dyDescent="0.25">
      <c r="A98" s="208">
        <v>46</v>
      </c>
      <c r="B98" s="47"/>
      <c r="C98" s="208">
        <v>11501</v>
      </c>
      <c r="D98" s="208">
        <v>12373</v>
      </c>
      <c r="E98" s="208">
        <v>11723</v>
      </c>
      <c r="F98" s="208">
        <v>9005</v>
      </c>
      <c r="G98" s="208">
        <v>6480</v>
      </c>
      <c r="H98" s="208">
        <v>5615</v>
      </c>
      <c r="I98" s="208">
        <v>4616</v>
      </c>
      <c r="J98" s="208">
        <v>3934</v>
      </c>
      <c r="K98" s="208">
        <v>3816</v>
      </c>
      <c r="L98" s="208">
        <v>4347</v>
      </c>
      <c r="M98" s="208">
        <v>5440</v>
      </c>
      <c r="N98" s="208">
        <v>8117</v>
      </c>
    </row>
    <row r="99" spans="1:14" x14ac:dyDescent="0.25">
      <c r="A99" s="208">
        <v>47</v>
      </c>
      <c r="B99" s="47"/>
      <c r="C99" s="208">
        <v>327</v>
      </c>
      <c r="D99" s="208">
        <v>368</v>
      </c>
      <c r="E99" s="208">
        <v>312</v>
      </c>
      <c r="F99" s="208">
        <v>220</v>
      </c>
      <c r="G99" s="208">
        <v>193</v>
      </c>
      <c r="H99" s="208">
        <v>201</v>
      </c>
      <c r="I99" s="208">
        <v>177</v>
      </c>
      <c r="J99" s="208">
        <v>148</v>
      </c>
      <c r="K99" s="208">
        <v>159</v>
      </c>
      <c r="L99" s="208">
        <v>191</v>
      </c>
      <c r="M99" s="208">
        <v>181</v>
      </c>
      <c r="N99" s="208">
        <v>233</v>
      </c>
    </row>
    <row r="100" spans="1:14" x14ac:dyDescent="0.25">
      <c r="A100" s="208">
        <v>48</v>
      </c>
      <c r="B100" s="47"/>
      <c r="C100" s="208">
        <v>334</v>
      </c>
      <c r="D100" s="208">
        <v>377</v>
      </c>
      <c r="E100" s="208">
        <v>320</v>
      </c>
      <c r="F100" s="208">
        <v>226</v>
      </c>
      <c r="G100" s="208">
        <v>197</v>
      </c>
      <c r="H100" s="208">
        <v>207</v>
      </c>
      <c r="I100" s="208">
        <v>181</v>
      </c>
      <c r="J100" s="208">
        <v>151</v>
      </c>
      <c r="K100" s="208">
        <v>163</v>
      </c>
      <c r="L100" s="208">
        <v>196</v>
      </c>
      <c r="M100" s="208">
        <v>186</v>
      </c>
      <c r="N100" s="208">
        <v>238</v>
      </c>
    </row>
    <row r="101" spans="1:14" x14ac:dyDescent="0.25">
      <c r="A101" s="208">
        <v>49</v>
      </c>
      <c r="B101" s="47"/>
      <c r="C101" s="208">
        <v>506</v>
      </c>
      <c r="D101" s="208">
        <v>547</v>
      </c>
      <c r="E101" s="208">
        <v>453</v>
      </c>
      <c r="F101" s="208">
        <v>326</v>
      </c>
      <c r="G101" s="208">
        <v>301</v>
      </c>
      <c r="H101" s="208">
        <v>314</v>
      </c>
      <c r="I101" s="208">
        <v>277</v>
      </c>
      <c r="J101" s="208">
        <v>229</v>
      </c>
      <c r="K101" s="208">
        <v>255</v>
      </c>
      <c r="L101" s="208">
        <v>305</v>
      </c>
      <c r="M101" s="208">
        <v>282</v>
      </c>
      <c r="N101" s="208">
        <v>351</v>
      </c>
    </row>
    <row r="102" spans="1:14" x14ac:dyDescent="0.25">
      <c r="A102" s="208">
        <v>50</v>
      </c>
      <c r="B102" s="47"/>
      <c r="C102" s="208">
        <v>655</v>
      </c>
      <c r="D102" s="208">
        <v>716</v>
      </c>
      <c r="E102" s="208">
        <v>606</v>
      </c>
      <c r="F102" s="208">
        <v>448</v>
      </c>
      <c r="G102" s="208">
        <v>409</v>
      </c>
      <c r="H102" s="208">
        <v>425</v>
      </c>
      <c r="I102" s="208">
        <v>370</v>
      </c>
      <c r="J102" s="208">
        <v>310</v>
      </c>
      <c r="K102" s="208">
        <v>338</v>
      </c>
      <c r="L102" s="208">
        <v>399</v>
      </c>
      <c r="M102" s="208">
        <v>375</v>
      </c>
      <c r="N102" s="208">
        <v>464</v>
      </c>
    </row>
    <row r="103" spans="1:14" x14ac:dyDescent="0.25">
      <c r="A103" s="208">
        <v>51</v>
      </c>
      <c r="B103" s="47"/>
      <c r="C103" s="208">
        <v>665</v>
      </c>
      <c r="D103" s="208">
        <v>729</v>
      </c>
      <c r="E103" s="208">
        <v>618</v>
      </c>
      <c r="F103" s="208">
        <v>457</v>
      </c>
      <c r="G103" s="208">
        <v>417</v>
      </c>
      <c r="H103" s="208">
        <v>434</v>
      </c>
      <c r="I103" s="208">
        <v>377</v>
      </c>
      <c r="J103" s="208">
        <v>316</v>
      </c>
      <c r="K103" s="208">
        <v>345</v>
      </c>
      <c r="L103" s="208">
        <v>407</v>
      </c>
      <c r="M103" s="208">
        <v>383</v>
      </c>
      <c r="N103" s="208">
        <v>472</v>
      </c>
    </row>
    <row r="104" spans="1:14" x14ac:dyDescent="0.25">
      <c r="A104" s="208">
        <v>52</v>
      </c>
      <c r="B104" s="47"/>
      <c r="C104" s="208">
        <v>688</v>
      </c>
      <c r="D104" s="208">
        <v>756</v>
      </c>
      <c r="E104" s="208">
        <v>642</v>
      </c>
      <c r="F104" s="208">
        <v>477</v>
      </c>
      <c r="G104" s="208">
        <v>434</v>
      </c>
      <c r="H104" s="208">
        <v>452</v>
      </c>
      <c r="I104" s="208">
        <v>392</v>
      </c>
      <c r="J104" s="208">
        <v>329</v>
      </c>
      <c r="K104" s="208">
        <v>358</v>
      </c>
      <c r="L104" s="208">
        <v>422</v>
      </c>
      <c r="M104" s="208">
        <v>398</v>
      </c>
      <c r="N104" s="208">
        <v>490</v>
      </c>
    </row>
    <row r="105" spans="1:14" x14ac:dyDescent="0.25">
      <c r="A105" s="208">
        <v>53</v>
      </c>
      <c r="B105" s="47"/>
      <c r="C105" s="208">
        <v>0</v>
      </c>
      <c r="D105" s="208">
        <v>0</v>
      </c>
      <c r="E105" s="208">
        <v>0</v>
      </c>
      <c r="F105" s="208">
        <v>0</v>
      </c>
      <c r="G105" s="208">
        <v>0</v>
      </c>
      <c r="H105" s="208">
        <v>0</v>
      </c>
      <c r="I105" s="208">
        <v>0</v>
      </c>
      <c r="J105" s="208">
        <v>0</v>
      </c>
      <c r="K105" s="208">
        <v>0</v>
      </c>
      <c r="L105" s="208">
        <v>0</v>
      </c>
      <c r="M105" s="208">
        <v>0</v>
      </c>
      <c r="N105" s="208">
        <v>0</v>
      </c>
    </row>
    <row r="106" spans="1:14" x14ac:dyDescent="0.25">
      <c r="A106" s="208">
        <v>54</v>
      </c>
      <c r="B106" s="47"/>
      <c r="C106" s="208">
        <v>0</v>
      </c>
      <c r="D106" s="208">
        <v>0</v>
      </c>
      <c r="E106" s="208">
        <v>0</v>
      </c>
      <c r="F106" s="208">
        <v>0</v>
      </c>
      <c r="G106" s="208">
        <v>0</v>
      </c>
      <c r="H106" s="208">
        <v>0</v>
      </c>
      <c r="I106" s="208">
        <v>0</v>
      </c>
      <c r="J106" s="208">
        <v>0</v>
      </c>
      <c r="K106" s="208">
        <v>0</v>
      </c>
      <c r="L106" s="208">
        <v>0</v>
      </c>
      <c r="M106" s="208">
        <v>0</v>
      </c>
      <c r="N106" s="208">
        <v>0</v>
      </c>
    </row>
    <row r="107" spans="1:14" x14ac:dyDescent="0.25">
      <c r="A107" s="208">
        <v>55</v>
      </c>
      <c r="B107" s="47"/>
      <c r="C107" s="208">
        <v>0</v>
      </c>
      <c r="D107" s="208">
        <v>0</v>
      </c>
      <c r="E107" s="208">
        <v>0</v>
      </c>
      <c r="F107" s="208">
        <v>0</v>
      </c>
      <c r="G107" s="208">
        <v>0</v>
      </c>
      <c r="H107" s="208">
        <v>0</v>
      </c>
      <c r="I107" s="208">
        <v>0</v>
      </c>
      <c r="J107" s="208">
        <v>0</v>
      </c>
      <c r="K107" s="208">
        <v>0</v>
      </c>
      <c r="L107" s="208">
        <v>0</v>
      </c>
      <c r="M107" s="208">
        <v>0</v>
      </c>
      <c r="N107" s="208">
        <v>0</v>
      </c>
    </row>
    <row r="108" spans="1:14" x14ac:dyDescent="0.25">
      <c r="A108" s="208">
        <v>56</v>
      </c>
      <c r="B108" s="47"/>
      <c r="C108" s="208">
        <v>0</v>
      </c>
      <c r="D108" s="208">
        <v>0</v>
      </c>
      <c r="E108" s="208">
        <v>0</v>
      </c>
      <c r="F108" s="208">
        <v>0</v>
      </c>
      <c r="G108" s="208">
        <v>0</v>
      </c>
      <c r="H108" s="208">
        <v>0</v>
      </c>
      <c r="I108" s="208">
        <v>0</v>
      </c>
      <c r="J108" s="208">
        <v>0</v>
      </c>
      <c r="K108" s="208">
        <v>0</v>
      </c>
      <c r="L108" s="208">
        <v>0</v>
      </c>
      <c r="M108" s="208">
        <v>0</v>
      </c>
      <c r="N108" s="208">
        <v>0</v>
      </c>
    </row>
    <row r="109" spans="1:14" x14ac:dyDescent="0.25">
      <c r="A109" s="208">
        <v>57</v>
      </c>
      <c r="B109" s="47"/>
      <c r="C109" s="208">
        <v>301</v>
      </c>
      <c r="D109" s="208">
        <v>313</v>
      </c>
      <c r="E109" s="208">
        <v>256</v>
      </c>
      <c r="F109" s="208">
        <v>192</v>
      </c>
      <c r="G109" s="208">
        <v>234</v>
      </c>
      <c r="H109" s="208">
        <v>276</v>
      </c>
      <c r="I109" s="208">
        <v>283</v>
      </c>
      <c r="J109" s="208">
        <v>228</v>
      </c>
      <c r="K109" s="208">
        <v>262</v>
      </c>
      <c r="L109" s="208">
        <v>341</v>
      </c>
      <c r="M109" s="208">
        <v>279</v>
      </c>
      <c r="N109" s="208">
        <v>251</v>
      </c>
    </row>
    <row r="110" spans="1:14" x14ac:dyDescent="0.25">
      <c r="A110" s="208">
        <v>58</v>
      </c>
      <c r="B110" s="47"/>
      <c r="C110" s="208">
        <v>363</v>
      </c>
      <c r="D110" s="208">
        <v>378</v>
      </c>
      <c r="E110" s="208">
        <v>305</v>
      </c>
      <c r="F110" s="208">
        <v>231</v>
      </c>
      <c r="G110" s="208">
        <v>275</v>
      </c>
      <c r="H110" s="208">
        <v>320</v>
      </c>
      <c r="I110" s="208">
        <v>321</v>
      </c>
      <c r="J110" s="208">
        <v>261</v>
      </c>
      <c r="K110" s="208">
        <v>302</v>
      </c>
      <c r="L110" s="208">
        <v>392</v>
      </c>
      <c r="M110" s="208">
        <v>324</v>
      </c>
      <c r="N110" s="208">
        <v>301</v>
      </c>
    </row>
    <row r="111" spans="1:14" x14ac:dyDescent="0.25">
      <c r="A111" s="208">
        <v>59</v>
      </c>
      <c r="B111" s="47"/>
      <c r="C111" s="208">
        <v>0</v>
      </c>
      <c r="D111" s="208">
        <v>0</v>
      </c>
      <c r="E111" s="208">
        <v>0</v>
      </c>
      <c r="F111" s="208">
        <v>0</v>
      </c>
      <c r="G111" s="208">
        <v>0</v>
      </c>
      <c r="H111" s="208">
        <v>0</v>
      </c>
      <c r="I111" s="208">
        <v>0</v>
      </c>
      <c r="J111" s="208">
        <v>0</v>
      </c>
      <c r="K111" s="208">
        <v>0</v>
      </c>
      <c r="L111" s="208">
        <v>0</v>
      </c>
      <c r="M111" s="208">
        <v>0</v>
      </c>
      <c r="N111" s="208">
        <v>0</v>
      </c>
    </row>
    <row r="112" spans="1:14" x14ac:dyDescent="0.25">
      <c r="A112" s="208">
        <v>60</v>
      </c>
      <c r="B112" s="47"/>
      <c r="C112" s="208">
        <v>0</v>
      </c>
      <c r="D112" s="208">
        <v>0</v>
      </c>
      <c r="E112" s="208">
        <v>0</v>
      </c>
      <c r="F112" s="208">
        <v>0</v>
      </c>
      <c r="G112" s="208">
        <v>0</v>
      </c>
      <c r="H112" s="208">
        <v>0</v>
      </c>
      <c r="I112" s="208">
        <v>0</v>
      </c>
      <c r="J112" s="208">
        <v>0</v>
      </c>
      <c r="K112" s="208">
        <v>0</v>
      </c>
      <c r="L112" s="208">
        <v>0</v>
      </c>
      <c r="M112" s="208">
        <v>0</v>
      </c>
      <c r="N112" s="208">
        <v>0</v>
      </c>
    </row>
    <row r="113" spans="1:14" x14ac:dyDescent="0.25">
      <c r="A113" s="208">
        <v>61</v>
      </c>
      <c r="B113" s="47"/>
      <c r="C113" s="208">
        <v>1490</v>
      </c>
      <c r="D113" s="208">
        <v>1571</v>
      </c>
      <c r="E113" s="208">
        <v>1285</v>
      </c>
      <c r="F113" s="208">
        <v>980</v>
      </c>
      <c r="G113" s="208">
        <v>982</v>
      </c>
      <c r="H113" s="208">
        <v>1072</v>
      </c>
      <c r="I113" s="208">
        <v>970</v>
      </c>
      <c r="J113" s="208">
        <v>798</v>
      </c>
      <c r="K113" s="208">
        <v>882</v>
      </c>
      <c r="L113" s="208">
        <v>1096</v>
      </c>
      <c r="M113" s="208">
        <v>987</v>
      </c>
      <c r="N113" s="208">
        <v>1087</v>
      </c>
    </row>
    <row r="114" spans="1:14" x14ac:dyDescent="0.25">
      <c r="A114" s="208">
        <v>62</v>
      </c>
      <c r="B114" s="47"/>
      <c r="C114" s="208">
        <v>1564</v>
      </c>
      <c r="D114" s="208">
        <v>1652</v>
      </c>
      <c r="E114" s="208">
        <v>1355</v>
      </c>
      <c r="F114" s="208">
        <v>1034</v>
      </c>
      <c r="G114" s="208">
        <v>1036</v>
      </c>
      <c r="H114" s="208">
        <v>1132</v>
      </c>
      <c r="I114" s="208">
        <v>1027</v>
      </c>
      <c r="J114" s="208">
        <v>846</v>
      </c>
      <c r="K114" s="208">
        <v>930</v>
      </c>
      <c r="L114" s="208">
        <v>1160</v>
      </c>
      <c r="M114" s="208">
        <v>1046</v>
      </c>
      <c r="N114" s="208">
        <v>1145</v>
      </c>
    </row>
    <row r="115" spans="1:14" x14ac:dyDescent="0.25">
      <c r="A115" s="208">
        <v>63</v>
      </c>
      <c r="B115" s="47"/>
      <c r="C115" s="208">
        <v>1727</v>
      </c>
      <c r="D115" s="208">
        <v>1830</v>
      </c>
      <c r="E115" s="208">
        <v>1521</v>
      </c>
      <c r="F115" s="208">
        <v>1164</v>
      </c>
      <c r="G115" s="208">
        <v>1160</v>
      </c>
      <c r="H115" s="208">
        <v>1275</v>
      </c>
      <c r="I115" s="208">
        <v>1156</v>
      </c>
      <c r="J115" s="208">
        <v>961</v>
      </c>
      <c r="K115" s="208">
        <v>1045</v>
      </c>
      <c r="L115" s="208">
        <v>1303</v>
      </c>
      <c r="M115" s="208">
        <v>1187</v>
      </c>
      <c r="N115" s="208">
        <v>1284</v>
      </c>
    </row>
    <row r="116" spans="1:14" x14ac:dyDescent="0.25">
      <c r="A116" s="208">
        <v>64</v>
      </c>
      <c r="B116" s="47"/>
      <c r="C116" s="208">
        <v>0</v>
      </c>
      <c r="D116" s="208">
        <v>0</v>
      </c>
      <c r="E116" s="208">
        <v>0</v>
      </c>
      <c r="F116" s="208">
        <v>0</v>
      </c>
      <c r="G116" s="208">
        <v>0</v>
      </c>
      <c r="H116" s="208">
        <v>0</v>
      </c>
      <c r="I116" s="208">
        <v>0</v>
      </c>
      <c r="J116" s="208">
        <v>0</v>
      </c>
      <c r="K116" s="208">
        <v>0</v>
      </c>
      <c r="L116" s="208">
        <v>0</v>
      </c>
      <c r="M116" s="208">
        <v>0</v>
      </c>
      <c r="N116" s="208">
        <v>0</v>
      </c>
    </row>
    <row r="117" spans="1:14" x14ac:dyDescent="0.25">
      <c r="A117" s="208">
        <v>65</v>
      </c>
      <c r="B117" s="47"/>
      <c r="C117" s="208">
        <v>82</v>
      </c>
      <c r="D117" s="208">
        <v>89</v>
      </c>
      <c r="E117" s="208">
        <v>76</v>
      </c>
      <c r="F117" s="208">
        <v>81</v>
      </c>
      <c r="G117" s="208">
        <v>116</v>
      </c>
      <c r="H117" s="208">
        <v>136</v>
      </c>
      <c r="I117" s="208">
        <v>120</v>
      </c>
      <c r="J117" s="208">
        <v>103</v>
      </c>
      <c r="K117" s="208">
        <v>117</v>
      </c>
      <c r="L117" s="208">
        <v>156</v>
      </c>
      <c r="M117" s="208">
        <v>118</v>
      </c>
      <c r="N117" s="208">
        <v>87</v>
      </c>
    </row>
    <row r="118" spans="1:14" x14ac:dyDescent="0.25">
      <c r="A118" s="208">
        <v>66</v>
      </c>
      <c r="B118" s="47"/>
      <c r="C118" s="208">
        <v>14784</v>
      </c>
      <c r="D118" s="208">
        <v>16151</v>
      </c>
      <c r="E118" s="208">
        <v>15026</v>
      </c>
      <c r="F118" s="208">
        <v>11938</v>
      </c>
      <c r="G118" s="208">
        <v>9548</v>
      </c>
      <c r="H118" s="208">
        <v>8841</v>
      </c>
      <c r="I118" s="208">
        <v>7484</v>
      </c>
      <c r="J118" s="208">
        <v>6291</v>
      </c>
      <c r="K118" s="208">
        <v>6327</v>
      </c>
      <c r="L118" s="208">
        <v>7597</v>
      </c>
      <c r="M118" s="208">
        <v>8344</v>
      </c>
      <c r="N118" s="208">
        <v>10989</v>
      </c>
    </row>
    <row r="119" spans="1:14" x14ac:dyDescent="0.25">
      <c r="A119" s="208">
        <v>67</v>
      </c>
      <c r="B119" s="47"/>
      <c r="C119" s="208">
        <v>0</v>
      </c>
      <c r="D119" s="208">
        <v>0</v>
      </c>
      <c r="E119" s="208">
        <v>0</v>
      </c>
      <c r="F119" s="208">
        <v>0</v>
      </c>
      <c r="G119" s="208">
        <v>0</v>
      </c>
      <c r="H119" s="208">
        <v>0</v>
      </c>
      <c r="I119" s="208">
        <v>0</v>
      </c>
      <c r="J119" s="208">
        <v>0</v>
      </c>
      <c r="K119" s="208">
        <v>0</v>
      </c>
      <c r="L119" s="208">
        <v>0</v>
      </c>
      <c r="M119" s="208">
        <v>0</v>
      </c>
      <c r="N119" s="208">
        <v>0</v>
      </c>
    </row>
    <row r="120" spans="1:14" x14ac:dyDescent="0.25">
      <c r="A120" s="208">
        <v>68</v>
      </c>
      <c r="B120" s="47"/>
      <c r="C120" s="208">
        <v>0</v>
      </c>
      <c r="D120" s="208">
        <v>0</v>
      </c>
      <c r="E120" s="208">
        <v>0</v>
      </c>
      <c r="F120" s="208">
        <v>0</v>
      </c>
      <c r="G120" s="208">
        <v>0</v>
      </c>
      <c r="H120" s="208">
        <v>0</v>
      </c>
      <c r="I120" s="208">
        <v>0</v>
      </c>
      <c r="J120" s="208">
        <v>0</v>
      </c>
      <c r="K120" s="208">
        <v>0</v>
      </c>
      <c r="L120" s="208">
        <v>0</v>
      </c>
      <c r="M120" s="208">
        <v>0</v>
      </c>
      <c r="N120" s="208">
        <v>0</v>
      </c>
    </row>
    <row r="121" spans="1:14" x14ac:dyDescent="0.25">
      <c r="A121" s="208">
        <v>69</v>
      </c>
      <c r="B121" s="47"/>
      <c r="C121" s="208">
        <v>0</v>
      </c>
      <c r="D121" s="208">
        <v>0</v>
      </c>
      <c r="E121" s="208">
        <v>0</v>
      </c>
      <c r="F121" s="208">
        <v>0</v>
      </c>
      <c r="G121" s="208">
        <v>0</v>
      </c>
      <c r="H121" s="208">
        <v>0</v>
      </c>
      <c r="I121" s="208">
        <v>0</v>
      </c>
      <c r="J121" s="208">
        <v>0</v>
      </c>
      <c r="K121" s="208">
        <v>0</v>
      </c>
      <c r="L121" s="208">
        <v>0</v>
      </c>
      <c r="M121" s="208">
        <v>0</v>
      </c>
      <c r="N121" s="208">
        <v>0</v>
      </c>
    </row>
    <row r="122" spans="1:14" x14ac:dyDescent="0.25">
      <c r="A122" s="208">
        <v>70</v>
      </c>
      <c r="B122" s="47"/>
      <c r="C122" s="208">
        <v>21</v>
      </c>
      <c r="D122" s="208">
        <v>21</v>
      </c>
      <c r="E122" s="208">
        <v>14</v>
      </c>
      <c r="F122" s="208">
        <v>21</v>
      </c>
      <c r="G122" s="208">
        <v>42</v>
      </c>
      <c r="H122" s="208">
        <v>45</v>
      </c>
      <c r="I122" s="208">
        <v>41</v>
      </c>
      <c r="J122" s="208">
        <v>22</v>
      </c>
      <c r="K122" s="208">
        <v>39</v>
      </c>
      <c r="L122" s="208">
        <v>51</v>
      </c>
      <c r="M122" s="208">
        <v>26</v>
      </c>
      <c r="N122" s="208">
        <v>18</v>
      </c>
    </row>
    <row r="123" spans="1:14" x14ac:dyDescent="0.25">
      <c r="A123" s="208">
        <v>71</v>
      </c>
      <c r="B123" s="47"/>
      <c r="C123" s="208">
        <v>91</v>
      </c>
      <c r="D123" s="208">
        <v>95</v>
      </c>
      <c r="E123" s="208">
        <v>80</v>
      </c>
      <c r="F123" s="208">
        <v>80</v>
      </c>
      <c r="G123" s="208">
        <v>107</v>
      </c>
      <c r="H123" s="208">
        <v>125</v>
      </c>
      <c r="I123" s="208">
        <v>118</v>
      </c>
      <c r="J123" s="208">
        <v>90</v>
      </c>
      <c r="K123" s="208">
        <v>111</v>
      </c>
      <c r="L123" s="208">
        <v>140</v>
      </c>
      <c r="M123" s="208">
        <v>108</v>
      </c>
      <c r="N123" s="208">
        <v>92</v>
      </c>
    </row>
    <row r="124" spans="1:14" x14ac:dyDescent="0.25">
      <c r="A124" s="208">
        <v>72</v>
      </c>
      <c r="B124" s="47"/>
      <c r="C124" s="208">
        <v>95</v>
      </c>
      <c r="D124" s="208">
        <v>100</v>
      </c>
      <c r="E124" s="208">
        <v>84</v>
      </c>
      <c r="F124" s="208">
        <v>84</v>
      </c>
      <c r="G124" s="208">
        <v>112</v>
      </c>
      <c r="H124" s="208">
        <v>131</v>
      </c>
      <c r="I124" s="208">
        <v>124</v>
      </c>
      <c r="J124" s="208">
        <v>94</v>
      </c>
      <c r="K124" s="208">
        <v>117</v>
      </c>
      <c r="L124" s="208">
        <v>146</v>
      </c>
      <c r="M124" s="208">
        <v>114</v>
      </c>
      <c r="N124" s="208">
        <v>96</v>
      </c>
    </row>
    <row r="125" spans="1:14" x14ac:dyDescent="0.25">
      <c r="A125" s="208">
        <v>73</v>
      </c>
      <c r="B125" s="47"/>
      <c r="C125" s="208">
        <v>113</v>
      </c>
      <c r="D125" s="208">
        <v>117</v>
      </c>
      <c r="E125" s="208">
        <v>100</v>
      </c>
      <c r="F125" s="208">
        <v>100</v>
      </c>
      <c r="G125" s="208">
        <v>134</v>
      </c>
      <c r="H125" s="208">
        <v>156</v>
      </c>
      <c r="I125" s="208">
        <v>148</v>
      </c>
      <c r="J125" s="208">
        <v>113</v>
      </c>
      <c r="K125" s="208">
        <v>138</v>
      </c>
      <c r="L125" s="208">
        <v>172</v>
      </c>
      <c r="M125" s="208">
        <v>135</v>
      </c>
      <c r="N125" s="208">
        <v>113</v>
      </c>
    </row>
    <row r="126" spans="1:14" x14ac:dyDescent="0.25">
      <c r="A126" s="208">
        <v>74</v>
      </c>
      <c r="B126" s="47"/>
      <c r="C126" s="208">
        <v>597</v>
      </c>
      <c r="D126" s="208">
        <v>674</v>
      </c>
      <c r="E126" s="208">
        <v>602</v>
      </c>
      <c r="F126" s="208">
        <v>483</v>
      </c>
      <c r="G126" s="208">
        <v>585</v>
      </c>
      <c r="H126" s="208">
        <v>685</v>
      </c>
      <c r="I126" s="208">
        <v>728</v>
      </c>
      <c r="J126" s="208">
        <v>620</v>
      </c>
      <c r="K126" s="208">
        <v>731</v>
      </c>
      <c r="L126" s="208">
        <v>923</v>
      </c>
      <c r="M126" s="208">
        <v>688</v>
      </c>
      <c r="N126" s="208">
        <v>575</v>
      </c>
    </row>
    <row r="127" spans="1:14" x14ac:dyDescent="0.25">
      <c r="A127" s="208">
        <v>75</v>
      </c>
      <c r="B127" s="47"/>
      <c r="C127" s="208">
        <v>774</v>
      </c>
      <c r="D127" s="208">
        <v>861</v>
      </c>
      <c r="E127" s="208">
        <v>767</v>
      </c>
      <c r="F127" s="208">
        <v>642</v>
      </c>
      <c r="G127" s="208">
        <v>782</v>
      </c>
      <c r="H127" s="208">
        <v>923</v>
      </c>
      <c r="I127" s="208">
        <v>951</v>
      </c>
      <c r="J127" s="208">
        <v>804</v>
      </c>
      <c r="K127" s="208">
        <v>942</v>
      </c>
      <c r="L127" s="208">
        <v>1191</v>
      </c>
      <c r="M127" s="208">
        <v>910</v>
      </c>
      <c r="N127" s="208">
        <v>755</v>
      </c>
    </row>
    <row r="128" spans="1:14" x14ac:dyDescent="0.25">
      <c r="A128" s="208">
        <v>76</v>
      </c>
      <c r="B128" s="47"/>
      <c r="C128" s="208">
        <v>682</v>
      </c>
      <c r="D128" s="208">
        <v>765</v>
      </c>
      <c r="E128" s="208">
        <v>681</v>
      </c>
      <c r="F128" s="208">
        <v>564</v>
      </c>
      <c r="G128" s="208">
        <v>689</v>
      </c>
      <c r="H128" s="208">
        <v>811</v>
      </c>
      <c r="I128" s="208">
        <v>844</v>
      </c>
      <c r="J128" s="208">
        <v>713</v>
      </c>
      <c r="K128" s="208">
        <v>843</v>
      </c>
      <c r="L128" s="208">
        <v>1070</v>
      </c>
      <c r="M128" s="208">
        <v>801</v>
      </c>
      <c r="N128" s="208">
        <v>660</v>
      </c>
    </row>
    <row r="129" spans="1:14" x14ac:dyDescent="0.25">
      <c r="A129" s="208">
        <v>77</v>
      </c>
      <c r="B129" s="47"/>
      <c r="C129" s="208">
        <v>885</v>
      </c>
      <c r="D129" s="208">
        <v>982</v>
      </c>
      <c r="E129" s="208">
        <v>856</v>
      </c>
      <c r="F129" s="208">
        <v>757</v>
      </c>
      <c r="G129" s="208">
        <v>948</v>
      </c>
      <c r="H129" s="208">
        <v>1127</v>
      </c>
      <c r="I129" s="208">
        <v>1135</v>
      </c>
      <c r="J129" s="208">
        <v>937</v>
      </c>
      <c r="K129" s="208">
        <v>1110</v>
      </c>
      <c r="L129" s="208">
        <v>1426</v>
      </c>
      <c r="M129" s="208">
        <v>1070</v>
      </c>
      <c r="N129" s="208">
        <v>868</v>
      </c>
    </row>
    <row r="130" spans="1:14" x14ac:dyDescent="0.25">
      <c r="A130" s="208">
        <v>78</v>
      </c>
      <c r="B130" s="47"/>
      <c r="C130" s="208">
        <v>922</v>
      </c>
      <c r="D130" s="208">
        <v>1023</v>
      </c>
      <c r="E130" s="208">
        <v>894</v>
      </c>
      <c r="F130" s="208">
        <v>792</v>
      </c>
      <c r="G130" s="208">
        <v>996</v>
      </c>
      <c r="H130" s="208">
        <v>1182</v>
      </c>
      <c r="I130" s="208">
        <v>1187</v>
      </c>
      <c r="J130" s="208">
        <v>980</v>
      </c>
      <c r="K130" s="208">
        <v>1156</v>
      </c>
      <c r="L130" s="208">
        <v>1500</v>
      </c>
      <c r="M130" s="208">
        <v>1128</v>
      </c>
      <c r="N130" s="208">
        <v>909</v>
      </c>
    </row>
    <row r="131" spans="1:14" x14ac:dyDescent="0.25">
      <c r="A131" s="208">
        <v>79</v>
      </c>
      <c r="B131" s="47"/>
      <c r="C131" s="208">
        <v>0</v>
      </c>
      <c r="D131" s="208">
        <v>0</v>
      </c>
      <c r="E131" s="208">
        <v>0</v>
      </c>
      <c r="F131" s="208">
        <v>0</v>
      </c>
      <c r="G131" s="208">
        <v>0</v>
      </c>
      <c r="H131" s="208">
        <v>0</v>
      </c>
      <c r="I131" s="208">
        <v>0</v>
      </c>
      <c r="J131" s="208">
        <v>0</v>
      </c>
      <c r="K131" s="208">
        <v>0</v>
      </c>
      <c r="L131" s="208">
        <v>0</v>
      </c>
      <c r="M131" s="208">
        <v>0</v>
      </c>
      <c r="N131" s="208">
        <v>0</v>
      </c>
    </row>
    <row r="132" spans="1:14" x14ac:dyDescent="0.25">
      <c r="A132" s="208">
        <v>80</v>
      </c>
      <c r="B132" s="47"/>
      <c r="C132" s="208">
        <v>52</v>
      </c>
      <c r="D132" s="208">
        <v>59</v>
      </c>
      <c r="E132" s="208">
        <v>49</v>
      </c>
      <c r="F132" s="208">
        <v>53</v>
      </c>
      <c r="G132" s="208">
        <v>73</v>
      </c>
      <c r="H132" s="208">
        <v>87</v>
      </c>
      <c r="I132" s="208">
        <v>79</v>
      </c>
      <c r="J132" s="208">
        <v>66</v>
      </c>
      <c r="K132" s="208">
        <v>78</v>
      </c>
      <c r="L132" s="208">
        <v>100</v>
      </c>
      <c r="M132" s="208">
        <v>73</v>
      </c>
      <c r="N132" s="208">
        <v>54</v>
      </c>
    </row>
    <row r="133" spans="1:14" x14ac:dyDescent="0.25">
      <c r="A133" s="208">
        <v>81</v>
      </c>
      <c r="B133" s="47"/>
      <c r="C133" s="208">
        <v>1235</v>
      </c>
      <c r="D133" s="208">
        <v>1367</v>
      </c>
      <c r="E133" s="208">
        <v>1190</v>
      </c>
      <c r="F133" s="208">
        <v>1104</v>
      </c>
      <c r="G133" s="208">
        <v>1432</v>
      </c>
      <c r="H133" s="208">
        <v>1702</v>
      </c>
      <c r="I133" s="208">
        <v>1647</v>
      </c>
      <c r="J133" s="208">
        <v>1366</v>
      </c>
      <c r="K133" s="208">
        <v>1586</v>
      </c>
      <c r="L133" s="208">
        <v>2091</v>
      </c>
      <c r="M133" s="208">
        <v>1580</v>
      </c>
      <c r="N133" s="208">
        <v>1253</v>
      </c>
    </row>
    <row r="134" spans="1:14" x14ac:dyDescent="0.25">
      <c r="A134" s="208">
        <v>82</v>
      </c>
      <c r="B134" s="47"/>
      <c r="C134" s="208">
        <v>0</v>
      </c>
      <c r="D134" s="208">
        <v>0</v>
      </c>
      <c r="E134" s="208">
        <v>0</v>
      </c>
      <c r="F134" s="208">
        <v>0</v>
      </c>
      <c r="G134" s="208">
        <v>0</v>
      </c>
      <c r="H134" s="208">
        <v>0</v>
      </c>
      <c r="I134" s="208">
        <v>0</v>
      </c>
      <c r="J134" s="208">
        <v>0</v>
      </c>
      <c r="K134" s="208">
        <v>0</v>
      </c>
      <c r="L134" s="208">
        <v>0</v>
      </c>
      <c r="M134" s="208">
        <v>0</v>
      </c>
      <c r="N134" s="208">
        <v>0</v>
      </c>
    </row>
    <row r="135" spans="1:14" x14ac:dyDescent="0.25">
      <c r="A135" s="208">
        <v>83</v>
      </c>
      <c r="B135" s="47"/>
      <c r="C135" s="208">
        <v>56</v>
      </c>
      <c r="D135" s="208">
        <v>63</v>
      </c>
      <c r="E135" s="208">
        <v>52</v>
      </c>
      <c r="F135" s="208">
        <v>57</v>
      </c>
      <c r="G135" s="208">
        <v>78</v>
      </c>
      <c r="H135" s="208">
        <v>93</v>
      </c>
      <c r="I135" s="208">
        <v>84</v>
      </c>
      <c r="J135" s="208">
        <v>71</v>
      </c>
      <c r="K135" s="208">
        <v>83</v>
      </c>
      <c r="L135" s="208">
        <v>107</v>
      </c>
      <c r="M135" s="208">
        <v>78</v>
      </c>
      <c r="N135" s="208">
        <v>58</v>
      </c>
    </row>
    <row r="136" spans="1:14" x14ac:dyDescent="0.25">
      <c r="A136" s="208">
        <v>84</v>
      </c>
      <c r="B136" s="47"/>
      <c r="C136" s="208">
        <v>0</v>
      </c>
      <c r="D136" s="208">
        <v>0</v>
      </c>
      <c r="E136" s="208">
        <v>0</v>
      </c>
      <c r="F136" s="208">
        <v>0</v>
      </c>
      <c r="G136" s="208">
        <v>0</v>
      </c>
      <c r="H136" s="208">
        <v>0</v>
      </c>
      <c r="I136" s="208">
        <v>0</v>
      </c>
      <c r="J136" s="208">
        <v>0</v>
      </c>
      <c r="K136" s="208">
        <v>0</v>
      </c>
      <c r="L136" s="208">
        <v>0</v>
      </c>
      <c r="M136" s="208">
        <v>0</v>
      </c>
      <c r="N136" s="208">
        <v>0</v>
      </c>
    </row>
    <row r="137" spans="1:14" x14ac:dyDescent="0.25">
      <c r="A137" s="208">
        <v>85</v>
      </c>
      <c r="B137" s="47"/>
      <c r="C137" s="208">
        <v>108</v>
      </c>
      <c r="D137" s="208">
        <v>141</v>
      </c>
      <c r="E137" s="208">
        <v>106</v>
      </c>
      <c r="F137" s="208">
        <v>107</v>
      </c>
      <c r="G137" s="208">
        <v>138</v>
      </c>
      <c r="H137" s="208">
        <v>153</v>
      </c>
      <c r="I137" s="208">
        <v>202</v>
      </c>
      <c r="J137" s="208">
        <v>216</v>
      </c>
      <c r="K137" s="208">
        <v>245</v>
      </c>
      <c r="L137" s="208">
        <v>207</v>
      </c>
      <c r="M137" s="208">
        <v>128</v>
      </c>
      <c r="N137" s="208">
        <v>106</v>
      </c>
    </row>
    <row r="138" spans="1:14" x14ac:dyDescent="0.25">
      <c r="A138" s="208">
        <v>86</v>
      </c>
      <c r="B138" s="47"/>
      <c r="C138" s="208">
        <v>0</v>
      </c>
      <c r="D138" s="208">
        <v>0</v>
      </c>
      <c r="E138" s="208">
        <v>0</v>
      </c>
      <c r="F138" s="208">
        <v>0</v>
      </c>
      <c r="G138" s="208">
        <v>0</v>
      </c>
      <c r="H138" s="208">
        <v>0</v>
      </c>
      <c r="I138" s="208">
        <v>0</v>
      </c>
      <c r="J138" s="208">
        <v>0</v>
      </c>
      <c r="K138" s="208">
        <v>0</v>
      </c>
      <c r="L138" s="208">
        <v>0</v>
      </c>
      <c r="M138" s="208">
        <v>0</v>
      </c>
      <c r="N138" s="208">
        <v>0</v>
      </c>
    </row>
    <row r="139" spans="1:14" x14ac:dyDescent="0.25">
      <c r="A139" s="208">
        <v>87</v>
      </c>
      <c r="B139" s="47"/>
      <c r="C139" s="208">
        <v>0</v>
      </c>
      <c r="D139" s="208">
        <v>0</v>
      </c>
      <c r="E139" s="208">
        <v>0</v>
      </c>
      <c r="F139" s="208">
        <v>0</v>
      </c>
      <c r="G139" s="208">
        <v>0</v>
      </c>
      <c r="H139" s="208">
        <v>0</v>
      </c>
      <c r="I139" s="208">
        <v>0</v>
      </c>
      <c r="J139" s="208">
        <v>0</v>
      </c>
      <c r="K139" s="208">
        <v>0</v>
      </c>
      <c r="L139" s="208">
        <v>0</v>
      </c>
      <c r="M139" s="208">
        <v>0</v>
      </c>
      <c r="N139" s="208">
        <v>0</v>
      </c>
    </row>
    <row r="140" spans="1:14" x14ac:dyDescent="0.25">
      <c r="A140" s="208">
        <v>88</v>
      </c>
      <c r="B140" s="47"/>
      <c r="C140" s="208">
        <v>177</v>
      </c>
      <c r="D140" s="208">
        <v>222</v>
      </c>
      <c r="E140" s="208">
        <v>180</v>
      </c>
      <c r="F140" s="208">
        <v>158</v>
      </c>
      <c r="G140" s="208">
        <v>203</v>
      </c>
      <c r="H140" s="208">
        <v>222</v>
      </c>
      <c r="I140" s="208">
        <v>265</v>
      </c>
      <c r="J140" s="208">
        <v>285</v>
      </c>
      <c r="K140" s="208">
        <v>336</v>
      </c>
      <c r="L140" s="208">
        <v>350</v>
      </c>
      <c r="M140" s="208">
        <v>232</v>
      </c>
      <c r="N140" s="208">
        <v>170</v>
      </c>
    </row>
    <row r="141" spans="1:14" x14ac:dyDescent="0.25">
      <c r="A141" s="208">
        <v>89</v>
      </c>
      <c r="B141" s="47"/>
      <c r="C141" s="208">
        <v>209</v>
      </c>
      <c r="D141" s="208">
        <v>261</v>
      </c>
      <c r="E141" s="208">
        <v>211</v>
      </c>
      <c r="F141" s="208">
        <v>192</v>
      </c>
      <c r="G141" s="208">
        <v>251</v>
      </c>
      <c r="H141" s="208">
        <v>274</v>
      </c>
      <c r="I141" s="208">
        <v>329</v>
      </c>
      <c r="J141" s="208">
        <v>346</v>
      </c>
      <c r="K141" s="208">
        <v>415</v>
      </c>
      <c r="L141" s="208">
        <v>427</v>
      </c>
      <c r="M141" s="208">
        <v>282</v>
      </c>
      <c r="N141" s="208">
        <v>204</v>
      </c>
    </row>
    <row r="142" spans="1:14" x14ac:dyDescent="0.25">
      <c r="A142" s="208">
        <v>90</v>
      </c>
      <c r="B142" s="47"/>
      <c r="C142" s="208">
        <v>0</v>
      </c>
      <c r="D142" s="208">
        <v>0</v>
      </c>
      <c r="E142" s="208">
        <v>0</v>
      </c>
      <c r="F142" s="208">
        <v>0</v>
      </c>
      <c r="G142" s="208">
        <v>0</v>
      </c>
      <c r="H142" s="208">
        <v>0</v>
      </c>
      <c r="I142" s="208">
        <v>0</v>
      </c>
      <c r="J142" s="208">
        <v>0</v>
      </c>
      <c r="K142" s="208">
        <v>0</v>
      </c>
      <c r="L142" s="208">
        <v>0</v>
      </c>
      <c r="M142" s="208">
        <v>0</v>
      </c>
      <c r="N142" s="208">
        <v>0</v>
      </c>
    </row>
    <row r="143" spans="1:14" x14ac:dyDescent="0.25">
      <c r="A143" s="208">
        <v>91</v>
      </c>
      <c r="B143" s="47"/>
      <c r="C143" s="208">
        <v>0</v>
      </c>
      <c r="D143" s="208">
        <v>0</v>
      </c>
      <c r="E143" s="208">
        <v>0</v>
      </c>
      <c r="F143" s="208">
        <v>0</v>
      </c>
      <c r="G143" s="208">
        <v>0</v>
      </c>
      <c r="H143" s="208">
        <v>0</v>
      </c>
      <c r="I143" s="208">
        <v>0</v>
      </c>
      <c r="J143" s="208">
        <v>0</v>
      </c>
      <c r="K143" s="208">
        <v>0</v>
      </c>
      <c r="L143" s="208">
        <v>0</v>
      </c>
      <c r="M143" s="208">
        <v>0</v>
      </c>
      <c r="N143" s="208">
        <v>0</v>
      </c>
    </row>
    <row r="144" spans="1:14" x14ac:dyDescent="0.25">
      <c r="A144" s="208">
        <v>92</v>
      </c>
      <c r="B144" s="47"/>
      <c r="C144" s="208">
        <v>670</v>
      </c>
      <c r="D144" s="208">
        <v>854</v>
      </c>
      <c r="E144" s="208">
        <v>670</v>
      </c>
      <c r="F144" s="208">
        <v>702</v>
      </c>
      <c r="G144" s="208">
        <v>972</v>
      </c>
      <c r="H144" s="208">
        <v>1087</v>
      </c>
      <c r="I144" s="208">
        <v>1293</v>
      </c>
      <c r="J144" s="208">
        <v>1370</v>
      </c>
      <c r="K144" s="208">
        <v>1578</v>
      </c>
      <c r="L144" s="208">
        <v>1552</v>
      </c>
      <c r="M144" s="208">
        <v>985</v>
      </c>
      <c r="N144" s="208">
        <v>718</v>
      </c>
    </row>
    <row r="145" spans="1:14" x14ac:dyDescent="0.25">
      <c r="A145" s="208">
        <v>93</v>
      </c>
      <c r="B145" s="47"/>
      <c r="C145" s="208">
        <v>34</v>
      </c>
      <c r="D145" s="208">
        <v>34</v>
      </c>
      <c r="E145" s="208">
        <v>29</v>
      </c>
      <c r="F145" s="208">
        <v>36</v>
      </c>
      <c r="G145" s="208">
        <v>55</v>
      </c>
      <c r="H145" s="208">
        <v>69</v>
      </c>
      <c r="I145" s="208">
        <v>77</v>
      </c>
      <c r="J145" s="208">
        <v>71</v>
      </c>
      <c r="K145" s="208">
        <v>79</v>
      </c>
      <c r="L145" s="208">
        <v>84</v>
      </c>
      <c r="M145" s="208">
        <v>59</v>
      </c>
      <c r="N145" s="208">
        <v>44</v>
      </c>
    </row>
    <row r="146" spans="1:14" x14ac:dyDescent="0.25">
      <c r="A146" s="208">
        <v>94</v>
      </c>
      <c r="B146" s="47"/>
      <c r="C146" s="208">
        <v>806</v>
      </c>
      <c r="D146" s="208">
        <v>1008</v>
      </c>
      <c r="E146" s="208">
        <v>805</v>
      </c>
      <c r="F146" s="208">
        <v>860</v>
      </c>
      <c r="G146" s="208">
        <v>1199</v>
      </c>
      <c r="H146" s="208">
        <v>1362</v>
      </c>
      <c r="I146" s="208">
        <v>1595</v>
      </c>
      <c r="J146" s="208">
        <v>1676</v>
      </c>
      <c r="K146" s="208">
        <v>1904</v>
      </c>
      <c r="L146" s="208">
        <v>1886</v>
      </c>
      <c r="M146" s="208">
        <v>1231</v>
      </c>
      <c r="N146" s="208">
        <v>897</v>
      </c>
    </row>
    <row r="147" spans="1:14" x14ac:dyDescent="0.25">
      <c r="A147" s="208">
        <v>95</v>
      </c>
      <c r="B147" s="47"/>
      <c r="C147" s="208">
        <v>0</v>
      </c>
      <c r="D147" s="208">
        <v>0</v>
      </c>
      <c r="E147" s="208">
        <v>0</v>
      </c>
      <c r="F147" s="208">
        <v>0</v>
      </c>
      <c r="G147" s="208">
        <v>0</v>
      </c>
      <c r="H147" s="208">
        <v>0</v>
      </c>
      <c r="I147" s="208">
        <v>0</v>
      </c>
      <c r="J147" s="208">
        <v>0</v>
      </c>
      <c r="K147" s="208">
        <v>0</v>
      </c>
      <c r="L147" s="208">
        <v>0</v>
      </c>
      <c r="M147" s="208">
        <v>0</v>
      </c>
      <c r="N147" s="208">
        <v>0</v>
      </c>
    </row>
    <row r="148" spans="1:14" x14ac:dyDescent="0.25">
      <c r="A148" s="208">
        <v>96</v>
      </c>
      <c r="B148" s="47"/>
      <c r="C148" s="208">
        <v>0</v>
      </c>
      <c r="D148" s="208">
        <v>0</v>
      </c>
      <c r="E148" s="208">
        <v>0</v>
      </c>
      <c r="F148" s="208">
        <v>0</v>
      </c>
      <c r="G148" s="208">
        <v>0</v>
      </c>
      <c r="H148" s="208">
        <v>0</v>
      </c>
      <c r="I148" s="208">
        <v>0</v>
      </c>
      <c r="J148" s="208">
        <v>0</v>
      </c>
      <c r="K148" s="208">
        <v>0</v>
      </c>
      <c r="L148" s="208">
        <v>0</v>
      </c>
      <c r="M148" s="208">
        <v>0</v>
      </c>
      <c r="N148" s="208">
        <v>0</v>
      </c>
    </row>
    <row r="149" spans="1:14" x14ac:dyDescent="0.25">
      <c r="A149" s="208">
        <v>97</v>
      </c>
      <c r="B149" s="47"/>
      <c r="C149" s="208">
        <v>160</v>
      </c>
      <c r="D149" s="208">
        <v>205</v>
      </c>
      <c r="E149" s="208">
        <v>155</v>
      </c>
      <c r="F149" s="208">
        <v>174</v>
      </c>
      <c r="G149" s="208">
        <v>241</v>
      </c>
      <c r="H149" s="208">
        <v>314</v>
      </c>
      <c r="I149" s="208">
        <v>406</v>
      </c>
      <c r="J149" s="208">
        <v>424</v>
      </c>
      <c r="K149" s="208">
        <v>471</v>
      </c>
      <c r="L149" s="208">
        <v>387</v>
      </c>
      <c r="M149" s="208">
        <v>227</v>
      </c>
      <c r="N149" s="208">
        <v>181</v>
      </c>
    </row>
    <row r="150" spans="1:14" x14ac:dyDescent="0.25">
      <c r="A150" s="208">
        <v>98</v>
      </c>
      <c r="B150" s="47"/>
      <c r="C150" s="208">
        <v>93</v>
      </c>
      <c r="D150" s="208">
        <v>121</v>
      </c>
      <c r="E150" s="208">
        <v>92</v>
      </c>
      <c r="F150" s="208">
        <v>99</v>
      </c>
      <c r="G150" s="208">
        <v>128</v>
      </c>
      <c r="H150" s="208">
        <v>170</v>
      </c>
      <c r="I150" s="208">
        <v>219</v>
      </c>
      <c r="J150" s="208">
        <v>233</v>
      </c>
      <c r="K150" s="208">
        <v>252</v>
      </c>
      <c r="L150" s="208">
        <v>202</v>
      </c>
      <c r="M150" s="208">
        <v>123</v>
      </c>
      <c r="N150" s="208">
        <v>98</v>
      </c>
    </row>
    <row r="151" spans="1:14" x14ac:dyDescent="0.25">
      <c r="A151" s="208">
        <v>99</v>
      </c>
      <c r="B151" s="47"/>
      <c r="C151" s="208">
        <v>80</v>
      </c>
      <c r="D151" s="208">
        <v>85</v>
      </c>
      <c r="E151" s="208">
        <v>85</v>
      </c>
      <c r="F151" s="208">
        <v>73</v>
      </c>
      <c r="G151" s="208">
        <v>60</v>
      </c>
      <c r="H151" s="208">
        <v>54</v>
      </c>
      <c r="I151" s="208">
        <v>49</v>
      </c>
      <c r="J151" s="208">
        <v>46</v>
      </c>
      <c r="K151" s="208">
        <v>47</v>
      </c>
      <c r="L151" s="208">
        <v>51</v>
      </c>
      <c r="M151" s="208">
        <v>58</v>
      </c>
      <c r="N151" s="208">
        <v>69</v>
      </c>
    </row>
    <row r="152" spans="1:14" x14ac:dyDescent="0.25">
      <c r="A152" s="208">
        <v>100</v>
      </c>
      <c r="B152" s="47"/>
      <c r="C152" s="208">
        <v>5</v>
      </c>
      <c r="D152" s="208">
        <v>6</v>
      </c>
      <c r="E152" s="208">
        <v>6</v>
      </c>
      <c r="F152" s="208">
        <v>5</v>
      </c>
      <c r="G152" s="208">
        <v>4</v>
      </c>
      <c r="H152" s="208">
        <v>4</v>
      </c>
      <c r="I152" s="208">
        <v>4</v>
      </c>
      <c r="J152" s="208">
        <v>3</v>
      </c>
      <c r="K152" s="208">
        <v>4</v>
      </c>
      <c r="L152" s="208">
        <v>5</v>
      </c>
      <c r="M152" s="208">
        <v>5</v>
      </c>
      <c r="N152" s="208">
        <v>5</v>
      </c>
    </row>
    <row r="153" spans="1:14" x14ac:dyDescent="0.25">
      <c r="A153" s="208">
        <v>101</v>
      </c>
      <c r="B153" s="47"/>
      <c r="C153" s="208">
        <v>113</v>
      </c>
      <c r="D153" s="208">
        <v>135</v>
      </c>
      <c r="E153" s="208">
        <v>105</v>
      </c>
      <c r="F153" s="208">
        <v>76</v>
      </c>
      <c r="G153" s="208">
        <v>93</v>
      </c>
      <c r="H153" s="208">
        <v>91</v>
      </c>
      <c r="I153" s="208">
        <v>117</v>
      </c>
      <c r="J153" s="208">
        <v>132</v>
      </c>
      <c r="K153" s="208">
        <v>162</v>
      </c>
      <c r="L153" s="208">
        <v>169</v>
      </c>
      <c r="M153" s="208">
        <v>115</v>
      </c>
      <c r="N153" s="208">
        <v>96</v>
      </c>
    </row>
    <row r="154" spans="1:14" x14ac:dyDescent="0.25">
      <c r="A154" s="208">
        <v>102</v>
      </c>
      <c r="B154" s="47"/>
      <c r="C154" s="208">
        <v>154</v>
      </c>
      <c r="D154" s="208">
        <v>142</v>
      </c>
      <c r="E154" s="208">
        <v>121</v>
      </c>
      <c r="F154" s="208">
        <v>185</v>
      </c>
      <c r="G154" s="208">
        <v>243</v>
      </c>
      <c r="H154" s="208">
        <v>291</v>
      </c>
      <c r="I154" s="208">
        <v>286</v>
      </c>
      <c r="J154" s="208">
        <v>281</v>
      </c>
      <c r="K154" s="208">
        <v>327</v>
      </c>
      <c r="L154" s="208">
        <v>364</v>
      </c>
      <c r="M154" s="208">
        <v>268</v>
      </c>
      <c r="N154" s="208">
        <v>205</v>
      </c>
    </row>
    <row r="155" spans="1:14" x14ac:dyDescent="0.25">
      <c r="A155" s="208">
        <v>103</v>
      </c>
      <c r="B155" s="47"/>
      <c r="C155" s="208">
        <v>160</v>
      </c>
      <c r="D155" s="208">
        <v>148</v>
      </c>
      <c r="E155" s="208">
        <v>126</v>
      </c>
      <c r="F155" s="208">
        <v>191</v>
      </c>
      <c r="G155" s="208">
        <v>251</v>
      </c>
      <c r="H155" s="208">
        <v>302</v>
      </c>
      <c r="I155" s="208">
        <v>297</v>
      </c>
      <c r="J155" s="208">
        <v>292</v>
      </c>
      <c r="K155" s="208">
        <v>339</v>
      </c>
      <c r="L155" s="208">
        <v>378</v>
      </c>
      <c r="M155" s="208">
        <v>280</v>
      </c>
      <c r="N155" s="208">
        <v>213</v>
      </c>
    </row>
    <row r="156" spans="1:14" x14ac:dyDescent="0.25">
      <c r="A156" s="208">
        <v>104</v>
      </c>
      <c r="B156" s="47"/>
      <c r="C156" s="208">
        <v>45</v>
      </c>
      <c r="D156" s="208">
        <v>46</v>
      </c>
      <c r="E156" s="208">
        <v>41</v>
      </c>
      <c r="F156" s="208">
        <v>29</v>
      </c>
      <c r="G156" s="208">
        <v>22</v>
      </c>
      <c r="H156" s="208">
        <v>21</v>
      </c>
      <c r="I156" s="208">
        <v>18</v>
      </c>
      <c r="J156" s="208">
        <v>16</v>
      </c>
      <c r="K156" s="208">
        <v>21</v>
      </c>
      <c r="L156" s="208">
        <v>27</v>
      </c>
      <c r="M156" s="208">
        <v>26</v>
      </c>
      <c r="N156" s="208">
        <v>35</v>
      </c>
    </row>
    <row r="157" spans="1:14" x14ac:dyDescent="0.25">
      <c r="A157" s="208">
        <v>105</v>
      </c>
      <c r="B157" s="47"/>
      <c r="C157" s="208">
        <v>0</v>
      </c>
      <c r="D157" s="208">
        <v>0</v>
      </c>
      <c r="E157" s="208">
        <v>0</v>
      </c>
      <c r="F157" s="208">
        <v>0</v>
      </c>
      <c r="G157" s="208">
        <v>0</v>
      </c>
      <c r="H157" s="208">
        <v>0</v>
      </c>
      <c r="I157" s="208">
        <v>0</v>
      </c>
      <c r="J157" s="208">
        <v>0</v>
      </c>
      <c r="K157" s="208">
        <v>0</v>
      </c>
      <c r="L157" s="208">
        <v>0</v>
      </c>
      <c r="M157" s="208">
        <v>0</v>
      </c>
      <c r="N157" s="208">
        <v>0</v>
      </c>
    </row>
    <row r="158" spans="1:14" x14ac:dyDescent="0.25">
      <c r="A158" s="208">
        <v>106</v>
      </c>
      <c r="B158" s="47"/>
      <c r="C158" s="208">
        <v>0</v>
      </c>
      <c r="D158" s="208">
        <v>0</v>
      </c>
      <c r="E158" s="208">
        <v>0</v>
      </c>
      <c r="F158" s="208">
        <v>0</v>
      </c>
      <c r="G158" s="208">
        <v>0</v>
      </c>
      <c r="H158" s="208">
        <v>0</v>
      </c>
      <c r="I158" s="208">
        <v>0</v>
      </c>
      <c r="J158" s="208">
        <v>0</v>
      </c>
      <c r="K158" s="208">
        <v>0</v>
      </c>
      <c r="L158" s="208">
        <v>0</v>
      </c>
      <c r="M158" s="208">
        <v>0</v>
      </c>
      <c r="N158" s="208">
        <v>0</v>
      </c>
    </row>
    <row r="159" spans="1:14" x14ac:dyDescent="0.25">
      <c r="A159" s="208">
        <v>107</v>
      </c>
      <c r="B159" s="47"/>
      <c r="C159" s="208">
        <v>0</v>
      </c>
      <c r="D159" s="208">
        <v>0</v>
      </c>
      <c r="E159" s="208">
        <v>0</v>
      </c>
      <c r="F159" s="208">
        <v>0</v>
      </c>
      <c r="G159" s="208">
        <v>0</v>
      </c>
      <c r="H159" s="208">
        <v>0</v>
      </c>
      <c r="I159" s="208">
        <v>0</v>
      </c>
      <c r="J159" s="208">
        <v>0</v>
      </c>
      <c r="K159" s="208">
        <v>0</v>
      </c>
      <c r="L159" s="208">
        <v>0</v>
      </c>
      <c r="M159" s="208">
        <v>0</v>
      </c>
      <c r="N159" s="208">
        <v>0</v>
      </c>
    </row>
    <row r="160" spans="1:14" x14ac:dyDescent="0.25">
      <c r="A160" s="208">
        <v>108</v>
      </c>
      <c r="B160" s="47"/>
      <c r="C160" s="208">
        <v>0</v>
      </c>
      <c r="D160" s="208">
        <v>0</v>
      </c>
      <c r="E160" s="208">
        <v>0</v>
      </c>
      <c r="F160" s="208">
        <v>0</v>
      </c>
      <c r="G160" s="208">
        <v>0</v>
      </c>
      <c r="H160" s="208">
        <v>0</v>
      </c>
      <c r="I160" s="208">
        <v>0</v>
      </c>
      <c r="J160" s="208">
        <v>0</v>
      </c>
      <c r="K160" s="208">
        <v>0</v>
      </c>
      <c r="L160" s="208">
        <v>0</v>
      </c>
      <c r="M160" s="208">
        <v>0</v>
      </c>
      <c r="N160" s="208">
        <v>0</v>
      </c>
    </row>
    <row r="161" spans="1:14" x14ac:dyDescent="0.25">
      <c r="A161" s="208">
        <v>109</v>
      </c>
      <c r="B161" s="47"/>
      <c r="C161" s="208">
        <v>26</v>
      </c>
      <c r="D161" s="208">
        <v>26</v>
      </c>
      <c r="E161" s="208">
        <v>23</v>
      </c>
      <c r="F161" s="208">
        <v>17</v>
      </c>
      <c r="G161" s="208">
        <v>12</v>
      </c>
      <c r="H161" s="208">
        <v>11</v>
      </c>
      <c r="I161" s="208">
        <v>9</v>
      </c>
      <c r="J161" s="208">
        <v>8</v>
      </c>
      <c r="K161" s="208">
        <v>12</v>
      </c>
      <c r="L161" s="208">
        <v>15</v>
      </c>
      <c r="M161" s="208">
        <v>15</v>
      </c>
      <c r="N161" s="208">
        <v>21</v>
      </c>
    </row>
    <row r="162" spans="1:14" x14ac:dyDescent="0.25">
      <c r="A162" s="208">
        <v>110</v>
      </c>
      <c r="B162" s="47"/>
      <c r="C162" s="208">
        <v>20</v>
      </c>
      <c r="D162" s="208">
        <v>19</v>
      </c>
      <c r="E162" s="208">
        <v>15</v>
      </c>
      <c r="F162" s="208">
        <v>20</v>
      </c>
      <c r="G162" s="208">
        <v>27</v>
      </c>
      <c r="H162" s="208">
        <v>33</v>
      </c>
      <c r="I162" s="208">
        <v>38</v>
      </c>
      <c r="J162" s="208">
        <v>40</v>
      </c>
      <c r="K162" s="208">
        <v>43</v>
      </c>
      <c r="L162" s="208">
        <v>45</v>
      </c>
      <c r="M162" s="208">
        <v>32</v>
      </c>
      <c r="N162" s="208">
        <v>23</v>
      </c>
    </row>
    <row r="163" spans="1:14" x14ac:dyDescent="0.25">
      <c r="A163" s="208">
        <v>111</v>
      </c>
      <c r="B163" s="47"/>
      <c r="C163" s="208">
        <v>132</v>
      </c>
      <c r="D163" s="208">
        <v>123</v>
      </c>
      <c r="E163" s="208">
        <v>104</v>
      </c>
      <c r="F163" s="208">
        <v>137</v>
      </c>
      <c r="G163" s="208">
        <v>192</v>
      </c>
      <c r="H163" s="208">
        <v>235</v>
      </c>
      <c r="I163" s="208">
        <v>264</v>
      </c>
      <c r="J163" s="208">
        <v>273</v>
      </c>
      <c r="K163" s="208">
        <v>312</v>
      </c>
      <c r="L163" s="208">
        <v>308</v>
      </c>
      <c r="M163" s="208">
        <v>219</v>
      </c>
      <c r="N163" s="208">
        <v>170</v>
      </c>
    </row>
    <row r="164" spans="1:14" x14ac:dyDescent="0.25">
      <c r="A164" s="208">
        <v>112</v>
      </c>
      <c r="B164" s="47"/>
      <c r="C164" s="208">
        <v>134</v>
      </c>
      <c r="D164" s="208">
        <v>124</v>
      </c>
      <c r="E164" s="208">
        <v>105</v>
      </c>
      <c r="F164" s="208">
        <v>138</v>
      </c>
      <c r="G164" s="208">
        <v>194</v>
      </c>
      <c r="H164" s="208">
        <v>237</v>
      </c>
      <c r="I164" s="208">
        <v>266</v>
      </c>
      <c r="J164" s="208">
        <v>275</v>
      </c>
      <c r="K164" s="208">
        <v>314</v>
      </c>
      <c r="L164" s="208">
        <v>311</v>
      </c>
      <c r="M164" s="208">
        <v>221</v>
      </c>
      <c r="N164" s="208">
        <v>171</v>
      </c>
    </row>
    <row r="165" spans="1:14" x14ac:dyDescent="0.25">
      <c r="A165" s="208">
        <v>113</v>
      </c>
      <c r="B165" s="47"/>
      <c r="C165" s="208">
        <v>166</v>
      </c>
      <c r="D165" s="208">
        <v>154</v>
      </c>
      <c r="E165" s="208">
        <v>131</v>
      </c>
      <c r="F165" s="208">
        <v>176</v>
      </c>
      <c r="G165" s="208">
        <v>247</v>
      </c>
      <c r="H165" s="208">
        <v>301</v>
      </c>
      <c r="I165" s="208">
        <v>343</v>
      </c>
      <c r="J165" s="208">
        <v>348</v>
      </c>
      <c r="K165" s="208">
        <v>398</v>
      </c>
      <c r="L165" s="208">
        <v>394</v>
      </c>
      <c r="M165" s="208">
        <v>285</v>
      </c>
      <c r="N165" s="208">
        <v>212</v>
      </c>
    </row>
    <row r="166" spans="1:14" x14ac:dyDescent="0.25">
      <c r="A166" s="208">
        <v>114</v>
      </c>
      <c r="B166" s="47"/>
      <c r="C166" s="208">
        <v>201</v>
      </c>
      <c r="D166" s="208">
        <v>191</v>
      </c>
      <c r="E166" s="208">
        <v>163</v>
      </c>
      <c r="F166" s="208">
        <v>225</v>
      </c>
      <c r="G166" s="208">
        <v>302</v>
      </c>
      <c r="H166" s="208">
        <v>384</v>
      </c>
      <c r="I166" s="208">
        <v>433</v>
      </c>
      <c r="J166" s="208">
        <v>425</v>
      </c>
      <c r="K166" s="208">
        <v>483</v>
      </c>
      <c r="L166" s="208">
        <v>475</v>
      </c>
      <c r="M166" s="208">
        <v>341</v>
      </c>
      <c r="N166" s="208">
        <v>254</v>
      </c>
    </row>
    <row r="167" spans="1:14" x14ac:dyDescent="0.25">
      <c r="A167" s="208">
        <v>115</v>
      </c>
      <c r="B167" s="47"/>
      <c r="C167" s="208">
        <v>25</v>
      </c>
      <c r="D167" s="208">
        <v>27</v>
      </c>
      <c r="E167" s="208">
        <v>24</v>
      </c>
      <c r="F167" s="208">
        <v>18</v>
      </c>
      <c r="G167" s="208">
        <v>17</v>
      </c>
      <c r="H167" s="208">
        <v>17</v>
      </c>
      <c r="I167" s="208">
        <v>17</v>
      </c>
      <c r="J167" s="208">
        <v>14</v>
      </c>
      <c r="K167" s="208">
        <v>18</v>
      </c>
      <c r="L167" s="208">
        <v>20</v>
      </c>
      <c r="M167" s="208">
        <v>19</v>
      </c>
      <c r="N167" s="208">
        <v>20</v>
      </c>
    </row>
    <row r="168" spans="1:14" x14ac:dyDescent="0.25">
      <c r="A168" s="208">
        <v>116</v>
      </c>
      <c r="B168" s="47"/>
      <c r="C168" s="208">
        <v>6</v>
      </c>
      <c r="D168" s="208">
        <v>6</v>
      </c>
      <c r="E168" s="208">
        <v>5</v>
      </c>
      <c r="F168" s="208">
        <v>4</v>
      </c>
      <c r="G168" s="208">
        <v>3</v>
      </c>
      <c r="H168" s="208">
        <v>2</v>
      </c>
      <c r="I168" s="208">
        <v>2</v>
      </c>
      <c r="J168" s="208">
        <v>2</v>
      </c>
      <c r="K168" s="208">
        <v>3</v>
      </c>
      <c r="L168" s="208">
        <v>3</v>
      </c>
      <c r="M168" s="208">
        <v>3</v>
      </c>
      <c r="N168" s="208">
        <v>5</v>
      </c>
    </row>
    <row r="169" spans="1:14" x14ac:dyDescent="0.25">
      <c r="A169" s="208">
        <v>117</v>
      </c>
      <c r="B169" s="47"/>
      <c r="C169" s="208">
        <v>19</v>
      </c>
      <c r="D169" s="208">
        <v>20</v>
      </c>
      <c r="E169" s="208">
        <v>18</v>
      </c>
      <c r="F169" s="208">
        <v>13</v>
      </c>
      <c r="G169" s="208">
        <v>10</v>
      </c>
      <c r="H169" s="208">
        <v>10</v>
      </c>
      <c r="I169" s="208">
        <v>8</v>
      </c>
      <c r="J169" s="208">
        <v>7</v>
      </c>
      <c r="K169" s="208">
        <v>9</v>
      </c>
      <c r="L169" s="208">
        <v>11</v>
      </c>
      <c r="M169" s="208">
        <v>11</v>
      </c>
      <c r="N169" s="208">
        <v>14</v>
      </c>
    </row>
    <row r="170" spans="1:14" x14ac:dyDescent="0.25">
      <c r="A170" s="208">
        <v>118</v>
      </c>
      <c r="B170" s="47"/>
      <c r="C170" s="208">
        <v>26</v>
      </c>
      <c r="D170" s="208">
        <v>26</v>
      </c>
      <c r="E170" s="208">
        <v>23</v>
      </c>
      <c r="F170" s="208">
        <v>17</v>
      </c>
      <c r="G170" s="208">
        <v>12</v>
      </c>
      <c r="H170" s="208">
        <v>11</v>
      </c>
      <c r="I170" s="208">
        <v>9</v>
      </c>
      <c r="J170" s="208">
        <v>8</v>
      </c>
      <c r="K170" s="208">
        <v>12</v>
      </c>
      <c r="L170" s="208">
        <v>15</v>
      </c>
      <c r="M170" s="208">
        <v>15</v>
      </c>
      <c r="N170" s="208">
        <v>21</v>
      </c>
    </row>
    <row r="171" spans="1:14" x14ac:dyDescent="0.25">
      <c r="A171" s="208">
        <v>119</v>
      </c>
      <c r="B171" s="47"/>
      <c r="C171" s="208">
        <v>32</v>
      </c>
      <c r="D171" s="208">
        <v>31</v>
      </c>
      <c r="E171" s="208">
        <v>28</v>
      </c>
      <c r="F171" s="208">
        <v>20</v>
      </c>
      <c r="G171" s="208">
        <v>15</v>
      </c>
      <c r="H171" s="208">
        <v>13</v>
      </c>
      <c r="I171" s="208">
        <v>11</v>
      </c>
      <c r="J171" s="208">
        <v>10</v>
      </c>
      <c r="K171" s="208">
        <v>15</v>
      </c>
      <c r="L171" s="208">
        <v>19</v>
      </c>
      <c r="M171" s="208">
        <v>19</v>
      </c>
      <c r="N171" s="208">
        <v>25</v>
      </c>
    </row>
    <row r="172" spans="1:14" x14ac:dyDescent="0.25">
      <c r="A172" s="208">
        <v>120</v>
      </c>
      <c r="B172" s="47"/>
      <c r="C172" s="208">
        <v>45</v>
      </c>
      <c r="D172" s="208">
        <v>48</v>
      </c>
      <c r="E172" s="208">
        <v>46</v>
      </c>
      <c r="F172" s="208">
        <v>34</v>
      </c>
      <c r="G172" s="208">
        <v>27</v>
      </c>
      <c r="H172" s="208">
        <v>24</v>
      </c>
      <c r="I172" s="208">
        <v>20</v>
      </c>
      <c r="J172" s="208">
        <v>17</v>
      </c>
      <c r="K172" s="208">
        <v>18</v>
      </c>
      <c r="L172" s="208">
        <v>20</v>
      </c>
      <c r="M172" s="208">
        <v>24</v>
      </c>
      <c r="N172" s="208">
        <v>34</v>
      </c>
    </row>
    <row r="173" spans="1:14" x14ac:dyDescent="0.25">
      <c r="A173" s="208">
        <v>121</v>
      </c>
      <c r="B173" s="47"/>
      <c r="C173" s="208">
        <v>107</v>
      </c>
      <c r="D173" s="208">
        <v>113</v>
      </c>
      <c r="E173" s="208">
        <v>103</v>
      </c>
      <c r="F173" s="208">
        <v>80</v>
      </c>
      <c r="G173" s="208">
        <v>62</v>
      </c>
      <c r="H173" s="208">
        <v>55</v>
      </c>
      <c r="I173" s="208">
        <v>48</v>
      </c>
      <c r="J173" s="208">
        <v>42</v>
      </c>
      <c r="K173" s="208">
        <v>45</v>
      </c>
      <c r="L173" s="208">
        <v>51</v>
      </c>
      <c r="M173" s="208">
        <v>59</v>
      </c>
      <c r="N173" s="208">
        <v>80</v>
      </c>
    </row>
    <row r="174" spans="1:14" x14ac:dyDescent="0.25">
      <c r="A174" s="208">
        <v>122</v>
      </c>
      <c r="B174" s="47"/>
      <c r="C174" s="208">
        <v>121</v>
      </c>
      <c r="D174" s="208">
        <v>130</v>
      </c>
      <c r="E174" s="208">
        <v>117</v>
      </c>
      <c r="F174" s="208">
        <v>91</v>
      </c>
      <c r="G174" s="208">
        <v>71</v>
      </c>
      <c r="H174" s="208">
        <v>63</v>
      </c>
      <c r="I174" s="208">
        <v>55</v>
      </c>
      <c r="J174" s="208">
        <v>48</v>
      </c>
      <c r="K174" s="208">
        <v>52</v>
      </c>
      <c r="L174" s="208">
        <v>58</v>
      </c>
      <c r="M174" s="208">
        <v>67</v>
      </c>
      <c r="N174" s="208">
        <v>90</v>
      </c>
    </row>
    <row r="175" spans="1:14" x14ac:dyDescent="0.25">
      <c r="A175" s="208">
        <v>123</v>
      </c>
      <c r="B175" s="47"/>
      <c r="C175" s="208">
        <v>382</v>
      </c>
      <c r="D175" s="208">
        <v>404</v>
      </c>
      <c r="E175" s="208">
        <v>388</v>
      </c>
      <c r="F175" s="208">
        <v>277</v>
      </c>
      <c r="G175" s="208">
        <v>193</v>
      </c>
      <c r="H175" s="208">
        <v>167</v>
      </c>
      <c r="I175" s="208">
        <v>142</v>
      </c>
      <c r="J175" s="208">
        <v>121</v>
      </c>
      <c r="K175" s="208">
        <v>126</v>
      </c>
      <c r="L175" s="208">
        <v>150</v>
      </c>
      <c r="M175" s="208">
        <v>187</v>
      </c>
      <c r="N175" s="208">
        <v>270</v>
      </c>
    </row>
    <row r="176" spans="1:14" x14ac:dyDescent="0.25">
      <c r="A176" s="208">
        <v>124</v>
      </c>
      <c r="B176" s="47"/>
      <c r="C176" s="208">
        <v>0</v>
      </c>
      <c r="D176" s="208">
        <v>0</v>
      </c>
      <c r="E176" s="208">
        <v>0</v>
      </c>
      <c r="F176" s="208">
        <v>0</v>
      </c>
      <c r="G176" s="208">
        <v>0</v>
      </c>
      <c r="H176" s="208">
        <v>0</v>
      </c>
      <c r="I176" s="208">
        <v>0</v>
      </c>
      <c r="J176" s="208">
        <v>0</v>
      </c>
      <c r="K176" s="208">
        <v>0</v>
      </c>
      <c r="L176" s="208">
        <v>0</v>
      </c>
      <c r="M176" s="208">
        <v>0</v>
      </c>
      <c r="N176" s="208">
        <v>0</v>
      </c>
    </row>
    <row r="177" spans="1:14" x14ac:dyDescent="0.25">
      <c r="A177" s="208">
        <v>125</v>
      </c>
      <c r="B177" s="47"/>
      <c r="C177" s="208">
        <v>501</v>
      </c>
      <c r="D177" s="208">
        <v>523</v>
      </c>
      <c r="E177" s="208">
        <v>497</v>
      </c>
      <c r="F177" s="208">
        <v>350</v>
      </c>
      <c r="G177" s="208">
        <v>245</v>
      </c>
      <c r="H177" s="208">
        <v>210</v>
      </c>
      <c r="I177" s="208">
        <v>176</v>
      </c>
      <c r="J177" s="208">
        <v>150</v>
      </c>
      <c r="K177" s="208">
        <v>155</v>
      </c>
      <c r="L177" s="208">
        <v>186</v>
      </c>
      <c r="M177" s="208">
        <v>241</v>
      </c>
      <c r="N177" s="208">
        <v>353</v>
      </c>
    </row>
    <row r="178" spans="1:14" x14ac:dyDescent="0.25">
      <c r="A178" s="208">
        <v>126</v>
      </c>
      <c r="B178" s="47"/>
      <c r="C178" s="208">
        <v>328</v>
      </c>
      <c r="D178" s="208">
        <v>327</v>
      </c>
      <c r="E178" s="208">
        <v>331</v>
      </c>
      <c r="F178" s="208">
        <v>297</v>
      </c>
      <c r="G178" s="208">
        <v>218</v>
      </c>
      <c r="H178" s="208">
        <v>163</v>
      </c>
      <c r="I178" s="208">
        <v>126</v>
      </c>
      <c r="J178" s="208">
        <v>94</v>
      </c>
      <c r="K178" s="208">
        <v>94</v>
      </c>
      <c r="L178" s="208">
        <v>130</v>
      </c>
      <c r="M178" s="208">
        <v>213</v>
      </c>
      <c r="N178" s="208">
        <v>305</v>
      </c>
    </row>
    <row r="179" spans="1:14" x14ac:dyDescent="0.25">
      <c r="A179" s="208">
        <v>127</v>
      </c>
      <c r="B179" s="47"/>
      <c r="C179" s="208">
        <v>775</v>
      </c>
      <c r="D179" s="208">
        <v>775</v>
      </c>
      <c r="E179" s="208">
        <v>712</v>
      </c>
      <c r="F179" s="208">
        <v>476</v>
      </c>
      <c r="G179" s="208">
        <v>312</v>
      </c>
      <c r="H179" s="208">
        <v>260</v>
      </c>
      <c r="I179" s="208">
        <v>217</v>
      </c>
      <c r="J179" s="208">
        <v>184</v>
      </c>
      <c r="K179" s="208">
        <v>188</v>
      </c>
      <c r="L179" s="208">
        <v>222</v>
      </c>
      <c r="M179" s="208">
        <v>316</v>
      </c>
      <c r="N179" s="208">
        <v>520</v>
      </c>
    </row>
    <row r="180" spans="1:14" x14ac:dyDescent="0.25">
      <c r="A180" s="208">
        <v>128</v>
      </c>
      <c r="B180" s="47"/>
      <c r="C180" s="208">
        <v>0</v>
      </c>
      <c r="D180" s="208">
        <v>0</v>
      </c>
      <c r="E180" s="208">
        <v>0</v>
      </c>
      <c r="F180" s="208">
        <v>0</v>
      </c>
      <c r="G180" s="208">
        <v>0</v>
      </c>
      <c r="H180" s="208">
        <v>0</v>
      </c>
      <c r="I180" s="208">
        <v>0</v>
      </c>
      <c r="J180" s="208">
        <v>0</v>
      </c>
      <c r="K180" s="208">
        <v>0</v>
      </c>
      <c r="L180" s="208">
        <v>0</v>
      </c>
      <c r="M180" s="208">
        <v>0</v>
      </c>
      <c r="N180" s="208">
        <v>0</v>
      </c>
    </row>
    <row r="181" spans="1:14" x14ac:dyDescent="0.25">
      <c r="A181" s="208">
        <v>129</v>
      </c>
      <c r="B181" s="47"/>
      <c r="C181" s="208">
        <v>972</v>
      </c>
      <c r="D181" s="208">
        <v>971</v>
      </c>
      <c r="E181" s="208">
        <v>908</v>
      </c>
      <c r="F181" s="208">
        <v>662</v>
      </c>
      <c r="G181" s="208">
        <v>473</v>
      </c>
      <c r="H181" s="208">
        <v>397</v>
      </c>
      <c r="I181" s="208">
        <v>336</v>
      </c>
      <c r="J181" s="208">
        <v>288</v>
      </c>
      <c r="K181" s="208">
        <v>292</v>
      </c>
      <c r="L181" s="208">
        <v>347</v>
      </c>
      <c r="M181" s="208">
        <v>471</v>
      </c>
      <c r="N181" s="208">
        <v>705</v>
      </c>
    </row>
    <row r="182" spans="1:14" x14ac:dyDescent="0.25">
      <c r="A182" s="208">
        <v>130</v>
      </c>
      <c r="B182" s="47"/>
      <c r="C182" s="208">
        <v>1086</v>
      </c>
      <c r="D182" s="208">
        <v>1088</v>
      </c>
      <c r="E182" s="208">
        <v>1018</v>
      </c>
      <c r="F182" s="208">
        <v>737</v>
      </c>
      <c r="G182" s="208">
        <v>522</v>
      </c>
      <c r="H182" s="208">
        <v>438</v>
      </c>
      <c r="I182" s="208">
        <v>369</v>
      </c>
      <c r="J182" s="208">
        <v>316</v>
      </c>
      <c r="K182" s="208">
        <v>321</v>
      </c>
      <c r="L182" s="208">
        <v>383</v>
      </c>
      <c r="M182" s="208">
        <v>522</v>
      </c>
      <c r="N182" s="208">
        <v>787</v>
      </c>
    </row>
    <row r="183" spans="1:14" x14ac:dyDescent="0.25">
      <c r="A183" s="208">
        <v>131</v>
      </c>
      <c r="B183" s="47"/>
      <c r="C183" s="208">
        <v>144</v>
      </c>
      <c r="D183" s="208">
        <v>143</v>
      </c>
      <c r="E183" s="208">
        <v>144</v>
      </c>
      <c r="F183" s="208">
        <v>143</v>
      </c>
      <c r="G183" s="208">
        <v>135</v>
      </c>
      <c r="H183" s="208">
        <v>122</v>
      </c>
      <c r="I183" s="208">
        <v>110</v>
      </c>
      <c r="J183" s="208">
        <v>96</v>
      </c>
      <c r="K183" s="208">
        <v>97</v>
      </c>
      <c r="L183" s="208">
        <v>112</v>
      </c>
      <c r="M183" s="208">
        <v>131</v>
      </c>
      <c r="N183" s="208">
        <v>142</v>
      </c>
    </row>
    <row r="184" spans="1:14" x14ac:dyDescent="0.25">
      <c r="A184" s="208">
        <v>132</v>
      </c>
      <c r="B184" s="47"/>
      <c r="C184" s="208">
        <v>31</v>
      </c>
      <c r="D184" s="208">
        <v>30</v>
      </c>
      <c r="E184" s="208">
        <v>29</v>
      </c>
      <c r="F184" s="208">
        <v>24</v>
      </c>
      <c r="G184" s="208">
        <v>17</v>
      </c>
      <c r="H184" s="208">
        <v>12</v>
      </c>
      <c r="I184" s="208">
        <v>10</v>
      </c>
      <c r="J184" s="208">
        <v>9</v>
      </c>
      <c r="K184" s="208">
        <v>9</v>
      </c>
      <c r="L184" s="208">
        <v>11</v>
      </c>
      <c r="M184" s="208">
        <v>17</v>
      </c>
      <c r="N184" s="208">
        <v>25</v>
      </c>
    </row>
    <row r="185" spans="1:14" x14ac:dyDescent="0.25">
      <c r="A185" s="208">
        <v>133</v>
      </c>
      <c r="B185" s="47"/>
      <c r="C185" s="208">
        <v>0</v>
      </c>
      <c r="D185" s="208">
        <v>0</v>
      </c>
      <c r="E185" s="208">
        <v>0</v>
      </c>
      <c r="F185" s="208">
        <v>0</v>
      </c>
      <c r="G185" s="208">
        <v>0</v>
      </c>
      <c r="H185" s="208">
        <v>0</v>
      </c>
      <c r="I185" s="208">
        <v>0</v>
      </c>
      <c r="J185" s="208">
        <v>0</v>
      </c>
      <c r="K185" s="208">
        <v>0</v>
      </c>
      <c r="L185" s="208">
        <v>0</v>
      </c>
      <c r="M185" s="208">
        <v>0</v>
      </c>
      <c r="N185" s="208">
        <v>0</v>
      </c>
    </row>
    <row r="186" spans="1:14" x14ac:dyDescent="0.25">
      <c r="A186" s="208">
        <v>134</v>
      </c>
      <c r="B186" s="47"/>
      <c r="C186" s="208">
        <v>297</v>
      </c>
      <c r="D186" s="208">
        <v>240</v>
      </c>
      <c r="E186" s="208">
        <v>215</v>
      </c>
      <c r="F186" s="208">
        <v>163</v>
      </c>
      <c r="G186" s="208">
        <v>117</v>
      </c>
      <c r="H186" s="208">
        <v>96</v>
      </c>
      <c r="I186" s="208">
        <v>82</v>
      </c>
      <c r="J186" s="208">
        <v>71</v>
      </c>
      <c r="K186" s="208">
        <v>68</v>
      </c>
      <c r="L186" s="208">
        <v>87</v>
      </c>
      <c r="M186" s="208">
        <v>162</v>
      </c>
      <c r="N186" s="208">
        <v>258</v>
      </c>
    </row>
    <row r="187" spans="1:14" x14ac:dyDescent="0.25">
      <c r="A187" s="208">
        <v>135</v>
      </c>
      <c r="B187" s="47"/>
      <c r="C187" s="208">
        <v>0</v>
      </c>
      <c r="D187" s="208">
        <v>0</v>
      </c>
      <c r="E187" s="208">
        <v>0</v>
      </c>
      <c r="F187" s="208">
        <v>0</v>
      </c>
      <c r="G187" s="208">
        <v>0</v>
      </c>
      <c r="H187" s="208">
        <v>0</v>
      </c>
      <c r="I187" s="208">
        <v>0</v>
      </c>
      <c r="J187" s="208">
        <v>0</v>
      </c>
      <c r="K187" s="208">
        <v>0</v>
      </c>
      <c r="L187" s="208">
        <v>0</v>
      </c>
      <c r="M187" s="208">
        <v>0</v>
      </c>
      <c r="N187" s="208">
        <v>0</v>
      </c>
    </row>
    <row r="188" spans="1:14" x14ac:dyDescent="0.25">
      <c r="A188" s="208">
        <v>136</v>
      </c>
      <c r="B188" s="47"/>
      <c r="C188" s="208">
        <v>0</v>
      </c>
      <c r="D188" s="208">
        <v>0</v>
      </c>
      <c r="E188" s="208">
        <v>0</v>
      </c>
      <c r="F188" s="208">
        <v>0</v>
      </c>
      <c r="G188" s="208">
        <v>0</v>
      </c>
      <c r="H188" s="208">
        <v>0</v>
      </c>
      <c r="I188" s="208">
        <v>0</v>
      </c>
      <c r="J188" s="208">
        <v>0</v>
      </c>
      <c r="K188" s="208">
        <v>0</v>
      </c>
      <c r="L188" s="208">
        <v>0</v>
      </c>
      <c r="M188" s="208">
        <v>0</v>
      </c>
      <c r="N188" s="208">
        <v>0</v>
      </c>
    </row>
    <row r="189" spans="1:14" x14ac:dyDescent="0.25">
      <c r="A189" s="208">
        <v>137</v>
      </c>
      <c r="B189" s="47"/>
      <c r="C189" s="208">
        <v>0</v>
      </c>
      <c r="D189" s="208">
        <v>0</v>
      </c>
      <c r="E189" s="208">
        <v>0</v>
      </c>
      <c r="F189" s="208">
        <v>0</v>
      </c>
      <c r="G189" s="208">
        <v>0</v>
      </c>
      <c r="H189" s="208">
        <v>0</v>
      </c>
      <c r="I189" s="208">
        <v>0</v>
      </c>
      <c r="J189" s="208">
        <v>0</v>
      </c>
      <c r="K189" s="208">
        <v>0</v>
      </c>
      <c r="L189" s="208">
        <v>0</v>
      </c>
      <c r="M189" s="208">
        <v>0</v>
      </c>
      <c r="N189" s="208">
        <v>0</v>
      </c>
    </row>
    <row r="190" spans="1:14" x14ac:dyDescent="0.25">
      <c r="A190" s="208">
        <v>138</v>
      </c>
      <c r="B190" s="47"/>
      <c r="C190" s="208">
        <v>0</v>
      </c>
      <c r="D190" s="208">
        <v>0</v>
      </c>
      <c r="E190" s="208">
        <v>0</v>
      </c>
      <c r="F190" s="208">
        <v>0</v>
      </c>
      <c r="G190" s="208">
        <v>0</v>
      </c>
      <c r="H190" s="208">
        <v>0</v>
      </c>
      <c r="I190" s="208">
        <v>0</v>
      </c>
      <c r="J190" s="208">
        <v>0</v>
      </c>
      <c r="K190" s="208">
        <v>0</v>
      </c>
      <c r="L190" s="208">
        <v>0</v>
      </c>
      <c r="M190" s="208">
        <v>0</v>
      </c>
      <c r="N190" s="208">
        <v>0</v>
      </c>
    </row>
    <row r="191" spans="1:14" x14ac:dyDescent="0.25">
      <c r="A191" s="208">
        <v>139</v>
      </c>
      <c r="B191" s="47"/>
      <c r="C191" s="208">
        <v>0</v>
      </c>
      <c r="D191" s="208">
        <v>0</v>
      </c>
      <c r="E191" s="208">
        <v>0</v>
      </c>
      <c r="F191" s="208">
        <v>0</v>
      </c>
      <c r="G191" s="208">
        <v>0</v>
      </c>
      <c r="H191" s="208">
        <v>0</v>
      </c>
      <c r="I191" s="208">
        <v>0</v>
      </c>
      <c r="J191" s="208">
        <v>0</v>
      </c>
      <c r="K191" s="208">
        <v>0</v>
      </c>
      <c r="L191" s="208">
        <v>0</v>
      </c>
      <c r="M191" s="208">
        <v>0</v>
      </c>
      <c r="N191" s="208">
        <v>0</v>
      </c>
    </row>
    <row r="192" spans="1:14" x14ac:dyDescent="0.25">
      <c r="A192" s="208">
        <v>140</v>
      </c>
      <c r="B192" s="47"/>
      <c r="C192" s="208">
        <v>0</v>
      </c>
      <c r="D192" s="208">
        <v>0</v>
      </c>
      <c r="E192" s="208">
        <v>0</v>
      </c>
      <c r="F192" s="208">
        <v>0</v>
      </c>
      <c r="G192" s="208">
        <v>0</v>
      </c>
      <c r="H192" s="208">
        <v>0</v>
      </c>
      <c r="I192" s="208">
        <v>0</v>
      </c>
      <c r="J192" s="208">
        <v>0</v>
      </c>
      <c r="K192" s="208">
        <v>0</v>
      </c>
      <c r="L192" s="208">
        <v>0</v>
      </c>
      <c r="M192" s="208">
        <v>0</v>
      </c>
      <c r="N192" s="208">
        <v>0</v>
      </c>
    </row>
    <row r="193" spans="1:14" x14ac:dyDescent="0.25">
      <c r="A193" s="208">
        <v>141</v>
      </c>
      <c r="B193" s="47"/>
      <c r="C193" s="208">
        <v>1053</v>
      </c>
      <c r="D193" s="208">
        <v>855</v>
      </c>
      <c r="E193" s="208">
        <v>756</v>
      </c>
      <c r="F193" s="208">
        <v>593</v>
      </c>
      <c r="G193" s="208">
        <v>444</v>
      </c>
      <c r="H193" s="208">
        <v>378</v>
      </c>
      <c r="I193" s="208">
        <v>335</v>
      </c>
      <c r="J193" s="208">
        <v>300</v>
      </c>
      <c r="K193" s="208">
        <v>292</v>
      </c>
      <c r="L193" s="208">
        <v>352</v>
      </c>
      <c r="M193" s="208">
        <v>563</v>
      </c>
      <c r="N193" s="208">
        <v>910</v>
      </c>
    </row>
    <row r="194" spans="1:14" x14ac:dyDescent="0.25">
      <c r="A194" s="208">
        <v>142</v>
      </c>
      <c r="B194" s="47"/>
      <c r="C194" s="208">
        <v>0</v>
      </c>
      <c r="D194" s="208">
        <v>0</v>
      </c>
      <c r="E194" s="208">
        <v>0</v>
      </c>
      <c r="F194" s="208">
        <v>0</v>
      </c>
      <c r="G194" s="208">
        <v>0</v>
      </c>
      <c r="H194" s="208">
        <v>0</v>
      </c>
      <c r="I194" s="208">
        <v>0</v>
      </c>
      <c r="J194" s="208">
        <v>0</v>
      </c>
      <c r="K194" s="208">
        <v>0</v>
      </c>
      <c r="L194" s="208">
        <v>0</v>
      </c>
      <c r="M194" s="208">
        <v>0</v>
      </c>
      <c r="N194" s="208">
        <v>0</v>
      </c>
    </row>
    <row r="195" spans="1:14" x14ac:dyDescent="0.25">
      <c r="A195" s="208">
        <v>143</v>
      </c>
      <c r="B195" s="47"/>
      <c r="C195" s="208">
        <v>0</v>
      </c>
      <c r="D195" s="208">
        <v>0</v>
      </c>
      <c r="E195" s="208">
        <v>0</v>
      </c>
      <c r="F195" s="208">
        <v>0</v>
      </c>
      <c r="G195" s="208">
        <v>0</v>
      </c>
      <c r="H195" s="208">
        <v>0</v>
      </c>
      <c r="I195" s="208">
        <v>0</v>
      </c>
      <c r="J195" s="208">
        <v>0</v>
      </c>
      <c r="K195" s="208">
        <v>0</v>
      </c>
      <c r="L195" s="208">
        <v>0</v>
      </c>
      <c r="M195" s="208">
        <v>0</v>
      </c>
      <c r="N195" s="208">
        <v>0</v>
      </c>
    </row>
    <row r="196" spans="1:14" x14ac:dyDescent="0.25">
      <c r="A196" s="208">
        <v>144</v>
      </c>
      <c r="B196" s="47"/>
      <c r="C196" s="208">
        <v>1888</v>
      </c>
      <c r="D196" s="208">
        <v>1463</v>
      </c>
      <c r="E196" s="208">
        <v>1285</v>
      </c>
      <c r="F196" s="208">
        <v>993</v>
      </c>
      <c r="G196" s="208">
        <v>719</v>
      </c>
      <c r="H196" s="208">
        <v>601</v>
      </c>
      <c r="I196" s="208">
        <v>532</v>
      </c>
      <c r="J196" s="208">
        <v>471</v>
      </c>
      <c r="K196" s="208">
        <v>454</v>
      </c>
      <c r="L196" s="208">
        <v>571</v>
      </c>
      <c r="M196" s="208">
        <v>974</v>
      </c>
      <c r="N196" s="208">
        <v>1649</v>
      </c>
    </row>
    <row r="197" spans="1:14" x14ac:dyDescent="0.25">
      <c r="A197" s="208">
        <v>145</v>
      </c>
      <c r="B197" s="47"/>
      <c r="C197" s="208">
        <v>117</v>
      </c>
      <c r="D197" s="208">
        <v>135</v>
      </c>
      <c r="E197" s="208">
        <v>148</v>
      </c>
      <c r="F197" s="208">
        <v>111</v>
      </c>
      <c r="G197" s="208">
        <v>78</v>
      </c>
      <c r="H197" s="208">
        <v>64</v>
      </c>
      <c r="I197" s="208">
        <v>58</v>
      </c>
      <c r="J197" s="208">
        <v>54</v>
      </c>
      <c r="K197" s="208">
        <v>52</v>
      </c>
      <c r="L197" s="208">
        <v>56</v>
      </c>
      <c r="M197" s="208">
        <v>65</v>
      </c>
      <c r="N197" s="208">
        <v>88</v>
      </c>
    </row>
    <row r="198" spans="1:14" x14ac:dyDescent="0.25">
      <c r="A198" s="208">
        <v>146</v>
      </c>
      <c r="B198" s="47"/>
      <c r="C198" s="208">
        <v>0</v>
      </c>
      <c r="D198" s="208">
        <v>0</v>
      </c>
      <c r="E198" s="208">
        <v>0</v>
      </c>
      <c r="F198" s="208">
        <v>0</v>
      </c>
      <c r="G198" s="208">
        <v>0</v>
      </c>
      <c r="H198" s="208">
        <v>0</v>
      </c>
      <c r="I198" s="208">
        <v>0</v>
      </c>
      <c r="J198" s="208">
        <v>0</v>
      </c>
      <c r="K198" s="208">
        <v>0</v>
      </c>
      <c r="L198" s="208">
        <v>0</v>
      </c>
      <c r="M198" s="208">
        <v>0</v>
      </c>
      <c r="N198" s="208">
        <v>0</v>
      </c>
    </row>
    <row r="199" spans="1:14" x14ac:dyDescent="0.25">
      <c r="A199" s="208">
        <v>147</v>
      </c>
      <c r="B199" s="47"/>
      <c r="C199" s="208">
        <v>0</v>
      </c>
      <c r="D199" s="208">
        <v>0</v>
      </c>
      <c r="E199" s="208">
        <v>0</v>
      </c>
      <c r="F199" s="208">
        <v>0</v>
      </c>
      <c r="G199" s="208">
        <v>0</v>
      </c>
      <c r="H199" s="208">
        <v>0</v>
      </c>
      <c r="I199" s="208">
        <v>0</v>
      </c>
      <c r="J199" s="208">
        <v>0</v>
      </c>
      <c r="K199" s="208">
        <v>0</v>
      </c>
      <c r="L199" s="208">
        <v>0</v>
      </c>
      <c r="M199" s="208">
        <v>0</v>
      </c>
      <c r="N199" s="208">
        <v>0</v>
      </c>
    </row>
    <row r="200" spans="1:14" x14ac:dyDescent="0.25">
      <c r="A200" s="208">
        <v>148</v>
      </c>
      <c r="B200" s="47"/>
      <c r="C200" s="208">
        <v>1620</v>
      </c>
      <c r="D200" s="208">
        <v>1260</v>
      </c>
      <c r="E200" s="208">
        <v>1107</v>
      </c>
      <c r="F200" s="208">
        <v>856</v>
      </c>
      <c r="G200" s="208">
        <v>621</v>
      </c>
      <c r="H200" s="208">
        <v>521</v>
      </c>
      <c r="I200" s="208">
        <v>461</v>
      </c>
      <c r="J200" s="208">
        <v>410</v>
      </c>
      <c r="K200" s="208">
        <v>396</v>
      </c>
      <c r="L200" s="208">
        <v>496</v>
      </c>
      <c r="M200" s="208">
        <v>839</v>
      </c>
      <c r="N200" s="208">
        <v>1414</v>
      </c>
    </row>
    <row r="201" spans="1:14" x14ac:dyDescent="0.25">
      <c r="A201" s="208">
        <v>149</v>
      </c>
      <c r="B201" s="47"/>
      <c r="C201" s="208">
        <v>273</v>
      </c>
      <c r="D201" s="208">
        <v>232</v>
      </c>
      <c r="E201" s="208">
        <v>206</v>
      </c>
      <c r="F201" s="208">
        <v>160</v>
      </c>
      <c r="G201" s="208">
        <v>123</v>
      </c>
      <c r="H201" s="208">
        <v>107</v>
      </c>
      <c r="I201" s="208">
        <v>96</v>
      </c>
      <c r="J201" s="208">
        <v>86</v>
      </c>
      <c r="K201" s="208">
        <v>85</v>
      </c>
      <c r="L201" s="208">
        <v>101</v>
      </c>
      <c r="M201" s="208">
        <v>147</v>
      </c>
      <c r="N201" s="208">
        <v>230</v>
      </c>
    </row>
    <row r="202" spans="1:14" x14ac:dyDescent="0.25">
      <c r="A202" s="208">
        <v>150</v>
      </c>
      <c r="B202" s="47"/>
      <c r="C202" s="208">
        <v>0</v>
      </c>
      <c r="D202" s="208">
        <v>0</v>
      </c>
      <c r="E202" s="208">
        <v>0</v>
      </c>
      <c r="F202" s="208">
        <v>0</v>
      </c>
      <c r="G202" s="208">
        <v>0</v>
      </c>
      <c r="H202" s="208">
        <v>0</v>
      </c>
      <c r="I202" s="208">
        <v>0</v>
      </c>
      <c r="J202" s="208">
        <v>0</v>
      </c>
      <c r="K202" s="208">
        <v>0</v>
      </c>
      <c r="L202" s="208">
        <v>0</v>
      </c>
      <c r="M202" s="208">
        <v>0</v>
      </c>
      <c r="N202" s="208">
        <v>0</v>
      </c>
    </row>
    <row r="203" spans="1:14" x14ac:dyDescent="0.25">
      <c r="A203" s="208">
        <v>151</v>
      </c>
      <c r="B203" s="47"/>
      <c r="C203" s="208">
        <v>0</v>
      </c>
      <c r="D203" s="208">
        <v>0</v>
      </c>
      <c r="E203" s="208">
        <v>0</v>
      </c>
      <c r="F203" s="208">
        <v>0</v>
      </c>
      <c r="G203" s="208">
        <v>0</v>
      </c>
      <c r="H203" s="208">
        <v>0</v>
      </c>
      <c r="I203" s="208">
        <v>0</v>
      </c>
      <c r="J203" s="208">
        <v>0</v>
      </c>
      <c r="K203" s="208">
        <v>0</v>
      </c>
      <c r="L203" s="208">
        <v>0</v>
      </c>
      <c r="M203" s="208">
        <v>0</v>
      </c>
      <c r="N203" s="208">
        <v>0</v>
      </c>
    </row>
    <row r="204" spans="1:14" x14ac:dyDescent="0.25">
      <c r="A204" s="208">
        <v>152</v>
      </c>
      <c r="B204" s="47"/>
      <c r="C204" s="208">
        <v>0</v>
      </c>
      <c r="D204" s="208">
        <v>0</v>
      </c>
      <c r="E204" s="208">
        <v>0</v>
      </c>
      <c r="F204" s="208">
        <v>0</v>
      </c>
      <c r="G204" s="208">
        <v>0</v>
      </c>
      <c r="H204" s="208">
        <v>0</v>
      </c>
      <c r="I204" s="208">
        <v>0</v>
      </c>
      <c r="J204" s="208">
        <v>0</v>
      </c>
      <c r="K204" s="208">
        <v>0</v>
      </c>
      <c r="L204" s="208">
        <v>0</v>
      </c>
      <c r="M204" s="208">
        <v>0</v>
      </c>
      <c r="N204" s="208">
        <v>0</v>
      </c>
    </row>
    <row r="205" spans="1:14" x14ac:dyDescent="0.25">
      <c r="A205" s="208">
        <v>153</v>
      </c>
      <c r="B205" s="47"/>
      <c r="C205" s="208">
        <v>0</v>
      </c>
      <c r="D205" s="208">
        <v>0</v>
      </c>
      <c r="E205" s="208">
        <v>0</v>
      </c>
      <c r="F205" s="208">
        <v>0</v>
      </c>
      <c r="G205" s="208">
        <v>0</v>
      </c>
      <c r="H205" s="208">
        <v>0</v>
      </c>
      <c r="I205" s="208">
        <v>0</v>
      </c>
      <c r="J205" s="208">
        <v>0</v>
      </c>
      <c r="K205" s="208">
        <v>0</v>
      </c>
      <c r="L205" s="208">
        <v>0</v>
      </c>
      <c r="M205" s="208">
        <v>0</v>
      </c>
      <c r="N205" s="208">
        <v>0</v>
      </c>
    </row>
    <row r="206" spans="1:14" x14ac:dyDescent="0.25">
      <c r="A206" s="208">
        <v>154</v>
      </c>
      <c r="B206" s="47"/>
      <c r="C206" s="208">
        <v>150</v>
      </c>
      <c r="D206" s="208">
        <v>155</v>
      </c>
      <c r="E206" s="208">
        <v>150</v>
      </c>
      <c r="F206" s="208">
        <v>132</v>
      </c>
      <c r="G206" s="208">
        <v>122</v>
      </c>
      <c r="H206" s="208">
        <v>112</v>
      </c>
      <c r="I206" s="208">
        <v>106</v>
      </c>
      <c r="J206" s="208">
        <v>103</v>
      </c>
      <c r="K206" s="208">
        <v>106</v>
      </c>
      <c r="L206" s="208">
        <v>112</v>
      </c>
      <c r="M206" s="208">
        <v>117</v>
      </c>
      <c r="N206" s="208">
        <v>132</v>
      </c>
    </row>
    <row r="207" spans="1:14" x14ac:dyDescent="0.25">
      <c r="A207" s="208">
        <v>155</v>
      </c>
      <c r="B207" s="47"/>
      <c r="C207" s="208">
        <v>333</v>
      </c>
      <c r="D207" s="208">
        <v>284</v>
      </c>
      <c r="E207" s="208">
        <v>242</v>
      </c>
      <c r="F207" s="208">
        <v>160</v>
      </c>
      <c r="G207" s="208">
        <v>111</v>
      </c>
      <c r="H207" s="208">
        <v>90</v>
      </c>
      <c r="I207" s="208">
        <v>73</v>
      </c>
      <c r="J207" s="208">
        <v>63</v>
      </c>
      <c r="K207" s="208">
        <v>61</v>
      </c>
      <c r="L207" s="208">
        <v>77</v>
      </c>
      <c r="M207" s="208">
        <v>132</v>
      </c>
      <c r="N207" s="208">
        <v>252</v>
      </c>
    </row>
    <row r="208" spans="1:14" x14ac:dyDescent="0.25">
      <c r="A208" s="208">
        <v>156</v>
      </c>
      <c r="B208" s="47"/>
      <c r="C208" s="208">
        <v>1475</v>
      </c>
      <c r="D208" s="208">
        <v>1369</v>
      </c>
      <c r="E208" s="208">
        <v>1138</v>
      </c>
      <c r="F208" s="208">
        <v>755</v>
      </c>
      <c r="G208" s="208">
        <v>452</v>
      </c>
      <c r="H208" s="208">
        <v>341</v>
      </c>
      <c r="I208" s="208">
        <v>274</v>
      </c>
      <c r="J208" s="208">
        <v>224</v>
      </c>
      <c r="K208" s="208">
        <v>219</v>
      </c>
      <c r="L208" s="208">
        <v>299</v>
      </c>
      <c r="M208" s="208">
        <v>599</v>
      </c>
      <c r="N208" s="208">
        <v>1113</v>
      </c>
    </row>
    <row r="209" spans="1:14" x14ac:dyDescent="0.25">
      <c r="A209" s="208">
        <v>157</v>
      </c>
      <c r="B209" s="47"/>
      <c r="C209" s="208">
        <v>0</v>
      </c>
      <c r="D209" s="208">
        <v>0</v>
      </c>
      <c r="E209" s="208">
        <v>0</v>
      </c>
      <c r="F209" s="208">
        <v>0</v>
      </c>
      <c r="G209" s="208">
        <v>0</v>
      </c>
      <c r="H209" s="208">
        <v>0</v>
      </c>
      <c r="I209" s="208">
        <v>0</v>
      </c>
      <c r="J209" s="208">
        <v>0</v>
      </c>
      <c r="K209" s="208">
        <v>0</v>
      </c>
      <c r="L209" s="208">
        <v>0</v>
      </c>
      <c r="M209" s="208">
        <v>0</v>
      </c>
      <c r="N209" s="208">
        <v>0</v>
      </c>
    </row>
    <row r="210" spans="1:14" x14ac:dyDescent="0.25">
      <c r="A210" s="208">
        <v>158</v>
      </c>
      <c r="B210" s="47"/>
      <c r="C210" s="208">
        <v>83</v>
      </c>
      <c r="D210" s="208">
        <v>83</v>
      </c>
      <c r="E210" s="208">
        <v>87</v>
      </c>
      <c r="F210" s="208">
        <v>68</v>
      </c>
      <c r="G210" s="208">
        <v>47</v>
      </c>
      <c r="H210" s="208">
        <v>40</v>
      </c>
      <c r="I210" s="208">
        <v>35</v>
      </c>
      <c r="J210" s="208">
        <v>30</v>
      </c>
      <c r="K210" s="208">
        <v>27</v>
      </c>
      <c r="L210" s="208">
        <v>33</v>
      </c>
      <c r="M210" s="208">
        <v>51</v>
      </c>
      <c r="N210" s="208">
        <v>79</v>
      </c>
    </row>
    <row r="211" spans="1:14" x14ac:dyDescent="0.25">
      <c r="A211" s="208">
        <v>159</v>
      </c>
      <c r="B211" s="47"/>
      <c r="C211" s="208">
        <v>0</v>
      </c>
      <c r="D211" s="208">
        <v>0</v>
      </c>
      <c r="E211" s="208">
        <v>0</v>
      </c>
      <c r="F211" s="208">
        <v>0</v>
      </c>
      <c r="G211" s="208">
        <v>0</v>
      </c>
      <c r="H211" s="208">
        <v>0</v>
      </c>
      <c r="I211" s="208">
        <v>0</v>
      </c>
      <c r="J211" s="208">
        <v>0</v>
      </c>
      <c r="K211" s="208">
        <v>0</v>
      </c>
      <c r="L211" s="208">
        <v>0</v>
      </c>
      <c r="M211" s="208">
        <v>0</v>
      </c>
      <c r="N211" s="208">
        <v>0</v>
      </c>
    </row>
    <row r="212" spans="1:14" x14ac:dyDescent="0.25">
      <c r="A212" s="208">
        <v>160</v>
      </c>
      <c r="B212" s="47"/>
      <c r="C212" s="208">
        <v>11</v>
      </c>
      <c r="D212" s="208">
        <v>11</v>
      </c>
      <c r="E212" s="208">
        <v>11</v>
      </c>
      <c r="F212" s="208">
        <v>9</v>
      </c>
      <c r="G212" s="208">
        <v>7</v>
      </c>
      <c r="H212" s="208">
        <v>6</v>
      </c>
      <c r="I212" s="208">
        <v>6</v>
      </c>
      <c r="J212" s="208">
        <v>5</v>
      </c>
      <c r="K212" s="208">
        <v>6</v>
      </c>
      <c r="L212" s="208">
        <v>7</v>
      </c>
      <c r="M212" s="208">
        <v>7</v>
      </c>
      <c r="N212" s="208">
        <v>9</v>
      </c>
    </row>
    <row r="213" spans="1:14" x14ac:dyDescent="0.25">
      <c r="A213" s="208">
        <v>161</v>
      </c>
      <c r="B213" s="47"/>
      <c r="C213" s="208">
        <v>177</v>
      </c>
      <c r="D213" s="208">
        <v>185</v>
      </c>
      <c r="E213" s="208">
        <v>161</v>
      </c>
      <c r="F213" s="208">
        <v>108</v>
      </c>
      <c r="G213" s="208">
        <v>83</v>
      </c>
      <c r="H213" s="208">
        <v>77</v>
      </c>
      <c r="I213" s="208">
        <v>65</v>
      </c>
      <c r="J213" s="208">
        <v>55</v>
      </c>
      <c r="K213" s="208">
        <v>70</v>
      </c>
      <c r="L213" s="208">
        <v>91</v>
      </c>
      <c r="M213" s="208">
        <v>98</v>
      </c>
      <c r="N213" s="208">
        <v>130</v>
      </c>
    </row>
    <row r="214" spans="1:14" x14ac:dyDescent="0.25">
      <c r="A214" s="208">
        <v>162</v>
      </c>
      <c r="B214" s="47"/>
      <c r="C214" s="208">
        <v>0</v>
      </c>
      <c r="D214" s="208">
        <v>0</v>
      </c>
      <c r="E214" s="208">
        <v>0</v>
      </c>
      <c r="F214" s="208">
        <v>0</v>
      </c>
      <c r="G214" s="208">
        <v>0</v>
      </c>
      <c r="H214" s="208">
        <v>0</v>
      </c>
      <c r="I214" s="208">
        <v>0</v>
      </c>
      <c r="J214" s="208">
        <v>0</v>
      </c>
      <c r="K214" s="208">
        <v>0</v>
      </c>
      <c r="L214" s="208">
        <v>0</v>
      </c>
      <c r="M214" s="208">
        <v>0</v>
      </c>
      <c r="N214" s="208">
        <v>0</v>
      </c>
    </row>
    <row r="215" spans="1:14" x14ac:dyDescent="0.25">
      <c r="A215" s="208">
        <v>163</v>
      </c>
      <c r="B215" s="47"/>
      <c r="C215" s="208">
        <v>0</v>
      </c>
      <c r="D215" s="208">
        <v>0</v>
      </c>
      <c r="E215" s="208">
        <v>0</v>
      </c>
      <c r="F215" s="208">
        <v>0</v>
      </c>
      <c r="G215" s="208">
        <v>0</v>
      </c>
      <c r="H215" s="208">
        <v>0</v>
      </c>
      <c r="I215" s="208">
        <v>0</v>
      </c>
      <c r="J215" s="208">
        <v>0</v>
      </c>
      <c r="K215" s="208">
        <v>0</v>
      </c>
      <c r="L215" s="208">
        <v>0</v>
      </c>
      <c r="M215" s="208">
        <v>0</v>
      </c>
      <c r="N215" s="208">
        <v>0</v>
      </c>
    </row>
    <row r="216" spans="1:14" x14ac:dyDescent="0.25">
      <c r="A216" s="208">
        <v>164</v>
      </c>
      <c r="B216" s="47"/>
      <c r="C216" s="208">
        <v>132</v>
      </c>
      <c r="D216" s="208">
        <v>139</v>
      </c>
      <c r="E216" s="208">
        <v>120</v>
      </c>
      <c r="F216" s="208">
        <v>78</v>
      </c>
      <c r="G216" s="208">
        <v>61</v>
      </c>
      <c r="H216" s="208">
        <v>57</v>
      </c>
      <c r="I216" s="208">
        <v>47</v>
      </c>
      <c r="J216" s="208">
        <v>39</v>
      </c>
      <c r="K216" s="208">
        <v>49</v>
      </c>
      <c r="L216" s="208">
        <v>64</v>
      </c>
      <c r="M216" s="208">
        <v>71</v>
      </c>
      <c r="N216" s="208">
        <v>95</v>
      </c>
    </row>
    <row r="217" spans="1:14" x14ac:dyDescent="0.25">
      <c r="A217" s="208">
        <v>165</v>
      </c>
      <c r="B217" s="47"/>
      <c r="C217" s="208">
        <v>0</v>
      </c>
      <c r="D217" s="208">
        <v>0</v>
      </c>
      <c r="E217" s="208">
        <v>0</v>
      </c>
      <c r="F217" s="208">
        <v>0</v>
      </c>
      <c r="G217" s="208">
        <v>0</v>
      </c>
      <c r="H217" s="208">
        <v>0</v>
      </c>
      <c r="I217" s="208">
        <v>0</v>
      </c>
      <c r="J217" s="208">
        <v>0</v>
      </c>
      <c r="K217" s="208">
        <v>0</v>
      </c>
      <c r="L217" s="208">
        <v>0</v>
      </c>
      <c r="M217" s="208">
        <v>0</v>
      </c>
      <c r="N217" s="208">
        <v>0</v>
      </c>
    </row>
    <row r="218" spans="1:14" x14ac:dyDescent="0.25">
      <c r="A218" s="208">
        <v>166</v>
      </c>
      <c r="B218" s="47"/>
      <c r="C218" s="208">
        <v>0</v>
      </c>
      <c r="D218" s="208">
        <v>0</v>
      </c>
      <c r="E218" s="208">
        <v>0</v>
      </c>
      <c r="F218" s="208">
        <v>0</v>
      </c>
      <c r="G218" s="208">
        <v>0</v>
      </c>
      <c r="H218" s="208">
        <v>0</v>
      </c>
      <c r="I218" s="208">
        <v>0</v>
      </c>
      <c r="J218" s="208">
        <v>0</v>
      </c>
      <c r="K218" s="208">
        <v>0</v>
      </c>
      <c r="L218" s="208">
        <v>0</v>
      </c>
      <c r="M218" s="208">
        <v>0</v>
      </c>
      <c r="N218" s="208">
        <v>0</v>
      </c>
    </row>
    <row r="219" spans="1:14" x14ac:dyDescent="0.25">
      <c r="A219" s="208">
        <v>167</v>
      </c>
      <c r="B219" s="47"/>
      <c r="C219" s="208">
        <v>0</v>
      </c>
      <c r="D219" s="208">
        <v>0</v>
      </c>
      <c r="E219" s="208">
        <v>0</v>
      </c>
      <c r="F219" s="208">
        <v>0</v>
      </c>
      <c r="G219" s="208">
        <v>0</v>
      </c>
      <c r="H219" s="208">
        <v>0</v>
      </c>
      <c r="I219" s="208">
        <v>0</v>
      </c>
      <c r="J219" s="208">
        <v>0</v>
      </c>
      <c r="K219" s="208">
        <v>0</v>
      </c>
      <c r="L219" s="208">
        <v>0</v>
      </c>
      <c r="M219" s="208">
        <v>0</v>
      </c>
      <c r="N219" s="208">
        <v>0</v>
      </c>
    </row>
    <row r="220" spans="1:14" x14ac:dyDescent="0.25">
      <c r="A220" s="208">
        <v>168</v>
      </c>
      <c r="B220" s="47"/>
      <c r="C220" s="208">
        <v>3274</v>
      </c>
      <c r="D220" s="208">
        <v>3390</v>
      </c>
      <c r="E220" s="208">
        <v>3410</v>
      </c>
      <c r="F220" s="208">
        <v>2728</v>
      </c>
      <c r="G220" s="208">
        <v>1651</v>
      </c>
      <c r="H220" s="208">
        <v>1127</v>
      </c>
      <c r="I220" s="208">
        <v>962</v>
      </c>
      <c r="J220" s="208">
        <v>850</v>
      </c>
      <c r="K220" s="208">
        <v>760</v>
      </c>
      <c r="L220" s="208">
        <v>836</v>
      </c>
      <c r="M220" s="208">
        <v>1358</v>
      </c>
      <c r="N220" s="208">
        <v>2433</v>
      </c>
    </row>
    <row r="221" spans="1:14" x14ac:dyDescent="0.25">
      <c r="A221" s="208">
        <v>169</v>
      </c>
      <c r="B221" s="47"/>
      <c r="C221" s="208">
        <v>4692</v>
      </c>
      <c r="D221" s="208">
        <v>4903</v>
      </c>
      <c r="E221" s="208">
        <v>4744</v>
      </c>
      <c r="F221" s="208">
        <v>3757</v>
      </c>
      <c r="G221" s="208">
        <v>2274</v>
      </c>
      <c r="H221" s="208">
        <v>1555</v>
      </c>
      <c r="I221" s="208">
        <v>1297</v>
      </c>
      <c r="J221" s="208">
        <v>1123</v>
      </c>
      <c r="K221" s="208">
        <v>1005</v>
      </c>
      <c r="L221" s="208">
        <v>1129</v>
      </c>
      <c r="M221" s="208">
        <v>1865</v>
      </c>
      <c r="N221" s="208">
        <v>3359</v>
      </c>
    </row>
    <row r="222" spans="1:14" x14ac:dyDescent="0.25">
      <c r="A222" s="208">
        <v>170</v>
      </c>
      <c r="B222" s="47"/>
      <c r="C222" s="208">
        <v>0</v>
      </c>
      <c r="D222" s="208">
        <v>0</v>
      </c>
      <c r="E222" s="208">
        <v>0</v>
      </c>
      <c r="F222" s="208">
        <v>0</v>
      </c>
      <c r="G222" s="208">
        <v>0</v>
      </c>
      <c r="H222" s="208">
        <v>0</v>
      </c>
      <c r="I222" s="208">
        <v>0</v>
      </c>
      <c r="J222" s="208">
        <v>0</v>
      </c>
      <c r="K222" s="208">
        <v>0</v>
      </c>
      <c r="L222" s="208">
        <v>0</v>
      </c>
      <c r="M222" s="208">
        <v>0</v>
      </c>
      <c r="N222" s="208">
        <v>0</v>
      </c>
    </row>
    <row r="223" spans="1:14" x14ac:dyDescent="0.25">
      <c r="A223" s="208">
        <v>171</v>
      </c>
      <c r="B223" s="47"/>
      <c r="C223" s="208">
        <v>111</v>
      </c>
      <c r="D223" s="208">
        <v>143</v>
      </c>
      <c r="E223" s="208">
        <v>224</v>
      </c>
      <c r="F223" s="208">
        <v>196</v>
      </c>
      <c r="G223" s="208">
        <v>66</v>
      </c>
      <c r="H223" s="208">
        <v>18</v>
      </c>
      <c r="I223" s="208">
        <v>11</v>
      </c>
      <c r="J223" s="208">
        <v>14</v>
      </c>
      <c r="K223" s="208">
        <v>21</v>
      </c>
      <c r="L223" s="208">
        <v>22</v>
      </c>
      <c r="M223" s="208">
        <v>37</v>
      </c>
      <c r="N223" s="208">
        <v>84</v>
      </c>
    </row>
    <row r="224" spans="1:14" x14ac:dyDescent="0.25">
      <c r="A224" s="208">
        <v>172</v>
      </c>
      <c r="B224" s="47"/>
      <c r="C224" s="208">
        <v>4724</v>
      </c>
      <c r="D224" s="208">
        <v>5023</v>
      </c>
      <c r="E224" s="208">
        <v>5015</v>
      </c>
      <c r="F224" s="208">
        <v>4072</v>
      </c>
      <c r="G224" s="208">
        <v>2455</v>
      </c>
      <c r="H224" s="208">
        <v>1615</v>
      </c>
      <c r="I224" s="208">
        <v>1326</v>
      </c>
      <c r="J224" s="208">
        <v>1156</v>
      </c>
      <c r="K224" s="208">
        <v>1033</v>
      </c>
      <c r="L224" s="208">
        <v>1118</v>
      </c>
      <c r="M224" s="208">
        <v>1792</v>
      </c>
      <c r="N224" s="208">
        <v>3301</v>
      </c>
    </row>
    <row r="225" spans="1:14" x14ac:dyDescent="0.25">
      <c r="A225" s="208">
        <v>173</v>
      </c>
      <c r="B225" s="47"/>
      <c r="C225" s="208">
        <v>4720</v>
      </c>
      <c r="D225" s="208">
        <v>5041</v>
      </c>
      <c r="E225" s="208">
        <v>5059</v>
      </c>
      <c r="F225" s="208">
        <v>4145</v>
      </c>
      <c r="G225" s="208">
        <v>2508</v>
      </c>
      <c r="H225" s="208">
        <v>1636</v>
      </c>
      <c r="I225" s="208">
        <v>1339</v>
      </c>
      <c r="J225" s="208">
        <v>1168</v>
      </c>
      <c r="K225" s="208">
        <v>1044</v>
      </c>
      <c r="L225" s="208">
        <v>1119</v>
      </c>
      <c r="M225" s="208">
        <v>1769</v>
      </c>
      <c r="N225" s="208">
        <v>3279</v>
      </c>
    </row>
    <row r="226" spans="1:14" x14ac:dyDescent="0.25">
      <c r="A226" s="208">
        <v>174</v>
      </c>
      <c r="B226" s="47"/>
      <c r="C226" s="208">
        <v>0</v>
      </c>
      <c r="D226" s="208">
        <v>0</v>
      </c>
      <c r="E226" s="208">
        <v>0</v>
      </c>
      <c r="F226" s="208">
        <v>0</v>
      </c>
      <c r="G226" s="208">
        <v>0</v>
      </c>
      <c r="H226" s="208">
        <v>0</v>
      </c>
      <c r="I226" s="208">
        <v>0</v>
      </c>
      <c r="J226" s="208">
        <v>0</v>
      </c>
      <c r="K226" s="208">
        <v>0</v>
      </c>
      <c r="L226" s="208">
        <v>0</v>
      </c>
      <c r="M226" s="208">
        <v>0</v>
      </c>
      <c r="N226" s="208">
        <v>0</v>
      </c>
    </row>
    <row r="227" spans="1:14" x14ac:dyDescent="0.25">
      <c r="A227" s="208">
        <v>175</v>
      </c>
      <c r="B227" s="47"/>
      <c r="C227" s="208">
        <v>4720</v>
      </c>
      <c r="D227" s="208">
        <v>5041</v>
      </c>
      <c r="E227" s="208">
        <v>5059</v>
      </c>
      <c r="F227" s="208">
        <v>4145</v>
      </c>
      <c r="G227" s="208">
        <v>2508</v>
      </c>
      <c r="H227" s="208">
        <v>1636</v>
      </c>
      <c r="I227" s="208">
        <v>1339</v>
      </c>
      <c r="J227" s="208">
        <v>1168</v>
      </c>
      <c r="K227" s="208">
        <v>1044</v>
      </c>
      <c r="L227" s="208">
        <v>1119</v>
      </c>
      <c r="M227" s="208">
        <v>1769</v>
      </c>
      <c r="N227" s="208">
        <v>3279</v>
      </c>
    </row>
    <row r="228" spans="1:14" x14ac:dyDescent="0.25">
      <c r="A228" s="208">
        <v>176</v>
      </c>
      <c r="B228" s="47"/>
      <c r="C228" s="208">
        <v>4720</v>
      </c>
      <c r="D228" s="208">
        <v>5041</v>
      </c>
      <c r="E228" s="208">
        <v>5059</v>
      </c>
      <c r="F228" s="208">
        <v>4145</v>
      </c>
      <c r="G228" s="208">
        <v>2508</v>
      </c>
      <c r="H228" s="208">
        <v>1636</v>
      </c>
      <c r="I228" s="208">
        <v>1339</v>
      </c>
      <c r="J228" s="208">
        <v>1168</v>
      </c>
      <c r="K228" s="208">
        <v>1044</v>
      </c>
      <c r="L228" s="208">
        <v>1119</v>
      </c>
      <c r="M228" s="208">
        <v>1769</v>
      </c>
      <c r="N228" s="208">
        <v>3279</v>
      </c>
    </row>
    <row r="229" spans="1:14" x14ac:dyDescent="0.25">
      <c r="A229" s="208">
        <v>177</v>
      </c>
      <c r="B229" s="47"/>
      <c r="C229" s="208">
        <v>0</v>
      </c>
      <c r="D229" s="208">
        <v>0</v>
      </c>
      <c r="E229" s="208">
        <v>0</v>
      </c>
      <c r="F229" s="208">
        <v>0</v>
      </c>
      <c r="G229" s="208">
        <v>0</v>
      </c>
      <c r="H229" s="208">
        <v>0</v>
      </c>
      <c r="I229" s="208">
        <v>0</v>
      </c>
      <c r="J229" s="208">
        <v>0</v>
      </c>
      <c r="K229" s="208">
        <v>0</v>
      </c>
      <c r="L229" s="208">
        <v>0</v>
      </c>
      <c r="M229" s="208">
        <v>0</v>
      </c>
      <c r="N229" s="208">
        <v>0</v>
      </c>
    </row>
    <row r="230" spans="1:14" x14ac:dyDescent="0.25">
      <c r="A230" s="208">
        <v>178</v>
      </c>
      <c r="B230" s="47"/>
      <c r="C230" s="208">
        <v>4718</v>
      </c>
      <c r="D230" s="208">
        <v>5041</v>
      </c>
      <c r="E230" s="208">
        <v>5059</v>
      </c>
      <c r="F230" s="208">
        <v>4144</v>
      </c>
      <c r="G230" s="208">
        <v>2508</v>
      </c>
      <c r="H230" s="208">
        <v>1636</v>
      </c>
      <c r="I230" s="208">
        <v>1339</v>
      </c>
      <c r="J230" s="208">
        <v>1168</v>
      </c>
      <c r="K230" s="208">
        <v>1044</v>
      </c>
      <c r="L230" s="208">
        <v>1119</v>
      </c>
      <c r="M230" s="208">
        <v>1769</v>
      </c>
      <c r="N230" s="208">
        <v>3277</v>
      </c>
    </row>
    <row r="231" spans="1:14" x14ac:dyDescent="0.25">
      <c r="A231" s="208">
        <v>179</v>
      </c>
      <c r="B231" s="47"/>
      <c r="C231" s="208">
        <v>0</v>
      </c>
      <c r="D231" s="208">
        <v>0</v>
      </c>
      <c r="E231" s="208">
        <v>0</v>
      </c>
      <c r="F231" s="208">
        <v>0</v>
      </c>
      <c r="G231" s="208">
        <v>0</v>
      </c>
      <c r="H231" s="208">
        <v>0</v>
      </c>
      <c r="I231" s="208">
        <v>0</v>
      </c>
      <c r="J231" s="208">
        <v>0</v>
      </c>
      <c r="K231" s="208">
        <v>0</v>
      </c>
      <c r="L231" s="208">
        <v>0</v>
      </c>
      <c r="M231" s="208">
        <v>0</v>
      </c>
      <c r="N231" s="208">
        <v>0</v>
      </c>
    </row>
    <row r="232" spans="1:14" x14ac:dyDescent="0.25">
      <c r="A232" s="208">
        <v>180</v>
      </c>
      <c r="B232" s="47"/>
      <c r="C232" s="208">
        <v>0</v>
      </c>
      <c r="D232" s="208">
        <v>0</v>
      </c>
      <c r="E232" s="208">
        <v>0</v>
      </c>
      <c r="F232" s="208">
        <v>0</v>
      </c>
      <c r="G232" s="208">
        <v>0</v>
      </c>
      <c r="H232" s="208">
        <v>0</v>
      </c>
      <c r="I232" s="208">
        <v>0</v>
      </c>
      <c r="J232" s="208">
        <v>0</v>
      </c>
      <c r="K232" s="208">
        <v>0</v>
      </c>
      <c r="L232" s="208">
        <v>0</v>
      </c>
      <c r="M232" s="208">
        <v>0</v>
      </c>
      <c r="N232" s="208">
        <v>0</v>
      </c>
    </row>
    <row r="233" spans="1:14" x14ac:dyDescent="0.25">
      <c r="A233" s="208">
        <v>181</v>
      </c>
      <c r="B233" s="47"/>
      <c r="C233" s="208">
        <v>0</v>
      </c>
      <c r="D233" s="208">
        <v>0</v>
      </c>
      <c r="E233" s="208">
        <v>0</v>
      </c>
      <c r="F233" s="208">
        <v>0</v>
      </c>
      <c r="G233" s="208">
        <v>0</v>
      </c>
      <c r="H233" s="208">
        <v>0</v>
      </c>
      <c r="I233" s="208">
        <v>0</v>
      </c>
      <c r="J233" s="208">
        <v>0</v>
      </c>
      <c r="K233" s="208">
        <v>0</v>
      </c>
      <c r="L233" s="208">
        <v>0</v>
      </c>
      <c r="M233" s="208">
        <v>0</v>
      </c>
      <c r="N233" s="208">
        <v>0</v>
      </c>
    </row>
    <row r="234" spans="1:14" x14ac:dyDescent="0.25">
      <c r="A234" s="208">
        <v>182</v>
      </c>
      <c r="B234" s="47"/>
      <c r="C234" s="208">
        <v>0</v>
      </c>
      <c r="D234" s="208">
        <v>0</v>
      </c>
      <c r="E234" s="208">
        <v>0</v>
      </c>
      <c r="F234" s="208">
        <v>0</v>
      </c>
      <c r="G234" s="208">
        <v>0</v>
      </c>
      <c r="H234" s="208">
        <v>0</v>
      </c>
      <c r="I234" s="208">
        <v>0</v>
      </c>
      <c r="J234" s="208">
        <v>0</v>
      </c>
      <c r="K234" s="208">
        <v>0</v>
      </c>
      <c r="L234" s="208">
        <v>0</v>
      </c>
      <c r="M234" s="208">
        <v>0</v>
      </c>
      <c r="N234" s="208">
        <v>0</v>
      </c>
    </row>
    <row r="235" spans="1:14" x14ac:dyDescent="0.25">
      <c r="A235" s="208">
        <v>183</v>
      </c>
      <c r="B235" s="47"/>
      <c r="C235" s="208">
        <v>168</v>
      </c>
      <c r="D235" s="208">
        <v>128</v>
      </c>
      <c r="E235" s="208">
        <v>115</v>
      </c>
      <c r="F235" s="208">
        <v>83</v>
      </c>
      <c r="G235" s="208">
        <v>62</v>
      </c>
      <c r="H235" s="208">
        <v>53</v>
      </c>
      <c r="I235" s="208">
        <v>47</v>
      </c>
      <c r="J235" s="208">
        <v>42</v>
      </c>
      <c r="K235" s="208">
        <v>42</v>
      </c>
      <c r="L235" s="208">
        <v>53</v>
      </c>
      <c r="M235" s="208">
        <v>86</v>
      </c>
      <c r="N235" s="208">
        <v>143</v>
      </c>
    </row>
    <row r="236" spans="1:14" x14ac:dyDescent="0.25">
      <c r="A236" s="208">
        <v>184</v>
      </c>
      <c r="B236" s="47"/>
      <c r="C236" s="208">
        <v>0</v>
      </c>
      <c r="D236" s="208">
        <v>0</v>
      </c>
      <c r="E236" s="208">
        <v>0</v>
      </c>
      <c r="F236" s="208">
        <v>0</v>
      </c>
      <c r="G236" s="208">
        <v>0</v>
      </c>
      <c r="H236" s="208">
        <v>0</v>
      </c>
      <c r="I236" s="208">
        <v>0</v>
      </c>
      <c r="J236" s="208">
        <v>0</v>
      </c>
      <c r="K236" s="208">
        <v>0</v>
      </c>
      <c r="L236" s="208">
        <v>0</v>
      </c>
      <c r="M236" s="208">
        <v>0</v>
      </c>
      <c r="N236" s="208">
        <v>0</v>
      </c>
    </row>
    <row r="237" spans="1:14" x14ac:dyDescent="0.25">
      <c r="A237" s="208">
        <v>185</v>
      </c>
      <c r="B237" s="47"/>
      <c r="C237" s="208">
        <v>0</v>
      </c>
      <c r="D237" s="208">
        <v>0</v>
      </c>
      <c r="E237" s="208">
        <v>0</v>
      </c>
      <c r="F237" s="208">
        <v>0</v>
      </c>
      <c r="G237" s="208">
        <v>0</v>
      </c>
      <c r="H237" s="208">
        <v>0</v>
      </c>
      <c r="I237" s="208">
        <v>0</v>
      </c>
      <c r="J237" s="208">
        <v>0</v>
      </c>
      <c r="K237" s="208">
        <v>0</v>
      </c>
      <c r="L237" s="208">
        <v>0</v>
      </c>
      <c r="M237" s="208">
        <v>0</v>
      </c>
      <c r="N237" s="208">
        <v>0</v>
      </c>
    </row>
    <row r="238" spans="1:14" x14ac:dyDescent="0.25">
      <c r="A238" s="208">
        <v>186</v>
      </c>
      <c r="B238" s="47"/>
      <c r="C238" s="208">
        <v>0</v>
      </c>
      <c r="D238" s="208">
        <v>0</v>
      </c>
      <c r="E238" s="208">
        <v>0</v>
      </c>
      <c r="F238" s="208">
        <v>0</v>
      </c>
      <c r="G238" s="208">
        <v>0</v>
      </c>
      <c r="H238" s="208">
        <v>0</v>
      </c>
      <c r="I238" s="208">
        <v>0</v>
      </c>
      <c r="J238" s="208">
        <v>0</v>
      </c>
      <c r="K238" s="208">
        <v>0</v>
      </c>
      <c r="L238" s="208">
        <v>0</v>
      </c>
      <c r="M238" s="208">
        <v>0</v>
      </c>
      <c r="N238" s="208">
        <v>0</v>
      </c>
    </row>
    <row r="239" spans="1:14" x14ac:dyDescent="0.25">
      <c r="A239" s="208">
        <v>187</v>
      </c>
      <c r="B239" s="47"/>
      <c r="C239" s="208">
        <v>122</v>
      </c>
      <c r="D239" s="208">
        <v>123</v>
      </c>
      <c r="E239" s="208">
        <v>122</v>
      </c>
      <c r="F239" s="208">
        <v>101</v>
      </c>
      <c r="G239" s="208">
        <v>87</v>
      </c>
      <c r="H239" s="208">
        <v>77</v>
      </c>
      <c r="I239" s="208">
        <v>68</v>
      </c>
      <c r="J239" s="208">
        <v>62</v>
      </c>
      <c r="K239" s="208">
        <v>61</v>
      </c>
      <c r="L239" s="208">
        <v>68</v>
      </c>
      <c r="M239" s="208">
        <v>86</v>
      </c>
      <c r="N239" s="208">
        <v>112</v>
      </c>
    </row>
    <row r="240" spans="1:14" x14ac:dyDescent="0.25">
      <c r="A240" s="208">
        <v>188</v>
      </c>
      <c r="B240" s="47"/>
      <c r="C240" s="208">
        <v>826</v>
      </c>
      <c r="D240" s="208">
        <v>606</v>
      </c>
      <c r="E240" s="208">
        <v>501</v>
      </c>
      <c r="F240" s="208">
        <v>344</v>
      </c>
      <c r="G240" s="208">
        <v>209</v>
      </c>
      <c r="H240" s="208">
        <v>166</v>
      </c>
      <c r="I240" s="208">
        <v>140</v>
      </c>
      <c r="J240" s="208">
        <v>118</v>
      </c>
      <c r="K240" s="208">
        <v>108</v>
      </c>
      <c r="L240" s="208">
        <v>173</v>
      </c>
      <c r="M240" s="208">
        <v>474</v>
      </c>
      <c r="N240" s="208">
        <v>892</v>
      </c>
    </row>
    <row r="241" spans="1:14" x14ac:dyDescent="0.25">
      <c r="A241" s="208">
        <v>189</v>
      </c>
      <c r="B241" s="47"/>
      <c r="C241" s="208">
        <v>0</v>
      </c>
      <c r="D241" s="208">
        <v>0</v>
      </c>
      <c r="E241" s="208">
        <v>0</v>
      </c>
      <c r="F241" s="208">
        <v>0</v>
      </c>
      <c r="G241" s="208">
        <v>0</v>
      </c>
      <c r="H241" s="208">
        <v>0</v>
      </c>
      <c r="I241" s="208">
        <v>0</v>
      </c>
      <c r="J241" s="208">
        <v>0</v>
      </c>
      <c r="K241" s="208">
        <v>0</v>
      </c>
      <c r="L241" s="208">
        <v>0</v>
      </c>
      <c r="M241" s="208">
        <v>0</v>
      </c>
      <c r="N241" s="208">
        <v>0</v>
      </c>
    </row>
    <row r="242" spans="1:14" x14ac:dyDescent="0.25">
      <c r="A242" s="208">
        <v>190</v>
      </c>
      <c r="B242" s="47"/>
      <c r="C242" s="208">
        <v>654</v>
      </c>
      <c r="D242" s="208">
        <v>726</v>
      </c>
      <c r="E242" s="208">
        <v>770</v>
      </c>
      <c r="F242" s="208">
        <v>680</v>
      </c>
      <c r="G242" s="208">
        <v>440</v>
      </c>
      <c r="H242" s="208">
        <v>305</v>
      </c>
      <c r="I242" s="208">
        <v>263</v>
      </c>
      <c r="J242" s="208">
        <v>241</v>
      </c>
      <c r="K242" s="208">
        <v>236</v>
      </c>
      <c r="L242" s="208">
        <v>288</v>
      </c>
      <c r="M242" s="208">
        <v>400</v>
      </c>
      <c r="N242" s="208">
        <v>533</v>
      </c>
    </row>
    <row r="243" spans="1:14" x14ac:dyDescent="0.25">
      <c r="A243" s="208">
        <v>191</v>
      </c>
      <c r="B243" s="47"/>
      <c r="C243" s="208">
        <v>1600</v>
      </c>
      <c r="D243" s="208">
        <v>1810</v>
      </c>
      <c r="E243" s="208">
        <v>1675</v>
      </c>
      <c r="F243" s="208">
        <v>1187</v>
      </c>
      <c r="G243" s="208">
        <v>632</v>
      </c>
      <c r="H243" s="208">
        <v>439</v>
      </c>
      <c r="I243" s="208">
        <v>333</v>
      </c>
      <c r="J243" s="208">
        <v>260</v>
      </c>
      <c r="K243" s="208">
        <v>246</v>
      </c>
      <c r="L243" s="208">
        <v>359</v>
      </c>
      <c r="M243" s="208">
        <v>644</v>
      </c>
      <c r="N243" s="208">
        <v>1186</v>
      </c>
    </row>
    <row r="244" spans="1:14" x14ac:dyDescent="0.25">
      <c r="A244" s="208">
        <v>192</v>
      </c>
      <c r="B244" s="47"/>
      <c r="C244" s="208">
        <v>0</v>
      </c>
      <c r="D244" s="208">
        <v>0</v>
      </c>
      <c r="E244" s="208">
        <v>0</v>
      </c>
      <c r="F244" s="208">
        <v>0</v>
      </c>
      <c r="G244" s="208">
        <v>0</v>
      </c>
      <c r="H244" s="208">
        <v>0</v>
      </c>
      <c r="I244" s="208">
        <v>0</v>
      </c>
      <c r="J244" s="208">
        <v>0</v>
      </c>
      <c r="K244" s="208">
        <v>0</v>
      </c>
      <c r="L244" s="208">
        <v>0</v>
      </c>
      <c r="M244" s="208">
        <v>0</v>
      </c>
      <c r="N244" s="208">
        <v>0</v>
      </c>
    </row>
    <row r="245" spans="1:14" x14ac:dyDescent="0.25">
      <c r="A245" s="208">
        <v>193</v>
      </c>
      <c r="B245" s="47"/>
      <c r="C245" s="208">
        <v>0</v>
      </c>
      <c r="D245" s="208">
        <v>0</v>
      </c>
      <c r="E245" s="208">
        <v>0</v>
      </c>
      <c r="F245" s="208">
        <v>0</v>
      </c>
      <c r="G245" s="208">
        <v>0</v>
      </c>
      <c r="H245" s="208">
        <v>0</v>
      </c>
      <c r="I245" s="208">
        <v>0</v>
      </c>
      <c r="J245" s="208">
        <v>0</v>
      </c>
      <c r="K245" s="208">
        <v>0</v>
      </c>
      <c r="L245" s="208">
        <v>0</v>
      </c>
      <c r="M245" s="208">
        <v>0</v>
      </c>
      <c r="N245" s="208">
        <v>0</v>
      </c>
    </row>
    <row r="246" spans="1:14" x14ac:dyDescent="0.25">
      <c r="A246" s="208">
        <v>194</v>
      </c>
      <c r="B246" s="47"/>
      <c r="C246" s="208">
        <v>0</v>
      </c>
      <c r="D246" s="208">
        <v>0</v>
      </c>
      <c r="E246" s="208">
        <v>0</v>
      </c>
      <c r="F246" s="208">
        <v>0</v>
      </c>
      <c r="G246" s="208">
        <v>0</v>
      </c>
      <c r="H246" s="208">
        <v>0</v>
      </c>
      <c r="I246" s="208">
        <v>0</v>
      </c>
      <c r="J246" s="208">
        <v>0</v>
      </c>
      <c r="K246" s="208">
        <v>0</v>
      </c>
      <c r="L246" s="208">
        <v>0</v>
      </c>
      <c r="M246" s="208">
        <v>0</v>
      </c>
      <c r="N246" s="208">
        <v>0</v>
      </c>
    </row>
    <row r="247" spans="1:14" x14ac:dyDescent="0.25">
      <c r="A247" s="208">
        <v>195</v>
      </c>
      <c r="B247" s="47"/>
      <c r="C247" s="208">
        <v>0</v>
      </c>
      <c r="D247" s="208">
        <v>0</v>
      </c>
      <c r="E247" s="208">
        <v>0</v>
      </c>
      <c r="F247" s="208">
        <v>0</v>
      </c>
      <c r="G247" s="208">
        <v>0</v>
      </c>
      <c r="H247" s="208">
        <v>0</v>
      </c>
      <c r="I247" s="208">
        <v>0</v>
      </c>
      <c r="J247" s="208">
        <v>0</v>
      </c>
      <c r="K247" s="208">
        <v>0</v>
      </c>
      <c r="L247" s="208">
        <v>0</v>
      </c>
      <c r="M247" s="208">
        <v>0</v>
      </c>
      <c r="N247" s="208">
        <v>0</v>
      </c>
    </row>
    <row r="248" spans="1:14" x14ac:dyDescent="0.25">
      <c r="A248" s="208">
        <v>196</v>
      </c>
      <c r="B248" s="47"/>
      <c r="C248" s="208">
        <v>63</v>
      </c>
      <c r="D248" s="208">
        <v>47</v>
      </c>
      <c r="E248" s="208">
        <v>46</v>
      </c>
      <c r="F248" s="208">
        <v>37</v>
      </c>
      <c r="G248" s="208">
        <v>26</v>
      </c>
      <c r="H248" s="208">
        <v>20</v>
      </c>
      <c r="I248" s="208">
        <v>18</v>
      </c>
      <c r="J248" s="208">
        <v>15</v>
      </c>
      <c r="K248" s="208">
        <v>15</v>
      </c>
      <c r="L248" s="208">
        <v>20</v>
      </c>
      <c r="M248" s="208">
        <v>38</v>
      </c>
      <c r="N248" s="208">
        <v>58</v>
      </c>
    </row>
    <row r="249" spans="1:14" x14ac:dyDescent="0.25">
      <c r="A249" s="208">
        <v>197</v>
      </c>
      <c r="B249" s="47"/>
      <c r="C249" s="208">
        <v>65</v>
      </c>
      <c r="D249" s="208">
        <v>64</v>
      </c>
      <c r="E249" s="208">
        <v>58</v>
      </c>
      <c r="F249" s="208">
        <v>43</v>
      </c>
      <c r="G249" s="208">
        <v>33</v>
      </c>
      <c r="H249" s="208">
        <v>29</v>
      </c>
      <c r="I249" s="208">
        <v>25</v>
      </c>
      <c r="J249" s="208">
        <v>22</v>
      </c>
      <c r="K249" s="208">
        <v>22</v>
      </c>
      <c r="L249" s="208">
        <v>25</v>
      </c>
      <c r="M249" s="208">
        <v>34</v>
      </c>
      <c r="N249" s="208">
        <v>49</v>
      </c>
    </row>
    <row r="250" spans="1:14" x14ac:dyDescent="0.25">
      <c r="A250" s="208">
        <v>198</v>
      </c>
      <c r="B250" s="47"/>
      <c r="C250" s="208">
        <v>129</v>
      </c>
      <c r="D250" s="208">
        <v>125</v>
      </c>
      <c r="E250" s="208">
        <v>114</v>
      </c>
      <c r="F250" s="208">
        <v>84</v>
      </c>
      <c r="G250" s="208">
        <v>65</v>
      </c>
      <c r="H250" s="208">
        <v>56</v>
      </c>
      <c r="I250" s="208">
        <v>49</v>
      </c>
      <c r="J250" s="208">
        <v>44</v>
      </c>
      <c r="K250" s="208">
        <v>44</v>
      </c>
      <c r="L250" s="208">
        <v>51</v>
      </c>
      <c r="M250" s="208">
        <v>70</v>
      </c>
      <c r="N250" s="208">
        <v>102</v>
      </c>
    </row>
    <row r="251" spans="1:14" x14ac:dyDescent="0.25">
      <c r="A251" s="208">
        <v>199</v>
      </c>
      <c r="B251" s="47"/>
      <c r="C251" s="208">
        <v>1139</v>
      </c>
      <c r="D251" s="208">
        <v>1143</v>
      </c>
      <c r="E251" s="208">
        <v>1073</v>
      </c>
      <c r="F251" s="208">
        <v>780</v>
      </c>
      <c r="G251" s="208">
        <v>551</v>
      </c>
      <c r="H251" s="208">
        <v>461</v>
      </c>
      <c r="I251" s="208">
        <v>389</v>
      </c>
      <c r="J251" s="208">
        <v>332</v>
      </c>
      <c r="K251" s="208">
        <v>338</v>
      </c>
      <c r="L251" s="208">
        <v>402</v>
      </c>
      <c r="M251" s="208">
        <v>546</v>
      </c>
      <c r="N251" s="208">
        <v>822</v>
      </c>
    </row>
    <row r="252" spans="1:14" x14ac:dyDescent="0.25">
      <c r="A252" s="208">
        <v>200</v>
      </c>
      <c r="B252" s="47"/>
      <c r="C252" s="208">
        <v>0</v>
      </c>
      <c r="D252" s="208">
        <v>0</v>
      </c>
      <c r="E252" s="208">
        <v>0</v>
      </c>
      <c r="F252" s="208">
        <v>0</v>
      </c>
      <c r="G252" s="208">
        <v>0</v>
      </c>
      <c r="H252" s="208">
        <v>0</v>
      </c>
      <c r="I252" s="208">
        <v>0</v>
      </c>
      <c r="J252" s="208">
        <v>0</v>
      </c>
      <c r="K252" s="208">
        <v>0</v>
      </c>
      <c r="L252" s="208">
        <v>0</v>
      </c>
      <c r="M252" s="208">
        <v>0</v>
      </c>
      <c r="N252" s="208">
        <v>0</v>
      </c>
    </row>
    <row r="253" spans="1:14" x14ac:dyDescent="0.25">
      <c r="A253" s="208">
        <v>201</v>
      </c>
      <c r="B253" s="47"/>
      <c r="C253" s="208">
        <v>25</v>
      </c>
      <c r="D253" s="208">
        <v>25</v>
      </c>
      <c r="E253" s="208">
        <v>23</v>
      </c>
      <c r="F253" s="208">
        <v>18</v>
      </c>
      <c r="G253" s="208">
        <v>12</v>
      </c>
      <c r="H253" s="208">
        <v>9</v>
      </c>
      <c r="I253" s="208">
        <v>7</v>
      </c>
      <c r="J253" s="208">
        <v>6</v>
      </c>
      <c r="K253" s="208">
        <v>7</v>
      </c>
      <c r="L253" s="208">
        <v>8</v>
      </c>
      <c r="M253" s="208">
        <v>12</v>
      </c>
      <c r="N253" s="208">
        <v>18</v>
      </c>
    </row>
    <row r="254" spans="1:14" x14ac:dyDescent="0.25">
      <c r="A254" s="208">
        <v>202</v>
      </c>
      <c r="B254" s="47"/>
      <c r="C254" s="208">
        <v>10</v>
      </c>
      <c r="D254" s="208">
        <v>9</v>
      </c>
      <c r="E254" s="208">
        <v>9</v>
      </c>
      <c r="F254" s="208">
        <v>7</v>
      </c>
      <c r="G254" s="208">
        <v>5</v>
      </c>
      <c r="H254" s="208">
        <v>3</v>
      </c>
      <c r="I254" s="208">
        <v>3</v>
      </c>
      <c r="J254" s="208">
        <v>2</v>
      </c>
      <c r="K254" s="208">
        <v>3</v>
      </c>
      <c r="L254" s="208">
        <v>3</v>
      </c>
      <c r="M254" s="208">
        <v>5</v>
      </c>
      <c r="N254" s="208">
        <v>8</v>
      </c>
    </row>
    <row r="255" spans="1:14" x14ac:dyDescent="0.25">
      <c r="A255" s="208">
        <v>203</v>
      </c>
      <c r="B255" s="47"/>
      <c r="C255" s="208">
        <v>42</v>
      </c>
      <c r="D255" s="208">
        <v>42</v>
      </c>
      <c r="E255" s="208">
        <v>39</v>
      </c>
      <c r="F255" s="208">
        <v>30</v>
      </c>
      <c r="G255" s="208">
        <v>21</v>
      </c>
      <c r="H255" s="208">
        <v>15</v>
      </c>
      <c r="I255" s="208">
        <v>13</v>
      </c>
      <c r="J255" s="208">
        <v>11</v>
      </c>
      <c r="K255" s="208">
        <v>11</v>
      </c>
      <c r="L255" s="208">
        <v>14</v>
      </c>
      <c r="M255" s="208">
        <v>20</v>
      </c>
      <c r="N255" s="208">
        <v>31</v>
      </c>
    </row>
    <row r="256" spans="1:14" x14ac:dyDescent="0.25">
      <c r="A256" s="208">
        <v>204</v>
      </c>
      <c r="B256" s="47"/>
      <c r="C256" s="208">
        <v>528</v>
      </c>
      <c r="D256" s="208">
        <v>987</v>
      </c>
      <c r="E256" s="208">
        <v>1505</v>
      </c>
      <c r="F256" s="208">
        <v>1863</v>
      </c>
      <c r="G256" s="208">
        <v>1991</v>
      </c>
      <c r="H256" s="208">
        <v>1578</v>
      </c>
      <c r="I256" s="208">
        <v>1164</v>
      </c>
      <c r="J256" s="208">
        <v>786</v>
      </c>
      <c r="K256" s="208">
        <v>455</v>
      </c>
      <c r="L256" s="208">
        <v>275</v>
      </c>
      <c r="M256" s="208">
        <v>198</v>
      </c>
      <c r="N256" s="208">
        <v>230</v>
      </c>
    </row>
    <row r="257" spans="1:14" x14ac:dyDescent="0.25">
      <c r="A257" s="208">
        <v>205</v>
      </c>
      <c r="B257" s="47"/>
      <c r="C257" s="208">
        <v>219</v>
      </c>
      <c r="D257" s="208">
        <v>241</v>
      </c>
      <c r="E257" s="208">
        <v>239</v>
      </c>
      <c r="F257" s="208">
        <v>190</v>
      </c>
      <c r="G257" s="208">
        <v>119</v>
      </c>
      <c r="H257" s="208">
        <v>87</v>
      </c>
      <c r="I257" s="208">
        <v>68</v>
      </c>
      <c r="J257" s="208">
        <v>54</v>
      </c>
      <c r="K257" s="208">
        <v>47</v>
      </c>
      <c r="L257" s="208">
        <v>61</v>
      </c>
      <c r="M257" s="208">
        <v>100</v>
      </c>
      <c r="N257" s="208">
        <v>161</v>
      </c>
    </row>
    <row r="258" spans="1:14" x14ac:dyDescent="0.25">
      <c r="A258" s="208">
        <v>206</v>
      </c>
      <c r="B258" s="47"/>
      <c r="C258" s="208">
        <v>610</v>
      </c>
      <c r="D258" s="208">
        <v>615</v>
      </c>
      <c r="E258" s="208">
        <v>578</v>
      </c>
      <c r="F258" s="208">
        <v>439</v>
      </c>
      <c r="G258" s="208">
        <v>300</v>
      </c>
      <c r="H258" s="208">
        <v>235</v>
      </c>
      <c r="I258" s="208">
        <v>195</v>
      </c>
      <c r="J258" s="208">
        <v>161</v>
      </c>
      <c r="K258" s="208">
        <v>148</v>
      </c>
      <c r="L258" s="208">
        <v>180</v>
      </c>
      <c r="M258" s="208">
        <v>263</v>
      </c>
      <c r="N258" s="208">
        <v>434</v>
      </c>
    </row>
    <row r="259" spans="1:14" x14ac:dyDescent="0.25">
      <c r="A259" s="208">
        <v>207</v>
      </c>
      <c r="B259" s="47"/>
      <c r="C259" s="208">
        <v>620</v>
      </c>
      <c r="D259" s="208">
        <v>626</v>
      </c>
      <c r="E259" s="208">
        <v>589</v>
      </c>
      <c r="F259" s="208">
        <v>448</v>
      </c>
      <c r="G259" s="208">
        <v>307</v>
      </c>
      <c r="H259" s="208">
        <v>240</v>
      </c>
      <c r="I259" s="208">
        <v>199</v>
      </c>
      <c r="J259" s="208">
        <v>164</v>
      </c>
      <c r="K259" s="208">
        <v>151</v>
      </c>
      <c r="L259" s="208">
        <v>183</v>
      </c>
      <c r="M259" s="208">
        <v>268</v>
      </c>
      <c r="N259" s="208">
        <v>441</v>
      </c>
    </row>
    <row r="260" spans="1:14" x14ac:dyDescent="0.25">
      <c r="A260" s="208">
        <v>208</v>
      </c>
      <c r="B260" s="47"/>
      <c r="C260" s="208">
        <v>0</v>
      </c>
      <c r="D260" s="208">
        <v>0</v>
      </c>
      <c r="E260" s="208">
        <v>0</v>
      </c>
      <c r="F260" s="208">
        <v>0</v>
      </c>
      <c r="G260" s="208">
        <v>0</v>
      </c>
      <c r="H260" s="208">
        <v>0</v>
      </c>
      <c r="I260" s="208">
        <v>0</v>
      </c>
      <c r="J260" s="208">
        <v>0</v>
      </c>
      <c r="K260" s="208">
        <v>0</v>
      </c>
      <c r="L260" s="208">
        <v>0</v>
      </c>
      <c r="M260" s="208">
        <v>0</v>
      </c>
      <c r="N260" s="208">
        <v>0</v>
      </c>
    </row>
    <row r="261" spans="1:14" x14ac:dyDescent="0.25">
      <c r="A261" s="208">
        <v>209</v>
      </c>
      <c r="B261" s="47"/>
      <c r="C261" s="208">
        <v>756</v>
      </c>
      <c r="D261" s="208">
        <v>833</v>
      </c>
      <c r="E261" s="208">
        <v>833</v>
      </c>
      <c r="F261" s="208">
        <v>643</v>
      </c>
      <c r="G261" s="208">
        <v>406</v>
      </c>
      <c r="H261" s="208">
        <v>302</v>
      </c>
      <c r="I261" s="208">
        <v>237</v>
      </c>
      <c r="J261" s="208">
        <v>187</v>
      </c>
      <c r="K261" s="208">
        <v>162</v>
      </c>
      <c r="L261" s="208">
        <v>204</v>
      </c>
      <c r="M261" s="208">
        <v>339</v>
      </c>
      <c r="N261" s="208">
        <v>555</v>
      </c>
    </row>
    <row r="262" spans="1:14" x14ac:dyDescent="0.25">
      <c r="A262" s="208">
        <v>210</v>
      </c>
      <c r="B262" s="47"/>
      <c r="C262" s="208">
        <v>0</v>
      </c>
      <c r="D262" s="208">
        <v>0</v>
      </c>
      <c r="E262" s="208">
        <v>0</v>
      </c>
      <c r="F262" s="208">
        <v>0</v>
      </c>
      <c r="G262" s="208">
        <v>0</v>
      </c>
      <c r="H262" s="208">
        <v>0</v>
      </c>
      <c r="I262" s="208">
        <v>0</v>
      </c>
      <c r="J262" s="208">
        <v>0</v>
      </c>
      <c r="K262" s="208">
        <v>0</v>
      </c>
      <c r="L262" s="208">
        <v>0</v>
      </c>
      <c r="M262" s="208">
        <v>0</v>
      </c>
      <c r="N262" s="208">
        <v>0</v>
      </c>
    </row>
    <row r="263" spans="1:14" x14ac:dyDescent="0.25">
      <c r="A263" s="208">
        <v>211</v>
      </c>
      <c r="B263" s="47"/>
      <c r="C263" s="208">
        <v>595</v>
      </c>
      <c r="D263" s="208">
        <v>527</v>
      </c>
      <c r="E263" s="208">
        <v>466</v>
      </c>
      <c r="F263" s="208">
        <v>322</v>
      </c>
      <c r="G263" s="208">
        <v>237</v>
      </c>
      <c r="H263" s="208">
        <v>198</v>
      </c>
      <c r="I263" s="208">
        <v>167</v>
      </c>
      <c r="J263" s="208">
        <v>142</v>
      </c>
      <c r="K263" s="208">
        <v>145</v>
      </c>
      <c r="L263" s="208">
        <v>174</v>
      </c>
      <c r="M263" s="208">
        <v>255</v>
      </c>
      <c r="N263" s="208">
        <v>432</v>
      </c>
    </row>
    <row r="264" spans="1:14" x14ac:dyDescent="0.25">
      <c r="A264" s="208">
        <v>212</v>
      </c>
      <c r="B264" s="47"/>
      <c r="C264" s="208">
        <v>0</v>
      </c>
      <c r="D264" s="208">
        <v>0</v>
      </c>
      <c r="E264" s="208">
        <v>0</v>
      </c>
      <c r="F264" s="208">
        <v>0</v>
      </c>
      <c r="G264" s="208">
        <v>0</v>
      </c>
      <c r="H264" s="208">
        <v>0</v>
      </c>
      <c r="I264" s="208">
        <v>0</v>
      </c>
      <c r="J264" s="208">
        <v>0</v>
      </c>
      <c r="K264" s="208">
        <v>0</v>
      </c>
      <c r="L264" s="208">
        <v>0</v>
      </c>
      <c r="M264" s="208">
        <v>0</v>
      </c>
      <c r="N264" s="208">
        <v>0</v>
      </c>
    </row>
    <row r="265" spans="1:14" x14ac:dyDescent="0.25">
      <c r="A265" s="208">
        <v>213</v>
      </c>
      <c r="B265" s="47"/>
      <c r="C265" s="208">
        <v>0</v>
      </c>
      <c r="D265" s="208">
        <v>0</v>
      </c>
      <c r="E265" s="208">
        <v>0</v>
      </c>
      <c r="F265" s="208">
        <v>0</v>
      </c>
      <c r="G265" s="208">
        <v>0</v>
      </c>
      <c r="H265" s="208">
        <v>0</v>
      </c>
      <c r="I265" s="208">
        <v>0</v>
      </c>
      <c r="J265" s="208">
        <v>0</v>
      </c>
      <c r="K265" s="208">
        <v>0</v>
      </c>
      <c r="L265" s="208">
        <v>0</v>
      </c>
      <c r="M265" s="208">
        <v>0</v>
      </c>
      <c r="N265" s="208">
        <v>0</v>
      </c>
    </row>
    <row r="266" spans="1:14" x14ac:dyDescent="0.25">
      <c r="A266" s="208">
        <v>214</v>
      </c>
      <c r="B266" s="47"/>
      <c r="C266" s="208">
        <v>0</v>
      </c>
      <c r="D266" s="208">
        <v>0</v>
      </c>
      <c r="E266" s="208">
        <v>0</v>
      </c>
      <c r="F266" s="208">
        <v>0</v>
      </c>
      <c r="G266" s="208">
        <v>0</v>
      </c>
      <c r="H266" s="208">
        <v>0</v>
      </c>
      <c r="I266" s="208">
        <v>0</v>
      </c>
      <c r="J266" s="208">
        <v>0</v>
      </c>
      <c r="K266" s="208">
        <v>0</v>
      </c>
      <c r="L266" s="208">
        <v>0</v>
      </c>
      <c r="M266" s="208">
        <v>0</v>
      </c>
      <c r="N266" s="208">
        <v>0</v>
      </c>
    </row>
    <row r="267" spans="1:14" x14ac:dyDescent="0.25">
      <c r="A267" s="208">
        <v>215</v>
      </c>
      <c r="B267" s="47"/>
      <c r="C267" s="208">
        <v>181</v>
      </c>
      <c r="D267" s="208">
        <v>236</v>
      </c>
      <c r="E267" s="208">
        <v>177</v>
      </c>
      <c r="F267" s="208">
        <v>185</v>
      </c>
      <c r="G267" s="208">
        <v>251</v>
      </c>
      <c r="H267" s="208">
        <v>278</v>
      </c>
      <c r="I267" s="208">
        <v>356</v>
      </c>
      <c r="J267" s="208">
        <v>383</v>
      </c>
      <c r="K267" s="208">
        <v>434</v>
      </c>
      <c r="L267" s="208">
        <v>382</v>
      </c>
      <c r="M267" s="208">
        <v>236</v>
      </c>
      <c r="N267" s="208">
        <v>185</v>
      </c>
    </row>
    <row r="268" spans="1:14" x14ac:dyDescent="0.25">
      <c r="A268" s="208">
        <v>216</v>
      </c>
      <c r="B268" s="47"/>
      <c r="C268" s="208">
        <v>226</v>
      </c>
      <c r="D268" s="208">
        <v>283</v>
      </c>
      <c r="E268" s="208">
        <v>228</v>
      </c>
      <c r="F268" s="208">
        <v>212</v>
      </c>
      <c r="G268" s="208">
        <v>279</v>
      </c>
      <c r="H268" s="208">
        <v>305</v>
      </c>
      <c r="I268" s="208">
        <v>366</v>
      </c>
      <c r="J268" s="208">
        <v>384</v>
      </c>
      <c r="K268" s="208">
        <v>460</v>
      </c>
      <c r="L268" s="208">
        <v>474</v>
      </c>
      <c r="M268" s="208">
        <v>311</v>
      </c>
      <c r="N268" s="208">
        <v>223</v>
      </c>
    </row>
    <row r="269" spans="1:14" x14ac:dyDescent="0.25">
      <c r="A269" s="208">
        <v>217</v>
      </c>
      <c r="B269" s="47"/>
      <c r="C269" s="208">
        <v>493</v>
      </c>
      <c r="D269" s="208">
        <v>630</v>
      </c>
      <c r="E269" s="208">
        <v>492</v>
      </c>
      <c r="F269" s="208">
        <v>495</v>
      </c>
      <c r="G269" s="208">
        <v>676</v>
      </c>
      <c r="H269" s="208">
        <v>746</v>
      </c>
      <c r="I269" s="208">
        <v>913</v>
      </c>
      <c r="J269" s="208">
        <v>964</v>
      </c>
      <c r="K269" s="208">
        <v>1118</v>
      </c>
      <c r="L269" s="208">
        <v>1091</v>
      </c>
      <c r="M269" s="208">
        <v>690</v>
      </c>
      <c r="N269" s="208">
        <v>510</v>
      </c>
    </row>
    <row r="270" spans="1:14" x14ac:dyDescent="0.25">
      <c r="A270" s="208">
        <v>218</v>
      </c>
      <c r="B270" s="47"/>
      <c r="C270" s="208">
        <v>0</v>
      </c>
      <c r="D270" s="208">
        <v>0</v>
      </c>
      <c r="E270" s="208">
        <v>0</v>
      </c>
      <c r="F270" s="208">
        <v>0</v>
      </c>
      <c r="G270" s="208">
        <v>0</v>
      </c>
      <c r="H270" s="208">
        <v>0</v>
      </c>
      <c r="I270" s="208">
        <v>0</v>
      </c>
      <c r="J270" s="208">
        <v>0</v>
      </c>
      <c r="K270" s="208">
        <v>0</v>
      </c>
      <c r="L270" s="208">
        <v>0</v>
      </c>
      <c r="M270" s="208">
        <v>0</v>
      </c>
      <c r="N270" s="208">
        <v>0</v>
      </c>
    </row>
    <row r="271" spans="1:14" x14ac:dyDescent="0.25">
      <c r="A271" s="208">
        <v>219</v>
      </c>
      <c r="B271" s="47"/>
      <c r="C271" s="208">
        <v>0</v>
      </c>
      <c r="D271" s="208">
        <v>0</v>
      </c>
      <c r="E271" s="208">
        <v>0</v>
      </c>
      <c r="F271" s="208">
        <v>0</v>
      </c>
      <c r="G271" s="208">
        <v>0</v>
      </c>
      <c r="H271" s="208">
        <v>0</v>
      </c>
      <c r="I271" s="208">
        <v>0</v>
      </c>
      <c r="J271" s="208">
        <v>0</v>
      </c>
      <c r="K271" s="208">
        <v>0</v>
      </c>
      <c r="L271" s="208">
        <v>0</v>
      </c>
      <c r="M271" s="208">
        <v>0</v>
      </c>
      <c r="N271" s="208">
        <v>0</v>
      </c>
    </row>
    <row r="272" spans="1:14" x14ac:dyDescent="0.25">
      <c r="A272" s="208">
        <v>220</v>
      </c>
      <c r="B272" s="47"/>
      <c r="C272" s="208">
        <v>59</v>
      </c>
      <c r="D272" s="208">
        <v>58</v>
      </c>
      <c r="E272" s="208">
        <v>49</v>
      </c>
      <c r="F272" s="208">
        <v>62</v>
      </c>
      <c r="G272" s="208">
        <v>96</v>
      </c>
      <c r="H272" s="208">
        <v>118</v>
      </c>
      <c r="I272" s="208">
        <v>132</v>
      </c>
      <c r="J272" s="208">
        <v>119</v>
      </c>
      <c r="K272" s="208">
        <v>132</v>
      </c>
      <c r="L272" s="208">
        <v>147</v>
      </c>
      <c r="M272" s="208">
        <v>103</v>
      </c>
      <c r="N272" s="208">
        <v>77</v>
      </c>
    </row>
    <row r="273" spans="1:14" x14ac:dyDescent="0.25">
      <c r="A273" s="208">
        <v>221</v>
      </c>
      <c r="B273" s="47"/>
      <c r="C273" s="208">
        <v>0</v>
      </c>
      <c r="D273" s="208">
        <v>0</v>
      </c>
      <c r="E273" s="208">
        <v>0</v>
      </c>
      <c r="F273" s="208">
        <v>0</v>
      </c>
      <c r="G273" s="208">
        <v>0</v>
      </c>
      <c r="H273" s="208">
        <v>0</v>
      </c>
      <c r="I273" s="208">
        <v>0</v>
      </c>
      <c r="J273" s="208">
        <v>0</v>
      </c>
      <c r="K273" s="208">
        <v>0</v>
      </c>
      <c r="L273" s="208">
        <v>0</v>
      </c>
      <c r="M273" s="208">
        <v>0</v>
      </c>
      <c r="N273" s="208">
        <v>0</v>
      </c>
    </row>
    <row r="274" spans="1:14" x14ac:dyDescent="0.25">
      <c r="A274" s="208">
        <v>222</v>
      </c>
      <c r="B274" s="47"/>
      <c r="C274" s="208">
        <v>1143</v>
      </c>
      <c r="D274" s="208">
        <v>1265</v>
      </c>
      <c r="E274" s="208">
        <v>1101</v>
      </c>
      <c r="F274" s="208">
        <v>1021</v>
      </c>
      <c r="G274" s="208">
        <v>1325</v>
      </c>
      <c r="H274" s="208">
        <v>1575</v>
      </c>
      <c r="I274" s="208">
        <v>1524</v>
      </c>
      <c r="J274" s="208">
        <v>1264</v>
      </c>
      <c r="K274" s="208">
        <v>1467</v>
      </c>
      <c r="L274" s="208">
        <v>1935</v>
      </c>
      <c r="M274" s="208">
        <v>1462</v>
      </c>
      <c r="N274" s="208">
        <v>1160</v>
      </c>
    </row>
    <row r="275" spans="1:14" x14ac:dyDescent="0.25">
      <c r="A275" s="208">
        <v>223</v>
      </c>
      <c r="B275" s="47"/>
      <c r="C275" s="208">
        <v>0</v>
      </c>
      <c r="D275" s="208">
        <v>0</v>
      </c>
      <c r="E275" s="208">
        <v>0</v>
      </c>
      <c r="F275" s="208">
        <v>0</v>
      </c>
      <c r="G275" s="208">
        <v>0</v>
      </c>
      <c r="H275" s="208">
        <v>0</v>
      </c>
      <c r="I275" s="208">
        <v>0</v>
      </c>
      <c r="J275" s="208">
        <v>0</v>
      </c>
      <c r="K275" s="208">
        <v>0</v>
      </c>
      <c r="L275" s="208">
        <v>0</v>
      </c>
      <c r="M275" s="208">
        <v>0</v>
      </c>
      <c r="N275" s="208">
        <v>0</v>
      </c>
    </row>
    <row r="276" spans="1:14" x14ac:dyDescent="0.25">
      <c r="A276" s="208">
        <v>224</v>
      </c>
      <c r="B276" s="47"/>
      <c r="C276" s="208">
        <v>0</v>
      </c>
      <c r="D276" s="208">
        <v>0</v>
      </c>
      <c r="E276" s="208">
        <v>0</v>
      </c>
      <c r="F276" s="208">
        <v>0</v>
      </c>
      <c r="G276" s="208">
        <v>0</v>
      </c>
      <c r="H276" s="208">
        <v>0</v>
      </c>
      <c r="I276" s="208">
        <v>0</v>
      </c>
      <c r="J276" s="208">
        <v>0</v>
      </c>
      <c r="K276" s="208">
        <v>0</v>
      </c>
      <c r="L276" s="208">
        <v>0</v>
      </c>
      <c r="M276" s="208">
        <v>0</v>
      </c>
      <c r="N276" s="208">
        <v>0</v>
      </c>
    </row>
    <row r="277" spans="1:14" x14ac:dyDescent="0.25">
      <c r="A277" s="208">
        <v>225</v>
      </c>
      <c r="B277" s="47"/>
      <c r="C277" s="208">
        <v>379</v>
      </c>
      <c r="D277" s="208">
        <v>470</v>
      </c>
      <c r="E277" s="208">
        <v>506</v>
      </c>
      <c r="F277" s="208">
        <v>370</v>
      </c>
      <c r="G277" s="208">
        <v>183</v>
      </c>
      <c r="H277" s="208">
        <v>72</v>
      </c>
      <c r="I277" s="208">
        <v>39</v>
      </c>
      <c r="J277" s="208">
        <v>25</v>
      </c>
      <c r="K277" s="208">
        <v>20</v>
      </c>
      <c r="L277" s="208">
        <v>31</v>
      </c>
      <c r="M277" s="208">
        <v>76</v>
      </c>
      <c r="N277" s="208">
        <v>212</v>
      </c>
    </row>
    <row r="278" spans="1:14" x14ac:dyDescent="0.25">
      <c r="A278" s="208">
        <v>226</v>
      </c>
      <c r="B278" s="47"/>
      <c r="C278" s="208">
        <v>0</v>
      </c>
      <c r="D278" s="208">
        <v>0</v>
      </c>
      <c r="E278" s="208">
        <v>0</v>
      </c>
      <c r="F278" s="208">
        <v>0</v>
      </c>
      <c r="G278" s="208">
        <v>0</v>
      </c>
      <c r="H278" s="208">
        <v>0</v>
      </c>
      <c r="I278" s="208">
        <v>0</v>
      </c>
      <c r="J278" s="208">
        <v>0</v>
      </c>
      <c r="K278" s="208">
        <v>0</v>
      </c>
      <c r="L278" s="208">
        <v>0</v>
      </c>
      <c r="M278" s="208">
        <v>0</v>
      </c>
      <c r="N278" s="208">
        <v>0</v>
      </c>
    </row>
    <row r="279" spans="1:14" x14ac:dyDescent="0.25">
      <c r="A279" s="208">
        <v>227</v>
      </c>
      <c r="B279" s="47"/>
      <c r="C279" s="208">
        <v>1456</v>
      </c>
      <c r="D279" s="208">
        <v>1620</v>
      </c>
      <c r="E279" s="208">
        <v>1615</v>
      </c>
      <c r="F279" s="208">
        <v>1285</v>
      </c>
      <c r="G279" s="208">
        <v>883</v>
      </c>
      <c r="H279" s="208">
        <v>661</v>
      </c>
      <c r="I279" s="208">
        <v>528</v>
      </c>
      <c r="J279" s="208">
        <v>449</v>
      </c>
      <c r="K279" s="208">
        <v>412</v>
      </c>
      <c r="L279" s="208">
        <v>481</v>
      </c>
      <c r="M279" s="208">
        <v>708</v>
      </c>
      <c r="N279" s="208">
        <v>1096</v>
      </c>
    </row>
    <row r="280" spans="1:14" x14ac:dyDescent="0.25">
      <c r="A280" s="208">
        <v>228</v>
      </c>
      <c r="B280" s="47"/>
      <c r="C280" s="208">
        <v>1590</v>
      </c>
      <c r="D280" s="208">
        <v>1771</v>
      </c>
      <c r="E280" s="208">
        <v>1763</v>
      </c>
      <c r="F280" s="208">
        <v>1403</v>
      </c>
      <c r="G280" s="208">
        <v>965</v>
      </c>
      <c r="H280" s="208">
        <v>722</v>
      </c>
      <c r="I280" s="208">
        <v>577</v>
      </c>
      <c r="J280" s="208">
        <v>490</v>
      </c>
      <c r="K280" s="208">
        <v>451</v>
      </c>
      <c r="L280" s="208">
        <v>527</v>
      </c>
      <c r="M280" s="208">
        <v>773</v>
      </c>
      <c r="N280" s="208">
        <v>1197</v>
      </c>
    </row>
    <row r="281" spans="1:14" x14ac:dyDescent="0.25">
      <c r="A281" s="208">
        <v>229</v>
      </c>
      <c r="B281" s="47"/>
      <c r="C281" s="208">
        <v>3700</v>
      </c>
      <c r="D281" s="208">
        <v>4305</v>
      </c>
      <c r="E281" s="208">
        <v>4469</v>
      </c>
      <c r="F281" s="208">
        <v>3568</v>
      </c>
      <c r="G281" s="208">
        <v>2289</v>
      </c>
      <c r="H281" s="208">
        <v>1476</v>
      </c>
      <c r="I281" s="208">
        <v>1050</v>
      </c>
      <c r="J281" s="208">
        <v>810</v>
      </c>
      <c r="K281" s="208">
        <v>704</v>
      </c>
      <c r="L281" s="208">
        <v>889</v>
      </c>
      <c r="M281" s="208">
        <v>1491</v>
      </c>
      <c r="N281" s="208">
        <v>2585</v>
      </c>
    </row>
    <row r="282" spans="1:14" x14ac:dyDescent="0.25">
      <c r="A282" s="208">
        <v>230</v>
      </c>
      <c r="B282" s="47"/>
      <c r="C282" s="208">
        <v>3728</v>
      </c>
      <c r="D282" s="208">
        <v>4324</v>
      </c>
      <c r="E282" s="208">
        <v>4500</v>
      </c>
      <c r="F282" s="208">
        <v>3582</v>
      </c>
      <c r="G282" s="208">
        <v>2297</v>
      </c>
      <c r="H282" s="208">
        <v>1482</v>
      </c>
      <c r="I282" s="208">
        <v>1057</v>
      </c>
      <c r="J282" s="208">
        <v>816</v>
      </c>
      <c r="K282" s="208">
        <v>709</v>
      </c>
      <c r="L282" s="208">
        <v>895</v>
      </c>
      <c r="M282" s="208">
        <v>1495</v>
      </c>
      <c r="N282" s="208">
        <v>2602</v>
      </c>
    </row>
    <row r="283" spans="1:14" x14ac:dyDescent="0.25">
      <c r="A283" s="208">
        <v>231</v>
      </c>
      <c r="B283" s="47"/>
      <c r="C283" s="208">
        <v>0</v>
      </c>
      <c r="D283" s="208">
        <v>0</v>
      </c>
      <c r="E283" s="208">
        <v>0</v>
      </c>
      <c r="F283" s="208">
        <v>0</v>
      </c>
      <c r="G283" s="208">
        <v>0</v>
      </c>
      <c r="H283" s="208">
        <v>0</v>
      </c>
      <c r="I283" s="208">
        <v>0</v>
      </c>
      <c r="J283" s="208">
        <v>0</v>
      </c>
      <c r="K283" s="208">
        <v>0</v>
      </c>
      <c r="L283" s="208">
        <v>0</v>
      </c>
      <c r="M283" s="208">
        <v>0</v>
      </c>
      <c r="N283" s="208">
        <v>0</v>
      </c>
    </row>
    <row r="284" spans="1:14" x14ac:dyDescent="0.25">
      <c r="A284" s="208">
        <v>232</v>
      </c>
      <c r="B284" s="47"/>
      <c r="C284" s="208">
        <v>0</v>
      </c>
      <c r="D284" s="208">
        <v>0</v>
      </c>
      <c r="E284" s="208">
        <v>0</v>
      </c>
      <c r="F284" s="208">
        <v>0</v>
      </c>
      <c r="G284" s="208">
        <v>0</v>
      </c>
      <c r="H284" s="208">
        <v>0</v>
      </c>
      <c r="I284" s="208">
        <v>0</v>
      </c>
      <c r="J284" s="208">
        <v>0</v>
      </c>
      <c r="K284" s="208">
        <v>0</v>
      </c>
      <c r="L284" s="208">
        <v>0</v>
      </c>
      <c r="M284" s="208">
        <v>0</v>
      </c>
      <c r="N284" s="208">
        <v>0</v>
      </c>
    </row>
    <row r="285" spans="1:14" x14ac:dyDescent="0.25">
      <c r="A285" s="208">
        <v>233</v>
      </c>
      <c r="B285" s="47"/>
      <c r="C285" s="208">
        <v>0</v>
      </c>
      <c r="D285" s="208">
        <v>0</v>
      </c>
      <c r="E285" s="208">
        <v>0</v>
      </c>
      <c r="F285" s="208">
        <v>0</v>
      </c>
      <c r="G285" s="208">
        <v>0</v>
      </c>
      <c r="H285" s="208">
        <v>0</v>
      </c>
      <c r="I285" s="208">
        <v>0</v>
      </c>
      <c r="J285" s="208">
        <v>0</v>
      </c>
      <c r="K285" s="208">
        <v>0</v>
      </c>
      <c r="L285" s="208">
        <v>0</v>
      </c>
      <c r="M285" s="208">
        <v>0</v>
      </c>
      <c r="N285" s="208">
        <v>0</v>
      </c>
    </row>
    <row r="286" spans="1:14" x14ac:dyDescent="0.25">
      <c r="A286" s="208">
        <v>234</v>
      </c>
      <c r="B286" s="47"/>
      <c r="C286" s="208">
        <v>0</v>
      </c>
      <c r="D286" s="208">
        <v>0</v>
      </c>
      <c r="E286" s="208">
        <v>0</v>
      </c>
      <c r="F286" s="208">
        <v>0</v>
      </c>
      <c r="G286" s="208">
        <v>0</v>
      </c>
      <c r="H286" s="208">
        <v>0</v>
      </c>
      <c r="I286" s="208">
        <v>0</v>
      </c>
      <c r="J286" s="208">
        <v>0</v>
      </c>
      <c r="K286" s="208">
        <v>0</v>
      </c>
      <c r="L286" s="208">
        <v>0</v>
      </c>
      <c r="M286" s="208">
        <v>0</v>
      </c>
      <c r="N286" s="208">
        <v>0</v>
      </c>
    </row>
    <row r="287" spans="1:14" x14ac:dyDescent="0.25">
      <c r="A287" s="208">
        <v>235</v>
      </c>
      <c r="B287" s="47"/>
      <c r="C287" s="208">
        <v>0</v>
      </c>
      <c r="D287" s="208">
        <v>0</v>
      </c>
      <c r="E287" s="208">
        <v>0</v>
      </c>
      <c r="F287" s="208">
        <v>0</v>
      </c>
      <c r="G287" s="208">
        <v>0</v>
      </c>
      <c r="H287" s="208">
        <v>0</v>
      </c>
      <c r="I287" s="208">
        <v>0</v>
      </c>
      <c r="J287" s="208">
        <v>0</v>
      </c>
      <c r="K287" s="208">
        <v>0</v>
      </c>
      <c r="L287" s="208">
        <v>0</v>
      </c>
      <c r="M287" s="208">
        <v>0</v>
      </c>
      <c r="N287" s="208">
        <v>0</v>
      </c>
    </row>
    <row r="288" spans="1:14" x14ac:dyDescent="0.25">
      <c r="A288" s="208">
        <v>236</v>
      </c>
      <c r="B288" s="47"/>
      <c r="C288" s="208">
        <v>0</v>
      </c>
      <c r="D288" s="208">
        <v>0</v>
      </c>
      <c r="E288" s="208">
        <v>0</v>
      </c>
      <c r="F288" s="208">
        <v>0</v>
      </c>
      <c r="G288" s="208">
        <v>0</v>
      </c>
      <c r="H288" s="208">
        <v>0</v>
      </c>
      <c r="I288" s="208">
        <v>0</v>
      </c>
      <c r="J288" s="208">
        <v>0</v>
      </c>
      <c r="K288" s="208">
        <v>0</v>
      </c>
      <c r="L288" s="208">
        <v>0</v>
      </c>
      <c r="M288" s="208">
        <v>0</v>
      </c>
      <c r="N288" s="208">
        <v>0</v>
      </c>
    </row>
    <row r="289" spans="1:14" x14ac:dyDescent="0.25">
      <c r="A289" s="208">
        <v>237</v>
      </c>
      <c r="B289" s="47"/>
      <c r="C289" s="208">
        <v>752</v>
      </c>
      <c r="D289" s="208">
        <v>794</v>
      </c>
      <c r="E289" s="208">
        <v>672</v>
      </c>
      <c r="F289" s="208">
        <v>445</v>
      </c>
      <c r="G289" s="208">
        <v>350</v>
      </c>
      <c r="H289" s="208">
        <v>346</v>
      </c>
      <c r="I289" s="208">
        <v>276</v>
      </c>
      <c r="J289" s="208">
        <v>233</v>
      </c>
      <c r="K289" s="208">
        <v>256</v>
      </c>
      <c r="L289" s="208">
        <v>316</v>
      </c>
      <c r="M289" s="208">
        <v>338</v>
      </c>
      <c r="N289" s="208">
        <v>512</v>
      </c>
    </row>
    <row r="290" spans="1:14" x14ac:dyDescent="0.25">
      <c r="A290" s="208">
        <v>238</v>
      </c>
      <c r="B290" s="47"/>
      <c r="C290" s="208">
        <v>835</v>
      </c>
      <c r="D290" s="208">
        <v>885</v>
      </c>
      <c r="E290" s="208">
        <v>751</v>
      </c>
      <c r="F290" s="208">
        <v>501</v>
      </c>
      <c r="G290" s="208">
        <v>395</v>
      </c>
      <c r="H290" s="208">
        <v>390</v>
      </c>
      <c r="I290" s="208">
        <v>310</v>
      </c>
      <c r="J290" s="208">
        <v>263</v>
      </c>
      <c r="K290" s="208">
        <v>287</v>
      </c>
      <c r="L290" s="208">
        <v>350</v>
      </c>
      <c r="M290" s="208">
        <v>376</v>
      </c>
      <c r="N290" s="208">
        <v>566</v>
      </c>
    </row>
    <row r="291" spans="1:14" x14ac:dyDescent="0.25">
      <c r="A291" s="208">
        <v>239</v>
      </c>
      <c r="B291" s="47"/>
      <c r="C291" s="208">
        <v>922</v>
      </c>
      <c r="D291" s="208">
        <v>977</v>
      </c>
      <c r="E291" s="208">
        <v>834</v>
      </c>
      <c r="F291" s="208">
        <v>571</v>
      </c>
      <c r="G291" s="208">
        <v>455</v>
      </c>
      <c r="H291" s="208">
        <v>448</v>
      </c>
      <c r="I291" s="208">
        <v>362</v>
      </c>
      <c r="J291" s="208">
        <v>309</v>
      </c>
      <c r="K291" s="208">
        <v>327</v>
      </c>
      <c r="L291" s="208">
        <v>389</v>
      </c>
      <c r="M291" s="208">
        <v>419</v>
      </c>
      <c r="N291" s="208">
        <v>631</v>
      </c>
    </row>
    <row r="292" spans="1:14" x14ac:dyDescent="0.25">
      <c r="A292" s="208">
        <v>240</v>
      </c>
      <c r="B292" s="47"/>
      <c r="C292" s="208">
        <v>1171</v>
      </c>
      <c r="D292" s="208">
        <v>1244</v>
      </c>
      <c r="E292" s="208">
        <v>1074</v>
      </c>
      <c r="F292" s="208">
        <v>733</v>
      </c>
      <c r="G292" s="208">
        <v>582</v>
      </c>
      <c r="H292" s="208">
        <v>569</v>
      </c>
      <c r="I292" s="208">
        <v>466</v>
      </c>
      <c r="J292" s="208">
        <v>403</v>
      </c>
      <c r="K292" s="208">
        <v>430</v>
      </c>
      <c r="L292" s="208">
        <v>506</v>
      </c>
      <c r="M292" s="208">
        <v>540</v>
      </c>
      <c r="N292" s="208">
        <v>806</v>
      </c>
    </row>
    <row r="293" spans="1:14" x14ac:dyDescent="0.25">
      <c r="A293" s="208">
        <v>241</v>
      </c>
      <c r="B293" s="47"/>
      <c r="C293" s="208">
        <v>265</v>
      </c>
      <c r="D293" s="208">
        <v>286</v>
      </c>
      <c r="E293" s="208">
        <v>287</v>
      </c>
      <c r="F293" s="208">
        <v>232</v>
      </c>
      <c r="G293" s="208">
        <v>180</v>
      </c>
      <c r="H293" s="208">
        <v>157</v>
      </c>
      <c r="I293" s="208">
        <v>140</v>
      </c>
      <c r="J293" s="208">
        <v>129</v>
      </c>
      <c r="K293" s="208">
        <v>133</v>
      </c>
      <c r="L293" s="208">
        <v>152</v>
      </c>
      <c r="M293" s="208">
        <v>180</v>
      </c>
      <c r="N293" s="208">
        <v>224</v>
      </c>
    </row>
    <row r="294" spans="1:14" x14ac:dyDescent="0.25">
      <c r="A294" s="208">
        <v>242</v>
      </c>
      <c r="B294" s="47"/>
      <c r="C294" s="208">
        <v>1256</v>
      </c>
      <c r="D294" s="208">
        <v>1339</v>
      </c>
      <c r="E294" s="208">
        <v>1152</v>
      </c>
      <c r="F294" s="208">
        <v>783</v>
      </c>
      <c r="G294" s="208">
        <v>618</v>
      </c>
      <c r="H294" s="208">
        <v>606</v>
      </c>
      <c r="I294" s="208">
        <v>494</v>
      </c>
      <c r="J294" s="208">
        <v>427</v>
      </c>
      <c r="K294" s="208">
        <v>455</v>
      </c>
      <c r="L294" s="208">
        <v>537</v>
      </c>
      <c r="M294" s="208">
        <v>574</v>
      </c>
      <c r="N294" s="208">
        <v>859</v>
      </c>
    </row>
    <row r="295" spans="1:14" x14ac:dyDescent="0.25">
      <c r="A295" s="208">
        <v>243</v>
      </c>
      <c r="B295" s="47"/>
      <c r="C295" s="208">
        <v>1314</v>
      </c>
      <c r="D295" s="208">
        <v>1428</v>
      </c>
      <c r="E295" s="208">
        <v>1242</v>
      </c>
      <c r="F295" s="208">
        <v>856</v>
      </c>
      <c r="G295" s="208">
        <v>662</v>
      </c>
      <c r="H295" s="208">
        <v>653</v>
      </c>
      <c r="I295" s="208">
        <v>533</v>
      </c>
      <c r="J295" s="208">
        <v>462</v>
      </c>
      <c r="K295" s="208">
        <v>484</v>
      </c>
      <c r="L295" s="208">
        <v>571</v>
      </c>
      <c r="M295" s="208">
        <v>607</v>
      </c>
      <c r="N295" s="208">
        <v>898</v>
      </c>
    </row>
    <row r="296" spans="1:14" x14ac:dyDescent="0.25">
      <c r="A296" s="208">
        <v>244</v>
      </c>
      <c r="B296" s="47"/>
      <c r="C296" s="208">
        <v>10278</v>
      </c>
      <c r="D296" s="208">
        <v>10851</v>
      </c>
      <c r="E296" s="208">
        <v>10248</v>
      </c>
      <c r="F296" s="208">
        <v>7640</v>
      </c>
      <c r="G296" s="208">
        <v>5311</v>
      </c>
      <c r="H296" s="208">
        <v>4456</v>
      </c>
      <c r="I296" s="208">
        <v>3645</v>
      </c>
      <c r="J296" s="208">
        <v>3069</v>
      </c>
      <c r="K296" s="208">
        <v>2970</v>
      </c>
      <c r="L296" s="208">
        <v>3447</v>
      </c>
      <c r="M296" s="208">
        <v>4525</v>
      </c>
      <c r="N296" s="208">
        <v>7180</v>
      </c>
    </row>
    <row r="297" spans="1:14" x14ac:dyDescent="0.25">
      <c r="A297" s="208">
        <v>245</v>
      </c>
      <c r="B297" s="47"/>
      <c r="C297" s="208">
        <v>10693</v>
      </c>
      <c r="D297" s="208">
        <v>11311</v>
      </c>
      <c r="E297" s="208">
        <v>10676</v>
      </c>
      <c r="F297" s="208">
        <v>8004</v>
      </c>
      <c r="G297" s="208">
        <v>5621</v>
      </c>
      <c r="H297" s="208">
        <v>4754</v>
      </c>
      <c r="I297" s="208">
        <v>3925</v>
      </c>
      <c r="J297" s="208">
        <v>3347</v>
      </c>
      <c r="K297" s="208">
        <v>3236</v>
      </c>
      <c r="L297" s="208">
        <v>3720</v>
      </c>
      <c r="M297" s="208">
        <v>4816</v>
      </c>
      <c r="N297" s="208">
        <v>7509</v>
      </c>
    </row>
    <row r="298" spans="1:14" x14ac:dyDescent="0.25">
      <c r="A298" s="208">
        <v>246</v>
      </c>
      <c r="B298" s="47"/>
      <c r="C298" s="208">
        <v>11559</v>
      </c>
      <c r="D298" s="208">
        <v>12433</v>
      </c>
      <c r="E298" s="208">
        <v>11776</v>
      </c>
      <c r="F298" s="208">
        <v>9042</v>
      </c>
      <c r="G298" s="208">
        <v>6508</v>
      </c>
      <c r="H298" s="208">
        <v>5641</v>
      </c>
      <c r="I298" s="208">
        <v>4639</v>
      </c>
      <c r="J298" s="208">
        <v>3954</v>
      </c>
      <c r="K298" s="208">
        <v>3842</v>
      </c>
      <c r="L298" s="208">
        <v>4380</v>
      </c>
      <c r="M298" s="208">
        <v>5473</v>
      </c>
      <c r="N298" s="208">
        <v>8161</v>
      </c>
    </row>
    <row r="299" spans="1:14" x14ac:dyDescent="0.25">
      <c r="A299" s="208">
        <v>247</v>
      </c>
      <c r="B299" s="47"/>
      <c r="C299" s="208">
        <v>289</v>
      </c>
      <c r="D299" s="208">
        <v>323</v>
      </c>
      <c r="E299" s="208">
        <v>328</v>
      </c>
      <c r="F299" s="208">
        <v>253</v>
      </c>
      <c r="G299" s="208">
        <v>177</v>
      </c>
      <c r="H299" s="208">
        <v>139</v>
      </c>
      <c r="I299" s="208">
        <v>116</v>
      </c>
      <c r="J299" s="208">
        <v>101</v>
      </c>
      <c r="K299" s="208">
        <v>103</v>
      </c>
      <c r="L299" s="208">
        <v>128</v>
      </c>
      <c r="M299" s="208">
        <v>166</v>
      </c>
      <c r="N299" s="208">
        <v>231</v>
      </c>
    </row>
    <row r="300" spans="1:14" x14ac:dyDescent="0.25">
      <c r="A300" s="208">
        <v>248</v>
      </c>
      <c r="B300" s="47"/>
      <c r="C300" s="208">
        <v>301</v>
      </c>
      <c r="D300" s="208">
        <v>336</v>
      </c>
      <c r="E300" s="208">
        <v>341</v>
      </c>
      <c r="F300" s="208">
        <v>263</v>
      </c>
      <c r="G300" s="208">
        <v>184</v>
      </c>
      <c r="H300" s="208">
        <v>145</v>
      </c>
      <c r="I300" s="208">
        <v>121</v>
      </c>
      <c r="J300" s="208">
        <v>105</v>
      </c>
      <c r="K300" s="208">
        <v>107</v>
      </c>
      <c r="L300" s="208">
        <v>133</v>
      </c>
      <c r="M300" s="208">
        <v>173</v>
      </c>
      <c r="N300" s="208">
        <v>241</v>
      </c>
    </row>
    <row r="301" spans="1:14" x14ac:dyDescent="0.25">
      <c r="A301" s="208">
        <v>249</v>
      </c>
      <c r="B301" s="47"/>
      <c r="C301" s="208">
        <v>512</v>
      </c>
      <c r="D301" s="208">
        <v>553</v>
      </c>
      <c r="E301" s="208">
        <v>458</v>
      </c>
      <c r="F301" s="208">
        <v>331</v>
      </c>
      <c r="G301" s="208">
        <v>305</v>
      </c>
      <c r="H301" s="208">
        <v>319</v>
      </c>
      <c r="I301" s="208">
        <v>281</v>
      </c>
      <c r="J301" s="208">
        <v>232</v>
      </c>
      <c r="K301" s="208">
        <v>258</v>
      </c>
      <c r="L301" s="208">
        <v>309</v>
      </c>
      <c r="M301" s="208">
        <v>286</v>
      </c>
      <c r="N301" s="208">
        <v>355</v>
      </c>
    </row>
    <row r="302" spans="1:14" x14ac:dyDescent="0.25">
      <c r="A302" s="208">
        <v>250</v>
      </c>
      <c r="B302" s="47"/>
      <c r="C302" s="208">
        <v>0</v>
      </c>
      <c r="D302" s="208">
        <v>0</v>
      </c>
      <c r="E302" s="208">
        <v>0</v>
      </c>
      <c r="F302" s="208">
        <v>0</v>
      </c>
      <c r="G302" s="208">
        <v>0</v>
      </c>
      <c r="H302" s="208">
        <v>0</v>
      </c>
      <c r="I302" s="208">
        <v>0</v>
      </c>
      <c r="J302" s="208">
        <v>0</v>
      </c>
      <c r="K302" s="208">
        <v>0</v>
      </c>
      <c r="L302" s="208">
        <v>0</v>
      </c>
      <c r="M302" s="208">
        <v>0</v>
      </c>
      <c r="N302" s="208">
        <v>0</v>
      </c>
    </row>
    <row r="303" spans="1:14" x14ac:dyDescent="0.25">
      <c r="A303" s="208">
        <v>251</v>
      </c>
      <c r="B303" s="47"/>
      <c r="C303" s="208">
        <v>322</v>
      </c>
      <c r="D303" s="208">
        <v>322</v>
      </c>
      <c r="E303" s="208">
        <v>322</v>
      </c>
      <c r="F303" s="208">
        <v>241</v>
      </c>
      <c r="G303" s="208">
        <v>152</v>
      </c>
      <c r="H303" s="208">
        <v>116</v>
      </c>
      <c r="I303" s="208">
        <v>91</v>
      </c>
      <c r="J303" s="208">
        <v>72</v>
      </c>
      <c r="K303" s="208">
        <v>61</v>
      </c>
      <c r="L303" s="208">
        <v>74</v>
      </c>
      <c r="M303" s="208">
        <v>127</v>
      </c>
      <c r="N303" s="208">
        <v>242</v>
      </c>
    </row>
    <row r="304" spans="1:14" x14ac:dyDescent="0.25">
      <c r="A304" s="208">
        <v>252</v>
      </c>
      <c r="B304" s="47"/>
      <c r="C304" s="208">
        <v>102</v>
      </c>
      <c r="D304" s="208">
        <v>115</v>
      </c>
      <c r="E304" s="208">
        <v>113</v>
      </c>
      <c r="F304" s="208">
        <v>89</v>
      </c>
      <c r="G304" s="208">
        <v>66</v>
      </c>
      <c r="H304" s="208">
        <v>56</v>
      </c>
      <c r="I304" s="208">
        <v>51</v>
      </c>
      <c r="J304" s="208">
        <v>47</v>
      </c>
      <c r="K304" s="208">
        <v>48</v>
      </c>
      <c r="L304" s="208">
        <v>52</v>
      </c>
      <c r="M304" s="208">
        <v>61</v>
      </c>
      <c r="N304" s="208">
        <v>80</v>
      </c>
    </row>
    <row r="305" spans="1:14" x14ac:dyDescent="0.25">
      <c r="A305" s="208">
        <v>253</v>
      </c>
      <c r="B305" s="47"/>
      <c r="C305" s="208">
        <v>1759</v>
      </c>
      <c r="D305" s="208">
        <v>1996</v>
      </c>
      <c r="E305" s="208">
        <v>1864</v>
      </c>
      <c r="F305" s="208">
        <v>1343</v>
      </c>
      <c r="G305" s="208">
        <v>710</v>
      </c>
      <c r="H305" s="208">
        <v>482</v>
      </c>
      <c r="I305" s="208">
        <v>365</v>
      </c>
      <c r="J305" s="208">
        <v>285</v>
      </c>
      <c r="K305" s="208">
        <v>269</v>
      </c>
      <c r="L305" s="208">
        <v>386</v>
      </c>
      <c r="M305" s="208">
        <v>698</v>
      </c>
      <c r="N305" s="208">
        <v>1306</v>
      </c>
    </row>
    <row r="306" spans="1:14" x14ac:dyDescent="0.25">
      <c r="A306" s="208">
        <v>254</v>
      </c>
      <c r="B306" s="47"/>
      <c r="C306" s="208">
        <v>158</v>
      </c>
      <c r="D306" s="208">
        <v>159</v>
      </c>
      <c r="E306" s="208">
        <v>159</v>
      </c>
      <c r="F306" s="208">
        <v>132</v>
      </c>
      <c r="G306" s="208">
        <v>80</v>
      </c>
      <c r="H306" s="208">
        <v>55</v>
      </c>
      <c r="I306" s="208">
        <v>55</v>
      </c>
      <c r="J306" s="208">
        <v>44</v>
      </c>
      <c r="K306" s="208">
        <v>30</v>
      </c>
      <c r="L306" s="208">
        <v>36</v>
      </c>
      <c r="M306" s="208">
        <v>96</v>
      </c>
      <c r="N306" s="208">
        <v>201</v>
      </c>
    </row>
    <row r="307" spans="1:14" x14ac:dyDescent="0.25">
      <c r="A307" s="208">
        <v>255</v>
      </c>
      <c r="B307" s="47"/>
      <c r="C307" s="208">
        <v>347</v>
      </c>
      <c r="D307" s="208">
        <v>235</v>
      </c>
      <c r="E307" s="208">
        <v>213</v>
      </c>
      <c r="F307" s="208">
        <v>134</v>
      </c>
      <c r="G307" s="208">
        <v>71</v>
      </c>
      <c r="H307" s="208">
        <v>53</v>
      </c>
      <c r="I307" s="208">
        <v>44</v>
      </c>
      <c r="J307" s="208">
        <v>37</v>
      </c>
      <c r="K307" s="208">
        <v>35</v>
      </c>
      <c r="L307" s="208">
        <v>68</v>
      </c>
      <c r="M307" s="208">
        <v>201</v>
      </c>
      <c r="N307" s="208">
        <v>360</v>
      </c>
    </row>
    <row r="308" spans="1:14" x14ac:dyDescent="0.25">
      <c r="A308" s="208">
        <v>256</v>
      </c>
      <c r="B308" s="47"/>
      <c r="C308" s="208">
        <v>0</v>
      </c>
      <c r="D308" s="208">
        <v>0</v>
      </c>
      <c r="E308" s="208">
        <v>0</v>
      </c>
      <c r="F308" s="208">
        <v>0</v>
      </c>
      <c r="G308" s="208">
        <v>0</v>
      </c>
      <c r="H308" s="208">
        <v>0</v>
      </c>
      <c r="I308" s="208">
        <v>0</v>
      </c>
      <c r="J308" s="208">
        <v>0</v>
      </c>
      <c r="K308" s="208">
        <v>0</v>
      </c>
      <c r="L308" s="208">
        <v>0</v>
      </c>
      <c r="M308" s="208">
        <v>0</v>
      </c>
      <c r="N308" s="208">
        <v>0</v>
      </c>
    </row>
    <row r="309" spans="1:14" x14ac:dyDescent="0.25">
      <c r="A309" s="208">
        <v>257</v>
      </c>
      <c r="B309" s="47"/>
      <c r="C309" s="208">
        <v>3125</v>
      </c>
      <c r="D309" s="208">
        <v>3519</v>
      </c>
      <c r="E309" s="208">
        <v>3369</v>
      </c>
      <c r="F309" s="208">
        <v>2386</v>
      </c>
      <c r="G309" s="208">
        <v>1189</v>
      </c>
      <c r="H309" s="208">
        <v>783</v>
      </c>
      <c r="I309" s="208">
        <v>600</v>
      </c>
      <c r="J309" s="208">
        <v>482</v>
      </c>
      <c r="K309" s="208">
        <v>459</v>
      </c>
      <c r="L309" s="208">
        <v>635</v>
      </c>
      <c r="M309" s="208">
        <v>1197</v>
      </c>
      <c r="N309" s="208">
        <v>2332</v>
      </c>
    </row>
    <row r="310" spans="1:14" x14ac:dyDescent="0.25">
      <c r="A310" s="208">
        <v>258</v>
      </c>
      <c r="B310" s="47"/>
      <c r="C310" s="208">
        <v>415</v>
      </c>
      <c r="D310" s="208">
        <v>286</v>
      </c>
      <c r="E310" s="208">
        <v>249</v>
      </c>
      <c r="F310" s="208">
        <v>158</v>
      </c>
      <c r="G310" s="208">
        <v>84</v>
      </c>
      <c r="H310" s="208">
        <v>63</v>
      </c>
      <c r="I310" s="208">
        <v>53</v>
      </c>
      <c r="J310" s="208">
        <v>44</v>
      </c>
      <c r="K310" s="208">
        <v>43</v>
      </c>
      <c r="L310" s="208">
        <v>79</v>
      </c>
      <c r="M310" s="208">
        <v>236</v>
      </c>
      <c r="N310" s="208">
        <v>430</v>
      </c>
    </row>
    <row r="311" spans="1:14" x14ac:dyDescent="0.25">
      <c r="A311" s="208">
        <v>259</v>
      </c>
      <c r="B311" s="47"/>
      <c r="C311" s="208">
        <v>102</v>
      </c>
      <c r="D311" s="208">
        <v>115</v>
      </c>
      <c r="E311" s="208">
        <v>113</v>
      </c>
      <c r="F311" s="208">
        <v>89</v>
      </c>
      <c r="G311" s="208">
        <v>66</v>
      </c>
      <c r="H311" s="208">
        <v>56</v>
      </c>
      <c r="I311" s="208">
        <v>51</v>
      </c>
      <c r="J311" s="208">
        <v>47</v>
      </c>
      <c r="K311" s="208">
        <v>48</v>
      </c>
      <c r="L311" s="208">
        <v>52</v>
      </c>
      <c r="M311" s="208">
        <v>61</v>
      </c>
      <c r="N311" s="208">
        <v>80</v>
      </c>
    </row>
    <row r="312" spans="1:14" x14ac:dyDescent="0.25">
      <c r="A312" s="208">
        <v>260</v>
      </c>
      <c r="B312" s="47"/>
      <c r="C312" s="208">
        <v>0</v>
      </c>
      <c r="D312" s="208">
        <v>0</v>
      </c>
      <c r="E312" s="208">
        <v>0</v>
      </c>
      <c r="F312" s="208">
        <v>0</v>
      </c>
      <c r="G312" s="208">
        <v>0</v>
      </c>
      <c r="H312" s="208">
        <v>0</v>
      </c>
      <c r="I312" s="208">
        <v>0</v>
      </c>
      <c r="J312" s="208">
        <v>0</v>
      </c>
      <c r="K312" s="208">
        <v>0</v>
      </c>
      <c r="L312" s="208">
        <v>0</v>
      </c>
      <c r="M312" s="208">
        <v>0</v>
      </c>
      <c r="N312" s="208">
        <v>0</v>
      </c>
    </row>
    <row r="313" spans="1:14" x14ac:dyDescent="0.25">
      <c r="A313" s="208">
        <v>261</v>
      </c>
      <c r="B313" s="47"/>
      <c r="C313" s="208">
        <v>322</v>
      </c>
      <c r="D313" s="208">
        <v>360</v>
      </c>
      <c r="E313" s="208">
        <v>365</v>
      </c>
      <c r="F313" s="208">
        <v>283</v>
      </c>
      <c r="G313" s="208">
        <v>198</v>
      </c>
      <c r="H313" s="208">
        <v>156</v>
      </c>
      <c r="I313" s="208">
        <v>130</v>
      </c>
      <c r="J313" s="208">
        <v>113</v>
      </c>
      <c r="K313" s="208">
        <v>115</v>
      </c>
      <c r="L313" s="208">
        <v>143</v>
      </c>
      <c r="M313" s="208">
        <v>185</v>
      </c>
      <c r="N313" s="208">
        <v>257</v>
      </c>
    </row>
    <row r="314" spans="1:14" x14ac:dyDescent="0.25">
      <c r="A314" s="208">
        <v>262</v>
      </c>
      <c r="B314" s="47"/>
      <c r="C314" s="208">
        <v>153</v>
      </c>
      <c r="D314" s="208">
        <v>117</v>
      </c>
      <c r="E314" s="208">
        <v>105</v>
      </c>
      <c r="F314" s="208">
        <v>76</v>
      </c>
      <c r="G314" s="208">
        <v>57</v>
      </c>
      <c r="H314" s="208">
        <v>49</v>
      </c>
      <c r="I314" s="208">
        <v>43</v>
      </c>
      <c r="J314" s="208">
        <v>38</v>
      </c>
      <c r="K314" s="208">
        <v>38</v>
      </c>
      <c r="L314" s="208">
        <v>48</v>
      </c>
      <c r="M314" s="208">
        <v>79</v>
      </c>
      <c r="N314" s="208">
        <v>131</v>
      </c>
    </row>
    <row r="315" spans="1:14" x14ac:dyDescent="0.25">
      <c r="A315" s="208">
        <v>263</v>
      </c>
      <c r="B315" s="47"/>
      <c r="C315" s="208">
        <v>310</v>
      </c>
      <c r="D315" s="208">
        <v>251</v>
      </c>
      <c r="E315" s="208">
        <v>224</v>
      </c>
      <c r="F315" s="208">
        <v>170</v>
      </c>
      <c r="G315" s="208">
        <v>122</v>
      </c>
      <c r="H315" s="208">
        <v>100</v>
      </c>
      <c r="I315" s="208">
        <v>85</v>
      </c>
      <c r="J315" s="208">
        <v>74</v>
      </c>
      <c r="K315" s="208">
        <v>71</v>
      </c>
      <c r="L315" s="208">
        <v>91</v>
      </c>
      <c r="M315" s="208">
        <v>169</v>
      </c>
      <c r="N315" s="208">
        <v>269</v>
      </c>
    </row>
    <row r="316" spans="1:14" x14ac:dyDescent="0.25">
      <c r="A316" s="208">
        <v>264</v>
      </c>
      <c r="B316" s="47"/>
      <c r="C316" s="208">
        <v>0</v>
      </c>
      <c r="D316" s="208">
        <v>0</v>
      </c>
      <c r="E316" s="208">
        <v>0</v>
      </c>
      <c r="F316" s="208">
        <v>0</v>
      </c>
      <c r="G316" s="208">
        <v>0</v>
      </c>
      <c r="H316" s="208">
        <v>0</v>
      </c>
      <c r="I316" s="208">
        <v>0</v>
      </c>
      <c r="J316" s="208">
        <v>0</v>
      </c>
      <c r="K316" s="208">
        <v>0</v>
      </c>
      <c r="L316" s="208">
        <v>0</v>
      </c>
      <c r="M316" s="208">
        <v>0</v>
      </c>
      <c r="N316" s="208">
        <v>0</v>
      </c>
    </row>
    <row r="317" spans="1:14" x14ac:dyDescent="0.25">
      <c r="A317" s="208">
        <v>265</v>
      </c>
      <c r="B317" s="47"/>
      <c r="C317" s="208">
        <v>69</v>
      </c>
      <c r="D317" s="208">
        <v>54</v>
      </c>
      <c r="E317" s="208">
        <v>49</v>
      </c>
      <c r="F317" s="208">
        <v>41</v>
      </c>
      <c r="G317" s="208">
        <v>31</v>
      </c>
      <c r="H317" s="208">
        <v>27</v>
      </c>
      <c r="I317" s="208">
        <v>25</v>
      </c>
      <c r="J317" s="208">
        <v>22</v>
      </c>
      <c r="K317" s="208">
        <v>21</v>
      </c>
      <c r="L317" s="208">
        <v>25</v>
      </c>
      <c r="M317" s="208">
        <v>40</v>
      </c>
      <c r="N317" s="208">
        <v>62</v>
      </c>
    </row>
    <row r="318" spans="1:14" x14ac:dyDescent="0.25">
      <c r="A318" s="208">
        <v>266</v>
      </c>
      <c r="B318" s="47"/>
      <c r="C318" s="208">
        <v>14842</v>
      </c>
      <c r="D318" s="208">
        <v>16211</v>
      </c>
      <c r="E318" s="208">
        <v>15079</v>
      </c>
      <c r="F318" s="208">
        <v>11975</v>
      </c>
      <c r="G318" s="208">
        <v>9577</v>
      </c>
      <c r="H318" s="208">
        <v>8867</v>
      </c>
      <c r="I318" s="208">
        <v>7506</v>
      </c>
      <c r="J318" s="208">
        <v>6311</v>
      </c>
      <c r="K318" s="208">
        <v>6353</v>
      </c>
      <c r="L318" s="208">
        <v>7630</v>
      </c>
      <c r="M318" s="208">
        <v>8377</v>
      </c>
      <c r="N318" s="208">
        <v>11034</v>
      </c>
    </row>
    <row r="319" spans="1:14" x14ac:dyDescent="0.25">
      <c r="A319" s="208">
        <v>267</v>
      </c>
      <c r="B319" s="47"/>
      <c r="C319" s="208">
        <v>271</v>
      </c>
      <c r="D319" s="208">
        <v>230</v>
      </c>
      <c r="E319" s="208">
        <v>205</v>
      </c>
      <c r="F319" s="208">
        <v>159</v>
      </c>
      <c r="G319" s="208">
        <v>122</v>
      </c>
      <c r="H319" s="208">
        <v>107</v>
      </c>
      <c r="I319" s="208">
        <v>95</v>
      </c>
      <c r="J319" s="208">
        <v>85</v>
      </c>
      <c r="K319" s="208">
        <v>85</v>
      </c>
      <c r="L319" s="208">
        <v>100</v>
      </c>
      <c r="M319" s="208">
        <v>146</v>
      </c>
      <c r="N319" s="208">
        <v>230</v>
      </c>
    </row>
    <row r="320" spans="1:14" x14ac:dyDescent="0.25">
      <c r="A320" s="208">
        <v>268</v>
      </c>
      <c r="B320" s="47"/>
      <c r="C320" s="208">
        <v>0</v>
      </c>
      <c r="D320" s="208">
        <v>0</v>
      </c>
      <c r="E320" s="208">
        <v>0</v>
      </c>
      <c r="F320" s="208">
        <v>0</v>
      </c>
      <c r="G320" s="208">
        <v>0</v>
      </c>
      <c r="H320" s="208">
        <v>0</v>
      </c>
      <c r="I320" s="208">
        <v>0</v>
      </c>
      <c r="J320" s="208">
        <v>0</v>
      </c>
      <c r="K320" s="208">
        <v>0</v>
      </c>
      <c r="L320" s="208">
        <v>0</v>
      </c>
      <c r="M320" s="208">
        <v>0</v>
      </c>
      <c r="N320" s="208">
        <v>0</v>
      </c>
    </row>
    <row r="321" spans="1:14" x14ac:dyDescent="0.25">
      <c r="A321" s="208">
        <v>269</v>
      </c>
      <c r="B321" s="47"/>
      <c r="C321" s="208">
        <v>383</v>
      </c>
      <c r="D321" s="208">
        <v>584</v>
      </c>
      <c r="E321" s="208">
        <v>747</v>
      </c>
      <c r="F321" s="208">
        <v>1021</v>
      </c>
      <c r="G321" s="208">
        <v>1186</v>
      </c>
      <c r="H321" s="208">
        <v>1053</v>
      </c>
      <c r="I321" s="208">
        <v>670</v>
      </c>
      <c r="J321" s="208">
        <v>422</v>
      </c>
      <c r="K321" s="208">
        <v>315</v>
      </c>
      <c r="L321" s="208">
        <v>266</v>
      </c>
      <c r="M321" s="208">
        <v>263</v>
      </c>
      <c r="N321" s="208">
        <v>293</v>
      </c>
    </row>
    <row r="322" spans="1:14" x14ac:dyDescent="0.25">
      <c r="A322" s="208">
        <v>270</v>
      </c>
      <c r="B322" s="47"/>
      <c r="C322" s="208">
        <v>1435</v>
      </c>
      <c r="D322" s="208">
        <v>1626</v>
      </c>
      <c r="E322" s="208">
        <v>1501</v>
      </c>
      <c r="F322" s="208">
        <v>1062</v>
      </c>
      <c r="G322" s="208">
        <v>562</v>
      </c>
      <c r="H322" s="208">
        <v>390</v>
      </c>
      <c r="I322" s="208">
        <v>294</v>
      </c>
      <c r="J322" s="208">
        <v>227</v>
      </c>
      <c r="K322" s="208">
        <v>216</v>
      </c>
      <c r="L322" s="208">
        <v>316</v>
      </c>
      <c r="M322" s="208">
        <v>570</v>
      </c>
      <c r="N322" s="208">
        <v>1064</v>
      </c>
    </row>
    <row r="323" spans="1:14" x14ac:dyDescent="0.25">
      <c r="A323" s="208">
        <v>271</v>
      </c>
      <c r="B323" s="47"/>
      <c r="C323" s="208">
        <v>6904</v>
      </c>
      <c r="D323" s="208">
        <v>8298</v>
      </c>
      <c r="E323" s="208">
        <v>8801</v>
      </c>
      <c r="F323" s="208">
        <v>7326</v>
      </c>
      <c r="G323" s="208">
        <v>4115</v>
      </c>
      <c r="H323" s="208">
        <v>2349</v>
      </c>
      <c r="I323" s="208">
        <v>1663</v>
      </c>
      <c r="J323" s="208">
        <v>1280</v>
      </c>
      <c r="K323" s="208">
        <v>1155</v>
      </c>
      <c r="L323" s="208">
        <v>1495</v>
      </c>
      <c r="M323" s="208">
        <v>2601</v>
      </c>
      <c r="N323" s="208">
        <v>4780</v>
      </c>
    </row>
    <row r="324" spans="1:14" x14ac:dyDescent="0.25">
      <c r="A324" s="208">
        <v>272</v>
      </c>
      <c r="B324" s="47"/>
      <c r="C324" s="208">
        <v>0</v>
      </c>
      <c r="D324" s="208">
        <v>0</v>
      </c>
      <c r="E324" s="208">
        <v>0</v>
      </c>
      <c r="F324" s="208">
        <v>0</v>
      </c>
      <c r="G324" s="208">
        <v>0</v>
      </c>
      <c r="H324" s="208">
        <v>0</v>
      </c>
      <c r="I324" s="208">
        <v>0</v>
      </c>
      <c r="J324" s="208">
        <v>0</v>
      </c>
      <c r="K324" s="208">
        <v>0</v>
      </c>
      <c r="L324" s="208">
        <v>0</v>
      </c>
      <c r="M324" s="208">
        <v>0</v>
      </c>
      <c r="N324" s="208">
        <v>0</v>
      </c>
    </row>
    <row r="325" spans="1:14" x14ac:dyDescent="0.25">
      <c r="A325" s="208">
        <v>273</v>
      </c>
      <c r="B325" s="47"/>
      <c r="C325" s="208">
        <v>4457</v>
      </c>
      <c r="D325" s="208">
        <v>5124</v>
      </c>
      <c r="E325" s="208">
        <v>5144</v>
      </c>
      <c r="F325" s="208">
        <v>3833</v>
      </c>
      <c r="G325" s="208">
        <v>1893</v>
      </c>
      <c r="H325" s="208">
        <v>1127</v>
      </c>
      <c r="I325" s="208">
        <v>811</v>
      </c>
      <c r="J325" s="208">
        <v>622</v>
      </c>
      <c r="K325" s="208">
        <v>567</v>
      </c>
      <c r="L325" s="208">
        <v>794</v>
      </c>
      <c r="M325" s="208">
        <v>1573</v>
      </c>
      <c r="N325" s="208">
        <v>3179</v>
      </c>
    </row>
    <row r="326" spans="1:14" x14ac:dyDescent="0.25">
      <c r="A326" s="208">
        <v>274</v>
      </c>
      <c r="B326" s="47"/>
      <c r="C326" s="208">
        <v>7182</v>
      </c>
      <c r="D326" s="208">
        <v>8754</v>
      </c>
      <c r="E326" s="208">
        <v>9319</v>
      </c>
      <c r="F326" s="208">
        <v>8029</v>
      </c>
      <c r="G326" s="208">
        <v>4608</v>
      </c>
      <c r="H326" s="208">
        <v>2683</v>
      </c>
      <c r="I326" s="208">
        <v>1928</v>
      </c>
      <c r="J326" s="208">
        <v>1523</v>
      </c>
      <c r="K326" s="208">
        <v>1385</v>
      </c>
      <c r="L326" s="208">
        <v>1705</v>
      </c>
      <c r="M326" s="208">
        <v>2772</v>
      </c>
      <c r="N326" s="208">
        <v>4877</v>
      </c>
    </row>
    <row r="327" spans="1:14" x14ac:dyDescent="0.25">
      <c r="A327" s="208">
        <v>275</v>
      </c>
      <c r="B327" s="47"/>
      <c r="C327" s="208">
        <v>15155</v>
      </c>
      <c r="D327" s="208">
        <v>20528</v>
      </c>
      <c r="E327" s="208">
        <v>23995</v>
      </c>
      <c r="F327" s="208">
        <v>23999</v>
      </c>
      <c r="G327" s="208">
        <v>15616</v>
      </c>
      <c r="H327" s="208">
        <v>7321</v>
      </c>
      <c r="I327" s="208">
        <v>4212</v>
      </c>
      <c r="J327" s="208">
        <v>2957</v>
      </c>
      <c r="K327" s="208">
        <v>2333</v>
      </c>
      <c r="L327" s="208">
        <v>2620</v>
      </c>
      <c r="M327" s="208">
        <v>4346</v>
      </c>
      <c r="N327" s="208">
        <v>8574</v>
      </c>
    </row>
    <row r="328" spans="1:14" x14ac:dyDescent="0.25">
      <c r="A328" s="208">
        <v>276</v>
      </c>
      <c r="B328" s="47"/>
      <c r="C328" s="208">
        <v>6621</v>
      </c>
      <c r="D328" s="208">
        <v>10134</v>
      </c>
      <c r="E328" s="208">
        <v>12568</v>
      </c>
      <c r="F328" s="208">
        <v>13240</v>
      </c>
      <c r="G328" s="208">
        <v>8842</v>
      </c>
      <c r="H328" s="208">
        <v>3664</v>
      </c>
      <c r="I328" s="208">
        <v>1797</v>
      </c>
      <c r="J328" s="208">
        <v>1112</v>
      </c>
      <c r="K328" s="208">
        <v>823</v>
      </c>
      <c r="L328" s="208">
        <v>955</v>
      </c>
      <c r="M328" s="208">
        <v>1653</v>
      </c>
      <c r="N328" s="208">
        <v>3360</v>
      </c>
    </row>
    <row r="329" spans="1:14" x14ac:dyDescent="0.25">
      <c r="A329" s="208">
        <v>277</v>
      </c>
      <c r="B329" s="47"/>
      <c r="C329" s="208">
        <v>143</v>
      </c>
      <c r="D329" s="208">
        <v>208</v>
      </c>
      <c r="E329" s="208">
        <v>320</v>
      </c>
      <c r="F329" s="208">
        <v>406</v>
      </c>
      <c r="G329" s="208">
        <v>389</v>
      </c>
      <c r="H329" s="208">
        <v>267</v>
      </c>
      <c r="I329" s="208">
        <v>198</v>
      </c>
      <c r="J329" s="208">
        <v>149</v>
      </c>
      <c r="K329" s="208">
        <v>129</v>
      </c>
      <c r="L329" s="208">
        <v>115</v>
      </c>
      <c r="M329" s="208">
        <v>115</v>
      </c>
      <c r="N329" s="208">
        <v>119</v>
      </c>
    </row>
    <row r="330" spans="1:14" x14ac:dyDescent="0.25">
      <c r="A330" s="208">
        <v>278</v>
      </c>
      <c r="B330" s="47"/>
      <c r="C330" s="208">
        <v>306</v>
      </c>
      <c r="D330" s="208">
        <v>345</v>
      </c>
      <c r="E330" s="208">
        <v>323</v>
      </c>
      <c r="F330" s="208">
        <v>216</v>
      </c>
      <c r="G330" s="208">
        <v>123</v>
      </c>
      <c r="H330" s="208">
        <v>92</v>
      </c>
      <c r="I330" s="208">
        <v>78</v>
      </c>
      <c r="J330" s="208">
        <v>69</v>
      </c>
      <c r="K330" s="208">
        <v>70</v>
      </c>
      <c r="L330" s="208">
        <v>94</v>
      </c>
      <c r="M330" s="208">
        <v>130</v>
      </c>
      <c r="N330" s="208">
        <v>207</v>
      </c>
    </row>
    <row r="331" spans="1:14" x14ac:dyDescent="0.25">
      <c r="A331" s="208">
        <v>279</v>
      </c>
      <c r="B331" s="47"/>
      <c r="C331" s="208">
        <v>475</v>
      </c>
      <c r="D331" s="208">
        <v>742</v>
      </c>
      <c r="E331" s="208">
        <v>843</v>
      </c>
      <c r="F331" s="208">
        <v>757</v>
      </c>
      <c r="G331" s="208">
        <v>462</v>
      </c>
      <c r="H331" s="208">
        <v>245</v>
      </c>
      <c r="I331" s="208">
        <v>145</v>
      </c>
      <c r="J331" s="208">
        <v>89</v>
      </c>
      <c r="K331" s="208">
        <v>63</v>
      </c>
      <c r="L331" s="208">
        <v>60</v>
      </c>
      <c r="M331" s="208">
        <v>117</v>
      </c>
      <c r="N331" s="208">
        <v>238</v>
      </c>
    </row>
    <row r="332" spans="1:14" x14ac:dyDescent="0.25">
      <c r="A332" s="208">
        <v>280</v>
      </c>
      <c r="B332" s="47"/>
      <c r="C332" s="208">
        <v>529</v>
      </c>
      <c r="D332" s="208">
        <v>989</v>
      </c>
      <c r="E332" s="208">
        <v>1509</v>
      </c>
      <c r="F332" s="208">
        <v>1867</v>
      </c>
      <c r="G332" s="208">
        <v>1996</v>
      </c>
      <c r="H332" s="208">
        <v>1582</v>
      </c>
      <c r="I332" s="208">
        <v>1167</v>
      </c>
      <c r="J332" s="208">
        <v>788</v>
      </c>
      <c r="K332" s="208">
        <v>456</v>
      </c>
      <c r="L332" s="208">
        <v>276</v>
      </c>
      <c r="M332" s="208">
        <v>198</v>
      </c>
      <c r="N332" s="208">
        <v>230</v>
      </c>
    </row>
    <row r="333" spans="1:14" x14ac:dyDescent="0.25">
      <c r="A333" s="208">
        <v>281</v>
      </c>
      <c r="B333" s="47"/>
      <c r="C333" s="208">
        <v>86</v>
      </c>
      <c r="D333" s="208">
        <v>91</v>
      </c>
      <c r="E333" s="208">
        <v>92</v>
      </c>
      <c r="F333" s="208">
        <v>85</v>
      </c>
      <c r="G333" s="208">
        <v>77</v>
      </c>
      <c r="H333" s="208">
        <v>71</v>
      </c>
      <c r="I333" s="208">
        <v>67</v>
      </c>
      <c r="J333" s="208">
        <v>64</v>
      </c>
      <c r="K333" s="208">
        <v>63</v>
      </c>
      <c r="L333" s="208">
        <v>67</v>
      </c>
      <c r="M333" s="208">
        <v>72</v>
      </c>
      <c r="N333" s="208">
        <v>78</v>
      </c>
    </row>
    <row r="334" spans="1:14" x14ac:dyDescent="0.25">
      <c r="A334" s="208">
        <v>282</v>
      </c>
      <c r="B334" s="47"/>
      <c r="C334" s="208">
        <v>100</v>
      </c>
      <c r="D334" s="208">
        <v>106</v>
      </c>
      <c r="E334" s="208">
        <v>106</v>
      </c>
      <c r="F334" s="208">
        <v>90</v>
      </c>
      <c r="G334" s="208">
        <v>73</v>
      </c>
      <c r="H334" s="208">
        <v>65</v>
      </c>
      <c r="I334" s="208">
        <v>60</v>
      </c>
      <c r="J334" s="208">
        <v>56</v>
      </c>
      <c r="K334" s="208">
        <v>57</v>
      </c>
      <c r="L334" s="208">
        <v>62</v>
      </c>
      <c r="M334" s="208">
        <v>71</v>
      </c>
      <c r="N334" s="208">
        <v>86</v>
      </c>
    </row>
    <row r="335" spans="1:14" x14ac:dyDescent="0.25">
      <c r="A335" s="208">
        <v>283</v>
      </c>
      <c r="B335" s="47"/>
      <c r="C335" s="208">
        <v>176</v>
      </c>
      <c r="D335" s="208">
        <v>124</v>
      </c>
      <c r="E335" s="208">
        <v>122</v>
      </c>
      <c r="F335" s="208">
        <v>108</v>
      </c>
      <c r="G335" s="208">
        <v>74</v>
      </c>
      <c r="H335" s="208">
        <v>62</v>
      </c>
      <c r="I335" s="208">
        <v>61</v>
      </c>
      <c r="J335" s="208">
        <v>51</v>
      </c>
      <c r="K335" s="208">
        <v>45</v>
      </c>
      <c r="L335" s="208">
        <v>62</v>
      </c>
      <c r="M335" s="208">
        <v>123</v>
      </c>
      <c r="N335" s="208">
        <v>185</v>
      </c>
    </row>
    <row r="336" spans="1:14" x14ac:dyDescent="0.25">
      <c r="A336" s="208">
        <v>284</v>
      </c>
      <c r="B336" s="47"/>
      <c r="C336" s="208">
        <v>166</v>
      </c>
      <c r="D336" s="208">
        <v>211</v>
      </c>
      <c r="E336" s="208">
        <v>161</v>
      </c>
      <c r="F336" s="208">
        <v>179</v>
      </c>
      <c r="G336" s="208">
        <v>249</v>
      </c>
      <c r="H336" s="208">
        <v>324</v>
      </c>
      <c r="I336" s="208">
        <v>420</v>
      </c>
      <c r="J336" s="208">
        <v>438</v>
      </c>
      <c r="K336" s="208">
        <v>487</v>
      </c>
      <c r="L336" s="208">
        <v>400</v>
      </c>
      <c r="M336" s="208">
        <v>235</v>
      </c>
      <c r="N336" s="208">
        <v>187</v>
      </c>
    </row>
    <row r="337" spans="1:14" x14ac:dyDescent="0.25">
      <c r="A337" s="208">
        <v>285</v>
      </c>
      <c r="B337" s="47"/>
      <c r="C337" s="208">
        <v>23475</v>
      </c>
      <c r="D337" s="208">
        <v>30153</v>
      </c>
      <c r="E337" s="208">
        <v>34783</v>
      </c>
      <c r="F337" s="208">
        <v>33793</v>
      </c>
      <c r="G337" s="208">
        <v>25953</v>
      </c>
      <c r="H337" s="208">
        <v>18042</v>
      </c>
      <c r="I337" s="208">
        <v>11536</v>
      </c>
      <c r="J337" s="208">
        <v>7115</v>
      </c>
      <c r="K337" s="208">
        <v>5318</v>
      </c>
      <c r="L337" s="208">
        <v>6424</v>
      </c>
      <c r="M337" s="208">
        <v>10145</v>
      </c>
      <c r="N337" s="208">
        <v>16181</v>
      </c>
    </row>
    <row r="338" spans="1:14" x14ac:dyDescent="0.25">
      <c r="A338" s="208">
        <v>286</v>
      </c>
      <c r="B338" s="47"/>
      <c r="C338" s="208">
        <v>56</v>
      </c>
      <c r="D338" s="208">
        <v>66</v>
      </c>
      <c r="E338" s="208">
        <v>56</v>
      </c>
      <c r="F338" s="208">
        <v>58</v>
      </c>
      <c r="G338" s="208">
        <v>82</v>
      </c>
      <c r="H338" s="208">
        <v>93</v>
      </c>
      <c r="I338" s="208">
        <v>91</v>
      </c>
      <c r="J338" s="208">
        <v>88</v>
      </c>
      <c r="K338" s="208">
        <v>99</v>
      </c>
      <c r="L338" s="208">
        <v>121</v>
      </c>
      <c r="M338" s="208">
        <v>83</v>
      </c>
      <c r="N338" s="208">
        <v>62</v>
      </c>
    </row>
    <row r="339" spans="1:14" x14ac:dyDescent="0.25">
      <c r="A339" s="208">
        <v>287</v>
      </c>
      <c r="B339" s="47"/>
      <c r="C339" s="208">
        <v>23831</v>
      </c>
      <c r="D339" s="208">
        <v>30604</v>
      </c>
      <c r="E339" s="208">
        <v>35308</v>
      </c>
      <c r="F339" s="208">
        <v>34309</v>
      </c>
      <c r="G339" s="208">
        <v>26349</v>
      </c>
      <c r="H339" s="208">
        <v>18318</v>
      </c>
      <c r="I339" s="208">
        <v>11713</v>
      </c>
      <c r="J339" s="208">
        <v>7223</v>
      </c>
      <c r="K339" s="208">
        <v>5400</v>
      </c>
      <c r="L339" s="208">
        <v>6518</v>
      </c>
      <c r="M339" s="208">
        <v>10298</v>
      </c>
      <c r="N339" s="208">
        <v>16424</v>
      </c>
    </row>
    <row r="340" spans="1:14" x14ac:dyDescent="0.25">
      <c r="A340" s="208">
        <v>288</v>
      </c>
      <c r="B340" s="47"/>
      <c r="C340" s="208">
        <v>8125</v>
      </c>
      <c r="D340" s="208">
        <v>13406</v>
      </c>
      <c r="E340" s="208">
        <v>18188</v>
      </c>
      <c r="F340" s="208">
        <v>21466</v>
      </c>
      <c r="G340" s="208">
        <v>15553</v>
      </c>
      <c r="H340" s="208">
        <v>7399</v>
      </c>
      <c r="I340" s="208">
        <v>2952</v>
      </c>
      <c r="J340" s="208">
        <v>1594</v>
      </c>
      <c r="K340" s="208">
        <v>1089</v>
      </c>
      <c r="L340" s="208">
        <v>1115</v>
      </c>
      <c r="M340" s="208">
        <v>1908</v>
      </c>
      <c r="N340" s="208">
        <v>3893</v>
      </c>
    </row>
    <row r="341" spans="1:14" x14ac:dyDescent="0.25">
      <c r="A341" s="208">
        <v>289</v>
      </c>
      <c r="B341" s="47"/>
      <c r="C341" s="208">
        <v>65</v>
      </c>
      <c r="D341" s="208">
        <v>68</v>
      </c>
      <c r="E341" s="208">
        <v>69</v>
      </c>
      <c r="F341" s="208">
        <v>59</v>
      </c>
      <c r="G341" s="208">
        <v>49</v>
      </c>
      <c r="H341" s="208">
        <v>44</v>
      </c>
      <c r="I341" s="208">
        <v>40</v>
      </c>
      <c r="J341" s="208">
        <v>38</v>
      </c>
      <c r="K341" s="208">
        <v>38</v>
      </c>
      <c r="L341" s="208">
        <v>42</v>
      </c>
      <c r="M341" s="208">
        <v>47</v>
      </c>
      <c r="N341" s="208">
        <v>56</v>
      </c>
    </row>
    <row r="342" spans="1:14" x14ac:dyDescent="0.25">
      <c r="A342" s="208">
        <v>290</v>
      </c>
      <c r="B342" s="47"/>
      <c r="C342" s="208">
        <v>693</v>
      </c>
      <c r="D342" s="208">
        <v>1074</v>
      </c>
      <c r="E342" s="208">
        <v>1361</v>
      </c>
      <c r="F342" s="208">
        <v>1810</v>
      </c>
      <c r="G342" s="208">
        <v>2113</v>
      </c>
      <c r="H342" s="208">
        <v>2082</v>
      </c>
      <c r="I342" s="208">
        <v>1453</v>
      </c>
      <c r="J342" s="208">
        <v>964</v>
      </c>
      <c r="K342" s="208">
        <v>599</v>
      </c>
      <c r="L342" s="208">
        <v>342</v>
      </c>
      <c r="M342" s="208">
        <v>250</v>
      </c>
      <c r="N342" s="208">
        <v>352</v>
      </c>
    </row>
    <row r="343" spans="1:14" x14ac:dyDescent="0.25">
      <c r="A343" s="208">
        <v>291</v>
      </c>
      <c r="B343" s="47"/>
      <c r="C343" s="208">
        <v>505</v>
      </c>
      <c r="D343" s="208">
        <v>747</v>
      </c>
      <c r="E343" s="208">
        <v>834</v>
      </c>
      <c r="F343" s="208">
        <v>729</v>
      </c>
      <c r="G343" s="208">
        <v>463</v>
      </c>
      <c r="H343" s="208">
        <v>216</v>
      </c>
      <c r="I343" s="208">
        <v>99</v>
      </c>
      <c r="J343" s="208">
        <v>57</v>
      </c>
      <c r="K343" s="208">
        <v>47</v>
      </c>
      <c r="L343" s="208">
        <v>54</v>
      </c>
      <c r="M343" s="208">
        <v>94</v>
      </c>
      <c r="N343" s="208">
        <v>229</v>
      </c>
    </row>
    <row r="344" spans="1:14" x14ac:dyDescent="0.25">
      <c r="A344" s="208">
        <v>292</v>
      </c>
      <c r="B344" s="47"/>
      <c r="C344" s="208">
        <v>7025</v>
      </c>
      <c r="D344" s="208">
        <v>11806</v>
      </c>
      <c r="E344" s="208">
        <v>14929</v>
      </c>
      <c r="F344" s="208">
        <v>15442</v>
      </c>
      <c r="G344" s="208">
        <v>12640</v>
      </c>
      <c r="H344" s="208">
        <v>5794</v>
      </c>
      <c r="I344" s="208">
        <v>1850</v>
      </c>
      <c r="J344" s="208">
        <v>694</v>
      </c>
      <c r="K344" s="208">
        <v>346</v>
      </c>
      <c r="L344" s="208">
        <v>428</v>
      </c>
      <c r="M344" s="208">
        <v>1111</v>
      </c>
      <c r="N344" s="208">
        <v>2993</v>
      </c>
    </row>
    <row r="345" spans="1:14" x14ac:dyDescent="0.25">
      <c r="A345" s="208">
        <v>293</v>
      </c>
      <c r="B345" s="47"/>
      <c r="C345" s="208">
        <v>1669</v>
      </c>
      <c r="D345" s="208">
        <v>2538</v>
      </c>
      <c r="E345" s="208">
        <v>4532</v>
      </c>
      <c r="F345" s="208">
        <v>7527</v>
      </c>
      <c r="G345" s="208">
        <v>4002</v>
      </c>
      <c r="H345" s="208">
        <v>2123</v>
      </c>
      <c r="I345" s="208">
        <v>1308</v>
      </c>
      <c r="J345" s="208">
        <v>1012</v>
      </c>
      <c r="K345" s="208">
        <v>820</v>
      </c>
      <c r="L345" s="208">
        <v>765</v>
      </c>
      <c r="M345" s="208">
        <v>931</v>
      </c>
      <c r="N345" s="208">
        <v>1173</v>
      </c>
    </row>
    <row r="346" spans="1:14" x14ac:dyDescent="0.25">
      <c r="A346" s="208">
        <v>294</v>
      </c>
      <c r="B346" s="47"/>
      <c r="C346" s="208">
        <v>243</v>
      </c>
      <c r="D346" s="208">
        <v>263</v>
      </c>
      <c r="E346" s="208">
        <v>264</v>
      </c>
      <c r="F346" s="208">
        <v>212</v>
      </c>
      <c r="G346" s="208">
        <v>165</v>
      </c>
      <c r="H346" s="208">
        <v>144</v>
      </c>
      <c r="I346" s="208">
        <v>128</v>
      </c>
      <c r="J346" s="208">
        <v>119</v>
      </c>
      <c r="K346" s="208">
        <v>122</v>
      </c>
      <c r="L346" s="208">
        <v>140</v>
      </c>
      <c r="M346" s="208">
        <v>165</v>
      </c>
      <c r="N346" s="208">
        <v>206</v>
      </c>
    </row>
    <row r="347" spans="1:14" x14ac:dyDescent="0.25">
      <c r="A347" s="208">
        <v>295</v>
      </c>
      <c r="B347" s="47"/>
      <c r="C347" s="208">
        <v>98</v>
      </c>
      <c r="D347" s="208">
        <v>102</v>
      </c>
      <c r="E347" s="208">
        <v>110</v>
      </c>
      <c r="F347" s="208">
        <v>96</v>
      </c>
      <c r="G347" s="208">
        <v>84</v>
      </c>
      <c r="H347" s="208">
        <v>79</v>
      </c>
      <c r="I347" s="208">
        <v>76</v>
      </c>
      <c r="J347" s="208">
        <v>72</v>
      </c>
      <c r="K347" s="208">
        <v>71</v>
      </c>
      <c r="L347" s="208">
        <v>75</v>
      </c>
      <c r="M347" s="208">
        <v>79</v>
      </c>
      <c r="N347" s="208">
        <v>88</v>
      </c>
    </row>
    <row r="348" spans="1:14" x14ac:dyDescent="0.25">
      <c r="A348" s="208">
        <v>296</v>
      </c>
      <c r="B348" s="47"/>
      <c r="C348" s="208">
        <v>35</v>
      </c>
      <c r="D348" s="208">
        <v>37</v>
      </c>
      <c r="E348" s="208">
        <v>39</v>
      </c>
      <c r="F348" s="208">
        <v>37</v>
      </c>
      <c r="G348" s="208">
        <v>34</v>
      </c>
      <c r="H348" s="208">
        <v>32</v>
      </c>
      <c r="I348" s="208">
        <v>30</v>
      </c>
      <c r="J348" s="208">
        <v>29</v>
      </c>
      <c r="K348" s="208">
        <v>29</v>
      </c>
      <c r="L348" s="208">
        <v>30</v>
      </c>
      <c r="M348" s="208">
        <v>31</v>
      </c>
      <c r="N348" s="208">
        <v>33</v>
      </c>
    </row>
    <row r="349" spans="1:14" x14ac:dyDescent="0.25">
      <c r="A349" s="208">
        <v>297</v>
      </c>
      <c r="B349" s="47"/>
      <c r="C349" s="208">
        <v>534</v>
      </c>
      <c r="D349" s="208">
        <v>998</v>
      </c>
      <c r="E349" s="208">
        <v>1522</v>
      </c>
      <c r="F349" s="208">
        <v>1884</v>
      </c>
      <c r="G349" s="208">
        <v>2014</v>
      </c>
      <c r="H349" s="208">
        <v>1596</v>
      </c>
      <c r="I349" s="208">
        <v>1178</v>
      </c>
      <c r="J349" s="208">
        <v>795</v>
      </c>
      <c r="K349" s="208">
        <v>460</v>
      </c>
      <c r="L349" s="208">
        <v>279</v>
      </c>
      <c r="M349" s="208">
        <v>200</v>
      </c>
      <c r="N349" s="208">
        <v>232</v>
      </c>
    </row>
    <row r="350" spans="1:14" x14ac:dyDescent="0.25">
      <c r="A350" s="208">
        <v>298</v>
      </c>
      <c r="B350" s="47"/>
      <c r="C350" s="208">
        <v>159</v>
      </c>
      <c r="D350" s="208">
        <v>158</v>
      </c>
      <c r="E350" s="208">
        <v>159</v>
      </c>
      <c r="F350" s="208">
        <v>156</v>
      </c>
      <c r="G350" s="208">
        <v>140</v>
      </c>
      <c r="H350" s="208">
        <v>121</v>
      </c>
      <c r="I350" s="208">
        <v>106</v>
      </c>
      <c r="J350" s="208">
        <v>93</v>
      </c>
      <c r="K350" s="208">
        <v>93</v>
      </c>
      <c r="L350" s="208">
        <v>111</v>
      </c>
      <c r="M350" s="208">
        <v>135</v>
      </c>
      <c r="N350" s="208">
        <v>155</v>
      </c>
    </row>
    <row r="351" spans="1:14" x14ac:dyDescent="0.25">
      <c r="A351" s="208">
        <v>299</v>
      </c>
      <c r="B351" s="47"/>
      <c r="C351" s="208">
        <v>889</v>
      </c>
      <c r="D351" s="208">
        <v>892</v>
      </c>
      <c r="E351" s="208">
        <v>822</v>
      </c>
      <c r="F351" s="208">
        <v>551</v>
      </c>
      <c r="G351" s="208">
        <v>362</v>
      </c>
      <c r="H351" s="208">
        <v>301</v>
      </c>
      <c r="I351" s="208">
        <v>250</v>
      </c>
      <c r="J351" s="208">
        <v>212</v>
      </c>
      <c r="K351" s="208">
        <v>217</v>
      </c>
      <c r="L351" s="208">
        <v>259</v>
      </c>
      <c r="M351" s="208">
        <v>367</v>
      </c>
      <c r="N351" s="208">
        <v>602</v>
      </c>
    </row>
    <row r="352" spans="1:14" x14ac:dyDescent="0.25">
      <c r="A352" s="208">
        <v>300</v>
      </c>
      <c r="B352" s="47"/>
      <c r="C352" s="208">
        <v>0</v>
      </c>
      <c r="D352" s="208">
        <v>0</v>
      </c>
      <c r="E352" s="208">
        <v>0</v>
      </c>
      <c r="F352" s="208">
        <v>0</v>
      </c>
      <c r="G352" s="208">
        <v>0</v>
      </c>
      <c r="H352" s="208">
        <v>0</v>
      </c>
      <c r="I352" s="208">
        <v>0</v>
      </c>
      <c r="J352" s="208">
        <v>0</v>
      </c>
      <c r="K352" s="208">
        <v>0</v>
      </c>
      <c r="L352" s="208">
        <v>0</v>
      </c>
      <c r="M352" s="208">
        <v>0</v>
      </c>
      <c r="N352" s="208">
        <v>0</v>
      </c>
    </row>
    <row r="353" spans="1:14" x14ac:dyDescent="0.25">
      <c r="A353" s="208">
        <v>301</v>
      </c>
      <c r="B353" s="47"/>
      <c r="C353" s="208">
        <v>30</v>
      </c>
      <c r="D353" s="208">
        <v>30</v>
      </c>
      <c r="E353" s="208">
        <v>27</v>
      </c>
      <c r="F353" s="208">
        <v>18</v>
      </c>
      <c r="G353" s="208">
        <v>13</v>
      </c>
      <c r="H353" s="208">
        <v>11</v>
      </c>
      <c r="I353" s="208">
        <v>10</v>
      </c>
      <c r="J353" s="208">
        <v>9</v>
      </c>
      <c r="K353" s="208">
        <v>14</v>
      </c>
      <c r="L353" s="208">
        <v>18</v>
      </c>
      <c r="M353" s="208">
        <v>18</v>
      </c>
      <c r="N353" s="208">
        <v>24</v>
      </c>
    </row>
    <row r="354" spans="1:14" x14ac:dyDescent="0.25">
      <c r="A354" s="208">
        <v>302</v>
      </c>
      <c r="B354" s="47"/>
      <c r="C354" s="208">
        <v>1232</v>
      </c>
      <c r="D354" s="208">
        <v>2641</v>
      </c>
      <c r="E354" s="208">
        <v>6228</v>
      </c>
      <c r="F354" s="208">
        <v>10039</v>
      </c>
      <c r="G354" s="208">
        <v>4806</v>
      </c>
      <c r="H354" s="208">
        <v>1605</v>
      </c>
      <c r="I354" s="208">
        <v>1101</v>
      </c>
      <c r="J354" s="208">
        <v>900</v>
      </c>
      <c r="K354" s="208">
        <v>743</v>
      </c>
      <c r="L354" s="208">
        <v>687</v>
      </c>
      <c r="M354" s="208">
        <v>797</v>
      </c>
      <c r="N354" s="208">
        <v>900</v>
      </c>
    </row>
    <row r="355" spans="1:14" x14ac:dyDescent="0.25">
      <c r="A355" s="208">
        <v>303</v>
      </c>
      <c r="B355" s="47"/>
      <c r="C355" s="208">
        <v>46</v>
      </c>
      <c r="D355" s="208">
        <v>46</v>
      </c>
      <c r="E355" s="208">
        <v>46</v>
      </c>
      <c r="F355" s="208">
        <v>41</v>
      </c>
      <c r="G355" s="208">
        <v>28</v>
      </c>
      <c r="H355" s="208">
        <v>18</v>
      </c>
      <c r="I355" s="208">
        <v>12</v>
      </c>
      <c r="J355" s="208">
        <v>9</v>
      </c>
      <c r="K355" s="208">
        <v>10</v>
      </c>
      <c r="L355" s="208">
        <v>15</v>
      </c>
      <c r="M355" s="208">
        <v>26</v>
      </c>
      <c r="N355" s="208">
        <v>41</v>
      </c>
    </row>
    <row r="356" spans="1:14" x14ac:dyDescent="0.25">
      <c r="A356" s="208">
        <v>304</v>
      </c>
      <c r="B356" s="47"/>
      <c r="C356" s="208">
        <v>3</v>
      </c>
      <c r="D356" s="208">
        <v>4</v>
      </c>
      <c r="E356" s="208">
        <v>2</v>
      </c>
      <c r="F356" s="208">
        <v>0</v>
      </c>
      <c r="G356" s="208">
        <v>0</v>
      </c>
      <c r="H356" s="208">
        <v>0</v>
      </c>
      <c r="I356" s="208">
        <v>0</v>
      </c>
      <c r="J356" s="208">
        <v>0</v>
      </c>
      <c r="K356" s="208">
        <v>0</v>
      </c>
      <c r="L356" s="208">
        <v>0</v>
      </c>
      <c r="M356" s="208">
        <v>0</v>
      </c>
      <c r="N356" s="208">
        <v>1</v>
      </c>
    </row>
    <row r="357" spans="1:14" x14ac:dyDescent="0.25">
      <c r="A357" s="208">
        <v>305</v>
      </c>
      <c r="B357" s="47"/>
      <c r="C357" s="208">
        <v>0</v>
      </c>
      <c r="D357" s="208">
        <v>0</v>
      </c>
      <c r="E357" s="208">
        <v>0</v>
      </c>
      <c r="F357" s="208">
        <v>0</v>
      </c>
      <c r="G357" s="208">
        <v>0</v>
      </c>
      <c r="H357" s="208">
        <v>0</v>
      </c>
      <c r="I357" s="208">
        <v>0</v>
      </c>
      <c r="J357" s="208">
        <v>0</v>
      </c>
      <c r="K357" s="208">
        <v>0</v>
      </c>
      <c r="L357" s="208">
        <v>0</v>
      </c>
      <c r="M357" s="208">
        <v>0</v>
      </c>
      <c r="N357" s="208">
        <v>0</v>
      </c>
    </row>
    <row r="358" spans="1:14" x14ac:dyDescent="0.25">
      <c r="A358" s="208">
        <v>306</v>
      </c>
      <c r="B358" s="47"/>
      <c r="C358" s="208">
        <v>190</v>
      </c>
      <c r="D358" s="208">
        <v>189</v>
      </c>
      <c r="E358" s="208">
        <v>190</v>
      </c>
      <c r="F358" s="208">
        <v>184</v>
      </c>
      <c r="G358" s="208">
        <v>163</v>
      </c>
      <c r="H358" s="208">
        <v>140</v>
      </c>
      <c r="I358" s="208">
        <v>122</v>
      </c>
      <c r="J358" s="208">
        <v>106</v>
      </c>
      <c r="K358" s="208">
        <v>107</v>
      </c>
      <c r="L358" s="208">
        <v>127</v>
      </c>
      <c r="M358" s="208">
        <v>157</v>
      </c>
      <c r="N358" s="208">
        <v>183</v>
      </c>
    </row>
    <row r="359" spans="1:14" x14ac:dyDescent="0.25">
      <c r="A359" s="208">
        <v>307</v>
      </c>
      <c r="B359" s="47"/>
      <c r="C359" s="208">
        <v>0</v>
      </c>
      <c r="D359" s="208">
        <v>0</v>
      </c>
      <c r="E359" s="208">
        <v>0</v>
      </c>
      <c r="F359" s="208">
        <v>0</v>
      </c>
      <c r="G359" s="208">
        <v>0</v>
      </c>
      <c r="H359" s="208">
        <v>0</v>
      </c>
      <c r="I359" s="208">
        <v>0</v>
      </c>
      <c r="J359" s="208">
        <v>0</v>
      </c>
      <c r="K359" s="208">
        <v>0</v>
      </c>
      <c r="L359" s="208">
        <v>0</v>
      </c>
      <c r="M359" s="208">
        <v>0</v>
      </c>
      <c r="N359" s="208">
        <v>0</v>
      </c>
    </row>
    <row r="360" spans="1:14" x14ac:dyDescent="0.25">
      <c r="A360" s="208">
        <v>308</v>
      </c>
      <c r="B360" s="47"/>
      <c r="C360" s="208">
        <v>0</v>
      </c>
      <c r="D360" s="208">
        <v>0</v>
      </c>
      <c r="E360" s="208">
        <v>0</v>
      </c>
      <c r="F360" s="208">
        <v>0</v>
      </c>
      <c r="G360" s="208">
        <v>0</v>
      </c>
      <c r="H360" s="208">
        <v>0</v>
      </c>
      <c r="I360" s="208">
        <v>0</v>
      </c>
      <c r="J360" s="208">
        <v>0</v>
      </c>
      <c r="K360" s="208">
        <v>0</v>
      </c>
      <c r="L360" s="208">
        <v>0</v>
      </c>
      <c r="M360" s="208">
        <v>0</v>
      </c>
      <c r="N360" s="208">
        <v>0</v>
      </c>
    </row>
    <row r="361" spans="1:14" x14ac:dyDescent="0.25">
      <c r="A361" s="208">
        <v>309</v>
      </c>
      <c r="B361" s="47"/>
      <c r="C361" s="208">
        <v>0</v>
      </c>
      <c r="D361" s="208">
        <v>0</v>
      </c>
      <c r="E361" s="208">
        <v>0</v>
      </c>
      <c r="F361" s="208">
        <v>0</v>
      </c>
      <c r="G361" s="208">
        <v>0</v>
      </c>
      <c r="H361" s="208">
        <v>0</v>
      </c>
      <c r="I361" s="208">
        <v>0</v>
      </c>
      <c r="J361" s="208">
        <v>0</v>
      </c>
      <c r="K361" s="208">
        <v>0</v>
      </c>
      <c r="L361" s="208">
        <v>0</v>
      </c>
      <c r="M361" s="208">
        <v>0</v>
      </c>
      <c r="N361" s="208">
        <v>0</v>
      </c>
    </row>
    <row r="362" spans="1:14" x14ac:dyDescent="0.25">
      <c r="A362" s="208">
        <v>310</v>
      </c>
      <c r="B362" s="47"/>
      <c r="C362" s="208">
        <v>0</v>
      </c>
      <c r="D362" s="208">
        <v>0</v>
      </c>
      <c r="E362" s="208">
        <v>0</v>
      </c>
      <c r="F362" s="208">
        <v>0</v>
      </c>
      <c r="G362" s="208">
        <v>0</v>
      </c>
      <c r="H362" s="208">
        <v>0</v>
      </c>
      <c r="I362" s="208">
        <v>0</v>
      </c>
      <c r="J362" s="208">
        <v>0</v>
      </c>
      <c r="K362" s="208">
        <v>0</v>
      </c>
      <c r="L362" s="208">
        <v>0</v>
      </c>
      <c r="M362" s="208">
        <v>0</v>
      </c>
      <c r="N362" s="208">
        <v>0</v>
      </c>
    </row>
    <row r="363" spans="1:14" x14ac:dyDescent="0.25">
      <c r="A363" s="208">
        <v>311</v>
      </c>
      <c r="B363" s="47"/>
      <c r="C363" s="208">
        <v>0</v>
      </c>
      <c r="D363" s="208">
        <v>0</v>
      </c>
      <c r="E363" s="208">
        <v>0</v>
      </c>
      <c r="F363" s="208">
        <v>0</v>
      </c>
      <c r="G363" s="208">
        <v>0</v>
      </c>
      <c r="H363" s="208">
        <v>0</v>
      </c>
      <c r="I363" s="208">
        <v>0</v>
      </c>
      <c r="J363" s="208">
        <v>0</v>
      </c>
      <c r="K363" s="208">
        <v>0</v>
      </c>
      <c r="L363" s="208">
        <v>0</v>
      </c>
      <c r="M363" s="208">
        <v>0</v>
      </c>
      <c r="N363" s="208">
        <v>0</v>
      </c>
    </row>
    <row r="364" spans="1:14" x14ac:dyDescent="0.25">
      <c r="A364" s="208">
        <v>312</v>
      </c>
      <c r="B364" s="47"/>
      <c r="C364" s="208">
        <v>0</v>
      </c>
      <c r="D364" s="208">
        <v>0</v>
      </c>
      <c r="E364" s="208">
        <v>0</v>
      </c>
      <c r="F364" s="208">
        <v>0</v>
      </c>
      <c r="G364" s="208">
        <v>0</v>
      </c>
      <c r="H364" s="208">
        <v>0</v>
      </c>
      <c r="I364" s="208">
        <v>0</v>
      </c>
      <c r="J364" s="208">
        <v>0</v>
      </c>
      <c r="K364" s="208">
        <v>0</v>
      </c>
      <c r="L364" s="208">
        <v>0</v>
      </c>
      <c r="M364" s="208">
        <v>0</v>
      </c>
      <c r="N364" s="208">
        <v>0</v>
      </c>
    </row>
    <row r="365" spans="1:14" x14ac:dyDescent="0.25">
      <c r="A365" s="208">
        <v>313</v>
      </c>
      <c r="B365" s="47"/>
      <c r="C365" s="208">
        <v>320</v>
      </c>
      <c r="D365" s="208">
        <v>358</v>
      </c>
      <c r="E365" s="208">
        <v>362</v>
      </c>
      <c r="F365" s="208">
        <v>280</v>
      </c>
      <c r="G365" s="208">
        <v>196</v>
      </c>
      <c r="H365" s="208">
        <v>154</v>
      </c>
      <c r="I365" s="208">
        <v>129</v>
      </c>
      <c r="J365" s="208">
        <v>112</v>
      </c>
      <c r="K365" s="208">
        <v>115</v>
      </c>
      <c r="L365" s="208">
        <v>142</v>
      </c>
      <c r="M365" s="208">
        <v>184</v>
      </c>
      <c r="N365" s="208">
        <v>258</v>
      </c>
    </row>
    <row r="366" spans="1:14" x14ac:dyDescent="0.25">
      <c r="A366" s="208">
        <v>314</v>
      </c>
      <c r="B366" s="47"/>
      <c r="C366" s="208">
        <v>942</v>
      </c>
      <c r="D366" s="208">
        <v>948</v>
      </c>
      <c r="E366" s="208">
        <v>877</v>
      </c>
      <c r="F366" s="208">
        <v>594</v>
      </c>
      <c r="G366" s="208">
        <v>390</v>
      </c>
      <c r="H366" s="208">
        <v>325</v>
      </c>
      <c r="I366" s="208">
        <v>270</v>
      </c>
      <c r="J366" s="208">
        <v>229</v>
      </c>
      <c r="K366" s="208">
        <v>233</v>
      </c>
      <c r="L366" s="208">
        <v>277</v>
      </c>
      <c r="M366" s="208">
        <v>391</v>
      </c>
      <c r="N366" s="208">
        <v>637</v>
      </c>
    </row>
    <row r="367" spans="1:14" x14ac:dyDescent="0.25">
      <c r="A367" s="208">
        <v>315</v>
      </c>
      <c r="B367" s="47"/>
      <c r="C367" s="208">
        <v>180</v>
      </c>
      <c r="D367" s="208">
        <v>180</v>
      </c>
      <c r="E367" s="208">
        <v>178</v>
      </c>
      <c r="F367" s="208">
        <v>169</v>
      </c>
      <c r="G367" s="208">
        <v>148</v>
      </c>
      <c r="H367" s="208">
        <v>127</v>
      </c>
      <c r="I367" s="208">
        <v>112</v>
      </c>
      <c r="J367" s="208">
        <v>97</v>
      </c>
      <c r="K367" s="208">
        <v>98</v>
      </c>
      <c r="L367" s="208">
        <v>116</v>
      </c>
      <c r="M367" s="208">
        <v>143</v>
      </c>
      <c r="N367" s="208">
        <v>169</v>
      </c>
    </row>
    <row r="368" spans="1:14" x14ac:dyDescent="0.25">
      <c r="A368" s="208">
        <v>316</v>
      </c>
      <c r="B368" s="47"/>
      <c r="C368" s="208">
        <v>176</v>
      </c>
      <c r="D368" s="208">
        <v>176</v>
      </c>
      <c r="E368" s="208">
        <v>176</v>
      </c>
      <c r="F368" s="208">
        <v>169</v>
      </c>
      <c r="G368" s="208">
        <v>148</v>
      </c>
      <c r="H368" s="208">
        <v>127</v>
      </c>
      <c r="I368" s="208">
        <v>112</v>
      </c>
      <c r="J368" s="208">
        <v>97</v>
      </c>
      <c r="K368" s="208">
        <v>98</v>
      </c>
      <c r="L368" s="208">
        <v>116</v>
      </c>
      <c r="M368" s="208">
        <v>143</v>
      </c>
      <c r="N368" s="208">
        <v>168</v>
      </c>
    </row>
    <row r="369" spans="1:14" x14ac:dyDescent="0.25">
      <c r="A369" s="208">
        <v>317</v>
      </c>
      <c r="B369" s="47"/>
      <c r="C369" s="208">
        <v>4</v>
      </c>
      <c r="D369" s="208">
        <v>5</v>
      </c>
      <c r="E369" s="208">
        <v>3</v>
      </c>
      <c r="F369" s="208">
        <v>1</v>
      </c>
      <c r="G369" s="208">
        <v>0</v>
      </c>
      <c r="H369" s="208">
        <v>0</v>
      </c>
      <c r="I369" s="208">
        <v>0</v>
      </c>
      <c r="J369" s="208">
        <v>0</v>
      </c>
      <c r="K369" s="208">
        <v>0</v>
      </c>
      <c r="L369" s="208">
        <v>0</v>
      </c>
      <c r="M369" s="208">
        <v>0</v>
      </c>
      <c r="N369" s="208">
        <v>1</v>
      </c>
    </row>
    <row r="370" spans="1:14" x14ac:dyDescent="0.25">
      <c r="A370" s="208">
        <v>318</v>
      </c>
      <c r="B370" s="47"/>
      <c r="C370" s="208">
        <v>64</v>
      </c>
      <c r="D370" s="208">
        <v>66</v>
      </c>
      <c r="E370" s="208">
        <v>58</v>
      </c>
      <c r="F370" s="208">
        <v>41</v>
      </c>
      <c r="G370" s="208">
        <v>31</v>
      </c>
      <c r="H370" s="208">
        <v>29</v>
      </c>
      <c r="I370" s="208">
        <v>24</v>
      </c>
      <c r="J370" s="208">
        <v>21</v>
      </c>
      <c r="K370" s="208">
        <v>29</v>
      </c>
      <c r="L370" s="208">
        <v>36</v>
      </c>
      <c r="M370" s="208">
        <v>37</v>
      </c>
      <c r="N370" s="208">
        <v>49</v>
      </c>
    </row>
    <row r="371" spans="1:14" x14ac:dyDescent="0.25">
      <c r="A371" s="208">
        <v>319</v>
      </c>
      <c r="B371" s="47"/>
      <c r="C371" s="208">
        <v>58</v>
      </c>
      <c r="D371" s="208">
        <v>60</v>
      </c>
      <c r="E371" s="208">
        <v>53</v>
      </c>
      <c r="F371" s="208">
        <v>37</v>
      </c>
      <c r="G371" s="208">
        <v>29</v>
      </c>
      <c r="H371" s="208">
        <v>26</v>
      </c>
      <c r="I371" s="208">
        <v>22</v>
      </c>
      <c r="J371" s="208">
        <v>20</v>
      </c>
      <c r="K371" s="208">
        <v>26</v>
      </c>
      <c r="L371" s="208">
        <v>33</v>
      </c>
      <c r="M371" s="208">
        <v>34</v>
      </c>
      <c r="N371" s="208">
        <v>45</v>
      </c>
    </row>
    <row r="372" spans="1:14" x14ac:dyDescent="0.25">
      <c r="A372" s="208">
        <v>320</v>
      </c>
      <c r="B372" s="47"/>
      <c r="C372" s="208">
        <v>31</v>
      </c>
      <c r="D372" s="208">
        <v>31</v>
      </c>
      <c r="E372" s="208">
        <v>27</v>
      </c>
      <c r="F372" s="208">
        <v>19</v>
      </c>
      <c r="G372" s="208">
        <v>13</v>
      </c>
      <c r="H372" s="208">
        <v>11</v>
      </c>
      <c r="I372" s="208">
        <v>10</v>
      </c>
      <c r="J372" s="208">
        <v>9</v>
      </c>
      <c r="K372" s="208">
        <v>14</v>
      </c>
      <c r="L372" s="208">
        <v>19</v>
      </c>
      <c r="M372" s="208">
        <v>18</v>
      </c>
      <c r="N372" s="208">
        <v>24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BA8CDC"/>
  </sheetPr>
  <dimension ref="A1:P275"/>
  <sheetViews>
    <sheetView workbookViewId="0">
      <selection sqref="A1:A4"/>
    </sheetView>
  </sheetViews>
  <sheetFormatPr defaultRowHeight="15" outlineLevelRow="2" x14ac:dyDescent="0.25"/>
  <cols>
    <col min="1" max="1" width="6.85546875" style="113" bestFit="1" customWidth="1"/>
    <col min="2" max="2" width="23.7109375" style="113" bestFit="1" customWidth="1"/>
    <col min="3" max="3" width="1.7109375" style="93" customWidth="1"/>
    <col min="4" max="8" width="12.140625" style="113" bestFit="1" customWidth="1"/>
    <col min="9" max="9" width="12.28515625" style="113" customWidth="1"/>
    <col min="10" max="16384" width="9.140625" style="113"/>
  </cols>
  <sheetData>
    <row r="1" spans="1:16" x14ac:dyDescent="0.25">
      <c r="A1" s="323" t="s">
        <v>39</v>
      </c>
      <c r="B1" s="325" t="s">
        <v>40</v>
      </c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13" t="s">
        <v>531</v>
      </c>
    </row>
    <row r="2" spans="1:16" x14ac:dyDescent="0.25">
      <c r="A2" s="324"/>
      <c r="B2" s="326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113" t="str">
        <f>P1&amp;"!$A$53:$N$372"</f>
        <v>Entrada!$A$53:$N$372</v>
      </c>
    </row>
    <row r="3" spans="1:16" x14ac:dyDescent="0.25">
      <c r="A3" s="324"/>
      <c r="B3" s="326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</row>
    <row r="4" spans="1:16" x14ac:dyDescent="0.25">
      <c r="A4" s="324"/>
      <c r="B4" s="326"/>
      <c r="D4" s="79" t="s">
        <v>505</v>
      </c>
      <c r="E4" s="79" t="s">
        <v>506</v>
      </c>
      <c r="F4" s="79" t="s">
        <v>507</v>
      </c>
      <c r="G4" s="79" t="s">
        <v>508</v>
      </c>
      <c r="H4" s="79" t="s">
        <v>509</v>
      </c>
      <c r="I4" s="79" t="s">
        <v>510</v>
      </c>
      <c r="J4" s="79" t="s">
        <v>511</v>
      </c>
      <c r="K4" s="79" t="s">
        <v>512</v>
      </c>
      <c r="L4" s="79" t="s">
        <v>513</v>
      </c>
      <c r="M4" s="79" t="s">
        <v>514</v>
      </c>
      <c r="N4" s="79" t="s">
        <v>515</v>
      </c>
      <c r="O4" s="79" t="s">
        <v>516</v>
      </c>
    </row>
    <row r="5" spans="1:16" x14ac:dyDescent="0.25">
      <c r="A5" s="91"/>
      <c r="B5" s="92"/>
      <c r="D5" s="94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</row>
    <row r="6" spans="1:16" hidden="1" outlineLevel="1" x14ac:dyDescent="0.25">
      <c r="A6" s="63"/>
      <c r="B6" s="64"/>
      <c r="D6" s="327" t="s">
        <v>41</v>
      </c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</row>
    <row r="7" spans="1:16" hidden="1" outlineLevel="2" x14ac:dyDescent="0.25">
      <c r="A7" s="61">
        <v>1</v>
      </c>
      <c r="B7" s="62" t="s">
        <v>42</v>
      </c>
      <c r="D7" s="65">
        <f ca="1">VLOOKUP($A7,INDIRECT($P$2),COLUMN()-1,FALSE)*VLOOKUP($A7,Usinas!$C:$D,2,FALSE)</f>
        <v>50.063400000000001</v>
      </c>
      <c r="E7" s="65">
        <f ca="1">VLOOKUP($A7,INDIRECT($P$2),COLUMN()-1,FALSE)*VLOOKUP($A7,Usinas!$C:$D,2,FALSE)</f>
        <v>45.332999999999998</v>
      </c>
      <c r="F7" s="65">
        <f ca="1">VLOOKUP($A7,INDIRECT($P$2),COLUMN()-1,FALSE)*VLOOKUP($A7,Usinas!$C:$D,2,FALSE)</f>
        <v>40.208399999999997</v>
      </c>
      <c r="G7" s="65">
        <f ca="1">VLOOKUP($A7,INDIRECT($P$2),COLUMN()-1,FALSE)*VLOOKUP($A7,Usinas!$C:$D,2,FALSE)</f>
        <v>27.396899999999999</v>
      </c>
      <c r="H7" s="65">
        <f ca="1">VLOOKUP($A7,INDIRECT($P$2),COLUMN()-1,FALSE)*VLOOKUP($A7,Usinas!$C:$D,2,FALSE)</f>
        <v>20.695499999999999</v>
      </c>
      <c r="I7" s="65">
        <f ca="1">VLOOKUP($A7,INDIRECT($P$2),COLUMN()-1,FALSE)*VLOOKUP($A7,Usinas!$C:$D,2,FALSE)</f>
        <v>17.541899999999998</v>
      </c>
      <c r="J7" s="65">
        <f ca="1">VLOOKUP($A7,INDIRECT($P$2),COLUMN()-1,FALSE)*VLOOKUP($A7,Usinas!$C:$D,2,FALSE)</f>
        <v>14.5854</v>
      </c>
      <c r="K7" s="65">
        <f ca="1">VLOOKUP($A7,INDIRECT($P$2),COLUMN()-1,FALSE)*VLOOKUP($A7,Usinas!$C:$D,2,FALSE)</f>
        <v>12.6144</v>
      </c>
      <c r="L7" s="65">
        <f ca="1">VLOOKUP($A7,INDIRECT($P$2),COLUMN()-1,FALSE)*VLOOKUP($A7,Usinas!$C:$D,2,FALSE)</f>
        <v>13.2057</v>
      </c>
      <c r="M7" s="65">
        <f ca="1">VLOOKUP($A7,INDIRECT($P$2),COLUMN()-1,FALSE)*VLOOKUP($A7,Usinas!$C:$D,2,FALSE)</f>
        <v>15.5709</v>
      </c>
      <c r="N7" s="65">
        <f ca="1">VLOOKUP($A7,INDIRECT($P$2),COLUMN()-1,FALSE)*VLOOKUP($A7,Usinas!$C:$D,2,FALSE)</f>
        <v>21.8781</v>
      </c>
      <c r="O7" s="65">
        <f ca="1">VLOOKUP($A7,INDIRECT($P$2),COLUMN()-1,FALSE)*VLOOKUP($A7,Usinas!$C:$D,2,FALSE)</f>
        <v>35.872199999999999</v>
      </c>
    </row>
    <row r="8" spans="1:16" hidden="1" outlineLevel="2" x14ac:dyDescent="0.25">
      <c r="A8" s="61">
        <v>2</v>
      </c>
      <c r="B8" s="62" t="s">
        <v>43</v>
      </c>
      <c r="D8" s="65">
        <f ca="1">VLOOKUP($A8,INDIRECT($P$2),COLUMN()-1,FALSE)*VLOOKUP($A8,Usinas!$C:$D,2,FALSE)</f>
        <v>62.153799999999997</v>
      </c>
      <c r="E8" s="65">
        <f ca="1">VLOOKUP($A8,INDIRECT($P$2),COLUMN()-1,FALSE)*VLOOKUP($A8,Usinas!$C:$D,2,FALSE)</f>
        <v>56.280999999999999</v>
      </c>
      <c r="F8" s="65">
        <f ca="1">VLOOKUP($A8,INDIRECT($P$2),COLUMN()-1,FALSE)*VLOOKUP($A8,Usinas!$C:$D,2,FALSE)</f>
        <v>49.918799999999997</v>
      </c>
      <c r="G8" s="65">
        <f ca="1">VLOOKUP($A8,INDIRECT($P$2),COLUMN()-1,FALSE)*VLOOKUP($A8,Usinas!$C:$D,2,FALSE)</f>
        <v>34.013300000000001</v>
      </c>
      <c r="H8" s="65">
        <f ca="1">VLOOKUP($A8,INDIRECT($P$2),COLUMN()-1,FALSE)*VLOOKUP($A8,Usinas!$C:$D,2,FALSE)</f>
        <v>25.6935</v>
      </c>
      <c r="I8" s="65">
        <f ca="1">VLOOKUP($A8,INDIRECT($P$2),COLUMN()-1,FALSE)*VLOOKUP($A8,Usinas!$C:$D,2,FALSE)</f>
        <v>21.778300000000002</v>
      </c>
      <c r="J8" s="65">
        <f ca="1">VLOOKUP($A8,INDIRECT($P$2),COLUMN()-1,FALSE)*VLOOKUP($A8,Usinas!$C:$D,2,FALSE)</f>
        <v>18.107800000000001</v>
      </c>
      <c r="K8" s="65">
        <f ca="1">VLOOKUP($A8,INDIRECT($P$2),COLUMN()-1,FALSE)*VLOOKUP($A8,Usinas!$C:$D,2,FALSE)</f>
        <v>15.6608</v>
      </c>
      <c r="L8" s="65">
        <f ca="1">VLOOKUP($A8,INDIRECT($P$2),COLUMN()-1,FALSE)*VLOOKUP($A8,Usinas!$C:$D,2,FALSE)</f>
        <v>16.3949</v>
      </c>
      <c r="M8" s="65">
        <f ca="1">VLOOKUP($A8,INDIRECT($P$2),COLUMN()-1,FALSE)*VLOOKUP($A8,Usinas!$C:$D,2,FALSE)</f>
        <v>19.331299999999999</v>
      </c>
      <c r="N8" s="65">
        <f ca="1">VLOOKUP($A8,INDIRECT($P$2),COLUMN()-1,FALSE)*VLOOKUP($A8,Usinas!$C:$D,2,FALSE)</f>
        <v>27.1617</v>
      </c>
      <c r="O8" s="65">
        <f ca="1">VLOOKUP($A8,INDIRECT($P$2),COLUMN()-1,FALSE)*VLOOKUP($A8,Usinas!$C:$D,2,FALSE)</f>
        <v>44.535400000000003</v>
      </c>
    </row>
    <row r="9" spans="1:16" hidden="1" outlineLevel="2" x14ac:dyDescent="0.25">
      <c r="A9" s="61">
        <v>211</v>
      </c>
      <c r="B9" s="62" t="s">
        <v>44</v>
      </c>
      <c r="D9" s="65">
        <f ca="1">VLOOKUP($A9,INDIRECT($P$2),COLUMN()-1,FALSE)*VLOOKUP($A9,Usinas!$C:$D,2,FALSE)</f>
        <v>205.69149999999999</v>
      </c>
      <c r="E9" s="65">
        <f ca="1">VLOOKUP($A9,INDIRECT($P$2),COLUMN()-1,FALSE)*VLOOKUP($A9,Usinas!$C:$D,2,FALSE)</f>
        <v>182.18389999999999</v>
      </c>
      <c r="F9" s="65">
        <f ca="1">VLOOKUP($A9,INDIRECT($P$2),COLUMN()-1,FALSE)*VLOOKUP($A9,Usinas!$C:$D,2,FALSE)</f>
        <v>161.09620000000001</v>
      </c>
      <c r="G9" s="65">
        <f ca="1">VLOOKUP($A9,INDIRECT($P$2),COLUMN()-1,FALSE)*VLOOKUP($A9,Usinas!$C:$D,2,FALSE)</f>
        <v>111.3154</v>
      </c>
      <c r="H9" s="65">
        <f ca="1">VLOOKUP($A9,INDIRECT($P$2),COLUMN()-1,FALSE)*VLOOKUP($A9,Usinas!$C:$D,2,FALSE)</f>
        <v>81.930900000000008</v>
      </c>
      <c r="I9" s="65">
        <f ca="1">VLOOKUP($A9,INDIRECT($P$2),COLUMN()-1,FALSE)*VLOOKUP($A9,Usinas!$C:$D,2,FALSE)</f>
        <v>68.448599999999999</v>
      </c>
      <c r="J9" s="65">
        <f ca="1">VLOOKUP($A9,INDIRECT($P$2),COLUMN()-1,FALSE)*VLOOKUP($A9,Usinas!$C:$D,2,FALSE)</f>
        <v>57.731900000000003</v>
      </c>
      <c r="K9" s="65">
        <f ca="1">VLOOKUP($A9,INDIRECT($P$2),COLUMN()-1,FALSE)*VLOOKUP($A9,Usinas!$C:$D,2,FALSE)</f>
        <v>49.089399999999998</v>
      </c>
      <c r="L9" s="65">
        <f ca="1">VLOOKUP($A9,INDIRECT($P$2),COLUMN()-1,FALSE)*VLOOKUP($A9,Usinas!$C:$D,2,FALSE)</f>
        <v>50.1265</v>
      </c>
      <c r="M9" s="65">
        <f ca="1">VLOOKUP($A9,INDIRECT($P$2),COLUMN()-1,FALSE)*VLOOKUP($A9,Usinas!$C:$D,2,FALSE)</f>
        <v>60.151800000000001</v>
      </c>
      <c r="N9" s="65">
        <f ca="1">VLOOKUP($A9,INDIRECT($P$2),COLUMN()-1,FALSE)*VLOOKUP($A9,Usinas!$C:$D,2,FALSE)</f>
        <v>88.153500000000008</v>
      </c>
      <c r="O9" s="65">
        <f ca="1">VLOOKUP($A9,INDIRECT($P$2),COLUMN()-1,FALSE)*VLOOKUP($A9,Usinas!$C:$D,2,FALSE)</f>
        <v>149.3424</v>
      </c>
    </row>
    <row r="10" spans="1:16" hidden="1" outlineLevel="2" x14ac:dyDescent="0.25">
      <c r="A10" s="61">
        <v>6</v>
      </c>
      <c r="B10" s="62" t="s">
        <v>30</v>
      </c>
      <c r="D10" s="65">
        <f ca="1">VLOOKUP($A10,INDIRECT($P$2),COLUMN()-1,FALSE)*VLOOKUP($A10,Usinas!$C:$D,2,FALSE)</f>
        <v>1376.7731999999999</v>
      </c>
      <c r="E10" s="65">
        <f ca="1">VLOOKUP($A10,INDIRECT($P$2),COLUMN()-1,FALSE)*VLOOKUP($A10,Usinas!$C:$D,2,FALSE)</f>
        <v>1277.1078</v>
      </c>
      <c r="F10" s="65">
        <f ca="1">VLOOKUP($A10,INDIRECT($P$2),COLUMN()-1,FALSE)*VLOOKUP($A10,Usinas!$C:$D,2,FALSE)</f>
        <v>1135.722</v>
      </c>
      <c r="G10" s="65">
        <f ca="1">VLOOKUP($A10,INDIRECT($P$2),COLUMN()-1,FALSE)*VLOOKUP($A10,Usinas!$C:$D,2,FALSE)</f>
        <v>780.32599999999991</v>
      </c>
      <c r="H10" s="65">
        <f ca="1">VLOOKUP($A10,INDIRECT($P$2),COLUMN()-1,FALSE)*VLOOKUP($A10,Usinas!$C:$D,2,FALSE)</f>
        <v>570.17879999999991</v>
      </c>
      <c r="I10" s="65">
        <f ca="1">VLOOKUP($A10,INDIRECT($P$2),COLUMN()-1,FALSE)*VLOOKUP($A10,Usinas!$C:$D,2,FALSE)</f>
        <v>475.92159999999996</v>
      </c>
      <c r="J10" s="65">
        <f ca="1">VLOOKUP($A10,INDIRECT($P$2),COLUMN()-1,FALSE)*VLOOKUP($A10,Usinas!$C:$D,2,FALSE)</f>
        <v>390.93559999999997</v>
      </c>
      <c r="K10" s="65">
        <f ca="1">VLOOKUP($A10,INDIRECT($P$2),COLUMN()-1,FALSE)*VLOOKUP($A10,Usinas!$C:$D,2,FALSE)</f>
        <v>321.40159999999997</v>
      </c>
      <c r="L10" s="65">
        <f ca="1">VLOOKUP($A10,INDIRECT($P$2),COLUMN()-1,FALSE)*VLOOKUP($A10,Usinas!$C:$D,2,FALSE)</f>
        <v>334.53579999999999</v>
      </c>
      <c r="M10" s="65">
        <f ca="1">VLOOKUP($A10,INDIRECT($P$2),COLUMN()-1,FALSE)*VLOOKUP($A10,Usinas!$C:$D,2,FALSE)</f>
        <v>394.79859999999996</v>
      </c>
      <c r="N10" s="65">
        <f ca="1">VLOOKUP($A10,INDIRECT($P$2),COLUMN()-1,FALSE)*VLOOKUP($A10,Usinas!$C:$D,2,FALSE)</f>
        <v>557.81719999999996</v>
      </c>
      <c r="O10" s="65">
        <f ca="1">VLOOKUP($A10,INDIRECT($P$2),COLUMN()-1,FALSE)*VLOOKUP($A10,Usinas!$C:$D,2,FALSE)</f>
        <v>961.11439999999993</v>
      </c>
    </row>
    <row r="11" spans="1:16" hidden="1" outlineLevel="2" x14ac:dyDescent="0.25">
      <c r="A11" s="61">
        <v>7</v>
      </c>
      <c r="B11" s="62" t="s">
        <v>45</v>
      </c>
      <c r="D11" s="65">
        <f ca="1">VLOOKUP($A11,INDIRECT($P$2),COLUMN()-1,FALSE)*VLOOKUP($A11,Usinas!$C:$D,2,FALSE)</f>
        <v>662.72820000000002</v>
      </c>
      <c r="E11" s="65">
        <f ca="1">VLOOKUP($A11,INDIRECT($P$2),COLUMN()-1,FALSE)*VLOOKUP($A11,Usinas!$C:$D,2,FALSE)</f>
        <v>620.68200000000002</v>
      </c>
      <c r="F11" s="65">
        <f ca="1">VLOOKUP($A11,INDIRECT($P$2),COLUMN()-1,FALSE)*VLOOKUP($A11,Usinas!$C:$D,2,FALSE)</f>
        <v>552.60720000000003</v>
      </c>
      <c r="G11" s="65">
        <f ca="1">VLOOKUP($A11,INDIRECT($P$2),COLUMN()-1,FALSE)*VLOOKUP($A11,Usinas!$C:$D,2,FALSE)</f>
        <v>380.08429999999998</v>
      </c>
      <c r="H11" s="65">
        <f ca="1">VLOOKUP($A11,INDIRECT($P$2),COLUMN()-1,FALSE)*VLOOKUP($A11,Usinas!$C:$D,2,FALSE)</f>
        <v>276.971</v>
      </c>
      <c r="I11" s="65">
        <f ca="1">VLOOKUP($A11,INDIRECT($P$2),COLUMN()-1,FALSE)*VLOOKUP($A11,Usinas!$C:$D,2,FALSE)</f>
        <v>229.5856</v>
      </c>
      <c r="J11" s="65">
        <f ca="1">VLOOKUP($A11,INDIRECT($P$2),COLUMN()-1,FALSE)*VLOOKUP($A11,Usinas!$C:$D,2,FALSE)</f>
        <v>188.54050000000001</v>
      </c>
      <c r="K11" s="65">
        <f ca="1">VLOOKUP($A11,INDIRECT($P$2),COLUMN()-1,FALSE)*VLOOKUP($A11,Usinas!$C:$D,2,FALSE)</f>
        <v>154.83680000000001</v>
      </c>
      <c r="L11" s="65">
        <f ca="1">VLOOKUP($A11,INDIRECT($P$2),COLUMN()-1,FALSE)*VLOOKUP($A11,Usinas!$C:$D,2,FALSE)</f>
        <v>160.17599999999999</v>
      </c>
      <c r="M11" s="65">
        <f ca="1">VLOOKUP($A11,INDIRECT($P$2),COLUMN()-1,FALSE)*VLOOKUP($A11,Usinas!$C:$D,2,FALSE)</f>
        <v>189.2079</v>
      </c>
      <c r="N11" s="65">
        <f ca="1">VLOOKUP($A11,INDIRECT($P$2),COLUMN()-1,FALSE)*VLOOKUP($A11,Usinas!$C:$D,2,FALSE)</f>
        <v>265.62520000000001</v>
      </c>
      <c r="O11" s="65">
        <f ca="1">VLOOKUP($A11,INDIRECT($P$2),COLUMN()-1,FALSE)*VLOOKUP($A11,Usinas!$C:$D,2,FALSE)</f>
        <v>457.16899999999998</v>
      </c>
    </row>
    <row r="12" spans="1:16" hidden="1" outlineLevel="2" x14ac:dyDescent="0.25">
      <c r="A12" s="61">
        <v>8</v>
      </c>
      <c r="B12" s="62" t="s">
        <v>46</v>
      </c>
      <c r="D12" s="65">
        <f ca="1">VLOOKUP($A12,INDIRECT($P$2),COLUMN()-1,FALSE)*VLOOKUP($A12,Usinas!$C:$D,2,FALSE)</f>
        <v>1141.7183</v>
      </c>
      <c r="E12" s="65">
        <f ca="1">VLOOKUP($A12,INDIRECT($P$2),COLUMN()-1,FALSE)*VLOOKUP($A12,Usinas!$C:$D,2,FALSE)</f>
        <v>1074.7570000000001</v>
      </c>
      <c r="F12" s="65">
        <f ca="1">VLOOKUP($A12,INDIRECT($P$2),COLUMN()-1,FALSE)*VLOOKUP($A12,Usinas!$C:$D,2,FALSE)</f>
        <v>957.71539999999993</v>
      </c>
      <c r="G12" s="65">
        <f ca="1">VLOOKUP($A12,INDIRECT($P$2),COLUMN()-1,FALSE)*VLOOKUP($A12,Usinas!$C:$D,2,FALSE)</f>
        <v>661.17250000000001</v>
      </c>
      <c r="H12" s="65">
        <f ca="1">VLOOKUP($A12,INDIRECT($P$2),COLUMN()-1,FALSE)*VLOOKUP($A12,Usinas!$C:$D,2,FALSE)</f>
        <v>480.54579999999999</v>
      </c>
      <c r="I12" s="65">
        <f ca="1">VLOOKUP($A12,INDIRECT($P$2),COLUMN()-1,FALSE)*VLOOKUP($A12,Usinas!$C:$D,2,FALSE)</f>
        <v>397.82889999999998</v>
      </c>
      <c r="J12" s="65">
        <f ca="1">VLOOKUP($A12,INDIRECT($P$2),COLUMN()-1,FALSE)*VLOOKUP($A12,Usinas!$C:$D,2,FALSE)</f>
        <v>326.36599999999999</v>
      </c>
      <c r="K12" s="65">
        <f ca="1">VLOOKUP($A12,INDIRECT($P$2),COLUMN()-1,FALSE)*VLOOKUP($A12,Usinas!$C:$D,2,FALSE)</f>
        <v>267.28249999999997</v>
      </c>
      <c r="L12" s="65">
        <f ca="1">VLOOKUP($A12,INDIRECT($P$2),COLUMN()-1,FALSE)*VLOOKUP($A12,Usinas!$C:$D,2,FALSE)</f>
        <v>275.72300000000001</v>
      </c>
      <c r="M12" s="65">
        <f ca="1">VLOOKUP($A12,INDIRECT($P$2),COLUMN()-1,FALSE)*VLOOKUP($A12,Usinas!$C:$D,2,FALSE)</f>
        <v>325.24059999999997</v>
      </c>
      <c r="N12" s="65">
        <f ca="1">VLOOKUP($A12,INDIRECT($P$2),COLUMN()-1,FALSE)*VLOOKUP($A12,Usinas!$C:$D,2,FALSE)</f>
        <v>456.34969999999998</v>
      </c>
      <c r="O12" s="65">
        <f ca="1">VLOOKUP($A12,INDIRECT($P$2),COLUMN()-1,FALSE)*VLOOKUP($A12,Usinas!$C:$D,2,FALSE)</f>
        <v>783.27839999999992</v>
      </c>
    </row>
    <row r="13" spans="1:16" hidden="1" outlineLevel="2" x14ac:dyDescent="0.25">
      <c r="A13" s="61">
        <v>9</v>
      </c>
      <c r="B13" s="62" t="s">
        <v>47</v>
      </c>
      <c r="D13" s="65">
        <f ca="1">VLOOKUP($A13,INDIRECT($P$2),COLUMN()-1,FALSE)*VLOOKUP($A13,Usinas!$C:$D,2,FALSE)</f>
        <v>827.19780000000003</v>
      </c>
      <c r="E13" s="65">
        <f ca="1">VLOOKUP($A13,INDIRECT($P$2),COLUMN()-1,FALSE)*VLOOKUP($A13,Usinas!$C:$D,2,FALSE)</f>
        <v>781.10759999999993</v>
      </c>
      <c r="F13" s="65">
        <f ca="1">VLOOKUP($A13,INDIRECT($P$2),COLUMN()-1,FALSE)*VLOOKUP($A13,Usinas!$C:$D,2,FALSE)</f>
        <v>696.20460000000003</v>
      </c>
      <c r="G13" s="65">
        <f ca="1">VLOOKUP($A13,INDIRECT($P$2),COLUMN()-1,FALSE)*VLOOKUP($A13,Usinas!$C:$D,2,FALSE)</f>
        <v>481.92559999999997</v>
      </c>
      <c r="H13" s="65">
        <f ca="1">VLOOKUP($A13,INDIRECT($P$2),COLUMN()-1,FALSE)*VLOOKUP($A13,Usinas!$C:$D,2,FALSE)</f>
        <v>349.3152</v>
      </c>
      <c r="I13" s="65">
        <f ca="1">VLOOKUP($A13,INDIRECT($P$2),COLUMN()-1,FALSE)*VLOOKUP($A13,Usinas!$C:$D,2,FALSE)</f>
        <v>289.0745</v>
      </c>
      <c r="J13" s="65">
        <f ca="1">VLOOKUP($A13,INDIRECT($P$2),COLUMN()-1,FALSE)*VLOOKUP($A13,Usinas!$C:$D,2,FALSE)</f>
        <v>236.91980000000001</v>
      </c>
      <c r="K13" s="65">
        <f ca="1">VLOOKUP($A13,INDIRECT($P$2),COLUMN()-1,FALSE)*VLOOKUP($A13,Usinas!$C:$D,2,FALSE)</f>
        <v>194.06399999999999</v>
      </c>
      <c r="L13" s="65">
        <f ca="1">VLOOKUP($A13,INDIRECT($P$2),COLUMN()-1,FALSE)*VLOOKUP($A13,Usinas!$C:$D,2,FALSE)</f>
        <v>199.7242</v>
      </c>
      <c r="M13" s="65">
        <f ca="1">VLOOKUP($A13,INDIRECT($P$2),COLUMN()-1,FALSE)*VLOOKUP($A13,Usinas!$C:$D,2,FALSE)</f>
        <v>235.70689999999999</v>
      </c>
      <c r="N13" s="65">
        <f ca="1">VLOOKUP($A13,INDIRECT($P$2),COLUMN()-1,FALSE)*VLOOKUP($A13,Usinas!$C:$D,2,FALSE)</f>
        <v>329.90879999999999</v>
      </c>
      <c r="O13" s="65">
        <f ca="1">VLOOKUP($A13,INDIRECT($P$2),COLUMN()-1,FALSE)*VLOOKUP($A13,Usinas!$C:$D,2,FALSE)</f>
        <v>565.61569999999995</v>
      </c>
    </row>
    <row r="14" spans="1:16" hidden="1" outlineLevel="2" x14ac:dyDescent="0.25">
      <c r="A14" s="61">
        <v>10</v>
      </c>
      <c r="B14" s="62" t="s">
        <v>48</v>
      </c>
      <c r="D14" s="65">
        <f ca="1">VLOOKUP($A14,INDIRECT($P$2),COLUMN()-1,FALSE)*VLOOKUP($A14,Usinas!$C:$D,2,FALSE)</f>
        <v>319.64</v>
      </c>
      <c r="E14" s="65">
        <f ca="1">VLOOKUP($A14,INDIRECT($P$2),COLUMN()-1,FALSE)*VLOOKUP($A14,Usinas!$C:$D,2,FALSE)</f>
        <v>304.08499999999998</v>
      </c>
      <c r="F14" s="65">
        <f ca="1">VLOOKUP($A14,INDIRECT($P$2),COLUMN()-1,FALSE)*VLOOKUP($A14,Usinas!$C:$D,2,FALSE)</f>
        <v>270.99250000000001</v>
      </c>
      <c r="G14" s="65">
        <f ca="1">VLOOKUP($A14,INDIRECT($P$2),COLUMN()-1,FALSE)*VLOOKUP($A14,Usinas!$C:$D,2,FALSE)</f>
        <v>188.49</v>
      </c>
      <c r="H14" s="65">
        <f ca="1">VLOOKUP($A14,INDIRECT($P$2),COLUMN()-1,FALSE)*VLOOKUP($A14,Usinas!$C:$D,2,FALSE)</f>
        <v>135.8775</v>
      </c>
      <c r="I14" s="65">
        <f ca="1">VLOOKUP($A14,INDIRECT($P$2),COLUMN()-1,FALSE)*VLOOKUP($A14,Usinas!$C:$D,2,FALSE)</f>
        <v>112.24</v>
      </c>
      <c r="J14" s="65">
        <f ca="1">VLOOKUP($A14,INDIRECT($P$2),COLUMN()-1,FALSE)*VLOOKUP($A14,Usinas!$C:$D,2,FALSE)</f>
        <v>91.957499999999996</v>
      </c>
      <c r="K14" s="65">
        <f ca="1">VLOOKUP($A14,INDIRECT($P$2),COLUMN()-1,FALSE)*VLOOKUP($A14,Usinas!$C:$D,2,FALSE)</f>
        <v>75.334999999999994</v>
      </c>
      <c r="L14" s="65">
        <f ca="1">VLOOKUP($A14,INDIRECT($P$2),COLUMN()-1,FALSE)*VLOOKUP($A14,Usinas!$C:$D,2,FALSE)</f>
        <v>77.164999999999992</v>
      </c>
      <c r="M14" s="65">
        <f ca="1">VLOOKUP($A14,INDIRECT($P$2),COLUMN()-1,FALSE)*VLOOKUP($A14,Usinas!$C:$D,2,FALSE)</f>
        <v>90.89</v>
      </c>
      <c r="N14" s="65">
        <f ca="1">VLOOKUP($A14,INDIRECT($P$2),COLUMN()-1,FALSE)*VLOOKUP($A14,Usinas!$C:$D,2,FALSE)</f>
        <v>126.88</v>
      </c>
      <c r="O14" s="65">
        <f ca="1">VLOOKUP($A14,INDIRECT($P$2),COLUMN()-1,FALSE)*VLOOKUP($A14,Usinas!$C:$D,2,FALSE)</f>
        <v>217.00749999999999</v>
      </c>
    </row>
    <row r="15" spans="1:16" hidden="1" outlineLevel="2" x14ac:dyDescent="0.25">
      <c r="A15" s="61">
        <v>11</v>
      </c>
      <c r="B15" s="62" t="s">
        <v>49</v>
      </c>
      <c r="D15" s="65">
        <f ca="1">VLOOKUP($A15,INDIRECT($P$2),COLUMN()-1,FALSE)*VLOOKUP($A15,Usinas!$C:$D,2,FALSE)</f>
        <v>546.31200000000001</v>
      </c>
      <c r="E15" s="65">
        <f ca="1">VLOOKUP($A15,INDIRECT($P$2),COLUMN()-1,FALSE)*VLOOKUP($A15,Usinas!$C:$D,2,FALSE)</f>
        <v>524.80560000000003</v>
      </c>
      <c r="F15" s="65">
        <f ca="1">VLOOKUP($A15,INDIRECT($P$2),COLUMN()-1,FALSE)*VLOOKUP($A15,Usinas!$C:$D,2,FALSE)</f>
        <v>468.44400000000002</v>
      </c>
      <c r="G15" s="65">
        <f ca="1">VLOOKUP($A15,INDIRECT($P$2),COLUMN()-1,FALSE)*VLOOKUP($A15,Usinas!$C:$D,2,FALSE)</f>
        <v>328.28160000000003</v>
      </c>
      <c r="H15" s="65">
        <f ca="1">VLOOKUP($A15,INDIRECT($P$2),COLUMN()-1,FALSE)*VLOOKUP($A15,Usinas!$C:$D,2,FALSE)</f>
        <v>235.33440000000002</v>
      </c>
      <c r="I15" s="65">
        <f ca="1">VLOOKUP($A15,INDIRECT($P$2),COLUMN()-1,FALSE)*VLOOKUP($A15,Usinas!$C:$D,2,FALSE)</f>
        <v>194.05199999999999</v>
      </c>
      <c r="J15" s="65">
        <f ca="1">VLOOKUP($A15,INDIRECT($P$2),COLUMN()-1,FALSE)*VLOOKUP($A15,Usinas!$C:$D,2,FALSE)</f>
        <v>158.45519999999999</v>
      </c>
      <c r="K15" s="65">
        <f ca="1">VLOOKUP($A15,INDIRECT($P$2),COLUMN()-1,FALSE)*VLOOKUP($A15,Usinas!$C:$D,2,FALSE)</f>
        <v>129.53280000000001</v>
      </c>
      <c r="L15" s="65">
        <f ca="1">VLOOKUP($A15,INDIRECT($P$2),COLUMN()-1,FALSE)*VLOOKUP($A15,Usinas!$C:$D,2,FALSE)</f>
        <v>131.7576</v>
      </c>
      <c r="M15" s="65">
        <f ca="1">VLOOKUP($A15,INDIRECT($P$2),COLUMN()-1,FALSE)*VLOOKUP($A15,Usinas!$C:$D,2,FALSE)</f>
        <v>154.99440000000001</v>
      </c>
      <c r="N15" s="65">
        <f ca="1">VLOOKUP($A15,INDIRECT($P$2),COLUMN()-1,FALSE)*VLOOKUP($A15,Usinas!$C:$D,2,FALSE)</f>
        <v>215.8056</v>
      </c>
      <c r="O15" s="65">
        <f ca="1">VLOOKUP($A15,INDIRECT($P$2),COLUMN()-1,FALSE)*VLOOKUP($A15,Usinas!$C:$D,2,FALSE)</f>
        <v>367.58640000000003</v>
      </c>
    </row>
    <row r="16" spans="1:16" hidden="1" outlineLevel="2" x14ac:dyDescent="0.25">
      <c r="A16" s="61">
        <v>12</v>
      </c>
      <c r="B16" s="62" t="s">
        <v>50</v>
      </c>
      <c r="D16" s="65">
        <f ca="1">VLOOKUP($A16,INDIRECT($P$2),COLUMN()-1,FALSE)*VLOOKUP($A16,Usinas!$C:$D,2,FALSE)</f>
        <v>508.27720000000005</v>
      </c>
      <c r="E16" s="65">
        <f ca="1">VLOOKUP($A16,INDIRECT($P$2),COLUMN()-1,FALSE)*VLOOKUP($A16,Usinas!$C:$D,2,FALSE)</f>
        <v>494.21500000000003</v>
      </c>
      <c r="F16" s="65">
        <f ca="1">VLOOKUP($A16,INDIRECT($P$2),COLUMN()-1,FALSE)*VLOOKUP($A16,Usinas!$C:$D,2,FALSE)</f>
        <v>442.65360000000004</v>
      </c>
      <c r="G16" s="65">
        <f ca="1">VLOOKUP($A16,INDIRECT($P$2),COLUMN()-1,FALSE)*VLOOKUP($A16,Usinas!$C:$D,2,FALSE)</f>
        <v>312.62920000000003</v>
      </c>
      <c r="H16" s="65">
        <f ca="1">VLOOKUP($A16,INDIRECT($P$2),COLUMN()-1,FALSE)*VLOOKUP($A16,Usinas!$C:$D,2,FALSE)</f>
        <v>222.9572</v>
      </c>
      <c r="I16" s="65">
        <f ca="1">VLOOKUP($A16,INDIRECT($P$2),COLUMN()-1,FALSE)*VLOOKUP($A16,Usinas!$C:$D,2,FALSE)</f>
        <v>182.60480000000001</v>
      </c>
      <c r="J16" s="65">
        <f ca="1">VLOOKUP($A16,INDIRECT($P$2),COLUMN()-1,FALSE)*VLOOKUP($A16,Usinas!$C:$D,2,FALSE)</f>
        <v>148.3664</v>
      </c>
      <c r="K16" s="65">
        <f ca="1">VLOOKUP($A16,INDIRECT($P$2),COLUMN()-1,FALSE)*VLOOKUP($A16,Usinas!$C:$D,2,FALSE)</f>
        <v>121.05720000000001</v>
      </c>
      <c r="L16" s="65">
        <f ca="1">VLOOKUP($A16,INDIRECT($P$2),COLUMN()-1,FALSE)*VLOOKUP($A16,Usinas!$C:$D,2,FALSE)</f>
        <v>121.8724</v>
      </c>
      <c r="M16" s="65">
        <f ca="1">VLOOKUP($A16,INDIRECT($P$2),COLUMN()-1,FALSE)*VLOOKUP($A16,Usinas!$C:$D,2,FALSE)</f>
        <v>143.679</v>
      </c>
      <c r="N16" s="65">
        <f ca="1">VLOOKUP($A16,INDIRECT($P$2),COLUMN()-1,FALSE)*VLOOKUP($A16,Usinas!$C:$D,2,FALSE)</f>
        <v>199.52020000000002</v>
      </c>
      <c r="O16" s="65">
        <f ca="1">VLOOKUP($A16,INDIRECT($P$2),COLUMN()-1,FALSE)*VLOOKUP($A16,Usinas!$C:$D,2,FALSE)</f>
        <v>338.71559999999999</v>
      </c>
    </row>
    <row r="17" spans="1:15" hidden="1" outlineLevel="2" x14ac:dyDescent="0.25">
      <c r="A17" s="61">
        <v>14</v>
      </c>
      <c r="B17" s="62" t="s">
        <v>51</v>
      </c>
      <c r="D17" s="65">
        <f ca="1">VLOOKUP($A17,INDIRECT($P$2),COLUMN()-1,FALSE)*VLOOKUP($A17,Usinas!$C:$D,2,FALSE)</f>
        <v>79.830799999999996</v>
      </c>
      <c r="E17" s="65">
        <f ca="1">VLOOKUP($A17,INDIRECT($P$2),COLUMN()-1,FALSE)*VLOOKUP($A17,Usinas!$C:$D,2,FALSE)</f>
        <v>81.459999999999994</v>
      </c>
      <c r="F17" s="65">
        <f ca="1">VLOOKUP($A17,INDIRECT($P$2),COLUMN()-1,FALSE)*VLOOKUP($A17,Usinas!$C:$D,2,FALSE)</f>
        <v>70.870199999999997</v>
      </c>
      <c r="G17" s="65">
        <f ca="1">VLOOKUP($A17,INDIRECT($P$2),COLUMN()-1,FALSE)*VLOOKUP($A17,Usinas!$C:$D,2,FALSE)</f>
        <v>48.875999999999998</v>
      </c>
      <c r="H17" s="65">
        <f ca="1">VLOOKUP($A17,INDIRECT($P$2),COLUMN()-1,FALSE)*VLOOKUP($A17,Usinas!$C:$D,2,FALSE)</f>
        <v>35.842399999999998</v>
      </c>
      <c r="I17" s="65">
        <f ca="1">VLOOKUP($A17,INDIRECT($P$2),COLUMN()-1,FALSE)*VLOOKUP($A17,Usinas!$C:$D,2,FALSE)</f>
        <v>29.325600000000001</v>
      </c>
      <c r="J17" s="65">
        <f ca="1">VLOOKUP($A17,INDIRECT($P$2),COLUMN()-1,FALSE)*VLOOKUP($A17,Usinas!$C:$D,2,FALSE)</f>
        <v>23.6234</v>
      </c>
      <c r="K17" s="65">
        <f ca="1">VLOOKUP($A17,INDIRECT($P$2),COLUMN()-1,FALSE)*VLOOKUP($A17,Usinas!$C:$D,2,FALSE)</f>
        <v>20.364999999999998</v>
      </c>
      <c r="L17" s="65">
        <f ca="1">VLOOKUP($A17,INDIRECT($P$2),COLUMN()-1,FALSE)*VLOOKUP($A17,Usinas!$C:$D,2,FALSE)</f>
        <v>20.364999999999998</v>
      </c>
      <c r="M17" s="65">
        <f ca="1">VLOOKUP($A17,INDIRECT($P$2),COLUMN()-1,FALSE)*VLOOKUP($A17,Usinas!$C:$D,2,FALSE)</f>
        <v>25.252600000000001</v>
      </c>
      <c r="N17" s="65">
        <f ca="1">VLOOKUP($A17,INDIRECT($P$2),COLUMN()-1,FALSE)*VLOOKUP($A17,Usinas!$C:$D,2,FALSE)</f>
        <v>32.584000000000003</v>
      </c>
      <c r="O17" s="65">
        <f ca="1">VLOOKUP($A17,INDIRECT($P$2),COLUMN()-1,FALSE)*VLOOKUP($A17,Usinas!$C:$D,2,FALSE)</f>
        <v>57.021999999999998</v>
      </c>
    </row>
    <row r="18" spans="1:15" hidden="1" outlineLevel="2" x14ac:dyDescent="0.25">
      <c r="A18" s="61">
        <v>15</v>
      </c>
      <c r="B18" s="62" t="s">
        <v>52</v>
      </c>
      <c r="D18" s="65">
        <f ca="1">VLOOKUP($A18,INDIRECT($P$2),COLUMN()-1,FALSE)*VLOOKUP($A18,Usinas!$C:$D,2,FALSE)</f>
        <v>119.376</v>
      </c>
      <c r="E18" s="65">
        <f ca="1">VLOOKUP($A18,INDIRECT($P$2),COLUMN()-1,FALSE)*VLOOKUP($A18,Usinas!$C:$D,2,FALSE)</f>
        <v>122.3604</v>
      </c>
      <c r="F18" s="65">
        <f ca="1">VLOOKUP($A18,INDIRECT($P$2),COLUMN()-1,FALSE)*VLOOKUP($A18,Usinas!$C:$D,2,FALSE)</f>
        <v>105.9462</v>
      </c>
      <c r="G18" s="65">
        <f ca="1">VLOOKUP($A18,INDIRECT($P$2),COLUMN()-1,FALSE)*VLOOKUP($A18,Usinas!$C:$D,2,FALSE)</f>
        <v>72.371700000000004</v>
      </c>
      <c r="H18" s="65">
        <f ca="1">VLOOKUP($A18,INDIRECT($P$2),COLUMN()-1,FALSE)*VLOOKUP($A18,Usinas!$C:$D,2,FALSE)</f>
        <v>52.973100000000002</v>
      </c>
      <c r="I18" s="65">
        <f ca="1">VLOOKUP($A18,INDIRECT($P$2),COLUMN()-1,FALSE)*VLOOKUP($A18,Usinas!$C:$D,2,FALSE)</f>
        <v>44.0199</v>
      </c>
      <c r="J18" s="65">
        <f ca="1">VLOOKUP($A18,INDIRECT($P$2),COLUMN()-1,FALSE)*VLOOKUP($A18,Usinas!$C:$D,2,FALSE)</f>
        <v>36.558900000000001</v>
      </c>
      <c r="K18" s="65">
        <f ca="1">VLOOKUP($A18,INDIRECT($P$2),COLUMN()-1,FALSE)*VLOOKUP($A18,Usinas!$C:$D,2,FALSE)</f>
        <v>30.5901</v>
      </c>
      <c r="L18" s="65">
        <f ca="1">VLOOKUP($A18,INDIRECT($P$2),COLUMN()-1,FALSE)*VLOOKUP($A18,Usinas!$C:$D,2,FALSE)</f>
        <v>31.336199999999998</v>
      </c>
      <c r="M18" s="65">
        <f ca="1">VLOOKUP($A18,INDIRECT($P$2),COLUMN()-1,FALSE)*VLOOKUP($A18,Usinas!$C:$D,2,FALSE)</f>
        <v>38.051099999999998</v>
      </c>
      <c r="N18" s="65">
        <f ca="1">VLOOKUP($A18,INDIRECT($P$2),COLUMN()-1,FALSE)*VLOOKUP($A18,Usinas!$C:$D,2,FALSE)</f>
        <v>47.750399999999999</v>
      </c>
      <c r="O18" s="65">
        <f ca="1">VLOOKUP($A18,INDIRECT($P$2),COLUMN()-1,FALSE)*VLOOKUP($A18,Usinas!$C:$D,2,FALSE)</f>
        <v>85.055399999999992</v>
      </c>
    </row>
    <row r="19" spans="1:15" hidden="1" outlineLevel="2" x14ac:dyDescent="0.25">
      <c r="A19" s="61">
        <v>16</v>
      </c>
      <c r="B19" s="62" t="s">
        <v>53</v>
      </c>
      <c r="D19" s="65">
        <f ca="1">VLOOKUP($A19,INDIRECT($P$2),COLUMN()-1,FALSE)*VLOOKUP($A19,Usinas!$C:$D,2,FALSE)</f>
        <v>33.436799999999998</v>
      </c>
      <c r="E19" s="65">
        <f ca="1">VLOOKUP($A19,INDIRECT($P$2),COLUMN()-1,FALSE)*VLOOKUP($A19,Usinas!$C:$D,2,FALSE)</f>
        <v>34.468800000000002</v>
      </c>
      <c r="F19" s="65">
        <f ca="1">VLOOKUP($A19,INDIRECT($P$2),COLUMN()-1,FALSE)*VLOOKUP($A19,Usinas!$C:$D,2,FALSE)</f>
        <v>29.928000000000001</v>
      </c>
      <c r="G19" s="65">
        <f ca="1">VLOOKUP($A19,INDIRECT($P$2),COLUMN()-1,FALSE)*VLOOKUP($A19,Usinas!$C:$D,2,FALSE)</f>
        <v>20.433599999999998</v>
      </c>
      <c r="H19" s="65">
        <f ca="1">VLOOKUP($A19,INDIRECT($P$2),COLUMN()-1,FALSE)*VLOOKUP($A19,Usinas!$C:$D,2,FALSE)</f>
        <v>14.860799999999999</v>
      </c>
      <c r="I19" s="65">
        <f ca="1">VLOOKUP($A19,INDIRECT($P$2),COLUMN()-1,FALSE)*VLOOKUP($A19,Usinas!$C:$D,2,FALSE)</f>
        <v>12.384</v>
      </c>
      <c r="J19" s="65">
        <f ca="1">VLOOKUP($A19,INDIRECT($P$2),COLUMN()-1,FALSE)*VLOOKUP($A19,Usinas!$C:$D,2,FALSE)</f>
        <v>10.1136</v>
      </c>
      <c r="K19" s="65">
        <f ca="1">VLOOKUP($A19,INDIRECT($P$2),COLUMN()-1,FALSE)*VLOOKUP($A19,Usinas!$C:$D,2,FALSE)</f>
        <v>8.6687999999999992</v>
      </c>
      <c r="L19" s="65">
        <f ca="1">VLOOKUP($A19,INDIRECT($P$2),COLUMN()-1,FALSE)*VLOOKUP($A19,Usinas!$C:$D,2,FALSE)</f>
        <v>8.8751999999999995</v>
      </c>
      <c r="M19" s="65">
        <f ca="1">VLOOKUP($A19,INDIRECT($P$2),COLUMN()-1,FALSE)*VLOOKUP($A19,Usinas!$C:$D,2,FALSE)</f>
        <v>10.732799999999999</v>
      </c>
      <c r="N19" s="65">
        <f ca="1">VLOOKUP($A19,INDIRECT($P$2),COLUMN()-1,FALSE)*VLOOKUP($A19,Usinas!$C:$D,2,FALSE)</f>
        <v>13.416</v>
      </c>
      <c r="O19" s="65">
        <f ca="1">VLOOKUP($A19,INDIRECT($P$2),COLUMN()-1,FALSE)*VLOOKUP($A19,Usinas!$C:$D,2,FALSE)</f>
        <v>23.942399999999999</v>
      </c>
    </row>
    <row r="20" spans="1:15" hidden="1" outlineLevel="2" x14ac:dyDescent="0.25">
      <c r="A20" s="61">
        <v>17</v>
      </c>
      <c r="B20" s="62" t="s">
        <v>54</v>
      </c>
      <c r="D20" s="65">
        <f ca="1">VLOOKUP($A20,INDIRECT($P$2),COLUMN()-1,FALSE)*VLOOKUP($A20,Usinas!$C:$D,2,FALSE)</f>
        <v>1635.3028999999999</v>
      </c>
      <c r="E20" s="65">
        <f ca="1">VLOOKUP($A20,INDIRECT($P$2),COLUMN()-1,FALSE)*VLOOKUP($A20,Usinas!$C:$D,2,FALSE)</f>
        <v>1674.8149000000001</v>
      </c>
      <c r="F20" s="65">
        <f ca="1">VLOOKUP($A20,INDIRECT($P$2),COLUMN()-1,FALSE)*VLOOKUP($A20,Usinas!$C:$D,2,FALSE)</f>
        <v>1499.9743000000001</v>
      </c>
      <c r="G20" s="65">
        <f ca="1">VLOOKUP($A20,INDIRECT($P$2),COLUMN()-1,FALSE)*VLOOKUP($A20,Usinas!$C:$D,2,FALSE)</f>
        <v>1084.1105</v>
      </c>
      <c r="H20" s="65">
        <f ca="1">VLOOKUP($A20,INDIRECT($P$2),COLUMN()-1,FALSE)*VLOOKUP($A20,Usinas!$C:$D,2,FALSE)</f>
        <v>777.39859999999999</v>
      </c>
      <c r="I20" s="65">
        <f ca="1">VLOOKUP($A20,INDIRECT($P$2),COLUMN()-1,FALSE)*VLOOKUP($A20,Usinas!$C:$D,2,FALSE)</f>
        <v>648.9846</v>
      </c>
      <c r="J20" s="65">
        <f ca="1">VLOOKUP($A20,INDIRECT($P$2),COLUMN()-1,FALSE)*VLOOKUP($A20,Usinas!$C:$D,2,FALSE)</f>
        <v>530.44860000000006</v>
      </c>
      <c r="K20" s="65">
        <f ca="1">VLOOKUP($A20,INDIRECT($P$2),COLUMN()-1,FALSE)*VLOOKUP($A20,Usinas!$C:$D,2,FALSE)</f>
        <v>440.06490000000002</v>
      </c>
      <c r="L20" s="65">
        <f ca="1">VLOOKUP($A20,INDIRECT($P$2),COLUMN()-1,FALSE)*VLOOKUP($A20,Usinas!$C:$D,2,FALSE)</f>
        <v>435.6198</v>
      </c>
      <c r="M20" s="65">
        <f ca="1">VLOOKUP($A20,INDIRECT($P$2),COLUMN()-1,FALSE)*VLOOKUP($A20,Usinas!$C:$D,2,FALSE)</f>
        <v>500.81459999999998</v>
      </c>
      <c r="N20" s="65">
        <f ca="1">VLOOKUP($A20,INDIRECT($P$2),COLUMN()-1,FALSE)*VLOOKUP($A20,Usinas!$C:$D,2,FALSE)</f>
        <v>667.75279999999998</v>
      </c>
      <c r="O20" s="65">
        <f ca="1">VLOOKUP($A20,INDIRECT($P$2),COLUMN()-1,FALSE)*VLOOKUP($A20,Usinas!$C:$D,2,FALSE)</f>
        <v>1102.8787</v>
      </c>
    </row>
    <row r="21" spans="1:15" hidden="1" outlineLevel="2" x14ac:dyDescent="0.25">
      <c r="A21" s="61">
        <v>18</v>
      </c>
      <c r="B21" s="62" t="s">
        <v>55</v>
      </c>
      <c r="D21" s="65">
        <f ca="1">VLOOKUP($A21,INDIRECT($P$2),COLUMN()-1,FALSE)*VLOOKUP($A21,Usinas!$C:$D,2,FALSE)</f>
        <v>1737.048</v>
      </c>
      <c r="E21" s="65">
        <f ca="1">VLOOKUP($A21,INDIRECT($P$2),COLUMN()-1,FALSE)*VLOOKUP($A21,Usinas!$C:$D,2,FALSE)</f>
        <v>1808.6399999999999</v>
      </c>
      <c r="F21" s="65">
        <f ca="1">VLOOKUP($A21,INDIRECT($P$2),COLUMN()-1,FALSE)*VLOOKUP($A21,Usinas!$C:$D,2,FALSE)</f>
        <v>1628.7179999999998</v>
      </c>
      <c r="G21" s="65">
        <f ca="1">VLOOKUP($A21,INDIRECT($P$2),COLUMN()-1,FALSE)*VLOOKUP($A21,Usinas!$C:$D,2,FALSE)</f>
        <v>1185.9779999999998</v>
      </c>
      <c r="H21" s="65">
        <f ca="1">VLOOKUP($A21,INDIRECT($P$2),COLUMN()-1,FALSE)*VLOOKUP($A21,Usinas!$C:$D,2,FALSE)</f>
        <v>846.38699999999994</v>
      </c>
      <c r="I21" s="65">
        <f ca="1">VLOOKUP($A21,INDIRECT($P$2),COLUMN()-1,FALSE)*VLOOKUP($A21,Usinas!$C:$D,2,FALSE)</f>
        <v>709.32599999999991</v>
      </c>
      <c r="J21" s="65">
        <f ca="1">VLOOKUP($A21,INDIRECT($P$2),COLUMN()-1,FALSE)*VLOOKUP($A21,Usinas!$C:$D,2,FALSE)</f>
        <v>580.74299999999994</v>
      </c>
      <c r="K21" s="65">
        <f ca="1">VLOOKUP($A21,INDIRECT($P$2),COLUMN()-1,FALSE)*VLOOKUP($A21,Usinas!$C:$D,2,FALSE)</f>
        <v>484.18799999999999</v>
      </c>
      <c r="L21" s="65">
        <f ca="1">VLOOKUP($A21,INDIRECT($P$2),COLUMN()-1,FALSE)*VLOOKUP($A21,Usinas!$C:$D,2,FALSE)</f>
        <v>476.18099999999998</v>
      </c>
      <c r="M21" s="65">
        <f ca="1">VLOOKUP($A21,INDIRECT($P$2),COLUMN()-1,FALSE)*VLOOKUP($A21,Usinas!$C:$D,2,FALSE)</f>
        <v>547.77300000000002</v>
      </c>
      <c r="N21" s="65">
        <f ca="1">VLOOKUP($A21,INDIRECT($P$2),COLUMN()-1,FALSE)*VLOOKUP($A21,Usinas!$C:$D,2,FALSE)</f>
        <v>715.92</v>
      </c>
      <c r="O21" s="65">
        <f ca="1">VLOOKUP($A21,INDIRECT($P$2),COLUMN()-1,FALSE)*VLOOKUP($A21,Usinas!$C:$D,2,FALSE)</f>
        <v>1161.4859999999999</v>
      </c>
    </row>
    <row r="22" spans="1:15" hidden="1" outlineLevel="1" x14ac:dyDescent="0.25">
      <c r="A22" s="14"/>
      <c r="B22" s="15" t="s">
        <v>56</v>
      </c>
      <c r="D22" s="74">
        <f t="shared" ref="D22:I22" ca="1" si="0">SUM(D7:D21)</f>
        <v>9305.5499000000018</v>
      </c>
      <c r="E22" s="48">
        <f t="shared" ca="1" si="0"/>
        <v>9082.3019999999997</v>
      </c>
      <c r="F22" s="48">
        <f t="shared" ca="1" si="0"/>
        <v>8110.9993999999997</v>
      </c>
      <c r="G22" s="48">
        <f t="shared" ca="1" si="0"/>
        <v>5717.4046000000008</v>
      </c>
      <c r="H22" s="48">
        <f t="shared" ca="1" si="0"/>
        <v>4126.9616999999998</v>
      </c>
      <c r="I22" s="75">
        <f t="shared" ca="1" si="0"/>
        <v>3433.1162999999997</v>
      </c>
      <c r="J22" s="74">
        <f t="shared" ref="J22:O22" ca="1" si="1">SUM(J7:J21)</f>
        <v>2813.4535999999994</v>
      </c>
      <c r="K22" s="48">
        <f t="shared" ca="1" si="1"/>
        <v>2324.7512999999994</v>
      </c>
      <c r="L22" s="48">
        <f t="shared" ca="1" si="1"/>
        <v>2353.0582999999997</v>
      </c>
      <c r="M22" s="48">
        <f t="shared" ca="1" si="1"/>
        <v>2752.1955000000003</v>
      </c>
      <c r="N22" s="48">
        <f t="shared" ca="1" si="1"/>
        <v>3766.5231999999996</v>
      </c>
      <c r="O22" s="75">
        <f t="shared" ca="1" si="1"/>
        <v>6350.6214999999993</v>
      </c>
    </row>
    <row r="23" spans="1:15" hidden="1" outlineLevel="1" x14ac:dyDescent="0.25">
      <c r="A23" s="16"/>
      <c r="B23" s="17" t="s">
        <v>0</v>
      </c>
      <c r="D23" s="80"/>
      <c r="E23" s="81"/>
      <c r="F23" s="81"/>
      <c r="G23" s="81"/>
      <c r="H23" s="81"/>
      <c r="I23" s="82"/>
      <c r="J23" s="80"/>
      <c r="K23" s="81"/>
      <c r="L23" s="81"/>
      <c r="M23" s="81"/>
      <c r="N23" s="81"/>
      <c r="O23" s="82"/>
    </row>
    <row r="24" spans="1:15" hidden="1" outlineLevel="1" x14ac:dyDescent="0.25">
      <c r="A24" s="47"/>
      <c r="B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</row>
    <row r="25" spans="1:15" hidden="1" outlineLevel="1" x14ac:dyDescent="0.25">
      <c r="A25" s="63"/>
      <c r="B25" s="64"/>
      <c r="D25" s="327" t="s">
        <v>57</v>
      </c>
      <c r="E25" s="328" t="s">
        <v>58</v>
      </c>
      <c r="F25" s="328" t="s">
        <v>59</v>
      </c>
      <c r="G25" s="328"/>
      <c r="H25" s="328"/>
      <c r="I25" s="328"/>
      <c r="J25" s="328" t="s">
        <v>57</v>
      </c>
      <c r="K25" s="328" t="s">
        <v>58</v>
      </c>
      <c r="L25" s="328" t="s">
        <v>59</v>
      </c>
      <c r="M25" s="328"/>
      <c r="N25" s="328"/>
      <c r="O25" s="328"/>
    </row>
    <row r="26" spans="1:15" hidden="1" outlineLevel="2" x14ac:dyDescent="0.25">
      <c r="A26" s="61">
        <v>22</v>
      </c>
      <c r="B26" s="62" t="s">
        <v>60</v>
      </c>
      <c r="D26" s="65">
        <f ca="1">VLOOKUP($A26,INDIRECT($P$2),COLUMN()-1,FALSE)*VLOOKUP($A26,Usinas!$C:$D,2,FALSE)</f>
        <v>67.5886</v>
      </c>
      <c r="E26" s="65">
        <f ca="1">VLOOKUP($A26,INDIRECT($P$2),COLUMN()-1,FALSE)*VLOOKUP($A26,Usinas!$C:$D,2,FALSE)</f>
        <v>68.639200000000002</v>
      </c>
      <c r="F26" s="65">
        <f ca="1">VLOOKUP($A26,INDIRECT($P$2),COLUMN()-1,FALSE)*VLOOKUP($A26,Usinas!$C:$D,2,FALSE)</f>
        <v>69.689800000000005</v>
      </c>
      <c r="G26" s="65">
        <f ca="1">VLOOKUP($A26,INDIRECT($P$2),COLUMN()-1,FALSE)*VLOOKUP($A26,Usinas!$C:$D,2,FALSE)</f>
        <v>52.53</v>
      </c>
      <c r="H26" s="65">
        <f ca="1">VLOOKUP($A26,INDIRECT($P$2),COLUMN()-1,FALSE)*VLOOKUP($A26,Usinas!$C:$D,2,FALSE)</f>
        <v>33.619199999999999</v>
      </c>
      <c r="I26" s="65">
        <f ca="1">VLOOKUP($A26,INDIRECT($P$2),COLUMN()-1,FALSE)*VLOOKUP($A26,Usinas!$C:$D,2,FALSE)</f>
        <v>25.564600000000002</v>
      </c>
      <c r="J26" s="65">
        <f ca="1">VLOOKUP($A26,INDIRECT($P$2),COLUMN()-1,FALSE)*VLOOKUP($A26,Usinas!$C:$D,2,FALSE)</f>
        <v>20.311600000000002</v>
      </c>
      <c r="K26" s="65">
        <f ca="1">VLOOKUP($A26,INDIRECT($P$2),COLUMN()-1,FALSE)*VLOOKUP($A26,Usinas!$C:$D,2,FALSE)</f>
        <v>15.759</v>
      </c>
      <c r="L26" s="65">
        <f ca="1">VLOOKUP($A26,INDIRECT($P$2),COLUMN()-1,FALSE)*VLOOKUP($A26,Usinas!$C:$D,2,FALSE)</f>
        <v>13.6578</v>
      </c>
      <c r="M26" s="65">
        <f ca="1">VLOOKUP($A26,INDIRECT($P$2),COLUMN()-1,FALSE)*VLOOKUP($A26,Usinas!$C:$D,2,FALSE)</f>
        <v>16.109200000000001</v>
      </c>
      <c r="N26" s="65">
        <f ca="1">VLOOKUP($A26,INDIRECT($P$2),COLUMN()-1,FALSE)*VLOOKUP($A26,Usinas!$C:$D,2,FALSE)</f>
        <v>27.3156</v>
      </c>
      <c r="O26" s="65">
        <f ca="1">VLOOKUP($A26,INDIRECT($P$2),COLUMN()-1,FALSE)*VLOOKUP($A26,Usinas!$C:$D,2,FALSE)</f>
        <v>51.129200000000004</v>
      </c>
    </row>
    <row r="27" spans="1:15" hidden="1" outlineLevel="2" x14ac:dyDescent="0.25">
      <c r="A27" s="61">
        <v>251</v>
      </c>
      <c r="B27" s="62" t="s">
        <v>61</v>
      </c>
      <c r="D27" s="65">
        <f ca="1">VLOOKUP($A27,INDIRECT($P$2),COLUMN()-1,FALSE)*VLOOKUP($A27,Usinas!$C:$D,2,FALSE)</f>
        <v>207.0138</v>
      </c>
      <c r="E27" s="65">
        <f ca="1">VLOOKUP($A27,INDIRECT($P$2),COLUMN()-1,FALSE)*VLOOKUP($A27,Usinas!$C:$D,2,FALSE)</f>
        <v>207.0138</v>
      </c>
      <c r="F27" s="65">
        <f ca="1">VLOOKUP($A27,INDIRECT($P$2),COLUMN()-1,FALSE)*VLOOKUP($A27,Usinas!$C:$D,2,FALSE)</f>
        <v>207.0138</v>
      </c>
      <c r="G27" s="65">
        <f ca="1">VLOOKUP($A27,INDIRECT($P$2),COLUMN()-1,FALSE)*VLOOKUP($A27,Usinas!$C:$D,2,FALSE)</f>
        <v>154.93890000000002</v>
      </c>
      <c r="H27" s="65">
        <f ca="1">VLOOKUP($A27,INDIRECT($P$2),COLUMN()-1,FALSE)*VLOOKUP($A27,Usinas!$C:$D,2,FALSE)</f>
        <v>97.720799999999997</v>
      </c>
      <c r="I27" s="65">
        <f ca="1">VLOOKUP($A27,INDIRECT($P$2),COLUMN()-1,FALSE)*VLOOKUP($A27,Usinas!$C:$D,2,FALSE)</f>
        <v>74.576400000000007</v>
      </c>
      <c r="J27" s="65">
        <f ca="1">VLOOKUP($A27,INDIRECT($P$2),COLUMN()-1,FALSE)*VLOOKUP($A27,Usinas!$C:$D,2,FALSE)</f>
        <v>58.503900000000002</v>
      </c>
      <c r="K27" s="65">
        <f ca="1">VLOOKUP($A27,INDIRECT($P$2),COLUMN()-1,FALSE)*VLOOKUP($A27,Usinas!$C:$D,2,FALSE)</f>
        <v>46.288800000000002</v>
      </c>
      <c r="L27" s="65">
        <f ca="1">VLOOKUP($A27,INDIRECT($P$2),COLUMN()-1,FALSE)*VLOOKUP($A27,Usinas!$C:$D,2,FALSE)</f>
        <v>39.216900000000003</v>
      </c>
      <c r="M27" s="65">
        <f ca="1">VLOOKUP($A27,INDIRECT($P$2),COLUMN()-1,FALSE)*VLOOKUP($A27,Usinas!$C:$D,2,FALSE)</f>
        <v>47.574600000000004</v>
      </c>
      <c r="N27" s="65">
        <f ca="1">VLOOKUP($A27,INDIRECT($P$2),COLUMN()-1,FALSE)*VLOOKUP($A27,Usinas!$C:$D,2,FALSE)</f>
        <v>81.648300000000006</v>
      </c>
      <c r="O27" s="65">
        <f ca="1">VLOOKUP($A27,INDIRECT($P$2),COLUMN()-1,FALSE)*VLOOKUP($A27,Usinas!$C:$D,2,FALSE)</f>
        <v>155.58180000000002</v>
      </c>
    </row>
    <row r="28" spans="1:15" hidden="1" outlineLevel="2" x14ac:dyDescent="0.25">
      <c r="A28" s="61">
        <v>24</v>
      </c>
      <c r="B28" s="62" t="s">
        <v>31</v>
      </c>
      <c r="D28" s="65">
        <f ca="1">VLOOKUP($A28,INDIRECT($P$2),COLUMN()-1,FALSE)*VLOOKUP($A28,Usinas!$C:$D,2,FALSE)</f>
        <v>995.73810000000003</v>
      </c>
      <c r="E28" s="65">
        <f ca="1">VLOOKUP($A28,INDIRECT($P$2),COLUMN()-1,FALSE)*VLOOKUP($A28,Usinas!$C:$D,2,FALSE)</f>
        <v>991.32730000000004</v>
      </c>
      <c r="F28" s="65">
        <f ca="1">VLOOKUP($A28,INDIRECT($P$2),COLUMN()-1,FALSE)*VLOOKUP($A28,Usinas!$C:$D,2,FALSE)</f>
        <v>948.322</v>
      </c>
      <c r="G28" s="65">
        <f ca="1">VLOOKUP($A28,INDIRECT($P$2),COLUMN()-1,FALSE)*VLOOKUP($A28,Usinas!$C:$D,2,FALSE)</f>
        <v>690.29020000000003</v>
      </c>
      <c r="H28" s="65">
        <f ca="1">VLOOKUP($A28,INDIRECT($P$2),COLUMN()-1,FALSE)*VLOOKUP($A28,Usinas!$C:$D,2,FALSE)</f>
        <v>437.77190000000002</v>
      </c>
      <c r="I28" s="65">
        <f ca="1">VLOOKUP($A28,INDIRECT($P$2),COLUMN()-1,FALSE)*VLOOKUP($A28,Usinas!$C:$D,2,FALSE)</f>
        <v>337.42619999999999</v>
      </c>
      <c r="J28" s="65">
        <f ca="1">VLOOKUP($A28,INDIRECT($P$2),COLUMN()-1,FALSE)*VLOOKUP($A28,Usinas!$C:$D,2,FALSE)</f>
        <v>270.16149999999999</v>
      </c>
      <c r="K28" s="65">
        <f ca="1">VLOOKUP($A28,INDIRECT($P$2),COLUMN()-1,FALSE)*VLOOKUP($A28,Usinas!$C:$D,2,FALSE)</f>
        <v>216.1292</v>
      </c>
      <c r="L28" s="65">
        <f ca="1">VLOOKUP($A28,INDIRECT($P$2),COLUMN()-1,FALSE)*VLOOKUP($A28,Usinas!$C:$D,2,FALSE)</f>
        <v>190.7671</v>
      </c>
      <c r="M28" s="65">
        <f ca="1">VLOOKUP($A28,INDIRECT($P$2),COLUMN()-1,FALSE)*VLOOKUP($A28,Usinas!$C:$D,2,FALSE)</f>
        <v>228.25890000000001</v>
      </c>
      <c r="N28" s="65">
        <f ca="1">VLOOKUP($A28,INDIRECT($P$2),COLUMN()-1,FALSE)*VLOOKUP($A28,Usinas!$C:$D,2,FALSE)</f>
        <v>389.25310000000002</v>
      </c>
      <c r="O28" s="65">
        <f ca="1">VLOOKUP($A28,INDIRECT($P$2),COLUMN()-1,FALSE)*VLOOKUP($A28,Usinas!$C:$D,2,FALSE)</f>
        <v>725.57659999999998</v>
      </c>
    </row>
    <row r="29" spans="1:15" hidden="1" outlineLevel="2" x14ac:dyDescent="0.25">
      <c r="A29" s="61">
        <v>25</v>
      </c>
      <c r="B29" s="62" t="s">
        <v>32</v>
      </c>
      <c r="D29" s="65">
        <f ca="1">VLOOKUP($A29,INDIRECT($P$2),COLUMN()-1,FALSE)*VLOOKUP($A29,Usinas!$C:$D,2,FALSE)</f>
        <v>531.32499999999993</v>
      </c>
      <c r="E29" s="65">
        <f ca="1">VLOOKUP($A29,INDIRECT($P$2),COLUMN()-1,FALSE)*VLOOKUP($A29,Usinas!$C:$D,2,FALSE)</f>
        <v>533.32999999999993</v>
      </c>
      <c r="F29" s="65">
        <f ca="1">VLOOKUP($A29,INDIRECT($P$2),COLUMN()-1,FALSE)*VLOOKUP($A29,Usinas!$C:$D,2,FALSE)</f>
        <v>500.24749999999995</v>
      </c>
      <c r="G29" s="65">
        <f ca="1">VLOOKUP($A29,INDIRECT($P$2),COLUMN()-1,FALSE)*VLOOKUP($A29,Usinas!$C:$D,2,FALSE)</f>
        <v>375.9375</v>
      </c>
      <c r="H29" s="65">
        <f ca="1">VLOOKUP($A29,INDIRECT($P$2),COLUMN()-1,FALSE)*VLOOKUP($A29,Usinas!$C:$D,2,FALSE)</f>
        <v>257.64249999999998</v>
      </c>
      <c r="I29" s="65">
        <f ca="1">VLOOKUP($A29,INDIRECT($P$2),COLUMN()-1,FALSE)*VLOOKUP($A29,Usinas!$C:$D,2,FALSE)</f>
        <v>201.5025</v>
      </c>
      <c r="J29" s="65">
        <f ca="1">VLOOKUP($A29,INDIRECT($P$2),COLUMN()-1,FALSE)*VLOOKUP($A29,Usinas!$C:$D,2,FALSE)</f>
        <v>166.41499999999999</v>
      </c>
      <c r="K29" s="65">
        <f ca="1">VLOOKUP($A29,INDIRECT($P$2),COLUMN()-1,FALSE)*VLOOKUP($A29,Usinas!$C:$D,2,FALSE)</f>
        <v>135.33750000000001</v>
      </c>
      <c r="L29" s="65">
        <f ca="1">VLOOKUP($A29,INDIRECT($P$2),COLUMN()-1,FALSE)*VLOOKUP($A29,Usinas!$C:$D,2,FALSE)</f>
        <v>123.30749999999999</v>
      </c>
      <c r="M29" s="65">
        <f ca="1">VLOOKUP($A29,INDIRECT($P$2),COLUMN()-1,FALSE)*VLOOKUP($A29,Usinas!$C:$D,2,FALSE)</f>
        <v>152.38</v>
      </c>
      <c r="N29" s="65">
        <f ca="1">VLOOKUP($A29,INDIRECT($P$2),COLUMN()-1,FALSE)*VLOOKUP($A29,Usinas!$C:$D,2,FALSE)</f>
        <v>224.56</v>
      </c>
      <c r="O29" s="65">
        <f ca="1">VLOOKUP($A29,INDIRECT($P$2),COLUMN()-1,FALSE)*VLOOKUP($A29,Usinas!$C:$D,2,FALSE)</f>
        <v>376.94</v>
      </c>
    </row>
    <row r="30" spans="1:15" hidden="1" outlineLevel="2" x14ac:dyDescent="0.25">
      <c r="A30" s="61">
        <v>206</v>
      </c>
      <c r="B30" s="62" t="s">
        <v>62</v>
      </c>
      <c r="D30" s="65">
        <f ca="1">VLOOKUP($A30,INDIRECT($P$2),COLUMN()-1,FALSE)*VLOOKUP($A30,Usinas!$C:$D,2,FALSE)</f>
        <v>374.72299999999996</v>
      </c>
      <c r="E30" s="65">
        <f ca="1">VLOOKUP($A30,INDIRECT($P$2),COLUMN()-1,FALSE)*VLOOKUP($A30,Usinas!$C:$D,2,FALSE)</f>
        <v>377.79449999999997</v>
      </c>
      <c r="F30" s="65">
        <f ca="1">VLOOKUP($A30,INDIRECT($P$2),COLUMN()-1,FALSE)*VLOOKUP($A30,Usinas!$C:$D,2,FALSE)</f>
        <v>355.06539999999995</v>
      </c>
      <c r="G30" s="65">
        <f ca="1">VLOOKUP($A30,INDIRECT($P$2),COLUMN()-1,FALSE)*VLOOKUP($A30,Usinas!$C:$D,2,FALSE)</f>
        <v>269.67769999999996</v>
      </c>
      <c r="H30" s="65">
        <f ca="1">VLOOKUP($A30,INDIRECT($P$2),COLUMN()-1,FALSE)*VLOOKUP($A30,Usinas!$C:$D,2,FALSE)</f>
        <v>184.29</v>
      </c>
      <c r="I30" s="65">
        <f ca="1">VLOOKUP($A30,INDIRECT($P$2),COLUMN()-1,FALSE)*VLOOKUP($A30,Usinas!$C:$D,2,FALSE)</f>
        <v>144.3605</v>
      </c>
      <c r="J30" s="65">
        <f ca="1">VLOOKUP($A30,INDIRECT($P$2),COLUMN()-1,FALSE)*VLOOKUP($A30,Usinas!$C:$D,2,FALSE)</f>
        <v>119.78849999999998</v>
      </c>
      <c r="K30" s="65">
        <f ca="1">VLOOKUP($A30,INDIRECT($P$2),COLUMN()-1,FALSE)*VLOOKUP($A30,Usinas!$C:$D,2,FALSE)</f>
        <v>98.902299999999997</v>
      </c>
      <c r="L30" s="65">
        <f ca="1">VLOOKUP($A30,INDIRECT($P$2),COLUMN()-1,FALSE)*VLOOKUP($A30,Usinas!$C:$D,2,FALSE)</f>
        <v>90.916399999999996</v>
      </c>
      <c r="M30" s="65">
        <f ca="1">VLOOKUP($A30,INDIRECT($P$2),COLUMN()-1,FALSE)*VLOOKUP($A30,Usinas!$C:$D,2,FALSE)</f>
        <v>110.574</v>
      </c>
      <c r="N30" s="65">
        <f ca="1">VLOOKUP($A30,INDIRECT($P$2),COLUMN()-1,FALSE)*VLOOKUP($A30,Usinas!$C:$D,2,FALSE)</f>
        <v>161.56089999999998</v>
      </c>
      <c r="O30" s="65">
        <f ca="1">VLOOKUP($A30,INDIRECT($P$2),COLUMN()-1,FALSE)*VLOOKUP($A30,Usinas!$C:$D,2,FALSE)</f>
        <v>266.6062</v>
      </c>
    </row>
    <row r="31" spans="1:15" hidden="1" outlineLevel="2" x14ac:dyDescent="0.25">
      <c r="A31" s="61">
        <v>207</v>
      </c>
      <c r="B31" s="62" t="s">
        <v>63</v>
      </c>
      <c r="D31" s="65">
        <f ca="1">VLOOKUP($A31,INDIRECT($P$2),COLUMN()-1,FALSE)*VLOOKUP($A31,Usinas!$C:$D,2,FALSE)</f>
        <v>312.23200000000003</v>
      </c>
      <c r="E31" s="65">
        <f ca="1">VLOOKUP($A31,INDIRECT($P$2),COLUMN()-1,FALSE)*VLOOKUP($A31,Usinas!$C:$D,2,FALSE)</f>
        <v>315.25360000000001</v>
      </c>
      <c r="F31" s="65">
        <f ca="1">VLOOKUP($A31,INDIRECT($P$2),COLUMN()-1,FALSE)*VLOOKUP($A31,Usinas!$C:$D,2,FALSE)</f>
        <v>296.62040000000002</v>
      </c>
      <c r="G31" s="65">
        <f ca="1">VLOOKUP($A31,INDIRECT($P$2),COLUMN()-1,FALSE)*VLOOKUP($A31,Usinas!$C:$D,2,FALSE)</f>
        <v>225.61280000000002</v>
      </c>
      <c r="H31" s="65">
        <f ca="1">VLOOKUP($A31,INDIRECT($P$2),COLUMN()-1,FALSE)*VLOOKUP($A31,Usinas!$C:$D,2,FALSE)</f>
        <v>154.60520000000002</v>
      </c>
      <c r="I31" s="65">
        <f ca="1">VLOOKUP($A31,INDIRECT($P$2),COLUMN()-1,FALSE)*VLOOKUP($A31,Usinas!$C:$D,2,FALSE)</f>
        <v>120.864</v>
      </c>
      <c r="J31" s="65">
        <f ca="1">VLOOKUP($A31,INDIRECT($P$2),COLUMN()-1,FALSE)*VLOOKUP($A31,Usinas!$C:$D,2,FALSE)</f>
        <v>100.21640000000001</v>
      </c>
      <c r="K31" s="65">
        <f ca="1">VLOOKUP($A31,INDIRECT($P$2),COLUMN()-1,FALSE)*VLOOKUP($A31,Usinas!$C:$D,2,FALSE)</f>
        <v>82.590400000000002</v>
      </c>
      <c r="L31" s="65">
        <f ca="1">VLOOKUP($A31,INDIRECT($P$2),COLUMN()-1,FALSE)*VLOOKUP($A31,Usinas!$C:$D,2,FALSE)</f>
        <v>76.043600000000012</v>
      </c>
      <c r="M31" s="65">
        <f ca="1">VLOOKUP($A31,INDIRECT($P$2),COLUMN()-1,FALSE)*VLOOKUP($A31,Usinas!$C:$D,2,FALSE)</f>
        <v>92.158800000000014</v>
      </c>
      <c r="N31" s="65">
        <f ca="1">VLOOKUP($A31,INDIRECT($P$2),COLUMN()-1,FALSE)*VLOOKUP($A31,Usinas!$C:$D,2,FALSE)</f>
        <v>134.96480000000003</v>
      </c>
      <c r="O31" s="65">
        <f ca="1">VLOOKUP($A31,INDIRECT($P$2),COLUMN()-1,FALSE)*VLOOKUP($A31,Usinas!$C:$D,2,FALSE)</f>
        <v>222.08760000000001</v>
      </c>
    </row>
    <row r="32" spans="1:15" hidden="1" outlineLevel="2" x14ac:dyDescent="0.25">
      <c r="A32" s="61">
        <v>28</v>
      </c>
      <c r="B32" s="62" t="s">
        <v>64</v>
      </c>
      <c r="D32" s="65">
        <f ca="1">VLOOKUP($A32,INDIRECT($P$2),COLUMN()-1,FALSE)*VLOOKUP($A32,Usinas!$C:$D,2,FALSE)</f>
        <v>258.75920000000002</v>
      </c>
      <c r="E32" s="65">
        <f ca="1">VLOOKUP($A32,INDIRECT($P$2),COLUMN()-1,FALSE)*VLOOKUP($A32,Usinas!$C:$D,2,FALSE)</f>
        <v>262.37540000000001</v>
      </c>
      <c r="F32" s="65">
        <f ca="1">VLOOKUP($A32,INDIRECT($P$2),COLUMN()-1,FALSE)*VLOOKUP($A32,Usinas!$C:$D,2,FALSE)</f>
        <v>246.70519999999999</v>
      </c>
      <c r="G32" s="65">
        <f ca="1">VLOOKUP($A32,INDIRECT($P$2),COLUMN()-1,FALSE)*VLOOKUP($A32,Usinas!$C:$D,2,FALSE)</f>
        <v>188.4442</v>
      </c>
      <c r="H32" s="65">
        <f ca="1">VLOOKUP($A32,INDIRECT($P$2),COLUMN()-1,FALSE)*VLOOKUP($A32,Usinas!$C:$D,2,FALSE)</f>
        <v>128.9778</v>
      </c>
      <c r="I32" s="65">
        <f ca="1">VLOOKUP($A32,INDIRECT($P$2),COLUMN()-1,FALSE)*VLOOKUP($A32,Usinas!$C:$D,2,FALSE)</f>
        <v>100.8518</v>
      </c>
      <c r="J32" s="65">
        <f ca="1">VLOOKUP($A32,INDIRECT($P$2),COLUMN()-1,FALSE)*VLOOKUP($A32,Usinas!$C:$D,2,FALSE)</f>
        <v>83.574399999999997</v>
      </c>
      <c r="K32" s="65">
        <f ca="1">VLOOKUP($A32,INDIRECT($P$2),COLUMN()-1,FALSE)*VLOOKUP($A32,Usinas!$C:$D,2,FALSE)</f>
        <v>69.511399999999995</v>
      </c>
      <c r="L32" s="65">
        <f ca="1">VLOOKUP($A32,INDIRECT($P$2),COLUMN()-1,FALSE)*VLOOKUP($A32,Usinas!$C:$D,2,FALSE)</f>
        <v>63.886199999999995</v>
      </c>
      <c r="M32" s="65">
        <f ca="1">VLOOKUP($A32,INDIRECT($P$2),COLUMN()-1,FALSE)*VLOOKUP($A32,Usinas!$C:$D,2,FALSE)</f>
        <v>76.743799999999993</v>
      </c>
      <c r="N32" s="65">
        <f ca="1">VLOOKUP($A32,INDIRECT($P$2),COLUMN()-1,FALSE)*VLOOKUP($A32,Usinas!$C:$D,2,FALSE)</f>
        <v>112.1022</v>
      </c>
      <c r="O32" s="65">
        <f ca="1">VLOOKUP($A32,INDIRECT($P$2),COLUMN()-1,FALSE)*VLOOKUP($A32,Usinas!$C:$D,2,FALSE)</f>
        <v>184.02439999999999</v>
      </c>
    </row>
    <row r="33" spans="1:15" hidden="1" outlineLevel="2" x14ac:dyDescent="0.25">
      <c r="A33" s="61">
        <v>205</v>
      </c>
      <c r="B33" s="62" t="s">
        <v>65</v>
      </c>
      <c r="D33" s="65">
        <f ca="1">VLOOKUP($A33,INDIRECT($P$2),COLUMN()-1,FALSE)*VLOOKUP($A33,Usinas!$C:$D,2,FALSE)</f>
        <v>136.3494</v>
      </c>
      <c r="E33" s="65">
        <f ca="1">VLOOKUP($A33,INDIRECT($P$2),COLUMN()-1,FALSE)*VLOOKUP($A33,Usinas!$C:$D,2,FALSE)</f>
        <v>150.04660000000001</v>
      </c>
      <c r="F33" s="65">
        <f ca="1">VLOOKUP($A33,INDIRECT($P$2),COLUMN()-1,FALSE)*VLOOKUP($A33,Usinas!$C:$D,2,FALSE)</f>
        <v>148.8014</v>
      </c>
      <c r="G33" s="65">
        <f ca="1">VLOOKUP($A33,INDIRECT($P$2),COLUMN()-1,FALSE)*VLOOKUP($A33,Usinas!$C:$D,2,FALSE)</f>
        <v>118.29400000000001</v>
      </c>
      <c r="H33" s="65">
        <f ca="1">VLOOKUP($A33,INDIRECT($P$2),COLUMN()-1,FALSE)*VLOOKUP($A33,Usinas!$C:$D,2,FALSE)</f>
        <v>74.089400000000012</v>
      </c>
      <c r="I33" s="65">
        <f ca="1">VLOOKUP($A33,INDIRECT($P$2),COLUMN()-1,FALSE)*VLOOKUP($A33,Usinas!$C:$D,2,FALSE)</f>
        <v>54.166200000000003</v>
      </c>
      <c r="J33" s="65">
        <f ca="1">VLOOKUP($A33,INDIRECT($P$2),COLUMN()-1,FALSE)*VLOOKUP($A33,Usinas!$C:$D,2,FALSE)</f>
        <v>42.336800000000004</v>
      </c>
      <c r="K33" s="65">
        <f ca="1">VLOOKUP($A33,INDIRECT($P$2),COLUMN()-1,FALSE)*VLOOKUP($A33,Usinas!$C:$D,2,FALSE)</f>
        <v>33.620400000000004</v>
      </c>
      <c r="L33" s="65">
        <f ca="1">VLOOKUP($A33,INDIRECT($P$2),COLUMN()-1,FALSE)*VLOOKUP($A33,Usinas!$C:$D,2,FALSE)</f>
        <v>29.262200000000004</v>
      </c>
      <c r="M33" s="65">
        <f ca="1">VLOOKUP($A33,INDIRECT($P$2),COLUMN()-1,FALSE)*VLOOKUP($A33,Usinas!$C:$D,2,FALSE)</f>
        <v>37.9786</v>
      </c>
      <c r="N33" s="65">
        <f ca="1">VLOOKUP($A33,INDIRECT($P$2),COLUMN()-1,FALSE)*VLOOKUP($A33,Usinas!$C:$D,2,FALSE)</f>
        <v>62.260000000000005</v>
      </c>
      <c r="O33" s="65">
        <f ca="1">VLOOKUP($A33,INDIRECT($P$2),COLUMN()-1,FALSE)*VLOOKUP($A33,Usinas!$C:$D,2,FALSE)</f>
        <v>100.23860000000001</v>
      </c>
    </row>
    <row r="34" spans="1:15" hidden="1" outlineLevel="2" x14ac:dyDescent="0.25">
      <c r="A34" s="61">
        <v>23</v>
      </c>
      <c r="B34" s="62" t="s">
        <v>66</v>
      </c>
      <c r="D34" s="65">
        <f ca="1">VLOOKUP($A34,INDIRECT($P$2),COLUMN()-1,FALSE)*VLOOKUP($A34,Usinas!$C:$D,2,FALSE)</f>
        <v>98.85329999999999</v>
      </c>
      <c r="E34" s="65">
        <f ca="1">VLOOKUP($A34,INDIRECT($P$2),COLUMN()-1,FALSE)*VLOOKUP($A34,Usinas!$C:$D,2,FALSE)</f>
        <v>108.2679</v>
      </c>
      <c r="F34" s="65">
        <f ca="1">VLOOKUP($A34,INDIRECT($P$2),COLUMN()-1,FALSE)*VLOOKUP($A34,Usinas!$C:$D,2,FALSE)</f>
        <v>108.2679</v>
      </c>
      <c r="G34" s="65">
        <f ca="1">VLOOKUP($A34,INDIRECT($P$2),COLUMN()-1,FALSE)*VLOOKUP($A34,Usinas!$C:$D,2,FALSE)</f>
        <v>84.731399999999994</v>
      </c>
      <c r="H34" s="65">
        <f ca="1">VLOOKUP($A34,INDIRECT($P$2),COLUMN()-1,FALSE)*VLOOKUP($A34,Usinas!$C:$D,2,FALSE)</f>
        <v>53.590799999999994</v>
      </c>
      <c r="I34" s="65">
        <f ca="1">VLOOKUP($A34,INDIRECT($P$2),COLUMN()-1,FALSE)*VLOOKUP($A34,Usinas!$C:$D,2,FALSE)</f>
        <v>39.468899999999998</v>
      </c>
      <c r="J34" s="65">
        <f ca="1">VLOOKUP($A34,INDIRECT($P$2),COLUMN()-1,FALSE)*VLOOKUP($A34,Usinas!$C:$D,2,FALSE)</f>
        <v>30.778499999999998</v>
      </c>
      <c r="K34" s="65">
        <f ca="1">VLOOKUP($A34,INDIRECT($P$2),COLUMN()-1,FALSE)*VLOOKUP($A34,Usinas!$C:$D,2,FALSE)</f>
        <v>24.2607</v>
      </c>
      <c r="L34" s="65">
        <f ca="1">VLOOKUP($A34,INDIRECT($P$2),COLUMN()-1,FALSE)*VLOOKUP($A34,Usinas!$C:$D,2,FALSE)</f>
        <v>21.001799999999999</v>
      </c>
      <c r="M34" s="65">
        <f ca="1">VLOOKUP($A34,INDIRECT($P$2),COLUMN()-1,FALSE)*VLOOKUP($A34,Usinas!$C:$D,2,FALSE)</f>
        <v>27.519599999999997</v>
      </c>
      <c r="N34" s="65">
        <f ca="1">VLOOKUP($A34,INDIRECT($P$2),COLUMN()-1,FALSE)*VLOOKUP($A34,Usinas!$C:$D,2,FALSE)</f>
        <v>45.262499999999996</v>
      </c>
      <c r="O34" s="65">
        <f ca="1">VLOOKUP($A34,INDIRECT($P$2),COLUMN()-1,FALSE)*VLOOKUP($A34,Usinas!$C:$D,2,FALSE)</f>
        <v>72.7821</v>
      </c>
    </row>
    <row r="35" spans="1:15" hidden="1" outlineLevel="2" x14ac:dyDescent="0.25">
      <c r="A35" s="61">
        <v>209</v>
      </c>
      <c r="B35" s="62" t="s">
        <v>67</v>
      </c>
      <c r="D35" s="65">
        <f ca="1">VLOOKUP($A35,INDIRECT($P$2),COLUMN()-1,FALSE)*VLOOKUP($A35,Usinas!$C:$D,2,FALSE)</f>
        <v>461.61360000000002</v>
      </c>
      <c r="E35" s="65">
        <f ca="1">VLOOKUP($A35,INDIRECT($P$2),COLUMN()-1,FALSE)*VLOOKUP($A35,Usinas!$C:$D,2,FALSE)</f>
        <v>508.62980000000005</v>
      </c>
      <c r="F35" s="65">
        <f ca="1">VLOOKUP($A35,INDIRECT($P$2),COLUMN()-1,FALSE)*VLOOKUP($A35,Usinas!$C:$D,2,FALSE)</f>
        <v>508.62980000000005</v>
      </c>
      <c r="G35" s="65">
        <f ca="1">VLOOKUP($A35,INDIRECT($P$2),COLUMN()-1,FALSE)*VLOOKUP($A35,Usinas!$C:$D,2,FALSE)</f>
        <v>392.61580000000004</v>
      </c>
      <c r="H35" s="65">
        <f ca="1">VLOOKUP($A35,INDIRECT($P$2),COLUMN()-1,FALSE)*VLOOKUP($A35,Usinas!$C:$D,2,FALSE)</f>
        <v>247.90360000000001</v>
      </c>
      <c r="I35" s="65">
        <f ca="1">VLOOKUP($A35,INDIRECT($P$2),COLUMN()-1,FALSE)*VLOOKUP($A35,Usinas!$C:$D,2,FALSE)</f>
        <v>184.40120000000002</v>
      </c>
      <c r="J35" s="65">
        <f ca="1">VLOOKUP($A35,INDIRECT($P$2),COLUMN()-1,FALSE)*VLOOKUP($A35,Usinas!$C:$D,2,FALSE)</f>
        <v>144.7122</v>
      </c>
      <c r="K35" s="65">
        <f ca="1">VLOOKUP($A35,INDIRECT($P$2),COLUMN()-1,FALSE)*VLOOKUP($A35,Usinas!$C:$D,2,FALSE)</f>
        <v>114.18220000000001</v>
      </c>
      <c r="L35" s="65">
        <f ca="1">VLOOKUP($A35,INDIRECT($P$2),COLUMN()-1,FALSE)*VLOOKUP($A35,Usinas!$C:$D,2,FALSE)</f>
        <v>98.917200000000008</v>
      </c>
      <c r="M35" s="65">
        <f ca="1">VLOOKUP($A35,INDIRECT($P$2),COLUMN()-1,FALSE)*VLOOKUP($A35,Usinas!$C:$D,2,FALSE)</f>
        <v>124.56240000000001</v>
      </c>
      <c r="N35" s="65">
        <f ca="1">VLOOKUP($A35,INDIRECT($P$2),COLUMN()-1,FALSE)*VLOOKUP($A35,Usinas!$C:$D,2,FALSE)</f>
        <v>206.99340000000001</v>
      </c>
      <c r="O35" s="65">
        <f ca="1">VLOOKUP($A35,INDIRECT($P$2),COLUMN()-1,FALSE)*VLOOKUP($A35,Usinas!$C:$D,2,FALSE)</f>
        <v>338.88300000000004</v>
      </c>
    </row>
    <row r="36" spans="1:15" hidden="1" outlineLevel="2" x14ac:dyDescent="0.25">
      <c r="A36" s="61">
        <v>31</v>
      </c>
      <c r="B36" s="62" t="s">
        <v>68</v>
      </c>
      <c r="D36" s="65">
        <f ca="1">VLOOKUP($A36,INDIRECT($P$2),COLUMN()-1,FALSE)*VLOOKUP($A36,Usinas!$C:$D,2,FALSE)</f>
        <v>1867.4433000000001</v>
      </c>
      <c r="E36" s="65">
        <f ca="1">VLOOKUP($A36,INDIRECT($P$2),COLUMN()-1,FALSE)*VLOOKUP($A36,Usinas!$C:$D,2,FALSE)</f>
        <v>1930.8042</v>
      </c>
      <c r="F36" s="65">
        <f ca="1">VLOOKUP($A36,INDIRECT($P$2),COLUMN()-1,FALSE)*VLOOKUP($A36,Usinas!$C:$D,2,FALSE)</f>
        <v>1878.3441</v>
      </c>
      <c r="G36" s="65">
        <f ca="1">VLOOKUP($A36,INDIRECT($P$2),COLUMN()-1,FALSE)*VLOOKUP($A36,Usinas!$C:$D,2,FALSE)</f>
        <v>1403.4780000000001</v>
      </c>
      <c r="H36" s="65">
        <f ca="1">VLOOKUP($A36,INDIRECT($P$2),COLUMN()-1,FALSE)*VLOOKUP($A36,Usinas!$C:$D,2,FALSE)</f>
        <v>906.81029999999998</v>
      </c>
      <c r="I36" s="65">
        <f ca="1">VLOOKUP($A36,INDIRECT($P$2),COLUMN()-1,FALSE)*VLOOKUP($A36,Usinas!$C:$D,2,FALSE)</f>
        <v>701.05770000000007</v>
      </c>
      <c r="J36" s="65">
        <f ca="1">VLOOKUP($A36,INDIRECT($P$2),COLUMN()-1,FALSE)*VLOOKUP($A36,Usinas!$C:$D,2,FALSE)</f>
        <v>557.30340000000001</v>
      </c>
      <c r="K36" s="65">
        <f ca="1">VLOOKUP($A36,INDIRECT($P$2),COLUMN()-1,FALSE)*VLOOKUP($A36,Usinas!$C:$D,2,FALSE)</f>
        <v>446.93279999999999</v>
      </c>
      <c r="L36" s="65">
        <f ca="1">VLOOKUP($A36,INDIRECT($P$2),COLUMN()-1,FALSE)*VLOOKUP($A36,Usinas!$C:$D,2,FALSE)</f>
        <v>396.51659999999998</v>
      </c>
      <c r="M36" s="65">
        <f ca="1">VLOOKUP($A36,INDIRECT($P$2),COLUMN()-1,FALSE)*VLOOKUP($A36,Usinas!$C:$D,2,FALSE)</f>
        <v>481.67910000000001</v>
      </c>
      <c r="N36" s="65">
        <f ca="1">VLOOKUP($A36,INDIRECT($P$2),COLUMN()-1,FALSE)*VLOOKUP($A36,Usinas!$C:$D,2,FALSE)</f>
        <v>775.31939999999997</v>
      </c>
      <c r="O36" s="65">
        <f ca="1">VLOOKUP($A36,INDIRECT($P$2),COLUMN()-1,FALSE)*VLOOKUP($A36,Usinas!$C:$D,2,FALSE)</f>
        <v>1344.2049</v>
      </c>
    </row>
    <row r="37" spans="1:15" hidden="1" outlineLevel="2" x14ac:dyDescent="0.25">
      <c r="A37" s="61">
        <v>32</v>
      </c>
      <c r="B37" s="62" t="s">
        <v>69</v>
      </c>
      <c r="D37" s="65">
        <f ca="1">VLOOKUP($A37,INDIRECT($P$2),COLUMN()-1,FALSE)*VLOOKUP($A37,Usinas!$C:$D,2,FALSE)</f>
        <v>810.49680000000001</v>
      </c>
      <c r="E37" s="65">
        <f ca="1">VLOOKUP($A37,INDIRECT($P$2),COLUMN()-1,FALSE)*VLOOKUP($A37,Usinas!$C:$D,2,FALSE)</f>
        <v>840.73500000000001</v>
      </c>
      <c r="F37" s="65">
        <f ca="1">VLOOKUP($A37,INDIRECT($P$2),COLUMN()-1,FALSE)*VLOOKUP($A37,Usinas!$C:$D,2,FALSE)</f>
        <v>817.84440000000006</v>
      </c>
      <c r="G37" s="65">
        <f ca="1">VLOOKUP($A37,INDIRECT($P$2),COLUMN()-1,FALSE)*VLOOKUP($A37,Usinas!$C:$D,2,FALSE)</f>
        <v>612.95940000000007</v>
      </c>
      <c r="H37" s="65">
        <f ca="1">VLOOKUP($A37,INDIRECT($P$2),COLUMN()-1,FALSE)*VLOOKUP($A37,Usinas!$C:$D,2,FALSE)</f>
        <v>396.48780000000005</v>
      </c>
      <c r="I37" s="65">
        <f ca="1">VLOOKUP($A37,INDIRECT($P$2),COLUMN()-1,FALSE)*VLOOKUP($A37,Usinas!$C:$D,2,FALSE)</f>
        <v>306.90360000000004</v>
      </c>
      <c r="J37" s="65">
        <f ca="1">VLOOKUP($A37,INDIRECT($P$2),COLUMN()-1,FALSE)*VLOOKUP($A37,Usinas!$C:$D,2,FALSE)</f>
        <v>244.73160000000001</v>
      </c>
      <c r="K37" s="65">
        <f ca="1">VLOOKUP($A37,INDIRECT($P$2),COLUMN()-1,FALSE)*VLOOKUP($A37,Usinas!$C:$D,2,FALSE)</f>
        <v>196.40700000000001</v>
      </c>
      <c r="L37" s="65">
        <f ca="1">VLOOKUP($A37,INDIRECT($P$2),COLUMN()-1,FALSE)*VLOOKUP($A37,Usinas!$C:$D,2,FALSE)</f>
        <v>174.64680000000001</v>
      </c>
      <c r="M37" s="65">
        <f ca="1">VLOOKUP($A37,INDIRECT($P$2),COLUMN()-1,FALSE)*VLOOKUP($A37,Usinas!$C:$D,2,FALSE)</f>
        <v>210.53700000000001</v>
      </c>
      <c r="N37" s="65">
        <f ca="1">VLOOKUP($A37,INDIRECT($P$2),COLUMN()-1,FALSE)*VLOOKUP($A37,Usinas!$C:$D,2,FALSE)</f>
        <v>337.14180000000005</v>
      </c>
      <c r="O37" s="65">
        <f ca="1">VLOOKUP($A37,INDIRECT($P$2),COLUMN()-1,FALSE)*VLOOKUP($A37,Usinas!$C:$D,2,FALSE)</f>
        <v>583.28640000000007</v>
      </c>
    </row>
    <row r="38" spans="1:15" hidden="1" outlineLevel="2" x14ac:dyDescent="0.25">
      <c r="A38" s="61">
        <v>33</v>
      </c>
      <c r="B38" s="62" t="s">
        <v>70</v>
      </c>
      <c r="D38" s="65">
        <f ca="1">VLOOKUP($A38,INDIRECT($P$2),COLUMN()-1,FALSE)*VLOOKUP($A38,Usinas!$C:$D,2,FALSE)</f>
        <v>2562.5545999999999</v>
      </c>
      <c r="E38" s="65">
        <f ca="1">VLOOKUP($A38,INDIRECT($P$2),COLUMN()-1,FALSE)*VLOOKUP($A38,Usinas!$C:$D,2,FALSE)</f>
        <v>2671.1480000000001</v>
      </c>
      <c r="F38" s="65">
        <f ca="1">VLOOKUP($A38,INDIRECT($P$2),COLUMN()-1,FALSE)*VLOOKUP($A38,Usinas!$C:$D,2,FALSE)</f>
        <v>2639.3188999999998</v>
      </c>
      <c r="G38" s="65">
        <f ca="1">VLOOKUP($A38,INDIRECT($P$2),COLUMN()-1,FALSE)*VLOOKUP($A38,Usinas!$C:$D,2,FALSE)</f>
        <v>2015.2188999999998</v>
      </c>
      <c r="H38" s="65">
        <f ca="1">VLOOKUP($A38,INDIRECT($P$2),COLUMN()-1,FALSE)*VLOOKUP($A38,Usinas!$C:$D,2,FALSE)</f>
        <v>1316.8509999999999</v>
      </c>
      <c r="I38" s="65">
        <f ca="1">VLOOKUP($A38,INDIRECT($P$2),COLUMN()-1,FALSE)*VLOOKUP($A38,Usinas!$C:$D,2,FALSE)</f>
        <v>1030.3890999999999</v>
      </c>
      <c r="J38" s="65">
        <f ca="1">VLOOKUP($A38,INDIRECT($P$2),COLUMN()-1,FALSE)*VLOOKUP($A38,Usinas!$C:$D,2,FALSE)</f>
        <v>828.1807</v>
      </c>
      <c r="K38" s="65">
        <f ca="1">VLOOKUP($A38,INDIRECT($P$2),COLUMN()-1,FALSE)*VLOOKUP($A38,Usinas!$C:$D,2,FALSE)</f>
        <v>675.27620000000002</v>
      </c>
      <c r="L38" s="65">
        <f ca="1">VLOOKUP($A38,INDIRECT($P$2),COLUMN()-1,FALSE)*VLOOKUP($A38,Usinas!$C:$D,2,FALSE)</f>
        <v>612.24209999999994</v>
      </c>
      <c r="M38" s="65">
        <f ca="1">VLOOKUP($A38,INDIRECT($P$2),COLUMN()-1,FALSE)*VLOOKUP($A38,Usinas!$C:$D,2,FALSE)</f>
        <v>726.45240000000001</v>
      </c>
      <c r="N38" s="65">
        <f ca="1">VLOOKUP($A38,INDIRECT($P$2),COLUMN()-1,FALSE)*VLOOKUP($A38,Usinas!$C:$D,2,FALSE)</f>
        <v>1104.6569999999999</v>
      </c>
      <c r="O38" s="65">
        <f ca="1">VLOOKUP($A38,INDIRECT($P$2),COLUMN()-1,FALSE)*VLOOKUP($A38,Usinas!$C:$D,2,FALSE)</f>
        <v>1859.818</v>
      </c>
    </row>
    <row r="39" spans="1:15" hidden="1" outlineLevel="2" x14ac:dyDescent="0.25">
      <c r="A39" s="61">
        <v>247</v>
      </c>
      <c r="B39" s="62" t="s">
        <v>71</v>
      </c>
      <c r="D39" s="65">
        <f ca="1">VLOOKUP($A39,INDIRECT($P$2),COLUMN()-1,FALSE)*VLOOKUP($A39,Usinas!$C:$D,2,FALSE)</f>
        <v>69.591200000000001</v>
      </c>
      <c r="E39" s="65">
        <f ca="1">VLOOKUP($A39,INDIRECT($P$2),COLUMN()-1,FALSE)*VLOOKUP($A39,Usinas!$C:$D,2,FALSE)</f>
        <v>77.778399999999991</v>
      </c>
      <c r="F39" s="65">
        <f ca="1">VLOOKUP($A39,INDIRECT($P$2),COLUMN()-1,FALSE)*VLOOKUP($A39,Usinas!$C:$D,2,FALSE)</f>
        <v>78.982399999999998</v>
      </c>
      <c r="G39" s="65">
        <f ca="1">VLOOKUP($A39,INDIRECT($P$2),COLUMN()-1,FALSE)*VLOOKUP($A39,Usinas!$C:$D,2,FALSE)</f>
        <v>60.922399999999996</v>
      </c>
      <c r="H39" s="65">
        <f ca="1">VLOOKUP($A39,INDIRECT($P$2),COLUMN()-1,FALSE)*VLOOKUP($A39,Usinas!$C:$D,2,FALSE)</f>
        <v>42.621600000000001</v>
      </c>
      <c r="I39" s="65">
        <f ca="1">VLOOKUP($A39,INDIRECT($P$2),COLUMN()-1,FALSE)*VLOOKUP($A39,Usinas!$C:$D,2,FALSE)</f>
        <v>33.471199999999996</v>
      </c>
      <c r="J39" s="65">
        <f ca="1">VLOOKUP($A39,INDIRECT($P$2),COLUMN()-1,FALSE)*VLOOKUP($A39,Usinas!$C:$D,2,FALSE)</f>
        <v>27.932799999999997</v>
      </c>
      <c r="K39" s="65">
        <f ca="1">VLOOKUP($A39,INDIRECT($P$2),COLUMN()-1,FALSE)*VLOOKUP($A39,Usinas!$C:$D,2,FALSE)</f>
        <v>24.320799999999998</v>
      </c>
      <c r="L39" s="65">
        <f ca="1">VLOOKUP($A39,INDIRECT($P$2),COLUMN()-1,FALSE)*VLOOKUP($A39,Usinas!$C:$D,2,FALSE)</f>
        <v>24.802399999999999</v>
      </c>
      <c r="M39" s="65">
        <f ca="1">VLOOKUP($A39,INDIRECT($P$2),COLUMN()-1,FALSE)*VLOOKUP($A39,Usinas!$C:$D,2,FALSE)</f>
        <v>30.822399999999998</v>
      </c>
      <c r="N39" s="65">
        <f ca="1">VLOOKUP($A39,INDIRECT($P$2),COLUMN()-1,FALSE)*VLOOKUP($A39,Usinas!$C:$D,2,FALSE)</f>
        <v>39.972799999999999</v>
      </c>
      <c r="O39" s="65">
        <f ca="1">VLOOKUP($A39,INDIRECT($P$2),COLUMN()-1,FALSE)*VLOOKUP($A39,Usinas!$C:$D,2,FALSE)</f>
        <v>55.624799999999993</v>
      </c>
    </row>
    <row r="40" spans="1:15" hidden="1" outlineLevel="2" x14ac:dyDescent="0.25">
      <c r="A40" s="61">
        <v>248</v>
      </c>
      <c r="B40" s="62" t="s">
        <v>72</v>
      </c>
      <c r="D40" s="65">
        <f ca="1">VLOOKUP($A40,INDIRECT($P$2),COLUMN()-1,FALSE)*VLOOKUP($A40,Usinas!$C:$D,2,FALSE)</f>
        <v>100.74469999999999</v>
      </c>
      <c r="E40" s="65">
        <f ca="1">VLOOKUP($A40,INDIRECT($P$2),COLUMN()-1,FALSE)*VLOOKUP($A40,Usinas!$C:$D,2,FALSE)</f>
        <v>112.4592</v>
      </c>
      <c r="F40" s="65">
        <f ca="1">VLOOKUP($A40,INDIRECT($P$2),COLUMN()-1,FALSE)*VLOOKUP($A40,Usinas!$C:$D,2,FALSE)</f>
        <v>114.1327</v>
      </c>
      <c r="G40" s="65">
        <f ca="1">VLOOKUP($A40,INDIRECT($P$2),COLUMN()-1,FALSE)*VLOOKUP($A40,Usinas!$C:$D,2,FALSE)</f>
        <v>88.0261</v>
      </c>
      <c r="H40" s="65">
        <f ca="1">VLOOKUP($A40,INDIRECT($P$2),COLUMN()-1,FALSE)*VLOOKUP($A40,Usinas!$C:$D,2,FALSE)</f>
        <v>61.584800000000001</v>
      </c>
      <c r="I40" s="65">
        <f ca="1">VLOOKUP($A40,INDIRECT($P$2),COLUMN()-1,FALSE)*VLOOKUP($A40,Usinas!$C:$D,2,FALSE)</f>
        <v>48.531500000000001</v>
      </c>
      <c r="J40" s="65">
        <f ca="1">VLOOKUP($A40,INDIRECT($P$2),COLUMN()-1,FALSE)*VLOOKUP($A40,Usinas!$C:$D,2,FALSE)</f>
        <v>40.498699999999999</v>
      </c>
      <c r="K40" s="65">
        <f ca="1">VLOOKUP($A40,INDIRECT($P$2),COLUMN()-1,FALSE)*VLOOKUP($A40,Usinas!$C:$D,2,FALSE)</f>
        <v>35.143500000000003</v>
      </c>
      <c r="L40" s="65">
        <f ca="1">VLOOKUP($A40,INDIRECT($P$2),COLUMN()-1,FALSE)*VLOOKUP($A40,Usinas!$C:$D,2,FALSE)</f>
        <v>35.812899999999999</v>
      </c>
      <c r="M40" s="65">
        <f ca="1">VLOOKUP($A40,INDIRECT($P$2),COLUMN()-1,FALSE)*VLOOKUP($A40,Usinas!$C:$D,2,FALSE)</f>
        <v>44.515099999999997</v>
      </c>
      <c r="N40" s="65">
        <f ca="1">VLOOKUP($A40,INDIRECT($P$2),COLUMN()-1,FALSE)*VLOOKUP($A40,Usinas!$C:$D,2,FALSE)</f>
        <v>57.903100000000002</v>
      </c>
      <c r="O40" s="65">
        <f ca="1">VLOOKUP($A40,INDIRECT($P$2),COLUMN()-1,FALSE)*VLOOKUP($A40,Usinas!$C:$D,2,FALSE)</f>
        <v>80.662700000000001</v>
      </c>
    </row>
    <row r="41" spans="1:15" hidden="1" outlineLevel="2" x14ac:dyDescent="0.25">
      <c r="A41" s="61">
        <v>261</v>
      </c>
      <c r="B41" s="62" t="s">
        <v>73</v>
      </c>
      <c r="D41" s="65">
        <f ca="1">VLOOKUP($A41,INDIRECT($P$2),COLUMN()-1,FALSE)*VLOOKUP($A41,Usinas!$C:$D,2,FALSE)</f>
        <v>79.855999999999995</v>
      </c>
      <c r="E41" s="65">
        <f ca="1">VLOOKUP($A41,INDIRECT($P$2),COLUMN()-1,FALSE)*VLOOKUP($A41,Usinas!$C:$D,2,FALSE)</f>
        <v>89.28</v>
      </c>
      <c r="F41" s="65">
        <f ca="1">VLOOKUP($A41,INDIRECT($P$2),COLUMN()-1,FALSE)*VLOOKUP($A41,Usinas!$C:$D,2,FALSE)</f>
        <v>90.52</v>
      </c>
      <c r="G41" s="65">
        <f ca="1">VLOOKUP($A41,INDIRECT($P$2),COLUMN()-1,FALSE)*VLOOKUP($A41,Usinas!$C:$D,2,FALSE)</f>
        <v>70.183999999999997</v>
      </c>
      <c r="H41" s="65">
        <f ca="1">VLOOKUP($A41,INDIRECT($P$2),COLUMN()-1,FALSE)*VLOOKUP($A41,Usinas!$C:$D,2,FALSE)</f>
        <v>49.103999999999999</v>
      </c>
      <c r="I41" s="65">
        <f ca="1">VLOOKUP($A41,INDIRECT($P$2),COLUMN()-1,FALSE)*VLOOKUP($A41,Usinas!$C:$D,2,FALSE)</f>
        <v>38.688000000000002</v>
      </c>
      <c r="J41" s="65">
        <f ca="1">VLOOKUP($A41,INDIRECT($P$2),COLUMN()-1,FALSE)*VLOOKUP($A41,Usinas!$C:$D,2,FALSE)</f>
        <v>32.24</v>
      </c>
      <c r="K41" s="65">
        <f ca="1">VLOOKUP($A41,INDIRECT($P$2),COLUMN()-1,FALSE)*VLOOKUP($A41,Usinas!$C:$D,2,FALSE)</f>
        <v>28.024000000000001</v>
      </c>
      <c r="L41" s="65">
        <f ca="1">VLOOKUP($A41,INDIRECT($P$2),COLUMN()-1,FALSE)*VLOOKUP($A41,Usinas!$C:$D,2,FALSE)</f>
        <v>28.52</v>
      </c>
      <c r="M41" s="65">
        <f ca="1">VLOOKUP($A41,INDIRECT($P$2),COLUMN()-1,FALSE)*VLOOKUP($A41,Usinas!$C:$D,2,FALSE)</f>
        <v>35.463999999999999</v>
      </c>
      <c r="N41" s="65">
        <f ca="1">VLOOKUP($A41,INDIRECT($P$2),COLUMN()-1,FALSE)*VLOOKUP($A41,Usinas!$C:$D,2,FALSE)</f>
        <v>45.88</v>
      </c>
      <c r="O41" s="65">
        <f ca="1">VLOOKUP($A41,INDIRECT($P$2),COLUMN()-1,FALSE)*VLOOKUP($A41,Usinas!$C:$D,2,FALSE)</f>
        <v>63.735999999999997</v>
      </c>
    </row>
    <row r="42" spans="1:15" hidden="1" outlineLevel="2" x14ac:dyDescent="0.25">
      <c r="A42" s="61">
        <v>294</v>
      </c>
      <c r="B42" s="62" t="s">
        <v>74</v>
      </c>
      <c r="D42" s="65">
        <f ca="1">VLOOKUP($A42,INDIRECT($P$2),COLUMN()-1,FALSE)*VLOOKUP($A42,Usinas!$C:$D,2,FALSE)</f>
        <v>109.15559999999999</v>
      </c>
      <c r="E42" s="65">
        <f ca="1">VLOOKUP($A42,INDIRECT($P$2),COLUMN()-1,FALSE)*VLOOKUP($A42,Usinas!$C:$D,2,FALSE)</f>
        <v>118.1396</v>
      </c>
      <c r="F42" s="65">
        <f ca="1">VLOOKUP($A42,INDIRECT($P$2),COLUMN()-1,FALSE)*VLOOKUP($A42,Usinas!$C:$D,2,FALSE)</f>
        <v>118.58879999999999</v>
      </c>
      <c r="G42" s="65">
        <f ca="1">VLOOKUP($A42,INDIRECT($P$2),COLUMN()-1,FALSE)*VLOOKUP($A42,Usinas!$C:$D,2,FALSE)</f>
        <v>95.230400000000003</v>
      </c>
      <c r="H42" s="65">
        <f ca="1">VLOOKUP($A42,INDIRECT($P$2),COLUMN()-1,FALSE)*VLOOKUP($A42,Usinas!$C:$D,2,FALSE)</f>
        <v>74.117999999999995</v>
      </c>
      <c r="I42" s="65">
        <f ca="1">VLOOKUP($A42,INDIRECT($P$2),COLUMN()-1,FALSE)*VLOOKUP($A42,Usinas!$C:$D,2,FALSE)</f>
        <v>64.684799999999996</v>
      </c>
      <c r="J42" s="65">
        <f ca="1">VLOOKUP($A42,INDIRECT($P$2),COLUMN()-1,FALSE)*VLOOKUP($A42,Usinas!$C:$D,2,FALSE)</f>
        <v>57.497599999999998</v>
      </c>
      <c r="K42" s="65">
        <f ca="1">VLOOKUP($A42,INDIRECT($P$2),COLUMN()-1,FALSE)*VLOOKUP($A42,Usinas!$C:$D,2,FALSE)</f>
        <v>53.454799999999999</v>
      </c>
      <c r="L42" s="65">
        <f ca="1">VLOOKUP($A42,INDIRECT($P$2),COLUMN()-1,FALSE)*VLOOKUP($A42,Usinas!$C:$D,2,FALSE)</f>
        <v>54.802399999999999</v>
      </c>
      <c r="M42" s="65">
        <f ca="1">VLOOKUP($A42,INDIRECT($P$2),COLUMN()-1,FALSE)*VLOOKUP($A42,Usinas!$C:$D,2,FALSE)</f>
        <v>62.887999999999998</v>
      </c>
      <c r="N42" s="65">
        <f ca="1">VLOOKUP($A42,INDIRECT($P$2),COLUMN()-1,FALSE)*VLOOKUP($A42,Usinas!$C:$D,2,FALSE)</f>
        <v>74.117999999999995</v>
      </c>
      <c r="O42" s="65">
        <f ca="1">VLOOKUP($A42,INDIRECT($P$2),COLUMN()-1,FALSE)*VLOOKUP($A42,Usinas!$C:$D,2,FALSE)</f>
        <v>92.535200000000003</v>
      </c>
    </row>
    <row r="43" spans="1:15" hidden="1" outlineLevel="2" x14ac:dyDescent="0.25">
      <c r="A43" s="61">
        <v>241</v>
      </c>
      <c r="B43" s="62" t="s">
        <v>75</v>
      </c>
      <c r="D43" s="65">
        <f ca="1">VLOOKUP($A43,INDIRECT($P$2),COLUMN()-1,FALSE)*VLOOKUP($A43,Usinas!$C:$D,2,FALSE)</f>
        <v>96.910500000000013</v>
      </c>
      <c r="E43" s="65">
        <f ca="1">VLOOKUP($A43,INDIRECT($P$2),COLUMN()-1,FALSE)*VLOOKUP($A43,Usinas!$C:$D,2,FALSE)</f>
        <v>104.59020000000001</v>
      </c>
      <c r="F43" s="65">
        <f ca="1">VLOOKUP($A43,INDIRECT($P$2),COLUMN()-1,FALSE)*VLOOKUP($A43,Usinas!$C:$D,2,FALSE)</f>
        <v>104.95590000000001</v>
      </c>
      <c r="G43" s="65">
        <f ca="1">VLOOKUP($A43,INDIRECT($P$2),COLUMN()-1,FALSE)*VLOOKUP($A43,Usinas!$C:$D,2,FALSE)</f>
        <v>84.842400000000012</v>
      </c>
      <c r="H43" s="65">
        <f ca="1">VLOOKUP($A43,INDIRECT($P$2),COLUMN()-1,FALSE)*VLOOKUP($A43,Usinas!$C:$D,2,FALSE)</f>
        <v>65.826000000000008</v>
      </c>
      <c r="I43" s="65">
        <f ca="1">VLOOKUP($A43,INDIRECT($P$2),COLUMN()-1,FALSE)*VLOOKUP($A43,Usinas!$C:$D,2,FALSE)</f>
        <v>57.414900000000003</v>
      </c>
      <c r="J43" s="65">
        <f ca="1">VLOOKUP($A43,INDIRECT($P$2),COLUMN()-1,FALSE)*VLOOKUP($A43,Usinas!$C:$D,2,FALSE)</f>
        <v>51.198</v>
      </c>
      <c r="K43" s="65">
        <f ca="1">VLOOKUP($A43,INDIRECT($P$2),COLUMN()-1,FALSE)*VLOOKUP($A43,Usinas!$C:$D,2,FALSE)</f>
        <v>47.1753</v>
      </c>
      <c r="L43" s="65">
        <f ca="1">VLOOKUP($A43,INDIRECT($P$2),COLUMN()-1,FALSE)*VLOOKUP($A43,Usinas!$C:$D,2,FALSE)</f>
        <v>48.638100000000001</v>
      </c>
      <c r="M43" s="65">
        <f ca="1">VLOOKUP($A43,INDIRECT($P$2),COLUMN()-1,FALSE)*VLOOKUP($A43,Usinas!$C:$D,2,FALSE)</f>
        <v>55.586400000000005</v>
      </c>
      <c r="N43" s="65">
        <f ca="1">VLOOKUP($A43,INDIRECT($P$2),COLUMN()-1,FALSE)*VLOOKUP($A43,Usinas!$C:$D,2,FALSE)</f>
        <v>65.826000000000008</v>
      </c>
      <c r="O43" s="65">
        <f ca="1">VLOOKUP($A43,INDIRECT($P$2),COLUMN()-1,FALSE)*VLOOKUP($A43,Usinas!$C:$D,2,FALSE)</f>
        <v>81.916800000000009</v>
      </c>
    </row>
    <row r="44" spans="1:15" hidden="1" outlineLevel="2" x14ac:dyDescent="0.25">
      <c r="A44" s="61">
        <v>99</v>
      </c>
      <c r="B44" s="62" t="s">
        <v>76</v>
      </c>
      <c r="D44" s="65">
        <f ca="1">VLOOKUP($A44,INDIRECT($P$2),COLUMN()-1,FALSE)*VLOOKUP($A44,Usinas!$C:$D,2,FALSE)</f>
        <v>31.96</v>
      </c>
      <c r="E44" s="65">
        <f ca="1">VLOOKUP($A44,INDIRECT($P$2),COLUMN()-1,FALSE)*VLOOKUP($A44,Usinas!$C:$D,2,FALSE)</f>
        <v>33.957500000000003</v>
      </c>
      <c r="F44" s="65">
        <f ca="1">VLOOKUP($A44,INDIRECT($P$2),COLUMN()-1,FALSE)*VLOOKUP($A44,Usinas!$C:$D,2,FALSE)</f>
        <v>33.957500000000003</v>
      </c>
      <c r="G44" s="65">
        <f ca="1">VLOOKUP($A44,INDIRECT($P$2),COLUMN()-1,FALSE)*VLOOKUP($A44,Usinas!$C:$D,2,FALSE)</f>
        <v>29.163500000000003</v>
      </c>
      <c r="H44" s="65">
        <f ca="1">VLOOKUP($A44,INDIRECT($P$2),COLUMN()-1,FALSE)*VLOOKUP($A44,Usinas!$C:$D,2,FALSE)</f>
        <v>23.970000000000002</v>
      </c>
      <c r="I44" s="65">
        <f ca="1">VLOOKUP($A44,INDIRECT($P$2),COLUMN()-1,FALSE)*VLOOKUP($A44,Usinas!$C:$D,2,FALSE)</f>
        <v>21.573</v>
      </c>
      <c r="J44" s="65">
        <f ca="1">VLOOKUP($A44,INDIRECT($P$2),COLUMN()-1,FALSE)*VLOOKUP($A44,Usinas!$C:$D,2,FALSE)</f>
        <v>19.575500000000002</v>
      </c>
      <c r="K44" s="65">
        <f ca="1">VLOOKUP($A44,INDIRECT($P$2),COLUMN()-1,FALSE)*VLOOKUP($A44,Usinas!$C:$D,2,FALSE)</f>
        <v>18.377000000000002</v>
      </c>
      <c r="L44" s="65">
        <f ca="1">VLOOKUP($A44,INDIRECT($P$2),COLUMN()-1,FALSE)*VLOOKUP($A44,Usinas!$C:$D,2,FALSE)</f>
        <v>18.776500000000002</v>
      </c>
      <c r="M44" s="65">
        <f ca="1">VLOOKUP($A44,INDIRECT($P$2),COLUMN()-1,FALSE)*VLOOKUP($A44,Usinas!$C:$D,2,FALSE)</f>
        <v>20.374500000000001</v>
      </c>
      <c r="N44" s="65">
        <f ca="1">VLOOKUP($A44,INDIRECT($P$2),COLUMN()-1,FALSE)*VLOOKUP($A44,Usinas!$C:$D,2,FALSE)</f>
        <v>23.171000000000003</v>
      </c>
      <c r="O44" s="65">
        <f ca="1">VLOOKUP($A44,INDIRECT($P$2),COLUMN()-1,FALSE)*VLOOKUP($A44,Usinas!$C:$D,2,FALSE)</f>
        <v>27.5655</v>
      </c>
    </row>
    <row r="45" spans="1:15" hidden="1" outlineLevel="1" x14ac:dyDescent="0.25">
      <c r="A45" s="18"/>
      <c r="B45" s="19" t="s">
        <v>56</v>
      </c>
      <c r="D45" s="66">
        <f t="shared" ref="D45:I45" ca="1" si="2">SUM(D26:D44)</f>
        <v>9172.9087</v>
      </c>
      <c r="E45" s="49">
        <f t="shared" ca="1" si="2"/>
        <v>9501.5702000000001</v>
      </c>
      <c r="F45" s="49">
        <f t="shared" ca="1" si="2"/>
        <v>9266.0079000000005</v>
      </c>
      <c r="G45" s="49">
        <f t="shared" ca="1" si="2"/>
        <v>7013.097600000001</v>
      </c>
      <c r="H45" s="49">
        <f t="shared" ca="1" si="2"/>
        <v>4607.5847000000003</v>
      </c>
      <c r="I45" s="67">
        <f t="shared" ca="1" si="2"/>
        <v>3585.8961000000004</v>
      </c>
      <c r="J45" s="66">
        <f t="shared" ref="J45:O45" ca="1" si="3">SUM(J26:J44)</f>
        <v>2895.9571000000001</v>
      </c>
      <c r="K45" s="49">
        <f t="shared" ca="1" si="3"/>
        <v>2361.6932999999999</v>
      </c>
      <c r="L45" s="49">
        <f t="shared" ca="1" si="3"/>
        <v>2141.7345</v>
      </c>
      <c r="M45" s="49">
        <f t="shared" ca="1" si="3"/>
        <v>2582.1788000000001</v>
      </c>
      <c r="N45" s="49">
        <f t="shared" ca="1" si="3"/>
        <v>3969.9098999999997</v>
      </c>
      <c r="O45" s="67">
        <f t="shared" ca="1" si="3"/>
        <v>6683.1997999999994</v>
      </c>
    </row>
    <row r="46" spans="1:15" hidden="1" outlineLevel="1" x14ac:dyDescent="0.25">
      <c r="A46" s="20"/>
      <c r="B46" s="21" t="s">
        <v>0</v>
      </c>
      <c r="D46" s="68"/>
      <c r="E46" s="69"/>
      <c r="F46" s="69"/>
      <c r="G46" s="69"/>
      <c r="H46" s="69"/>
      <c r="I46" s="70"/>
      <c r="J46" s="68"/>
      <c r="K46" s="69"/>
      <c r="L46" s="69"/>
      <c r="M46" s="69"/>
      <c r="N46" s="69"/>
      <c r="O46" s="70"/>
    </row>
    <row r="47" spans="1:15" hidden="1" outlineLevel="1" x14ac:dyDescent="0.25">
      <c r="A47" s="47"/>
      <c r="B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</row>
    <row r="48" spans="1:15" hidden="1" outlineLevel="1" x14ac:dyDescent="0.25">
      <c r="A48" s="63"/>
      <c r="B48" s="64"/>
      <c r="D48" s="320" t="s">
        <v>77</v>
      </c>
      <c r="E48" s="321"/>
      <c r="F48" s="321"/>
      <c r="G48" s="321"/>
      <c r="H48" s="321"/>
      <c r="I48" s="321"/>
      <c r="J48" s="321"/>
      <c r="K48" s="321"/>
      <c r="L48" s="321"/>
      <c r="M48" s="321"/>
      <c r="N48" s="321"/>
      <c r="O48" s="322"/>
    </row>
    <row r="49" spans="1:15" hidden="1" outlineLevel="2" x14ac:dyDescent="0.25">
      <c r="A49" s="61">
        <v>318</v>
      </c>
      <c r="B49" s="62" t="s">
        <v>79</v>
      </c>
      <c r="D49" s="65">
        <f ca="1">VLOOKUP($A49,INDIRECT($P$2),COLUMN()-1,FALSE)*VLOOKUP($A49,Usinas!$C:$D,2,FALSE)</f>
        <v>361.83679999999998</v>
      </c>
      <c r="E49" s="65">
        <f ca="1">VLOOKUP($A49,INDIRECT($P$2),COLUMN()-1,FALSE)*VLOOKUP($A49,Usinas!$C:$D,2,FALSE)</f>
        <v>373.14419999999996</v>
      </c>
      <c r="F49" s="65">
        <f ca="1">VLOOKUP($A49,INDIRECT($P$2),COLUMN()-1,FALSE)*VLOOKUP($A49,Usinas!$C:$D,2,FALSE)</f>
        <v>327.91460000000001</v>
      </c>
      <c r="G49" s="65">
        <f ca="1">VLOOKUP($A49,INDIRECT($P$2),COLUMN()-1,FALSE)*VLOOKUP($A49,Usinas!$C:$D,2,FALSE)</f>
        <v>231.80169999999998</v>
      </c>
      <c r="H49" s="65">
        <f ca="1">VLOOKUP($A49,INDIRECT($P$2),COLUMN()-1,FALSE)*VLOOKUP($A49,Usinas!$C:$D,2,FALSE)</f>
        <v>175.2647</v>
      </c>
      <c r="I49" s="65">
        <f ca="1">VLOOKUP($A49,INDIRECT($P$2),COLUMN()-1,FALSE)*VLOOKUP($A49,Usinas!$C:$D,2,FALSE)</f>
        <v>163.9573</v>
      </c>
      <c r="J49" s="65">
        <f ca="1">VLOOKUP($A49,INDIRECT($P$2),COLUMN()-1,FALSE)*VLOOKUP($A49,Usinas!$C:$D,2,FALSE)</f>
        <v>135.68879999999999</v>
      </c>
      <c r="K49" s="65">
        <f ca="1">VLOOKUP($A49,INDIRECT($P$2),COLUMN()-1,FALSE)*VLOOKUP($A49,Usinas!$C:$D,2,FALSE)</f>
        <v>118.7277</v>
      </c>
      <c r="L49" s="65">
        <f ca="1">VLOOKUP($A49,INDIRECT($P$2),COLUMN()-1,FALSE)*VLOOKUP($A49,Usinas!$C:$D,2,FALSE)</f>
        <v>163.9573</v>
      </c>
      <c r="M49" s="65">
        <f ca="1">VLOOKUP($A49,INDIRECT($P$2),COLUMN()-1,FALSE)*VLOOKUP($A49,Usinas!$C:$D,2,FALSE)</f>
        <v>203.53319999999999</v>
      </c>
      <c r="N49" s="65">
        <f ca="1">VLOOKUP($A49,INDIRECT($P$2),COLUMN()-1,FALSE)*VLOOKUP($A49,Usinas!$C:$D,2,FALSE)</f>
        <v>209.18689999999998</v>
      </c>
      <c r="O49" s="65">
        <f ca="1">VLOOKUP($A49,INDIRECT($P$2),COLUMN()-1,FALSE)*VLOOKUP($A49,Usinas!$C:$D,2,FALSE)</f>
        <v>277.03129999999999</v>
      </c>
    </row>
    <row r="50" spans="1:15" hidden="1" outlineLevel="1" x14ac:dyDescent="0.25">
      <c r="A50" s="18"/>
      <c r="B50" s="19" t="s">
        <v>56</v>
      </c>
      <c r="D50" s="66">
        <f t="shared" ref="D50:O50" ca="1" si="4">D49</f>
        <v>361.83679999999998</v>
      </c>
      <c r="E50" s="49">
        <f t="shared" ca="1" si="4"/>
        <v>373.14419999999996</v>
      </c>
      <c r="F50" s="49">
        <f t="shared" ca="1" si="4"/>
        <v>327.91460000000001</v>
      </c>
      <c r="G50" s="49">
        <f t="shared" ca="1" si="4"/>
        <v>231.80169999999998</v>
      </c>
      <c r="H50" s="49">
        <f t="shared" ca="1" si="4"/>
        <v>175.2647</v>
      </c>
      <c r="I50" s="67">
        <f t="shared" ca="1" si="4"/>
        <v>163.9573</v>
      </c>
      <c r="J50" s="66">
        <f t="shared" ca="1" si="4"/>
        <v>135.68879999999999</v>
      </c>
      <c r="K50" s="49">
        <f t="shared" ca="1" si="4"/>
        <v>118.7277</v>
      </c>
      <c r="L50" s="49">
        <f t="shared" ca="1" si="4"/>
        <v>163.9573</v>
      </c>
      <c r="M50" s="49">
        <f t="shared" ca="1" si="4"/>
        <v>203.53319999999999</v>
      </c>
      <c r="N50" s="49">
        <f t="shared" ca="1" si="4"/>
        <v>209.18689999999998</v>
      </c>
      <c r="O50" s="67">
        <f t="shared" ca="1" si="4"/>
        <v>277.03129999999999</v>
      </c>
    </row>
    <row r="51" spans="1:15" hidden="1" outlineLevel="1" x14ac:dyDescent="0.25">
      <c r="A51" s="20"/>
      <c r="B51" s="21" t="s">
        <v>0</v>
      </c>
      <c r="D51" s="68"/>
      <c r="E51" s="69"/>
      <c r="F51" s="69"/>
      <c r="G51" s="69"/>
      <c r="H51" s="69"/>
      <c r="I51" s="70"/>
      <c r="J51" s="68"/>
      <c r="K51" s="69"/>
      <c r="L51" s="69"/>
      <c r="M51" s="69"/>
      <c r="N51" s="69"/>
      <c r="O51" s="70"/>
    </row>
    <row r="52" spans="1:15" hidden="1" outlineLevel="1" x14ac:dyDescent="0.25">
      <c r="A52" s="1"/>
      <c r="B52" s="133"/>
      <c r="D52" s="50"/>
      <c r="E52" s="51"/>
      <c r="F52" s="51"/>
      <c r="G52" s="51"/>
      <c r="H52" s="51"/>
      <c r="I52" s="51"/>
      <c r="J52" s="50"/>
      <c r="K52" s="51"/>
      <c r="L52" s="51"/>
      <c r="M52" s="51"/>
      <c r="N52" s="51"/>
      <c r="O52" s="51"/>
    </row>
    <row r="53" spans="1:15" hidden="1" outlineLevel="1" x14ac:dyDescent="0.25">
      <c r="A53" s="63"/>
      <c r="B53" s="64"/>
      <c r="D53" s="320" t="s">
        <v>80</v>
      </c>
      <c r="E53" s="321"/>
      <c r="F53" s="321"/>
      <c r="G53" s="321"/>
      <c r="H53" s="321"/>
      <c r="I53" s="321"/>
      <c r="J53" s="321"/>
      <c r="K53" s="321"/>
      <c r="L53" s="321"/>
      <c r="M53" s="321"/>
      <c r="N53" s="321"/>
      <c r="O53" s="322"/>
    </row>
    <row r="54" spans="1:15" hidden="1" outlineLevel="2" x14ac:dyDescent="0.25">
      <c r="A54" s="61">
        <v>37</v>
      </c>
      <c r="B54" s="62" t="s">
        <v>82</v>
      </c>
      <c r="D54" s="65">
        <f ca="1">VLOOKUP($A54,INDIRECT($P$2),COLUMN()-1,FALSE)*VLOOKUP($A54,Usinas!$C:$D,2,FALSE)</f>
        <v>119.5762</v>
      </c>
      <c r="E54" s="65">
        <f ca="1">VLOOKUP($A54,INDIRECT($P$2),COLUMN()-1,FALSE)*VLOOKUP($A54,Usinas!$C:$D,2,FALSE)</f>
        <v>126.46820000000001</v>
      </c>
      <c r="F54" s="65">
        <f ca="1">VLOOKUP($A54,INDIRECT($P$2),COLUMN()-1,FALSE)*VLOOKUP($A54,Usinas!$C:$D,2,FALSE)</f>
        <v>106.6537</v>
      </c>
      <c r="G54" s="65">
        <f ca="1">VLOOKUP($A54,INDIRECT($P$2),COLUMN()-1,FALSE)*VLOOKUP($A54,Usinas!$C:$D,2,FALSE)</f>
        <v>70.298400000000001</v>
      </c>
      <c r="H54" s="65">
        <f ca="1">VLOOKUP($A54,INDIRECT($P$2),COLUMN()-1,FALSE)*VLOOKUP($A54,Usinas!$C:$D,2,FALSE)</f>
        <v>55.480600000000003</v>
      </c>
      <c r="I54" s="65">
        <f ca="1">VLOOKUP($A54,INDIRECT($P$2),COLUMN()-1,FALSE)*VLOOKUP($A54,Usinas!$C:$D,2,FALSE)</f>
        <v>54.963700000000003</v>
      </c>
      <c r="J54" s="65">
        <f ca="1">VLOOKUP($A54,INDIRECT($P$2),COLUMN()-1,FALSE)*VLOOKUP($A54,Usinas!$C:$D,2,FALSE)</f>
        <v>43.764200000000002</v>
      </c>
      <c r="K54" s="65">
        <f ca="1">VLOOKUP($A54,INDIRECT($P$2),COLUMN()-1,FALSE)*VLOOKUP($A54,Usinas!$C:$D,2,FALSE)</f>
        <v>36.6999</v>
      </c>
      <c r="L54" s="65">
        <f ca="1">VLOOKUP($A54,INDIRECT($P$2),COLUMN()-1,FALSE)*VLOOKUP($A54,Usinas!$C:$D,2,FALSE)</f>
        <v>39.629000000000005</v>
      </c>
      <c r="M54" s="65">
        <f ca="1">VLOOKUP($A54,INDIRECT($P$2),COLUMN()-1,FALSE)*VLOOKUP($A54,Usinas!$C:$D,2,FALSE)</f>
        <v>48.760899999999999</v>
      </c>
      <c r="N54" s="65">
        <f ca="1">VLOOKUP($A54,INDIRECT($P$2),COLUMN()-1,FALSE)*VLOOKUP($A54,Usinas!$C:$D,2,FALSE)</f>
        <v>52.551500000000004</v>
      </c>
      <c r="O54" s="65">
        <f ca="1">VLOOKUP($A54,INDIRECT($P$2),COLUMN()-1,FALSE)*VLOOKUP($A54,Usinas!$C:$D,2,FALSE)</f>
        <v>80.636400000000009</v>
      </c>
    </row>
    <row r="55" spans="1:15" hidden="1" outlineLevel="2" x14ac:dyDescent="0.25">
      <c r="A55" s="61">
        <v>38</v>
      </c>
      <c r="B55" s="62" t="s">
        <v>83</v>
      </c>
      <c r="D55" s="65">
        <f ca="1">VLOOKUP($A55,INDIRECT($P$2),COLUMN()-1,FALSE)*VLOOKUP($A55,Usinas!$C:$D,2,FALSE)</f>
        <v>146.15369999999999</v>
      </c>
      <c r="E55" s="65">
        <f ca="1">VLOOKUP($A55,INDIRECT($P$2),COLUMN()-1,FALSE)*VLOOKUP($A55,Usinas!$C:$D,2,FALSE)</f>
        <v>155.1825</v>
      </c>
      <c r="F55" s="65">
        <f ca="1">VLOOKUP($A55,INDIRECT($P$2),COLUMN()-1,FALSE)*VLOOKUP($A55,Usinas!$C:$D,2,FALSE)</f>
        <v>131.2938</v>
      </c>
      <c r="G55" s="65">
        <f ca="1">VLOOKUP($A55,INDIRECT($P$2),COLUMN()-1,FALSE)*VLOOKUP($A55,Usinas!$C:$D,2,FALSE)</f>
        <v>87.278399999999991</v>
      </c>
      <c r="H55" s="65">
        <f ca="1">VLOOKUP($A55,INDIRECT($P$2),COLUMN()-1,FALSE)*VLOOKUP($A55,Usinas!$C:$D,2,FALSE)</f>
        <v>69.032699999999991</v>
      </c>
      <c r="I55" s="65">
        <f ca="1">VLOOKUP($A55,INDIRECT($P$2),COLUMN()-1,FALSE)*VLOOKUP($A55,Usinas!$C:$D,2,FALSE)</f>
        <v>68.468400000000003</v>
      </c>
      <c r="J55" s="65">
        <f ca="1">VLOOKUP($A55,INDIRECT($P$2),COLUMN()-1,FALSE)*VLOOKUP($A55,Usinas!$C:$D,2,FALSE)</f>
        <v>54.172799999999995</v>
      </c>
      <c r="K55" s="65">
        <f ca="1">VLOOKUP($A55,INDIRECT($P$2),COLUMN()-1,FALSE)*VLOOKUP($A55,Usinas!$C:$D,2,FALSE)</f>
        <v>45.8964</v>
      </c>
      <c r="L55" s="65">
        <f ca="1">VLOOKUP($A55,INDIRECT($P$2),COLUMN()-1,FALSE)*VLOOKUP($A55,Usinas!$C:$D,2,FALSE)</f>
        <v>49.094099999999997</v>
      </c>
      <c r="M55" s="65">
        <f ca="1">VLOOKUP($A55,INDIRECT($P$2),COLUMN()-1,FALSE)*VLOOKUP($A55,Usinas!$C:$D,2,FALSE)</f>
        <v>59.627699999999997</v>
      </c>
      <c r="N55" s="65">
        <f ca="1">VLOOKUP($A55,INDIRECT($P$2),COLUMN()-1,FALSE)*VLOOKUP($A55,Usinas!$C:$D,2,FALSE)</f>
        <v>64.518299999999996</v>
      </c>
      <c r="O55" s="65">
        <f ca="1">VLOOKUP($A55,INDIRECT($P$2),COLUMN()-1,FALSE)*VLOOKUP($A55,Usinas!$C:$D,2,FALSE)</f>
        <v>98.188199999999995</v>
      </c>
    </row>
    <row r="56" spans="1:15" hidden="1" outlineLevel="2" x14ac:dyDescent="0.25">
      <c r="A56" s="61">
        <v>39</v>
      </c>
      <c r="B56" s="62" t="s">
        <v>84</v>
      </c>
      <c r="D56" s="65">
        <f ca="1">VLOOKUP($A56,INDIRECT($P$2),COLUMN()-1,FALSE)*VLOOKUP($A56,Usinas!$C:$D,2,FALSE)</f>
        <v>183.45600000000002</v>
      </c>
      <c r="E56" s="65">
        <f ca="1">VLOOKUP($A56,INDIRECT($P$2),COLUMN()-1,FALSE)*VLOOKUP($A56,Usinas!$C:$D,2,FALSE)</f>
        <v>194.12640000000002</v>
      </c>
      <c r="F56" s="65">
        <f ca="1">VLOOKUP($A56,INDIRECT($P$2),COLUMN()-1,FALSE)*VLOOKUP($A56,Usinas!$C:$D,2,FALSE)</f>
        <v>166.04640000000001</v>
      </c>
      <c r="G56" s="65">
        <f ca="1">VLOOKUP($A56,INDIRECT($P$2),COLUMN()-1,FALSE)*VLOOKUP($A56,Usinas!$C:$D,2,FALSE)</f>
        <v>114.0048</v>
      </c>
      <c r="H56" s="65">
        <f ca="1">VLOOKUP($A56,INDIRECT($P$2),COLUMN()-1,FALSE)*VLOOKUP($A56,Usinas!$C:$D,2,FALSE)</f>
        <v>90.417600000000007</v>
      </c>
      <c r="I56" s="65">
        <f ca="1">VLOOKUP($A56,INDIRECT($P$2),COLUMN()-1,FALSE)*VLOOKUP($A56,Usinas!$C:$D,2,FALSE)</f>
        <v>88.92</v>
      </c>
      <c r="J56" s="65">
        <f ca="1">VLOOKUP($A56,INDIRECT($P$2),COLUMN()-1,FALSE)*VLOOKUP($A56,Usinas!$C:$D,2,FALSE)</f>
        <v>71.884799999999998</v>
      </c>
      <c r="K56" s="65">
        <f ca="1">VLOOKUP($A56,INDIRECT($P$2),COLUMN()-1,FALSE)*VLOOKUP($A56,Usinas!$C:$D,2,FALSE)</f>
        <v>61.588799999999999</v>
      </c>
      <c r="L56" s="65">
        <f ca="1">VLOOKUP($A56,INDIRECT($P$2),COLUMN()-1,FALSE)*VLOOKUP($A56,Usinas!$C:$D,2,FALSE)</f>
        <v>66.081600000000009</v>
      </c>
      <c r="M56" s="65">
        <f ca="1">VLOOKUP($A56,INDIRECT($P$2),COLUMN()-1,FALSE)*VLOOKUP($A56,Usinas!$C:$D,2,FALSE)</f>
        <v>78.998400000000004</v>
      </c>
      <c r="N56" s="65">
        <f ca="1">VLOOKUP($A56,INDIRECT($P$2),COLUMN()-1,FALSE)*VLOOKUP($A56,Usinas!$C:$D,2,FALSE)</f>
        <v>84.614400000000003</v>
      </c>
      <c r="O56" s="65">
        <f ca="1">VLOOKUP($A56,INDIRECT($P$2),COLUMN()-1,FALSE)*VLOOKUP($A56,Usinas!$C:$D,2,FALSE)</f>
        <v>126.36</v>
      </c>
    </row>
    <row r="57" spans="1:15" hidden="1" outlineLevel="2" x14ac:dyDescent="0.25">
      <c r="A57" s="61">
        <v>40</v>
      </c>
      <c r="B57" s="62" t="s">
        <v>85</v>
      </c>
      <c r="D57" s="65">
        <f ca="1">VLOOKUP($A57,INDIRECT($P$2),COLUMN()-1,FALSE)*VLOOKUP($A57,Usinas!$C:$D,2,FALSE)</f>
        <v>229.16669999999999</v>
      </c>
      <c r="E57" s="65">
        <f ca="1">VLOOKUP($A57,INDIRECT($P$2),COLUMN()-1,FALSE)*VLOOKUP($A57,Usinas!$C:$D,2,FALSE)</f>
        <v>243.9915</v>
      </c>
      <c r="F57" s="65">
        <f ca="1">VLOOKUP($A57,INDIRECT($P$2),COLUMN()-1,FALSE)*VLOOKUP($A57,Usinas!$C:$D,2,FALSE)</f>
        <v>210.22389999999999</v>
      </c>
      <c r="G57" s="65">
        <f ca="1">VLOOKUP($A57,INDIRECT($P$2),COLUMN()-1,FALSE)*VLOOKUP($A57,Usinas!$C:$D,2,FALSE)</f>
        <v>143.10050000000001</v>
      </c>
      <c r="H57" s="65">
        <f ca="1">VLOOKUP($A57,INDIRECT($P$2),COLUMN()-1,FALSE)*VLOOKUP($A57,Usinas!$C:$D,2,FALSE)</f>
        <v>114.0686</v>
      </c>
      <c r="I57" s="65">
        <f ca="1">VLOOKUP($A57,INDIRECT($P$2),COLUMN()-1,FALSE)*VLOOKUP($A57,Usinas!$C:$D,2,FALSE)</f>
        <v>111.80370000000001</v>
      </c>
      <c r="J57" s="65">
        <f ca="1">VLOOKUP($A57,INDIRECT($P$2),COLUMN()-1,FALSE)*VLOOKUP($A57,Usinas!$C:$D,2,FALSE)</f>
        <v>91.213700000000003</v>
      </c>
      <c r="K57" s="65">
        <f ca="1">VLOOKUP($A57,INDIRECT($P$2),COLUMN()-1,FALSE)*VLOOKUP($A57,Usinas!$C:$D,2,FALSE)</f>
        <v>79.065600000000003</v>
      </c>
      <c r="L57" s="65">
        <f ca="1">VLOOKUP($A57,INDIRECT($P$2),COLUMN()-1,FALSE)*VLOOKUP($A57,Usinas!$C:$D,2,FALSE)</f>
        <v>83.183599999999998</v>
      </c>
      <c r="M57" s="65">
        <f ca="1">VLOOKUP($A57,INDIRECT($P$2),COLUMN()-1,FALSE)*VLOOKUP($A57,Usinas!$C:$D,2,FALSE)</f>
        <v>97.390699999999995</v>
      </c>
      <c r="N57" s="65">
        <f ca="1">VLOOKUP($A57,INDIRECT($P$2),COLUMN()-1,FALSE)*VLOOKUP($A57,Usinas!$C:$D,2,FALSE)</f>
        <v>104.1854</v>
      </c>
      <c r="O57" s="65">
        <f ca="1">VLOOKUP($A57,INDIRECT($P$2),COLUMN()-1,FALSE)*VLOOKUP($A57,Usinas!$C:$D,2,FALSE)</f>
        <v>156.68989999999999</v>
      </c>
    </row>
    <row r="58" spans="1:15" hidden="1" outlineLevel="2" x14ac:dyDescent="0.25">
      <c r="A58" s="61">
        <v>42</v>
      </c>
      <c r="B58" s="62" t="s">
        <v>86</v>
      </c>
      <c r="D58" s="65">
        <f ca="1">VLOOKUP($A58,INDIRECT($P$2),COLUMN()-1,FALSE)*VLOOKUP($A58,Usinas!$C:$D,2,FALSE)</f>
        <v>311.59980000000002</v>
      </c>
      <c r="E58" s="65">
        <f ca="1">VLOOKUP($A58,INDIRECT($P$2),COLUMN()-1,FALSE)*VLOOKUP($A58,Usinas!$C:$D,2,FALSE)</f>
        <v>332.66789999999997</v>
      </c>
      <c r="F58" s="65">
        <f ca="1">VLOOKUP($A58,INDIRECT($P$2),COLUMN()-1,FALSE)*VLOOKUP($A58,Usinas!$C:$D,2,FALSE)</f>
        <v>285.84989999999999</v>
      </c>
      <c r="G58" s="65">
        <f ca="1">VLOOKUP($A58,INDIRECT($P$2),COLUMN()-1,FALSE)*VLOOKUP($A58,Usinas!$C:$D,2,FALSE)</f>
        <v>194.03460000000001</v>
      </c>
      <c r="H58" s="65">
        <f ca="1">VLOOKUP($A58,INDIRECT($P$2),COLUMN()-1,FALSE)*VLOOKUP($A58,Usinas!$C:$D,2,FALSE)</f>
        <v>153.459</v>
      </c>
      <c r="I58" s="65">
        <f ca="1">VLOOKUP($A58,INDIRECT($P$2),COLUMN()-1,FALSE)*VLOOKUP($A58,Usinas!$C:$D,2,FALSE)</f>
        <v>150.858</v>
      </c>
      <c r="J58" s="65">
        <f ca="1">VLOOKUP($A58,INDIRECT($P$2),COLUMN()-1,FALSE)*VLOOKUP($A58,Usinas!$C:$D,2,FALSE)</f>
        <v>122.7672</v>
      </c>
      <c r="K58" s="65">
        <f ca="1">VLOOKUP($A58,INDIRECT($P$2),COLUMN()-1,FALSE)*VLOOKUP($A58,Usinas!$C:$D,2,FALSE)</f>
        <v>105.86069999999999</v>
      </c>
      <c r="L58" s="65">
        <f ca="1">VLOOKUP($A58,INDIRECT($P$2),COLUMN()-1,FALSE)*VLOOKUP($A58,Usinas!$C:$D,2,FALSE)</f>
        <v>111.5829</v>
      </c>
      <c r="M58" s="65">
        <f ca="1">VLOOKUP($A58,INDIRECT($P$2),COLUMN()-1,FALSE)*VLOOKUP($A58,Usinas!$C:$D,2,FALSE)</f>
        <v>131.35050000000001</v>
      </c>
      <c r="N58" s="65">
        <f ca="1">VLOOKUP($A58,INDIRECT($P$2),COLUMN()-1,FALSE)*VLOOKUP($A58,Usinas!$C:$D,2,FALSE)</f>
        <v>140.7141</v>
      </c>
      <c r="O58" s="65">
        <f ca="1">VLOOKUP($A58,INDIRECT($P$2),COLUMN()-1,FALSE)*VLOOKUP($A58,Usinas!$C:$D,2,FALSE)</f>
        <v>211.72139999999999</v>
      </c>
    </row>
    <row r="59" spans="1:15" hidden="1" outlineLevel="2" x14ac:dyDescent="0.25">
      <c r="A59" s="61">
        <v>43</v>
      </c>
      <c r="B59" s="62" t="s">
        <v>87</v>
      </c>
      <c r="D59" s="65">
        <f ca="1">VLOOKUP($A59,INDIRECT($P$2),COLUMN()-1,FALSE)*VLOOKUP($A59,Usinas!$C:$D,2,FALSE)</f>
        <v>489.96559999999999</v>
      </c>
      <c r="E59" s="65">
        <f ca="1">VLOOKUP($A59,INDIRECT($P$2),COLUMN()-1,FALSE)*VLOOKUP($A59,Usinas!$C:$D,2,FALSE)</f>
        <v>533.65679999999998</v>
      </c>
      <c r="F59" s="65">
        <f ca="1">VLOOKUP($A59,INDIRECT($P$2),COLUMN()-1,FALSE)*VLOOKUP($A59,Usinas!$C:$D,2,FALSE)</f>
        <v>463.82889999999998</v>
      </c>
      <c r="G59" s="65">
        <f ca="1">VLOOKUP($A59,INDIRECT($P$2),COLUMN()-1,FALSE)*VLOOKUP($A59,Usinas!$C:$D,2,FALSE)</f>
        <v>319.10180000000003</v>
      </c>
      <c r="H59" s="65">
        <f ca="1">VLOOKUP($A59,INDIRECT($P$2),COLUMN()-1,FALSE)*VLOOKUP($A59,Usinas!$C:$D,2,FALSE)</f>
        <v>247.32339999999999</v>
      </c>
      <c r="I59" s="65">
        <f ca="1">VLOOKUP($A59,INDIRECT($P$2),COLUMN()-1,FALSE)*VLOOKUP($A59,Usinas!$C:$D,2,FALSE)</f>
        <v>244.59270000000001</v>
      </c>
      <c r="J59" s="65">
        <f ca="1">VLOOKUP($A59,INDIRECT($P$2),COLUMN()-1,FALSE)*VLOOKUP($A59,Usinas!$C:$D,2,FALSE)</f>
        <v>198.95099999999999</v>
      </c>
      <c r="K59" s="65">
        <f ca="1">VLOOKUP($A59,INDIRECT($P$2),COLUMN()-1,FALSE)*VLOOKUP($A59,Usinas!$C:$D,2,FALSE)</f>
        <v>172.42420000000001</v>
      </c>
      <c r="L59" s="65">
        <f ca="1">VLOOKUP($A59,INDIRECT($P$2),COLUMN()-1,FALSE)*VLOOKUP($A59,Usinas!$C:$D,2,FALSE)</f>
        <v>178.66579999999999</v>
      </c>
      <c r="M59" s="65">
        <f ca="1">VLOOKUP($A59,INDIRECT($P$2),COLUMN()-1,FALSE)*VLOOKUP($A59,Usinas!$C:$D,2,FALSE)</f>
        <v>209.87379999999999</v>
      </c>
      <c r="N59" s="65">
        <f ca="1">VLOOKUP($A59,INDIRECT($P$2),COLUMN()-1,FALSE)*VLOOKUP($A59,Usinas!$C:$D,2,FALSE)</f>
        <v>223.91740000000001</v>
      </c>
      <c r="O59" s="65">
        <f ca="1">VLOOKUP($A59,INDIRECT($P$2),COLUMN()-1,FALSE)*VLOOKUP($A59,Usinas!$C:$D,2,FALSE)</f>
        <v>332.75529999999998</v>
      </c>
    </row>
    <row r="60" spans="1:15" hidden="1" outlineLevel="1" x14ac:dyDescent="0.25">
      <c r="A60" s="18"/>
      <c r="B60" s="19" t="s">
        <v>56</v>
      </c>
      <c r="D60" s="66">
        <f t="shared" ref="D60:I60" ca="1" si="5">SUM(D54:D59)</f>
        <v>1479.9179999999999</v>
      </c>
      <c r="E60" s="49">
        <f t="shared" ca="1" si="5"/>
        <v>1586.0933</v>
      </c>
      <c r="F60" s="49">
        <f t="shared" ca="1" si="5"/>
        <v>1363.8966</v>
      </c>
      <c r="G60" s="49">
        <f t="shared" ca="1" si="5"/>
        <v>927.81849999999997</v>
      </c>
      <c r="H60" s="49">
        <f t="shared" ca="1" si="5"/>
        <v>729.78189999999995</v>
      </c>
      <c r="I60" s="67">
        <f t="shared" ca="1" si="5"/>
        <v>719.60649999999998</v>
      </c>
      <c r="J60" s="66">
        <f t="shared" ref="J60:O60" ca="1" si="6">SUM(J54:J59)</f>
        <v>582.75369999999998</v>
      </c>
      <c r="K60" s="49">
        <f t="shared" ca="1" si="6"/>
        <v>501.53560000000004</v>
      </c>
      <c r="L60" s="49">
        <f t="shared" ca="1" si="6"/>
        <v>528.23700000000008</v>
      </c>
      <c r="M60" s="49">
        <f t="shared" ca="1" si="6"/>
        <v>626.00199999999995</v>
      </c>
      <c r="N60" s="49">
        <f t="shared" ca="1" si="6"/>
        <v>670.50110000000006</v>
      </c>
      <c r="O60" s="67">
        <f t="shared" ca="1" si="6"/>
        <v>1006.3512000000001</v>
      </c>
    </row>
    <row r="61" spans="1:15" hidden="1" outlineLevel="1" x14ac:dyDescent="0.25">
      <c r="A61" s="20"/>
      <c r="B61" s="21" t="s">
        <v>0</v>
      </c>
      <c r="D61" s="68"/>
      <c r="E61" s="69"/>
      <c r="F61" s="69"/>
      <c r="G61" s="69"/>
      <c r="H61" s="69"/>
      <c r="I61" s="70"/>
      <c r="J61" s="68"/>
      <c r="K61" s="69"/>
      <c r="L61" s="69"/>
      <c r="M61" s="69"/>
      <c r="N61" s="69"/>
      <c r="O61" s="70"/>
    </row>
    <row r="62" spans="1:15" hidden="1" outlineLevel="1" x14ac:dyDescent="0.25">
      <c r="A62" s="1"/>
      <c r="B62" s="133"/>
      <c r="D62" s="50"/>
      <c r="E62" s="51"/>
      <c r="F62" s="51"/>
      <c r="G62" s="51"/>
      <c r="H62" s="51"/>
      <c r="I62" s="51"/>
      <c r="J62" s="50"/>
      <c r="K62" s="51"/>
      <c r="L62" s="51"/>
      <c r="M62" s="51"/>
      <c r="N62" s="51"/>
      <c r="O62" s="51"/>
    </row>
    <row r="63" spans="1:15" hidden="1" outlineLevel="1" x14ac:dyDescent="0.25">
      <c r="A63" s="63"/>
      <c r="B63" s="64"/>
      <c r="D63" s="320" t="s">
        <v>88</v>
      </c>
      <c r="E63" s="321" t="s">
        <v>58</v>
      </c>
      <c r="F63" s="321" t="s">
        <v>89</v>
      </c>
      <c r="G63" s="321"/>
      <c r="H63" s="321"/>
      <c r="I63" s="321"/>
      <c r="J63" s="321" t="s">
        <v>88</v>
      </c>
      <c r="K63" s="321" t="s">
        <v>58</v>
      </c>
      <c r="L63" s="321" t="s">
        <v>89</v>
      </c>
      <c r="M63" s="321"/>
      <c r="N63" s="321"/>
      <c r="O63" s="322"/>
    </row>
    <row r="64" spans="1:15" hidden="1" outlineLevel="2" x14ac:dyDescent="0.25">
      <c r="A64" s="61">
        <v>47</v>
      </c>
      <c r="B64" s="62" t="s">
        <v>90</v>
      </c>
      <c r="D64" s="65">
        <f ca="1">VLOOKUP($A64,INDIRECT($P$2),COLUMN()-1,FALSE)*VLOOKUP($A64,Usinas!$C:$D,2,FALSE)</f>
        <v>95.680200000000013</v>
      </c>
      <c r="E64" s="65">
        <f ca="1">VLOOKUP($A64,INDIRECT($P$2),COLUMN()-1,FALSE)*VLOOKUP($A64,Usinas!$C:$D,2,FALSE)</f>
        <v>107.67680000000001</v>
      </c>
      <c r="F64" s="65">
        <f ca="1">VLOOKUP($A64,INDIRECT($P$2),COLUMN()-1,FALSE)*VLOOKUP($A64,Usinas!$C:$D,2,FALSE)</f>
        <v>91.291200000000003</v>
      </c>
      <c r="G64" s="65">
        <f ca="1">VLOOKUP($A64,INDIRECT($P$2),COLUMN()-1,FALSE)*VLOOKUP($A64,Usinas!$C:$D,2,FALSE)</f>
        <v>64.372</v>
      </c>
      <c r="H64" s="65">
        <f ca="1">VLOOKUP($A64,INDIRECT($P$2),COLUMN()-1,FALSE)*VLOOKUP($A64,Usinas!$C:$D,2,FALSE)</f>
        <v>56.471800000000002</v>
      </c>
      <c r="I64" s="65">
        <f ca="1">VLOOKUP($A64,INDIRECT($P$2),COLUMN()-1,FALSE)*VLOOKUP($A64,Usinas!$C:$D,2,FALSE)</f>
        <v>58.812600000000003</v>
      </c>
      <c r="J64" s="65">
        <f ca="1">VLOOKUP($A64,INDIRECT($P$2),COLUMN()-1,FALSE)*VLOOKUP($A64,Usinas!$C:$D,2,FALSE)</f>
        <v>51.790200000000006</v>
      </c>
      <c r="K64" s="65">
        <f ca="1">VLOOKUP($A64,INDIRECT($P$2),COLUMN()-1,FALSE)*VLOOKUP($A64,Usinas!$C:$D,2,FALSE)</f>
        <v>43.304800000000007</v>
      </c>
      <c r="L64" s="65">
        <f ca="1">VLOOKUP($A64,INDIRECT($P$2),COLUMN()-1,FALSE)*VLOOKUP($A64,Usinas!$C:$D,2,FALSE)</f>
        <v>46.523400000000002</v>
      </c>
      <c r="M64" s="65">
        <f ca="1">VLOOKUP($A64,INDIRECT($P$2),COLUMN()-1,FALSE)*VLOOKUP($A64,Usinas!$C:$D,2,FALSE)</f>
        <v>55.886600000000008</v>
      </c>
      <c r="N64" s="65">
        <f ca="1">VLOOKUP($A64,INDIRECT($P$2),COLUMN()-1,FALSE)*VLOOKUP($A64,Usinas!$C:$D,2,FALSE)</f>
        <v>52.960600000000007</v>
      </c>
      <c r="O64" s="65">
        <f ca="1">VLOOKUP($A64,INDIRECT($P$2),COLUMN()-1,FALSE)*VLOOKUP($A64,Usinas!$C:$D,2,FALSE)</f>
        <v>68.17580000000001</v>
      </c>
    </row>
    <row r="65" spans="1:15" hidden="1" outlineLevel="2" x14ac:dyDescent="0.25">
      <c r="A65" s="61">
        <v>48</v>
      </c>
      <c r="B65" s="62" t="s">
        <v>91</v>
      </c>
      <c r="D65" s="65">
        <f ca="1">VLOOKUP($A65,INDIRECT($P$2),COLUMN()-1,FALSE)*VLOOKUP($A65,Usinas!$C:$D,2,FALSE)</f>
        <v>76.686400000000006</v>
      </c>
      <c r="E65" s="65">
        <f ca="1">VLOOKUP($A65,INDIRECT($P$2),COLUMN()-1,FALSE)*VLOOKUP($A65,Usinas!$C:$D,2,FALSE)</f>
        <v>86.559200000000004</v>
      </c>
      <c r="F65" s="65">
        <f ca="1">VLOOKUP($A65,INDIRECT($P$2),COLUMN()-1,FALSE)*VLOOKUP($A65,Usinas!$C:$D,2,FALSE)</f>
        <v>73.471999999999994</v>
      </c>
      <c r="G65" s="65">
        <f ca="1">VLOOKUP($A65,INDIRECT($P$2),COLUMN()-1,FALSE)*VLOOKUP($A65,Usinas!$C:$D,2,FALSE)</f>
        <v>51.889600000000002</v>
      </c>
      <c r="H65" s="65">
        <f ca="1">VLOOKUP($A65,INDIRECT($P$2),COLUMN()-1,FALSE)*VLOOKUP($A65,Usinas!$C:$D,2,FALSE)</f>
        <v>45.231200000000001</v>
      </c>
      <c r="I65" s="65">
        <f ca="1">VLOOKUP($A65,INDIRECT($P$2),COLUMN()-1,FALSE)*VLOOKUP($A65,Usinas!$C:$D,2,FALSE)</f>
        <v>47.527200000000001</v>
      </c>
      <c r="J65" s="65">
        <f ca="1">VLOOKUP($A65,INDIRECT($P$2),COLUMN()-1,FALSE)*VLOOKUP($A65,Usinas!$C:$D,2,FALSE)</f>
        <v>41.557600000000001</v>
      </c>
      <c r="K65" s="65">
        <f ca="1">VLOOKUP($A65,INDIRECT($P$2),COLUMN()-1,FALSE)*VLOOKUP($A65,Usinas!$C:$D,2,FALSE)</f>
        <v>34.669600000000003</v>
      </c>
      <c r="L65" s="65">
        <f ca="1">VLOOKUP($A65,INDIRECT($P$2),COLUMN()-1,FALSE)*VLOOKUP($A65,Usinas!$C:$D,2,FALSE)</f>
        <v>37.424799999999998</v>
      </c>
      <c r="M65" s="65">
        <f ca="1">VLOOKUP($A65,INDIRECT($P$2),COLUMN()-1,FALSE)*VLOOKUP($A65,Usinas!$C:$D,2,FALSE)</f>
        <v>45.001599999999996</v>
      </c>
      <c r="N65" s="65">
        <f ca="1">VLOOKUP($A65,INDIRECT($P$2),COLUMN()-1,FALSE)*VLOOKUP($A65,Usinas!$C:$D,2,FALSE)</f>
        <v>42.705599999999997</v>
      </c>
      <c r="O65" s="65">
        <f ca="1">VLOOKUP($A65,INDIRECT($P$2),COLUMN()-1,FALSE)*VLOOKUP($A65,Usinas!$C:$D,2,FALSE)</f>
        <v>54.644799999999996</v>
      </c>
    </row>
    <row r="66" spans="1:15" hidden="1" outlineLevel="2" x14ac:dyDescent="0.25">
      <c r="A66" s="61">
        <v>49</v>
      </c>
      <c r="B66" s="62" t="s">
        <v>92</v>
      </c>
      <c r="D66" s="65">
        <f ca="1">VLOOKUP($A66,INDIRECT($P$2),COLUMN()-1,FALSE)*VLOOKUP($A66,Usinas!$C:$D,2,FALSE)</f>
        <v>316.09820000000002</v>
      </c>
      <c r="E66" s="65">
        <f ca="1">VLOOKUP($A66,INDIRECT($P$2),COLUMN()-1,FALSE)*VLOOKUP($A66,Usinas!$C:$D,2,FALSE)</f>
        <v>341.71090000000004</v>
      </c>
      <c r="F66" s="65">
        <f ca="1">VLOOKUP($A66,INDIRECT($P$2),COLUMN()-1,FALSE)*VLOOKUP($A66,Usinas!$C:$D,2,FALSE)</f>
        <v>282.98910000000001</v>
      </c>
      <c r="G66" s="65">
        <f ca="1">VLOOKUP($A66,INDIRECT($P$2),COLUMN()-1,FALSE)*VLOOKUP($A66,Usinas!$C:$D,2,FALSE)</f>
        <v>203.65220000000002</v>
      </c>
      <c r="H66" s="65">
        <f ca="1">VLOOKUP($A66,INDIRECT($P$2),COLUMN()-1,FALSE)*VLOOKUP($A66,Usinas!$C:$D,2,FALSE)</f>
        <v>188.03470000000002</v>
      </c>
      <c r="I66" s="65">
        <f ca="1">VLOOKUP($A66,INDIRECT($P$2),COLUMN()-1,FALSE)*VLOOKUP($A66,Usinas!$C:$D,2,FALSE)</f>
        <v>196.1558</v>
      </c>
      <c r="J66" s="65">
        <f ca="1">VLOOKUP($A66,INDIRECT($P$2),COLUMN()-1,FALSE)*VLOOKUP($A66,Usinas!$C:$D,2,FALSE)</f>
        <v>173.0419</v>
      </c>
      <c r="K66" s="65">
        <f ca="1">VLOOKUP($A66,INDIRECT($P$2),COLUMN()-1,FALSE)*VLOOKUP($A66,Usinas!$C:$D,2,FALSE)</f>
        <v>143.05630000000002</v>
      </c>
      <c r="L66" s="65">
        <f ca="1">VLOOKUP($A66,INDIRECT($P$2),COLUMN()-1,FALSE)*VLOOKUP($A66,Usinas!$C:$D,2,FALSE)</f>
        <v>159.29850000000002</v>
      </c>
      <c r="M66" s="65">
        <f ca="1">VLOOKUP($A66,INDIRECT($P$2),COLUMN()-1,FALSE)*VLOOKUP($A66,Usinas!$C:$D,2,FALSE)</f>
        <v>190.5335</v>
      </c>
      <c r="N66" s="65">
        <f ca="1">VLOOKUP($A66,INDIRECT($P$2),COLUMN()-1,FALSE)*VLOOKUP($A66,Usinas!$C:$D,2,FALSE)</f>
        <v>176.16540000000001</v>
      </c>
      <c r="O66" s="65">
        <f ca="1">VLOOKUP($A66,INDIRECT($P$2),COLUMN()-1,FALSE)*VLOOKUP($A66,Usinas!$C:$D,2,FALSE)</f>
        <v>219.2697</v>
      </c>
    </row>
    <row r="67" spans="1:15" hidden="1" outlineLevel="2" x14ac:dyDescent="0.25">
      <c r="A67" s="61">
        <v>249</v>
      </c>
      <c r="B67" s="62" t="s">
        <v>93</v>
      </c>
      <c r="D67" s="65">
        <f ca="1">VLOOKUP($A67,INDIRECT($P$2),COLUMN()-1,FALSE)*VLOOKUP($A67,Usinas!$C:$D,2,FALSE)</f>
        <v>48.332799999999999</v>
      </c>
      <c r="E67" s="65">
        <f ca="1">VLOOKUP($A67,INDIRECT($P$2),COLUMN()-1,FALSE)*VLOOKUP($A67,Usinas!$C:$D,2,FALSE)</f>
        <v>52.203199999999995</v>
      </c>
      <c r="F67" s="65">
        <f ca="1">VLOOKUP($A67,INDIRECT($P$2),COLUMN()-1,FALSE)*VLOOKUP($A67,Usinas!$C:$D,2,FALSE)</f>
        <v>43.235199999999999</v>
      </c>
      <c r="G67" s="65">
        <f ca="1">VLOOKUP($A67,INDIRECT($P$2),COLUMN()-1,FALSE)*VLOOKUP($A67,Usinas!$C:$D,2,FALSE)</f>
        <v>31.246399999999998</v>
      </c>
      <c r="H67" s="65">
        <f ca="1">VLOOKUP($A67,INDIRECT($P$2),COLUMN()-1,FALSE)*VLOOKUP($A67,Usinas!$C:$D,2,FALSE)</f>
        <v>28.791999999999998</v>
      </c>
      <c r="I67" s="65">
        <f ca="1">VLOOKUP($A67,INDIRECT($P$2),COLUMN()-1,FALSE)*VLOOKUP($A67,Usinas!$C:$D,2,FALSE)</f>
        <v>30.113599999999998</v>
      </c>
      <c r="J67" s="65">
        <f ca="1">VLOOKUP($A67,INDIRECT($P$2),COLUMN()-1,FALSE)*VLOOKUP($A67,Usinas!$C:$D,2,FALSE)</f>
        <v>26.526399999999999</v>
      </c>
      <c r="K67" s="65">
        <f ca="1">VLOOKUP($A67,INDIRECT($P$2),COLUMN()-1,FALSE)*VLOOKUP($A67,Usinas!$C:$D,2,FALSE)</f>
        <v>21.9008</v>
      </c>
      <c r="L67" s="65">
        <f ca="1">VLOOKUP($A67,INDIRECT($P$2),COLUMN()-1,FALSE)*VLOOKUP($A67,Usinas!$C:$D,2,FALSE)</f>
        <v>24.3552</v>
      </c>
      <c r="M67" s="65">
        <f ca="1">VLOOKUP($A67,INDIRECT($P$2),COLUMN()-1,FALSE)*VLOOKUP($A67,Usinas!$C:$D,2,FALSE)</f>
        <v>29.169599999999999</v>
      </c>
      <c r="N67" s="65">
        <f ca="1">VLOOKUP($A67,INDIRECT($P$2),COLUMN()-1,FALSE)*VLOOKUP($A67,Usinas!$C:$D,2,FALSE)</f>
        <v>26.9984</v>
      </c>
      <c r="O67" s="65">
        <f ca="1">VLOOKUP($A67,INDIRECT($P$2),COLUMN()-1,FALSE)*VLOOKUP($A67,Usinas!$C:$D,2,FALSE)</f>
        <v>33.512</v>
      </c>
    </row>
    <row r="68" spans="1:15" hidden="1" outlineLevel="2" x14ac:dyDescent="0.25">
      <c r="A68" s="61">
        <v>50</v>
      </c>
      <c r="B68" s="62" t="s">
        <v>94</v>
      </c>
      <c r="D68" s="65">
        <f ca="1">VLOOKUP($A68,INDIRECT($P$2),COLUMN()-1,FALSE)*VLOOKUP($A68,Usinas!$C:$D,2,FALSE)</f>
        <v>98.0535</v>
      </c>
      <c r="E68" s="65">
        <f ca="1">VLOOKUP($A68,INDIRECT($P$2),COLUMN()-1,FALSE)*VLOOKUP($A68,Usinas!$C:$D,2,FALSE)</f>
        <v>107.18519999999999</v>
      </c>
      <c r="F68" s="65">
        <f ca="1">VLOOKUP($A68,INDIRECT($P$2),COLUMN()-1,FALSE)*VLOOKUP($A68,Usinas!$C:$D,2,FALSE)</f>
        <v>90.718199999999996</v>
      </c>
      <c r="G68" s="65">
        <f ca="1">VLOOKUP($A68,INDIRECT($P$2),COLUMN()-1,FALSE)*VLOOKUP($A68,Usinas!$C:$D,2,FALSE)</f>
        <v>67.065600000000003</v>
      </c>
      <c r="H68" s="65">
        <f ca="1">VLOOKUP($A68,INDIRECT($P$2),COLUMN()-1,FALSE)*VLOOKUP($A68,Usinas!$C:$D,2,FALSE)</f>
        <v>61.2273</v>
      </c>
      <c r="I68" s="65">
        <f ca="1">VLOOKUP($A68,INDIRECT($P$2),COLUMN()-1,FALSE)*VLOOKUP($A68,Usinas!$C:$D,2,FALSE)</f>
        <v>63.622500000000002</v>
      </c>
      <c r="J68" s="65">
        <f ca="1">VLOOKUP($A68,INDIRECT($P$2),COLUMN()-1,FALSE)*VLOOKUP($A68,Usinas!$C:$D,2,FALSE)</f>
        <v>55.389000000000003</v>
      </c>
      <c r="K68" s="65">
        <f ca="1">VLOOKUP($A68,INDIRECT($P$2),COLUMN()-1,FALSE)*VLOOKUP($A68,Usinas!$C:$D,2,FALSE)</f>
        <v>46.406999999999996</v>
      </c>
      <c r="L68" s="65">
        <f ca="1">VLOOKUP($A68,INDIRECT($P$2),COLUMN()-1,FALSE)*VLOOKUP($A68,Usinas!$C:$D,2,FALSE)</f>
        <v>50.598599999999998</v>
      </c>
      <c r="M68" s="65">
        <f ca="1">VLOOKUP($A68,INDIRECT($P$2),COLUMN()-1,FALSE)*VLOOKUP($A68,Usinas!$C:$D,2,FALSE)</f>
        <v>59.7303</v>
      </c>
      <c r="N68" s="65">
        <f ca="1">VLOOKUP($A68,INDIRECT($P$2),COLUMN()-1,FALSE)*VLOOKUP($A68,Usinas!$C:$D,2,FALSE)</f>
        <v>56.137500000000003</v>
      </c>
      <c r="O68" s="65">
        <f ca="1">VLOOKUP($A68,INDIRECT($P$2),COLUMN()-1,FALSE)*VLOOKUP($A68,Usinas!$C:$D,2,FALSE)</f>
        <v>69.460800000000006</v>
      </c>
    </row>
    <row r="69" spans="1:15" hidden="1" outlineLevel="2" x14ac:dyDescent="0.25">
      <c r="A69" s="61">
        <v>51</v>
      </c>
      <c r="B69" s="62" t="s">
        <v>95</v>
      </c>
      <c r="D69" s="65">
        <f ca="1">VLOOKUP($A69,INDIRECT($P$2),COLUMN()-1,FALSE)*VLOOKUP($A69,Usinas!$C:$D,2,FALSE)</f>
        <v>85.718499999999992</v>
      </c>
      <c r="E69" s="65">
        <f ca="1">VLOOKUP($A69,INDIRECT($P$2),COLUMN()-1,FALSE)*VLOOKUP($A69,Usinas!$C:$D,2,FALSE)</f>
        <v>93.968099999999993</v>
      </c>
      <c r="F69" s="65">
        <f ca="1">VLOOKUP($A69,INDIRECT($P$2),COLUMN()-1,FALSE)*VLOOKUP($A69,Usinas!$C:$D,2,FALSE)</f>
        <v>79.660199999999989</v>
      </c>
      <c r="G69" s="65">
        <f ca="1">VLOOKUP($A69,INDIRECT($P$2),COLUMN()-1,FALSE)*VLOOKUP($A69,Usinas!$C:$D,2,FALSE)</f>
        <v>58.907299999999992</v>
      </c>
      <c r="H69" s="65">
        <f ca="1">VLOOKUP($A69,INDIRECT($P$2),COLUMN()-1,FALSE)*VLOOKUP($A69,Usinas!$C:$D,2,FALSE)</f>
        <v>53.751299999999993</v>
      </c>
      <c r="I69" s="65">
        <f ca="1">VLOOKUP($A69,INDIRECT($P$2),COLUMN()-1,FALSE)*VLOOKUP($A69,Usinas!$C:$D,2,FALSE)</f>
        <v>55.942599999999992</v>
      </c>
      <c r="J69" s="65">
        <f ca="1">VLOOKUP($A69,INDIRECT($P$2),COLUMN()-1,FALSE)*VLOOKUP($A69,Usinas!$C:$D,2,FALSE)</f>
        <v>48.595299999999995</v>
      </c>
      <c r="K69" s="65">
        <f ca="1">VLOOKUP($A69,INDIRECT($P$2),COLUMN()-1,FALSE)*VLOOKUP($A69,Usinas!$C:$D,2,FALSE)</f>
        <v>40.732399999999998</v>
      </c>
      <c r="L69" s="65">
        <f ca="1">VLOOKUP($A69,INDIRECT($P$2),COLUMN()-1,FALSE)*VLOOKUP($A69,Usinas!$C:$D,2,FALSE)</f>
        <v>44.470499999999994</v>
      </c>
      <c r="M69" s="65">
        <f ca="1">VLOOKUP($A69,INDIRECT($P$2),COLUMN()-1,FALSE)*VLOOKUP($A69,Usinas!$C:$D,2,FALSE)</f>
        <v>52.462299999999992</v>
      </c>
      <c r="N69" s="65">
        <f ca="1">VLOOKUP($A69,INDIRECT($P$2),COLUMN()-1,FALSE)*VLOOKUP($A69,Usinas!$C:$D,2,FALSE)</f>
        <v>49.368699999999997</v>
      </c>
      <c r="O69" s="65">
        <f ca="1">VLOOKUP($A69,INDIRECT($P$2),COLUMN()-1,FALSE)*VLOOKUP($A69,Usinas!$C:$D,2,FALSE)</f>
        <v>60.840799999999994</v>
      </c>
    </row>
    <row r="70" spans="1:15" hidden="1" outlineLevel="2" x14ac:dyDescent="0.25">
      <c r="A70" s="61">
        <v>52</v>
      </c>
      <c r="B70" s="62" t="s">
        <v>96</v>
      </c>
      <c r="D70" s="65">
        <f ca="1">VLOOKUP($A70,INDIRECT($P$2),COLUMN()-1,FALSE)*VLOOKUP($A70,Usinas!$C:$D,2,FALSE)</f>
        <v>103.81920000000001</v>
      </c>
      <c r="E70" s="65">
        <f ca="1">VLOOKUP($A70,INDIRECT($P$2),COLUMN()-1,FALSE)*VLOOKUP($A70,Usinas!$C:$D,2,FALSE)</f>
        <v>114.08040000000001</v>
      </c>
      <c r="F70" s="65">
        <f ca="1">VLOOKUP($A70,INDIRECT($P$2),COLUMN()-1,FALSE)*VLOOKUP($A70,Usinas!$C:$D,2,FALSE)</f>
        <v>96.877800000000008</v>
      </c>
      <c r="G70" s="65">
        <f ca="1">VLOOKUP($A70,INDIRECT($P$2),COLUMN()-1,FALSE)*VLOOKUP($A70,Usinas!$C:$D,2,FALSE)</f>
        <v>71.979300000000009</v>
      </c>
      <c r="H70" s="65">
        <f ca="1">VLOOKUP($A70,INDIRECT($P$2),COLUMN()-1,FALSE)*VLOOKUP($A70,Usinas!$C:$D,2,FALSE)</f>
        <v>65.490600000000001</v>
      </c>
      <c r="I70" s="65">
        <f ca="1">VLOOKUP($A70,INDIRECT($P$2),COLUMN()-1,FALSE)*VLOOKUP($A70,Usinas!$C:$D,2,FALSE)</f>
        <v>68.206800000000001</v>
      </c>
      <c r="J70" s="65">
        <f ca="1">VLOOKUP($A70,INDIRECT($P$2),COLUMN()-1,FALSE)*VLOOKUP($A70,Usinas!$C:$D,2,FALSE)</f>
        <v>59.152799999999999</v>
      </c>
      <c r="K70" s="65">
        <f ca="1">VLOOKUP($A70,INDIRECT($P$2),COLUMN()-1,FALSE)*VLOOKUP($A70,Usinas!$C:$D,2,FALSE)</f>
        <v>49.646100000000004</v>
      </c>
      <c r="L70" s="65">
        <f ca="1">VLOOKUP($A70,INDIRECT($P$2),COLUMN()-1,FALSE)*VLOOKUP($A70,Usinas!$C:$D,2,FALSE)</f>
        <v>54.022200000000005</v>
      </c>
      <c r="M70" s="65">
        <f ca="1">VLOOKUP($A70,INDIRECT($P$2),COLUMN()-1,FALSE)*VLOOKUP($A70,Usinas!$C:$D,2,FALSE)</f>
        <v>63.6798</v>
      </c>
      <c r="N70" s="65">
        <f ca="1">VLOOKUP($A70,INDIRECT($P$2),COLUMN()-1,FALSE)*VLOOKUP($A70,Usinas!$C:$D,2,FALSE)</f>
        <v>60.058199999999999</v>
      </c>
      <c r="O70" s="65">
        <f ca="1">VLOOKUP($A70,INDIRECT($P$2),COLUMN()-1,FALSE)*VLOOKUP($A70,Usinas!$C:$D,2,FALSE)</f>
        <v>73.941000000000003</v>
      </c>
    </row>
    <row r="71" spans="1:15" hidden="1" outlineLevel="2" x14ac:dyDescent="0.25">
      <c r="A71" s="61">
        <v>61</v>
      </c>
      <c r="B71" s="62" t="s">
        <v>97</v>
      </c>
      <c r="D71" s="65">
        <f ca="1">VLOOKUP($A71,INDIRECT($P$2),COLUMN()-1,FALSE)*VLOOKUP($A71,Usinas!$C:$D,2,FALSE)</f>
        <v>553.08799999999997</v>
      </c>
      <c r="E71" s="65">
        <f ca="1">VLOOKUP($A71,INDIRECT($P$2),COLUMN()-1,FALSE)*VLOOKUP($A71,Usinas!$C:$D,2,FALSE)</f>
        <v>583.15519999999992</v>
      </c>
      <c r="F71" s="65">
        <f ca="1">VLOOKUP($A71,INDIRECT($P$2),COLUMN()-1,FALSE)*VLOOKUP($A71,Usinas!$C:$D,2,FALSE)</f>
        <v>476.99199999999996</v>
      </c>
      <c r="G71" s="65">
        <f ca="1">VLOOKUP($A71,INDIRECT($P$2),COLUMN()-1,FALSE)*VLOOKUP($A71,Usinas!$C:$D,2,FALSE)</f>
        <v>363.77599999999995</v>
      </c>
      <c r="H71" s="65">
        <f ca="1">VLOOKUP($A71,INDIRECT($P$2),COLUMN()-1,FALSE)*VLOOKUP($A71,Usinas!$C:$D,2,FALSE)</f>
        <v>364.51839999999999</v>
      </c>
      <c r="I71" s="65">
        <f ca="1">VLOOKUP($A71,INDIRECT($P$2),COLUMN()-1,FALSE)*VLOOKUP($A71,Usinas!$C:$D,2,FALSE)</f>
        <v>397.92639999999994</v>
      </c>
      <c r="J71" s="65">
        <f ca="1">VLOOKUP($A71,INDIRECT($P$2),COLUMN()-1,FALSE)*VLOOKUP($A71,Usinas!$C:$D,2,FALSE)</f>
        <v>360.06399999999996</v>
      </c>
      <c r="K71" s="65">
        <f ca="1">VLOOKUP($A71,INDIRECT($P$2),COLUMN()-1,FALSE)*VLOOKUP($A71,Usinas!$C:$D,2,FALSE)</f>
        <v>296.2176</v>
      </c>
      <c r="L71" s="65">
        <f ca="1">VLOOKUP($A71,INDIRECT($P$2),COLUMN()-1,FALSE)*VLOOKUP($A71,Usinas!$C:$D,2,FALSE)</f>
        <v>327.39839999999998</v>
      </c>
      <c r="M71" s="65">
        <f ca="1">VLOOKUP($A71,INDIRECT($P$2),COLUMN()-1,FALSE)*VLOOKUP($A71,Usinas!$C:$D,2,FALSE)</f>
        <v>406.83519999999999</v>
      </c>
      <c r="N71" s="65">
        <f ca="1">VLOOKUP($A71,INDIRECT($P$2),COLUMN()-1,FALSE)*VLOOKUP($A71,Usinas!$C:$D,2,FALSE)</f>
        <v>366.37439999999998</v>
      </c>
      <c r="O71" s="65">
        <f ca="1">VLOOKUP($A71,INDIRECT($P$2),COLUMN()-1,FALSE)*VLOOKUP($A71,Usinas!$C:$D,2,FALSE)</f>
        <v>403.49439999999998</v>
      </c>
    </row>
    <row r="72" spans="1:15" hidden="1" outlineLevel="2" x14ac:dyDescent="0.25">
      <c r="A72" s="61">
        <v>62</v>
      </c>
      <c r="B72" s="62" t="s">
        <v>98</v>
      </c>
      <c r="D72" s="65">
        <f ca="1">VLOOKUP($A72,INDIRECT($P$2),COLUMN()-1,FALSE)*VLOOKUP($A72,Usinas!$C:$D,2,FALSE)</f>
        <v>350.80520000000001</v>
      </c>
      <c r="E72" s="65">
        <f ca="1">VLOOKUP($A72,INDIRECT($P$2),COLUMN()-1,FALSE)*VLOOKUP($A72,Usinas!$C:$D,2,FALSE)</f>
        <v>370.54360000000003</v>
      </c>
      <c r="F72" s="65">
        <f ca="1">VLOOKUP($A72,INDIRECT($P$2),COLUMN()-1,FALSE)*VLOOKUP($A72,Usinas!$C:$D,2,FALSE)</f>
        <v>303.92649999999998</v>
      </c>
      <c r="G72" s="65">
        <f ca="1">VLOOKUP($A72,INDIRECT($P$2),COLUMN()-1,FALSE)*VLOOKUP($A72,Usinas!$C:$D,2,FALSE)</f>
        <v>231.92619999999999</v>
      </c>
      <c r="H72" s="65">
        <f ca="1">VLOOKUP($A72,INDIRECT($P$2),COLUMN()-1,FALSE)*VLOOKUP($A72,Usinas!$C:$D,2,FALSE)</f>
        <v>232.37479999999999</v>
      </c>
      <c r="I72" s="65">
        <f ca="1">VLOOKUP($A72,INDIRECT($P$2),COLUMN()-1,FALSE)*VLOOKUP($A72,Usinas!$C:$D,2,FALSE)</f>
        <v>253.9076</v>
      </c>
      <c r="J72" s="65">
        <f ca="1">VLOOKUP($A72,INDIRECT($P$2),COLUMN()-1,FALSE)*VLOOKUP($A72,Usinas!$C:$D,2,FALSE)</f>
        <v>230.3561</v>
      </c>
      <c r="K72" s="65">
        <f ca="1">VLOOKUP($A72,INDIRECT($P$2),COLUMN()-1,FALSE)*VLOOKUP($A72,Usinas!$C:$D,2,FALSE)</f>
        <v>189.7578</v>
      </c>
      <c r="L72" s="65">
        <f ca="1">VLOOKUP($A72,INDIRECT($P$2),COLUMN()-1,FALSE)*VLOOKUP($A72,Usinas!$C:$D,2,FALSE)</f>
        <v>208.59899999999999</v>
      </c>
      <c r="M72" s="65">
        <f ca="1">VLOOKUP($A72,INDIRECT($P$2),COLUMN()-1,FALSE)*VLOOKUP($A72,Usinas!$C:$D,2,FALSE)</f>
        <v>260.18799999999999</v>
      </c>
      <c r="N72" s="65">
        <f ca="1">VLOOKUP($A72,INDIRECT($P$2),COLUMN()-1,FALSE)*VLOOKUP($A72,Usinas!$C:$D,2,FALSE)</f>
        <v>234.61779999999999</v>
      </c>
      <c r="O72" s="65">
        <f ca="1">VLOOKUP($A72,INDIRECT($P$2),COLUMN()-1,FALSE)*VLOOKUP($A72,Usinas!$C:$D,2,FALSE)</f>
        <v>256.82350000000002</v>
      </c>
    </row>
    <row r="73" spans="1:15" hidden="1" outlineLevel="2" x14ac:dyDescent="0.25">
      <c r="A73" s="61">
        <v>63</v>
      </c>
      <c r="B73" s="62" t="s">
        <v>99</v>
      </c>
      <c r="D73" s="65">
        <f ca="1">VLOOKUP($A73,INDIRECT($P$2),COLUMN()-1,FALSE)*VLOOKUP($A73,Usinas!$C:$D,2,FALSE)</f>
        <v>321.74009999999998</v>
      </c>
      <c r="E73" s="65">
        <f ca="1">VLOOKUP($A73,INDIRECT($P$2),COLUMN()-1,FALSE)*VLOOKUP($A73,Usinas!$C:$D,2,FALSE)</f>
        <v>340.92899999999997</v>
      </c>
      <c r="F73" s="65">
        <f ca="1">VLOOKUP($A73,INDIRECT($P$2),COLUMN()-1,FALSE)*VLOOKUP($A73,Usinas!$C:$D,2,FALSE)</f>
        <v>283.3623</v>
      </c>
      <c r="G73" s="65">
        <f ca="1">VLOOKUP($A73,INDIRECT($P$2),COLUMN()-1,FALSE)*VLOOKUP($A73,Usinas!$C:$D,2,FALSE)</f>
        <v>216.85319999999999</v>
      </c>
      <c r="H73" s="65">
        <f ca="1">VLOOKUP($A73,INDIRECT($P$2),COLUMN()-1,FALSE)*VLOOKUP($A73,Usinas!$C:$D,2,FALSE)</f>
        <v>216.108</v>
      </c>
      <c r="I73" s="65">
        <f ca="1">VLOOKUP($A73,INDIRECT($P$2),COLUMN()-1,FALSE)*VLOOKUP($A73,Usinas!$C:$D,2,FALSE)</f>
        <v>237.5325</v>
      </c>
      <c r="J73" s="65">
        <f ca="1">VLOOKUP($A73,INDIRECT($P$2),COLUMN()-1,FALSE)*VLOOKUP($A73,Usinas!$C:$D,2,FALSE)</f>
        <v>215.36279999999999</v>
      </c>
      <c r="K73" s="65">
        <f ca="1">VLOOKUP($A73,INDIRECT($P$2),COLUMN()-1,FALSE)*VLOOKUP($A73,Usinas!$C:$D,2,FALSE)</f>
        <v>179.0343</v>
      </c>
      <c r="L73" s="65">
        <f ca="1">VLOOKUP($A73,INDIRECT($P$2),COLUMN()-1,FALSE)*VLOOKUP($A73,Usinas!$C:$D,2,FALSE)</f>
        <v>194.68349999999998</v>
      </c>
      <c r="M73" s="65">
        <f ca="1">VLOOKUP($A73,INDIRECT($P$2),COLUMN()-1,FALSE)*VLOOKUP($A73,Usinas!$C:$D,2,FALSE)</f>
        <v>242.74889999999999</v>
      </c>
      <c r="N73" s="65">
        <f ca="1">VLOOKUP($A73,INDIRECT($P$2),COLUMN()-1,FALSE)*VLOOKUP($A73,Usinas!$C:$D,2,FALSE)</f>
        <v>221.13809999999998</v>
      </c>
      <c r="O73" s="65">
        <f ca="1">VLOOKUP($A73,INDIRECT($P$2),COLUMN()-1,FALSE)*VLOOKUP($A73,Usinas!$C:$D,2,FALSE)</f>
        <v>239.20919999999998</v>
      </c>
    </row>
    <row r="74" spans="1:15" hidden="1" outlineLevel="1" x14ac:dyDescent="0.25">
      <c r="A74" s="18"/>
      <c r="B74" s="19" t="s">
        <v>56</v>
      </c>
      <c r="D74" s="66">
        <f t="shared" ref="D74:I74" ca="1" si="7">SUM(D64:D73)</f>
        <v>2050.0221000000001</v>
      </c>
      <c r="E74" s="49">
        <f t="shared" ca="1" si="7"/>
        <v>2198.0115999999998</v>
      </c>
      <c r="F74" s="49">
        <f t="shared" ca="1" si="7"/>
        <v>1822.5245</v>
      </c>
      <c r="G74" s="49">
        <f t="shared" ca="1" si="7"/>
        <v>1361.6677999999999</v>
      </c>
      <c r="H74" s="49">
        <f t="shared" ca="1" si="7"/>
        <v>1312.0001</v>
      </c>
      <c r="I74" s="67">
        <f t="shared" ca="1" si="7"/>
        <v>1409.7475999999999</v>
      </c>
      <c r="J74" s="66">
        <f t="shared" ref="J74:O74" ca="1" si="8">SUM(J64:J73)</f>
        <v>1261.8361</v>
      </c>
      <c r="K74" s="49">
        <f t="shared" ca="1" si="8"/>
        <v>1044.7266999999999</v>
      </c>
      <c r="L74" s="49">
        <f t="shared" ca="1" si="8"/>
        <v>1147.3741</v>
      </c>
      <c r="M74" s="49">
        <f t="shared" ca="1" si="8"/>
        <v>1406.2357999999999</v>
      </c>
      <c r="N74" s="49">
        <f t="shared" ca="1" si="8"/>
        <v>1286.5246999999997</v>
      </c>
      <c r="O74" s="67">
        <f t="shared" ca="1" si="8"/>
        <v>1479.3720000000001</v>
      </c>
    </row>
    <row r="75" spans="1:15" hidden="1" outlineLevel="1" x14ac:dyDescent="0.25">
      <c r="A75" s="20"/>
      <c r="B75" s="21" t="s">
        <v>0</v>
      </c>
      <c r="D75" s="68"/>
      <c r="E75" s="69"/>
      <c r="F75" s="69"/>
      <c r="G75" s="69"/>
      <c r="H75" s="69"/>
      <c r="I75" s="70"/>
      <c r="J75" s="68"/>
      <c r="K75" s="69"/>
      <c r="L75" s="69"/>
      <c r="M75" s="69"/>
      <c r="N75" s="69"/>
      <c r="O75" s="70"/>
    </row>
    <row r="76" spans="1:15" hidden="1" outlineLevel="1" x14ac:dyDescent="0.25">
      <c r="A76" s="52"/>
      <c r="B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</row>
    <row r="77" spans="1:15" hidden="1" outlineLevel="1" x14ac:dyDescent="0.25">
      <c r="A77" s="63"/>
      <c r="B77" s="64"/>
      <c r="D77" s="320" t="s">
        <v>100</v>
      </c>
      <c r="E77" s="321" t="s">
        <v>58</v>
      </c>
      <c r="F77" s="321" t="s">
        <v>101</v>
      </c>
      <c r="G77" s="321"/>
      <c r="H77" s="321"/>
      <c r="I77" s="321"/>
      <c r="J77" s="321" t="s">
        <v>100</v>
      </c>
      <c r="K77" s="321" t="s">
        <v>58</v>
      </c>
      <c r="L77" s="321" t="s">
        <v>101</v>
      </c>
      <c r="M77" s="321"/>
      <c r="N77" s="321"/>
      <c r="O77" s="322"/>
    </row>
    <row r="78" spans="1:15" hidden="1" outlineLevel="2" x14ac:dyDescent="0.25">
      <c r="A78" s="61">
        <v>34</v>
      </c>
      <c r="B78" s="62" t="s">
        <v>102</v>
      </c>
      <c r="D78" s="65">
        <f ca="1">VLOOKUP($A78,INDIRECT($P$2),COLUMN()-1,FALSE)*VLOOKUP($A78,Usinas!$C:$D,2,FALSE)</f>
        <v>3496.8564000000001</v>
      </c>
      <c r="E78" s="65">
        <f ca="1">VLOOKUP($A78,INDIRECT($P$2),COLUMN()-1,FALSE)*VLOOKUP($A78,Usinas!$C:$D,2,FALSE)</f>
        <v>3676.3024</v>
      </c>
      <c r="F78" s="65">
        <f ca="1">VLOOKUP($A78,INDIRECT($P$2),COLUMN()-1,FALSE)*VLOOKUP($A78,Usinas!$C:$D,2,FALSE)</f>
        <v>3513.2406000000001</v>
      </c>
      <c r="G78" s="65">
        <f ca="1">VLOOKUP($A78,INDIRECT($P$2),COLUMN()-1,FALSE)*VLOOKUP($A78,Usinas!$C:$D,2,FALSE)</f>
        <v>2646.8285000000001</v>
      </c>
      <c r="H78" s="65">
        <f ca="1">VLOOKUP($A78,INDIRECT($P$2),COLUMN()-1,FALSE)*VLOOKUP($A78,Usinas!$C:$D,2,FALSE)</f>
        <v>1813.1848</v>
      </c>
      <c r="I78" s="65">
        <f ca="1">VLOOKUP($A78,INDIRECT($P$2),COLUMN()-1,FALSE)*VLOOKUP($A78,Usinas!$C:$D,2,FALSE)</f>
        <v>1483.1602</v>
      </c>
      <c r="J78" s="65">
        <f ca="1">VLOOKUP($A78,INDIRECT($P$2),COLUMN()-1,FALSE)*VLOOKUP($A78,Usinas!$C:$D,2,FALSE)</f>
        <v>1213.9911999999999</v>
      </c>
      <c r="K78" s="65">
        <f ca="1">VLOOKUP($A78,INDIRECT($P$2),COLUMN()-1,FALSE)*VLOOKUP($A78,Usinas!$C:$D,2,FALSE)</f>
        <v>1017.3808</v>
      </c>
      <c r="L78" s="65">
        <f ca="1">VLOOKUP($A78,INDIRECT($P$2),COLUMN()-1,FALSE)*VLOOKUP($A78,Usinas!$C:$D,2,FALSE)</f>
        <v>969.78859999999997</v>
      </c>
      <c r="M78" s="65">
        <f ca="1">VLOOKUP($A78,INDIRECT($P$2),COLUMN()-1,FALSE)*VLOOKUP($A78,Usinas!$C:$D,2,FALSE)</f>
        <v>1121.9276</v>
      </c>
      <c r="N78" s="65">
        <f ca="1">VLOOKUP($A78,INDIRECT($P$2),COLUMN()-1,FALSE)*VLOOKUP($A78,Usinas!$C:$D,2,FALSE)</f>
        <v>1528.0217</v>
      </c>
      <c r="O78" s="65">
        <f ca="1">VLOOKUP($A78,INDIRECT($P$2),COLUMN()-1,FALSE)*VLOOKUP($A78,Usinas!$C:$D,2,FALSE)</f>
        <v>2450.9983000000002</v>
      </c>
    </row>
    <row r="79" spans="1:15" hidden="1" outlineLevel="2" x14ac:dyDescent="0.25">
      <c r="A79" s="61">
        <v>45</v>
      </c>
      <c r="B79" s="62" t="s">
        <v>103</v>
      </c>
      <c r="D79" s="65">
        <f ca="1">VLOOKUP($A79,INDIRECT($P$2),COLUMN()-1,FALSE)*VLOOKUP($A79,Usinas!$C:$D,2,FALSE)</f>
        <v>2105.73</v>
      </c>
      <c r="E79" s="65">
        <f ca="1">VLOOKUP($A79,INDIRECT($P$2),COLUMN()-1,FALSE)*VLOOKUP($A79,Usinas!$C:$D,2,FALSE)</f>
        <v>2227.8960000000002</v>
      </c>
      <c r="F79" s="65">
        <f ca="1">VLOOKUP($A79,INDIRECT($P$2),COLUMN()-1,FALSE)*VLOOKUP($A79,Usinas!$C:$D,2,FALSE)</f>
        <v>2103.3540000000003</v>
      </c>
      <c r="G79" s="65">
        <f ca="1">VLOOKUP($A79,INDIRECT($P$2),COLUMN()-1,FALSE)*VLOOKUP($A79,Usinas!$C:$D,2,FALSE)</f>
        <v>1577.4660000000001</v>
      </c>
      <c r="H79" s="65">
        <f ca="1">VLOOKUP($A79,INDIRECT($P$2),COLUMN()-1,FALSE)*VLOOKUP($A79,Usinas!$C:$D,2,FALSE)</f>
        <v>1107.2160000000001</v>
      </c>
      <c r="I79" s="65">
        <f ca="1">VLOOKUP($A79,INDIRECT($P$2),COLUMN()-1,FALSE)*VLOOKUP($A79,Usinas!$C:$D,2,FALSE)</f>
        <v>936.14400000000001</v>
      </c>
      <c r="J79" s="65">
        <f ca="1">VLOOKUP($A79,INDIRECT($P$2),COLUMN()-1,FALSE)*VLOOKUP($A79,Usinas!$C:$D,2,FALSE)</f>
        <v>772.596</v>
      </c>
      <c r="K79" s="65">
        <f ca="1">VLOOKUP($A79,INDIRECT($P$2),COLUMN()-1,FALSE)*VLOOKUP($A79,Usinas!$C:$D,2,FALSE)</f>
        <v>658.74599999999998</v>
      </c>
      <c r="L79" s="65">
        <f ca="1">VLOOKUP($A79,INDIRECT($P$2),COLUMN()-1,FALSE)*VLOOKUP($A79,Usinas!$C:$D,2,FALSE)</f>
        <v>635.58000000000004</v>
      </c>
      <c r="M79" s="65">
        <f ca="1">VLOOKUP($A79,INDIRECT($P$2),COLUMN()-1,FALSE)*VLOOKUP($A79,Usinas!$C:$D,2,FALSE)</f>
        <v>730.02600000000007</v>
      </c>
      <c r="N79" s="65">
        <f ca="1">VLOOKUP($A79,INDIRECT($P$2),COLUMN()-1,FALSE)*VLOOKUP($A79,Usinas!$C:$D,2,FALSE)</f>
        <v>946.83600000000001</v>
      </c>
      <c r="O79" s="65">
        <f ca="1">VLOOKUP($A79,INDIRECT($P$2),COLUMN()-1,FALSE)*VLOOKUP($A79,Usinas!$C:$D,2,FALSE)</f>
        <v>1478.0700000000002</v>
      </c>
    </row>
    <row r="80" spans="1:15" hidden="1" outlineLevel="1" x14ac:dyDescent="0.25">
      <c r="A80" s="18"/>
      <c r="B80" s="19" t="s">
        <v>56</v>
      </c>
      <c r="D80" s="66">
        <f t="shared" ref="D80:I80" ca="1" si="9">SUM(D78:D79)</f>
        <v>5602.5864000000001</v>
      </c>
      <c r="E80" s="49">
        <f t="shared" ca="1" si="9"/>
        <v>5904.1984000000002</v>
      </c>
      <c r="F80" s="49">
        <f t="shared" ca="1" si="9"/>
        <v>5616.5946000000004</v>
      </c>
      <c r="G80" s="49">
        <f t="shared" ca="1" si="9"/>
        <v>4224.2945</v>
      </c>
      <c r="H80" s="49">
        <f t="shared" ca="1" si="9"/>
        <v>2920.4008000000003</v>
      </c>
      <c r="I80" s="67">
        <f t="shared" ca="1" si="9"/>
        <v>2419.3042</v>
      </c>
      <c r="J80" s="66">
        <f t="shared" ref="J80:O80" ca="1" si="10">SUM(J78:J79)</f>
        <v>1986.5871999999999</v>
      </c>
      <c r="K80" s="49">
        <f t="shared" ca="1" si="10"/>
        <v>1676.1268</v>
      </c>
      <c r="L80" s="49">
        <f t="shared" ca="1" si="10"/>
        <v>1605.3686</v>
      </c>
      <c r="M80" s="49">
        <f t="shared" ca="1" si="10"/>
        <v>1851.9536000000001</v>
      </c>
      <c r="N80" s="49">
        <f t="shared" ca="1" si="10"/>
        <v>2474.8577</v>
      </c>
      <c r="O80" s="67">
        <f t="shared" ca="1" si="10"/>
        <v>3929.0683000000004</v>
      </c>
    </row>
    <row r="81" spans="1:15" hidden="1" outlineLevel="1" x14ac:dyDescent="0.25">
      <c r="A81" s="20"/>
      <c r="B81" s="21" t="s">
        <v>0</v>
      </c>
      <c r="D81" s="68"/>
      <c r="E81" s="69"/>
      <c r="F81" s="69"/>
      <c r="G81" s="69"/>
      <c r="H81" s="69"/>
      <c r="I81" s="70"/>
      <c r="J81" s="68"/>
      <c r="K81" s="69"/>
      <c r="L81" s="69"/>
      <c r="M81" s="69"/>
      <c r="N81" s="69"/>
      <c r="O81" s="70"/>
    </row>
    <row r="82" spans="1:15" hidden="1" outlineLevel="1" x14ac:dyDescent="0.25">
      <c r="A82" s="1"/>
      <c r="B82" s="133"/>
      <c r="D82" s="50"/>
      <c r="E82" s="51"/>
      <c r="F82" s="51"/>
      <c r="G82" s="51"/>
      <c r="H82" s="51"/>
      <c r="I82" s="51"/>
      <c r="J82" s="50"/>
      <c r="K82" s="51"/>
      <c r="L82" s="51"/>
      <c r="M82" s="51"/>
      <c r="N82" s="51"/>
      <c r="O82" s="51"/>
    </row>
    <row r="83" spans="1:15" ht="17.25" hidden="1" customHeight="1" outlineLevel="1" x14ac:dyDescent="0.25">
      <c r="A83" s="63"/>
      <c r="B83" s="64"/>
      <c r="D83" s="329" t="s">
        <v>104</v>
      </c>
      <c r="E83" s="330" t="s">
        <v>58</v>
      </c>
      <c r="F83" s="330" t="s">
        <v>105</v>
      </c>
      <c r="G83" s="330"/>
      <c r="H83" s="330"/>
      <c r="I83" s="331"/>
      <c r="J83" s="329" t="s">
        <v>104</v>
      </c>
      <c r="K83" s="330" t="s">
        <v>58</v>
      </c>
      <c r="L83" s="330" t="s">
        <v>105</v>
      </c>
      <c r="M83" s="330"/>
      <c r="N83" s="330"/>
      <c r="O83" s="331"/>
    </row>
    <row r="84" spans="1:15" hidden="1" outlineLevel="2" x14ac:dyDescent="0.25">
      <c r="A84" s="61">
        <v>46</v>
      </c>
      <c r="B84" s="62" t="s">
        <v>106</v>
      </c>
      <c r="D84" s="65">
        <f ca="1">VLOOKUP($A84,INDIRECT($P$2),COLUMN()-1,FALSE)*VLOOKUP($A84,Usinas!$C:$D,2,FALSE)</f>
        <v>1832.1093000000001</v>
      </c>
      <c r="E84" s="65">
        <f ca="1">VLOOKUP($A84,INDIRECT($P$2),COLUMN()-1,FALSE)*VLOOKUP($A84,Usinas!$C:$D,2,FALSE)</f>
        <v>1971.0189</v>
      </c>
      <c r="F84" s="65">
        <f ca="1">VLOOKUP($A84,INDIRECT($P$2),COLUMN()-1,FALSE)*VLOOKUP($A84,Usinas!$C:$D,2,FALSE)</f>
        <v>1867.4739</v>
      </c>
      <c r="G84" s="65">
        <f ca="1">VLOOKUP($A84,INDIRECT($P$2),COLUMN()-1,FALSE)*VLOOKUP($A84,Usinas!$C:$D,2,FALSE)</f>
        <v>1434.4965</v>
      </c>
      <c r="H84" s="65">
        <f ca="1">VLOOKUP($A84,INDIRECT($P$2),COLUMN()-1,FALSE)*VLOOKUP($A84,Usinas!$C:$D,2,FALSE)</f>
        <v>1032.2639999999999</v>
      </c>
      <c r="I84" s="65">
        <f ca="1">VLOOKUP($A84,INDIRECT($P$2),COLUMN()-1,FALSE)*VLOOKUP($A84,Usinas!$C:$D,2,FALSE)</f>
        <v>894.46950000000004</v>
      </c>
      <c r="J84" s="65">
        <f ca="1">VLOOKUP($A84,INDIRECT($P$2),COLUMN()-1,FALSE)*VLOOKUP($A84,Usinas!$C:$D,2,FALSE)</f>
        <v>735.3288</v>
      </c>
      <c r="K84" s="65">
        <f ca="1">VLOOKUP($A84,INDIRECT($P$2),COLUMN()-1,FALSE)*VLOOKUP($A84,Usinas!$C:$D,2,FALSE)</f>
        <v>626.68619999999999</v>
      </c>
      <c r="L84" s="65">
        <f ca="1">VLOOKUP($A84,INDIRECT($P$2),COLUMN()-1,FALSE)*VLOOKUP($A84,Usinas!$C:$D,2,FALSE)</f>
        <v>607.88879999999995</v>
      </c>
      <c r="M84" s="65">
        <f ca="1">VLOOKUP($A84,INDIRECT($P$2),COLUMN()-1,FALSE)*VLOOKUP($A84,Usinas!$C:$D,2,FALSE)</f>
        <v>692.47709999999995</v>
      </c>
      <c r="N84" s="65">
        <f ca="1">VLOOKUP($A84,INDIRECT($P$2),COLUMN()-1,FALSE)*VLOOKUP($A84,Usinas!$C:$D,2,FALSE)</f>
        <v>866.59199999999998</v>
      </c>
      <c r="O84" s="65">
        <f ca="1">VLOOKUP($A84,INDIRECT($P$2),COLUMN()-1,FALSE)*VLOOKUP($A84,Usinas!$C:$D,2,FALSE)</f>
        <v>1293.0381</v>
      </c>
    </row>
    <row r="85" spans="1:15" hidden="1" outlineLevel="2" x14ac:dyDescent="0.25">
      <c r="A85" s="61">
        <v>66</v>
      </c>
      <c r="B85" s="62" t="s">
        <v>107</v>
      </c>
      <c r="D85" s="65">
        <f ca="1">VLOOKUP($A85,INDIRECT($P$2),COLUMN()-1,FALSE)*VLOOKUP($A85,Usinas!$C:$D,2,FALSE)</f>
        <v>15289.612800000001</v>
      </c>
      <c r="E85" s="65">
        <f ca="1">VLOOKUP($A85,INDIRECT($P$2),COLUMN()-1,FALSE)*VLOOKUP($A85,Usinas!$C:$D,2,FALSE)</f>
        <v>16703.3642</v>
      </c>
      <c r="F85" s="65">
        <f ca="1">VLOOKUP($A85,INDIRECT($P$2),COLUMN()-1,FALSE)*VLOOKUP($A85,Usinas!$C:$D,2,FALSE)</f>
        <v>15539.8892</v>
      </c>
      <c r="G85" s="65">
        <f ca="1">VLOOKUP($A85,INDIRECT($P$2),COLUMN()-1,FALSE)*VLOOKUP($A85,Usinas!$C:$D,2,FALSE)</f>
        <v>12346.2796</v>
      </c>
      <c r="H85" s="65">
        <f ca="1">VLOOKUP($A85,INDIRECT($P$2),COLUMN()-1,FALSE)*VLOOKUP($A85,Usinas!$C:$D,2,FALSE)</f>
        <v>9874.5416000000005</v>
      </c>
      <c r="I85" s="65">
        <f ca="1">VLOOKUP($A85,INDIRECT($P$2),COLUMN()-1,FALSE)*VLOOKUP($A85,Usinas!$C:$D,2,FALSE)</f>
        <v>9143.3621999999996</v>
      </c>
      <c r="J85" s="65">
        <f ca="1">VLOOKUP($A85,INDIRECT($P$2),COLUMN()-1,FALSE)*VLOOKUP($A85,Usinas!$C:$D,2,FALSE)</f>
        <v>7739.9528</v>
      </c>
      <c r="K85" s="65">
        <f ca="1">VLOOKUP($A85,INDIRECT($P$2),COLUMN()-1,FALSE)*VLOOKUP($A85,Usinas!$C:$D,2,FALSE)</f>
        <v>6506.1522000000004</v>
      </c>
      <c r="L85" s="65">
        <f ca="1">VLOOKUP($A85,INDIRECT($P$2),COLUMN()-1,FALSE)*VLOOKUP($A85,Usinas!$C:$D,2,FALSE)</f>
        <v>6543.3833999999997</v>
      </c>
      <c r="M85" s="65">
        <f ca="1">VLOOKUP($A85,INDIRECT($P$2),COLUMN()-1,FALSE)*VLOOKUP($A85,Usinas!$C:$D,2,FALSE)</f>
        <v>7856.8173999999999</v>
      </c>
      <c r="N85" s="65">
        <f ca="1">VLOOKUP($A85,INDIRECT($P$2),COLUMN()-1,FALSE)*VLOOKUP($A85,Usinas!$C:$D,2,FALSE)</f>
        <v>8629.3647999999994</v>
      </c>
      <c r="O85" s="65">
        <f ca="1">VLOOKUP($A85,INDIRECT($P$2),COLUMN()-1,FALSE)*VLOOKUP($A85,Usinas!$C:$D,2,FALSE)</f>
        <v>11364.8238</v>
      </c>
    </row>
    <row r="86" spans="1:15" hidden="1" outlineLevel="1" x14ac:dyDescent="0.25">
      <c r="A86" s="18"/>
      <c r="B86" s="19" t="s">
        <v>56</v>
      </c>
      <c r="D86" s="66">
        <f t="shared" ref="D86:I86" ca="1" si="11">SUM(D84:D85)</f>
        <v>17121.722099999999</v>
      </c>
      <c r="E86" s="49">
        <f t="shared" ca="1" si="11"/>
        <v>18674.383099999999</v>
      </c>
      <c r="F86" s="49">
        <f t="shared" ca="1" si="11"/>
        <v>17407.363099999999</v>
      </c>
      <c r="G86" s="49">
        <f t="shared" ca="1" si="11"/>
        <v>13780.776099999999</v>
      </c>
      <c r="H86" s="49">
        <f t="shared" ca="1" si="11"/>
        <v>10906.8056</v>
      </c>
      <c r="I86" s="67">
        <f t="shared" ca="1" si="11"/>
        <v>10037.831699999999</v>
      </c>
      <c r="J86" s="66">
        <f t="shared" ref="J86:O86" ca="1" si="12">SUM(J84:J85)</f>
        <v>8475.2816000000003</v>
      </c>
      <c r="K86" s="49">
        <f t="shared" ca="1" si="12"/>
        <v>7132.8384000000005</v>
      </c>
      <c r="L86" s="49">
        <f t="shared" ca="1" si="12"/>
        <v>7151.2721999999994</v>
      </c>
      <c r="M86" s="49">
        <f t="shared" ca="1" si="12"/>
        <v>8549.2945</v>
      </c>
      <c r="N86" s="49">
        <f t="shared" ca="1" si="12"/>
        <v>9495.9567999999999</v>
      </c>
      <c r="O86" s="67">
        <f t="shared" ca="1" si="12"/>
        <v>12657.8619</v>
      </c>
    </row>
    <row r="87" spans="1:15" hidden="1" outlineLevel="1" x14ac:dyDescent="0.25">
      <c r="A87" s="20"/>
      <c r="B87" s="21" t="s">
        <v>0</v>
      </c>
      <c r="D87" s="68"/>
      <c r="E87" s="69"/>
      <c r="F87" s="69"/>
      <c r="G87" s="69"/>
      <c r="H87" s="69"/>
      <c r="I87" s="70"/>
      <c r="J87" s="68"/>
      <c r="K87" s="69"/>
      <c r="L87" s="69"/>
      <c r="M87" s="69"/>
      <c r="N87" s="69"/>
      <c r="O87" s="70"/>
    </row>
    <row r="88" spans="1:15" hidden="1" outlineLevel="1" x14ac:dyDescent="0.25">
      <c r="A88" s="1"/>
      <c r="B88" s="133"/>
      <c r="D88" s="50"/>
      <c r="E88" s="51"/>
      <c r="F88" s="51"/>
      <c r="G88" s="51"/>
      <c r="H88" s="51"/>
      <c r="I88" s="51"/>
      <c r="J88" s="50"/>
      <c r="K88" s="51"/>
      <c r="L88" s="51"/>
      <c r="M88" s="51"/>
      <c r="N88" s="51"/>
      <c r="O88" s="51"/>
    </row>
    <row r="89" spans="1:15" hidden="1" outlineLevel="1" x14ac:dyDescent="0.25">
      <c r="A89" s="63"/>
      <c r="B89" s="64"/>
      <c r="D89" s="329" t="s">
        <v>108</v>
      </c>
      <c r="E89" s="330" t="s">
        <v>58</v>
      </c>
      <c r="F89" s="330" t="s">
        <v>109</v>
      </c>
      <c r="G89" s="330"/>
      <c r="H89" s="330"/>
      <c r="I89" s="331"/>
      <c r="J89" s="329" t="s">
        <v>108</v>
      </c>
      <c r="K89" s="330" t="s">
        <v>58</v>
      </c>
      <c r="L89" s="330" t="s">
        <v>109</v>
      </c>
      <c r="M89" s="330"/>
      <c r="N89" s="330"/>
      <c r="O89" s="331"/>
    </row>
    <row r="90" spans="1:15" hidden="1" outlineLevel="2" x14ac:dyDescent="0.25">
      <c r="A90" s="61">
        <v>120</v>
      </c>
      <c r="B90" s="62" t="s">
        <v>110</v>
      </c>
      <c r="D90" s="65">
        <f ca="1">VLOOKUP($A90,INDIRECT($P$2),COLUMN()-1,FALSE)*VLOOKUP($A90,Usinas!$C:$D,2,FALSE)</f>
        <v>22.707000000000001</v>
      </c>
      <c r="E90" s="65">
        <f ca="1">VLOOKUP($A90,INDIRECT($P$2),COLUMN()-1,FALSE)*VLOOKUP($A90,Usinas!$C:$D,2,FALSE)</f>
        <v>24.220800000000004</v>
      </c>
      <c r="F90" s="65">
        <f ca="1">VLOOKUP($A90,INDIRECT($P$2),COLUMN()-1,FALSE)*VLOOKUP($A90,Usinas!$C:$D,2,FALSE)</f>
        <v>23.211600000000001</v>
      </c>
      <c r="G90" s="65">
        <f ca="1">VLOOKUP($A90,INDIRECT($P$2),COLUMN()-1,FALSE)*VLOOKUP($A90,Usinas!$C:$D,2,FALSE)</f>
        <v>17.156400000000001</v>
      </c>
      <c r="H90" s="65">
        <f ca="1">VLOOKUP($A90,INDIRECT($P$2),COLUMN()-1,FALSE)*VLOOKUP($A90,Usinas!$C:$D,2,FALSE)</f>
        <v>13.624200000000002</v>
      </c>
      <c r="I90" s="65">
        <f ca="1">VLOOKUP($A90,INDIRECT($P$2),COLUMN()-1,FALSE)*VLOOKUP($A90,Usinas!$C:$D,2,FALSE)</f>
        <v>12.110400000000002</v>
      </c>
      <c r="J90" s="65">
        <f ca="1">VLOOKUP($A90,INDIRECT($P$2),COLUMN()-1,FALSE)*VLOOKUP($A90,Usinas!$C:$D,2,FALSE)</f>
        <v>10.092000000000001</v>
      </c>
      <c r="K90" s="65">
        <f ca="1">VLOOKUP($A90,INDIRECT($P$2),COLUMN()-1,FALSE)*VLOOKUP($A90,Usinas!$C:$D,2,FALSE)</f>
        <v>8.5782000000000007</v>
      </c>
      <c r="L90" s="65">
        <f ca="1">VLOOKUP($A90,INDIRECT($P$2),COLUMN()-1,FALSE)*VLOOKUP($A90,Usinas!$C:$D,2,FALSE)</f>
        <v>9.0828000000000007</v>
      </c>
      <c r="M90" s="65">
        <f ca="1">VLOOKUP($A90,INDIRECT($P$2),COLUMN()-1,FALSE)*VLOOKUP($A90,Usinas!$C:$D,2,FALSE)</f>
        <v>10.092000000000001</v>
      </c>
      <c r="N90" s="65">
        <f ca="1">VLOOKUP($A90,INDIRECT($P$2),COLUMN()-1,FALSE)*VLOOKUP($A90,Usinas!$C:$D,2,FALSE)</f>
        <v>12.110400000000002</v>
      </c>
      <c r="O90" s="65">
        <f ca="1">VLOOKUP($A90,INDIRECT($P$2),COLUMN()-1,FALSE)*VLOOKUP($A90,Usinas!$C:$D,2,FALSE)</f>
        <v>17.156400000000001</v>
      </c>
    </row>
    <row r="91" spans="1:15" hidden="1" outlineLevel="2" x14ac:dyDescent="0.25">
      <c r="A91" s="61">
        <v>121</v>
      </c>
      <c r="B91" s="62" t="s">
        <v>111</v>
      </c>
      <c r="D91" s="65">
        <f ca="1">VLOOKUP($A91,INDIRECT($P$2),COLUMN()-1,FALSE)*VLOOKUP($A91,Usinas!$C:$D,2,FALSE)</f>
        <v>74.932100000000005</v>
      </c>
      <c r="E91" s="65">
        <f ca="1">VLOOKUP($A91,INDIRECT($P$2),COLUMN()-1,FALSE)*VLOOKUP($A91,Usinas!$C:$D,2,FALSE)</f>
        <v>79.133899999999997</v>
      </c>
      <c r="F91" s="65">
        <f ca="1">VLOOKUP($A91,INDIRECT($P$2),COLUMN()-1,FALSE)*VLOOKUP($A91,Usinas!$C:$D,2,FALSE)</f>
        <v>72.130899999999997</v>
      </c>
      <c r="G91" s="65">
        <f ca="1">VLOOKUP($A91,INDIRECT($P$2),COLUMN()-1,FALSE)*VLOOKUP($A91,Usinas!$C:$D,2,FALSE)</f>
        <v>56.024000000000001</v>
      </c>
      <c r="H91" s="65">
        <f ca="1">VLOOKUP($A91,INDIRECT($P$2),COLUMN()-1,FALSE)*VLOOKUP($A91,Usinas!$C:$D,2,FALSE)</f>
        <v>43.418600000000005</v>
      </c>
      <c r="I91" s="65">
        <f ca="1">VLOOKUP($A91,INDIRECT($P$2),COLUMN()-1,FALSE)*VLOOKUP($A91,Usinas!$C:$D,2,FALSE)</f>
        <v>38.516500000000001</v>
      </c>
      <c r="J91" s="65">
        <f ca="1">VLOOKUP($A91,INDIRECT($P$2),COLUMN()-1,FALSE)*VLOOKUP($A91,Usinas!$C:$D,2,FALSE)</f>
        <v>33.614400000000003</v>
      </c>
      <c r="K91" s="65">
        <f ca="1">VLOOKUP($A91,INDIRECT($P$2),COLUMN()-1,FALSE)*VLOOKUP($A91,Usinas!$C:$D,2,FALSE)</f>
        <v>29.412600000000001</v>
      </c>
      <c r="L91" s="65">
        <f ca="1">VLOOKUP($A91,INDIRECT($P$2),COLUMN()-1,FALSE)*VLOOKUP($A91,Usinas!$C:$D,2,FALSE)</f>
        <v>31.513500000000001</v>
      </c>
      <c r="M91" s="65">
        <f ca="1">VLOOKUP($A91,INDIRECT($P$2),COLUMN()-1,FALSE)*VLOOKUP($A91,Usinas!$C:$D,2,FALSE)</f>
        <v>35.715299999999999</v>
      </c>
      <c r="N91" s="65">
        <f ca="1">VLOOKUP($A91,INDIRECT($P$2),COLUMN()-1,FALSE)*VLOOKUP($A91,Usinas!$C:$D,2,FALSE)</f>
        <v>41.317700000000002</v>
      </c>
      <c r="O91" s="65">
        <f ca="1">VLOOKUP($A91,INDIRECT($P$2),COLUMN()-1,FALSE)*VLOOKUP($A91,Usinas!$C:$D,2,FALSE)</f>
        <v>56.024000000000001</v>
      </c>
    </row>
    <row r="92" spans="1:15" hidden="1" outlineLevel="2" x14ac:dyDescent="0.25">
      <c r="A92" s="61">
        <v>122</v>
      </c>
      <c r="B92" s="62" t="s">
        <v>112</v>
      </c>
      <c r="D92" s="65">
        <f ca="1">VLOOKUP($A92,INDIRECT($P$2),COLUMN()-1,FALSE)*VLOOKUP($A92,Usinas!$C:$D,2,FALSE)</f>
        <v>42.6404</v>
      </c>
      <c r="E92" s="65">
        <f ca="1">VLOOKUP($A92,INDIRECT($P$2),COLUMN()-1,FALSE)*VLOOKUP($A92,Usinas!$C:$D,2,FALSE)</f>
        <v>45.811999999999998</v>
      </c>
      <c r="F92" s="65">
        <f ca="1">VLOOKUP($A92,INDIRECT($P$2),COLUMN()-1,FALSE)*VLOOKUP($A92,Usinas!$C:$D,2,FALSE)</f>
        <v>41.230800000000002</v>
      </c>
      <c r="G92" s="65">
        <f ca="1">VLOOKUP($A92,INDIRECT($P$2),COLUMN()-1,FALSE)*VLOOKUP($A92,Usinas!$C:$D,2,FALSE)</f>
        <v>32.068399999999997</v>
      </c>
      <c r="H92" s="65">
        <f ca="1">VLOOKUP($A92,INDIRECT($P$2),COLUMN()-1,FALSE)*VLOOKUP($A92,Usinas!$C:$D,2,FALSE)</f>
        <v>25.020399999999999</v>
      </c>
      <c r="I92" s="65">
        <f ca="1">VLOOKUP($A92,INDIRECT($P$2),COLUMN()-1,FALSE)*VLOOKUP($A92,Usinas!$C:$D,2,FALSE)</f>
        <v>22.2012</v>
      </c>
      <c r="J92" s="65">
        <f ca="1">VLOOKUP($A92,INDIRECT($P$2),COLUMN()-1,FALSE)*VLOOKUP($A92,Usinas!$C:$D,2,FALSE)</f>
        <v>19.381999999999998</v>
      </c>
      <c r="K92" s="65">
        <f ca="1">VLOOKUP($A92,INDIRECT($P$2),COLUMN()-1,FALSE)*VLOOKUP($A92,Usinas!$C:$D,2,FALSE)</f>
        <v>16.915199999999999</v>
      </c>
      <c r="L92" s="65">
        <f ca="1">VLOOKUP($A92,INDIRECT($P$2),COLUMN()-1,FALSE)*VLOOKUP($A92,Usinas!$C:$D,2,FALSE)</f>
        <v>18.3248</v>
      </c>
      <c r="M92" s="65">
        <f ca="1">VLOOKUP($A92,INDIRECT($P$2),COLUMN()-1,FALSE)*VLOOKUP($A92,Usinas!$C:$D,2,FALSE)</f>
        <v>20.4392</v>
      </c>
      <c r="N92" s="65">
        <f ca="1">VLOOKUP($A92,INDIRECT($P$2),COLUMN()-1,FALSE)*VLOOKUP($A92,Usinas!$C:$D,2,FALSE)</f>
        <v>23.610800000000001</v>
      </c>
      <c r="O92" s="65">
        <f ca="1">VLOOKUP($A92,INDIRECT($P$2),COLUMN()-1,FALSE)*VLOOKUP($A92,Usinas!$C:$D,2,FALSE)</f>
        <v>31.715999999999998</v>
      </c>
    </row>
    <row r="93" spans="1:15" hidden="1" outlineLevel="2" x14ac:dyDescent="0.25">
      <c r="A93" s="61">
        <v>123</v>
      </c>
      <c r="B93" s="62" t="s">
        <v>113</v>
      </c>
      <c r="D93" s="65">
        <f ca="1">VLOOKUP($A93,INDIRECT($P$2),COLUMN()-1,FALSE)*VLOOKUP($A93,Usinas!$C:$D,2,FALSE)</f>
        <v>203.49139999999997</v>
      </c>
      <c r="E93" s="65">
        <f ca="1">VLOOKUP($A93,INDIRECT($P$2),COLUMN()-1,FALSE)*VLOOKUP($A93,Usinas!$C:$D,2,FALSE)</f>
        <v>215.21079999999998</v>
      </c>
      <c r="F93" s="65">
        <f ca="1">VLOOKUP($A93,INDIRECT($P$2),COLUMN()-1,FALSE)*VLOOKUP($A93,Usinas!$C:$D,2,FALSE)</f>
        <v>206.68759999999997</v>
      </c>
      <c r="G93" s="65">
        <f ca="1">VLOOKUP($A93,INDIRECT($P$2),COLUMN()-1,FALSE)*VLOOKUP($A93,Usinas!$C:$D,2,FALSE)</f>
        <v>147.55789999999999</v>
      </c>
      <c r="H93" s="65">
        <f ca="1">VLOOKUP($A93,INDIRECT($P$2),COLUMN()-1,FALSE)*VLOOKUP($A93,Usinas!$C:$D,2,FALSE)</f>
        <v>102.8111</v>
      </c>
      <c r="I93" s="65">
        <f ca="1">VLOOKUP($A93,INDIRECT($P$2),COLUMN()-1,FALSE)*VLOOKUP($A93,Usinas!$C:$D,2,FALSE)</f>
        <v>88.960899999999995</v>
      </c>
      <c r="J93" s="65">
        <f ca="1">VLOOKUP($A93,INDIRECT($P$2),COLUMN()-1,FALSE)*VLOOKUP($A93,Usinas!$C:$D,2,FALSE)</f>
        <v>75.6434</v>
      </c>
      <c r="K93" s="65">
        <f ca="1">VLOOKUP($A93,INDIRECT($P$2),COLUMN()-1,FALSE)*VLOOKUP($A93,Usinas!$C:$D,2,FALSE)</f>
        <v>64.456699999999998</v>
      </c>
      <c r="L93" s="65">
        <f ca="1">VLOOKUP($A93,INDIRECT($P$2),COLUMN()-1,FALSE)*VLOOKUP($A93,Usinas!$C:$D,2,FALSE)</f>
        <v>67.120199999999997</v>
      </c>
      <c r="M93" s="65">
        <f ca="1">VLOOKUP($A93,INDIRECT($P$2),COLUMN()-1,FALSE)*VLOOKUP($A93,Usinas!$C:$D,2,FALSE)</f>
        <v>79.904999999999987</v>
      </c>
      <c r="N93" s="65">
        <f ca="1">VLOOKUP($A93,INDIRECT($P$2),COLUMN()-1,FALSE)*VLOOKUP($A93,Usinas!$C:$D,2,FALSE)</f>
        <v>99.614899999999992</v>
      </c>
      <c r="O93" s="65">
        <f ca="1">VLOOKUP($A93,INDIRECT($P$2),COLUMN()-1,FALSE)*VLOOKUP($A93,Usinas!$C:$D,2,FALSE)</f>
        <v>143.82899999999998</v>
      </c>
    </row>
    <row r="94" spans="1:15" hidden="1" outlineLevel="2" x14ac:dyDescent="0.25">
      <c r="A94" s="61">
        <v>197</v>
      </c>
      <c r="B94" s="62" t="s">
        <v>114</v>
      </c>
      <c r="D94" s="65">
        <f ca="1">VLOOKUP($A94,INDIRECT($P$2),COLUMN()-1,FALSE)*VLOOKUP($A94,Usinas!$C:$D,2,FALSE)</f>
        <v>71.850999999999999</v>
      </c>
      <c r="E94" s="65">
        <f ca="1">VLOOKUP($A94,INDIRECT($P$2),COLUMN()-1,FALSE)*VLOOKUP($A94,Usinas!$C:$D,2,FALSE)</f>
        <v>70.745599999999996</v>
      </c>
      <c r="F94" s="65">
        <f ca="1">VLOOKUP($A94,INDIRECT($P$2),COLUMN()-1,FALSE)*VLOOKUP($A94,Usinas!$C:$D,2,FALSE)</f>
        <v>64.113199999999992</v>
      </c>
      <c r="G94" s="65">
        <f ca="1">VLOOKUP($A94,INDIRECT($P$2),COLUMN()-1,FALSE)*VLOOKUP($A94,Usinas!$C:$D,2,FALSE)</f>
        <v>47.532199999999996</v>
      </c>
      <c r="H94" s="65">
        <f ca="1">VLOOKUP($A94,INDIRECT($P$2),COLUMN()-1,FALSE)*VLOOKUP($A94,Usinas!$C:$D,2,FALSE)</f>
        <v>36.478200000000001</v>
      </c>
      <c r="I94" s="65">
        <f ca="1">VLOOKUP($A94,INDIRECT($P$2),COLUMN()-1,FALSE)*VLOOKUP($A94,Usinas!$C:$D,2,FALSE)</f>
        <v>32.056599999999996</v>
      </c>
      <c r="J94" s="65">
        <f ca="1">VLOOKUP($A94,INDIRECT($P$2),COLUMN()-1,FALSE)*VLOOKUP($A94,Usinas!$C:$D,2,FALSE)</f>
        <v>27.634999999999998</v>
      </c>
      <c r="K94" s="65">
        <f ca="1">VLOOKUP($A94,INDIRECT($P$2),COLUMN()-1,FALSE)*VLOOKUP($A94,Usinas!$C:$D,2,FALSE)</f>
        <v>24.3188</v>
      </c>
      <c r="L94" s="65">
        <f ca="1">VLOOKUP($A94,INDIRECT($P$2),COLUMN()-1,FALSE)*VLOOKUP($A94,Usinas!$C:$D,2,FALSE)</f>
        <v>24.3188</v>
      </c>
      <c r="M94" s="65">
        <f ca="1">VLOOKUP($A94,INDIRECT($P$2),COLUMN()-1,FALSE)*VLOOKUP($A94,Usinas!$C:$D,2,FALSE)</f>
        <v>27.634999999999998</v>
      </c>
      <c r="N94" s="65">
        <f ca="1">VLOOKUP($A94,INDIRECT($P$2),COLUMN()-1,FALSE)*VLOOKUP($A94,Usinas!$C:$D,2,FALSE)</f>
        <v>37.583599999999997</v>
      </c>
      <c r="O94" s="65">
        <f ca="1">VLOOKUP($A94,INDIRECT($P$2),COLUMN()-1,FALSE)*VLOOKUP($A94,Usinas!$C:$D,2,FALSE)</f>
        <v>54.1646</v>
      </c>
    </row>
    <row r="95" spans="1:15" hidden="1" outlineLevel="2" x14ac:dyDescent="0.25">
      <c r="A95" s="61">
        <v>198</v>
      </c>
      <c r="B95" s="62" t="s">
        <v>115</v>
      </c>
      <c r="D95" s="65">
        <f ca="1">VLOOKUP($A95,INDIRECT($P$2),COLUMN()-1,FALSE)*VLOOKUP($A95,Usinas!$C:$D,2,FALSE)</f>
        <v>80.650800000000004</v>
      </c>
      <c r="E95" s="65">
        <f ca="1">VLOOKUP($A95,INDIRECT($P$2),COLUMN()-1,FALSE)*VLOOKUP($A95,Usinas!$C:$D,2,FALSE)</f>
        <v>78.149999999999991</v>
      </c>
      <c r="F95" s="65">
        <f ca="1">VLOOKUP($A95,INDIRECT($P$2),COLUMN()-1,FALSE)*VLOOKUP($A95,Usinas!$C:$D,2,FALSE)</f>
        <v>71.272800000000004</v>
      </c>
      <c r="G95" s="65">
        <f ca="1">VLOOKUP($A95,INDIRECT($P$2),COLUMN()-1,FALSE)*VLOOKUP($A95,Usinas!$C:$D,2,FALSE)</f>
        <v>52.516799999999996</v>
      </c>
      <c r="H95" s="65">
        <f ca="1">VLOOKUP($A95,INDIRECT($P$2),COLUMN()-1,FALSE)*VLOOKUP($A95,Usinas!$C:$D,2,FALSE)</f>
        <v>40.637999999999998</v>
      </c>
      <c r="I95" s="65">
        <f ca="1">VLOOKUP($A95,INDIRECT($P$2),COLUMN()-1,FALSE)*VLOOKUP($A95,Usinas!$C:$D,2,FALSE)</f>
        <v>35.011200000000002</v>
      </c>
      <c r="J95" s="65">
        <f ca="1">VLOOKUP($A95,INDIRECT($P$2),COLUMN()-1,FALSE)*VLOOKUP($A95,Usinas!$C:$D,2,FALSE)</f>
        <v>30.634799999999998</v>
      </c>
      <c r="K95" s="65">
        <f ca="1">VLOOKUP($A95,INDIRECT($P$2),COLUMN()-1,FALSE)*VLOOKUP($A95,Usinas!$C:$D,2,FALSE)</f>
        <v>27.508800000000001</v>
      </c>
      <c r="L95" s="65">
        <f ca="1">VLOOKUP($A95,INDIRECT($P$2),COLUMN()-1,FALSE)*VLOOKUP($A95,Usinas!$C:$D,2,FALSE)</f>
        <v>27.508800000000001</v>
      </c>
      <c r="M95" s="65">
        <f ca="1">VLOOKUP($A95,INDIRECT($P$2),COLUMN()-1,FALSE)*VLOOKUP($A95,Usinas!$C:$D,2,FALSE)</f>
        <v>31.885199999999998</v>
      </c>
      <c r="N95" s="65">
        <f ca="1">VLOOKUP($A95,INDIRECT($P$2),COLUMN()-1,FALSE)*VLOOKUP($A95,Usinas!$C:$D,2,FALSE)</f>
        <v>43.763999999999996</v>
      </c>
      <c r="O95" s="65">
        <f ca="1">VLOOKUP($A95,INDIRECT($P$2),COLUMN()-1,FALSE)*VLOOKUP($A95,Usinas!$C:$D,2,FALSE)</f>
        <v>63.770399999999995</v>
      </c>
    </row>
    <row r="96" spans="1:15" hidden="1" outlineLevel="2" x14ac:dyDescent="0.25">
      <c r="A96" s="61">
        <v>126</v>
      </c>
      <c r="B96" s="62" t="s">
        <v>116</v>
      </c>
      <c r="D96" s="65">
        <f ca="1">VLOOKUP($A96,INDIRECT($P$2),COLUMN()-1,FALSE)*VLOOKUP($A96,Usinas!$C:$D,2,FALSE)</f>
        <v>304.21999999999997</v>
      </c>
      <c r="E96" s="65">
        <f ca="1">VLOOKUP($A96,INDIRECT($P$2),COLUMN()-1,FALSE)*VLOOKUP($A96,Usinas!$C:$D,2,FALSE)</f>
        <v>303.29250000000002</v>
      </c>
      <c r="F96" s="65">
        <f ca="1">VLOOKUP($A96,INDIRECT($P$2),COLUMN()-1,FALSE)*VLOOKUP($A96,Usinas!$C:$D,2,FALSE)</f>
        <v>307.0025</v>
      </c>
      <c r="G96" s="65">
        <f ca="1">VLOOKUP($A96,INDIRECT($P$2),COLUMN()-1,FALSE)*VLOOKUP($A96,Usinas!$C:$D,2,FALSE)</f>
        <v>275.46749999999997</v>
      </c>
      <c r="H96" s="65">
        <f ca="1">VLOOKUP($A96,INDIRECT($P$2),COLUMN()-1,FALSE)*VLOOKUP($A96,Usinas!$C:$D,2,FALSE)</f>
        <v>202.19499999999999</v>
      </c>
      <c r="I96" s="65">
        <f ca="1">VLOOKUP($A96,INDIRECT($P$2),COLUMN()-1,FALSE)*VLOOKUP($A96,Usinas!$C:$D,2,FALSE)</f>
        <v>151.1825</v>
      </c>
      <c r="J96" s="65">
        <f ca="1">VLOOKUP($A96,INDIRECT($P$2),COLUMN()-1,FALSE)*VLOOKUP($A96,Usinas!$C:$D,2,FALSE)</f>
        <v>116.86499999999999</v>
      </c>
      <c r="K96" s="65">
        <f ca="1">VLOOKUP($A96,INDIRECT($P$2),COLUMN()-1,FALSE)*VLOOKUP($A96,Usinas!$C:$D,2,FALSE)</f>
        <v>87.185000000000002</v>
      </c>
      <c r="L96" s="65">
        <f ca="1">VLOOKUP($A96,INDIRECT($P$2),COLUMN()-1,FALSE)*VLOOKUP($A96,Usinas!$C:$D,2,FALSE)</f>
        <v>87.185000000000002</v>
      </c>
      <c r="M96" s="65">
        <f ca="1">VLOOKUP($A96,INDIRECT($P$2),COLUMN()-1,FALSE)*VLOOKUP($A96,Usinas!$C:$D,2,FALSE)</f>
        <v>120.575</v>
      </c>
      <c r="N96" s="65">
        <f ca="1">VLOOKUP($A96,INDIRECT($P$2),COLUMN()-1,FALSE)*VLOOKUP($A96,Usinas!$C:$D,2,FALSE)</f>
        <v>197.5575</v>
      </c>
      <c r="O96" s="65">
        <f ca="1">VLOOKUP($A96,INDIRECT($P$2),COLUMN()-1,FALSE)*VLOOKUP($A96,Usinas!$C:$D,2,FALSE)</f>
        <v>282.88749999999999</v>
      </c>
    </row>
    <row r="97" spans="1:15" hidden="1" outlineLevel="2" x14ac:dyDescent="0.25">
      <c r="A97" s="61">
        <v>303</v>
      </c>
      <c r="B97" s="62" t="s">
        <v>117</v>
      </c>
      <c r="D97" s="65">
        <f ca="1">VLOOKUP($A97,INDIRECT($P$2),COLUMN()-1,FALSE)*VLOOKUP($A97,Usinas!$C:$D,2,FALSE)</f>
        <v>116.357</v>
      </c>
      <c r="E97" s="65">
        <f ca="1">VLOOKUP($A97,INDIRECT($P$2),COLUMN()-1,FALSE)*VLOOKUP($A97,Usinas!$C:$D,2,FALSE)</f>
        <v>116.357</v>
      </c>
      <c r="F97" s="65">
        <f ca="1">VLOOKUP($A97,INDIRECT($P$2),COLUMN()-1,FALSE)*VLOOKUP($A97,Usinas!$C:$D,2,FALSE)</f>
        <v>116.357</v>
      </c>
      <c r="G97" s="65">
        <f ca="1">VLOOKUP($A97,INDIRECT($P$2),COLUMN()-1,FALSE)*VLOOKUP($A97,Usinas!$C:$D,2,FALSE)</f>
        <v>103.70950000000001</v>
      </c>
      <c r="H97" s="65">
        <f ca="1">VLOOKUP($A97,INDIRECT($P$2),COLUMN()-1,FALSE)*VLOOKUP($A97,Usinas!$C:$D,2,FALSE)</f>
        <v>70.826000000000008</v>
      </c>
      <c r="I97" s="65">
        <f ca="1">VLOOKUP($A97,INDIRECT($P$2),COLUMN()-1,FALSE)*VLOOKUP($A97,Usinas!$C:$D,2,FALSE)</f>
        <v>45.530999999999999</v>
      </c>
      <c r="J97" s="65">
        <f ca="1">VLOOKUP($A97,INDIRECT($P$2),COLUMN()-1,FALSE)*VLOOKUP($A97,Usinas!$C:$D,2,FALSE)</f>
        <v>30.353999999999999</v>
      </c>
      <c r="K97" s="65">
        <f ca="1">VLOOKUP($A97,INDIRECT($P$2),COLUMN()-1,FALSE)*VLOOKUP($A97,Usinas!$C:$D,2,FALSE)</f>
        <v>22.765499999999999</v>
      </c>
      <c r="L97" s="65">
        <f ca="1">VLOOKUP($A97,INDIRECT($P$2),COLUMN()-1,FALSE)*VLOOKUP($A97,Usinas!$C:$D,2,FALSE)</f>
        <v>25.295000000000002</v>
      </c>
      <c r="M97" s="65">
        <f ca="1">VLOOKUP($A97,INDIRECT($P$2),COLUMN()-1,FALSE)*VLOOKUP($A97,Usinas!$C:$D,2,FALSE)</f>
        <v>37.942500000000003</v>
      </c>
      <c r="N97" s="65">
        <f ca="1">VLOOKUP($A97,INDIRECT($P$2),COLUMN()-1,FALSE)*VLOOKUP($A97,Usinas!$C:$D,2,FALSE)</f>
        <v>65.766999999999996</v>
      </c>
      <c r="O97" s="65">
        <f ca="1">VLOOKUP($A97,INDIRECT($P$2),COLUMN()-1,FALSE)*VLOOKUP($A97,Usinas!$C:$D,2,FALSE)</f>
        <v>103.70950000000001</v>
      </c>
    </row>
    <row r="98" spans="1:15" hidden="1" outlineLevel="2" x14ac:dyDescent="0.25">
      <c r="A98" s="61">
        <v>131</v>
      </c>
      <c r="B98" s="62" t="s">
        <v>118</v>
      </c>
      <c r="D98" s="65">
        <f ca="1">VLOOKUP($A98,INDIRECT($P$2),COLUMN()-1,FALSE)*VLOOKUP($A98,Usinas!$C:$D,2,FALSE)</f>
        <v>379.15199999999999</v>
      </c>
      <c r="E98" s="65">
        <f ca="1">VLOOKUP($A98,INDIRECT($P$2),COLUMN()-1,FALSE)*VLOOKUP($A98,Usinas!$C:$D,2,FALSE)</f>
        <v>376.51900000000001</v>
      </c>
      <c r="F98" s="65">
        <f ca="1">VLOOKUP($A98,INDIRECT($P$2),COLUMN()-1,FALSE)*VLOOKUP($A98,Usinas!$C:$D,2,FALSE)</f>
        <v>379.15199999999999</v>
      </c>
      <c r="G98" s="65">
        <f ca="1">VLOOKUP($A98,INDIRECT($P$2),COLUMN()-1,FALSE)*VLOOKUP($A98,Usinas!$C:$D,2,FALSE)</f>
        <v>376.51900000000001</v>
      </c>
      <c r="H98" s="65">
        <f ca="1">VLOOKUP($A98,INDIRECT($P$2),COLUMN()-1,FALSE)*VLOOKUP($A98,Usinas!$C:$D,2,FALSE)</f>
        <v>355.45499999999998</v>
      </c>
      <c r="I98" s="65">
        <f ca="1">VLOOKUP($A98,INDIRECT($P$2),COLUMN()-1,FALSE)*VLOOKUP($A98,Usinas!$C:$D,2,FALSE)</f>
        <v>321.226</v>
      </c>
      <c r="J98" s="65">
        <f ca="1">VLOOKUP($A98,INDIRECT($P$2),COLUMN()-1,FALSE)*VLOOKUP($A98,Usinas!$C:$D,2,FALSE)</f>
        <v>289.63</v>
      </c>
      <c r="K98" s="65">
        <f ca="1">VLOOKUP($A98,INDIRECT($P$2),COLUMN()-1,FALSE)*VLOOKUP($A98,Usinas!$C:$D,2,FALSE)</f>
        <v>252.768</v>
      </c>
      <c r="L98" s="65">
        <f ca="1">VLOOKUP($A98,INDIRECT($P$2),COLUMN()-1,FALSE)*VLOOKUP($A98,Usinas!$C:$D,2,FALSE)</f>
        <v>255.40100000000001</v>
      </c>
      <c r="M98" s="65">
        <f ca="1">VLOOKUP($A98,INDIRECT($P$2),COLUMN()-1,FALSE)*VLOOKUP($A98,Usinas!$C:$D,2,FALSE)</f>
        <v>294.89600000000002</v>
      </c>
      <c r="N98" s="65">
        <f ca="1">VLOOKUP($A98,INDIRECT($P$2),COLUMN()-1,FALSE)*VLOOKUP($A98,Usinas!$C:$D,2,FALSE)</f>
        <v>344.923</v>
      </c>
      <c r="O98" s="65">
        <f ca="1">VLOOKUP($A98,INDIRECT($P$2),COLUMN()-1,FALSE)*VLOOKUP($A98,Usinas!$C:$D,2,FALSE)</f>
        <v>373.88600000000002</v>
      </c>
    </row>
    <row r="99" spans="1:15" hidden="1" outlineLevel="2" x14ac:dyDescent="0.25">
      <c r="A99" s="61">
        <v>306</v>
      </c>
      <c r="B99" s="62" t="s">
        <v>119</v>
      </c>
      <c r="D99" s="65">
        <f ca="1">VLOOKUP($A99,INDIRECT($P$2),COLUMN()-1,FALSE)*VLOOKUP($A99,Usinas!$C:$D,2,FALSE)</f>
        <v>59.660000000000004</v>
      </c>
      <c r="E99" s="65">
        <f ca="1">VLOOKUP($A99,INDIRECT($P$2),COLUMN()-1,FALSE)*VLOOKUP($A99,Usinas!$C:$D,2,FALSE)</f>
        <v>59.346000000000004</v>
      </c>
      <c r="F99" s="65">
        <f ca="1">VLOOKUP($A99,INDIRECT($P$2),COLUMN()-1,FALSE)*VLOOKUP($A99,Usinas!$C:$D,2,FALSE)</f>
        <v>59.660000000000004</v>
      </c>
      <c r="G99" s="65">
        <f ca="1">VLOOKUP($A99,INDIRECT($P$2),COLUMN()-1,FALSE)*VLOOKUP($A99,Usinas!$C:$D,2,FALSE)</f>
        <v>57.776000000000003</v>
      </c>
      <c r="H99" s="65">
        <f ca="1">VLOOKUP($A99,INDIRECT($P$2),COLUMN()-1,FALSE)*VLOOKUP($A99,Usinas!$C:$D,2,FALSE)</f>
        <v>51.182000000000002</v>
      </c>
      <c r="I99" s="65">
        <f ca="1">VLOOKUP($A99,INDIRECT($P$2),COLUMN()-1,FALSE)*VLOOKUP($A99,Usinas!$C:$D,2,FALSE)</f>
        <v>43.96</v>
      </c>
      <c r="J99" s="65">
        <f ca="1">VLOOKUP($A99,INDIRECT($P$2),COLUMN()-1,FALSE)*VLOOKUP($A99,Usinas!$C:$D,2,FALSE)</f>
        <v>38.308</v>
      </c>
      <c r="K99" s="65">
        <f ca="1">VLOOKUP($A99,INDIRECT($P$2),COLUMN()-1,FALSE)*VLOOKUP($A99,Usinas!$C:$D,2,FALSE)</f>
        <v>33.283999999999999</v>
      </c>
      <c r="L99" s="65">
        <f ca="1">VLOOKUP($A99,INDIRECT($P$2),COLUMN()-1,FALSE)*VLOOKUP($A99,Usinas!$C:$D,2,FALSE)</f>
        <v>33.597999999999999</v>
      </c>
      <c r="M99" s="65">
        <f ca="1">VLOOKUP($A99,INDIRECT($P$2),COLUMN()-1,FALSE)*VLOOKUP($A99,Usinas!$C:$D,2,FALSE)</f>
        <v>39.878</v>
      </c>
      <c r="N99" s="65">
        <f ca="1">VLOOKUP($A99,INDIRECT($P$2),COLUMN()-1,FALSE)*VLOOKUP($A99,Usinas!$C:$D,2,FALSE)</f>
        <v>49.298000000000002</v>
      </c>
      <c r="O99" s="65">
        <f ca="1">VLOOKUP($A99,INDIRECT($P$2),COLUMN()-1,FALSE)*VLOOKUP($A99,Usinas!$C:$D,2,FALSE)</f>
        <v>57.462000000000003</v>
      </c>
    </row>
    <row r="100" spans="1:15" hidden="1" outlineLevel="2" x14ac:dyDescent="0.25">
      <c r="A100" s="61">
        <v>299</v>
      </c>
      <c r="B100" s="62" t="s">
        <v>120</v>
      </c>
      <c r="D100" s="65">
        <f ca="1">VLOOKUP($A100,INDIRECT($P$2),COLUMN()-1,FALSE)*VLOOKUP($A100,Usinas!$C:$D,2,FALSE)</f>
        <v>230.07319999999999</v>
      </c>
      <c r="E100" s="65">
        <f ca="1">VLOOKUP($A100,INDIRECT($P$2),COLUMN()-1,FALSE)*VLOOKUP($A100,Usinas!$C:$D,2,FALSE)</f>
        <v>230.84959999999998</v>
      </c>
      <c r="F100" s="65">
        <f ca="1">VLOOKUP($A100,INDIRECT($P$2),COLUMN()-1,FALSE)*VLOOKUP($A100,Usinas!$C:$D,2,FALSE)</f>
        <v>212.73359999999997</v>
      </c>
      <c r="G100" s="65">
        <f ca="1">VLOOKUP($A100,INDIRECT($P$2),COLUMN()-1,FALSE)*VLOOKUP($A100,Usinas!$C:$D,2,FALSE)</f>
        <v>142.59879999999998</v>
      </c>
      <c r="H100" s="65">
        <f ca="1">VLOOKUP($A100,INDIRECT($P$2),COLUMN()-1,FALSE)*VLOOKUP($A100,Usinas!$C:$D,2,FALSE)</f>
        <v>93.685599999999994</v>
      </c>
      <c r="I100" s="65">
        <f ca="1">VLOOKUP($A100,INDIRECT($P$2),COLUMN()-1,FALSE)*VLOOKUP($A100,Usinas!$C:$D,2,FALSE)</f>
        <v>77.898799999999994</v>
      </c>
      <c r="J100" s="65">
        <f ca="1">VLOOKUP($A100,INDIRECT($P$2),COLUMN()-1,FALSE)*VLOOKUP($A100,Usinas!$C:$D,2,FALSE)</f>
        <v>64.699999999999989</v>
      </c>
      <c r="K100" s="65">
        <f ca="1">VLOOKUP($A100,INDIRECT($P$2),COLUMN()-1,FALSE)*VLOOKUP($A100,Usinas!$C:$D,2,FALSE)</f>
        <v>54.865599999999993</v>
      </c>
      <c r="L100" s="65">
        <f ca="1">VLOOKUP($A100,INDIRECT($P$2),COLUMN()-1,FALSE)*VLOOKUP($A100,Usinas!$C:$D,2,FALSE)</f>
        <v>56.159599999999998</v>
      </c>
      <c r="M100" s="65">
        <f ca="1">VLOOKUP($A100,INDIRECT($P$2),COLUMN()-1,FALSE)*VLOOKUP($A100,Usinas!$C:$D,2,FALSE)</f>
        <v>67.029199999999989</v>
      </c>
      <c r="N100" s="65">
        <f ca="1">VLOOKUP($A100,INDIRECT($P$2),COLUMN()-1,FALSE)*VLOOKUP($A100,Usinas!$C:$D,2,FALSE)</f>
        <v>94.979599999999991</v>
      </c>
      <c r="O100" s="65">
        <f ca="1">VLOOKUP($A100,INDIRECT($P$2),COLUMN()-1,FALSE)*VLOOKUP($A100,Usinas!$C:$D,2,FALSE)</f>
        <v>155.79759999999999</v>
      </c>
    </row>
    <row r="101" spans="1:15" hidden="1" outlineLevel="1" x14ac:dyDescent="0.25">
      <c r="A101" s="18"/>
      <c r="B101" s="19" t="s">
        <v>56</v>
      </c>
      <c r="D101" s="66">
        <f t="shared" ref="D101:I101" ca="1" si="13">SUM(D90:D100)</f>
        <v>1585.7349000000002</v>
      </c>
      <c r="E101" s="49">
        <f t="shared" ca="1" si="13"/>
        <v>1599.6371999999999</v>
      </c>
      <c r="F101" s="49">
        <f t="shared" ca="1" si="13"/>
        <v>1553.5520000000001</v>
      </c>
      <c r="G101" s="49">
        <f t="shared" ca="1" si="13"/>
        <v>1308.9265</v>
      </c>
      <c r="H101" s="49">
        <f t="shared" ca="1" si="13"/>
        <v>1035.3341</v>
      </c>
      <c r="I101" s="67">
        <f t="shared" ca="1" si="13"/>
        <v>868.65509999999995</v>
      </c>
      <c r="J101" s="66">
        <f t="shared" ref="J101:O101" ca="1" si="14">SUM(J90:J100)</f>
        <v>736.85860000000002</v>
      </c>
      <c r="K101" s="49">
        <f t="shared" ca="1" si="14"/>
        <v>622.05840000000001</v>
      </c>
      <c r="L101" s="49">
        <f t="shared" ca="1" si="14"/>
        <v>635.50749999999994</v>
      </c>
      <c r="M101" s="49">
        <f t="shared" ca="1" si="14"/>
        <v>765.99239999999998</v>
      </c>
      <c r="N101" s="49">
        <f t="shared" ca="1" si="14"/>
        <v>1010.5265000000001</v>
      </c>
      <c r="O101" s="67">
        <f t="shared" ca="1" si="14"/>
        <v>1340.4030000000002</v>
      </c>
    </row>
    <row r="102" spans="1:15" hidden="1" outlineLevel="1" x14ac:dyDescent="0.25">
      <c r="A102" s="20"/>
      <c r="B102" s="21" t="s">
        <v>0</v>
      </c>
      <c r="D102" s="68"/>
      <c r="E102" s="69"/>
      <c r="F102" s="69"/>
      <c r="G102" s="69"/>
      <c r="H102" s="69"/>
      <c r="I102" s="70"/>
      <c r="J102" s="68"/>
      <c r="K102" s="69"/>
      <c r="L102" s="69"/>
      <c r="M102" s="69"/>
      <c r="N102" s="69"/>
      <c r="O102" s="70"/>
    </row>
    <row r="103" spans="1:15" hidden="1" outlineLevel="1" x14ac:dyDescent="0.25">
      <c r="A103" s="1"/>
      <c r="B103" s="133"/>
      <c r="D103" s="50"/>
      <c r="E103" s="51"/>
      <c r="F103" s="51"/>
      <c r="G103" s="51"/>
      <c r="H103" s="51"/>
      <c r="I103" s="51"/>
      <c r="J103" s="50"/>
      <c r="K103" s="51"/>
      <c r="L103" s="51"/>
      <c r="M103" s="51"/>
      <c r="N103" s="51"/>
      <c r="O103" s="51"/>
    </row>
    <row r="104" spans="1:15" hidden="1" outlineLevel="1" x14ac:dyDescent="0.25">
      <c r="A104" s="63"/>
      <c r="B104" s="64"/>
      <c r="D104" s="329" t="s">
        <v>121</v>
      </c>
      <c r="E104" s="330" t="s">
        <v>58</v>
      </c>
      <c r="F104" s="330" t="s">
        <v>109</v>
      </c>
      <c r="G104" s="330"/>
      <c r="H104" s="330"/>
      <c r="I104" s="331"/>
      <c r="J104" s="329" t="s">
        <v>121</v>
      </c>
      <c r="K104" s="330" t="s">
        <v>58</v>
      </c>
      <c r="L104" s="330" t="s">
        <v>109</v>
      </c>
      <c r="M104" s="330"/>
      <c r="N104" s="330"/>
      <c r="O104" s="331"/>
    </row>
    <row r="105" spans="1:15" hidden="1" outlineLevel="2" x14ac:dyDescent="0.25">
      <c r="A105" s="61">
        <v>196</v>
      </c>
      <c r="B105" s="62" t="s">
        <v>122</v>
      </c>
      <c r="D105" s="65">
        <f ca="1">VLOOKUP($A105,INDIRECT($P$2),COLUMN()-1,FALSE)*VLOOKUP($A105,Usinas!$C:$D,2,FALSE)</f>
        <v>106.78500000000001</v>
      </c>
      <c r="E105" s="65">
        <f ca="1">VLOOKUP($A105,INDIRECT($P$2),COLUMN()-1,FALSE)*VLOOKUP($A105,Usinas!$C:$D,2,FALSE)</f>
        <v>79.665000000000006</v>
      </c>
      <c r="F105" s="65">
        <f ca="1">VLOOKUP($A105,INDIRECT($P$2),COLUMN()-1,FALSE)*VLOOKUP($A105,Usinas!$C:$D,2,FALSE)</f>
        <v>77.97</v>
      </c>
      <c r="G105" s="65">
        <f ca="1">VLOOKUP($A105,INDIRECT($P$2),COLUMN()-1,FALSE)*VLOOKUP($A105,Usinas!$C:$D,2,FALSE)</f>
        <v>62.715000000000003</v>
      </c>
      <c r="H105" s="65">
        <f ca="1">VLOOKUP($A105,INDIRECT($P$2),COLUMN()-1,FALSE)*VLOOKUP($A105,Usinas!$C:$D,2,FALSE)</f>
        <v>44.07</v>
      </c>
      <c r="I105" s="65">
        <f ca="1">VLOOKUP($A105,INDIRECT($P$2),COLUMN()-1,FALSE)*VLOOKUP($A105,Usinas!$C:$D,2,FALSE)</f>
        <v>33.9</v>
      </c>
      <c r="J105" s="65">
        <f ca="1">VLOOKUP($A105,INDIRECT($P$2),COLUMN()-1,FALSE)*VLOOKUP($A105,Usinas!$C:$D,2,FALSE)</f>
        <v>30.51</v>
      </c>
      <c r="K105" s="65">
        <f ca="1">VLOOKUP($A105,INDIRECT($P$2),COLUMN()-1,FALSE)*VLOOKUP($A105,Usinas!$C:$D,2,FALSE)</f>
        <v>25.425000000000001</v>
      </c>
      <c r="L105" s="65">
        <f ca="1">VLOOKUP($A105,INDIRECT($P$2),COLUMN()-1,FALSE)*VLOOKUP($A105,Usinas!$C:$D,2,FALSE)</f>
        <v>25.425000000000001</v>
      </c>
      <c r="M105" s="65">
        <f ca="1">VLOOKUP($A105,INDIRECT($P$2),COLUMN()-1,FALSE)*VLOOKUP($A105,Usinas!$C:$D,2,FALSE)</f>
        <v>33.9</v>
      </c>
      <c r="N105" s="65">
        <f ca="1">VLOOKUP($A105,INDIRECT($P$2),COLUMN()-1,FALSE)*VLOOKUP($A105,Usinas!$C:$D,2,FALSE)</f>
        <v>64.41</v>
      </c>
      <c r="O105" s="65">
        <f ca="1">VLOOKUP($A105,INDIRECT($P$2),COLUMN()-1,FALSE)*VLOOKUP($A105,Usinas!$C:$D,2,FALSE)</f>
        <v>98.31</v>
      </c>
    </row>
    <row r="106" spans="1:15" hidden="1" outlineLevel="1" x14ac:dyDescent="0.25">
      <c r="A106" s="18"/>
      <c r="B106" s="19" t="s">
        <v>56</v>
      </c>
      <c r="D106" s="66">
        <f t="shared" ref="D106:O106" ca="1" si="15">D105</f>
        <v>106.78500000000001</v>
      </c>
      <c r="E106" s="49">
        <f t="shared" ca="1" si="15"/>
        <v>79.665000000000006</v>
      </c>
      <c r="F106" s="49">
        <f t="shared" ca="1" si="15"/>
        <v>77.97</v>
      </c>
      <c r="G106" s="49">
        <f t="shared" ca="1" si="15"/>
        <v>62.715000000000003</v>
      </c>
      <c r="H106" s="49">
        <f t="shared" ca="1" si="15"/>
        <v>44.07</v>
      </c>
      <c r="I106" s="67">
        <f t="shared" ca="1" si="15"/>
        <v>33.9</v>
      </c>
      <c r="J106" s="66">
        <f t="shared" ca="1" si="15"/>
        <v>30.51</v>
      </c>
      <c r="K106" s="49">
        <f t="shared" ca="1" si="15"/>
        <v>25.425000000000001</v>
      </c>
      <c r="L106" s="49">
        <f t="shared" ca="1" si="15"/>
        <v>25.425000000000001</v>
      </c>
      <c r="M106" s="49">
        <f t="shared" ca="1" si="15"/>
        <v>33.9</v>
      </c>
      <c r="N106" s="49">
        <f t="shared" ca="1" si="15"/>
        <v>64.41</v>
      </c>
      <c r="O106" s="67">
        <f t="shared" ca="1" si="15"/>
        <v>98.31</v>
      </c>
    </row>
    <row r="107" spans="1:15" hidden="1" outlineLevel="1" x14ac:dyDescent="0.25">
      <c r="A107" s="20"/>
      <c r="B107" s="21" t="s">
        <v>0</v>
      </c>
      <c r="D107" s="68"/>
      <c r="E107" s="69"/>
      <c r="F107" s="69"/>
      <c r="G107" s="69"/>
      <c r="H107" s="69"/>
      <c r="I107" s="70"/>
      <c r="J107" s="68"/>
      <c r="K107" s="69"/>
      <c r="L107" s="69"/>
      <c r="M107" s="69"/>
      <c r="N107" s="69"/>
      <c r="O107" s="70"/>
    </row>
    <row r="108" spans="1:15" hidden="1" outlineLevel="1" x14ac:dyDescent="0.25">
      <c r="A108" s="1"/>
      <c r="B108" s="133"/>
      <c r="D108" s="50"/>
      <c r="E108" s="51"/>
      <c r="F108" s="51"/>
      <c r="G108" s="51"/>
      <c r="H108" s="51"/>
      <c r="I108" s="51"/>
      <c r="J108" s="50"/>
      <c r="K108" s="51"/>
      <c r="L108" s="51"/>
      <c r="M108" s="51"/>
      <c r="N108" s="51"/>
      <c r="O108" s="51"/>
    </row>
    <row r="109" spans="1:15" hidden="1" outlineLevel="1" x14ac:dyDescent="0.25">
      <c r="A109" s="63"/>
      <c r="B109" s="64"/>
      <c r="D109" s="329" t="s">
        <v>123</v>
      </c>
      <c r="E109" s="330" t="s">
        <v>58</v>
      </c>
      <c r="F109" s="330" t="s">
        <v>124</v>
      </c>
      <c r="G109" s="330"/>
      <c r="H109" s="330"/>
      <c r="I109" s="331"/>
      <c r="J109" s="329" t="s">
        <v>123</v>
      </c>
      <c r="K109" s="330" t="s">
        <v>58</v>
      </c>
      <c r="L109" s="330" t="s">
        <v>124</v>
      </c>
      <c r="M109" s="330"/>
      <c r="N109" s="330"/>
      <c r="O109" s="331"/>
    </row>
    <row r="110" spans="1:15" hidden="1" outlineLevel="2" x14ac:dyDescent="0.25">
      <c r="A110" s="61">
        <v>283</v>
      </c>
      <c r="B110" s="62" t="s">
        <v>125</v>
      </c>
      <c r="D110" s="65">
        <f ca="1">VLOOKUP($A110,INDIRECT($P$2),COLUMN()-1,FALSE)*VLOOKUP($A110,Usinas!$C:$D,2,FALSE)</f>
        <v>80.678399999999996</v>
      </c>
      <c r="E110" s="65">
        <f ca="1">VLOOKUP($A110,INDIRECT($P$2),COLUMN()-1,FALSE)*VLOOKUP($A110,Usinas!$C:$D,2,FALSE)</f>
        <v>56.8416</v>
      </c>
      <c r="F110" s="65">
        <f ca="1">VLOOKUP($A110,INDIRECT($P$2),COLUMN()-1,FALSE)*VLOOKUP($A110,Usinas!$C:$D,2,FALSE)</f>
        <v>55.924799999999998</v>
      </c>
      <c r="G110" s="65">
        <f ca="1">VLOOKUP($A110,INDIRECT($P$2),COLUMN()-1,FALSE)*VLOOKUP($A110,Usinas!$C:$D,2,FALSE)</f>
        <v>49.507199999999997</v>
      </c>
      <c r="H110" s="65">
        <f ca="1">VLOOKUP($A110,INDIRECT($P$2),COLUMN()-1,FALSE)*VLOOKUP($A110,Usinas!$C:$D,2,FALSE)</f>
        <v>33.921599999999998</v>
      </c>
      <c r="I110" s="65">
        <f ca="1">VLOOKUP($A110,INDIRECT($P$2),COLUMN()-1,FALSE)*VLOOKUP($A110,Usinas!$C:$D,2,FALSE)</f>
        <v>28.4208</v>
      </c>
      <c r="J110" s="65">
        <f ca="1">VLOOKUP($A110,INDIRECT($P$2),COLUMN()-1,FALSE)*VLOOKUP($A110,Usinas!$C:$D,2,FALSE)</f>
        <v>27.962399999999999</v>
      </c>
      <c r="K110" s="65">
        <f ca="1">VLOOKUP($A110,INDIRECT($P$2),COLUMN()-1,FALSE)*VLOOKUP($A110,Usinas!$C:$D,2,FALSE)</f>
        <v>23.378399999999999</v>
      </c>
      <c r="L110" s="65">
        <f ca="1">VLOOKUP($A110,INDIRECT($P$2),COLUMN()-1,FALSE)*VLOOKUP($A110,Usinas!$C:$D,2,FALSE)</f>
        <v>20.628</v>
      </c>
      <c r="M110" s="65">
        <f ca="1">VLOOKUP($A110,INDIRECT($P$2),COLUMN()-1,FALSE)*VLOOKUP($A110,Usinas!$C:$D,2,FALSE)</f>
        <v>28.4208</v>
      </c>
      <c r="N110" s="65">
        <f ca="1">VLOOKUP($A110,INDIRECT($P$2),COLUMN()-1,FALSE)*VLOOKUP($A110,Usinas!$C:$D,2,FALSE)</f>
        <v>56.383199999999995</v>
      </c>
      <c r="O110" s="65">
        <f ca="1">VLOOKUP($A110,INDIRECT($P$2),COLUMN()-1,FALSE)*VLOOKUP($A110,Usinas!$C:$D,2,FALSE)</f>
        <v>84.804000000000002</v>
      </c>
    </row>
    <row r="111" spans="1:15" hidden="1" outlineLevel="1" x14ac:dyDescent="0.25">
      <c r="A111" s="18"/>
      <c r="B111" s="19" t="s">
        <v>56</v>
      </c>
      <c r="D111" s="66">
        <f t="shared" ref="D111:O111" ca="1" si="16">D110</f>
        <v>80.678399999999996</v>
      </c>
      <c r="E111" s="49">
        <f t="shared" ca="1" si="16"/>
        <v>56.8416</v>
      </c>
      <c r="F111" s="49">
        <f t="shared" ca="1" si="16"/>
        <v>55.924799999999998</v>
      </c>
      <c r="G111" s="49">
        <f t="shared" ca="1" si="16"/>
        <v>49.507199999999997</v>
      </c>
      <c r="H111" s="49">
        <f t="shared" ca="1" si="16"/>
        <v>33.921599999999998</v>
      </c>
      <c r="I111" s="67">
        <f t="shared" ca="1" si="16"/>
        <v>28.4208</v>
      </c>
      <c r="J111" s="66">
        <f t="shared" ca="1" si="16"/>
        <v>27.962399999999999</v>
      </c>
      <c r="K111" s="49">
        <f t="shared" ca="1" si="16"/>
        <v>23.378399999999999</v>
      </c>
      <c r="L111" s="49">
        <f t="shared" ca="1" si="16"/>
        <v>20.628</v>
      </c>
      <c r="M111" s="49">
        <f t="shared" ca="1" si="16"/>
        <v>28.4208</v>
      </c>
      <c r="N111" s="49">
        <f t="shared" ca="1" si="16"/>
        <v>56.383199999999995</v>
      </c>
      <c r="O111" s="67">
        <f t="shared" ca="1" si="16"/>
        <v>84.804000000000002</v>
      </c>
    </row>
    <row r="112" spans="1:15" hidden="1" outlineLevel="1" x14ac:dyDescent="0.25">
      <c r="A112" s="20"/>
      <c r="B112" s="21" t="s">
        <v>0</v>
      </c>
      <c r="D112" s="68"/>
      <c r="E112" s="69"/>
      <c r="F112" s="69"/>
      <c r="G112" s="69"/>
      <c r="H112" s="69"/>
      <c r="I112" s="70"/>
      <c r="J112" s="68"/>
      <c r="K112" s="69"/>
      <c r="L112" s="69"/>
      <c r="M112" s="69"/>
      <c r="N112" s="69"/>
      <c r="O112" s="70"/>
    </row>
    <row r="113" spans="1:15" hidden="1" outlineLevel="1" x14ac:dyDescent="0.25">
      <c r="A113" s="1"/>
      <c r="B113" s="133"/>
      <c r="D113" s="50"/>
      <c r="E113" s="51"/>
      <c r="F113" s="51"/>
      <c r="G113" s="51"/>
      <c r="H113" s="51"/>
      <c r="I113" s="51"/>
      <c r="J113" s="50"/>
      <c r="K113" s="51"/>
      <c r="L113" s="51"/>
      <c r="M113" s="51"/>
      <c r="N113" s="51"/>
      <c r="O113" s="51"/>
    </row>
    <row r="114" spans="1:15" hidden="1" outlineLevel="1" x14ac:dyDescent="0.25">
      <c r="A114" s="63"/>
      <c r="B114" s="64"/>
      <c r="D114" s="329" t="s">
        <v>126</v>
      </c>
      <c r="E114" s="330" t="s">
        <v>58</v>
      </c>
      <c r="F114" s="330" t="s">
        <v>127</v>
      </c>
      <c r="G114" s="330"/>
      <c r="H114" s="330"/>
      <c r="I114" s="331"/>
      <c r="J114" s="329" t="s">
        <v>126</v>
      </c>
      <c r="K114" s="330" t="s">
        <v>58</v>
      </c>
      <c r="L114" s="330" t="s">
        <v>127</v>
      </c>
      <c r="M114" s="330"/>
      <c r="N114" s="330"/>
      <c r="O114" s="331"/>
    </row>
    <row r="115" spans="1:15" hidden="1" outlineLevel="2" x14ac:dyDescent="0.25">
      <c r="A115" s="61">
        <v>262</v>
      </c>
      <c r="B115" s="62" t="s">
        <v>128</v>
      </c>
      <c r="D115" s="65">
        <f ca="1">VLOOKUP($A115,INDIRECT($P$2),COLUMN()-1,FALSE)*VLOOKUP($A115,Usinas!$C:$D,2,FALSE)</f>
        <v>156.70259999999999</v>
      </c>
      <c r="E115" s="65">
        <f ca="1">VLOOKUP($A115,INDIRECT($P$2),COLUMN()-1,FALSE)*VLOOKUP($A115,Usinas!$C:$D,2,FALSE)</f>
        <v>119.8314</v>
      </c>
      <c r="F115" s="65">
        <f ca="1">VLOOKUP($A115,INDIRECT($P$2),COLUMN()-1,FALSE)*VLOOKUP($A115,Usinas!$C:$D,2,FALSE)</f>
        <v>107.541</v>
      </c>
      <c r="G115" s="65">
        <f ca="1">VLOOKUP($A115,INDIRECT($P$2),COLUMN()-1,FALSE)*VLOOKUP($A115,Usinas!$C:$D,2,FALSE)</f>
        <v>77.839200000000005</v>
      </c>
      <c r="H115" s="65">
        <f ca="1">VLOOKUP($A115,INDIRECT($P$2),COLUMN()-1,FALSE)*VLOOKUP($A115,Usinas!$C:$D,2,FALSE)</f>
        <v>58.379399999999997</v>
      </c>
      <c r="I115" s="65">
        <f ca="1">VLOOKUP($A115,INDIRECT($P$2),COLUMN()-1,FALSE)*VLOOKUP($A115,Usinas!$C:$D,2,FALSE)</f>
        <v>50.1858</v>
      </c>
      <c r="J115" s="65">
        <f ca="1">VLOOKUP($A115,INDIRECT($P$2),COLUMN()-1,FALSE)*VLOOKUP($A115,Usinas!$C:$D,2,FALSE)</f>
        <v>44.040599999999998</v>
      </c>
      <c r="K115" s="65">
        <f ca="1">VLOOKUP($A115,INDIRECT($P$2),COLUMN()-1,FALSE)*VLOOKUP($A115,Usinas!$C:$D,2,FALSE)</f>
        <v>38.919600000000003</v>
      </c>
      <c r="L115" s="65">
        <f ca="1">VLOOKUP($A115,INDIRECT($P$2),COLUMN()-1,FALSE)*VLOOKUP($A115,Usinas!$C:$D,2,FALSE)</f>
        <v>38.919600000000003</v>
      </c>
      <c r="M115" s="65">
        <f ca="1">VLOOKUP($A115,INDIRECT($P$2),COLUMN()-1,FALSE)*VLOOKUP($A115,Usinas!$C:$D,2,FALSE)</f>
        <v>49.1616</v>
      </c>
      <c r="N115" s="65">
        <f ca="1">VLOOKUP($A115,INDIRECT($P$2),COLUMN()-1,FALSE)*VLOOKUP($A115,Usinas!$C:$D,2,FALSE)</f>
        <v>80.911799999999999</v>
      </c>
      <c r="O115" s="65">
        <f ca="1">VLOOKUP($A115,INDIRECT($P$2),COLUMN()-1,FALSE)*VLOOKUP($A115,Usinas!$C:$D,2,FALSE)</f>
        <v>134.17019999999999</v>
      </c>
    </row>
    <row r="116" spans="1:15" hidden="1" outlineLevel="2" x14ac:dyDescent="0.25">
      <c r="A116" s="61">
        <v>183</v>
      </c>
      <c r="B116" s="62" t="s">
        <v>129</v>
      </c>
      <c r="D116" s="65">
        <f ca="1">VLOOKUP($A116,INDIRECT($P$2),COLUMN()-1,FALSE)*VLOOKUP($A116,Usinas!$C:$D,2,FALSE)</f>
        <v>157.5</v>
      </c>
      <c r="E116" s="65">
        <f ca="1">VLOOKUP($A116,INDIRECT($P$2),COLUMN()-1,FALSE)*VLOOKUP($A116,Usinas!$C:$D,2,FALSE)</f>
        <v>120</v>
      </c>
      <c r="F116" s="65">
        <f ca="1">VLOOKUP($A116,INDIRECT($P$2),COLUMN()-1,FALSE)*VLOOKUP($A116,Usinas!$C:$D,2,FALSE)</f>
        <v>107.8125</v>
      </c>
      <c r="G116" s="65">
        <f ca="1">VLOOKUP($A116,INDIRECT($P$2),COLUMN()-1,FALSE)*VLOOKUP($A116,Usinas!$C:$D,2,FALSE)</f>
        <v>77.8125</v>
      </c>
      <c r="H116" s="65">
        <f ca="1">VLOOKUP($A116,INDIRECT($P$2),COLUMN()-1,FALSE)*VLOOKUP($A116,Usinas!$C:$D,2,FALSE)</f>
        <v>58.125</v>
      </c>
      <c r="I116" s="65">
        <f ca="1">VLOOKUP($A116,INDIRECT($P$2),COLUMN()-1,FALSE)*VLOOKUP($A116,Usinas!$C:$D,2,FALSE)</f>
        <v>49.6875</v>
      </c>
      <c r="J116" s="65">
        <f ca="1">VLOOKUP($A116,INDIRECT($P$2),COLUMN()-1,FALSE)*VLOOKUP($A116,Usinas!$C:$D,2,FALSE)</f>
        <v>44.0625</v>
      </c>
      <c r="K116" s="65">
        <f ca="1">VLOOKUP($A116,INDIRECT($P$2),COLUMN()-1,FALSE)*VLOOKUP($A116,Usinas!$C:$D,2,FALSE)</f>
        <v>39.375</v>
      </c>
      <c r="L116" s="65">
        <f ca="1">VLOOKUP($A116,INDIRECT($P$2),COLUMN()-1,FALSE)*VLOOKUP($A116,Usinas!$C:$D,2,FALSE)</f>
        <v>39.375</v>
      </c>
      <c r="M116" s="65">
        <f ca="1">VLOOKUP($A116,INDIRECT($P$2),COLUMN()-1,FALSE)*VLOOKUP($A116,Usinas!$C:$D,2,FALSE)</f>
        <v>49.6875</v>
      </c>
      <c r="N116" s="65">
        <f ca="1">VLOOKUP($A116,INDIRECT($P$2),COLUMN()-1,FALSE)*VLOOKUP($A116,Usinas!$C:$D,2,FALSE)</f>
        <v>80.625</v>
      </c>
      <c r="O116" s="65">
        <f ca="1">VLOOKUP($A116,INDIRECT($P$2),COLUMN()-1,FALSE)*VLOOKUP($A116,Usinas!$C:$D,2,FALSE)</f>
        <v>134.0625</v>
      </c>
    </row>
    <row r="117" spans="1:15" hidden="1" outlineLevel="2" x14ac:dyDescent="0.25">
      <c r="A117" s="61">
        <v>134</v>
      </c>
      <c r="B117" s="62" t="s">
        <v>130</v>
      </c>
      <c r="D117" s="65">
        <f ca="1">VLOOKUP($A117,INDIRECT($P$2),COLUMN()-1,FALSE)*VLOOKUP($A117,Usinas!$C:$D,2,FALSE)</f>
        <v>232.52130000000002</v>
      </c>
      <c r="E117" s="65">
        <f ca="1">VLOOKUP($A117,INDIRECT($P$2),COLUMN()-1,FALSE)*VLOOKUP($A117,Usinas!$C:$D,2,FALSE)</f>
        <v>187.89600000000002</v>
      </c>
      <c r="F117" s="65">
        <f ca="1">VLOOKUP($A117,INDIRECT($P$2),COLUMN()-1,FALSE)*VLOOKUP($A117,Usinas!$C:$D,2,FALSE)</f>
        <v>168.3235</v>
      </c>
      <c r="G117" s="65">
        <f ca="1">VLOOKUP($A117,INDIRECT($P$2),COLUMN()-1,FALSE)*VLOOKUP($A117,Usinas!$C:$D,2,FALSE)</f>
        <v>127.6127</v>
      </c>
      <c r="H117" s="65">
        <f ca="1">VLOOKUP($A117,INDIRECT($P$2),COLUMN()-1,FALSE)*VLOOKUP($A117,Usinas!$C:$D,2,FALSE)</f>
        <v>91.599299999999999</v>
      </c>
      <c r="I117" s="65">
        <f ca="1">VLOOKUP($A117,INDIRECT($P$2),COLUMN()-1,FALSE)*VLOOKUP($A117,Usinas!$C:$D,2,FALSE)</f>
        <v>75.1584</v>
      </c>
      <c r="J117" s="65">
        <f ca="1">VLOOKUP($A117,INDIRECT($P$2),COLUMN()-1,FALSE)*VLOOKUP($A117,Usinas!$C:$D,2,FALSE)</f>
        <v>64.197800000000001</v>
      </c>
      <c r="K117" s="65">
        <f ca="1">VLOOKUP($A117,INDIRECT($P$2),COLUMN()-1,FALSE)*VLOOKUP($A117,Usinas!$C:$D,2,FALSE)</f>
        <v>55.585900000000002</v>
      </c>
      <c r="L117" s="65">
        <f ca="1">VLOOKUP($A117,INDIRECT($P$2),COLUMN()-1,FALSE)*VLOOKUP($A117,Usinas!$C:$D,2,FALSE)</f>
        <v>53.237200000000001</v>
      </c>
      <c r="M117" s="65">
        <f ca="1">VLOOKUP($A117,INDIRECT($P$2),COLUMN()-1,FALSE)*VLOOKUP($A117,Usinas!$C:$D,2,FALSE)</f>
        <v>68.112300000000005</v>
      </c>
      <c r="N117" s="65">
        <f ca="1">VLOOKUP($A117,INDIRECT($P$2),COLUMN()-1,FALSE)*VLOOKUP($A117,Usinas!$C:$D,2,FALSE)</f>
        <v>126.82980000000001</v>
      </c>
      <c r="O117" s="65">
        <f ca="1">VLOOKUP($A117,INDIRECT($P$2),COLUMN()-1,FALSE)*VLOOKUP($A117,Usinas!$C:$D,2,FALSE)</f>
        <v>201.98820000000001</v>
      </c>
    </row>
    <row r="118" spans="1:15" hidden="1" outlineLevel="2" x14ac:dyDescent="0.25">
      <c r="A118" s="61">
        <v>263</v>
      </c>
      <c r="B118" s="62" t="s">
        <v>131</v>
      </c>
      <c r="D118" s="65">
        <f ca="1">VLOOKUP($A118,INDIRECT($P$2),COLUMN()-1,FALSE)*VLOOKUP($A118,Usinas!$C:$D,2,FALSE)</f>
        <v>131.50200000000001</v>
      </c>
      <c r="E118" s="65">
        <f ca="1">VLOOKUP($A118,INDIRECT($P$2),COLUMN()-1,FALSE)*VLOOKUP($A118,Usinas!$C:$D,2,FALSE)</f>
        <v>106.47420000000001</v>
      </c>
      <c r="F118" s="65">
        <f ca="1">VLOOKUP($A118,INDIRECT($P$2),COLUMN()-1,FALSE)*VLOOKUP($A118,Usinas!$C:$D,2,FALSE)</f>
        <v>95.020800000000008</v>
      </c>
      <c r="G118" s="65">
        <f ca="1">VLOOKUP($A118,INDIRECT($P$2),COLUMN()-1,FALSE)*VLOOKUP($A118,Usinas!$C:$D,2,FALSE)</f>
        <v>72.114000000000004</v>
      </c>
      <c r="H118" s="65">
        <f ca="1">VLOOKUP($A118,INDIRECT($P$2),COLUMN()-1,FALSE)*VLOOKUP($A118,Usinas!$C:$D,2,FALSE)</f>
        <v>51.752400000000002</v>
      </c>
      <c r="I118" s="65">
        <f ca="1">VLOOKUP($A118,INDIRECT($P$2),COLUMN()-1,FALSE)*VLOOKUP($A118,Usinas!$C:$D,2,FALSE)</f>
        <v>42.42</v>
      </c>
      <c r="J118" s="65">
        <f ca="1">VLOOKUP($A118,INDIRECT($P$2),COLUMN()-1,FALSE)*VLOOKUP($A118,Usinas!$C:$D,2,FALSE)</f>
        <v>36.057000000000002</v>
      </c>
      <c r="K118" s="65">
        <f ca="1">VLOOKUP($A118,INDIRECT($P$2),COLUMN()-1,FALSE)*VLOOKUP($A118,Usinas!$C:$D,2,FALSE)</f>
        <v>31.390800000000002</v>
      </c>
      <c r="L118" s="65">
        <f ca="1">VLOOKUP($A118,INDIRECT($P$2),COLUMN()-1,FALSE)*VLOOKUP($A118,Usinas!$C:$D,2,FALSE)</f>
        <v>30.118200000000002</v>
      </c>
      <c r="M118" s="65">
        <f ca="1">VLOOKUP($A118,INDIRECT($P$2),COLUMN()-1,FALSE)*VLOOKUP($A118,Usinas!$C:$D,2,FALSE)</f>
        <v>38.602200000000003</v>
      </c>
      <c r="N118" s="65">
        <f ca="1">VLOOKUP($A118,INDIRECT($P$2),COLUMN()-1,FALSE)*VLOOKUP($A118,Usinas!$C:$D,2,FALSE)</f>
        <v>71.689800000000005</v>
      </c>
      <c r="O118" s="65">
        <f ca="1">VLOOKUP($A118,INDIRECT($P$2),COLUMN()-1,FALSE)*VLOOKUP($A118,Usinas!$C:$D,2,FALSE)</f>
        <v>114.10980000000001</v>
      </c>
    </row>
    <row r="119" spans="1:15" hidden="1" outlineLevel="2" x14ac:dyDescent="0.25">
      <c r="A119" s="61">
        <v>149</v>
      </c>
      <c r="B119" s="62" t="s">
        <v>132</v>
      </c>
      <c r="D119" s="65">
        <f ca="1">VLOOKUP($A119,INDIRECT($P$2),COLUMN()-1,FALSE)*VLOOKUP($A119,Usinas!$C:$D,2,FALSE)</f>
        <v>127.32719999999999</v>
      </c>
      <c r="E119" s="65">
        <f ca="1">VLOOKUP($A119,INDIRECT($P$2),COLUMN()-1,FALSE)*VLOOKUP($A119,Usinas!$C:$D,2,FALSE)</f>
        <v>108.20479999999999</v>
      </c>
      <c r="F119" s="65">
        <f ca="1">VLOOKUP($A119,INDIRECT($P$2),COLUMN()-1,FALSE)*VLOOKUP($A119,Usinas!$C:$D,2,FALSE)</f>
        <v>96.078400000000002</v>
      </c>
      <c r="G119" s="65">
        <f ca="1">VLOOKUP($A119,INDIRECT($P$2),COLUMN()-1,FALSE)*VLOOKUP($A119,Usinas!$C:$D,2,FALSE)</f>
        <v>74.623999999999995</v>
      </c>
      <c r="H119" s="65">
        <f ca="1">VLOOKUP($A119,INDIRECT($P$2),COLUMN()-1,FALSE)*VLOOKUP($A119,Usinas!$C:$D,2,FALSE)</f>
        <v>57.367199999999997</v>
      </c>
      <c r="I119" s="65">
        <f ca="1">VLOOKUP($A119,INDIRECT($P$2),COLUMN()-1,FALSE)*VLOOKUP($A119,Usinas!$C:$D,2,FALSE)</f>
        <v>49.904799999999994</v>
      </c>
      <c r="J119" s="65">
        <f ca="1">VLOOKUP($A119,INDIRECT($P$2),COLUMN()-1,FALSE)*VLOOKUP($A119,Usinas!$C:$D,2,FALSE)</f>
        <v>44.7744</v>
      </c>
      <c r="K119" s="65">
        <f ca="1">VLOOKUP($A119,INDIRECT($P$2),COLUMN()-1,FALSE)*VLOOKUP($A119,Usinas!$C:$D,2,FALSE)</f>
        <v>40.110399999999998</v>
      </c>
      <c r="L119" s="65">
        <f ca="1">VLOOKUP($A119,INDIRECT($P$2),COLUMN()-1,FALSE)*VLOOKUP($A119,Usinas!$C:$D,2,FALSE)</f>
        <v>39.643999999999998</v>
      </c>
      <c r="M119" s="65">
        <f ca="1">VLOOKUP($A119,INDIRECT($P$2),COLUMN()-1,FALSE)*VLOOKUP($A119,Usinas!$C:$D,2,FALSE)</f>
        <v>47.106400000000001</v>
      </c>
      <c r="N119" s="65">
        <f ca="1">VLOOKUP($A119,INDIRECT($P$2),COLUMN()-1,FALSE)*VLOOKUP($A119,Usinas!$C:$D,2,FALSE)</f>
        <v>68.5608</v>
      </c>
      <c r="O119" s="65">
        <f ca="1">VLOOKUP($A119,INDIRECT($P$2),COLUMN()-1,FALSE)*VLOOKUP($A119,Usinas!$C:$D,2,FALSE)</f>
        <v>107.27199999999999</v>
      </c>
    </row>
    <row r="120" spans="1:15" hidden="1" outlineLevel="2" x14ac:dyDescent="0.25">
      <c r="A120" s="61">
        <v>141</v>
      </c>
      <c r="B120" s="62" t="s">
        <v>133</v>
      </c>
      <c r="D120" s="65">
        <f ca="1">VLOOKUP($A120,INDIRECT($P$2),COLUMN()-1,FALSE)*VLOOKUP($A120,Usinas!$C:$D,2,FALSE)</f>
        <v>170.90190000000001</v>
      </c>
      <c r="E120" s="65">
        <f ca="1">VLOOKUP($A120,INDIRECT($P$2),COLUMN()-1,FALSE)*VLOOKUP($A120,Usinas!$C:$D,2,FALSE)</f>
        <v>138.76650000000001</v>
      </c>
      <c r="F120" s="65">
        <f ca="1">VLOOKUP($A120,INDIRECT($P$2),COLUMN()-1,FALSE)*VLOOKUP($A120,Usinas!$C:$D,2,FALSE)</f>
        <v>122.69880000000001</v>
      </c>
      <c r="G120" s="65">
        <f ca="1">VLOOKUP($A120,INDIRECT($P$2),COLUMN()-1,FALSE)*VLOOKUP($A120,Usinas!$C:$D,2,FALSE)</f>
        <v>96.243899999999996</v>
      </c>
      <c r="H120" s="65">
        <f ca="1">VLOOKUP($A120,INDIRECT($P$2),COLUMN()-1,FALSE)*VLOOKUP($A120,Usinas!$C:$D,2,FALSE)</f>
        <v>72.061199999999999</v>
      </c>
      <c r="I120" s="65">
        <f ca="1">VLOOKUP($A120,INDIRECT($P$2),COLUMN()-1,FALSE)*VLOOKUP($A120,Usinas!$C:$D,2,FALSE)</f>
        <v>61.349400000000003</v>
      </c>
      <c r="J120" s="65">
        <f ca="1">VLOOKUP($A120,INDIRECT($P$2),COLUMN()-1,FALSE)*VLOOKUP($A120,Usinas!$C:$D,2,FALSE)</f>
        <v>54.3705</v>
      </c>
      <c r="K120" s="65">
        <f ca="1">VLOOKUP($A120,INDIRECT($P$2),COLUMN()-1,FALSE)*VLOOKUP($A120,Usinas!$C:$D,2,FALSE)</f>
        <v>48.69</v>
      </c>
      <c r="L120" s="65">
        <f ca="1">VLOOKUP($A120,INDIRECT($P$2),COLUMN()-1,FALSE)*VLOOKUP($A120,Usinas!$C:$D,2,FALSE)</f>
        <v>47.391599999999997</v>
      </c>
      <c r="M120" s="65">
        <f ca="1">VLOOKUP($A120,INDIRECT($P$2),COLUMN()-1,FALSE)*VLOOKUP($A120,Usinas!$C:$D,2,FALSE)</f>
        <v>57.129599999999996</v>
      </c>
      <c r="N120" s="65">
        <f ca="1">VLOOKUP($A120,INDIRECT($P$2),COLUMN()-1,FALSE)*VLOOKUP($A120,Usinas!$C:$D,2,FALSE)</f>
        <v>91.374899999999997</v>
      </c>
      <c r="O120" s="65">
        <f ca="1">VLOOKUP($A120,INDIRECT($P$2),COLUMN()-1,FALSE)*VLOOKUP($A120,Usinas!$C:$D,2,FALSE)</f>
        <v>147.69300000000001</v>
      </c>
    </row>
    <row r="121" spans="1:15" hidden="1" outlineLevel="2" x14ac:dyDescent="0.25">
      <c r="A121" s="61">
        <v>148</v>
      </c>
      <c r="B121" s="62" t="s">
        <v>134</v>
      </c>
      <c r="D121" s="65">
        <f ca="1">VLOOKUP($A121,INDIRECT($P$2),COLUMN()-1,FALSE)*VLOOKUP($A121,Usinas!$C:$D,2,FALSE)</f>
        <v>400.30199999999996</v>
      </c>
      <c r="E121" s="65">
        <f ca="1">VLOOKUP($A121,INDIRECT($P$2),COLUMN()-1,FALSE)*VLOOKUP($A121,Usinas!$C:$D,2,FALSE)</f>
        <v>311.346</v>
      </c>
      <c r="F121" s="65">
        <f ca="1">VLOOKUP($A121,INDIRECT($P$2),COLUMN()-1,FALSE)*VLOOKUP($A121,Usinas!$C:$D,2,FALSE)</f>
        <v>273.53969999999998</v>
      </c>
      <c r="G121" s="65">
        <f ca="1">VLOOKUP($A121,INDIRECT($P$2),COLUMN()-1,FALSE)*VLOOKUP($A121,Usinas!$C:$D,2,FALSE)</f>
        <v>211.51759999999999</v>
      </c>
      <c r="H121" s="65">
        <f ca="1">VLOOKUP($A121,INDIRECT($P$2),COLUMN()-1,FALSE)*VLOOKUP($A121,Usinas!$C:$D,2,FALSE)</f>
        <v>153.44909999999999</v>
      </c>
      <c r="I121" s="65">
        <f ca="1">VLOOKUP($A121,INDIRECT($P$2),COLUMN()-1,FALSE)*VLOOKUP($A121,Usinas!$C:$D,2,FALSE)</f>
        <v>128.73909999999998</v>
      </c>
      <c r="J121" s="65">
        <f ca="1">VLOOKUP($A121,INDIRECT($P$2),COLUMN()-1,FALSE)*VLOOKUP($A121,Usinas!$C:$D,2,FALSE)</f>
        <v>113.9131</v>
      </c>
      <c r="K121" s="65">
        <f ca="1">VLOOKUP($A121,INDIRECT($P$2),COLUMN()-1,FALSE)*VLOOKUP($A121,Usinas!$C:$D,2,FALSE)</f>
        <v>101.31099999999999</v>
      </c>
      <c r="L121" s="65">
        <f ca="1">VLOOKUP($A121,INDIRECT($P$2),COLUMN()-1,FALSE)*VLOOKUP($A121,Usinas!$C:$D,2,FALSE)</f>
        <v>97.851599999999991</v>
      </c>
      <c r="M121" s="65">
        <f ca="1">VLOOKUP($A121,INDIRECT($P$2),COLUMN()-1,FALSE)*VLOOKUP($A121,Usinas!$C:$D,2,FALSE)</f>
        <v>122.5616</v>
      </c>
      <c r="N121" s="65">
        <f ca="1">VLOOKUP($A121,INDIRECT($P$2),COLUMN()-1,FALSE)*VLOOKUP($A121,Usinas!$C:$D,2,FALSE)</f>
        <v>207.31689999999998</v>
      </c>
      <c r="O121" s="65">
        <f ca="1">VLOOKUP($A121,INDIRECT($P$2),COLUMN()-1,FALSE)*VLOOKUP($A121,Usinas!$C:$D,2,FALSE)</f>
        <v>349.39939999999996</v>
      </c>
    </row>
    <row r="122" spans="1:15" hidden="1" outlineLevel="2" x14ac:dyDescent="0.25">
      <c r="A122" s="61">
        <v>144</v>
      </c>
      <c r="B122" s="62" t="s">
        <v>135</v>
      </c>
      <c r="D122" s="65">
        <f ca="1">VLOOKUP($A122,INDIRECT($P$2),COLUMN()-1,FALSE)*VLOOKUP($A122,Usinas!$C:$D,2,FALSE)</f>
        <v>341.35039999999998</v>
      </c>
      <c r="E122" s="65">
        <f ca="1">VLOOKUP($A122,INDIRECT($P$2),COLUMN()-1,FALSE)*VLOOKUP($A122,Usinas!$C:$D,2,FALSE)</f>
        <v>264.5104</v>
      </c>
      <c r="F122" s="65">
        <f ca="1">VLOOKUP($A122,INDIRECT($P$2),COLUMN()-1,FALSE)*VLOOKUP($A122,Usinas!$C:$D,2,FALSE)</f>
        <v>232.32799999999997</v>
      </c>
      <c r="G122" s="65">
        <f ca="1">VLOOKUP($A122,INDIRECT($P$2),COLUMN()-1,FALSE)*VLOOKUP($A122,Usinas!$C:$D,2,FALSE)</f>
        <v>179.53439999999998</v>
      </c>
      <c r="H122" s="65">
        <f ca="1">VLOOKUP($A122,INDIRECT($P$2),COLUMN()-1,FALSE)*VLOOKUP($A122,Usinas!$C:$D,2,FALSE)</f>
        <v>129.99519999999998</v>
      </c>
      <c r="I122" s="65">
        <f ca="1">VLOOKUP($A122,INDIRECT($P$2),COLUMN()-1,FALSE)*VLOOKUP($A122,Usinas!$C:$D,2,FALSE)</f>
        <v>108.66079999999999</v>
      </c>
      <c r="J122" s="65">
        <f ca="1">VLOOKUP($A122,INDIRECT($P$2),COLUMN()-1,FALSE)*VLOOKUP($A122,Usinas!$C:$D,2,FALSE)</f>
        <v>96.185599999999994</v>
      </c>
      <c r="K122" s="65">
        <f ca="1">VLOOKUP($A122,INDIRECT($P$2),COLUMN()-1,FALSE)*VLOOKUP($A122,Usinas!$C:$D,2,FALSE)</f>
        <v>85.15679999999999</v>
      </c>
      <c r="L122" s="65">
        <f ca="1">VLOOKUP($A122,INDIRECT($P$2),COLUMN()-1,FALSE)*VLOOKUP($A122,Usinas!$C:$D,2,FALSE)</f>
        <v>82.083199999999991</v>
      </c>
      <c r="M122" s="65">
        <f ca="1">VLOOKUP($A122,INDIRECT($P$2),COLUMN()-1,FALSE)*VLOOKUP($A122,Usinas!$C:$D,2,FALSE)</f>
        <v>103.23679999999999</v>
      </c>
      <c r="N122" s="65">
        <f ca="1">VLOOKUP($A122,INDIRECT($P$2),COLUMN()-1,FALSE)*VLOOKUP($A122,Usinas!$C:$D,2,FALSE)</f>
        <v>176.0992</v>
      </c>
      <c r="O122" s="65">
        <f ca="1">VLOOKUP($A122,INDIRECT($P$2),COLUMN()-1,FALSE)*VLOOKUP($A122,Usinas!$C:$D,2,FALSE)</f>
        <v>298.13919999999996</v>
      </c>
    </row>
    <row r="123" spans="1:15" hidden="1" outlineLevel="1" x14ac:dyDescent="0.25">
      <c r="A123" s="18"/>
      <c r="B123" s="19" t="s">
        <v>56</v>
      </c>
      <c r="D123" s="66">
        <f t="shared" ref="D123:I123" ca="1" si="17">SUM(D115:D122)</f>
        <v>1718.1073999999999</v>
      </c>
      <c r="E123" s="49">
        <f t="shared" ca="1" si="17"/>
        <v>1357.0293000000001</v>
      </c>
      <c r="F123" s="49">
        <f t="shared" ca="1" si="17"/>
        <v>1203.3426999999999</v>
      </c>
      <c r="G123" s="49">
        <f t="shared" ca="1" si="17"/>
        <v>917.29830000000004</v>
      </c>
      <c r="H123" s="49">
        <f t="shared" ca="1" si="17"/>
        <v>672.72879999999998</v>
      </c>
      <c r="I123" s="67">
        <f t="shared" ca="1" si="17"/>
        <v>566.10579999999993</v>
      </c>
      <c r="J123" s="66">
        <f t="shared" ref="J123:O123" ca="1" si="18">SUM(J115:J122)</f>
        <v>497.60149999999999</v>
      </c>
      <c r="K123" s="49">
        <f t="shared" ca="1" si="18"/>
        <v>440.53949999999998</v>
      </c>
      <c r="L123" s="49">
        <f t="shared" ca="1" si="18"/>
        <v>428.62039999999996</v>
      </c>
      <c r="M123" s="49">
        <f t="shared" ca="1" si="18"/>
        <v>535.59799999999996</v>
      </c>
      <c r="N123" s="49">
        <f t="shared" ca="1" si="18"/>
        <v>903.40819999999997</v>
      </c>
      <c r="O123" s="67">
        <f t="shared" ca="1" si="18"/>
        <v>1486.8343</v>
      </c>
    </row>
    <row r="124" spans="1:15" hidden="1" outlineLevel="1" x14ac:dyDescent="0.25">
      <c r="A124" s="20"/>
      <c r="B124" s="21" t="s">
        <v>0</v>
      </c>
      <c r="D124" s="68"/>
      <c r="E124" s="69"/>
      <c r="F124" s="69"/>
      <c r="G124" s="69"/>
      <c r="H124" s="69"/>
      <c r="I124" s="70"/>
      <c r="J124" s="68"/>
      <c r="K124" s="69"/>
      <c r="L124" s="69"/>
      <c r="M124" s="69"/>
      <c r="N124" s="69"/>
      <c r="O124" s="70"/>
    </row>
    <row r="125" spans="1:15" hidden="1" outlineLevel="1" x14ac:dyDescent="0.25">
      <c r="A125" s="1"/>
      <c r="B125" s="133"/>
      <c r="D125" s="50"/>
      <c r="E125" s="51"/>
      <c r="F125" s="51"/>
      <c r="G125" s="51"/>
      <c r="H125" s="51"/>
      <c r="I125" s="51"/>
      <c r="J125" s="50"/>
      <c r="K125" s="51"/>
      <c r="L125" s="51"/>
      <c r="M125" s="51"/>
      <c r="N125" s="51"/>
      <c r="O125" s="51"/>
    </row>
    <row r="126" spans="1:15" hidden="1" outlineLevel="1" x14ac:dyDescent="0.25">
      <c r="A126" s="38"/>
      <c r="B126" s="39"/>
      <c r="D126" s="332" t="s">
        <v>136</v>
      </c>
      <c r="E126" s="333" t="s">
        <v>58</v>
      </c>
      <c r="F126" s="333" t="s">
        <v>137</v>
      </c>
      <c r="G126" s="333"/>
      <c r="H126" s="333"/>
      <c r="I126" s="334"/>
      <c r="J126" s="332" t="s">
        <v>136</v>
      </c>
      <c r="K126" s="333" t="s">
        <v>58</v>
      </c>
      <c r="L126" s="333" t="s">
        <v>137</v>
      </c>
      <c r="M126" s="333"/>
      <c r="N126" s="333"/>
      <c r="O126" s="334"/>
    </row>
    <row r="127" spans="1:15" hidden="1" outlineLevel="2" x14ac:dyDescent="0.25">
      <c r="A127" s="30">
        <v>278</v>
      </c>
      <c r="B127" s="31" t="s">
        <v>138</v>
      </c>
      <c r="D127" s="65">
        <f ca="1">VLOOKUP($A127,INDIRECT($P$2),COLUMN()-1,FALSE)*VLOOKUP($A127,Usinas!$C:$D,2,FALSE)</f>
        <v>157.43699999999998</v>
      </c>
      <c r="E127" s="65">
        <f ca="1">VLOOKUP($A127,INDIRECT($P$2),COLUMN()-1,FALSE)*VLOOKUP($A127,Usinas!$C:$D,2,FALSE)</f>
        <v>177.5025</v>
      </c>
      <c r="F127" s="65">
        <f ca="1">VLOOKUP($A127,INDIRECT($P$2),COLUMN()-1,FALSE)*VLOOKUP($A127,Usinas!$C:$D,2,FALSE)</f>
        <v>166.18349999999998</v>
      </c>
      <c r="G127" s="65">
        <f ca="1">VLOOKUP($A127,INDIRECT($P$2),COLUMN()-1,FALSE)*VLOOKUP($A127,Usinas!$C:$D,2,FALSE)</f>
        <v>111.13199999999999</v>
      </c>
      <c r="H127" s="65">
        <f ca="1">VLOOKUP($A127,INDIRECT($P$2),COLUMN()-1,FALSE)*VLOOKUP($A127,Usinas!$C:$D,2,FALSE)</f>
        <v>63.283499999999997</v>
      </c>
      <c r="I127" s="65">
        <f ca="1">VLOOKUP($A127,INDIRECT($P$2),COLUMN()-1,FALSE)*VLOOKUP($A127,Usinas!$C:$D,2,FALSE)</f>
        <v>47.333999999999996</v>
      </c>
      <c r="J127" s="65">
        <f ca="1">VLOOKUP($A127,INDIRECT($P$2),COLUMN()-1,FALSE)*VLOOKUP($A127,Usinas!$C:$D,2,FALSE)</f>
        <v>40.131</v>
      </c>
      <c r="K127" s="65">
        <f ca="1">VLOOKUP($A127,INDIRECT($P$2),COLUMN()-1,FALSE)*VLOOKUP($A127,Usinas!$C:$D,2,FALSE)</f>
        <v>35.500499999999995</v>
      </c>
      <c r="L127" s="65">
        <f ca="1">VLOOKUP($A127,INDIRECT($P$2),COLUMN()-1,FALSE)*VLOOKUP($A127,Usinas!$C:$D,2,FALSE)</f>
        <v>36.015000000000001</v>
      </c>
      <c r="M127" s="65">
        <f ca="1">VLOOKUP($A127,INDIRECT($P$2),COLUMN()-1,FALSE)*VLOOKUP($A127,Usinas!$C:$D,2,FALSE)</f>
        <v>48.363</v>
      </c>
      <c r="N127" s="65">
        <f ca="1">VLOOKUP($A127,INDIRECT($P$2),COLUMN()-1,FALSE)*VLOOKUP($A127,Usinas!$C:$D,2,FALSE)</f>
        <v>66.884999999999991</v>
      </c>
      <c r="O127" s="65">
        <f ca="1">VLOOKUP($A127,INDIRECT($P$2),COLUMN()-1,FALSE)*VLOOKUP($A127,Usinas!$C:$D,2,FALSE)</f>
        <v>106.50149999999999</v>
      </c>
    </row>
    <row r="128" spans="1:15" hidden="1" outlineLevel="2" x14ac:dyDescent="0.25">
      <c r="A128" s="30">
        <v>281</v>
      </c>
      <c r="B128" s="31" t="s">
        <v>139</v>
      </c>
      <c r="D128" s="65">
        <f ca="1">VLOOKUP($A128,INDIRECT($P$2),COLUMN()-1,FALSE)*VLOOKUP($A128,Usinas!$C:$D,2,FALSE)</f>
        <v>189.3032</v>
      </c>
      <c r="E128" s="65">
        <f ca="1">VLOOKUP($A128,INDIRECT($P$2),COLUMN()-1,FALSE)*VLOOKUP($A128,Usinas!$C:$D,2,FALSE)</f>
        <v>200.3092</v>
      </c>
      <c r="F128" s="65">
        <f ca="1">VLOOKUP($A128,INDIRECT($P$2),COLUMN()-1,FALSE)*VLOOKUP($A128,Usinas!$C:$D,2,FALSE)</f>
        <v>202.5104</v>
      </c>
      <c r="G128" s="65">
        <f ca="1">VLOOKUP($A128,INDIRECT($P$2),COLUMN()-1,FALSE)*VLOOKUP($A128,Usinas!$C:$D,2,FALSE)</f>
        <v>187.102</v>
      </c>
      <c r="H128" s="65">
        <f ca="1">VLOOKUP($A128,INDIRECT($P$2),COLUMN()-1,FALSE)*VLOOKUP($A128,Usinas!$C:$D,2,FALSE)</f>
        <v>169.4924</v>
      </c>
      <c r="I128" s="65">
        <f ca="1">VLOOKUP($A128,INDIRECT($P$2),COLUMN()-1,FALSE)*VLOOKUP($A128,Usinas!$C:$D,2,FALSE)</f>
        <v>156.2852</v>
      </c>
      <c r="J128" s="65">
        <f ca="1">VLOOKUP($A128,INDIRECT($P$2),COLUMN()-1,FALSE)*VLOOKUP($A128,Usinas!$C:$D,2,FALSE)</f>
        <v>147.4804</v>
      </c>
      <c r="K128" s="65">
        <f ca="1">VLOOKUP($A128,INDIRECT($P$2),COLUMN()-1,FALSE)*VLOOKUP($A128,Usinas!$C:$D,2,FALSE)</f>
        <v>140.8768</v>
      </c>
      <c r="L128" s="65">
        <f ca="1">VLOOKUP($A128,INDIRECT($P$2),COLUMN()-1,FALSE)*VLOOKUP($A128,Usinas!$C:$D,2,FALSE)</f>
        <v>138.6756</v>
      </c>
      <c r="M128" s="65">
        <f ca="1">VLOOKUP($A128,INDIRECT($P$2),COLUMN()-1,FALSE)*VLOOKUP($A128,Usinas!$C:$D,2,FALSE)</f>
        <v>147.4804</v>
      </c>
      <c r="N128" s="65">
        <f ca="1">VLOOKUP($A128,INDIRECT($P$2),COLUMN()-1,FALSE)*VLOOKUP($A128,Usinas!$C:$D,2,FALSE)</f>
        <v>158.4864</v>
      </c>
      <c r="O128" s="65">
        <f ca="1">VLOOKUP($A128,INDIRECT($P$2),COLUMN()-1,FALSE)*VLOOKUP($A128,Usinas!$C:$D,2,FALSE)</f>
        <v>171.6936</v>
      </c>
    </row>
    <row r="129" spans="1:15" hidden="1" outlineLevel="2" x14ac:dyDescent="0.25">
      <c r="A129" s="30">
        <v>295</v>
      </c>
      <c r="B129" s="31" t="s">
        <v>140</v>
      </c>
      <c r="D129" s="65">
        <f ca="1">VLOOKUP($A129,INDIRECT($P$2),COLUMN()-1,FALSE)*VLOOKUP($A129,Usinas!$C:$D,2,FALSE)</f>
        <v>89.983599999999996</v>
      </c>
      <c r="E129" s="65">
        <f ca="1">VLOOKUP($A129,INDIRECT($P$2),COLUMN()-1,FALSE)*VLOOKUP($A129,Usinas!$C:$D,2,FALSE)</f>
        <v>93.656400000000005</v>
      </c>
      <c r="F129" s="65">
        <f ca="1">VLOOKUP($A129,INDIRECT($P$2),COLUMN()-1,FALSE)*VLOOKUP($A129,Usinas!$C:$D,2,FALSE)</f>
        <v>101.002</v>
      </c>
      <c r="G129" s="65">
        <f ca="1">VLOOKUP($A129,INDIRECT($P$2),COLUMN()-1,FALSE)*VLOOKUP($A129,Usinas!$C:$D,2,FALSE)</f>
        <v>88.147199999999998</v>
      </c>
      <c r="H129" s="65">
        <f ca="1">VLOOKUP($A129,INDIRECT($P$2),COLUMN()-1,FALSE)*VLOOKUP($A129,Usinas!$C:$D,2,FALSE)</f>
        <v>77.128799999999998</v>
      </c>
      <c r="I129" s="65">
        <f ca="1">VLOOKUP($A129,INDIRECT($P$2),COLUMN()-1,FALSE)*VLOOKUP($A129,Usinas!$C:$D,2,FALSE)</f>
        <v>72.537800000000004</v>
      </c>
      <c r="J129" s="65">
        <f ca="1">VLOOKUP($A129,INDIRECT($P$2),COLUMN()-1,FALSE)*VLOOKUP($A129,Usinas!$C:$D,2,FALSE)</f>
        <v>69.783200000000008</v>
      </c>
      <c r="K129" s="65">
        <f ca="1">VLOOKUP($A129,INDIRECT($P$2),COLUMN()-1,FALSE)*VLOOKUP($A129,Usinas!$C:$D,2,FALSE)</f>
        <v>66.110399999999998</v>
      </c>
      <c r="L129" s="65">
        <f ca="1">VLOOKUP($A129,INDIRECT($P$2),COLUMN()-1,FALSE)*VLOOKUP($A129,Usinas!$C:$D,2,FALSE)</f>
        <v>65.1922</v>
      </c>
      <c r="M129" s="65">
        <f ca="1">VLOOKUP($A129,INDIRECT($P$2),COLUMN()-1,FALSE)*VLOOKUP($A129,Usinas!$C:$D,2,FALSE)</f>
        <v>68.864999999999995</v>
      </c>
      <c r="N129" s="65">
        <f ca="1">VLOOKUP($A129,INDIRECT($P$2),COLUMN()-1,FALSE)*VLOOKUP($A129,Usinas!$C:$D,2,FALSE)</f>
        <v>72.537800000000004</v>
      </c>
      <c r="O129" s="65">
        <f ca="1">VLOOKUP($A129,INDIRECT($P$2),COLUMN()-1,FALSE)*VLOOKUP($A129,Usinas!$C:$D,2,FALSE)</f>
        <v>80.801600000000008</v>
      </c>
    </row>
    <row r="130" spans="1:15" hidden="1" outlineLevel="2" x14ac:dyDescent="0.25">
      <c r="A130" s="30">
        <v>259</v>
      </c>
      <c r="B130" s="31" t="s">
        <v>141</v>
      </c>
      <c r="D130" s="65">
        <f ca="1">VLOOKUP($A130,INDIRECT($P$2),COLUMN()-1,FALSE)*VLOOKUP($A130,Usinas!$C:$D,2,FALSE)</f>
        <v>77.948399999999992</v>
      </c>
      <c r="E130" s="65">
        <f ca="1">VLOOKUP($A130,INDIRECT($P$2),COLUMN()-1,FALSE)*VLOOKUP($A130,Usinas!$C:$D,2,FALSE)</f>
        <v>87.882999999999996</v>
      </c>
      <c r="F130" s="65">
        <f ca="1">VLOOKUP($A130,INDIRECT($P$2),COLUMN()-1,FALSE)*VLOOKUP($A130,Usinas!$C:$D,2,FALSE)</f>
        <v>86.354600000000005</v>
      </c>
      <c r="G130" s="65">
        <f ca="1">VLOOKUP($A130,INDIRECT($P$2),COLUMN()-1,FALSE)*VLOOKUP($A130,Usinas!$C:$D,2,FALSE)</f>
        <v>68.013800000000003</v>
      </c>
      <c r="H130" s="65">
        <f ca="1">VLOOKUP($A130,INDIRECT($P$2),COLUMN()-1,FALSE)*VLOOKUP($A130,Usinas!$C:$D,2,FALSE)</f>
        <v>50.437199999999997</v>
      </c>
      <c r="I130" s="65">
        <f ca="1">VLOOKUP($A130,INDIRECT($P$2),COLUMN()-1,FALSE)*VLOOKUP($A130,Usinas!$C:$D,2,FALSE)</f>
        <v>42.795200000000001</v>
      </c>
      <c r="J130" s="65">
        <f ca="1">VLOOKUP($A130,INDIRECT($P$2),COLUMN()-1,FALSE)*VLOOKUP($A130,Usinas!$C:$D,2,FALSE)</f>
        <v>38.974199999999996</v>
      </c>
      <c r="K130" s="65">
        <f ca="1">VLOOKUP($A130,INDIRECT($P$2),COLUMN()-1,FALSE)*VLOOKUP($A130,Usinas!$C:$D,2,FALSE)</f>
        <v>35.917400000000001</v>
      </c>
      <c r="L130" s="65">
        <f ca="1">VLOOKUP($A130,INDIRECT($P$2),COLUMN()-1,FALSE)*VLOOKUP($A130,Usinas!$C:$D,2,FALSE)</f>
        <v>36.681600000000003</v>
      </c>
      <c r="M130" s="65">
        <f ca="1">VLOOKUP($A130,INDIRECT($P$2),COLUMN()-1,FALSE)*VLOOKUP($A130,Usinas!$C:$D,2,FALSE)</f>
        <v>39.738399999999999</v>
      </c>
      <c r="N130" s="65">
        <f ca="1">VLOOKUP($A130,INDIRECT($P$2),COLUMN()-1,FALSE)*VLOOKUP($A130,Usinas!$C:$D,2,FALSE)</f>
        <v>46.616199999999999</v>
      </c>
      <c r="O130" s="65">
        <f ca="1">VLOOKUP($A130,INDIRECT($P$2),COLUMN()-1,FALSE)*VLOOKUP($A130,Usinas!$C:$D,2,FALSE)</f>
        <v>61.135999999999996</v>
      </c>
    </row>
    <row r="131" spans="1:15" hidden="1" outlineLevel="2" x14ac:dyDescent="0.25">
      <c r="A131" s="30">
        <v>252</v>
      </c>
      <c r="B131" s="31" t="s">
        <v>142</v>
      </c>
      <c r="D131" s="65">
        <f ca="1">VLOOKUP($A131,INDIRECT($P$2),COLUMN()-1,FALSE)*VLOOKUP($A131,Usinas!$C:$D,2,FALSE)</f>
        <v>126.8982</v>
      </c>
      <c r="E131" s="65">
        <f ca="1">VLOOKUP($A131,INDIRECT($P$2),COLUMN()-1,FALSE)*VLOOKUP($A131,Usinas!$C:$D,2,FALSE)</f>
        <v>143.07149999999999</v>
      </c>
      <c r="F131" s="65">
        <f ca="1">VLOOKUP($A131,INDIRECT($P$2),COLUMN()-1,FALSE)*VLOOKUP($A131,Usinas!$C:$D,2,FALSE)</f>
        <v>140.58330000000001</v>
      </c>
      <c r="G131" s="65">
        <f ca="1">VLOOKUP($A131,INDIRECT($P$2),COLUMN()-1,FALSE)*VLOOKUP($A131,Usinas!$C:$D,2,FALSE)</f>
        <v>110.72490000000001</v>
      </c>
      <c r="H131" s="65">
        <f ca="1">VLOOKUP($A131,INDIRECT($P$2),COLUMN()-1,FALSE)*VLOOKUP($A131,Usinas!$C:$D,2,FALSE)</f>
        <v>82.110600000000005</v>
      </c>
      <c r="I131" s="65">
        <f ca="1">VLOOKUP($A131,INDIRECT($P$2),COLUMN()-1,FALSE)*VLOOKUP($A131,Usinas!$C:$D,2,FALSE)</f>
        <v>69.669600000000003</v>
      </c>
      <c r="J131" s="65">
        <f ca="1">VLOOKUP($A131,INDIRECT($P$2),COLUMN()-1,FALSE)*VLOOKUP($A131,Usinas!$C:$D,2,FALSE)</f>
        <v>63.449100000000001</v>
      </c>
      <c r="K131" s="65">
        <f ca="1">VLOOKUP($A131,INDIRECT($P$2),COLUMN()-1,FALSE)*VLOOKUP($A131,Usinas!$C:$D,2,FALSE)</f>
        <v>58.472699999999996</v>
      </c>
      <c r="L131" s="65">
        <f ca="1">VLOOKUP($A131,INDIRECT($P$2),COLUMN()-1,FALSE)*VLOOKUP($A131,Usinas!$C:$D,2,FALSE)</f>
        <v>59.716799999999999</v>
      </c>
      <c r="M131" s="65">
        <f ca="1">VLOOKUP($A131,INDIRECT($P$2),COLUMN()-1,FALSE)*VLOOKUP($A131,Usinas!$C:$D,2,FALSE)</f>
        <v>64.693200000000004</v>
      </c>
      <c r="N131" s="65">
        <f ca="1">VLOOKUP($A131,INDIRECT($P$2),COLUMN()-1,FALSE)*VLOOKUP($A131,Usinas!$C:$D,2,FALSE)</f>
        <v>75.890100000000004</v>
      </c>
      <c r="O131" s="65">
        <f ca="1">VLOOKUP($A131,INDIRECT($P$2),COLUMN()-1,FALSE)*VLOOKUP($A131,Usinas!$C:$D,2,FALSE)</f>
        <v>99.527999999999992</v>
      </c>
    </row>
    <row r="132" spans="1:15" hidden="1" outlineLevel="1" x14ac:dyDescent="0.25">
      <c r="A132" s="40"/>
      <c r="B132" s="41" t="s">
        <v>56</v>
      </c>
      <c r="D132" s="83">
        <f t="shared" ref="D132:I132" ca="1" si="19">SUM(D127:D131)</f>
        <v>641.57039999999995</v>
      </c>
      <c r="E132" s="49">
        <f t="shared" ca="1" si="19"/>
        <v>702.42259999999999</v>
      </c>
      <c r="F132" s="49">
        <f t="shared" ca="1" si="19"/>
        <v>696.63380000000006</v>
      </c>
      <c r="G132" s="49">
        <f t="shared" ca="1" si="19"/>
        <v>565.11990000000003</v>
      </c>
      <c r="H132" s="49">
        <f t="shared" ca="1" si="19"/>
        <v>442.45249999999999</v>
      </c>
      <c r="I132" s="84">
        <f t="shared" ca="1" si="19"/>
        <v>388.62180000000006</v>
      </c>
      <c r="J132" s="83">
        <f t="shared" ref="J132:O132" ca="1" si="20">SUM(J127:J131)</f>
        <v>359.81790000000001</v>
      </c>
      <c r="K132" s="49">
        <f t="shared" ca="1" si="20"/>
        <v>336.87779999999998</v>
      </c>
      <c r="L132" s="49">
        <f t="shared" ca="1" si="20"/>
        <v>336.28120000000001</v>
      </c>
      <c r="M132" s="49">
        <f t="shared" ca="1" si="20"/>
        <v>369.14</v>
      </c>
      <c r="N132" s="49">
        <f t="shared" ca="1" si="20"/>
        <v>420.41550000000001</v>
      </c>
      <c r="O132" s="84">
        <f t="shared" ca="1" si="20"/>
        <v>519.66070000000002</v>
      </c>
    </row>
    <row r="133" spans="1:15" hidden="1" outlineLevel="1" x14ac:dyDescent="0.25">
      <c r="A133" s="42"/>
      <c r="B133" s="43" t="s">
        <v>0</v>
      </c>
      <c r="D133" s="80"/>
      <c r="E133" s="81"/>
      <c r="F133" s="81"/>
      <c r="G133" s="81"/>
      <c r="H133" s="81"/>
      <c r="I133" s="82"/>
      <c r="J133" s="80"/>
      <c r="K133" s="81"/>
      <c r="L133" s="81"/>
      <c r="M133" s="81"/>
      <c r="N133" s="81"/>
      <c r="O133" s="82"/>
    </row>
    <row r="134" spans="1:15" hidden="1" outlineLevel="1" x14ac:dyDescent="0.25">
      <c r="A134" s="1"/>
      <c r="B134" s="133"/>
      <c r="D134" s="50"/>
      <c r="E134" s="51"/>
      <c r="F134" s="51"/>
      <c r="G134" s="51"/>
      <c r="H134" s="51"/>
      <c r="I134" s="51"/>
      <c r="J134" s="50"/>
      <c r="K134" s="51"/>
      <c r="L134" s="51"/>
      <c r="M134" s="51"/>
      <c r="N134" s="51"/>
      <c r="O134" s="51"/>
    </row>
    <row r="135" spans="1:15" hidden="1" outlineLevel="1" x14ac:dyDescent="0.25">
      <c r="A135" s="38"/>
      <c r="B135" s="39"/>
      <c r="D135" s="332" t="s">
        <v>143</v>
      </c>
      <c r="E135" s="333" t="s">
        <v>58</v>
      </c>
      <c r="F135" s="333" t="s">
        <v>144</v>
      </c>
      <c r="G135" s="333"/>
      <c r="H135" s="333"/>
      <c r="I135" s="334"/>
      <c r="J135" s="332" t="s">
        <v>143</v>
      </c>
      <c r="K135" s="333" t="s">
        <v>58</v>
      </c>
      <c r="L135" s="333" t="s">
        <v>144</v>
      </c>
      <c r="M135" s="333"/>
      <c r="N135" s="333"/>
      <c r="O135" s="334"/>
    </row>
    <row r="136" spans="1:15" hidden="1" outlineLevel="2" x14ac:dyDescent="0.25">
      <c r="A136" s="30">
        <v>255</v>
      </c>
      <c r="B136" s="31" t="s">
        <v>145</v>
      </c>
      <c r="D136" s="65">
        <f ca="1">VLOOKUP($A136,INDIRECT($P$2),COLUMN()-1,FALSE)*VLOOKUP($A136,Usinas!$C:$D,2,FALSE)</f>
        <v>517.93219999999997</v>
      </c>
      <c r="E136" s="65">
        <f ca="1">VLOOKUP($A136,INDIRECT($P$2),COLUMN()-1,FALSE)*VLOOKUP($A136,Usinas!$C:$D,2,FALSE)</f>
        <v>350.76099999999997</v>
      </c>
      <c r="F136" s="65">
        <f ca="1">VLOOKUP($A136,INDIRECT($P$2),COLUMN()-1,FALSE)*VLOOKUP($A136,Usinas!$C:$D,2,FALSE)</f>
        <v>317.92379999999997</v>
      </c>
      <c r="G136" s="65">
        <f ca="1">VLOOKUP($A136,INDIRECT($P$2),COLUMN()-1,FALSE)*VLOOKUP($A136,Usinas!$C:$D,2,FALSE)</f>
        <v>200.00839999999999</v>
      </c>
      <c r="H136" s="65">
        <f ca="1">VLOOKUP($A136,INDIRECT($P$2),COLUMN()-1,FALSE)*VLOOKUP($A136,Usinas!$C:$D,2,FALSE)</f>
        <v>105.9746</v>
      </c>
      <c r="I136" s="65">
        <f ca="1">VLOOKUP($A136,INDIRECT($P$2),COLUMN()-1,FALSE)*VLOOKUP($A136,Usinas!$C:$D,2,FALSE)</f>
        <v>79.107799999999997</v>
      </c>
      <c r="J136" s="65">
        <f ca="1">VLOOKUP($A136,INDIRECT($P$2),COLUMN()-1,FALSE)*VLOOKUP($A136,Usinas!$C:$D,2,FALSE)</f>
        <v>65.674399999999991</v>
      </c>
      <c r="K136" s="65">
        <f ca="1">VLOOKUP($A136,INDIRECT($P$2),COLUMN()-1,FALSE)*VLOOKUP($A136,Usinas!$C:$D,2,FALSE)</f>
        <v>55.226199999999999</v>
      </c>
      <c r="L136" s="65">
        <f ca="1">VLOOKUP($A136,INDIRECT($P$2),COLUMN()-1,FALSE)*VLOOKUP($A136,Usinas!$C:$D,2,FALSE)</f>
        <v>52.241</v>
      </c>
      <c r="M136" s="65">
        <f ca="1">VLOOKUP($A136,INDIRECT($P$2),COLUMN()-1,FALSE)*VLOOKUP($A136,Usinas!$C:$D,2,FALSE)</f>
        <v>101.49679999999999</v>
      </c>
      <c r="N136" s="65">
        <f ca="1">VLOOKUP($A136,INDIRECT($P$2),COLUMN()-1,FALSE)*VLOOKUP($A136,Usinas!$C:$D,2,FALSE)</f>
        <v>300.01259999999996</v>
      </c>
      <c r="O136" s="65">
        <f ca="1">VLOOKUP($A136,INDIRECT($P$2),COLUMN()-1,FALSE)*VLOOKUP($A136,Usinas!$C:$D,2,FALSE)</f>
        <v>537.33600000000001</v>
      </c>
    </row>
    <row r="137" spans="1:15" hidden="1" outlineLevel="1" x14ac:dyDescent="0.25">
      <c r="A137" s="40"/>
      <c r="B137" s="41" t="s">
        <v>56</v>
      </c>
      <c r="D137" s="83">
        <f t="shared" ref="D137:O137" ca="1" si="21">D136</f>
        <v>517.93219999999997</v>
      </c>
      <c r="E137" s="49">
        <f t="shared" ca="1" si="21"/>
        <v>350.76099999999997</v>
      </c>
      <c r="F137" s="49">
        <f t="shared" ca="1" si="21"/>
        <v>317.92379999999997</v>
      </c>
      <c r="G137" s="49">
        <f t="shared" ca="1" si="21"/>
        <v>200.00839999999999</v>
      </c>
      <c r="H137" s="49">
        <f t="shared" ca="1" si="21"/>
        <v>105.9746</v>
      </c>
      <c r="I137" s="84">
        <f t="shared" ca="1" si="21"/>
        <v>79.107799999999997</v>
      </c>
      <c r="J137" s="83">
        <f t="shared" ca="1" si="21"/>
        <v>65.674399999999991</v>
      </c>
      <c r="K137" s="49">
        <f t="shared" ca="1" si="21"/>
        <v>55.226199999999999</v>
      </c>
      <c r="L137" s="49">
        <f t="shared" ca="1" si="21"/>
        <v>52.241</v>
      </c>
      <c r="M137" s="49">
        <f t="shared" ca="1" si="21"/>
        <v>101.49679999999999</v>
      </c>
      <c r="N137" s="49">
        <f t="shared" ca="1" si="21"/>
        <v>300.01259999999996</v>
      </c>
      <c r="O137" s="84">
        <f t="shared" ca="1" si="21"/>
        <v>537.33600000000001</v>
      </c>
    </row>
    <row r="138" spans="1:15" hidden="1" outlineLevel="1" x14ac:dyDescent="0.25">
      <c r="A138" s="42"/>
      <c r="B138" s="43" t="s">
        <v>0</v>
      </c>
      <c r="D138" s="80"/>
      <c r="E138" s="81"/>
      <c r="F138" s="81"/>
      <c r="G138" s="81"/>
      <c r="H138" s="81"/>
      <c r="I138" s="82"/>
      <c r="J138" s="80"/>
      <c r="K138" s="81"/>
      <c r="L138" s="81"/>
      <c r="M138" s="81"/>
      <c r="N138" s="81"/>
      <c r="O138" s="82"/>
    </row>
    <row r="139" spans="1:15" hidden="1" outlineLevel="1" x14ac:dyDescent="0.25">
      <c r="A139" s="1"/>
      <c r="B139" s="133"/>
      <c r="D139" s="50"/>
      <c r="E139" s="51"/>
      <c r="F139" s="51"/>
      <c r="G139" s="51"/>
      <c r="H139" s="51"/>
      <c r="I139" s="51"/>
      <c r="J139" s="50"/>
      <c r="K139" s="51"/>
      <c r="L139" s="51"/>
      <c r="M139" s="51"/>
      <c r="N139" s="51"/>
      <c r="O139" s="51"/>
    </row>
    <row r="140" spans="1:15" hidden="1" outlineLevel="1" x14ac:dyDescent="0.25">
      <c r="A140" s="38"/>
      <c r="B140" s="39"/>
      <c r="D140" s="332" t="s">
        <v>146</v>
      </c>
      <c r="E140" s="333" t="s">
        <v>58</v>
      </c>
      <c r="F140" s="333" t="s">
        <v>147</v>
      </c>
      <c r="G140" s="333"/>
      <c r="H140" s="333"/>
      <c r="I140" s="334"/>
      <c r="J140" s="332" t="s">
        <v>146</v>
      </c>
      <c r="K140" s="333" t="s">
        <v>58</v>
      </c>
      <c r="L140" s="333" t="s">
        <v>147</v>
      </c>
      <c r="M140" s="333"/>
      <c r="N140" s="333"/>
      <c r="O140" s="334"/>
    </row>
    <row r="141" spans="1:15" hidden="1" outlineLevel="2" x14ac:dyDescent="0.25">
      <c r="A141" s="30">
        <v>279</v>
      </c>
      <c r="B141" s="31" t="s">
        <v>148</v>
      </c>
      <c r="D141" s="65">
        <f ca="1">VLOOKUP($A141,INDIRECT($P$2),COLUMN()-1,FALSE)*VLOOKUP($A141,Usinas!$C:$D,2,FALSE)</f>
        <v>118.9875</v>
      </c>
      <c r="E141" s="65">
        <f ca="1">VLOOKUP($A141,INDIRECT($P$2),COLUMN()-1,FALSE)*VLOOKUP($A141,Usinas!$C:$D,2,FALSE)</f>
        <v>185.87100000000001</v>
      </c>
      <c r="F141" s="65">
        <f ca="1">VLOOKUP($A141,INDIRECT($P$2),COLUMN()-1,FALSE)*VLOOKUP($A141,Usinas!$C:$D,2,FALSE)</f>
        <v>211.17150000000001</v>
      </c>
      <c r="G141" s="65">
        <f ca="1">VLOOKUP($A141,INDIRECT($P$2),COLUMN()-1,FALSE)*VLOOKUP($A141,Usinas!$C:$D,2,FALSE)</f>
        <v>189.6285</v>
      </c>
      <c r="H141" s="65">
        <f ca="1">VLOOKUP($A141,INDIRECT($P$2),COLUMN()-1,FALSE)*VLOOKUP($A141,Usinas!$C:$D,2,FALSE)</f>
        <v>115.73099999999999</v>
      </c>
      <c r="I141" s="65">
        <f ca="1">VLOOKUP($A141,INDIRECT($P$2),COLUMN()-1,FALSE)*VLOOKUP($A141,Usinas!$C:$D,2,FALSE)</f>
        <v>61.372500000000002</v>
      </c>
      <c r="J141" s="65">
        <f ca="1">VLOOKUP($A141,INDIRECT($P$2),COLUMN()-1,FALSE)*VLOOKUP($A141,Usinas!$C:$D,2,FALSE)</f>
        <v>36.322499999999998</v>
      </c>
      <c r="K141" s="65">
        <f ca="1">VLOOKUP($A141,INDIRECT($P$2),COLUMN()-1,FALSE)*VLOOKUP($A141,Usinas!$C:$D,2,FALSE)</f>
        <v>22.294499999999999</v>
      </c>
      <c r="L141" s="65">
        <f ca="1">VLOOKUP($A141,INDIRECT($P$2),COLUMN()-1,FALSE)*VLOOKUP($A141,Usinas!$C:$D,2,FALSE)</f>
        <v>15.781499999999999</v>
      </c>
      <c r="M141" s="65">
        <f ca="1">VLOOKUP($A141,INDIRECT($P$2),COLUMN()-1,FALSE)*VLOOKUP($A141,Usinas!$C:$D,2,FALSE)</f>
        <v>15.03</v>
      </c>
      <c r="N141" s="65">
        <f ca="1">VLOOKUP($A141,INDIRECT($P$2),COLUMN()-1,FALSE)*VLOOKUP($A141,Usinas!$C:$D,2,FALSE)</f>
        <v>29.308499999999999</v>
      </c>
      <c r="O141" s="65">
        <f ca="1">VLOOKUP($A141,INDIRECT($P$2),COLUMN()-1,FALSE)*VLOOKUP($A141,Usinas!$C:$D,2,FALSE)</f>
        <v>59.619</v>
      </c>
    </row>
    <row r="142" spans="1:15" hidden="1" outlineLevel="2" x14ac:dyDescent="0.25">
      <c r="A142" s="30">
        <v>145</v>
      </c>
      <c r="B142" s="31" t="s">
        <v>149</v>
      </c>
      <c r="D142" s="65">
        <f ca="1">VLOOKUP($A142,INDIRECT($P$2),COLUMN()-1,FALSE)*VLOOKUP($A142,Usinas!$C:$D,2,FALSE)</f>
        <v>62.805600000000005</v>
      </c>
      <c r="E142" s="65">
        <f ca="1">VLOOKUP($A142,INDIRECT($P$2),COLUMN()-1,FALSE)*VLOOKUP($A142,Usinas!$C:$D,2,FALSE)</f>
        <v>72.468000000000004</v>
      </c>
      <c r="F142" s="65">
        <f ca="1">VLOOKUP($A142,INDIRECT($P$2),COLUMN()-1,FALSE)*VLOOKUP($A142,Usinas!$C:$D,2,FALSE)</f>
        <v>79.446400000000011</v>
      </c>
      <c r="G142" s="65">
        <f ca="1">VLOOKUP($A142,INDIRECT($P$2),COLUMN()-1,FALSE)*VLOOKUP($A142,Usinas!$C:$D,2,FALSE)</f>
        <v>59.584800000000008</v>
      </c>
      <c r="H142" s="65">
        <f ca="1">VLOOKUP($A142,INDIRECT($P$2),COLUMN()-1,FALSE)*VLOOKUP($A142,Usinas!$C:$D,2,FALSE)</f>
        <v>41.870400000000004</v>
      </c>
      <c r="I142" s="65">
        <f ca="1">VLOOKUP($A142,INDIRECT($P$2),COLUMN()-1,FALSE)*VLOOKUP($A142,Usinas!$C:$D,2,FALSE)</f>
        <v>34.355200000000004</v>
      </c>
      <c r="J142" s="65">
        <f ca="1">VLOOKUP($A142,INDIRECT($P$2),COLUMN()-1,FALSE)*VLOOKUP($A142,Usinas!$C:$D,2,FALSE)</f>
        <v>31.134400000000003</v>
      </c>
      <c r="K142" s="65">
        <f ca="1">VLOOKUP($A142,INDIRECT($P$2),COLUMN()-1,FALSE)*VLOOKUP($A142,Usinas!$C:$D,2,FALSE)</f>
        <v>28.987200000000001</v>
      </c>
      <c r="L142" s="65">
        <f ca="1">VLOOKUP($A142,INDIRECT($P$2),COLUMN()-1,FALSE)*VLOOKUP($A142,Usinas!$C:$D,2,FALSE)</f>
        <v>27.913600000000002</v>
      </c>
      <c r="M142" s="65">
        <f ca="1">VLOOKUP($A142,INDIRECT($P$2),COLUMN()-1,FALSE)*VLOOKUP($A142,Usinas!$C:$D,2,FALSE)</f>
        <v>30.060800000000004</v>
      </c>
      <c r="N142" s="65">
        <f ca="1">VLOOKUP($A142,INDIRECT($P$2),COLUMN()-1,FALSE)*VLOOKUP($A142,Usinas!$C:$D,2,FALSE)</f>
        <v>34.892000000000003</v>
      </c>
      <c r="O142" s="65">
        <f ca="1">VLOOKUP($A142,INDIRECT($P$2),COLUMN()-1,FALSE)*VLOOKUP($A142,Usinas!$C:$D,2,FALSE)</f>
        <v>47.238400000000006</v>
      </c>
    </row>
    <row r="143" spans="1:15" hidden="1" outlineLevel="2" x14ac:dyDescent="0.25">
      <c r="A143" s="30">
        <v>229</v>
      </c>
      <c r="B143" s="31" t="s">
        <v>402</v>
      </c>
      <c r="D143" s="65">
        <f ca="1">VLOOKUP($A143,INDIRECT($P$2),COLUMN()-1,FALSE)*VLOOKUP($A143,Usinas!$C:$D,2,FALSE)</f>
        <v>0</v>
      </c>
      <c r="E143" s="65">
        <f ca="1">VLOOKUP($A143,INDIRECT($P$2),COLUMN()-1,FALSE)*VLOOKUP($A143,Usinas!$C:$D,2,FALSE)</f>
        <v>0</v>
      </c>
      <c r="F143" s="65">
        <f ca="1">VLOOKUP($A143,INDIRECT($P$2),COLUMN()-1,FALSE)*VLOOKUP($A143,Usinas!$C:$D,2,FALSE)</f>
        <v>0</v>
      </c>
      <c r="G143" s="65">
        <f ca="1">VLOOKUP($A143,INDIRECT($P$2),COLUMN()-1,FALSE)*VLOOKUP($A143,Usinas!$C:$D,2,FALSE)</f>
        <v>0</v>
      </c>
      <c r="H143" s="65">
        <f ca="1">VLOOKUP($A143,INDIRECT($P$2),COLUMN()-1,FALSE)*VLOOKUP($A143,Usinas!$C:$D,2,FALSE)</f>
        <v>0</v>
      </c>
      <c r="I143" s="65">
        <f ca="1">VLOOKUP($A143,INDIRECT($P$2),COLUMN()-1,FALSE)*VLOOKUP($A143,Usinas!$C:$D,2,FALSE)</f>
        <v>0</v>
      </c>
      <c r="J143" s="65">
        <f ca="1">VLOOKUP($A143,INDIRECT($P$2),COLUMN()-1,FALSE)*VLOOKUP($A143,Usinas!$C:$D,2,FALSE)</f>
        <v>0</v>
      </c>
      <c r="K143" s="65">
        <f ca="1">VLOOKUP($A143,INDIRECT($P$2),COLUMN()-1,FALSE)*VLOOKUP($A143,Usinas!$C:$D,2,FALSE)</f>
        <v>0</v>
      </c>
      <c r="L143" s="65">
        <f ca="1">VLOOKUP($A143,INDIRECT($P$2),COLUMN()-1,FALSE)*VLOOKUP($A143,Usinas!$C:$D,2,FALSE)</f>
        <v>0</v>
      </c>
      <c r="M143" s="65">
        <f ca="1">VLOOKUP($A143,INDIRECT($P$2),COLUMN()-1,FALSE)*VLOOKUP($A143,Usinas!$C:$D,2,FALSE)</f>
        <v>0</v>
      </c>
      <c r="N143" s="65">
        <f ca="1">VLOOKUP($A143,INDIRECT($P$2),COLUMN()-1,FALSE)*VLOOKUP($A143,Usinas!$C:$D,2,FALSE)</f>
        <v>0</v>
      </c>
      <c r="O143" s="65">
        <f ca="1">VLOOKUP($A143,INDIRECT($P$2),COLUMN()-1,FALSE)*VLOOKUP($A143,Usinas!$C:$D,2,FALSE)</f>
        <v>0</v>
      </c>
    </row>
    <row r="144" spans="1:15" hidden="1" outlineLevel="2" x14ac:dyDescent="0.25">
      <c r="A144" s="30">
        <v>285</v>
      </c>
      <c r="B144" s="31" t="s">
        <v>150</v>
      </c>
      <c r="D144" s="65">
        <f ca="1">VLOOKUP($A144,INDIRECT($P$2),COLUMN()-1,FALSE)*VLOOKUP($A144,Usinas!$C:$D,2,FALSE)</f>
        <v>0</v>
      </c>
      <c r="E144" s="65">
        <f ca="1">VLOOKUP($A144,INDIRECT($P$2),COLUMN()-1,FALSE)*VLOOKUP($A144,Usinas!$C:$D,2,FALSE)</f>
        <v>0</v>
      </c>
      <c r="F144" s="65">
        <f ca="1">VLOOKUP($A144,INDIRECT($P$2),COLUMN()-1,FALSE)*VLOOKUP($A144,Usinas!$C:$D,2,FALSE)</f>
        <v>0</v>
      </c>
      <c r="G144" s="65">
        <f ca="1">VLOOKUP($A144,INDIRECT($P$2),COLUMN()-1,FALSE)*VLOOKUP($A144,Usinas!$C:$D,2,FALSE)</f>
        <v>0</v>
      </c>
      <c r="H144" s="65">
        <f ca="1">VLOOKUP($A144,INDIRECT($P$2),COLUMN()-1,FALSE)*VLOOKUP($A144,Usinas!$C:$D,2,FALSE)</f>
        <v>0</v>
      </c>
      <c r="I144" s="65">
        <f ca="1">VLOOKUP($A144,INDIRECT($P$2),COLUMN()-1,FALSE)*VLOOKUP($A144,Usinas!$C:$D,2,FALSE)</f>
        <v>0</v>
      </c>
      <c r="J144" s="65">
        <f ca="1">VLOOKUP($A144,INDIRECT($P$2),COLUMN()-1,FALSE)*VLOOKUP($A144,Usinas!$C:$D,2,FALSE)</f>
        <v>0</v>
      </c>
      <c r="K144" s="65">
        <f ca="1">VLOOKUP($A144,INDIRECT($P$2),COLUMN()-1,FALSE)*VLOOKUP($A144,Usinas!$C:$D,2,FALSE)</f>
        <v>0</v>
      </c>
      <c r="L144" s="65">
        <f ca="1">VLOOKUP($A144,INDIRECT($P$2),COLUMN()-1,FALSE)*VLOOKUP($A144,Usinas!$C:$D,2,FALSE)</f>
        <v>0</v>
      </c>
      <c r="M144" s="65">
        <f ca="1">VLOOKUP($A144,INDIRECT($P$2),COLUMN()-1,FALSE)*VLOOKUP($A144,Usinas!$C:$D,2,FALSE)</f>
        <v>0</v>
      </c>
      <c r="N144" s="65">
        <f ca="1">VLOOKUP($A144,INDIRECT($P$2),COLUMN()-1,FALSE)*VLOOKUP($A144,Usinas!$C:$D,2,FALSE)</f>
        <v>0</v>
      </c>
      <c r="O144" s="65">
        <f ca="1">VLOOKUP($A144,INDIRECT($P$2),COLUMN()-1,FALSE)*VLOOKUP($A144,Usinas!$C:$D,2,FALSE)</f>
        <v>0</v>
      </c>
    </row>
    <row r="145" spans="1:15" hidden="1" outlineLevel="2" x14ac:dyDescent="0.25">
      <c r="A145" s="30">
        <v>287</v>
      </c>
      <c r="B145" s="31" t="s">
        <v>151</v>
      </c>
      <c r="D145" s="65">
        <f ca="1">VLOOKUP($A145,INDIRECT($P$2),COLUMN()-1,FALSE)*VLOOKUP($A145,Usinas!$C:$D,2,FALSE)</f>
        <v>0</v>
      </c>
      <c r="E145" s="65">
        <f ca="1">VLOOKUP($A145,INDIRECT($P$2),COLUMN()-1,FALSE)*VLOOKUP($A145,Usinas!$C:$D,2,FALSE)</f>
        <v>0</v>
      </c>
      <c r="F145" s="65">
        <f ca="1">VLOOKUP($A145,INDIRECT($P$2),COLUMN()-1,FALSE)*VLOOKUP($A145,Usinas!$C:$D,2,FALSE)</f>
        <v>0</v>
      </c>
      <c r="G145" s="65">
        <f ca="1">VLOOKUP($A145,INDIRECT($P$2),COLUMN()-1,FALSE)*VLOOKUP($A145,Usinas!$C:$D,2,FALSE)</f>
        <v>0</v>
      </c>
      <c r="H145" s="65">
        <f ca="1">VLOOKUP($A145,INDIRECT($P$2),COLUMN()-1,FALSE)*VLOOKUP($A145,Usinas!$C:$D,2,FALSE)</f>
        <v>0</v>
      </c>
      <c r="I145" s="65">
        <f ca="1">VLOOKUP($A145,INDIRECT($P$2),COLUMN()-1,FALSE)*VLOOKUP($A145,Usinas!$C:$D,2,FALSE)</f>
        <v>0</v>
      </c>
      <c r="J145" s="65">
        <f ca="1">VLOOKUP($A145,INDIRECT($P$2),COLUMN()-1,FALSE)*VLOOKUP($A145,Usinas!$C:$D,2,FALSE)</f>
        <v>0</v>
      </c>
      <c r="K145" s="65">
        <f ca="1">VLOOKUP($A145,INDIRECT($P$2),COLUMN()-1,FALSE)*VLOOKUP($A145,Usinas!$C:$D,2,FALSE)</f>
        <v>0</v>
      </c>
      <c r="L145" s="65">
        <f ca="1">VLOOKUP($A145,INDIRECT($P$2),COLUMN()-1,FALSE)*VLOOKUP($A145,Usinas!$C:$D,2,FALSE)</f>
        <v>0</v>
      </c>
      <c r="M145" s="65">
        <f ca="1">VLOOKUP($A145,INDIRECT($P$2),COLUMN()-1,FALSE)*VLOOKUP($A145,Usinas!$C:$D,2,FALSE)</f>
        <v>0</v>
      </c>
      <c r="N145" s="65">
        <f ca="1">VLOOKUP($A145,INDIRECT($P$2),COLUMN()-1,FALSE)*VLOOKUP($A145,Usinas!$C:$D,2,FALSE)</f>
        <v>0</v>
      </c>
      <c r="O145" s="65">
        <f ca="1">VLOOKUP($A145,INDIRECT($P$2),COLUMN()-1,FALSE)*VLOOKUP($A145,Usinas!$C:$D,2,FALSE)</f>
        <v>0</v>
      </c>
    </row>
    <row r="146" spans="1:15" hidden="1" outlineLevel="2" x14ac:dyDescent="0.25">
      <c r="A146" s="30">
        <v>291</v>
      </c>
      <c r="B146" s="31" t="s">
        <v>152</v>
      </c>
      <c r="D146" s="65">
        <f ca="1">VLOOKUP($A146,INDIRECT($P$2),COLUMN()-1,FALSE)*VLOOKUP($A146,Usinas!$C:$D,2,FALSE)</f>
        <v>438.79450000000003</v>
      </c>
      <c r="E146" s="65">
        <f ca="1">VLOOKUP($A146,INDIRECT($P$2),COLUMN()-1,FALSE)*VLOOKUP($A146,Usinas!$C:$D,2,FALSE)</f>
        <v>649.06830000000002</v>
      </c>
      <c r="F146" s="65">
        <f ca="1">VLOOKUP($A146,INDIRECT($P$2),COLUMN()-1,FALSE)*VLOOKUP($A146,Usinas!$C:$D,2,FALSE)</f>
        <v>724.6626</v>
      </c>
      <c r="G146" s="65">
        <f ca="1">VLOOKUP($A146,INDIRECT($P$2),COLUMN()-1,FALSE)*VLOOKUP($A146,Usinas!$C:$D,2,FALSE)</f>
        <v>633.42809999999997</v>
      </c>
      <c r="H146" s="65">
        <f ca="1">VLOOKUP($A146,INDIRECT($P$2),COLUMN()-1,FALSE)*VLOOKUP($A146,Usinas!$C:$D,2,FALSE)</f>
        <v>402.30070000000001</v>
      </c>
      <c r="I146" s="65">
        <f ca="1">VLOOKUP($A146,INDIRECT($P$2),COLUMN()-1,FALSE)*VLOOKUP($A146,Usinas!$C:$D,2,FALSE)</f>
        <v>187.6824</v>
      </c>
      <c r="J146" s="65">
        <f ca="1">VLOOKUP($A146,INDIRECT($P$2),COLUMN()-1,FALSE)*VLOOKUP($A146,Usinas!$C:$D,2,FALSE)</f>
        <v>86.021100000000004</v>
      </c>
      <c r="K146" s="65">
        <f ca="1">VLOOKUP($A146,INDIRECT($P$2),COLUMN()-1,FALSE)*VLOOKUP($A146,Usinas!$C:$D,2,FALSE)</f>
        <v>49.527299999999997</v>
      </c>
      <c r="L146" s="65">
        <f ca="1">VLOOKUP($A146,INDIRECT($P$2),COLUMN()-1,FALSE)*VLOOKUP($A146,Usinas!$C:$D,2,FALSE)</f>
        <v>40.838300000000004</v>
      </c>
      <c r="M146" s="65">
        <f ca="1">VLOOKUP($A146,INDIRECT($P$2),COLUMN()-1,FALSE)*VLOOKUP($A146,Usinas!$C:$D,2,FALSE)</f>
        <v>46.9206</v>
      </c>
      <c r="N146" s="65">
        <f ca="1">VLOOKUP($A146,INDIRECT($P$2),COLUMN()-1,FALSE)*VLOOKUP($A146,Usinas!$C:$D,2,FALSE)</f>
        <v>81.676600000000008</v>
      </c>
      <c r="O146" s="65">
        <f ca="1">VLOOKUP($A146,INDIRECT($P$2),COLUMN()-1,FALSE)*VLOOKUP($A146,Usinas!$C:$D,2,FALSE)</f>
        <v>198.97810000000001</v>
      </c>
    </row>
    <row r="147" spans="1:15" hidden="1" outlineLevel="2" x14ac:dyDescent="0.25">
      <c r="A147" s="30">
        <v>296</v>
      </c>
      <c r="B147" s="31" t="s">
        <v>153</v>
      </c>
      <c r="D147" s="65">
        <f ca="1">VLOOKUP($A147,INDIRECT($P$2),COLUMN()-1,FALSE)*VLOOKUP($A147,Usinas!$C:$D,2,FALSE)</f>
        <v>49.378</v>
      </c>
      <c r="E147" s="65">
        <f ca="1">VLOOKUP($A147,INDIRECT($P$2),COLUMN()-1,FALSE)*VLOOKUP($A147,Usinas!$C:$D,2,FALSE)</f>
        <v>52.199600000000004</v>
      </c>
      <c r="F147" s="65">
        <f ca="1">VLOOKUP($A147,INDIRECT($P$2),COLUMN()-1,FALSE)*VLOOKUP($A147,Usinas!$C:$D,2,FALSE)</f>
        <v>55.0212</v>
      </c>
      <c r="G147" s="65">
        <f ca="1">VLOOKUP($A147,INDIRECT($P$2),COLUMN()-1,FALSE)*VLOOKUP($A147,Usinas!$C:$D,2,FALSE)</f>
        <v>52.199600000000004</v>
      </c>
      <c r="H147" s="65">
        <f ca="1">VLOOKUP($A147,INDIRECT($P$2),COLUMN()-1,FALSE)*VLOOKUP($A147,Usinas!$C:$D,2,FALSE)</f>
        <v>47.967200000000005</v>
      </c>
      <c r="I147" s="65">
        <f ca="1">VLOOKUP($A147,INDIRECT($P$2),COLUMN()-1,FALSE)*VLOOKUP($A147,Usinas!$C:$D,2,FALSE)</f>
        <v>45.145600000000002</v>
      </c>
      <c r="J147" s="65">
        <f ca="1">VLOOKUP($A147,INDIRECT($P$2),COLUMN()-1,FALSE)*VLOOKUP($A147,Usinas!$C:$D,2,FALSE)</f>
        <v>42.323999999999998</v>
      </c>
      <c r="K147" s="65">
        <f ca="1">VLOOKUP($A147,INDIRECT($P$2),COLUMN()-1,FALSE)*VLOOKUP($A147,Usinas!$C:$D,2,FALSE)</f>
        <v>40.913200000000003</v>
      </c>
      <c r="L147" s="65">
        <f ca="1">VLOOKUP($A147,INDIRECT($P$2),COLUMN()-1,FALSE)*VLOOKUP($A147,Usinas!$C:$D,2,FALSE)</f>
        <v>40.913200000000003</v>
      </c>
      <c r="M147" s="65">
        <f ca="1">VLOOKUP($A147,INDIRECT($P$2),COLUMN()-1,FALSE)*VLOOKUP($A147,Usinas!$C:$D,2,FALSE)</f>
        <v>42.323999999999998</v>
      </c>
      <c r="N147" s="65">
        <f ca="1">VLOOKUP($A147,INDIRECT($P$2),COLUMN()-1,FALSE)*VLOOKUP($A147,Usinas!$C:$D,2,FALSE)</f>
        <v>43.7348</v>
      </c>
      <c r="O147" s="65">
        <f ca="1">VLOOKUP($A147,INDIRECT($P$2),COLUMN()-1,FALSE)*VLOOKUP($A147,Usinas!$C:$D,2,FALSE)</f>
        <v>46.556400000000004</v>
      </c>
    </row>
    <row r="148" spans="1:15" hidden="1" outlineLevel="1" x14ac:dyDescent="0.25">
      <c r="A148" s="40"/>
      <c r="B148" s="41" t="s">
        <v>56</v>
      </c>
      <c r="D148" s="83">
        <f t="shared" ref="D148:I148" ca="1" si="22">SUM(D141:D147)</f>
        <v>669.96560000000011</v>
      </c>
      <c r="E148" s="49">
        <f t="shared" ca="1" si="22"/>
        <v>959.60690000000011</v>
      </c>
      <c r="F148" s="49">
        <f t="shared" ca="1" si="22"/>
        <v>1070.3017</v>
      </c>
      <c r="G148" s="49">
        <f t="shared" ca="1" si="22"/>
        <v>934.84100000000001</v>
      </c>
      <c r="H148" s="49">
        <f t="shared" ca="1" si="22"/>
        <v>607.86930000000007</v>
      </c>
      <c r="I148" s="84">
        <f t="shared" ca="1" si="22"/>
        <v>328.5557</v>
      </c>
      <c r="J148" s="83">
        <f t="shared" ref="J148:O148" ca="1" si="23">SUM(J141:J147)</f>
        <v>195.80200000000002</v>
      </c>
      <c r="K148" s="49">
        <f t="shared" ca="1" si="23"/>
        <v>141.72219999999999</v>
      </c>
      <c r="L148" s="49">
        <f t="shared" ca="1" si="23"/>
        <v>125.4466</v>
      </c>
      <c r="M148" s="49">
        <f t="shared" ca="1" si="23"/>
        <v>134.33539999999999</v>
      </c>
      <c r="N148" s="49">
        <f t="shared" ca="1" si="23"/>
        <v>189.61190000000002</v>
      </c>
      <c r="O148" s="84">
        <f t="shared" ca="1" si="23"/>
        <v>352.39190000000002</v>
      </c>
    </row>
    <row r="149" spans="1:15" hidden="1" outlineLevel="1" x14ac:dyDescent="0.25">
      <c r="A149" s="42"/>
      <c r="B149" s="43" t="s">
        <v>0</v>
      </c>
      <c r="D149" s="80"/>
      <c r="E149" s="81"/>
      <c r="F149" s="81"/>
      <c r="G149" s="81"/>
      <c r="H149" s="81"/>
      <c r="I149" s="82"/>
      <c r="J149" s="80"/>
      <c r="K149" s="81"/>
      <c r="L149" s="81"/>
      <c r="M149" s="81"/>
      <c r="N149" s="81"/>
      <c r="O149" s="82"/>
    </row>
    <row r="150" spans="1:15" hidden="1" outlineLevel="1" x14ac:dyDescent="0.25">
      <c r="A150" s="1"/>
      <c r="B150" s="133"/>
      <c r="D150" s="50"/>
      <c r="E150" s="51"/>
      <c r="F150" s="51"/>
      <c r="G150" s="51"/>
      <c r="H150" s="51"/>
      <c r="I150" s="51"/>
      <c r="J150" s="50"/>
      <c r="K150" s="51"/>
      <c r="L150" s="51"/>
      <c r="M150" s="51"/>
      <c r="N150" s="51"/>
      <c r="O150" s="51"/>
    </row>
    <row r="151" spans="1:15" hidden="1" outlineLevel="1" x14ac:dyDescent="0.25">
      <c r="A151" s="38"/>
      <c r="B151" s="39"/>
      <c r="D151" s="332" t="s">
        <v>154</v>
      </c>
      <c r="E151" s="333" t="s">
        <v>58</v>
      </c>
      <c r="F151" s="333" t="s">
        <v>155</v>
      </c>
      <c r="G151" s="333"/>
      <c r="H151" s="333"/>
      <c r="I151" s="334"/>
      <c r="J151" s="332" t="s">
        <v>154</v>
      </c>
      <c r="K151" s="333" t="s">
        <v>58</v>
      </c>
      <c r="L151" s="333" t="s">
        <v>155</v>
      </c>
      <c r="M151" s="333"/>
      <c r="N151" s="333"/>
      <c r="O151" s="334"/>
    </row>
    <row r="152" spans="1:15" hidden="1" outlineLevel="2" x14ac:dyDescent="0.25">
      <c r="A152" s="30">
        <v>155</v>
      </c>
      <c r="B152" s="31" t="s">
        <v>156</v>
      </c>
      <c r="D152" s="65">
        <f ca="1">VLOOKUP($A152,INDIRECT($P$2),COLUMN()-1,FALSE)*VLOOKUP($A152,Usinas!$C:$D,2,FALSE)</f>
        <v>108.5913</v>
      </c>
      <c r="E152" s="65">
        <f ca="1">VLOOKUP($A152,INDIRECT($P$2),COLUMN()-1,FALSE)*VLOOKUP($A152,Usinas!$C:$D,2,FALSE)</f>
        <v>92.612399999999994</v>
      </c>
      <c r="F152" s="65">
        <f ca="1">VLOOKUP($A152,INDIRECT($P$2),COLUMN()-1,FALSE)*VLOOKUP($A152,Usinas!$C:$D,2,FALSE)</f>
        <v>78.916200000000003</v>
      </c>
      <c r="G152" s="65">
        <f ca="1">VLOOKUP($A152,INDIRECT($P$2),COLUMN()-1,FALSE)*VLOOKUP($A152,Usinas!$C:$D,2,FALSE)</f>
        <v>52.176000000000002</v>
      </c>
      <c r="H152" s="65">
        <f ca="1">VLOOKUP($A152,INDIRECT($P$2),COLUMN()-1,FALSE)*VLOOKUP($A152,Usinas!$C:$D,2,FALSE)</f>
        <v>36.197099999999999</v>
      </c>
      <c r="I152" s="65">
        <f ca="1">VLOOKUP($A152,INDIRECT($P$2),COLUMN()-1,FALSE)*VLOOKUP($A152,Usinas!$C:$D,2,FALSE)</f>
        <v>29.349</v>
      </c>
      <c r="J152" s="65">
        <f ca="1">VLOOKUP($A152,INDIRECT($P$2),COLUMN()-1,FALSE)*VLOOKUP($A152,Usinas!$C:$D,2,FALSE)</f>
        <v>23.805299999999999</v>
      </c>
      <c r="K152" s="65">
        <f ca="1">VLOOKUP($A152,INDIRECT($P$2),COLUMN()-1,FALSE)*VLOOKUP($A152,Usinas!$C:$D,2,FALSE)</f>
        <v>20.5443</v>
      </c>
      <c r="L152" s="65">
        <f ca="1">VLOOKUP($A152,INDIRECT($P$2),COLUMN()-1,FALSE)*VLOOKUP($A152,Usinas!$C:$D,2,FALSE)</f>
        <v>19.892099999999999</v>
      </c>
      <c r="M152" s="65">
        <f ca="1">VLOOKUP($A152,INDIRECT($P$2),COLUMN()-1,FALSE)*VLOOKUP($A152,Usinas!$C:$D,2,FALSE)</f>
        <v>25.1097</v>
      </c>
      <c r="N152" s="65">
        <f ca="1">VLOOKUP($A152,INDIRECT($P$2),COLUMN()-1,FALSE)*VLOOKUP($A152,Usinas!$C:$D,2,FALSE)</f>
        <v>43.045200000000001</v>
      </c>
      <c r="O152" s="65">
        <f ca="1">VLOOKUP($A152,INDIRECT($P$2),COLUMN()-1,FALSE)*VLOOKUP($A152,Usinas!$C:$D,2,FALSE)</f>
        <v>82.177199999999999</v>
      </c>
    </row>
    <row r="153" spans="1:15" hidden="1" outlineLevel="2" x14ac:dyDescent="0.25">
      <c r="A153" s="30">
        <v>156</v>
      </c>
      <c r="B153" s="31" t="s">
        <v>157</v>
      </c>
      <c r="D153" s="65">
        <f ca="1">VLOOKUP($A153,INDIRECT($P$2),COLUMN()-1,FALSE)*VLOOKUP($A153,Usinas!$C:$D,2,FALSE)</f>
        <v>634.39749999999992</v>
      </c>
      <c r="E153" s="65">
        <f ca="1">VLOOKUP($A153,INDIRECT($P$2),COLUMN()-1,FALSE)*VLOOKUP($A153,Usinas!$C:$D,2,FALSE)</f>
        <v>588.80689999999993</v>
      </c>
      <c r="F153" s="65">
        <f ca="1">VLOOKUP($A153,INDIRECT($P$2),COLUMN()-1,FALSE)*VLOOKUP($A153,Usinas!$C:$D,2,FALSE)</f>
        <v>489.4538</v>
      </c>
      <c r="G153" s="65">
        <f ca="1">VLOOKUP($A153,INDIRECT($P$2),COLUMN()-1,FALSE)*VLOOKUP($A153,Usinas!$C:$D,2,FALSE)</f>
        <v>324.72550000000001</v>
      </c>
      <c r="H153" s="65">
        <f ca="1">VLOOKUP($A153,INDIRECT($P$2),COLUMN()-1,FALSE)*VLOOKUP($A153,Usinas!$C:$D,2,FALSE)</f>
        <v>194.40519999999998</v>
      </c>
      <c r="I153" s="65">
        <f ca="1">VLOOKUP($A153,INDIRECT($P$2),COLUMN()-1,FALSE)*VLOOKUP($A153,Usinas!$C:$D,2,FALSE)</f>
        <v>146.66409999999999</v>
      </c>
      <c r="J153" s="65">
        <f ca="1">VLOOKUP($A153,INDIRECT($P$2),COLUMN()-1,FALSE)*VLOOKUP($A153,Usinas!$C:$D,2,FALSE)</f>
        <v>117.84739999999999</v>
      </c>
      <c r="K153" s="65">
        <f ca="1">VLOOKUP($A153,INDIRECT($P$2),COLUMN()-1,FALSE)*VLOOKUP($A153,Usinas!$C:$D,2,FALSE)</f>
        <v>96.342399999999998</v>
      </c>
      <c r="L153" s="65">
        <f ca="1">VLOOKUP($A153,INDIRECT($P$2),COLUMN()-1,FALSE)*VLOOKUP($A153,Usinas!$C:$D,2,FALSE)</f>
        <v>94.19189999999999</v>
      </c>
      <c r="M153" s="65">
        <f ca="1">VLOOKUP($A153,INDIRECT($P$2),COLUMN()-1,FALSE)*VLOOKUP($A153,Usinas!$C:$D,2,FALSE)</f>
        <v>128.59989999999999</v>
      </c>
      <c r="N153" s="65">
        <f ca="1">VLOOKUP($A153,INDIRECT($P$2),COLUMN()-1,FALSE)*VLOOKUP($A153,Usinas!$C:$D,2,FALSE)</f>
        <v>257.62989999999996</v>
      </c>
      <c r="O153" s="65">
        <f ca="1">VLOOKUP($A153,INDIRECT($P$2),COLUMN()-1,FALSE)*VLOOKUP($A153,Usinas!$C:$D,2,FALSE)</f>
        <v>478.7013</v>
      </c>
    </row>
    <row r="154" spans="1:15" hidden="1" outlineLevel="2" x14ac:dyDescent="0.25">
      <c r="A154" s="30">
        <v>158</v>
      </c>
      <c r="B154" s="31" t="s">
        <v>158</v>
      </c>
      <c r="D154" s="65">
        <f ca="1">VLOOKUP($A154,INDIRECT($P$2),COLUMN()-1,FALSE)*VLOOKUP($A154,Usinas!$C:$D,2,FALSE)</f>
        <v>133.12370000000001</v>
      </c>
      <c r="E154" s="65">
        <f ca="1">VLOOKUP($A154,INDIRECT($P$2),COLUMN()-1,FALSE)*VLOOKUP($A154,Usinas!$C:$D,2,FALSE)</f>
        <v>133.12370000000001</v>
      </c>
      <c r="F154" s="65">
        <f ca="1">VLOOKUP($A154,INDIRECT($P$2),COLUMN()-1,FALSE)*VLOOKUP($A154,Usinas!$C:$D,2,FALSE)</f>
        <v>139.5393</v>
      </c>
      <c r="G154" s="65">
        <f ca="1">VLOOKUP($A154,INDIRECT($P$2),COLUMN()-1,FALSE)*VLOOKUP($A154,Usinas!$C:$D,2,FALSE)</f>
        <v>109.0652</v>
      </c>
      <c r="H154" s="65">
        <f ca="1">VLOOKUP($A154,INDIRECT($P$2),COLUMN()-1,FALSE)*VLOOKUP($A154,Usinas!$C:$D,2,FALSE)</f>
        <v>75.383300000000006</v>
      </c>
      <c r="I154" s="65">
        <f ca="1">VLOOKUP($A154,INDIRECT($P$2),COLUMN()-1,FALSE)*VLOOKUP($A154,Usinas!$C:$D,2,FALSE)</f>
        <v>64.156000000000006</v>
      </c>
      <c r="J154" s="65">
        <f ca="1">VLOOKUP($A154,INDIRECT($P$2),COLUMN()-1,FALSE)*VLOOKUP($A154,Usinas!$C:$D,2,FALSE)</f>
        <v>56.136500000000005</v>
      </c>
      <c r="K154" s="65">
        <f ca="1">VLOOKUP($A154,INDIRECT($P$2),COLUMN()-1,FALSE)*VLOOKUP($A154,Usinas!$C:$D,2,FALSE)</f>
        <v>48.117000000000004</v>
      </c>
      <c r="L154" s="65">
        <f ca="1">VLOOKUP($A154,INDIRECT($P$2),COLUMN()-1,FALSE)*VLOOKUP($A154,Usinas!$C:$D,2,FALSE)</f>
        <v>43.305300000000003</v>
      </c>
      <c r="M154" s="65">
        <f ca="1">VLOOKUP($A154,INDIRECT($P$2),COLUMN()-1,FALSE)*VLOOKUP($A154,Usinas!$C:$D,2,FALSE)</f>
        <v>52.928700000000006</v>
      </c>
      <c r="N154" s="65">
        <f ca="1">VLOOKUP($A154,INDIRECT($P$2),COLUMN()-1,FALSE)*VLOOKUP($A154,Usinas!$C:$D,2,FALSE)</f>
        <v>81.798900000000003</v>
      </c>
      <c r="O154" s="65">
        <f ca="1">VLOOKUP($A154,INDIRECT($P$2),COLUMN()-1,FALSE)*VLOOKUP($A154,Usinas!$C:$D,2,FALSE)</f>
        <v>126.7081</v>
      </c>
    </row>
    <row r="155" spans="1:15" hidden="1" outlineLevel="1" x14ac:dyDescent="0.25">
      <c r="A155" s="40"/>
      <c r="B155" s="41" t="s">
        <v>56</v>
      </c>
      <c r="D155" s="83">
        <f t="shared" ref="D155:I155" ca="1" si="24">SUM(D152:D154)</f>
        <v>876.11249999999995</v>
      </c>
      <c r="E155" s="49">
        <f t="shared" ca="1" si="24"/>
        <v>814.54299999999989</v>
      </c>
      <c r="F155" s="49">
        <f t="shared" ca="1" si="24"/>
        <v>707.90930000000003</v>
      </c>
      <c r="G155" s="49">
        <f t="shared" ca="1" si="24"/>
        <v>485.9667</v>
      </c>
      <c r="H155" s="49">
        <f t="shared" ca="1" si="24"/>
        <v>305.98559999999998</v>
      </c>
      <c r="I155" s="84">
        <f t="shared" ca="1" si="24"/>
        <v>240.16909999999999</v>
      </c>
      <c r="J155" s="83">
        <f t="shared" ref="J155:O155" ca="1" si="25">SUM(J152:J154)</f>
        <v>197.78919999999999</v>
      </c>
      <c r="K155" s="49">
        <f t="shared" ca="1" si="25"/>
        <v>165.00369999999998</v>
      </c>
      <c r="L155" s="49">
        <f t="shared" ca="1" si="25"/>
        <v>157.38929999999999</v>
      </c>
      <c r="M155" s="49">
        <f t="shared" ca="1" si="25"/>
        <v>206.63830000000002</v>
      </c>
      <c r="N155" s="49">
        <f t="shared" ca="1" si="25"/>
        <v>382.47399999999999</v>
      </c>
      <c r="O155" s="84">
        <f t="shared" ca="1" si="25"/>
        <v>687.58660000000009</v>
      </c>
    </row>
    <row r="156" spans="1:15" hidden="1" outlineLevel="1" x14ac:dyDescent="0.25">
      <c r="A156" s="42"/>
      <c r="B156" s="43" t="s">
        <v>0</v>
      </c>
      <c r="D156" s="80"/>
      <c r="E156" s="81"/>
      <c r="F156" s="81"/>
      <c r="G156" s="81"/>
      <c r="H156" s="81"/>
      <c r="I156" s="82"/>
      <c r="J156" s="80"/>
      <c r="K156" s="81"/>
      <c r="L156" s="81"/>
      <c r="M156" s="81"/>
      <c r="N156" s="81"/>
      <c r="O156" s="82"/>
    </row>
    <row r="157" spans="1:15" hidden="1" outlineLevel="1" x14ac:dyDescent="0.25">
      <c r="A157" s="1"/>
      <c r="B157" s="133"/>
      <c r="D157" s="50"/>
      <c r="E157" s="51"/>
      <c r="F157" s="51"/>
      <c r="G157" s="51"/>
      <c r="H157" s="51"/>
      <c r="I157" s="51"/>
      <c r="J157" s="50"/>
      <c r="K157" s="51"/>
      <c r="L157" s="51"/>
      <c r="M157" s="51"/>
      <c r="N157" s="51"/>
      <c r="O157" s="51"/>
    </row>
    <row r="158" spans="1:15" hidden="1" outlineLevel="1" x14ac:dyDescent="0.25">
      <c r="A158" s="38"/>
      <c r="B158" s="39"/>
      <c r="D158" s="332" t="s">
        <v>159</v>
      </c>
      <c r="E158" s="333" t="s">
        <v>58</v>
      </c>
      <c r="F158" s="333" t="s">
        <v>160</v>
      </c>
      <c r="G158" s="333"/>
      <c r="H158" s="333"/>
      <c r="I158" s="334"/>
      <c r="J158" s="332" t="s">
        <v>159</v>
      </c>
      <c r="K158" s="333" t="s">
        <v>58</v>
      </c>
      <c r="L158" s="333" t="s">
        <v>160</v>
      </c>
      <c r="M158" s="333"/>
      <c r="N158" s="333"/>
      <c r="O158" s="334"/>
    </row>
    <row r="159" spans="1:15" hidden="1" outlineLevel="2" x14ac:dyDescent="0.25">
      <c r="A159" s="30">
        <v>270</v>
      </c>
      <c r="B159" s="31" t="s">
        <v>161</v>
      </c>
      <c r="D159" s="65">
        <f ca="1">VLOOKUP($A159,INDIRECT($P$2),COLUMN()-1,FALSE)*VLOOKUP($A159,Usinas!$C:$D,2,FALSE)</f>
        <v>1480.2025000000001</v>
      </c>
      <c r="E159" s="65">
        <f ca="1">VLOOKUP($A159,INDIRECT($P$2),COLUMN()-1,FALSE)*VLOOKUP($A159,Usinas!$C:$D,2,FALSE)</f>
        <v>1677.2190000000001</v>
      </c>
      <c r="F159" s="65">
        <f ca="1">VLOOKUP($A159,INDIRECT($P$2),COLUMN()-1,FALSE)*VLOOKUP($A159,Usinas!$C:$D,2,FALSE)</f>
        <v>1548.2815000000001</v>
      </c>
      <c r="G159" s="65">
        <f ca="1">VLOOKUP($A159,INDIRECT($P$2),COLUMN()-1,FALSE)*VLOOKUP($A159,Usinas!$C:$D,2,FALSE)</f>
        <v>1095.4530000000002</v>
      </c>
      <c r="H159" s="65">
        <f ca="1">VLOOKUP($A159,INDIRECT($P$2),COLUMN()-1,FALSE)*VLOOKUP($A159,Usinas!$C:$D,2,FALSE)</f>
        <v>579.70300000000009</v>
      </c>
      <c r="I159" s="65">
        <f ca="1">VLOOKUP($A159,INDIRECT($P$2),COLUMN()-1,FALSE)*VLOOKUP($A159,Usinas!$C:$D,2,FALSE)</f>
        <v>402.28500000000003</v>
      </c>
      <c r="J159" s="65">
        <f ca="1">VLOOKUP($A159,INDIRECT($P$2),COLUMN()-1,FALSE)*VLOOKUP($A159,Usinas!$C:$D,2,FALSE)</f>
        <v>303.26100000000002</v>
      </c>
      <c r="K159" s="65">
        <f ca="1">VLOOKUP($A159,INDIRECT($P$2),COLUMN()-1,FALSE)*VLOOKUP($A159,Usinas!$C:$D,2,FALSE)</f>
        <v>234.15050000000002</v>
      </c>
      <c r="L159" s="65">
        <f ca="1">VLOOKUP($A159,INDIRECT($P$2),COLUMN()-1,FALSE)*VLOOKUP($A159,Usinas!$C:$D,2,FALSE)</f>
        <v>222.80400000000003</v>
      </c>
      <c r="M159" s="65">
        <f ca="1">VLOOKUP($A159,INDIRECT($P$2),COLUMN()-1,FALSE)*VLOOKUP($A159,Usinas!$C:$D,2,FALSE)</f>
        <v>325.95400000000001</v>
      </c>
      <c r="N159" s="65">
        <f ca="1">VLOOKUP($A159,INDIRECT($P$2),COLUMN()-1,FALSE)*VLOOKUP($A159,Usinas!$C:$D,2,FALSE)</f>
        <v>587.95500000000004</v>
      </c>
      <c r="O159" s="65">
        <f ca="1">VLOOKUP($A159,INDIRECT($P$2),COLUMN()-1,FALSE)*VLOOKUP($A159,Usinas!$C:$D,2,FALSE)</f>
        <v>1097.5160000000001</v>
      </c>
    </row>
    <row r="160" spans="1:15" hidden="1" outlineLevel="2" x14ac:dyDescent="0.25">
      <c r="A160" s="30">
        <v>191</v>
      </c>
      <c r="B160" s="31" t="s">
        <v>162</v>
      </c>
      <c r="D160" s="65">
        <f ca="1">VLOOKUP($A160,INDIRECT($P$2),COLUMN()-1,FALSE)*VLOOKUP($A160,Usinas!$C:$D,2,FALSE)</f>
        <v>638.40000000000009</v>
      </c>
      <c r="E160" s="65">
        <f ca="1">VLOOKUP($A160,INDIRECT($P$2),COLUMN()-1,FALSE)*VLOOKUP($A160,Usinas!$C:$D,2,FALSE)</f>
        <v>722.19</v>
      </c>
      <c r="F160" s="65">
        <f ca="1">VLOOKUP($A160,INDIRECT($P$2),COLUMN()-1,FALSE)*VLOOKUP($A160,Usinas!$C:$D,2,FALSE)</f>
        <v>668.32500000000005</v>
      </c>
      <c r="G160" s="65">
        <f ca="1">VLOOKUP($A160,INDIRECT($P$2),COLUMN()-1,FALSE)*VLOOKUP($A160,Usinas!$C:$D,2,FALSE)</f>
        <v>473.613</v>
      </c>
      <c r="H160" s="65">
        <f ca="1">VLOOKUP($A160,INDIRECT($P$2),COLUMN()-1,FALSE)*VLOOKUP($A160,Usinas!$C:$D,2,FALSE)</f>
        <v>252.16800000000001</v>
      </c>
      <c r="I160" s="65">
        <f ca="1">VLOOKUP($A160,INDIRECT($P$2),COLUMN()-1,FALSE)*VLOOKUP($A160,Usinas!$C:$D,2,FALSE)</f>
        <v>175.161</v>
      </c>
      <c r="J160" s="65">
        <f ca="1">VLOOKUP($A160,INDIRECT($P$2),COLUMN()-1,FALSE)*VLOOKUP($A160,Usinas!$C:$D,2,FALSE)</f>
        <v>132.86700000000002</v>
      </c>
      <c r="K160" s="65">
        <f ca="1">VLOOKUP($A160,INDIRECT($P$2),COLUMN()-1,FALSE)*VLOOKUP($A160,Usinas!$C:$D,2,FALSE)</f>
        <v>103.74000000000001</v>
      </c>
      <c r="L160" s="65">
        <f ca="1">VLOOKUP($A160,INDIRECT($P$2),COLUMN()-1,FALSE)*VLOOKUP($A160,Usinas!$C:$D,2,FALSE)</f>
        <v>98.154000000000011</v>
      </c>
      <c r="M160" s="65">
        <f ca="1">VLOOKUP($A160,INDIRECT($P$2),COLUMN()-1,FALSE)*VLOOKUP($A160,Usinas!$C:$D,2,FALSE)</f>
        <v>143.24100000000001</v>
      </c>
      <c r="N160" s="65">
        <f ca="1">VLOOKUP($A160,INDIRECT($P$2),COLUMN()-1,FALSE)*VLOOKUP($A160,Usinas!$C:$D,2,FALSE)</f>
        <v>256.95600000000002</v>
      </c>
      <c r="O160" s="65">
        <f ca="1">VLOOKUP($A160,INDIRECT($P$2),COLUMN()-1,FALSE)*VLOOKUP($A160,Usinas!$C:$D,2,FALSE)</f>
        <v>473.214</v>
      </c>
    </row>
    <row r="161" spans="1:15" hidden="1" outlineLevel="2" x14ac:dyDescent="0.25">
      <c r="A161" s="30">
        <v>253</v>
      </c>
      <c r="B161" s="31" t="s">
        <v>163</v>
      </c>
      <c r="D161" s="65">
        <f ca="1">VLOOKUP($A161,INDIRECT($P$2),COLUMN()-1,FALSE)*VLOOKUP($A161,Usinas!$C:$D,2,FALSE)</f>
        <v>357.95649999999995</v>
      </c>
      <c r="E161" s="65">
        <f ca="1">VLOOKUP($A161,INDIRECT($P$2),COLUMN()-1,FALSE)*VLOOKUP($A161,Usinas!$C:$D,2,FALSE)</f>
        <v>406.18599999999998</v>
      </c>
      <c r="F161" s="65">
        <f ca="1">VLOOKUP($A161,INDIRECT($P$2),COLUMN()-1,FALSE)*VLOOKUP($A161,Usinas!$C:$D,2,FALSE)</f>
        <v>379.32399999999996</v>
      </c>
      <c r="G161" s="65">
        <f ca="1">VLOOKUP($A161,INDIRECT($P$2),COLUMN()-1,FALSE)*VLOOKUP($A161,Usinas!$C:$D,2,FALSE)</f>
        <v>273.3005</v>
      </c>
      <c r="H161" s="65">
        <f ca="1">VLOOKUP($A161,INDIRECT($P$2),COLUMN()-1,FALSE)*VLOOKUP($A161,Usinas!$C:$D,2,FALSE)</f>
        <v>144.48499999999999</v>
      </c>
      <c r="I161" s="65">
        <f ca="1">VLOOKUP($A161,INDIRECT($P$2),COLUMN()-1,FALSE)*VLOOKUP($A161,Usinas!$C:$D,2,FALSE)</f>
        <v>98.086999999999989</v>
      </c>
      <c r="J161" s="65">
        <f ca="1">VLOOKUP($A161,INDIRECT($P$2),COLUMN()-1,FALSE)*VLOOKUP($A161,Usinas!$C:$D,2,FALSE)</f>
        <v>74.277499999999989</v>
      </c>
      <c r="K161" s="65">
        <f ca="1">VLOOKUP($A161,INDIRECT($P$2),COLUMN()-1,FALSE)*VLOOKUP($A161,Usinas!$C:$D,2,FALSE)</f>
        <v>57.997499999999995</v>
      </c>
      <c r="L161" s="65">
        <f ca="1">VLOOKUP($A161,INDIRECT($P$2),COLUMN()-1,FALSE)*VLOOKUP($A161,Usinas!$C:$D,2,FALSE)</f>
        <v>54.741499999999995</v>
      </c>
      <c r="M161" s="65">
        <f ca="1">VLOOKUP($A161,INDIRECT($P$2),COLUMN()-1,FALSE)*VLOOKUP($A161,Usinas!$C:$D,2,FALSE)</f>
        <v>78.550999999999988</v>
      </c>
      <c r="N161" s="65">
        <f ca="1">VLOOKUP($A161,INDIRECT($P$2),COLUMN()-1,FALSE)*VLOOKUP($A161,Usinas!$C:$D,2,FALSE)</f>
        <v>142.04299999999998</v>
      </c>
      <c r="O161" s="65">
        <f ca="1">VLOOKUP($A161,INDIRECT($P$2),COLUMN()-1,FALSE)*VLOOKUP($A161,Usinas!$C:$D,2,FALSE)</f>
        <v>265.77099999999996</v>
      </c>
    </row>
    <row r="162" spans="1:15" hidden="1" outlineLevel="2" x14ac:dyDescent="0.25">
      <c r="A162" s="30">
        <v>257</v>
      </c>
      <c r="B162" s="31" t="s">
        <v>164</v>
      </c>
      <c r="D162" s="65">
        <f ca="1">VLOOKUP($A162,INDIRECT($P$2),COLUMN()-1,FALSE)*VLOOKUP($A162,Usinas!$C:$D,2,FALSE)</f>
        <v>754.375</v>
      </c>
      <c r="E162" s="65">
        <f ca="1">VLOOKUP($A162,INDIRECT($P$2),COLUMN()-1,FALSE)*VLOOKUP($A162,Usinas!$C:$D,2,FALSE)</f>
        <v>849.48660000000007</v>
      </c>
      <c r="F162" s="65">
        <f ca="1">VLOOKUP($A162,INDIRECT($P$2),COLUMN()-1,FALSE)*VLOOKUP($A162,Usinas!$C:$D,2,FALSE)</f>
        <v>813.27660000000003</v>
      </c>
      <c r="G162" s="65">
        <f ca="1">VLOOKUP($A162,INDIRECT($P$2),COLUMN()-1,FALSE)*VLOOKUP($A162,Usinas!$C:$D,2,FALSE)</f>
        <v>575.98040000000003</v>
      </c>
      <c r="H162" s="65">
        <f ca="1">VLOOKUP($A162,INDIRECT($P$2),COLUMN()-1,FALSE)*VLOOKUP($A162,Usinas!$C:$D,2,FALSE)</f>
        <v>287.02460000000002</v>
      </c>
      <c r="I162" s="65">
        <f ca="1">VLOOKUP($A162,INDIRECT($P$2),COLUMN()-1,FALSE)*VLOOKUP($A162,Usinas!$C:$D,2,FALSE)</f>
        <v>189.0162</v>
      </c>
      <c r="J162" s="65">
        <f ca="1">VLOOKUP($A162,INDIRECT($P$2),COLUMN()-1,FALSE)*VLOOKUP($A162,Usinas!$C:$D,2,FALSE)</f>
        <v>144.84</v>
      </c>
      <c r="K162" s="65">
        <f ca="1">VLOOKUP($A162,INDIRECT($P$2),COLUMN()-1,FALSE)*VLOOKUP($A162,Usinas!$C:$D,2,FALSE)</f>
        <v>116.3548</v>
      </c>
      <c r="L162" s="65">
        <f ca="1">VLOOKUP($A162,INDIRECT($P$2),COLUMN()-1,FALSE)*VLOOKUP($A162,Usinas!$C:$D,2,FALSE)</f>
        <v>110.8026</v>
      </c>
      <c r="M162" s="65">
        <f ca="1">VLOOKUP($A162,INDIRECT($P$2),COLUMN()-1,FALSE)*VLOOKUP($A162,Usinas!$C:$D,2,FALSE)</f>
        <v>153.28900000000002</v>
      </c>
      <c r="N162" s="65">
        <f ca="1">VLOOKUP($A162,INDIRECT($P$2),COLUMN()-1,FALSE)*VLOOKUP($A162,Usinas!$C:$D,2,FALSE)</f>
        <v>288.95580000000001</v>
      </c>
      <c r="O162" s="65">
        <f ca="1">VLOOKUP($A162,INDIRECT($P$2),COLUMN()-1,FALSE)*VLOOKUP($A162,Usinas!$C:$D,2,FALSE)</f>
        <v>562.94479999999999</v>
      </c>
    </row>
    <row r="163" spans="1:15" hidden="1" outlineLevel="2" x14ac:dyDescent="0.25">
      <c r="A163" s="30">
        <v>273</v>
      </c>
      <c r="B163" s="31" t="s">
        <v>165</v>
      </c>
      <c r="D163" s="65">
        <f ca="1">VLOOKUP($A163,INDIRECT($P$2),COLUMN()-1,FALSE)*VLOOKUP($A163,Usinas!$C:$D,2,FALSE)</f>
        <v>1447.6335999999999</v>
      </c>
      <c r="E163" s="65">
        <f ca="1">VLOOKUP($A163,INDIRECT($P$2),COLUMN()-1,FALSE)*VLOOKUP($A163,Usinas!$C:$D,2,FALSE)</f>
        <v>1664.2751999999998</v>
      </c>
      <c r="F163" s="65">
        <f ca="1">VLOOKUP($A163,INDIRECT($P$2),COLUMN()-1,FALSE)*VLOOKUP($A163,Usinas!$C:$D,2,FALSE)</f>
        <v>1670.7711999999999</v>
      </c>
      <c r="G163" s="65">
        <f ca="1">VLOOKUP($A163,INDIRECT($P$2),COLUMN()-1,FALSE)*VLOOKUP($A163,Usinas!$C:$D,2,FALSE)</f>
        <v>1244.9584</v>
      </c>
      <c r="H163" s="65">
        <f ca="1">VLOOKUP($A163,INDIRECT($P$2),COLUMN()-1,FALSE)*VLOOKUP($A163,Usinas!$C:$D,2,FALSE)</f>
        <v>614.8463999999999</v>
      </c>
      <c r="I163" s="65">
        <f ca="1">VLOOKUP($A163,INDIRECT($P$2),COLUMN()-1,FALSE)*VLOOKUP($A163,Usinas!$C:$D,2,FALSE)</f>
        <v>366.0496</v>
      </c>
      <c r="J163" s="65">
        <f ca="1">VLOOKUP($A163,INDIRECT($P$2),COLUMN()-1,FALSE)*VLOOKUP($A163,Usinas!$C:$D,2,FALSE)</f>
        <v>263.4128</v>
      </c>
      <c r="K163" s="65">
        <f ca="1">VLOOKUP($A163,INDIRECT($P$2),COLUMN()-1,FALSE)*VLOOKUP($A163,Usinas!$C:$D,2,FALSE)</f>
        <v>202.0256</v>
      </c>
      <c r="L163" s="65">
        <f ca="1">VLOOKUP($A163,INDIRECT($P$2),COLUMN()-1,FALSE)*VLOOKUP($A163,Usinas!$C:$D,2,FALSE)</f>
        <v>184.16159999999999</v>
      </c>
      <c r="M163" s="65">
        <f ca="1">VLOOKUP($A163,INDIRECT($P$2),COLUMN()-1,FALSE)*VLOOKUP($A163,Usinas!$C:$D,2,FALSE)</f>
        <v>257.89119999999997</v>
      </c>
      <c r="N163" s="65">
        <f ca="1">VLOOKUP($A163,INDIRECT($P$2),COLUMN()-1,FALSE)*VLOOKUP($A163,Usinas!$C:$D,2,FALSE)</f>
        <v>510.91039999999998</v>
      </c>
      <c r="O163" s="65">
        <f ca="1">VLOOKUP($A163,INDIRECT($P$2),COLUMN()-1,FALSE)*VLOOKUP($A163,Usinas!$C:$D,2,FALSE)</f>
        <v>1032.5391999999999</v>
      </c>
    </row>
    <row r="164" spans="1:15" hidden="1" outlineLevel="1" x14ac:dyDescent="0.25">
      <c r="A164" s="40"/>
      <c r="B164" s="41" t="s">
        <v>56</v>
      </c>
      <c r="D164" s="83">
        <f t="shared" ref="D164:I164" ca="1" si="26">SUM(D159:D163)</f>
        <v>4678.5675999999994</v>
      </c>
      <c r="E164" s="49">
        <f t="shared" ca="1" si="26"/>
        <v>5319.3568000000005</v>
      </c>
      <c r="F164" s="49">
        <f t="shared" ca="1" si="26"/>
        <v>5079.9782999999998</v>
      </c>
      <c r="G164" s="49">
        <f t="shared" ca="1" si="26"/>
        <v>3663.3053000000004</v>
      </c>
      <c r="H164" s="49">
        <f t="shared" ca="1" si="26"/>
        <v>1878.2270000000001</v>
      </c>
      <c r="I164" s="84">
        <f t="shared" ca="1" si="26"/>
        <v>1230.5988</v>
      </c>
      <c r="J164" s="83">
        <f t="shared" ref="J164:O164" ca="1" si="27">SUM(J159:J163)</f>
        <v>918.65830000000005</v>
      </c>
      <c r="K164" s="49">
        <f t="shared" ca="1" si="27"/>
        <v>714.26839999999993</v>
      </c>
      <c r="L164" s="49">
        <f t="shared" ca="1" si="27"/>
        <v>670.66369999999995</v>
      </c>
      <c r="M164" s="49">
        <f t="shared" ca="1" si="27"/>
        <v>958.92620000000011</v>
      </c>
      <c r="N164" s="49">
        <f t="shared" ca="1" si="27"/>
        <v>1786.8202000000001</v>
      </c>
      <c r="O164" s="84">
        <f t="shared" ca="1" si="27"/>
        <v>3431.9849999999997</v>
      </c>
    </row>
    <row r="165" spans="1:15" hidden="1" outlineLevel="1" x14ac:dyDescent="0.25">
      <c r="A165" s="42"/>
      <c r="B165" s="43" t="s">
        <v>0</v>
      </c>
      <c r="D165" s="80"/>
      <c r="E165" s="81"/>
      <c r="F165" s="81"/>
      <c r="G165" s="81"/>
      <c r="H165" s="81"/>
      <c r="I165" s="82"/>
      <c r="J165" s="80"/>
      <c r="K165" s="81"/>
      <c r="L165" s="81"/>
      <c r="M165" s="81"/>
      <c r="N165" s="81"/>
      <c r="O165" s="82"/>
    </row>
    <row r="166" spans="1:15" hidden="1" outlineLevel="1" x14ac:dyDescent="0.25">
      <c r="A166" s="1"/>
      <c r="B166" s="133"/>
      <c r="D166" s="50"/>
      <c r="E166" s="51"/>
      <c r="F166" s="51"/>
      <c r="G166" s="51"/>
      <c r="H166" s="51"/>
      <c r="I166" s="51"/>
      <c r="J166" s="50"/>
      <c r="K166" s="51"/>
      <c r="L166" s="51"/>
      <c r="M166" s="51"/>
      <c r="N166" s="51"/>
      <c r="O166" s="51"/>
    </row>
    <row r="167" spans="1:15" ht="15.75" collapsed="1" x14ac:dyDescent="0.25">
      <c r="A167" s="85"/>
      <c r="B167" s="86"/>
      <c r="C167" s="97"/>
      <c r="D167" s="335" t="s">
        <v>166</v>
      </c>
      <c r="E167" s="336"/>
      <c r="F167" s="336"/>
      <c r="G167" s="336"/>
      <c r="H167" s="336"/>
      <c r="I167" s="336"/>
      <c r="J167" s="336"/>
      <c r="K167" s="336"/>
      <c r="L167" s="336"/>
      <c r="M167" s="336"/>
      <c r="N167" s="336"/>
      <c r="O167" s="337"/>
    </row>
    <row r="168" spans="1:15" ht="15.75" x14ac:dyDescent="0.25">
      <c r="A168" s="87"/>
      <c r="B168" s="88" t="s">
        <v>56</v>
      </c>
      <c r="C168" s="97"/>
      <c r="D168" s="88">
        <f t="shared" ref="D168:O168" ca="1" si="28">D22+D45+D60+D74+D80+D86+D101+D106+D111+D123+D132+D137+D148+D155+D164+D50</f>
        <v>55969.998000000014</v>
      </c>
      <c r="E168" s="89">
        <f t="shared" ca="1" si="28"/>
        <v>58559.566199999994</v>
      </c>
      <c r="F168" s="89">
        <f t="shared" ca="1" si="28"/>
        <v>54678.837100000012</v>
      </c>
      <c r="G168" s="89">
        <f t="shared" ca="1" si="28"/>
        <v>41444.549099999989</v>
      </c>
      <c r="H168" s="89">
        <f t="shared" ca="1" si="28"/>
        <v>29905.362999999998</v>
      </c>
      <c r="I168" s="90">
        <f t="shared" ca="1" si="28"/>
        <v>25533.5946</v>
      </c>
      <c r="J168" s="88">
        <f t="shared" ca="1" si="28"/>
        <v>21182.232399999994</v>
      </c>
      <c r="K168" s="89">
        <f t="shared" ca="1" si="28"/>
        <v>17684.899400000002</v>
      </c>
      <c r="L168" s="89">
        <f t="shared" ca="1" si="28"/>
        <v>17543.204699999995</v>
      </c>
      <c r="M168" s="89">
        <f t="shared" ca="1" si="28"/>
        <v>21105.841300000007</v>
      </c>
      <c r="N168" s="89">
        <f t="shared" ca="1" si="28"/>
        <v>26987.522399999994</v>
      </c>
      <c r="O168" s="90">
        <f t="shared" ca="1" si="28"/>
        <v>40922.817500000005</v>
      </c>
    </row>
    <row r="170" spans="1:15" x14ac:dyDescent="0.25">
      <c r="A170" s="91"/>
      <c r="B170" s="92"/>
      <c r="D170" s="94"/>
      <c r="E170" s="95"/>
      <c r="F170" s="95"/>
      <c r="G170" s="95"/>
      <c r="H170" s="95"/>
      <c r="I170" s="96"/>
    </row>
    <row r="171" spans="1:15" hidden="1" outlineLevel="1" x14ac:dyDescent="0.25">
      <c r="A171" s="63"/>
      <c r="B171" s="64"/>
      <c r="D171" s="329" t="s">
        <v>168</v>
      </c>
      <c r="E171" s="330" t="s">
        <v>58</v>
      </c>
      <c r="F171" s="330" t="s">
        <v>169</v>
      </c>
      <c r="G171" s="330"/>
      <c r="H171" s="330"/>
      <c r="I171" s="331"/>
      <c r="J171" s="329" t="s">
        <v>168</v>
      </c>
      <c r="K171" s="330" t="s">
        <v>58</v>
      </c>
      <c r="L171" s="330" t="s">
        <v>169</v>
      </c>
      <c r="M171" s="330"/>
      <c r="N171" s="330"/>
      <c r="O171" s="331"/>
    </row>
    <row r="172" spans="1:15" hidden="1" outlineLevel="2" x14ac:dyDescent="0.25">
      <c r="A172" s="61">
        <v>71</v>
      </c>
      <c r="B172" s="62" t="s">
        <v>170</v>
      </c>
      <c r="D172" s="65">
        <f ca="1">VLOOKUP($A172,INDIRECT($P$2),COLUMN()-1,FALSE)*VLOOKUP($A172,Usinas!$C:$D,2,FALSE)</f>
        <v>74.010300000000001</v>
      </c>
      <c r="E172" s="65">
        <f ca="1">VLOOKUP($A172,INDIRECT($P$2),COLUMN()-1,FALSE)*VLOOKUP($A172,Usinas!$C:$D,2,FALSE)</f>
        <v>77.263500000000008</v>
      </c>
      <c r="F172" s="65">
        <f ca="1">VLOOKUP($A172,INDIRECT($P$2),COLUMN()-1,FALSE)*VLOOKUP($A172,Usinas!$C:$D,2,FALSE)</f>
        <v>65.064000000000007</v>
      </c>
      <c r="G172" s="65">
        <f ca="1">VLOOKUP($A172,INDIRECT($P$2),COLUMN()-1,FALSE)*VLOOKUP($A172,Usinas!$C:$D,2,FALSE)</f>
        <v>65.064000000000007</v>
      </c>
      <c r="H172" s="65">
        <f ca="1">VLOOKUP($A172,INDIRECT($P$2),COLUMN()-1,FALSE)*VLOOKUP($A172,Usinas!$C:$D,2,FALSE)</f>
        <v>87.023099999999999</v>
      </c>
      <c r="I172" s="65">
        <f ca="1">VLOOKUP($A172,INDIRECT($P$2),COLUMN()-1,FALSE)*VLOOKUP($A172,Usinas!$C:$D,2,FALSE)</f>
        <v>101.66250000000001</v>
      </c>
      <c r="J172" s="65">
        <f ca="1">VLOOKUP($A172,INDIRECT($P$2),COLUMN()-1,FALSE)*VLOOKUP($A172,Usinas!$C:$D,2,FALSE)</f>
        <v>95.969400000000007</v>
      </c>
      <c r="K172" s="65">
        <f ca="1">VLOOKUP($A172,INDIRECT($P$2),COLUMN()-1,FALSE)*VLOOKUP($A172,Usinas!$C:$D,2,FALSE)</f>
        <v>73.197000000000003</v>
      </c>
      <c r="L172" s="65">
        <f ca="1">VLOOKUP($A172,INDIRECT($P$2),COLUMN()-1,FALSE)*VLOOKUP($A172,Usinas!$C:$D,2,FALSE)</f>
        <v>90.276300000000006</v>
      </c>
      <c r="M172" s="65">
        <f ca="1">VLOOKUP($A172,INDIRECT($P$2),COLUMN()-1,FALSE)*VLOOKUP($A172,Usinas!$C:$D,2,FALSE)</f>
        <v>113.86200000000001</v>
      </c>
      <c r="N172" s="65">
        <f ca="1">VLOOKUP($A172,INDIRECT($P$2),COLUMN()-1,FALSE)*VLOOKUP($A172,Usinas!$C:$D,2,FALSE)</f>
        <v>87.836399999999998</v>
      </c>
      <c r="O172" s="65">
        <f ca="1">VLOOKUP($A172,INDIRECT($P$2),COLUMN()-1,FALSE)*VLOOKUP($A172,Usinas!$C:$D,2,FALSE)</f>
        <v>74.823599999999999</v>
      </c>
    </row>
    <row r="173" spans="1:15" hidden="1" outlineLevel="2" x14ac:dyDescent="0.25">
      <c r="A173" s="61">
        <v>72</v>
      </c>
      <c r="B173" s="62" t="s">
        <v>171</v>
      </c>
      <c r="D173" s="65">
        <f ca="1">VLOOKUP($A173,INDIRECT($P$2),COLUMN()-1,FALSE)*VLOOKUP($A173,Usinas!$C:$D,2,FALSE)</f>
        <v>78.840499999999992</v>
      </c>
      <c r="E173" s="65">
        <f ca="1">VLOOKUP($A173,INDIRECT($P$2),COLUMN()-1,FALSE)*VLOOKUP($A173,Usinas!$C:$D,2,FALSE)</f>
        <v>82.99</v>
      </c>
      <c r="F173" s="65">
        <f ca="1">VLOOKUP($A173,INDIRECT($P$2),COLUMN()-1,FALSE)*VLOOKUP($A173,Usinas!$C:$D,2,FALSE)</f>
        <v>69.711600000000004</v>
      </c>
      <c r="G173" s="65">
        <f ca="1">VLOOKUP($A173,INDIRECT($P$2),COLUMN()-1,FALSE)*VLOOKUP($A173,Usinas!$C:$D,2,FALSE)</f>
        <v>69.711600000000004</v>
      </c>
      <c r="H173" s="65">
        <f ca="1">VLOOKUP($A173,INDIRECT($P$2),COLUMN()-1,FALSE)*VLOOKUP($A173,Usinas!$C:$D,2,FALSE)</f>
        <v>92.948799999999991</v>
      </c>
      <c r="I173" s="65">
        <f ca="1">VLOOKUP($A173,INDIRECT($P$2),COLUMN()-1,FALSE)*VLOOKUP($A173,Usinas!$C:$D,2,FALSE)</f>
        <v>108.7169</v>
      </c>
      <c r="J173" s="65">
        <f ca="1">VLOOKUP($A173,INDIRECT($P$2),COLUMN()-1,FALSE)*VLOOKUP($A173,Usinas!$C:$D,2,FALSE)</f>
        <v>102.9076</v>
      </c>
      <c r="K173" s="65">
        <f ca="1">VLOOKUP($A173,INDIRECT($P$2),COLUMN()-1,FALSE)*VLOOKUP($A173,Usinas!$C:$D,2,FALSE)</f>
        <v>78.010599999999997</v>
      </c>
      <c r="L173" s="65">
        <f ca="1">VLOOKUP($A173,INDIRECT($P$2),COLUMN()-1,FALSE)*VLOOKUP($A173,Usinas!$C:$D,2,FALSE)</f>
        <v>97.098299999999995</v>
      </c>
      <c r="M173" s="65">
        <f ca="1">VLOOKUP($A173,INDIRECT($P$2),COLUMN()-1,FALSE)*VLOOKUP($A173,Usinas!$C:$D,2,FALSE)</f>
        <v>121.16539999999999</v>
      </c>
      <c r="N173" s="65">
        <f ca="1">VLOOKUP($A173,INDIRECT($P$2),COLUMN()-1,FALSE)*VLOOKUP($A173,Usinas!$C:$D,2,FALSE)</f>
        <v>94.608599999999996</v>
      </c>
      <c r="O173" s="65">
        <f ca="1">VLOOKUP($A173,INDIRECT($P$2),COLUMN()-1,FALSE)*VLOOKUP($A173,Usinas!$C:$D,2,FALSE)</f>
        <v>79.670400000000001</v>
      </c>
    </row>
    <row r="174" spans="1:15" hidden="1" outlineLevel="2" x14ac:dyDescent="0.25">
      <c r="A174" s="61">
        <v>74</v>
      </c>
      <c r="B174" s="62" t="s">
        <v>33</v>
      </c>
      <c r="D174" s="65">
        <f ca="1">VLOOKUP($A174,INDIRECT($P$2),COLUMN()-1,FALSE)*VLOOKUP($A174,Usinas!$C:$D,2,FALSE)</f>
        <v>685.17689999999993</v>
      </c>
      <c r="E174" s="65">
        <f ca="1">VLOOKUP($A174,INDIRECT($P$2),COLUMN()-1,FALSE)*VLOOKUP($A174,Usinas!$C:$D,2,FALSE)</f>
        <v>773.5498</v>
      </c>
      <c r="F174" s="65">
        <f ca="1">VLOOKUP($A174,INDIRECT($P$2),COLUMN()-1,FALSE)*VLOOKUP($A174,Usinas!$C:$D,2,FALSE)</f>
        <v>690.91539999999998</v>
      </c>
      <c r="G174" s="65">
        <f ca="1">VLOOKUP($A174,INDIRECT($P$2),COLUMN()-1,FALSE)*VLOOKUP($A174,Usinas!$C:$D,2,FALSE)</f>
        <v>554.33909999999992</v>
      </c>
      <c r="H174" s="65">
        <f ca="1">VLOOKUP($A174,INDIRECT($P$2),COLUMN()-1,FALSE)*VLOOKUP($A174,Usinas!$C:$D,2,FALSE)</f>
        <v>671.40449999999998</v>
      </c>
      <c r="I174" s="65">
        <f ca="1">VLOOKUP($A174,INDIRECT($P$2),COLUMN()-1,FALSE)*VLOOKUP($A174,Usinas!$C:$D,2,FALSE)</f>
        <v>786.17449999999997</v>
      </c>
      <c r="J174" s="65">
        <f ca="1">VLOOKUP($A174,INDIRECT($P$2),COLUMN()-1,FALSE)*VLOOKUP($A174,Usinas!$C:$D,2,FALSE)</f>
        <v>835.52559999999994</v>
      </c>
      <c r="K174" s="65">
        <f ca="1">VLOOKUP($A174,INDIRECT($P$2),COLUMN()-1,FALSE)*VLOOKUP($A174,Usinas!$C:$D,2,FALSE)</f>
        <v>711.57399999999996</v>
      </c>
      <c r="L174" s="65">
        <f ca="1">VLOOKUP($A174,INDIRECT($P$2),COLUMN()-1,FALSE)*VLOOKUP($A174,Usinas!$C:$D,2,FALSE)</f>
        <v>838.96870000000001</v>
      </c>
      <c r="M174" s="65">
        <f ca="1">VLOOKUP($A174,INDIRECT($P$2),COLUMN()-1,FALSE)*VLOOKUP($A174,Usinas!$C:$D,2,FALSE)</f>
        <v>1059.3271</v>
      </c>
      <c r="N174" s="65">
        <f ca="1">VLOOKUP($A174,INDIRECT($P$2),COLUMN()-1,FALSE)*VLOOKUP($A174,Usinas!$C:$D,2,FALSE)</f>
        <v>789.61759999999992</v>
      </c>
      <c r="O174" s="65">
        <f ca="1">VLOOKUP($A174,INDIRECT($P$2),COLUMN()-1,FALSE)*VLOOKUP($A174,Usinas!$C:$D,2,FALSE)</f>
        <v>659.92750000000001</v>
      </c>
    </row>
    <row r="175" spans="1:15" hidden="1" outlineLevel="2" x14ac:dyDescent="0.25">
      <c r="A175" s="61">
        <v>75</v>
      </c>
      <c r="B175" s="62" t="s">
        <v>172</v>
      </c>
      <c r="D175" s="65">
        <f ca="1">VLOOKUP($A175,INDIRECT($P$2),COLUMN()-1,FALSE)*VLOOKUP($A175,Usinas!$C:$D,2,FALSE)</f>
        <v>792.73080000000004</v>
      </c>
      <c r="E175" s="65">
        <f ca="1">VLOOKUP($A175,INDIRECT($P$2),COLUMN()-1,FALSE)*VLOOKUP($A175,Usinas!$C:$D,2,FALSE)</f>
        <v>881.83619999999996</v>
      </c>
      <c r="F175" s="65">
        <f ca="1">VLOOKUP($A175,INDIRECT($P$2),COLUMN()-1,FALSE)*VLOOKUP($A175,Usinas!$C:$D,2,FALSE)</f>
        <v>785.56140000000005</v>
      </c>
      <c r="G175" s="65">
        <f ca="1">VLOOKUP($A175,INDIRECT($P$2),COLUMN()-1,FALSE)*VLOOKUP($A175,Usinas!$C:$D,2,FALSE)</f>
        <v>657.53639999999996</v>
      </c>
      <c r="H175" s="65">
        <f ca="1">VLOOKUP($A175,INDIRECT($P$2),COLUMN()-1,FALSE)*VLOOKUP($A175,Usinas!$C:$D,2,FALSE)</f>
        <v>800.92439999999999</v>
      </c>
      <c r="I175" s="65">
        <f ca="1">VLOOKUP($A175,INDIRECT($P$2),COLUMN()-1,FALSE)*VLOOKUP($A175,Usinas!$C:$D,2,FALSE)</f>
        <v>945.33659999999998</v>
      </c>
      <c r="J175" s="65">
        <f ca="1">VLOOKUP($A175,INDIRECT($P$2),COLUMN()-1,FALSE)*VLOOKUP($A175,Usinas!$C:$D,2,FALSE)</f>
        <v>974.01419999999996</v>
      </c>
      <c r="K175" s="65">
        <f ca="1">VLOOKUP($A175,INDIRECT($P$2),COLUMN()-1,FALSE)*VLOOKUP($A175,Usinas!$C:$D,2,FALSE)</f>
        <v>823.45680000000004</v>
      </c>
      <c r="L175" s="65">
        <f ca="1">VLOOKUP($A175,INDIRECT($P$2),COLUMN()-1,FALSE)*VLOOKUP($A175,Usinas!$C:$D,2,FALSE)</f>
        <v>964.79639999999995</v>
      </c>
      <c r="M175" s="65">
        <f ca="1">VLOOKUP($A175,INDIRECT($P$2),COLUMN()-1,FALSE)*VLOOKUP($A175,Usinas!$C:$D,2,FALSE)</f>
        <v>1219.8222000000001</v>
      </c>
      <c r="N175" s="65">
        <f ca="1">VLOOKUP($A175,INDIRECT($P$2),COLUMN()-1,FALSE)*VLOOKUP($A175,Usinas!$C:$D,2,FALSE)</f>
        <v>932.02200000000005</v>
      </c>
      <c r="O175" s="65">
        <f ca="1">VLOOKUP($A175,INDIRECT($P$2),COLUMN()-1,FALSE)*VLOOKUP($A175,Usinas!$C:$D,2,FALSE)</f>
        <v>773.27099999999996</v>
      </c>
    </row>
    <row r="176" spans="1:15" hidden="1" outlineLevel="2" x14ac:dyDescent="0.25">
      <c r="A176" s="30">
        <v>77</v>
      </c>
      <c r="B176" s="31" t="s">
        <v>173</v>
      </c>
      <c r="D176" s="65">
        <f ca="1">VLOOKUP($A176,INDIRECT($P$2),COLUMN()-1,FALSE)*VLOOKUP($A176,Usinas!$C:$D,2,FALSE)</f>
        <v>777.03</v>
      </c>
      <c r="E176" s="65">
        <f ca="1">VLOOKUP($A176,INDIRECT($P$2),COLUMN()-1,FALSE)*VLOOKUP($A176,Usinas!$C:$D,2,FALSE)</f>
        <v>862.19600000000003</v>
      </c>
      <c r="F176" s="65">
        <f ca="1">VLOOKUP($A176,INDIRECT($P$2),COLUMN()-1,FALSE)*VLOOKUP($A176,Usinas!$C:$D,2,FALSE)</f>
        <v>751.56799999999998</v>
      </c>
      <c r="G176" s="65">
        <f ca="1">VLOOKUP($A176,INDIRECT($P$2),COLUMN()-1,FALSE)*VLOOKUP($A176,Usinas!$C:$D,2,FALSE)</f>
        <v>664.64599999999996</v>
      </c>
      <c r="H176" s="65">
        <f ca="1">VLOOKUP($A176,INDIRECT($P$2),COLUMN()-1,FALSE)*VLOOKUP($A176,Usinas!$C:$D,2,FALSE)</f>
        <v>832.34400000000005</v>
      </c>
      <c r="I176" s="65">
        <f ca="1">VLOOKUP($A176,INDIRECT($P$2),COLUMN()-1,FALSE)*VLOOKUP($A176,Usinas!$C:$D,2,FALSE)</f>
        <v>989.50599999999997</v>
      </c>
      <c r="J176" s="65">
        <f ca="1">VLOOKUP($A176,INDIRECT($P$2),COLUMN()-1,FALSE)*VLOOKUP($A176,Usinas!$C:$D,2,FALSE)</f>
        <v>996.53</v>
      </c>
      <c r="K176" s="65">
        <f ca="1">VLOOKUP($A176,INDIRECT($P$2),COLUMN()-1,FALSE)*VLOOKUP($A176,Usinas!$C:$D,2,FALSE)</f>
        <v>822.68600000000004</v>
      </c>
      <c r="L176" s="65">
        <f ca="1">VLOOKUP($A176,INDIRECT($P$2),COLUMN()-1,FALSE)*VLOOKUP($A176,Usinas!$C:$D,2,FALSE)</f>
        <v>974.58</v>
      </c>
      <c r="M176" s="65">
        <f ca="1">VLOOKUP($A176,INDIRECT($P$2),COLUMN()-1,FALSE)*VLOOKUP($A176,Usinas!$C:$D,2,FALSE)</f>
        <v>1252.028</v>
      </c>
      <c r="N176" s="65">
        <f ca="1">VLOOKUP($A176,INDIRECT($P$2),COLUMN()-1,FALSE)*VLOOKUP($A176,Usinas!$C:$D,2,FALSE)</f>
        <v>939.46</v>
      </c>
      <c r="O176" s="65">
        <f ca="1">VLOOKUP($A176,INDIRECT($P$2),COLUMN()-1,FALSE)*VLOOKUP($A176,Usinas!$C:$D,2,FALSE)</f>
        <v>762.10400000000004</v>
      </c>
    </row>
    <row r="177" spans="1:15" hidden="1" outlineLevel="2" x14ac:dyDescent="0.25">
      <c r="A177" s="30">
        <v>78</v>
      </c>
      <c r="B177" s="31" t="s">
        <v>174</v>
      </c>
      <c r="D177" s="65">
        <f ca="1">VLOOKUP($A177,INDIRECT($P$2),COLUMN()-1,FALSE)*VLOOKUP($A177,Usinas!$C:$D,2,FALSE)</f>
        <v>581.50540000000001</v>
      </c>
      <c r="E177" s="65">
        <f ca="1">VLOOKUP($A177,INDIRECT($P$2),COLUMN()-1,FALSE)*VLOOKUP($A177,Usinas!$C:$D,2,FALSE)</f>
        <v>645.20609999999999</v>
      </c>
      <c r="F177" s="65">
        <f ca="1">VLOOKUP($A177,INDIRECT($P$2),COLUMN()-1,FALSE)*VLOOKUP($A177,Usinas!$C:$D,2,FALSE)</f>
        <v>563.84580000000005</v>
      </c>
      <c r="G177" s="65">
        <f ca="1">VLOOKUP($A177,INDIRECT($P$2),COLUMN()-1,FALSE)*VLOOKUP($A177,Usinas!$C:$D,2,FALSE)</f>
        <v>499.51440000000002</v>
      </c>
      <c r="H177" s="65">
        <f ca="1">VLOOKUP($A177,INDIRECT($P$2),COLUMN()-1,FALSE)*VLOOKUP($A177,Usinas!$C:$D,2,FALSE)</f>
        <v>628.17720000000008</v>
      </c>
      <c r="I177" s="65">
        <f ca="1">VLOOKUP($A177,INDIRECT($P$2),COLUMN()-1,FALSE)*VLOOKUP($A177,Usinas!$C:$D,2,FALSE)</f>
        <v>745.48740000000009</v>
      </c>
      <c r="J177" s="65">
        <f ca="1">VLOOKUP($A177,INDIRECT($P$2),COLUMN()-1,FALSE)*VLOOKUP($A177,Usinas!$C:$D,2,FALSE)</f>
        <v>748.6409000000001</v>
      </c>
      <c r="K177" s="65">
        <f ca="1">VLOOKUP($A177,INDIRECT($P$2),COLUMN()-1,FALSE)*VLOOKUP($A177,Usinas!$C:$D,2,FALSE)</f>
        <v>618.08600000000001</v>
      </c>
      <c r="L177" s="65">
        <f ca="1">VLOOKUP($A177,INDIRECT($P$2),COLUMN()-1,FALSE)*VLOOKUP($A177,Usinas!$C:$D,2,FALSE)</f>
        <v>729.08920000000001</v>
      </c>
      <c r="M177" s="65">
        <f ca="1">VLOOKUP($A177,INDIRECT($P$2),COLUMN()-1,FALSE)*VLOOKUP($A177,Usinas!$C:$D,2,FALSE)</f>
        <v>946.05000000000007</v>
      </c>
      <c r="N177" s="65">
        <f ca="1">VLOOKUP($A177,INDIRECT($P$2),COLUMN()-1,FALSE)*VLOOKUP($A177,Usinas!$C:$D,2,FALSE)</f>
        <v>711.42960000000005</v>
      </c>
      <c r="O177" s="65">
        <f ca="1">VLOOKUP($A177,INDIRECT($P$2),COLUMN()-1,FALSE)*VLOOKUP($A177,Usinas!$C:$D,2,FALSE)</f>
        <v>573.30630000000008</v>
      </c>
    </row>
    <row r="178" spans="1:15" hidden="1" outlineLevel="2" x14ac:dyDescent="0.25">
      <c r="A178" s="30">
        <v>222</v>
      </c>
      <c r="B178" s="31" t="s">
        <v>175</v>
      </c>
      <c r="D178" s="65">
        <f ca="1">VLOOKUP($A178,INDIRECT($P$2),COLUMN()-1,FALSE)*VLOOKUP($A178,Usinas!$C:$D,2,FALSE)</f>
        <v>677.79899999999998</v>
      </c>
      <c r="E178" s="65">
        <f ca="1">VLOOKUP($A178,INDIRECT($P$2),COLUMN()-1,FALSE)*VLOOKUP($A178,Usinas!$C:$D,2,FALSE)</f>
        <v>750.14499999999998</v>
      </c>
      <c r="F178" s="65">
        <f ca="1">VLOOKUP($A178,INDIRECT($P$2),COLUMN()-1,FALSE)*VLOOKUP($A178,Usinas!$C:$D,2,FALSE)</f>
        <v>652.89299999999992</v>
      </c>
      <c r="G178" s="65">
        <f ca="1">VLOOKUP($A178,INDIRECT($P$2),COLUMN()-1,FALSE)*VLOOKUP($A178,Usinas!$C:$D,2,FALSE)</f>
        <v>605.45299999999997</v>
      </c>
      <c r="H178" s="65">
        <f ca="1">VLOOKUP($A178,INDIRECT($P$2),COLUMN()-1,FALSE)*VLOOKUP($A178,Usinas!$C:$D,2,FALSE)</f>
        <v>785.72499999999991</v>
      </c>
      <c r="I178" s="65">
        <f ca="1">VLOOKUP($A178,INDIRECT($P$2),COLUMN()-1,FALSE)*VLOOKUP($A178,Usinas!$C:$D,2,FALSE)</f>
        <v>933.97499999999991</v>
      </c>
      <c r="J178" s="65">
        <f ca="1">VLOOKUP($A178,INDIRECT($P$2),COLUMN()-1,FALSE)*VLOOKUP($A178,Usinas!$C:$D,2,FALSE)</f>
        <v>903.73199999999997</v>
      </c>
      <c r="K178" s="65">
        <f ca="1">VLOOKUP($A178,INDIRECT($P$2),COLUMN()-1,FALSE)*VLOOKUP($A178,Usinas!$C:$D,2,FALSE)</f>
        <v>749.55199999999991</v>
      </c>
      <c r="L178" s="65">
        <f ca="1">VLOOKUP($A178,INDIRECT($P$2),COLUMN()-1,FALSE)*VLOOKUP($A178,Usinas!$C:$D,2,FALSE)</f>
        <v>869.93099999999993</v>
      </c>
      <c r="M178" s="65">
        <f ca="1">VLOOKUP($A178,INDIRECT($P$2),COLUMN()-1,FALSE)*VLOOKUP($A178,Usinas!$C:$D,2,FALSE)</f>
        <v>1147.4549999999999</v>
      </c>
      <c r="N178" s="65">
        <f ca="1">VLOOKUP($A178,INDIRECT($P$2),COLUMN()-1,FALSE)*VLOOKUP($A178,Usinas!$C:$D,2,FALSE)</f>
        <v>866.96600000000001</v>
      </c>
      <c r="O178" s="65">
        <f ca="1">VLOOKUP($A178,INDIRECT($P$2),COLUMN()-1,FALSE)*VLOOKUP($A178,Usinas!$C:$D,2,FALSE)</f>
        <v>687.88</v>
      </c>
    </row>
    <row r="179" spans="1:15" hidden="1" outlineLevel="1" x14ac:dyDescent="0.25">
      <c r="A179" s="32"/>
      <c r="B179" s="33" t="s">
        <v>56</v>
      </c>
      <c r="D179" s="74">
        <f t="shared" ref="D179:I179" ca="1" si="29">SUM(D172:D178)</f>
        <v>3667.0928999999996</v>
      </c>
      <c r="E179" s="48">
        <f t="shared" ca="1" si="29"/>
        <v>4073.1866</v>
      </c>
      <c r="F179" s="48">
        <f t="shared" ca="1" si="29"/>
        <v>3579.5592000000001</v>
      </c>
      <c r="G179" s="48">
        <f t="shared" ca="1" si="29"/>
        <v>3116.2644999999998</v>
      </c>
      <c r="H179" s="48">
        <f t="shared" ca="1" si="29"/>
        <v>3898.547</v>
      </c>
      <c r="I179" s="75">
        <f t="shared" ca="1" si="29"/>
        <v>4610.8588999999993</v>
      </c>
      <c r="J179" s="74">
        <f t="shared" ref="J179:O179" ca="1" si="30">SUM(J172:J178)</f>
        <v>4657.3197</v>
      </c>
      <c r="K179" s="48">
        <f t="shared" ca="1" si="30"/>
        <v>3876.5623999999998</v>
      </c>
      <c r="L179" s="48">
        <f t="shared" ca="1" si="30"/>
        <v>4564.7398999999996</v>
      </c>
      <c r="M179" s="48">
        <f t="shared" ca="1" si="30"/>
        <v>5859.7097000000003</v>
      </c>
      <c r="N179" s="48">
        <f t="shared" ca="1" si="30"/>
        <v>4421.9402</v>
      </c>
      <c r="O179" s="75">
        <f t="shared" ca="1" si="30"/>
        <v>3610.9828000000007</v>
      </c>
    </row>
    <row r="180" spans="1:15" hidden="1" outlineLevel="1" x14ac:dyDescent="0.25">
      <c r="A180" s="34"/>
      <c r="B180" s="35" t="s">
        <v>0</v>
      </c>
      <c r="D180" s="76"/>
      <c r="E180" s="77"/>
      <c r="F180" s="77"/>
      <c r="G180" s="77"/>
      <c r="H180" s="77"/>
      <c r="I180" s="78"/>
      <c r="J180" s="76"/>
      <c r="K180" s="77"/>
      <c r="L180" s="77"/>
      <c r="M180" s="77"/>
      <c r="N180" s="77"/>
      <c r="O180" s="78"/>
    </row>
    <row r="181" spans="1:15" hidden="1" outlineLevel="1" x14ac:dyDescent="0.25">
      <c r="A181" s="2"/>
      <c r="B181" s="3"/>
      <c r="D181" s="53"/>
      <c r="E181" s="54"/>
      <c r="F181" s="54"/>
      <c r="G181" s="54"/>
      <c r="H181" s="54"/>
      <c r="I181" s="54"/>
      <c r="J181" s="53"/>
      <c r="K181" s="54"/>
      <c r="L181" s="54"/>
      <c r="M181" s="54"/>
      <c r="N181" s="54"/>
      <c r="O181" s="54"/>
    </row>
    <row r="182" spans="1:15" hidden="1" outlineLevel="1" x14ac:dyDescent="0.25">
      <c r="A182" s="36"/>
      <c r="B182" s="37"/>
      <c r="D182" s="332" t="s">
        <v>176</v>
      </c>
      <c r="E182" s="333" t="s">
        <v>58</v>
      </c>
      <c r="F182" s="333" t="s">
        <v>177</v>
      </c>
      <c r="G182" s="333"/>
      <c r="H182" s="333"/>
      <c r="I182" s="334"/>
      <c r="J182" s="332" t="s">
        <v>176</v>
      </c>
      <c r="K182" s="333" t="s">
        <v>58</v>
      </c>
      <c r="L182" s="333" t="s">
        <v>177</v>
      </c>
      <c r="M182" s="333"/>
      <c r="N182" s="333"/>
      <c r="O182" s="334"/>
    </row>
    <row r="183" spans="1:15" hidden="1" outlineLevel="2" x14ac:dyDescent="0.25">
      <c r="A183" s="30">
        <v>110</v>
      </c>
      <c r="B183" s="31" t="s">
        <v>178</v>
      </c>
      <c r="D183" s="65">
        <f ca="1">VLOOKUP($A183,INDIRECT($P$2),COLUMN()-1,FALSE)*VLOOKUP($A183,Usinas!$C:$D,2,FALSE)</f>
        <v>0</v>
      </c>
      <c r="E183" s="65">
        <f ca="1">VLOOKUP($A183,INDIRECT($P$2),COLUMN()-1,FALSE)*VLOOKUP($A183,Usinas!$C:$D,2,FALSE)</f>
        <v>0</v>
      </c>
      <c r="F183" s="65">
        <f ca="1">VLOOKUP($A183,INDIRECT($P$2),COLUMN()-1,FALSE)*VLOOKUP($A183,Usinas!$C:$D,2,FALSE)</f>
        <v>0</v>
      </c>
      <c r="G183" s="65">
        <f ca="1">VLOOKUP($A183,INDIRECT($P$2),COLUMN()-1,FALSE)*VLOOKUP($A183,Usinas!$C:$D,2,FALSE)</f>
        <v>0</v>
      </c>
      <c r="H183" s="65">
        <f ca="1">VLOOKUP($A183,INDIRECT($P$2),COLUMN()-1,FALSE)*VLOOKUP($A183,Usinas!$C:$D,2,FALSE)</f>
        <v>0</v>
      </c>
      <c r="I183" s="65">
        <f ca="1">VLOOKUP($A183,INDIRECT($P$2),COLUMN()-1,FALSE)*VLOOKUP($A183,Usinas!$C:$D,2,FALSE)</f>
        <v>0</v>
      </c>
      <c r="J183" s="65">
        <f ca="1">VLOOKUP($A183,INDIRECT($P$2),COLUMN()-1,FALSE)*VLOOKUP($A183,Usinas!$C:$D,2,FALSE)</f>
        <v>0</v>
      </c>
      <c r="K183" s="65">
        <f ca="1">VLOOKUP($A183,INDIRECT($P$2),COLUMN()-1,FALSE)*VLOOKUP($A183,Usinas!$C:$D,2,FALSE)</f>
        <v>0</v>
      </c>
      <c r="L183" s="65">
        <f ca="1">VLOOKUP($A183,INDIRECT($P$2),COLUMN()-1,FALSE)*VLOOKUP($A183,Usinas!$C:$D,2,FALSE)</f>
        <v>0</v>
      </c>
      <c r="M183" s="65">
        <f ca="1">VLOOKUP($A183,INDIRECT($P$2),COLUMN()-1,FALSE)*VLOOKUP($A183,Usinas!$C:$D,2,FALSE)</f>
        <v>0</v>
      </c>
      <c r="N183" s="65">
        <f ca="1">VLOOKUP($A183,INDIRECT($P$2),COLUMN()-1,FALSE)*VLOOKUP($A183,Usinas!$C:$D,2,FALSE)</f>
        <v>0</v>
      </c>
      <c r="O183" s="65">
        <f ca="1">VLOOKUP($A183,INDIRECT($P$2),COLUMN()-1,FALSE)*VLOOKUP($A183,Usinas!$C:$D,2,FALSE)</f>
        <v>0</v>
      </c>
    </row>
    <row r="184" spans="1:15" hidden="1" outlineLevel="2" x14ac:dyDescent="0.25">
      <c r="A184" s="30">
        <v>111</v>
      </c>
      <c r="B184" s="31" t="s">
        <v>34</v>
      </c>
      <c r="D184" s="65">
        <f ca="1">VLOOKUP($A184,INDIRECT($P$2),COLUMN()-1,FALSE)*VLOOKUP($A184,Usinas!$C:$D,2,FALSE)</f>
        <v>50.120399999999997</v>
      </c>
      <c r="E184" s="65">
        <f ca="1">VLOOKUP($A184,INDIRECT($P$2),COLUMN()-1,FALSE)*VLOOKUP($A184,Usinas!$C:$D,2,FALSE)</f>
        <v>46.703099999999999</v>
      </c>
      <c r="F184" s="65">
        <f ca="1">VLOOKUP($A184,INDIRECT($P$2),COLUMN()-1,FALSE)*VLOOKUP($A184,Usinas!$C:$D,2,FALSE)</f>
        <v>39.488799999999998</v>
      </c>
      <c r="G184" s="65">
        <f ca="1">VLOOKUP($A184,INDIRECT($P$2),COLUMN()-1,FALSE)*VLOOKUP($A184,Usinas!$C:$D,2,FALSE)</f>
        <v>52.018899999999995</v>
      </c>
      <c r="H184" s="65">
        <f ca="1">VLOOKUP($A184,INDIRECT($P$2),COLUMN()-1,FALSE)*VLOOKUP($A184,Usinas!$C:$D,2,FALSE)</f>
        <v>72.9024</v>
      </c>
      <c r="I184" s="65">
        <f ca="1">VLOOKUP($A184,INDIRECT($P$2),COLUMN()-1,FALSE)*VLOOKUP($A184,Usinas!$C:$D,2,FALSE)</f>
        <v>89.229500000000002</v>
      </c>
      <c r="J184" s="65">
        <f ca="1">VLOOKUP($A184,INDIRECT($P$2),COLUMN()-1,FALSE)*VLOOKUP($A184,Usinas!$C:$D,2,FALSE)</f>
        <v>100.24079999999999</v>
      </c>
      <c r="K184" s="65">
        <f ca="1">VLOOKUP($A184,INDIRECT($P$2),COLUMN()-1,FALSE)*VLOOKUP($A184,Usinas!$C:$D,2,FALSE)</f>
        <v>103.65809999999999</v>
      </c>
      <c r="L184" s="65">
        <f ca="1">VLOOKUP($A184,INDIRECT($P$2),COLUMN()-1,FALSE)*VLOOKUP($A184,Usinas!$C:$D,2,FALSE)</f>
        <v>118.46639999999999</v>
      </c>
      <c r="M184" s="65">
        <f ca="1">VLOOKUP($A184,INDIRECT($P$2),COLUMN()-1,FALSE)*VLOOKUP($A184,Usinas!$C:$D,2,FALSE)</f>
        <v>116.94759999999999</v>
      </c>
      <c r="N184" s="65">
        <f ca="1">VLOOKUP($A184,INDIRECT($P$2),COLUMN()-1,FALSE)*VLOOKUP($A184,Usinas!$C:$D,2,FALSE)</f>
        <v>83.154299999999992</v>
      </c>
      <c r="O184" s="65">
        <f ca="1">VLOOKUP($A184,INDIRECT($P$2),COLUMN()-1,FALSE)*VLOOKUP($A184,Usinas!$C:$D,2,FALSE)</f>
        <v>64.548999999999992</v>
      </c>
    </row>
    <row r="185" spans="1:15" hidden="1" outlineLevel="2" x14ac:dyDescent="0.25">
      <c r="A185" s="30">
        <v>112</v>
      </c>
      <c r="B185" s="31" t="s">
        <v>179</v>
      </c>
      <c r="D185" s="65">
        <f ca="1">VLOOKUP($A185,INDIRECT($P$2),COLUMN()-1,FALSE)*VLOOKUP($A185,Usinas!$C:$D,2,FALSE)</f>
        <v>110.97880000000001</v>
      </c>
      <c r="E185" s="65">
        <f ca="1">VLOOKUP($A185,INDIRECT($P$2),COLUMN()-1,FALSE)*VLOOKUP($A185,Usinas!$C:$D,2,FALSE)</f>
        <v>102.69680000000001</v>
      </c>
      <c r="F185" s="65">
        <f ca="1">VLOOKUP($A185,INDIRECT($P$2),COLUMN()-1,FALSE)*VLOOKUP($A185,Usinas!$C:$D,2,FALSE)</f>
        <v>86.960999999999999</v>
      </c>
      <c r="G185" s="65">
        <f ca="1">VLOOKUP($A185,INDIRECT($P$2),COLUMN()-1,FALSE)*VLOOKUP($A185,Usinas!$C:$D,2,FALSE)</f>
        <v>114.2916</v>
      </c>
      <c r="H185" s="65">
        <f ca="1">VLOOKUP($A185,INDIRECT($P$2),COLUMN()-1,FALSE)*VLOOKUP($A185,Usinas!$C:$D,2,FALSE)</f>
        <v>160.67080000000001</v>
      </c>
      <c r="I185" s="65">
        <f ca="1">VLOOKUP($A185,INDIRECT($P$2),COLUMN()-1,FALSE)*VLOOKUP($A185,Usinas!$C:$D,2,FALSE)</f>
        <v>196.2834</v>
      </c>
      <c r="J185" s="65">
        <f ca="1">VLOOKUP($A185,INDIRECT($P$2),COLUMN()-1,FALSE)*VLOOKUP($A185,Usinas!$C:$D,2,FALSE)</f>
        <v>220.30120000000002</v>
      </c>
      <c r="K185" s="65">
        <f ca="1">VLOOKUP($A185,INDIRECT($P$2),COLUMN()-1,FALSE)*VLOOKUP($A185,Usinas!$C:$D,2,FALSE)</f>
        <v>227.75500000000002</v>
      </c>
      <c r="L185" s="65">
        <f ca="1">VLOOKUP($A185,INDIRECT($P$2),COLUMN()-1,FALSE)*VLOOKUP($A185,Usinas!$C:$D,2,FALSE)</f>
        <v>260.0548</v>
      </c>
      <c r="M185" s="65">
        <f ca="1">VLOOKUP($A185,INDIRECT($P$2),COLUMN()-1,FALSE)*VLOOKUP($A185,Usinas!$C:$D,2,FALSE)</f>
        <v>257.5702</v>
      </c>
      <c r="N185" s="65">
        <f ca="1">VLOOKUP($A185,INDIRECT($P$2),COLUMN()-1,FALSE)*VLOOKUP($A185,Usinas!$C:$D,2,FALSE)</f>
        <v>183.03220000000002</v>
      </c>
      <c r="O185" s="65">
        <f ca="1">VLOOKUP($A185,INDIRECT($P$2),COLUMN()-1,FALSE)*VLOOKUP($A185,Usinas!$C:$D,2,FALSE)</f>
        <v>141.62220000000002</v>
      </c>
    </row>
    <row r="186" spans="1:15" hidden="1" outlineLevel="2" x14ac:dyDescent="0.25">
      <c r="A186" s="30">
        <v>113</v>
      </c>
      <c r="B186" s="31" t="s">
        <v>180</v>
      </c>
      <c r="D186" s="65">
        <f ca="1">VLOOKUP($A186,INDIRECT($P$2),COLUMN()-1,FALSE)*VLOOKUP($A186,Usinas!$C:$D,2,FALSE)</f>
        <v>137.0994</v>
      </c>
      <c r="E186" s="65">
        <f ca="1">VLOOKUP($A186,INDIRECT($P$2),COLUMN()-1,FALSE)*VLOOKUP($A186,Usinas!$C:$D,2,FALSE)</f>
        <v>127.18859999999999</v>
      </c>
      <c r="F186" s="65">
        <f ca="1">VLOOKUP($A186,INDIRECT($P$2),COLUMN()-1,FALSE)*VLOOKUP($A186,Usinas!$C:$D,2,FALSE)</f>
        <v>108.19289999999999</v>
      </c>
      <c r="G186" s="65">
        <f ca="1">VLOOKUP($A186,INDIRECT($P$2),COLUMN()-1,FALSE)*VLOOKUP($A186,Usinas!$C:$D,2,FALSE)</f>
        <v>145.35839999999999</v>
      </c>
      <c r="H186" s="65">
        <f ca="1">VLOOKUP($A186,INDIRECT($P$2),COLUMN()-1,FALSE)*VLOOKUP($A186,Usinas!$C:$D,2,FALSE)</f>
        <v>203.9973</v>
      </c>
      <c r="I186" s="65">
        <f ca="1">VLOOKUP($A186,INDIRECT($P$2),COLUMN()-1,FALSE)*VLOOKUP($A186,Usinas!$C:$D,2,FALSE)</f>
        <v>248.5959</v>
      </c>
      <c r="J186" s="65">
        <f ca="1">VLOOKUP($A186,INDIRECT($P$2),COLUMN()-1,FALSE)*VLOOKUP($A186,Usinas!$C:$D,2,FALSE)</f>
        <v>283.28370000000001</v>
      </c>
      <c r="K186" s="65">
        <f ca="1">VLOOKUP($A186,INDIRECT($P$2),COLUMN()-1,FALSE)*VLOOKUP($A186,Usinas!$C:$D,2,FALSE)</f>
        <v>287.41319999999996</v>
      </c>
      <c r="L186" s="65">
        <f ca="1">VLOOKUP($A186,INDIRECT($P$2),COLUMN()-1,FALSE)*VLOOKUP($A186,Usinas!$C:$D,2,FALSE)</f>
        <v>328.70819999999998</v>
      </c>
      <c r="M186" s="65">
        <f ca="1">VLOOKUP($A186,INDIRECT($P$2),COLUMN()-1,FALSE)*VLOOKUP($A186,Usinas!$C:$D,2,FALSE)</f>
        <v>325.40459999999996</v>
      </c>
      <c r="N186" s="65">
        <f ca="1">VLOOKUP($A186,INDIRECT($P$2),COLUMN()-1,FALSE)*VLOOKUP($A186,Usinas!$C:$D,2,FALSE)</f>
        <v>235.38149999999999</v>
      </c>
      <c r="O186" s="65">
        <f ca="1">VLOOKUP($A186,INDIRECT($P$2),COLUMN()-1,FALSE)*VLOOKUP($A186,Usinas!$C:$D,2,FALSE)</f>
        <v>175.0908</v>
      </c>
    </row>
    <row r="187" spans="1:15" hidden="1" outlineLevel="2" x14ac:dyDescent="0.25">
      <c r="A187" s="30">
        <v>114</v>
      </c>
      <c r="B187" s="31" t="s">
        <v>181</v>
      </c>
      <c r="D187" s="65">
        <f ca="1">VLOOKUP($A187,INDIRECT($P$2),COLUMN()-1,FALSE)*VLOOKUP($A187,Usinas!$C:$D,2,FALSE)</f>
        <v>68.983199999999997</v>
      </c>
      <c r="E187" s="65">
        <f ca="1">VLOOKUP($A187,INDIRECT($P$2),COLUMN()-1,FALSE)*VLOOKUP($A187,Usinas!$C:$D,2,FALSE)</f>
        <v>65.551199999999994</v>
      </c>
      <c r="F187" s="65">
        <f ca="1">VLOOKUP($A187,INDIRECT($P$2),COLUMN()-1,FALSE)*VLOOKUP($A187,Usinas!$C:$D,2,FALSE)</f>
        <v>55.941600000000001</v>
      </c>
      <c r="G187" s="65">
        <f ca="1">VLOOKUP($A187,INDIRECT($P$2),COLUMN()-1,FALSE)*VLOOKUP($A187,Usinas!$C:$D,2,FALSE)</f>
        <v>77.22</v>
      </c>
      <c r="H187" s="65">
        <f ca="1">VLOOKUP($A187,INDIRECT($P$2),COLUMN()-1,FALSE)*VLOOKUP($A187,Usinas!$C:$D,2,FALSE)</f>
        <v>103.6464</v>
      </c>
      <c r="I187" s="65">
        <f ca="1">VLOOKUP($A187,INDIRECT($P$2),COLUMN()-1,FALSE)*VLOOKUP($A187,Usinas!$C:$D,2,FALSE)</f>
        <v>131.78880000000001</v>
      </c>
      <c r="J187" s="65">
        <f ca="1">VLOOKUP($A187,INDIRECT($P$2),COLUMN()-1,FALSE)*VLOOKUP($A187,Usinas!$C:$D,2,FALSE)</f>
        <v>148.60560000000001</v>
      </c>
      <c r="K187" s="65">
        <f ca="1">VLOOKUP($A187,INDIRECT($P$2),COLUMN()-1,FALSE)*VLOOKUP($A187,Usinas!$C:$D,2,FALSE)</f>
        <v>145.86000000000001</v>
      </c>
      <c r="L187" s="65">
        <f ca="1">VLOOKUP($A187,INDIRECT($P$2),COLUMN()-1,FALSE)*VLOOKUP($A187,Usinas!$C:$D,2,FALSE)</f>
        <v>165.76560000000001</v>
      </c>
      <c r="M187" s="65">
        <f ca="1">VLOOKUP($A187,INDIRECT($P$2),COLUMN()-1,FALSE)*VLOOKUP($A187,Usinas!$C:$D,2,FALSE)</f>
        <v>163.02000000000001</v>
      </c>
      <c r="N187" s="65">
        <f ca="1">VLOOKUP($A187,INDIRECT($P$2),COLUMN()-1,FALSE)*VLOOKUP($A187,Usinas!$C:$D,2,FALSE)</f>
        <v>117.0312</v>
      </c>
      <c r="O187" s="65">
        <f ca="1">VLOOKUP($A187,INDIRECT($P$2),COLUMN()-1,FALSE)*VLOOKUP($A187,Usinas!$C:$D,2,FALSE)</f>
        <v>87.172799999999995</v>
      </c>
    </row>
    <row r="188" spans="1:15" hidden="1" outlineLevel="2" x14ac:dyDescent="0.25">
      <c r="A188" s="30">
        <v>97</v>
      </c>
      <c r="B188" s="31" t="s">
        <v>182</v>
      </c>
      <c r="D188" s="65">
        <f ca="1">VLOOKUP($A188,INDIRECT($P$2),COLUMN()-1,FALSE)*VLOOKUP($A188,Usinas!$C:$D,2,FALSE)</f>
        <v>57.616</v>
      </c>
      <c r="E188" s="65">
        <f ca="1">VLOOKUP($A188,INDIRECT($P$2),COLUMN()-1,FALSE)*VLOOKUP($A188,Usinas!$C:$D,2,FALSE)</f>
        <v>73.820499999999996</v>
      </c>
      <c r="F188" s="65">
        <f ca="1">VLOOKUP($A188,INDIRECT($P$2),COLUMN()-1,FALSE)*VLOOKUP($A188,Usinas!$C:$D,2,FALSE)</f>
        <v>55.815499999999993</v>
      </c>
      <c r="G188" s="65">
        <f ca="1">VLOOKUP($A188,INDIRECT($P$2),COLUMN()-1,FALSE)*VLOOKUP($A188,Usinas!$C:$D,2,FALSE)</f>
        <v>62.657399999999996</v>
      </c>
      <c r="H188" s="65">
        <f ca="1">VLOOKUP($A188,INDIRECT($P$2),COLUMN()-1,FALSE)*VLOOKUP($A188,Usinas!$C:$D,2,FALSE)</f>
        <v>86.784099999999995</v>
      </c>
      <c r="I188" s="65">
        <f ca="1">VLOOKUP($A188,INDIRECT($P$2),COLUMN()-1,FALSE)*VLOOKUP($A188,Usinas!$C:$D,2,FALSE)</f>
        <v>113.0714</v>
      </c>
      <c r="J188" s="65">
        <f ca="1">VLOOKUP($A188,INDIRECT($P$2),COLUMN()-1,FALSE)*VLOOKUP($A188,Usinas!$C:$D,2,FALSE)</f>
        <v>146.20059999999998</v>
      </c>
      <c r="K188" s="65">
        <f ca="1">VLOOKUP($A188,INDIRECT($P$2),COLUMN()-1,FALSE)*VLOOKUP($A188,Usinas!$C:$D,2,FALSE)</f>
        <v>152.6824</v>
      </c>
      <c r="L188" s="65">
        <f ca="1">VLOOKUP($A188,INDIRECT($P$2),COLUMN()-1,FALSE)*VLOOKUP($A188,Usinas!$C:$D,2,FALSE)</f>
        <v>169.6071</v>
      </c>
      <c r="M188" s="65">
        <f ca="1">VLOOKUP($A188,INDIRECT($P$2),COLUMN()-1,FALSE)*VLOOKUP($A188,Usinas!$C:$D,2,FALSE)</f>
        <v>139.3587</v>
      </c>
      <c r="N188" s="65">
        <f ca="1">VLOOKUP($A188,INDIRECT($P$2),COLUMN()-1,FALSE)*VLOOKUP($A188,Usinas!$C:$D,2,FALSE)</f>
        <v>81.742699999999999</v>
      </c>
      <c r="O188" s="65">
        <f ca="1">VLOOKUP($A188,INDIRECT($P$2),COLUMN()-1,FALSE)*VLOOKUP($A188,Usinas!$C:$D,2,FALSE)</f>
        <v>65.178100000000001</v>
      </c>
    </row>
    <row r="189" spans="1:15" hidden="1" outlineLevel="2" x14ac:dyDescent="0.25">
      <c r="A189" s="30">
        <v>98</v>
      </c>
      <c r="B189" s="31" t="s">
        <v>183</v>
      </c>
      <c r="D189" s="65">
        <f ca="1">VLOOKUP($A189,INDIRECT($P$2),COLUMN()-1,FALSE)*VLOOKUP($A189,Usinas!$C:$D,2,FALSE)</f>
        <v>70.540499999999994</v>
      </c>
      <c r="E189" s="65">
        <f ca="1">VLOOKUP($A189,INDIRECT($P$2),COLUMN()-1,FALSE)*VLOOKUP($A189,Usinas!$C:$D,2,FALSE)</f>
        <v>91.778499999999994</v>
      </c>
      <c r="F189" s="65">
        <f ca="1">VLOOKUP($A189,INDIRECT($P$2),COLUMN()-1,FALSE)*VLOOKUP($A189,Usinas!$C:$D,2,FALSE)</f>
        <v>69.781999999999996</v>
      </c>
      <c r="G189" s="65">
        <f ca="1">VLOOKUP($A189,INDIRECT($P$2),COLUMN()-1,FALSE)*VLOOKUP($A189,Usinas!$C:$D,2,FALSE)</f>
        <v>75.091499999999996</v>
      </c>
      <c r="H189" s="65">
        <f ca="1">VLOOKUP($A189,INDIRECT($P$2),COLUMN()-1,FALSE)*VLOOKUP($A189,Usinas!$C:$D,2,FALSE)</f>
        <v>97.087999999999994</v>
      </c>
      <c r="I189" s="65">
        <f ca="1">VLOOKUP($A189,INDIRECT($P$2),COLUMN()-1,FALSE)*VLOOKUP($A189,Usinas!$C:$D,2,FALSE)</f>
        <v>128.94499999999999</v>
      </c>
      <c r="J189" s="65">
        <f ca="1">VLOOKUP($A189,INDIRECT($P$2),COLUMN()-1,FALSE)*VLOOKUP($A189,Usinas!$C:$D,2,FALSE)</f>
        <v>166.11149999999998</v>
      </c>
      <c r="K189" s="65">
        <f ca="1">VLOOKUP($A189,INDIRECT($P$2),COLUMN()-1,FALSE)*VLOOKUP($A189,Usinas!$C:$D,2,FALSE)</f>
        <v>176.73049999999998</v>
      </c>
      <c r="L189" s="65">
        <f ca="1">VLOOKUP($A189,INDIRECT($P$2),COLUMN()-1,FALSE)*VLOOKUP($A189,Usinas!$C:$D,2,FALSE)</f>
        <v>191.142</v>
      </c>
      <c r="M189" s="65">
        <f ca="1">VLOOKUP($A189,INDIRECT($P$2),COLUMN()-1,FALSE)*VLOOKUP($A189,Usinas!$C:$D,2,FALSE)</f>
        <v>153.21699999999998</v>
      </c>
      <c r="N189" s="65">
        <f ca="1">VLOOKUP($A189,INDIRECT($P$2),COLUMN()-1,FALSE)*VLOOKUP($A189,Usinas!$C:$D,2,FALSE)</f>
        <v>93.29549999999999</v>
      </c>
      <c r="O189" s="65">
        <f ca="1">VLOOKUP($A189,INDIRECT($P$2),COLUMN()-1,FALSE)*VLOOKUP($A189,Usinas!$C:$D,2,FALSE)</f>
        <v>74.332999999999998</v>
      </c>
    </row>
    <row r="190" spans="1:15" hidden="1" outlineLevel="2" x14ac:dyDescent="0.25">
      <c r="A190" s="30">
        <v>284</v>
      </c>
      <c r="B190" s="31" t="s">
        <v>184</v>
      </c>
      <c r="D190" s="65">
        <f ca="1">VLOOKUP($A190,INDIRECT($P$2),COLUMN()-1,FALSE)*VLOOKUP($A190,Usinas!$C:$D,2,FALSE)</f>
        <v>50.812599999999996</v>
      </c>
      <c r="E190" s="65">
        <f ca="1">VLOOKUP($A190,INDIRECT($P$2),COLUMN()-1,FALSE)*VLOOKUP($A190,Usinas!$C:$D,2,FALSE)</f>
        <v>64.587099999999992</v>
      </c>
      <c r="F190" s="65">
        <f ca="1">VLOOKUP($A190,INDIRECT($P$2),COLUMN()-1,FALSE)*VLOOKUP($A190,Usinas!$C:$D,2,FALSE)</f>
        <v>49.2821</v>
      </c>
      <c r="G190" s="65">
        <f ca="1">VLOOKUP($A190,INDIRECT($P$2),COLUMN()-1,FALSE)*VLOOKUP($A190,Usinas!$C:$D,2,FALSE)</f>
        <v>54.791899999999998</v>
      </c>
      <c r="H190" s="65">
        <f ca="1">VLOOKUP($A190,INDIRECT($P$2),COLUMN()-1,FALSE)*VLOOKUP($A190,Usinas!$C:$D,2,FALSE)</f>
        <v>76.218899999999991</v>
      </c>
      <c r="I190" s="65">
        <f ca="1">VLOOKUP($A190,INDIRECT($P$2),COLUMN()-1,FALSE)*VLOOKUP($A190,Usinas!$C:$D,2,FALSE)</f>
        <v>99.176400000000001</v>
      </c>
      <c r="J190" s="65">
        <f ca="1">VLOOKUP($A190,INDIRECT($P$2),COLUMN()-1,FALSE)*VLOOKUP($A190,Usinas!$C:$D,2,FALSE)</f>
        <v>128.56199999999998</v>
      </c>
      <c r="K190" s="65">
        <f ca="1">VLOOKUP($A190,INDIRECT($P$2),COLUMN()-1,FALSE)*VLOOKUP($A190,Usinas!$C:$D,2,FALSE)</f>
        <v>134.0718</v>
      </c>
      <c r="L190" s="65">
        <f ca="1">VLOOKUP($A190,INDIRECT($P$2),COLUMN()-1,FALSE)*VLOOKUP($A190,Usinas!$C:$D,2,FALSE)</f>
        <v>149.07069999999999</v>
      </c>
      <c r="M190" s="65">
        <f ca="1">VLOOKUP($A190,INDIRECT($P$2),COLUMN()-1,FALSE)*VLOOKUP($A190,Usinas!$C:$D,2,FALSE)</f>
        <v>122.44</v>
      </c>
      <c r="N190" s="65">
        <f ca="1">VLOOKUP($A190,INDIRECT($P$2),COLUMN()-1,FALSE)*VLOOKUP($A190,Usinas!$C:$D,2,FALSE)</f>
        <v>71.933499999999995</v>
      </c>
      <c r="O190" s="65">
        <f ca="1">VLOOKUP($A190,INDIRECT($P$2),COLUMN()-1,FALSE)*VLOOKUP($A190,Usinas!$C:$D,2,FALSE)</f>
        <v>57.240699999999997</v>
      </c>
    </row>
    <row r="191" spans="1:15" hidden="1" outlineLevel="1" x14ac:dyDescent="0.25">
      <c r="A191" s="32"/>
      <c r="B191" s="33" t="s">
        <v>56</v>
      </c>
      <c r="D191" s="74">
        <f t="shared" ref="D191:I191" ca="1" si="31">SUM(D183:D190)</f>
        <v>546.15089999999998</v>
      </c>
      <c r="E191" s="48">
        <f t="shared" ca="1" si="31"/>
        <v>572.32579999999996</v>
      </c>
      <c r="F191" s="48">
        <f t="shared" ca="1" si="31"/>
        <v>465.46389999999997</v>
      </c>
      <c r="G191" s="48">
        <f t="shared" ca="1" si="31"/>
        <v>581.42969999999991</v>
      </c>
      <c r="H191" s="48">
        <f t="shared" ca="1" si="31"/>
        <v>801.3078999999999</v>
      </c>
      <c r="I191" s="75">
        <f t="shared" ca="1" si="31"/>
        <v>1007.0904</v>
      </c>
      <c r="J191" s="74">
        <f t="shared" ref="J191:O191" ca="1" si="32">SUM(J183:J190)</f>
        <v>1193.3054</v>
      </c>
      <c r="K191" s="48">
        <f t="shared" ca="1" si="32"/>
        <v>1228.1709999999998</v>
      </c>
      <c r="L191" s="48">
        <f t="shared" ca="1" si="32"/>
        <v>1382.8147999999999</v>
      </c>
      <c r="M191" s="48">
        <f t="shared" ca="1" si="32"/>
        <v>1277.9580999999998</v>
      </c>
      <c r="N191" s="48">
        <f t="shared" ca="1" si="32"/>
        <v>865.57089999999994</v>
      </c>
      <c r="O191" s="75">
        <f t="shared" ca="1" si="32"/>
        <v>665.18659999999988</v>
      </c>
    </row>
    <row r="192" spans="1:15" hidden="1" outlineLevel="1" x14ac:dyDescent="0.25">
      <c r="A192" s="34"/>
      <c r="B192" s="35" t="s">
        <v>0</v>
      </c>
      <c r="D192" s="76"/>
      <c r="E192" s="77"/>
      <c r="F192" s="77"/>
      <c r="G192" s="77"/>
      <c r="H192" s="77"/>
      <c r="I192" s="78"/>
      <c r="J192" s="76"/>
      <c r="K192" s="77"/>
      <c r="L192" s="77"/>
      <c r="M192" s="77"/>
      <c r="N192" s="77"/>
      <c r="O192" s="78"/>
    </row>
    <row r="193" spans="1:15" hidden="1" outlineLevel="1" x14ac:dyDescent="0.25">
      <c r="A193" s="2"/>
      <c r="B193" s="3"/>
      <c r="D193" s="53"/>
      <c r="E193" s="54"/>
      <c r="F193" s="54"/>
      <c r="G193" s="54"/>
      <c r="H193" s="54"/>
      <c r="I193" s="54"/>
      <c r="J193" s="53"/>
      <c r="K193" s="54"/>
      <c r="L193" s="54"/>
      <c r="M193" s="54"/>
      <c r="N193" s="54"/>
      <c r="O193" s="54"/>
    </row>
    <row r="194" spans="1:15" hidden="1" outlineLevel="1" x14ac:dyDescent="0.25">
      <c r="A194" s="36"/>
      <c r="B194" s="37"/>
      <c r="D194" s="332" t="s">
        <v>185</v>
      </c>
      <c r="E194" s="333" t="s">
        <v>58</v>
      </c>
      <c r="F194" s="333" t="s">
        <v>186</v>
      </c>
      <c r="G194" s="333"/>
      <c r="H194" s="333"/>
      <c r="I194" s="334"/>
      <c r="J194" s="332" t="s">
        <v>185</v>
      </c>
      <c r="K194" s="333" t="s">
        <v>58</v>
      </c>
      <c r="L194" s="333" t="s">
        <v>186</v>
      </c>
      <c r="M194" s="333"/>
      <c r="N194" s="333"/>
      <c r="O194" s="334"/>
    </row>
    <row r="195" spans="1:15" hidden="1" outlineLevel="2" x14ac:dyDescent="0.25">
      <c r="A195" s="30">
        <v>215</v>
      </c>
      <c r="B195" s="31" t="s">
        <v>187</v>
      </c>
      <c r="D195" s="65">
        <f ca="1">VLOOKUP($A195,INDIRECT($P$2),COLUMN()-1,FALSE)*VLOOKUP($A195,Usinas!$C:$D,2,FALSE)</f>
        <v>251.51759999999999</v>
      </c>
      <c r="E195" s="65">
        <f ca="1">VLOOKUP($A195,INDIRECT($P$2),COLUMN()-1,FALSE)*VLOOKUP($A195,Usinas!$C:$D,2,FALSE)</f>
        <v>327.94560000000001</v>
      </c>
      <c r="F195" s="65">
        <f ca="1">VLOOKUP($A195,INDIRECT($P$2),COLUMN()-1,FALSE)*VLOOKUP($A195,Usinas!$C:$D,2,FALSE)</f>
        <v>245.95919999999998</v>
      </c>
      <c r="G195" s="65">
        <f ca="1">VLOOKUP($A195,INDIRECT($P$2),COLUMN()-1,FALSE)*VLOOKUP($A195,Usinas!$C:$D,2,FALSE)</f>
        <v>257.07599999999996</v>
      </c>
      <c r="H195" s="65">
        <f ca="1">VLOOKUP($A195,INDIRECT($P$2),COLUMN()-1,FALSE)*VLOOKUP($A195,Usinas!$C:$D,2,FALSE)</f>
        <v>348.78960000000001</v>
      </c>
      <c r="I195" s="65">
        <f ca="1">VLOOKUP($A195,INDIRECT($P$2),COLUMN()-1,FALSE)*VLOOKUP($A195,Usinas!$C:$D,2,FALSE)</f>
        <v>386.30879999999996</v>
      </c>
      <c r="J195" s="65">
        <f ca="1">VLOOKUP($A195,INDIRECT($P$2),COLUMN()-1,FALSE)*VLOOKUP($A195,Usinas!$C:$D,2,FALSE)</f>
        <v>494.69759999999997</v>
      </c>
      <c r="K195" s="65">
        <f ca="1">VLOOKUP($A195,INDIRECT($P$2),COLUMN()-1,FALSE)*VLOOKUP($A195,Usinas!$C:$D,2,FALSE)</f>
        <v>532.21680000000003</v>
      </c>
      <c r="L195" s="65">
        <f ca="1">VLOOKUP($A195,INDIRECT($P$2),COLUMN()-1,FALSE)*VLOOKUP($A195,Usinas!$C:$D,2,FALSE)</f>
        <v>603.08640000000003</v>
      </c>
      <c r="M195" s="65">
        <f ca="1">VLOOKUP($A195,INDIRECT($P$2),COLUMN()-1,FALSE)*VLOOKUP($A195,Usinas!$C:$D,2,FALSE)</f>
        <v>530.82719999999995</v>
      </c>
      <c r="N195" s="65">
        <f ca="1">VLOOKUP($A195,INDIRECT($P$2),COLUMN()-1,FALSE)*VLOOKUP($A195,Usinas!$C:$D,2,FALSE)</f>
        <v>327.94560000000001</v>
      </c>
      <c r="O195" s="65">
        <f ca="1">VLOOKUP($A195,INDIRECT($P$2),COLUMN()-1,FALSE)*VLOOKUP($A195,Usinas!$C:$D,2,FALSE)</f>
        <v>257.07599999999996</v>
      </c>
    </row>
    <row r="196" spans="1:15" hidden="1" outlineLevel="2" x14ac:dyDescent="0.25">
      <c r="A196" s="30">
        <v>89</v>
      </c>
      <c r="B196" s="31" t="s">
        <v>188</v>
      </c>
      <c r="D196" s="65">
        <f ca="1">VLOOKUP($A196,INDIRECT($P$2),COLUMN()-1,FALSE)*VLOOKUP($A196,Usinas!$C:$D,2,FALSE)</f>
        <v>80.485900000000001</v>
      </c>
      <c r="E196" s="65">
        <f ca="1">VLOOKUP($A196,INDIRECT($P$2),COLUMN()-1,FALSE)*VLOOKUP($A196,Usinas!$C:$D,2,FALSE)</f>
        <v>100.5111</v>
      </c>
      <c r="F196" s="65">
        <f ca="1">VLOOKUP($A196,INDIRECT($P$2),COLUMN()-1,FALSE)*VLOOKUP($A196,Usinas!$C:$D,2,FALSE)</f>
        <v>81.256100000000004</v>
      </c>
      <c r="G196" s="65">
        <f ca="1">VLOOKUP($A196,INDIRECT($P$2),COLUMN()-1,FALSE)*VLOOKUP($A196,Usinas!$C:$D,2,FALSE)</f>
        <v>73.9392</v>
      </c>
      <c r="H196" s="65">
        <f ca="1">VLOOKUP($A196,INDIRECT($P$2),COLUMN()-1,FALSE)*VLOOKUP($A196,Usinas!$C:$D,2,FALSE)</f>
        <v>96.6601</v>
      </c>
      <c r="I196" s="65">
        <f ca="1">VLOOKUP($A196,INDIRECT($P$2),COLUMN()-1,FALSE)*VLOOKUP($A196,Usinas!$C:$D,2,FALSE)</f>
        <v>105.51739999999999</v>
      </c>
      <c r="J196" s="65">
        <f ca="1">VLOOKUP($A196,INDIRECT($P$2),COLUMN()-1,FALSE)*VLOOKUP($A196,Usinas!$C:$D,2,FALSE)</f>
        <v>126.6979</v>
      </c>
      <c r="K196" s="65">
        <f ca="1">VLOOKUP($A196,INDIRECT($P$2),COLUMN()-1,FALSE)*VLOOKUP($A196,Usinas!$C:$D,2,FALSE)</f>
        <v>133.24459999999999</v>
      </c>
      <c r="L196" s="65">
        <f ca="1">VLOOKUP($A196,INDIRECT($P$2),COLUMN()-1,FALSE)*VLOOKUP($A196,Usinas!$C:$D,2,FALSE)</f>
        <v>159.81649999999999</v>
      </c>
      <c r="M196" s="65">
        <f ca="1">VLOOKUP($A196,INDIRECT($P$2),COLUMN()-1,FALSE)*VLOOKUP($A196,Usinas!$C:$D,2,FALSE)</f>
        <v>164.43770000000001</v>
      </c>
      <c r="N196" s="65">
        <f ca="1">VLOOKUP($A196,INDIRECT($P$2),COLUMN()-1,FALSE)*VLOOKUP($A196,Usinas!$C:$D,2,FALSE)</f>
        <v>108.59820000000001</v>
      </c>
      <c r="O196" s="65">
        <f ca="1">VLOOKUP($A196,INDIRECT($P$2),COLUMN()-1,FALSE)*VLOOKUP($A196,Usinas!$C:$D,2,FALSE)</f>
        <v>78.560400000000001</v>
      </c>
    </row>
    <row r="197" spans="1:15" hidden="1" outlineLevel="2" x14ac:dyDescent="0.25">
      <c r="A197" s="30">
        <v>216</v>
      </c>
      <c r="B197" s="31" t="s">
        <v>189</v>
      </c>
      <c r="D197" s="65">
        <f ca="1">VLOOKUP($A197,INDIRECT($P$2),COLUMN()-1,FALSE)*VLOOKUP($A197,Usinas!$C:$D,2,FALSE)</f>
        <v>367.137</v>
      </c>
      <c r="E197" s="65">
        <f ca="1">VLOOKUP($A197,INDIRECT($P$2),COLUMN()-1,FALSE)*VLOOKUP($A197,Usinas!$C:$D,2,FALSE)</f>
        <v>459.73349999999999</v>
      </c>
      <c r="F197" s="65">
        <f ca="1">VLOOKUP($A197,INDIRECT($P$2),COLUMN()-1,FALSE)*VLOOKUP($A197,Usinas!$C:$D,2,FALSE)</f>
        <v>370.38600000000002</v>
      </c>
      <c r="G197" s="65">
        <f ca="1">VLOOKUP($A197,INDIRECT($P$2),COLUMN()-1,FALSE)*VLOOKUP($A197,Usinas!$C:$D,2,FALSE)</f>
        <v>344.39400000000001</v>
      </c>
      <c r="H197" s="65">
        <f ca="1">VLOOKUP($A197,INDIRECT($P$2),COLUMN()-1,FALSE)*VLOOKUP($A197,Usinas!$C:$D,2,FALSE)</f>
        <v>453.2355</v>
      </c>
      <c r="I197" s="65">
        <f ca="1">VLOOKUP($A197,INDIRECT($P$2),COLUMN()-1,FALSE)*VLOOKUP($A197,Usinas!$C:$D,2,FALSE)</f>
        <v>495.47250000000003</v>
      </c>
      <c r="J197" s="65">
        <f ca="1">VLOOKUP($A197,INDIRECT($P$2),COLUMN()-1,FALSE)*VLOOKUP($A197,Usinas!$C:$D,2,FALSE)</f>
        <v>594.56700000000001</v>
      </c>
      <c r="K197" s="65">
        <f ca="1">VLOOKUP($A197,INDIRECT($P$2),COLUMN()-1,FALSE)*VLOOKUP($A197,Usinas!$C:$D,2,FALSE)</f>
        <v>623.80799999999999</v>
      </c>
      <c r="L197" s="65">
        <f ca="1">VLOOKUP($A197,INDIRECT($P$2),COLUMN()-1,FALSE)*VLOOKUP($A197,Usinas!$C:$D,2,FALSE)</f>
        <v>747.27</v>
      </c>
      <c r="M197" s="65">
        <f ca="1">VLOOKUP($A197,INDIRECT($P$2),COLUMN()-1,FALSE)*VLOOKUP($A197,Usinas!$C:$D,2,FALSE)</f>
        <v>770.01300000000003</v>
      </c>
      <c r="N197" s="65">
        <f ca="1">VLOOKUP($A197,INDIRECT($P$2),COLUMN()-1,FALSE)*VLOOKUP($A197,Usinas!$C:$D,2,FALSE)</f>
        <v>505.21950000000004</v>
      </c>
      <c r="O197" s="65">
        <f ca="1">VLOOKUP($A197,INDIRECT($P$2),COLUMN()-1,FALSE)*VLOOKUP($A197,Usinas!$C:$D,2,FALSE)</f>
        <v>362.26350000000002</v>
      </c>
    </row>
    <row r="198" spans="1:15" hidden="1" outlineLevel="2" x14ac:dyDescent="0.25">
      <c r="A198" s="30">
        <v>217</v>
      </c>
      <c r="B198" s="31" t="s">
        <v>190</v>
      </c>
      <c r="D198" s="65">
        <f ca="1">VLOOKUP($A198,INDIRECT($P$2),COLUMN()-1,FALSE)*VLOOKUP($A198,Usinas!$C:$D,2,FALSE)</f>
        <v>452.91909999999996</v>
      </c>
      <c r="E198" s="65">
        <f ca="1">VLOOKUP($A198,INDIRECT($P$2),COLUMN()-1,FALSE)*VLOOKUP($A198,Usinas!$C:$D,2,FALSE)</f>
        <v>578.78099999999995</v>
      </c>
      <c r="F198" s="65">
        <f ca="1">VLOOKUP($A198,INDIRECT($P$2),COLUMN()-1,FALSE)*VLOOKUP($A198,Usinas!$C:$D,2,FALSE)</f>
        <v>452.00039999999996</v>
      </c>
      <c r="G198" s="65">
        <f ca="1">VLOOKUP($A198,INDIRECT($P$2),COLUMN()-1,FALSE)*VLOOKUP($A198,Usinas!$C:$D,2,FALSE)</f>
        <v>454.75649999999996</v>
      </c>
      <c r="H198" s="65">
        <f ca="1">VLOOKUP($A198,INDIRECT($P$2),COLUMN()-1,FALSE)*VLOOKUP($A198,Usinas!$C:$D,2,FALSE)</f>
        <v>621.0412</v>
      </c>
      <c r="I198" s="65">
        <f ca="1">VLOOKUP($A198,INDIRECT($P$2),COLUMN()-1,FALSE)*VLOOKUP($A198,Usinas!$C:$D,2,FALSE)</f>
        <v>685.35019999999997</v>
      </c>
      <c r="J198" s="65">
        <f ca="1">VLOOKUP($A198,INDIRECT($P$2),COLUMN()-1,FALSE)*VLOOKUP($A198,Usinas!$C:$D,2,FALSE)</f>
        <v>838.7731</v>
      </c>
      <c r="K198" s="65">
        <f ca="1">VLOOKUP($A198,INDIRECT($P$2),COLUMN()-1,FALSE)*VLOOKUP($A198,Usinas!$C:$D,2,FALSE)</f>
        <v>885.6268</v>
      </c>
      <c r="L198" s="65">
        <f ca="1">VLOOKUP($A198,INDIRECT($P$2),COLUMN()-1,FALSE)*VLOOKUP($A198,Usinas!$C:$D,2,FALSE)</f>
        <v>1027.1065999999998</v>
      </c>
      <c r="M198" s="65">
        <f ca="1">VLOOKUP($A198,INDIRECT($P$2),COLUMN()-1,FALSE)*VLOOKUP($A198,Usinas!$C:$D,2,FALSE)</f>
        <v>1002.3017</v>
      </c>
      <c r="N198" s="65">
        <f ca="1">VLOOKUP($A198,INDIRECT($P$2),COLUMN()-1,FALSE)*VLOOKUP($A198,Usinas!$C:$D,2,FALSE)</f>
        <v>633.90300000000002</v>
      </c>
      <c r="O198" s="65">
        <f ca="1">VLOOKUP($A198,INDIRECT($P$2),COLUMN()-1,FALSE)*VLOOKUP($A198,Usinas!$C:$D,2,FALSE)</f>
        <v>468.53699999999998</v>
      </c>
    </row>
    <row r="199" spans="1:15" hidden="1" outlineLevel="2" x14ac:dyDescent="0.25">
      <c r="A199" s="30">
        <v>92</v>
      </c>
      <c r="B199" s="31" t="s">
        <v>35</v>
      </c>
      <c r="D199" s="65">
        <f ca="1">VLOOKUP($A199,INDIRECT($P$2),COLUMN()-1,FALSE)*VLOOKUP($A199,Usinas!$C:$D,2,FALSE)</f>
        <v>615.46199999999999</v>
      </c>
      <c r="E199" s="65">
        <f ca="1">VLOOKUP($A199,INDIRECT($P$2),COLUMN()-1,FALSE)*VLOOKUP($A199,Usinas!$C:$D,2,FALSE)</f>
        <v>784.48439999999994</v>
      </c>
      <c r="F199" s="65">
        <f ca="1">VLOOKUP($A199,INDIRECT($P$2),COLUMN()-1,FALSE)*VLOOKUP($A199,Usinas!$C:$D,2,FALSE)</f>
        <v>615.46199999999999</v>
      </c>
      <c r="G199" s="65">
        <f ca="1">VLOOKUP($A199,INDIRECT($P$2),COLUMN()-1,FALSE)*VLOOKUP($A199,Usinas!$C:$D,2,FALSE)</f>
        <v>644.85720000000003</v>
      </c>
      <c r="H199" s="65">
        <f ca="1">VLOOKUP($A199,INDIRECT($P$2),COLUMN()-1,FALSE)*VLOOKUP($A199,Usinas!$C:$D,2,FALSE)</f>
        <v>892.87919999999997</v>
      </c>
      <c r="I199" s="65">
        <f ca="1">VLOOKUP($A199,INDIRECT($P$2),COLUMN()-1,FALSE)*VLOOKUP($A199,Usinas!$C:$D,2,FALSE)</f>
        <v>998.51819999999998</v>
      </c>
      <c r="J199" s="65">
        <f ca="1">VLOOKUP($A199,INDIRECT($P$2),COLUMN()-1,FALSE)*VLOOKUP($A199,Usinas!$C:$D,2,FALSE)</f>
        <v>1187.7498000000001</v>
      </c>
      <c r="K199" s="65">
        <f ca="1">VLOOKUP($A199,INDIRECT($P$2),COLUMN()-1,FALSE)*VLOOKUP($A199,Usinas!$C:$D,2,FALSE)</f>
        <v>1258.482</v>
      </c>
      <c r="L199" s="65">
        <f ca="1">VLOOKUP($A199,INDIRECT($P$2),COLUMN()-1,FALSE)*VLOOKUP($A199,Usinas!$C:$D,2,FALSE)</f>
        <v>1449.5508</v>
      </c>
      <c r="M199" s="65">
        <f ca="1">VLOOKUP($A199,INDIRECT($P$2),COLUMN()-1,FALSE)*VLOOKUP($A199,Usinas!$C:$D,2,FALSE)</f>
        <v>1425.6671999999999</v>
      </c>
      <c r="N199" s="65">
        <f ca="1">VLOOKUP($A199,INDIRECT($P$2),COLUMN()-1,FALSE)*VLOOKUP($A199,Usinas!$C:$D,2,FALSE)</f>
        <v>904.82100000000003</v>
      </c>
      <c r="O199" s="65">
        <f ca="1">VLOOKUP($A199,INDIRECT($P$2),COLUMN()-1,FALSE)*VLOOKUP($A199,Usinas!$C:$D,2,FALSE)</f>
        <v>659.5548</v>
      </c>
    </row>
    <row r="200" spans="1:15" hidden="1" outlineLevel="2" x14ac:dyDescent="0.25">
      <c r="A200" s="30">
        <v>93</v>
      </c>
      <c r="B200" s="31" t="s">
        <v>191</v>
      </c>
      <c r="D200" s="65">
        <f ca="1">VLOOKUP($A200,INDIRECT($P$2),COLUMN()-1,FALSE)*VLOOKUP($A200,Usinas!$C:$D,2,FALSE)</f>
        <v>76.251800000000003</v>
      </c>
      <c r="E200" s="65">
        <f ca="1">VLOOKUP($A200,INDIRECT($P$2),COLUMN()-1,FALSE)*VLOOKUP($A200,Usinas!$C:$D,2,FALSE)</f>
        <v>76.251800000000003</v>
      </c>
      <c r="F200" s="65">
        <f ca="1">VLOOKUP($A200,INDIRECT($P$2),COLUMN()-1,FALSE)*VLOOKUP($A200,Usinas!$C:$D,2,FALSE)</f>
        <v>65.038300000000007</v>
      </c>
      <c r="G200" s="65">
        <f ca="1">VLOOKUP($A200,INDIRECT($P$2),COLUMN()-1,FALSE)*VLOOKUP($A200,Usinas!$C:$D,2,FALSE)</f>
        <v>80.737200000000001</v>
      </c>
      <c r="H200" s="65">
        <f ca="1">VLOOKUP($A200,INDIRECT($P$2),COLUMN()-1,FALSE)*VLOOKUP($A200,Usinas!$C:$D,2,FALSE)</f>
        <v>123.3485</v>
      </c>
      <c r="I200" s="65">
        <f ca="1">VLOOKUP($A200,INDIRECT($P$2),COLUMN()-1,FALSE)*VLOOKUP($A200,Usinas!$C:$D,2,FALSE)</f>
        <v>154.74630000000002</v>
      </c>
      <c r="J200" s="65">
        <f ca="1">VLOOKUP($A200,INDIRECT($P$2),COLUMN()-1,FALSE)*VLOOKUP($A200,Usinas!$C:$D,2,FALSE)</f>
        <v>172.68790000000001</v>
      </c>
      <c r="K200" s="65">
        <f ca="1">VLOOKUP($A200,INDIRECT($P$2),COLUMN()-1,FALSE)*VLOOKUP($A200,Usinas!$C:$D,2,FALSE)</f>
        <v>159.23170000000002</v>
      </c>
      <c r="L200" s="65">
        <f ca="1">VLOOKUP($A200,INDIRECT($P$2),COLUMN()-1,FALSE)*VLOOKUP($A200,Usinas!$C:$D,2,FALSE)</f>
        <v>177.17330000000001</v>
      </c>
      <c r="M200" s="65">
        <f ca="1">VLOOKUP($A200,INDIRECT($P$2),COLUMN()-1,FALSE)*VLOOKUP($A200,Usinas!$C:$D,2,FALSE)</f>
        <v>188.38680000000002</v>
      </c>
      <c r="N200" s="65">
        <f ca="1">VLOOKUP($A200,INDIRECT($P$2),COLUMN()-1,FALSE)*VLOOKUP($A200,Usinas!$C:$D,2,FALSE)</f>
        <v>132.3193</v>
      </c>
      <c r="O200" s="65">
        <f ca="1">VLOOKUP($A200,INDIRECT($P$2),COLUMN()-1,FALSE)*VLOOKUP($A200,Usinas!$C:$D,2,FALSE)</f>
        <v>98.67880000000001</v>
      </c>
    </row>
    <row r="201" spans="1:15" hidden="1" outlineLevel="2" x14ac:dyDescent="0.25">
      <c r="A201" s="30">
        <v>220</v>
      </c>
      <c r="B201" s="31" t="s">
        <v>192</v>
      </c>
      <c r="D201" s="65">
        <f ca="1">VLOOKUP($A201,INDIRECT($P$2),COLUMN()-1,FALSE)*VLOOKUP($A201,Usinas!$C:$D,2,FALSE)</f>
        <v>32.774499999999996</v>
      </c>
      <c r="E201" s="65">
        <f ca="1">VLOOKUP($A201,INDIRECT($P$2),COLUMN()-1,FALSE)*VLOOKUP($A201,Usinas!$C:$D,2,FALSE)</f>
        <v>32.219000000000001</v>
      </c>
      <c r="F201" s="65">
        <f ca="1">VLOOKUP($A201,INDIRECT($P$2),COLUMN()-1,FALSE)*VLOOKUP($A201,Usinas!$C:$D,2,FALSE)</f>
        <v>27.2195</v>
      </c>
      <c r="G201" s="65">
        <f ca="1">VLOOKUP($A201,INDIRECT($P$2),COLUMN()-1,FALSE)*VLOOKUP($A201,Usinas!$C:$D,2,FALSE)</f>
        <v>34.441000000000003</v>
      </c>
      <c r="H201" s="65">
        <f ca="1">VLOOKUP($A201,INDIRECT($P$2),COLUMN()-1,FALSE)*VLOOKUP($A201,Usinas!$C:$D,2,FALSE)</f>
        <v>53.328000000000003</v>
      </c>
      <c r="I201" s="65">
        <f ca="1">VLOOKUP($A201,INDIRECT($P$2),COLUMN()-1,FALSE)*VLOOKUP($A201,Usinas!$C:$D,2,FALSE)</f>
        <v>65.548999999999992</v>
      </c>
      <c r="J201" s="65">
        <f ca="1">VLOOKUP($A201,INDIRECT($P$2),COLUMN()-1,FALSE)*VLOOKUP($A201,Usinas!$C:$D,2,FALSE)</f>
        <v>73.325999999999993</v>
      </c>
      <c r="K201" s="65">
        <f ca="1">VLOOKUP($A201,INDIRECT($P$2),COLUMN()-1,FALSE)*VLOOKUP($A201,Usinas!$C:$D,2,FALSE)</f>
        <v>66.104500000000002</v>
      </c>
      <c r="L201" s="65">
        <f ca="1">VLOOKUP($A201,INDIRECT($P$2),COLUMN()-1,FALSE)*VLOOKUP($A201,Usinas!$C:$D,2,FALSE)</f>
        <v>73.325999999999993</v>
      </c>
      <c r="M201" s="65">
        <f ca="1">VLOOKUP($A201,INDIRECT($P$2),COLUMN()-1,FALSE)*VLOOKUP($A201,Usinas!$C:$D,2,FALSE)</f>
        <v>81.658500000000004</v>
      </c>
      <c r="N201" s="65">
        <f ca="1">VLOOKUP($A201,INDIRECT($P$2),COLUMN()-1,FALSE)*VLOOKUP($A201,Usinas!$C:$D,2,FALSE)</f>
        <v>57.216499999999996</v>
      </c>
      <c r="O201" s="65">
        <f ca="1">VLOOKUP($A201,INDIRECT($P$2),COLUMN()-1,FALSE)*VLOOKUP($A201,Usinas!$C:$D,2,FALSE)</f>
        <v>42.773499999999999</v>
      </c>
    </row>
    <row r="202" spans="1:15" hidden="1" outlineLevel="2" x14ac:dyDescent="0.25">
      <c r="A202" s="30">
        <v>94</v>
      </c>
      <c r="B202" s="31" t="s">
        <v>193</v>
      </c>
      <c r="D202" s="65">
        <f ca="1">VLOOKUP($A202,INDIRECT($P$2),COLUMN()-1,FALSE)*VLOOKUP($A202,Usinas!$C:$D,2,FALSE)</f>
        <v>369.8734</v>
      </c>
      <c r="E202" s="65">
        <f ca="1">VLOOKUP($A202,INDIRECT($P$2),COLUMN()-1,FALSE)*VLOOKUP($A202,Usinas!$C:$D,2,FALSE)</f>
        <v>462.57119999999998</v>
      </c>
      <c r="F202" s="65">
        <f ca="1">VLOOKUP($A202,INDIRECT($P$2),COLUMN()-1,FALSE)*VLOOKUP($A202,Usinas!$C:$D,2,FALSE)</f>
        <v>369.41449999999998</v>
      </c>
      <c r="G202" s="65">
        <f ca="1">VLOOKUP($A202,INDIRECT($P$2),COLUMN()-1,FALSE)*VLOOKUP($A202,Usinas!$C:$D,2,FALSE)</f>
        <v>394.654</v>
      </c>
      <c r="H202" s="65">
        <f ca="1">VLOOKUP($A202,INDIRECT($P$2),COLUMN()-1,FALSE)*VLOOKUP($A202,Usinas!$C:$D,2,FALSE)</f>
        <v>550.22109999999998</v>
      </c>
      <c r="I202" s="65">
        <f ca="1">VLOOKUP($A202,INDIRECT($P$2),COLUMN()-1,FALSE)*VLOOKUP($A202,Usinas!$C:$D,2,FALSE)</f>
        <v>625.02179999999998</v>
      </c>
      <c r="J202" s="65">
        <f ca="1">VLOOKUP($A202,INDIRECT($P$2),COLUMN()-1,FALSE)*VLOOKUP($A202,Usinas!$C:$D,2,FALSE)</f>
        <v>731.94549999999992</v>
      </c>
      <c r="K202" s="65">
        <f ca="1">VLOOKUP($A202,INDIRECT($P$2),COLUMN()-1,FALSE)*VLOOKUP($A202,Usinas!$C:$D,2,FALSE)</f>
        <v>769.1164</v>
      </c>
      <c r="L202" s="65">
        <f ca="1">VLOOKUP($A202,INDIRECT($P$2),COLUMN()-1,FALSE)*VLOOKUP($A202,Usinas!$C:$D,2,FALSE)</f>
        <v>873.74559999999997</v>
      </c>
      <c r="M202" s="65">
        <f ca="1">VLOOKUP($A202,INDIRECT($P$2),COLUMN()-1,FALSE)*VLOOKUP($A202,Usinas!$C:$D,2,FALSE)</f>
        <v>865.48539999999991</v>
      </c>
      <c r="N202" s="65">
        <f ca="1">VLOOKUP($A202,INDIRECT($P$2),COLUMN()-1,FALSE)*VLOOKUP($A202,Usinas!$C:$D,2,FALSE)</f>
        <v>564.90589999999997</v>
      </c>
      <c r="O202" s="65">
        <f ca="1">VLOOKUP($A202,INDIRECT($P$2),COLUMN()-1,FALSE)*VLOOKUP($A202,Usinas!$C:$D,2,FALSE)</f>
        <v>411.63329999999996</v>
      </c>
    </row>
    <row r="203" spans="1:15" hidden="1" outlineLevel="2" x14ac:dyDescent="0.25">
      <c r="A203" s="30">
        <v>286</v>
      </c>
      <c r="B203" s="31" t="s">
        <v>194</v>
      </c>
      <c r="D203" s="65">
        <f ca="1">VLOOKUP($A203,INDIRECT($P$2),COLUMN()-1,FALSE)*VLOOKUP($A203,Usinas!$C:$D,2,FALSE)</f>
        <v>58.923200000000001</v>
      </c>
      <c r="E203" s="65">
        <f ca="1">VLOOKUP($A203,INDIRECT($P$2),COLUMN()-1,FALSE)*VLOOKUP($A203,Usinas!$C:$D,2,FALSE)</f>
        <v>69.4452</v>
      </c>
      <c r="F203" s="65">
        <f ca="1">VLOOKUP($A203,INDIRECT($P$2),COLUMN()-1,FALSE)*VLOOKUP($A203,Usinas!$C:$D,2,FALSE)</f>
        <v>58.923200000000001</v>
      </c>
      <c r="G203" s="65">
        <f ca="1">VLOOKUP($A203,INDIRECT($P$2),COLUMN()-1,FALSE)*VLOOKUP($A203,Usinas!$C:$D,2,FALSE)</f>
        <v>61.0276</v>
      </c>
      <c r="H203" s="65">
        <f ca="1">VLOOKUP($A203,INDIRECT($P$2),COLUMN()-1,FALSE)*VLOOKUP($A203,Usinas!$C:$D,2,FALSE)</f>
        <v>86.2804</v>
      </c>
      <c r="I203" s="65">
        <f ca="1">VLOOKUP($A203,INDIRECT($P$2),COLUMN()-1,FALSE)*VLOOKUP($A203,Usinas!$C:$D,2,FALSE)</f>
        <v>97.854600000000005</v>
      </c>
      <c r="J203" s="65">
        <f ca="1">VLOOKUP($A203,INDIRECT($P$2),COLUMN()-1,FALSE)*VLOOKUP($A203,Usinas!$C:$D,2,FALSE)</f>
        <v>95.750200000000007</v>
      </c>
      <c r="K203" s="65">
        <f ca="1">VLOOKUP($A203,INDIRECT($P$2),COLUMN()-1,FALSE)*VLOOKUP($A203,Usinas!$C:$D,2,FALSE)</f>
        <v>92.593600000000009</v>
      </c>
      <c r="L203" s="65">
        <f ca="1">VLOOKUP($A203,INDIRECT($P$2),COLUMN()-1,FALSE)*VLOOKUP($A203,Usinas!$C:$D,2,FALSE)</f>
        <v>104.1678</v>
      </c>
      <c r="M203" s="65">
        <f ca="1">VLOOKUP($A203,INDIRECT($P$2),COLUMN()-1,FALSE)*VLOOKUP($A203,Usinas!$C:$D,2,FALSE)</f>
        <v>127.31620000000001</v>
      </c>
      <c r="N203" s="65">
        <f ca="1">VLOOKUP($A203,INDIRECT($P$2),COLUMN()-1,FALSE)*VLOOKUP($A203,Usinas!$C:$D,2,FALSE)</f>
        <v>87.332599999999999</v>
      </c>
      <c r="O203" s="65">
        <f ca="1">VLOOKUP($A203,INDIRECT($P$2),COLUMN()-1,FALSE)*VLOOKUP($A203,Usinas!$C:$D,2,FALSE)</f>
        <v>65.236400000000003</v>
      </c>
    </row>
    <row r="204" spans="1:15" hidden="1" outlineLevel="2" x14ac:dyDescent="0.25">
      <c r="A204" s="30">
        <v>102</v>
      </c>
      <c r="B204" s="31" t="s">
        <v>195</v>
      </c>
      <c r="D204" s="65">
        <f ca="1">VLOOKUP($A204,INDIRECT($P$2),COLUMN()-1,FALSE)*VLOOKUP($A204,Usinas!$C:$D,2,FALSE)</f>
        <v>30.569000000000003</v>
      </c>
      <c r="E204" s="65">
        <f ca="1">VLOOKUP($A204,INDIRECT($P$2),COLUMN()-1,FALSE)*VLOOKUP($A204,Usinas!$C:$D,2,FALSE)</f>
        <v>28.187000000000001</v>
      </c>
      <c r="F204" s="65">
        <f ca="1">VLOOKUP($A204,INDIRECT($P$2),COLUMN()-1,FALSE)*VLOOKUP($A204,Usinas!$C:$D,2,FALSE)</f>
        <v>24.0185</v>
      </c>
      <c r="G204" s="65">
        <f ca="1">VLOOKUP($A204,INDIRECT($P$2),COLUMN()-1,FALSE)*VLOOKUP($A204,Usinas!$C:$D,2,FALSE)</f>
        <v>36.722500000000004</v>
      </c>
      <c r="H204" s="65">
        <f ca="1">VLOOKUP($A204,INDIRECT($P$2),COLUMN()-1,FALSE)*VLOOKUP($A204,Usinas!$C:$D,2,FALSE)</f>
        <v>48.235500000000002</v>
      </c>
      <c r="I204" s="65">
        <f ca="1">VLOOKUP($A204,INDIRECT($P$2),COLUMN()-1,FALSE)*VLOOKUP($A204,Usinas!$C:$D,2,FALSE)</f>
        <v>57.763500000000001</v>
      </c>
      <c r="J204" s="65">
        <f ca="1">VLOOKUP($A204,INDIRECT($P$2),COLUMN()-1,FALSE)*VLOOKUP($A204,Usinas!$C:$D,2,FALSE)</f>
        <v>56.771000000000001</v>
      </c>
      <c r="K204" s="65">
        <f ca="1">VLOOKUP($A204,INDIRECT($P$2),COLUMN()-1,FALSE)*VLOOKUP($A204,Usinas!$C:$D,2,FALSE)</f>
        <v>55.778500000000001</v>
      </c>
      <c r="L204" s="65">
        <f ca="1">VLOOKUP($A204,INDIRECT($P$2),COLUMN()-1,FALSE)*VLOOKUP($A204,Usinas!$C:$D,2,FALSE)</f>
        <v>64.909500000000008</v>
      </c>
      <c r="M204" s="65">
        <f ca="1">VLOOKUP($A204,INDIRECT($P$2),COLUMN()-1,FALSE)*VLOOKUP($A204,Usinas!$C:$D,2,FALSE)</f>
        <v>72.254000000000005</v>
      </c>
      <c r="N204" s="65">
        <f ca="1">VLOOKUP($A204,INDIRECT($P$2),COLUMN()-1,FALSE)*VLOOKUP($A204,Usinas!$C:$D,2,FALSE)</f>
        <v>53.198</v>
      </c>
      <c r="O204" s="65">
        <f ca="1">VLOOKUP($A204,INDIRECT($P$2),COLUMN()-1,FALSE)*VLOOKUP($A204,Usinas!$C:$D,2,FALSE)</f>
        <v>40.692500000000003</v>
      </c>
    </row>
    <row r="205" spans="1:15" hidden="1" outlineLevel="2" x14ac:dyDescent="0.25">
      <c r="A205" s="30">
        <v>103</v>
      </c>
      <c r="B205" s="31" t="s">
        <v>196</v>
      </c>
      <c r="D205" s="65">
        <f ca="1">VLOOKUP($A205,INDIRECT($P$2),COLUMN()-1,FALSE)*VLOOKUP($A205,Usinas!$C:$D,2,FALSE)</f>
        <v>42.064000000000007</v>
      </c>
      <c r="E205" s="65">
        <f ca="1">VLOOKUP($A205,INDIRECT($P$2),COLUMN()-1,FALSE)*VLOOKUP($A205,Usinas!$C:$D,2,FALSE)</f>
        <v>38.909200000000006</v>
      </c>
      <c r="F205" s="65">
        <f ca="1">VLOOKUP($A205,INDIRECT($P$2),COLUMN()-1,FALSE)*VLOOKUP($A205,Usinas!$C:$D,2,FALSE)</f>
        <v>33.125400000000006</v>
      </c>
      <c r="G205" s="65">
        <f ca="1">VLOOKUP($A205,INDIRECT($P$2),COLUMN()-1,FALSE)*VLOOKUP($A205,Usinas!$C:$D,2,FALSE)</f>
        <v>50.213900000000002</v>
      </c>
      <c r="H205" s="65">
        <f ca="1">VLOOKUP($A205,INDIRECT($P$2),COLUMN()-1,FALSE)*VLOOKUP($A205,Usinas!$C:$D,2,FALSE)</f>
        <v>65.98790000000001</v>
      </c>
      <c r="I205" s="65">
        <f ca="1">VLOOKUP($A205,INDIRECT($P$2),COLUMN()-1,FALSE)*VLOOKUP($A205,Usinas!$C:$D,2,FALSE)</f>
        <v>79.395800000000008</v>
      </c>
      <c r="J205" s="65">
        <f ca="1">VLOOKUP($A205,INDIRECT($P$2),COLUMN()-1,FALSE)*VLOOKUP($A205,Usinas!$C:$D,2,FALSE)</f>
        <v>78.081300000000013</v>
      </c>
      <c r="K205" s="65">
        <f ca="1">VLOOKUP($A205,INDIRECT($P$2),COLUMN()-1,FALSE)*VLOOKUP($A205,Usinas!$C:$D,2,FALSE)</f>
        <v>76.766800000000003</v>
      </c>
      <c r="L205" s="65">
        <f ca="1">VLOOKUP($A205,INDIRECT($P$2),COLUMN()-1,FALSE)*VLOOKUP($A205,Usinas!$C:$D,2,FALSE)</f>
        <v>89.123100000000008</v>
      </c>
      <c r="M205" s="65">
        <f ca="1">VLOOKUP($A205,INDIRECT($P$2),COLUMN()-1,FALSE)*VLOOKUP($A205,Usinas!$C:$D,2,FALSE)</f>
        <v>99.376200000000011</v>
      </c>
      <c r="N205" s="65">
        <f ca="1">VLOOKUP($A205,INDIRECT($P$2),COLUMN()-1,FALSE)*VLOOKUP($A205,Usinas!$C:$D,2,FALSE)</f>
        <v>73.612000000000009</v>
      </c>
      <c r="O205" s="65">
        <f ca="1">VLOOKUP($A205,INDIRECT($P$2),COLUMN()-1,FALSE)*VLOOKUP($A205,Usinas!$C:$D,2,FALSE)</f>
        <v>55.997700000000002</v>
      </c>
    </row>
    <row r="206" spans="1:15" hidden="1" outlineLevel="1" x14ac:dyDescent="0.25">
      <c r="A206" s="32"/>
      <c r="B206" s="33" t="s">
        <v>56</v>
      </c>
      <c r="D206" s="74">
        <f t="shared" ref="D206:I206" ca="1" si="33">SUM(D195:D205)</f>
        <v>2377.9775</v>
      </c>
      <c r="E206" s="48">
        <f t="shared" ca="1" si="33"/>
        <v>2959.0389999999998</v>
      </c>
      <c r="F206" s="48">
        <f t="shared" ca="1" si="33"/>
        <v>2342.8031000000001</v>
      </c>
      <c r="G206" s="48">
        <f t="shared" ca="1" si="33"/>
        <v>2432.8190999999997</v>
      </c>
      <c r="H206" s="48">
        <f t="shared" ca="1" si="33"/>
        <v>3340.0070000000005</v>
      </c>
      <c r="I206" s="75">
        <f t="shared" ca="1" si="33"/>
        <v>3751.4981000000007</v>
      </c>
      <c r="J206" s="74">
        <f t="shared" ref="J206:O206" ca="1" si="34">SUM(J195:J205)</f>
        <v>4451.0473000000002</v>
      </c>
      <c r="K206" s="48">
        <f t="shared" ca="1" si="34"/>
        <v>4652.9697000000006</v>
      </c>
      <c r="L206" s="48">
        <f t="shared" ca="1" si="34"/>
        <v>5369.2755999999999</v>
      </c>
      <c r="M206" s="48">
        <f t="shared" ca="1" si="34"/>
        <v>5327.7239</v>
      </c>
      <c r="N206" s="48">
        <f t="shared" ca="1" si="34"/>
        <v>3449.0716000000002</v>
      </c>
      <c r="O206" s="75">
        <f t="shared" ca="1" si="34"/>
        <v>2541.0038999999997</v>
      </c>
    </row>
    <row r="207" spans="1:15" hidden="1" outlineLevel="1" x14ac:dyDescent="0.25">
      <c r="A207" s="34"/>
      <c r="B207" s="35" t="s">
        <v>0</v>
      </c>
      <c r="D207" s="76"/>
      <c r="E207" s="77"/>
      <c r="F207" s="77"/>
      <c r="G207" s="77"/>
      <c r="H207" s="77"/>
      <c r="I207" s="78"/>
      <c r="J207" s="76"/>
      <c r="K207" s="77"/>
      <c r="L207" s="77"/>
      <c r="M207" s="77"/>
      <c r="N207" s="77"/>
      <c r="O207" s="78"/>
    </row>
    <row r="208" spans="1:15" hidden="1" outlineLevel="1" x14ac:dyDescent="0.25">
      <c r="A208" s="2"/>
      <c r="B208" s="3"/>
      <c r="D208" s="53"/>
      <c r="E208" s="54"/>
      <c r="F208" s="54"/>
      <c r="G208" s="54"/>
      <c r="H208" s="54"/>
      <c r="I208" s="54"/>
      <c r="J208" s="53"/>
      <c r="K208" s="54"/>
      <c r="L208" s="54"/>
      <c r="M208" s="54"/>
      <c r="N208" s="54"/>
      <c r="O208" s="54"/>
    </row>
    <row r="209" spans="1:15" hidden="1" outlineLevel="1" x14ac:dyDescent="0.25">
      <c r="A209" s="36"/>
      <c r="B209" s="37"/>
      <c r="D209" s="332" t="s">
        <v>197</v>
      </c>
      <c r="E209" s="333" t="s">
        <v>58</v>
      </c>
      <c r="F209" s="333" t="s">
        <v>198</v>
      </c>
      <c r="G209" s="333"/>
      <c r="H209" s="333"/>
      <c r="I209" s="334"/>
      <c r="J209" s="332" t="s">
        <v>197</v>
      </c>
      <c r="K209" s="333" t="s">
        <v>58</v>
      </c>
      <c r="L209" s="333" t="s">
        <v>198</v>
      </c>
      <c r="M209" s="333"/>
      <c r="N209" s="333"/>
      <c r="O209" s="334"/>
    </row>
    <row r="210" spans="1:15" hidden="1" outlineLevel="2" x14ac:dyDescent="0.25">
      <c r="A210" s="30">
        <v>115</v>
      </c>
      <c r="B210" s="31" t="s">
        <v>199</v>
      </c>
      <c r="D210" s="65">
        <f ca="1">VLOOKUP($A210,INDIRECT($P$2),COLUMN()-1,FALSE)*VLOOKUP($A210,Usinas!$C:$D,2,FALSE)</f>
        <v>163.14750000000001</v>
      </c>
      <c r="E210" s="65">
        <f ca="1">VLOOKUP($A210,INDIRECT($P$2),COLUMN()-1,FALSE)*VLOOKUP($A210,Usinas!$C:$D,2,FALSE)</f>
        <v>176.19929999999999</v>
      </c>
      <c r="F210" s="65">
        <f ca="1">VLOOKUP($A210,INDIRECT($P$2),COLUMN()-1,FALSE)*VLOOKUP($A210,Usinas!$C:$D,2,FALSE)</f>
        <v>156.6216</v>
      </c>
      <c r="G210" s="65">
        <f ca="1">VLOOKUP($A210,INDIRECT($P$2),COLUMN()-1,FALSE)*VLOOKUP($A210,Usinas!$C:$D,2,FALSE)</f>
        <v>117.4662</v>
      </c>
      <c r="H210" s="65">
        <f ca="1">VLOOKUP($A210,INDIRECT($P$2),COLUMN()-1,FALSE)*VLOOKUP($A210,Usinas!$C:$D,2,FALSE)</f>
        <v>110.94030000000001</v>
      </c>
      <c r="I210" s="65">
        <f ca="1">VLOOKUP($A210,INDIRECT($P$2),COLUMN()-1,FALSE)*VLOOKUP($A210,Usinas!$C:$D,2,FALSE)</f>
        <v>110.94030000000001</v>
      </c>
      <c r="J210" s="65">
        <f ca="1">VLOOKUP($A210,INDIRECT($P$2),COLUMN()-1,FALSE)*VLOOKUP($A210,Usinas!$C:$D,2,FALSE)</f>
        <v>110.94030000000001</v>
      </c>
      <c r="K210" s="65">
        <f ca="1">VLOOKUP($A210,INDIRECT($P$2),COLUMN()-1,FALSE)*VLOOKUP($A210,Usinas!$C:$D,2,FALSE)</f>
        <v>91.3626</v>
      </c>
      <c r="L210" s="65">
        <f ca="1">VLOOKUP($A210,INDIRECT($P$2),COLUMN()-1,FALSE)*VLOOKUP($A210,Usinas!$C:$D,2,FALSE)</f>
        <v>117.4662</v>
      </c>
      <c r="M210" s="65">
        <f ca="1">VLOOKUP($A210,INDIRECT($P$2),COLUMN()-1,FALSE)*VLOOKUP($A210,Usinas!$C:$D,2,FALSE)</f>
        <v>130.518</v>
      </c>
      <c r="N210" s="65">
        <f ca="1">VLOOKUP($A210,INDIRECT($P$2),COLUMN()-1,FALSE)*VLOOKUP($A210,Usinas!$C:$D,2,FALSE)</f>
        <v>123.99209999999999</v>
      </c>
      <c r="O210" s="65">
        <f ca="1">VLOOKUP($A210,INDIRECT($P$2),COLUMN()-1,FALSE)*VLOOKUP($A210,Usinas!$C:$D,2,FALSE)</f>
        <v>130.518</v>
      </c>
    </row>
    <row r="211" spans="1:15" hidden="1" outlineLevel="1" x14ac:dyDescent="0.25">
      <c r="A211" s="32"/>
      <c r="B211" s="33" t="s">
        <v>56</v>
      </c>
      <c r="D211" s="74">
        <f t="shared" ref="D211:O211" ca="1" si="35">D210</f>
        <v>163.14750000000001</v>
      </c>
      <c r="E211" s="48">
        <f t="shared" ca="1" si="35"/>
        <v>176.19929999999999</v>
      </c>
      <c r="F211" s="48">
        <f t="shared" ca="1" si="35"/>
        <v>156.6216</v>
      </c>
      <c r="G211" s="48">
        <f t="shared" ca="1" si="35"/>
        <v>117.4662</v>
      </c>
      <c r="H211" s="48">
        <f t="shared" ca="1" si="35"/>
        <v>110.94030000000001</v>
      </c>
      <c r="I211" s="75">
        <f t="shared" ca="1" si="35"/>
        <v>110.94030000000001</v>
      </c>
      <c r="J211" s="74">
        <f t="shared" ca="1" si="35"/>
        <v>110.94030000000001</v>
      </c>
      <c r="K211" s="48">
        <f t="shared" ca="1" si="35"/>
        <v>91.3626</v>
      </c>
      <c r="L211" s="48">
        <f t="shared" ca="1" si="35"/>
        <v>117.4662</v>
      </c>
      <c r="M211" s="48">
        <f t="shared" ca="1" si="35"/>
        <v>130.518</v>
      </c>
      <c r="N211" s="48">
        <f t="shared" ca="1" si="35"/>
        <v>123.99209999999999</v>
      </c>
      <c r="O211" s="75">
        <f t="shared" ca="1" si="35"/>
        <v>130.518</v>
      </c>
    </row>
    <row r="212" spans="1:15" hidden="1" outlineLevel="1" x14ac:dyDescent="0.25">
      <c r="A212" s="34"/>
      <c r="B212" s="35" t="s">
        <v>0</v>
      </c>
      <c r="D212" s="76"/>
      <c r="E212" s="77"/>
      <c r="F212" s="77"/>
      <c r="G212" s="77"/>
      <c r="H212" s="77"/>
      <c r="I212" s="78"/>
      <c r="J212" s="76"/>
      <c r="K212" s="77"/>
      <c r="L212" s="77"/>
      <c r="M212" s="77"/>
      <c r="N212" s="77"/>
      <c r="O212" s="78"/>
    </row>
    <row r="213" spans="1:15" hidden="1" outlineLevel="1" x14ac:dyDescent="0.25">
      <c r="A213" s="2"/>
      <c r="B213" s="3"/>
      <c r="D213" s="53"/>
      <c r="E213" s="54"/>
      <c r="F213" s="54"/>
      <c r="G213" s="54"/>
      <c r="H213" s="54"/>
      <c r="I213" s="54"/>
      <c r="J213" s="53"/>
      <c r="K213" s="54"/>
      <c r="L213" s="54"/>
      <c r="M213" s="54"/>
      <c r="N213" s="54"/>
      <c r="O213" s="54"/>
    </row>
    <row r="214" spans="1:15" hidden="1" outlineLevel="1" x14ac:dyDescent="0.25">
      <c r="A214" s="36"/>
      <c r="B214" s="37"/>
      <c r="D214" s="332" t="s">
        <v>200</v>
      </c>
      <c r="E214" s="333" t="s">
        <v>58</v>
      </c>
      <c r="F214" s="333" t="s">
        <v>201</v>
      </c>
      <c r="G214" s="333"/>
      <c r="H214" s="333"/>
      <c r="I214" s="334"/>
      <c r="J214" s="332" t="s">
        <v>200</v>
      </c>
      <c r="K214" s="333" t="s">
        <v>58</v>
      </c>
      <c r="L214" s="333" t="s">
        <v>201</v>
      </c>
      <c r="M214" s="333"/>
      <c r="N214" s="333"/>
      <c r="O214" s="334"/>
    </row>
    <row r="215" spans="1:15" hidden="1" outlineLevel="2" x14ac:dyDescent="0.25">
      <c r="A215" s="30">
        <v>101</v>
      </c>
      <c r="B215" s="31" t="s">
        <v>202</v>
      </c>
      <c r="D215" s="65">
        <f ca="1">VLOOKUP($A215,INDIRECT($P$2),COLUMN()-1,FALSE)*VLOOKUP($A215,Usinas!$C:$D,2,FALSE)</f>
        <v>201.54680000000002</v>
      </c>
      <c r="E215" s="65">
        <f ca="1">VLOOKUP($A215,INDIRECT($P$2),COLUMN()-1,FALSE)*VLOOKUP($A215,Usinas!$C:$D,2,FALSE)</f>
        <v>240.786</v>
      </c>
      <c r="F215" s="65">
        <f ca="1">VLOOKUP($A215,INDIRECT($P$2),COLUMN()-1,FALSE)*VLOOKUP($A215,Usinas!$C:$D,2,FALSE)</f>
        <v>187.27800000000002</v>
      </c>
      <c r="G215" s="65">
        <f ca="1">VLOOKUP($A215,INDIRECT($P$2),COLUMN()-1,FALSE)*VLOOKUP($A215,Usinas!$C:$D,2,FALSE)</f>
        <v>135.55360000000002</v>
      </c>
      <c r="H215" s="65">
        <f ca="1">VLOOKUP($A215,INDIRECT($P$2),COLUMN()-1,FALSE)*VLOOKUP($A215,Usinas!$C:$D,2,FALSE)</f>
        <v>165.87479999999999</v>
      </c>
      <c r="I215" s="65">
        <f ca="1">VLOOKUP($A215,INDIRECT($P$2),COLUMN()-1,FALSE)*VLOOKUP($A215,Usinas!$C:$D,2,FALSE)</f>
        <v>162.30760000000001</v>
      </c>
      <c r="J215" s="65">
        <f ca="1">VLOOKUP($A215,INDIRECT($P$2),COLUMN()-1,FALSE)*VLOOKUP($A215,Usinas!$C:$D,2,FALSE)</f>
        <v>208.68120000000002</v>
      </c>
      <c r="K215" s="65">
        <f ca="1">VLOOKUP($A215,INDIRECT($P$2),COLUMN()-1,FALSE)*VLOOKUP($A215,Usinas!$C:$D,2,FALSE)</f>
        <v>235.43520000000001</v>
      </c>
      <c r="L215" s="65">
        <f ca="1">VLOOKUP($A215,INDIRECT($P$2),COLUMN()-1,FALSE)*VLOOKUP($A215,Usinas!$C:$D,2,FALSE)</f>
        <v>288.94319999999999</v>
      </c>
      <c r="M215" s="65">
        <f ca="1">VLOOKUP($A215,INDIRECT($P$2),COLUMN()-1,FALSE)*VLOOKUP($A215,Usinas!$C:$D,2,FALSE)</f>
        <v>301.42840000000001</v>
      </c>
      <c r="N215" s="65">
        <f ca="1">VLOOKUP($A215,INDIRECT($P$2),COLUMN()-1,FALSE)*VLOOKUP($A215,Usinas!$C:$D,2,FALSE)</f>
        <v>205.114</v>
      </c>
      <c r="O215" s="65">
        <f ca="1">VLOOKUP($A215,INDIRECT($P$2),COLUMN()-1,FALSE)*VLOOKUP($A215,Usinas!$C:$D,2,FALSE)</f>
        <v>171.22560000000001</v>
      </c>
    </row>
    <row r="216" spans="1:15" hidden="1" outlineLevel="1" x14ac:dyDescent="0.25">
      <c r="A216" s="32"/>
      <c r="B216" s="33" t="s">
        <v>56</v>
      </c>
      <c r="D216" s="74">
        <f t="shared" ref="D216:O216" ca="1" si="36">D215</f>
        <v>201.54680000000002</v>
      </c>
      <c r="E216" s="48">
        <f t="shared" ca="1" si="36"/>
        <v>240.786</v>
      </c>
      <c r="F216" s="48">
        <f t="shared" ca="1" si="36"/>
        <v>187.27800000000002</v>
      </c>
      <c r="G216" s="48">
        <f t="shared" ca="1" si="36"/>
        <v>135.55360000000002</v>
      </c>
      <c r="H216" s="48">
        <f t="shared" ca="1" si="36"/>
        <v>165.87479999999999</v>
      </c>
      <c r="I216" s="75">
        <f t="shared" ca="1" si="36"/>
        <v>162.30760000000001</v>
      </c>
      <c r="J216" s="74">
        <f t="shared" ca="1" si="36"/>
        <v>208.68120000000002</v>
      </c>
      <c r="K216" s="48">
        <f t="shared" ca="1" si="36"/>
        <v>235.43520000000001</v>
      </c>
      <c r="L216" s="48">
        <f t="shared" ca="1" si="36"/>
        <v>288.94319999999999</v>
      </c>
      <c r="M216" s="48">
        <f t="shared" ca="1" si="36"/>
        <v>301.42840000000001</v>
      </c>
      <c r="N216" s="48">
        <f t="shared" ca="1" si="36"/>
        <v>205.114</v>
      </c>
      <c r="O216" s="75">
        <f t="shared" ca="1" si="36"/>
        <v>171.22560000000001</v>
      </c>
    </row>
    <row r="217" spans="1:15" hidden="1" outlineLevel="1" x14ac:dyDescent="0.25">
      <c r="A217" s="34"/>
      <c r="B217" s="35" t="s">
        <v>0</v>
      </c>
      <c r="D217" s="76"/>
      <c r="E217" s="77"/>
      <c r="F217" s="77"/>
      <c r="G217" s="77"/>
      <c r="H217" s="77"/>
      <c r="I217" s="78"/>
      <c r="J217" s="76"/>
      <c r="K217" s="77"/>
      <c r="L217" s="77"/>
      <c r="M217" s="77"/>
      <c r="N217" s="77"/>
      <c r="O217" s="78"/>
    </row>
    <row r="218" spans="1:15" hidden="1" outlineLevel="1" x14ac:dyDescent="0.25">
      <c r="A218" s="2"/>
      <c r="B218" s="3"/>
      <c r="D218" s="53"/>
      <c r="E218" s="54"/>
      <c r="F218" s="54"/>
      <c r="G218" s="54"/>
      <c r="H218" s="54"/>
      <c r="I218" s="54"/>
      <c r="J218" s="53"/>
      <c r="K218" s="54"/>
      <c r="L218" s="54"/>
      <c r="M218" s="54"/>
      <c r="N218" s="54"/>
      <c r="O218" s="54"/>
    </row>
    <row r="219" spans="1:15" hidden="1" outlineLevel="1" x14ac:dyDescent="0.25">
      <c r="A219" s="36"/>
      <c r="B219" s="37"/>
      <c r="D219" s="332" t="s">
        <v>203</v>
      </c>
      <c r="E219" s="333" t="s">
        <v>58</v>
      </c>
      <c r="F219" s="333" t="s">
        <v>204</v>
      </c>
      <c r="G219" s="333"/>
      <c r="H219" s="333"/>
      <c r="I219" s="334"/>
      <c r="J219" s="332" t="s">
        <v>203</v>
      </c>
      <c r="K219" s="333" t="s">
        <v>58</v>
      </c>
      <c r="L219" s="333" t="s">
        <v>204</v>
      </c>
      <c r="M219" s="333"/>
      <c r="N219" s="333"/>
      <c r="O219" s="334"/>
    </row>
    <row r="220" spans="1:15" hidden="1" outlineLevel="2" x14ac:dyDescent="0.25">
      <c r="A220" s="30">
        <v>57</v>
      </c>
      <c r="B220" s="31" t="s">
        <v>205</v>
      </c>
      <c r="D220" s="65">
        <f ca="1">VLOOKUP($A220,INDIRECT($P$2),COLUMN()-1,FALSE)*VLOOKUP($A220,Usinas!$C:$D,2,FALSE)</f>
        <v>314.90620000000001</v>
      </c>
      <c r="E220" s="65">
        <f ca="1">VLOOKUP($A220,INDIRECT($P$2),COLUMN()-1,FALSE)*VLOOKUP($A220,Usinas!$C:$D,2,FALSE)</f>
        <v>327.4606</v>
      </c>
      <c r="F220" s="65">
        <f ca="1">VLOOKUP($A220,INDIRECT($P$2),COLUMN()-1,FALSE)*VLOOKUP($A220,Usinas!$C:$D,2,FALSE)</f>
        <v>267.8272</v>
      </c>
      <c r="G220" s="65">
        <f ca="1">VLOOKUP($A220,INDIRECT($P$2),COLUMN()-1,FALSE)*VLOOKUP($A220,Usinas!$C:$D,2,FALSE)</f>
        <v>200.87040000000002</v>
      </c>
      <c r="H220" s="65">
        <f ca="1">VLOOKUP($A220,INDIRECT($P$2),COLUMN()-1,FALSE)*VLOOKUP($A220,Usinas!$C:$D,2,FALSE)</f>
        <v>244.8108</v>
      </c>
      <c r="I220" s="65">
        <f ca="1">VLOOKUP($A220,INDIRECT($P$2),COLUMN()-1,FALSE)*VLOOKUP($A220,Usinas!$C:$D,2,FALSE)</f>
        <v>288.75119999999998</v>
      </c>
      <c r="J220" s="65">
        <f ca="1">VLOOKUP($A220,INDIRECT($P$2),COLUMN()-1,FALSE)*VLOOKUP($A220,Usinas!$C:$D,2,FALSE)</f>
        <v>296.07460000000003</v>
      </c>
      <c r="K220" s="65">
        <f ca="1">VLOOKUP($A220,INDIRECT($P$2),COLUMN()-1,FALSE)*VLOOKUP($A220,Usinas!$C:$D,2,FALSE)</f>
        <v>238.53360000000001</v>
      </c>
      <c r="L220" s="65">
        <f ca="1">VLOOKUP($A220,INDIRECT($P$2),COLUMN()-1,FALSE)*VLOOKUP($A220,Usinas!$C:$D,2,FALSE)</f>
        <v>274.1044</v>
      </c>
      <c r="M220" s="65">
        <f ca="1">VLOOKUP($A220,INDIRECT($P$2),COLUMN()-1,FALSE)*VLOOKUP($A220,Usinas!$C:$D,2,FALSE)</f>
        <v>356.75420000000003</v>
      </c>
      <c r="N220" s="65">
        <f ca="1">VLOOKUP($A220,INDIRECT($P$2),COLUMN()-1,FALSE)*VLOOKUP($A220,Usinas!$C:$D,2,FALSE)</f>
        <v>291.88979999999998</v>
      </c>
      <c r="O220" s="65">
        <f ca="1">VLOOKUP($A220,INDIRECT($P$2),COLUMN()-1,FALSE)*VLOOKUP($A220,Usinas!$C:$D,2,FALSE)</f>
        <v>262.59620000000001</v>
      </c>
    </row>
    <row r="221" spans="1:15" hidden="1" outlineLevel="1" x14ac:dyDescent="0.25">
      <c r="A221" s="32"/>
      <c r="B221" s="33" t="s">
        <v>56</v>
      </c>
      <c r="D221" s="74">
        <f t="shared" ref="D221:O221" ca="1" si="37">D220</f>
        <v>314.90620000000001</v>
      </c>
      <c r="E221" s="48">
        <f t="shared" ca="1" si="37"/>
        <v>327.4606</v>
      </c>
      <c r="F221" s="48">
        <f t="shared" ca="1" si="37"/>
        <v>267.8272</v>
      </c>
      <c r="G221" s="48">
        <f t="shared" ca="1" si="37"/>
        <v>200.87040000000002</v>
      </c>
      <c r="H221" s="48">
        <f t="shared" ca="1" si="37"/>
        <v>244.8108</v>
      </c>
      <c r="I221" s="75">
        <f t="shared" ca="1" si="37"/>
        <v>288.75119999999998</v>
      </c>
      <c r="J221" s="74">
        <f t="shared" ca="1" si="37"/>
        <v>296.07460000000003</v>
      </c>
      <c r="K221" s="48">
        <f t="shared" ca="1" si="37"/>
        <v>238.53360000000001</v>
      </c>
      <c r="L221" s="48">
        <f t="shared" ca="1" si="37"/>
        <v>274.1044</v>
      </c>
      <c r="M221" s="48">
        <f t="shared" ca="1" si="37"/>
        <v>356.75420000000003</v>
      </c>
      <c r="N221" s="48">
        <f t="shared" ca="1" si="37"/>
        <v>291.88979999999998</v>
      </c>
      <c r="O221" s="75">
        <f t="shared" ca="1" si="37"/>
        <v>262.59620000000001</v>
      </c>
    </row>
    <row r="222" spans="1:15" hidden="1" outlineLevel="1" x14ac:dyDescent="0.25">
      <c r="A222" s="34"/>
      <c r="B222" s="35" t="s">
        <v>0</v>
      </c>
      <c r="D222" s="76"/>
      <c r="E222" s="77"/>
      <c r="F222" s="77"/>
      <c r="G222" s="77"/>
      <c r="H222" s="77"/>
      <c r="I222" s="78"/>
      <c r="J222" s="76"/>
      <c r="K222" s="77"/>
      <c r="L222" s="77"/>
      <c r="M222" s="77"/>
      <c r="N222" s="77"/>
      <c r="O222" s="78"/>
    </row>
    <row r="223" spans="1:15" hidden="1" outlineLevel="1" x14ac:dyDescent="0.25">
      <c r="A223" s="2"/>
      <c r="B223" s="3"/>
      <c r="D223" s="53"/>
      <c r="E223" s="54"/>
      <c r="F223" s="54"/>
      <c r="G223" s="54"/>
      <c r="H223" s="54"/>
      <c r="I223" s="54"/>
      <c r="J223" s="53"/>
      <c r="K223" s="54"/>
      <c r="L223" s="54"/>
      <c r="M223" s="54"/>
      <c r="N223" s="54"/>
      <c r="O223" s="54"/>
    </row>
    <row r="224" spans="1:15" ht="15.75" collapsed="1" x14ac:dyDescent="0.25">
      <c r="A224" s="85"/>
      <c r="B224" s="86"/>
      <c r="C224" s="97"/>
      <c r="D224" s="335" t="s">
        <v>206</v>
      </c>
      <c r="E224" s="336"/>
      <c r="F224" s="336"/>
      <c r="G224" s="336"/>
      <c r="H224" s="336"/>
      <c r="I224" s="336"/>
      <c r="J224" s="336"/>
      <c r="K224" s="336"/>
      <c r="L224" s="336"/>
      <c r="M224" s="336"/>
      <c r="N224" s="336"/>
      <c r="O224" s="337"/>
    </row>
    <row r="225" spans="1:15" ht="15.75" x14ac:dyDescent="0.25">
      <c r="A225" s="87"/>
      <c r="B225" s="88" t="s">
        <v>56</v>
      </c>
      <c r="C225" s="97"/>
      <c r="D225" s="88">
        <f t="shared" ref="D225:O225" ca="1" si="38">D179+D191+D206+D211+D216+D221</f>
        <v>7270.8217999999997</v>
      </c>
      <c r="E225" s="89">
        <f t="shared" ca="1" si="38"/>
        <v>8348.9972999999991</v>
      </c>
      <c r="F225" s="89">
        <f t="shared" ca="1" si="38"/>
        <v>6999.5530000000008</v>
      </c>
      <c r="G225" s="89">
        <f t="shared" ca="1" si="38"/>
        <v>6584.4034999999994</v>
      </c>
      <c r="H225" s="89">
        <f t="shared" ca="1" si="38"/>
        <v>8561.4878000000008</v>
      </c>
      <c r="I225" s="90">
        <f t="shared" ca="1" si="38"/>
        <v>9931.4465000000018</v>
      </c>
      <c r="J225" s="88">
        <f t="shared" ca="1" si="38"/>
        <v>10917.3685</v>
      </c>
      <c r="K225" s="89">
        <f t="shared" ca="1" si="38"/>
        <v>10323.0345</v>
      </c>
      <c r="L225" s="89">
        <f t="shared" ca="1" si="38"/>
        <v>11997.3441</v>
      </c>
      <c r="M225" s="89">
        <f t="shared" ca="1" si="38"/>
        <v>13254.0923</v>
      </c>
      <c r="N225" s="89">
        <f t="shared" ca="1" si="38"/>
        <v>9357.5785999999989</v>
      </c>
      <c r="O225" s="90">
        <f t="shared" ca="1" si="38"/>
        <v>7381.5131000000001</v>
      </c>
    </row>
    <row r="227" spans="1:15" x14ac:dyDescent="0.25">
      <c r="A227" s="98"/>
      <c r="B227" s="99"/>
      <c r="D227" s="100"/>
      <c r="E227" s="101"/>
      <c r="F227" s="101"/>
      <c r="G227" s="101"/>
      <c r="H227" s="101"/>
      <c r="I227" s="102"/>
    </row>
    <row r="228" spans="1:15" hidden="1" outlineLevel="1" x14ac:dyDescent="0.25">
      <c r="A228" s="28"/>
      <c r="B228" s="29"/>
      <c r="D228" s="341" t="s">
        <v>207</v>
      </c>
      <c r="E228" s="342"/>
      <c r="F228" s="342"/>
      <c r="G228" s="342"/>
      <c r="H228" s="342"/>
      <c r="I228" s="343"/>
      <c r="J228" s="341" t="s">
        <v>207</v>
      </c>
      <c r="K228" s="342"/>
      <c r="L228" s="342"/>
      <c r="M228" s="342"/>
      <c r="N228" s="342"/>
      <c r="O228" s="343"/>
    </row>
    <row r="229" spans="1:15" hidden="1" outlineLevel="2" x14ac:dyDescent="0.25">
      <c r="A229" s="30">
        <v>169</v>
      </c>
      <c r="B229" s="31" t="s">
        <v>36</v>
      </c>
      <c r="D229" s="65">
        <f ca="1">VLOOKUP($A229,INDIRECT($P$2),COLUMN()-1,FALSE)*VLOOKUP($A229,Usinas!$C:$D,2,FALSE)</f>
        <v>1130.7719999999999</v>
      </c>
      <c r="E229" s="65">
        <f ca="1">VLOOKUP($A229,INDIRECT($P$2),COLUMN()-1,FALSE)*VLOOKUP($A229,Usinas!$C:$D,2,FALSE)</f>
        <v>1181.623</v>
      </c>
      <c r="F229" s="65">
        <f ca="1">VLOOKUP($A229,INDIRECT($P$2),COLUMN()-1,FALSE)*VLOOKUP($A229,Usinas!$C:$D,2,FALSE)</f>
        <v>1143.3039999999999</v>
      </c>
      <c r="G229" s="65">
        <f ca="1">VLOOKUP($A229,INDIRECT($P$2),COLUMN()-1,FALSE)*VLOOKUP($A229,Usinas!$C:$D,2,FALSE)</f>
        <v>905.43700000000001</v>
      </c>
      <c r="H229" s="65">
        <f ca="1">VLOOKUP($A229,INDIRECT($P$2),COLUMN()-1,FALSE)*VLOOKUP($A229,Usinas!$C:$D,2,FALSE)</f>
        <v>548.03399999999999</v>
      </c>
      <c r="I229" s="65">
        <f ca="1">VLOOKUP($A229,INDIRECT($P$2),COLUMN()-1,FALSE)*VLOOKUP($A229,Usinas!$C:$D,2,FALSE)</f>
        <v>374.755</v>
      </c>
      <c r="J229" s="65">
        <f ca="1">VLOOKUP($A229,INDIRECT($P$2),COLUMN()-1,FALSE)*VLOOKUP($A229,Usinas!$C:$D,2,FALSE)</f>
        <v>312.577</v>
      </c>
      <c r="K229" s="65">
        <f ca="1">VLOOKUP($A229,INDIRECT($P$2),COLUMN()-1,FALSE)*VLOOKUP($A229,Usinas!$C:$D,2,FALSE)</f>
        <v>270.64299999999997</v>
      </c>
      <c r="L229" s="65">
        <f ca="1">VLOOKUP($A229,INDIRECT($P$2),COLUMN()-1,FALSE)*VLOOKUP($A229,Usinas!$C:$D,2,FALSE)</f>
        <v>242.20499999999998</v>
      </c>
      <c r="M229" s="65">
        <f ca="1">VLOOKUP($A229,INDIRECT($P$2),COLUMN()-1,FALSE)*VLOOKUP($A229,Usinas!$C:$D,2,FALSE)</f>
        <v>272.089</v>
      </c>
      <c r="N229" s="65">
        <f ca="1">VLOOKUP($A229,INDIRECT($P$2),COLUMN()-1,FALSE)*VLOOKUP($A229,Usinas!$C:$D,2,FALSE)</f>
        <v>449.46499999999997</v>
      </c>
      <c r="O229" s="65">
        <f ca="1">VLOOKUP($A229,INDIRECT($P$2),COLUMN()-1,FALSE)*VLOOKUP($A229,Usinas!$C:$D,2,FALSE)</f>
        <v>809.51900000000001</v>
      </c>
    </row>
    <row r="230" spans="1:15" hidden="1" outlineLevel="2" x14ac:dyDescent="0.25">
      <c r="A230" s="30">
        <v>172</v>
      </c>
      <c r="B230" s="31" t="s">
        <v>208</v>
      </c>
      <c r="D230" s="65">
        <f ca="1">VLOOKUP($A230,INDIRECT($P$2),COLUMN()-1,FALSE)*VLOOKUP($A230,Usinas!$C:$D,2,FALSE)</f>
        <v>2115.8796000000002</v>
      </c>
      <c r="E230" s="65">
        <f ca="1">VLOOKUP($A230,INDIRECT($P$2),COLUMN()-1,FALSE)*VLOOKUP($A230,Usinas!$C:$D,2,FALSE)</f>
        <v>2249.8017</v>
      </c>
      <c r="F230" s="65">
        <f ca="1">VLOOKUP($A230,INDIRECT($P$2),COLUMN()-1,FALSE)*VLOOKUP($A230,Usinas!$C:$D,2,FALSE)</f>
        <v>2246.2184999999999</v>
      </c>
      <c r="G230" s="65">
        <f ca="1">VLOOKUP($A230,INDIRECT($P$2),COLUMN()-1,FALSE)*VLOOKUP($A230,Usinas!$C:$D,2,FALSE)</f>
        <v>1823.8488</v>
      </c>
      <c r="H230" s="65">
        <f ca="1">VLOOKUP($A230,INDIRECT($P$2),COLUMN()-1,FALSE)*VLOOKUP($A230,Usinas!$C:$D,2,FALSE)</f>
        <v>1099.5945000000002</v>
      </c>
      <c r="I230" s="65">
        <f ca="1">VLOOKUP($A230,INDIRECT($P$2),COLUMN()-1,FALSE)*VLOOKUP($A230,Usinas!$C:$D,2,FALSE)</f>
        <v>723.35850000000005</v>
      </c>
      <c r="J230" s="65">
        <f ca="1">VLOOKUP($A230,INDIRECT($P$2),COLUMN()-1,FALSE)*VLOOKUP($A230,Usinas!$C:$D,2,FALSE)</f>
        <v>593.91539999999998</v>
      </c>
      <c r="K230" s="65">
        <f ca="1">VLOOKUP($A230,INDIRECT($P$2),COLUMN()-1,FALSE)*VLOOKUP($A230,Usinas!$C:$D,2,FALSE)</f>
        <v>517.77240000000006</v>
      </c>
      <c r="L230" s="65">
        <f ca="1">VLOOKUP($A230,INDIRECT($P$2),COLUMN()-1,FALSE)*VLOOKUP($A230,Usinas!$C:$D,2,FALSE)</f>
        <v>462.6807</v>
      </c>
      <c r="M230" s="65">
        <f ca="1">VLOOKUP($A230,INDIRECT($P$2),COLUMN()-1,FALSE)*VLOOKUP($A230,Usinas!$C:$D,2,FALSE)</f>
        <v>500.75220000000002</v>
      </c>
      <c r="N230" s="65">
        <f ca="1">VLOOKUP($A230,INDIRECT($P$2),COLUMN()-1,FALSE)*VLOOKUP($A230,Usinas!$C:$D,2,FALSE)</f>
        <v>802.63679999999999</v>
      </c>
      <c r="O230" s="65">
        <f ca="1">VLOOKUP($A230,INDIRECT($P$2),COLUMN()-1,FALSE)*VLOOKUP($A230,Usinas!$C:$D,2,FALSE)</f>
        <v>1478.5179000000001</v>
      </c>
    </row>
    <row r="231" spans="1:15" hidden="1" outlineLevel="2" x14ac:dyDescent="0.25">
      <c r="A231" s="30">
        <v>176</v>
      </c>
      <c r="B231" s="31" t="s">
        <v>209</v>
      </c>
      <c r="D231" s="65">
        <f ca="1">VLOOKUP($A231,INDIRECT($P$2),COLUMN()-1,FALSE)*VLOOKUP($A231,Usinas!$C:$D,2,FALSE)</f>
        <v>4814.8720000000003</v>
      </c>
      <c r="E231" s="65">
        <f ca="1">VLOOKUP($A231,INDIRECT($P$2),COLUMN()-1,FALSE)*VLOOKUP($A231,Usinas!$C:$D,2,FALSE)</f>
        <v>5142.3240999999998</v>
      </c>
      <c r="F231" s="65">
        <f ca="1">VLOOKUP($A231,INDIRECT($P$2),COLUMN()-1,FALSE)*VLOOKUP($A231,Usinas!$C:$D,2,FALSE)</f>
        <v>5160.6859000000004</v>
      </c>
      <c r="G231" s="65">
        <f ca="1">VLOOKUP($A231,INDIRECT($P$2),COLUMN()-1,FALSE)*VLOOKUP($A231,Usinas!$C:$D,2,FALSE)</f>
        <v>4228.3145000000004</v>
      </c>
      <c r="H231" s="65">
        <f ca="1">VLOOKUP($A231,INDIRECT($P$2),COLUMN()-1,FALSE)*VLOOKUP($A231,Usinas!$C:$D,2,FALSE)</f>
        <v>2558.4108000000001</v>
      </c>
      <c r="I231" s="65">
        <f ca="1">VLOOKUP($A231,INDIRECT($P$2),COLUMN()-1,FALSE)*VLOOKUP($A231,Usinas!$C:$D,2,FALSE)</f>
        <v>1668.8836000000001</v>
      </c>
      <c r="J231" s="65">
        <f ca="1">VLOOKUP($A231,INDIRECT($P$2),COLUMN()-1,FALSE)*VLOOKUP($A231,Usinas!$C:$D,2,FALSE)</f>
        <v>1365.9139</v>
      </c>
      <c r="K231" s="65">
        <f ca="1">VLOOKUP($A231,INDIRECT($P$2),COLUMN()-1,FALSE)*VLOOKUP($A231,Usinas!$C:$D,2,FALSE)</f>
        <v>1191.4767999999999</v>
      </c>
      <c r="L231" s="65">
        <f ca="1">VLOOKUP($A231,INDIRECT($P$2),COLUMN()-1,FALSE)*VLOOKUP($A231,Usinas!$C:$D,2,FALSE)</f>
        <v>1064.9844000000001</v>
      </c>
      <c r="M231" s="65">
        <f ca="1">VLOOKUP($A231,INDIRECT($P$2),COLUMN()-1,FALSE)*VLOOKUP($A231,Usinas!$C:$D,2,FALSE)</f>
        <v>1141.4919</v>
      </c>
      <c r="N231" s="65">
        <f ca="1">VLOOKUP($A231,INDIRECT($P$2),COLUMN()-1,FALSE)*VLOOKUP($A231,Usinas!$C:$D,2,FALSE)</f>
        <v>1804.5569</v>
      </c>
      <c r="O231" s="65">
        <f ca="1">VLOOKUP($A231,INDIRECT($P$2),COLUMN()-1,FALSE)*VLOOKUP($A231,Usinas!$C:$D,2,FALSE)</f>
        <v>3344.9079000000002</v>
      </c>
    </row>
    <row r="232" spans="1:15" hidden="1" outlineLevel="2" x14ac:dyDescent="0.25">
      <c r="A232" s="30">
        <v>178</v>
      </c>
      <c r="B232" s="31" t="s">
        <v>210</v>
      </c>
      <c r="D232" s="65">
        <f ca="1">VLOOKUP($A232,INDIRECT($P$2),COLUMN()-1,FALSE)*VLOOKUP($A232,Usinas!$C:$D,2,FALSE)</f>
        <v>5117.1427999999996</v>
      </c>
      <c r="E232" s="65">
        <f ca="1">VLOOKUP($A232,INDIRECT($P$2),COLUMN()-1,FALSE)*VLOOKUP($A232,Usinas!$C:$D,2,FALSE)</f>
        <v>5467.4686000000002</v>
      </c>
      <c r="F232" s="65">
        <f ca="1">VLOOKUP($A232,INDIRECT($P$2),COLUMN()-1,FALSE)*VLOOKUP($A232,Usinas!$C:$D,2,FALSE)</f>
        <v>5486.9913999999999</v>
      </c>
      <c r="G232" s="65">
        <f ca="1">VLOOKUP($A232,INDIRECT($P$2),COLUMN()-1,FALSE)*VLOOKUP($A232,Usinas!$C:$D,2,FALSE)</f>
        <v>4494.5824000000002</v>
      </c>
      <c r="H232" s="65">
        <f ca="1">VLOOKUP($A232,INDIRECT($P$2),COLUMN()-1,FALSE)*VLOOKUP($A232,Usinas!$C:$D,2,FALSE)</f>
        <v>2720.1768000000002</v>
      </c>
      <c r="I232" s="65">
        <f ca="1">VLOOKUP($A232,INDIRECT($P$2),COLUMN()-1,FALSE)*VLOOKUP($A232,Usinas!$C:$D,2,FALSE)</f>
        <v>1774.4056</v>
      </c>
      <c r="J232" s="65">
        <f ca="1">VLOOKUP($A232,INDIRECT($P$2),COLUMN()-1,FALSE)*VLOOKUP($A232,Usinas!$C:$D,2,FALSE)</f>
        <v>1452.2794000000001</v>
      </c>
      <c r="K232" s="65">
        <f ca="1">VLOOKUP($A232,INDIRECT($P$2),COLUMN()-1,FALSE)*VLOOKUP($A232,Usinas!$C:$D,2,FALSE)</f>
        <v>1266.8127999999999</v>
      </c>
      <c r="L232" s="65">
        <f ca="1">VLOOKUP($A232,INDIRECT($P$2),COLUMN()-1,FALSE)*VLOOKUP($A232,Usinas!$C:$D,2,FALSE)</f>
        <v>1132.3224</v>
      </c>
      <c r="M232" s="65">
        <f ca="1">VLOOKUP($A232,INDIRECT($P$2),COLUMN()-1,FALSE)*VLOOKUP($A232,Usinas!$C:$D,2,FALSE)</f>
        <v>1213.6674</v>
      </c>
      <c r="N232" s="65">
        <f ca="1">VLOOKUP($A232,INDIRECT($P$2),COLUMN()-1,FALSE)*VLOOKUP($A232,Usinas!$C:$D,2,FALSE)</f>
        <v>1918.6574000000001</v>
      </c>
      <c r="O232" s="65">
        <f ca="1">VLOOKUP($A232,INDIRECT($P$2),COLUMN()-1,FALSE)*VLOOKUP($A232,Usinas!$C:$D,2,FALSE)</f>
        <v>3554.2341999999999</v>
      </c>
    </row>
    <row r="233" spans="1:15" hidden="1" outlineLevel="1" x14ac:dyDescent="0.25">
      <c r="A233" s="32"/>
      <c r="B233" s="33" t="s">
        <v>56</v>
      </c>
      <c r="D233" s="74">
        <f t="shared" ref="D233:I233" ca="1" si="39">SUM(D229:D232)</f>
        <v>13178.6664</v>
      </c>
      <c r="E233" s="48">
        <f t="shared" ca="1" si="39"/>
        <v>14041.2174</v>
      </c>
      <c r="F233" s="48">
        <f t="shared" ca="1" si="39"/>
        <v>14037.199799999999</v>
      </c>
      <c r="G233" s="48">
        <f t="shared" ca="1" si="39"/>
        <v>11452.182700000001</v>
      </c>
      <c r="H233" s="48">
        <f t="shared" ca="1" si="39"/>
        <v>6926.2161000000006</v>
      </c>
      <c r="I233" s="75">
        <f t="shared" ca="1" si="39"/>
        <v>4541.4027000000006</v>
      </c>
      <c r="J233" s="74">
        <f t="shared" ref="J233:O233" ca="1" si="40">SUM(J229:J232)</f>
        <v>3724.6857</v>
      </c>
      <c r="K233" s="48">
        <f t="shared" ca="1" si="40"/>
        <v>3246.7049999999999</v>
      </c>
      <c r="L233" s="48">
        <f t="shared" ca="1" si="40"/>
        <v>2902.1925000000001</v>
      </c>
      <c r="M233" s="48">
        <f t="shared" ca="1" si="40"/>
        <v>3128.0005000000001</v>
      </c>
      <c r="N233" s="48">
        <f t="shared" ca="1" si="40"/>
        <v>4975.3161</v>
      </c>
      <c r="O233" s="75">
        <f t="shared" ca="1" si="40"/>
        <v>9187.1790000000001</v>
      </c>
    </row>
    <row r="234" spans="1:15" hidden="1" outlineLevel="1" x14ac:dyDescent="0.25">
      <c r="A234" s="34"/>
      <c r="B234" s="35" t="s">
        <v>0</v>
      </c>
      <c r="D234" s="76"/>
      <c r="E234" s="77"/>
      <c r="F234" s="77"/>
      <c r="G234" s="77"/>
      <c r="H234" s="77"/>
      <c r="I234" s="78"/>
      <c r="J234" s="76"/>
      <c r="K234" s="77"/>
      <c r="L234" s="77"/>
      <c r="M234" s="77"/>
      <c r="N234" s="77"/>
      <c r="O234" s="78"/>
    </row>
    <row r="235" spans="1:15" hidden="1" outlineLevel="1" x14ac:dyDescent="0.25">
      <c r="A235" s="2"/>
      <c r="B235" s="3"/>
      <c r="D235" s="53"/>
      <c r="E235" s="54"/>
      <c r="F235" s="54"/>
      <c r="G235" s="54"/>
      <c r="H235" s="54"/>
      <c r="I235" s="54"/>
      <c r="J235" s="53"/>
      <c r="K235" s="54"/>
      <c r="L235" s="54"/>
      <c r="M235" s="54"/>
      <c r="N235" s="54"/>
      <c r="O235" s="54"/>
    </row>
    <row r="236" spans="1:15" hidden="1" outlineLevel="1" x14ac:dyDescent="0.25">
      <c r="A236" s="36"/>
      <c r="B236" s="37"/>
      <c r="D236" s="332" t="s">
        <v>211</v>
      </c>
      <c r="E236" s="333" t="s">
        <v>58</v>
      </c>
      <c r="F236" s="333" t="s">
        <v>212</v>
      </c>
      <c r="G236" s="333"/>
      <c r="H236" s="333"/>
      <c r="I236" s="334"/>
      <c r="J236" s="332" t="s">
        <v>211</v>
      </c>
      <c r="K236" s="333" t="s">
        <v>58</v>
      </c>
      <c r="L236" s="333" t="s">
        <v>212</v>
      </c>
      <c r="M236" s="333"/>
      <c r="N236" s="333"/>
      <c r="O236" s="334"/>
    </row>
    <row r="237" spans="1:15" hidden="1" outlineLevel="2" x14ac:dyDescent="0.25">
      <c r="A237" s="30">
        <v>188</v>
      </c>
      <c r="B237" s="31" t="s">
        <v>213</v>
      </c>
      <c r="D237" s="65">
        <f ca="1">VLOOKUP($A237,INDIRECT($P$2),COLUMN()-1,FALSE)*VLOOKUP($A237,Usinas!$C:$D,2,FALSE)</f>
        <v>592.8202</v>
      </c>
      <c r="E237" s="65">
        <f ca="1">VLOOKUP($A237,INDIRECT($P$2),COLUMN()-1,FALSE)*VLOOKUP($A237,Usinas!$C:$D,2,FALSE)</f>
        <v>434.92619999999999</v>
      </c>
      <c r="F237" s="65">
        <f ca="1">VLOOKUP($A237,INDIRECT($P$2),COLUMN()-1,FALSE)*VLOOKUP($A237,Usinas!$C:$D,2,FALSE)</f>
        <v>359.5677</v>
      </c>
      <c r="G237" s="65">
        <f ca="1">VLOOKUP($A237,INDIRECT($P$2),COLUMN()-1,FALSE)*VLOOKUP($A237,Usinas!$C:$D,2,FALSE)</f>
        <v>246.8888</v>
      </c>
      <c r="H237" s="65">
        <f ca="1">VLOOKUP($A237,INDIRECT($P$2),COLUMN()-1,FALSE)*VLOOKUP($A237,Usinas!$C:$D,2,FALSE)</f>
        <v>149.99930000000001</v>
      </c>
      <c r="I237" s="65">
        <f ca="1">VLOOKUP($A237,INDIRECT($P$2),COLUMN()-1,FALSE)*VLOOKUP($A237,Usinas!$C:$D,2,FALSE)</f>
        <v>119.1382</v>
      </c>
      <c r="J237" s="65">
        <f ca="1">VLOOKUP($A237,INDIRECT($P$2),COLUMN()-1,FALSE)*VLOOKUP($A237,Usinas!$C:$D,2,FALSE)</f>
        <v>100.47799999999999</v>
      </c>
      <c r="K237" s="65">
        <f ca="1">VLOOKUP($A237,INDIRECT($P$2),COLUMN()-1,FALSE)*VLOOKUP($A237,Usinas!$C:$D,2,FALSE)</f>
        <v>84.688599999999994</v>
      </c>
      <c r="L237" s="65">
        <f ca="1">VLOOKUP($A237,INDIRECT($P$2),COLUMN()-1,FALSE)*VLOOKUP($A237,Usinas!$C:$D,2,FALSE)</f>
        <v>77.511600000000001</v>
      </c>
      <c r="M237" s="65">
        <f ca="1">VLOOKUP($A237,INDIRECT($P$2),COLUMN()-1,FALSE)*VLOOKUP($A237,Usinas!$C:$D,2,FALSE)</f>
        <v>124.1621</v>
      </c>
      <c r="N237" s="65">
        <f ca="1">VLOOKUP($A237,INDIRECT($P$2),COLUMN()-1,FALSE)*VLOOKUP($A237,Usinas!$C:$D,2,FALSE)</f>
        <v>340.18979999999999</v>
      </c>
      <c r="O237" s="65">
        <f ca="1">VLOOKUP($A237,INDIRECT($P$2),COLUMN()-1,FALSE)*VLOOKUP($A237,Usinas!$C:$D,2,FALSE)</f>
        <v>640.1884</v>
      </c>
    </row>
    <row r="238" spans="1:15" hidden="1" outlineLevel="1" x14ac:dyDescent="0.25">
      <c r="A238" s="32"/>
      <c r="B238" s="33" t="s">
        <v>56</v>
      </c>
      <c r="D238" s="74">
        <f t="shared" ref="D238:O238" ca="1" si="41">D237</f>
        <v>592.8202</v>
      </c>
      <c r="E238" s="48">
        <f t="shared" ca="1" si="41"/>
        <v>434.92619999999999</v>
      </c>
      <c r="F238" s="48">
        <f t="shared" ca="1" si="41"/>
        <v>359.5677</v>
      </c>
      <c r="G238" s="48">
        <f t="shared" ca="1" si="41"/>
        <v>246.8888</v>
      </c>
      <c r="H238" s="48">
        <f t="shared" ca="1" si="41"/>
        <v>149.99930000000001</v>
      </c>
      <c r="I238" s="75">
        <f t="shared" ca="1" si="41"/>
        <v>119.1382</v>
      </c>
      <c r="J238" s="74">
        <f t="shared" ca="1" si="41"/>
        <v>100.47799999999999</v>
      </c>
      <c r="K238" s="48">
        <f t="shared" ca="1" si="41"/>
        <v>84.688599999999994</v>
      </c>
      <c r="L238" s="48">
        <f t="shared" ca="1" si="41"/>
        <v>77.511600000000001</v>
      </c>
      <c r="M238" s="48">
        <f t="shared" ca="1" si="41"/>
        <v>124.1621</v>
      </c>
      <c r="N238" s="48">
        <f t="shared" ca="1" si="41"/>
        <v>340.18979999999999</v>
      </c>
      <c r="O238" s="75">
        <f t="shared" ca="1" si="41"/>
        <v>640.1884</v>
      </c>
    </row>
    <row r="239" spans="1:15" hidden="1" outlineLevel="1" x14ac:dyDescent="0.25">
      <c r="A239" s="34"/>
      <c r="B239" s="35" t="s">
        <v>0</v>
      </c>
      <c r="D239" s="76"/>
      <c r="E239" s="77"/>
      <c r="F239" s="77"/>
      <c r="G239" s="77"/>
      <c r="H239" s="77"/>
      <c r="I239" s="78"/>
      <c r="J239" s="76"/>
      <c r="K239" s="77"/>
      <c r="L239" s="77"/>
      <c r="M239" s="77"/>
      <c r="N239" s="77"/>
      <c r="O239" s="78"/>
    </row>
    <row r="240" spans="1:15" hidden="1" outlineLevel="1" x14ac:dyDescent="0.25">
      <c r="A240" s="2"/>
      <c r="B240" s="3"/>
      <c r="D240" s="53"/>
      <c r="E240" s="54"/>
      <c r="F240" s="54"/>
      <c r="G240" s="54"/>
      <c r="H240" s="54"/>
      <c r="I240" s="54"/>
      <c r="J240" s="53"/>
      <c r="K240" s="54"/>
      <c r="L240" s="54"/>
      <c r="M240" s="54"/>
      <c r="N240" s="54"/>
      <c r="O240" s="54"/>
    </row>
    <row r="241" spans="1:15" hidden="1" outlineLevel="1" x14ac:dyDescent="0.25">
      <c r="A241" s="36"/>
      <c r="B241" s="37"/>
      <c r="D241" s="332" t="s">
        <v>214</v>
      </c>
      <c r="E241" s="333" t="s">
        <v>58</v>
      </c>
      <c r="F241" s="333" t="s">
        <v>215</v>
      </c>
      <c r="G241" s="333"/>
      <c r="H241" s="333"/>
      <c r="I241" s="334"/>
      <c r="J241" s="332" t="s">
        <v>214</v>
      </c>
      <c r="K241" s="333" t="s">
        <v>58</v>
      </c>
      <c r="L241" s="333" t="s">
        <v>215</v>
      </c>
      <c r="M241" s="333"/>
      <c r="N241" s="333"/>
      <c r="O241" s="334"/>
    </row>
    <row r="242" spans="1:15" hidden="1" outlineLevel="2" x14ac:dyDescent="0.25">
      <c r="A242" s="30">
        <v>190</v>
      </c>
      <c r="B242" s="31" t="s">
        <v>216</v>
      </c>
      <c r="D242" s="65">
        <f ca="1">VLOOKUP($A242,INDIRECT($P$2),COLUMN()-1,FALSE)*VLOOKUP($A242,Usinas!$C:$D,2,FALSE)</f>
        <v>243.2226</v>
      </c>
      <c r="E242" s="65">
        <f ca="1">VLOOKUP($A242,INDIRECT($P$2),COLUMN()-1,FALSE)*VLOOKUP($A242,Usinas!$C:$D,2,FALSE)</f>
        <v>269.99939999999998</v>
      </c>
      <c r="F242" s="65">
        <f ca="1">VLOOKUP($A242,INDIRECT($P$2),COLUMN()-1,FALSE)*VLOOKUP($A242,Usinas!$C:$D,2,FALSE)</f>
        <v>286.363</v>
      </c>
      <c r="G242" s="65">
        <f ca="1">VLOOKUP($A242,INDIRECT($P$2),COLUMN()-1,FALSE)*VLOOKUP($A242,Usinas!$C:$D,2,FALSE)</f>
        <v>252.892</v>
      </c>
      <c r="H242" s="65">
        <f ca="1">VLOOKUP($A242,INDIRECT($P$2),COLUMN()-1,FALSE)*VLOOKUP($A242,Usinas!$C:$D,2,FALSE)</f>
        <v>163.636</v>
      </c>
      <c r="I242" s="65">
        <f ca="1">VLOOKUP($A242,INDIRECT($P$2),COLUMN()-1,FALSE)*VLOOKUP($A242,Usinas!$C:$D,2,FALSE)</f>
        <v>113.4295</v>
      </c>
      <c r="J242" s="65">
        <f ca="1">VLOOKUP($A242,INDIRECT($P$2),COLUMN()-1,FALSE)*VLOOKUP($A242,Usinas!$C:$D,2,FALSE)</f>
        <v>97.809700000000007</v>
      </c>
      <c r="K242" s="65">
        <f ca="1">VLOOKUP($A242,INDIRECT($P$2),COLUMN()-1,FALSE)*VLOOKUP($A242,Usinas!$C:$D,2,FALSE)</f>
        <v>89.627899999999997</v>
      </c>
      <c r="L242" s="65">
        <f ca="1">VLOOKUP($A242,INDIRECT($P$2),COLUMN()-1,FALSE)*VLOOKUP($A242,Usinas!$C:$D,2,FALSE)</f>
        <v>87.7684</v>
      </c>
      <c r="M242" s="65">
        <f ca="1">VLOOKUP($A242,INDIRECT($P$2),COLUMN()-1,FALSE)*VLOOKUP($A242,Usinas!$C:$D,2,FALSE)</f>
        <v>107.10720000000001</v>
      </c>
      <c r="N242" s="65">
        <f ca="1">VLOOKUP($A242,INDIRECT($P$2),COLUMN()-1,FALSE)*VLOOKUP($A242,Usinas!$C:$D,2,FALSE)</f>
        <v>148.76</v>
      </c>
      <c r="O242" s="65">
        <f ca="1">VLOOKUP($A242,INDIRECT($P$2),COLUMN()-1,FALSE)*VLOOKUP($A242,Usinas!$C:$D,2,FALSE)</f>
        <v>198.2227</v>
      </c>
    </row>
    <row r="243" spans="1:15" hidden="1" outlineLevel="1" x14ac:dyDescent="0.25">
      <c r="A243" s="32"/>
      <c r="B243" s="33" t="s">
        <v>56</v>
      </c>
      <c r="D243" s="74">
        <f t="shared" ref="D243:O243" ca="1" si="42">D242</f>
        <v>243.2226</v>
      </c>
      <c r="E243" s="48">
        <f t="shared" ca="1" si="42"/>
        <v>269.99939999999998</v>
      </c>
      <c r="F243" s="48">
        <f t="shared" ca="1" si="42"/>
        <v>286.363</v>
      </c>
      <c r="G243" s="48">
        <f t="shared" ca="1" si="42"/>
        <v>252.892</v>
      </c>
      <c r="H243" s="48">
        <f t="shared" ca="1" si="42"/>
        <v>163.636</v>
      </c>
      <c r="I243" s="75">
        <f t="shared" ca="1" si="42"/>
        <v>113.4295</v>
      </c>
      <c r="J243" s="74">
        <f t="shared" ca="1" si="42"/>
        <v>97.809700000000007</v>
      </c>
      <c r="K243" s="48">
        <f t="shared" ca="1" si="42"/>
        <v>89.627899999999997</v>
      </c>
      <c r="L243" s="48">
        <f t="shared" ca="1" si="42"/>
        <v>87.7684</v>
      </c>
      <c r="M243" s="48">
        <f t="shared" ca="1" si="42"/>
        <v>107.10720000000001</v>
      </c>
      <c r="N243" s="48">
        <f t="shared" ca="1" si="42"/>
        <v>148.76</v>
      </c>
      <c r="O243" s="75">
        <f t="shared" ca="1" si="42"/>
        <v>198.2227</v>
      </c>
    </row>
    <row r="244" spans="1:15" hidden="1" outlineLevel="1" x14ac:dyDescent="0.25">
      <c r="A244" s="34"/>
      <c r="B244" s="35" t="s">
        <v>0</v>
      </c>
      <c r="D244" s="76"/>
      <c r="E244" s="77"/>
      <c r="F244" s="77"/>
      <c r="G244" s="77"/>
      <c r="H244" s="77"/>
      <c r="I244" s="78"/>
      <c r="J244" s="76"/>
      <c r="K244" s="77"/>
      <c r="L244" s="77"/>
      <c r="M244" s="77"/>
      <c r="N244" s="77"/>
      <c r="O244" s="78"/>
    </row>
    <row r="245" spans="1:15" hidden="1" outlineLevel="1" x14ac:dyDescent="0.25">
      <c r="A245" s="2"/>
      <c r="B245" s="3"/>
      <c r="D245" s="53"/>
      <c r="E245" s="54"/>
      <c r="F245" s="54"/>
      <c r="G245" s="54"/>
      <c r="H245" s="54"/>
      <c r="I245" s="54"/>
      <c r="J245" s="53"/>
      <c r="K245" s="54"/>
      <c r="L245" s="54"/>
      <c r="M245" s="54"/>
      <c r="N245" s="54"/>
      <c r="O245" s="54"/>
    </row>
    <row r="246" spans="1:15" hidden="1" outlineLevel="1" x14ac:dyDescent="0.25">
      <c r="A246" s="36"/>
      <c r="B246" s="37"/>
      <c r="D246" s="332" t="s">
        <v>217</v>
      </c>
      <c r="E246" s="333" t="s">
        <v>58</v>
      </c>
      <c r="F246" s="333" t="s">
        <v>218</v>
      </c>
      <c r="G246" s="333"/>
      <c r="H246" s="333"/>
      <c r="I246" s="334"/>
      <c r="J246" s="332" t="s">
        <v>217</v>
      </c>
      <c r="K246" s="333" t="s">
        <v>58</v>
      </c>
      <c r="L246" s="333" t="s">
        <v>218</v>
      </c>
      <c r="M246" s="333"/>
      <c r="N246" s="333"/>
      <c r="O246" s="334"/>
    </row>
    <row r="247" spans="1:15" hidden="1" outlineLevel="2" x14ac:dyDescent="0.25">
      <c r="A247" s="30">
        <v>254</v>
      </c>
      <c r="B247" s="31" t="s">
        <v>219</v>
      </c>
      <c r="D247" s="65">
        <f ca="1">VLOOKUP($A247,INDIRECT($P$2),COLUMN()-1,FALSE)*VLOOKUP($A247,Usinas!$C:$D,2,FALSE)</f>
        <v>145.42320000000001</v>
      </c>
      <c r="E247" s="65">
        <f ca="1">VLOOKUP($A247,INDIRECT($P$2),COLUMN()-1,FALSE)*VLOOKUP($A247,Usinas!$C:$D,2,FALSE)</f>
        <v>146.34360000000001</v>
      </c>
      <c r="F247" s="65">
        <f ca="1">VLOOKUP($A247,INDIRECT($P$2),COLUMN()-1,FALSE)*VLOOKUP($A247,Usinas!$C:$D,2,FALSE)</f>
        <v>146.34360000000001</v>
      </c>
      <c r="G247" s="65">
        <f ca="1">VLOOKUP($A247,INDIRECT($P$2),COLUMN()-1,FALSE)*VLOOKUP($A247,Usinas!$C:$D,2,FALSE)</f>
        <v>121.4928</v>
      </c>
      <c r="H247" s="65">
        <f ca="1">VLOOKUP($A247,INDIRECT($P$2),COLUMN()-1,FALSE)*VLOOKUP($A247,Usinas!$C:$D,2,FALSE)</f>
        <v>73.632000000000005</v>
      </c>
      <c r="I247" s="65">
        <f ca="1">VLOOKUP($A247,INDIRECT($P$2),COLUMN()-1,FALSE)*VLOOKUP($A247,Usinas!$C:$D,2,FALSE)</f>
        <v>50.622</v>
      </c>
      <c r="J247" s="65">
        <f ca="1">VLOOKUP($A247,INDIRECT($P$2),COLUMN()-1,FALSE)*VLOOKUP($A247,Usinas!$C:$D,2,FALSE)</f>
        <v>50.622</v>
      </c>
      <c r="K247" s="65">
        <f ca="1">VLOOKUP($A247,INDIRECT($P$2),COLUMN()-1,FALSE)*VLOOKUP($A247,Usinas!$C:$D,2,FALSE)</f>
        <v>40.497599999999998</v>
      </c>
      <c r="L247" s="65">
        <f ca="1">VLOOKUP($A247,INDIRECT($P$2),COLUMN()-1,FALSE)*VLOOKUP($A247,Usinas!$C:$D,2,FALSE)</f>
        <v>27.611999999999998</v>
      </c>
      <c r="M247" s="65">
        <f ca="1">VLOOKUP($A247,INDIRECT($P$2),COLUMN()-1,FALSE)*VLOOKUP($A247,Usinas!$C:$D,2,FALSE)</f>
        <v>33.134399999999999</v>
      </c>
      <c r="N247" s="65">
        <f ca="1">VLOOKUP($A247,INDIRECT($P$2),COLUMN()-1,FALSE)*VLOOKUP($A247,Usinas!$C:$D,2,FALSE)</f>
        <v>88.358400000000003</v>
      </c>
      <c r="O247" s="65">
        <f ca="1">VLOOKUP($A247,INDIRECT($P$2),COLUMN()-1,FALSE)*VLOOKUP($A247,Usinas!$C:$D,2,FALSE)</f>
        <v>185.00040000000001</v>
      </c>
    </row>
    <row r="248" spans="1:15" hidden="1" outlineLevel="1" x14ac:dyDescent="0.25">
      <c r="A248" s="32"/>
      <c r="B248" s="33" t="s">
        <v>56</v>
      </c>
      <c r="D248" s="74">
        <f t="shared" ref="D248:O248" ca="1" si="43">D247</f>
        <v>145.42320000000001</v>
      </c>
      <c r="E248" s="48">
        <f t="shared" ca="1" si="43"/>
        <v>146.34360000000001</v>
      </c>
      <c r="F248" s="48">
        <f t="shared" ca="1" si="43"/>
        <v>146.34360000000001</v>
      </c>
      <c r="G248" s="48">
        <f t="shared" ca="1" si="43"/>
        <v>121.4928</v>
      </c>
      <c r="H248" s="48">
        <f t="shared" ca="1" si="43"/>
        <v>73.632000000000005</v>
      </c>
      <c r="I248" s="75">
        <f t="shared" ca="1" si="43"/>
        <v>50.622</v>
      </c>
      <c r="J248" s="74">
        <f t="shared" ca="1" si="43"/>
        <v>50.622</v>
      </c>
      <c r="K248" s="48">
        <f t="shared" ca="1" si="43"/>
        <v>40.497599999999998</v>
      </c>
      <c r="L248" s="48">
        <f t="shared" ca="1" si="43"/>
        <v>27.611999999999998</v>
      </c>
      <c r="M248" s="48">
        <f t="shared" ca="1" si="43"/>
        <v>33.134399999999999</v>
      </c>
      <c r="N248" s="48">
        <f t="shared" ca="1" si="43"/>
        <v>88.358400000000003</v>
      </c>
      <c r="O248" s="75">
        <f t="shared" ca="1" si="43"/>
        <v>185.00040000000001</v>
      </c>
    </row>
    <row r="249" spans="1:15" hidden="1" outlineLevel="1" x14ac:dyDescent="0.25">
      <c r="A249" s="34"/>
      <c r="B249" s="35" t="s">
        <v>0</v>
      </c>
      <c r="D249" s="76"/>
      <c r="E249" s="77"/>
      <c r="F249" s="77"/>
      <c r="G249" s="77"/>
      <c r="H249" s="77"/>
      <c r="I249" s="78"/>
      <c r="J249" s="76"/>
      <c r="K249" s="77"/>
      <c r="L249" s="77"/>
      <c r="M249" s="77"/>
      <c r="N249" s="77"/>
      <c r="O249" s="78"/>
    </row>
    <row r="250" spans="1:15" hidden="1" outlineLevel="1" x14ac:dyDescent="0.25">
      <c r="A250" s="2"/>
      <c r="B250" s="3"/>
      <c r="D250" s="53"/>
      <c r="E250" s="54"/>
      <c r="F250" s="54"/>
      <c r="G250" s="54"/>
      <c r="H250" s="54"/>
      <c r="I250" s="54"/>
      <c r="J250" s="53"/>
      <c r="K250" s="54"/>
      <c r="L250" s="54"/>
      <c r="M250" s="54"/>
      <c r="N250" s="54"/>
      <c r="O250" s="54"/>
    </row>
    <row r="251" spans="1:15" ht="15.75" collapsed="1" x14ac:dyDescent="0.25">
      <c r="A251" s="85"/>
      <c r="B251" s="86"/>
      <c r="C251" s="97"/>
      <c r="D251" s="335" t="s">
        <v>220</v>
      </c>
      <c r="E251" s="336"/>
      <c r="F251" s="336"/>
      <c r="G251" s="336"/>
      <c r="H251" s="336"/>
      <c r="I251" s="336"/>
      <c r="J251" s="336"/>
      <c r="K251" s="336"/>
      <c r="L251" s="336"/>
      <c r="M251" s="336"/>
      <c r="N251" s="336"/>
      <c r="O251" s="337"/>
    </row>
    <row r="252" spans="1:15" ht="15.75" x14ac:dyDescent="0.25">
      <c r="A252" s="87"/>
      <c r="B252" s="88" t="s">
        <v>56</v>
      </c>
      <c r="C252" s="97"/>
      <c r="D252" s="88">
        <f t="shared" ref="D252:O252" ca="1" si="44">D233+D238+D243+D248</f>
        <v>14160.132399999999</v>
      </c>
      <c r="E252" s="89">
        <f t="shared" ca="1" si="44"/>
        <v>14892.4866</v>
      </c>
      <c r="F252" s="89">
        <f t="shared" ca="1" si="44"/>
        <v>14829.474099999998</v>
      </c>
      <c r="G252" s="89">
        <f t="shared" ca="1" si="44"/>
        <v>12073.456300000002</v>
      </c>
      <c r="H252" s="89">
        <f t="shared" ca="1" si="44"/>
        <v>7313.483400000001</v>
      </c>
      <c r="I252" s="90">
        <f t="shared" ca="1" si="44"/>
        <v>4824.5924000000014</v>
      </c>
      <c r="J252" s="88">
        <f t="shared" ca="1" si="44"/>
        <v>3973.5953999999997</v>
      </c>
      <c r="K252" s="89">
        <f t="shared" ca="1" si="44"/>
        <v>3461.5191</v>
      </c>
      <c r="L252" s="89">
        <f t="shared" ca="1" si="44"/>
        <v>3095.0844999999999</v>
      </c>
      <c r="M252" s="89">
        <f t="shared" ca="1" si="44"/>
        <v>3392.4041999999999</v>
      </c>
      <c r="N252" s="89">
        <f t="shared" ca="1" si="44"/>
        <v>5552.6243000000004</v>
      </c>
      <c r="O252" s="90">
        <f t="shared" ca="1" si="44"/>
        <v>10210.5905</v>
      </c>
    </row>
    <row r="254" spans="1:15" x14ac:dyDescent="0.25">
      <c r="A254" s="103"/>
      <c r="B254" s="104"/>
      <c r="C254" s="105"/>
      <c r="D254" s="106"/>
      <c r="E254" s="107"/>
      <c r="F254" s="107"/>
      <c r="G254" s="107"/>
      <c r="H254" s="107"/>
      <c r="I254" s="108"/>
    </row>
    <row r="255" spans="1:15" hidden="1" outlineLevel="1" x14ac:dyDescent="0.25">
      <c r="A255" s="4"/>
      <c r="B255" s="5"/>
      <c r="C255" s="105"/>
      <c r="D255" s="338" t="s">
        <v>221</v>
      </c>
      <c r="E255" s="339"/>
      <c r="F255" s="339"/>
      <c r="G255" s="339"/>
      <c r="H255" s="339"/>
      <c r="I255" s="340"/>
      <c r="J255" s="338" t="s">
        <v>221</v>
      </c>
      <c r="K255" s="339"/>
      <c r="L255" s="339"/>
      <c r="M255" s="339"/>
      <c r="N255" s="339"/>
      <c r="O255" s="340"/>
    </row>
    <row r="256" spans="1:15" hidden="1" outlineLevel="2" x14ac:dyDescent="0.25">
      <c r="A256" s="6">
        <v>271</v>
      </c>
      <c r="B256" s="7" t="s">
        <v>222</v>
      </c>
      <c r="C256" s="105"/>
      <c r="D256" s="65">
        <f ca="1">VLOOKUP($A256,INDIRECT($P$2),COLUMN()-1,FALSE)*VLOOKUP($A256,Usinas!$C:$D,2,FALSE)</f>
        <v>1383.5616</v>
      </c>
      <c r="E256" s="65">
        <f ca="1">VLOOKUP($A256,INDIRECT($P$2),COLUMN()-1,FALSE)*VLOOKUP($A256,Usinas!$C:$D,2,FALSE)</f>
        <v>1662.9192</v>
      </c>
      <c r="F256" s="65">
        <f ca="1">VLOOKUP($A256,INDIRECT($P$2),COLUMN()-1,FALSE)*VLOOKUP($A256,Usinas!$C:$D,2,FALSE)</f>
        <v>1763.7203999999999</v>
      </c>
      <c r="G256" s="65">
        <f ca="1">VLOOKUP($A256,INDIRECT($P$2),COLUMN()-1,FALSE)*VLOOKUP($A256,Usinas!$C:$D,2,FALSE)</f>
        <v>1468.1304</v>
      </c>
      <c r="H256" s="65">
        <f ca="1">VLOOKUP($A256,INDIRECT($P$2),COLUMN()-1,FALSE)*VLOOKUP($A256,Usinas!$C:$D,2,FALSE)</f>
        <v>824.64599999999996</v>
      </c>
      <c r="I256" s="65">
        <f ca="1">VLOOKUP($A256,INDIRECT($P$2),COLUMN()-1,FALSE)*VLOOKUP($A256,Usinas!$C:$D,2,FALSE)</f>
        <v>470.7396</v>
      </c>
      <c r="J256" s="65">
        <f ca="1">VLOOKUP($A256,INDIRECT($P$2),COLUMN()-1,FALSE)*VLOOKUP($A256,Usinas!$C:$D,2,FALSE)</f>
        <v>333.26519999999999</v>
      </c>
      <c r="K256" s="65">
        <f ca="1">VLOOKUP($A256,INDIRECT($P$2),COLUMN()-1,FALSE)*VLOOKUP($A256,Usinas!$C:$D,2,FALSE)</f>
        <v>256.512</v>
      </c>
      <c r="L256" s="65">
        <f ca="1">VLOOKUP($A256,INDIRECT($P$2),COLUMN()-1,FALSE)*VLOOKUP($A256,Usinas!$C:$D,2,FALSE)</f>
        <v>231.46199999999999</v>
      </c>
      <c r="M256" s="65">
        <f ca="1">VLOOKUP($A256,INDIRECT($P$2),COLUMN()-1,FALSE)*VLOOKUP($A256,Usinas!$C:$D,2,FALSE)</f>
        <v>299.59800000000001</v>
      </c>
      <c r="N256" s="65">
        <f ca="1">VLOOKUP($A256,INDIRECT($P$2),COLUMN()-1,FALSE)*VLOOKUP($A256,Usinas!$C:$D,2,FALSE)</f>
        <v>521.24040000000002</v>
      </c>
      <c r="O256" s="65">
        <f ca="1">VLOOKUP($A256,INDIRECT($P$2),COLUMN()-1,FALSE)*VLOOKUP($A256,Usinas!$C:$D,2,FALSE)</f>
        <v>957.91199999999992</v>
      </c>
    </row>
    <row r="257" spans="1:15" hidden="1" outlineLevel="2" x14ac:dyDescent="0.25">
      <c r="A257" s="6">
        <v>275</v>
      </c>
      <c r="B257" s="7" t="s">
        <v>37</v>
      </c>
      <c r="C257" s="105"/>
      <c r="D257" s="65">
        <f ca="1">VLOOKUP($A257,INDIRECT($P$2),COLUMN()-1,FALSE)*VLOOKUP($A257,Usinas!$C:$D,2,FALSE)</f>
        <v>8307.9709999999995</v>
      </c>
      <c r="E257" s="65">
        <f ca="1">VLOOKUP($A257,INDIRECT($P$2),COLUMN()-1,FALSE)*VLOOKUP($A257,Usinas!$C:$D,2,FALSE)</f>
        <v>11253.4496</v>
      </c>
      <c r="F257" s="65">
        <f ca="1">VLOOKUP($A257,INDIRECT($P$2),COLUMN()-1,FALSE)*VLOOKUP($A257,Usinas!$C:$D,2,FALSE)</f>
        <v>13154.059000000001</v>
      </c>
      <c r="G257" s="65">
        <f ca="1">VLOOKUP($A257,INDIRECT($P$2),COLUMN()-1,FALSE)*VLOOKUP($A257,Usinas!$C:$D,2,FALSE)</f>
        <v>13156.2518</v>
      </c>
      <c r="H257" s="65">
        <f ca="1">VLOOKUP($A257,INDIRECT($P$2),COLUMN()-1,FALSE)*VLOOKUP($A257,Usinas!$C:$D,2,FALSE)</f>
        <v>8560.6912000000011</v>
      </c>
      <c r="I257" s="65">
        <f ca="1">VLOOKUP($A257,INDIRECT($P$2),COLUMN()-1,FALSE)*VLOOKUP($A257,Usinas!$C:$D,2,FALSE)</f>
        <v>4013.3722000000002</v>
      </c>
      <c r="J257" s="65">
        <f ca="1">VLOOKUP($A257,INDIRECT($P$2),COLUMN()-1,FALSE)*VLOOKUP($A257,Usinas!$C:$D,2,FALSE)</f>
        <v>2309.0183999999999</v>
      </c>
      <c r="K257" s="65">
        <f ca="1">VLOOKUP($A257,INDIRECT($P$2),COLUMN()-1,FALSE)*VLOOKUP($A257,Usinas!$C:$D,2,FALSE)</f>
        <v>1621.0274000000002</v>
      </c>
      <c r="L257" s="65">
        <f ca="1">VLOOKUP($A257,INDIRECT($P$2),COLUMN()-1,FALSE)*VLOOKUP($A257,Usinas!$C:$D,2,FALSE)</f>
        <v>1278.9506000000001</v>
      </c>
      <c r="M257" s="65">
        <f ca="1">VLOOKUP($A257,INDIRECT($P$2),COLUMN()-1,FALSE)*VLOOKUP($A257,Usinas!$C:$D,2,FALSE)</f>
        <v>1436.2840000000001</v>
      </c>
      <c r="N257" s="65">
        <f ca="1">VLOOKUP($A257,INDIRECT($P$2),COLUMN()-1,FALSE)*VLOOKUP($A257,Usinas!$C:$D,2,FALSE)</f>
        <v>2382.4772000000003</v>
      </c>
      <c r="O257" s="65">
        <f ca="1">VLOOKUP($A257,INDIRECT($P$2),COLUMN()-1,FALSE)*VLOOKUP($A257,Usinas!$C:$D,2,FALSE)</f>
        <v>4700.2668000000003</v>
      </c>
    </row>
    <row r="258" spans="1:15" hidden="1" outlineLevel="1" x14ac:dyDescent="0.25">
      <c r="A258" s="8"/>
      <c r="B258" s="9" t="s">
        <v>56</v>
      </c>
      <c r="C258" s="105"/>
      <c r="D258" s="55">
        <f t="shared" ref="D258:I258" ca="1" si="45">SUM(D256:D257)</f>
        <v>9691.5325999999986</v>
      </c>
      <c r="E258" s="48">
        <f t="shared" ca="1" si="45"/>
        <v>12916.3688</v>
      </c>
      <c r="F258" s="48">
        <f t="shared" ca="1" si="45"/>
        <v>14917.779400000001</v>
      </c>
      <c r="G258" s="48">
        <f t="shared" ca="1" si="45"/>
        <v>14624.3822</v>
      </c>
      <c r="H258" s="48">
        <f t="shared" ca="1" si="45"/>
        <v>9385.3372000000018</v>
      </c>
      <c r="I258" s="56">
        <f t="shared" ca="1" si="45"/>
        <v>4484.1118000000006</v>
      </c>
      <c r="J258" s="55">
        <f t="shared" ref="J258:O258" ca="1" si="46">SUM(J256:J257)</f>
        <v>2642.2835999999998</v>
      </c>
      <c r="K258" s="48">
        <f t="shared" ca="1" si="46"/>
        <v>1877.5394000000001</v>
      </c>
      <c r="L258" s="48">
        <f t="shared" ca="1" si="46"/>
        <v>1510.4126000000001</v>
      </c>
      <c r="M258" s="48">
        <f t="shared" ca="1" si="46"/>
        <v>1735.8820000000001</v>
      </c>
      <c r="N258" s="48">
        <f t="shared" ca="1" si="46"/>
        <v>2903.7176000000004</v>
      </c>
      <c r="O258" s="56">
        <f t="shared" ca="1" si="46"/>
        <v>5658.1788000000006</v>
      </c>
    </row>
    <row r="259" spans="1:15" hidden="1" outlineLevel="1" x14ac:dyDescent="0.25">
      <c r="A259" s="10"/>
      <c r="B259" s="11" t="s">
        <v>0</v>
      </c>
      <c r="C259" s="105"/>
      <c r="D259" s="57"/>
      <c r="E259" s="58"/>
      <c r="F259" s="58"/>
      <c r="G259" s="58"/>
      <c r="H259" s="58"/>
      <c r="I259" s="59"/>
      <c r="J259" s="57"/>
      <c r="K259" s="58"/>
      <c r="L259" s="58"/>
      <c r="M259" s="58"/>
      <c r="N259" s="58"/>
      <c r="O259" s="59"/>
    </row>
    <row r="260" spans="1:15" hidden="1" outlineLevel="1" x14ac:dyDescent="0.25">
      <c r="A260" s="2"/>
      <c r="B260" s="3"/>
      <c r="C260" s="105"/>
      <c r="D260" s="53"/>
      <c r="E260" s="54"/>
      <c r="F260" s="54"/>
      <c r="G260" s="54"/>
      <c r="H260" s="54"/>
      <c r="I260" s="54"/>
      <c r="J260" s="53"/>
      <c r="K260" s="54"/>
      <c r="L260" s="54"/>
      <c r="M260" s="54"/>
      <c r="N260" s="54"/>
      <c r="O260" s="54"/>
    </row>
    <row r="261" spans="1:15" hidden="1" outlineLevel="1" x14ac:dyDescent="0.25">
      <c r="A261" s="12"/>
      <c r="B261" s="13"/>
      <c r="C261" s="105"/>
      <c r="D261" s="344" t="s">
        <v>223</v>
      </c>
      <c r="E261" s="345"/>
      <c r="F261" s="345"/>
      <c r="G261" s="345"/>
      <c r="H261" s="345"/>
      <c r="I261" s="346"/>
      <c r="J261" s="344" t="s">
        <v>223</v>
      </c>
      <c r="K261" s="345"/>
      <c r="L261" s="345"/>
      <c r="M261" s="345"/>
      <c r="N261" s="345"/>
      <c r="O261" s="346"/>
    </row>
    <row r="262" spans="1:15" hidden="1" outlineLevel="2" x14ac:dyDescent="0.25">
      <c r="A262" s="6">
        <v>277</v>
      </c>
      <c r="B262" s="7" t="s">
        <v>224</v>
      </c>
      <c r="C262" s="105"/>
      <c r="D262" s="65">
        <f ca="1">VLOOKUP($A262,INDIRECT($P$2),COLUMN()-1,FALSE)*VLOOKUP($A262,Usinas!$C:$D,2,FALSE)</f>
        <v>22.451000000000001</v>
      </c>
      <c r="E262" s="65">
        <f ca="1">VLOOKUP($A262,INDIRECT($P$2),COLUMN()-1,FALSE)*VLOOKUP($A262,Usinas!$C:$D,2,FALSE)</f>
        <v>32.655999999999999</v>
      </c>
      <c r="F262" s="65">
        <f ca="1">VLOOKUP($A262,INDIRECT($P$2),COLUMN()-1,FALSE)*VLOOKUP($A262,Usinas!$C:$D,2,FALSE)</f>
        <v>50.24</v>
      </c>
      <c r="G262" s="65">
        <f ca="1">VLOOKUP($A262,INDIRECT($P$2),COLUMN()-1,FALSE)*VLOOKUP($A262,Usinas!$C:$D,2,FALSE)</f>
        <v>63.741999999999997</v>
      </c>
      <c r="H262" s="65">
        <f ca="1">VLOOKUP($A262,INDIRECT($P$2),COLUMN()-1,FALSE)*VLOOKUP($A262,Usinas!$C:$D,2,FALSE)</f>
        <v>61.073</v>
      </c>
      <c r="I262" s="65">
        <f ca="1">VLOOKUP($A262,INDIRECT($P$2),COLUMN()-1,FALSE)*VLOOKUP($A262,Usinas!$C:$D,2,FALSE)</f>
        <v>41.918999999999997</v>
      </c>
      <c r="J262" s="65">
        <f ca="1">VLOOKUP($A262,INDIRECT($P$2),COLUMN()-1,FALSE)*VLOOKUP($A262,Usinas!$C:$D,2,FALSE)</f>
        <v>31.085999999999999</v>
      </c>
      <c r="K262" s="65">
        <f ca="1">VLOOKUP($A262,INDIRECT($P$2),COLUMN()-1,FALSE)*VLOOKUP($A262,Usinas!$C:$D,2,FALSE)</f>
        <v>23.393000000000001</v>
      </c>
      <c r="L262" s="65">
        <f ca="1">VLOOKUP($A262,INDIRECT($P$2),COLUMN()-1,FALSE)*VLOOKUP($A262,Usinas!$C:$D,2,FALSE)</f>
        <v>20.253</v>
      </c>
      <c r="M262" s="65">
        <f ca="1">VLOOKUP($A262,INDIRECT($P$2),COLUMN()-1,FALSE)*VLOOKUP($A262,Usinas!$C:$D,2,FALSE)</f>
        <v>18.055</v>
      </c>
      <c r="N262" s="65">
        <f ca="1">VLOOKUP($A262,INDIRECT($P$2),COLUMN()-1,FALSE)*VLOOKUP($A262,Usinas!$C:$D,2,FALSE)</f>
        <v>18.055</v>
      </c>
      <c r="O262" s="65">
        <f ca="1">VLOOKUP($A262,INDIRECT($P$2),COLUMN()-1,FALSE)*VLOOKUP($A262,Usinas!$C:$D,2,FALSE)</f>
        <v>18.683</v>
      </c>
    </row>
    <row r="263" spans="1:15" hidden="1" outlineLevel="2" x14ac:dyDescent="0.25">
      <c r="A263" s="6">
        <v>290</v>
      </c>
      <c r="B263" s="7" t="s">
        <v>250</v>
      </c>
      <c r="C263" s="105"/>
      <c r="D263" s="65">
        <f ca="1">VLOOKUP($A263,INDIRECT($P$2),COLUMN()-1,FALSE)*VLOOKUP($A263,Usinas!$C:$D,2,FALSE)</f>
        <v>162.09270000000001</v>
      </c>
      <c r="E263" s="65">
        <f ca="1">VLOOKUP($A263,INDIRECT($P$2),COLUMN()-1,FALSE)*VLOOKUP($A263,Usinas!$C:$D,2,FALSE)</f>
        <v>251.20859999999999</v>
      </c>
      <c r="F263" s="65">
        <f ca="1">VLOOKUP($A263,INDIRECT($P$2),COLUMN()-1,FALSE)*VLOOKUP($A263,Usinas!$C:$D,2,FALSE)</f>
        <v>318.33789999999999</v>
      </c>
      <c r="G263" s="65">
        <f ca="1">VLOOKUP($A263,INDIRECT($P$2),COLUMN()-1,FALSE)*VLOOKUP($A263,Usinas!$C:$D,2,FALSE)</f>
        <v>423.35899999999998</v>
      </c>
      <c r="H263" s="65">
        <f ca="1">VLOOKUP($A263,INDIRECT($P$2),COLUMN()-1,FALSE)*VLOOKUP($A263,Usinas!$C:$D,2,FALSE)</f>
        <v>494.23070000000001</v>
      </c>
      <c r="I263" s="65">
        <f ca="1">VLOOKUP($A263,INDIRECT($P$2),COLUMN()-1,FALSE)*VLOOKUP($A263,Usinas!$C:$D,2,FALSE)</f>
        <v>486.97980000000001</v>
      </c>
      <c r="J263" s="65">
        <f ca="1">VLOOKUP($A263,INDIRECT($P$2),COLUMN()-1,FALSE)*VLOOKUP($A263,Usinas!$C:$D,2,FALSE)</f>
        <v>339.85669999999999</v>
      </c>
      <c r="K263" s="65">
        <f ca="1">VLOOKUP($A263,INDIRECT($P$2),COLUMN()-1,FALSE)*VLOOKUP($A263,Usinas!$C:$D,2,FALSE)</f>
        <v>225.4796</v>
      </c>
      <c r="L263" s="65">
        <f ca="1">VLOOKUP($A263,INDIRECT($P$2),COLUMN()-1,FALSE)*VLOOKUP($A263,Usinas!$C:$D,2,FALSE)</f>
        <v>140.1061</v>
      </c>
      <c r="M263" s="65">
        <f ca="1">VLOOKUP($A263,INDIRECT($P$2),COLUMN()-1,FALSE)*VLOOKUP($A263,Usinas!$C:$D,2,FALSE)</f>
        <v>79.993799999999993</v>
      </c>
      <c r="N263" s="65">
        <f ca="1">VLOOKUP($A263,INDIRECT($P$2),COLUMN()-1,FALSE)*VLOOKUP($A263,Usinas!$C:$D,2,FALSE)</f>
        <v>58.475000000000001</v>
      </c>
      <c r="O263" s="65">
        <f ca="1">VLOOKUP($A263,INDIRECT($P$2),COLUMN()-1,FALSE)*VLOOKUP($A263,Usinas!$C:$D,2,FALSE)</f>
        <v>82.332799999999992</v>
      </c>
    </row>
    <row r="264" spans="1:15" hidden="1" outlineLevel="2" x14ac:dyDescent="0.25">
      <c r="A264" s="6">
        <v>269</v>
      </c>
      <c r="B264" s="7" t="s">
        <v>225</v>
      </c>
      <c r="C264" s="105"/>
      <c r="D264" s="65">
        <f ca="1">VLOOKUP($A264,INDIRECT($P$2),COLUMN()-1,FALSE)*VLOOKUP($A264,Usinas!$C:$D,2,FALSE)</f>
        <v>78.438400000000001</v>
      </c>
      <c r="E264" s="65">
        <f ca="1">VLOOKUP($A264,INDIRECT($P$2),COLUMN()-1,FALSE)*VLOOKUP($A264,Usinas!$C:$D,2,FALSE)</f>
        <v>119.6032</v>
      </c>
      <c r="F264" s="65">
        <f ca="1">VLOOKUP($A264,INDIRECT($P$2),COLUMN()-1,FALSE)*VLOOKUP($A264,Usinas!$C:$D,2,FALSE)</f>
        <v>152.98560000000001</v>
      </c>
      <c r="G264" s="65">
        <f ca="1">VLOOKUP($A264,INDIRECT($P$2),COLUMN()-1,FALSE)*VLOOKUP($A264,Usinas!$C:$D,2,FALSE)</f>
        <v>209.10080000000002</v>
      </c>
      <c r="H264" s="65">
        <f ca="1">VLOOKUP($A264,INDIRECT($P$2),COLUMN()-1,FALSE)*VLOOKUP($A264,Usinas!$C:$D,2,FALSE)</f>
        <v>242.89280000000002</v>
      </c>
      <c r="I264" s="65">
        <f ca="1">VLOOKUP($A264,INDIRECT($P$2),COLUMN()-1,FALSE)*VLOOKUP($A264,Usinas!$C:$D,2,FALSE)</f>
        <v>215.65440000000001</v>
      </c>
      <c r="J264" s="65">
        <f ca="1">VLOOKUP($A264,INDIRECT($P$2),COLUMN()-1,FALSE)*VLOOKUP($A264,Usinas!$C:$D,2,FALSE)</f>
        <v>137.21600000000001</v>
      </c>
      <c r="K264" s="65">
        <f ca="1">VLOOKUP($A264,INDIRECT($P$2),COLUMN()-1,FALSE)*VLOOKUP($A264,Usinas!$C:$D,2,FALSE)</f>
        <v>86.425600000000003</v>
      </c>
      <c r="L264" s="65">
        <f ca="1">VLOOKUP($A264,INDIRECT($P$2),COLUMN()-1,FALSE)*VLOOKUP($A264,Usinas!$C:$D,2,FALSE)</f>
        <v>64.512</v>
      </c>
      <c r="M264" s="65">
        <f ca="1">VLOOKUP($A264,INDIRECT($P$2),COLUMN()-1,FALSE)*VLOOKUP($A264,Usinas!$C:$D,2,FALSE)</f>
        <v>54.476800000000004</v>
      </c>
      <c r="N264" s="65">
        <f ca="1">VLOOKUP($A264,INDIRECT($P$2),COLUMN()-1,FALSE)*VLOOKUP($A264,Usinas!$C:$D,2,FALSE)</f>
        <v>53.862400000000001</v>
      </c>
      <c r="O264" s="65">
        <f ca="1">VLOOKUP($A264,INDIRECT($P$2),COLUMN()-1,FALSE)*VLOOKUP($A264,Usinas!$C:$D,2,FALSE)</f>
        <v>60.006400000000006</v>
      </c>
    </row>
    <row r="265" spans="1:15" hidden="1" outlineLevel="1" x14ac:dyDescent="0.25">
      <c r="A265" s="8"/>
      <c r="B265" s="9" t="s">
        <v>56</v>
      </c>
      <c r="C265" s="105"/>
      <c r="D265" s="55">
        <f t="shared" ref="D265:I265" ca="1" si="47">SUM(D262:D264)</f>
        <v>262.9821</v>
      </c>
      <c r="E265" s="48">
        <f t="shared" ca="1" si="47"/>
        <v>403.46780000000001</v>
      </c>
      <c r="F265" s="48">
        <f t="shared" ca="1" si="47"/>
        <v>521.56349999999998</v>
      </c>
      <c r="G265" s="48">
        <f t="shared" ca="1" si="47"/>
        <v>696.20180000000005</v>
      </c>
      <c r="H265" s="48">
        <f t="shared" ca="1" si="47"/>
        <v>798.19650000000001</v>
      </c>
      <c r="I265" s="56">
        <f t="shared" ca="1" si="47"/>
        <v>744.55320000000006</v>
      </c>
      <c r="J265" s="55">
        <f t="shared" ref="J265:O265" ca="1" si="48">SUM(J262:J264)</f>
        <v>508.15870000000001</v>
      </c>
      <c r="K265" s="48">
        <f t="shared" ca="1" si="48"/>
        <v>335.29820000000001</v>
      </c>
      <c r="L265" s="48">
        <f t="shared" ca="1" si="48"/>
        <v>224.87110000000001</v>
      </c>
      <c r="M265" s="48">
        <f t="shared" ca="1" si="48"/>
        <v>152.5256</v>
      </c>
      <c r="N265" s="48">
        <f t="shared" ca="1" si="48"/>
        <v>130.39240000000001</v>
      </c>
      <c r="O265" s="56">
        <f t="shared" ca="1" si="48"/>
        <v>161.0222</v>
      </c>
    </row>
    <row r="266" spans="1:15" hidden="1" outlineLevel="1" x14ac:dyDescent="0.25">
      <c r="A266" s="10"/>
      <c r="B266" s="11" t="s">
        <v>0</v>
      </c>
      <c r="C266" s="105"/>
      <c r="D266" s="57"/>
      <c r="E266" s="58"/>
      <c r="F266" s="58"/>
      <c r="G266" s="58"/>
      <c r="H266" s="58"/>
      <c r="I266" s="59"/>
      <c r="J266" s="57"/>
      <c r="K266" s="58"/>
      <c r="L266" s="58"/>
      <c r="M266" s="58"/>
      <c r="N266" s="58"/>
      <c r="O266" s="59"/>
    </row>
    <row r="267" spans="1:15" hidden="1" outlineLevel="1" x14ac:dyDescent="0.25">
      <c r="A267" s="2"/>
      <c r="B267" s="3"/>
      <c r="C267" s="105"/>
      <c r="D267" s="53"/>
      <c r="E267" s="54"/>
      <c r="F267" s="54"/>
      <c r="G267" s="54"/>
      <c r="H267" s="54"/>
      <c r="I267" s="54"/>
      <c r="J267" s="53"/>
      <c r="K267" s="54"/>
      <c r="L267" s="54"/>
      <c r="M267" s="54"/>
      <c r="N267" s="54"/>
      <c r="O267" s="54"/>
    </row>
    <row r="268" spans="1:15" hidden="1" outlineLevel="1" x14ac:dyDescent="0.25">
      <c r="A268" s="12"/>
      <c r="B268" s="13"/>
      <c r="C268" s="105"/>
      <c r="D268" s="347" t="s">
        <v>503</v>
      </c>
      <c r="E268" s="348" t="s">
        <v>167</v>
      </c>
      <c r="F268" s="348" t="s">
        <v>1</v>
      </c>
      <c r="G268" s="348"/>
      <c r="H268" s="348"/>
      <c r="I268" s="349"/>
      <c r="J268" s="347" t="s">
        <v>503</v>
      </c>
      <c r="K268" s="348" t="s">
        <v>167</v>
      </c>
      <c r="L268" s="348" t="s">
        <v>1</v>
      </c>
      <c r="M268" s="348"/>
      <c r="N268" s="348"/>
      <c r="O268" s="349"/>
    </row>
    <row r="269" spans="1:15" hidden="1" outlineLevel="2" x14ac:dyDescent="0.25">
      <c r="A269" s="6">
        <v>297</v>
      </c>
      <c r="B269" s="7" t="s">
        <v>271</v>
      </c>
      <c r="C269" s="105"/>
      <c r="D269" s="65">
        <f ca="1">VLOOKUP($A269,INDIRECT($P$2),COLUMN()-1,FALSE)*VLOOKUP($A269,Usinas!$C:$D,2,FALSE)</f>
        <v>83.464199999999991</v>
      </c>
      <c r="E269" s="65">
        <f ca="1">VLOOKUP($A269,INDIRECT($P$2),COLUMN()-1,FALSE)*VLOOKUP($A269,Usinas!$C:$D,2,FALSE)</f>
        <v>155.98740000000001</v>
      </c>
      <c r="F269" s="65">
        <f ca="1">VLOOKUP($A269,INDIRECT($P$2),COLUMN()-1,FALSE)*VLOOKUP($A269,Usinas!$C:$D,2,FALSE)</f>
        <v>237.8886</v>
      </c>
      <c r="G269" s="65">
        <f ca="1">VLOOKUP($A269,INDIRECT($P$2),COLUMN()-1,FALSE)*VLOOKUP($A269,Usinas!$C:$D,2,FALSE)</f>
        <v>294.4692</v>
      </c>
      <c r="H269" s="65">
        <f ca="1">VLOOKUP($A269,INDIRECT($P$2),COLUMN()-1,FALSE)*VLOOKUP($A269,Usinas!$C:$D,2,FALSE)</f>
        <v>314.78819999999996</v>
      </c>
      <c r="I269" s="65">
        <f ca="1">VLOOKUP($A269,INDIRECT($P$2),COLUMN()-1,FALSE)*VLOOKUP($A269,Usinas!$C:$D,2,FALSE)</f>
        <v>249.45479999999998</v>
      </c>
      <c r="J269" s="65">
        <f ca="1">VLOOKUP($A269,INDIRECT($P$2),COLUMN()-1,FALSE)*VLOOKUP($A269,Usinas!$C:$D,2,FALSE)</f>
        <v>184.12139999999999</v>
      </c>
      <c r="K269" s="65">
        <f ca="1">VLOOKUP($A269,INDIRECT($P$2),COLUMN()-1,FALSE)*VLOOKUP($A269,Usinas!$C:$D,2,FALSE)</f>
        <v>124.2585</v>
      </c>
      <c r="L269" s="65">
        <f ca="1">VLOOKUP($A269,INDIRECT($P$2),COLUMN()-1,FALSE)*VLOOKUP($A269,Usinas!$C:$D,2,FALSE)</f>
        <v>71.897999999999996</v>
      </c>
      <c r="M269" s="65">
        <f ca="1">VLOOKUP($A269,INDIRECT($P$2),COLUMN()-1,FALSE)*VLOOKUP($A269,Usinas!$C:$D,2,FALSE)</f>
        <v>43.607700000000001</v>
      </c>
      <c r="N269" s="65">
        <f ca="1">VLOOKUP($A269,INDIRECT($P$2),COLUMN()-1,FALSE)*VLOOKUP($A269,Usinas!$C:$D,2,FALSE)</f>
        <v>31.259999999999998</v>
      </c>
      <c r="O269" s="65">
        <f ca="1">VLOOKUP($A269,INDIRECT($P$2),COLUMN()-1,FALSE)*VLOOKUP($A269,Usinas!$C:$D,2,FALSE)</f>
        <v>36.261600000000001</v>
      </c>
    </row>
    <row r="270" spans="1:15" hidden="1" outlineLevel="2" x14ac:dyDescent="0.25">
      <c r="A270" s="6">
        <v>280</v>
      </c>
      <c r="B270" s="7" t="s">
        <v>251</v>
      </c>
      <c r="C270" s="105"/>
      <c r="D270" s="65">
        <f ca="1">VLOOKUP($A270,INDIRECT($P$2),COLUMN()-1,FALSE)*VLOOKUP($A270,Usinas!$C:$D,2,FALSE)</f>
        <v>0</v>
      </c>
      <c r="E270" s="65">
        <f ca="1">VLOOKUP($A270,INDIRECT($P$2),COLUMN()-1,FALSE)*VLOOKUP($A270,Usinas!$C:$D,2,FALSE)</f>
        <v>0</v>
      </c>
      <c r="F270" s="65">
        <f ca="1">VLOOKUP($A270,INDIRECT($P$2),COLUMN()-1,FALSE)*VLOOKUP($A270,Usinas!$C:$D,2,FALSE)</f>
        <v>0</v>
      </c>
      <c r="G270" s="65">
        <f ca="1">VLOOKUP($A270,INDIRECT($P$2),COLUMN()-1,FALSE)*VLOOKUP($A270,Usinas!$C:$D,2,FALSE)</f>
        <v>0</v>
      </c>
      <c r="H270" s="65">
        <f ca="1">VLOOKUP($A270,INDIRECT($P$2),COLUMN()-1,FALSE)*VLOOKUP($A270,Usinas!$C:$D,2,FALSE)</f>
        <v>0</v>
      </c>
      <c r="I270" s="65">
        <f ca="1">VLOOKUP($A270,INDIRECT($P$2),COLUMN()-1,FALSE)*VLOOKUP($A270,Usinas!$C:$D,2,FALSE)</f>
        <v>0</v>
      </c>
      <c r="J270" s="65">
        <f ca="1">VLOOKUP($A270,INDIRECT($P$2),COLUMN()-1,FALSE)*VLOOKUP($A270,Usinas!$C:$D,2,FALSE)</f>
        <v>0</v>
      </c>
      <c r="K270" s="65">
        <f ca="1">VLOOKUP($A270,INDIRECT($P$2),COLUMN()-1,FALSE)*VLOOKUP($A270,Usinas!$C:$D,2,FALSE)</f>
        <v>0</v>
      </c>
      <c r="L270" s="65">
        <f ca="1">VLOOKUP($A270,INDIRECT($P$2),COLUMN()-1,FALSE)*VLOOKUP($A270,Usinas!$C:$D,2,FALSE)</f>
        <v>0</v>
      </c>
      <c r="M270" s="65">
        <f ca="1">VLOOKUP($A270,INDIRECT($P$2),COLUMN()-1,FALSE)*VLOOKUP($A270,Usinas!$C:$D,2,FALSE)</f>
        <v>0</v>
      </c>
      <c r="N270" s="65">
        <f ca="1">VLOOKUP($A270,INDIRECT($P$2),COLUMN()-1,FALSE)*VLOOKUP($A270,Usinas!$C:$D,2,FALSE)</f>
        <v>0</v>
      </c>
      <c r="O270" s="65">
        <f ca="1">VLOOKUP($A270,INDIRECT($P$2),COLUMN()-1,FALSE)*VLOOKUP($A270,Usinas!$C:$D,2,FALSE)</f>
        <v>0</v>
      </c>
    </row>
    <row r="271" spans="1:15" hidden="1" outlineLevel="1" x14ac:dyDescent="0.25">
      <c r="A271" s="8"/>
      <c r="B271" s="9" t="s">
        <v>56</v>
      </c>
      <c r="C271" s="105"/>
      <c r="D271" s="55">
        <f t="shared" ref="D271:I271" ca="1" si="49">SUM(D269:D270)</f>
        <v>83.464199999999991</v>
      </c>
      <c r="E271" s="55">
        <f t="shared" ca="1" si="49"/>
        <v>155.98740000000001</v>
      </c>
      <c r="F271" s="55">
        <f t="shared" ca="1" si="49"/>
        <v>237.8886</v>
      </c>
      <c r="G271" s="55">
        <f t="shared" ca="1" si="49"/>
        <v>294.4692</v>
      </c>
      <c r="H271" s="55">
        <f t="shared" ca="1" si="49"/>
        <v>314.78819999999996</v>
      </c>
      <c r="I271" s="55">
        <f t="shared" ca="1" si="49"/>
        <v>249.45479999999998</v>
      </c>
      <c r="J271" s="55">
        <f t="shared" ref="J271:O271" ca="1" si="50">SUM(J269:J270)</f>
        <v>184.12139999999999</v>
      </c>
      <c r="K271" s="55">
        <f t="shared" ca="1" si="50"/>
        <v>124.2585</v>
      </c>
      <c r="L271" s="55">
        <f t="shared" ca="1" si="50"/>
        <v>71.897999999999996</v>
      </c>
      <c r="M271" s="55">
        <f t="shared" ca="1" si="50"/>
        <v>43.607700000000001</v>
      </c>
      <c r="N271" s="55">
        <f t="shared" ca="1" si="50"/>
        <v>31.259999999999998</v>
      </c>
      <c r="O271" s="55">
        <f t="shared" ca="1" si="50"/>
        <v>36.261600000000001</v>
      </c>
    </row>
    <row r="272" spans="1:15" hidden="1" outlineLevel="1" x14ac:dyDescent="0.25">
      <c r="A272" s="10"/>
      <c r="B272" s="11" t="s">
        <v>0</v>
      </c>
      <c r="C272" s="105"/>
      <c r="D272" s="57"/>
      <c r="E272" s="58"/>
      <c r="F272" s="58"/>
      <c r="G272" s="58"/>
      <c r="H272" s="58"/>
      <c r="I272" s="59"/>
      <c r="J272" s="57"/>
      <c r="K272" s="58"/>
      <c r="L272" s="58"/>
      <c r="M272" s="58"/>
      <c r="N272" s="58"/>
      <c r="O272" s="59"/>
    </row>
    <row r="273" spans="1:15" hidden="1" outlineLevel="1" x14ac:dyDescent="0.25">
      <c r="A273" s="2"/>
      <c r="B273" s="3"/>
      <c r="C273" s="105"/>
      <c r="D273" s="53"/>
      <c r="E273" s="54"/>
      <c r="F273" s="54"/>
      <c r="G273" s="54"/>
      <c r="H273" s="54"/>
      <c r="I273" s="54"/>
      <c r="J273" s="53"/>
      <c r="K273" s="54"/>
      <c r="L273" s="54"/>
      <c r="M273" s="54"/>
      <c r="N273" s="54"/>
      <c r="O273" s="54"/>
    </row>
    <row r="274" spans="1:15" ht="15.75" collapsed="1" x14ac:dyDescent="0.25">
      <c r="A274" s="85"/>
      <c r="B274" s="86"/>
      <c r="C274" s="97"/>
      <c r="D274" s="335" t="s">
        <v>226</v>
      </c>
      <c r="E274" s="336"/>
      <c r="F274" s="336"/>
      <c r="G274" s="336"/>
      <c r="H274" s="336"/>
      <c r="I274" s="336"/>
      <c r="J274" s="336"/>
      <c r="K274" s="336"/>
      <c r="L274" s="336"/>
      <c r="M274" s="336"/>
      <c r="N274" s="336"/>
      <c r="O274" s="337"/>
    </row>
    <row r="275" spans="1:15" ht="15.75" x14ac:dyDescent="0.25">
      <c r="A275" s="87"/>
      <c r="B275" s="88" t="s">
        <v>56</v>
      </c>
      <c r="C275" s="97"/>
      <c r="D275" s="88">
        <f ca="1">D258+D265+D271</f>
        <v>10037.978899999998</v>
      </c>
      <c r="E275" s="89">
        <f t="shared" ref="E275:I275" ca="1" si="51">E258+E265+E271</f>
        <v>13475.824000000001</v>
      </c>
      <c r="F275" s="89">
        <f t="shared" ca="1" si="51"/>
        <v>15677.231500000002</v>
      </c>
      <c r="G275" s="89">
        <f t="shared" ca="1" si="51"/>
        <v>15615.0532</v>
      </c>
      <c r="H275" s="89">
        <f t="shared" ca="1" si="51"/>
        <v>10498.321900000003</v>
      </c>
      <c r="I275" s="90">
        <f t="shared" ca="1" si="51"/>
        <v>5478.1198000000004</v>
      </c>
      <c r="J275" s="88">
        <f ca="1">J258+J265+J271</f>
        <v>3334.5636999999997</v>
      </c>
      <c r="K275" s="89">
        <f t="shared" ref="K275:O275" ca="1" si="52">K258+K265+K271</f>
        <v>2337.0961000000002</v>
      </c>
      <c r="L275" s="89">
        <f t="shared" ca="1" si="52"/>
        <v>1807.1817000000001</v>
      </c>
      <c r="M275" s="89">
        <f t="shared" ca="1" si="52"/>
        <v>1932.0153</v>
      </c>
      <c r="N275" s="89">
        <f t="shared" ca="1" si="52"/>
        <v>3065.3700000000008</v>
      </c>
      <c r="O275" s="90">
        <f t="shared" ca="1" si="52"/>
        <v>5855.4626000000007</v>
      </c>
    </row>
  </sheetData>
  <mergeCells count="58">
    <mergeCell ref="D261:I261"/>
    <mergeCell ref="J261:O261"/>
    <mergeCell ref="D268:I268"/>
    <mergeCell ref="J268:O268"/>
    <mergeCell ref="D274:O274"/>
    <mergeCell ref="D241:I241"/>
    <mergeCell ref="J241:O241"/>
    <mergeCell ref="D219:I219"/>
    <mergeCell ref="J219:O219"/>
    <mergeCell ref="D224:O224"/>
    <mergeCell ref="D228:I228"/>
    <mergeCell ref="J228:O228"/>
    <mergeCell ref="D236:I236"/>
    <mergeCell ref="J236:O236"/>
    <mergeCell ref="D246:I246"/>
    <mergeCell ref="J246:O246"/>
    <mergeCell ref="D251:O251"/>
    <mergeCell ref="D255:I255"/>
    <mergeCell ref="J255:O255"/>
    <mergeCell ref="D214:I214"/>
    <mergeCell ref="J214:O214"/>
    <mergeCell ref="D158:I158"/>
    <mergeCell ref="J158:O158"/>
    <mergeCell ref="D167:O167"/>
    <mergeCell ref="D171:I171"/>
    <mergeCell ref="J171:O171"/>
    <mergeCell ref="D182:I182"/>
    <mergeCell ref="J182:O182"/>
    <mergeCell ref="D194:I194"/>
    <mergeCell ref="J194:O194"/>
    <mergeCell ref="D209:I209"/>
    <mergeCell ref="D140:I140"/>
    <mergeCell ref="J140:O140"/>
    <mergeCell ref="D151:I151"/>
    <mergeCell ref="J151:O151"/>
    <mergeCell ref="J209:O209"/>
    <mergeCell ref="D114:I114"/>
    <mergeCell ref="J114:O114"/>
    <mergeCell ref="D126:I126"/>
    <mergeCell ref="J126:O126"/>
    <mergeCell ref="D135:I135"/>
    <mergeCell ref="J135:O135"/>
    <mergeCell ref="D89:I89"/>
    <mergeCell ref="J89:O89"/>
    <mergeCell ref="D104:I104"/>
    <mergeCell ref="J104:O104"/>
    <mergeCell ref="D109:I109"/>
    <mergeCell ref="J109:O109"/>
    <mergeCell ref="D77:O77"/>
    <mergeCell ref="A1:A4"/>
    <mergeCell ref="B1:B4"/>
    <mergeCell ref="D6:O6"/>
    <mergeCell ref="D83:I83"/>
    <mergeCell ref="J83:O83"/>
    <mergeCell ref="D25:O25"/>
    <mergeCell ref="D48:O48"/>
    <mergeCell ref="D53:O53"/>
    <mergeCell ref="D63:O6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4" tint="0.39997558519241921"/>
  </sheetPr>
  <dimension ref="A1:P275"/>
  <sheetViews>
    <sheetView workbookViewId="0">
      <selection activeCell="I12" sqref="I12"/>
    </sheetView>
  </sheetViews>
  <sheetFormatPr defaultRowHeight="15" outlineLevelRow="2" x14ac:dyDescent="0.25"/>
  <cols>
    <col min="1" max="1" width="6.85546875" style="113" bestFit="1" customWidth="1"/>
    <col min="2" max="2" width="23.7109375" style="113" bestFit="1" customWidth="1"/>
    <col min="3" max="3" width="1.7109375" style="93" customWidth="1"/>
    <col min="4" max="8" width="12.140625" style="113" bestFit="1" customWidth="1"/>
    <col min="9" max="9" width="12.28515625" style="113" customWidth="1"/>
    <col min="10" max="16384" width="9.140625" style="113"/>
  </cols>
  <sheetData>
    <row r="1" spans="1:16" x14ac:dyDescent="0.25">
      <c r="A1" s="323" t="s">
        <v>39</v>
      </c>
      <c r="B1" s="325" t="s">
        <v>40</v>
      </c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13" t="s">
        <v>532</v>
      </c>
    </row>
    <row r="2" spans="1:16" x14ac:dyDescent="0.25">
      <c r="A2" s="324"/>
      <c r="B2" s="326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113" t="str">
        <f>P1&amp;"!$A$53:$N$372"</f>
        <v>Cen1!$A$53:$N$372</v>
      </c>
    </row>
    <row r="3" spans="1:16" x14ac:dyDescent="0.25">
      <c r="A3" s="324"/>
      <c r="B3" s="326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</row>
    <row r="4" spans="1:16" x14ac:dyDescent="0.25">
      <c r="A4" s="324"/>
      <c r="B4" s="326"/>
      <c r="D4" s="79" t="s">
        <v>505</v>
      </c>
      <c r="E4" s="79" t="s">
        <v>506</v>
      </c>
      <c r="F4" s="79" t="s">
        <v>507</v>
      </c>
      <c r="G4" s="79" t="s">
        <v>508</v>
      </c>
      <c r="H4" s="79" t="s">
        <v>509</v>
      </c>
      <c r="I4" s="79" t="s">
        <v>510</v>
      </c>
      <c r="J4" s="79" t="s">
        <v>511</v>
      </c>
      <c r="K4" s="79" t="s">
        <v>512</v>
      </c>
      <c r="L4" s="79" t="s">
        <v>513</v>
      </c>
      <c r="M4" s="79" t="s">
        <v>514</v>
      </c>
      <c r="N4" s="79" t="s">
        <v>515</v>
      </c>
      <c r="O4" s="79" t="s">
        <v>516</v>
      </c>
    </row>
    <row r="5" spans="1:16" x14ac:dyDescent="0.25">
      <c r="A5" s="91"/>
      <c r="B5" s="92"/>
      <c r="D5" s="94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</row>
    <row r="6" spans="1:16" hidden="1" outlineLevel="1" x14ac:dyDescent="0.25">
      <c r="A6" s="63"/>
      <c r="B6" s="64"/>
      <c r="D6" s="327" t="s">
        <v>41</v>
      </c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</row>
    <row r="7" spans="1:16" hidden="1" outlineLevel="2" x14ac:dyDescent="0.25">
      <c r="A7" s="61">
        <v>1</v>
      </c>
      <c r="B7" s="62" t="s">
        <v>42</v>
      </c>
      <c r="D7" s="65">
        <f ca="1">VLOOKUP($A7,INDIRECT($P$2),COLUMN()-1,FALSE)*VLOOKUP($A7,Usinas!$C:$D,2,FALSE)</f>
        <v>50.063400000000001</v>
      </c>
      <c r="E7" s="65">
        <f ca="1">VLOOKUP($A7,INDIRECT($P$2),COLUMN()-1,FALSE)*VLOOKUP($A7,Usinas!$C:$D,2,FALSE)</f>
        <v>45.332999999999998</v>
      </c>
      <c r="F7" s="65">
        <f ca="1">VLOOKUP($A7,INDIRECT($P$2),COLUMN()-1,FALSE)*VLOOKUP($A7,Usinas!$C:$D,2,FALSE)</f>
        <v>40.208399999999997</v>
      </c>
      <c r="G7" s="65">
        <f ca="1">VLOOKUP($A7,INDIRECT($P$2),COLUMN()-1,FALSE)*VLOOKUP($A7,Usinas!$C:$D,2,FALSE)</f>
        <v>27.396899999999999</v>
      </c>
      <c r="H7" s="65">
        <f ca="1">VLOOKUP($A7,INDIRECT($P$2),COLUMN()-1,FALSE)*VLOOKUP($A7,Usinas!$C:$D,2,FALSE)</f>
        <v>20.695499999999999</v>
      </c>
      <c r="I7" s="65">
        <f ca="1">VLOOKUP($A7,INDIRECT($P$2),COLUMN()-1,FALSE)*VLOOKUP($A7,Usinas!$C:$D,2,FALSE)</f>
        <v>17.541899999999998</v>
      </c>
      <c r="J7" s="65">
        <f ca="1">VLOOKUP($A7,INDIRECT($P$2),COLUMN()-1,FALSE)*VLOOKUP($A7,Usinas!$C:$D,2,FALSE)</f>
        <v>14.5854</v>
      </c>
      <c r="K7" s="65">
        <f ca="1">VLOOKUP($A7,INDIRECT($P$2),COLUMN()-1,FALSE)*VLOOKUP($A7,Usinas!$C:$D,2,FALSE)</f>
        <v>12.6144</v>
      </c>
      <c r="L7" s="65">
        <f ca="1">VLOOKUP($A7,INDIRECT($P$2),COLUMN()-1,FALSE)*VLOOKUP($A7,Usinas!$C:$D,2,FALSE)</f>
        <v>13.2057</v>
      </c>
      <c r="M7" s="65">
        <f ca="1">VLOOKUP($A7,INDIRECT($P$2),COLUMN()-1,FALSE)*VLOOKUP($A7,Usinas!$C:$D,2,FALSE)</f>
        <v>15.5709</v>
      </c>
      <c r="N7" s="65">
        <f ca="1">VLOOKUP($A7,INDIRECT($P$2),COLUMN()-1,FALSE)*VLOOKUP($A7,Usinas!$C:$D,2,FALSE)</f>
        <v>21.8781</v>
      </c>
      <c r="O7" s="65">
        <f ca="1">VLOOKUP($A7,INDIRECT($P$2),COLUMN()-1,FALSE)*VLOOKUP($A7,Usinas!$C:$D,2,FALSE)</f>
        <v>35.872199999999999</v>
      </c>
    </row>
    <row r="8" spans="1:16" hidden="1" outlineLevel="2" x14ac:dyDescent="0.25">
      <c r="A8" s="61">
        <v>2</v>
      </c>
      <c r="B8" s="62" t="s">
        <v>43</v>
      </c>
      <c r="D8" s="65">
        <f ca="1">VLOOKUP($A8,INDIRECT($P$2),COLUMN()-1,FALSE)*VLOOKUP($A8,Usinas!$C:$D,2,FALSE)</f>
        <v>62.153799999999997</v>
      </c>
      <c r="E8" s="65">
        <f ca="1">VLOOKUP($A8,INDIRECT($P$2),COLUMN()-1,FALSE)*VLOOKUP($A8,Usinas!$C:$D,2,FALSE)</f>
        <v>56.280999999999999</v>
      </c>
      <c r="F8" s="65">
        <f ca="1">VLOOKUP($A8,INDIRECT($P$2),COLUMN()-1,FALSE)*VLOOKUP($A8,Usinas!$C:$D,2,FALSE)</f>
        <v>49.918799999999997</v>
      </c>
      <c r="G8" s="65">
        <f ca="1">VLOOKUP($A8,INDIRECT($P$2),COLUMN()-1,FALSE)*VLOOKUP($A8,Usinas!$C:$D,2,FALSE)</f>
        <v>34.013300000000001</v>
      </c>
      <c r="H8" s="65">
        <f ca="1">VLOOKUP($A8,INDIRECT($P$2),COLUMN()-1,FALSE)*VLOOKUP($A8,Usinas!$C:$D,2,FALSE)</f>
        <v>25.6935</v>
      </c>
      <c r="I8" s="65">
        <f ca="1">VLOOKUP($A8,INDIRECT($P$2),COLUMN()-1,FALSE)*VLOOKUP($A8,Usinas!$C:$D,2,FALSE)</f>
        <v>21.778300000000002</v>
      </c>
      <c r="J8" s="65">
        <f ca="1">VLOOKUP($A8,INDIRECT($P$2),COLUMN()-1,FALSE)*VLOOKUP($A8,Usinas!$C:$D,2,FALSE)</f>
        <v>18.107800000000001</v>
      </c>
      <c r="K8" s="65">
        <f ca="1">VLOOKUP($A8,INDIRECT($P$2),COLUMN()-1,FALSE)*VLOOKUP($A8,Usinas!$C:$D,2,FALSE)</f>
        <v>15.6608</v>
      </c>
      <c r="L8" s="65">
        <f ca="1">VLOOKUP($A8,INDIRECT($P$2),COLUMN()-1,FALSE)*VLOOKUP($A8,Usinas!$C:$D,2,FALSE)</f>
        <v>16.3949</v>
      </c>
      <c r="M8" s="65">
        <f ca="1">VLOOKUP($A8,INDIRECT($P$2),COLUMN()-1,FALSE)*VLOOKUP($A8,Usinas!$C:$D,2,FALSE)</f>
        <v>19.331299999999999</v>
      </c>
      <c r="N8" s="65">
        <f ca="1">VLOOKUP($A8,INDIRECT($P$2),COLUMN()-1,FALSE)*VLOOKUP($A8,Usinas!$C:$D,2,FALSE)</f>
        <v>27.1617</v>
      </c>
      <c r="O8" s="65">
        <f ca="1">VLOOKUP($A8,INDIRECT($P$2),COLUMN()-1,FALSE)*VLOOKUP($A8,Usinas!$C:$D,2,FALSE)</f>
        <v>44.535400000000003</v>
      </c>
    </row>
    <row r="9" spans="1:16" hidden="1" outlineLevel="2" x14ac:dyDescent="0.25">
      <c r="A9" s="61">
        <v>211</v>
      </c>
      <c r="B9" s="62" t="s">
        <v>44</v>
      </c>
      <c r="D9" s="65">
        <f ca="1">VLOOKUP($A9,INDIRECT($P$2),COLUMN()-1,FALSE)*VLOOKUP($A9,Usinas!$C:$D,2,FALSE)</f>
        <v>205.69149999999999</v>
      </c>
      <c r="E9" s="65">
        <f ca="1">VLOOKUP($A9,INDIRECT($P$2),COLUMN()-1,FALSE)*VLOOKUP($A9,Usinas!$C:$D,2,FALSE)</f>
        <v>182.18389999999999</v>
      </c>
      <c r="F9" s="65">
        <f ca="1">VLOOKUP($A9,INDIRECT($P$2),COLUMN()-1,FALSE)*VLOOKUP($A9,Usinas!$C:$D,2,FALSE)</f>
        <v>161.09620000000001</v>
      </c>
      <c r="G9" s="65">
        <f ca="1">VLOOKUP($A9,INDIRECT($P$2),COLUMN()-1,FALSE)*VLOOKUP($A9,Usinas!$C:$D,2,FALSE)</f>
        <v>111.3154</v>
      </c>
      <c r="H9" s="65">
        <f ca="1">VLOOKUP($A9,INDIRECT($P$2),COLUMN()-1,FALSE)*VLOOKUP($A9,Usinas!$C:$D,2,FALSE)</f>
        <v>81.930900000000008</v>
      </c>
      <c r="I9" s="65">
        <f ca="1">VLOOKUP($A9,INDIRECT($P$2),COLUMN()-1,FALSE)*VLOOKUP($A9,Usinas!$C:$D,2,FALSE)</f>
        <v>68.448599999999999</v>
      </c>
      <c r="J9" s="65">
        <f ca="1">VLOOKUP($A9,INDIRECT($P$2),COLUMN()-1,FALSE)*VLOOKUP($A9,Usinas!$C:$D,2,FALSE)</f>
        <v>57.731900000000003</v>
      </c>
      <c r="K9" s="65">
        <f ca="1">VLOOKUP($A9,INDIRECT($P$2),COLUMN()-1,FALSE)*VLOOKUP($A9,Usinas!$C:$D,2,FALSE)</f>
        <v>49.089399999999998</v>
      </c>
      <c r="L9" s="65">
        <f ca="1">VLOOKUP($A9,INDIRECT($P$2),COLUMN()-1,FALSE)*VLOOKUP($A9,Usinas!$C:$D,2,FALSE)</f>
        <v>50.1265</v>
      </c>
      <c r="M9" s="65">
        <f ca="1">VLOOKUP($A9,INDIRECT($P$2),COLUMN()-1,FALSE)*VLOOKUP($A9,Usinas!$C:$D,2,FALSE)</f>
        <v>60.151800000000001</v>
      </c>
      <c r="N9" s="65">
        <f ca="1">VLOOKUP($A9,INDIRECT($P$2),COLUMN()-1,FALSE)*VLOOKUP($A9,Usinas!$C:$D,2,FALSE)</f>
        <v>88.153500000000008</v>
      </c>
      <c r="O9" s="65">
        <f ca="1">VLOOKUP($A9,INDIRECT($P$2),COLUMN()-1,FALSE)*VLOOKUP($A9,Usinas!$C:$D,2,FALSE)</f>
        <v>149.3424</v>
      </c>
    </row>
    <row r="10" spans="1:16" hidden="1" outlineLevel="2" x14ac:dyDescent="0.25">
      <c r="A10" s="61">
        <v>6</v>
      </c>
      <c r="B10" s="62" t="s">
        <v>30</v>
      </c>
      <c r="D10" s="65">
        <f ca="1">VLOOKUP($A10,INDIRECT($P$2),COLUMN()-1,FALSE)*VLOOKUP($A10,Usinas!$C:$D,2,FALSE)</f>
        <v>1376.7731999999999</v>
      </c>
      <c r="E10" s="65">
        <f ca="1">VLOOKUP($A10,INDIRECT($P$2),COLUMN()-1,FALSE)*VLOOKUP($A10,Usinas!$C:$D,2,FALSE)</f>
        <v>1277.1078</v>
      </c>
      <c r="F10" s="65">
        <f ca="1">VLOOKUP($A10,INDIRECT($P$2),COLUMN()-1,FALSE)*VLOOKUP($A10,Usinas!$C:$D,2,FALSE)</f>
        <v>1135.722</v>
      </c>
      <c r="G10" s="65">
        <f ca="1">VLOOKUP($A10,INDIRECT($P$2),COLUMN()-1,FALSE)*VLOOKUP($A10,Usinas!$C:$D,2,FALSE)</f>
        <v>780.32599999999991</v>
      </c>
      <c r="H10" s="65">
        <f ca="1">VLOOKUP($A10,INDIRECT($P$2),COLUMN()-1,FALSE)*VLOOKUP($A10,Usinas!$C:$D,2,FALSE)</f>
        <v>570.17879999999991</v>
      </c>
      <c r="I10" s="65">
        <f ca="1">VLOOKUP($A10,INDIRECT($P$2),COLUMN()-1,FALSE)*VLOOKUP($A10,Usinas!$C:$D,2,FALSE)</f>
        <v>475.92159999999996</v>
      </c>
      <c r="J10" s="65">
        <f ca="1">VLOOKUP($A10,INDIRECT($P$2),COLUMN()-1,FALSE)*VLOOKUP($A10,Usinas!$C:$D,2,FALSE)</f>
        <v>390.93559999999997</v>
      </c>
      <c r="K10" s="65">
        <f ca="1">VLOOKUP($A10,INDIRECT($P$2),COLUMN()-1,FALSE)*VLOOKUP($A10,Usinas!$C:$D,2,FALSE)</f>
        <v>321.40159999999997</v>
      </c>
      <c r="L10" s="65">
        <f ca="1">VLOOKUP($A10,INDIRECT($P$2),COLUMN()-1,FALSE)*VLOOKUP($A10,Usinas!$C:$D,2,FALSE)</f>
        <v>334.53579999999999</v>
      </c>
      <c r="M10" s="65">
        <f ca="1">VLOOKUP($A10,INDIRECT($P$2),COLUMN()-1,FALSE)*VLOOKUP($A10,Usinas!$C:$D,2,FALSE)</f>
        <v>394.79859999999996</v>
      </c>
      <c r="N10" s="65">
        <f ca="1">VLOOKUP($A10,INDIRECT($P$2),COLUMN()-1,FALSE)*VLOOKUP($A10,Usinas!$C:$D,2,FALSE)</f>
        <v>557.81719999999996</v>
      </c>
      <c r="O10" s="65">
        <f ca="1">VLOOKUP($A10,INDIRECT($P$2),COLUMN()-1,FALSE)*VLOOKUP($A10,Usinas!$C:$D,2,FALSE)</f>
        <v>961.11439999999993</v>
      </c>
    </row>
    <row r="11" spans="1:16" hidden="1" outlineLevel="2" x14ac:dyDescent="0.25">
      <c r="A11" s="61">
        <v>7</v>
      </c>
      <c r="B11" s="62" t="s">
        <v>45</v>
      </c>
      <c r="D11" s="65">
        <f ca="1">VLOOKUP($A11,INDIRECT($P$2),COLUMN()-1,FALSE)*VLOOKUP($A11,Usinas!$C:$D,2,FALSE)</f>
        <v>662.72820000000002</v>
      </c>
      <c r="E11" s="65">
        <f ca="1">VLOOKUP($A11,INDIRECT($P$2),COLUMN()-1,FALSE)*VLOOKUP($A11,Usinas!$C:$D,2,FALSE)</f>
        <v>620.68200000000002</v>
      </c>
      <c r="F11" s="65">
        <f ca="1">VLOOKUP($A11,INDIRECT($P$2),COLUMN()-1,FALSE)*VLOOKUP($A11,Usinas!$C:$D,2,FALSE)</f>
        <v>552.60720000000003</v>
      </c>
      <c r="G11" s="65">
        <f ca="1">VLOOKUP($A11,INDIRECT($P$2),COLUMN()-1,FALSE)*VLOOKUP($A11,Usinas!$C:$D,2,FALSE)</f>
        <v>380.08429999999998</v>
      </c>
      <c r="H11" s="65">
        <f ca="1">VLOOKUP($A11,INDIRECT($P$2),COLUMN()-1,FALSE)*VLOOKUP($A11,Usinas!$C:$D,2,FALSE)</f>
        <v>276.971</v>
      </c>
      <c r="I11" s="65">
        <f ca="1">VLOOKUP($A11,INDIRECT($P$2),COLUMN()-1,FALSE)*VLOOKUP($A11,Usinas!$C:$D,2,FALSE)</f>
        <v>229.5856</v>
      </c>
      <c r="J11" s="65">
        <f ca="1">VLOOKUP($A11,INDIRECT($P$2),COLUMN()-1,FALSE)*VLOOKUP($A11,Usinas!$C:$D,2,FALSE)</f>
        <v>188.54050000000001</v>
      </c>
      <c r="K11" s="65">
        <f ca="1">VLOOKUP($A11,INDIRECT($P$2),COLUMN()-1,FALSE)*VLOOKUP($A11,Usinas!$C:$D,2,FALSE)</f>
        <v>154.83680000000001</v>
      </c>
      <c r="L11" s="65">
        <f ca="1">VLOOKUP($A11,INDIRECT($P$2),COLUMN()-1,FALSE)*VLOOKUP($A11,Usinas!$C:$D,2,FALSE)</f>
        <v>160.17599999999999</v>
      </c>
      <c r="M11" s="65">
        <f ca="1">VLOOKUP($A11,INDIRECT($P$2),COLUMN()-1,FALSE)*VLOOKUP($A11,Usinas!$C:$D,2,FALSE)</f>
        <v>189.2079</v>
      </c>
      <c r="N11" s="65">
        <f ca="1">VLOOKUP($A11,INDIRECT($P$2),COLUMN()-1,FALSE)*VLOOKUP($A11,Usinas!$C:$D,2,FALSE)</f>
        <v>265.62520000000001</v>
      </c>
      <c r="O11" s="65">
        <f ca="1">VLOOKUP($A11,INDIRECT($P$2),COLUMN()-1,FALSE)*VLOOKUP($A11,Usinas!$C:$D,2,FALSE)</f>
        <v>457.16899999999998</v>
      </c>
    </row>
    <row r="12" spans="1:16" hidden="1" outlineLevel="2" x14ac:dyDescent="0.25">
      <c r="A12" s="61">
        <v>8</v>
      </c>
      <c r="B12" s="62" t="s">
        <v>46</v>
      </c>
      <c r="D12" s="65">
        <f ca="1">VLOOKUP($A12,INDIRECT($P$2),COLUMN()-1,FALSE)*VLOOKUP($A12,Usinas!$C:$D,2,FALSE)</f>
        <v>1141.7183</v>
      </c>
      <c r="E12" s="65">
        <f ca="1">VLOOKUP($A12,INDIRECT($P$2),COLUMN()-1,FALSE)*VLOOKUP($A12,Usinas!$C:$D,2,FALSE)</f>
        <v>1074.7570000000001</v>
      </c>
      <c r="F12" s="65">
        <f ca="1">VLOOKUP($A12,INDIRECT($P$2),COLUMN()-1,FALSE)*VLOOKUP($A12,Usinas!$C:$D,2,FALSE)</f>
        <v>957.71539999999993</v>
      </c>
      <c r="G12" s="65">
        <f ca="1">VLOOKUP($A12,INDIRECT($P$2),COLUMN()-1,FALSE)*VLOOKUP($A12,Usinas!$C:$D,2,FALSE)</f>
        <v>661.17250000000001</v>
      </c>
      <c r="H12" s="65">
        <f ca="1">VLOOKUP($A12,INDIRECT($P$2),COLUMN()-1,FALSE)*VLOOKUP($A12,Usinas!$C:$D,2,FALSE)</f>
        <v>480.54579999999999</v>
      </c>
      <c r="I12" s="65">
        <f ca="1">VLOOKUP($A12,INDIRECT($P$2),COLUMN()-1,FALSE)*VLOOKUP($A12,Usinas!$C:$D,2,FALSE)</f>
        <v>397.82889999999998</v>
      </c>
      <c r="J12" s="65">
        <f ca="1">VLOOKUP($A12,INDIRECT($P$2),COLUMN()-1,FALSE)*VLOOKUP($A12,Usinas!$C:$D,2,FALSE)</f>
        <v>326.36599999999999</v>
      </c>
      <c r="K12" s="65">
        <f ca="1">VLOOKUP($A12,INDIRECT($P$2),COLUMN()-1,FALSE)*VLOOKUP($A12,Usinas!$C:$D,2,FALSE)</f>
        <v>267.28249999999997</v>
      </c>
      <c r="L12" s="65">
        <f ca="1">VLOOKUP($A12,INDIRECT($P$2),COLUMN()-1,FALSE)*VLOOKUP($A12,Usinas!$C:$D,2,FALSE)</f>
        <v>275.72300000000001</v>
      </c>
      <c r="M12" s="65">
        <f ca="1">VLOOKUP($A12,INDIRECT($P$2),COLUMN()-1,FALSE)*VLOOKUP($A12,Usinas!$C:$D,2,FALSE)</f>
        <v>325.24059999999997</v>
      </c>
      <c r="N12" s="65">
        <f ca="1">VLOOKUP($A12,INDIRECT($P$2),COLUMN()-1,FALSE)*VLOOKUP($A12,Usinas!$C:$D,2,FALSE)</f>
        <v>456.34969999999998</v>
      </c>
      <c r="O12" s="65">
        <f ca="1">VLOOKUP($A12,INDIRECT($P$2),COLUMN()-1,FALSE)*VLOOKUP($A12,Usinas!$C:$D,2,FALSE)</f>
        <v>783.27839999999992</v>
      </c>
    </row>
    <row r="13" spans="1:16" hidden="1" outlineLevel="2" x14ac:dyDescent="0.25">
      <c r="A13" s="61">
        <v>9</v>
      </c>
      <c r="B13" s="62" t="s">
        <v>47</v>
      </c>
      <c r="D13" s="65">
        <f ca="1">VLOOKUP($A13,INDIRECT($P$2),COLUMN()-1,FALSE)*VLOOKUP($A13,Usinas!$C:$D,2,FALSE)</f>
        <v>827.19780000000003</v>
      </c>
      <c r="E13" s="65">
        <f ca="1">VLOOKUP($A13,INDIRECT($P$2),COLUMN()-1,FALSE)*VLOOKUP($A13,Usinas!$C:$D,2,FALSE)</f>
        <v>781.10759999999993</v>
      </c>
      <c r="F13" s="65">
        <f ca="1">VLOOKUP($A13,INDIRECT($P$2),COLUMN()-1,FALSE)*VLOOKUP($A13,Usinas!$C:$D,2,FALSE)</f>
        <v>696.20460000000003</v>
      </c>
      <c r="G13" s="65">
        <f ca="1">VLOOKUP($A13,INDIRECT($P$2),COLUMN()-1,FALSE)*VLOOKUP($A13,Usinas!$C:$D,2,FALSE)</f>
        <v>481.92559999999997</v>
      </c>
      <c r="H13" s="65">
        <f ca="1">VLOOKUP($A13,INDIRECT($P$2),COLUMN()-1,FALSE)*VLOOKUP($A13,Usinas!$C:$D,2,FALSE)</f>
        <v>349.3152</v>
      </c>
      <c r="I13" s="65">
        <f ca="1">VLOOKUP($A13,INDIRECT($P$2),COLUMN()-1,FALSE)*VLOOKUP($A13,Usinas!$C:$D,2,FALSE)</f>
        <v>289.0745</v>
      </c>
      <c r="J13" s="65">
        <f ca="1">VLOOKUP($A13,INDIRECT($P$2),COLUMN()-1,FALSE)*VLOOKUP($A13,Usinas!$C:$D,2,FALSE)</f>
        <v>236.91980000000001</v>
      </c>
      <c r="K13" s="65">
        <f ca="1">VLOOKUP($A13,INDIRECT($P$2),COLUMN()-1,FALSE)*VLOOKUP($A13,Usinas!$C:$D,2,FALSE)</f>
        <v>194.06399999999999</v>
      </c>
      <c r="L13" s="65">
        <f ca="1">VLOOKUP($A13,INDIRECT($P$2),COLUMN()-1,FALSE)*VLOOKUP($A13,Usinas!$C:$D,2,FALSE)</f>
        <v>199.7242</v>
      </c>
      <c r="M13" s="65">
        <f ca="1">VLOOKUP($A13,INDIRECT($P$2),COLUMN()-1,FALSE)*VLOOKUP($A13,Usinas!$C:$D,2,FALSE)</f>
        <v>235.70689999999999</v>
      </c>
      <c r="N13" s="65">
        <f ca="1">VLOOKUP($A13,INDIRECT($P$2),COLUMN()-1,FALSE)*VLOOKUP($A13,Usinas!$C:$D,2,FALSE)</f>
        <v>329.90879999999999</v>
      </c>
      <c r="O13" s="65">
        <f ca="1">VLOOKUP($A13,INDIRECT($P$2),COLUMN()-1,FALSE)*VLOOKUP($A13,Usinas!$C:$D,2,FALSE)</f>
        <v>565.61569999999995</v>
      </c>
    </row>
    <row r="14" spans="1:16" hidden="1" outlineLevel="2" x14ac:dyDescent="0.25">
      <c r="A14" s="61">
        <v>10</v>
      </c>
      <c r="B14" s="62" t="s">
        <v>48</v>
      </c>
      <c r="D14" s="65">
        <f ca="1">VLOOKUP($A14,INDIRECT($P$2),COLUMN()-1,FALSE)*VLOOKUP($A14,Usinas!$C:$D,2,FALSE)</f>
        <v>319.64</v>
      </c>
      <c r="E14" s="65">
        <f ca="1">VLOOKUP($A14,INDIRECT($P$2),COLUMN()-1,FALSE)*VLOOKUP($A14,Usinas!$C:$D,2,FALSE)</f>
        <v>304.08499999999998</v>
      </c>
      <c r="F14" s="65">
        <f ca="1">VLOOKUP($A14,INDIRECT($P$2),COLUMN()-1,FALSE)*VLOOKUP($A14,Usinas!$C:$D,2,FALSE)</f>
        <v>270.99250000000001</v>
      </c>
      <c r="G14" s="65">
        <f ca="1">VLOOKUP($A14,INDIRECT($P$2),COLUMN()-1,FALSE)*VLOOKUP($A14,Usinas!$C:$D,2,FALSE)</f>
        <v>188.49</v>
      </c>
      <c r="H14" s="65">
        <f ca="1">VLOOKUP($A14,INDIRECT($P$2),COLUMN()-1,FALSE)*VLOOKUP($A14,Usinas!$C:$D,2,FALSE)</f>
        <v>135.8775</v>
      </c>
      <c r="I14" s="65">
        <f ca="1">VLOOKUP($A14,INDIRECT($P$2),COLUMN()-1,FALSE)*VLOOKUP($A14,Usinas!$C:$D,2,FALSE)</f>
        <v>112.24</v>
      </c>
      <c r="J14" s="65">
        <f ca="1">VLOOKUP($A14,INDIRECT($P$2),COLUMN()-1,FALSE)*VLOOKUP($A14,Usinas!$C:$D,2,FALSE)</f>
        <v>91.957499999999996</v>
      </c>
      <c r="K14" s="65">
        <f ca="1">VLOOKUP($A14,INDIRECT($P$2),COLUMN()-1,FALSE)*VLOOKUP($A14,Usinas!$C:$D,2,FALSE)</f>
        <v>75.334999999999994</v>
      </c>
      <c r="L14" s="65">
        <f ca="1">VLOOKUP($A14,INDIRECT($P$2),COLUMN()-1,FALSE)*VLOOKUP($A14,Usinas!$C:$D,2,FALSE)</f>
        <v>77.164999999999992</v>
      </c>
      <c r="M14" s="65">
        <f ca="1">VLOOKUP($A14,INDIRECT($P$2),COLUMN()-1,FALSE)*VLOOKUP($A14,Usinas!$C:$D,2,FALSE)</f>
        <v>90.89</v>
      </c>
      <c r="N14" s="65">
        <f ca="1">VLOOKUP($A14,INDIRECT($P$2),COLUMN()-1,FALSE)*VLOOKUP($A14,Usinas!$C:$D,2,FALSE)</f>
        <v>126.88</v>
      </c>
      <c r="O14" s="65">
        <f ca="1">VLOOKUP($A14,INDIRECT($P$2),COLUMN()-1,FALSE)*VLOOKUP($A14,Usinas!$C:$D,2,FALSE)</f>
        <v>217.00749999999999</v>
      </c>
    </row>
    <row r="15" spans="1:16" hidden="1" outlineLevel="2" x14ac:dyDescent="0.25">
      <c r="A15" s="61">
        <v>11</v>
      </c>
      <c r="B15" s="62" t="s">
        <v>49</v>
      </c>
      <c r="D15" s="65">
        <f ca="1">VLOOKUP($A15,INDIRECT($P$2),COLUMN()-1,FALSE)*VLOOKUP($A15,Usinas!$C:$D,2,FALSE)</f>
        <v>546.31200000000001</v>
      </c>
      <c r="E15" s="65">
        <f ca="1">VLOOKUP($A15,INDIRECT($P$2),COLUMN()-1,FALSE)*VLOOKUP($A15,Usinas!$C:$D,2,FALSE)</f>
        <v>524.80560000000003</v>
      </c>
      <c r="F15" s="65">
        <f ca="1">VLOOKUP($A15,INDIRECT($P$2),COLUMN()-1,FALSE)*VLOOKUP($A15,Usinas!$C:$D,2,FALSE)</f>
        <v>468.44400000000002</v>
      </c>
      <c r="G15" s="65">
        <f ca="1">VLOOKUP($A15,INDIRECT($P$2),COLUMN()-1,FALSE)*VLOOKUP($A15,Usinas!$C:$D,2,FALSE)</f>
        <v>328.28160000000003</v>
      </c>
      <c r="H15" s="65">
        <f ca="1">VLOOKUP($A15,INDIRECT($P$2),COLUMN()-1,FALSE)*VLOOKUP($A15,Usinas!$C:$D,2,FALSE)</f>
        <v>235.33440000000002</v>
      </c>
      <c r="I15" s="65">
        <f ca="1">VLOOKUP($A15,INDIRECT($P$2),COLUMN()-1,FALSE)*VLOOKUP($A15,Usinas!$C:$D,2,FALSE)</f>
        <v>194.05199999999999</v>
      </c>
      <c r="J15" s="65">
        <f ca="1">VLOOKUP($A15,INDIRECT($P$2),COLUMN()-1,FALSE)*VLOOKUP($A15,Usinas!$C:$D,2,FALSE)</f>
        <v>158.45519999999999</v>
      </c>
      <c r="K15" s="65">
        <f ca="1">VLOOKUP($A15,INDIRECT($P$2),COLUMN()-1,FALSE)*VLOOKUP($A15,Usinas!$C:$D,2,FALSE)</f>
        <v>129.53280000000001</v>
      </c>
      <c r="L15" s="65">
        <f ca="1">VLOOKUP($A15,INDIRECT($P$2),COLUMN()-1,FALSE)*VLOOKUP($A15,Usinas!$C:$D,2,FALSE)</f>
        <v>131.7576</v>
      </c>
      <c r="M15" s="65">
        <f ca="1">VLOOKUP($A15,INDIRECT($P$2),COLUMN()-1,FALSE)*VLOOKUP($A15,Usinas!$C:$D,2,FALSE)</f>
        <v>154.99440000000001</v>
      </c>
      <c r="N15" s="65">
        <f ca="1">VLOOKUP($A15,INDIRECT($P$2),COLUMN()-1,FALSE)*VLOOKUP($A15,Usinas!$C:$D,2,FALSE)</f>
        <v>215.8056</v>
      </c>
      <c r="O15" s="65">
        <f ca="1">VLOOKUP($A15,INDIRECT($P$2),COLUMN()-1,FALSE)*VLOOKUP($A15,Usinas!$C:$D,2,FALSE)</f>
        <v>367.58640000000003</v>
      </c>
    </row>
    <row r="16" spans="1:16" hidden="1" outlineLevel="2" x14ac:dyDescent="0.25">
      <c r="A16" s="61">
        <v>12</v>
      </c>
      <c r="B16" s="62" t="s">
        <v>50</v>
      </c>
      <c r="D16" s="65">
        <f ca="1">VLOOKUP($A16,INDIRECT($P$2),COLUMN()-1,FALSE)*VLOOKUP($A16,Usinas!$C:$D,2,FALSE)</f>
        <v>508.27720000000005</v>
      </c>
      <c r="E16" s="65">
        <f ca="1">VLOOKUP($A16,INDIRECT($P$2),COLUMN()-1,FALSE)*VLOOKUP($A16,Usinas!$C:$D,2,FALSE)</f>
        <v>494.21500000000003</v>
      </c>
      <c r="F16" s="65">
        <f ca="1">VLOOKUP($A16,INDIRECT($P$2),COLUMN()-1,FALSE)*VLOOKUP($A16,Usinas!$C:$D,2,FALSE)</f>
        <v>442.65360000000004</v>
      </c>
      <c r="G16" s="65">
        <f ca="1">VLOOKUP($A16,INDIRECT($P$2),COLUMN()-1,FALSE)*VLOOKUP($A16,Usinas!$C:$D,2,FALSE)</f>
        <v>312.62920000000003</v>
      </c>
      <c r="H16" s="65">
        <f ca="1">VLOOKUP($A16,INDIRECT($P$2),COLUMN()-1,FALSE)*VLOOKUP($A16,Usinas!$C:$D,2,FALSE)</f>
        <v>222.9572</v>
      </c>
      <c r="I16" s="65">
        <f ca="1">VLOOKUP($A16,INDIRECT($P$2),COLUMN()-1,FALSE)*VLOOKUP($A16,Usinas!$C:$D,2,FALSE)</f>
        <v>182.60480000000001</v>
      </c>
      <c r="J16" s="65">
        <f ca="1">VLOOKUP($A16,INDIRECT($P$2),COLUMN()-1,FALSE)*VLOOKUP($A16,Usinas!$C:$D,2,FALSE)</f>
        <v>148.3664</v>
      </c>
      <c r="K16" s="65">
        <f ca="1">VLOOKUP($A16,INDIRECT($P$2),COLUMN()-1,FALSE)*VLOOKUP($A16,Usinas!$C:$D,2,FALSE)</f>
        <v>121.05720000000001</v>
      </c>
      <c r="L16" s="65">
        <f ca="1">VLOOKUP($A16,INDIRECT($P$2),COLUMN()-1,FALSE)*VLOOKUP($A16,Usinas!$C:$D,2,FALSE)</f>
        <v>121.8724</v>
      </c>
      <c r="M16" s="65">
        <f ca="1">VLOOKUP($A16,INDIRECT($P$2),COLUMN()-1,FALSE)*VLOOKUP($A16,Usinas!$C:$D,2,FALSE)</f>
        <v>143.679</v>
      </c>
      <c r="N16" s="65">
        <f ca="1">VLOOKUP($A16,INDIRECT($P$2),COLUMN()-1,FALSE)*VLOOKUP($A16,Usinas!$C:$D,2,FALSE)</f>
        <v>199.52020000000002</v>
      </c>
      <c r="O16" s="65">
        <f ca="1">VLOOKUP($A16,INDIRECT($P$2),COLUMN()-1,FALSE)*VLOOKUP($A16,Usinas!$C:$D,2,FALSE)</f>
        <v>338.71559999999999</v>
      </c>
    </row>
    <row r="17" spans="1:15" hidden="1" outlineLevel="2" x14ac:dyDescent="0.25">
      <c r="A17" s="61">
        <v>14</v>
      </c>
      <c r="B17" s="62" t="s">
        <v>51</v>
      </c>
      <c r="D17" s="65">
        <f ca="1">VLOOKUP($A17,INDIRECT($P$2),COLUMN()-1,FALSE)*VLOOKUP($A17,Usinas!$C:$D,2,FALSE)</f>
        <v>79.830799999999996</v>
      </c>
      <c r="E17" s="65">
        <f ca="1">VLOOKUP($A17,INDIRECT($P$2),COLUMN()-1,FALSE)*VLOOKUP($A17,Usinas!$C:$D,2,FALSE)</f>
        <v>81.459999999999994</v>
      </c>
      <c r="F17" s="65">
        <f ca="1">VLOOKUP($A17,INDIRECT($P$2),COLUMN()-1,FALSE)*VLOOKUP($A17,Usinas!$C:$D,2,FALSE)</f>
        <v>70.870199999999997</v>
      </c>
      <c r="G17" s="65">
        <f ca="1">VLOOKUP($A17,INDIRECT($P$2),COLUMN()-1,FALSE)*VLOOKUP($A17,Usinas!$C:$D,2,FALSE)</f>
        <v>48.875999999999998</v>
      </c>
      <c r="H17" s="65">
        <f ca="1">VLOOKUP($A17,INDIRECT($P$2),COLUMN()-1,FALSE)*VLOOKUP($A17,Usinas!$C:$D,2,FALSE)</f>
        <v>35.842399999999998</v>
      </c>
      <c r="I17" s="65">
        <f ca="1">VLOOKUP($A17,INDIRECT($P$2),COLUMN()-1,FALSE)*VLOOKUP($A17,Usinas!$C:$D,2,FALSE)</f>
        <v>29.325600000000001</v>
      </c>
      <c r="J17" s="65">
        <f ca="1">VLOOKUP($A17,INDIRECT($P$2),COLUMN()-1,FALSE)*VLOOKUP($A17,Usinas!$C:$D,2,FALSE)</f>
        <v>23.6234</v>
      </c>
      <c r="K17" s="65">
        <f ca="1">VLOOKUP($A17,INDIRECT($P$2),COLUMN()-1,FALSE)*VLOOKUP($A17,Usinas!$C:$D,2,FALSE)</f>
        <v>20.364999999999998</v>
      </c>
      <c r="L17" s="65">
        <f ca="1">VLOOKUP($A17,INDIRECT($P$2),COLUMN()-1,FALSE)*VLOOKUP($A17,Usinas!$C:$D,2,FALSE)</f>
        <v>20.364999999999998</v>
      </c>
      <c r="M17" s="65">
        <f ca="1">VLOOKUP($A17,INDIRECT($P$2),COLUMN()-1,FALSE)*VLOOKUP($A17,Usinas!$C:$D,2,FALSE)</f>
        <v>25.252600000000001</v>
      </c>
      <c r="N17" s="65">
        <f ca="1">VLOOKUP($A17,INDIRECT($P$2),COLUMN()-1,FALSE)*VLOOKUP($A17,Usinas!$C:$D,2,FALSE)</f>
        <v>32.584000000000003</v>
      </c>
      <c r="O17" s="65">
        <f ca="1">VLOOKUP($A17,INDIRECT($P$2),COLUMN()-1,FALSE)*VLOOKUP($A17,Usinas!$C:$D,2,FALSE)</f>
        <v>57.021999999999998</v>
      </c>
    </row>
    <row r="18" spans="1:15" hidden="1" outlineLevel="2" x14ac:dyDescent="0.25">
      <c r="A18" s="61">
        <v>15</v>
      </c>
      <c r="B18" s="62" t="s">
        <v>52</v>
      </c>
      <c r="D18" s="65">
        <f ca="1">VLOOKUP($A18,INDIRECT($P$2),COLUMN()-1,FALSE)*VLOOKUP($A18,Usinas!$C:$D,2,FALSE)</f>
        <v>119.376</v>
      </c>
      <c r="E18" s="65">
        <f ca="1">VLOOKUP($A18,INDIRECT($P$2),COLUMN()-1,FALSE)*VLOOKUP($A18,Usinas!$C:$D,2,FALSE)</f>
        <v>122.3604</v>
      </c>
      <c r="F18" s="65">
        <f ca="1">VLOOKUP($A18,INDIRECT($P$2),COLUMN()-1,FALSE)*VLOOKUP($A18,Usinas!$C:$D,2,FALSE)</f>
        <v>105.9462</v>
      </c>
      <c r="G18" s="65">
        <f ca="1">VLOOKUP($A18,INDIRECT($P$2),COLUMN()-1,FALSE)*VLOOKUP($A18,Usinas!$C:$D,2,FALSE)</f>
        <v>72.371700000000004</v>
      </c>
      <c r="H18" s="65">
        <f ca="1">VLOOKUP($A18,INDIRECT($P$2),COLUMN()-1,FALSE)*VLOOKUP($A18,Usinas!$C:$D,2,FALSE)</f>
        <v>52.973100000000002</v>
      </c>
      <c r="I18" s="65">
        <f ca="1">VLOOKUP($A18,INDIRECT($P$2),COLUMN()-1,FALSE)*VLOOKUP($A18,Usinas!$C:$D,2,FALSE)</f>
        <v>44.0199</v>
      </c>
      <c r="J18" s="65">
        <f ca="1">VLOOKUP($A18,INDIRECT($P$2),COLUMN()-1,FALSE)*VLOOKUP($A18,Usinas!$C:$D,2,FALSE)</f>
        <v>36.558900000000001</v>
      </c>
      <c r="K18" s="65">
        <f ca="1">VLOOKUP($A18,INDIRECT($P$2),COLUMN()-1,FALSE)*VLOOKUP($A18,Usinas!$C:$D,2,FALSE)</f>
        <v>30.5901</v>
      </c>
      <c r="L18" s="65">
        <f ca="1">VLOOKUP($A18,INDIRECT($P$2),COLUMN()-1,FALSE)*VLOOKUP($A18,Usinas!$C:$D,2,FALSE)</f>
        <v>31.336199999999998</v>
      </c>
      <c r="M18" s="65">
        <f ca="1">VLOOKUP($A18,INDIRECT($P$2),COLUMN()-1,FALSE)*VLOOKUP($A18,Usinas!$C:$D,2,FALSE)</f>
        <v>38.051099999999998</v>
      </c>
      <c r="N18" s="65">
        <f ca="1">VLOOKUP($A18,INDIRECT($P$2),COLUMN()-1,FALSE)*VLOOKUP($A18,Usinas!$C:$D,2,FALSE)</f>
        <v>47.750399999999999</v>
      </c>
      <c r="O18" s="65">
        <f ca="1">VLOOKUP($A18,INDIRECT($P$2),COLUMN()-1,FALSE)*VLOOKUP($A18,Usinas!$C:$D,2,FALSE)</f>
        <v>85.055399999999992</v>
      </c>
    </row>
    <row r="19" spans="1:15" hidden="1" outlineLevel="2" x14ac:dyDescent="0.25">
      <c r="A19" s="61">
        <v>16</v>
      </c>
      <c r="B19" s="62" t="s">
        <v>53</v>
      </c>
      <c r="D19" s="65">
        <f ca="1">VLOOKUP($A19,INDIRECT($P$2),COLUMN()-1,FALSE)*VLOOKUP($A19,Usinas!$C:$D,2,FALSE)</f>
        <v>33.436799999999998</v>
      </c>
      <c r="E19" s="65">
        <f ca="1">VLOOKUP($A19,INDIRECT($P$2),COLUMN()-1,FALSE)*VLOOKUP($A19,Usinas!$C:$D,2,FALSE)</f>
        <v>34.468800000000002</v>
      </c>
      <c r="F19" s="65">
        <f ca="1">VLOOKUP($A19,INDIRECT($P$2),COLUMN()-1,FALSE)*VLOOKUP($A19,Usinas!$C:$D,2,FALSE)</f>
        <v>29.928000000000001</v>
      </c>
      <c r="G19" s="65">
        <f ca="1">VLOOKUP($A19,INDIRECT($P$2),COLUMN()-1,FALSE)*VLOOKUP($A19,Usinas!$C:$D,2,FALSE)</f>
        <v>20.433599999999998</v>
      </c>
      <c r="H19" s="65">
        <f ca="1">VLOOKUP($A19,INDIRECT($P$2),COLUMN()-1,FALSE)*VLOOKUP($A19,Usinas!$C:$D,2,FALSE)</f>
        <v>14.860799999999999</v>
      </c>
      <c r="I19" s="65">
        <f ca="1">VLOOKUP($A19,INDIRECT($P$2),COLUMN()-1,FALSE)*VLOOKUP($A19,Usinas!$C:$D,2,FALSE)</f>
        <v>12.384</v>
      </c>
      <c r="J19" s="65">
        <f ca="1">VLOOKUP($A19,INDIRECT($P$2),COLUMN()-1,FALSE)*VLOOKUP($A19,Usinas!$C:$D,2,FALSE)</f>
        <v>10.1136</v>
      </c>
      <c r="K19" s="65">
        <f ca="1">VLOOKUP($A19,INDIRECT($P$2),COLUMN()-1,FALSE)*VLOOKUP($A19,Usinas!$C:$D,2,FALSE)</f>
        <v>8.6687999999999992</v>
      </c>
      <c r="L19" s="65">
        <f ca="1">VLOOKUP($A19,INDIRECT($P$2),COLUMN()-1,FALSE)*VLOOKUP($A19,Usinas!$C:$D,2,FALSE)</f>
        <v>8.8751999999999995</v>
      </c>
      <c r="M19" s="65">
        <f ca="1">VLOOKUP($A19,INDIRECT($P$2),COLUMN()-1,FALSE)*VLOOKUP($A19,Usinas!$C:$D,2,FALSE)</f>
        <v>10.732799999999999</v>
      </c>
      <c r="N19" s="65">
        <f ca="1">VLOOKUP($A19,INDIRECT($P$2),COLUMN()-1,FALSE)*VLOOKUP($A19,Usinas!$C:$D,2,FALSE)</f>
        <v>13.416</v>
      </c>
      <c r="O19" s="65">
        <f ca="1">VLOOKUP($A19,INDIRECT($P$2),COLUMN()-1,FALSE)*VLOOKUP($A19,Usinas!$C:$D,2,FALSE)</f>
        <v>23.942399999999999</v>
      </c>
    </row>
    <row r="20" spans="1:15" hidden="1" outlineLevel="2" x14ac:dyDescent="0.25">
      <c r="A20" s="61">
        <v>17</v>
      </c>
      <c r="B20" s="62" t="s">
        <v>54</v>
      </c>
      <c r="D20" s="65">
        <f ca="1">VLOOKUP($A20,INDIRECT($P$2),COLUMN()-1,FALSE)*VLOOKUP($A20,Usinas!$C:$D,2,FALSE)</f>
        <v>1635.3028999999999</v>
      </c>
      <c r="E20" s="65">
        <f ca="1">VLOOKUP($A20,INDIRECT($P$2),COLUMN()-1,FALSE)*VLOOKUP($A20,Usinas!$C:$D,2,FALSE)</f>
        <v>1674.8149000000001</v>
      </c>
      <c r="F20" s="65">
        <f ca="1">VLOOKUP($A20,INDIRECT($P$2),COLUMN()-1,FALSE)*VLOOKUP($A20,Usinas!$C:$D,2,FALSE)</f>
        <v>1499.9743000000001</v>
      </c>
      <c r="G20" s="65">
        <f ca="1">VLOOKUP($A20,INDIRECT($P$2),COLUMN()-1,FALSE)*VLOOKUP($A20,Usinas!$C:$D,2,FALSE)</f>
        <v>1084.1105</v>
      </c>
      <c r="H20" s="65">
        <f ca="1">VLOOKUP($A20,INDIRECT($P$2),COLUMN()-1,FALSE)*VLOOKUP($A20,Usinas!$C:$D,2,FALSE)</f>
        <v>777.39859999999999</v>
      </c>
      <c r="I20" s="65">
        <f ca="1">VLOOKUP($A20,INDIRECT($P$2),COLUMN()-1,FALSE)*VLOOKUP($A20,Usinas!$C:$D,2,FALSE)</f>
        <v>648.9846</v>
      </c>
      <c r="J20" s="65">
        <f ca="1">VLOOKUP($A20,INDIRECT($P$2),COLUMN()-1,FALSE)*VLOOKUP($A20,Usinas!$C:$D,2,FALSE)</f>
        <v>530.44860000000006</v>
      </c>
      <c r="K20" s="65">
        <f ca="1">VLOOKUP($A20,INDIRECT($P$2),COLUMN()-1,FALSE)*VLOOKUP($A20,Usinas!$C:$D,2,FALSE)</f>
        <v>440.06490000000002</v>
      </c>
      <c r="L20" s="65">
        <f ca="1">VLOOKUP($A20,INDIRECT($P$2),COLUMN()-1,FALSE)*VLOOKUP($A20,Usinas!$C:$D,2,FALSE)</f>
        <v>435.6198</v>
      </c>
      <c r="M20" s="65">
        <f ca="1">VLOOKUP($A20,INDIRECT($P$2),COLUMN()-1,FALSE)*VLOOKUP($A20,Usinas!$C:$D,2,FALSE)</f>
        <v>500.81459999999998</v>
      </c>
      <c r="N20" s="65">
        <f ca="1">VLOOKUP($A20,INDIRECT($P$2),COLUMN()-1,FALSE)*VLOOKUP($A20,Usinas!$C:$D,2,FALSE)</f>
        <v>667.75279999999998</v>
      </c>
      <c r="O20" s="65">
        <f ca="1">VLOOKUP($A20,INDIRECT($P$2),COLUMN()-1,FALSE)*VLOOKUP($A20,Usinas!$C:$D,2,FALSE)</f>
        <v>1102.8787</v>
      </c>
    </row>
    <row r="21" spans="1:15" hidden="1" outlineLevel="2" x14ac:dyDescent="0.25">
      <c r="A21" s="61">
        <v>18</v>
      </c>
      <c r="B21" s="62" t="s">
        <v>55</v>
      </c>
      <c r="D21" s="65">
        <f ca="1">VLOOKUP($A21,INDIRECT($P$2),COLUMN()-1,FALSE)*VLOOKUP($A21,Usinas!$C:$D,2,FALSE)</f>
        <v>1737.048</v>
      </c>
      <c r="E21" s="65">
        <f ca="1">VLOOKUP($A21,INDIRECT($P$2),COLUMN()-1,FALSE)*VLOOKUP($A21,Usinas!$C:$D,2,FALSE)</f>
        <v>1808.6399999999999</v>
      </c>
      <c r="F21" s="65">
        <f ca="1">VLOOKUP($A21,INDIRECT($P$2),COLUMN()-1,FALSE)*VLOOKUP($A21,Usinas!$C:$D,2,FALSE)</f>
        <v>1628.7179999999998</v>
      </c>
      <c r="G21" s="65">
        <f ca="1">VLOOKUP($A21,INDIRECT($P$2),COLUMN()-1,FALSE)*VLOOKUP($A21,Usinas!$C:$D,2,FALSE)</f>
        <v>1185.9779999999998</v>
      </c>
      <c r="H21" s="65">
        <f ca="1">VLOOKUP($A21,INDIRECT($P$2),COLUMN()-1,FALSE)*VLOOKUP($A21,Usinas!$C:$D,2,FALSE)</f>
        <v>846.38699999999994</v>
      </c>
      <c r="I21" s="65">
        <f ca="1">VLOOKUP($A21,INDIRECT($P$2),COLUMN()-1,FALSE)*VLOOKUP($A21,Usinas!$C:$D,2,FALSE)</f>
        <v>709.32599999999991</v>
      </c>
      <c r="J21" s="65">
        <f ca="1">VLOOKUP($A21,INDIRECT($P$2),COLUMN()-1,FALSE)*VLOOKUP($A21,Usinas!$C:$D,2,FALSE)</f>
        <v>580.74299999999994</v>
      </c>
      <c r="K21" s="65">
        <f ca="1">VLOOKUP($A21,INDIRECT($P$2),COLUMN()-1,FALSE)*VLOOKUP($A21,Usinas!$C:$D,2,FALSE)</f>
        <v>484.18799999999999</v>
      </c>
      <c r="L21" s="65">
        <f ca="1">VLOOKUP($A21,INDIRECT($P$2),COLUMN()-1,FALSE)*VLOOKUP($A21,Usinas!$C:$D,2,FALSE)</f>
        <v>476.18099999999998</v>
      </c>
      <c r="M21" s="65">
        <f ca="1">VLOOKUP($A21,INDIRECT($P$2),COLUMN()-1,FALSE)*VLOOKUP($A21,Usinas!$C:$D,2,FALSE)</f>
        <v>547.77300000000002</v>
      </c>
      <c r="N21" s="65">
        <f ca="1">VLOOKUP($A21,INDIRECT($P$2),COLUMN()-1,FALSE)*VLOOKUP($A21,Usinas!$C:$D,2,FALSE)</f>
        <v>715.92</v>
      </c>
      <c r="O21" s="65">
        <f ca="1">VLOOKUP($A21,INDIRECT($P$2),COLUMN()-1,FALSE)*VLOOKUP($A21,Usinas!$C:$D,2,FALSE)</f>
        <v>1161.4859999999999</v>
      </c>
    </row>
    <row r="22" spans="1:15" hidden="1" outlineLevel="1" x14ac:dyDescent="0.25">
      <c r="A22" s="14"/>
      <c r="B22" s="15" t="s">
        <v>56</v>
      </c>
      <c r="D22" s="74">
        <f t="shared" ref="D22:I22" ca="1" si="0">SUM(D7:D21)</f>
        <v>9305.5499000000018</v>
      </c>
      <c r="E22" s="48">
        <f t="shared" ca="1" si="0"/>
        <v>9082.3019999999997</v>
      </c>
      <c r="F22" s="48">
        <f t="shared" ca="1" si="0"/>
        <v>8110.9993999999997</v>
      </c>
      <c r="G22" s="48">
        <f t="shared" ca="1" si="0"/>
        <v>5717.4046000000008</v>
      </c>
      <c r="H22" s="48">
        <f t="shared" ca="1" si="0"/>
        <v>4126.9616999999998</v>
      </c>
      <c r="I22" s="75">
        <f t="shared" ca="1" si="0"/>
        <v>3433.1162999999997</v>
      </c>
      <c r="J22" s="74">
        <f t="shared" ref="J22:O22" ca="1" si="1">SUM(J7:J21)</f>
        <v>2813.4535999999994</v>
      </c>
      <c r="K22" s="48">
        <f t="shared" ca="1" si="1"/>
        <v>2324.7512999999994</v>
      </c>
      <c r="L22" s="48">
        <f t="shared" ca="1" si="1"/>
        <v>2353.0582999999997</v>
      </c>
      <c r="M22" s="48">
        <f t="shared" ca="1" si="1"/>
        <v>2752.1955000000003</v>
      </c>
      <c r="N22" s="48">
        <f t="shared" ca="1" si="1"/>
        <v>3766.5231999999996</v>
      </c>
      <c r="O22" s="75">
        <f t="shared" ca="1" si="1"/>
        <v>6350.6214999999993</v>
      </c>
    </row>
    <row r="23" spans="1:15" hidden="1" outlineLevel="1" x14ac:dyDescent="0.25">
      <c r="A23" s="16"/>
      <c r="B23" s="17" t="s">
        <v>0</v>
      </c>
      <c r="D23" s="80"/>
      <c r="E23" s="81"/>
      <c r="F23" s="81"/>
      <c r="G23" s="81"/>
      <c r="H23" s="81"/>
      <c r="I23" s="82"/>
      <c r="J23" s="80"/>
      <c r="K23" s="81"/>
      <c r="L23" s="81"/>
      <c r="M23" s="81"/>
      <c r="N23" s="81"/>
      <c r="O23" s="82"/>
    </row>
    <row r="24" spans="1:15" hidden="1" outlineLevel="1" x14ac:dyDescent="0.25">
      <c r="A24" s="47"/>
      <c r="B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</row>
    <row r="25" spans="1:15" hidden="1" outlineLevel="1" x14ac:dyDescent="0.25">
      <c r="A25" s="63"/>
      <c r="B25" s="64"/>
      <c r="D25" s="327" t="s">
        <v>57</v>
      </c>
      <c r="E25" s="328" t="s">
        <v>58</v>
      </c>
      <c r="F25" s="328" t="s">
        <v>59</v>
      </c>
      <c r="G25" s="328"/>
      <c r="H25" s="328"/>
      <c r="I25" s="328"/>
      <c r="J25" s="328" t="s">
        <v>57</v>
      </c>
      <c r="K25" s="328" t="s">
        <v>58</v>
      </c>
      <c r="L25" s="328" t="s">
        <v>59</v>
      </c>
      <c r="M25" s="328"/>
      <c r="N25" s="328"/>
      <c r="O25" s="328"/>
    </row>
    <row r="26" spans="1:15" hidden="1" outlineLevel="2" x14ac:dyDescent="0.25">
      <c r="A26" s="61">
        <v>22</v>
      </c>
      <c r="B26" s="62" t="s">
        <v>60</v>
      </c>
      <c r="D26" s="65">
        <f ca="1">VLOOKUP($A26,INDIRECT($P$2),COLUMN()-1,FALSE)*VLOOKUP($A26,Usinas!$C:$D,2,FALSE)</f>
        <v>67.5886</v>
      </c>
      <c r="E26" s="65">
        <f ca="1">VLOOKUP($A26,INDIRECT($P$2),COLUMN()-1,FALSE)*VLOOKUP($A26,Usinas!$C:$D,2,FALSE)</f>
        <v>68.639200000000002</v>
      </c>
      <c r="F26" s="65">
        <f ca="1">VLOOKUP($A26,INDIRECT($P$2),COLUMN()-1,FALSE)*VLOOKUP($A26,Usinas!$C:$D,2,FALSE)</f>
        <v>69.689800000000005</v>
      </c>
      <c r="G26" s="65">
        <f ca="1">VLOOKUP($A26,INDIRECT($P$2),COLUMN()-1,FALSE)*VLOOKUP($A26,Usinas!$C:$D,2,FALSE)</f>
        <v>52.53</v>
      </c>
      <c r="H26" s="65">
        <f ca="1">VLOOKUP($A26,INDIRECT($P$2),COLUMN()-1,FALSE)*VLOOKUP($A26,Usinas!$C:$D,2,FALSE)</f>
        <v>33.619199999999999</v>
      </c>
      <c r="I26" s="65">
        <f ca="1">VLOOKUP($A26,INDIRECT($P$2),COLUMN()-1,FALSE)*VLOOKUP($A26,Usinas!$C:$D,2,FALSE)</f>
        <v>25.564600000000002</v>
      </c>
      <c r="J26" s="65">
        <f ca="1">VLOOKUP($A26,INDIRECT($P$2),COLUMN()-1,FALSE)*VLOOKUP($A26,Usinas!$C:$D,2,FALSE)</f>
        <v>20.311600000000002</v>
      </c>
      <c r="K26" s="65">
        <f ca="1">VLOOKUP($A26,INDIRECT($P$2),COLUMN()-1,FALSE)*VLOOKUP($A26,Usinas!$C:$D,2,FALSE)</f>
        <v>15.759</v>
      </c>
      <c r="L26" s="65">
        <f ca="1">VLOOKUP($A26,INDIRECT($P$2),COLUMN()-1,FALSE)*VLOOKUP($A26,Usinas!$C:$D,2,FALSE)</f>
        <v>13.6578</v>
      </c>
      <c r="M26" s="65">
        <f ca="1">VLOOKUP($A26,INDIRECT($P$2),COLUMN()-1,FALSE)*VLOOKUP($A26,Usinas!$C:$D,2,FALSE)</f>
        <v>16.109200000000001</v>
      </c>
      <c r="N26" s="65">
        <f ca="1">VLOOKUP($A26,INDIRECT($P$2),COLUMN()-1,FALSE)*VLOOKUP($A26,Usinas!$C:$D,2,FALSE)</f>
        <v>27.3156</v>
      </c>
      <c r="O26" s="65">
        <f ca="1">VLOOKUP($A26,INDIRECT($P$2),COLUMN()-1,FALSE)*VLOOKUP($A26,Usinas!$C:$D,2,FALSE)</f>
        <v>51.129200000000004</v>
      </c>
    </row>
    <row r="27" spans="1:15" hidden="1" outlineLevel="2" x14ac:dyDescent="0.25">
      <c r="A27" s="61">
        <v>251</v>
      </c>
      <c r="B27" s="62" t="s">
        <v>61</v>
      </c>
      <c r="D27" s="65">
        <f ca="1">VLOOKUP($A27,INDIRECT($P$2),COLUMN()-1,FALSE)*VLOOKUP($A27,Usinas!$C:$D,2,FALSE)</f>
        <v>207.0138</v>
      </c>
      <c r="E27" s="65">
        <f ca="1">VLOOKUP($A27,INDIRECT($P$2),COLUMN()-1,FALSE)*VLOOKUP($A27,Usinas!$C:$D,2,FALSE)</f>
        <v>207.0138</v>
      </c>
      <c r="F27" s="65">
        <f ca="1">VLOOKUP($A27,INDIRECT($P$2),COLUMN()-1,FALSE)*VLOOKUP($A27,Usinas!$C:$D,2,FALSE)</f>
        <v>207.0138</v>
      </c>
      <c r="G27" s="65">
        <f ca="1">VLOOKUP($A27,INDIRECT($P$2),COLUMN()-1,FALSE)*VLOOKUP($A27,Usinas!$C:$D,2,FALSE)</f>
        <v>154.93890000000002</v>
      </c>
      <c r="H27" s="65">
        <f ca="1">VLOOKUP($A27,INDIRECT($P$2),COLUMN()-1,FALSE)*VLOOKUP($A27,Usinas!$C:$D,2,FALSE)</f>
        <v>97.720799999999997</v>
      </c>
      <c r="I27" s="65">
        <f ca="1">VLOOKUP($A27,INDIRECT($P$2),COLUMN()-1,FALSE)*VLOOKUP($A27,Usinas!$C:$D,2,FALSE)</f>
        <v>74.576400000000007</v>
      </c>
      <c r="J27" s="65">
        <f ca="1">VLOOKUP($A27,INDIRECT($P$2),COLUMN()-1,FALSE)*VLOOKUP($A27,Usinas!$C:$D,2,FALSE)</f>
        <v>58.503900000000002</v>
      </c>
      <c r="K27" s="65">
        <f ca="1">VLOOKUP($A27,INDIRECT($P$2),COLUMN()-1,FALSE)*VLOOKUP($A27,Usinas!$C:$D,2,FALSE)</f>
        <v>46.288800000000002</v>
      </c>
      <c r="L27" s="65">
        <f ca="1">VLOOKUP($A27,INDIRECT($P$2),COLUMN()-1,FALSE)*VLOOKUP($A27,Usinas!$C:$D,2,FALSE)</f>
        <v>39.216900000000003</v>
      </c>
      <c r="M27" s="65">
        <f ca="1">VLOOKUP($A27,INDIRECT($P$2),COLUMN()-1,FALSE)*VLOOKUP($A27,Usinas!$C:$D,2,FALSE)</f>
        <v>47.574600000000004</v>
      </c>
      <c r="N27" s="65">
        <f ca="1">VLOOKUP($A27,INDIRECT($P$2),COLUMN()-1,FALSE)*VLOOKUP($A27,Usinas!$C:$D,2,FALSE)</f>
        <v>81.648300000000006</v>
      </c>
      <c r="O27" s="65">
        <f ca="1">VLOOKUP($A27,INDIRECT($P$2),COLUMN()-1,FALSE)*VLOOKUP($A27,Usinas!$C:$D,2,FALSE)</f>
        <v>155.58180000000002</v>
      </c>
    </row>
    <row r="28" spans="1:15" hidden="1" outlineLevel="2" x14ac:dyDescent="0.25">
      <c r="A28" s="61">
        <v>24</v>
      </c>
      <c r="B28" s="62" t="s">
        <v>31</v>
      </c>
      <c r="D28" s="65">
        <f ca="1">VLOOKUP($A28,INDIRECT($P$2),COLUMN()-1,FALSE)*VLOOKUP($A28,Usinas!$C:$D,2,FALSE)</f>
        <v>995.73810000000003</v>
      </c>
      <c r="E28" s="65">
        <f ca="1">VLOOKUP($A28,INDIRECT($P$2),COLUMN()-1,FALSE)*VLOOKUP($A28,Usinas!$C:$D,2,FALSE)</f>
        <v>991.32730000000004</v>
      </c>
      <c r="F28" s="65">
        <f ca="1">VLOOKUP($A28,INDIRECT($P$2),COLUMN()-1,FALSE)*VLOOKUP($A28,Usinas!$C:$D,2,FALSE)</f>
        <v>948.322</v>
      </c>
      <c r="G28" s="65">
        <f ca="1">VLOOKUP($A28,INDIRECT($P$2),COLUMN()-1,FALSE)*VLOOKUP($A28,Usinas!$C:$D,2,FALSE)</f>
        <v>690.29020000000003</v>
      </c>
      <c r="H28" s="65">
        <f ca="1">VLOOKUP($A28,INDIRECT($P$2),COLUMN()-1,FALSE)*VLOOKUP($A28,Usinas!$C:$D,2,FALSE)</f>
        <v>437.77190000000002</v>
      </c>
      <c r="I28" s="65">
        <f ca="1">VLOOKUP($A28,INDIRECT($P$2),COLUMN()-1,FALSE)*VLOOKUP($A28,Usinas!$C:$D,2,FALSE)</f>
        <v>337.42619999999999</v>
      </c>
      <c r="J28" s="65">
        <f ca="1">VLOOKUP($A28,INDIRECT($P$2),COLUMN()-1,FALSE)*VLOOKUP($A28,Usinas!$C:$D,2,FALSE)</f>
        <v>270.16149999999999</v>
      </c>
      <c r="K28" s="65">
        <f ca="1">VLOOKUP($A28,INDIRECT($P$2),COLUMN()-1,FALSE)*VLOOKUP($A28,Usinas!$C:$D,2,FALSE)</f>
        <v>216.1292</v>
      </c>
      <c r="L28" s="65">
        <f ca="1">VLOOKUP($A28,INDIRECT($P$2),COLUMN()-1,FALSE)*VLOOKUP($A28,Usinas!$C:$D,2,FALSE)</f>
        <v>190.7671</v>
      </c>
      <c r="M28" s="65">
        <f ca="1">VLOOKUP($A28,INDIRECT($P$2),COLUMN()-1,FALSE)*VLOOKUP($A28,Usinas!$C:$D,2,FALSE)</f>
        <v>228.25890000000001</v>
      </c>
      <c r="N28" s="65">
        <f ca="1">VLOOKUP($A28,INDIRECT($P$2),COLUMN()-1,FALSE)*VLOOKUP($A28,Usinas!$C:$D,2,FALSE)</f>
        <v>389.25310000000002</v>
      </c>
      <c r="O28" s="65">
        <f ca="1">VLOOKUP($A28,INDIRECT($P$2),COLUMN()-1,FALSE)*VLOOKUP($A28,Usinas!$C:$D,2,FALSE)</f>
        <v>725.57659999999998</v>
      </c>
    </row>
    <row r="29" spans="1:15" hidden="1" outlineLevel="2" x14ac:dyDescent="0.25">
      <c r="A29" s="61">
        <v>25</v>
      </c>
      <c r="B29" s="62" t="s">
        <v>32</v>
      </c>
      <c r="D29" s="65">
        <f ca="1">VLOOKUP($A29,INDIRECT($P$2),COLUMN()-1,FALSE)*VLOOKUP($A29,Usinas!$C:$D,2,FALSE)</f>
        <v>531.32499999999993</v>
      </c>
      <c r="E29" s="65">
        <f ca="1">VLOOKUP($A29,INDIRECT($P$2),COLUMN()-1,FALSE)*VLOOKUP($A29,Usinas!$C:$D,2,FALSE)</f>
        <v>533.32999999999993</v>
      </c>
      <c r="F29" s="65">
        <f ca="1">VLOOKUP($A29,INDIRECT($P$2),COLUMN()-1,FALSE)*VLOOKUP($A29,Usinas!$C:$D,2,FALSE)</f>
        <v>500.24749999999995</v>
      </c>
      <c r="G29" s="65">
        <f ca="1">VLOOKUP($A29,INDIRECT($P$2),COLUMN()-1,FALSE)*VLOOKUP($A29,Usinas!$C:$D,2,FALSE)</f>
        <v>375.9375</v>
      </c>
      <c r="H29" s="65">
        <f ca="1">VLOOKUP($A29,INDIRECT($P$2),COLUMN()-1,FALSE)*VLOOKUP($A29,Usinas!$C:$D,2,FALSE)</f>
        <v>257.64249999999998</v>
      </c>
      <c r="I29" s="65">
        <f ca="1">VLOOKUP($A29,INDIRECT($P$2),COLUMN()-1,FALSE)*VLOOKUP($A29,Usinas!$C:$D,2,FALSE)</f>
        <v>201.5025</v>
      </c>
      <c r="J29" s="65">
        <f ca="1">VLOOKUP($A29,INDIRECT($P$2),COLUMN()-1,FALSE)*VLOOKUP($A29,Usinas!$C:$D,2,FALSE)</f>
        <v>166.41499999999999</v>
      </c>
      <c r="K29" s="65">
        <f ca="1">VLOOKUP($A29,INDIRECT($P$2),COLUMN()-1,FALSE)*VLOOKUP($A29,Usinas!$C:$D,2,FALSE)</f>
        <v>135.33750000000001</v>
      </c>
      <c r="L29" s="65">
        <f ca="1">VLOOKUP($A29,INDIRECT($P$2),COLUMN()-1,FALSE)*VLOOKUP($A29,Usinas!$C:$D,2,FALSE)</f>
        <v>123.30749999999999</v>
      </c>
      <c r="M29" s="65">
        <f ca="1">VLOOKUP($A29,INDIRECT($P$2),COLUMN()-1,FALSE)*VLOOKUP($A29,Usinas!$C:$D,2,FALSE)</f>
        <v>152.38</v>
      </c>
      <c r="N29" s="65">
        <f ca="1">VLOOKUP($A29,INDIRECT($P$2),COLUMN()-1,FALSE)*VLOOKUP($A29,Usinas!$C:$D,2,FALSE)</f>
        <v>224.56</v>
      </c>
      <c r="O29" s="65">
        <f ca="1">VLOOKUP($A29,INDIRECT($P$2),COLUMN()-1,FALSE)*VLOOKUP($A29,Usinas!$C:$D,2,FALSE)</f>
        <v>376.94</v>
      </c>
    </row>
    <row r="30" spans="1:15" hidden="1" outlineLevel="2" x14ac:dyDescent="0.25">
      <c r="A30" s="61">
        <v>206</v>
      </c>
      <c r="B30" s="62" t="s">
        <v>62</v>
      </c>
      <c r="D30" s="65">
        <f ca="1">VLOOKUP($A30,INDIRECT($P$2),COLUMN()-1,FALSE)*VLOOKUP($A30,Usinas!$C:$D,2,FALSE)</f>
        <v>374.72299999999996</v>
      </c>
      <c r="E30" s="65">
        <f ca="1">VLOOKUP($A30,INDIRECT($P$2),COLUMN()-1,FALSE)*VLOOKUP($A30,Usinas!$C:$D,2,FALSE)</f>
        <v>377.79449999999997</v>
      </c>
      <c r="F30" s="65">
        <f ca="1">VLOOKUP($A30,INDIRECT($P$2),COLUMN()-1,FALSE)*VLOOKUP($A30,Usinas!$C:$D,2,FALSE)</f>
        <v>355.06539999999995</v>
      </c>
      <c r="G30" s="65">
        <f ca="1">VLOOKUP($A30,INDIRECT($P$2),COLUMN()-1,FALSE)*VLOOKUP($A30,Usinas!$C:$D,2,FALSE)</f>
        <v>269.67769999999996</v>
      </c>
      <c r="H30" s="65">
        <f ca="1">VLOOKUP($A30,INDIRECT($P$2),COLUMN()-1,FALSE)*VLOOKUP($A30,Usinas!$C:$D,2,FALSE)</f>
        <v>184.29</v>
      </c>
      <c r="I30" s="65">
        <f ca="1">VLOOKUP($A30,INDIRECT($P$2),COLUMN()-1,FALSE)*VLOOKUP($A30,Usinas!$C:$D,2,FALSE)</f>
        <v>144.3605</v>
      </c>
      <c r="J30" s="65">
        <f ca="1">VLOOKUP($A30,INDIRECT($P$2),COLUMN()-1,FALSE)*VLOOKUP($A30,Usinas!$C:$D,2,FALSE)</f>
        <v>119.78849999999998</v>
      </c>
      <c r="K30" s="65">
        <f ca="1">VLOOKUP($A30,INDIRECT($P$2),COLUMN()-1,FALSE)*VLOOKUP($A30,Usinas!$C:$D,2,FALSE)</f>
        <v>98.902299999999997</v>
      </c>
      <c r="L30" s="65">
        <f ca="1">VLOOKUP($A30,INDIRECT($P$2),COLUMN()-1,FALSE)*VLOOKUP($A30,Usinas!$C:$D,2,FALSE)</f>
        <v>90.916399999999996</v>
      </c>
      <c r="M30" s="65">
        <f ca="1">VLOOKUP($A30,INDIRECT($P$2),COLUMN()-1,FALSE)*VLOOKUP($A30,Usinas!$C:$D,2,FALSE)</f>
        <v>110.574</v>
      </c>
      <c r="N30" s="65">
        <f ca="1">VLOOKUP($A30,INDIRECT($P$2),COLUMN()-1,FALSE)*VLOOKUP($A30,Usinas!$C:$D,2,FALSE)</f>
        <v>161.56089999999998</v>
      </c>
      <c r="O30" s="65">
        <f ca="1">VLOOKUP($A30,INDIRECT($P$2),COLUMN()-1,FALSE)*VLOOKUP($A30,Usinas!$C:$D,2,FALSE)</f>
        <v>266.6062</v>
      </c>
    </row>
    <row r="31" spans="1:15" hidden="1" outlineLevel="2" x14ac:dyDescent="0.25">
      <c r="A31" s="61">
        <v>207</v>
      </c>
      <c r="B31" s="62" t="s">
        <v>63</v>
      </c>
      <c r="D31" s="65">
        <f ca="1">VLOOKUP($A31,INDIRECT($P$2),COLUMN()-1,FALSE)*VLOOKUP($A31,Usinas!$C:$D,2,FALSE)</f>
        <v>312.23200000000003</v>
      </c>
      <c r="E31" s="65">
        <f ca="1">VLOOKUP($A31,INDIRECT($P$2),COLUMN()-1,FALSE)*VLOOKUP($A31,Usinas!$C:$D,2,FALSE)</f>
        <v>315.25360000000001</v>
      </c>
      <c r="F31" s="65">
        <f ca="1">VLOOKUP($A31,INDIRECT($P$2),COLUMN()-1,FALSE)*VLOOKUP($A31,Usinas!$C:$D,2,FALSE)</f>
        <v>296.62040000000002</v>
      </c>
      <c r="G31" s="65">
        <f ca="1">VLOOKUP($A31,INDIRECT($P$2),COLUMN()-1,FALSE)*VLOOKUP($A31,Usinas!$C:$D,2,FALSE)</f>
        <v>225.61280000000002</v>
      </c>
      <c r="H31" s="65">
        <f ca="1">VLOOKUP($A31,INDIRECT($P$2),COLUMN()-1,FALSE)*VLOOKUP($A31,Usinas!$C:$D,2,FALSE)</f>
        <v>154.60520000000002</v>
      </c>
      <c r="I31" s="65">
        <f ca="1">VLOOKUP($A31,INDIRECT($P$2),COLUMN()-1,FALSE)*VLOOKUP($A31,Usinas!$C:$D,2,FALSE)</f>
        <v>120.864</v>
      </c>
      <c r="J31" s="65">
        <f ca="1">VLOOKUP($A31,INDIRECT($P$2),COLUMN()-1,FALSE)*VLOOKUP($A31,Usinas!$C:$D,2,FALSE)</f>
        <v>100.21640000000001</v>
      </c>
      <c r="K31" s="65">
        <f ca="1">VLOOKUP($A31,INDIRECT($P$2),COLUMN()-1,FALSE)*VLOOKUP($A31,Usinas!$C:$D,2,FALSE)</f>
        <v>82.590400000000002</v>
      </c>
      <c r="L31" s="65">
        <f ca="1">VLOOKUP($A31,INDIRECT($P$2),COLUMN()-1,FALSE)*VLOOKUP($A31,Usinas!$C:$D,2,FALSE)</f>
        <v>76.043600000000012</v>
      </c>
      <c r="M31" s="65">
        <f ca="1">VLOOKUP($A31,INDIRECT($P$2),COLUMN()-1,FALSE)*VLOOKUP($A31,Usinas!$C:$D,2,FALSE)</f>
        <v>92.158800000000014</v>
      </c>
      <c r="N31" s="65">
        <f ca="1">VLOOKUP($A31,INDIRECT($P$2),COLUMN()-1,FALSE)*VLOOKUP($A31,Usinas!$C:$D,2,FALSE)</f>
        <v>134.96480000000003</v>
      </c>
      <c r="O31" s="65">
        <f ca="1">VLOOKUP($A31,INDIRECT($P$2),COLUMN()-1,FALSE)*VLOOKUP($A31,Usinas!$C:$D,2,FALSE)</f>
        <v>222.08760000000001</v>
      </c>
    </row>
    <row r="32" spans="1:15" hidden="1" outlineLevel="2" x14ac:dyDescent="0.25">
      <c r="A32" s="61">
        <v>28</v>
      </c>
      <c r="B32" s="62" t="s">
        <v>64</v>
      </c>
      <c r="D32" s="65">
        <f ca="1">VLOOKUP($A32,INDIRECT($P$2),COLUMN()-1,FALSE)*VLOOKUP($A32,Usinas!$C:$D,2,FALSE)</f>
        <v>258.75920000000002</v>
      </c>
      <c r="E32" s="65">
        <f ca="1">VLOOKUP($A32,INDIRECT($P$2),COLUMN()-1,FALSE)*VLOOKUP($A32,Usinas!$C:$D,2,FALSE)</f>
        <v>262.37540000000001</v>
      </c>
      <c r="F32" s="65">
        <f ca="1">VLOOKUP($A32,INDIRECT($P$2),COLUMN()-1,FALSE)*VLOOKUP($A32,Usinas!$C:$D,2,FALSE)</f>
        <v>246.70519999999999</v>
      </c>
      <c r="G32" s="65">
        <f ca="1">VLOOKUP($A32,INDIRECT($P$2),COLUMN()-1,FALSE)*VLOOKUP($A32,Usinas!$C:$D,2,FALSE)</f>
        <v>188.4442</v>
      </c>
      <c r="H32" s="65">
        <f ca="1">VLOOKUP($A32,INDIRECT($P$2),COLUMN()-1,FALSE)*VLOOKUP($A32,Usinas!$C:$D,2,FALSE)</f>
        <v>128.9778</v>
      </c>
      <c r="I32" s="65">
        <f ca="1">VLOOKUP($A32,INDIRECT($P$2),COLUMN()-1,FALSE)*VLOOKUP($A32,Usinas!$C:$D,2,FALSE)</f>
        <v>100.8518</v>
      </c>
      <c r="J32" s="65">
        <f ca="1">VLOOKUP($A32,INDIRECT($P$2),COLUMN()-1,FALSE)*VLOOKUP($A32,Usinas!$C:$D,2,FALSE)</f>
        <v>83.574399999999997</v>
      </c>
      <c r="K32" s="65">
        <f ca="1">VLOOKUP($A32,INDIRECT($P$2),COLUMN()-1,FALSE)*VLOOKUP($A32,Usinas!$C:$D,2,FALSE)</f>
        <v>69.511399999999995</v>
      </c>
      <c r="L32" s="65">
        <f ca="1">VLOOKUP($A32,INDIRECT($P$2),COLUMN()-1,FALSE)*VLOOKUP($A32,Usinas!$C:$D,2,FALSE)</f>
        <v>63.886199999999995</v>
      </c>
      <c r="M32" s="65">
        <f ca="1">VLOOKUP($A32,INDIRECT($P$2),COLUMN()-1,FALSE)*VLOOKUP($A32,Usinas!$C:$D,2,FALSE)</f>
        <v>76.743799999999993</v>
      </c>
      <c r="N32" s="65">
        <f ca="1">VLOOKUP($A32,INDIRECT($P$2),COLUMN()-1,FALSE)*VLOOKUP($A32,Usinas!$C:$D,2,FALSE)</f>
        <v>112.1022</v>
      </c>
      <c r="O32" s="65">
        <f ca="1">VLOOKUP($A32,INDIRECT($P$2),COLUMN()-1,FALSE)*VLOOKUP($A32,Usinas!$C:$D,2,FALSE)</f>
        <v>184.02439999999999</v>
      </c>
    </row>
    <row r="33" spans="1:15" hidden="1" outlineLevel="2" x14ac:dyDescent="0.25">
      <c r="A33" s="61">
        <v>205</v>
      </c>
      <c r="B33" s="62" t="s">
        <v>65</v>
      </c>
      <c r="D33" s="65">
        <f ca="1">VLOOKUP($A33,INDIRECT($P$2),COLUMN()-1,FALSE)*VLOOKUP($A33,Usinas!$C:$D,2,FALSE)</f>
        <v>136.3494</v>
      </c>
      <c r="E33" s="65">
        <f ca="1">VLOOKUP($A33,INDIRECT($P$2),COLUMN()-1,FALSE)*VLOOKUP($A33,Usinas!$C:$D,2,FALSE)</f>
        <v>150.04660000000001</v>
      </c>
      <c r="F33" s="65">
        <f ca="1">VLOOKUP($A33,INDIRECT($P$2),COLUMN()-1,FALSE)*VLOOKUP($A33,Usinas!$C:$D,2,FALSE)</f>
        <v>148.8014</v>
      </c>
      <c r="G33" s="65">
        <f ca="1">VLOOKUP($A33,INDIRECT($P$2),COLUMN()-1,FALSE)*VLOOKUP($A33,Usinas!$C:$D,2,FALSE)</f>
        <v>118.29400000000001</v>
      </c>
      <c r="H33" s="65">
        <f ca="1">VLOOKUP($A33,INDIRECT($P$2),COLUMN()-1,FALSE)*VLOOKUP($A33,Usinas!$C:$D,2,FALSE)</f>
        <v>74.089400000000012</v>
      </c>
      <c r="I33" s="65">
        <f ca="1">VLOOKUP($A33,INDIRECT($P$2),COLUMN()-1,FALSE)*VLOOKUP($A33,Usinas!$C:$D,2,FALSE)</f>
        <v>54.166200000000003</v>
      </c>
      <c r="J33" s="65">
        <f ca="1">VLOOKUP($A33,INDIRECT($P$2),COLUMN()-1,FALSE)*VLOOKUP($A33,Usinas!$C:$D,2,FALSE)</f>
        <v>42.336800000000004</v>
      </c>
      <c r="K33" s="65">
        <f ca="1">VLOOKUP($A33,INDIRECT($P$2),COLUMN()-1,FALSE)*VLOOKUP($A33,Usinas!$C:$D,2,FALSE)</f>
        <v>33.620400000000004</v>
      </c>
      <c r="L33" s="65">
        <f ca="1">VLOOKUP($A33,INDIRECT($P$2),COLUMN()-1,FALSE)*VLOOKUP($A33,Usinas!$C:$D,2,FALSE)</f>
        <v>29.262200000000004</v>
      </c>
      <c r="M33" s="65">
        <f ca="1">VLOOKUP($A33,INDIRECT($P$2),COLUMN()-1,FALSE)*VLOOKUP($A33,Usinas!$C:$D,2,FALSE)</f>
        <v>37.9786</v>
      </c>
      <c r="N33" s="65">
        <f ca="1">VLOOKUP($A33,INDIRECT($P$2),COLUMN()-1,FALSE)*VLOOKUP($A33,Usinas!$C:$D,2,FALSE)</f>
        <v>62.260000000000005</v>
      </c>
      <c r="O33" s="65">
        <f ca="1">VLOOKUP($A33,INDIRECT($P$2),COLUMN()-1,FALSE)*VLOOKUP($A33,Usinas!$C:$D,2,FALSE)</f>
        <v>100.23860000000001</v>
      </c>
    </row>
    <row r="34" spans="1:15" hidden="1" outlineLevel="2" x14ac:dyDescent="0.25">
      <c r="A34" s="61">
        <v>23</v>
      </c>
      <c r="B34" s="62" t="s">
        <v>66</v>
      </c>
      <c r="D34" s="65">
        <f ca="1">VLOOKUP($A34,INDIRECT($P$2),COLUMN()-1,FALSE)*VLOOKUP($A34,Usinas!$C:$D,2,FALSE)</f>
        <v>98.85329999999999</v>
      </c>
      <c r="E34" s="65">
        <f ca="1">VLOOKUP($A34,INDIRECT($P$2),COLUMN()-1,FALSE)*VLOOKUP($A34,Usinas!$C:$D,2,FALSE)</f>
        <v>108.2679</v>
      </c>
      <c r="F34" s="65">
        <f ca="1">VLOOKUP($A34,INDIRECT($P$2),COLUMN()-1,FALSE)*VLOOKUP($A34,Usinas!$C:$D,2,FALSE)</f>
        <v>108.2679</v>
      </c>
      <c r="G34" s="65">
        <f ca="1">VLOOKUP($A34,INDIRECT($P$2),COLUMN()-1,FALSE)*VLOOKUP($A34,Usinas!$C:$D,2,FALSE)</f>
        <v>84.731399999999994</v>
      </c>
      <c r="H34" s="65">
        <f ca="1">VLOOKUP($A34,INDIRECT($P$2),COLUMN()-1,FALSE)*VLOOKUP($A34,Usinas!$C:$D,2,FALSE)</f>
        <v>53.590799999999994</v>
      </c>
      <c r="I34" s="65">
        <f ca="1">VLOOKUP($A34,INDIRECT($P$2),COLUMN()-1,FALSE)*VLOOKUP($A34,Usinas!$C:$D,2,FALSE)</f>
        <v>39.468899999999998</v>
      </c>
      <c r="J34" s="65">
        <f ca="1">VLOOKUP($A34,INDIRECT($P$2),COLUMN()-1,FALSE)*VLOOKUP($A34,Usinas!$C:$D,2,FALSE)</f>
        <v>30.778499999999998</v>
      </c>
      <c r="K34" s="65">
        <f ca="1">VLOOKUP($A34,INDIRECT($P$2),COLUMN()-1,FALSE)*VLOOKUP($A34,Usinas!$C:$D,2,FALSE)</f>
        <v>24.2607</v>
      </c>
      <c r="L34" s="65">
        <f ca="1">VLOOKUP($A34,INDIRECT($P$2),COLUMN()-1,FALSE)*VLOOKUP($A34,Usinas!$C:$D,2,FALSE)</f>
        <v>21.001799999999999</v>
      </c>
      <c r="M34" s="65">
        <f ca="1">VLOOKUP($A34,INDIRECT($P$2),COLUMN()-1,FALSE)*VLOOKUP($A34,Usinas!$C:$D,2,FALSE)</f>
        <v>27.519599999999997</v>
      </c>
      <c r="N34" s="65">
        <f ca="1">VLOOKUP($A34,INDIRECT($P$2),COLUMN()-1,FALSE)*VLOOKUP($A34,Usinas!$C:$D,2,FALSE)</f>
        <v>45.262499999999996</v>
      </c>
      <c r="O34" s="65">
        <f ca="1">VLOOKUP($A34,INDIRECT($P$2),COLUMN()-1,FALSE)*VLOOKUP($A34,Usinas!$C:$D,2,FALSE)</f>
        <v>72.7821</v>
      </c>
    </row>
    <row r="35" spans="1:15" hidden="1" outlineLevel="2" x14ac:dyDescent="0.25">
      <c r="A35" s="61">
        <v>209</v>
      </c>
      <c r="B35" s="62" t="s">
        <v>67</v>
      </c>
      <c r="D35" s="65">
        <f ca="1">VLOOKUP($A35,INDIRECT($P$2),COLUMN()-1,FALSE)*VLOOKUP($A35,Usinas!$C:$D,2,FALSE)</f>
        <v>461.61360000000002</v>
      </c>
      <c r="E35" s="65">
        <f ca="1">VLOOKUP($A35,INDIRECT($P$2),COLUMN()-1,FALSE)*VLOOKUP($A35,Usinas!$C:$D,2,FALSE)</f>
        <v>508.62980000000005</v>
      </c>
      <c r="F35" s="65">
        <f ca="1">VLOOKUP($A35,INDIRECT($P$2),COLUMN()-1,FALSE)*VLOOKUP($A35,Usinas!$C:$D,2,FALSE)</f>
        <v>508.62980000000005</v>
      </c>
      <c r="G35" s="65">
        <f ca="1">VLOOKUP($A35,INDIRECT($P$2),COLUMN()-1,FALSE)*VLOOKUP($A35,Usinas!$C:$D,2,FALSE)</f>
        <v>392.61580000000004</v>
      </c>
      <c r="H35" s="65">
        <f ca="1">VLOOKUP($A35,INDIRECT($P$2),COLUMN()-1,FALSE)*VLOOKUP($A35,Usinas!$C:$D,2,FALSE)</f>
        <v>247.90360000000001</v>
      </c>
      <c r="I35" s="65">
        <f ca="1">VLOOKUP($A35,INDIRECT($P$2),COLUMN()-1,FALSE)*VLOOKUP($A35,Usinas!$C:$D,2,FALSE)</f>
        <v>184.40120000000002</v>
      </c>
      <c r="J35" s="65">
        <f ca="1">VLOOKUP($A35,INDIRECT($P$2),COLUMN()-1,FALSE)*VLOOKUP($A35,Usinas!$C:$D,2,FALSE)</f>
        <v>144.7122</v>
      </c>
      <c r="K35" s="65">
        <f ca="1">VLOOKUP($A35,INDIRECT($P$2),COLUMN()-1,FALSE)*VLOOKUP($A35,Usinas!$C:$D,2,FALSE)</f>
        <v>114.18220000000001</v>
      </c>
      <c r="L35" s="65">
        <f ca="1">VLOOKUP($A35,INDIRECT($P$2),COLUMN()-1,FALSE)*VLOOKUP($A35,Usinas!$C:$D,2,FALSE)</f>
        <v>98.917200000000008</v>
      </c>
      <c r="M35" s="65">
        <f ca="1">VLOOKUP($A35,INDIRECT($P$2),COLUMN()-1,FALSE)*VLOOKUP($A35,Usinas!$C:$D,2,FALSE)</f>
        <v>124.56240000000001</v>
      </c>
      <c r="N35" s="65">
        <f ca="1">VLOOKUP($A35,INDIRECT($P$2),COLUMN()-1,FALSE)*VLOOKUP($A35,Usinas!$C:$D,2,FALSE)</f>
        <v>206.99340000000001</v>
      </c>
      <c r="O35" s="65">
        <f ca="1">VLOOKUP($A35,INDIRECT($P$2),COLUMN()-1,FALSE)*VLOOKUP($A35,Usinas!$C:$D,2,FALSE)</f>
        <v>338.88300000000004</v>
      </c>
    </row>
    <row r="36" spans="1:15" hidden="1" outlineLevel="2" x14ac:dyDescent="0.25">
      <c r="A36" s="61">
        <v>31</v>
      </c>
      <c r="B36" s="62" t="s">
        <v>68</v>
      </c>
      <c r="D36" s="65">
        <f ca="1">VLOOKUP($A36,INDIRECT($P$2),COLUMN()-1,FALSE)*VLOOKUP($A36,Usinas!$C:$D,2,FALSE)</f>
        <v>1867.4433000000001</v>
      </c>
      <c r="E36" s="65">
        <f ca="1">VLOOKUP($A36,INDIRECT($P$2),COLUMN()-1,FALSE)*VLOOKUP($A36,Usinas!$C:$D,2,FALSE)</f>
        <v>1930.8042</v>
      </c>
      <c r="F36" s="65">
        <f ca="1">VLOOKUP($A36,INDIRECT($P$2),COLUMN()-1,FALSE)*VLOOKUP($A36,Usinas!$C:$D,2,FALSE)</f>
        <v>1878.3441</v>
      </c>
      <c r="G36" s="65">
        <f ca="1">VLOOKUP($A36,INDIRECT($P$2),COLUMN()-1,FALSE)*VLOOKUP($A36,Usinas!$C:$D,2,FALSE)</f>
        <v>1403.4780000000001</v>
      </c>
      <c r="H36" s="65">
        <f ca="1">VLOOKUP($A36,INDIRECT($P$2),COLUMN()-1,FALSE)*VLOOKUP($A36,Usinas!$C:$D,2,FALSE)</f>
        <v>906.81029999999998</v>
      </c>
      <c r="I36" s="65">
        <f ca="1">VLOOKUP($A36,INDIRECT($P$2),COLUMN()-1,FALSE)*VLOOKUP($A36,Usinas!$C:$D,2,FALSE)</f>
        <v>701.05770000000007</v>
      </c>
      <c r="J36" s="65">
        <f ca="1">VLOOKUP($A36,INDIRECT($P$2),COLUMN()-1,FALSE)*VLOOKUP($A36,Usinas!$C:$D,2,FALSE)</f>
        <v>557.30340000000001</v>
      </c>
      <c r="K36" s="65">
        <f ca="1">VLOOKUP($A36,INDIRECT($P$2),COLUMN()-1,FALSE)*VLOOKUP($A36,Usinas!$C:$D,2,FALSE)</f>
        <v>446.93279999999999</v>
      </c>
      <c r="L36" s="65">
        <f ca="1">VLOOKUP($A36,INDIRECT($P$2),COLUMN()-1,FALSE)*VLOOKUP($A36,Usinas!$C:$D,2,FALSE)</f>
        <v>396.51659999999998</v>
      </c>
      <c r="M36" s="65">
        <f ca="1">VLOOKUP($A36,INDIRECT($P$2),COLUMN()-1,FALSE)*VLOOKUP($A36,Usinas!$C:$D,2,FALSE)</f>
        <v>481.67910000000001</v>
      </c>
      <c r="N36" s="65">
        <f ca="1">VLOOKUP($A36,INDIRECT($P$2),COLUMN()-1,FALSE)*VLOOKUP($A36,Usinas!$C:$D,2,FALSE)</f>
        <v>775.31939999999997</v>
      </c>
      <c r="O36" s="65">
        <f ca="1">VLOOKUP($A36,INDIRECT($P$2),COLUMN()-1,FALSE)*VLOOKUP($A36,Usinas!$C:$D,2,FALSE)</f>
        <v>1344.2049</v>
      </c>
    </row>
    <row r="37" spans="1:15" hidden="1" outlineLevel="2" x14ac:dyDescent="0.25">
      <c r="A37" s="61">
        <v>32</v>
      </c>
      <c r="B37" s="62" t="s">
        <v>69</v>
      </c>
      <c r="D37" s="65">
        <f ca="1">VLOOKUP($A37,INDIRECT($P$2),COLUMN()-1,FALSE)*VLOOKUP($A37,Usinas!$C:$D,2,FALSE)</f>
        <v>810.49680000000001</v>
      </c>
      <c r="E37" s="65">
        <f ca="1">VLOOKUP($A37,INDIRECT($P$2),COLUMN()-1,FALSE)*VLOOKUP($A37,Usinas!$C:$D,2,FALSE)</f>
        <v>840.73500000000001</v>
      </c>
      <c r="F37" s="65">
        <f ca="1">VLOOKUP($A37,INDIRECT($P$2),COLUMN()-1,FALSE)*VLOOKUP($A37,Usinas!$C:$D,2,FALSE)</f>
        <v>817.84440000000006</v>
      </c>
      <c r="G37" s="65">
        <f ca="1">VLOOKUP($A37,INDIRECT($P$2),COLUMN()-1,FALSE)*VLOOKUP($A37,Usinas!$C:$D,2,FALSE)</f>
        <v>612.95940000000007</v>
      </c>
      <c r="H37" s="65">
        <f ca="1">VLOOKUP($A37,INDIRECT($P$2),COLUMN()-1,FALSE)*VLOOKUP($A37,Usinas!$C:$D,2,FALSE)</f>
        <v>396.48780000000005</v>
      </c>
      <c r="I37" s="65">
        <f ca="1">VLOOKUP($A37,INDIRECT($P$2),COLUMN()-1,FALSE)*VLOOKUP($A37,Usinas!$C:$D,2,FALSE)</f>
        <v>306.90360000000004</v>
      </c>
      <c r="J37" s="65">
        <f ca="1">VLOOKUP($A37,INDIRECT($P$2),COLUMN()-1,FALSE)*VLOOKUP($A37,Usinas!$C:$D,2,FALSE)</f>
        <v>244.73160000000001</v>
      </c>
      <c r="K37" s="65">
        <f ca="1">VLOOKUP($A37,INDIRECT($P$2),COLUMN()-1,FALSE)*VLOOKUP($A37,Usinas!$C:$D,2,FALSE)</f>
        <v>196.40700000000001</v>
      </c>
      <c r="L37" s="65">
        <f ca="1">VLOOKUP($A37,INDIRECT($P$2),COLUMN()-1,FALSE)*VLOOKUP($A37,Usinas!$C:$D,2,FALSE)</f>
        <v>174.64680000000001</v>
      </c>
      <c r="M37" s="65">
        <f ca="1">VLOOKUP($A37,INDIRECT($P$2),COLUMN()-1,FALSE)*VLOOKUP($A37,Usinas!$C:$D,2,FALSE)</f>
        <v>210.53700000000001</v>
      </c>
      <c r="N37" s="65">
        <f ca="1">VLOOKUP($A37,INDIRECT($P$2),COLUMN()-1,FALSE)*VLOOKUP($A37,Usinas!$C:$D,2,FALSE)</f>
        <v>337.14180000000005</v>
      </c>
      <c r="O37" s="65">
        <f ca="1">VLOOKUP($A37,INDIRECT($P$2),COLUMN()-1,FALSE)*VLOOKUP($A37,Usinas!$C:$D,2,FALSE)</f>
        <v>583.28640000000007</v>
      </c>
    </row>
    <row r="38" spans="1:15" hidden="1" outlineLevel="2" x14ac:dyDescent="0.25">
      <c r="A38" s="61">
        <v>33</v>
      </c>
      <c r="B38" s="62" t="s">
        <v>70</v>
      </c>
      <c r="D38" s="65">
        <f ca="1">VLOOKUP($A38,INDIRECT($P$2),COLUMN()-1,FALSE)*VLOOKUP($A38,Usinas!$C:$D,2,FALSE)</f>
        <v>2562.5545999999999</v>
      </c>
      <c r="E38" s="65">
        <f ca="1">VLOOKUP($A38,INDIRECT($P$2),COLUMN()-1,FALSE)*VLOOKUP($A38,Usinas!$C:$D,2,FALSE)</f>
        <v>2671.1480000000001</v>
      </c>
      <c r="F38" s="65">
        <f ca="1">VLOOKUP($A38,INDIRECT($P$2),COLUMN()-1,FALSE)*VLOOKUP($A38,Usinas!$C:$D,2,FALSE)</f>
        <v>2639.3188999999998</v>
      </c>
      <c r="G38" s="65">
        <f ca="1">VLOOKUP($A38,INDIRECT($P$2),COLUMN()-1,FALSE)*VLOOKUP($A38,Usinas!$C:$D,2,FALSE)</f>
        <v>2015.2188999999998</v>
      </c>
      <c r="H38" s="65">
        <f ca="1">VLOOKUP($A38,INDIRECT($P$2),COLUMN()-1,FALSE)*VLOOKUP($A38,Usinas!$C:$D,2,FALSE)</f>
        <v>1316.8509999999999</v>
      </c>
      <c r="I38" s="65">
        <f ca="1">VLOOKUP($A38,INDIRECT($P$2),COLUMN()-1,FALSE)*VLOOKUP($A38,Usinas!$C:$D,2,FALSE)</f>
        <v>1030.3890999999999</v>
      </c>
      <c r="J38" s="65">
        <f ca="1">VLOOKUP($A38,INDIRECT($P$2),COLUMN()-1,FALSE)*VLOOKUP($A38,Usinas!$C:$D,2,FALSE)</f>
        <v>828.1807</v>
      </c>
      <c r="K38" s="65">
        <f ca="1">VLOOKUP($A38,INDIRECT($P$2),COLUMN()-1,FALSE)*VLOOKUP($A38,Usinas!$C:$D,2,FALSE)</f>
        <v>675.27620000000002</v>
      </c>
      <c r="L38" s="65">
        <f ca="1">VLOOKUP($A38,INDIRECT($P$2),COLUMN()-1,FALSE)*VLOOKUP($A38,Usinas!$C:$D,2,FALSE)</f>
        <v>612.24209999999994</v>
      </c>
      <c r="M38" s="65">
        <f ca="1">VLOOKUP($A38,INDIRECT($P$2),COLUMN()-1,FALSE)*VLOOKUP($A38,Usinas!$C:$D,2,FALSE)</f>
        <v>726.45240000000001</v>
      </c>
      <c r="N38" s="65">
        <f ca="1">VLOOKUP($A38,INDIRECT($P$2),COLUMN()-1,FALSE)*VLOOKUP($A38,Usinas!$C:$D,2,FALSE)</f>
        <v>1104.6569999999999</v>
      </c>
      <c r="O38" s="65">
        <f ca="1">VLOOKUP($A38,INDIRECT($P$2),COLUMN()-1,FALSE)*VLOOKUP($A38,Usinas!$C:$D,2,FALSE)</f>
        <v>1859.818</v>
      </c>
    </row>
    <row r="39" spans="1:15" hidden="1" outlineLevel="2" x14ac:dyDescent="0.25">
      <c r="A39" s="61">
        <v>247</v>
      </c>
      <c r="B39" s="62" t="s">
        <v>71</v>
      </c>
      <c r="D39" s="65">
        <f ca="1">VLOOKUP($A39,INDIRECT($P$2),COLUMN()-1,FALSE)*VLOOKUP($A39,Usinas!$C:$D,2,FALSE)</f>
        <v>69.591200000000001</v>
      </c>
      <c r="E39" s="65">
        <f ca="1">VLOOKUP($A39,INDIRECT($P$2),COLUMN()-1,FALSE)*VLOOKUP($A39,Usinas!$C:$D,2,FALSE)</f>
        <v>77.778399999999991</v>
      </c>
      <c r="F39" s="65">
        <f ca="1">VLOOKUP($A39,INDIRECT($P$2),COLUMN()-1,FALSE)*VLOOKUP($A39,Usinas!$C:$D,2,FALSE)</f>
        <v>78.982399999999998</v>
      </c>
      <c r="G39" s="65">
        <f ca="1">VLOOKUP($A39,INDIRECT($P$2),COLUMN()-1,FALSE)*VLOOKUP($A39,Usinas!$C:$D,2,FALSE)</f>
        <v>60.922399999999996</v>
      </c>
      <c r="H39" s="65">
        <f ca="1">VLOOKUP($A39,INDIRECT($P$2),COLUMN()-1,FALSE)*VLOOKUP($A39,Usinas!$C:$D,2,FALSE)</f>
        <v>42.621600000000001</v>
      </c>
      <c r="I39" s="65">
        <f ca="1">VLOOKUP($A39,INDIRECT($P$2),COLUMN()-1,FALSE)*VLOOKUP($A39,Usinas!$C:$D,2,FALSE)</f>
        <v>33.471199999999996</v>
      </c>
      <c r="J39" s="65">
        <f ca="1">VLOOKUP($A39,INDIRECT($P$2),COLUMN()-1,FALSE)*VLOOKUP($A39,Usinas!$C:$D,2,FALSE)</f>
        <v>27.932799999999997</v>
      </c>
      <c r="K39" s="65">
        <f ca="1">VLOOKUP($A39,INDIRECT($P$2),COLUMN()-1,FALSE)*VLOOKUP($A39,Usinas!$C:$D,2,FALSE)</f>
        <v>24.320799999999998</v>
      </c>
      <c r="L39" s="65">
        <f ca="1">VLOOKUP($A39,INDIRECT($P$2),COLUMN()-1,FALSE)*VLOOKUP($A39,Usinas!$C:$D,2,FALSE)</f>
        <v>24.802399999999999</v>
      </c>
      <c r="M39" s="65">
        <f ca="1">VLOOKUP($A39,INDIRECT($P$2),COLUMN()-1,FALSE)*VLOOKUP($A39,Usinas!$C:$D,2,FALSE)</f>
        <v>30.822399999999998</v>
      </c>
      <c r="N39" s="65">
        <f ca="1">VLOOKUP($A39,INDIRECT($P$2),COLUMN()-1,FALSE)*VLOOKUP($A39,Usinas!$C:$D,2,FALSE)</f>
        <v>39.972799999999999</v>
      </c>
      <c r="O39" s="65">
        <f ca="1">VLOOKUP($A39,INDIRECT($P$2),COLUMN()-1,FALSE)*VLOOKUP($A39,Usinas!$C:$D,2,FALSE)</f>
        <v>55.624799999999993</v>
      </c>
    </row>
    <row r="40" spans="1:15" hidden="1" outlineLevel="2" x14ac:dyDescent="0.25">
      <c r="A40" s="61">
        <v>248</v>
      </c>
      <c r="B40" s="62" t="s">
        <v>72</v>
      </c>
      <c r="D40" s="65">
        <f ca="1">VLOOKUP($A40,INDIRECT($P$2),COLUMN()-1,FALSE)*VLOOKUP($A40,Usinas!$C:$D,2,FALSE)</f>
        <v>100.74469999999999</v>
      </c>
      <c r="E40" s="65">
        <f ca="1">VLOOKUP($A40,INDIRECT($P$2),COLUMN()-1,FALSE)*VLOOKUP($A40,Usinas!$C:$D,2,FALSE)</f>
        <v>112.4592</v>
      </c>
      <c r="F40" s="65">
        <f ca="1">VLOOKUP($A40,INDIRECT($P$2),COLUMN()-1,FALSE)*VLOOKUP($A40,Usinas!$C:$D,2,FALSE)</f>
        <v>114.1327</v>
      </c>
      <c r="G40" s="65">
        <f ca="1">VLOOKUP($A40,INDIRECT($P$2),COLUMN()-1,FALSE)*VLOOKUP($A40,Usinas!$C:$D,2,FALSE)</f>
        <v>88.0261</v>
      </c>
      <c r="H40" s="65">
        <f ca="1">VLOOKUP($A40,INDIRECT($P$2),COLUMN()-1,FALSE)*VLOOKUP($A40,Usinas!$C:$D,2,FALSE)</f>
        <v>61.584800000000001</v>
      </c>
      <c r="I40" s="65">
        <f ca="1">VLOOKUP($A40,INDIRECT($P$2),COLUMN()-1,FALSE)*VLOOKUP($A40,Usinas!$C:$D,2,FALSE)</f>
        <v>48.531500000000001</v>
      </c>
      <c r="J40" s="65">
        <f ca="1">VLOOKUP($A40,INDIRECT($P$2),COLUMN()-1,FALSE)*VLOOKUP($A40,Usinas!$C:$D,2,FALSE)</f>
        <v>40.498699999999999</v>
      </c>
      <c r="K40" s="65">
        <f ca="1">VLOOKUP($A40,INDIRECT($P$2),COLUMN()-1,FALSE)*VLOOKUP($A40,Usinas!$C:$D,2,FALSE)</f>
        <v>35.143500000000003</v>
      </c>
      <c r="L40" s="65">
        <f ca="1">VLOOKUP($A40,INDIRECT($P$2),COLUMN()-1,FALSE)*VLOOKUP($A40,Usinas!$C:$D,2,FALSE)</f>
        <v>35.812899999999999</v>
      </c>
      <c r="M40" s="65">
        <f ca="1">VLOOKUP($A40,INDIRECT($P$2),COLUMN()-1,FALSE)*VLOOKUP($A40,Usinas!$C:$D,2,FALSE)</f>
        <v>44.515099999999997</v>
      </c>
      <c r="N40" s="65">
        <f ca="1">VLOOKUP($A40,INDIRECT($P$2),COLUMN()-1,FALSE)*VLOOKUP($A40,Usinas!$C:$D,2,FALSE)</f>
        <v>57.903100000000002</v>
      </c>
      <c r="O40" s="65">
        <f ca="1">VLOOKUP($A40,INDIRECT($P$2),COLUMN()-1,FALSE)*VLOOKUP($A40,Usinas!$C:$D,2,FALSE)</f>
        <v>80.662700000000001</v>
      </c>
    </row>
    <row r="41" spans="1:15" hidden="1" outlineLevel="2" x14ac:dyDescent="0.25">
      <c r="A41" s="61">
        <v>261</v>
      </c>
      <c r="B41" s="62" t="s">
        <v>73</v>
      </c>
      <c r="D41" s="65">
        <f ca="1">VLOOKUP($A41,INDIRECT($P$2),COLUMN()-1,FALSE)*VLOOKUP($A41,Usinas!$C:$D,2,FALSE)</f>
        <v>79.855999999999995</v>
      </c>
      <c r="E41" s="65">
        <f ca="1">VLOOKUP($A41,INDIRECT($P$2),COLUMN()-1,FALSE)*VLOOKUP($A41,Usinas!$C:$D,2,FALSE)</f>
        <v>89.28</v>
      </c>
      <c r="F41" s="65">
        <f ca="1">VLOOKUP($A41,INDIRECT($P$2),COLUMN()-1,FALSE)*VLOOKUP($A41,Usinas!$C:$D,2,FALSE)</f>
        <v>90.52</v>
      </c>
      <c r="G41" s="65">
        <f ca="1">VLOOKUP($A41,INDIRECT($P$2),COLUMN()-1,FALSE)*VLOOKUP($A41,Usinas!$C:$D,2,FALSE)</f>
        <v>70.183999999999997</v>
      </c>
      <c r="H41" s="65">
        <f ca="1">VLOOKUP($A41,INDIRECT($P$2),COLUMN()-1,FALSE)*VLOOKUP($A41,Usinas!$C:$D,2,FALSE)</f>
        <v>49.103999999999999</v>
      </c>
      <c r="I41" s="65">
        <f ca="1">VLOOKUP($A41,INDIRECT($P$2),COLUMN()-1,FALSE)*VLOOKUP($A41,Usinas!$C:$D,2,FALSE)</f>
        <v>38.688000000000002</v>
      </c>
      <c r="J41" s="65">
        <f ca="1">VLOOKUP($A41,INDIRECT($P$2),COLUMN()-1,FALSE)*VLOOKUP($A41,Usinas!$C:$D,2,FALSE)</f>
        <v>32.24</v>
      </c>
      <c r="K41" s="65">
        <f ca="1">VLOOKUP($A41,INDIRECT($P$2),COLUMN()-1,FALSE)*VLOOKUP($A41,Usinas!$C:$D,2,FALSE)</f>
        <v>28.024000000000001</v>
      </c>
      <c r="L41" s="65">
        <f ca="1">VLOOKUP($A41,INDIRECT($P$2),COLUMN()-1,FALSE)*VLOOKUP($A41,Usinas!$C:$D,2,FALSE)</f>
        <v>28.52</v>
      </c>
      <c r="M41" s="65">
        <f ca="1">VLOOKUP($A41,INDIRECT($P$2),COLUMN()-1,FALSE)*VLOOKUP($A41,Usinas!$C:$D,2,FALSE)</f>
        <v>35.463999999999999</v>
      </c>
      <c r="N41" s="65">
        <f ca="1">VLOOKUP($A41,INDIRECT($P$2),COLUMN()-1,FALSE)*VLOOKUP($A41,Usinas!$C:$D,2,FALSE)</f>
        <v>45.88</v>
      </c>
      <c r="O41" s="65">
        <f ca="1">VLOOKUP($A41,INDIRECT($P$2),COLUMN()-1,FALSE)*VLOOKUP($A41,Usinas!$C:$D,2,FALSE)</f>
        <v>63.735999999999997</v>
      </c>
    </row>
    <row r="42" spans="1:15" hidden="1" outlineLevel="2" x14ac:dyDescent="0.25">
      <c r="A42" s="61">
        <v>294</v>
      </c>
      <c r="B42" s="62" t="s">
        <v>74</v>
      </c>
      <c r="D42" s="65">
        <f ca="1">VLOOKUP($A42,INDIRECT($P$2),COLUMN()-1,FALSE)*VLOOKUP($A42,Usinas!$C:$D,2,FALSE)</f>
        <v>109.15559999999999</v>
      </c>
      <c r="E42" s="65">
        <f ca="1">VLOOKUP($A42,INDIRECT($P$2),COLUMN()-1,FALSE)*VLOOKUP($A42,Usinas!$C:$D,2,FALSE)</f>
        <v>118.1396</v>
      </c>
      <c r="F42" s="65">
        <f ca="1">VLOOKUP($A42,INDIRECT($P$2),COLUMN()-1,FALSE)*VLOOKUP($A42,Usinas!$C:$D,2,FALSE)</f>
        <v>118.58879999999999</v>
      </c>
      <c r="G42" s="65">
        <f ca="1">VLOOKUP($A42,INDIRECT($P$2),COLUMN()-1,FALSE)*VLOOKUP($A42,Usinas!$C:$D,2,FALSE)</f>
        <v>95.230400000000003</v>
      </c>
      <c r="H42" s="65">
        <f ca="1">VLOOKUP($A42,INDIRECT($P$2),COLUMN()-1,FALSE)*VLOOKUP($A42,Usinas!$C:$D,2,FALSE)</f>
        <v>74.117999999999995</v>
      </c>
      <c r="I42" s="65">
        <f ca="1">VLOOKUP($A42,INDIRECT($P$2),COLUMN()-1,FALSE)*VLOOKUP($A42,Usinas!$C:$D,2,FALSE)</f>
        <v>64.684799999999996</v>
      </c>
      <c r="J42" s="65">
        <f ca="1">VLOOKUP($A42,INDIRECT($P$2),COLUMN()-1,FALSE)*VLOOKUP($A42,Usinas!$C:$D,2,FALSE)</f>
        <v>57.497599999999998</v>
      </c>
      <c r="K42" s="65">
        <f ca="1">VLOOKUP($A42,INDIRECT($P$2),COLUMN()-1,FALSE)*VLOOKUP($A42,Usinas!$C:$D,2,FALSE)</f>
        <v>53.454799999999999</v>
      </c>
      <c r="L42" s="65">
        <f ca="1">VLOOKUP($A42,INDIRECT($P$2),COLUMN()-1,FALSE)*VLOOKUP($A42,Usinas!$C:$D,2,FALSE)</f>
        <v>54.802399999999999</v>
      </c>
      <c r="M42" s="65">
        <f ca="1">VLOOKUP($A42,INDIRECT($P$2),COLUMN()-1,FALSE)*VLOOKUP($A42,Usinas!$C:$D,2,FALSE)</f>
        <v>62.887999999999998</v>
      </c>
      <c r="N42" s="65">
        <f ca="1">VLOOKUP($A42,INDIRECT($P$2),COLUMN()-1,FALSE)*VLOOKUP($A42,Usinas!$C:$D,2,FALSE)</f>
        <v>74.117999999999995</v>
      </c>
      <c r="O42" s="65">
        <f ca="1">VLOOKUP($A42,INDIRECT($P$2),COLUMN()-1,FALSE)*VLOOKUP($A42,Usinas!$C:$D,2,FALSE)</f>
        <v>92.535200000000003</v>
      </c>
    </row>
    <row r="43" spans="1:15" hidden="1" outlineLevel="2" x14ac:dyDescent="0.25">
      <c r="A43" s="61">
        <v>241</v>
      </c>
      <c r="B43" s="62" t="s">
        <v>75</v>
      </c>
      <c r="D43" s="65">
        <f ca="1">VLOOKUP($A43,INDIRECT($P$2),COLUMN()-1,FALSE)*VLOOKUP($A43,Usinas!$C:$D,2,FALSE)</f>
        <v>96.910500000000013</v>
      </c>
      <c r="E43" s="65">
        <f ca="1">VLOOKUP($A43,INDIRECT($P$2),COLUMN()-1,FALSE)*VLOOKUP($A43,Usinas!$C:$D,2,FALSE)</f>
        <v>104.59020000000001</v>
      </c>
      <c r="F43" s="65">
        <f ca="1">VLOOKUP($A43,INDIRECT($P$2),COLUMN()-1,FALSE)*VLOOKUP($A43,Usinas!$C:$D,2,FALSE)</f>
        <v>104.95590000000001</v>
      </c>
      <c r="G43" s="65">
        <f ca="1">VLOOKUP($A43,INDIRECT($P$2),COLUMN()-1,FALSE)*VLOOKUP($A43,Usinas!$C:$D,2,FALSE)</f>
        <v>84.842400000000012</v>
      </c>
      <c r="H43" s="65">
        <f ca="1">VLOOKUP($A43,INDIRECT($P$2),COLUMN()-1,FALSE)*VLOOKUP($A43,Usinas!$C:$D,2,FALSE)</f>
        <v>65.826000000000008</v>
      </c>
      <c r="I43" s="65">
        <f ca="1">VLOOKUP($A43,INDIRECT($P$2),COLUMN()-1,FALSE)*VLOOKUP($A43,Usinas!$C:$D,2,FALSE)</f>
        <v>57.414900000000003</v>
      </c>
      <c r="J43" s="65">
        <f ca="1">VLOOKUP($A43,INDIRECT($P$2),COLUMN()-1,FALSE)*VLOOKUP($A43,Usinas!$C:$D,2,FALSE)</f>
        <v>51.198</v>
      </c>
      <c r="K43" s="65">
        <f ca="1">VLOOKUP($A43,INDIRECT($P$2),COLUMN()-1,FALSE)*VLOOKUP($A43,Usinas!$C:$D,2,FALSE)</f>
        <v>47.1753</v>
      </c>
      <c r="L43" s="65">
        <f ca="1">VLOOKUP($A43,INDIRECT($P$2),COLUMN()-1,FALSE)*VLOOKUP($A43,Usinas!$C:$D,2,FALSE)</f>
        <v>48.638100000000001</v>
      </c>
      <c r="M43" s="65">
        <f ca="1">VLOOKUP($A43,INDIRECT($P$2),COLUMN()-1,FALSE)*VLOOKUP($A43,Usinas!$C:$D,2,FALSE)</f>
        <v>55.586400000000005</v>
      </c>
      <c r="N43" s="65">
        <f ca="1">VLOOKUP($A43,INDIRECT($P$2),COLUMN()-1,FALSE)*VLOOKUP($A43,Usinas!$C:$D,2,FALSE)</f>
        <v>65.826000000000008</v>
      </c>
      <c r="O43" s="65">
        <f ca="1">VLOOKUP($A43,INDIRECT($P$2),COLUMN()-1,FALSE)*VLOOKUP($A43,Usinas!$C:$D,2,FALSE)</f>
        <v>81.916800000000009</v>
      </c>
    </row>
    <row r="44" spans="1:15" hidden="1" outlineLevel="2" x14ac:dyDescent="0.25">
      <c r="A44" s="61">
        <v>99</v>
      </c>
      <c r="B44" s="62" t="s">
        <v>76</v>
      </c>
      <c r="D44" s="65">
        <f ca="1">VLOOKUP($A44,INDIRECT($P$2),COLUMN()-1,FALSE)*VLOOKUP($A44,Usinas!$C:$D,2,FALSE)</f>
        <v>31.96</v>
      </c>
      <c r="E44" s="65">
        <f ca="1">VLOOKUP($A44,INDIRECT($P$2),COLUMN()-1,FALSE)*VLOOKUP($A44,Usinas!$C:$D,2,FALSE)</f>
        <v>33.957500000000003</v>
      </c>
      <c r="F44" s="65">
        <f ca="1">VLOOKUP($A44,INDIRECT($P$2),COLUMN()-1,FALSE)*VLOOKUP($A44,Usinas!$C:$D,2,FALSE)</f>
        <v>33.957500000000003</v>
      </c>
      <c r="G44" s="65">
        <f ca="1">VLOOKUP($A44,INDIRECT($P$2),COLUMN()-1,FALSE)*VLOOKUP($A44,Usinas!$C:$D,2,FALSE)</f>
        <v>29.163500000000003</v>
      </c>
      <c r="H44" s="65">
        <f ca="1">VLOOKUP($A44,INDIRECT($P$2),COLUMN()-1,FALSE)*VLOOKUP($A44,Usinas!$C:$D,2,FALSE)</f>
        <v>23.970000000000002</v>
      </c>
      <c r="I44" s="65">
        <f ca="1">VLOOKUP($A44,INDIRECT($P$2),COLUMN()-1,FALSE)*VLOOKUP($A44,Usinas!$C:$D,2,FALSE)</f>
        <v>21.573</v>
      </c>
      <c r="J44" s="65">
        <f ca="1">VLOOKUP($A44,INDIRECT($P$2),COLUMN()-1,FALSE)*VLOOKUP($A44,Usinas!$C:$D,2,FALSE)</f>
        <v>19.575500000000002</v>
      </c>
      <c r="K44" s="65">
        <f ca="1">VLOOKUP($A44,INDIRECT($P$2),COLUMN()-1,FALSE)*VLOOKUP($A44,Usinas!$C:$D,2,FALSE)</f>
        <v>18.377000000000002</v>
      </c>
      <c r="L44" s="65">
        <f ca="1">VLOOKUP($A44,INDIRECT($P$2),COLUMN()-1,FALSE)*VLOOKUP($A44,Usinas!$C:$D,2,FALSE)</f>
        <v>18.776500000000002</v>
      </c>
      <c r="M44" s="65">
        <f ca="1">VLOOKUP($A44,INDIRECT($P$2),COLUMN()-1,FALSE)*VLOOKUP($A44,Usinas!$C:$D,2,FALSE)</f>
        <v>20.374500000000001</v>
      </c>
      <c r="N44" s="65">
        <f ca="1">VLOOKUP($A44,INDIRECT($P$2),COLUMN()-1,FALSE)*VLOOKUP($A44,Usinas!$C:$D,2,FALSE)</f>
        <v>23.171000000000003</v>
      </c>
      <c r="O44" s="65">
        <f ca="1">VLOOKUP($A44,INDIRECT($P$2),COLUMN()-1,FALSE)*VLOOKUP($A44,Usinas!$C:$D,2,FALSE)</f>
        <v>27.5655</v>
      </c>
    </row>
    <row r="45" spans="1:15" hidden="1" outlineLevel="1" x14ac:dyDescent="0.25">
      <c r="A45" s="18"/>
      <c r="B45" s="19" t="s">
        <v>56</v>
      </c>
      <c r="D45" s="66">
        <f t="shared" ref="D45:I45" ca="1" si="2">SUM(D26:D44)</f>
        <v>9172.9087</v>
      </c>
      <c r="E45" s="49">
        <f t="shared" ca="1" si="2"/>
        <v>9501.5702000000001</v>
      </c>
      <c r="F45" s="49">
        <f t="shared" ca="1" si="2"/>
        <v>9266.0079000000005</v>
      </c>
      <c r="G45" s="49">
        <f t="shared" ca="1" si="2"/>
        <v>7013.097600000001</v>
      </c>
      <c r="H45" s="49">
        <f t="shared" ca="1" si="2"/>
        <v>4607.5847000000003</v>
      </c>
      <c r="I45" s="67">
        <f t="shared" ca="1" si="2"/>
        <v>3585.8961000000004</v>
      </c>
      <c r="J45" s="66">
        <f t="shared" ref="J45:O45" ca="1" si="3">SUM(J26:J44)</f>
        <v>2895.9571000000001</v>
      </c>
      <c r="K45" s="49">
        <f t="shared" ca="1" si="3"/>
        <v>2361.6932999999999</v>
      </c>
      <c r="L45" s="49">
        <f t="shared" ca="1" si="3"/>
        <v>2141.7345</v>
      </c>
      <c r="M45" s="49">
        <f t="shared" ca="1" si="3"/>
        <v>2582.1788000000001</v>
      </c>
      <c r="N45" s="49">
        <f t="shared" ca="1" si="3"/>
        <v>3969.9098999999997</v>
      </c>
      <c r="O45" s="67">
        <f t="shared" ca="1" si="3"/>
        <v>6683.1997999999994</v>
      </c>
    </row>
    <row r="46" spans="1:15" hidden="1" outlineLevel="1" x14ac:dyDescent="0.25">
      <c r="A46" s="20"/>
      <c r="B46" s="21" t="s">
        <v>0</v>
      </c>
      <c r="D46" s="68"/>
      <c r="E46" s="69"/>
      <c r="F46" s="69"/>
      <c r="G46" s="69"/>
      <c r="H46" s="69"/>
      <c r="I46" s="70"/>
      <c r="J46" s="68"/>
      <c r="K46" s="69"/>
      <c r="L46" s="69"/>
      <c r="M46" s="69"/>
      <c r="N46" s="69"/>
      <c r="O46" s="70"/>
    </row>
    <row r="47" spans="1:15" hidden="1" outlineLevel="1" x14ac:dyDescent="0.25">
      <c r="A47" s="47"/>
      <c r="B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</row>
    <row r="48" spans="1:15" hidden="1" outlineLevel="1" x14ac:dyDescent="0.25">
      <c r="A48" s="63"/>
      <c r="B48" s="64"/>
      <c r="D48" s="320" t="s">
        <v>77</v>
      </c>
      <c r="E48" s="321"/>
      <c r="F48" s="321"/>
      <c r="G48" s="321"/>
      <c r="H48" s="321"/>
      <c r="I48" s="321"/>
      <c r="J48" s="321"/>
      <c r="K48" s="321"/>
      <c r="L48" s="321"/>
      <c r="M48" s="321"/>
      <c r="N48" s="321"/>
      <c r="O48" s="322"/>
    </row>
    <row r="49" spans="1:15" hidden="1" outlineLevel="2" x14ac:dyDescent="0.25">
      <c r="A49" s="61">
        <v>318</v>
      </c>
      <c r="B49" s="62" t="s">
        <v>79</v>
      </c>
      <c r="D49" s="65">
        <f ca="1">VLOOKUP($A49,INDIRECT($P$2),COLUMN()-1,FALSE)*VLOOKUP($A49,Usinas!$C:$D,2,FALSE)</f>
        <v>361.83679999999998</v>
      </c>
      <c r="E49" s="65">
        <f ca="1">VLOOKUP($A49,INDIRECT($P$2),COLUMN()-1,FALSE)*VLOOKUP($A49,Usinas!$C:$D,2,FALSE)</f>
        <v>373.14419999999996</v>
      </c>
      <c r="F49" s="65">
        <f ca="1">VLOOKUP($A49,INDIRECT($P$2),COLUMN()-1,FALSE)*VLOOKUP($A49,Usinas!$C:$D,2,FALSE)</f>
        <v>327.91460000000001</v>
      </c>
      <c r="G49" s="65">
        <f ca="1">VLOOKUP($A49,INDIRECT($P$2),COLUMN()-1,FALSE)*VLOOKUP($A49,Usinas!$C:$D,2,FALSE)</f>
        <v>231.80169999999998</v>
      </c>
      <c r="H49" s="65">
        <f ca="1">VLOOKUP($A49,INDIRECT($P$2),COLUMN()-1,FALSE)*VLOOKUP($A49,Usinas!$C:$D,2,FALSE)</f>
        <v>175.2647</v>
      </c>
      <c r="I49" s="65">
        <f ca="1">VLOOKUP($A49,INDIRECT($P$2),COLUMN()-1,FALSE)*VLOOKUP($A49,Usinas!$C:$D,2,FALSE)</f>
        <v>163.9573</v>
      </c>
      <c r="J49" s="65">
        <f ca="1">VLOOKUP($A49,INDIRECT($P$2),COLUMN()-1,FALSE)*VLOOKUP($A49,Usinas!$C:$D,2,FALSE)</f>
        <v>135.68879999999999</v>
      </c>
      <c r="K49" s="65">
        <f ca="1">VLOOKUP($A49,INDIRECT($P$2),COLUMN()-1,FALSE)*VLOOKUP($A49,Usinas!$C:$D,2,FALSE)</f>
        <v>118.7277</v>
      </c>
      <c r="L49" s="65">
        <f ca="1">VLOOKUP($A49,INDIRECT($P$2),COLUMN()-1,FALSE)*VLOOKUP($A49,Usinas!$C:$D,2,FALSE)</f>
        <v>163.9573</v>
      </c>
      <c r="M49" s="65">
        <f ca="1">VLOOKUP($A49,INDIRECT($P$2),COLUMN()-1,FALSE)*VLOOKUP($A49,Usinas!$C:$D,2,FALSE)</f>
        <v>203.53319999999999</v>
      </c>
      <c r="N49" s="65">
        <f ca="1">VLOOKUP($A49,INDIRECT($P$2),COLUMN()-1,FALSE)*VLOOKUP($A49,Usinas!$C:$D,2,FALSE)</f>
        <v>209.18689999999998</v>
      </c>
      <c r="O49" s="65">
        <f ca="1">VLOOKUP($A49,INDIRECT($P$2),COLUMN()-1,FALSE)*VLOOKUP($A49,Usinas!$C:$D,2,FALSE)</f>
        <v>277.03129999999999</v>
      </c>
    </row>
    <row r="50" spans="1:15" hidden="1" outlineLevel="1" x14ac:dyDescent="0.25">
      <c r="A50" s="18"/>
      <c r="B50" s="19" t="s">
        <v>56</v>
      </c>
      <c r="D50" s="66">
        <f t="shared" ref="D50:O50" ca="1" si="4">D49</f>
        <v>361.83679999999998</v>
      </c>
      <c r="E50" s="49">
        <f t="shared" ca="1" si="4"/>
        <v>373.14419999999996</v>
      </c>
      <c r="F50" s="49">
        <f t="shared" ca="1" si="4"/>
        <v>327.91460000000001</v>
      </c>
      <c r="G50" s="49">
        <f t="shared" ca="1" si="4"/>
        <v>231.80169999999998</v>
      </c>
      <c r="H50" s="49">
        <f t="shared" ca="1" si="4"/>
        <v>175.2647</v>
      </c>
      <c r="I50" s="67">
        <f t="shared" ca="1" si="4"/>
        <v>163.9573</v>
      </c>
      <c r="J50" s="66">
        <f t="shared" ca="1" si="4"/>
        <v>135.68879999999999</v>
      </c>
      <c r="K50" s="49">
        <f t="shared" ca="1" si="4"/>
        <v>118.7277</v>
      </c>
      <c r="L50" s="49">
        <f t="shared" ca="1" si="4"/>
        <v>163.9573</v>
      </c>
      <c r="M50" s="49">
        <f t="shared" ca="1" si="4"/>
        <v>203.53319999999999</v>
      </c>
      <c r="N50" s="49">
        <f t="shared" ca="1" si="4"/>
        <v>209.18689999999998</v>
      </c>
      <c r="O50" s="67">
        <f t="shared" ca="1" si="4"/>
        <v>277.03129999999999</v>
      </c>
    </row>
    <row r="51" spans="1:15" hidden="1" outlineLevel="1" x14ac:dyDescent="0.25">
      <c r="A51" s="20"/>
      <c r="B51" s="21" t="s">
        <v>0</v>
      </c>
      <c r="D51" s="68"/>
      <c r="E51" s="69"/>
      <c r="F51" s="69"/>
      <c r="G51" s="69"/>
      <c r="H51" s="69"/>
      <c r="I51" s="70"/>
      <c r="J51" s="68"/>
      <c r="K51" s="69"/>
      <c r="L51" s="69"/>
      <c r="M51" s="69"/>
      <c r="N51" s="69"/>
      <c r="O51" s="70"/>
    </row>
    <row r="52" spans="1:15" hidden="1" outlineLevel="1" x14ac:dyDescent="0.25">
      <c r="A52" s="1"/>
      <c r="B52" s="133"/>
      <c r="D52" s="50"/>
      <c r="E52" s="51"/>
      <c r="F52" s="51"/>
      <c r="G52" s="51"/>
      <c r="H52" s="51"/>
      <c r="I52" s="51"/>
      <c r="J52" s="50"/>
      <c r="K52" s="51"/>
      <c r="L52" s="51"/>
      <c r="M52" s="51"/>
      <c r="N52" s="51"/>
      <c r="O52" s="51"/>
    </row>
    <row r="53" spans="1:15" hidden="1" outlineLevel="1" x14ac:dyDescent="0.25">
      <c r="A53" s="63"/>
      <c r="B53" s="64"/>
      <c r="D53" s="320" t="s">
        <v>80</v>
      </c>
      <c r="E53" s="321"/>
      <c r="F53" s="321"/>
      <c r="G53" s="321"/>
      <c r="H53" s="321"/>
      <c r="I53" s="321"/>
      <c r="J53" s="321"/>
      <c r="K53" s="321"/>
      <c r="L53" s="321"/>
      <c r="M53" s="321"/>
      <c r="N53" s="321"/>
      <c r="O53" s="322"/>
    </row>
    <row r="54" spans="1:15" hidden="1" outlineLevel="2" x14ac:dyDescent="0.25">
      <c r="A54" s="61">
        <v>37</v>
      </c>
      <c r="B54" s="62" t="s">
        <v>82</v>
      </c>
      <c r="D54" s="65">
        <f ca="1">VLOOKUP($A54,INDIRECT($P$2),COLUMN()-1,FALSE)*VLOOKUP($A54,Usinas!$C:$D,2,FALSE)</f>
        <v>119.5762</v>
      </c>
      <c r="E54" s="65">
        <f ca="1">VLOOKUP($A54,INDIRECT($P$2),COLUMN()-1,FALSE)*VLOOKUP($A54,Usinas!$C:$D,2,FALSE)</f>
        <v>126.46820000000001</v>
      </c>
      <c r="F54" s="65">
        <f ca="1">VLOOKUP($A54,INDIRECT($P$2),COLUMN()-1,FALSE)*VLOOKUP($A54,Usinas!$C:$D,2,FALSE)</f>
        <v>106.6537</v>
      </c>
      <c r="G54" s="65">
        <f ca="1">VLOOKUP($A54,INDIRECT($P$2),COLUMN()-1,FALSE)*VLOOKUP($A54,Usinas!$C:$D,2,FALSE)</f>
        <v>70.298400000000001</v>
      </c>
      <c r="H54" s="65">
        <f ca="1">VLOOKUP($A54,INDIRECT($P$2),COLUMN()-1,FALSE)*VLOOKUP($A54,Usinas!$C:$D,2,FALSE)</f>
        <v>55.480600000000003</v>
      </c>
      <c r="I54" s="65">
        <f ca="1">VLOOKUP($A54,INDIRECT($P$2),COLUMN()-1,FALSE)*VLOOKUP($A54,Usinas!$C:$D,2,FALSE)</f>
        <v>54.963700000000003</v>
      </c>
      <c r="J54" s="65">
        <f ca="1">VLOOKUP($A54,INDIRECT($P$2),COLUMN()-1,FALSE)*VLOOKUP($A54,Usinas!$C:$D,2,FALSE)</f>
        <v>43.764200000000002</v>
      </c>
      <c r="K54" s="65">
        <f ca="1">VLOOKUP($A54,INDIRECT($P$2),COLUMN()-1,FALSE)*VLOOKUP($A54,Usinas!$C:$D,2,FALSE)</f>
        <v>36.6999</v>
      </c>
      <c r="L54" s="65">
        <f ca="1">VLOOKUP($A54,INDIRECT($P$2),COLUMN()-1,FALSE)*VLOOKUP($A54,Usinas!$C:$D,2,FALSE)</f>
        <v>39.629000000000005</v>
      </c>
      <c r="M54" s="65">
        <f ca="1">VLOOKUP($A54,INDIRECT($P$2),COLUMN()-1,FALSE)*VLOOKUP($A54,Usinas!$C:$D,2,FALSE)</f>
        <v>48.760899999999999</v>
      </c>
      <c r="N54" s="65">
        <f ca="1">VLOOKUP($A54,INDIRECT($P$2),COLUMN()-1,FALSE)*VLOOKUP($A54,Usinas!$C:$D,2,FALSE)</f>
        <v>52.551500000000004</v>
      </c>
      <c r="O54" s="65">
        <f ca="1">VLOOKUP($A54,INDIRECT($P$2),COLUMN()-1,FALSE)*VLOOKUP($A54,Usinas!$C:$D,2,FALSE)</f>
        <v>80.636400000000009</v>
      </c>
    </row>
    <row r="55" spans="1:15" hidden="1" outlineLevel="2" x14ac:dyDescent="0.25">
      <c r="A55" s="61">
        <v>38</v>
      </c>
      <c r="B55" s="62" t="s">
        <v>83</v>
      </c>
      <c r="D55" s="65">
        <f ca="1">VLOOKUP($A55,INDIRECT($P$2),COLUMN()-1,FALSE)*VLOOKUP($A55,Usinas!$C:$D,2,FALSE)</f>
        <v>146.15369999999999</v>
      </c>
      <c r="E55" s="65">
        <f ca="1">VLOOKUP($A55,INDIRECT($P$2),COLUMN()-1,FALSE)*VLOOKUP($A55,Usinas!$C:$D,2,FALSE)</f>
        <v>155.1825</v>
      </c>
      <c r="F55" s="65">
        <f ca="1">VLOOKUP($A55,INDIRECT($P$2),COLUMN()-1,FALSE)*VLOOKUP($A55,Usinas!$C:$D,2,FALSE)</f>
        <v>131.2938</v>
      </c>
      <c r="G55" s="65">
        <f ca="1">VLOOKUP($A55,INDIRECT($P$2),COLUMN()-1,FALSE)*VLOOKUP($A55,Usinas!$C:$D,2,FALSE)</f>
        <v>87.278399999999991</v>
      </c>
      <c r="H55" s="65">
        <f ca="1">VLOOKUP($A55,INDIRECT($P$2),COLUMN()-1,FALSE)*VLOOKUP($A55,Usinas!$C:$D,2,FALSE)</f>
        <v>69.032699999999991</v>
      </c>
      <c r="I55" s="65">
        <f ca="1">VLOOKUP($A55,INDIRECT($P$2),COLUMN()-1,FALSE)*VLOOKUP($A55,Usinas!$C:$D,2,FALSE)</f>
        <v>68.468400000000003</v>
      </c>
      <c r="J55" s="65">
        <f ca="1">VLOOKUP($A55,INDIRECT($P$2),COLUMN()-1,FALSE)*VLOOKUP($A55,Usinas!$C:$D,2,FALSE)</f>
        <v>54.172799999999995</v>
      </c>
      <c r="K55" s="65">
        <f ca="1">VLOOKUP($A55,INDIRECT($P$2),COLUMN()-1,FALSE)*VLOOKUP($A55,Usinas!$C:$D,2,FALSE)</f>
        <v>45.8964</v>
      </c>
      <c r="L55" s="65">
        <f ca="1">VLOOKUP($A55,INDIRECT($P$2),COLUMN()-1,FALSE)*VLOOKUP($A55,Usinas!$C:$D,2,FALSE)</f>
        <v>49.094099999999997</v>
      </c>
      <c r="M55" s="65">
        <f ca="1">VLOOKUP($A55,INDIRECT($P$2),COLUMN()-1,FALSE)*VLOOKUP($A55,Usinas!$C:$D,2,FALSE)</f>
        <v>59.627699999999997</v>
      </c>
      <c r="N55" s="65">
        <f ca="1">VLOOKUP($A55,INDIRECT($P$2),COLUMN()-1,FALSE)*VLOOKUP($A55,Usinas!$C:$D,2,FALSE)</f>
        <v>64.518299999999996</v>
      </c>
      <c r="O55" s="65">
        <f ca="1">VLOOKUP($A55,INDIRECT($P$2),COLUMN()-1,FALSE)*VLOOKUP($A55,Usinas!$C:$D,2,FALSE)</f>
        <v>98.188199999999995</v>
      </c>
    </row>
    <row r="56" spans="1:15" hidden="1" outlineLevel="2" x14ac:dyDescent="0.25">
      <c r="A56" s="61">
        <v>39</v>
      </c>
      <c r="B56" s="62" t="s">
        <v>84</v>
      </c>
      <c r="D56" s="65">
        <f ca="1">VLOOKUP($A56,INDIRECT($P$2),COLUMN()-1,FALSE)*VLOOKUP($A56,Usinas!$C:$D,2,FALSE)</f>
        <v>183.45600000000002</v>
      </c>
      <c r="E56" s="65">
        <f ca="1">VLOOKUP($A56,INDIRECT($P$2),COLUMN()-1,FALSE)*VLOOKUP($A56,Usinas!$C:$D,2,FALSE)</f>
        <v>194.12640000000002</v>
      </c>
      <c r="F56" s="65">
        <f ca="1">VLOOKUP($A56,INDIRECT($P$2),COLUMN()-1,FALSE)*VLOOKUP($A56,Usinas!$C:$D,2,FALSE)</f>
        <v>166.04640000000001</v>
      </c>
      <c r="G56" s="65">
        <f ca="1">VLOOKUP($A56,INDIRECT($P$2),COLUMN()-1,FALSE)*VLOOKUP($A56,Usinas!$C:$D,2,FALSE)</f>
        <v>114.0048</v>
      </c>
      <c r="H56" s="65">
        <f ca="1">VLOOKUP($A56,INDIRECT($P$2),COLUMN()-1,FALSE)*VLOOKUP($A56,Usinas!$C:$D,2,FALSE)</f>
        <v>90.417600000000007</v>
      </c>
      <c r="I56" s="65">
        <f ca="1">VLOOKUP($A56,INDIRECT($P$2),COLUMN()-1,FALSE)*VLOOKUP($A56,Usinas!$C:$D,2,FALSE)</f>
        <v>88.92</v>
      </c>
      <c r="J56" s="65">
        <f ca="1">VLOOKUP($A56,INDIRECT($P$2),COLUMN()-1,FALSE)*VLOOKUP($A56,Usinas!$C:$D,2,FALSE)</f>
        <v>71.884799999999998</v>
      </c>
      <c r="K56" s="65">
        <f ca="1">VLOOKUP($A56,INDIRECT($P$2),COLUMN()-1,FALSE)*VLOOKUP($A56,Usinas!$C:$D,2,FALSE)</f>
        <v>61.588799999999999</v>
      </c>
      <c r="L56" s="65">
        <f ca="1">VLOOKUP($A56,INDIRECT($P$2),COLUMN()-1,FALSE)*VLOOKUP($A56,Usinas!$C:$D,2,FALSE)</f>
        <v>66.081600000000009</v>
      </c>
      <c r="M56" s="65">
        <f ca="1">VLOOKUP($A56,INDIRECT($P$2),COLUMN()-1,FALSE)*VLOOKUP($A56,Usinas!$C:$D,2,FALSE)</f>
        <v>78.998400000000004</v>
      </c>
      <c r="N56" s="65">
        <f ca="1">VLOOKUP($A56,INDIRECT($P$2),COLUMN()-1,FALSE)*VLOOKUP($A56,Usinas!$C:$D,2,FALSE)</f>
        <v>84.614400000000003</v>
      </c>
      <c r="O56" s="65">
        <f ca="1">VLOOKUP($A56,INDIRECT($P$2),COLUMN()-1,FALSE)*VLOOKUP($A56,Usinas!$C:$D,2,FALSE)</f>
        <v>126.36</v>
      </c>
    </row>
    <row r="57" spans="1:15" hidden="1" outlineLevel="2" x14ac:dyDescent="0.25">
      <c r="A57" s="61">
        <v>40</v>
      </c>
      <c r="B57" s="62" t="s">
        <v>85</v>
      </c>
      <c r="D57" s="65">
        <f ca="1">VLOOKUP($A57,INDIRECT($P$2),COLUMN()-1,FALSE)*VLOOKUP($A57,Usinas!$C:$D,2,FALSE)</f>
        <v>229.16669999999999</v>
      </c>
      <c r="E57" s="65">
        <f ca="1">VLOOKUP($A57,INDIRECT($P$2),COLUMN()-1,FALSE)*VLOOKUP($A57,Usinas!$C:$D,2,FALSE)</f>
        <v>243.9915</v>
      </c>
      <c r="F57" s="65">
        <f ca="1">VLOOKUP($A57,INDIRECT($P$2),COLUMN()-1,FALSE)*VLOOKUP($A57,Usinas!$C:$D,2,FALSE)</f>
        <v>210.22389999999999</v>
      </c>
      <c r="G57" s="65">
        <f ca="1">VLOOKUP($A57,INDIRECT($P$2),COLUMN()-1,FALSE)*VLOOKUP($A57,Usinas!$C:$D,2,FALSE)</f>
        <v>143.10050000000001</v>
      </c>
      <c r="H57" s="65">
        <f ca="1">VLOOKUP($A57,INDIRECT($P$2),COLUMN()-1,FALSE)*VLOOKUP($A57,Usinas!$C:$D,2,FALSE)</f>
        <v>114.0686</v>
      </c>
      <c r="I57" s="65">
        <f ca="1">VLOOKUP($A57,INDIRECT($P$2),COLUMN()-1,FALSE)*VLOOKUP($A57,Usinas!$C:$D,2,FALSE)</f>
        <v>111.80370000000001</v>
      </c>
      <c r="J57" s="65">
        <f ca="1">VLOOKUP($A57,INDIRECT($P$2),COLUMN()-1,FALSE)*VLOOKUP($A57,Usinas!$C:$D,2,FALSE)</f>
        <v>91.213700000000003</v>
      </c>
      <c r="K57" s="65">
        <f ca="1">VLOOKUP($A57,INDIRECT($P$2),COLUMN()-1,FALSE)*VLOOKUP($A57,Usinas!$C:$D,2,FALSE)</f>
        <v>79.065600000000003</v>
      </c>
      <c r="L57" s="65">
        <f ca="1">VLOOKUP($A57,INDIRECT($P$2),COLUMN()-1,FALSE)*VLOOKUP($A57,Usinas!$C:$D,2,FALSE)</f>
        <v>83.183599999999998</v>
      </c>
      <c r="M57" s="65">
        <f ca="1">VLOOKUP($A57,INDIRECT($P$2),COLUMN()-1,FALSE)*VLOOKUP($A57,Usinas!$C:$D,2,FALSE)</f>
        <v>97.390699999999995</v>
      </c>
      <c r="N57" s="65">
        <f ca="1">VLOOKUP($A57,INDIRECT($P$2),COLUMN()-1,FALSE)*VLOOKUP($A57,Usinas!$C:$D,2,FALSE)</f>
        <v>104.1854</v>
      </c>
      <c r="O57" s="65">
        <f ca="1">VLOOKUP($A57,INDIRECT($P$2),COLUMN()-1,FALSE)*VLOOKUP($A57,Usinas!$C:$D,2,FALSE)</f>
        <v>156.68989999999999</v>
      </c>
    </row>
    <row r="58" spans="1:15" hidden="1" outlineLevel="2" x14ac:dyDescent="0.25">
      <c r="A58" s="61">
        <v>42</v>
      </c>
      <c r="B58" s="62" t="s">
        <v>86</v>
      </c>
      <c r="D58" s="65">
        <f ca="1">VLOOKUP($A58,INDIRECT($P$2),COLUMN()-1,FALSE)*VLOOKUP($A58,Usinas!$C:$D,2,FALSE)</f>
        <v>311.59980000000002</v>
      </c>
      <c r="E58" s="65">
        <f ca="1">VLOOKUP($A58,INDIRECT($P$2),COLUMN()-1,FALSE)*VLOOKUP($A58,Usinas!$C:$D,2,FALSE)</f>
        <v>332.66789999999997</v>
      </c>
      <c r="F58" s="65">
        <f ca="1">VLOOKUP($A58,INDIRECT($P$2),COLUMN()-1,FALSE)*VLOOKUP($A58,Usinas!$C:$D,2,FALSE)</f>
        <v>285.84989999999999</v>
      </c>
      <c r="G58" s="65">
        <f ca="1">VLOOKUP($A58,INDIRECT($P$2),COLUMN()-1,FALSE)*VLOOKUP($A58,Usinas!$C:$D,2,FALSE)</f>
        <v>194.03460000000001</v>
      </c>
      <c r="H58" s="65">
        <f ca="1">VLOOKUP($A58,INDIRECT($P$2),COLUMN()-1,FALSE)*VLOOKUP($A58,Usinas!$C:$D,2,FALSE)</f>
        <v>153.459</v>
      </c>
      <c r="I58" s="65">
        <f ca="1">VLOOKUP($A58,INDIRECT($P$2),COLUMN()-1,FALSE)*VLOOKUP($A58,Usinas!$C:$D,2,FALSE)</f>
        <v>150.858</v>
      </c>
      <c r="J58" s="65">
        <f ca="1">VLOOKUP($A58,INDIRECT($P$2),COLUMN()-1,FALSE)*VLOOKUP($A58,Usinas!$C:$D,2,FALSE)</f>
        <v>122.7672</v>
      </c>
      <c r="K58" s="65">
        <f ca="1">VLOOKUP($A58,INDIRECT($P$2),COLUMN()-1,FALSE)*VLOOKUP($A58,Usinas!$C:$D,2,FALSE)</f>
        <v>105.86069999999999</v>
      </c>
      <c r="L58" s="65">
        <f ca="1">VLOOKUP($A58,INDIRECT($P$2),COLUMN()-1,FALSE)*VLOOKUP($A58,Usinas!$C:$D,2,FALSE)</f>
        <v>111.5829</v>
      </c>
      <c r="M58" s="65">
        <f ca="1">VLOOKUP($A58,INDIRECT($P$2),COLUMN()-1,FALSE)*VLOOKUP($A58,Usinas!$C:$D,2,FALSE)</f>
        <v>131.35050000000001</v>
      </c>
      <c r="N58" s="65">
        <f ca="1">VLOOKUP($A58,INDIRECT($P$2),COLUMN()-1,FALSE)*VLOOKUP($A58,Usinas!$C:$D,2,FALSE)</f>
        <v>140.7141</v>
      </c>
      <c r="O58" s="65">
        <f ca="1">VLOOKUP($A58,INDIRECT($P$2),COLUMN()-1,FALSE)*VLOOKUP($A58,Usinas!$C:$D,2,FALSE)</f>
        <v>211.72139999999999</v>
      </c>
    </row>
    <row r="59" spans="1:15" hidden="1" outlineLevel="2" x14ac:dyDescent="0.25">
      <c r="A59" s="61">
        <v>43</v>
      </c>
      <c r="B59" s="62" t="s">
        <v>87</v>
      </c>
      <c r="D59" s="65">
        <f ca="1">VLOOKUP($A59,INDIRECT($P$2),COLUMN()-1,FALSE)*VLOOKUP($A59,Usinas!$C:$D,2,FALSE)</f>
        <v>489.96559999999999</v>
      </c>
      <c r="E59" s="65">
        <f ca="1">VLOOKUP($A59,INDIRECT($P$2),COLUMN()-1,FALSE)*VLOOKUP($A59,Usinas!$C:$D,2,FALSE)</f>
        <v>533.65679999999998</v>
      </c>
      <c r="F59" s="65">
        <f ca="1">VLOOKUP($A59,INDIRECT($P$2),COLUMN()-1,FALSE)*VLOOKUP($A59,Usinas!$C:$D,2,FALSE)</f>
        <v>463.82889999999998</v>
      </c>
      <c r="G59" s="65">
        <f ca="1">VLOOKUP($A59,INDIRECT($P$2),COLUMN()-1,FALSE)*VLOOKUP($A59,Usinas!$C:$D,2,FALSE)</f>
        <v>319.10180000000003</v>
      </c>
      <c r="H59" s="65">
        <f ca="1">VLOOKUP($A59,INDIRECT($P$2),COLUMN()-1,FALSE)*VLOOKUP($A59,Usinas!$C:$D,2,FALSE)</f>
        <v>247.32339999999999</v>
      </c>
      <c r="I59" s="65">
        <f ca="1">VLOOKUP($A59,INDIRECT($P$2),COLUMN()-1,FALSE)*VLOOKUP($A59,Usinas!$C:$D,2,FALSE)</f>
        <v>244.59270000000001</v>
      </c>
      <c r="J59" s="65">
        <f ca="1">VLOOKUP($A59,INDIRECT($P$2),COLUMN()-1,FALSE)*VLOOKUP($A59,Usinas!$C:$D,2,FALSE)</f>
        <v>198.95099999999999</v>
      </c>
      <c r="K59" s="65">
        <f ca="1">VLOOKUP($A59,INDIRECT($P$2),COLUMN()-1,FALSE)*VLOOKUP($A59,Usinas!$C:$D,2,FALSE)</f>
        <v>172.42420000000001</v>
      </c>
      <c r="L59" s="65">
        <f ca="1">VLOOKUP($A59,INDIRECT($P$2),COLUMN()-1,FALSE)*VLOOKUP($A59,Usinas!$C:$D,2,FALSE)</f>
        <v>178.66579999999999</v>
      </c>
      <c r="M59" s="65">
        <f ca="1">VLOOKUP($A59,INDIRECT($P$2),COLUMN()-1,FALSE)*VLOOKUP($A59,Usinas!$C:$D,2,FALSE)</f>
        <v>209.87379999999999</v>
      </c>
      <c r="N59" s="65">
        <f ca="1">VLOOKUP($A59,INDIRECT($P$2),COLUMN()-1,FALSE)*VLOOKUP($A59,Usinas!$C:$D,2,FALSE)</f>
        <v>223.91740000000001</v>
      </c>
      <c r="O59" s="65">
        <f ca="1">VLOOKUP($A59,INDIRECT($P$2),COLUMN()-1,FALSE)*VLOOKUP($A59,Usinas!$C:$D,2,FALSE)</f>
        <v>332.75529999999998</v>
      </c>
    </row>
    <row r="60" spans="1:15" hidden="1" outlineLevel="1" x14ac:dyDescent="0.25">
      <c r="A60" s="18"/>
      <c r="B60" s="19" t="s">
        <v>56</v>
      </c>
      <c r="D60" s="66">
        <f t="shared" ref="D60:I60" ca="1" si="5">SUM(D54:D59)</f>
        <v>1479.9179999999999</v>
      </c>
      <c r="E60" s="49">
        <f t="shared" ca="1" si="5"/>
        <v>1586.0933</v>
      </c>
      <c r="F60" s="49">
        <f t="shared" ca="1" si="5"/>
        <v>1363.8966</v>
      </c>
      <c r="G60" s="49">
        <f t="shared" ca="1" si="5"/>
        <v>927.81849999999997</v>
      </c>
      <c r="H60" s="49">
        <f t="shared" ca="1" si="5"/>
        <v>729.78189999999995</v>
      </c>
      <c r="I60" s="67">
        <f t="shared" ca="1" si="5"/>
        <v>719.60649999999998</v>
      </c>
      <c r="J60" s="66">
        <f t="shared" ref="J60:O60" ca="1" si="6">SUM(J54:J59)</f>
        <v>582.75369999999998</v>
      </c>
      <c r="K60" s="49">
        <f t="shared" ca="1" si="6"/>
        <v>501.53560000000004</v>
      </c>
      <c r="L60" s="49">
        <f t="shared" ca="1" si="6"/>
        <v>528.23700000000008</v>
      </c>
      <c r="M60" s="49">
        <f t="shared" ca="1" si="6"/>
        <v>626.00199999999995</v>
      </c>
      <c r="N60" s="49">
        <f t="shared" ca="1" si="6"/>
        <v>670.50110000000006</v>
      </c>
      <c r="O60" s="67">
        <f t="shared" ca="1" si="6"/>
        <v>1006.3512000000001</v>
      </c>
    </row>
    <row r="61" spans="1:15" hidden="1" outlineLevel="1" x14ac:dyDescent="0.25">
      <c r="A61" s="20"/>
      <c r="B61" s="21" t="s">
        <v>0</v>
      </c>
      <c r="D61" s="68"/>
      <c r="E61" s="69"/>
      <c r="F61" s="69"/>
      <c r="G61" s="69"/>
      <c r="H61" s="69"/>
      <c r="I61" s="70"/>
      <c r="J61" s="68"/>
      <c r="K61" s="69"/>
      <c r="L61" s="69"/>
      <c r="M61" s="69"/>
      <c r="N61" s="69"/>
      <c r="O61" s="70"/>
    </row>
    <row r="62" spans="1:15" hidden="1" outlineLevel="1" x14ac:dyDescent="0.25">
      <c r="A62" s="1"/>
      <c r="B62" s="133"/>
      <c r="D62" s="50"/>
      <c r="E62" s="51"/>
      <c r="F62" s="51"/>
      <c r="G62" s="51"/>
      <c r="H62" s="51"/>
      <c r="I62" s="51"/>
      <c r="J62" s="50"/>
      <c r="K62" s="51"/>
      <c r="L62" s="51"/>
      <c r="M62" s="51"/>
      <c r="N62" s="51"/>
      <c r="O62" s="51"/>
    </row>
    <row r="63" spans="1:15" hidden="1" outlineLevel="1" x14ac:dyDescent="0.25">
      <c r="A63" s="63"/>
      <c r="B63" s="64"/>
      <c r="D63" s="320" t="s">
        <v>88</v>
      </c>
      <c r="E63" s="321" t="s">
        <v>58</v>
      </c>
      <c r="F63" s="321" t="s">
        <v>89</v>
      </c>
      <c r="G63" s="321"/>
      <c r="H63" s="321"/>
      <c r="I63" s="321"/>
      <c r="J63" s="321" t="s">
        <v>88</v>
      </c>
      <c r="K63" s="321" t="s">
        <v>58</v>
      </c>
      <c r="L63" s="321" t="s">
        <v>89</v>
      </c>
      <c r="M63" s="321"/>
      <c r="N63" s="321"/>
      <c r="O63" s="322"/>
    </row>
    <row r="64" spans="1:15" hidden="1" outlineLevel="2" x14ac:dyDescent="0.25">
      <c r="A64" s="61">
        <v>47</v>
      </c>
      <c r="B64" s="62" t="s">
        <v>90</v>
      </c>
      <c r="D64" s="65">
        <f ca="1">VLOOKUP($A64,INDIRECT($P$2),COLUMN()-1,FALSE)*VLOOKUP($A64,Usinas!$C:$D,2,FALSE)</f>
        <v>95.680200000000013</v>
      </c>
      <c r="E64" s="65">
        <f ca="1">VLOOKUP($A64,INDIRECT($P$2),COLUMN()-1,FALSE)*VLOOKUP($A64,Usinas!$C:$D,2,FALSE)</f>
        <v>107.67680000000001</v>
      </c>
      <c r="F64" s="65">
        <f ca="1">VLOOKUP($A64,INDIRECT($P$2),COLUMN()-1,FALSE)*VLOOKUP($A64,Usinas!$C:$D,2,FALSE)</f>
        <v>91.291200000000003</v>
      </c>
      <c r="G64" s="65">
        <f ca="1">VLOOKUP($A64,INDIRECT($P$2),COLUMN()-1,FALSE)*VLOOKUP($A64,Usinas!$C:$D,2,FALSE)</f>
        <v>64.372</v>
      </c>
      <c r="H64" s="65">
        <f ca="1">VLOOKUP($A64,INDIRECT($P$2),COLUMN()-1,FALSE)*VLOOKUP($A64,Usinas!$C:$D,2,FALSE)</f>
        <v>56.471800000000002</v>
      </c>
      <c r="I64" s="65">
        <f ca="1">VLOOKUP($A64,INDIRECT($P$2),COLUMN()-1,FALSE)*VLOOKUP($A64,Usinas!$C:$D,2,FALSE)</f>
        <v>58.812600000000003</v>
      </c>
      <c r="J64" s="65">
        <f ca="1">VLOOKUP($A64,INDIRECT($P$2),COLUMN()-1,FALSE)*VLOOKUP($A64,Usinas!$C:$D,2,FALSE)</f>
        <v>51.790200000000006</v>
      </c>
      <c r="K64" s="65">
        <f ca="1">VLOOKUP($A64,INDIRECT($P$2),COLUMN()-1,FALSE)*VLOOKUP($A64,Usinas!$C:$D,2,FALSE)</f>
        <v>43.304800000000007</v>
      </c>
      <c r="L64" s="65">
        <f ca="1">VLOOKUP($A64,INDIRECT($P$2),COLUMN()-1,FALSE)*VLOOKUP($A64,Usinas!$C:$D,2,FALSE)</f>
        <v>46.523400000000002</v>
      </c>
      <c r="M64" s="65">
        <f ca="1">VLOOKUP($A64,INDIRECT($P$2),COLUMN()-1,FALSE)*VLOOKUP($A64,Usinas!$C:$D,2,FALSE)</f>
        <v>55.886600000000008</v>
      </c>
      <c r="N64" s="65">
        <f ca="1">VLOOKUP($A64,INDIRECT($P$2),COLUMN()-1,FALSE)*VLOOKUP($A64,Usinas!$C:$D,2,FALSE)</f>
        <v>52.960600000000007</v>
      </c>
      <c r="O64" s="65">
        <f ca="1">VLOOKUP($A64,INDIRECT($P$2),COLUMN()-1,FALSE)*VLOOKUP($A64,Usinas!$C:$D,2,FALSE)</f>
        <v>68.17580000000001</v>
      </c>
    </row>
    <row r="65" spans="1:15" hidden="1" outlineLevel="2" x14ac:dyDescent="0.25">
      <c r="A65" s="61">
        <v>48</v>
      </c>
      <c r="B65" s="62" t="s">
        <v>91</v>
      </c>
      <c r="D65" s="65">
        <f ca="1">VLOOKUP($A65,INDIRECT($P$2),COLUMN()-1,FALSE)*VLOOKUP($A65,Usinas!$C:$D,2,FALSE)</f>
        <v>76.686400000000006</v>
      </c>
      <c r="E65" s="65">
        <f ca="1">VLOOKUP($A65,INDIRECT($P$2),COLUMN()-1,FALSE)*VLOOKUP($A65,Usinas!$C:$D,2,FALSE)</f>
        <v>86.559200000000004</v>
      </c>
      <c r="F65" s="65">
        <f ca="1">VLOOKUP($A65,INDIRECT($P$2),COLUMN()-1,FALSE)*VLOOKUP($A65,Usinas!$C:$D,2,FALSE)</f>
        <v>73.471999999999994</v>
      </c>
      <c r="G65" s="65">
        <f ca="1">VLOOKUP($A65,INDIRECT($P$2),COLUMN()-1,FALSE)*VLOOKUP($A65,Usinas!$C:$D,2,FALSE)</f>
        <v>51.889600000000002</v>
      </c>
      <c r="H65" s="65">
        <f ca="1">VLOOKUP($A65,INDIRECT($P$2),COLUMN()-1,FALSE)*VLOOKUP($A65,Usinas!$C:$D,2,FALSE)</f>
        <v>45.231200000000001</v>
      </c>
      <c r="I65" s="65">
        <f ca="1">VLOOKUP($A65,INDIRECT($P$2),COLUMN()-1,FALSE)*VLOOKUP($A65,Usinas!$C:$D,2,FALSE)</f>
        <v>47.527200000000001</v>
      </c>
      <c r="J65" s="65">
        <f ca="1">VLOOKUP($A65,INDIRECT($P$2),COLUMN()-1,FALSE)*VLOOKUP($A65,Usinas!$C:$D,2,FALSE)</f>
        <v>41.557600000000001</v>
      </c>
      <c r="K65" s="65">
        <f ca="1">VLOOKUP($A65,INDIRECT($P$2),COLUMN()-1,FALSE)*VLOOKUP($A65,Usinas!$C:$D,2,FALSE)</f>
        <v>34.669600000000003</v>
      </c>
      <c r="L65" s="65">
        <f ca="1">VLOOKUP($A65,INDIRECT($P$2),COLUMN()-1,FALSE)*VLOOKUP($A65,Usinas!$C:$D,2,FALSE)</f>
        <v>37.424799999999998</v>
      </c>
      <c r="M65" s="65">
        <f ca="1">VLOOKUP($A65,INDIRECT($P$2),COLUMN()-1,FALSE)*VLOOKUP($A65,Usinas!$C:$D,2,FALSE)</f>
        <v>45.001599999999996</v>
      </c>
      <c r="N65" s="65">
        <f ca="1">VLOOKUP($A65,INDIRECT($P$2),COLUMN()-1,FALSE)*VLOOKUP($A65,Usinas!$C:$D,2,FALSE)</f>
        <v>42.705599999999997</v>
      </c>
      <c r="O65" s="65">
        <f ca="1">VLOOKUP($A65,INDIRECT($P$2),COLUMN()-1,FALSE)*VLOOKUP($A65,Usinas!$C:$D,2,FALSE)</f>
        <v>54.644799999999996</v>
      </c>
    </row>
    <row r="66" spans="1:15" hidden="1" outlineLevel="2" x14ac:dyDescent="0.25">
      <c r="A66" s="61">
        <v>49</v>
      </c>
      <c r="B66" s="62" t="s">
        <v>92</v>
      </c>
      <c r="D66" s="65">
        <f ca="1">VLOOKUP($A66,INDIRECT($P$2),COLUMN()-1,FALSE)*VLOOKUP($A66,Usinas!$C:$D,2,FALSE)</f>
        <v>316.09820000000002</v>
      </c>
      <c r="E66" s="65">
        <f ca="1">VLOOKUP($A66,INDIRECT($P$2),COLUMN()-1,FALSE)*VLOOKUP($A66,Usinas!$C:$D,2,FALSE)</f>
        <v>341.71090000000004</v>
      </c>
      <c r="F66" s="65">
        <f ca="1">VLOOKUP($A66,INDIRECT($P$2),COLUMN()-1,FALSE)*VLOOKUP($A66,Usinas!$C:$D,2,FALSE)</f>
        <v>282.98910000000001</v>
      </c>
      <c r="G66" s="65">
        <f ca="1">VLOOKUP($A66,INDIRECT($P$2),COLUMN()-1,FALSE)*VLOOKUP($A66,Usinas!$C:$D,2,FALSE)</f>
        <v>203.65220000000002</v>
      </c>
      <c r="H66" s="65">
        <f ca="1">VLOOKUP($A66,INDIRECT($P$2),COLUMN()-1,FALSE)*VLOOKUP($A66,Usinas!$C:$D,2,FALSE)</f>
        <v>188.03470000000002</v>
      </c>
      <c r="I66" s="65">
        <f ca="1">VLOOKUP($A66,INDIRECT($P$2),COLUMN()-1,FALSE)*VLOOKUP($A66,Usinas!$C:$D,2,FALSE)</f>
        <v>196.1558</v>
      </c>
      <c r="J66" s="65">
        <f ca="1">VLOOKUP($A66,INDIRECT($P$2),COLUMN()-1,FALSE)*VLOOKUP($A66,Usinas!$C:$D,2,FALSE)</f>
        <v>173.0419</v>
      </c>
      <c r="K66" s="65">
        <f ca="1">VLOOKUP($A66,INDIRECT($P$2),COLUMN()-1,FALSE)*VLOOKUP($A66,Usinas!$C:$D,2,FALSE)</f>
        <v>143.05630000000002</v>
      </c>
      <c r="L66" s="65">
        <f ca="1">VLOOKUP($A66,INDIRECT($P$2),COLUMN()-1,FALSE)*VLOOKUP($A66,Usinas!$C:$D,2,FALSE)</f>
        <v>159.29850000000002</v>
      </c>
      <c r="M66" s="65">
        <f ca="1">VLOOKUP($A66,INDIRECT($P$2),COLUMN()-1,FALSE)*VLOOKUP($A66,Usinas!$C:$D,2,FALSE)</f>
        <v>190.5335</v>
      </c>
      <c r="N66" s="65">
        <f ca="1">VLOOKUP($A66,INDIRECT($P$2),COLUMN()-1,FALSE)*VLOOKUP($A66,Usinas!$C:$D,2,FALSE)</f>
        <v>176.16540000000001</v>
      </c>
      <c r="O66" s="65">
        <f ca="1">VLOOKUP($A66,INDIRECT($P$2),COLUMN()-1,FALSE)*VLOOKUP($A66,Usinas!$C:$D,2,FALSE)</f>
        <v>219.2697</v>
      </c>
    </row>
    <row r="67" spans="1:15" hidden="1" outlineLevel="2" x14ac:dyDescent="0.25">
      <c r="A67" s="61">
        <v>249</v>
      </c>
      <c r="B67" s="62" t="s">
        <v>93</v>
      </c>
      <c r="D67" s="65">
        <f ca="1">VLOOKUP($A67,INDIRECT($P$2),COLUMN()-1,FALSE)*VLOOKUP($A67,Usinas!$C:$D,2,FALSE)</f>
        <v>48.332799999999999</v>
      </c>
      <c r="E67" s="65">
        <f ca="1">VLOOKUP($A67,INDIRECT($P$2),COLUMN()-1,FALSE)*VLOOKUP($A67,Usinas!$C:$D,2,FALSE)</f>
        <v>52.203199999999995</v>
      </c>
      <c r="F67" s="65">
        <f ca="1">VLOOKUP($A67,INDIRECT($P$2),COLUMN()-1,FALSE)*VLOOKUP($A67,Usinas!$C:$D,2,FALSE)</f>
        <v>43.235199999999999</v>
      </c>
      <c r="G67" s="65">
        <f ca="1">VLOOKUP($A67,INDIRECT($P$2),COLUMN()-1,FALSE)*VLOOKUP($A67,Usinas!$C:$D,2,FALSE)</f>
        <v>31.246399999999998</v>
      </c>
      <c r="H67" s="65">
        <f ca="1">VLOOKUP($A67,INDIRECT($P$2),COLUMN()-1,FALSE)*VLOOKUP($A67,Usinas!$C:$D,2,FALSE)</f>
        <v>28.791999999999998</v>
      </c>
      <c r="I67" s="65">
        <f ca="1">VLOOKUP($A67,INDIRECT($P$2),COLUMN()-1,FALSE)*VLOOKUP($A67,Usinas!$C:$D,2,FALSE)</f>
        <v>30.113599999999998</v>
      </c>
      <c r="J67" s="65">
        <f ca="1">VLOOKUP($A67,INDIRECT($P$2),COLUMN()-1,FALSE)*VLOOKUP($A67,Usinas!$C:$D,2,FALSE)</f>
        <v>26.526399999999999</v>
      </c>
      <c r="K67" s="65">
        <f ca="1">VLOOKUP($A67,INDIRECT($P$2),COLUMN()-1,FALSE)*VLOOKUP($A67,Usinas!$C:$D,2,FALSE)</f>
        <v>21.9008</v>
      </c>
      <c r="L67" s="65">
        <f ca="1">VLOOKUP($A67,INDIRECT($P$2),COLUMN()-1,FALSE)*VLOOKUP($A67,Usinas!$C:$D,2,FALSE)</f>
        <v>24.3552</v>
      </c>
      <c r="M67" s="65">
        <f ca="1">VLOOKUP($A67,INDIRECT($P$2),COLUMN()-1,FALSE)*VLOOKUP($A67,Usinas!$C:$D,2,FALSE)</f>
        <v>29.169599999999999</v>
      </c>
      <c r="N67" s="65">
        <f ca="1">VLOOKUP($A67,INDIRECT($P$2),COLUMN()-1,FALSE)*VLOOKUP($A67,Usinas!$C:$D,2,FALSE)</f>
        <v>26.9984</v>
      </c>
      <c r="O67" s="65">
        <f ca="1">VLOOKUP($A67,INDIRECT($P$2),COLUMN()-1,FALSE)*VLOOKUP($A67,Usinas!$C:$D,2,FALSE)</f>
        <v>33.512</v>
      </c>
    </row>
    <row r="68" spans="1:15" hidden="1" outlineLevel="2" x14ac:dyDescent="0.25">
      <c r="A68" s="61">
        <v>50</v>
      </c>
      <c r="B68" s="62" t="s">
        <v>94</v>
      </c>
      <c r="D68" s="65">
        <f ca="1">VLOOKUP($A68,INDIRECT($P$2),COLUMN()-1,FALSE)*VLOOKUP($A68,Usinas!$C:$D,2,FALSE)</f>
        <v>98.0535</v>
      </c>
      <c r="E68" s="65">
        <f ca="1">VLOOKUP($A68,INDIRECT($P$2),COLUMN()-1,FALSE)*VLOOKUP($A68,Usinas!$C:$D,2,FALSE)</f>
        <v>107.18519999999999</v>
      </c>
      <c r="F68" s="65">
        <f ca="1">VLOOKUP($A68,INDIRECT($P$2),COLUMN()-1,FALSE)*VLOOKUP($A68,Usinas!$C:$D,2,FALSE)</f>
        <v>90.718199999999996</v>
      </c>
      <c r="G68" s="65">
        <f ca="1">VLOOKUP($A68,INDIRECT($P$2),COLUMN()-1,FALSE)*VLOOKUP($A68,Usinas!$C:$D,2,FALSE)</f>
        <v>67.065600000000003</v>
      </c>
      <c r="H68" s="65">
        <f ca="1">VLOOKUP($A68,INDIRECT($P$2),COLUMN()-1,FALSE)*VLOOKUP($A68,Usinas!$C:$D,2,FALSE)</f>
        <v>61.2273</v>
      </c>
      <c r="I68" s="65">
        <f ca="1">VLOOKUP($A68,INDIRECT($P$2),COLUMN()-1,FALSE)*VLOOKUP($A68,Usinas!$C:$D,2,FALSE)</f>
        <v>63.622500000000002</v>
      </c>
      <c r="J68" s="65">
        <f ca="1">VLOOKUP($A68,INDIRECT($P$2),COLUMN()-1,FALSE)*VLOOKUP($A68,Usinas!$C:$D,2,FALSE)</f>
        <v>55.389000000000003</v>
      </c>
      <c r="K68" s="65">
        <f ca="1">VLOOKUP($A68,INDIRECT($P$2),COLUMN()-1,FALSE)*VLOOKUP($A68,Usinas!$C:$D,2,FALSE)</f>
        <v>46.406999999999996</v>
      </c>
      <c r="L68" s="65">
        <f ca="1">VLOOKUP($A68,INDIRECT($P$2),COLUMN()-1,FALSE)*VLOOKUP($A68,Usinas!$C:$D,2,FALSE)</f>
        <v>50.598599999999998</v>
      </c>
      <c r="M68" s="65">
        <f ca="1">VLOOKUP($A68,INDIRECT($P$2),COLUMN()-1,FALSE)*VLOOKUP($A68,Usinas!$C:$D,2,FALSE)</f>
        <v>59.7303</v>
      </c>
      <c r="N68" s="65">
        <f ca="1">VLOOKUP($A68,INDIRECT($P$2),COLUMN()-1,FALSE)*VLOOKUP($A68,Usinas!$C:$D,2,FALSE)</f>
        <v>56.137500000000003</v>
      </c>
      <c r="O68" s="65">
        <f ca="1">VLOOKUP($A68,INDIRECT($P$2),COLUMN()-1,FALSE)*VLOOKUP($A68,Usinas!$C:$D,2,FALSE)</f>
        <v>69.460800000000006</v>
      </c>
    </row>
    <row r="69" spans="1:15" hidden="1" outlineLevel="2" x14ac:dyDescent="0.25">
      <c r="A69" s="61">
        <v>51</v>
      </c>
      <c r="B69" s="62" t="s">
        <v>95</v>
      </c>
      <c r="D69" s="65">
        <f ca="1">VLOOKUP($A69,INDIRECT($P$2),COLUMN()-1,FALSE)*VLOOKUP($A69,Usinas!$C:$D,2,FALSE)</f>
        <v>85.718499999999992</v>
      </c>
      <c r="E69" s="65">
        <f ca="1">VLOOKUP($A69,INDIRECT($P$2),COLUMN()-1,FALSE)*VLOOKUP($A69,Usinas!$C:$D,2,FALSE)</f>
        <v>93.968099999999993</v>
      </c>
      <c r="F69" s="65">
        <f ca="1">VLOOKUP($A69,INDIRECT($P$2),COLUMN()-1,FALSE)*VLOOKUP($A69,Usinas!$C:$D,2,FALSE)</f>
        <v>79.660199999999989</v>
      </c>
      <c r="G69" s="65">
        <f ca="1">VLOOKUP($A69,INDIRECT($P$2),COLUMN()-1,FALSE)*VLOOKUP($A69,Usinas!$C:$D,2,FALSE)</f>
        <v>58.907299999999992</v>
      </c>
      <c r="H69" s="65">
        <f ca="1">VLOOKUP($A69,INDIRECT($P$2),COLUMN()-1,FALSE)*VLOOKUP($A69,Usinas!$C:$D,2,FALSE)</f>
        <v>53.751299999999993</v>
      </c>
      <c r="I69" s="65">
        <f ca="1">VLOOKUP($A69,INDIRECT($P$2),COLUMN()-1,FALSE)*VLOOKUP($A69,Usinas!$C:$D,2,FALSE)</f>
        <v>55.942599999999992</v>
      </c>
      <c r="J69" s="65">
        <f ca="1">VLOOKUP($A69,INDIRECT($P$2),COLUMN()-1,FALSE)*VLOOKUP($A69,Usinas!$C:$D,2,FALSE)</f>
        <v>48.595299999999995</v>
      </c>
      <c r="K69" s="65">
        <f ca="1">VLOOKUP($A69,INDIRECT($P$2),COLUMN()-1,FALSE)*VLOOKUP($A69,Usinas!$C:$D,2,FALSE)</f>
        <v>40.732399999999998</v>
      </c>
      <c r="L69" s="65">
        <f ca="1">VLOOKUP($A69,INDIRECT($P$2),COLUMN()-1,FALSE)*VLOOKUP($A69,Usinas!$C:$D,2,FALSE)</f>
        <v>44.470499999999994</v>
      </c>
      <c r="M69" s="65">
        <f ca="1">VLOOKUP($A69,INDIRECT($P$2),COLUMN()-1,FALSE)*VLOOKUP($A69,Usinas!$C:$D,2,FALSE)</f>
        <v>52.462299999999992</v>
      </c>
      <c r="N69" s="65">
        <f ca="1">VLOOKUP($A69,INDIRECT($P$2),COLUMN()-1,FALSE)*VLOOKUP($A69,Usinas!$C:$D,2,FALSE)</f>
        <v>49.368699999999997</v>
      </c>
      <c r="O69" s="65">
        <f ca="1">VLOOKUP($A69,INDIRECT($P$2),COLUMN()-1,FALSE)*VLOOKUP($A69,Usinas!$C:$D,2,FALSE)</f>
        <v>60.840799999999994</v>
      </c>
    </row>
    <row r="70" spans="1:15" hidden="1" outlineLevel="2" x14ac:dyDescent="0.25">
      <c r="A70" s="61">
        <v>52</v>
      </c>
      <c r="B70" s="62" t="s">
        <v>96</v>
      </c>
      <c r="D70" s="65">
        <f ca="1">VLOOKUP($A70,INDIRECT($P$2),COLUMN()-1,FALSE)*VLOOKUP($A70,Usinas!$C:$D,2,FALSE)</f>
        <v>103.81920000000001</v>
      </c>
      <c r="E70" s="65">
        <f ca="1">VLOOKUP($A70,INDIRECT($P$2),COLUMN()-1,FALSE)*VLOOKUP($A70,Usinas!$C:$D,2,FALSE)</f>
        <v>114.08040000000001</v>
      </c>
      <c r="F70" s="65">
        <f ca="1">VLOOKUP($A70,INDIRECT($P$2),COLUMN()-1,FALSE)*VLOOKUP($A70,Usinas!$C:$D,2,FALSE)</f>
        <v>96.877800000000008</v>
      </c>
      <c r="G70" s="65">
        <f ca="1">VLOOKUP($A70,INDIRECT($P$2),COLUMN()-1,FALSE)*VLOOKUP($A70,Usinas!$C:$D,2,FALSE)</f>
        <v>71.979300000000009</v>
      </c>
      <c r="H70" s="65">
        <f ca="1">VLOOKUP($A70,INDIRECT($P$2),COLUMN()-1,FALSE)*VLOOKUP($A70,Usinas!$C:$D,2,FALSE)</f>
        <v>65.490600000000001</v>
      </c>
      <c r="I70" s="65">
        <f ca="1">VLOOKUP($A70,INDIRECT($P$2),COLUMN()-1,FALSE)*VLOOKUP($A70,Usinas!$C:$D,2,FALSE)</f>
        <v>68.206800000000001</v>
      </c>
      <c r="J70" s="65">
        <f ca="1">VLOOKUP($A70,INDIRECT($P$2),COLUMN()-1,FALSE)*VLOOKUP($A70,Usinas!$C:$D,2,FALSE)</f>
        <v>59.152799999999999</v>
      </c>
      <c r="K70" s="65">
        <f ca="1">VLOOKUP($A70,INDIRECT($P$2),COLUMN()-1,FALSE)*VLOOKUP($A70,Usinas!$C:$D,2,FALSE)</f>
        <v>49.646100000000004</v>
      </c>
      <c r="L70" s="65">
        <f ca="1">VLOOKUP($A70,INDIRECT($P$2),COLUMN()-1,FALSE)*VLOOKUP($A70,Usinas!$C:$D,2,FALSE)</f>
        <v>54.022200000000005</v>
      </c>
      <c r="M70" s="65">
        <f ca="1">VLOOKUP($A70,INDIRECT($P$2),COLUMN()-1,FALSE)*VLOOKUP($A70,Usinas!$C:$D,2,FALSE)</f>
        <v>63.6798</v>
      </c>
      <c r="N70" s="65">
        <f ca="1">VLOOKUP($A70,INDIRECT($P$2),COLUMN()-1,FALSE)*VLOOKUP($A70,Usinas!$C:$D,2,FALSE)</f>
        <v>60.058199999999999</v>
      </c>
      <c r="O70" s="65">
        <f ca="1">VLOOKUP($A70,INDIRECT($P$2),COLUMN()-1,FALSE)*VLOOKUP($A70,Usinas!$C:$D,2,FALSE)</f>
        <v>73.941000000000003</v>
      </c>
    </row>
    <row r="71" spans="1:15" hidden="1" outlineLevel="2" x14ac:dyDescent="0.25">
      <c r="A71" s="61">
        <v>61</v>
      </c>
      <c r="B71" s="62" t="s">
        <v>97</v>
      </c>
      <c r="D71" s="65">
        <f ca="1">VLOOKUP($A71,INDIRECT($P$2),COLUMN()-1,FALSE)*VLOOKUP($A71,Usinas!$C:$D,2,FALSE)</f>
        <v>553.08799999999997</v>
      </c>
      <c r="E71" s="65">
        <f ca="1">VLOOKUP($A71,INDIRECT($P$2),COLUMN()-1,FALSE)*VLOOKUP($A71,Usinas!$C:$D,2,FALSE)</f>
        <v>583.15519999999992</v>
      </c>
      <c r="F71" s="65">
        <f ca="1">VLOOKUP($A71,INDIRECT($P$2),COLUMN()-1,FALSE)*VLOOKUP($A71,Usinas!$C:$D,2,FALSE)</f>
        <v>476.99199999999996</v>
      </c>
      <c r="G71" s="65">
        <f ca="1">VLOOKUP($A71,INDIRECT($P$2),COLUMN()-1,FALSE)*VLOOKUP($A71,Usinas!$C:$D,2,FALSE)</f>
        <v>363.77599999999995</v>
      </c>
      <c r="H71" s="65">
        <f ca="1">VLOOKUP($A71,INDIRECT($P$2),COLUMN()-1,FALSE)*VLOOKUP($A71,Usinas!$C:$D,2,FALSE)</f>
        <v>364.51839999999999</v>
      </c>
      <c r="I71" s="65">
        <f ca="1">VLOOKUP($A71,INDIRECT($P$2),COLUMN()-1,FALSE)*VLOOKUP($A71,Usinas!$C:$D,2,FALSE)</f>
        <v>397.92639999999994</v>
      </c>
      <c r="J71" s="65">
        <f ca="1">VLOOKUP($A71,INDIRECT($P$2),COLUMN()-1,FALSE)*VLOOKUP($A71,Usinas!$C:$D,2,FALSE)</f>
        <v>360.06399999999996</v>
      </c>
      <c r="K71" s="65">
        <f ca="1">VLOOKUP($A71,INDIRECT($P$2),COLUMN()-1,FALSE)*VLOOKUP($A71,Usinas!$C:$D,2,FALSE)</f>
        <v>296.2176</v>
      </c>
      <c r="L71" s="65">
        <f ca="1">VLOOKUP($A71,INDIRECT($P$2),COLUMN()-1,FALSE)*VLOOKUP($A71,Usinas!$C:$D,2,FALSE)</f>
        <v>327.39839999999998</v>
      </c>
      <c r="M71" s="65">
        <f ca="1">VLOOKUP($A71,INDIRECT($P$2),COLUMN()-1,FALSE)*VLOOKUP($A71,Usinas!$C:$D,2,FALSE)</f>
        <v>406.83519999999999</v>
      </c>
      <c r="N71" s="65">
        <f ca="1">VLOOKUP($A71,INDIRECT($P$2),COLUMN()-1,FALSE)*VLOOKUP($A71,Usinas!$C:$D,2,FALSE)</f>
        <v>366.37439999999998</v>
      </c>
      <c r="O71" s="65">
        <f ca="1">VLOOKUP($A71,INDIRECT($P$2),COLUMN()-1,FALSE)*VLOOKUP($A71,Usinas!$C:$D,2,FALSE)</f>
        <v>403.49439999999998</v>
      </c>
    </row>
    <row r="72" spans="1:15" hidden="1" outlineLevel="2" x14ac:dyDescent="0.25">
      <c r="A72" s="61">
        <v>62</v>
      </c>
      <c r="B72" s="62" t="s">
        <v>98</v>
      </c>
      <c r="D72" s="65">
        <f ca="1">VLOOKUP($A72,INDIRECT($P$2),COLUMN()-1,FALSE)*VLOOKUP($A72,Usinas!$C:$D,2,FALSE)</f>
        <v>350.80520000000001</v>
      </c>
      <c r="E72" s="65">
        <f ca="1">VLOOKUP($A72,INDIRECT($P$2),COLUMN()-1,FALSE)*VLOOKUP($A72,Usinas!$C:$D,2,FALSE)</f>
        <v>370.54360000000003</v>
      </c>
      <c r="F72" s="65">
        <f ca="1">VLOOKUP($A72,INDIRECT($P$2),COLUMN()-1,FALSE)*VLOOKUP($A72,Usinas!$C:$D,2,FALSE)</f>
        <v>303.92649999999998</v>
      </c>
      <c r="G72" s="65">
        <f ca="1">VLOOKUP($A72,INDIRECT($P$2),COLUMN()-1,FALSE)*VLOOKUP($A72,Usinas!$C:$D,2,FALSE)</f>
        <v>231.92619999999999</v>
      </c>
      <c r="H72" s="65">
        <f ca="1">VLOOKUP($A72,INDIRECT($P$2),COLUMN()-1,FALSE)*VLOOKUP($A72,Usinas!$C:$D,2,FALSE)</f>
        <v>232.37479999999999</v>
      </c>
      <c r="I72" s="65">
        <f ca="1">VLOOKUP($A72,INDIRECT($P$2),COLUMN()-1,FALSE)*VLOOKUP($A72,Usinas!$C:$D,2,FALSE)</f>
        <v>253.9076</v>
      </c>
      <c r="J72" s="65">
        <f ca="1">VLOOKUP($A72,INDIRECT($P$2),COLUMN()-1,FALSE)*VLOOKUP($A72,Usinas!$C:$D,2,FALSE)</f>
        <v>230.3561</v>
      </c>
      <c r="K72" s="65">
        <f ca="1">VLOOKUP($A72,INDIRECT($P$2),COLUMN()-1,FALSE)*VLOOKUP($A72,Usinas!$C:$D,2,FALSE)</f>
        <v>189.7578</v>
      </c>
      <c r="L72" s="65">
        <f ca="1">VLOOKUP($A72,INDIRECT($P$2),COLUMN()-1,FALSE)*VLOOKUP($A72,Usinas!$C:$D,2,FALSE)</f>
        <v>208.59899999999999</v>
      </c>
      <c r="M72" s="65">
        <f ca="1">VLOOKUP($A72,INDIRECT($P$2),COLUMN()-1,FALSE)*VLOOKUP($A72,Usinas!$C:$D,2,FALSE)</f>
        <v>260.18799999999999</v>
      </c>
      <c r="N72" s="65">
        <f ca="1">VLOOKUP($A72,INDIRECT($P$2),COLUMN()-1,FALSE)*VLOOKUP($A72,Usinas!$C:$D,2,FALSE)</f>
        <v>234.61779999999999</v>
      </c>
      <c r="O72" s="65">
        <f ca="1">VLOOKUP($A72,INDIRECT($P$2),COLUMN()-1,FALSE)*VLOOKUP($A72,Usinas!$C:$D,2,FALSE)</f>
        <v>256.82350000000002</v>
      </c>
    </row>
    <row r="73" spans="1:15" hidden="1" outlineLevel="2" x14ac:dyDescent="0.25">
      <c r="A73" s="61">
        <v>63</v>
      </c>
      <c r="B73" s="62" t="s">
        <v>99</v>
      </c>
      <c r="D73" s="65">
        <f ca="1">VLOOKUP($A73,INDIRECT($P$2),COLUMN()-1,FALSE)*VLOOKUP($A73,Usinas!$C:$D,2,FALSE)</f>
        <v>321.74009999999998</v>
      </c>
      <c r="E73" s="65">
        <f ca="1">VLOOKUP($A73,INDIRECT($P$2),COLUMN()-1,FALSE)*VLOOKUP($A73,Usinas!$C:$D,2,FALSE)</f>
        <v>340.92899999999997</v>
      </c>
      <c r="F73" s="65">
        <f ca="1">VLOOKUP($A73,INDIRECT($P$2),COLUMN()-1,FALSE)*VLOOKUP($A73,Usinas!$C:$D,2,FALSE)</f>
        <v>283.3623</v>
      </c>
      <c r="G73" s="65">
        <f ca="1">VLOOKUP($A73,INDIRECT($P$2),COLUMN()-1,FALSE)*VLOOKUP($A73,Usinas!$C:$D,2,FALSE)</f>
        <v>216.85319999999999</v>
      </c>
      <c r="H73" s="65">
        <f ca="1">VLOOKUP($A73,INDIRECT($P$2),COLUMN()-1,FALSE)*VLOOKUP($A73,Usinas!$C:$D,2,FALSE)</f>
        <v>216.108</v>
      </c>
      <c r="I73" s="65">
        <f ca="1">VLOOKUP($A73,INDIRECT($P$2),COLUMN()-1,FALSE)*VLOOKUP($A73,Usinas!$C:$D,2,FALSE)</f>
        <v>237.5325</v>
      </c>
      <c r="J73" s="65">
        <f ca="1">VLOOKUP($A73,INDIRECT($P$2),COLUMN()-1,FALSE)*VLOOKUP($A73,Usinas!$C:$D,2,FALSE)</f>
        <v>215.36279999999999</v>
      </c>
      <c r="K73" s="65">
        <f ca="1">VLOOKUP($A73,INDIRECT($P$2),COLUMN()-1,FALSE)*VLOOKUP($A73,Usinas!$C:$D,2,FALSE)</f>
        <v>179.0343</v>
      </c>
      <c r="L73" s="65">
        <f ca="1">VLOOKUP($A73,INDIRECT($P$2),COLUMN()-1,FALSE)*VLOOKUP($A73,Usinas!$C:$D,2,FALSE)</f>
        <v>194.68349999999998</v>
      </c>
      <c r="M73" s="65">
        <f ca="1">VLOOKUP($A73,INDIRECT($P$2),COLUMN()-1,FALSE)*VLOOKUP($A73,Usinas!$C:$D,2,FALSE)</f>
        <v>242.74889999999999</v>
      </c>
      <c r="N73" s="65">
        <f ca="1">VLOOKUP($A73,INDIRECT($P$2),COLUMN()-1,FALSE)*VLOOKUP($A73,Usinas!$C:$D,2,FALSE)</f>
        <v>221.13809999999998</v>
      </c>
      <c r="O73" s="65">
        <f ca="1">VLOOKUP($A73,INDIRECT($P$2),COLUMN()-1,FALSE)*VLOOKUP($A73,Usinas!$C:$D,2,FALSE)</f>
        <v>239.20919999999998</v>
      </c>
    </row>
    <row r="74" spans="1:15" hidden="1" outlineLevel="1" x14ac:dyDescent="0.25">
      <c r="A74" s="18"/>
      <c r="B74" s="19" t="s">
        <v>56</v>
      </c>
      <c r="D74" s="66">
        <f t="shared" ref="D74:I74" ca="1" si="7">SUM(D64:D73)</f>
        <v>2050.0221000000001</v>
      </c>
      <c r="E74" s="49">
        <f t="shared" ca="1" si="7"/>
        <v>2198.0115999999998</v>
      </c>
      <c r="F74" s="49">
        <f t="shared" ca="1" si="7"/>
        <v>1822.5245</v>
      </c>
      <c r="G74" s="49">
        <f t="shared" ca="1" si="7"/>
        <v>1361.6677999999999</v>
      </c>
      <c r="H74" s="49">
        <f t="shared" ca="1" si="7"/>
        <v>1312.0001</v>
      </c>
      <c r="I74" s="67">
        <f t="shared" ca="1" si="7"/>
        <v>1409.7475999999999</v>
      </c>
      <c r="J74" s="66">
        <f t="shared" ref="J74:O74" ca="1" si="8">SUM(J64:J73)</f>
        <v>1261.8361</v>
      </c>
      <c r="K74" s="49">
        <f t="shared" ca="1" si="8"/>
        <v>1044.7266999999999</v>
      </c>
      <c r="L74" s="49">
        <f t="shared" ca="1" si="8"/>
        <v>1147.3741</v>
      </c>
      <c r="M74" s="49">
        <f t="shared" ca="1" si="8"/>
        <v>1406.2357999999999</v>
      </c>
      <c r="N74" s="49">
        <f t="shared" ca="1" si="8"/>
        <v>1286.5246999999997</v>
      </c>
      <c r="O74" s="67">
        <f t="shared" ca="1" si="8"/>
        <v>1479.3720000000001</v>
      </c>
    </row>
    <row r="75" spans="1:15" hidden="1" outlineLevel="1" x14ac:dyDescent="0.25">
      <c r="A75" s="20"/>
      <c r="B75" s="21" t="s">
        <v>0</v>
      </c>
      <c r="D75" s="68"/>
      <c r="E75" s="69"/>
      <c r="F75" s="69"/>
      <c r="G75" s="69"/>
      <c r="H75" s="69"/>
      <c r="I75" s="70"/>
      <c r="J75" s="68"/>
      <c r="K75" s="69"/>
      <c r="L75" s="69"/>
      <c r="M75" s="69"/>
      <c r="N75" s="69"/>
      <c r="O75" s="70"/>
    </row>
    <row r="76" spans="1:15" hidden="1" outlineLevel="1" x14ac:dyDescent="0.25">
      <c r="A76" s="52"/>
      <c r="B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</row>
    <row r="77" spans="1:15" hidden="1" outlineLevel="1" x14ac:dyDescent="0.25">
      <c r="A77" s="63"/>
      <c r="B77" s="64"/>
      <c r="D77" s="320" t="s">
        <v>100</v>
      </c>
      <c r="E77" s="321" t="s">
        <v>58</v>
      </c>
      <c r="F77" s="321" t="s">
        <v>101</v>
      </c>
      <c r="G77" s="321"/>
      <c r="H77" s="321"/>
      <c r="I77" s="321"/>
      <c r="J77" s="321" t="s">
        <v>100</v>
      </c>
      <c r="K77" s="321" t="s">
        <v>58</v>
      </c>
      <c r="L77" s="321" t="s">
        <v>101</v>
      </c>
      <c r="M77" s="321"/>
      <c r="N77" s="321"/>
      <c r="O77" s="322"/>
    </row>
    <row r="78" spans="1:15" hidden="1" outlineLevel="2" x14ac:dyDescent="0.25">
      <c r="A78" s="61">
        <v>34</v>
      </c>
      <c r="B78" s="62" t="s">
        <v>102</v>
      </c>
      <c r="D78" s="65">
        <f ca="1">VLOOKUP($A78,INDIRECT($P$2),COLUMN()-1,FALSE)*VLOOKUP($A78,Usinas!$C:$D,2,FALSE)</f>
        <v>3496.8564000000001</v>
      </c>
      <c r="E78" s="65">
        <f ca="1">VLOOKUP($A78,INDIRECT($P$2),COLUMN()-1,FALSE)*VLOOKUP($A78,Usinas!$C:$D,2,FALSE)</f>
        <v>3676.3024</v>
      </c>
      <c r="F78" s="65">
        <f ca="1">VLOOKUP($A78,INDIRECT($P$2),COLUMN()-1,FALSE)*VLOOKUP($A78,Usinas!$C:$D,2,FALSE)</f>
        <v>3513.2406000000001</v>
      </c>
      <c r="G78" s="65">
        <f ca="1">VLOOKUP($A78,INDIRECT($P$2),COLUMN()-1,FALSE)*VLOOKUP($A78,Usinas!$C:$D,2,FALSE)</f>
        <v>2646.8285000000001</v>
      </c>
      <c r="H78" s="65">
        <f ca="1">VLOOKUP($A78,INDIRECT($P$2),COLUMN()-1,FALSE)*VLOOKUP($A78,Usinas!$C:$D,2,FALSE)</f>
        <v>1813.1848</v>
      </c>
      <c r="I78" s="65">
        <f ca="1">VLOOKUP($A78,INDIRECT($P$2),COLUMN()-1,FALSE)*VLOOKUP($A78,Usinas!$C:$D,2,FALSE)</f>
        <v>1483.1602</v>
      </c>
      <c r="J78" s="65">
        <f ca="1">VLOOKUP($A78,INDIRECT($P$2),COLUMN()-1,FALSE)*VLOOKUP($A78,Usinas!$C:$D,2,FALSE)</f>
        <v>1213.9911999999999</v>
      </c>
      <c r="K78" s="65">
        <f ca="1">VLOOKUP($A78,INDIRECT($P$2),COLUMN()-1,FALSE)*VLOOKUP($A78,Usinas!$C:$D,2,FALSE)</f>
        <v>1017.3808</v>
      </c>
      <c r="L78" s="65">
        <f ca="1">VLOOKUP($A78,INDIRECT($P$2),COLUMN()-1,FALSE)*VLOOKUP($A78,Usinas!$C:$D,2,FALSE)</f>
        <v>969.78859999999997</v>
      </c>
      <c r="M78" s="65">
        <f ca="1">VLOOKUP($A78,INDIRECT($P$2),COLUMN()-1,FALSE)*VLOOKUP($A78,Usinas!$C:$D,2,FALSE)</f>
        <v>1121.9276</v>
      </c>
      <c r="N78" s="65">
        <f ca="1">VLOOKUP($A78,INDIRECT($P$2),COLUMN()-1,FALSE)*VLOOKUP($A78,Usinas!$C:$D,2,FALSE)</f>
        <v>1528.0217</v>
      </c>
      <c r="O78" s="65">
        <f ca="1">VLOOKUP($A78,INDIRECT($P$2),COLUMN()-1,FALSE)*VLOOKUP($A78,Usinas!$C:$D,2,FALSE)</f>
        <v>2450.9983000000002</v>
      </c>
    </row>
    <row r="79" spans="1:15" hidden="1" outlineLevel="2" x14ac:dyDescent="0.25">
      <c r="A79" s="61">
        <v>45</v>
      </c>
      <c r="B79" s="62" t="s">
        <v>103</v>
      </c>
      <c r="D79" s="65">
        <f ca="1">VLOOKUP($A79,INDIRECT($P$2),COLUMN()-1,FALSE)*VLOOKUP($A79,Usinas!$C:$D,2,FALSE)</f>
        <v>2105.73</v>
      </c>
      <c r="E79" s="65">
        <f ca="1">VLOOKUP($A79,INDIRECT($P$2),COLUMN()-1,FALSE)*VLOOKUP($A79,Usinas!$C:$D,2,FALSE)</f>
        <v>2227.8960000000002</v>
      </c>
      <c r="F79" s="65">
        <f ca="1">VLOOKUP($A79,INDIRECT($P$2),COLUMN()-1,FALSE)*VLOOKUP($A79,Usinas!$C:$D,2,FALSE)</f>
        <v>2103.3540000000003</v>
      </c>
      <c r="G79" s="65">
        <f ca="1">VLOOKUP($A79,INDIRECT($P$2),COLUMN()-1,FALSE)*VLOOKUP($A79,Usinas!$C:$D,2,FALSE)</f>
        <v>1577.4660000000001</v>
      </c>
      <c r="H79" s="65">
        <f ca="1">VLOOKUP($A79,INDIRECT($P$2),COLUMN()-1,FALSE)*VLOOKUP($A79,Usinas!$C:$D,2,FALSE)</f>
        <v>1107.2160000000001</v>
      </c>
      <c r="I79" s="65">
        <f ca="1">VLOOKUP($A79,INDIRECT($P$2),COLUMN()-1,FALSE)*VLOOKUP($A79,Usinas!$C:$D,2,FALSE)</f>
        <v>936.14400000000001</v>
      </c>
      <c r="J79" s="65">
        <f ca="1">VLOOKUP($A79,INDIRECT($P$2),COLUMN()-1,FALSE)*VLOOKUP($A79,Usinas!$C:$D,2,FALSE)</f>
        <v>772.596</v>
      </c>
      <c r="K79" s="65">
        <f ca="1">VLOOKUP($A79,INDIRECT($P$2),COLUMN()-1,FALSE)*VLOOKUP($A79,Usinas!$C:$D,2,FALSE)</f>
        <v>658.74599999999998</v>
      </c>
      <c r="L79" s="65">
        <f ca="1">VLOOKUP($A79,INDIRECT($P$2),COLUMN()-1,FALSE)*VLOOKUP($A79,Usinas!$C:$D,2,FALSE)</f>
        <v>635.58000000000004</v>
      </c>
      <c r="M79" s="65">
        <f ca="1">VLOOKUP($A79,INDIRECT($P$2),COLUMN()-1,FALSE)*VLOOKUP($A79,Usinas!$C:$D,2,FALSE)</f>
        <v>730.02600000000007</v>
      </c>
      <c r="N79" s="65">
        <f ca="1">VLOOKUP($A79,INDIRECT($P$2),COLUMN()-1,FALSE)*VLOOKUP($A79,Usinas!$C:$D,2,FALSE)</f>
        <v>946.83600000000001</v>
      </c>
      <c r="O79" s="65">
        <f ca="1">VLOOKUP($A79,INDIRECT($P$2),COLUMN()-1,FALSE)*VLOOKUP($A79,Usinas!$C:$D,2,FALSE)</f>
        <v>1478.0700000000002</v>
      </c>
    </row>
    <row r="80" spans="1:15" hidden="1" outlineLevel="1" x14ac:dyDescent="0.25">
      <c r="A80" s="18"/>
      <c r="B80" s="19" t="s">
        <v>56</v>
      </c>
      <c r="D80" s="66">
        <f t="shared" ref="D80:I80" ca="1" si="9">SUM(D78:D79)</f>
        <v>5602.5864000000001</v>
      </c>
      <c r="E80" s="49">
        <f t="shared" ca="1" si="9"/>
        <v>5904.1984000000002</v>
      </c>
      <c r="F80" s="49">
        <f t="shared" ca="1" si="9"/>
        <v>5616.5946000000004</v>
      </c>
      <c r="G80" s="49">
        <f t="shared" ca="1" si="9"/>
        <v>4224.2945</v>
      </c>
      <c r="H80" s="49">
        <f t="shared" ca="1" si="9"/>
        <v>2920.4008000000003</v>
      </c>
      <c r="I80" s="67">
        <f t="shared" ca="1" si="9"/>
        <v>2419.3042</v>
      </c>
      <c r="J80" s="66">
        <f t="shared" ref="J80:O80" ca="1" si="10">SUM(J78:J79)</f>
        <v>1986.5871999999999</v>
      </c>
      <c r="K80" s="49">
        <f t="shared" ca="1" si="10"/>
        <v>1676.1268</v>
      </c>
      <c r="L80" s="49">
        <f t="shared" ca="1" si="10"/>
        <v>1605.3686</v>
      </c>
      <c r="M80" s="49">
        <f t="shared" ca="1" si="10"/>
        <v>1851.9536000000001</v>
      </c>
      <c r="N80" s="49">
        <f t="shared" ca="1" si="10"/>
        <v>2474.8577</v>
      </c>
      <c r="O80" s="67">
        <f t="shared" ca="1" si="10"/>
        <v>3929.0683000000004</v>
      </c>
    </row>
    <row r="81" spans="1:15" hidden="1" outlineLevel="1" x14ac:dyDescent="0.25">
      <c r="A81" s="20"/>
      <c r="B81" s="21" t="s">
        <v>0</v>
      </c>
      <c r="D81" s="68"/>
      <c r="E81" s="69"/>
      <c r="F81" s="69"/>
      <c r="G81" s="69"/>
      <c r="H81" s="69"/>
      <c r="I81" s="70"/>
      <c r="J81" s="68"/>
      <c r="K81" s="69"/>
      <c r="L81" s="69"/>
      <c r="M81" s="69"/>
      <c r="N81" s="69"/>
      <c r="O81" s="70"/>
    </row>
    <row r="82" spans="1:15" hidden="1" outlineLevel="1" x14ac:dyDescent="0.25">
      <c r="A82" s="1"/>
      <c r="B82" s="133"/>
      <c r="D82" s="50"/>
      <c r="E82" s="51"/>
      <c r="F82" s="51"/>
      <c r="G82" s="51"/>
      <c r="H82" s="51"/>
      <c r="I82" s="51"/>
      <c r="J82" s="50"/>
      <c r="K82" s="51"/>
      <c r="L82" s="51"/>
      <c r="M82" s="51"/>
      <c r="N82" s="51"/>
      <c r="O82" s="51"/>
    </row>
    <row r="83" spans="1:15" ht="17.25" hidden="1" customHeight="1" outlineLevel="1" x14ac:dyDescent="0.25">
      <c r="A83" s="63"/>
      <c r="B83" s="64"/>
      <c r="D83" s="329" t="s">
        <v>104</v>
      </c>
      <c r="E83" s="330" t="s">
        <v>58</v>
      </c>
      <c r="F83" s="330" t="s">
        <v>105</v>
      </c>
      <c r="G83" s="330"/>
      <c r="H83" s="330"/>
      <c r="I83" s="331"/>
      <c r="J83" s="329" t="s">
        <v>104</v>
      </c>
      <c r="K83" s="330" t="s">
        <v>58</v>
      </c>
      <c r="L83" s="330" t="s">
        <v>105</v>
      </c>
      <c r="M83" s="330"/>
      <c r="N83" s="330"/>
      <c r="O83" s="331"/>
    </row>
    <row r="84" spans="1:15" hidden="1" outlineLevel="2" x14ac:dyDescent="0.25">
      <c r="A84" s="61">
        <v>46</v>
      </c>
      <c r="B84" s="62" t="s">
        <v>106</v>
      </c>
      <c r="D84" s="65">
        <f ca="1">VLOOKUP($A84,INDIRECT($P$2),COLUMN()-1,FALSE)*VLOOKUP($A84,Usinas!$C:$D,2,FALSE)</f>
        <v>1832.1093000000001</v>
      </c>
      <c r="E84" s="65">
        <f ca="1">VLOOKUP($A84,INDIRECT($P$2),COLUMN()-1,FALSE)*VLOOKUP($A84,Usinas!$C:$D,2,FALSE)</f>
        <v>1971.0189</v>
      </c>
      <c r="F84" s="65">
        <f ca="1">VLOOKUP($A84,INDIRECT($P$2),COLUMN()-1,FALSE)*VLOOKUP($A84,Usinas!$C:$D,2,FALSE)</f>
        <v>1867.4739</v>
      </c>
      <c r="G84" s="65">
        <f ca="1">VLOOKUP($A84,INDIRECT($P$2),COLUMN()-1,FALSE)*VLOOKUP($A84,Usinas!$C:$D,2,FALSE)</f>
        <v>1434.4965</v>
      </c>
      <c r="H84" s="65">
        <f ca="1">VLOOKUP($A84,INDIRECT($P$2),COLUMN()-1,FALSE)*VLOOKUP($A84,Usinas!$C:$D,2,FALSE)</f>
        <v>1032.2639999999999</v>
      </c>
      <c r="I84" s="65">
        <f ca="1">VLOOKUP($A84,INDIRECT($P$2),COLUMN()-1,FALSE)*VLOOKUP($A84,Usinas!$C:$D,2,FALSE)</f>
        <v>894.46950000000004</v>
      </c>
      <c r="J84" s="65">
        <f ca="1">VLOOKUP($A84,INDIRECT($P$2),COLUMN()-1,FALSE)*VLOOKUP($A84,Usinas!$C:$D,2,FALSE)</f>
        <v>735.3288</v>
      </c>
      <c r="K84" s="65">
        <f ca="1">VLOOKUP($A84,INDIRECT($P$2),COLUMN()-1,FALSE)*VLOOKUP($A84,Usinas!$C:$D,2,FALSE)</f>
        <v>626.68619999999999</v>
      </c>
      <c r="L84" s="65">
        <f ca="1">VLOOKUP($A84,INDIRECT($P$2),COLUMN()-1,FALSE)*VLOOKUP($A84,Usinas!$C:$D,2,FALSE)</f>
        <v>607.88879999999995</v>
      </c>
      <c r="M84" s="65">
        <f ca="1">VLOOKUP($A84,INDIRECT($P$2),COLUMN()-1,FALSE)*VLOOKUP($A84,Usinas!$C:$D,2,FALSE)</f>
        <v>692.47709999999995</v>
      </c>
      <c r="N84" s="65">
        <f ca="1">VLOOKUP($A84,INDIRECT($P$2),COLUMN()-1,FALSE)*VLOOKUP($A84,Usinas!$C:$D,2,FALSE)</f>
        <v>866.59199999999998</v>
      </c>
      <c r="O84" s="65">
        <f ca="1">VLOOKUP($A84,INDIRECT($P$2),COLUMN()-1,FALSE)*VLOOKUP($A84,Usinas!$C:$D,2,FALSE)</f>
        <v>1293.0381</v>
      </c>
    </row>
    <row r="85" spans="1:15" hidden="1" outlineLevel="2" x14ac:dyDescent="0.25">
      <c r="A85" s="61">
        <v>66</v>
      </c>
      <c r="B85" s="62" t="s">
        <v>107</v>
      </c>
      <c r="D85" s="65">
        <f ca="1">VLOOKUP($A85,INDIRECT($P$2),COLUMN()-1,FALSE)*VLOOKUP($A85,Usinas!$C:$D,2,FALSE)</f>
        <v>15289.612800000001</v>
      </c>
      <c r="E85" s="65">
        <f ca="1">VLOOKUP($A85,INDIRECT($P$2),COLUMN()-1,FALSE)*VLOOKUP($A85,Usinas!$C:$D,2,FALSE)</f>
        <v>16703.3642</v>
      </c>
      <c r="F85" s="65">
        <f ca="1">VLOOKUP($A85,INDIRECT($P$2),COLUMN()-1,FALSE)*VLOOKUP($A85,Usinas!$C:$D,2,FALSE)</f>
        <v>15539.8892</v>
      </c>
      <c r="G85" s="65">
        <f ca="1">VLOOKUP($A85,INDIRECT($P$2),COLUMN()-1,FALSE)*VLOOKUP($A85,Usinas!$C:$D,2,FALSE)</f>
        <v>12346.2796</v>
      </c>
      <c r="H85" s="65">
        <f ca="1">VLOOKUP($A85,INDIRECT($P$2),COLUMN()-1,FALSE)*VLOOKUP($A85,Usinas!$C:$D,2,FALSE)</f>
        <v>9874.5416000000005</v>
      </c>
      <c r="I85" s="65">
        <f ca="1">VLOOKUP($A85,INDIRECT($P$2),COLUMN()-1,FALSE)*VLOOKUP($A85,Usinas!$C:$D,2,FALSE)</f>
        <v>9143.3621999999996</v>
      </c>
      <c r="J85" s="65">
        <f ca="1">VLOOKUP($A85,INDIRECT($P$2),COLUMN()-1,FALSE)*VLOOKUP($A85,Usinas!$C:$D,2,FALSE)</f>
        <v>7739.9528</v>
      </c>
      <c r="K85" s="65">
        <f ca="1">VLOOKUP($A85,INDIRECT($P$2),COLUMN()-1,FALSE)*VLOOKUP($A85,Usinas!$C:$D,2,FALSE)</f>
        <v>6506.1522000000004</v>
      </c>
      <c r="L85" s="65">
        <f ca="1">VLOOKUP($A85,INDIRECT($P$2),COLUMN()-1,FALSE)*VLOOKUP($A85,Usinas!$C:$D,2,FALSE)</f>
        <v>6543.3833999999997</v>
      </c>
      <c r="M85" s="65">
        <f ca="1">VLOOKUP($A85,INDIRECT($P$2),COLUMN()-1,FALSE)*VLOOKUP($A85,Usinas!$C:$D,2,FALSE)</f>
        <v>7856.8173999999999</v>
      </c>
      <c r="N85" s="65">
        <f ca="1">VLOOKUP($A85,INDIRECT($P$2),COLUMN()-1,FALSE)*VLOOKUP($A85,Usinas!$C:$D,2,FALSE)</f>
        <v>8629.3647999999994</v>
      </c>
      <c r="O85" s="65">
        <f ca="1">VLOOKUP($A85,INDIRECT($P$2),COLUMN()-1,FALSE)*VLOOKUP($A85,Usinas!$C:$D,2,FALSE)</f>
        <v>11364.8238</v>
      </c>
    </row>
    <row r="86" spans="1:15" hidden="1" outlineLevel="1" x14ac:dyDescent="0.25">
      <c r="A86" s="18"/>
      <c r="B86" s="19" t="s">
        <v>56</v>
      </c>
      <c r="D86" s="66">
        <f t="shared" ref="D86:I86" ca="1" si="11">SUM(D84:D85)</f>
        <v>17121.722099999999</v>
      </c>
      <c r="E86" s="49">
        <f t="shared" ca="1" si="11"/>
        <v>18674.383099999999</v>
      </c>
      <c r="F86" s="49">
        <f t="shared" ca="1" si="11"/>
        <v>17407.363099999999</v>
      </c>
      <c r="G86" s="49">
        <f t="shared" ca="1" si="11"/>
        <v>13780.776099999999</v>
      </c>
      <c r="H86" s="49">
        <f t="shared" ca="1" si="11"/>
        <v>10906.8056</v>
      </c>
      <c r="I86" s="67">
        <f t="shared" ca="1" si="11"/>
        <v>10037.831699999999</v>
      </c>
      <c r="J86" s="66">
        <f t="shared" ref="J86:O86" ca="1" si="12">SUM(J84:J85)</f>
        <v>8475.2816000000003</v>
      </c>
      <c r="K86" s="49">
        <f t="shared" ca="1" si="12"/>
        <v>7132.8384000000005</v>
      </c>
      <c r="L86" s="49">
        <f t="shared" ca="1" si="12"/>
        <v>7151.2721999999994</v>
      </c>
      <c r="M86" s="49">
        <f t="shared" ca="1" si="12"/>
        <v>8549.2945</v>
      </c>
      <c r="N86" s="49">
        <f t="shared" ca="1" si="12"/>
        <v>9495.9567999999999</v>
      </c>
      <c r="O86" s="67">
        <f t="shared" ca="1" si="12"/>
        <v>12657.8619</v>
      </c>
    </row>
    <row r="87" spans="1:15" hidden="1" outlineLevel="1" x14ac:dyDescent="0.25">
      <c r="A87" s="20"/>
      <c r="B87" s="21" t="s">
        <v>0</v>
      </c>
      <c r="D87" s="68"/>
      <c r="E87" s="69"/>
      <c r="F87" s="69"/>
      <c r="G87" s="69"/>
      <c r="H87" s="69"/>
      <c r="I87" s="70"/>
      <c r="J87" s="68"/>
      <c r="K87" s="69"/>
      <c r="L87" s="69"/>
      <c r="M87" s="69"/>
      <c r="N87" s="69"/>
      <c r="O87" s="70"/>
    </row>
    <row r="88" spans="1:15" hidden="1" outlineLevel="1" x14ac:dyDescent="0.25">
      <c r="A88" s="1"/>
      <c r="B88" s="133"/>
      <c r="D88" s="50"/>
      <c r="E88" s="51"/>
      <c r="F88" s="51"/>
      <c r="G88" s="51"/>
      <c r="H88" s="51"/>
      <c r="I88" s="51"/>
      <c r="J88" s="50"/>
      <c r="K88" s="51"/>
      <c r="L88" s="51"/>
      <c r="M88" s="51"/>
      <c r="N88" s="51"/>
      <c r="O88" s="51"/>
    </row>
    <row r="89" spans="1:15" hidden="1" outlineLevel="1" x14ac:dyDescent="0.25">
      <c r="A89" s="63"/>
      <c r="B89" s="64"/>
      <c r="D89" s="329" t="s">
        <v>108</v>
      </c>
      <c r="E89" s="330" t="s">
        <v>58</v>
      </c>
      <c r="F89" s="330" t="s">
        <v>109</v>
      </c>
      <c r="G89" s="330"/>
      <c r="H89" s="330"/>
      <c r="I89" s="331"/>
      <c r="J89" s="329" t="s">
        <v>108</v>
      </c>
      <c r="K89" s="330" t="s">
        <v>58</v>
      </c>
      <c r="L89" s="330" t="s">
        <v>109</v>
      </c>
      <c r="M89" s="330"/>
      <c r="N89" s="330"/>
      <c r="O89" s="331"/>
    </row>
    <row r="90" spans="1:15" hidden="1" outlineLevel="2" x14ac:dyDescent="0.25">
      <c r="A90" s="61">
        <v>120</v>
      </c>
      <c r="B90" s="62" t="s">
        <v>110</v>
      </c>
      <c r="D90" s="65">
        <f ca="1">VLOOKUP($A90,INDIRECT($P$2),COLUMN()-1,FALSE)*VLOOKUP($A90,Usinas!$C:$D,2,FALSE)</f>
        <v>22.707000000000001</v>
      </c>
      <c r="E90" s="65">
        <f ca="1">VLOOKUP($A90,INDIRECT($P$2),COLUMN()-1,FALSE)*VLOOKUP($A90,Usinas!$C:$D,2,FALSE)</f>
        <v>24.220800000000004</v>
      </c>
      <c r="F90" s="65">
        <f ca="1">VLOOKUP($A90,INDIRECT($P$2),COLUMN()-1,FALSE)*VLOOKUP($A90,Usinas!$C:$D,2,FALSE)</f>
        <v>23.211600000000001</v>
      </c>
      <c r="G90" s="65">
        <f ca="1">VLOOKUP($A90,INDIRECT($P$2),COLUMN()-1,FALSE)*VLOOKUP($A90,Usinas!$C:$D,2,FALSE)</f>
        <v>17.156400000000001</v>
      </c>
      <c r="H90" s="65">
        <f ca="1">VLOOKUP($A90,INDIRECT($P$2),COLUMN()-1,FALSE)*VLOOKUP($A90,Usinas!$C:$D,2,FALSE)</f>
        <v>13.624200000000002</v>
      </c>
      <c r="I90" s="65">
        <f ca="1">VLOOKUP($A90,INDIRECT($P$2),COLUMN()-1,FALSE)*VLOOKUP($A90,Usinas!$C:$D,2,FALSE)</f>
        <v>12.110400000000002</v>
      </c>
      <c r="J90" s="65">
        <f ca="1">VLOOKUP($A90,INDIRECT($P$2),COLUMN()-1,FALSE)*VLOOKUP($A90,Usinas!$C:$D,2,FALSE)</f>
        <v>10.092000000000001</v>
      </c>
      <c r="K90" s="65">
        <f ca="1">VLOOKUP($A90,INDIRECT($P$2),COLUMN()-1,FALSE)*VLOOKUP($A90,Usinas!$C:$D,2,FALSE)</f>
        <v>8.5782000000000007</v>
      </c>
      <c r="L90" s="65">
        <f ca="1">VLOOKUP($A90,INDIRECT($P$2),COLUMN()-1,FALSE)*VLOOKUP($A90,Usinas!$C:$D,2,FALSE)</f>
        <v>9.0828000000000007</v>
      </c>
      <c r="M90" s="65">
        <f ca="1">VLOOKUP($A90,INDIRECT($P$2),COLUMN()-1,FALSE)*VLOOKUP($A90,Usinas!$C:$D,2,FALSE)</f>
        <v>10.092000000000001</v>
      </c>
      <c r="N90" s="65">
        <f ca="1">VLOOKUP($A90,INDIRECT($P$2),COLUMN()-1,FALSE)*VLOOKUP($A90,Usinas!$C:$D,2,FALSE)</f>
        <v>12.110400000000002</v>
      </c>
      <c r="O90" s="65">
        <f ca="1">VLOOKUP($A90,INDIRECT($P$2),COLUMN()-1,FALSE)*VLOOKUP($A90,Usinas!$C:$D,2,FALSE)</f>
        <v>17.156400000000001</v>
      </c>
    </row>
    <row r="91" spans="1:15" hidden="1" outlineLevel="2" x14ac:dyDescent="0.25">
      <c r="A91" s="61">
        <v>121</v>
      </c>
      <c r="B91" s="62" t="s">
        <v>111</v>
      </c>
      <c r="D91" s="65">
        <f ca="1">VLOOKUP($A91,INDIRECT($P$2),COLUMN()-1,FALSE)*VLOOKUP($A91,Usinas!$C:$D,2,FALSE)</f>
        <v>74.932100000000005</v>
      </c>
      <c r="E91" s="65">
        <f ca="1">VLOOKUP($A91,INDIRECT($P$2),COLUMN()-1,FALSE)*VLOOKUP($A91,Usinas!$C:$D,2,FALSE)</f>
        <v>79.133899999999997</v>
      </c>
      <c r="F91" s="65">
        <f ca="1">VLOOKUP($A91,INDIRECT($P$2),COLUMN()-1,FALSE)*VLOOKUP($A91,Usinas!$C:$D,2,FALSE)</f>
        <v>72.130899999999997</v>
      </c>
      <c r="G91" s="65">
        <f ca="1">VLOOKUP($A91,INDIRECT($P$2),COLUMN()-1,FALSE)*VLOOKUP($A91,Usinas!$C:$D,2,FALSE)</f>
        <v>56.024000000000001</v>
      </c>
      <c r="H91" s="65">
        <f ca="1">VLOOKUP($A91,INDIRECT($P$2),COLUMN()-1,FALSE)*VLOOKUP($A91,Usinas!$C:$D,2,FALSE)</f>
        <v>43.418600000000005</v>
      </c>
      <c r="I91" s="65">
        <f ca="1">VLOOKUP($A91,INDIRECT($P$2),COLUMN()-1,FALSE)*VLOOKUP($A91,Usinas!$C:$D,2,FALSE)</f>
        <v>38.516500000000001</v>
      </c>
      <c r="J91" s="65">
        <f ca="1">VLOOKUP($A91,INDIRECT($P$2),COLUMN()-1,FALSE)*VLOOKUP($A91,Usinas!$C:$D,2,FALSE)</f>
        <v>33.614400000000003</v>
      </c>
      <c r="K91" s="65">
        <f ca="1">VLOOKUP($A91,INDIRECT($P$2),COLUMN()-1,FALSE)*VLOOKUP($A91,Usinas!$C:$D,2,FALSE)</f>
        <v>29.412600000000001</v>
      </c>
      <c r="L91" s="65">
        <f ca="1">VLOOKUP($A91,INDIRECT($P$2),COLUMN()-1,FALSE)*VLOOKUP($A91,Usinas!$C:$D,2,FALSE)</f>
        <v>31.513500000000001</v>
      </c>
      <c r="M91" s="65">
        <f ca="1">VLOOKUP($A91,INDIRECT($P$2),COLUMN()-1,FALSE)*VLOOKUP($A91,Usinas!$C:$D,2,FALSE)</f>
        <v>35.715299999999999</v>
      </c>
      <c r="N91" s="65">
        <f ca="1">VLOOKUP($A91,INDIRECT($P$2),COLUMN()-1,FALSE)*VLOOKUP($A91,Usinas!$C:$D,2,FALSE)</f>
        <v>41.317700000000002</v>
      </c>
      <c r="O91" s="65">
        <f ca="1">VLOOKUP($A91,INDIRECT($P$2),COLUMN()-1,FALSE)*VLOOKUP($A91,Usinas!$C:$D,2,FALSE)</f>
        <v>56.024000000000001</v>
      </c>
    </row>
    <row r="92" spans="1:15" hidden="1" outlineLevel="2" x14ac:dyDescent="0.25">
      <c r="A92" s="61">
        <v>122</v>
      </c>
      <c r="B92" s="62" t="s">
        <v>112</v>
      </c>
      <c r="D92" s="65">
        <f ca="1">VLOOKUP($A92,INDIRECT($P$2),COLUMN()-1,FALSE)*VLOOKUP($A92,Usinas!$C:$D,2,FALSE)</f>
        <v>42.6404</v>
      </c>
      <c r="E92" s="65">
        <f ca="1">VLOOKUP($A92,INDIRECT($P$2),COLUMN()-1,FALSE)*VLOOKUP($A92,Usinas!$C:$D,2,FALSE)</f>
        <v>45.811999999999998</v>
      </c>
      <c r="F92" s="65">
        <f ca="1">VLOOKUP($A92,INDIRECT($P$2),COLUMN()-1,FALSE)*VLOOKUP($A92,Usinas!$C:$D,2,FALSE)</f>
        <v>41.230800000000002</v>
      </c>
      <c r="G92" s="65">
        <f ca="1">VLOOKUP($A92,INDIRECT($P$2),COLUMN()-1,FALSE)*VLOOKUP($A92,Usinas!$C:$D,2,FALSE)</f>
        <v>32.068399999999997</v>
      </c>
      <c r="H92" s="65">
        <f ca="1">VLOOKUP($A92,INDIRECT($P$2),COLUMN()-1,FALSE)*VLOOKUP($A92,Usinas!$C:$D,2,FALSE)</f>
        <v>25.020399999999999</v>
      </c>
      <c r="I92" s="65">
        <f ca="1">VLOOKUP($A92,INDIRECT($P$2),COLUMN()-1,FALSE)*VLOOKUP($A92,Usinas!$C:$D,2,FALSE)</f>
        <v>22.2012</v>
      </c>
      <c r="J92" s="65">
        <f ca="1">VLOOKUP($A92,INDIRECT($P$2),COLUMN()-1,FALSE)*VLOOKUP($A92,Usinas!$C:$D,2,FALSE)</f>
        <v>19.381999999999998</v>
      </c>
      <c r="K92" s="65">
        <f ca="1">VLOOKUP($A92,INDIRECT($P$2),COLUMN()-1,FALSE)*VLOOKUP($A92,Usinas!$C:$D,2,FALSE)</f>
        <v>16.915199999999999</v>
      </c>
      <c r="L92" s="65">
        <f ca="1">VLOOKUP($A92,INDIRECT($P$2),COLUMN()-1,FALSE)*VLOOKUP($A92,Usinas!$C:$D,2,FALSE)</f>
        <v>18.3248</v>
      </c>
      <c r="M92" s="65">
        <f ca="1">VLOOKUP($A92,INDIRECT($P$2),COLUMN()-1,FALSE)*VLOOKUP($A92,Usinas!$C:$D,2,FALSE)</f>
        <v>20.4392</v>
      </c>
      <c r="N92" s="65">
        <f ca="1">VLOOKUP($A92,INDIRECT($P$2),COLUMN()-1,FALSE)*VLOOKUP($A92,Usinas!$C:$D,2,FALSE)</f>
        <v>23.610800000000001</v>
      </c>
      <c r="O92" s="65">
        <f ca="1">VLOOKUP($A92,INDIRECT($P$2),COLUMN()-1,FALSE)*VLOOKUP($A92,Usinas!$C:$D,2,FALSE)</f>
        <v>31.715999999999998</v>
      </c>
    </row>
    <row r="93" spans="1:15" hidden="1" outlineLevel="2" x14ac:dyDescent="0.25">
      <c r="A93" s="61">
        <v>123</v>
      </c>
      <c r="B93" s="62" t="s">
        <v>113</v>
      </c>
      <c r="D93" s="65">
        <f ca="1">VLOOKUP($A93,INDIRECT($P$2),COLUMN()-1,FALSE)*VLOOKUP($A93,Usinas!$C:$D,2,FALSE)</f>
        <v>203.49139999999997</v>
      </c>
      <c r="E93" s="65">
        <f ca="1">VLOOKUP($A93,INDIRECT($P$2),COLUMN()-1,FALSE)*VLOOKUP($A93,Usinas!$C:$D,2,FALSE)</f>
        <v>215.21079999999998</v>
      </c>
      <c r="F93" s="65">
        <f ca="1">VLOOKUP($A93,INDIRECT($P$2),COLUMN()-1,FALSE)*VLOOKUP($A93,Usinas!$C:$D,2,FALSE)</f>
        <v>206.68759999999997</v>
      </c>
      <c r="G93" s="65">
        <f ca="1">VLOOKUP($A93,INDIRECT($P$2),COLUMN()-1,FALSE)*VLOOKUP($A93,Usinas!$C:$D,2,FALSE)</f>
        <v>147.55789999999999</v>
      </c>
      <c r="H93" s="65">
        <f ca="1">VLOOKUP($A93,INDIRECT($P$2),COLUMN()-1,FALSE)*VLOOKUP($A93,Usinas!$C:$D,2,FALSE)</f>
        <v>102.8111</v>
      </c>
      <c r="I93" s="65">
        <f ca="1">VLOOKUP($A93,INDIRECT($P$2),COLUMN()-1,FALSE)*VLOOKUP($A93,Usinas!$C:$D,2,FALSE)</f>
        <v>88.960899999999995</v>
      </c>
      <c r="J93" s="65">
        <f ca="1">VLOOKUP($A93,INDIRECT($P$2),COLUMN()-1,FALSE)*VLOOKUP($A93,Usinas!$C:$D,2,FALSE)</f>
        <v>75.6434</v>
      </c>
      <c r="K93" s="65">
        <f ca="1">VLOOKUP($A93,INDIRECT($P$2),COLUMN()-1,FALSE)*VLOOKUP($A93,Usinas!$C:$D,2,FALSE)</f>
        <v>64.456699999999998</v>
      </c>
      <c r="L93" s="65">
        <f ca="1">VLOOKUP($A93,INDIRECT($P$2),COLUMN()-1,FALSE)*VLOOKUP($A93,Usinas!$C:$D,2,FALSE)</f>
        <v>67.120199999999997</v>
      </c>
      <c r="M93" s="65">
        <f ca="1">VLOOKUP($A93,INDIRECT($P$2),COLUMN()-1,FALSE)*VLOOKUP($A93,Usinas!$C:$D,2,FALSE)</f>
        <v>79.904999999999987</v>
      </c>
      <c r="N93" s="65">
        <f ca="1">VLOOKUP($A93,INDIRECT($P$2),COLUMN()-1,FALSE)*VLOOKUP($A93,Usinas!$C:$D,2,FALSE)</f>
        <v>99.614899999999992</v>
      </c>
      <c r="O93" s="65">
        <f ca="1">VLOOKUP($A93,INDIRECT($P$2),COLUMN()-1,FALSE)*VLOOKUP($A93,Usinas!$C:$D,2,FALSE)</f>
        <v>143.82899999999998</v>
      </c>
    </row>
    <row r="94" spans="1:15" hidden="1" outlineLevel="2" x14ac:dyDescent="0.25">
      <c r="A94" s="61">
        <v>197</v>
      </c>
      <c r="B94" s="62" t="s">
        <v>114</v>
      </c>
      <c r="D94" s="65">
        <f ca="1">VLOOKUP($A94,INDIRECT($P$2),COLUMN()-1,FALSE)*VLOOKUP($A94,Usinas!$C:$D,2,FALSE)</f>
        <v>71.850999999999999</v>
      </c>
      <c r="E94" s="65">
        <f ca="1">VLOOKUP($A94,INDIRECT($P$2),COLUMN()-1,FALSE)*VLOOKUP($A94,Usinas!$C:$D,2,FALSE)</f>
        <v>70.745599999999996</v>
      </c>
      <c r="F94" s="65">
        <f ca="1">VLOOKUP($A94,INDIRECT($P$2),COLUMN()-1,FALSE)*VLOOKUP($A94,Usinas!$C:$D,2,FALSE)</f>
        <v>64.113199999999992</v>
      </c>
      <c r="G94" s="65">
        <f ca="1">VLOOKUP($A94,INDIRECT($P$2),COLUMN()-1,FALSE)*VLOOKUP($A94,Usinas!$C:$D,2,FALSE)</f>
        <v>47.532199999999996</v>
      </c>
      <c r="H94" s="65">
        <f ca="1">VLOOKUP($A94,INDIRECT($P$2),COLUMN()-1,FALSE)*VLOOKUP($A94,Usinas!$C:$D,2,FALSE)</f>
        <v>36.478200000000001</v>
      </c>
      <c r="I94" s="65">
        <f ca="1">VLOOKUP($A94,INDIRECT($P$2),COLUMN()-1,FALSE)*VLOOKUP($A94,Usinas!$C:$D,2,FALSE)</f>
        <v>32.056599999999996</v>
      </c>
      <c r="J94" s="65">
        <f ca="1">VLOOKUP($A94,INDIRECT($P$2),COLUMN()-1,FALSE)*VLOOKUP($A94,Usinas!$C:$D,2,FALSE)</f>
        <v>27.634999999999998</v>
      </c>
      <c r="K94" s="65">
        <f ca="1">VLOOKUP($A94,INDIRECT($P$2),COLUMN()-1,FALSE)*VLOOKUP($A94,Usinas!$C:$D,2,FALSE)</f>
        <v>24.3188</v>
      </c>
      <c r="L94" s="65">
        <f ca="1">VLOOKUP($A94,INDIRECT($P$2),COLUMN()-1,FALSE)*VLOOKUP($A94,Usinas!$C:$D,2,FALSE)</f>
        <v>24.3188</v>
      </c>
      <c r="M94" s="65">
        <f ca="1">VLOOKUP($A94,INDIRECT($P$2),COLUMN()-1,FALSE)*VLOOKUP($A94,Usinas!$C:$D,2,FALSE)</f>
        <v>27.634999999999998</v>
      </c>
      <c r="N94" s="65">
        <f ca="1">VLOOKUP($A94,INDIRECT($P$2),COLUMN()-1,FALSE)*VLOOKUP($A94,Usinas!$C:$D,2,FALSE)</f>
        <v>37.583599999999997</v>
      </c>
      <c r="O94" s="65">
        <f ca="1">VLOOKUP($A94,INDIRECT($P$2),COLUMN()-1,FALSE)*VLOOKUP($A94,Usinas!$C:$D,2,FALSE)</f>
        <v>54.1646</v>
      </c>
    </row>
    <row r="95" spans="1:15" hidden="1" outlineLevel="2" x14ac:dyDescent="0.25">
      <c r="A95" s="61">
        <v>198</v>
      </c>
      <c r="B95" s="62" t="s">
        <v>115</v>
      </c>
      <c r="D95" s="65">
        <f ca="1">VLOOKUP($A95,INDIRECT($P$2),COLUMN()-1,FALSE)*VLOOKUP($A95,Usinas!$C:$D,2,FALSE)</f>
        <v>80.650800000000004</v>
      </c>
      <c r="E95" s="65">
        <f ca="1">VLOOKUP($A95,INDIRECT($P$2),COLUMN()-1,FALSE)*VLOOKUP($A95,Usinas!$C:$D,2,FALSE)</f>
        <v>78.149999999999991</v>
      </c>
      <c r="F95" s="65">
        <f ca="1">VLOOKUP($A95,INDIRECT($P$2),COLUMN()-1,FALSE)*VLOOKUP($A95,Usinas!$C:$D,2,FALSE)</f>
        <v>71.272800000000004</v>
      </c>
      <c r="G95" s="65">
        <f ca="1">VLOOKUP($A95,INDIRECT($P$2),COLUMN()-1,FALSE)*VLOOKUP($A95,Usinas!$C:$D,2,FALSE)</f>
        <v>52.516799999999996</v>
      </c>
      <c r="H95" s="65">
        <f ca="1">VLOOKUP($A95,INDIRECT($P$2),COLUMN()-1,FALSE)*VLOOKUP($A95,Usinas!$C:$D,2,FALSE)</f>
        <v>40.637999999999998</v>
      </c>
      <c r="I95" s="65">
        <f ca="1">VLOOKUP($A95,INDIRECT($P$2),COLUMN()-1,FALSE)*VLOOKUP($A95,Usinas!$C:$D,2,FALSE)</f>
        <v>35.011200000000002</v>
      </c>
      <c r="J95" s="65">
        <f ca="1">VLOOKUP($A95,INDIRECT($P$2),COLUMN()-1,FALSE)*VLOOKUP($A95,Usinas!$C:$D,2,FALSE)</f>
        <v>30.634799999999998</v>
      </c>
      <c r="K95" s="65">
        <f ca="1">VLOOKUP($A95,INDIRECT($P$2),COLUMN()-1,FALSE)*VLOOKUP($A95,Usinas!$C:$D,2,FALSE)</f>
        <v>27.508800000000001</v>
      </c>
      <c r="L95" s="65">
        <f ca="1">VLOOKUP($A95,INDIRECT($P$2),COLUMN()-1,FALSE)*VLOOKUP($A95,Usinas!$C:$D,2,FALSE)</f>
        <v>27.508800000000001</v>
      </c>
      <c r="M95" s="65">
        <f ca="1">VLOOKUP($A95,INDIRECT($P$2),COLUMN()-1,FALSE)*VLOOKUP($A95,Usinas!$C:$D,2,FALSE)</f>
        <v>31.885199999999998</v>
      </c>
      <c r="N95" s="65">
        <f ca="1">VLOOKUP($A95,INDIRECT($P$2),COLUMN()-1,FALSE)*VLOOKUP($A95,Usinas!$C:$D,2,FALSE)</f>
        <v>43.763999999999996</v>
      </c>
      <c r="O95" s="65">
        <f ca="1">VLOOKUP($A95,INDIRECT($P$2),COLUMN()-1,FALSE)*VLOOKUP($A95,Usinas!$C:$D,2,FALSE)</f>
        <v>63.770399999999995</v>
      </c>
    </row>
    <row r="96" spans="1:15" hidden="1" outlineLevel="2" x14ac:dyDescent="0.25">
      <c r="A96" s="61">
        <v>126</v>
      </c>
      <c r="B96" s="62" t="s">
        <v>116</v>
      </c>
      <c r="D96" s="65">
        <f ca="1">VLOOKUP($A96,INDIRECT($P$2),COLUMN()-1,FALSE)*VLOOKUP($A96,Usinas!$C:$D,2,FALSE)</f>
        <v>304.21999999999997</v>
      </c>
      <c r="E96" s="65">
        <f ca="1">VLOOKUP($A96,INDIRECT($P$2),COLUMN()-1,FALSE)*VLOOKUP($A96,Usinas!$C:$D,2,FALSE)</f>
        <v>303.29250000000002</v>
      </c>
      <c r="F96" s="65">
        <f ca="1">VLOOKUP($A96,INDIRECT($P$2),COLUMN()-1,FALSE)*VLOOKUP($A96,Usinas!$C:$D,2,FALSE)</f>
        <v>307.0025</v>
      </c>
      <c r="G96" s="65">
        <f ca="1">VLOOKUP($A96,INDIRECT($P$2),COLUMN()-1,FALSE)*VLOOKUP($A96,Usinas!$C:$D,2,FALSE)</f>
        <v>275.46749999999997</v>
      </c>
      <c r="H96" s="65">
        <f ca="1">VLOOKUP($A96,INDIRECT($P$2),COLUMN()-1,FALSE)*VLOOKUP($A96,Usinas!$C:$D,2,FALSE)</f>
        <v>202.19499999999999</v>
      </c>
      <c r="I96" s="65">
        <f ca="1">VLOOKUP($A96,INDIRECT($P$2),COLUMN()-1,FALSE)*VLOOKUP($A96,Usinas!$C:$D,2,FALSE)</f>
        <v>151.1825</v>
      </c>
      <c r="J96" s="65">
        <f ca="1">VLOOKUP($A96,INDIRECT($P$2),COLUMN()-1,FALSE)*VLOOKUP($A96,Usinas!$C:$D,2,FALSE)</f>
        <v>116.86499999999999</v>
      </c>
      <c r="K96" s="65">
        <f ca="1">VLOOKUP($A96,INDIRECT($P$2),COLUMN()-1,FALSE)*VLOOKUP($A96,Usinas!$C:$D,2,FALSE)</f>
        <v>87.185000000000002</v>
      </c>
      <c r="L96" s="65">
        <f ca="1">VLOOKUP($A96,INDIRECT($P$2),COLUMN()-1,FALSE)*VLOOKUP($A96,Usinas!$C:$D,2,FALSE)</f>
        <v>87.185000000000002</v>
      </c>
      <c r="M96" s="65">
        <f ca="1">VLOOKUP($A96,INDIRECT($P$2),COLUMN()-1,FALSE)*VLOOKUP($A96,Usinas!$C:$D,2,FALSE)</f>
        <v>120.575</v>
      </c>
      <c r="N96" s="65">
        <f ca="1">VLOOKUP($A96,INDIRECT($P$2),COLUMN()-1,FALSE)*VLOOKUP($A96,Usinas!$C:$D,2,FALSE)</f>
        <v>197.5575</v>
      </c>
      <c r="O96" s="65">
        <f ca="1">VLOOKUP($A96,INDIRECT($P$2),COLUMN()-1,FALSE)*VLOOKUP($A96,Usinas!$C:$D,2,FALSE)</f>
        <v>282.88749999999999</v>
      </c>
    </row>
    <row r="97" spans="1:15" hidden="1" outlineLevel="2" x14ac:dyDescent="0.25">
      <c r="A97" s="61">
        <v>303</v>
      </c>
      <c r="B97" s="62" t="s">
        <v>117</v>
      </c>
      <c r="D97" s="65">
        <f ca="1">VLOOKUP($A97,INDIRECT($P$2),COLUMN()-1,FALSE)*VLOOKUP($A97,Usinas!$C:$D,2,FALSE)</f>
        <v>116.357</v>
      </c>
      <c r="E97" s="65">
        <f ca="1">VLOOKUP($A97,INDIRECT($P$2),COLUMN()-1,FALSE)*VLOOKUP($A97,Usinas!$C:$D,2,FALSE)</f>
        <v>116.357</v>
      </c>
      <c r="F97" s="65">
        <f ca="1">VLOOKUP($A97,INDIRECT($P$2),COLUMN()-1,FALSE)*VLOOKUP($A97,Usinas!$C:$D,2,FALSE)</f>
        <v>116.357</v>
      </c>
      <c r="G97" s="65">
        <f ca="1">VLOOKUP($A97,INDIRECT($P$2),COLUMN()-1,FALSE)*VLOOKUP($A97,Usinas!$C:$D,2,FALSE)</f>
        <v>103.70950000000001</v>
      </c>
      <c r="H97" s="65">
        <f ca="1">VLOOKUP($A97,INDIRECT($P$2),COLUMN()-1,FALSE)*VLOOKUP($A97,Usinas!$C:$D,2,FALSE)</f>
        <v>70.826000000000008</v>
      </c>
      <c r="I97" s="65">
        <f ca="1">VLOOKUP($A97,INDIRECT($P$2),COLUMN()-1,FALSE)*VLOOKUP($A97,Usinas!$C:$D,2,FALSE)</f>
        <v>45.530999999999999</v>
      </c>
      <c r="J97" s="65">
        <f ca="1">VLOOKUP($A97,INDIRECT($P$2),COLUMN()-1,FALSE)*VLOOKUP($A97,Usinas!$C:$D,2,FALSE)</f>
        <v>30.353999999999999</v>
      </c>
      <c r="K97" s="65">
        <f ca="1">VLOOKUP($A97,INDIRECT($P$2),COLUMN()-1,FALSE)*VLOOKUP($A97,Usinas!$C:$D,2,FALSE)</f>
        <v>22.765499999999999</v>
      </c>
      <c r="L97" s="65">
        <f ca="1">VLOOKUP($A97,INDIRECT($P$2),COLUMN()-1,FALSE)*VLOOKUP($A97,Usinas!$C:$D,2,FALSE)</f>
        <v>25.295000000000002</v>
      </c>
      <c r="M97" s="65">
        <f ca="1">VLOOKUP($A97,INDIRECT($P$2),COLUMN()-1,FALSE)*VLOOKUP($A97,Usinas!$C:$D,2,FALSE)</f>
        <v>37.942500000000003</v>
      </c>
      <c r="N97" s="65">
        <f ca="1">VLOOKUP($A97,INDIRECT($P$2),COLUMN()-1,FALSE)*VLOOKUP($A97,Usinas!$C:$D,2,FALSE)</f>
        <v>65.766999999999996</v>
      </c>
      <c r="O97" s="65">
        <f ca="1">VLOOKUP($A97,INDIRECT($P$2),COLUMN()-1,FALSE)*VLOOKUP($A97,Usinas!$C:$D,2,FALSE)</f>
        <v>103.70950000000001</v>
      </c>
    </row>
    <row r="98" spans="1:15" hidden="1" outlineLevel="2" x14ac:dyDescent="0.25">
      <c r="A98" s="61">
        <v>131</v>
      </c>
      <c r="B98" s="62" t="s">
        <v>118</v>
      </c>
      <c r="D98" s="65">
        <f ca="1">VLOOKUP($A98,INDIRECT($P$2),COLUMN()-1,FALSE)*VLOOKUP($A98,Usinas!$C:$D,2,FALSE)</f>
        <v>379.15199999999999</v>
      </c>
      <c r="E98" s="65">
        <f ca="1">VLOOKUP($A98,INDIRECT($P$2),COLUMN()-1,FALSE)*VLOOKUP($A98,Usinas!$C:$D,2,FALSE)</f>
        <v>376.51900000000001</v>
      </c>
      <c r="F98" s="65">
        <f ca="1">VLOOKUP($A98,INDIRECT($P$2),COLUMN()-1,FALSE)*VLOOKUP($A98,Usinas!$C:$D,2,FALSE)</f>
        <v>379.15199999999999</v>
      </c>
      <c r="G98" s="65">
        <f ca="1">VLOOKUP($A98,INDIRECT($P$2),COLUMN()-1,FALSE)*VLOOKUP($A98,Usinas!$C:$D,2,FALSE)</f>
        <v>376.51900000000001</v>
      </c>
      <c r="H98" s="65">
        <f ca="1">VLOOKUP($A98,INDIRECT($P$2),COLUMN()-1,FALSE)*VLOOKUP($A98,Usinas!$C:$D,2,FALSE)</f>
        <v>355.45499999999998</v>
      </c>
      <c r="I98" s="65">
        <f ca="1">VLOOKUP($A98,INDIRECT($P$2),COLUMN()-1,FALSE)*VLOOKUP($A98,Usinas!$C:$D,2,FALSE)</f>
        <v>321.226</v>
      </c>
      <c r="J98" s="65">
        <f ca="1">VLOOKUP($A98,INDIRECT($P$2),COLUMN()-1,FALSE)*VLOOKUP($A98,Usinas!$C:$D,2,FALSE)</f>
        <v>289.63</v>
      </c>
      <c r="K98" s="65">
        <f ca="1">VLOOKUP($A98,INDIRECT($P$2),COLUMN()-1,FALSE)*VLOOKUP($A98,Usinas!$C:$D,2,FALSE)</f>
        <v>252.768</v>
      </c>
      <c r="L98" s="65">
        <f ca="1">VLOOKUP($A98,INDIRECT($P$2),COLUMN()-1,FALSE)*VLOOKUP($A98,Usinas!$C:$D,2,FALSE)</f>
        <v>255.40100000000001</v>
      </c>
      <c r="M98" s="65">
        <f ca="1">VLOOKUP($A98,INDIRECT($P$2),COLUMN()-1,FALSE)*VLOOKUP($A98,Usinas!$C:$D,2,FALSE)</f>
        <v>294.89600000000002</v>
      </c>
      <c r="N98" s="65">
        <f ca="1">VLOOKUP($A98,INDIRECT($P$2),COLUMN()-1,FALSE)*VLOOKUP($A98,Usinas!$C:$D,2,FALSE)</f>
        <v>344.923</v>
      </c>
      <c r="O98" s="65">
        <f ca="1">VLOOKUP($A98,INDIRECT($P$2),COLUMN()-1,FALSE)*VLOOKUP($A98,Usinas!$C:$D,2,FALSE)</f>
        <v>373.88600000000002</v>
      </c>
    </row>
    <row r="99" spans="1:15" hidden="1" outlineLevel="2" x14ac:dyDescent="0.25">
      <c r="A99" s="61">
        <v>306</v>
      </c>
      <c r="B99" s="62" t="s">
        <v>119</v>
      </c>
      <c r="D99" s="65">
        <f ca="1">VLOOKUP($A99,INDIRECT($P$2),COLUMN()-1,FALSE)*VLOOKUP($A99,Usinas!$C:$D,2,FALSE)</f>
        <v>59.660000000000004</v>
      </c>
      <c r="E99" s="65">
        <f ca="1">VLOOKUP($A99,INDIRECT($P$2),COLUMN()-1,FALSE)*VLOOKUP($A99,Usinas!$C:$D,2,FALSE)</f>
        <v>59.346000000000004</v>
      </c>
      <c r="F99" s="65">
        <f ca="1">VLOOKUP($A99,INDIRECT($P$2),COLUMN()-1,FALSE)*VLOOKUP($A99,Usinas!$C:$D,2,FALSE)</f>
        <v>59.660000000000004</v>
      </c>
      <c r="G99" s="65">
        <f ca="1">VLOOKUP($A99,INDIRECT($P$2),COLUMN()-1,FALSE)*VLOOKUP($A99,Usinas!$C:$D,2,FALSE)</f>
        <v>57.776000000000003</v>
      </c>
      <c r="H99" s="65">
        <f ca="1">VLOOKUP($A99,INDIRECT($P$2),COLUMN()-1,FALSE)*VLOOKUP($A99,Usinas!$C:$D,2,FALSE)</f>
        <v>51.182000000000002</v>
      </c>
      <c r="I99" s="65">
        <f ca="1">VLOOKUP($A99,INDIRECT($P$2),COLUMN()-1,FALSE)*VLOOKUP($A99,Usinas!$C:$D,2,FALSE)</f>
        <v>43.96</v>
      </c>
      <c r="J99" s="65">
        <f ca="1">VLOOKUP($A99,INDIRECT($P$2),COLUMN()-1,FALSE)*VLOOKUP($A99,Usinas!$C:$D,2,FALSE)</f>
        <v>38.308</v>
      </c>
      <c r="K99" s="65">
        <f ca="1">VLOOKUP($A99,INDIRECT($P$2),COLUMN()-1,FALSE)*VLOOKUP($A99,Usinas!$C:$D,2,FALSE)</f>
        <v>33.283999999999999</v>
      </c>
      <c r="L99" s="65">
        <f ca="1">VLOOKUP($A99,INDIRECT($P$2),COLUMN()-1,FALSE)*VLOOKUP($A99,Usinas!$C:$D,2,FALSE)</f>
        <v>33.597999999999999</v>
      </c>
      <c r="M99" s="65">
        <f ca="1">VLOOKUP($A99,INDIRECT($P$2),COLUMN()-1,FALSE)*VLOOKUP($A99,Usinas!$C:$D,2,FALSE)</f>
        <v>39.878</v>
      </c>
      <c r="N99" s="65">
        <f ca="1">VLOOKUP($A99,INDIRECT($P$2),COLUMN()-1,FALSE)*VLOOKUP($A99,Usinas!$C:$D,2,FALSE)</f>
        <v>49.298000000000002</v>
      </c>
      <c r="O99" s="65">
        <f ca="1">VLOOKUP($A99,INDIRECT($P$2),COLUMN()-1,FALSE)*VLOOKUP($A99,Usinas!$C:$D,2,FALSE)</f>
        <v>57.462000000000003</v>
      </c>
    </row>
    <row r="100" spans="1:15" hidden="1" outlineLevel="2" x14ac:dyDescent="0.25">
      <c r="A100" s="61">
        <v>299</v>
      </c>
      <c r="B100" s="62" t="s">
        <v>120</v>
      </c>
      <c r="D100" s="65">
        <f ca="1">VLOOKUP($A100,INDIRECT($P$2),COLUMN()-1,FALSE)*VLOOKUP($A100,Usinas!$C:$D,2,FALSE)</f>
        <v>230.07319999999999</v>
      </c>
      <c r="E100" s="65">
        <f ca="1">VLOOKUP($A100,INDIRECT($P$2),COLUMN()-1,FALSE)*VLOOKUP($A100,Usinas!$C:$D,2,FALSE)</f>
        <v>230.84959999999998</v>
      </c>
      <c r="F100" s="65">
        <f ca="1">VLOOKUP($A100,INDIRECT($P$2),COLUMN()-1,FALSE)*VLOOKUP($A100,Usinas!$C:$D,2,FALSE)</f>
        <v>212.73359999999997</v>
      </c>
      <c r="G100" s="65">
        <f ca="1">VLOOKUP($A100,INDIRECT($P$2),COLUMN()-1,FALSE)*VLOOKUP($A100,Usinas!$C:$D,2,FALSE)</f>
        <v>142.59879999999998</v>
      </c>
      <c r="H100" s="65">
        <f ca="1">VLOOKUP($A100,INDIRECT($P$2),COLUMN()-1,FALSE)*VLOOKUP($A100,Usinas!$C:$D,2,FALSE)</f>
        <v>93.685599999999994</v>
      </c>
      <c r="I100" s="65">
        <f ca="1">VLOOKUP($A100,INDIRECT($P$2),COLUMN()-1,FALSE)*VLOOKUP($A100,Usinas!$C:$D,2,FALSE)</f>
        <v>77.898799999999994</v>
      </c>
      <c r="J100" s="65">
        <f ca="1">VLOOKUP($A100,INDIRECT($P$2),COLUMN()-1,FALSE)*VLOOKUP($A100,Usinas!$C:$D,2,FALSE)</f>
        <v>64.699999999999989</v>
      </c>
      <c r="K100" s="65">
        <f ca="1">VLOOKUP($A100,INDIRECT($P$2),COLUMN()-1,FALSE)*VLOOKUP($A100,Usinas!$C:$D,2,FALSE)</f>
        <v>54.865599999999993</v>
      </c>
      <c r="L100" s="65">
        <f ca="1">VLOOKUP($A100,INDIRECT($P$2),COLUMN()-1,FALSE)*VLOOKUP($A100,Usinas!$C:$D,2,FALSE)</f>
        <v>56.159599999999998</v>
      </c>
      <c r="M100" s="65">
        <f ca="1">VLOOKUP($A100,INDIRECT($P$2),COLUMN()-1,FALSE)*VLOOKUP($A100,Usinas!$C:$D,2,FALSE)</f>
        <v>67.029199999999989</v>
      </c>
      <c r="N100" s="65">
        <f ca="1">VLOOKUP($A100,INDIRECT($P$2),COLUMN()-1,FALSE)*VLOOKUP($A100,Usinas!$C:$D,2,FALSE)</f>
        <v>94.979599999999991</v>
      </c>
      <c r="O100" s="65">
        <f ca="1">VLOOKUP($A100,INDIRECT($P$2),COLUMN()-1,FALSE)*VLOOKUP($A100,Usinas!$C:$D,2,FALSE)</f>
        <v>155.79759999999999</v>
      </c>
    </row>
    <row r="101" spans="1:15" hidden="1" outlineLevel="1" x14ac:dyDescent="0.25">
      <c r="A101" s="18"/>
      <c r="B101" s="19" t="s">
        <v>56</v>
      </c>
      <c r="D101" s="66">
        <f t="shared" ref="D101:I101" ca="1" si="13">SUM(D90:D100)</f>
        <v>1585.7349000000002</v>
      </c>
      <c r="E101" s="49">
        <f t="shared" ca="1" si="13"/>
        <v>1599.6371999999999</v>
      </c>
      <c r="F101" s="49">
        <f t="shared" ca="1" si="13"/>
        <v>1553.5520000000001</v>
      </c>
      <c r="G101" s="49">
        <f t="shared" ca="1" si="13"/>
        <v>1308.9265</v>
      </c>
      <c r="H101" s="49">
        <f t="shared" ca="1" si="13"/>
        <v>1035.3341</v>
      </c>
      <c r="I101" s="67">
        <f t="shared" ca="1" si="13"/>
        <v>868.65509999999995</v>
      </c>
      <c r="J101" s="66">
        <f t="shared" ref="J101:O101" ca="1" si="14">SUM(J90:J100)</f>
        <v>736.85860000000002</v>
      </c>
      <c r="K101" s="49">
        <f t="shared" ca="1" si="14"/>
        <v>622.05840000000001</v>
      </c>
      <c r="L101" s="49">
        <f t="shared" ca="1" si="14"/>
        <v>635.50749999999994</v>
      </c>
      <c r="M101" s="49">
        <f t="shared" ca="1" si="14"/>
        <v>765.99239999999998</v>
      </c>
      <c r="N101" s="49">
        <f t="shared" ca="1" si="14"/>
        <v>1010.5265000000001</v>
      </c>
      <c r="O101" s="67">
        <f t="shared" ca="1" si="14"/>
        <v>1340.4030000000002</v>
      </c>
    </row>
    <row r="102" spans="1:15" hidden="1" outlineLevel="1" x14ac:dyDescent="0.25">
      <c r="A102" s="20"/>
      <c r="B102" s="21" t="s">
        <v>0</v>
      </c>
      <c r="D102" s="68"/>
      <c r="E102" s="69"/>
      <c r="F102" s="69"/>
      <c r="G102" s="69"/>
      <c r="H102" s="69"/>
      <c r="I102" s="70"/>
      <c r="J102" s="68"/>
      <c r="K102" s="69"/>
      <c r="L102" s="69"/>
      <c r="M102" s="69"/>
      <c r="N102" s="69"/>
      <c r="O102" s="70"/>
    </row>
    <row r="103" spans="1:15" hidden="1" outlineLevel="1" x14ac:dyDescent="0.25">
      <c r="A103" s="1"/>
      <c r="B103" s="133"/>
      <c r="D103" s="50"/>
      <c r="E103" s="51"/>
      <c r="F103" s="51"/>
      <c r="G103" s="51"/>
      <c r="H103" s="51"/>
      <c r="I103" s="51"/>
      <c r="J103" s="50"/>
      <c r="K103" s="51"/>
      <c r="L103" s="51"/>
      <c r="M103" s="51"/>
      <c r="N103" s="51"/>
      <c r="O103" s="51"/>
    </row>
    <row r="104" spans="1:15" hidden="1" outlineLevel="1" x14ac:dyDescent="0.25">
      <c r="A104" s="63"/>
      <c r="B104" s="64"/>
      <c r="D104" s="329" t="s">
        <v>121</v>
      </c>
      <c r="E104" s="330" t="s">
        <v>58</v>
      </c>
      <c r="F104" s="330" t="s">
        <v>109</v>
      </c>
      <c r="G104" s="330"/>
      <c r="H104" s="330"/>
      <c r="I104" s="331"/>
      <c r="J104" s="329" t="s">
        <v>121</v>
      </c>
      <c r="K104" s="330" t="s">
        <v>58</v>
      </c>
      <c r="L104" s="330" t="s">
        <v>109</v>
      </c>
      <c r="M104" s="330"/>
      <c r="N104" s="330"/>
      <c r="O104" s="331"/>
    </row>
    <row r="105" spans="1:15" hidden="1" outlineLevel="2" x14ac:dyDescent="0.25">
      <c r="A105" s="61">
        <v>196</v>
      </c>
      <c r="B105" s="62" t="s">
        <v>122</v>
      </c>
      <c r="D105" s="65">
        <f ca="1">VLOOKUP($A105,INDIRECT($P$2),COLUMN()-1,FALSE)*VLOOKUP($A105,Usinas!$C:$D,2,FALSE)</f>
        <v>106.78500000000001</v>
      </c>
      <c r="E105" s="65">
        <f ca="1">VLOOKUP($A105,INDIRECT($P$2),COLUMN()-1,FALSE)*VLOOKUP($A105,Usinas!$C:$D,2,FALSE)</f>
        <v>79.665000000000006</v>
      </c>
      <c r="F105" s="65">
        <f ca="1">VLOOKUP($A105,INDIRECT($P$2),COLUMN()-1,FALSE)*VLOOKUP($A105,Usinas!$C:$D,2,FALSE)</f>
        <v>77.97</v>
      </c>
      <c r="G105" s="65">
        <f ca="1">VLOOKUP($A105,INDIRECT($P$2),COLUMN()-1,FALSE)*VLOOKUP($A105,Usinas!$C:$D,2,FALSE)</f>
        <v>62.715000000000003</v>
      </c>
      <c r="H105" s="65">
        <f ca="1">VLOOKUP($A105,INDIRECT($P$2),COLUMN()-1,FALSE)*VLOOKUP($A105,Usinas!$C:$D,2,FALSE)</f>
        <v>44.07</v>
      </c>
      <c r="I105" s="65">
        <f ca="1">VLOOKUP($A105,INDIRECT($P$2),COLUMN()-1,FALSE)*VLOOKUP($A105,Usinas!$C:$D,2,FALSE)</f>
        <v>33.9</v>
      </c>
      <c r="J105" s="65">
        <f ca="1">VLOOKUP($A105,INDIRECT($P$2),COLUMN()-1,FALSE)*VLOOKUP($A105,Usinas!$C:$D,2,FALSE)</f>
        <v>30.51</v>
      </c>
      <c r="K105" s="65">
        <f ca="1">VLOOKUP($A105,INDIRECT($P$2),COLUMN()-1,FALSE)*VLOOKUP($A105,Usinas!$C:$D,2,FALSE)</f>
        <v>25.425000000000001</v>
      </c>
      <c r="L105" s="65">
        <f ca="1">VLOOKUP($A105,INDIRECT($P$2),COLUMN()-1,FALSE)*VLOOKUP($A105,Usinas!$C:$D,2,FALSE)</f>
        <v>25.425000000000001</v>
      </c>
      <c r="M105" s="65">
        <f ca="1">VLOOKUP($A105,INDIRECT($P$2),COLUMN()-1,FALSE)*VLOOKUP($A105,Usinas!$C:$D,2,FALSE)</f>
        <v>33.9</v>
      </c>
      <c r="N105" s="65">
        <f ca="1">VLOOKUP($A105,INDIRECT($P$2),COLUMN()-1,FALSE)*VLOOKUP($A105,Usinas!$C:$D,2,FALSE)</f>
        <v>64.41</v>
      </c>
      <c r="O105" s="65">
        <f ca="1">VLOOKUP($A105,INDIRECT($P$2),COLUMN()-1,FALSE)*VLOOKUP($A105,Usinas!$C:$D,2,FALSE)</f>
        <v>98.31</v>
      </c>
    </row>
    <row r="106" spans="1:15" hidden="1" outlineLevel="1" x14ac:dyDescent="0.25">
      <c r="A106" s="18"/>
      <c r="B106" s="19" t="s">
        <v>56</v>
      </c>
      <c r="D106" s="66">
        <f t="shared" ref="D106:O106" ca="1" si="15">D105</f>
        <v>106.78500000000001</v>
      </c>
      <c r="E106" s="49">
        <f t="shared" ca="1" si="15"/>
        <v>79.665000000000006</v>
      </c>
      <c r="F106" s="49">
        <f t="shared" ca="1" si="15"/>
        <v>77.97</v>
      </c>
      <c r="G106" s="49">
        <f t="shared" ca="1" si="15"/>
        <v>62.715000000000003</v>
      </c>
      <c r="H106" s="49">
        <f t="shared" ca="1" si="15"/>
        <v>44.07</v>
      </c>
      <c r="I106" s="67">
        <f t="shared" ca="1" si="15"/>
        <v>33.9</v>
      </c>
      <c r="J106" s="66">
        <f t="shared" ca="1" si="15"/>
        <v>30.51</v>
      </c>
      <c r="K106" s="49">
        <f t="shared" ca="1" si="15"/>
        <v>25.425000000000001</v>
      </c>
      <c r="L106" s="49">
        <f t="shared" ca="1" si="15"/>
        <v>25.425000000000001</v>
      </c>
      <c r="M106" s="49">
        <f t="shared" ca="1" si="15"/>
        <v>33.9</v>
      </c>
      <c r="N106" s="49">
        <f t="shared" ca="1" si="15"/>
        <v>64.41</v>
      </c>
      <c r="O106" s="67">
        <f t="shared" ca="1" si="15"/>
        <v>98.31</v>
      </c>
    </row>
    <row r="107" spans="1:15" hidden="1" outlineLevel="1" x14ac:dyDescent="0.25">
      <c r="A107" s="20"/>
      <c r="B107" s="21" t="s">
        <v>0</v>
      </c>
      <c r="D107" s="68"/>
      <c r="E107" s="69"/>
      <c r="F107" s="69"/>
      <c r="G107" s="69"/>
      <c r="H107" s="69"/>
      <c r="I107" s="70"/>
      <c r="J107" s="68"/>
      <c r="K107" s="69"/>
      <c r="L107" s="69"/>
      <c r="M107" s="69"/>
      <c r="N107" s="69"/>
      <c r="O107" s="70"/>
    </row>
    <row r="108" spans="1:15" hidden="1" outlineLevel="1" x14ac:dyDescent="0.25">
      <c r="A108" s="1"/>
      <c r="B108" s="133"/>
      <c r="D108" s="50"/>
      <c r="E108" s="51"/>
      <c r="F108" s="51"/>
      <c r="G108" s="51"/>
      <c r="H108" s="51"/>
      <c r="I108" s="51"/>
      <c r="J108" s="50"/>
      <c r="K108" s="51"/>
      <c r="L108" s="51"/>
      <c r="M108" s="51"/>
      <c r="N108" s="51"/>
      <c r="O108" s="51"/>
    </row>
    <row r="109" spans="1:15" hidden="1" outlineLevel="1" x14ac:dyDescent="0.25">
      <c r="A109" s="63"/>
      <c r="B109" s="64"/>
      <c r="D109" s="329" t="s">
        <v>123</v>
      </c>
      <c r="E109" s="330" t="s">
        <v>58</v>
      </c>
      <c r="F109" s="330" t="s">
        <v>124</v>
      </c>
      <c r="G109" s="330"/>
      <c r="H109" s="330"/>
      <c r="I109" s="331"/>
      <c r="J109" s="329" t="s">
        <v>123</v>
      </c>
      <c r="K109" s="330" t="s">
        <v>58</v>
      </c>
      <c r="L109" s="330" t="s">
        <v>124</v>
      </c>
      <c r="M109" s="330"/>
      <c r="N109" s="330"/>
      <c r="O109" s="331"/>
    </row>
    <row r="110" spans="1:15" hidden="1" outlineLevel="2" x14ac:dyDescent="0.25">
      <c r="A110" s="61">
        <v>283</v>
      </c>
      <c r="B110" s="62" t="s">
        <v>125</v>
      </c>
      <c r="D110" s="65">
        <f ca="1">VLOOKUP($A110,INDIRECT($P$2),COLUMN()-1,FALSE)*VLOOKUP($A110,Usinas!$C:$D,2,FALSE)</f>
        <v>80.678399999999996</v>
      </c>
      <c r="E110" s="65">
        <f ca="1">VLOOKUP($A110,INDIRECT($P$2),COLUMN()-1,FALSE)*VLOOKUP($A110,Usinas!$C:$D,2,FALSE)</f>
        <v>56.8416</v>
      </c>
      <c r="F110" s="65">
        <f ca="1">VLOOKUP($A110,INDIRECT($P$2),COLUMN()-1,FALSE)*VLOOKUP($A110,Usinas!$C:$D,2,FALSE)</f>
        <v>55.924799999999998</v>
      </c>
      <c r="G110" s="65">
        <f ca="1">VLOOKUP($A110,INDIRECT($P$2),COLUMN()-1,FALSE)*VLOOKUP($A110,Usinas!$C:$D,2,FALSE)</f>
        <v>49.507199999999997</v>
      </c>
      <c r="H110" s="65">
        <f ca="1">VLOOKUP($A110,INDIRECT($P$2),COLUMN()-1,FALSE)*VLOOKUP($A110,Usinas!$C:$D,2,FALSE)</f>
        <v>33.921599999999998</v>
      </c>
      <c r="I110" s="65">
        <f ca="1">VLOOKUP($A110,INDIRECT($P$2),COLUMN()-1,FALSE)*VLOOKUP($A110,Usinas!$C:$D,2,FALSE)</f>
        <v>28.4208</v>
      </c>
      <c r="J110" s="65">
        <f ca="1">VLOOKUP($A110,INDIRECT($P$2),COLUMN()-1,FALSE)*VLOOKUP($A110,Usinas!$C:$D,2,FALSE)</f>
        <v>27.962399999999999</v>
      </c>
      <c r="K110" s="65">
        <f ca="1">VLOOKUP($A110,INDIRECT($P$2),COLUMN()-1,FALSE)*VLOOKUP($A110,Usinas!$C:$D,2,FALSE)</f>
        <v>23.378399999999999</v>
      </c>
      <c r="L110" s="65">
        <f ca="1">VLOOKUP($A110,INDIRECT($P$2),COLUMN()-1,FALSE)*VLOOKUP($A110,Usinas!$C:$D,2,FALSE)</f>
        <v>20.628</v>
      </c>
      <c r="M110" s="65">
        <f ca="1">VLOOKUP($A110,INDIRECT($P$2),COLUMN()-1,FALSE)*VLOOKUP($A110,Usinas!$C:$D,2,FALSE)</f>
        <v>28.4208</v>
      </c>
      <c r="N110" s="65">
        <f ca="1">VLOOKUP($A110,INDIRECT($P$2),COLUMN()-1,FALSE)*VLOOKUP($A110,Usinas!$C:$D,2,FALSE)</f>
        <v>56.383199999999995</v>
      </c>
      <c r="O110" s="65">
        <f ca="1">VLOOKUP($A110,INDIRECT($P$2),COLUMN()-1,FALSE)*VLOOKUP($A110,Usinas!$C:$D,2,FALSE)</f>
        <v>84.804000000000002</v>
      </c>
    </row>
    <row r="111" spans="1:15" hidden="1" outlineLevel="1" x14ac:dyDescent="0.25">
      <c r="A111" s="18"/>
      <c r="B111" s="19" t="s">
        <v>56</v>
      </c>
      <c r="D111" s="66">
        <f t="shared" ref="D111:O111" ca="1" si="16">D110</f>
        <v>80.678399999999996</v>
      </c>
      <c r="E111" s="49">
        <f t="shared" ca="1" si="16"/>
        <v>56.8416</v>
      </c>
      <c r="F111" s="49">
        <f t="shared" ca="1" si="16"/>
        <v>55.924799999999998</v>
      </c>
      <c r="G111" s="49">
        <f t="shared" ca="1" si="16"/>
        <v>49.507199999999997</v>
      </c>
      <c r="H111" s="49">
        <f t="shared" ca="1" si="16"/>
        <v>33.921599999999998</v>
      </c>
      <c r="I111" s="67">
        <f t="shared" ca="1" si="16"/>
        <v>28.4208</v>
      </c>
      <c r="J111" s="66">
        <f t="shared" ca="1" si="16"/>
        <v>27.962399999999999</v>
      </c>
      <c r="K111" s="49">
        <f t="shared" ca="1" si="16"/>
        <v>23.378399999999999</v>
      </c>
      <c r="L111" s="49">
        <f t="shared" ca="1" si="16"/>
        <v>20.628</v>
      </c>
      <c r="M111" s="49">
        <f t="shared" ca="1" si="16"/>
        <v>28.4208</v>
      </c>
      <c r="N111" s="49">
        <f t="shared" ca="1" si="16"/>
        <v>56.383199999999995</v>
      </c>
      <c r="O111" s="67">
        <f t="shared" ca="1" si="16"/>
        <v>84.804000000000002</v>
      </c>
    </row>
    <row r="112" spans="1:15" hidden="1" outlineLevel="1" x14ac:dyDescent="0.25">
      <c r="A112" s="20"/>
      <c r="B112" s="21" t="s">
        <v>0</v>
      </c>
      <c r="D112" s="68"/>
      <c r="E112" s="69"/>
      <c r="F112" s="69"/>
      <c r="G112" s="69"/>
      <c r="H112" s="69"/>
      <c r="I112" s="70"/>
      <c r="J112" s="68"/>
      <c r="K112" s="69"/>
      <c r="L112" s="69"/>
      <c r="M112" s="69"/>
      <c r="N112" s="69"/>
      <c r="O112" s="70"/>
    </row>
    <row r="113" spans="1:15" hidden="1" outlineLevel="1" x14ac:dyDescent="0.25">
      <c r="A113" s="1"/>
      <c r="B113" s="133"/>
      <c r="D113" s="50"/>
      <c r="E113" s="51"/>
      <c r="F113" s="51"/>
      <c r="G113" s="51"/>
      <c r="H113" s="51"/>
      <c r="I113" s="51"/>
      <c r="J113" s="50"/>
      <c r="K113" s="51"/>
      <c r="L113" s="51"/>
      <c r="M113" s="51"/>
      <c r="N113" s="51"/>
      <c r="O113" s="51"/>
    </row>
    <row r="114" spans="1:15" hidden="1" outlineLevel="1" x14ac:dyDescent="0.25">
      <c r="A114" s="63"/>
      <c r="B114" s="64"/>
      <c r="D114" s="329" t="s">
        <v>126</v>
      </c>
      <c r="E114" s="330" t="s">
        <v>58</v>
      </c>
      <c r="F114" s="330" t="s">
        <v>127</v>
      </c>
      <c r="G114" s="330"/>
      <c r="H114" s="330"/>
      <c r="I114" s="331"/>
      <c r="J114" s="329" t="s">
        <v>126</v>
      </c>
      <c r="K114" s="330" t="s">
        <v>58</v>
      </c>
      <c r="L114" s="330" t="s">
        <v>127</v>
      </c>
      <c r="M114" s="330"/>
      <c r="N114" s="330"/>
      <c r="O114" s="331"/>
    </row>
    <row r="115" spans="1:15" hidden="1" outlineLevel="2" x14ac:dyDescent="0.25">
      <c r="A115" s="61">
        <v>262</v>
      </c>
      <c r="B115" s="62" t="s">
        <v>128</v>
      </c>
      <c r="D115" s="65">
        <f ca="1">VLOOKUP($A115,INDIRECT($P$2),COLUMN()-1,FALSE)*VLOOKUP($A115,Usinas!$C:$D,2,FALSE)</f>
        <v>156.70259999999999</v>
      </c>
      <c r="E115" s="65">
        <f ca="1">VLOOKUP($A115,INDIRECT($P$2),COLUMN()-1,FALSE)*VLOOKUP($A115,Usinas!$C:$D,2,FALSE)</f>
        <v>119.8314</v>
      </c>
      <c r="F115" s="65">
        <f ca="1">VLOOKUP($A115,INDIRECT($P$2),COLUMN()-1,FALSE)*VLOOKUP($A115,Usinas!$C:$D,2,FALSE)</f>
        <v>107.541</v>
      </c>
      <c r="G115" s="65">
        <f ca="1">VLOOKUP($A115,INDIRECT($P$2),COLUMN()-1,FALSE)*VLOOKUP($A115,Usinas!$C:$D,2,FALSE)</f>
        <v>77.839200000000005</v>
      </c>
      <c r="H115" s="65">
        <f ca="1">VLOOKUP($A115,INDIRECT($P$2),COLUMN()-1,FALSE)*VLOOKUP($A115,Usinas!$C:$D,2,FALSE)</f>
        <v>58.379399999999997</v>
      </c>
      <c r="I115" s="65">
        <f ca="1">VLOOKUP($A115,INDIRECT($P$2),COLUMN()-1,FALSE)*VLOOKUP($A115,Usinas!$C:$D,2,FALSE)</f>
        <v>50.1858</v>
      </c>
      <c r="J115" s="65">
        <f ca="1">VLOOKUP($A115,INDIRECT($P$2),COLUMN()-1,FALSE)*VLOOKUP($A115,Usinas!$C:$D,2,FALSE)</f>
        <v>44.040599999999998</v>
      </c>
      <c r="K115" s="65">
        <f ca="1">VLOOKUP($A115,INDIRECT($P$2),COLUMN()-1,FALSE)*VLOOKUP($A115,Usinas!$C:$D,2,FALSE)</f>
        <v>38.919600000000003</v>
      </c>
      <c r="L115" s="65">
        <f ca="1">VLOOKUP($A115,INDIRECT($P$2),COLUMN()-1,FALSE)*VLOOKUP($A115,Usinas!$C:$D,2,FALSE)</f>
        <v>38.919600000000003</v>
      </c>
      <c r="M115" s="65">
        <f ca="1">VLOOKUP($A115,INDIRECT($P$2),COLUMN()-1,FALSE)*VLOOKUP($A115,Usinas!$C:$D,2,FALSE)</f>
        <v>49.1616</v>
      </c>
      <c r="N115" s="65">
        <f ca="1">VLOOKUP($A115,INDIRECT($P$2),COLUMN()-1,FALSE)*VLOOKUP($A115,Usinas!$C:$D,2,FALSE)</f>
        <v>80.911799999999999</v>
      </c>
      <c r="O115" s="65">
        <f ca="1">VLOOKUP($A115,INDIRECT($P$2),COLUMN()-1,FALSE)*VLOOKUP($A115,Usinas!$C:$D,2,FALSE)</f>
        <v>134.17019999999999</v>
      </c>
    </row>
    <row r="116" spans="1:15" hidden="1" outlineLevel="2" x14ac:dyDescent="0.25">
      <c r="A116" s="61">
        <v>183</v>
      </c>
      <c r="B116" s="62" t="s">
        <v>129</v>
      </c>
      <c r="D116" s="65">
        <f ca="1">VLOOKUP($A116,INDIRECT($P$2),COLUMN()-1,FALSE)*VLOOKUP($A116,Usinas!$C:$D,2,FALSE)</f>
        <v>157.5</v>
      </c>
      <c r="E116" s="65">
        <f ca="1">VLOOKUP($A116,INDIRECT($P$2),COLUMN()-1,FALSE)*VLOOKUP($A116,Usinas!$C:$D,2,FALSE)</f>
        <v>120</v>
      </c>
      <c r="F116" s="65">
        <f ca="1">VLOOKUP($A116,INDIRECT($P$2),COLUMN()-1,FALSE)*VLOOKUP($A116,Usinas!$C:$D,2,FALSE)</f>
        <v>107.8125</v>
      </c>
      <c r="G116" s="65">
        <f ca="1">VLOOKUP($A116,INDIRECT($P$2),COLUMN()-1,FALSE)*VLOOKUP($A116,Usinas!$C:$D,2,FALSE)</f>
        <v>77.8125</v>
      </c>
      <c r="H116" s="65">
        <f ca="1">VLOOKUP($A116,INDIRECT($P$2),COLUMN()-1,FALSE)*VLOOKUP($A116,Usinas!$C:$D,2,FALSE)</f>
        <v>58.125</v>
      </c>
      <c r="I116" s="65">
        <f ca="1">VLOOKUP($A116,INDIRECT($P$2),COLUMN()-1,FALSE)*VLOOKUP($A116,Usinas!$C:$D,2,FALSE)</f>
        <v>49.6875</v>
      </c>
      <c r="J116" s="65">
        <f ca="1">VLOOKUP($A116,INDIRECT($P$2),COLUMN()-1,FALSE)*VLOOKUP($A116,Usinas!$C:$D,2,FALSE)</f>
        <v>44.0625</v>
      </c>
      <c r="K116" s="65">
        <f ca="1">VLOOKUP($A116,INDIRECT($P$2),COLUMN()-1,FALSE)*VLOOKUP($A116,Usinas!$C:$D,2,FALSE)</f>
        <v>39.375</v>
      </c>
      <c r="L116" s="65">
        <f ca="1">VLOOKUP($A116,INDIRECT($P$2),COLUMN()-1,FALSE)*VLOOKUP($A116,Usinas!$C:$D,2,FALSE)</f>
        <v>39.375</v>
      </c>
      <c r="M116" s="65">
        <f ca="1">VLOOKUP($A116,INDIRECT($P$2),COLUMN()-1,FALSE)*VLOOKUP($A116,Usinas!$C:$D,2,FALSE)</f>
        <v>49.6875</v>
      </c>
      <c r="N116" s="65">
        <f ca="1">VLOOKUP($A116,INDIRECT($P$2),COLUMN()-1,FALSE)*VLOOKUP($A116,Usinas!$C:$D,2,FALSE)</f>
        <v>80.625</v>
      </c>
      <c r="O116" s="65">
        <f ca="1">VLOOKUP($A116,INDIRECT($P$2),COLUMN()-1,FALSE)*VLOOKUP($A116,Usinas!$C:$D,2,FALSE)</f>
        <v>134.0625</v>
      </c>
    </row>
    <row r="117" spans="1:15" hidden="1" outlineLevel="2" x14ac:dyDescent="0.25">
      <c r="A117" s="61">
        <v>134</v>
      </c>
      <c r="B117" s="62" t="s">
        <v>130</v>
      </c>
      <c r="D117" s="65">
        <f ca="1">VLOOKUP($A117,INDIRECT($P$2),COLUMN()-1,FALSE)*VLOOKUP($A117,Usinas!$C:$D,2,FALSE)</f>
        <v>232.52130000000002</v>
      </c>
      <c r="E117" s="65">
        <f ca="1">VLOOKUP($A117,INDIRECT($P$2),COLUMN()-1,FALSE)*VLOOKUP($A117,Usinas!$C:$D,2,FALSE)</f>
        <v>187.89600000000002</v>
      </c>
      <c r="F117" s="65">
        <f ca="1">VLOOKUP($A117,INDIRECT($P$2),COLUMN()-1,FALSE)*VLOOKUP($A117,Usinas!$C:$D,2,FALSE)</f>
        <v>168.3235</v>
      </c>
      <c r="G117" s="65">
        <f ca="1">VLOOKUP($A117,INDIRECT($P$2),COLUMN()-1,FALSE)*VLOOKUP($A117,Usinas!$C:$D,2,FALSE)</f>
        <v>127.6127</v>
      </c>
      <c r="H117" s="65">
        <f ca="1">VLOOKUP($A117,INDIRECT($P$2),COLUMN()-1,FALSE)*VLOOKUP($A117,Usinas!$C:$D,2,FALSE)</f>
        <v>91.599299999999999</v>
      </c>
      <c r="I117" s="65">
        <f ca="1">VLOOKUP($A117,INDIRECT($P$2),COLUMN()-1,FALSE)*VLOOKUP($A117,Usinas!$C:$D,2,FALSE)</f>
        <v>75.1584</v>
      </c>
      <c r="J117" s="65">
        <f ca="1">VLOOKUP($A117,INDIRECT($P$2),COLUMN()-1,FALSE)*VLOOKUP($A117,Usinas!$C:$D,2,FALSE)</f>
        <v>64.197800000000001</v>
      </c>
      <c r="K117" s="65">
        <f ca="1">VLOOKUP($A117,INDIRECT($P$2),COLUMN()-1,FALSE)*VLOOKUP($A117,Usinas!$C:$D,2,FALSE)</f>
        <v>55.585900000000002</v>
      </c>
      <c r="L117" s="65">
        <f ca="1">VLOOKUP($A117,INDIRECT($P$2),COLUMN()-1,FALSE)*VLOOKUP($A117,Usinas!$C:$D,2,FALSE)</f>
        <v>53.237200000000001</v>
      </c>
      <c r="M117" s="65">
        <f ca="1">VLOOKUP($A117,INDIRECT($P$2),COLUMN()-1,FALSE)*VLOOKUP($A117,Usinas!$C:$D,2,FALSE)</f>
        <v>68.112300000000005</v>
      </c>
      <c r="N117" s="65">
        <f ca="1">VLOOKUP($A117,INDIRECT($P$2),COLUMN()-1,FALSE)*VLOOKUP($A117,Usinas!$C:$D,2,FALSE)</f>
        <v>126.82980000000001</v>
      </c>
      <c r="O117" s="65">
        <f ca="1">VLOOKUP($A117,INDIRECT($P$2),COLUMN()-1,FALSE)*VLOOKUP($A117,Usinas!$C:$D,2,FALSE)</f>
        <v>201.98820000000001</v>
      </c>
    </row>
    <row r="118" spans="1:15" hidden="1" outlineLevel="2" x14ac:dyDescent="0.25">
      <c r="A118" s="61">
        <v>263</v>
      </c>
      <c r="B118" s="62" t="s">
        <v>131</v>
      </c>
      <c r="D118" s="65">
        <f ca="1">VLOOKUP($A118,INDIRECT($P$2),COLUMN()-1,FALSE)*VLOOKUP($A118,Usinas!$C:$D,2,FALSE)</f>
        <v>131.50200000000001</v>
      </c>
      <c r="E118" s="65">
        <f ca="1">VLOOKUP($A118,INDIRECT($P$2),COLUMN()-1,FALSE)*VLOOKUP($A118,Usinas!$C:$D,2,FALSE)</f>
        <v>106.47420000000001</v>
      </c>
      <c r="F118" s="65">
        <f ca="1">VLOOKUP($A118,INDIRECT($P$2),COLUMN()-1,FALSE)*VLOOKUP($A118,Usinas!$C:$D,2,FALSE)</f>
        <v>95.020800000000008</v>
      </c>
      <c r="G118" s="65">
        <f ca="1">VLOOKUP($A118,INDIRECT($P$2),COLUMN()-1,FALSE)*VLOOKUP($A118,Usinas!$C:$D,2,FALSE)</f>
        <v>72.114000000000004</v>
      </c>
      <c r="H118" s="65">
        <f ca="1">VLOOKUP($A118,INDIRECT($P$2),COLUMN()-1,FALSE)*VLOOKUP($A118,Usinas!$C:$D,2,FALSE)</f>
        <v>51.752400000000002</v>
      </c>
      <c r="I118" s="65">
        <f ca="1">VLOOKUP($A118,INDIRECT($P$2),COLUMN()-1,FALSE)*VLOOKUP($A118,Usinas!$C:$D,2,FALSE)</f>
        <v>42.42</v>
      </c>
      <c r="J118" s="65">
        <f ca="1">VLOOKUP($A118,INDIRECT($P$2),COLUMN()-1,FALSE)*VLOOKUP($A118,Usinas!$C:$D,2,FALSE)</f>
        <v>36.057000000000002</v>
      </c>
      <c r="K118" s="65">
        <f ca="1">VLOOKUP($A118,INDIRECT($P$2),COLUMN()-1,FALSE)*VLOOKUP($A118,Usinas!$C:$D,2,FALSE)</f>
        <v>31.390800000000002</v>
      </c>
      <c r="L118" s="65">
        <f ca="1">VLOOKUP($A118,INDIRECT($P$2),COLUMN()-1,FALSE)*VLOOKUP($A118,Usinas!$C:$D,2,FALSE)</f>
        <v>30.118200000000002</v>
      </c>
      <c r="M118" s="65">
        <f ca="1">VLOOKUP($A118,INDIRECT($P$2),COLUMN()-1,FALSE)*VLOOKUP($A118,Usinas!$C:$D,2,FALSE)</f>
        <v>38.602200000000003</v>
      </c>
      <c r="N118" s="65">
        <f ca="1">VLOOKUP($A118,INDIRECT($P$2),COLUMN()-1,FALSE)*VLOOKUP($A118,Usinas!$C:$D,2,FALSE)</f>
        <v>71.689800000000005</v>
      </c>
      <c r="O118" s="65">
        <f ca="1">VLOOKUP($A118,INDIRECT($P$2),COLUMN()-1,FALSE)*VLOOKUP($A118,Usinas!$C:$D,2,FALSE)</f>
        <v>114.10980000000001</v>
      </c>
    </row>
    <row r="119" spans="1:15" hidden="1" outlineLevel="2" x14ac:dyDescent="0.25">
      <c r="A119" s="61">
        <v>149</v>
      </c>
      <c r="B119" s="62" t="s">
        <v>132</v>
      </c>
      <c r="D119" s="65">
        <f ca="1">VLOOKUP($A119,INDIRECT($P$2),COLUMN()-1,FALSE)*VLOOKUP($A119,Usinas!$C:$D,2,FALSE)</f>
        <v>127.32719999999999</v>
      </c>
      <c r="E119" s="65">
        <f ca="1">VLOOKUP($A119,INDIRECT($P$2),COLUMN()-1,FALSE)*VLOOKUP($A119,Usinas!$C:$D,2,FALSE)</f>
        <v>108.20479999999999</v>
      </c>
      <c r="F119" s="65">
        <f ca="1">VLOOKUP($A119,INDIRECT($P$2),COLUMN()-1,FALSE)*VLOOKUP($A119,Usinas!$C:$D,2,FALSE)</f>
        <v>96.078400000000002</v>
      </c>
      <c r="G119" s="65">
        <f ca="1">VLOOKUP($A119,INDIRECT($P$2),COLUMN()-1,FALSE)*VLOOKUP($A119,Usinas!$C:$D,2,FALSE)</f>
        <v>74.623999999999995</v>
      </c>
      <c r="H119" s="65">
        <f ca="1">VLOOKUP($A119,INDIRECT($P$2),COLUMN()-1,FALSE)*VLOOKUP($A119,Usinas!$C:$D,2,FALSE)</f>
        <v>57.367199999999997</v>
      </c>
      <c r="I119" s="65">
        <f ca="1">VLOOKUP($A119,INDIRECT($P$2),COLUMN()-1,FALSE)*VLOOKUP($A119,Usinas!$C:$D,2,FALSE)</f>
        <v>49.904799999999994</v>
      </c>
      <c r="J119" s="65">
        <f ca="1">VLOOKUP($A119,INDIRECT($P$2),COLUMN()-1,FALSE)*VLOOKUP($A119,Usinas!$C:$D,2,FALSE)</f>
        <v>44.7744</v>
      </c>
      <c r="K119" s="65">
        <f ca="1">VLOOKUP($A119,INDIRECT($P$2),COLUMN()-1,FALSE)*VLOOKUP($A119,Usinas!$C:$D,2,FALSE)</f>
        <v>40.110399999999998</v>
      </c>
      <c r="L119" s="65">
        <f ca="1">VLOOKUP($A119,INDIRECT($P$2),COLUMN()-1,FALSE)*VLOOKUP($A119,Usinas!$C:$D,2,FALSE)</f>
        <v>39.643999999999998</v>
      </c>
      <c r="M119" s="65">
        <f ca="1">VLOOKUP($A119,INDIRECT($P$2),COLUMN()-1,FALSE)*VLOOKUP($A119,Usinas!$C:$D,2,FALSE)</f>
        <v>47.106400000000001</v>
      </c>
      <c r="N119" s="65">
        <f ca="1">VLOOKUP($A119,INDIRECT($P$2),COLUMN()-1,FALSE)*VLOOKUP($A119,Usinas!$C:$D,2,FALSE)</f>
        <v>68.5608</v>
      </c>
      <c r="O119" s="65">
        <f ca="1">VLOOKUP($A119,INDIRECT($P$2),COLUMN()-1,FALSE)*VLOOKUP($A119,Usinas!$C:$D,2,FALSE)</f>
        <v>107.27199999999999</v>
      </c>
    </row>
    <row r="120" spans="1:15" hidden="1" outlineLevel="2" x14ac:dyDescent="0.25">
      <c r="A120" s="61">
        <v>141</v>
      </c>
      <c r="B120" s="62" t="s">
        <v>133</v>
      </c>
      <c r="D120" s="65">
        <f ca="1">VLOOKUP($A120,INDIRECT($P$2),COLUMN()-1,FALSE)*VLOOKUP($A120,Usinas!$C:$D,2,FALSE)</f>
        <v>170.90190000000001</v>
      </c>
      <c r="E120" s="65">
        <f ca="1">VLOOKUP($A120,INDIRECT($P$2),COLUMN()-1,FALSE)*VLOOKUP($A120,Usinas!$C:$D,2,FALSE)</f>
        <v>138.76650000000001</v>
      </c>
      <c r="F120" s="65">
        <f ca="1">VLOOKUP($A120,INDIRECT($P$2),COLUMN()-1,FALSE)*VLOOKUP($A120,Usinas!$C:$D,2,FALSE)</f>
        <v>122.69880000000001</v>
      </c>
      <c r="G120" s="65">
        <f ca="1">VLOOKUP($A120,INDIRECT($P$2),COLUMN()-1,FALSE)*VLOOKUP($A120,Usinas!$C:$D,2,FALSE)</f>
        <v>96.243899999999996</v>
      </c>
      <c r="H120" s="65">
        <f ca="1">VLOOKUP($A120,INDIRECT($P$2),COLUMN()-1,FALSE)*VLOOKUP($A120,Usinas!$C:$D,2,FALSE)</f>
        <v>72.061199999999999</v>
      </c>
      <c r="I120" s="65">
        <f ca="1">VLOOKUP($A120,INDIRECT($P$2),COLUMN()-1,FALSE)*VLOOKUP($A120,Usinas!$C:$D,2,FALSE)</f>
        <v>61.349400000000003</v>
      </c>
      <c r="J120" s="65">
        <f ca="1">VLOOKUP($A120,INDIRECT($P$2),COLUMN()-1,FALSE)*VLOOKUP($A120,Usinas!$C:$D,2,FALSE)</f>
        <v>54.3705</v>
      </c>
      <c r="K120" s="65">
        <f ca="1">VLOOKUP($A120,INDIRECT($P$2),COLUMN()-1,FALSE)*VLOOKUP($A120,Usinas!$C:$D,2,FALSE)</f>
        <v>48.69</v>
      </c>
      <c r="L120" s="65">
        <f ca="1">VLOOKUP($A120,INDIRECT($P$2),COLUMN()-1,FALSE)*VLOOKUP($A120,Usinas!$C:$D,2,FALSE)</f>
        <v>47.391599999999997</v>
      </c>
      <c r="M120" s="65">
        <f ca="1">VLOOKUP($A120,INDIRECT($P$2),COLUMN()-1,FALSE)*VLOOKUP($A120,Usinas!$C:$D,2,FALSE)</f>
        <v>57.129599999999996</v>
      </c>
      <c r="N120" s="65">
        <f ca="1">VLOOKUP($A120,INDIRECT($P$2),COLUMN()-1,FALSE)*VLOOKUP($A120,Usinas!$C:$D,2,FALSE)</f>
        <v>91.374899999999997</v>
      </c>
      <c r="O120" s="65">
        <f ca="1">VLOOKUP($A120,INDIRECT($P$2),COLUMN()-1,FALSE)*VLOOKUP($A120,Usinas!$C:$D,2,FALSE)</f>
        <v>147.69300000000001</v>
      </c>
    </row>
    <row r="121" spans="1:15" hidden="1" outlineLevel="2" x14ac:dyDescent="0.25">
      <c r="A121" s="61">
        <v>148</v>
      </c>
      <c r="B121" s="62" t="s">
        <v>134</v>
      </c>
      <c r="D121" s="65">
        <f ca="1">VLOOKUP($A121,INDIRECT($P$2),COLUMN()-1,FALSE)*VLOOKUP($A121,Usinas!$C:$D,2,FALSE)</f>
        <v>400.30199999999996</v>
      </c>
      <c r="E121" s="65">
        <f ca="1">VLOOKUP($A121,INDIRECT($P$2),COLUMN()-1,FALSE)*VLOOKUP($A121,Usinas!$C:$D,2,FALSE)</f>
        <v>311.346</v>
      </c>
      <c r="F121" s="65">
        <f ca="1">VLOOKUP($A121,INDIRECT($P$2),COLUMN()-1,FALSE)*VLOOKUP($A121,Usinas!$C:$D,2,FALSE)</f>
        <v>273.53969999999998</v>
      </c>
      <c r="G121" s="65">
        <f ca="1">VLOOKUP($A121,INDIRECT($P$2),COLUMN()-1,FALSE)*VLOOKUP($A121,Usinas!$C:$D,2,FALSE)</f>
        <v>211.51759999999999</v>
      </c>
      <c r="H121" s="65">
        <f ca="1">VLOOKUP($A121,INDIRECT($P$2),COLUMN()-1,FALSE)*VLOOKUP($A121,Usinas!$C:$D,2,FALSE)</f>
        <v>153.44909999999999</v>
      </c>
      <c r="I121" s="65">
        <f ca="1">VLOOKUP($A121,INDIRECT($P$2),COLUMN()-1,FALSE)*VLOOKUP($A121,Usinas!$C:$D,2,FALSE)</f>
        <v>128.73909999999998</v>
      </c>
      <c r="J121" s="65">
        <f ca="1">VLOOKUP($A121,INDIRECT($P$2),COLUMN()-1,FALSE)*VLOOKUP($A121,Usinas!$C:$D,2,FALSE)</f>
        <v>113.9131</v>
      </c>
      <c r="K121" s="65">
        <f ca="1">VLOOKUP($A121,INDIRECT($P$2),COLUMN()-1,FALSE)*VLOOKUP($A121,Usinas!$C:$D,2,FALSE)</f>
        <v>101.31099999999999</v>
      </c>
      <c r="L121" s="65">
        <f ca="1">VLOOKUP($A121,INDIRECT($P$2),COLUMN()-1,FALSE)*VLOOKUP($A121,Usinas!$C:$D,2,FALSE)</f>
        <v>97.851599999999991</v>
      </c>
      <c r="M121" s="65">
        <f ca="1">VLOOKUP($A121,INDIRECT($P$2),COLUMN()-1,FALSE)*VLOOKUP($A121,Usinas!$C:$D,2,FALSE)</f>
        <v>122.5616</v>
      </c>
      <c r="N121" s="65">
        <f ca="1">VLOOKUP($A121,INDIRECT($P$2),COLUMN()-1,FALSE)*VLOOKUP($A121,Usinas!$C:$D,2,FALSE)</f>
        <v>207.31689999999998</v>
      </c>
      <c r="O121" s="65">
        <f ca="1">VLOOKUP($A121,INDIRECT($P$2),COLUMN()-1,FALSE)*VLOOKUP($A121,Usinas!$C:$D,2,FALSE)</f>
        <v>349.39939999999996</v>
      </c>
    </row>
    <row r="122" spans="1:15" hidden="1" outlineLevel="2" x14ac:dyDescent="0.25">
      <c r="A122" s="61">
        <v>144</v>
      </c>
      <c r="B122" s="62" t="s">
        <v>135</v>
      </c>
      <c r="D122" s="65">
        <f ca="1">VLOOKUP($A122,INDIRECT($P$2),COLUMN()-1,FALSE)*VLOOKUP($A122,Usinas!$C:$D,2,FALSE)</f>
        <v>341.35039999999998</v>
      </c>
      <c r="E122" s="65">
        <f ca="1">VLOOKUP($A122,INDIRECT($P$2),COLUMN()-1,FALSE)*VLOOKUP($A122,Usinas!$C:$D,2,FALSE)</f>
        <v>264.5104</v>
      </c>
      <c r="F122" s="65">
        <f ca="1">VLOOKUP($A122,INDIRECT($P$2),COLUMN()-1,FALSE)*VLOOKUP($A122,Usinas!$C:$D,2,FALSE)</f>
        <v>232.32799999999997</v>
      </c>
      <c r="G122" s="65">
        <f ca="1">VLOOKUP($A122,INDIRECT($P$2),COLUMN()-1,FALSE)*VLOOKUP($A122,Usinas!$C:$D,2,FALSE)</f>
        <v>179.53439999999998</v>
      </c>
      <c r="H122" s="65">
        <f ca="1">VLOOKUP($A122,INDIRECT($P$2),COLUMN()-1,FALSE)*VLOOKUP($A122,Usinas!$C:$D,2,FALSE)</f>
        <v>129.99519999999998</v>
      </c>
      <c r="I122" s="65">
        <f ca="1">VLOOKUP($A122,INDIRECT($P$2),COLUMN()-1,FALSE)*VLOOKUP($A122,Usinas!$C:$D,2,FALSE)</f>
        <v>108.66079999999999</v>
      </c>
      <c r="J122" s="65">
        <f ca="1">VLOOKUP($A122,INDIRECT($P$2),COLUMN()-1,FALSE)*VLOOKUP($A122,Usinas!$C:$D,2,FALSE)</f>
        <v>96.185599999999994</v>
      </c>
      <c r="K122" s="65">
        <f ca="1">VLOOKUP($A122,INDIRECT($P$2),COLUMN()-1,FALSE)*VLOOKUP($A122,Usinas!$C:$D,2,FALSE)</f>
        <v>85.15679999999999</v>
      </c>
      <c r="L122" s="65">
        <f ca="1">VLOOKUP($A122,INDIRECT($P$2),COLUMN()-1,FALSE)*VLOOKUP($A122,Usinas!$C:$D,2,FALSE)</f>
        <v>82.083199999999991</v>
      </c>
      <c r="M122" s="65">
        <f ca="1">VLOOKUP($A122,INDIRECT($P$2),COLUMN()-1,FALSE)*VLOOKUP($A122,Usinas!$C:$D,2,FALSE)</f>
        <v>103.23679999999999</v>
      </c>
      <c r="N122" s="65">
        <f ca="1">VLOOKUP($A122,INDIRECT($P$2),COLUMN()-1,FALSE)*VLOOKUP($A122,Usinas!$C:$D,2,FALSE)</f>
        <v>176.0992</v>
      </c>
      <c r="O122" s="65">
        <f ca="1">VLOOKUP($A122,INDIRECT($P$2),COLUMN()-1,FALSE)*VLOOKUP($A122,Usinas!$C:$D,2,FALSE)</f>
        <v>298.13919999999996</v>
      </c>
    </row>
    <row r="123" spans="1:15" hidden="1" outlineLevel="1" x14ac:dyDescent="0.25">
      <c r="A123" s="18"/>
      <c r="B123" s="19" t="s">
        <v>56</v>
      </c>
      <c r="D123" s="66">
        <f t="shared" ref="D123:I123" ca="1" si="17">SUM(D115:D122)</f>
        <v>1718.1073999999999</v>
      </c>
      <c r="E123" s="49">
        <f t="shared" ca="1" si="17"/>
        <v>1357.0293000000001</v>
      </c>
      <c r="F123" s="49">
        <f t="shared" ca="1" si="17"/>
        <v>1203.3426999999999</v>
      </c>
      <c r="G123" s="49">
        <f t="shared" ca="1" si="17"/>
        <v>917.29830000000004</v>
      </c>
      <c r="H123" s="49">
        <f t="shared" ca="1" si="17"/>
        <v>672.72879999999998</v>
      </c>
      <c r="I123" s="67">
        <f t="shared" ca="1" si="17"/>
        <v>566.10579999999993</v>
      </c>
      <c r="J123" s="66">
        <f t="shared" ref="J123:O123" ca="1" si="18">SUM(J115:J122)</f>
        <v>497.60149999999999</v>
      </c>
      <c r="K123" s="49">
        <f t="shared" ca="1" si="18"/>
        <v>440.53949999999998</v>
      </c>
      <c r="L123" s="49">
        <f t="shared" ca="1" si="18"/>
        <v>428.62039999999996</v>
      </c>
      <c r="M123" s="49">
        <f t="shared" ca="1" si="18"/>
        <v>535.59799999999996</v>
      </c>
      <c r="N123" s="49">
        <f t="shared" ca="1" si="18"/>
        <v>903.40819999999997</v>
      </c>
      <c r="O123" s="67">
        <f t="shared" ca="1" si="18"/>
        <v>1486.8343</v>
      </c>
    </row>
    <row r="124" spans="1:15" hidden="1" outlineLevel="1" x14ac:dyDescent="0.25">
      <c r="A124" s="20"/>
      <c r="B124" s="21" t="s">
        <v>0</v>
      </c>
      <c r="D124" s="68"/>
      <c r="E124" s="69"/>
      <c r="F124" s="69"/>
      <c r="G124" s="69"/>
      <c r="H124" s="69"/>
      <c r="I124" s="70"/>
      <c r="J124" s="68"/>
      <c r="K124" s="69"/>
      <c r="L124" s="69"/>
      <c r="M124" s="69"/>
      <c r="N124" s="69"/>
      <c r="O124" s="70"/>
    </row>
    <row r="125" spans="1:15" hidden="1" outlineLevel="1" x14ac:dyDescent="0.25">
      <c r="A125" s="1"/>
      <c r="B125" s="133"/>
      <c r="D125" s="50"/>
      <c r="E125" s="51"/>
      <c r="F125" s="51"/>
      <c r="G125" s="51"/>
      <c r="H125" s="51"/>
      <c r="I125" s="51"/>
      <c r="J125" s="50"/>
      <c r="K125" s="51"/>
      <c r="L125" s="51"/>
      <c r="M125" s="51"/>
      <c r="N125" s="51"/>
      <c r="O125" s="51"/>
    </row>
    <row r="126" spans="1:15" hidden="1" outlineLevel="1" x14ac:dyDescent="0.25">
      <c r="A126" s="38"/>
      <c r="B126" s="39"/>
      <c r="D126" s="332" t="s">
        <v>136</v>
      </c>
      <c r="E126" s="333" t="s">
        <v>58</v>
      </c>
      <c r="F126" s="333" t="s">
        <v>137</v>
      </c>
      <c r="G126" s="333"/>
      <c r="H126" s="333"/>
      <c r="I126" s="334"/>
      <c r="J126" s="332" t="s">
        <v>136</v>
      </c>
      <c r="K126" s="333" t="s">
        <v>58</v>
      </c>
      <c r="L126" s="333" t="s">
        <v>137</v>
      </c>
      <c r="M126" s="333"/>
      <c r="N126" s="333"/>
      <c r="O126" s="334"/>
    </row>
    <row r="127" spans="1:15" hidden="1" outlineLevel="2" x14ac:dyDescent="0.25">
      <c r="A127" s="30">
        <v>278</v>
      </c>
      <c r="B127" s="31" t="s">
        <v>138</v>
      </c>
      <c r="D127" s="65">
        <f ca="1">VLOOKUP($A127,INDIRECT($P$2),COLUMN()-1,FALSE)*VLOOKUP($A127,Usinas!$C:$D,2,FALSE)</f>
        <v>157.43699999999998</v>
      </c>
      <c r="E127" s="65">
        <f ca="1">VLOOKUP($A127,INDIRECT($P$2),COLUMN()-1,FALSE)*VLOOKUP($A127,Usinas!$C:$D,2,FALSE)</f>
        <v>177.5025</v>
      </c>
      <c r="F127" s="65">
        <f ca="1">VLOOKUP($A127,INDIRECT($P$2),COLUMN()-1,FALSE)*VLOOKUP($A127,Usinas!$C:$D,2,FALSE)</f>
        <v>166.18349999999998</v>
      </c>
      <c r="G127" s="65">
        <f ca="1">VLOOKUP($A127,INDIRECT($P$2),COLUMN()-1,FALSE)*VLOOKUP($A127,Usinas!$C:$D,2,FALSE)</f>
        <v>111.13199999999999</v>
      </c>
      <c r="H127" s="65">
        <f ca="1">VLOOKUP($A127,INDIRECT($P$2),COLUMN()-1,FALSE)*VLOOKUP($A127,Usinas!$C:$D,2,FALSE)</f>
        <v>63.283499999999997</v>
      </c>
      <c r="I127" s="65">
        <f ca="1">VLOOKUP($A127,INDIRECT($P$2),COLUMN()-1,FALSE)*VLOOKUP($A127,Usinas!$C:$D,2,FALSE)</f>
        <v>47.333999999999996</v>
      </c>
      <c r="J127" s="65">
        <f ca="1">VLOOKUP($A127,INDIRECT($P$2),COLUMN()-1,FALSE)*VLOOKUP($A127,Usinas!$C:$D,2,FALSE)</f>
        <v>40.131</v>
      </c>
      <c r="K127" s="65">
        <f ca="1">VLOOKUP($A127,INDIRECT($P$2),COLUMN()-1,FALSE)*VLOOKUP($A127,Usinas!$C:$D,2,FALSE)</f>
        <v>35.500499999999995</v>
      </c>
      <c r="L127" s="65">
        <f ca="1">VLOOKUP($A127,INDIRECT($P$2),COLUMN()-1,FALSE)*VLOOKUP($A127,Usinas!$C:$D,2,FALSE)</f>
        <v>36.015000000000001</v>
      </c>
      <c r="M127" s="65">
        <f ca="1">VLOOKUP($A127,INDIRECT($P$2),COLUMN()-1,FALSE)*VLOOKUP($A127,Usinas!$C:$D,2,FALSE)</f>
        <v>48.363</v>
      </c>
      <c r="N127" s="65">
        <f ca="1">VLOOKUP($A127,INDIRECT($P$2),COLUMN()-1,FALSE)*VLOOKUP($A127,Usinas!$C:$D,2,FALSE)</f>
        <v>66.884999999999991</v>
      </c>
      <c r="O127" s="65">
        <f ca="1">VLOOKUP($A127,INDIRECT($P$2),COLUMN()-1,FALSE)*VLOOKUP($A127,Usinas!$C:$D,2,FALSE)</f>
        <v>106.50149999999999</v>
      </c>
    </row>
    <row r="128" spans="1:15" hidden="1" outlineLevel="2" x14ac:dyDescent="0.25">
      <c r="A128" s="30">
        <v>281</v>
      </c>
      <c r="B128" s="31" t="s">
        <v>139</v>
      </c>
      <c r="D128" s="65">
        <f ca="1">VLOOKUP($A128,INDIRECT($P$2),COLUMN()-1,FALSE)*VLOOKUP($A128,Usinas!$C:$D,2,FALSE)</f>
        <v>189.3032</v>
      </c>
      <c r="E128" s="65">
        <f ca="1">VLOOKUP($A128,INDIRECT($P$2),COLUMN()-1,FALSE)*VLOOKUP($A128,Usinas!$C:$D,2,FALSE)</f>
        <v>200.3092</v>
      </c>
      <c r="F128" s="65">
        <f ca="1">VLOOKUP($A128,INDIRECT($P$2),COLUMN()-1,FALSE)*VLOOKUP($A128,Usinas!$C:$D,2,FALSE)</f>
        <v>202.5104</v>
      </c>
      <c r="G128" s="65">
        <f ca="1">VLOOKUP($A128,INDIRECT($P$2),COLUMN()-1,FALSE)*VLOOKUP($A128,Usinas!$C:$D,2,FALSE)</f>
        <v>187.102</v>
      </c>
      <c r="H128" s="65">
        <f ca="1">VLOOKUP($A128,INDIRECT($P$2),COLUMN()-1,FALSE)*VLOOKUP($A128,Usinas!$C:$D,2,FALSE)</f>
        <v>169.4924</v>
      </c>
      <c r="I128" s="65">
        <f ca="1">VLOOKUP($A128,INDIRECT($P$2),COLUMN()-1,FALSE)*VLOOKUP($A128,Usinas!$C:$D,2,FALSE)</f>
        <v>156.2852</v>
      </c>
      <c r="J128" s="65">
        <f ca="1">VLOOKUP($A128,INDIRECT($P$2),COLUMN()-1,FALSE)*VLOOKUP($A128,Usinas!$C:$D,2,FALSE)</f>
        <v>147.4804</v>
      </c>
      <c r="K128" s="65">
        <f ca="1">VLOOKUP($A128,INDIRECT($P$2),COLUMN()-1,FALSE)*VLOOKUP($A128,Usinas!$C:$D,2,FALSE)</f>
        <v>140.8768</v>
      </c>
      <c r="L128" s="65">
        <f ca="1">VLOOKUP($A128,INDIRECT($P$2),COLUMN()-1,FALSE)*VLOOKUP($A128,Usinas!$C:$D,2,FALSE)</f>
        <v>138.6756</v>
      </c>
      <c r="M128" s="65">
        <f ca="1">VLOOKUP($A128,INDIRECT($P$2),COLUMN()-1,FALSE)*VLOOKUP($A128,Usinas!$C:$D,2,FALSE)</f>
        <v>147.4804</v>
      </c>
      <c r="N128" s="65">
        <f ca="1">VLOOKUP($A128,INDIRECT($P$2),COLUMN()-1,FALSE)*VLOOKUP($A128,Usinas!$C:$D,2,FALSE)</f>
        <v>158.4864</v>
      </c>
      <c r="O128" s="65">
        <f ca="1">VLOOKUP($A128,INDIRECT($P$2),COLUMN()-1,FALSE)*VLOOKUP($A128,Usinas!$C:$D,2,FALSE)</f>
        <v>171.6936</v>
      </c>
    </row>
    <row r="129" spans="1:15" hidden="1" outlineLevel="2" x14ac:dyDescent="0.25">
      <c r="A129" s="30">
        <v>295</v>
      </c>
      <c r="B129" s="31" t="s">
        <v>140</v>
      </c>
      <c r="D129" s="65">
        <f ca="1">VLOOKUP($A129,INDIRECT($P$2),COLUMN()-1,FALSE)*VLOOKUP($A129,Usinas!$C:$D,2,FALSE)</f>
        <v>89.983599999999996</v>
      </c>
      <c r="E129" s="65">
        <f ca="1">VLOOKUP($A129,INDIRECT($P$2),COLUMN()-1,FALSE)*VLOOKUP($A129,Usinas!$C:$D,2,FALSE)</f>
        <v>93.656400000000005</v>
      </c>
      <c r="F129" s="65">
        <f ca="1">VLOOKUP($A129,INDIRECT($P$2),COLUMN()-1,FALSE)*VLOOKUP($A129,Usinas!$C:$D,2,FALSE)</f>
        <v>101.002</v>
      </c>
      <c r="G129" s="65">
        <f ca="1">VLOOKUP($A129,INDIRECT($P$2),COLUMN()-1,FALSE)*VLOOKUP($A129,Usinas!$C:$D,2,FALSE)</f>
        <v>88.147199999999998</v>
      </c>
      <c r="H129" s="65">
        <f ca="1">VLOOKUP($A129,INDIRECT($P$2),COLUMN()-1,FALSE)*VLOOKUP($A129,Usinas!$C:$D,2,FALSE)</f>
        <v>77.128799999999998</v>
      </c>
      <c r="I129" s="65">
        <f ca="1">VLOOKUP($A129,INDIRECT($P$2),COLUMN()-1,FALSE)*VLOOKUP($A129,Usinas!$C:$D,2,FALSE)</f>
        <v>72.537800000000004</v>
      </c>
      <c r="J129" s="65">
        <f ca="1">VLOOKUP($A129,INDIRECT($P$2),COLUMN()-1,FALSE)*VLOOKUP($A129,Usinas!$C:$D,2,FALSE)</f>
        <v>69.783200000000008</v>
      </c>
      <c r="K129" s="65">
        <f ca="1">VLOOKUP($A129,INDIRECT($P$2),COLUMN()-1,FALSE)*VLOOKUP($A129,Usinas!$C:$D,2,FALSE)</f>
        <v>66.110399999999998</v>
      </c>
      <c r="L129" s="65">
        <f ca="1">VLOOKUP($A129,INDIRECT($P$2),COLUMN()-1,FALSE)*VLOOKUP($A129,Usinas!$C:$D,2,FALSE)</f>
        <v>65.1922</v>
      </c>
      <c r="M129" s="65">
        <f ca="1">VLOOKUP($A129,INDIRECT($P$2),COLUMN()-1,FALSE)*VLOOKUP($A129,Usinas!$C:$D,2,FALSE)</f>
        <v>68.864999999999995</v>
      </c>
      <c r="N129" s="65">
        <f ca="1">VLOOKUP($A129,INDIRECT($P$2),COLUMN()-1,FALSE)*VLOOKUP($A129,Usinas!$C:$D,2,FALSE)</f>
        <v>72.537800000000004</v>
      </c>
      <c r="O129" s="65">
        <f ca="1">VLOOKUP($A129,INDIRECT($P$2),COLUMN()-1,FALSE)*VLOOKUP($A129,Usinas!$C:$D,2,FALSE)</f>
        <v>80.801600000000008</v>
      </c>
    </row>
    <row r="130" spans="1:15" hidden="1" outlineLevel="2" x14ac:dyDescent="0.25">
      <c r="A130" s="30">
        <v>259</v>
      </c>
      <c r="B130" s="31" t="s">
        <v>141</v>
      </c>
      <c r="D130" s="65">
        <f ca="1">VLOOKUP($A130,INDIRECT($P$2),COLUMN()-1,FALSE)*VLOOKUP($A130,Usinas!$C:$D,2,FALSE)</f>
        <v>77.948399999999992</v>
      </c>
      <c r="E130" s="65">
        <f ca="1">VLOOKUP($A130,INDIRECT($P$2),COLUMN()-1,FALSE)*VLOOKUP($A130,Usinas!$C:$D,2,FALSE)</f>
        <v>87.882999999999996</v>
      </c>
      <c r="F130" s="65">
        <f ca="1">VLOOKUP($A130,INDIRECT($P$2),COLUMN()-1,FALSE)*VLOOKUP($A130,Usinas!$C:$D,2,FALSE)</f>
        <v>86.354600000000005</v>
      </c>
      <c r="G130" s="65">
        <f ca="1">VLOOKUP($A130,INDIRECT($P$2),COLUMN()-1,FALSE)*VLOOKUP($A130,Usinas!$C:$D,2,FALSE)</f>
        <v>68.013800000000003</v>
      </c>
      <c r="H130" s="65">
        <f ca="1">VLOOKUP($A130,INDIRECT($P$2),COLUMN()-1,FALSE)*VLOOKUP($A130,Usinas!$C:$D,2,FALSE)</f>
        <v>50.437199999999997</v>
      </c>
      <c r="I130" s="65">
        <f ca="1">VLOOKUP($A130,INDIRECT($P$2),COLUMN()-1,FALSE)*VLOOKUP($A130,Usinas!$C:$D,2,FALSE)</f>
        <v>42.795200000000001</v>
      </c>
      <c r="J130" s="65">
        <f ca="1">VLOOKUP($A130,INDIRECT($P$2),COLUMN()-1,FALSE)*VLOOKUP($A130,Usinas!$C:$D,2,FALSE)</f>
        <v>38.974199999999996</v>
      </c>
      <c r="K130" s="65">
        <f ca="1">VLOOKUP($A130,INDIRECT($P$2),COLUMN()-1,FALSE)*VLOOKUP($A130,Usinas!$C:$D,2,FALSE)</f>
        <v>35.917400000000001</v>
      </c>
      <c r="L130" s="65">
        <f ca="1">VLOOKUP($A130,INDIRECT($P$2),COLUMN()-1,FALSE)*VLOOKUP($A130,Usinas!$C:$D,2,FALSE)</f>
        <v>36.681600000000003</v>
      </c>
      <c r="M130" s="65">
        <f ca="1">VLOOKUP($A130,INDIRECT($P$2),COLUMN()-1,FALSE)*VLOOKUP($A130,Usinas!$C:$D,2,FALSE)</f>
        <v>39.738399999999999</v>
      </c>
      <c r="N130" s="65">
        <f ca="1">VLOOKUP($A130,INDIRECT($P$2),COLUMN()-1,FALSE)*VLOOKUP($A130,Usinas!$C:$D,2,FALSE)</f>
        <v>46.616199999999999</v>
      </c>
      <c r="O130" s="65">
        <f ca="1">VLOOKUP($A130,INDIRECT($P$2),COLUMN()-1,FALSE)*VLOOKUP($A130,Usinas!$C:$D,2,FALSE)</f>
        <v>61.135999999999996</v>
      </c>
    </row>
    <row r="131" spans="1:15" hidden="1" outlineLevel="2" x14ac:dyDescent="0.25">
      <c r="A131" s="30">
        <v>252</v>
      </c>
      <c r="B131" s="31" t="s">
        <v>142</v>
      </c>
      <c r="D131" s="65">
        <f ca="1">VLOOKUP($A131,INDIRECT($P$2),COLUMN()-1,FALSE)*VLOOKUP($A131,Usinas!$C:$D,2,FALSE)</f>
        <v>126.8982</v>
      </c>
      <c r="E131" s="65">
        <f ca="1">VLOOKUP($A131,INDIRECT($P$2),COLUMN()-1,FALSE)*VLOOKUP($A131,Usinas!$C:$D,2,FALSE)</f>
        <v>143.07149999999999</v>
      </c>
      <c r="F131" s="65">
        <f ca="1">VLOOKUP($A131,INDIRECT($P$2),COLUMN()-1,FALSE)*VLOOKUP($A131,Usinas!$C:$D,2,FALSE)</f>
        <v>140.58330000000001</v>
      </c>
      <c r="G131" s="65">
        <f ca="1">VLOOKUP($A131,INDIRECT($P$2),COLUMN()-1,FALSE)*VLOOKUP($A131,Usinas!$C:$D,2,FALSE)</f>
        <v>110.72490000000001</v>
      </c>
      <c r="H131" s="65">
        <f ca="1">VLOOKUP($A131,INDIRECT($P$2),COLUMN()-1,FALSE)*VLOOKUP($A131,Usinas!$C:$D,2,FALSE)</f>
        <v>82.110600000000005</v>
      </c>
      <c r="I131" s="65">
        <f ca="1">VLOOKUP($A131,INDIRECT($P$2),COLUMN()-1,FALSE)*VLOOKUP($A131,Usinas!$C:$D,2,FALSE)</f>
        <v>69.669600000000003</v>
      </c>
      <c r="J131" s="65">
        <f ca="1">VLOOKUP($A131,INDIRECT($P$2),COLUMN()-1,FALSE)*VLOOKUP($A131,Usinas!$C:$D,2,FALSE)</f>
        <v>63.449100000000001</v>
      </c>
      <c r="K131" s="65">
        <f ca="1">VLOOKUP($A131,INDIRECT($P$2),COLUMN()-1,FALSE)*VLOOKUP($A131,Usinas!$C:$D,2,FALSE)</f>
        <v>58.472699999999996</v>
      </c>
      <c r="L131" s="65">
        <f ca="1">VLOOKUP($A131,INDIRECT($P$2),COLUMN()-1,FALSE)*VLOOKUP($A131,Usinas!$C:$D,2,FALSE)</f>
        <v>59.716799999999999</v>
      </c>
      <c r="M131" s="65">
        <f ca="1">VLOOKUP($A131,INDIRECT($P$2),COLUMN()-1,FALSE)*VLOOKUP($A131,Usinas!$C:$D,2,FALSE)</f>
        <v>64.693200000000004</v>
      </c>
      <c r="N131" s="65">
        <f ca="1">VLOOKUP($A131,INDIRECT($P$2),COLUMN()-1,FALSE)*VLOOKUP($A131,Usinas!$C:$D,2,FALSE)</f>
        <v>75.890100000000004</v>
      </c>
      <c r="O131" s="65">
        <f ca="1">VLOOKUP($A131,INDIRECT($P$2),COLUMN()-1,FALSE)*VLOOKUP($A131,Usinas!$C:$D,2,FALSE)</f>
        <v>99.527999999999992</v>
      </c>
    </row>
    <row r="132" spans="1:15" hidden="1" outlineLevel="1" x14ac:dyDescent="0.25">
      <c r="A132" s="40"/>
      <c r="B132" s="41" t="s">
        <v>56</v>
      </c>
      <c r="D132" s="83">
        <f t="shared" ref="D132:I132" ca="1" si="19">SUM(D127:D131)</f>
        <v>641.57039999999995</v>
      </c>
      <c r="E132" s="49">
        <f t="shared" ca="1" si="19"/>
        <v>702.42259999999999</v>
      </c>
      <c r="F132" s="49">
        <f t="shared" ca="1" si="19"/>
        <v>696.63380000000006</v>
      </c>
      <c r="G132" s="49">
        <f t="shared" ca="1" si="19"/>
        <v>565.11990000000003</v>
      </c>
      <c r="H132" s="49">
        <f t="shared" ca="1" si="19"/>
        <v>442.45249999999999</v>
      </c>
      <c r="I132" s="84">
        <f t="shared" ca="1" si="19"/>
        <v>388.62180000000006</v>
      </c>
      <c r="J132" s="83">
        <f t="shared" ref="J132:O132" ca="1" si="20">SUM(J127:J131)</f>
        <v>359.81790000000001</v>
      </c>
      <c r="K132" s="49">
        <f t="shared" ca="1" si="20"/>
        <v>336.87779999999998</v>
      </c>
      <c r="L132" s="49">
        <f t="shared" ca="1" si="20"/>
        <v>336.28120000000001</v>
      </c>
      <c r="M132" s="49">
        <f t="shared" ca="1" si="20"/>
        <v>369.14</v>
      </c>
      <c r="N132" s="49">
        <f t="shared" ca="1" si="20"/>
        <v>420.41550000000001</v>
      </c>
      <c r="O132" s="84">
        <f t="shared" ca="1" si="20"/>
        <v>519.66070000000002</v>
      </c>
    </row>
    <row r="133" spans="1:15" hidden="1" outlineLevel="1" x14ac:dyDescent="0.25">
      <c r="A133" s="42"/>
      <c r="B133" s="43" t="s">
        <v>0</v>
      </c>
      <c r="D133" s="80"/>
      <c r="E133" s="81"/>
      <c r="F133" s="81"/>
      <c r="G133" s="81"/>
      <c r="H133" s="81"/>
      <c r="I133" s="82"/>
      <c r="J133" s="80"/>
      <c r="K133" s="81"/>
      <c r="L133" s="81"/>
      <c r="M133" s="81"/>
      <c r="N133" s="81"/>
      <c r="O133" s="82"/>
    </row>
    <row r="134" spans="1:15" hidden="1" outlineLevel="1" x14ac:dyDescent="0.25">
      <c r="A134" s="1"/>
      <c r="B134" s="133"/>
      <c r="D134" s="50"/>
      <c r="E134" s="51"/>
      <c r="F134" s="51"/>
      <c r="G134" s="51"/>
      <c r="H134" s="51"/>
      <c r="I134" s="51"/>
      <c r="J134" s="50"/>
      <c r="K134" s="51"/>
      <c r="L134" s="51"/>
      <c r="M134" s="51"/>
      <c r="N134" s="51"/>
      <c r="O134" s="51"/>
    </row>
    <row r="135" spans="1:15" hidden="1" outlineLevel="1" x14ac:dyDescent="0.25">
      <c r="A135" s="38"/>
      <c r="B135" s="39"/>
      <c r="D135" s="332" t="s">
        <v>143</v>
      </c>
      <c r="E135" s="333" t="s">
        <v>58</v>
      </c>
      <c r="F135" s="333" t="s">
        <v>144</v>
      </c>
      <c r="G135" s="333"/>
      <c r="H135" s="333"/>
      <c r="I135" s="334"/>
      <c r="J135" s="332" t="s">
        <v>143</v>
      </c>
      <c r="K135" s="333" t="s">
        <v>58</v>
      </c>
      <c r="L135" s="333" t="s">
        <v>144</v>
      </c>
      <c r="M135" s="333"/>
      <c r="N135" s="333"/>
      <c r="O135" s="334"/>
    </row>
    <row r="136" spans="1:15" hidden="1" outlineLevel="2" x14ac:dyDescent="0.25">
      <c r="A136" s="30">
        <v>255</v>
      </c>
      <c r="B136" s="31" t="s">
        <v>145</v>
      </c>
      <c r="D136" s="65">
        <f ca="1">VLOOKUP($A136,INDIRECT($P$2),COLUMN()-1,FALSE)*VLOOKUP($A136,Usinas!$C:$D,2,FALSE)</f>
        <v>517.93219999999997</v>
      </c>
      <c r="E136" s="65">
        <f ca="1">VLOOKUP($A136,INDIRECT($P$2),COLUMN()-1,FALSE)*VLOOKUP($A136,Usinas!$C:$D,2,FALSE)</f>
        <v>350.76099999999997</v>
      </c>
      <c r="F136" s="65">
        <f ca="1">VLOOKUP($A136,INDIRECT($P$2),COLUMN()-1,FALSE)*VLOOKUP($A136,Usinas!$C:$D,2,FALSE)</f>
        <v>317.92379999999997</v>
      </c>
      <c r="G136" s="65">
        <f ca="1">VLOOKUP($A136,INDIRECT($P$2),COLUMN()-1,FALSE)*VLOOKUP($A136,Usinas!$C:$D,2,FALSE)</f>
        <v>200.00839999999999</v>
      </c>
      <c r="H136" s="65">
        <f ca="1">VLOOKUP($A136,INDIRECT($P$2),COLUMN()-1,FALSE)*VLOOKUP($A136,Usinas!$C:$D,2,FALSE)</f>
        <v>105.9746</v>
      </c>
      <c r="I136" s="65">
        <f ca="1">VLOOKUP($A136,INDIRECT($P$2),COLUMN()-1,FALSE)*VLOOKUP($A136,Usinas!$C:$D,2,FALSE)</f>
        <v>79.107799999999997</v>
      </c>
      <c r="J136" s="65">
        <f ca="1">VLOOKUP($A136,INDIRECT($P$2),COLUMN()-1,FALSE)*VLOOKUP($A136,Usinas!$C:$D,2,FALSE)</f>
        <v>65.674399999999991</v>
      </c>
      <c r="K136" s="65">
        <f ca="1">VLOOKUP($A136,INDIRECT($P$2),COLUMN()-1,FALSE)*VLOOKUP($A136,Usinas!$C:$D,2,FALSE)</f>
        <v>55.226199999999999</v>
      </c>
      <c r="L136" s="65">
        <f ca="1">VLOOKUP($A136,INDIRECT($P$2),COLUMN()-1,FALSE)*VLOOKUP($A136,Usinas!$C:$D,2,FALSE)</f>
        <v>52.241</v>
      </c>
      <c r="M136" s="65">
        <f ca="1">VLOOKUP($A136,INDIRECT($P$2),COLUMN()-1,FALSE)*VLOOKUP($A136,Usinas!$C:$D,2,FALSE)</f>
        <v>101.49679999999999</v>
      </c>
      <c r="N136" s="65">
        <f ca="1">VLOOKUP($A136,INDIRECT($P$2),COLUMN()-1,FALSE)*VLOOKUP($A136,Usinas!$C:$D,2,FALSE)</f>
        <v>300.01259999999996</v>
      </c>
      <c r="O136" s="65">
        <f ca="1">VLOOKUP($A136,INDIRECT($P$2),COLUMN()-1,FALSE)*VLOOKUP($A136,Usinas!$C:$D,2,FALSE)</f>
        <v>537.33600000000001</v>
      </c>
    </row>
    <row r="137" spans="1:15" hidden="1" outlineLevel="1" x14ac:dyDescent="0.25">
      <c r="A137" s="40"/>
      <c r="B137" s="41" t="s">
        <v>56</v>
      </c>
      <c r="D137" s="83">
        <f t="shared" ref="D137:O137" ca="1" si="21">D136</f>
        <v>517.93219999999997</v>
      </c>
      <c r="E137" s="49">
        <f t="shared" ca="1" si="21"/>
        <v>350.76099999999997</v>
      </c>
      <c r="F137" s="49">
        <f t="shared" ca="1" si="21"/>
        <v>317.92379999999997</v>
      </c>
      <c r="G137" s="49">
        <f t="shared" ca="1" si="21"/>
        <v>200.00839999999999</v>
      </c>
      <c r="H137" s="49">
        <f t="shared" ca="1" si="21"/>
        <v>105.9746</v>
      </c>
      <c r="I137" s="84">
        <f t="shared" ca="1" si="21"/>
        <v>79.107799999999997</v>
      </c>
      <c r="J137" s="83">
        <f t="shared" ca="1" si="21"/>
        <v>65.674399999999991</v>
      </c>
      <c r="K137" s="49">
        <f t="shared" ca="1" si="21"/>
        <v>55.226199999999999</v>
      </c>
      <c r="L137" s="49">
        <f t="shared" ca="1" si="21"/>
        <v>52.241</v>
      </c>
      <c r="M137" s="49">
        <f t="shared" ca="1" si="21"/>
        <v>101.49679999999999</v>
      </c>
      <c r="N137" s="49">
        <f t="shared" ca="1" si="21"/>
        <v>300.01259999999996</v>
      </c>
      <c r="O137" s="84">
        <f t="shared" ca="1" si="21"/>
        <v>537.33600000000001</v>
      </c>
    </row>
    <row r="138" spans="1:15" hidden="1" outlineLevel="1" x14ac:dyDescent="0.25">
      <c r="A138" s="42"/>
      <c r="B138" s="43" t="s">
        <v>0</v>
      </c>
      <c r="D138" s="80"/>
      <c r="E138" s="81"/>
      <c r="F138" s="81"/>
      <c r="G138" s="81"/>
      <c r="H138" s="81"/>
      <c r="I138" s="82"/>
      <c r="J138" s="80"/>
      <c r="K138" s="81"/>
      <c r="L138" s="81"/>
      <c r="M138" s="81"/>
      <c r="N138" s="81"/>
      <c r="O138" s="82"/>
    </row>
    <row r="139" spans="1:15" hidden="1" outlineLevel="1" x14ac:dyDescent="0.25">
      <c r="A139" s="1"/>
      <c r="B139" s="133"/>
      <c r="D139" s="50"/>
      <c r="E139" s="51"/>
      <c r="F139" s="51"/>
      <c r="G139" s="51"/>
      <c r="H139" s="51"/>
      <c r="I139" s="51"/>
      <c r="J139" s="50"/>
      <c r="K139" s="51"/>
      <c r="L139" s="51"/>
      <c r="M139" s="51"/>
      <c r="N139" s="51"/>
      <c r="O139" s="51"/>
    </row>
    <row r="140" spans="1:15" hidden="1" outlineLevel="1" x14ac:dyDescent="0.25">
      <c r="A140" s="38"/>
      <c r="B140" s="39"/>
      <c r="D140" s="332" t="s">
        <v>146</v>
      </c>
      <c r="E140" s="333" t="s">
        <v>58</v>
      </c>
      <c r="F140" s="333" t="s">
        <v>147</v>
      </c>
      <c r="G140" s="333"/>
      <c r="H140" s="333"/>
      <c r="I140" s="334"/>
      <c r="J140" s="332" t="s">
        <v>146</v>
      </c>
      <c r="K140" s="333" t="s">
        <v>58</v>
      </c>
      <c r="L140" s="333" t="s">
        <v>147</v>
      </c>
      <c r="M140" s="333"/>
      <c r="N140" s="333"/>
      <c r="O140" s="334"/>
    </row>
    <row r="141" spans="1:15" hidden="1" outlineLevel="2" x14ac:dyDescent="0.25">
      <c r="A141" s="30">
        <v>279</v>
      </c>
      <c r="B141" s="31" t="s">
        <v>148</v>
      </c>
      <c r="D141" s="65">
        <f ca="1">VLOOKUP($A141,INDIRECT($P$2),COLUMN()-1,FALSE)*VLOOKUP($A141,Usinas!$C:$D,2,FALSE)</f>
        <v>118.9875</v>
      </c>
      <c r="E141" s="65">
        <f ca="1">VLOOKUP($A141,INDIRECT($P$2),COLUMN()-1,FALSE)*VLOOKUP($A141,Usinas!$C:$D,2,FALSE)</f>
        <v>185.87100000000001</v>
      </c>
      <c r="F141" s="65">
        <f ca="1">VLOOKUP($A141,INDIRECT($P$2),COLUMN()-1,FALSE)*VLOOKUP($A141,Usinas!$C:$D,2,FALSE)</f>
        <v>211.17150000000001</v>
      </c>
      <c r="G141" s="65">
        <f ca="1">VLOOKUP($A141,INDIRECT($P$2),COLUMN()-1,FALSE)*VLOOKUP($A141,Usinas!$C:$D,2,FALSE)</f>
        <v>189.6285</v>
      </c>
      <c r="H141" s="65">
        <f ca="1">VLOOKUP($A141,INDIRECT($P$2),COLUMN()-1,FALSE)*VLOOKUP($A141,Usinas!$C:$D,2,FALSE)</f>
        <v>115.73099999999999</v>
      </c>
      <c r="I141" s="65">
        <f ca="1">VLOOKUP($A141,INDIRECT($P$2),COLUMN()-1,FALSE)*VLOOKUP($A141,Usinas!$C:$D,2,FALSE)</f>
        <v>61.372500000000002</v>
      </c>
      <c r="J141" s="65">
        <f ca="1">VLOOKUP($A141,INDIRECT($P$2),COLUMN()-1,FALSE)*VLOOKUP($A141,Usinas!$C:$D,2,FALSE)</f>
        <v>36.322499999999998</v>
      </c>
      <c r="K141" s="65">
        <f ca="1">VLOOKUP($A141,INDIRECT($P$2),COLUMN()-1,FALSE)*VLOOKUP($A141,Usinas!$C:$D,2,FALSE)</f>
        <v>22.294499999999999</v>
      </c>
      <c r="L141" s="65">
        <f ca="1">VLOOKUP($A141,INDIRECT($P$2),COLUMN()-1,FALSE)*VLOOKUP($A141,Usinas!$C:$D,2,FALSE)</f>
        <v>15.781499999999999</v>
      </c>
      <c r="M141" s="65">
        <f ca="1">VLOOKUP($A141,INDIRECT($P$2),COLUMN()-1,FALSE)*VLOOKUP($A141,Usinas!$C:$D,2,FALSE)</f>
        <v>15.03</v>
      </c>
      <c r="N141" s="65">
        <f ca="1">VLOOKUP($A141,INDIRECT($P$2),COLUMN()-1,FALSE)*VLOOKUP($A141,Usinas!$C:$D,2,FALSE)</f>
        <v>29.308499999999999</v>
      </c>
      <c r="O141" s="65">
        <f ca="1">VLOOKUP($A141,INDIRECT($P$2),COLUMN()-1,FALSE)*VLOOKUP($A141,Usinas!$C:$D,2,FALSE)</f>
        <v>59.619</v>
      </c>
    </row>
    <row r="142" spans="1:15" hidden="1" outlineLevel="2" x14ac:dyDescent="0.25">
      <c r="A142" s="30">
        <v>145</v>
      </c>
      <c r="B142" s="31" t="s">
        <v>149</v>
      </c>
      <c r="D142" s="65">
        <f ca="1">VLOOKUP($A142,INDIRECT($P$2),COLUMN()-1,FALSE)*VLOOKUP($A142,Usinas!$C:$D,2,FALSE)</f>
        <v>62.805600000000005</v>
      </c>
      <c r="E142" s="65">
        <f ca="1">VLOOKUP($A142,INDIRECT($P$2),COLUMN()-1,FALSE)*VLOOKUP($A142,Usinas!$C:$D,2,FALSE)</f>
        <v>72.468000000000004</v>
      </c>
      <c r="F142" s="65">
        <f ca="1">VLOOKUP($A142,INDIRECT($P$2),COLUMN()-1,FALSE)*VLOOKUP($A142,Usinas!$C:$D,2,FALSE)</f>
        <v>79.446400000000011</v>
      </c>
      <c r="G142" s="65">
        <f ca="1">VLOOKUP($A142,INDIRECT($P$2),COLUMN()-1,FALSE)*VLOOKUP($A142,Usinas!$C:$D,2,FALSE)</f>
        <v>59.584800000000008</v>
      </c>
      <c r="H142" s="65">
        <f ca="1">VLOOKUP($A142,INDIRECT($P$2),COLUMN()-1,FALSE)*VLOOKUP($A142,Usinas!$C:$D,2,FALSE)</f>
        <v>41.870400000000004</v>
      </c>
      <c r="I142" s="65">
        <f ca="1">VLOOKUP($A142,INDIRECT($P$2),COLUMN()-1,FALSE)*VLOOKUP($A142,Usinas!$C:$D,2,FALSE)</f>
        <v>34.355200000000004</v>
      </c>
      <c r="J142" s="65">
        <f ca="1">VLOOKUP($A142,INDIRECT($P$2),COLUMN()-1,FALSE)*VLOOKUP($A142,Usinas!$C:$D,2,FALSE)</f>
        <v>31.134400000000003</v>
      </c>
      <c r="K142" s="65">
        <f ca="1">VLOOKUP($A142,INDIRECT($P$2),COLUMN()-1,FALSE)*VLOOKUP($A142,Usinas!$C:$D,2,FALSE)</f>
        <v>28.987200000000001</v>
      </c>
      <c r="L142" s="65">
        <f ca="1">VLOOKUP($A142,INDIRECT($P$2),COLUMN()-1,FALSE)*VLOOKUP($A142,Usinas!$C:$D,2,FALSE)</f>
        <v>27.913600000000002</v>
      </c>
      <c r="M142" s="65">
        <f ca="1">VLOOKUP($A142,INDIRECT($P$2),COLUMN()-1,FALSE)*VLOOKUP($A142,Usinas!$C:$D,2,FALSE)</f>
        <v>30.060800000000004</v>
      </c>
      <c r="N142" s="65">
        <f ca="1">VLOOKUP($A142,INDIRECT($P$2),COLUMN()-1,FALSE)*VLOOKUP($A142,Usinas!$C:$D,2,FALSE)</f>
        <v>34.892000000000003</v>
      </c>
      <c r="O142" s="65">
        <f ca="1">VLOOKUP($A142,INDIRECT($P$2),COLUMN()-1,FALSE)*VLOOKUP($A142,Usinas!$C:$D,2,FALSE)</f>
        <v>47.238400000000006</v>
      </c>
    </row>
    <row r="143" spans="1:15" hidden="1" outlineLevel="2" x14ac:dyDescent="0.25">
      <c r="A143" s="30">
        <v>229</v>
      </c>
      <c r="B143" s="31" t="s">
        <v>402</v>
      </c>
      <c r="D143" s="65">
        <f ca="1">VLOOKUP($A143,INDIRECT($P$2),COLUMN()-1,FALSE)*VLOOKUP($A143,Usinas!$C:$D,2,FALSE)</f>
        <v>0</v>
      </c>
      <c r="E143" s="65">
        <f ca="1">VLOOKUP($A143,INDIRECT($P$2),COLUMN()-1,FALSE)*VLOOKUP($A143,Usinas!$C:$D,2,FALSE)</f>
        <v>0</v>
      </c>
      <c r="F143" s="65">
        <f ca="1">VLOOKUP($A143,INDIRECT($P$2),COLUMN()-1,FALSE)*VLOOKUP($A143,Usinas!$C:$D,2,FALSE)</f>
        <v>0</v>
      </c>
      <c r="G143" s="65">
        <f ca="1">VLOOKUP($A143,INDIRECT($P$2),COLUMN()-1,FALSE)*VLOOKUP($A143,Usinas!$C:$D,2,FALSE)</f>
        <v>0</v>
      </c>
      <c r="H143" s="65">
        <f ca="1">VLOOKUP($A143,INDIRECT($P$2),COLUMN()-1,FALSE)*VLOOKUP($A143,Usinas!$C:$D,2,FALSE)</f>
        <v>0</v>
      </c>
      <c r="I143" s="65">
        <f ca="1">VLOOKUP($A143,INDIRECT($P$2),COLUMN()-1,FALSE)*VLOOKUP($A143,Usinas!$C:$D,2,FALSE)</f>
        <v>0</v>
      </c>
      <c r="J143" s="65">
        <f ca="1">VLOOKUP($A143,INDIRECT($P$2),COLUMN()-1,FALSE)*VLOOKUP($A143,Usinas!$C:$D,2,FALSE)</f>
        <v>0</v>
      </c>
      <c r="K143" s="65">
        <f ca="1">VLOOKUP($A143,INDIRECT($P$2),COLUMN()-1,FALSE)*VLOOKUP($A143,Usinas!$C:$D,2,FALSE)</f>
        <v>0</v>
      </c>
      <c r="L143" s="65">
        <f ca="1">VLOOKUP($A143,INDIRECT($P$2),COLUMN()-1,FALSE)*VLOOKUP($A143,Usinas!$C:$D,2,FALSE)</f>
        <v>0</v>
      </c>
      <c r="M143" s="65">
        <f ca="1">VLOOKUP($A143,INDIRECT($P$2),COLUMN()-1,FALSE)*VLOOKUP($A143,Usinas!$C:$D,2,FALSE)</f>
        <v>0</v>
      </c>
      <c r="N143" s="65">
        <f ca="1">VLOOKUP($A143,INDIRECT($P$2),COLUMN()-1,FALSE)*VLOOKUP($A143,Usinas!$C:$D,2,FALSE)</f>
        <v>0</v>
      </c>
      <c r="O143" s="65">
        <f ca="1">VLOOKUP($A143,INDIRECT($P$2),COLUMN()-1,FALSE)*VLOOKUP($A143,Usinas!$C:$D,2,FALSE)</f>
        <v>0</v>
      </c>
    </row>
    <row r="144" spans="1:15" hidden="1" outlineLevel="2" x14ac:dyDescent="0.25">
      <c r="A144" s="30">
        <v>285</v>
      </c>
      <c r="B144" s="31" t="s">
        <v>150</v>
      </c>
      <c r="D144" s="65">
        <f ca="1">VLOOKUP($A144,INDIRECT($P$2),COLUMN()-1,FALSE)*VLOOKUP($A144,Usinas!$C:$D,2,FALSE)</f>
        <v>0</v>
      </c>
      <c r="E144" s="65">
        <f ca="1">VLOOKUP($A144,INDIRECT($P$2),COLUMN()-1,FALSE)*VLOOKUP($A144,Usinas!$C:$D,2,FALSE)</f>
        <v>0</v>
      </c>
      <c r="F144" s="65">
        <f ca="1">VLOOKUP($A144,INDIRECT($P$2),COLUMN()-1,FALSE)*VLOOKUP($A144,Usinas!$C:$D,2,FALSE)</f>
        <v>0</v>
      </c>
      <c r="G144" s="65">
        <f ca="1">VLOOKUP($A144,INDIRECT($P$2),COLUMN()-1,FALSE)*VLOOKUP($A144,Usinas!$C:$D,2,FALSE)</f>
        <v>0</v>
      </c>
      <c r="H144" s="65">
        <f ca="1">VLOOKUP($A144,INDIRECT($P$2),COLUMN()-1,FALSE)*VLOOKUP($A144,Usinas!$C:$D,2,FALSE)</f>
        <v>0</v>
      </c>
      <c r="I144" s="65">
        <f ca="1">VLOOKUP($A144,INDIRECT($P$2),COLUMN()-1,FALSE)*VLOOKUP($A144,Usinas!$C:$D,2,FALSE)</f>
        <v>0</v>
      </c>
      <c r="J144" s="65">
        <f ca="1">VLOOKUP($A144,INDIRECT($P$2),COLUMN()-1,FALSE)*VLOOKUP($A144,Usinas!$C:$D,2,FALSE)</f>
        <v>0</v>
      </c>
      <c r="K144" s="65">
        <f ca="1">VLOOKUP($A144,INDIRECT($P$2),COLUMN()-1,FALSE)*VLOOKUP($A144,Usinas!$C:$D,2,FALSE)</f>
        <v>0</v>
      </c>
      <c r="L144" s="65">
        <f ca="1">VLOOKUP($A144,INDIRECT($P$2),COLUMN()-1,FALSE)*VLOOKUP($A144,Usinas!$C:$D,2,FALSE)</f>
        <v>0</v>
      </c>
      <c r="M144" s="65">
        <f ca="1">VLOOKUP($A144,INDIRECT($P$2),COLUMN()-1,FALSE)*VLOOKUP($A144,Usinas!$C:$D,2,FALSE)</f>
        <v>0</v>
      </c>
      <c r="N144" s="65">
        <f ca="1">VLOOKUP($A144,INDIRECT($P$2),COLUMN()-1,FALSE)*VLOOKUP($A144,Usinas!$C:$D,2,FALSE)</f>
        <v>0</v>
      </c>
      <c r="O144" s="65">
        <f ca="1">VLOOKUP($A144,INDIRECT($P$2),COLUMN()-1,FALSE)*VLOOKUP($A144,Usinas!$C:$D,2,FALSE)</f>
        <v>0</v>
      </c>
    </row>
    <row r="145" spans="1:15" hidden="1" outlineLevel="2" x14ac:dyDescent="0.25">
      <c r="A145" s="30">
        <v>287</v>
      </c>
      <c r="B145" s="31" t="s">
        <v>151</v>
      </c>
      <c r="D145" s="65">
        <f ca="1">VLOOKUP($A145,INDIRECT($P$2),COLUMN()-1,FALSE)*VLOOKUP($A145,Usinas!$C:$D,2,FALSE)</f>
        <v>0</v>
      </c>
      <c r="E145" s="65">
        <f ca="1">VLOOKUP($A145,INDIRECT($P$2),COLUMN()-1,FALSE)*VLOOKUP($A145,Usinas!$C:$D,2,FALSE)</f>
        <v>0</v>
      </c>
      <c r="F145" s="65">
        <f ca="1">VLOOKUP($A145,INDIRECT($P$2),COLUMN()-1,FALSE)*VLOOKUP($A145,Usinas!$C:$D,2,FALSE)</f>
        <v>0</v>
      </c>
      <c r="G145" s="65">
        <f ca="1">VLOOKUP($A145,INDIRECT($P$2),COLUMN()-1,FALSE)*VLOOKUP($A145,Usinas!$C:$D,2,FALSE)</f>
        <v>0</v>
      </c>
      <c r="H145" s="65">
        <f ca="1">VLOOKUP($A145,INDIRECT($P$2),COLUMN()-1,FALSE)*VLOOKUP($A145,Usinas!$C:$D,2,FALSE)</f>
        <v>0</v>
      </c>
      <c r="I145" s="65">
        <f ca="1">VLOOKUP($A145,INDIRECT($P$2),COLUMN()-1,FALSE)*VLOOKUP($A145,Usinas!$C:$D,2,FALSE)</f>
        <v>0</v>
      </c>
      <c r="J145" s="65">
        <f ca="1">VLOOKUP($A145,INDIRECT($P$2),COLUMN()-1,FALSE)*VLOOKUP($A145,Usinas!$C:$D,2,FALSE)</f>
        <v>0</v>
      </c>
      <c r="K145" s="65">
        <f ca="1">VLOOKUP($A145,INDIRECT($P$2),COLUMN()-1,FALSE)*VLOOKUP($A145,Usinas!$C:$D,2,FALSE)</f>
        <v>0</v>
      </c>
      <c r="L145" s="65">
        <f ca="1">VLOOKUP($A145,INDIRECT($P$2),COLUMN()-1,FALSE)*VLOOKUP($A145,Usinas!$C:$D,2,FALSE)</f>
        <v>0</v>
      </c>
      <c r="M145" s="65">
        <f ca="1">VLOOKUP($A145,INDIRECT($P$2),COLUMN()-1,FALSE)*VLOOKUP($A145,Usinas!$C:$D,2,FALSE)</f>
        <v>0</v>
      </c>
      <c r="N145" s="65">
        <f ca="1">VLOOKUP($A145,INDIRECT($P$2),COLUMN()-1,FALSE)*VLOOKUP($A145,Usinas!$C:$D,2,FALSE)</f>
        <v>0</v>
      </c>
      <c r="O145" s="65">
        <f ca="1">VLOOKUP($A145,INDIRECT($P$2),COLUMN()-1,FALSE)*VLOOKUP($A145,Usinas!$C:$D,2,FALSE)</f>
        <v>0</v>
      </c>
    </row>
    <row r="146" spans="1:15" hidden="1" outlineLevel="2" x14ac:dyDescent="0.25">
      <c r="A146" s="30">
        <v>291</v>
      </c>
      <c r="B146" s="31" t="s">
        <v>152</v>
      </c>
      <c r="D146" s="65">
        <f ca="1">VLOOKUP($A146,INDIRECT($P$2),COLUMN()-1,FALSE)*VLOOKUP($A146,Usinas!$C:$D,2,FALSE)</f>
        <v>438.79450000000003</v>
      </c>
      <c r="E146" s="65">
        <f ca="1">VLOOKUP($A146,INDIRECT($P$2),COLUMN()-1,FALSE)*VLOOKUP($A146,Usinas!$C:$D,2,FALSE)</f>
        <v>649.06830000000002</v>
      </c>
      <c r="F146" s="65">
        <f ca="1">VLOOKUP($A146,INDIRECT($P$2),COLUMN()-1,FALSE)*VLOOKUP($A146,Usinas!$C:$D,2,FALSE)</f>
        <v>724.6626</v>
      </c>
      <c r="G146" s="65">
        <f ca="1">VLOOKUP($A146,INDIRECT($P$2),COLUMN()-1,FALSE)*VLOOKUP($A146,Usinas!$C:$D,2,FALSE)</f>
        <v>633.42809999999997</v>
      </c>
      <c r="H146" s="65">
        <f ca="1">VLOOKUP($A146,INDIRECT($P$2),COLUMN()-1,FALSE)*VLOOKUP($A146,Usinas!$C:$D,2,FALSE)</f>
        <v>402.30070000000001</v>
      </c>
      <c r="I146" s="65">
        <f ca="1">VLOOKUP($A146,INDIRECT($P$2),COLUMN()-1,FALSE)*VLOOKUP($A146,Usinas!$C:$D,2,FALSE)</f>
        <v>187.6824</v>
      </c>
      <c r="J146" s="65">
        <f ca="1">VLOOKUP($A146,INDIRECT($P$2),COLUMN()-1,FALSE)*VLOOKUP($A146,Usinas!$C:$D,2,FALSE)</f>
        <v>86.021100000000004</v>
      </c>
      <c r="K146" s="65">
        <f ca="1">VLOOKUP($A146,INDIRECT($P$2),COLUMN()-1,FALSE)*VLOOKUP($A146,Usinas!$C:$D,2,FALSE)</f>
        <v>49.527299999999997</v>
      </c>
      <c r="L146" s="65">
        <f ca="1">VLOOKUP($A146,INDIRECT($P$2),COLUMN()-1,FALSE)*VLOOKUP($A146,Usinas!$C:$D,2,FALSE)</f>
        <v>40.838300000000004</v>
      </c>
      <c r="M146" s="65">
        <f ca="1">VLOOKUP($A146,INDIRECT($P$2),COLUMN()-1,FALSE)*VLOOKUP($A146,Usinas!$C:$D,2,FALSE)</f>
        <v>46.9206</v>
      </c>
      <c r="N146" s="65">
        <f ca="1">VLOOKUP($A146,INDIRECT($P$2),COLUMN()-1,FALSE)*VLOOKUP($A146,Usinas!$C:$D,2,FALSE)</f>
        <v>81.676600000000008</v>
      </c>
      <c r="O146" s="65">
        <f ca="1">VLOOKUP($A146,INDIRECT($P$2),COLUMN()-1,FALSE)*VLOOKUP($A146,Usinas!$C:$D,2,FALSE)</f>
        <v>198.97810000000001</v>
      </c>
    </row>
    <row r="147" spans="1:15" hidden="1" outlineLevel="2" x14ac:dyDescent="0.25">
      <c r="A147" s="30">
        <v>296</v>
      </c>
      <c r="B147" s="31" t="s">
        <v>153</v>
      </c>
      <c r="D147" s="65">
        <f ca="1">VLOOKUP($A147,INDIRECT($P$2),COLUMN()-1,FALSE)*VLOOKUP($A147,Usinas!$C:$D,2,FALSE)</f>
        <v>49.378</v>
      </c>
      <c r="E147" s="65">
        <f ca="1">VLOOKUP($A147,INDIRECT($P$2),COLUMN()-1,FALSE)*VLOOKUP($A147,Usinas!$C:$D,2,FALSE)</f>
        <v>52.199600000000004</v>
      </c>
      <c r="F147" s="65">
        <f ca="1">VLOOKUP($A147,INDIRECT($P$2),COLUMN()-1,FALSE)*VLOOKUP($A147,Usinas!$C:$D,2,FALSE)</f>
        <v>55.0212</v>
      </c>
      <c r="G147" s="65">
        <f ca="1">VLOOKUP($A147,INDIRECT($P$2),COLUMN()-1,FALSE)*VLOOKUP($A147,Usinas!$C:$D,2,FALSE)</f>
        <v>52.199600000000004</v>
      </c>
      <c r="H147" s="65">
        <f ca="1">VLOOKUP($A147,INDIRECT($P$2),COLUMN()-1,FALSE)*VLOOKUP($A147,Usinas!$C:$D,2,FALSE)</f>
        <v>47.967200000000005</v>
      </c>
      <c r="I147" s="65">
        <f ca="1">VLOOKUP($A147,INDIRECT($P$2),COLUMN()-1,FALSE)*VLOOKUP($A147,Usinas!$C:$D,2,FALSE)</f>
        <v>45.145600000000002</v>
      </c>
      <c r="J147" s="65">
        <f ca="1">VLOOKUP($A147,INDIRECT($P$2),COLUMN()-1,FALSE)*VLOOKUP($A147,Usinas!$C:$D,2,FALSE)</f>
        <v>42.323999999999998</v>
      </c>
      <c r="K147" s="65">
        <f ca="1">VLOOKUP($A147,INDIRECT($P$2),COLUMN()-1,FALSE)*VLOOKUP($A147,Usinas!$C:$D,2,FALSE)</f>
        <v>40.913200000000003</v>
      </c>
      <c r="L147" s="65">
        <f ca="1">VLOOKUP($A147,INDIRECT($P$2),COLUMN()-1,FALSE)*VLOOKUP($A147,Usinas!$C:$D,2,FALSE)</f>
        <v>40.913200000000003</v>
      </c>
      <c r="M147" s="65">
        <f ca="1">VLOOKUP($A147,INDIRECT($P$2),COLUMN()-1,FALSE)*VLOOKUP($A147,Usinas!$C:$D,2,FALSE)</f>
        <v>42.323999999999998</v>
      </c>
      <c r="N147" s="65">
        <f ca="1">VLOOKUP($A147,INDIRECT($P$2),COLUMN()-1,FALSE)*VLOOKUP($A147,Usinas!$C:$D,2,FALSE)</f>
        <v>43.7348</v>
      </c>
      <c r="O147" s="65">
        <f ca="1">VLOOKUP($A147,INDIRECT($P$2),COLUMN()-1,FALSE)*VLOOKUP($A147,Usinas!$C:$D,2,FALSE)</f>
        <v>46.556400000000004</v>
      </c>
    </row>
    <row r="148" spans="1:15" hidden="1" outlineLevel="1" x14ac:dyDescent="0.25">
      <c r="A148" s="40"/>
      <c r="B148" s="41" t="s">
        <v>56</v>
      </c>
      <c r="D148" s="83">
        <f t="shared" ref="D148:I148" ca="1" si="22">SUM(D141:D147)</f>
        <v>669.96560000000011</v>
      </c>
      <c r="E148" s="49">
        <f t="shared" ca="1" si="22"/>
        <v>959.60690000000011</v>
      </c>
      <c r="F148" s="49">
        <f t="shared" ca="1" si="22"/>
        <v>1070.3017</v>
      </c>
      <c r="G148" s="49">
        <f t="shared" ca="1" si="22"/>
        <v>934.84100000000001</v>
      </c>
      <c r="H148" s="49">
        <f t="shared" ca="1" si="22"/>
        <v>607.86930000000007</v>
      </c>
      <c r="I148" s="84">
        <f t="shared" ca="1" si="22"/>
        <v>328.5557</v>
      </c>
      <c r="J148" s="83">
        <f t="shared" ref="J148:O148" ca="1" si="23">SUM(J141:J147)</f>
        <v>195.80200000000002</v>
      </c>
      <c r="K148" s="49">
        <f t="shared" ca="1" si="23"/>
        <v>141.72219999999999</v>
      </c>
      <c r="L148" s="49">
        <f t="shared" ca="1" si="23"/>
        <v>125.4466</v>
      </c>
      <c r="M148" s="49">
        <f t="shared" ca="1" si="23"/>
        <v>134.33539999999999</v>
      </c>
      <c r="N148" s="49">
        <f t="shared" ca="1" si="23"/>
        <v>189.61190000000002</v>
      </c>
      <c r="O148" s="84">
        <f t="shared" ca="1" si="23"/>
        <v>352.39190000000002</v>
      </c>
    </row>
    <row r="149" spans="1:15" hidden="1" outlineLevel="1" x14ac:dyDescent="0.25">
      <c r="A149" s="42"/>
      <c r="B149" s="43" t="s">
        <v>0</v>
      </c>
      <c r="D149" s="80"/>
      <c r="E149" s="81"/>
      <c r="F149" s="81"/>
      <c r="G149" s="81"/>
      <c r="H149" s="81"/>
      <c r="I149" s="82"/>
      <c r="J149" s="80"/>
      <c r="K149" s="81"/>
      <c r="L149" s="81"/>
      <c r="M149" s="81"/>
      <c r="N149" s="81"/>
      <c r="O149" s="82"/>
    </row>
    <row r="150" spans="1:15" hidden="1" outlineLevel="1" x14ac:dyDescent="0.25">
      <c r="A150" s="1"/>
      <c r="B150" s="133"/>
      <c r="D150" s="50"/>
      <c r="E150" s="51"/>
      <c r="F150" s="51"/>
      <c r="G150" s="51"/>
      <c r="H150" s="51"/>
      <c r="I150" s="51"/>
      <c r="J150" s="50"/>
      <c r="K150" s="51"/>
      <c r="L150" s="51"/>
      <c r="M150" s="51"/>
      <c r="N150" s="51"/>
      <c r="O150" s="51"/>
    </row>
    <row r="151" spans="1:15" hidden="1" outlineLevel="1" x14ac:dyDescent="0.25">
      <c r="A151" s="38"/>
      <c r="B151" s="39"/>
      <c r="D151" s="332" t="s">
        <v>154</v>
      </c>
      <c r="E151" s="333" t="s">
        <v>58</v>
      </c>
      <c r="F151" s="333" t="s">
        <v>155</v>
      </c>
      <c r="G151" s="333"/>
      <c r="H151" s="333"/>
      <c r="I151" s="334"/>
      <c r="J151" s="332" t="s">
        <v>154</v>
      </c>
      <c r="K151" s="333" t="s">
        <v>58</v>
      </c>
      <c r="L151" s="333" t="s">
        <v>155</v>
      </c>
      <c r="M151" s="333"/>
      <c r="N151" s="333"/>
      <c r="O151" s="334"/>
    </row>
    <row r="152" spans="1:15" hidden="1" outlineLevel="2" x14ac:dyDescent="0.25">
      <c r="A152" s="30">
        <v>155</v>
      </c>
      <c r="B152" s="31" t="s">
        <v>156</v>
      </c>
      <c r="D152" s="65">
        <f ca="1">VLOOKUP($A152,INDIRECT($P$2),COLUMN()-1,FALSE)*VLOOKUP($A152,Usinas!$C:$D,2,FALSE)</f>
        <v>108.5913</v>
      </c>
      <c r="E152" s="65">
        <f ca="1">VLOOKUP($A152,INDIRECT($P$2),COLUMN()-1,FALSE)*VLOOKUP($A152,Usinas!$C:$D,2,FALSE)</f>
        <v>92.612399999999994</v>
      </c>
      <c r="F152" s="65">
        <f ca="1">VLOOKUP($A152,INDIRECT($P$2),COLUMN()-1,FALSE)*VLOOKUP($A152,Usinas!$C:$D,2,FALSE)</f>
        <v>78.916200000000003</v>
      </c>
      <c r="G152" s="65">
        <f ca="1">VLOOKUP($A152,INDIRECT($P$2),COLUMN()-1,FALSE)*VLOOKUP($A152,Usinas!$C:$D,2,FALSE)</f>
        <v>52.176000000000002</v>
      </c>
      <c r="H152" s="65">
        <f ca="1">VLOOKUP($A152,INDIRECT($P$2),COLUMN()-1,FALSE)*VLOOKUP($A152,Usinas!$C:$D,2,FALSE)</f>
        <v>36.197099999999999</v>
      </c>
      <c r="I152" s="65">
        <f ca="1">VLOOKUP($A152,INDIRECT($P$2),COLUMN()-1,FALSE)*VLOOKUP($A152,Usinas!$C:$D,2,FALSE)</f>
        <v>29.349</v>
      </c>
      <c r="J152" s="65">
        <f ca="1">VLOOKUP($A152,INDIRECT($P$2),COLUMN()-1,FALSE)*VLOOKUP($A152,Usinas!$C:$D,2,FALSE)</f>
        <v>23.805299999999999</v>
      </c>
      <c r="K152" s="65">
        <f ca="1">VLOOKUP($A152,INDIRECT($P$2),COLUMN()-1,FALSE)*VLOOKUP($A152,Usinas!$C:$D,2,FALSE)</f>
        <v>20.5443</v>
      </c>
      <c r="L152" s="65">
        <f ca="1">VLOOKUP($A152,INDIRECT($P$2),COLUMN()-1,FALSE)*VLOOKUP($A152,Usinas!$C:$D,2,FALSE)</f>
        <v>19.892099999999999</v>
      </c>
      <c r="M152" s="65">
        <f ca="1">VLOOKUP($A152,INDIRECT($P$2),COLUMN()-1,FALSE)*VLOOKUP($A152,Usinas!$C:$D,2,FALSE)</f>
        <v>25.1097</v>
      </c>
      <c r="N152" s="65">
        <f ca="1">VLOOKUP($A152,INDIRECT($P$2),COLUMN()-1,FALSE)*VLOOKUP($A152,Usinas!$C:$D,2,FALSE)</f>
        <v>43.045200000000001</v>
      </c>
      <c r="O152" s="65">
        <f ca="1">VLOOKUP($A152,INDIRECT($P$2),COLUMN()-1,FALSE)*VLOOKUP($A152,Usinas!$C:$D,2,FALSE)</f>
        <v>82.177199999999999</v>
      </c>
    </row>
    <row r="153" spans="1:15" hidden="1" outlineLevel="2" x14ac:dyDescent="0.25">
      <c r="A153" s="30">
        <v>156</v>
      </c>
      <c r="B153" s="31" t="s">
        <v>157</v>
      </c>
      <c r="D153" s="65">
        <f ca="1">VLOOKUP($A153,INDIRECT($P$2),COLUMN()-1,FALSE)*VLOOKUP($A153,Usinas!$C:$D,2,FALSE)</f>
        <v>634.39749999999992</v>
      </c>
      <c r="E153" s="65">
        <f ca="1">VLOOKUP($A153,INDIRECT($P$2),COLUMN()-1,FALSE)*VLOOKUP($A153,Usinas!$C:$D,2,FALSE)</f>
        <v>588.80689999999993</v>
      </c>
      <c r="F153" s="65">
        <f ca="1">VLOOKUP($A153,INDIRECT($P$2),COLUMN()-1,FALSE)*VLOOKUP($A153,Usinas!$C:$D,2,FALSE)</f>
        <v>489.4538</v>
      </c>
      <c r="G153" s="65">
        <f ca="1">VLOOKUP($A153,INDIRECT($P$2),COLUMN()-1,FALSE)*VLOOKUP($A153,Usinas!$C:$D,2,FALSE)</f>
        <v>324.72550000000001</v>
      </c>
      <c r="H153" s="65">
        <f ca="1">VLOOKUP($A153,INDIRECT($P$2),COLUMN()-1,FALSE)*VLOOKUP($A153,Usinas!$C:$D,2,FALSE)</f>
        <v>194.40519999999998</v>
      </c>
      <c r="I153" s="65">
        <f ca="1">VLOOKUP($A153,INDIRECT($P$2),COLUMN()-1,FALSE)*VLOOKUP($A153,Usinas!$C:$D,2,FALSE)</f>
        <v>146.66409999999999</v>
      </c>
      <c r="J153" s="65">
        <f ca="1">VLOOKUP($A153,INDIRECT($P$2),COLUMN()-1,FALSE)*VLOOKUP($A153,Usinas!$C:$D,2,FALSE)</f>
        <v>117.84739999999999</v>
      </c>
      <c r="K153" s="65">
        <f ca="1">VLOOKUP($A153,INDIRECT($P$2),COLUMN()-1,FALSE)*VLOOKUP($A153,Usinas!$C:$D,2,FALSE)</f>
        <v>96.342399999999998</v>
      </c>
      <c r="L153" s="65">
        <f ca="1">VLOOKUP($A153,INDIRECT($P$2),COLUMN()-1,FALSE)*VLOOKUP($A153,Usinas!$C:$D,2,FALSE)</f>
        <v>94.19189999999999</v>
      </c>
      <c r="M153" s="65">
        <f ca="1">VLOOKUP($A153,INDIRECT($P$2),COLUMN()-1,FALSE)*VLOOKUP($A153,Usinas!$C:$D,2,FALSE)</f>
        <v>128.59989999999999</v>
      </c>
      <c r="N153" s="65">
        <f ca="1">VLOOKUP($A153,INDIRECT($P$2),COLUMN()-1,FALSE)*VLOOKUP($A153,Usinas!$C:$D,2,FALSE)</f>
        <v>257.62989999999996</v>
      </c>
      <c r="O153" s="65">
        <f ca="1">VLOOKUP($A153,INDIRECT($P$2),COLUMN()-1,FALSE)*VLOOKUP($A153,Usinas!$C:$D,2,FALSE)</f>
        <v>478.7013</v>
      </c>
    </row>
    <row r="154" spans="1:15" hidden="1" outlineLevel="2" x14ac:dyDescent="0.25">
      <c r="A154" s="30">
        <v>158</v>
      </c>
      <c r="B154" s="31" t="s">
        <v>158</v>
      </c>
      <c r="D154" s="65">
        <f ca="1">VLOOKUP($A154,INDIRECT($P$2),COLUMN()-1,FALSE)*VLOOKUP($A154,Usinas!$C:$D,2,FALSE)</f>
        <v>133.12370000000001</v>
      </c>
      <c r="E154" s="65">
        <f ca="1">VLOOKUP($A154,INDIRECT($P$2),COLUMN()-1,FALSE)*VLOOKUP($A154,Usinas!$C:$D,2,FALSE)</f>
        <v>133.12370000000001</v>
      </c>
      <c r="F154" s="65">
        <f ca="1">VLOOKUP($A154,INDIRECT($P$2),COLUMN()-1,FALSE)*VLOOKUP($A154,Usinas!$C:$D,2,FALSE)</f>
        <v>139.5393</v>
      </c>
      <c r="G154" s="65">
        <f ca="1">VLOOKUP($A154,INDIRECT($P$2),COLUMN()-1,FALSE)*VLOOKUP($A154,Usinas!$C:$D,2,FALSE)</f>
        <v>109.0652</v>
      </c>
      <c r="H154" s="65">
        <f ca="1">VLOOKUP($A154,INDIRECT($P$2),COLUMN()-1,FALSE)*VLOOKUP($A154,Usinas!$C:$D,2,FALSE)</f>
        <v>75.383300000000006</v>
      </c>
      <c r="I154" s="65">
        <f ca="1">VLOOKUP($A154,INDIRECT($P$2),COLUMN()-1,FALSE)*VLOOKUP($A154,Usinas!$C:$D,2,FALSE)</f>
        <v>64.156000000000006</v>
      </c>
      <c r="J154" s="65">
        <f ca="1">VLOOKUP($A154,INDIRECT($P$2),COLUMN()-1,FALSE)*VLOOKUP($A154,Usinas!$C:$D,2,FALSE)</f>
        <v>56.136500000000005</v>
      </c>
      <c r="K154" s="65">
        <f ca="1">VLOOKUP($A154,INDIRECT($P$2),COLUMN()-1,FALSE)*VLOOKUP($A154,Usinas!$C:$D,2,FALSE)</f>
        <v>48.117000000000004</v>
      </c>
      <c r="L154" s="65">
        <f ca="1">VLOOKUP($A154,INDIRECT($P$2),COLUMN()-1,FALSE)*VLOOKUP($A154,Usinas!$C:$D,2,FALSE)</f>
        <v>43.305300000000003</v>
      </c>
      <c r="M154" s="65">
        <f ca="1">VLOOKUP($A154,INDIRECT($P$2),COLUMN()-1,FALSE)*VLOOKUP($A154,Usinas!$C:$D,2,FALSE)</f>
        <v>52.928700000000006</v>
      </c>
      <c r="N154" s="65">
        <f ca="1">VLOOKUP($A154,INDIRECT($P$2),COLUMN()-1,FALSE)*VLOOKUP($A154,Usinas!$C:$D,2,FALSE)</f>
        <v>81.798900000000003</v>
      </c>
      <c r="O154" s="65">
        <f ca="1">VLOOKUP($A154,INDIRECT($P$2),COLUMN()-1,FALSE)*VLOOKUP($A154,Usinas!$C:$D,2,FALSE)</f>
        <v>126.7081</v>
      </c>
    </row>
    <row r="155" spans="1:15" hidden="1" outlineLevel="1" x14ac:dyDescent="0.25">
      <c r="A155" s="40"/>
      <c r="B155" s="41" t="s">
        <v>56</v>
      </c>
      <c r="D155" s="83">
        <f t="shared" ref="D155:I155" ca="1" si="24">SUM(D152:D154)</f>
        <v>876.11249999999995</v>
      </c>
      <c r="E155" s="49">
        <f t="shared" ca="1" si="24"/>
        <v>814.54299999999989</v>
      </c>
      <c r="F155" s="49">
        <f t="shared" ca="1" si="24"/>
        <v>707.90930000000003</v>
      </c>
      <c r="G155" s="49">
        <f t="shared" ca="1" si="24"/>
        <v>485.9667</v>
      </c>
      <c r="H155" s="49">
        <f t="shared" ca="1" si="24"/>
        <v>305.98559999999998</v>
      </c>
      <c r="I155" s="84">
        <f t="shared" ca="1" si="24"/>
        <v>240.16909999999999</v>
      </c>
      <c r="J155" s="83">
        <f t="shared" ref="J155:O155" ca="1" si="25">SUM(J152:J154)</f>
        <v>197.78919999999999</v>
      </c>
      <c r="K155" s="49">
        <f t="shared" ca="1" si="25"/>
        <v>165.00369999999998</v>
      </c>
      <c r="L155" s="49">
        <f t="shared" ca="1" si="25"/>
        <v>157.38929999999999</v>
      </c>
      <c r="M155" s="49">
        <f t="shared" ca="1" si="25"/>
        <v>206.63830000000002</v>
      </c>
      <c r="N155" s="49">
        <f t="shared" ca="1" si="25"/>
        <v>382.47399999999999</v>
      </c>
      <c r="O155" s="84">
        <f t="shared" ca="1" si="25"/>
        <v>687.58660000000009</v>
      </c>
    </row>
    <row r="156" spans="1:15" hidden="1" outlineLevel="1" x14ac:dyDescent="0.25">
      <c r="A156" s="42"/>
      <c r="B156" s="43" t="s">
        <v>0</v>
      </c>
      <c r="D156" s="80"/>
      <c r="E156" s="81"/>
      <c r="F156" s="81"/>
      <c r="G156" s="81"/>
      <c r="H156" s="81"/>
      <c r="I156" s="82"/>
      <c r="J156" s="80"/>
      <c r="K156" s="81"/>
      <c r="L156" s="81"/>
      <c r="M156" s="81"/>
      <c r="N156" s="81"/>
      <c r="O156" s="82"/>
    </row>
    <row r="157" spans="1:15" hidden="1" outlineLevel="1" x14ac:dyDescent="0.25">
      <c r="A157" s="1"/>
      <c r="B157" s="133"/>
      <c r="D157" s="50"/>
      <c r="E157" s="51"/>
      <c r="F157" s="51"/>
      <c r="G157" s="51"/>
      <c r="H157" s="51"/>
      <c r="I157" s="51"/>
      <c r="J157" s="50"/>
      <c r="K157" s="51"/>
      <c r="L157" s="51"/>
      <c r="M157" s="51"/>
      <c r="N157" s="51"/>
      <c r="O157" s="51"/>
    </row>
    <row r="158" spans="1:15" hidden="1" outlineLevel="1" x14ac:dyDescent="0.25">
      <c r="A158" s="38"/>
      <c r="B158" s="39"/>
      <c r="D158" s="332" t="s">
        <v>159</v>
      </c>
      <c r="E158" s="333" t="s">
        <v>58</v>
      </c>
      <c r="F158" s="333" t="s">
        <v>160</v>
      </c>
      <c r="G158" s="333"/>
      <c r="H158" s="333"/>
      <c r="I158" s="334"/>
      <c r="J158" s="332" t="s">
        <v>159</v>
      </c>
      <c r="K158" s="333" t="s">
        <v>58</v>
      </c>
      <c r="L158" s="333" t="s">
        <v>160</v>
      </c>
      <c r="M158" s="333"/>
      <c r="N158" s="333"/>
      <c r="O158" s="334"/>
    </row>
    <row r="159" spans="1:15" hidden="1" outlineLevel="2" x14ac:dyDescent="0.25">
      <c r="A159" s="30">
        <v>270</v>
      </c>
      <c r="B159" s="31" t="s">
        <v>161</v>
      </c>
      <c r="D159" s="65">
        <f ca="1">VLOOKUP($A159,INDIRECT($P$2),COLUMN()-1,FALSE)*VLOOKUP($A159,Usinas!$C:$D,2,FALSE)</f>
        <v>1480.2025000000001</v>
      </c>
      <c r="E159" s="65">
        <f ca="1">VLOOKUP($A159,INDIRECT($P$2),COLUMN()-1,FALSE)*VLOOKUP($A159,Usinas!$C:$D,2,FALSE)</f>
        <v>1677.2190000000001</v>
      </c>
      <c r="F159" s="65">
        <f ca="1">VLOOKUP($A159,INDIRECT($P$2),COLUMN()-1,FALSE)*VLOOKUP($A159,Usinas!$C:$D,2,FALSE)</f>
        <v>1548.2815000000001</v>
      </c>
      <c r="G159" s="65">
        <f ca="1">VLOOKUP($A159,INDIRECT($P$2),COLUMN()-1,FALSE)*VLOOKUP($A159,Usinas!$C:$D,2,FALSE)</f>
        <v>1095.4530000000002</v>
      </c>
      <c r="H159" s="65">
        <f ca="1">VLOOKUP($A159,INDIRECT($P$2),COLUMN()-1,FALSE)*VLOOKUP($A159,Usinas!$C:$D,2,FALSE)</f>
        <v>579.70300000000009</v>
      </c>
      <c r="I159" s="65">
        <f ca="1">VLOOKUP($A159,INDIRECT($P$2),COLUMN()-1,FALSE)*VLOOKUP($A159,Usinas!$C:$D,2,FALSE)</f>
        <v>402.28500000000003</v>
      </c>
      <c r="J159" s="65">
        <f ca="1">VLOOKUP($A159,INDIRECT($P$2),COLUMN()-1,FALSE)*VLOOKUP($A159,Usinas!$C:$D,2,FALSE)</f>
        <v>303.26100000000002</v>
      </c>
      <c r="K159" s="65">
        <f ca="1">VLOOKUP($A159,INDIRECT($P$2),COLUMN()-1,FALSE)*VLOOKUP($A159,Usinas!$C:$D,2,FALSE)</f>
        <v>234.15050000000002</v>
      </c>
      <c r="L159" s="65">
        <f ca="1">VLOOKUP($A159,INDIRECT($P$2),COLUMN()-1,FALSE)*VLOOKUP($A159,Usinas!$C:$D,2,FALSE)</f>
        <v>222.80400000000003</v>
      </c>
      <c r="M159" s="65">
        <f ca="1">VLOOKUP($A159,INDIRECT($P$2),COLUMN()-1,FALSE)*VLOOKUP($A159,Usinas!$C:$D,2,FALSE)</f>
        <v>325.95400000000001</v>
      </c>
      <c r="N159" s="65">
        <f ca="1">VLOOKUP($A159,INDIRECT($P$2),COLUMN()-1,FALSE)*VLOOKUP($A159,Usinas!$C:$D,2,FALSE)</f>
        <v>587.95500000000004</v>
      </c>
      <c r="O159" s="65">
        <f ca="1">VLOOKUP($A159,INDIRECT($P$2),COLUMN()-1,FALSE)*VLOOKUP($A159,Usinas!$C:$D,2,FALSE)</f>
        <v>1097.5160000000001</v>
      </c>
    </row>
    <row r="160" spans="1:15" hidden="1" outlineLevel="2" x14ac:dyDescent="0.25">
      <c r="A160" s="30">
        <v>191</v>
      </c>
      <c r="B160" s="31" t="s">
        <v>162</v>
      </c>
      <c r="D160" s="65">
        <f ca="1">VLOOKUP($A160,INDIRECT($P$2),COLUMN()-1,FALSE)*VLOOKUP($A160,Usinas!$C:$D,2,FALSE)</f>
        <v>638.40000000000009</v>
      </c>
      <c r="E160" s="65">
        <f ca="1">VLOOKUP($A160,INDIRECT($P$2),COLUMN()-1,FALSE)*VLOOKUP($A160,Usinas!$C:$D,2,FALSE)</f>
        <v>722.19</v>
      </c>
      <c r="F160" s="65">
        <f ca="1">VLOOKUP($A160,INDIRECT($P$2),COLUMN()-1,FALSE)*VLOOKUP($A160,Usinas!$C:$D,2,FALSE)</f>
        <v>668.32500000000005</v>
      </c>
      <c r="G160" s="65">
        <f ca="1">VLOOKUP($A160,INDIRECT($P$2),COLUMN()-1,FALSE)*VLOOKUP($A160,Usinas!$C:$D,2,FALSE)</f>
        <v>473.613</v>
      </c>
      <c r="H160" s="65">
        <f ca="1">VLOOKUP($A160,INDIRECT($P$2),COLUMN()-1,FALSE)*VLOOKUP($A160,Usinas!$C:$D,2,FALSE)</f>
        <v>252.16800000000001</v>
      </c>
      <c r="I160" s="65">
        <f ca="1">VLOOKUP($A160,INDIRECT($P$2),COLUMN()-1,FALSE)*VLOOKUP($A160,Usinas!$C:$D,2,FALSE)</f>
        <v>175.161</v>
      </c>
      <c r="J160" s="65">
        <f ca="1">VLOOKUP($A160,INDIRECT($P$2),COLUMN()-1,FALSE)*VLOOKUP($A160,Usinas!$C:$D,2,FALSE)</f>
        <v>132.86700000000002</v>
      </c>
      <c r="K160" s="65">
        <f ca="1">VLOOKUP($A160,INDIRECT($P$2),COLUMN()-1,FALSE)*VLOOKUP($A160,Usinas!$C:$D,2,FALSE)</f>
        <v>103.74000000000001</v>
      </c>
      <c r="L160" s="65">
        <f ca="1">VLOOKUP($A160,INDIRECT($P$2),COLUMN()-1,FALSE)*VLOOKUP($A160,Usinas!$C:$D,2,FALSE)</f>
        <v>98.154000000000011</v>
      </c>
      <c r="M160" s="65">
        <f ca="1">VLOOKUP($A160,INDIRECT($P$2),COLUMN()-1,FALSE)*VLOOKUP($A160,Usinas!$C:$D,2,FALSE)</f>
        <v>143.24100000000001</v>
      </c>
      <c r="N160" s="65">
        <f ca="1">VLOOKUP($A160,INDIRECT($P$2),COLUMN()-1,FALSE)*VLOOKUP($A160,Usinas!$C:$D,2,FALSE)</f>
        <v>256.95600000000002</v>
      </c>
      <c r="O160" s="65">
        <f ca="1">VLOOKUP($A160,INDIRECT($P$2),COLUMN()-1,FALSE)*VLOOKUP($A160,Usinas!$C:$D,2,FALSE)</f>
        <v>473.214</v>
      </c>
    </row>
    <row r="161" spans="1:15" hidden="1" outlineLevel="2" x14ac:dyDescent="0.25">
      <c r="A161" s="30">
        <v>253</v>
      </c>
      <c r="B161" s="31" t="s">
        <v>163</v>
      </c>
      <c r="D161" s="65">
        <f ca="1">VLOOKUP($A161,INDIRECT($P$2),COLUMN()-1,FALSE)*VLOOKUP($A161,Usinas!$C:$D,2,FALSE)</f>
        <v>357.95649999999995</v>
      </c>
      <c r="E161" s="65">
        <f ca="1">VLOOKUP($A161,INDIRECT($P$2),COLUMN()-1,FALSE)*VLOOKUP($A161,Usinas!$C:$D,2,FALSE)</f>
        <v>406.18599999999998</v>
      </c>
      <c r="F161" s="65">
        <f ca="1">VLOOKUP($A161,INDIRECT($P$2),COLUMN()-1,FALSE)*VLOOKUP($A161,Usinas!$C:$D,2,FALSE)</f>
        <v>379.32399999999996</v>
      </c>
      <c r="G161" s="65">
        <f ca="1">VLOOKUP($A161,INDIRECT($P$2),COLUMN()-1,FALSE)*VLOOKUP($A161,Usinas!$C:$D,2,FALSE)</f>
        <v>273.3005</v>
      </c>
      <c r="H161" s="65">
        <f ca="1">VLOOKUP($A161,INDIRECT($P$2),COLUMN()-1,FALSE)*VLOOKUP($A161,Usinas!$C:$D,2,FALSE)</f>
        <v>144.48499999999999</v>
      </c>
      <c r="I161" s="65">
        <f ca="1">VLOOKUP($A161,INDIRECT($P$2),COLUMN()-1,FALSE)*VLOOKUP($A161,Usinas!$C:$D,2,FALSE)</f>
        <v>98.086999999999989</v>
      </c>
      <c r="J161" s="65">
        <f ca="1">VLOOKUP($A161,INDIRECT($P$2),COLUMN()-1,FALSE)*VLOOKUP($A161,Usinas!$C:$D,2,FALSE)</f>
        <v>74.277499999999989</v>
      </c>
      <c r="K161" s="65">
        <f ca="1">VLOOKUP($A161,INDIRECT($P$2),COLUMN()-1,FALSE)*VLOOKUP($A161,Usinas!$C:$D,2,FALSE)</f>
        <v>57.997499999999995</v>
      </c>
      <c r="L161" s="65">
        <f ca="1">VLOOKUP($A161,INDIRECT($P$2),COLUMN()-1,FALSE)*VLOOKUP($A161,Usinas!$C:$D,2,FALSE)</f>
        <v>54.741499999999995</v>
      </c>
      <c r="M161" s="65">
        <f ca="1">VLOOKUP($A161,INDIRECT($P$2),COLUMN()-1,FALSE)*VLOOKUP($A161,Usinas!$C:$D,2,FALSE)</f>
        <v>78.550999999999988</v>
      </c>
      <c r="N161" s="65">
        <f ca="1">VLOOKUP($A161,INDIRECT($P$2),COLUMN()-1,FALSE)*VLOOKUP($A161,Usinas!$C:$D,2,FALSE)</f>
        <v>142.04299999999998</v>
      </c>
      <c r="O161" s="65">
        <f ca="1">VLOOKUP($A161,INDIRECT($P$2),COLUMN()-1,FALSE)*VLOOKUP($A161,Usinas!$C:$D,2,FALSE)</f>
        <v>265.77099999999996</v>
      </c>
    </row>
    <row r="162" spans="1:15" hidden="1" outlineLevel="2" x14ac:dyDescent="0.25">
      <c r="A162" s="30">
        <v>257</v>
      </c>
      <c r="B162" s="31" t="s">
        <v>164</v>
      </c>
      <c r="D162" s="65">
        <f ca="1">VLOOKUP($A162,INDIRECT($P$2),COLUMN()-1,FALSE)*VLOOKUP($A162,Usinas!$C:$D,2,FALSE)</f>
        <v>754.375</v>
      </c>
      <c r="E162" s="65">
        <f ca="1">VLOOKUP($A162,INDIRECT($P$2),COLUMN()-1,FALSE)*VLOOKUP($A162,Usinas!$C:$D,2,FALSE)</f>
        <v>849.48660000000007</v>
      </c>
      <c r="F162" s="65">
        <f ca="1">VLOOKUP($A162,INDIRECT($P$2),COLUMN()-1,FALSE)*VLOOKUP($A162,Usinas!$C:$D,2,FALSE)</f>
        <v>813.27660000000003</v>
      </c>
      <c r="G162" s="65">
        <f ca="1">VLOOKUP($A162,INDIRECT($P$2),COLUMN()-1,FALSE)*VLOOKUP($A162,Usinas!$C:$D,2,FALSE)</f>
        <v>575.98040000000003</v>
      </c>
      <c r="H162" s="65">
        <f ca="1">VLOOKUP($A162,INDIRECT($P$2),COLUMN()-1,FALSE)*VLOOKUP($A162,Usinas!$C:$D,2,FALSE)</f>
        <v>287.02460000000002</v>
      </c>
      <c r="I162" s="65">
        <f ca="1">VLOOKUP($A162,INDIRECT($P$2),COLUMN()-1,FALSE)*VLOOKUP($A162,Usinas!$C:$D,2,FALSE)</f>
        <v>189.0162</v>
      </c>
      <c r="J162" s="65">
        <f ca="1">VLOOKUP($A162,INDIRECT($P$2),COLUMN()-1,FALSE)*VLOOKUP($A162,Usinas!$C:$D,2,FALSE)</f>
        <v>144.84</v>
      </c>
      <c r="K162" s="65">
        <f ca="1">VLOOKUP($A162,INDIRECT($P$2),COLUMN()-1,FALSE)*VLOOKUP($A162,Usinas!$C:$D,2,FALSE)</f>
        <v>116.3548</v>
      </c>
      <c r="L162" s="65">
        <f ca="1">VLOOKUP($A162,INDIRECT($P$2),COLUMN()-1,FALSE)*VLOOKUP($A162,Usinas!$C:$D,2,FALSE)</f>
        <v>110.8026</v>
      </c>
      <c r="M162" s="65">
        <f ca="1">VLOOKUP($A162,INDIRECT($P$2),COLUMN()-1,FALSE)*VLOOKUP($A162,Usinas!$C:$D,2,FALSE)</f>
        <v>153.28900000000002</v>
      </c>
      <c r="N162" s="65">
        <f ca="1">VLOOKUP($A162,INDIRECT($P$2),COLUMN()-1,FALSE)*VLOOKUP($A162,Usinas!$C:$D,2,FALSE)</f>
        <v>288.95580000000001</v>
      </c>
      <c r="O162" s="65">
        <f ca="1">VLOOKUP($A162,INDIRECT($P$2),COLUMN()-1,FALSE)*VLOOKUP($A162,Usinas!$C:$D,2,FALSE)</f>
        <v>562.94479999999999</v>
      </c>
    </row>
    <row r="163" spans="1:15" hidden="1" outlineLevel="2" x14ac:dyDescent="0.25">
      <c r="A163" s="30">
        <v>273</v>
      </c>
      <c r="B163" s="31" t="s">
        <v>165</v>
      </c>
      <c r="D163" s="65">
        <f ca="1">VLOOKUP($A163,INDIRECT($P$2),COLUMN()-1,FALSE)*VLOOKUP($A163,Usinas!$C:$D,2,FALSE)</f>
        <v>1447.6335999999999</v>
      </c>
      <c r="E163" s="65">
        <f ca="1">VLOOKUP($A163,INDIRECT($P$2),COLUMN()-1,FALSE)*VLOOKUP($A163,Usinas!$C:$D,2,FALSE)</f>
        <v>1664.2751999999998</v>
      </c>
      <c r="F163" s="65">
        <f ca="1">VLOOKUP($A163,INDIRECT($P$2),COLUMN()-1,FALSE)*VLOOKUP($A163,Usinas!$C:$D,2,FALSE)</f>
        <v>1670.7711999999999</v>
      </c>
      <c r="G163" s="65">
        <f ca="1">VLOOKUP($A163,INDIRECT($P$2),COLUMN()-1,FALSE)*VLOOKUP($A163,Usinas!$C:$D,2,FALSE)</f>
        <v>1244.9584</v>
      </c>
      <c r="H163" s="65">
        <f ca="1">VLOOKUP($A163,INDIRECT($P$2),COLUMN()-1,FALSE)*VLOOKUP($A163,Usinas!$C:$D,2,FALSE)</f>
        <v>614.8463999999999</v>
      </c>
      <c r="I163" s="65">
        <f ca="1">VLOOKUP($A163,INDIRECT($P$2),COLUMN()-1,FALSE)*VLOOKUP($A163,Usinas!$C:$D,2,FALSE)</f>
        <v>366.0496</v>
      </c>
      <c r="J163" s="65">
        <f ca="1">VLOOKUP($A163,INDIRECT($P$2),COLUMN()-1,FALSE)*VLOOKUP($A163,Usinas!$C:$D,2,FALSE)</f>
        <v>263.4128</v>
      </c>
      <c r="K163" s="65">
        <f ca="1">VLOOKUP($A163,INDIRECT($P$2),COLUMN()-1,FALSE)*VLOOKUP($A163,Usinas!$C:$D,2,FALSE)</f>
        <v>202.0256</v>
      </c>
      <c r="L163" s="65">
        <f ca="1">VLOOKUP($A163,INDIRECT($P$2),COLUMN()-1,FALSE)*VLOOKUP($A163,Usinas!$C:$D,2,FALSE)</f>
        <v>184.16159999999999</v>
      </c>
      <c r="M163" s="65">
        <f ca="1">VLOOKUP($A163,INDIRECT($P$2),COLUMN()-1,FALSE)*VLOOKUP($A163,Usinas!$C:$D,2,FALSE)</f>
        <v>257.89119999999997</v>
      </c>
      <c r="N163" s="65">
        <f ca="1">VLOOKUP($A163,INDIRECT($P$2),COLUMN()-1,FALSE)*VLOOKUP($A163,Usinas!$C:$D,2,FALSE)</f>
        <v>510.91039999999998</v>
      </c>
      <c r="O163" s="65">
        <f ca="1">VLOOKUP($A163,INDIRECT($P$2),COLUMN()-1,FALSE)*VLOOKUP($A163,Usinas!$C:$D,2,FALSE)</f>
        <v>1032.5391999999999</v>
      </c>
    </row>
    <row r="164" spans="1:15" hidden="1" outlineLevel="1" x14ac:dyDescent="0.25">
      <c r="A164" s="40"/>
      <c r="B164" s="41" t="s">
        <v>56</v>
      </c>
      <c r="D164" s="83">
        <f t="shared" ref="D164:I164" ca="1" si="26">SUM(D159:D163)</f>
        <v>4678.5675999999994</v>
      </c>
      <c r="E164" s="49">
        <f t="shared" ca="1" si="26"/>
        <v>5319.3568000000005</v>
      </c>
      <c r="F164" s="49">
        <f t="shared" ca="1" si="26"/>
        <v>5079.9782999999998</v>
      </c>
      <c r="G164" s="49">
        <f t="shared" ca="1" si="26"/>
        <v>3663.3053000000004</v>
      </c>
      <c r="H164" s="49">
        <f t="shared" ca="1" si="26"/>
        <v>1878.2270000000001</v>
      </c>
      <c r="I164" s="84">
        <f t="shared" ca="1" si="26"/>
        <v>1230.5988</v>
      </c>
      <c r="J164" s="83">
        <f t="shared" ref="J164:O164" ca="1" si="27">SUM(J159:J163)</f>
        <v>918.65830000000005</v>
      </c>
      <c r="K164" s="49">
        <f t="shared" ca="1" si="27"/>
        <v>714.26839999999993</v>
      </c>
      <c r="L164" s="49">
        <f t="shared" ca="1" si="27"/>
        <v>670.66369999999995</v>
      </c>
      <c r="M164" s="49">
        <f t="shared" ca="1" si="27"/>
        <v>958.92620000000011</v>
      </c>
      <c r="N164" s="49">
        <f t="shared" ca="1" si="27"/>
        <v>1786.8202000000001</v>
      </c>
      <c r="O164" s="84">
        <f t="shared" ca="1" si="27"/>
        <v>3431.9849999999997</v>
      </c>
    </row>
    <row r="165" spans="1:15" hidden="1" outlineLevel="1" x14ac:dyDescent="0.25">
      <c r="A165" s="42"/>
      <c r="B165" s="43" t="s">
        <v>0</v>
      </c>
      <c r="D165" s="80"/>
      <c r="E165" s="81"/>
      <c r="F165" s="81"/>
      <c r="G165" s="81"/>
      <c r="H165" s="81"/>
      <c r="I165" s="82"/>
      <c r="J165" s="80"/>
      <c r="K165" s="81"/>
      <c r="L165" s="81"/>
      <c r="M165" s="81"/>
      <c r="N165" s="81"/>
      <c r="O165" s="82"/>
    </row>
    <row r="166" spans="1:15" hidden="1" outlineLevel="1" x14ac:dyDescent="0.25">
      <c r="A166" s="1"/>
      <c r="B166" s="133"/>
      <c r="D166" s="50"/>
      <c r="E166" s="51"/>
      <c r="F166" s="51"/>
      <c r="G166" s="51"/>
      <c r="H166" s="51"/>
      <c r="I166" s="51"/>
      <c r="J166" s="50"/>
      <c r="K166" s="51"/>
      <c r="L166" s="51"/>
      <c r="M166" s="51"/>
      <c r="N166" s="51"/>
      <c r="O166" s="51"/>
    </row>
    <row r="167" spans="1:15" ht="15.75" collapsed="1" x14ac:dyDescent="0.25">
      <c r="A167" s="85"/>
      <c r="B167" s="86"/>
      <c r="C167" s="97"/>
      <c r="D167" s="335" t="s">
        <v>166</v>
      </c>
      <c r="E167" s="336"/>
      <c r="F167" s="336"/>
      <c r="G167" s="336"/>
      <c r="H167" s="336"/>
      <c r="I167" s="336"/>
      <c r="J167" s="336"/>
      <c r="K167" s="336"/>
      <c r="L167" s="336"/>
      <c r="M167" s="336"/>
      <c r="N167" s="336"/>
      <c r="O167" s="337"/>
    </row>
    <row r="168" spans="1:15" ht="15.75" x14ac:dyDescent="0.25">
      <c r="A168" s="87"/>
      <c r="B168" s="88" t="s">
        <v>56</v>
      </c>
      <c r="C168" s="97"/>
      <c r="D168" s="88">
        <f t="shared" ref="D168:O168" ca="1" si="28">D22+D45+D60+D74+D80+D86+D101+D106+D111+D123+D132+D137+D148+D155+D164+D50</f>
        <v>55969.998000000014</v>
      </c>
      <c r="E168" s="89">
        <f t="shared" ca="1" si="28"/>
        <v>58559.566199999994</v>
      </c>
      <c r="F168" s="89">
        <f t="shared" ca="1" si="28"/>
        <v>54678.837100000012</v>
      </c>
      <c r="G168" s="89">
        <f t="shared" ca="1" si="28"/>
        <v>41444.549099999989</v>
      </c>
      <c r="H168" s="89">
        <f t="shared" ca="1" si="28"/>
        <v>29905.362999999998</v>
      </c>
      <c r="I168" s="90">
        <f t="shared" ca="1" si="28"/>
        <v>25533.5946</v>
      </c>
      <c r="J168" s="88">
        <f t="shared" ca="1" si="28"/>
        <v>21182.232399999994</v>
      </c>
      <c r="K168" s="89">
        <f t="shared" ca="1" si="28"/>
        <v>17684.899400000002</v>
      </c>
      <c r="L168" s="89">
        <f t="shared" ca="1" si="28"/>
        <v>17543.204699999995</v>
      </c>
      <c r="M168" s="89">
        <f t="shared" ca="1" si="28"/>
        <v>21105.841300000007</v>
      </c>
      <c r="N168" s="89">
        <f t="shared" ca="1" si="28"/>
        <v>26987.522399999994</v>
      </c>
      <c r="O168" s="90">
        <f t="shared" ca="1" si="28"/>
        <v>40922.817500000005</v>
      </c>
    </row>
    <row r="170" spans="1:15" x14ac:dyDescent="0.25">
      <c r="A170" s="91"/>
      <c r="B170" s="92"/>
      <c r="D170" s="94"/>
      <c r="E170" s="95"/>
      <c r="F170" s="95"/>
      <c r="G170" s="95"/>
      <c r="H170" s="95"/>
      <c r="I170" s="96"/>
    </row>
    <row r="171" spans="1:15" hidden="1" outlineLevel="1" x14ac:dyDescent="0.25">
      <c r="A171" s="63"/>
      <c r="B171" s="64"/>
      <c r="D171" s="329" t="s">
        <v>168</v>
      </c>
      <c r="E171" s="330" t="s">
        <v>58</v>
      </c>
      <c r="F171" s="330" t="s">
        <v>169</v>
      </c>
      <c r="G171" s="330"/>
      <c r="H171" s="330"/>
      <c r="I171" s="331"/>
      <c r="J171" s="329" t="s">
        <v>168</v>
      </c>
      <c r="K171" s="330" t="s">
        <v>58</v>
      </c>
      <c r="L171" s="330" t="s">
        <v>169</v>
      </c>
      <c r="M171" s="330"/>
      <c r="N171" s="330"/>
      <c r="O171" s="331"/>
    </row>
    <row r="172" spans="1:15" hidden="1" outlineLevel="2" x14ac:dyDescent="0.25">
      <c r="A172" s="61">
        <v>71</v>
      </c>
      <c r="B172" s="62" t="s">
        <v>170</v>
      </c>
      <c r="D172" s="65">
        <f ca="1">VLOOKUP($A172,INDIRECT($P$2),COLUMN()-1,FALSE)*VLOOKUP($A172,Usinas!$C:$D,2,FALSE)</f>
        <v>74.010300000000001</v>
      </c>
      <c r="E172" s="65">
        <f ca="1">VLOOKUP($A172,INDIRECT($P$2),COLUMN()-1,FALSE)*VLOOKUP($A172,Usinas!$C:$D,2,FALSE)</f>
        <v>77.263500000000008</v>
      </c>
      <c r="F172" s="65">
        <f ca="1">VLOOKUP($A172,INDIRECT($P$2),COLUMN()-1,FALSE)*VLOOKUP($A172,Usinas!$C:$D,2,FALSE)</f>
        <v>65.064000000000007</v>
      </c>
      <c r="G172" s="65">
        <f ca="1">VLOOKUP($A172,INDIRECT($P$2),COLUMN()-1,FALSE)*VLOOKUP($A172,Usinas!$C:$D,2,FALSE)</f>
        <v>65.064000000000007</v>
      </c>
      <c r="H172" s="65">
        <f ca="1">VLOOKUP($A172,INDIRECT($P$2),COLUMN()-1,FALSE)*VLOOKUP($A172,Usinas!$C:$D,2,FALSE)</f>
        <v>87.023099999999999</v>
      </c>
      <c r="I172" s="65">
        <f ca="1">VLOOKUP($A172,INDIRECT($P$2),COLUMN()-1,FALSE)*VLOOKUP($A172,Usinas!$C:$D,2,FALSE)</f>
        <v>101.66250000000001</v>
      </c>
      <c r="J172" s="65">
        <f ca="1">VLOOKUP($A172,INDIRECT($P$2),COLUMN()-1,FALSE)*VLOOKUP($A172,Usinas!$C:$D,2,FALSE)</f>
        <v>95.969400000000007</v>
      </c>
      <c r="K172" s="65">
        <f ca="1">VLOOKUP($A172,INDIRECT($P$2),COLUMN()-1,FALSE)*VLOOKUP($A172,Usinas!$C:$D,2,FALSE)</f>
        <v>73.197000000000003</v>
      </c>
      <c r="L172" s="65">
        <f ca="1">VLOOKUP($A172,INDIRECT($P$2),COLUMN()-1,FALSE)*VLOOKUP($A172,Usinas!$C:$D,2,FALSE)</f>
        <v>90.276300000000006</v>
      </c>
      <c r="M172" s="65">
        <f ca="1">VLOOKUP($A172,INDIRECT($P$2),COLUMN()-1,FALSE)*VLOOKUP($A172,Usinas!$C:$D,2,FALSE)</f>
        <v>113.86200000000001</v>
      </c>
      <c r="N172" s="65">
        <f ca="1">VLOOKUP($A172,INDIRECT($P$2),COLUMN()-1,FALSE)*VLOOKUP($A172,Usinas!$C:$D,2,FALSE)</f>
        <v>87.836399999999998</v>
      </c>
      <c r="O172" s="65">
        <f ca="1">VLOOKUP($A172,INDIRECT($P$2),COLUMN()-1,FALSE)*VLOOKUP($A172,Usinas!$C:$D,2,FALSE)</f>
        <v>74.823599999999999</v>
      </c>
    </row>
    <row r="173" spans="1:15" hidden="1" outlineLevel="2" x14ac:dyDescent="0.25">
      <c r="A173" s="61">
        <v>72</v>
      </c>
      <c r="B173" s="62" t="s">
        <v>171</v>
      </c>
      <c r="D173" s="65">
        <f ca="1">VLOOKUP($A173,INDIRECT($P$2),COLUMN()-1,FALSE)*VLOOKUP($A173,Usinas!$C:$D,2,FALSE)</f>
        <v>78.840499999999992</v>
      </c>
      <c r="E173" s="65">
        <f ca="1">VLOOKUP($A173,INDIRECT($P$2),COLUMN()-1,FALSE)*VLOOKUP($A173,Usinas!$C:$D,2,FALSE)</f>
        <v>82.99</v>
      </c>
      <c r="F173" s="65">
        <f ca="1">VLOOKUP($A173,INDIRECT($P$2),COLUMN()-1,FALSE)*VLOOKUP($A173,Usinas!$C:$D,2,FALSE)</f>
        <v>69.711600000000004</v>
      </c>
      <c r="G173" s="65">
        <f ca="1">VLOOKUP($A173,INDIRECT($P$2),COLUMN()-1,FALSE)*VLOOKUP($A173,Usinas!$C:$D,2,FALSE)</f>
        <v>69.711600000000004</v>
      </c>
      <c r="H173" s="65">
        <f ca="1">VLOOKUP($A173,INDIRECT($P$2),COLUMN()-1,FALSE)*VLOOKUP($A173,Usinas!$C:$D,2,FALSE)</f>
        <v>92.948799999999991</v>
      </c>
      <c r="I173" s="65">
        <f ca="1">VLOOKUP($A173,INDIRECT($P$2),COLUMN()-1,FALSE)*VLOOKUP($A173,Usinas!$C:$D,2,FALSE)</f>
        <v>108.7169</v>
      </c>
      <c r="J173" s="65">
        <f ca="1">VLOOKUP($A173,INDIRECT($P$2),COLUMN()-1,FALSE)*VLOOKUP($A173,Usinas!$C:$D,2,FALSE)</f>
        <v>102.9076</v>
      </c>
      <c r="K173" s="65">
        <f ca="1">VLOOKUP($A173,INDIRECT($P$2),COLUMN()-1,FALSE)*VLOOKUP($A173,Usinas!$C:$D,2,FALSE)</f>
        <v>78.010599999999997</v>
      </c>
      <c r="L173" s="65">
        <f ca="1">VLOOKUP($A173,INDIRECT($P$2),COLUMN()-1,FALSE)*VLOOKUP($A173,Usinas!$C:$D,2,FALSE)</f>
        <v>97.098299999999995</v>
      </c>
      <c r="M173" s="65">
        <f ca="1">VLOOKUP($A173,INDIRECT($P$2),COLUMN()-1,FALSE)*VLOOKUP($A173,Usinas!$C:$D,2,FALSE)</f>
        <v>121.16539999999999</v>
      </c>
      <c r="N173" s="65">
        <f ca="1">VLOOKUP($A173,INDIRECT($P$2),COLUMN()-1,FALSE)*VLOOKUP($A173,Usinas!$C:$D,2,FALSE)</f>
        <v>94.608599999999996</v>
      </c>
      <c r="O173" s="65">
        <f ca="1">VLOOKUP($A173,INDIRECT($P$2),COLUMN()-1,FALSE)*VLOOKUP($A173,Usinas!$C:$D,2,FALSE)</f>
        <v>79.670400000000001</v>
      </c>
    </row>
    <row r="174" spans="1:15" hidden="1" outlineLevel="2" x14ac:dyDescent="0.25">
      <c r="A174" s="61">
        <v>74</v>
      </c>
      <c r="B174" s="62" t="s">
        <v>33</v>
      </c>
      <c r="D174" s="65">
        <f ca="1">VLOOKUP($A174,INDIRECT($P$2),COLUMN()-1,FALSE)*VLOOKUP($A174,Usinas!$C:$D,2,FALSE)</f>
        <v>685.17689999999993</v>
      </c>
      <c r="E174" s="65">
        <f ca="1">VLOOKUP($A174,INDIRECT($P$2),COLUMN()-1,FALSE)*VLOOKUP($A174,Usinas!$C:$D,2,FALSE)</f>
        <v>773.5498</v>
      </c>
      <c r="F174" s="65">
        <f ca="1">VLOOKUP($A174,INDIRECT($P$2),COLUMN()-1,FALSE)*VLOOKUP($A174,Usinas!$C:$D,2,FALSE)</f>
        <v>690.91539999999998</v>
      </c>
      <c r="G174" s="65">
        <f ca="1">VLOOKUP($A174,INDIRECT($P$2),COLUMN()-1,FALSE)*VLOOKUP($A174,Usinas!$C:$D,2,FALSE)</f>
        <v>554.33909999999992</v>
      </c>
      <c r="H174" s="65">
        <f ca="1">VLOOKUP($A174,INDIRECT($P$2),COLUMN()-1,FALSE)*VLOOKUP($A174,Usinas!$C:$D,2,FALSE)</f>
        <v>671.40449999999998</v>
      </c>
      <c r="I174" s="65">
        <f ca="1">VLOOKUP($A174,INDIRECT($P$2),COLUMN()-1,FALSE)*VLOOKUP($A174,Usinas!$C:$D,2,FALSE)</f>
        <v>786.17449999999997</v>
      </c>
      <c r="J174" s="65">
        <f ca="1">VLOOKUP($A174,INDIRECT($P$2),COLUMN()-1,FALSE)*VLOOKUP($A174,Usinas!$C:$D,2,FALSE)</f>
        <v>835.52559999999994</v>
      </c>
      <c r="K174" s="65">
        <f ca="1">VLOOKUP($A174,INDIRECT($P$2),COLUMN()-1,FALSE)*VLOOKUP($A174,Usinas!$C:$D,2,FALSE)</f>
        <v>711.57399999999996</v>
      </c>
      <c r="L174" s="65">
        <f ca="1">VLOOKUP($A174,INDIRECT($P$2),COLUMN()-1,FALSE)*VLOOKUP($A174,Usinas!$C:$D,2,FALSE)</f>
        <v>838.96870000000001</v>
      </c>
      <c r="M174" s="65">
        <f ca="1">VLOOKUP($A174,INDIRECT($P$2),COLUMN()-1,FALSE)*VLOOKUP($A174,Usinas!$C:$D,2,FALSE)</f>
        <v>1059.3271</v>
      </c>
      <c r="N174" s="65">
        <f ca="1">VLOOKUP($A174,INDIRECT($P$2),COLUMN()-1,FALSE)*VLOOKUP($A174,Usinas!$C:$D,2,FALSE)</f>
        <v>789.61759999999992</v>
      </c>
      <c r="O174" s="65">
        <f ca="1">VLOOKUP($A174,INDIRECT($P$2),COLUMN()-1,FALSE)*VLOOKUP($A174,Usinas!$C:$D,2,FALSE)</f>
        <v>659.92750000000001</v>
      </c>
    </row>
    <row r="175" spans="1:15" hidden="1" outlineLevel="2" x14ac:dyDescent="0.25">
      <c r="A175" s="61">
        <v>75</v>
      </c>
      <c r="B175" s="62" t="s">
        <v>172</v>
      </c>
      <c r="D175" s="65">
        <f ca="1">VLOOKUP($A175,INDIRECT($P$2),COLUMN()-1,FALSE)*VLOOKUP($A175,Usinas!$C:$D,2,FALSE)</f>
        <v>792.73080000000004</v>
      </c>
      <c r="E175" s="65">
        <f ca="1">VLOOKUP($A175,INDIRECT($P$2),COLUMN()-1,FALSE)*VLOOKUP($A175,Usinas!$C:$D,2,FALSE)</f>
        <v>881.83619999999996</v>
      </c>
      <c r="F175" s="65">
        <f ca="1">VLOOKUP($A175,INDIRECT($P$2),COLUMN()-1,FALSE)*VLOOKUP($A175,Usinas!$C:$D,2,FALSE)</f>
        <v>785.56140000000005</v>
      </c>
      <c r="G175" s="65">
        <f ca="1">VLOOKUP($A175,INDIRECT($P$2),COLUMN()-1,FALSE)*VLOOKUP($A175,Usinas!$C:$D,2,FALSE)</f>
        <v>657.53639999999996</v>
      </c>
      <c r="H175" s="65">
        <f ca="1">VLOOKUP($A175,INDIRECT($P$2),COLUMN()-1,FALSE)*VLOOKUP($A175,Usinas!$C:$D,2,FALSE)</f>
        <v>800.92439999999999</v>
      </c>
      <c r="I175" s="65">
        <f ca="1">VLOOKUP($A175,INDIRECT($P$2),COLUMN()-1,FALSE)*VLOOKUP($A175,Usinas!$C:$D,2,FALSE)</f>
        <v>945.33659999999998</v>
      </c>
      <c r="J175" s="65">
        <f ca="1">VLOOKUP($A175,INDIRECT($P$2),COLUMN()-1,FALSE)*VLOOKUP($A175,Usinas!$C:$D,2,FALSE)</f>
        <v>974.01419999999996</v>
      </c>
      <c r="K175" s="65">
        <f ca="1">VLOOKUP($A175,INDIRECT($P$2),COLUMN()-1,FALSE)*VLOOKUP($A175,Usinas!$C:$D,2,FALSE)</f>
        <v>823.45680000000004</v>
      </c>
      <c r="L175" s="65">
        <f ca="1">VLOOKUP($A175,INDIRECT($P$2),COLUMN()-1,FALSE)*VLOOKUP($A175,Usinas!$C:$D,2,FALSE)</f>
        <v>964.79639999999995</v>
      </c>
      <c r="M175" s="65">
        <f ca="1">VLOOKUP($A175,INDIRECT($P$2),COLUMN()-1,FALSE)*VLOOKUP($A175,Usinas!$C:$D,2,FALSE)</f>
        <v>1219.8222000000001</v>
      </c>
      <c r="N175" s="65">
        <f ca="1">VLOOKUP($A175,INDIRECT($P$2),COLUMN()-1,FALSE)*VLOOKUP($A175,Usinas!$C:$D,2,FALSE)</f>
        <v>932.02200000000005</v>
      </c>
      <c r="O175" s="65">
        <f ca="1">VLOOKUP($A175,INDIRECT($P$2),COLUMN()-1,FALSE)*VLOOKUP($A175,Usinas!$C:$D,2,FALSE)</f>
        <v>773.27099999999996</v>
      </c>
    </row>
    <row r="176" spans="1:15" hidden="1" outlineLevel="2" x14ac:dyDescent="0.25">
      <c r="A176" s="30">
        <v>77</v>
      </c>
      <c r="B176" s="31" t="s">
        <v>173</v>
      </c>
      <c r="D176" s="65">
        <f ca="1">VLOOKUP($A176,INDIRECT($P$2),COLUMN()-1,FALSE)*VLOOKUP($A176,Usinas!$C:$D,2,FALSE)</f>
        <v>777.03</v>
      </c>
      <c r="E176" s="65">
        <f ca="1">VLOOKUP($A176,INDIRECT($P$2),COLUMN()-1,FALSE)*VLOOKUP($A176,Usinas!$C:$D,2,FALSE)</f>
        <v>862.19600000000003</v>
      </c>
      <c r="F176" s="65">
        <f ca="1">VLOOKUP($A176,INDIRECT($P$2),COLUMN()-1,FALSE)*VLOOKUP($A176,Usinas!$C:$D,2,FALSE)</f>
        <v>751.56799999999998</v>
      </c>
      <c r="G176" s="65">
        <f ca="1">VLOOKUP($A176,INDIRECT($P$2),COLUMN()-1,FALSE)*VLOOKUP($A176,Usinas!$C:$D,2,FALSE)</f>
        <v>664.64599999999996</v>
      </c>
      <c r="H176" s="65">
        <f ca="1">VLOOKUP($A176,INDIRECT($P$2),COLUMN()-1,FALSE)*VLOOKUP($A176,Usinas!$C:$D,2,FALSE)</f>
        <v>832.34400000000005</v>
      </c>
      <c r="I176" s="65">
        <f ca="1">VLOOKUP($A176,INDIRECT($P$2),COLUMN()-1,FALSE)*VLOOKUP($A176,Usinas!$C:$D,2,FALSE)</f>
        <v>989.50599999999997</v>
      </c>
      <c r="J176" s="65">
        <f ca="1">VLOOKUP($A176,INDIRECT($P$2),COLUMN()-1,FALSE)*VLOOKUP($A176,Usinas!$C:$D,2,FALSE)</f>
        <v>996.53</v>
      </c>
      <c r="K176" s="65">
        <f ca="1">VLOOKUP($A176,INDIRECT($P$2),COLUMN()-1,FALSE)*VLOOKUP($A176,Usinas!$C:$D,2,FALSE)</f>
        <v>822.68600000000004</v>
      </c>
      <c r="L176" s="65">
        <f ca="1">VLOOKUP($A176,INDIRECT($P$2),COLUMN()-1,FALSE)*VLOOKUP($A176,Usinas!$C:$D,2,FALSE)</f>
        <v>974.58</v>
      </c>
      <c r="M176" s="65">
        <f ca="1">VLOOKUP($A176,INDIRECT($P$2),COLUMN()-1,FALSE)*VLOOKUP($A176,Usinas!$C:$D,2,FALSE)</f>
        <v>1252.028</v>
      </c>
      <c r="N176" s="65">
        <f ca="1">VLOOKUP($A176,INDIRECT($P$2),COLUMN()-1,FALSE)*VLOOKUP($A176,Usinas!$C:$D,2,FALSE)</f>
        <v>939.46</v>
      </c>
      <c r="O176" s="65">
        <f ca="1">VLOOKUP($A176,INDIRECT($P$2),COLUMN()-1,FALSE)*VLOOKUP($A176,Usinas!$C:$D,2,FALSE)</f>
        <v>762.10400000000004</v>
      </c>
    </row>
    <row r="177" spans="1:15" hidden="1" outlineLevel="2" x14ac:dyDescent="0.25">
      <c r="A177" s="30">
        <v>78</v>
      </c>
      <c r="B177" s="31" t="s">
        <v>174</v>
      </c>
      <c r="D177" s="65">
        <f ca="1">VLOOKUP($A177,INDIRECT($P$2),COLUMN()-1,FALSE)*VLOOKUP($A177,Usinas!$C:$D,2,FALSE)</f>
        <v>581.50540000000001</v>
      </c>
      <c r="E177" s="65">
        <f ca="1">VLOOKUP($A177,INDIRECT($P$2),COLUMN()-1,FALSE)*VLOOKUP($A177,Usinas!$C:$D,2,FALSE)</f>
        <v>645.20609999999999</v>
      </c>
      <c r="F177" s="65">
        <f ca="1">VLOOKUP($A177,INDIRECT($P$2),COLUMN()-1,FALSE)*VLOOKUP($A177,Usinas!$C:$D,2,FALSE)</f>
        <v>563.84580000000005</v>
      </c>
      <c r="G177" s="65">
        <f ca="1">VLOOKUP($A177,INDIRECT($P$2),COLUMN()-1,FALSE)*VLOOKUP($A177,Usinas!$C:$D,2,FALSE)</f>
        <v>499.51440000000002</v>
      </c>
      <c r="H177" s="65">
        <f ca="1">VLOOKUP($A177,INDIRECT($P$2),COLUMN()-1,FALSE)*VLOOKUP($A177,Usinas!$C:$D,2,FALSE)</f>
        <v>628.17720000000008</v>
      </c>
      <c r="I177" s="65">
        <f ca="1">VLOOKUP($A177,INDIRECT($P$2),COLUMN()-1,FALSE)*VLOOKUP($A177,Usinas!$C:$D,2,FALSE)</f>
        <v>745.48740000000009</v>
      </c>
      <c r="J177" s="65">
        <f ca="1">VLOOKUP($A177,INDIRECT($P$2),COLUMN()-1,FALSE)*VLOOKUP($A177,Usinas!$C:$D,2,FALSE)</f>
        <v>748.6409000000001</v>
      </c>
      <c r="K177" s="65">
        <f ca="1">VLOOKUP($A177,INDIRECT($P$2),COLUMN()-1,FALSE)*VLOOKUP($A177,Usinas!$C:$D,2,FALSE)</f>
        <v>618.08600000000001</v>
      </c>
      <c r="L177" s="65">
        <f ca="1">VLOOKUP($A177,INDIRECT($P$2),COLUMN()-1,FALSE)*VLOOKUP($A177,Usinas!$C:$D,2,FALSE)</f>
        <v>729.08920000000001</v>
      </c>
      <c r="M177" s="65">
        <f ca="1">VLOOKUP($A177,INDIRECT($P$2),COLUMN()-1,FALSE)*VLOOKUP($A177,Usinas!$C:$D,2,FALSE)</f>
        <v>946.05000000000007</v>
      </c>
      <c r="N177" s="65">
        <f ca="1">VLOOKUP($A177,INDIRECT($P$2),COLUMN()-1,FALSE)*VLOOKUP($A177,Usinas!$C:$D,2,FALSE)</f>
        <v>711.42960000000005</v>
      </c>
      <c r="O177" s="65">
        <f ca="1">VLOOKUP($A177,INDIRECT($P$2),COLUMN()-1,FALSE)*VLOOKUP($A177,Usinas!$C:$D,2,FALSE)</f>
        <v>573.30630000000008</v>
      </c>
    </row>
    <row r="178" spans="1:15" hidden="1" outlineLevel="2" x14ac:dyDescent="0.25">
      <c r="A178" s="30">
        <v>222</v>
      </c>
      <c r="B178" s="31" t="s">
        <v>175</v>
      </c>
      <c r="D178" s="65">
        <f ca="1">VLOOKUP($A178,INDIRECT($P$2),COLUMN()-1,FALSE)*VLOOKUP($A178,Usinas!$C:$D,2,FALSE)</f>
        <v>677.79899999999998</v>
      </c>
      <c r="E178" s="65">
        <f ca="1">VLOOKUP($A178,INDIRECT($P$2),COLUMN()-1,FALSE)*VLOOKUP($A178,Usinas!$C:$D,2,FALSE)</f>
        <v>750.14499999999998</v>
      </c>
      <c r="F178" s="65">
        <f ca="1">VLOOKUP($A178,INDIRECT($P$2),COLUMN()-1,FALSE)*VLOOKUP($A178,Usinas!$C:$D,2,FALSE)</f>
        <v>652.89299999999992</v>
      </c>
      <c r="G178" s="65">
        <f ca="1">VLOOKUP($A178,INDIRECT($P$2),COLUMN()-1,FALSE)*VLOOKUP($A178,Usinas!$C:$D,2,FALSE)</f>
        <v>605.45299999999997</v>
      </c>
      <c r="H178" s="65">
        <f ca="1">VLOOKUP($A178,INDIRECT($P$2),COLUMN()-1,FALSE)*VLOOKUP($A178,Usinas!$C:$D,2,FALSE)</f>
        <v>785.72499999999991</v>
      </c>
      <c r="I178" s="65">
        <f ca="1">VLOOKUP($A178,INDIRECT($P$2),COLUMN()-1,FALSE)*VLOOKUP($A178,Usinas!$C:$D,2,FALSE)</f>
        <v>933.97499999999991</v>
      </c>
      <c r="J178" s="65">
        <f ca="1">VLOOKUP($A178,INDIRECT($P$2),COLUMN()-1,FALSE)*VLOOKUP($A178,Usinas!$C:$D,2,FALSE)</f>
        <v>903.73199999999997</v>
      </c>
      <c r="K178" s="65">
        <f ca="1">VLOOKUP($A178,INDIRECT($P$2),COLUMN()-1,FALSE)*VLOOKUP($A178,Usinas!$C:$D,2,FALSE)</f>
        <v>749.55199999999991</v>
      </c>
      <c r="L178" s="65">
        <f ca="1">VLOOKUP($A178,INDIRECT($P$2),COLUMN()-1,FALSE)*VLOOKUP($A178,Usinas!$C:$D,2,FALSE)</f>
        <v>869.93099999999993</v>
      </c>
      <c r="M178" s="65">
        <f ca="1">VLOOKUP($A178,INDIRECT($P$2),COLUMN()-1,FALSE)*VLOOKUP($A178,Usinas!$C:$D,2,FALSE)</f>
        <v>1147.4549999999999</v>
      </c>
      <c r="N178" s="65">
        <f ca="1">VLOOKUP($A178,INDIRECT($P$2),COLUMN()-1,FALSE)*VLOOKUP($A178,Usinas!$C:$D,2,FALSE)</f>
        <v>866.96600000000001</v>
      </c>
      <c r="O178" s="65">
        <f ca="1">VLOOKUP($A178,INDIRECT($P$2),COLUMN()-1,FALSE)*VLOOKUP($A178,Usinas!$C:$D,2,FALSE)</f>
        <v>687.88</v>
      </c>
    </row>
    <row r="179" spans="1:15" hidden="1" outlineLevel="1" x14ac:dyDescent="0.25">
      <c r="A179" s="32"/>
      <c r="B179" s="33" t="s">
        <v>56</v>
      </c>
      <c r="D179" s="74">
        <f t="shared" ref="D179:I179" ca="1" si="29">SUM(D172:D178)</f>
        <v>3667.0928999999996</v>
      </c>
      <c r="E179" s="48">
        <f t="shared" ca="1" si="29"/>
        <v>4073.1866</v>
      </c>
      <c r="F179" s="48">
        <f t="shared" ca="1" si="29"/>
        <v>3579.5592000000001</v>
      </c>
      <c r="G179" s="48">
        <f t="shared" ca="1" si="29"/>
        <v>3116.2644999999998</v>
      </c>
      <c r="H179" s="48">
        <f t="shared" ca="1" si="29"/>
        <v>3898.547</v>
      </c>
      <c r="I179" s="75">
        <f t="shared" ca="1" si="29"/>
        <v>4610.8588999999993</v>
      </c>
      <c r="J179" s="74">
        <f t="shared" ref="J179:O179" ca="1" si="30">SUM(J172:J178)</f>
        <v>4657.3197</v>
      </c>
      <c r="K179" s="48">
        <f t="shared" ca="1" si="30"/>
        <v>3876.5623999999998</v>
      </c>
      <c r="L179" s="48">
        <f t="shared" ca="1" si="30"/>
        <v>4564.7398999999996</v>
      </c>
      <c r="M179" s="48">
        <f t="shared" ca="1" si="30"/>
        <v>5859.7097000000003</v>
      </c>
      <c r="N179" s="48">
        <f t="shared" ca="1" si="30"/>
        <v>4421.9402</v>
      </c>
      <c r="O179" s="75">
        <f t="shared" ca="1" si="30"/>
        <v>3610.9828000000007</v>
      </c>
    </row>
    <row r="180" spans="1:15" hidden="1" outlineLevel="1" x14ac:dyDescent="0.25">
      <c r="A180" s="34"/>
      <c r="B180" s="35" t="s">
        <v>0</v>
      </c>
      <c r="D180" s="76"/>
      <c r="E180" s="77"/>
      <c r="F180" s="77"/>
      <c r="G180" s="77"/>
      <c r="H180" s="77"/>
      <c r="I180" s="78"/>
      <c r="J180" s="76"/>
      <c r="K180" s="77"/>
      <c r="L180" s="77"/>
      <c r="M180" s="77"/>
      <c r="N180" s="77"/>
      <c r="O180" s="78"/>
    </row>
    <row r="181" spans="1:15" hidden="1" outlineLevel="1" x14ac:dyDescent="0.25">
      <c r="A181" s="2"/>
      <c r="B181" s="3"/>
      <c r="D181" s="53"/>
      <c r="E181" s="54"/>
      <c r="F181" s="54"/>
      <c r="G181" s="54"/>
      <c r="H181" s="54"/>
      <c r="I181" s="54"/>
      <c r="J181" s="53"/>
      <c r="K181" s="54"/>
      <c r="L181" s="54"/>
      <c r="M181" s="54"/>
      <c r="N181" s="54"/>
      <c r="O181" s="54"/>
    </row>
    <row r="182" spans="1:15" hidden="1" outlineLevel="1" x14ac:dyDescent="0.25">
      <c r="A182" s="36"/>
      <c r="B182" s="37"/>
      <c r="D182" s="332" t="s">
        <v>176</v>
      </c>
      <c r="E182" s="333" t="s">
        <v>58</v>
      </c>
      <c r="F182" s="333" t="s">
        <v>177</v>
      </c>
      <c r="G182" s="333"/>
      <c r="H182" s="333"/>
      <c r="I182" s="334"/>
      <c r="J182" s="332" t="s">
        <v>176</v>
      </c>
      <c r="K182" s="333" t="s">
        <v>58</v>
      </c>
      <c r="L182" s="333" t="s">
        <v>177</v>
      </c>
      <c r="M182" s="333"/>
      <c r="N182" s="333"/>
      <c r="O182" s="334"/>
    </row>
    <row r="183" spans="1:15" hidden="1" outlineLevel="2" x14ac:dyDescent="0.25">
      <c r="A183" s="30">
        <v>110</v>
      </c>
      <c r="B183" s="31" t="s">
        <v>178</v>
      </c>
      <c r="D183" s="65">
        <f ca="1">VLOOKUP($A183,INDIRECT($P$2),COLUMN()-1,FALSE)*VLOOKUP($A183,Usinas!$C:$D,2,FALSE)</f>
        <v>0</v>
      </c>
      <c r="E183" s="65">
        <f ca="1">VLOOKUP($A183,INDIRECT($P$2),COLUMN()-1,FALSE)*VLOOKUP($A183,Usinas!$C:$D,2,FALSE)</f>
        <v>0</v>
      </c>
      <c r="F183" s="65">
        <f ca="1">VLOOKUP($A183,INDIRECT($P$2),COLUMN()-1,FALSE)*VLOOKUP($A183,Usinas!$C:$D,2,FALSE)</f>
        <v>0</v>
      </c>
      <c r="G183" s="65">
        <f ca="1">VLOOKUP($A183,INDIRECT($P$2),COLUMN()-1,FALSE)*VLOOKUP($A183,Usinas!$C:$D,2,FALSE)</f>
        <v>0</v>
      </c>
      <c r="H183" s="65">
        <f ca="1">VLOOKUP($A183,INDIRECT($P$2),COLUMN()-1,FALSE)*VLOOKUP($A183,Usinas!$C:$D,2,FALSE)</f>
        <v>0</v>
      </c>
      <c r="I183" s="65">
        <f ca="1">VLOOKUP($A183,INDIRECT($P$2),COLUMN()-1,FALSE)*VLOOKUP($A183,Usinas!$C:$D,2,FALSE)</f>
        <v>0</v>
      </c>
      <c r="J183" s="65">
        <f ca="1">VLOOKUP($A183,INDIRECT($P$2),COLUMN()-1,FALSE)*VLOOKUP($A183,Usinas!$C:$D,2,FALSE)</f>
        <v>0</v>
      </c>
      <c r="K183" s="65">
        <f ca="1">VLOOKUP($A183,INDIRECT($P$2),COLUMN()-1,FALSE)*VLOOKUP($A183,Usinas!$C:$D,2,FALSE)</f>
        <v>0</v>
      </c>
      <c r="L183" s="65">
        <f ca="1">VLOOKUP($A183,INDIRECT($P$2),COLUMN()-1,FALSE)*VLOOKUP($A183,Usinas!$C:$D,2,FALSE)</f>
        <v>0</v>
      </c>
      <c r="M183" s="65">
        <f ca="1">VLOOKUP($A183,INDIRECT($P$2),COLUMN()-1,FALSE)*VLOOKUP($A183,Usinas!$C:$D,2,FALSE)</f>
        <v>0</v>
      </c>
      <c r="N183" s="65">
        <f ca="1">VLOOKUP($A183,INDIRECT($P$2),COLUMN()-1,FALSE)*VLOOKUP($A183,Usinas!$C:$D,2,FALSE)</f>
        <v>0</v>
      </c>
      <c r="O183" s="65">
        <f ca="1">VLOOKUP($A183,INDIRECT($P$2),COLUMN()-1,FALSE)*VLOOKUP($A183,Usinas!$C:$D,2,FALSE)</f>
        <v>0</v>
      </c>
    </row>
    <row r="184" spans="1:15" hidden="1" outlineLevel="2" x14ac:dyDescent="0.25">
      <c r="A184" s="30">
        <v>111</v>
      </c>
      <c r="B184" s="31" t="s">
        <v>34</v>
      </c>
      <c r="D184" s="65">
        <f ca="1">VLOOKUP($A184,INDIRECT($P$2),COLUMN()-1,FALSE)*VLOOKUP($A184,Usinas!$C:$D,2,FALSE)</f>
        <v>50.120399999999997</v>
      </c>
      <c r="E184" s="65">
        <f ca="1">VLOOKUP($A184,INDIRECT($P$2),COLUMN()-1,FALSE)*VLOOKUP($A184,Usinas!$C:$D,2,FALSE)</f>
        <v>46.703099999999999</v>
      </c>
      <c r="F184" s="65">
        <f ca="1">VLOOKUP($A184,INDIRECT($P$2),COLUMN()-1,FALSE)*VLOOKUP($A184,Usinas!$C:$D,2,FALSE)</f>
        <v>39.488799999999998</v>
      </c>
      <c r="G184" s="65">
        <f ca="1">VLOOKUP($A184,INDIRECT($P$2),COLUMN()-1,FALSE)*VLOOKUP($A184,Usinas!$C:$D,2,FALSE)</f>
        <v>52.018899999999995</v>
      </c>
      <c r="H184" s="65">
        <f ca="1">VLOOKUP($A184,INDIRECT($P$2),COLUMN()-1,FALSE)*VLOOKUP($A184,Usinas!$C:$D,2,FALSE)</f>
        <v>72.9024</v>
      </c>
      <c r="I184" s="65">
        <f ca="1">VLOOKUP($A184,INDIRECT($P$2),COLUMN()-1,FALSE)*VLOOKUP($A184,Usinas!$C:$D,2,FALSE)</f>
        <v>89.229500000000002</v>
      </c>
      <c r="J184" s="65">
        <f ca="1">VLOOKUP($A184,INDIRECT($P$2),COLUMN()-1,FALSE)*VLOOKUP($A184,Usinas!$C:$D,2,FALSE)</f>
        <v>100.24079999999999</v>
      </c>
      <c r="K184" s="65">
        <f ca="1">VLOOKUP($A184,INDIRECT($P$2),COLUMN()-1,FALSE)*VLOOKUP($A184,Usinas!$C:$D,2,FALSE)</f>
        <v>103.65809999999999</v>
      </c>
      <c r="L184" s="65">
        <f ca="1">VLOOKUP($A184,INDIRECT($P$2),COLUMN()-1,FALSE)*VLOOKUP($A184,Usinas!$C:$D,2,FALSE)</f>
        <v>118.46639999999999</v>
      </c>
      <c r="M184" s="65">
        <f ca="1">VLOOKUP($A184,INDIRECT($P$2),COLUMN()-1,FALSE)*VLOOKUP($A184,Usinas!$C:$D,2,FALSE)</f>
        <v>116.94759999999999</v>
      </c>
      <c r="N184" s="65">
        <f ca="1">VLOOKUP($A184,INDIRECT($P$2),COLUMN()-1,FALSE)*VLOOKUP($A184,Usinas!$C:$D,2,FALSE)</f>
        <v>83.154299999999992</v>
      </c>
      <c r="O184" s="65">
        <f ca="1">VLOOKUP($A184,INDIRECT($P$2),COLUMN()-1,FALSE)*VLOOKUP($A184,Usinas!$C:$D,2,FALSE)</f>
        <v>64.548999999999992</v>
      </c>
    </row>
    <row r="185" spans="1:15" hidden="1" outlineLevel="2" x14ac:dyDescent="0.25">
      <c r="A185" s="30">
        <v>112</v>
      </c>
      <c r="B185" s="31" t="s">
        <v>179</v>
      </c>
      <c r="D185" s="65">
        <f ca="1">VLOOKUP($A185,INDIRECT($P$2),COLUMN()-1,FALSE)*VLOOKUP($A185,Usinas!$C:$D,2,FALSE)</f>
        <v>110.97880000000001</v>
      </c>
      <c r="E185" s="65">
        <f ca="1">VLOOKUP($A185,INDIRECT($P$2),COLUMN()-1,FALSE)*VLOOKUP($A185,Usinas!$C:$D,2,FALSE)</f>
        <v>102.69680000000001</v>
      </c>
      <c r="F185" s="65">
        <f ca="1">VLOOKUP($A185,INDIRECT($P$2),COLUMN()-1,FALSE)*VLOOKUP($A185,Usinas!$C:$D,2,FALSE)</f>
        <v>86.960999999999999</v>
      </c>
      <c r="G185" s="65">
        <f ca="1">VLOOKUP($A185,INDIRECT($P$2),COLUMN()-1,FALSE)*VLOOKUP($A185,Usinas!$C:$D,2,FALSE)</f>
        <v>114.2916</v>
      </c>
      <c r="H185" s="65">
        <f ca="1">VLOOKUP($A185,INDIRECT($P$2),COLUMN()-1,FALSE)*VLOOKUP($A185,Usinas!$C:$D,2,FALSE)</f>
        <v>160.67080000000001</v>
      </c>
      <c r="I185" s="65">
        <f ca="1">VLOOKUP($A185,INDIRECT($P$2),COLUMN()-1,FALSE)*VLOOKUP($A185,Usinas!$C:$D,2,FALSE)</f>
        <v>196.2834</v>
      </c>
      <c r="J185" s="65">
        <f ca="1">VLOOKUP($A185,INDIRECT($P$2),COLUMN()-1,FALSE)*VLOOKUP($A185,Usinas!$C:$D,2,FALSE)</f>
        <v>220.30120000000002</v>
      </c>
      <c r="K185" s="65">
        <f ca="1">VLOOKUP($A185,INDIRECT($P$2),COLUMN()-1,FALSE)*VLOOKUP($A185,Usinas!$C:$D,2,FALSE)</f>
        <v>227.75500000000002</v>
      </c>
      <c r="L185" s="65">
        <f ca="1">VLOOKUP($A185,INDIRECT($P$2),COLUMN()-1,FALSE)*VLOOKUP($A185,Usinas!$C:$D,2,FALSE)</f>
        <v>260.0548</v>
      </c>
      <c r="M185" s="65">
        <f ca="1">VLOOKUP($A185,INDIRECT($P$2),COLUMN()-1,FALSE)*VLOOKUP($A185,Usinas!$C:$D,2,FALSE)</f>
        <v>257.5702</v>
      </c>
      <c r="N185" s="65">
        <f ca="1">VLOOKUP($A185,INDIRECT($P$2),COLUMN()-1,FALSE)*VLOOKUP($A185,Usinas!$C:$D,2,FALSE)</f>
        <v>183.03220000000002</v>
      </c>
      <c r="O185" s="65">
        <f ca="1">VLOOKUP($A185,INDIRECT($P$2),COLUMN()-1,FALSE)*VLOOKUP($A185,Usinas!$C:$D,2,FALSE)</f>
        <v>141.62220000000002</v>
      </c>
    </row>
    <row r="186" spans="1:15" hidden="1" outlineLevel="2" x14ac:dyDescent="0.25">
      <c r="A186" s="30">
        <v>113</v>
      </c>
      <c r="B186" s="31" t="s">
        <v>180</v>
      </c>
      <c r="D186" s="65">
        <f ca="1">VLOOKUP($A186,INDIRECT($P$2),COLUMN()-1,FALSE)*VLOOKUP($A186,Usinas!$C:$D,2,FALSE)</f>
        <v>137.0994</v>
      </c>
      <c r="E186" s="65">
        <f ca="1">VLOOKUP($A186,INDIRECT($P$2),COLUMN()-1,FALSE)*VLOOKUP($A186,Usinas!$C:$D,2,FALSE)</f>
        <v>127.18859999999999</v>
      </c>
      <c r="F186" s="65">
        <f ca="1">VLOOKUP($A186,INDIRECT($P$2),COLUMN()-1,FALSE)*VLOOKUP($A186,Usinas!$C:$D,2,FALSE)</f>
        <v>108.19289999999999</v>
      </c>
      <c r="G186" s="65">
        <f ca="1">VLOOKUP($A186,INDIRECT($P$2),COLUMN()-1,FALSE)*VLOOKUP($A186,Usinas!$C:$D,2,FALSE)</f>
        <v>145.35839999999999</v>
      </c>
      <c r="H186" s="65">
        <f ca="1">VLOOKUP($A186,INDIRECT($P$2),COLUMN()-1,FALSE)*VLOOKUP($A186,Usinas!$C:$D,2,FALSE)</f>
        <v>203.9973</v>
      </c>
      <c r="I186" s="65">
        <f ca="1">VLOOKUP($A186,INDIRECT($P$2),COLUMN()-1,FALSE)*VLOOKUP($A186,Usinas!$C:$D,2,FALSE)</f>
        <v>248.5959</v>
      </c>
      <c r="J186" s="65">
        <f ca="1">VLOOKUP($A186,INDIRECT($P$2),COLUMN()-1,FALSE)*VLOOKUP($A186,Usinas!$C:$D,2,FALSE)</f>
        <v>283.28370000000001</v>
      </c>
      <c r="K186" s="65">
        <f ca="1">VLOOKUP($A186,INDIRECT($P$2),COLUMN()-1,FALSE)*VLOOKUP($A186,Usinas!$C:$D,2,FALSE)</f>
        <v>287.41319999999996</v>
      </c>
      <c r="L186" s="65">
        <f ca="1">VLOOKUP($A186,INDIRECT($P$2),COLUMN()-1,FALSE)*VLOOKUP($A186,Usinas!$C:$D,2,FALSE)</f>
        <v>328.70819999999998</v>
      </c>
      <c r="M186" s="65">
        <f ca="1">VLOOKUP($A186,INDIRECT($P$2),COLUMN()-1,FALSE)*VLOOKUP($A186,Usinas!$C:$D,2,FALSE)</f>
        <v>325.40459999999996</v>
      </c>
      <c r="N186" s="65">
        <f ca="1">VLOOKUP($A186,INDIRECT($P$2),COLUMN()-1,FALSE)*VLOOKUP($A186,Usinas!$C:$D,2,FALSE)</f>
        <v>235.38149999999999</v>
      </c>
      <c r="O186" s="65">
        <f ca="1">VLOOKUP($A186,INDIRECT($P$2),COLUMN()-1,FALSE)*VLOOKUP($A186,Usinas!$C:$D,2,FALSE)</f>
        <v>175.0908</v>
      </c>
    </row>
    <row r="187" spans="1:15" hidden="1" outlineLevel="2" x14ac:dyDescent="0.25">
      <c r="A187" s="30">
        <v>114</v>
      </c>
      <c r="B187" s="31" t="s">
        <v>181</v>
      </c>
      <c r="D187" s="65">
        <f ca="1">VLOOKUP($A187,INDIRECT($P$2),COLUMN()-1,FALSE)*VLOOKUP($A187,Usinas!$C:$D,2,FALSE)</f>
        <v>68.983199999999997</v>
      </c>
      <c r="E187" s="65">
        <f ca="1">VLOOKUP($A187,INDIRECT($P$2),COLUMN()-1,FALSE)*VLOOKUP($A187,Usinas!$C:$D,2,FALSE)</f>
        <v>65.551199999999994</v>
      </c>
      <c r="F187" s="65">
        <f ca="1">VLOOKUP($A187,INDIRECT($P$2),COLUMN()-1,FALSE)*VLOOKUP($A187,Usinas!$C:$D,2,FALSE)</f>
        <v>55.941600000000001</v>
      </c>
      <c r="G187" s="65">
        <f ca="1">VLOOKUP($A187,INDIRECT($P$2),COLUMN()-1,FALSE)*VLOOKUP($A187,Usinas!$C:$D,2,FALSE)</f>
        <v>77.22</v>
      </c>
      <c r="H187" s="65">
        <f ca="1">VLOOKUP($A187,INDIRECT($P$2),COLUMN()-1,FALSE)*VLOOKUP($A187,Usinas!$C:$D,2,FALSE)</f>
        <v>103.6464</v>
      </c>
      <c r="I187" s="65">
        <f ca="1">VLOOKUP($A187,INDIRECT($P$2),COLUMN()-1,FALSE)*VLOOKUP($A187,Usinas!$C:$D,2,FALSE)</f>
        <v>131.78880000000001</v>
      </c>
      <c r="J187" s="65">
        <f ca="1">VLOOKUP($A187,INDIRECT($P$2),COLUMN()-1,FALSE)*VLOOKUP($A187,Usinas!$C:$D,2,FALSE)</f>
        <v>148.60560000000001</v>
      </c>
      <c r="K187" s="65">
        <f ca="1">VLOOKUP($A187,INDIRECT($P$2),COLUMN()-1,FALSE)*VLOOKUP($A187,Usinas!$C:$D,2,FALSE)</f>
        <v>145.86000000000001</v>
      </c>
      <c r="L187" s="65">
        <f ca="1">VLOOKUP($A187,INDIRECT($P$2),COLUMN()-1,FALSE)*VLOOKUP($A187,Usinas!$C:$D,2,FALSE)</f>
        <v>165.76560000000001</v>
      </c>
      <c r="M187" s="65">
        <f ca="1">VLOOKUP($A187,INDIRECT($P$2),COLUMN()-1,FALSE)*VLOOKUP($A187,Usinas!$C:$D,2,FALSE)</f>
        <v>163.02000000000001</v>
      </c>
      <c r="N187" s="65">
        <f ca="1">VLOOKUP($A187,INDIRECT($P$2),COLUMN()-1,FALSE)*VLOOKUP($A187,Usinas!$C:$D,2,FALSE)</f>
        <v>117.0312</v>
      </c>
      <c r="O187" s="65">
        <f ca="1">VLOOKUP($A187,INDIRECT($P$2),COLUMN()-1,FALSE)*VLOOKUP($A187,Usinas!$C:$D,2,FALSE)</f>
        <v>87.172799999999995</v>
      </c>
    </row>
    <row r="188" spans="1:15" hidden="1" outlineLevel="2" x14ac:dyDescent="0.25">
      <c r="A188" s="30">
        <v>97</v>
      </c>
      <c r="B188" s="31" t="s">
        <v>182</v>
      </c>
      <c r="D188" s="65">
        <f ca="1">VLOOKUP($A188,INDIRECT($P$2),COLUMN()-1,FALSE)*VLOOKUP($A188,Usinas!$C:$D,2,FALSE)</f>
        <v>57.616</v>
      </c>
      <c r="E188" s="65">
        <f ca="1">VLOOKUP($A188,INDIRECT($P$2),COLUMN()-1,FALSE)*VLOOKUP($A188,Usinas!$C:$D,2,FALSE)</f>
        <v>73.820499999999996</v>
      </c>
      <c r="F188" s="65">
        <f ca="1">VLOOKUP($A188,INDIRECT($P$2),COLUMN()-1,FALSE)*VLOOKUP($A188,Usinas!$C:$D,2,FALSE)</f>
        <v>55.815499999999993</v>
      </c>
      <c r="G188" s="65">
        <f ca="1">VLOOKUP($A188,INDIRECT($P$2),COLUMN()-1,FALSE)*VLOOKUP($A188,Usinas!$C:$D,2,FALSE)</f>
        <v>62.657399999999996</v>
      </c>
      <c r="H188" s="65">
        <f ca="1">VLOOKUP($A188,INDIRECT($P$2),COLUMN()-1,FALSE)*VLOOKUP($A188,Usinas!$C:$D,2,FALSE)</f>
        <v>86.784099999999995</v>
      </c>
      <c r="I188" s="65">
        <f ca="1">VLOOKUP($A188,INDIRECT($P$2),COLUMN()-1,FALSE)*VLOOKUP($A188,Usinas!$C:$D,2,FALSE)</f>
        <v>113.0714</v>
      </c>
      <c r="J188" s="65">
        <f ca="1">VLOOKUP($A188,INDIRECT($P$2),COLUMN()-1,FALSE)*VLOOKUP($A188,Usinas!$C:$D,2,FALSE)</f>
        <v>146.20059999999998</v>
      </c>
      <c r="K188" s="65">
        <f ca="1">VLOOKUP($A188,INDIRECT($P$2),COLUMN()-1,FALSE)*VLOOKUP($A188,Usinas!$C:$D,2,FALSE)</f>
        <v>152.6824</v>
      </c>
      <c r="L188" s="65">
        <f ca="1">VLOOKUP($A188,INDIRECT($P$2),COLUMN()-1,FALSE)*VLOOKUP($A188,Usinas!$C:$D,2,FALSE)</f>
        <v>169.6071</v>
      </c>
      <c r="M188" s="65">
        <f ca="1">VLOOKUP($A188,INDIRECT($P$2),COLUMN()-1,FALSE)*VLOOKUP($A188,Usinas!$C:$D,2,FALSE)</f>
        <v>139.3587</v>
      </c>
      <c r="N188" s="65">
        <f ca="1">VLOOKUP($A188,INDIRECT($P$2),COLUMN()-1,FALSE)*VLOOKUP($A188,Usinas!$C:$D,2,FALSE)</f>
        <v>81.742699999999999</v>
      </c>
      <c r="O188" s="65">
        <f ca="1">VLOOKUP($A188,INDIRECT($P$2),COLUMN()-1,FALSE)*VLOOKUP($A188,Usinas!$C:$D,2,FALSE)</f>
        <v>65.178100000000001</v>
      </c>
    </row>
    <row r="189" spans="1:15" hidden="1" outlineLevel="2" x14ac:dyDescent="0.25">
      <c r="A189" s="30">
        <v>98</v>
      </c>
      <c r="B189" s="31" t="s">
        <v>183</v>
      </c>
      <c r="D189" s="65">
        <f ca="1">VLOOKUP($A189,INDIRECT($P$2),COLUMN()-1,FALSE)*VLOOKUP($A189,Usinas!$C:$D,2,FALSE)</f>
        <v>70.540499999999994</v>
      </c>
      <c r="E189" s="65">
        <f ca="1">VLOOKUP($A189,INDIRECT($P$2),COLUMN()-1,FALSE)*VLOOKUP($A189,Usinas!$C:$D,2,FALSE)</f>
        <v>91.778499999999994</v>
      </c>
      <c r="F189" s="65">
        <f ca="1">VLOOKUP($A189,INDIRECT($P$2),COLUMN()-1,FALSE)*VLOOKUP($A189,Usinas!$C:$D,2,FALSE)</f>
        <v>69.781999999999996</v>
      </c>
      <c r="G189" s="65">
        <f ca="1">VLOOKUP($A189,INDIRECT($P$2),COLUMN()-1,FALSE)*VLOOKUP($A189,Usinas!$C:$D,2,FALSE)</f>
        <v>75.091499999999996</v>
      </c>
      <c r="H189" s="65">
        <f ca="1">VLOOKUP($A189,INDIRECT($P$2),COLUMN()-1,FALSE)*VLOOKUP($A189,Usinas!$C:$D,2,FALSE)</f>
        <v>97.087999999999994</v>
      </c>
      <c r="I189" s="65">
        <f ca="1">VLOOKUP($A189,INDIRECT($P$2),COLUMN()-1,FALSE)*VLOOKUP($A189,Usinas!$C:$D,2,FALSE)</f>
        <v>128.94499999999999</v>
      </c>
      <c r="J189" s="65">
        <f ca="1">VLOOKUP($A189,INDIRECT($P$2),COLUMN()-1,FALSE)*VLOOKUP($A189,Usinas!$C:$D,2,FALSE)</f>
        <v>166.11149999999998</v>
      </c>
      <c r="K189" s="65">
        <f ca="1">VLOOKUP($A189,INDIRECT($P$2),COLUMN()-1,FALSE)*VLOOKUP($A189,Usinas!$C:$D,2,FALSE)</f>
        <v>176.73049999999998</v>
      </c>
      <c r="L189" s="65">
        <f ca="1">VLOOKUP($A189,INDIRECT($P$2),COLUMN()-1,FALSE)*VLOOKUP($A189,Usinas!$C:$D,2,FALSE)</f>
        <v>191.142</v>
      </c>
      <c r="M189" s="65">
        <f ca="1">VLOOKUP($A189,INDIRECT($P$2),COLUMN()-1,FALSE)*VLOOKUP($A189,Usinas!$C:$D,2,FALSE)</f>
        <v>153.21699999999998</v>
      </c>
      <c r="N189" s="65">
        <f ca="1">VLOOKUP($A189,INDIRECT($P$2),COLUMN()-1,FALSE)*VLOOKUP($A189,Usinas!$C:$D,2,FALSE)</f>
        <v>93.29549999999999</v>
      </c>
      <c r="O189" s="65">
        <f ca="1">VLOOKUP($A189,INDIRECT($P$2),COLUMN()-1,FALSE)*VLOOKUP($A189,Usinas!$C:$D,2,FALSE)</f>
        <v>74.332999999999998</v>
      </c>
    </row>
    <row r="190" spans="1:15" hidden="1" outlineLevel="2" x14ac:dyDescent="0.25">
      <c r="A190" s="30">
        <v>284</v>
      </c>
      <c r="B190" s="31" t="s">
        <v>184</v>
      </c>
      <c r="D190" s="65">
        <f ca="1">VLOOKUP($A190,INDIRECT($P$2),COLUMN()-1,FALSE)*VLOOKUP($A190,Usinas!$C:$D,2,FALSE)</f>
        <v>50.812599999999996</v>
      </c>
      <c r="E190" s="65">
        <f ca="1">VLOOKUP($A190,INDIRECT($P$2),COLUMN()-1,FALSE)*VLOOKUP($A190,Usinas!$C:$D,2,FALSE)</f>
        <v>64.587099999999992</v>
      </c>
      <c r="F190" s="65">
        <f ca="1">VLOOKUP($A190,INDIRECT($P$2),COLUMN()-1,FALSE)*VLOOKUP($A190,Usinas!$C:$D,2,FALSE)</f>
        <v>49.2821</v>
      </c>
      <c r="G190" s="65">
        <f ca="1">VLOOKUP($A190,INDIRECT($P$2),COLUMN()-1,FALSE)*VLOOKUP($A190,Usinas!$C:$D,2,FALSE)</f>
        <v>54.791899999999998</v>
      </c>
      <c r="H190" s="65">
        <f ca="1">VLOOKUP($A190,INDIRECT($P$2),COLUMN()-1,FALSE)*VLOOKUP($A190,Usinas!$C:$D,2,FALSE)</f>
        <v>76.218899999999991</v>
      </c>
      <c r="I190" s="65">
        <f ca="1">VLOOKUP($A190,INDIRECT($P$2),COLUMN()-1,FALSE)*VLOOKUP($A190,Usinas!$C:$D,2,FALSE)</f>
        <v>99.176400000000001</v>
      </c>
      <c r="J190" s="65">
        <f ca="1">VLOOKUP($A190,INDIRECT($P$2),COLUMN()-1,FALSE)*VLOOKUP($A190,Usinas!$C:$D,2,FALSE)</f>
        <v>128.56199999999998</v>
      </c>
      <c r="K190" s="65">
        <f ca="1">VLOOKUP($A190,INDIRECT($P$2),COLUMN()-1,FALSE)*VLOOKUP($A190,Usinas!$C:$D,2,FALSE)</f>
        <v>134.0718</v>
      </c>
      <c r="L190" s="65">
        <f ca="1">VLOOKUP($A190,INDIRECT($P$2),COLUMN()-1,FALSE)*VLOOKUP($A190,Usinas!$C:$D,2,FALSE)</f>
        <v>149.07069999999999</v>
      </c>
      <c r="M190" s="65">
        <f ca="1">VLOOKUP($A190,INDIRECT($P$2),COLUMN()-1,FALSE)*VLOOKUP($A190,Usinas!$C:$D,2,FALSE)</f>
        <v>122.44</v>
      </c>
      <c r="N190" s="65">
        <f ca="1">VLOOKUP($A190,INDIRECT($P$2),COLUMN()-1,FALSE)*VLOOKUP($A190,Usinas!$C:$D,2,FALSE)</f>
        <v>71.933499999999995</v>
      </c>
      <c r="O190" s="65">
        <f ca="1">VLOOKUP($A190,INDIRECT($P$2),COLUMN()-1,FALSE)*VLOOKUP($A190,Usinas!$C:$D,2,FALSE)</f>
        <v>57.240699999999997</v>
      </c>
    </row>
    <row r="191" spans="1:15" hidden="1" outlineLevel="1" x14ac:dyDescent="0.25">
      <c r="A191" s="32"/>
      <c r="B191" s="33" t="s">
        <v>56</v>
      </c>
      <c r="D191" s="74">
        <f t="shared" ref="D191:I191" ca="1" si="31">SUM(D183:D190)</f>
        <v>546.15089999999998</v>
      </c>
      <c r="E191" s="48">
        <f t="shared" ca="1" si="31"/>
        <v>572.32579999999996</v>
      </c>
      <c r="F191" s="48">
        <f t="shared" ca="1" si="31"/>
        <v>465.46389999999997</v>
      </c>
      <c r="G191" s="48">
        <f t="shared" ca="1" si="31"/>
        <v>581.42969999999991</v>
      </c>
      <c r="H191" s="48">
        <f t="shared" ca="1" si="31"/>
        <v>801.3078999999999</v>
      </c>
      <c r="I191" s="75">
        <f t="shared" ca="1" si="31"/>
        <v>1007.0904</v>
      </c>
      <c r="J191" s="74">
        <f t="shared" ref="J191:O191" ca="1" si="32">SUM(J183:J190)</f>
        <v>1193.3054</v>
      </c>
      <c r="K191" s="48">
        <f t="shared" ca="1" si="32"/>
        <v>1228.1709999999998</v>
      </c>
      <c r="L191" s="48">
        <f t="shared" ca="1" si="32"/>
        <v>1382.8147999999999</v>
      </c>
      <c r="M191" s="48">
        <f t="shared" ca="1" si="32"/>
        <v>1277.9580999999998</v>
      </c>
      <c r="N191" s="48">
        <f t="shared" ca="1" si="32"/>
        <v>865.57089999999994</v>
      </c>
      <c r="O191" s="75">
        <f t="shared" ca="1" si="32"/>
        <v>665.18659999999988</v>
      </c>
    </row>
    <row r="192" spans="1:15" hidden="1" outlineLevel="1" x14ac:dyDescent="0.25">
      <c r="A192" s="34"/>
      <c r="B192" s="35" t="s">
        <v>0</v>
      </c>
      <c r="D192" s="76"/>
      <c r="E192" s="77"/>
      <c r="F192" s="77"/>
      <c r="G192" s="77"/>
      <c r="H192" s="77"/>
      <c r="I192" s="78"/>
      <c r="J192" s="76"/>
      <c r="K192" s="77"/>
      <c r="L192" s="77"/>
      <c r="M192" s="77"/>
      <c r="N192" s="77"/>
      <c r="O192" s="78"/>
    </row>
    <row r="193" spans="1:15" hidden="1" outlineLevel="1" x14ac:dyDescent="0.25">
      <c r="A193" s="2"/>
      <c r="B193" s="3"/>
      <c r="D193" s="53"/>
      <c r="E193" s="54"/>
      <c r="F193" s="54"/>
      <c r="G193" s="54"/>
      <c r="H193" s="54"/>
      <c r="I193" s="54"/>
      <c r="J193" s="53"/>
      <c r="K193" s="54"/>
      <c r="L193" s="54"/>
      <c r="M193" s="54"/>
      <c r="N193" s="54"/>
      <c r="O193" s="54"/>
    </row>
    <row r="194" spans="1:15" hidden="1" outlineLevel="1" x14ac:dyDescent="0.25">
      <c r="A194" s="36"/>
      <c r="B194" s="37"/>
      <c r="D194" s="332" t="s">
        <v>185</v>
      </c>
      <c r="E194" s="333" t="s">
        <v>58</v>
      </c>
      <c r="F194" s="333" t="s">
        <v>186</v>
      </c>
      <c r="G194" s="333"/>
      <c r="H194" s="333"/>
      <c r="I194" s="334"/>
      <c r="J194" s="332" t="s">
        <v>185</v>
      </c>
      <c r="K194" s="333" t="s">
        <v>58</v>
      </c>
      <c r="L194" s="333" t="s">
        <v>186</v>
      </c>
      <c r="M194" s="333"/>
      <c r="N194" s="333"/>
      <c r="O194" s="334"/>
    </row>
    <row r="195" spans="1:15" hidden="1" outlineLevel="2" x14ac:dyDescent="0.25">
      <c r="A195" s="30">
        <v>215</v>
      </c>
      <c r="B195" s="31" t="s">
        <v>187</v>
      </c>
      <c r="D195" s="65">
        <f ca="1">VLOOKUP($A195,INDIRECT($P$2),COLUMN()-1,FALSE)*VLOOKUP($A195,Usinas!$C:$D,2,FALSE)</f>
        <v>251.51759999999999</v>
      </c>
      <c r="E195" s="65">
        <f ca="1">VLOOKUP($A195,INDIRECT($P$2),COLUMN()-1,FALSE)*VLOOKUP($A195,Usinas!$C:$D,2,FALSE)</f>
        <v>327.94560000000001</v>
      </c>
      <c r="F195" s="65">
        <f ca="1">VLOOKUP($A195,INDIRECT($P$2),COLUMN()-1,FALSE)*VLOOKUP($A195,Usinas!$C:$D,2,FALSE)</f>
        <v>245.95919999999998</v>
      </c>
      <c r="G195" s="65">
        <f ca="1">VLOOKUP($A195,INDIRECT($P$2),COLUMN()-1,FALSE)*VLOOKUP($A195,Usinas!$C:$D,2,FALSE)</f>
        <v>257.07599999999996</v>
      </c>
      <c r="H195" s="65">
        <f ca="1">VLOOKUP($A195,INDIRECT($P$2),COLUMN()-1,FALSE)*VLOOKUP($A195,Usinas!$C:$D,2,FALSE)</f>
        <v>348.78960000000001</v>
      </c>
      <c r="I195" s="65">
        <f ca="1">VLOOKUP($A195,INDIRECT($P$2),COLUMN()-1,FALSE)*VLOOKUP($A195,Usinas!$C:$D,2,FALSE)</f>
        <v>386.30879999999996</v>
      </c>
      <c r="J195" s="65">
        <f ca="1">VLOOKUP($A195,INDIRECT($P$2),COLUMN()-1,FALSE)*VLOOKUP($A195,Usinas!$C:$D,2,FALSE)</f>
        <v>494.69759999999997</v>
      </c>
      <c r="K195" s="65">
        <f ca="1">VLOOKUP($A195,INDIRECT($P$2),COLUMN()-1,FALSE)*VLOOKUP($A195,Usinas!$C:$D,2,FALSE)</f>
        <v>532.21680000000003</v>
      </c>
      <c r="L195" s="65">
        <f ca="1">VLOOKUP($A195,INDIRECT($P$2),COLUMN()-1,FALSE)*VLOOKUP($A195,Usinas!$C:$D,2,FALSE)</f>
        <v>603.08640000000003</v>
      </c>
      <c r="M195" s="65">
        <f ca="1">VLOOKUP($A195,INDIRECT($P$2),COLUMN()-1,FALSE)*VLOOKUP($A195,Usinas!$C:$D,2,FALSE)</f>
        <v>530.82719999999995</v>
      </c>
      <c r="N195" s="65">
        <f ca="1">VLOOKUP($A195,INDIRECT($P$2),COLUMN()-1,FALSE)*VLOOKUP($A195,Usinas!$C:$D,2,FALSE)</f>
        <v>327.94560000000001</v>
      </c>
      <c r="O195" s="65">
        <f ca="1">VLOOKUP($A195,INDIRECT($P$2),COLUMN()-1,FALSE)*VLOOKUP($A195,Usinas!$C:$D,2,FALSE)</f>
        <v>257.07599999999996</v>
      </c>
    </row>
    <row r="196" spans="1:15" hidden="1" outlineLevel="2" x14ac:dyDescent="0.25">
      <c r="A196" s="30">
        <v>89</v>
      </c>
      <c r="B196" s="31" t="s">
        <v>188</v>
      </c>
      <c r="D196" s="65">
        <f ca="1">VLOOKUP($A196,INDIRECT($P$2),COLUMN()-1,FALSE)*VLOOKUP($A196,Usinas!$C:$D,2,FALSE)</f>
        <v>80.485900000000001</v>
      </c>
      <c r="E196" s="65">
        <f ca="1">VLOOKUP($A196,INDIRECT($P$2),COLUMN()-1,FALSE)*VLOOKUP($A196,Usinas!$C:$D,2,FALSE)</f>
        <v>100.5111</v>
      </c>
      <c r="F196" s="65">
        <f ca="1">VLOOKUP($A196,INDIRECT($P$2),COLUMN()-1,FALSE)*VLOOKUP($A196,Usinas!$C:$D,2,FALSE)</f>
        <v>81.256100000000004</v>
      </c>
      <c r="G196" s="65">
        <f ca="1">VLOOKUP($A196,INDIRECT($P$2),COLUMN()-1,FALSE)*VLOOKUP($A196,Usinas!$C:$D,2,FALSE)</f>
        <v>73.9392</v>
      </c>
      <c r="H196" s="65">
        <f ca="1">VLOOKUP($A196,INDIRECT($P$2),COLUMN()-1,FALSE)*VLOOKUP($A196,Usinas!$C:$D,2,FALSE)</f>
        <v>96.6601</v>
      </c>
      <c r="I196" s="65">
        <f ca="1">VLOOKUP($A196,INDIRECT($P$2),COLUMN()-1,FALSE)*VLOOKUP($A196,Usinas!$C:$D,2,FALSE)</f>
        <v>105.51739999999999</v>
      </c>
      <c r="J196" s="65">
        <f ca="1">VLOOKUP($A196,INDIRECT($P$2),COLUMN()-1,FALSE)*VLOOKUP($A196,Usinas!$C:$D,2,FALSE)</f>
        <v>126.6979</v>
      </c>
      <c r="K196" s="65">
        <f ca="1">VLOOKUP($A196,INDIRECT($P$2),COLUMN()-1,FALSE)*VLOOKUP($A196,Usinas!$C:$D,2,FALSE)</f>
        <v>133.24459999999999</v>
      </c>
      <c r="L196" s="65">
        <f ca="1">VLOOKUP($A196,INDIRECT($P$2),COLUMN()-1,FALSE)*VLOOKUP($A196,Usinas!$C:$D,2,FALSE)</f>
        <v>159.81649999999999</v>
      </c>
      <c r="M196" s="65">
        <f ca="1">VLOOKUP($A196,INDIRECT($P$2),COLUMN()-1,FALSE)*VLOOKUP($A196,Usinas!$C:$D,2,FALSE)</f>
        <v>164.43770000000001</v>
      </c>
      <c r="N196" s="65">
        <f ca="1">VLOOKUP($A196,INDIRECT($P$2),COLUMN()-1,FALSE)*VLOOKUP($A196,Usinas!$C:$D,2,FALSE)</f>
        <v>108.59820000000001</v>
      </c>
      <c r="O196" s="65">
        <f ca="1">VLOOKUP($A196,INDIRECT($P$2),COLUMN()-1,FALSE)*VLOOKUP($A196,Usinas!$C:$D,2,FALSE)</f>
        <v>78.560400000000001</v>
      </c>
    </row>
    <row r="197" spans="1:15" hidden="1" outlineLevel="2" x14ac:dyDescent="0.25">
      <c r="A197" s="30">
        <v>216</v>
      </c>
      <c r="B197" s="31" t="s">
        <v>189</v>
      </c>
      <c r="D197" s="65">
        <f ca="1">VLOOKUP($A197,INDIRECT($P$2),COLUMN()-1,FALSE)*VLOOKUP($A197,Usinas!$C:$D,2,FALSE)</f>
        <v>367.137</v>
      </c>
      <c r="E197" s="65">
        <f ca="1">VLOOKUP($A197,INDIRECT($P$2),COLUMN()-1,FALSE)*VLOOKUP($A197,Usinas!$C:$D,2,FALSE)</f>
        <v>459.73349999999999</v>
      </c>
      <c r="F197" s="65">
        <f ca="1">VLOOKUP($A197,INDIRECT($P$2),COLUMN()-1,FALSE)*VLOOKUP($A197,Usinas!$C:$D,2,FALSE)</f>
        <v>370.38600000000002</v>
      </c>
      <c r="G197" s="65">
        <f ca="1">VLOOKUP($A197,INDIRECT($P$2),COLUMN()-1,FALSE)*VLOOKUP($A197,Usinas!$C:$D,2,FALSE)</f>
        <v>344.39400000000001</v>
      </c>
      <c r="H197" s="65">
        <f ca="1">VLOOKUP($A197,INDIRECT($P$2),COLUMN()-1,FALSE)*VLOOKUP($A197,Usinas!$C:$D,2,FALSE)</f>
        <v>453.2355</v>
      </c>
      <c r="I197" s="65">
        <f ca="1">VLOOKUP($A197,INDIRECT($P$2),COLUMN()-1,FALSE)*VLOOKUP($A197,Usinas!$C:$D,2,FALSE)</f>
        <v>495.47250000000003</v>
      </c>
      <c r="J197" s="65">
        <f ca="1">VLOOKUP($A197,INDIRECT($P$2),COLUMN()-1,FALSE)*VLOOKUP($A197,Usinas!$C:$D,2,FALSE)</f>
        <v>594.56700000000001</v>
      </c>
      <c r="K197" s="65">
        <f ca="1">VLOOKUP($A197,INDIRECT($P$2),COLUMN()-1,FALSE)*VLOOKUP($A197,Usinas!$C:$D,2,FALSE)</f>
        <v>623.80799999999999</v>
      </c>
      <c r="L197" s="65">
        <f ca="1">VLOOKUP($A197,INDIRECT($P$2),COLUMN()-1,FALSE)*VLOOKUP($A197,Usinas!$C:$D,2,FALSE)</f>
        <v>747.27</v>
      </c>
      <c r="M197" s="65">
        <f ca="1">VLOOKUP($A197,INDIRECT($P$2),COLUMN()-1,FALSE)*VLOOKUP($A197,Usinas!$C:$D,2,FALSE)</f>
        <v>770.01300000000003</v>
      </c>
      <c r="N197" s="65">
        <f ca="1">VLOOKUP($A197,INDIRECT($P$2),COLUMN()-1,FALSE)*VLOOKUP($A197,Usinas!$C:$D,2,FALSE)</f>
        <v>505.21950000000004</v>
      </c>
      <c r="O197" s="65">
        <f ca="1">VLOOKUP($A197,INDIRECT($P$2),COLUMN()-1,FALSE)*VLOOKUP($A197,Usinas!$C:$D,2,FALSE)</f>
        <v>362.26350000000002</v>
      </c>
    </row>
    <row r="198" spans="1:15" hidden="1" outlineLevel="2" x14ac:dyDescent="0.25">
      <c r="A198" s="30">
        <v>217</v>
      </c>
      <c r="B198" s="31" t="s">
        <v>190</v>
      </c>
      <c r="D198" s="65">
        <f ca="1">VLOOKUP($A198,INDIRECT($P$2),COLUMN()-1,FALSE)*VLOOKUP($A198,Usinas!$C:$D,2,FALSE)</f>
        <v>452.91909999999996</v>
      </c>
      <c r="E198" s="65">
        <f ca="1">VLOOKUP($A198,INDIRECT($P$2),COLUMN()-1,FALSE)*VLOOKUP($A198,Usinas!$C:$D,2,FALSE)</f>
        <v>578.78099999999995</v>
      </c>
      <c r="F198" s="65">
        <f ca="1">VLOOKUP($A198,INDIRECT($P$2),COLUMN()-1,FALSE)*VLOOKUP($A198,Usinas!$C:$D,2,FALSE)</f>
        <v>452.00039999999996</v>
      </c>
      <c r="G198" s="65">
        <f ca="1">VLOOKUP($A198,INDIRECT($P$2),COLUMN()-1,FALSE)*VLOOKUP($A198,Usinas!$C:$D,2,FALSE)</f>
        <v>454.75649999999996</v>
      </c>
      <c r="H198" s="65">
        <f ca="1">VLOOKUP($A198,INDIRECT($P$2),COLUMN()-1,FALSE)*VLOOKUP($A198,Usinas!$C:$D,2,FALSE)</f>
        <v>621.0412</v>
      </c>
      <c r="I198" s="65">
        <f ca="1">VLOOKUP($A198,INDIRECT($P$2),COLUMN()-1,FALSE)*VLOOKUP($A198,Usinas!$C:$D,2,FALSE)</f>
        <v>685.35019999999997</v>
      </c>
      <c r="J198" s="65">
        <f ca="1">VLOOKUP($A198,INDIRECT($P$2),COLUMN()-1,FALSE)*VLOOKUP($A198,Usinas!$C:$D,2,FALSE)</f>
        <v>838.7731</v>
      </c>
      <c r="K198" s="65">
        <f ca="1">VLOOKUP($A198,INDIRECT($P$2),COLUMN()-1,FALSE)*VLOOKUP($A198,Usinas!$C:$D,2,FALSE)</f>
        <v>885.6268</v>
      </c>
      <c r="L198" s="65">
        <f ca="1">VLOOKUP($A198,INDIRECT($P$2),COLUMN()-1,FALSE)*VLOOKUP($A198,Usinas!$C:$D,2,FALSE)</f>
        <v>1027.1065999999998</v>
      </c>
      <c r="M198" s="65">
        <f ca="1">VLOOKUP($A198,INDIRECT($P$2),COLUMN()-1,FALSE)*VLOOKUP($A198,Usinas!$C:$D,2,FALSE)</f>
        <v>1002.3017</v>
      </c>
      <c r="N198" s="65">
        <f ca="1">VLOOKUP($A198,INDIRECT($P$2),COLUMN()-1,FALSE)*VLOOKUP($A198,Usinas!$C:$D,2,FALSE)</f>
        <v>633.90300000000002</v>
      </c>
      <c r="O198" s="65">
        <f ca="1">VLOOKUP($A198,INDIRECT($P$2),COLUMN()-1,FALSE)*VLOOKUP($A198,Usinas!$C:$D,2,FALSE)</f>
        <v>468.53699999999998</v>
      </c>
    </row>
    <row r="199" spans="1:15" hidden="1" outlineLevel="2" x14ac:dyDescent="0.25">
      <c r="A199" s="30">
        <v>92</v>
      </c>
      <c r="B199" s="31" t="s">
        <v>35</v>
      </c>
      <c r="D199" s="65">
        <f ca="1">VLOOKUP($A199,INDIRECT($P$2),COLUMN()-1,FALSE)*VLOOKUP($A199,Usinas!$C:$D,2,FALSE)</f>
        <v>615.46199999999999</v>
      </c>
      <c r="E199" s="65">
        <f ca="1">VLOOKUP($A199,INDIRECT($P$2),COLUMN()-1,FALSE)*VLOOKUP($A199,Usinas!$C:$D,2,FALSE)</f>
        <v>784.48439999999994</v>
      </c>
      <c r="F199" s="65">
        <f ca="1">VLOOKUP($A199,INDIRECT($P$2),COLUMN()-1,FALSE)*VLOOKUP($A199,Usinas!$C:$D,2,FALSE)</f>
        <v>615.46199999999999</v>
      </c>
      <c r="G199" s="65">
        <f ca="1">VLOOKUP($A199,INDIRECT($P$2),COLUMN()-1,FALSE)*VLOOKUP($A199,Usinas!$C:$D,2,FALSE)</f>
        <v>644.85720000000003</v>
      </c>
      <c r="H199" s="65">
        <f ca="1">VLOOKUP($A199,INDIRECT($P$2),COLUMN()-1,FALSE)*VLOOKUP($A199,Usinas!$C:$D,2,FALSE)</f>
        <v>892.87919999999997</v>
      </c>
      <c r="I199" s="65">
        <f ca="1">VLOOKUP($A199,INDIRECT($P$2),COLUMN()-1,FALSE)*VLOOKUP($A199,Usinas!$C:$D,2,FALSE)</f>
        <v>998.51819999999998</v>
      </c>
      <c r="J199" s="65">
        <f ca="1">VLOOKUP($A199,INDIRECT($P$2),COLUMN()-1,FALSE)*VLOOKUP($A199,Usinas!$C:$D,2,FALSE)</f>
        <v>1187.7498000000001</v>
      </c>
      <c r="K199" s="65">
        <f ca="1">VLOOKUP($A199,INDIRECT($P$2),COLUMN()-1,FALSE)*VLOOKUP($A199,Usinas!$C:$D,2,FALSE)</f>
        <v>1258.482</v>
      </c>
      <c r="L199" s="65">
        <f ca="1">VLOOKUP($A199,INDIRECT($P$2),COLUMN()-1,FALSE)*VLOOKUP($A199,Usinas!$C:$D,2,FALSE)</f>
        <v>1449.5508</v>
      </c>
      <c r="M199" s="65">
        <f ca="1">VLOOKUP($A199,INDIRECT($P$2),COLUMN()-1,FALSE)*VLOOKUP($A199,Usinas!$C:$D,2,FALSE)</f>
        <v>1425.6671999999999</v>
      </c>
      <c r="N199" s="65">
        <f ca="1">VLOOKUP($A199,INDIRECT($P$2),COLUMN()-1,FALSE)*VLOOKUP($A199,Usinas!$C:$D,2,FALSE)</f>
        <v>904.82100000000003</v>
      </c>
      <c r="O199" s="65">
        <f ca="1">VLOOKUP($A199,INDIRECT($P$2),COLUMN()-1,FALSE)*VLOOKUP($A199,Usinas!$C:$D,2,FALSE)</f>
        <v>659.5548</v>
      </c>
    </row>
    <row r="200" spans="1:15" hidden="1" outlineLevel="2" x14ac:dyDescent="0.25">
      <c r="A200" s="30">
        <v>93</v>
      </c>
      <c r="B200" s="31" t="s">
        <v>191</v>
      </c>
      <c r="D200" s="65">
        <f ca="1">VLOOKUP($A200,INDIRECT($P$2),COLUMN()-1,FALSE)*VLOOKUP($A200,Usinas!$C:$D,2,FALSE)</f>
        <v>76.251800000000003</v>
      </c>
      <c r="E200" s="65">
        <f ca="1">VLOOKUP($A200,INDIRECT($P$2),COLUMN()-1,FALSE)*VLOOKUP($A200,Usinas!$C:$D,2,FALSE)</f>
        <v>76.251800000000003</v>
      </c>
      <c r="F200" s="65">
        <f ca="1">VLOOKUP($A200,INDIRECT($P$2),COLUMN()-1,FALSE)*VLOOKUP($A200,Usinas!$C:$D,2,FALSE)</f>
        <v>65.038300000000007</v>
      </c>
      <c r="G200" s="65">
        <f ca="1">VLOOKUP($A200,INDIRECT($P$2),COLUMN()-1,FALSE)*VLOOKUP($A200,Usinas!$C:$D,2,FALSE)</f>
        <v>80.737200000000001</v>
      </c>
      <c r="H200" s="65">
        <f ca="1">VLOOKUP($A200,INDIRECT($P$2),COLUMN()-1,FALSE)*VLOOKUP($A200,Usinas!$C:$D,2,FALSE)</f>
        <v>123.3485</v>
      </c>
      <c r="I200" s="65">
        <f ca="1">VLOOKUP($A200,INDIRECT($P$2),COLUMN()-1,FALSE)*VLOOKUP($A200,Usinas!$C:$D,2,FALSE)</f>
        <v>154.74630000000002</v>
      </c>
      <c r="J200" s="65">
        <f ca="1">VLOOKUP($A200,INDIRECT($P$2),COLUMN()-1,FALSE)*VLOOKUP($A200,Usinas!$C:$D,2,FALSE)</f>
        <v>172.68790000000001</v>
      </c>
      <c r="K200" s="65">
        <f ca="1">VLOOKUP($A200,INDIRECT($P$2),COLUMN()-1,FALSE)*VLOOKUP($A200,Usinas!$C:$D,2,FALSE)</f>
        <v>159.23170000000002</v>
      </c>
      <c r="L200" s="65">
        <f ca="1">VLOOKUP($A200,INDIRECT($P$2),COLUMN()-1,FALSE)*VLOOKUP($A200,Usinas!$C:$D,2,FALSE)</f>
        <v>177.17330000000001</v>
      </c>
      <c r="M200" s="65">
        <f ca="1">VLOOKUP($A200,INDIRECT($P$2),COLUMN()-1,FALSE)*VLOOKUP($A200,Usinas!$C:$D,2,FALSE)</f>
        <v>188.38680000000002</v>
      </c>
      <c r="N200" s="65">
        <f ca="1">VLOOKUP($A200,INDIRECT($P$2),COLUMN()-1,FALSE)*VLOOKUP($A200,Usinas!$C:$D,2,FALSE)</f>
        <v>132.3193</v>
      </c>
      <c r="O200" s="65">
        <f ca="1">VLOOKUP($A200,INDIRECT($P$2),COLUMN()-1,FALSE)*VLOOKUP($A200,Usinas!$C:$D,2,FALSE)</f>
        <v>98.67880000000001</v>
      </c>
    </row>
    <row r="201" spans="1:15" hidden="1" outlineLevel="2" x14ac:dyDescent="0.25">
      <c r="A201" s="30">
        <v>220</v>
      </c>
      <c r="B201" s="31" t="s">
        <v>192</v>
      </c>
      <c r="D201" s="65">
        <f ca="1">VLOOKUP($A201,INDIRECT($P$2),COLUMN()-1,FALSE)*VLOOKUP($A201,Usinas!$C:$D,2,FALSE)</f>
        <v>32.774499999999996</v>
      </c>
      <c r="E201" s="65">
        <f ca="1">VLOOKUP($A201,INDIRECT($P$2),COLUMN()-1,FALSE)*VLOOKUP($A201,Usinas!$C:$D,2,FALSE)</f>
        <v>32.219000000000001</v>
      </c>
      <c r="F201" s="65">
        <f ca="1">VLOOKUP($A201,INDIRECT($P$2),COLUMN()-1,FALSE)*VLOOKUP($A201,Usinas!$C:$D,2,FALSE)</f>
        <v>27.2195</v>
      </c>
      <c r="G201" s="65">
        <f ca="1">VLOOKUP($A201,INDIRECT($P$2),COLUMN()-1,FALSE)*VLOOKUP($A201,Usinas!$C:$D,2,FALSE)</f>
        <v>34.441000000000003</v>
      </c>
      <c r="H201" s="65">
        <f ca="1">VLOOKUP($A201,INDIRECT($P$2),COLUMN()-1,FALSE)*VLOOKUP($A201,Usinas!$C:$D,2,FALSE)</f>
        <v>53.328000000000003</v>
      </c>
      <c r="I201" s="65">
        <f ca="1">VLOOKUP($A201,INDIRECT($P$2),COLUMN()-1,FALSE)*VLOOKUP($A201,Usinas!$C:$D,2,FALSE)</f>
        <v>65.548999999999992</v>
      </c>
      <c r="J201" s="65">
        <f ca="1">VLOOKUP($A201,INDIRECT($P$2),COLUMN()-1,FALSE)*VLOOKUP($A201,Usinas!$C:$D,2,FALSE)</f>
        <v>73.325999999999993</v>
      </c>
      <c r="K201" s="65">
        <f ca="1">VLOOKUP($A201,INDIRECT($P$2),COLUMN()-1,FALSE)*VLOOKUP($A201,Usinas!$C:$D,2,FALSE)</f>
        <v>66.104500000000002</v>
      </c>
      <c r="L201" s="65">
        <f ca="1">VLOOKUP($A201,INDIRECT($P$2),COLUMN()-1,FALSE)*VLOOKUP($A201,Usinas!$C:$D,2,FALSE)</f>
        <v>73.325999999999993</v>
      </c>
      <c r="M201" s="65">
        <f ca="1">VLOOKUP($A201,INDIRECT($P$2),COLUMN()-1,FALSE)*VLOOKUP($A201,Usinas!$C:$D,2,FALSE)</f>
        <v>81.658500000000004</v>
      </c>
      <c r="N201" s="65">
        <f ca="1">VLOOKUP($A201,INDIRECT($P$2),COLUMN()-1,FALSE)*VLOOKUP($A201,Usinas!$C:$D,2,FALSE)</f>
        <v>57.216499999999996</v>
      </c>
      <c r="O201" s="65">
        <f ca="1">VLOOKUP($A201,INDIRECT($P$2),COLUMN()-1,FALSE)*VLOOKUP($A201,Usinas!$C:$D,2,FALSE)</f>
        <v>42.773499999999999</v>
      </c>
    </row>
    <row r="202" spans="1:15" hidden="1" outlineLevel="2" x14ac:dyDescent="0.25">
      <c r="A202" s="30">
        <v>94</v>
      </c>
      <c r="B202" s="31" t="s">
        <v>193</v>
      </c>
      <c r="D202" s="65">
        <f ca="1">VLOOKUP($A202,INDIRECT($P$2),COLUMN()-1,FALSE)*VLOOKUP($A202,Usinas!$C:$D,2,FALSE)</f>
        <v>369.8734</v>
      </c>
      <c r="E202" s="65">
        <f ca="1">VLOOKUP($A202,INDIRECT($P$2),COLUMN()-1,FALSE)*VLOOKUP($A202,Usinas!$C:$D,2,FALSE)</f>
        <v>462.57119999999998</v>
      </c>
      <c r="F202" s="65">
        <f ca="1">VLOOKUP($A202,INDIRECT($P$2),COLUMN()-1,FALSE)*VLOOKUP($A202,Usinas!$C:$D,2,FALSE)</f>
        <v>369.41449999999998</v>
      </c>
      <c r="G202" s="65">
        <f ca="1">VLOOKUP($A202,INDIRECT($P$2),COLUMN()-1,FALSE)*VLOOKUP($A202,Usinas!$C:$D,2,FALSE)</f>
        <v>394.654</v>
      </c>
      <c r="H202" s="65">
        <f ca="1">VLOOKUP($A202,INDIRECT($P$2),COLUMN()-1,FALSE)*VLOOKUP($A202,Usinas!$C:$D,2,FALSE)</f>
        <v>550.22109999999998</v>
      </c>
      <c r="I202" s="65">
        <f ca="1">VLOOKUP($A202,INDIRECT($P$2),COLUMN()-1,FALSE)*VLOOKUP($A202,Usinas!$C:$D,2,FALSE)</f>
        <v>625.02179999999998</v>
      </c>
      <c r="J202" s="65">
        <f ca="1">VLOOKUP($A202,INDIRECT($P$2),COLUMN()-1,FALSE)*VLOOKUP($A202,Usinas!$C:$D,2,FALSE)</f>
        <v>731.94549999999992</v>
      </c>
      <c r="K202" s="65">
        <f ca="1">VLOOKUP($A202,INDIRECT($P$2),COLUMN()-1,FALSE)*VLOOKUP($A202,Usinas!$C:$D,2,FALSE)</f>
        <v>769.1164</v>
      </c>
      <c r="L202" s="65">
        <f ca="1">VLOOKUP($A202,INDIRECT($P$2),COLUMN()-1,FALSE)*VLOOKUP($A202,Usinas!$C:$D,2,FALSE)</f>
        <v>873.74559999999997</v>
      </c>
      <c r="M202" s="65">
        <f ca="1">VLOOKUP($A202,INDIRECT($P$2),COLUMN()-1,FALSE)*VLOOKUP($A202,Usinas!$C:$D,2,FALSE)</f>
        <v>865.48539999999991</v>
      </c>
      <c r="N202" s="65">
        <f ca="1">VLOOKUP($A202,INDIRECT($P$2),COLUMN()-1,FALSE)*VLOOKUP($A202,Usinas!$C:$D,2,FALSE)</f>
        <v>564.90589999999997</v>
      </c>
      <c r="O202" s="65">
        <f ca="1">VLOOKUP($A202,INDIRECT($P$2),COLUMN()-1,FALSE)*VLOOKUP($A202,Usinas!$C:$D,2,FALSE)</f>
        <v>411.63329999999996</v>
      </c>
    </row>
    <row r="203" spans="1:15" hidden="1" outlineLevel="2" x14ac:dyDescent="0.25">
      <c r="A203" s="30">
        <v>286</v>
      </c>
      <c r="B203" s="31" t="s">
        <v>194</v>
      </c>
      <c r="D203" s="65">
        <f ca="1">VLOOKUP($A203,INDIRECT($P$2),COLUMN()-1,FALSE)*VLOOKUP($A203,Usinas!$C:$D,2,FALSE)</f>
        <v>58.923200000000001</v>
      </c>
      <c r="E203" s="65">
        <f ca="1">VLOOKUP($A203,INDIRECT($P$2),COLUMN()-1,FALSE)*VLOOKUP($A203,Usinas!$C:$D,2,FALSE)</f>
        <v>69.4452</v>
      </c>
      <c r="F203" s="65">
        <f ca="1">VLOOKUP($A203,INDIRECT($P$2),COLUMN()-1,FALSE)*VLOOKUP($A203,Usinas!$C:$D,2,FALSE)</f>
        <v>58.923200000000001</v>
      </c>
      <c r="G203" s="65">
        <f ca="1">VLOOKUP($A203,INDIRECT($P$2),COLUMN()-1,FALSE)*VLOOKUP($A203,Usinas!$C:$D,2,FALSE)</f>
        <v>61.0276</v>
      </c>
      <c r="H203" s="65">
        <f ca="1">VLOOKUP($A203,INDIRECT($P$2),COLUMN()-1,FALSE)*VLOOKUP($A203,Usinas!$C:$D,2,FALSE)</f>
        <v>86.2804</v>
      </c>
      <c r="I203" s="65">
        <f ca="1">VLOOKUP($A203,INDIRECT($P$2),COLUMN()-1,FALSE)*VLOOKUP($A203,Usinas!$C:$D,2,FALSE)</f>
        <v>97.854600000000005</v>
      </c>
      <c r="J203" s="65">
        <f ca="1">VLOOKUP($A203,INDIRECT($P$2),COLUMN()-1,FALSE)*VLOOKUP($A203,Usinas!$C:$D,2,FALSE)</f>
        <v>95.750200000000007</v>
      </c>
      <c r="K203" s="65">
        <f ca="1">VLOOKUP($A203,INDIRECT($P$2),COLUMN()-1,FALSE)*VLOOKUP($A203,Usinas!$C:$D,2,FALSE)</f>
        <v>92.593600000000009</v>
      </c>
      <c r="L203" s="65">
        <f ca="1">VLOOKUP($A203,INDIRECT($P$2),COLUMN()-1,FALSE)*VLOOKUP($A203,Usinas!$C:$D,2,FALSE)</f>
        <v>104.1678</v>
      </c>
      <c r="M203" s="65">
        <f ca="1">VLOOKUP($A203,INDIRECT($P$2),COLUMN()-1,FALSE)*VLOOKUP($A203,Usinas!$C:$D,2,FALSE)</f>
        <v>127.31620000000001</v>
      </c>
      <c r="N203" s="65">
        <f ca="1">VLOOKUP($A203,INDIRECT($P$2),COLUMN()-1,FALSE)*VLOOKUP($A203,Usinas!$C:$D,2,FALSE)</f>
        <v>87.332599999999999</v>
      </c>
      <c r="O203" s="65">
        <f ca="1">VLOOKUP($A203,INDIRECT($P$2),COLUMN()-1,FALSE)*VLOOKUP($A203,Usinas!$C:$D,2,FALSE)</f>
        <v>65.236400000000003</v>
      </c>
    </row>
    <row r="204" spans="1:15" hidden="1" outlineLevel="2" x14ac:dyDescent="0.25">
      <c r="A204" s="30">
        <v>102</v>
      </c>
      <c r="B204" s="31" t="s">
        <v>195</v>
      </c>
      <c r="D204" s="65">
        <f ca="1">VLOOKUP($A204,INDIRECT($P$2),COLUMN()-1,FALSE)*VLOOKUP($A204,Usinas!$C:$D,2,FALSE)</f>
        <v>30.569000000000003</v>
      </c>
      <c r="E204" s="65">
        <f ca="1">VLOOKUP($A204,INDIRECT($P$2),COLUMN()-1,FALSE)*VLOOKUP($A204,Usinas!$C:$D,2,FALSE)</f>
        <v>28.187000000000001</v>
      </c>
      <c r="F204" s="65">
        <f ca="1">VLOOKUP($A204,INDIRECT($P$2),COLUMN()-1,FALSE)*VLOOKUP($A204,Usinas!$C:$D,2,FALSE)</f>
        <v>24.0185</v>
      </c>
      <c r="G204" s="65">
        <f ca="1">VLOOKUP($A204,INDIRECT($P$2),COLUMN()-1,FALSE)*VLOOKUP($A204,Usinas!$C:$D,2,FALSE)</f>
        <v>36.722500000000004</v>
      </c>
      <c r="H204" s="65">
        <f ca="1">VLOOKUP($A204,INDIRECT($P$2),COLUMN()-1,FALSE)*VLOOKUP($A204,Usinas!$C:$D,2,FALSE)</f>
        <v>48.235500000000002</v>
      </c>
      <c r="I204" s="65">
        <f ca="1">VLOOKUP($A204,INDIRECT($P$2),COLUMN()-1,FALSE)*VLOOKUP($A204,Usinas!$C:$D,2,FALSE)</f>
        <v>57.763500000000001</v>
      </c>
      <c r="J204" s="65">
        <f ca="1">VLOOKUP($A204,INDIRECT($P$2),COLUMN()-1,FALSE)*VLOOKUP($A204,Usinas!$C:$D,2,FALSE)</f>
        <v>56.771000000000001</v>
      </c>
      <c r="K204" s="65">
        <f ca="1">VLOOKUP($A204,INDIRECT($P$2),COLUMN()-1,FALSE)*VLOOKUP($A204,Usinas!$C:$D,2,FALSE)</f>
        <v>55.778500000000001</v>
      </c>
      <c r="L204" s="65">
        <f ca="1">VLOOKUP($A204,INDIRECT($P$2),COLUMN()-1,FALSE)*VLOOKUP($A204,Usinas!$C:$D,2,FALSE)</f>
        <v>64.909500000000008</v>
      </c>
      <c r="M204" s="65">
        <f ca="1">VLOOKUP($A204,INDIRECT($P$2),COLUMN()-1,FALSE)*VLOOKUP($A204,Usinas!$C:$D,2,FALSE)</f>
        <v>72.254000000000005</v>
      </c>
      <c r="N204" s="65">
        <f ca="1">VLOOKUP($A204,INDIRECT($P$2),COLUMN()-1,FALSE)*VLOOKUP($A204,Usinas!$C:$D,2,FALSE)</f>
        <v>53.198</v>
      </c>
      <c r="O204" s="65">
        <f ca="1">VLOOKUP($A204,INDIRECT($P$2),COLUMN()-1,FALSE)*VLOOKUP($A204,Usinas!$C:$D,2,FALSE)</f>
        <v>40.692500000000003</v>
      </c>
    </row>
    <row r="205" spans="1:15" hidden="1" outlineLevel="2" x14ac:dyDescent="0.25">
      <c r="A205" s="30">
        <v>103</v>
      </c>
      <c r="B205" s="31" t="s">
        <v>196</v>
      </c>
      <c r="D205" s="65">
        <f ca="1">VLOOKUP($A205,INDIRECT($P$2),COLUMN()-1,FALSE)*VLOOKUP($A205,Usinas!$C:$D,2,FALSE)</f>
        <v>42.064000000000007</v>
      </c>
      <c r="E205" s="65">
        <f ca="1">VLOOKUP($A205,INDIRECT($P$2),COLUMN()-1,FALSE)*VLOOKUP($A205,Usinas!$C:$D,2,FALSE)</f>
        <v>38.909200000000006</v>
      </c>
      <c r="F205" s="65">
        <f ca="1">VLOOKUP($A205,INDIRECT($P$2),COLUMN()-1,FALSE)*VLOOKUP($A205,Usinas!$C:$D,2,FALSE)</f>
        <v>33.125400000000006</v>
      </c>
      <c r="G205" s="65">
        <f ca="1">VLOOKUP($A205,INDIRECT($P$2),COLUMN()-1,FALSE)*VLOOKUP($A205,Usinas!$C:$D,2,FALSE)</f>
        <v>50.213900000000002</v>
      </c>
      <c r="H205" s="65">
        <f ca="1">VLOOKUP($A205,INDIRECT($P$2),COLUMN()-1,FALSE)*VLOOKUP($A205,Usinas!$C:$D,2,FALSE)</f>
        <v>65.98790000000001</v>
      </c>
      <c r="I205" s="65">
        <f ca="1">VLOOKUP($A205,INDIRECT($P$2),COLUMN()-1,FALSE)*VLOOKUP($A205,Usinas!$C:$D,2,FALSE)</f>
        <v>79.395800000000008</v>
      </c>
      <c r="J205" s="65">
        <f ca="1">VLOOKUP($A205,INDIRECT($P$2),COLUMN()-1,FALSE)*VLOOKUP($A205,Usinas!$C:$D,2,FALSE)</f>
        <v>78.081300000000013</v>
      </c>
      <c r="K205" s="65">
        <f ca="1">VLOOKUP($A205,INDIRECT($P$2),COLUMN()-1,FALSE)*VLOOKUP($A205,Usinas!$C:$D,2,FALSE)</f>
        <v>76.766800000000003</v>
      </c>
      <c r="L205" s="65">
        <f ca="1">VLOOKUP($A205,INDIRECT($P$2),COLUMN()-1,FALSE)*VLOOKUP($A205,Usinas!$C:$D,2,FALSE)</f>
        <v>89.123100000000008</v>
      </c>
      <c r="M205" s="65">
        <f ca="1">VLOOKUP($A205,INDIRECT($P$2),COLUMN()-1,FALSE)*VLOOKUP($A205,Usinas!$C:$D,2,FALSE)</f>
        <v>99.376200000000011</v>
      </c>
      <c r="N205" s="65">
        <f ca="1">VLOOKUP($A205,INDIRECT($P$2),COLUMN()-1,FALSE)*VLOOKUP($A205,Usinas!$C:$D,2,FALSE)</f>
        <v>73.612000000000009</v>
      </c>
      <c r="O205" s="65">
        <f ca="1">VLOOKUP($A205,INDIRECT($P$2),COLUMN()-1,FALSE)*VLOOKUP($A205,Usinas!$C:$D,2,FALSE)</f>
        <v>55.997700000000002</v>
      </c>
    </row>
    <row r="206" spans="1:15" hidden="1" outlineLevel="1" x14ac:dyDescent="0.25">
      <c r="A206" s="32"/>
      <c r="B206" s="33" t="s">
        <v>56</v>
      </c>
      <c r="D206" s="74">
        <f t="shared" ref="D206:I206" ca="1" si="33">SUM(D195:D205)</f>
        <v>2377.9775</v>
      </c>
      <c r="E206" s="48">
        <f t="shared" ca="1" si="33"/>
        <v>2959.0389999999998</v>
      </c>
      <c r="F206" s="48">
        <f t="shared" ca="1" si="33"/>
        <v>2342.8031000000001</v>
      </c>
      <c r="G206" s="48">
        <f t="shared" ca="1" si="33"/>
        <v>2432.8190999999997</v>
      </c>
      <c r="H206" s="48">
        <f t="shared" ca="1" si="33"/>
        <v>3340.0070000000005</v>
      </c>
      <c r="I206" s="75">
        <f t="shared" ca="1" si="33"/>
        <v>3751.4981000000007</v>
      </c>
      <c r="J206" s="74">
        <f t="shared" ref="J206:O206" ca="1" si="34">SUM(J195:J205)</f>
        <v>4451.0473000000002</v>
      </c>
      <c r="K206" s="48">
        <f t="shared" ca="1" si="34"/>
        <v>4652.9697000000006</v>
      </c>
      <c r="L206" s="48">
        <f t="shared" ca="1" si="34"/>
        <v>5369.2755999999999</v>
      </c>
      <c r="M206" s="48">
        <f t="shared" ca="1" si="34"/>
        <v>5327.7239</v>
      </c>
      <c r="N206" s="48">
        <f t="shared" ca="1" si="34"/>
        <v>3449.0716000000002</v>
      </c>
      <c r="O206" s="75">
        <f t="shared" ca="1" si="34"/>
        <v>2541.0038999999997</v>
      </c>
    </row>
    <row r="207" spans="1:15" hidden="1" outlineLevel="1" x14ac:dyDescent="0.25">
      <c r="A207" s="34"/>
      <c r="B207" s="35" t="s">
        <v>0</v>
      </c>
      <c r="D207" s="76"/>
      <c r="E207" s="77"/>
      <c r="F207" s="77"/>
      <c r="G207" s="77"/>
      <c r="H207" s="77"/>
      <c r="I207" s="78"/>
      <c r="J207" s="76"/>
      <c r="K207" s="77"/>
      <c r="L207" s="77"/>
      <c r="M207" s="77"/>
      <c r="N207" s="77"/>
      <c r="O207" s="78"/>
    </row>
    <row r="208" spans="1:15" hidden="1" outlineLevel="1" x14ac:dyDescent="0.25">
      <c r="A208" s="2"/>
      <c r="B208" s="3"/>
      <c r="D208" s="53"/>
      <c r="E208" s="54"/>
      <c r="F208" s="54"/>
      <c r="G208" s="54"/>
      <c r="H208" s="54"/>
      <c r="I208" s="54"/>
      <c r="J208" s="53"/>
      <c r="K208" s="54"/>
      <c r="L208" s="54"/>
      <c r="M208" s="54"/>
      <c r="N208" s="54"/>
      <c r="O208" s="54"/>
    </row>
    <row r="209" spans="1:15" hidden="1" outlineLevel="1" x14ac:dyDescent="0.25">
      <c r="A209" s="36"/>
      <c r="B209" s="37"/>
      <c r="D209" s="332" t="s">
        <v>197</v>
      </c>
      <c r="E209" s="333" t="s">
        <v>58</v>
      </c>
      <c r="F209" s="333" t="s">
        <v>198</v>
      </c>
      <c r="G209" s="333"/>
      <c r="H209" s="333"/>
      <c r="I209" s="334"/>
      <c r="J209" s="332" t="s">
        <v>197</v>
      </c>
      <c r="K209" s="333" t="s">
        <v>58</v>
      </c>
      <c r="L209" s="333" t="s">
        <v>198</v>
      </c>
      <c r="M209" s="333"/>
      <c r="N209" s="333"/>
      <c r="O209" s="334"/>
    </row>
    <row r="210" spans="1:15" hidden="1" outlineLevel="2" x14ac:dyDescent="0.25">
      <c r="A210" s="30">
        <v>115</v>
      </c>
      <c r="B210" s="31" t="s">
        <v>199</v>
      </c>
      <c r="D210" s="65">
        <f ca="1">VLOOKUP($A210,INDIRECT($P$2),COLUMN()-1,FALSE)*VLOOKUP($A210,Usinas!$C:$D,2,FALSE)</f>
        <v>163.14750000000001</v>
      </c>
      <c r="E210" s="65">
        <f ca="1">VLOOKUP($A210,INDIRECT($P$2),COLUMN()-1,FALSE)*VLOOKUP($A210,Usinas!$C:$D,2,FALSE)</f>
        <v>176.19929999999999</v>
      </c>
      <c r="F210" s="65">
        <f ca="1">VLOOKUP($A210,INDIRECT($P$2),COLUMN()-1,FALSE)*VLOOKUP($A210,Usinas!$C:$D,2,FALSE)</f>
        <v>156.6216</v>
      </c>
      <c r="G210" s="65">
        <f ca="1">VLOOKUP($A210,INDIRECT($P$2),COLUMN()-1,FALSE)*VLOOKUP($A210,Usinas!$C:$D,2,FALSE)</f>
        <v>117.4662</v>
      </c>
      <c r="H210" s="65">
        <f ca="1">VLOOKUP($A210,INDIRECT($P$2),COLUMN()-1,FALSE)*VLOOKUP($A210,Usinas!$C:$D,2,FALSE)</f>
        <v>110.94030000000001</v>
      </c>
      <c r="I210" s="65">
        <f ca="1">VLOOKUP($A210,INDIRECT($P$2),COLUMN()-1,FALSE)*VLOOKUP($A210,Usinas!$C:$D,2,FALSE)</f>
        <v>110.94030000000001</v>
      </c>
      <c r="J210" s="65">
        <f ca="1">VLOOKUP($A210,INDIRECT($P$2),COLUMN()-1,FALSE)*VLOOKUP($A210,Usinas!$C:$D,2,FALSE)</f>
        <v>110.94030000000001</v>
      </c>
      <c r="K210" s="65">
        <f ca="1">VLOOKUP($A210,INDIRECT($P$2),COLUMN()-1,FALSE)*VLOOKUP($A210,Usinas!$C:$D,2,FALSE)</f>
        <v>91.3626</v>
      </c>
      <c r="L210" s="65">
        <f ca="1">VLOOKUP($A210,INDIRECT($P$2),COLUMN()-1,FALSE)*VLOOKUP($A210,Usinas!$C:$D,2,FALSE)</f>
        <v>117.4662</v>
      </c>
      <c r="M210" s="65">
        <f ca="1">VLOOKUP($A210,INDIRECT($P$2),COLUMN()-1,FALSE)*VLOOKUP($A210,Usinas!$C:$D,2,FALSE)</f>
        <v>130.518</v>
      </c>
      <c r="N210" s="65">
        <f ca="1">VLOOKUP($A210,INDIRECT($P$2),COLUMN()-1,FALSE)*VLOOKUP($A210,Usinas!$C:$D,2,FALSE)</f>
        <v>123.99209999999999</v>
      </c>
      <c r="O210" s="65">
        <f ca="1">VLOOKUP($A210,INDIRECT($P$2),COLUMN()-1,FALSE)*VLOOKUP($A210,Usinas!$C:$D,2,FALSE)</f>
        <v>130.518</v>
      </c>
    </row>
    <row r="211" spans="1:15" hidden="1" outlineLevel="1" x14ac:dyDescent="0.25">
      <c r="A211" s="32"/>
      <c r="B211" s="33" t="s">
        <v>56</v>
      </c>
      <c r="D211" s="74">
        <f t="shared" ref="D211:O211" ca="1" si="35">D210</f>
        <v>163.14750000000001</v>
      </c>
      <c r="E211" s="48">
        <f t="shared" ca="1" si="35"/>
        <v>176.19929999999999</v>
      </c>
      <c r="F211" s="48">
        <f t="shared" ca="1" si="35"/>
        <v>156.6216</v>
      </c>
      <c r="G211" s="48">
        <f t="shared" ca="1" si="35"/>
        <v>117.4662</v>
      </c>
      <c r="H211" s="48">
        <f t="shared" ca="1" si="35"/>
        <v>110.94030000000001</v>
      </c>
      <c r="I211" s="75">
        <f t="shared" ca="1" si="35"/>
        <v>110.94030000000001</v>
      </c>
      <c r="J211" s="74">
        <f t="shared" ca="1" si="35"/>
        <v>110.94030000000001</v>
      </c>
      <c r="K211" s="48">
        <f t="shared" ca="1" si="35"/>
        <v>91.3626</v>
      </c>
      <c r="L211" s="48">
        <f t="shared" ca="1" si="35"/>
        <v>117.4662</v>
      </c>
      <c r="M211" s="48">
        <f t="shared" ca="1" si="35"/>
        <v>130.518</v>
      </c>
      <c r="N211" s="48">
        <f t="shared" ca="1" si="35"/>
        <v>123.99209999999999</v>
      </c>
      <c r="O211" s="75">
        <f t="shared" ca="1" si="35"/>
        <v>130.518</v>
      </c>
    </row>
    <row r="212" spans="1:15" hidden="1" outlineLevel="1" x14ac:dyDescent="0.25">
      <c r="A212" s="34"/>
      <c r="B212" s="35" t="s">
        <v>0</v>
      </c>
      <c r="D212" s="76"/>
      <c r="E212" s="77"/>
      <c r="F212" s="77"/>
      <c r="G212" s="77"/>
      <c r="H212" s="77"/>
      <c r="I212" s="78"/>
      <c r="J212" s="76"/>
      <c r="K212" s="77"/>
      <c r="L212" s="77"/>
      <c r="M212" s="77"/>
      <c r="N212" s="77"/>
      <c r="O212" s="78"/>
    </row>
    <row r="213" spans="1:15" hidden="1" outlineLevel="1" x14ac:dyDescent="0.25">
      <c r="A213" s="2"/>
      <c r="B213" s="3"/>
      <c r="D213" s="53"/>
      <c r="E213" s="54"/>
      <c r="F213" s="54"/>
      <c r="G213" s="54"/>
      <c r="H213" s="54"/>
      <c r="I213" s="54"/>
      <c r="J213" s="53"/>
      <c r="K213" s="54"/>
      <c r="L213" s="54"/>
      <c r="M213" s="54"/>
      <c r="N213" s="54"/>
      <c r="O213" s="54"/>
    </row>
    <row r="214" spans="1:15" hidden="1" outlineLevel="1" x14ac:dyDescent="0.25">
      <c r="A214" s="36"/>
      <c r="B214" s="37"/>
      <c r="D214" s="332" t="s">
        <v>200</v>
      </c>
      <c r="E214" s="333" t="s">
        <v>58</v>
      </c>
      <c r="F214" s="333" t="s">
        <v>201</v>
      </c>
      <c r="G214" s="333"/>
      <c r="H214" s="333"/>
      <c r="I214" s="334"/>
      <c r="J214" s="332" t="s">
        <v>200</v>
      </c>
      <c r="K214" s="333" t="s">
        <v>58</v>
      </c>
      <c r="L214" s="333" t="s">
        <v>201</v>
      </c>
      <c r="M214" s="333"/>
      <c r="N214" s="333"/>
      <c r="O214" s="334"/>
    </row>
    <row r="215" spans="1:15" hidden="1" outlineLevel="2" x14ac:dyDescent="0.25">
      <c r="A215" s="30">
        <v>101</v>
      </c>
      <c r="B215" s="31" t="s">
        <v>202</v>
      </c>
      <c r="D215" s="65">
        <f ca="1">VLOOKUP($A215,INDIRECT($P$2),COLUMN()-1,FALSE)*VLOOKUP($A215,Usinas!$C:$D,2,FALSE)</f>
        <v>201.54680000000002</v>
      </c>
      <c r="E215" s="65">
        <f ca="1">VLOOKUP($A215,INDIRECT($P$2),COLUMN()-1,FALSE)*VLOOKUP($A215,Usinas!$C:$D,2,FALSE)</f>
        <v>240.786</v>
      </c>
      <c r="F215" s="65">
        <f ca="1">VLOOKUP($A215,INDIRECT($P$2),COLUMN()-1,FALSE)*VLOOKUP($A215,Usinas!$C:$D,2,FALSE)</f>
        <v>187.27800000000002</v>
      </c>
      <c r="G215" s="65">
        <f ca="1">VLOOKUP($A215,INDIRECT($P$2),COLUMN()-1,FALSE)*VLOOKUP($A215,Usinas!$C:$D,2,FALSE)</f>
        <v>135.55360000000002</v>
      </c>
      <c r="H215" s="65">
        <f ca="1">VLOOKUP($A215,INDIRECT($P$2),COLUMN()-1,FALSE)*VLOOKUP($A215,Usinas!$C:$D,2,FALSE)</f>
        <v>165.87479999999999</v>
      </c>
      <c r="I215" s="65">
        <f ca="1">VLOOKUP($A215,INDIRECT($P$2),COLUMN()-1,FALSE)*VLOOKUP($A215,Usinas!$C:$D,2,FALSE)</f>
        <v>162.30760000000001</v>
      </c>
      <c r="J215" s="65">
        <f ca="1">VLOOKUP($A215,INDIRECT($P$2),COLUMN()-1,FALSE)*VLOOKUP($A215,Usinas!$C:$D,2,FALSE)</f>
        <v>208.68120000000002</v>
      </c>
      <c r="K215" s="65">
        <f ca="1">VLOOKUP($A215,INDIRECT($P$2),COLUMN()-1,FALSE)*VLOOKUP($A215,Usinas!$C:$D,2,FALSE)</f>
        <v>235.43520000000001</v>
      </c>
      <c r="L215" s="65">
        <f ca="1">VLOOKUP($A215,INDIRECT($P$2),COLUMN()-1,FALSE)*VLOOKUP($A215,Usinas!$C:$D,2,FALSE)</f>
        <v>288.94319999999999</v>
      </c>
      <c r="M215" s="65">
        <f ca="1">VLOOKUP($A215,INDIRECT($P$2),COLUMN()-1,FALSE)*VLOOKUP($A215,Usinas!$C:$D,2,FALSE)</f>
        <v>301.42840000000001</v>
      </c>
      <c r="N215" s="65">
        <f ca="1">VLOOKUP($A215,INDIRECT($P$2),COLUMN()-1,FALSE)*VLOOKUP($A215,Usinas!$C:$D,2,FALSE)</f>
        <v>205.114</v>
      </c>
      <c r="O215" s="65">
        <f ca="1">VLOOKUP($A215,INDIRECT($P$2),COLUMN()-1,FALSE)*VLOOKUP($A215,Usinas!$C:$D,2,FALSE)</f>
        <v>171.22560000000001</v>
      </c>
    </row>
    <row r="216" spans="1:15" hidden="1" outlineLevel="1" x14ac:dyDescent="0.25">
      <c r="A216" s="32"/>
      <c r="B216" s="33" t="s">
        <v>56</v>
      </c>
      <c r="D216" s="74">
        <f t="shared" ref="D216:O216" ca="1" si="36">D215</f>
        <v>201.54680000000002</v>
      </c>
      <c r="E216" s="48">
        <f t="shared" ca="1" si="36"/>
        <v>240.786</v>
      </c>
      <c r="F216" s="48">
        <f t="shared" ca="1" si="36"/>
        <v>187.27800000000002</v>
      </c>
      <c r="G216" s="48">
        <f t="shared" ca="1" si="36"/>
        <v>135.55360000000002</v>
      </c>
      <c r="H216" s="48">
        <f t="shared" ca="1" si="36"/>
        <v>165.87479999999999</v>
      </c>
      <c r="I216" s="75">
        <f t="shared" ca="1" si="36"/>
        <v>162.30760000000001</v>
      </c>
      <c r="J216" s="74">
        <f t="shared" ca="1" si="36"/>
        <v>208.68120000000002</v>
      </c>
      <c r="K216" s="48">
        <f t="shared" ca="1" si="36"/>
        <v>235.43520000000001</v>
      </c>
      <c r="L216" s="48">
        <f t="shared" ca="1" si="36"/>
        <v>288.94319999999999</v>
      </c>
      <c r="M216" s="48">
        <f t="shared" ca="1" si="36"/>
        <v>301.42840000000001</v>
      </c>
      <c r="N216" s="48">
        <f t="shared" ca="1" si="36"/>
        <v>205.114</v>
      </c>
      <c r="O216" s="75">
        <f t="shared" ca="1" si="36"/>
        <v>171.22560000000001</v>
      </c>
    </row>
    <row r="217" spans="1:15" hidden="1" outlineLevel="1" x14ac:dyDescent="0.25">
      <c r="A217" s="34"/>
      <c r="B217" s="35" t="s">
        <v>0</v>
      </c>
      <c r="D217" s="76"/>
      <c r="E217" s="77"/>
      <c r="F217" s="77"/>
      <c r="G217" s="77"/>
      <c r="H217" s="77"/>
      <c r="I217" s="78"/>
      <c r="J217" s="76"/>
      <c r="K217" s="77"/>
      <c r="L217" s="77"/>
      <c r="M217" s="77"/>
      <c r="N217" s="77"/>
      <c r="O217" s="78"/>
    </row>
    <row r="218" spans="1:15" hidden="1" outlineLevel="1" x14ac:dyDescent="0.25">
      <c r="A218" s="2"/>
      <c r="B218" s="3"/>
      <c r="D218" s="53"/>
      <c r="E218" s="54"/>
      <c r="F218" s="54"/>
      <c r="G218" s="54"/>
      <c r="H218" s="54"/>
      <c r="I218" s="54"/>
      <c r="J218" s="53"/>
      <c r="K218" s="54"/>
      <c r="L218" s="54"/>
      <c r="M218" s="54"/>
      <c r="N218" s="54"/>
      <c r="O218" s="54"/>
    </row>
    <row r="219" spans="1:15" hidden="1" outlineLevel="1" x14ac:dyDescent="0.25">
      <c r="A219" s="36"/>
      <c r="B219" s="37"/>
      <c r="D219" s="332" t="s">
        <v>203</v>
      </c>
      <c r="E219" s="333" t="s">
        <v>58</v>
      </c>
      <c r="F219" s="333" t="s">
        <v>204</v>
      </c>
      <c r="G219" s="333"/>
      <c r="H219" s="333"/>
      <c r="I219" s="334"/>
      <c r="J219" s="332" t="s">
        <v>203</v>
      </c>
      <c r="K219" s="333" t="s">
        <v>58</v>
      </c>
      <c r="L219" s="333" t="s">
        <v>204</v>
      </c>
      <c r="M219" s="333"/>
      <c r="N219" s="333"/>
      <c r="O219" s="334"/>
    </row>
    <row r="220" spans="1:15" hidden="1" outlineLevel="2" x14ac:dyDescent="0.25">
      <c r="A220" s="30">
        <v>57</v>
      </c>
      <c r="B220" s="31" t="s">
        <v>205</v>
      </c>
      <c r="D220" s="65">
        <f ca="1">VLOOKUP($A220,INDIRECT($P$2),COLUMN()-1,FALSE)*VLOOKUP($A220,Usinas!$C:$D,2,FALSE)</f>
        <v>314.90620000000001</v>
      </c>
      <c r="E220" s="65">
        <f ca="1">VLOOKUP($A220,INDIRECT($P$2),COLUMN()-1,FALSE)*VLOOKUP($A220,Usinas!$C:$D,2,FALSE)</f>
        <v>327.4606</v>
      </c>
      <c r="F220" s="65">
        <f ca="1">VLOOKUP($A220,INDIRECT($P$2),COLUMN()-1,FALSE)*VLOOKUP($A220,Usinas!$C:$D,2,FALSE)</f>
        <v>267.8272</v>
      </c>
      <c r="G220" s="65">
        <f ca="1">VLOOKUP($A220,INDIRECT($P$2),COLUMN()-1,FALSE)*VLOOKUP($A220,Usinas!$C:$D,2,FALSE)</f>
        <v>200.87040000000002</v>
      </c>
      <c r="H220" s="65">
        <f ca="1">VLOOKUP($A220,INDIRECT($P$2),COLUMN()-1,FALSE)*VLOOKUP($A220,Usinas!$C:$D,2,FALSE)</f>
        <v>244.8108</v>
      </c>
      <c r="I220" s="65">
        <f ca="1">VLOOKUP($A220,INDIRECT($P$2),COLUMN()-1,FALSE)*VLOOKUP($A220,Usinas!$C:$D,2,FALSE)</f>
        <v>288.75119999999998</v>
      </c>
      <c r="J220" s="65">
        <f ca="1">VLOOKUP($A220,INDIRECT($P$2),COLUMN()-1,FALSE)*VLOOKUP($A220,Usinas!$C:$D,2,FALSE)</f>
        <v>296.07460000000003</v>
      </c>
      <c r="K220" s="65">
        <f ca="1">VLOOKUP($A220,INDIRECT($P$2),COLUMN()-1,FALSE)*VLOOKUP($A220,Usinas!$C:$D,2,FALSE)</f>
        <v>238.53360000000001</v>
      </c>
      <c r="L220" s="65">
        <f ca="1">VLOOKUP($A220,INDIRECT($P$2),COLUMN()-1,FALSE)*VLOOKUP($A220,Usinas!$C:$D,2,FALSE)</f>
        <v>274.1044</v>
      </c>
      <c r="M220" s="65">
        <f ca="1">VLOOKUP($A220,INDIRECT($P$2),COLUMN()-1,FALSE)*VLOOKUP($A220,Usinas!$C:$D,2,FALSE)</f>
        <v>356.75420000000003</v>
      </c>
      <c r="N220" s="65">
        <f ca="1">VLOOKUP($A220,INDIRECT($P$2),COLUMN()-1,FALSE)*VLOOKUP($A220,Usinas!$C:$D,2,FALSE)</f>
        <v>291.88979999999998</v>
      </c>
      <c r="O220" s="65">
        <f ca="1">VLOOKUP($A220,INDIRECT($P$2),COLUMN()-1,FALSE)*VLOOKUP($A220,Usinas!$C:$D,2,FALSE)</f>
        <v>262.59620000000001</v>
      </c>
    </row>
    <row r="221" spans="1:15" hidden="1" outlineLevel="1" x14ac:dyDescent="0.25">
      <c r="A221" s="32"/>
      <c r="B221" s="33" t="s">
        <v>56</v>
      </c>
      <c r="D221" s="74">
        <f t="shared" ref="D221:O221" ca="1" si="37">D220</f>
        <v>314.90620000000001</v>
      </c>
      <c r="E221" s="48">
        <f t="shared" ca="1" si="37"/>
        <v>327.4606</v>
      </c>
      <c r="F221" s="48">
        <f t="shared" ca="1" si="37"/>
        <v>267.8272</v>
      </c>
      <c r="G221" s="48">
        <f t="shared" ca="1" si="37"/>
        <v>200.87040000000002</v>
      </c>
      <c r="H221" s="48">
        <f t="shared" ca="1" si="37"/>
        <v>244.8108</v>
      </c>
      <c r="I221" s="75">
        <f t="shared" ca="1" si="37"/>
        <v>288.75119999999998</v>
      </c>
      <c r="J221" s="74">
        <f t="shared" ca="1" si="37"/>
        <v>296.07460000000003</v>
      </c>
      <c r="K221" s="48">
        <f t="shared" ca="1" si="37"/>
        <v>238.53360000000001</v>
      </c>
      <c r="L221" s="48">
        <f t="shared" ca="1" si="37"/>
        <v>274.1044</v>
      </c>
      <c r="M221" s="48">
        <f t="shared" ca="1" si="37"/>
        <v>356.75420000000003</v>
      </c>
      <c r="N221" s="48">
        <f t="shared" ca="1" si="37"/>
        <v>291.88979999999998</v>
      </c>
      <c r="O221" s="75">
        <f t="shared" ca="1" si="37"/>
        <v>262.59620000000001</v>
      </c>
    </row>
    <row r="222" spans="1:15" hidden="1" outlineLevel="1" x14ac:dyDescent="0.25">
      <c r="A222" s="34"/>
      <c r="B222" s="35" t="s">
        <v>0</v>
      </c>
      <c r="D222" s="76"/>
      <c r="E222" s="77"/>
      <c r="F222" s="77"/>
      <c r="G222" s="77"/>
      <c r="H222" s="77"/>
      <c r="I222" s="78"/>
      <c r="J222" s="76"/>
      <c r="K222" s="77"/>
      <c r="L222" s="77"/>
      <c r="M222" s="77"/>
      <c r="N222" s="77"/>
      <c r="O222" s="78"/>
    </row>
    <row r="223" spans="1:15" hidden="1" outlineLevel="1" x14ac:dyDescent="0.25">
      <c r="A223" s="2"/>
      <c r="B223" s="3"/>
      <c r="D223" s="53"/>
      <c r="E223" s="54"/>
      <c r="F223" s="54"/>
      <c r="G223" s="54"/>
      <c r="H223" s="54"/>
      <c r="I223" s="54"/>
      <c r="J223" s="53"/>
      <c r="K223" s="54"/>
      <c r="L223" s="54"/>
      <c r="M223" s="54"/>
      <c r="N223" s="54"/>
      <c r="O223" s="54"/>
    </row>
    <row r="224" spans="1:15" ht="15.75" collapsed="1" x14ac:dyDescent="0.25">
      <c r="A224" s="85"/>
      <c r="B224" s="86"/>
      <c r="C224" s="97"/>
      <c r="D224" s="335" t="s">
        <v>206</v>
      </c>
      <c r="E224" s="336"/>
      <c r="F224" s="336"/>
      <c r="G224" s="336"/>
      <c r="H224" s="336"/>
      <c r="I224" s="336"/>
      <c r="J224" s="336"/>
      <c r="K224" s="336"/>
      <c r="L224" s="336"/>
      <c r="M224" s="336"/>
      <c r="N224" s="336"/>
      <c r="O224" s="337"/>
    </row>
    <row r="225" spans="1:15" ht="15.75" x14ac:dyDescent="0.25">
      <c r="A225" s="87"/>
      <c r="B225" s="88" t="s">
        <v>56</v>
      </c>
      <c r="C225" s="97"/>
      <c r="D225" s="88">
        <f t="shared" ref="D225:O225" ca="1" si="38">D179+D191+D206+D211+D216+D221</f>
        <v>7270.8217999999997</v>
      </c>
      <c r="E225" s="89">
        <f t="shared" ca="1" si="38"/>
        <v>8348.9972999999991</v>
      </c>
      <c r="F225" s="89">
        <f t="shared" ca="1" si="38"/>
        <v>6999.5530000000008</v>
      </c>
      <c r="G225" s="89">
        <f t="shared" ca="1" si="38"/>
        <v>6584.4034999999994</v>
      </c>
      <c r="H225" s="89">
        <f t="shared" ca="1" si="38"/>
        <v>8561.4878000000008</v>
      </c>
      <c r="I225" s="90">
        <f t="shared" ca="1" si="38"/>
        <v>9931.4465000000018</v>
      </c>
      <c r="J225" s="88">
        <f t="shared" ca="1" si="38"/>
        <v>10917.3685</v>
      </c>
      <c r="K225" s="89">
        <f t="shared" ca="1" si="38"/>
        <v>10323.0345</v>
      </c>
      <c r="L225" s="89">
        <f t="shared" ca="1" si="38"/>
        <v>11997.3441</v>
      </c>
      <c r="M225" s="89">
        <f t="shared" ca="1" si="38"/>
        <v>13254.0923</v>
      </c>
      <c r="N225" s="89">
        <f t="shared" ca="1" si="38"/>
        <v>9357.5785999999989</v>
      </c>
      <c r="O225" s="90">
        <f t="shared" ca="1" si="38"/>
        <v>7381.5131000000001</v>
      </c>
    </row>
    <row r="227" spans="1:15" x14ac:dyDescent="0.25">
      <c r="A227" s="98"/>
      <c r="B227" s="99"/>
      <c r="D227" s="100"/>
      <c r="E227" s="101"/>
      <c r="F227" s="101"/>
      <c r="G227" s="101"/>
      <c r="H227" s="101"/>
      <c r="I227" s="102"/>
    </row>
    <row r="228" spans="1:15" hidden="1" outlineLevel="1" x14ac:dyDescent="0.25">
      <c r="A228" s="28"/>
      <c r="B228" s="29"/>
      <c r="D228" s="341" t="s">
        <v>207</v>
      </c>
      <c r="E228" s="342"/>
      <c r="F228" s="342"/>
      <c r="G228" s="342"/>
      <c r="H228" s="342"/>
      <c r="I228" s="343"/>
      <c r="J228" s="341" t="s">
        <v>207</v>
      </c>
      <c r="K228" s="342"/>
      <c r="L228" s="342"/>
      <c r="M228" s="342"/>
      <c r="N228" s="342"/>
      <c r="O228" s="343"/>
    </row>
    <row r="229" spans="1:15" hidden="1" outlineLevel="2" x14ac:dyDescent="0.25">
      <c r="A229" s="30">
        <v>169</v>
      </c>
      <c r="B229" s="31" t="s">
        <v>36</v>
      </c>
      <c r="D229" s="65">
        <f ca="1">VLOOKUP($A229,INDIRECT($P$2),COLUMN()-1,FALSE)*VLOOKUP($A229,Usinas!$C:$D,2,FALSE)</f>
        <v>1130.7719999999999</v>
      </c>
      <c r="E229" s="65">
        <f ca="1">VLOOKUP($A229,INDIRECT($P$2),COLUMN()-1,FALSE)*VLOOKUP($A229,Usinas!$C:$D,2,FALSE)</f>
        <v>1181.623</v>
      </c>
      <c r="F229" s="65">
        <f ca="1">VLOOKUP($A229,INDIRECT($P$2),COLUMN()-1,FALSE)*VLOOKUP($A229,Usinas!$C:$D,2,FALSE)</f>
        <v>1143.3039999999999</v>
      </c>
      <c r="G229" s="65">
        <f ca="1">VLOOKUP($A229,INDIRECT($P$2),COLUMN()-1,FALSE)*VLOOKUP($A229,Usinas!$C:$D,2,FALSE)</f>
        <v>905.43700000000001</v>
      </c>
      <c r="H229" s="65">
        <f ca="1">VLOOKUP($A229,INDIRECT($P$2),COLUMN()-1,FALSE)*VLOOKUP($A229,Usinas!$C:$D,2,FALSE)</f>
        <v>548.03399999999999</v>
      </c>
      <c r="I229" s="65">
        <f ca="1">VLOOKUP($A229,INDIRECT($P$2),COLUMN()-1,FALSE)*VLOOKUP($A229,Usinas!$C:$D,2,FALSE)</f>
        <v>374.755</v>
      </c>
      <c r="J229" s="65">
        <f ca="1">VLOOKUP($A229,INDIRECT($P$2),COLUMN()-1,FALSE)*VLOOKUP($A229,Usinas!$C:$D,2,FALSE)</f>
        <v>312.577</v>
      </c>
      <c r="K229" s="65">
        <f ca="1">VLOOKUP($A229,INDIRECT($P$2),COLUMN()-1,FALSE)*VLOOKUP($A229,Usinas!$C:$D,2,FALSE)</f>
        <v>270.64299999999997</v>
      </c>
      <c r="L229" s="65">
        <f ca="1">VLOOKUP($A229,INDIRECT($P$2),COLUMN()-1,FALSE)*VLOOKUP($A229,Usinas!$C:$D,2,FALSE)</f>
        <v>242.20499999999998</v>
      </c>
      <c r="M229" s="65">
        <f ca="1">VLOOKUP($A229,INDIRECT($P$2),COLUMN()-1,FALSE)*VLOOKUP($A229,Usinas!$C:$D,2,FALSE)</f>
        <v>272.089</v>
      </c>
      <c r="N229" s="65">
        <f ca="1">VLOOKUP($A229,INDIRECT($P$2),COLUMN()-1,FALSE)*VLOOKUP($A229,Usinas!$C:$D,2,FALSE)</f>
        <v>449.46499999999997</v>
      </c>
      <c r="O229" s="65">
        <f ca="1">VLOOKUP($A229,INDIRECT($P$2),COLUMN()-1,FALSE)*VLOOKUP($A229,Usinas!$C:$D,2,FALSE)</f>
        <v>809.51900000000001</v>
      </c>
    </row>
    <row r="230" spans="1:15" hidden="1" outlineLevel="2" x14ac:dyDescent="0.25">
      <c r="A230" s="30">
        <v>172</v>
      </c>
      <c r="B230" s="31" t="s">
        <v>208</v>
      </c>
      <c r="D230" s="65">
        <f ca="1">VLOOKUP($A230,INDIRECT($P$2),COLUMN()-1,FALSE)*VLOOKUP($A230,Usinas!$C:$D,2,FALSE)</f>
        <v>2115.8796000000002</v>
      </c>
      <c r="E230" s="65">
        <f ca="1">VLOOKUP($A230,INDIRECT($P$2),COLUMN()-1,FALSE)*VLOOKUP($A230,Usinas!$C:$D,2,FALSE)</f>
        <v>2249.8017</v>
      </c>
      <c r="F230" s="65">
        <f ca="1">VLOOKUP($A230,INDIRECT($P$2),COLUMN()-1,FALSE)*VLOOKUP($A230,Usinas!$C:$D,2,FALSE)</f>
        <v>2246.2184999999999</v>
      </c>
      <c r="G230" s="65">
        <f ca="1">VLOOKUP($A230,INDIRECT($P$2),COLUMN()-1,FALSE)*VLOOKUP($A230,Usinas!$C:$D,2,FALSE)</f>
        <v>1823.8488</v>
      </c>
      <c r="H230" s="65">
        <f ca="1">VLOOKUP($A230,INDIRECT($P$2),COLUMN()-1,FALSE)*VLOOKUP($A230,Usinas!$C:$D,2,FALSE)</f>
        <v>1099.5945000000002</v>
      </c>
      <c r="I230" s="65">
        <f ca="1">VLOOKUP($A230,INDIRECT($P$2),COLUMN()-1,FALSE)*VLOOKUP($A230,Usinas!$C:$D,2,FALSE)</f>
        <v>723.35850000000005</v>
      </c>
      <c r="J230" s="65">
        <f ca="1">VLOOKUP($A230,INDIRECT($P$2),COLUMN()-1,FALSE)*VLOOKUP($A230,Usinas!$C:$D,2,FALSE)</f>
        <v>593.91539999999998</v>
      </c>
      <c r="K230" s="65">
        <f ca="1">VLOOKUP($A230,INDIRECT($P$2),COLUMN()-1,FALSE)*VLOOKUP($A230,Usinas!$C:$D,2,FALSE)</f>
        <v>517.77240000000006</v>
      </c>
      <c r="L230" s="65">
        <f ca="1">VLOOKUP($A230,INDIRECT($P$2),COLUMN()-1,FALSE)*VLOOKUP($A230,Usinas!$C:$D,2,FALSE)</f>
        <v>462.6807</v>
      </c>
      <c r="M230" s="65">
        <f ca="1">VLOOKUP($A230,INDIRECT($P$2),COLUMN()-1,FALSE)*VLOOKUP($A230,Usinas!$C:$D,2,FALSE)</f>
        <v>500.75220000000002</v>
      </c>
      <c r="N230" s="65">
        <f ca="1">VLOOKUP($A230,INDIRECT($P$2),COLUMN()-1,FALSE)*VLOOKUP($A230,Usinas!$C:$D,2,FALSE)</f>
        <v>802.63679999999999</v>
      </c>
      <c r="O230" s="65">
        <f ca="1">VLOOKUP($A230,INDIRECT($P$2),COLUMN()-1,FALSE)*VLOOKUP($A230,Usinas!$C:$D,2,FALSE)</f>
        <v>1478.5179000000001</v>
      </c>
    </row>
    <row r="231" spans="1:15" hidden="1" outlineLevel="2" x14ac:dyDescent="0.25">
      <c r="A231" s="30">
        <v>176</v>
      </c>
      <c r="B231" s="31" t="s">
        <v>209</v>
      </c>
      <c r="D231" s="65">
        <f ca="1">VLOOKUP($A231,INDIRECT($P$2),COLUMN()-1,FALSE)*VLOOKUP($A231,Usinas!$C:$D,2,FALSE)</f>
        <v>4814.8720000000003</v>
      </c>
      <c r="E231" s="65">
        <f ca="1">VLOOKUP($A231,INDIRECT($P$2),COLUMN()-1,FALSE)*VLOOKUP($A231,Usinas!$C:$D,2,FALSE)</f>
        <v>5142.3240999999998</v>
      </c>
      <c r="F231" s="65">
        <f ca="1">VLOOKUP($A231,INDIRECT($P$2),COLUMN()-1,FALSE)*VLOOKUP($A231,Usinas!$C:$D,2,FALSE)</f>
        <v>5160.6859000000004</v>
      </c>
      <c r="G231" s="65">
        <f ca="1">VLOOKUP($A231,INDIRECT($P$2),COLUMN()-1,FALSE)*VLOOKUP($A231,Usinas!$C:$D,2,FALSE)</f>
        <v>4228.3145000000004</v>
      </c>
      <c r="H231" s="65">
        <f ca="1">VLOOKUP($A231,INDIRECT($P$2),COLUMN()-1,FALSE)*VLOOKUP($A231,Usinas!$C:$D,2,FALSE)</f>
        <v>2558.4108000000001</v>
      </c>
      <c r="I231" s="65">
        <f ca="1">VLOOKUP($A231,INDIRECT($P$2),COLUMN()-1,FALSE)*VLOOKUP($A231,Usinas!$C:$D,2,FALSE)</f>
        <v>1668.8836000000001</v>
      </c>
      <c r="J231" s="65">
        <f ca="1">VLOOKUP($A231,INDIRECT($P$2),COLUMN()-1,FALSE)*VLOOKUP($A231,Usinas!$C:$D,2,FALSE)</f>
        <v>1365.9139</v>
      </c>
      <c r="K231" s="65">
        <f ca="1">VLOOKUP($A231,INDIRECT($P$2),COLUMN()-1,FALSE)*VLOOKUP($A231,Usinas!$C:$D,2,FALSE)</f>
        <v>1191.4767999999999</v>
      </c>
      <c r="L231" s="65">
        <f ca="1">VLOOKUP($A231,INDIRECT($P$2),COLUMN()-1,FALSE)*VLOOKUP($A231,Usinas!$C:$D,2,FALSE)</f>
        <v>1064.9844000000001</v>
      </c>
      <c r="M231" s="65">
        <f ca="1">VLOOKUP($A231,INDIRECT($P$2),COLUMN()-1,FALSE)*VLOOKUP($A231,Usinas!$C:$D,2,FALSE)</f>
        <v>1141.4919</v>
      </c>
      <c r="N231" s="65">
        <f ca="1">VLOOKUP($A231,INDIRECT($P$2),COLUMN()-1,FALSE)*VLOOKUP($A231,Usinas!$C:$D,2,FALSE)</f>
        <v>1804.5569</v>
      </c>
      <c r="O231" s="65">
        <f ca="1">VLOOKUP($A231,INDIRECT($P$2),COLUMN()-1,FALSE)*VLOOKUP($A231,Usinas!$C:$D,2,FALSE)</f>
        <v>3344.9079000000002</v>
      </c>
    </row>
    <row r="232" spans="1:15" hidden="1" outlineLevel="2" x14ac:dyDescent="0.25">
      <c r="A232" s="30">
        <v>178</v>
      </c>
      <c r="B232" s="31" t="s">
        <v>210</v>
      </c>
      <c r="D232" s="65">
        <f ca="1">VLOOKUP($A232,INDIRECT($P$2),COLUMN()-1,FALSE)*VLOOKUP($A232,Usinas!$C:$D,2,FALSE)</f>
        <v>5117.1427999999996</v>
      </c>
      <c r="E232" s="65">
        <f ca="1">VLOOKUP($A232,INDIRECT($P$2),COLUMN()-1,FALSE)*VLOOKUP($A232,Usinas!$C:$D,2,FALSE)</f>
        <v>5467.4686000000002</v>
      </c>
      <c r="F232" s="65">
        <f ca="1">VLOOKUP($A232,INDIRECT($P$2),COLUMN()-1,FALSE)*VLOOKUP($A232,Usinas!$C:$D,2,FALSE)</f>
        <v>5486.9913999999999</v>
      </c>
      <c r="G232" s="65">
        <f ca="1">VLOOKUP($A232,INDIRECT($P$2),COLUMN()-1,FALSE)*VLOOKUP($A232,Usinas!$C:$D,2,FALSE)</f>
        <v>4494.5824000000002</v>
      </c>
      <c r="H232" s="65">
        <f ca="1">VLOOKUP($A232,INDIRECT($P$2),COLUMN()-1,FALSE)*VLOOKUP($A232,Usinas!$C:$D,2,FALSE)</f>
        <v>2720.1768000000002</v>
      </c>
      <c r="I232" s="65">
        <f ca="1">VLOOKUP($A232,INDIRECT($P$2),COLUMN()-1,FALSE)*VLOOKUP($A232,Usinas!$C:$D,2,FALSE)</f>
        <v>1774.4056</v>
      </c>
      <c r="J232" s="65">
        <f ca="1">VLOOKUP($A232,INDIRECT($P$2),COLUMN()-1,FALSE)*VLOOKUP($A232,Usinas!$C:$D,2,FALSE)</f>
        <v>1452.2794000000001</v>
      </c>
      <c r="K232" s="65">
        <f ca="1">VLOOKUP($A232,INDIRECT($P$2),COLUMN()-1,FALSE)*VLOOKUP($A232,Usinas!$C:$D,2,FALSE)</f>
        <v>1266.8127999999999</v>
      </c>
      <c r="L232" s="65">
        <f ca="1">VLOOKUP($A232,INDIRECT($P$2),COLUMN()-1,FALSE)*VLOOKUP($A232,Usinas!$C:$D,2,FALSE)</f>
        <v>1132.3224</v>
      </c>
      <c r="M232" s="65">
        <f ca="1">VLOOKUP($A232,INDIRECT($P$2),COLUMN()-1,FALSE)*VLOOKUP($A232,Usinas!$C:$D,2,FALSE)</f>
        <v>1213.6674</v>
      </c>
      <c r="N232" s="65">
        <f ca="1">VLOOKUP($A232,INDIRECT($P$2),COLUMN()-1,FALSE)*VLOOKUP($A232,Usinas!$C:$D,2,FALSE)</f>
        <v>1918.6574000000001</v>
      </c>
      <c r="O232" s="65">
        <f ca="1">VLOOKUP($A232,INDIRECT($P$2),COLUMN()-1,FALSE)*VLOOKUP($A232,Usinas!$C:$D,2,FALSE)</f>
        <v>3554.2341999999999</v>
      </c>
    </row>
    <row r="233" spans="1:15" hidden="1" outlineLevel="1" x14ac:dyDescent="0.25">
      <c r="A233" s="32"/>
      <c r="B233" s="33" t="s">
        <v>56</v>
      </c>
      <c r="D233" s="74">
        <f t="shared" ref="D233:I233" ca="1" si="39">SUM(D229:D232)</f>
        <v>13178.6664</v>
      </c>
      <c r="E233" s="48">
        <f t="shared" ca="1" si="39"/>
        <v>14041.2174</v>
      </c>
      <c r="F233" s="48">
        <f t="shared" ca="1" si="39"/>
        <v>14037.199799999999</v>
      </c>
      <c r="G233" s="48">
        <f t="shared" ca="1" si="39"/>
        <v>11452.182700000001</v>
      </c>
      <c r="H233" s="48">
        <f t="shared" ca="1" si="39"/>
        <v>6926.2161000000006</v>
      </c>
      <c r="I233" s="75">
        <f t="shared" ca="1" si="39"/>
        <v>4541.4027000000006</v>
      </c>
      <c r="J233" s="74">
        <f t="shared" ref="J233:O233" ca="1" si="40">SUM(J229:J232)</f>
        <v>3724.6857</v>
      </c>
      <c r="K233" s="48">
        <f t="shared" ca="1" si="40"/>
        <v>3246.7049999999999</v>
      </c>
      <c r="L233" s="48">
        <f t="shared" ca="1" si="40"/>
        <v>2902.1925000000001</v>
      </c>
      <c r="M233" s="48">
        <f t="shared" ca="1" si="40"/>
        <v>3128.0005000000001</v>
      </c>
      <c r="N233" s="48">
        <f t="shared" ca="1" si="40"/>
        <v>4975.3161</v>
      </c>
      <c r="O233" s="75">
        <f t="shared" ca="1" si="40"/>
        <v>9187.1790000000001</v>
      </c>
    </row>
    <row r="234" spans="1:15" hidden="1" outlineLevel="1" x14ac:dyDescent="0.25">
      <c r="A234" s="34"/>
      <c r="B234" s="35" t="s">
        <v>0</v>
      </c>
      <c r="D234" s="76"/>
      <c r="E234" s="77"/>
      <c r="F234" s="77"/>
      <c r="G234" s="77"/>
      <c r="H234" s="77"/>
      <c r="I234" s="78"/>
      <c r="J234" s="76"/>
      <c r="K234" s="77"/>
      <c r="L234" s="77"/>
      <c r="M234" s="77"/>
      <c r="N234" s="77"/>
      <c r="O234" s="78"/>
    </row>
    <row r="235" spans="1:15" hidden="1" outlineLevel="1" x14ac:dyDescent="0.25">
      <c r="A235" s="2"/>
      <c r="B235" s="3"/>
      <c r="D235" s="53"/>
      <c r="E235" s="54"/>
      <c r="F235" s="54"/>
      <c r="G235" s="54"/>
      <c r="H235" s="54"/>
      <c r="I235" s="54"/>
      <c r="J235" s="53"/>
      <c r="K235" s="54"/>
      <c r="L235" s="54"/>
      <c r="M235" s="54"/>
      <c r="N235" s="54"/>
      <c r="O235" s="54"/>
    </row>
    <row r="236" spans="1:15" hidden="1" outlineLevel="1" x14ac:dyDescent="0.25">
      <c r="A236" s="36"/>
      <c r="B236" s="37"/>
      <c r="D236" s="332" t="s">
        <v>211</v>
      </c>
      <c r="E236" s="333" t="s">
        <v>58</v>
      </c>
      <c r="F236" s="333" t="s">
        <v>212</v>
      </c>
      <c r="G236" s="333"/>
      <c r="H236" s="333"/>
      <c r="I236" s="334"/>
      <c r="J236" s="332" t="s">
        <v>211</v>
      </c>
      <c r="K236" s="333" t="s">
        <v>58</v>
      </c>
      <c r="L236" s="333" t="s">
        <v>212</v>
      </c>
      <c r="M236" s="333"/>
      <c r="N236" s="333"/>
      <c r="O236" s="334"/>
    </row>
    <row r="237" spans="1:15" hidden="1" outlineLevel="2" x14ac:dyDescent="0.25">
      <c r="A237" s="30">
        <v>188</v>
      </c>
      <c r="B237" s="31" t="s">
        <v>213</v>
      </c>
      <c r="D237" s="65">
        <f ca="1">VLOOKUP($A237,INDIRECT($P$2),COLUMN()-1,FALSE)*VLOOKUP($A237,Usinas!$C:$D,2,FALSE)</f>
        <v>592.8202</v>
      </c>
      <c r="E237" s="65">
        <f ca="1">VLOOKUP($A237,INDIRECT($P$2),COLUMN()-1,FALSE)*VLOOKUP($A237,Usinas!$C:$D,2,FALSE)</f>
        <v>434.92619999999999</v>
      </c>
      <c r="F237" s="65">
        <f ca="1">VLOOKUP($A237,INDIRECT($P$2),COLUMN()-1,FALSE)*VLOOKUP($A237,Usinas!$C:$D,2,FALSE)</f>
        <v>359.5677</v>
      </c>
      <c r="G237" s="65">
        <f ca="1">VLOOKUP($A237,INDIRECT($P$2),COLUMN()-1,FALSE)*VLOOKUP($A237,Usinas!$C:$D,2,FALSE)</f>
        <v>246.8888</v>
      </c>
      <c r="H237" s="65">
        <f ca="1">VLOOKUP($A237,INDIRECT($P$2),COLUMN()-1,FALSE)*VLOOKUP($A237,Usinas!$C:$D,2,FALSE)</f>
        <v>149.99930000000001</v>
      </c>
      <c r="I237" s="65">
        <f ca="1">VLOOKUP($A237,INDIRECT($P$2),COLUMN()-1,FALSE)*VLOOKUP($A237,Usinas!$C:$D,2,FALSE)</f>
        <v>119.1382</v>
      </c>
      <c r="J237" s="65">
        <f ca="1">VLOOKUP($A237,INDIRECT($P$2),COLUMN()-1,FALSE)*VLOOKUP($A237,Usinas!$C:$D,2,FALSE)</f>
        <v>100.47799999999999</v>
      </c>
      <c r="K237" s="65">
        <f ca="1">VLOOKUP($A237,INDIRECT($P$2),COLUMN()-1,FALSE)*VLOOKUP($A237,Usinas!$C:$D,2,FALSE)</f>
        <v>84.688599999999994</v>
      </c>
      <c r="L237" s="65">
        <f ca="1">VLOOKUP($A237,INDIRECT($P$2),COLUMN()-1,FALSE)*VLOOKUP($A237,Usinas!$C:$D,2,FALSE)</f>
        <v>77.511600000000001</v>
      </c>
      <c r="M237" s="65">
        <f ca="1">VLOOKUP($A237,INDIRECT($P$2),COLUMN()-1,FALSE)*VLOOKUP($A237,Usinas!$C:$D,2,FALSE)</f>
        <v>124.1621</v>
      </c>
      <c r="N237" s="65">
        <f ca="1">VLOOKUP($A237,INDIRECT($P$2),COLUMN()-1,FALSE)*VLOOKUP($A237,Usinas!$C:$D,2,FALSE)</f>
        <v>340.18979999999999</v>
      </c>
      <c r="O237" s="65">
        <f ca="1">VLOOKUP($A237,INDIRECT($P$2),COLUMN()-1,FALSE)*VLOOKUP($A237,Usinas!$C:$D,2,FALSE)</f>
        <v>640.1884</v>
      </c>
    </row>
    <row r="238" spans="1:15" hidden="1" outlineLevel="1" x14ac:dyDescent="0.25">
      <c r="A238" s="32"/>
      <c r="B238" s="33" t="s">
        <v>56</v>
      </c>
      <c r="D238" s="74">
        <f t="shared" ref="D238:O238" ca="1" si="41">D237</f>
        <v>592.8202</v>
      </c>
      <c r="E238" s="48">
        <f t="shared" ca="1" si="41"/>
        <v>434.92619999999999</v>
      </c>
      <c r="F238" s="48">
        <f t="shared" ca="1" si="41"/>
        <v>359.5677</v>
      </c>
      <c r="G238" s="48">
        <f t="shared" ca="1" si="41"/>
        <v>246.8888</v>
      </c>
      <c r="H238" s="48">
        <f t="shared" ca="1" si="41"/>
        <v>149.99930000000001</v>
      </c>
      <c r="I238" s="75">
        <f t="shared" ca="1" si="41"/>
        <v>119.1382</v>
      </c>
      <c r="J238" s="74">
        <f t="shared" ca="1" si="41"/>
        <v>100.47799999999999</v>
      </c>
      <c r="K238" s="48">
        <f t="shared" ca="1" si="41"/>
        <v>84.688599999999994</v>
      </c>
      <c r="L238" s="48">
        <f t="shared" ca="1" si="41"/>
        <v>77.511600000000001</v>
      </c>
      <c r="M238" s="48">
        <f t="shared" ca="1" si="41"/>
        <v>124.1621</v>
      </c>
      <c r="N238" s="48">
        <f t="shared" ca="1" si="41"/>
        <v>340.18979999999999</v>
      </c>
      <c r="O238" s="75">
        <f t="shared" ca="1" si="41"/>
        <v>640.1884</v>
      </c>
    </row>
    <row r="239" spans="1:15" hidden="1" outlineLevel="1" x14ac:dyDescent="0.25">
      <c r="A239" s="34"/>
      <c r="B239" s="35" t="s">
        <v>0</v>
      </c>
      <c r="D239" s="76"/>
      <c r="E239" s="77"/>
      <c r="F239" s="77"/>
      <c r="G239" s="77"/>
      <c r="H239" s="77"/>
      <c r="I239" s="78"/>
      <c r="J239" s="76"/>
      <c r="K239" s="77"/>
      <c r="L239" s="77"/>
      <c r="M239" s="77"/>
      <c r="N239" s="77"/>
      <c r="O239" s="78"/>
    </row>
    <row r="240" spans="1:15" hidden="1" outlineLevel="1" x14ac:dyDescent="0.25">
      <c r="A240" s="2"/>
      <c r="B240" s="3"/>
      <c r="D240" s="53"/>
      <c r="E240" s="54"/>
      <c r="F240" s="54"/>
      <c r="G240" s="54"/>
      <c r="H240" s="54"/>
      <c r="I240" s="54"/>
      <c r="J240" s="53"/>
      <c r="K240" s="54"/>
      <c r="L240" s="54"/>
      <c r="M240" s="54"/>
      <c r="N240" s="54"/>
      <c r="O240" s="54"/>
    </row>
    <row r="241" spans="1:15" hidden="1" outlineLevel="1" x14ac:dyDescent="0.25">
      <c r="A241" s="36"/>
      <c r="B241" s="37"/>
      <c r="D241" s="332" t="s">
        <v>214</v>
      </c>
      <c r="E241" s="333" t="s">
        <v>58</v>
      </c>
      <c r="F241" s="333" t="s">
        <v>215</v>
      </c>
      <c r="G241" s="333"/>
      <c r="H241" s="333"/>
      <c r="I241" s="334"/>
      <c r="J241" s="332" t="s">
        <v>214</v>
      </c>
      <c r="K241" s="333" t="s">
        <v>58</v>
      </c>
      <c r="L241" s="333" t="s">
        <v>215</v>
      </c>
      <c r="M241" s="333"/>
      <c r="N241" s="333"/>
      <c r="O241" s="334"/>
    </row>
    <row r="242" spans="1:15" hidden="1" outlineLevel="2" x14ac:dyDescent="0.25">
      <c r="A242" s="30">
        <v>190</v>
      </c>
      <c r="B242" s="31" t="s">
        <v>216</v>
      </c>
      <c r="D242" s="65">
        <f ca="1">VLOOKUP($A242,INDIRECT($P$2),COLUMN()-1,FALSE)*VLOOKUP($A242,Usinas!$C:$D,2,FALSE)</f>
        <v>243.2226</v>
      </c>
      <c r="E242" s="65">
        <f ca="1">VLOOKUP($A242,INDIRECT($P$2),COLUMN()-1,FALSE)*VLOOKUP($A242,Usinas!$C:$D,2,FALSE)</f>
        <v>269.99939999999998</v>
      </c>
      <c r="F242" s="65">
        <f ca="1">VLOOKUP($A242,INDIRECT($P$2),COLUMN()-1,FALSE)*VLOOKUP($A242,Usinas!$C:$D,2,FALSE)</f>
        <v>286.363</v>
      </c>
      <c r="G242" s="65">
        <f ca="1">VLOOKUP($A242,INDIRECT($P$2),COLUMN()-1,FALSE)*VLOOKUP($A242,Usinas!$C:$D,2,FALSE)</f>
        <v>252.892</v>
      </c>
      <c r="H242" s="65">
        <f ca="1">VLOOKUP($A242,INDIRECT($P$2),COLUMN()-1,FALSE)*VLOOKUP($A242,Usinas!$C:$D,2,FALSE)</f>
        <v>163.636</v>
      </c>
      <c r="I242" s="65">
        <f ca="1">VLOOKUP($A242,INDIRECT($P$2),COLUMN()-1,FALSE)*VLOOKUP($A242,Usinas!$C:$D,2,FALSE)</f>
        <v>113.4295</v>
      </c>
      <c r="J242" s="65">
        <f ca="1">VLOOKUP($A242,INDIRECT($P$2),COLUMN()-1,FALSE)*VLOOKUP($A242,Usinas!$C:$D,2,FALSE)</f>
        <v>97.809700000000007</v>
      </c>
      <c r="K242" s="65">
        <f ca="1">VLOOKUP($A242,INDIRECT($P$2),COLUMN()-1,FALSE)*VLOOKUP($A242,Usinas!$C:$D,2,FALSE)</f>
        <v>89.627899999999997</v>
      </c>
      <c r="L242" s="65">
        <f ca="1">VLOOKUP($A242,INDIRECT($P$2),COLUMN()-1,FALSE)*VLOOKUP($A242,Usinas!$C:$D,2,FALSE)</f>
        <v>87.7684</v>
      </c>
      <c r="M242" s="65">
        <f ca="1">VLOOKUP($A242,INDIRECT($P$2),COLUMN()-1,FALSE)*VLOOKUP($A242,Usinas!$C:$D,2,FALSE)</f>
        <v>107.10720000000001</v>
      </c>
      <c r="N242" s="65">
        <f ca="1">VLOOKUP($A242,INDIRECT($P$2),COLUMN()-1,FALSE)*VLOOKUP($A242,Usinas!$C:$D,2,FALSE)</f>
        <v>148.76</v>
      </c>
      <c r="O242" s="65">
        <f ca="1">VLOOKUP($A242,INDIRECT($P$2),COLUMN()-1,FALSE)*VLOOKUP($A242,Usinas!$C:$D,2,FALSE)</f>
        <v>198.2227</v>
      </c>
    </row>
    <row r="243" spans="1:15" hidden="1" outlineLevel="1" x14ac:dyDescent="0.25">
      <c r="A243" s="32"/>
      <c r="B243" s="33" t="s">
        <v>56</v>
      </c>
      <c r="D243" s="74">
        <f t="shared" ref="D243:O243" ca="1" si="42">D242</f>
        <v>243.2226</v>
      </c>
      <c r="E243" s="48">
        <f t="shared" ca="1" si="42"/>
        <v>269.99939999999998</v>
      </c>
      <c r="F243" s="48">
        <f t="shared" ca="1" si="42"/>
        <v>286.363</v>
      </c>
      <c r="G243" s="48">
        <f t="shared" ca="1" si="42"/>
        <v>252.892</v>
      </c>
      <c r="H243" s="48">
        <f t="shared" ca="1" si="42"/>
        <v>163.636</v>
      </c>
      <c r="I243" s="75">
        <f t="shared" ca="1" si="42"/>
        <v>113.4295</v>
      </c>
      <c r="J243" s="74">
        <f t="shared" ca="1" si="42"/>
        <v>97.809700000000007</v>
      </c>
      <c r="K243" s="48">
        <f t="shared" ca="1" si="42"/>
        <v>89.627899999999997</v>
      </c>
      <c r="L243" s="48">
        <f t="shared" ca="1" si="42"/>
        <v>87.7684</v>
      </c>
      <c r="M243" s="48">
        <f t="shared" ca="1" si="42"/>
        <v>107.10720000000001</v>
      </c>
      <c r="N243" s="48">
        <f t="shared" ca="1" si="42"/>
        <v>148.76</v>
      </c>
      <c r="O243" s="75">
        <f t="shared" ca="1" si="42"/>
        <v>198.2227</v>
      </c>
    </row>
    <row r="244" spans="1:15" hidden="1" outlineLevel="1" x14ac:dyDescent="0.25">
      <c r="A244" s="34"/>
      <c r="B244" s="35" t="s">
        <v>0</v>
      </c>
      <c r="D244" s="76"/>
      <c r="E244" s="77"/>
      <c r="F244" s="77"/>
      <c r="G244" s="77"/>
      <c r="H244" s="77"/>
      <c r="I244" s="78"/>
      <c r="J244" s="76"/>
      <c r="K244" s="77"/>
      <c r="L244" s="77"/>
      <c r="M244" s="77"/>
      <c r="N244" s="77"/>
      <c r="O244" s="78"/>
    </row>
    <row r="245" spans="1:15" hidden="1" outlineLevel="1" x14ac:dyDescent="0.25">
      <c r="A245" s="2"/>
      <c r="B245" s="3"/>
      <c r="D245" s="53"/>
      <c r="E245" s="54"/>
      <c r="F245" s="54"/>
      <c r="G245" s="54"/>
      <c r="H245" s="54"/>
      <c r="I245" s="54"/>
      <c r="J245" s="53"/>
      <c r="K245" s="54"/>
      <c r="L245" s="54"/>
      <c r="M245" s="54"/>
      <c r="N245" s="54"/>
      <c r="O245" s="54"/>
    </row>
    <row r="246" spans="1:15" hidden="1" outlineLevel="1" x14ac:dyDescent="0.25">
      <c r="A246" s="36"/>
      <c r="B246" s="37"/>
      <c r="D246" s="332" t="s">
        <v>217</v>
      </c>
      <c r="E246" s="333" t="s">
        <v>58</v>
      </c>
      <c r="F246" s="333" t="s">
        <v>218</v>
      </c>
      <c r="G246" s="333"/>
      <c r="H246" s="333"/>
      <c r="I246" s="334"/>
      <c r="J246" s="332" t="s">
        <v>217</v>
      </c>
      <c r="K246" s="333" t="s">
        <v>58</v>
      </c>
      <c r="L246" s="333" t="s">
        <v>218</v>
      </c>
      <c r="M246" s="333"/>
      <c r="N246" s="333"/>
      <c r="O246" s="334"/>
    </row>
    <row r="247" spans="1:15" hidden="1" outlineLevel="2" x14ac:dyDescent="0.25">
      <c r="A247" s="30">
        <v>254</v>
      </c>
      <c r="B247" s="31" t="s">
        <v>219</v>
      </c>
      <c r="D247" s="65">
        <f ca="1">VLOOKUP($A247,INDIRECT($P$2),COLUMN()-1,FALSE)*VLOOKUP($A247,Usinas!$C:$D,2,FALSE)</f>
        <v>145.42320000000001</v>
      </c>
      <c r="E247" s="65">
        <f ca="1">VLOOKUP($A247,INDIRECT($P$2),COLUMN()-1,FALSE)*VLOOKUP($A247,Usinas!$C:$D,2,FALSE)</f>
        <v>146.34360000000001</v>
      </c>
      <c r="F247" s="65">
        <f ca="1">VLOOKUP($A247,INDIRECT($P$2),COLUMN()-1,FALSE)*VLOOKUP($A247,Usinas!$C:$D,2,FALSE)</f>
        <v>146.34360000000001</v>
      </c>
      <c r="G247" s="65">
        <f ca="1">VLOOKUP($A247,INDIRECT($P$2),COLUMN()-1,FALSE)*VLOOKUP($A247,Usinas!$C:$D,2,FALSE)</f>
        <v>121.4928</v>
      </c>
      <c r="H247" s="65">
        <f ca="1">VLOOKUP($A247,INDIRECT($P$2),COLUMN()-1,FALSE)*VLOOKUP($A247,Usinas!$C:$D,2,FALSE)</f>
        <v>73.632000000000005</v>
      </c>
      <c r="I247" s="65">
        <f ca="1">VLOOKUP($A247,INDIRECT($P$2),COLUMN()-1,FALSE)*VLOOKUP($A247,Usinas!$C:$D,2,FALSE)</f>
        <v>50.622</v>
      </c>
      <c r="J247" s="65">
        <f ca="1">VLOOKUP($A247,INDIRECT($P$2),COLUMN()-1,FALSE)*VLOOKUP($A247,Usinas!$C:$D,2,FALSE)</f>
        <v>50.622</v>
      </c>
      <c r="K247" s="65">
        <f ca="1">VLOOKUP($A247,INDIRECT($P$2),COLUMN()-1,FALSE)*VLOOKUP($A247,Usinas!$C:$D,2,FALSE)</f>
        <v>40.497599999999998</v>
      </c>
      <c r="L247" s="65">
        <f ca="1">VLOOKUP($A247,INDIRECT($P$2),COLUMN()-1,FALSE)*VLOOKUP($A247,Usinas!$C:$D,2,FALSE)</f>
        <v>27.611999999999998</v>
      </c>
      <c r="M247" s="65">
        <f ca="1">VLOOKUP($A247,INDIRECT($P$2),COLUMN()-1,FALSE)*VLOOKUP($A247,Usinas!$C:$D,2,FALSE)</f>
        <v>33.134399999999999</v>
      </c>
      <c r="N247" s="65">
        <f ca="1">VLOOKUP($A247,INDIRECT($P$2),COLUMN()-1,FALSE)*VLOOKUP($A247,Usinas!$C:$D,2,FALSE)</f>
        <v>88.358400000000003</v>
      </c>
      <c r="O247" s="65">
        <f ca="1">VLOOKUP($A247,INDIRECT($P$2),COLUMN()-1,FALSE)*VLOOKUP($A247,Usinas!$C:$D,2,FALSE)</f>
        <v>185.00040000000001</v>
      </c>
    </row>
    <row r="248" spans="1:15" hidden="1" outlineLevel="1" x14ac:dyDescent="0.25">
      <c r="A248" s="32"/>
      <c r="B248" s="33" t="s">
        <v>56</v>
      </c>
      <c r="D248" s="74">
        <f t="shared" ref="D248:O248" ca="1" si="43">D247</f>
        <v>145.42320000000001</v>
      </c>
      <c r="E248" s="48">
        <f t="shared" ca="1" si="43"/>
        <v>146.34360000000001</v>
      </c>
      <c r="F248" s="48">
        <f t="shared" ca="1" si="43"/>
        <v>146.34360000000001</v>
      </c>
      <c r="G248" s="48">
        <f t="shared" ca="1" si="43"/>
        <v>121.4928</v>
      </c>
      <c r="H248" s="48">
        <f t="shared" ca="1" si="43"/>
        <v>73.632000000000005</v>
      </c>
      <c r="I248" s="75">
        <f t="shared" ca="1" si="43"/>
        <v>50.622</v>
      </c>
      <c r="J248" s="74">
        <f t="shared" ca="1" si="43"/>
        <v>50.622</v>
      </c>
      <c r="K248" s="48">
        <f t="shared" ca="1" si="43"/>
        <v>40.497599999999998</v>
      </c>
      <c r="L248" s="48">
        <f t="shared" ca="1" si="43"/>
        <v>27.611999999999998</v>
      </c>
      <c r="M248" s="48">
        <f t="shared" ca="1" si="43"/>
        <v>33.134399999999999</v>
      </c>
      <c r="N248" s="48">
        <f t="shared" ca="1" si="43"/>
        <v>88.358400000000003</v>
      </c>
      <c r="O248" s="75">
        <f t="shared" ca="1" si="43"/>
        <v>185.00040000000001</v>
      </c>
    </row>
    <row r="249" spans="1:15" hidden="1" outlineLevel="1" x14ac:dyDescent="0.25">
      <c r="A249" s="34"/>
      <c r="B249" s="35" t="s">
        <v>0</v>
      </c>
      <c r="D249" s="76"/>
      <c r="E249" s="77"/>
      <c r="F249" s="77"/>
      <c r="G249" s="77"/>
      <c r="H249" s="77"/>
      <c r="I249" s="78"/>
      <c r="J249" s="76"/>
      <c r="K249" s="77"/>
      <c r="L249" s="77"/>
      <c r="M249" s="77"/>
      <c r="N249" s="77"/>
      <c r="O249" s="78"/>
    </row>
    <row r="250" spans="1:15" hidden="1" outlineLevel="1" x14ac:dyDescent="0.25">
      <c r="A250" s="2"/>
      <c r="B250" s="3"/>
      <c r="D250" s="53"/>
      <c r="E250" s="54"/>
      <c r="F250" s="54"/>
      <c r="G250" s="54"/>
      <c r="H250" s="54"/>
      <c r="I250" s="54"/>
      <c r="J250" s="53"/>
      <c r="K250" s="54"/>
      <c r="L250" s="54"/>
      <c r="M250" s="54"/>
      <c r="N250" s="54"/>
      <c r="O250" s="54"/>
    </row>
    <row r="251" spans="1:15" ht="15.75" collapsed="1" x14ac:dyDescent="0.25">
      <c r="A251" s="85"/>
      <c r="B251" s="86"/>
      <c r="C251" s="97"/>
      <c r="D251" s="335" t="s">
        <v>220</v>
      </c>
      <c r="E251" s="336"/>
      <c r="F251" s="336"/>
      <c r="G251" s="336"/>
      <c r="H251" s="336"/>
      <c r="I251" s="336"/>
      <c r="J251" s="336"/>
      <c r="K251" s="336"/>
      <c r="L251" s="336"/>
      <c r="M251" s="336"/>
      <c r="N251" s="336"/>
      <c r="O251" s="337"/>
    </row>
    <row r="252" spans="1:15" ht="15.75" x14ac:dyDescent="0.25">
      <c r="A252" s="87"/>
      <c r="B252" s="88" t="s">
        <v>56</v>
      </c>
      <c r="C252" s="97"/>
      <c r="D252" s="88">
        <f t="shared" ref="D252:O252" ca="1" si="44">D233+D238+D243+D248</f>
        <v>14160.132399999999</v>
      </c>
      <c r="E252" s="89">
        <f t="shared" ca="1" si="44"/>
        <v>14892.4866</v>
      </c>
      <c r="F252" s="89">
        <f t="shared" ca="1" si="44"/>
        <v>14829.474099999998</v>
      </c>
      <c r="G252" s="89">
        <f t="shared" ca="1" si="44"/>
        <v>12073.456300000002</v>
      </c>
      <c r="H252" s="89">
        <f t="shared" ca="1" si="44"/>
        <v>7313.483400000001</v>
      </c>
      <c r="I252" s="90">
        <f t="shared" ca="1" si="44"/>
        <v>4824.5924000000014</v>
      </c>
      <c r="J252" s="88">
        <f t="shared" ca="1" si="44"/>
        <v>3973.5953999999997</v>
      </c>
      <c r="K252" s="89">
        <f t="shared" ca="1" si="44"/>
        <v>3461.5191</v>
      </c>
      <c r="L252" s="89">
        <f t="shared" ca="1" si="44"/>
        <v>3095.0844999999999</v>
      </c>
      <c r="M252" s="89">
        <f t="shared" ca="1" si="44"/>
        <v>3392.4041999999999</v>
      </c>
      <c r="N252" s="89">
        <f t="shared" ca="1" si="44"/>
        <v>5552.6243000000004</v>
      </c>
      <c r="O252" s="90">
        <f t="shared" ca="1" si="44"/>
        <v>10210.5905</v>
      </c>
    </row>
    <row r="254" spans="1:15" x14ac:dyDescent="0.25">
      <c r="A254" s="103"/>
      <c r="B254" s="104"/>
      <c r="C254" s="105"/>
      <c r="D254" s="106"/>
      <c r="E254" s="107"/>
      <c r="F254" s="107"/>
      <c r="G254" s="107"/>
      <c r="H254" s="107"/>
      <c r="I254" s="108"/>
    </row>
    <row r="255" spans="1:15" hidden="1" outlineLevel="1" x14ac:dyDescent="0.25">
      <c r="A255" s="4"/>
      <c r="B255" s="5"/>
      <c r="C255" s="105"/>
      <c r="D255" s="338" t="s">
        <v>221</v>
      </c>
      <c r="E255" s="339"/>
      <c r="F255" s="339"/>
      <c r="G255" s="339"/>
      <c r="H255" s="339"/>
      <c r="I255" s="340"/>
      <c r="J255" s="338" t="s">
        <v>221</v>
      </c>
      <c r="K255" s="339"/>
      <c r="L255" s="339"/>
      <c r="M255" s="339"/>
      <c r="N255" s="339"/>
      <c r="O255" s="340"/>
    </row>
    <row r="256" spans="1:15" hidden="1" outlineLevel="2" x14ac:dyDescent="0.25">
      <c r="A256" s="6">
        <v>271</v>
      </c>
      <c r="B256" s="7" t="s">
        <v>222</v>
      </c>
      <c r="C256" s="105"/>
      <c r="D256" s="65">
        <f ca="1">VLOOKUP($A256,INDIRECT($P$2),COLUMN()-1,FALSE)*VLOOKUP($A256,Usinas!$C:$D,2,FALSE)</f>
        <v>1383.5616</v>
      </c>
      <c r="E256" s="65">
        <f ca="1">VLOOKUP($A256,INDIRECT($P$2),COLUMN()-1,FALSE)*VLOOKUP($A256,Usinas!$C:$D,2,FALSE)</f>
        <v>1662.9192</v>
      </c>
      <c r="F256" s="65">
        <f ca="1">VLOOKUP($A256,INDIRECT($P$2),COLUMN()-1,FALSE)*VLOOKUP($A256,Usinas!$C:$D,2,FALSE)</f>
        <v>1763.7203999999999</v>
      </c>
      <c r="G256" s="65">
        <f ca="1">VLOOKUP($A256,INDIRECT($P$2),COLUMN()-1,FALSE)*VLOOKUP($A256,Usinas!$C:$D,2,FALSE)</f>
        <v>1468.1304</v>
      </c>
      <c r="H256" s="65">
        <f ca="1">VLOOKUP($A256,INDIRECT($P$2),COLUMN()-1,FALSE)*VLOOKUP($A256,Usinas!$C:$D,2,FALSE)</f>
        <v>824.64599999999996</v>
      </c>
      <c r="I256" s="65">
        <f ca="1">VLOOKUP($A256,INDIRECT($P$2),COLUMN()-1,FALSE)*VLOOKUP($A256,Usinas!$C:$D,2,FALSE)</f>
        <v>470.7396</v>
      </c>
      <c r="J256" s="65">
        <f ca="1">VLOOKUP($A256,INDIRECT($P$2),COLUMN()-1,FALSE)*VLOOKUP($A256,Usinas!$C:$D,2,FALSE)</f>
        <v>333.26519999999999</v>
      </c>
      <c r="K256" s="65">
        <f ca="1">VLOOKUP($A256,INDIRECT($P$2),COLUMN()-1,FALSE)*VLOOKUP($A256,Usinas!$C:$D,2,FALSE)</f>
        <v>256.512</v>
      </c>
      <c r="L256" s="65">
        <f ca="1">VLOOKUP($A256,INDIRECT($P$2),COLUMN()-1,FALSE)*VLOOKUP($A256,Usinas!$C:$D,2,FALSE)</f>
        <v>231.46199999999999</v>
      </c>
      <c r="M256" s="65">
        <f ca="1">VLOOKUP($A256,INDIRECT($P$2),COLUMN()-1,FALSE)*VLOOKUP($A256,Usinas!$C:$D,2,FALSE)</f>
        <v>299.59800000000001</v>
      </c>
      <c r="N256" s="65">
        <f ca="1">VLOOKUP($A256,INDIRECT($P$2),COLUMN()-1,FALSE)*VLOOKUP($A256,Usinas!$C:$D,2,FALSE)</f>
        <v>521.24040000000002</v>
      </c>
      <c r="O256" s="65">
        <f ca="1">VLOOKUP($A256,INDIRECT($P$2),COLUMN()-1,FALSE)*VLOOKUP($A256,Usinas!$C:$D,2,FALSE)</f>
        <v>957.91199999999992</v>
      </c>
    </row>
    <row r="257" spans="1:15" hidden="1" outlineLevel="2" x14ac:dyDescent="0.25">
      <c r="A257" s="6">
        <v>275</v>
      </c>
      <c r="B257" s="7" t="s">
        <v>37</v>
      </c>
      <c r="C257" s="105"/>
      <c r="D257" s="65">
        <f ca="1">VLOOKUP($A257,INDIRECT($P$2),COLUMN()-1,FALSE)*VLOOKUP($A257,Usinas!$C:$D,2,FALSE)</f>
        <v>8307.9709999999995</v>
      </c>
      <c r="E257" s="65">
        <f ca="1">VLOOKUP($A257,INDIRECT($P$2),COLUMN()-1,FALSE)*VLOOKUP($A257,Usinas!$C:$D,2,FALSE)</f>
        <v>11253.4496</v>
      </c>
      <c r="F257" s="65">
        <f ca="1">VLOOKUP($A257,INDIRECT($P$2),COLUMN()-1,FALSE)*VLOOKUP($A257,Usinas!$C:$D,2,FALSE)</f>
        <v>13154.059000000001</v>
      </c>
      <c r="G257" s="65">
        <f ca="1">VLOOKUP($A257,INDIRECT($P$2),COLUMN()-1,FALSE)*VLOOKUP($A257,Usinas!$C:$D,2,FALSE)</f>
        <v>13156.2518</v>
      </c>
      <c r="H257" s="65">
        <f ca="1">VLOOKUP($A257,INDIRECT($P$2),COLUMN()-1,FALSE)*VLOOKUP($A257,Usinas!$C:$D,2,FALSE)</f>
        <v>8560.6912000000011</v>
      </c>
      <c r="I257" s="65">
        <f ca="1">VLOOKUP($A257,INDIRECT($P$2),COLUMN()-1,FALSE)*VLOOKUP($A257,Usinas!$C:$D,2,FALSE)</f>
        <v>4013.3722000000002</v>
      </c>
      <c r="J257" s="65">
        <f ca="1">VLOOKUP($A257,INDIRECT($P$2),COLUMN()-1,FALSE)*VLOOKUP($A257,Usinas!$C:$D,2,FALSE)</f>
        <v>2309.0183999999999</v>
      </c>
      <c r="K257" s="65">
        <f ca="1">VLOOKUP($A257,INDIRECT($P$2),COLUMN()-1,FALSE)*VLOOKUP($A257,Usinas!$C:$D,2,FALSE)</f>
        <v>1621.0274000000002</v>
      </c>
      <c r="L257" s="65">
        <f ca="1">VLOOKUP($A257,INDIRECT($P$2),COLUMN()-1,FALSE)*VLOOKUP($A257,Usinas!$C:$D,2,FALSE)</f>
        <v>1278.9506000000001</v>
      </c>
      <c r="M257" s="65">
        <f ca="1">VLOOKUP($A257,INDIRECT($P$2),COLUMN()-1,FALSE)*VLOOKUP($A257,Usinas!$C:$D,2,FALSE)</f>
        <v>1436.2840000000001</v>
      </c>
      <c r="N257" s="65">
        <f ca="1">VLOOKUP($A257,INDIRECT($P$2),COLUMN()-1,FALSE)*VLOOKUP($A257,Usinas!$C:$D,2,FALSE)</f>
        <v>2382.4772000000003</v>
      </c>
      <c r="O257" s="65">
        <f ca="1">VLOOKUP($A257,INDIRECT($P$2),COLUMN()-1,FALSE)*VLOOKUP($A257,Usinas!$C:$D,2,FALSE)</f>
        <v>4700.2668000000003</v>
      </c>
    </row>
    <row r="258" spans="1:15" hidden="1" outlineLevel="1" x14ac:dyDescent="0.25">
      <c r="A258" s="8"/>
      <c r="B258" s="9" t="s">
        <v>56</v>
      </c>
      <c r="C258" s="105"/>
      <c r="D258" s="55">
        <f t="shared" ref="D258:I258" ca="1" si="45">SUM(D256:D257)</f>
        <v>9691.5325999999986</v>
      </c>
      <c r="E258" s="48">
        <f t="shared" ca="1" si="45"/>
        <v>12916.3688</v>
      </c>
      <c r="F258" s="48">
        <f t="shared" ca="1" si="45"/>
        <v>14917.779400000001</v>
      </c>
      <c r="G258" s="48">
        <f t="shared" ca="1" si="45"/>
        <v>14624.3822</v>
      </c>
      <c r="H258" s="48">
        <f t="shared" ca="1" si="45"/>
        <v>9385.3372000000018</v>
      </c>
      <c r="I258" s="56">
        <f t="shared" ca="1" si="45"/>
        <v>4484.1118000000006</v>
      </c>
      <c r="J258" s="55">
        <f t="shared" ref="J258:O258" ca="1" si="46">SUM(J256:J257)</f>
        <v>2642.2835999999998</v>
      </c>
      <c r="K258" s="48">
        <f t="shared" ca="1" si="46"/>
        <v>1877.5394000000001</v>
      </c>
      <c r="L258" s="48">
        <f t="shared" ca="1" si="46"/>
        <v>1510.4126000000001</v>
      </c>
      <c r="M258" s="48">
        <f t="shared" ca="1" si="46"/>
        <v>1735.8820000000001</v>
      </c>
      <c r="N258" s="48">
        <f t="shared" ca="1" si="46"/>
        <v>2903.7176000000004</v>
      </c>
      <c r="O258" s="56">
        <f t="shared" ca="1" si="46"/>
        <v>5658.1788000000006</v>
      </c>
    </row>
    <row r="259" spans="1:15" hidden="1" outlineLevel="1" x14ac:dyDescent="0.25">
      <c r="A259" s="10"/>
      <c r="B259" s="11" t="s">
        <v>0</v>
      </c>
      <c r="C259" s="105"/>
      <c r="D259" s="57"/>
      <c r="E259" s="58"/>
      <c r="F259" s="58"/>
      <c r="G259" s="58"/>
      <c r="H259" s="58"/>
      <c r="I259" s="59"/>
      <c r="J259" s="57"/>
      <c r="K259" s="58"/>
      <c r="L259" s="58"/>
      <c r="M259" s="58"/>
      <c r="N259" s="58"/>
      <c r="O259" s="59"/>
    </row>
    <row r="260" spans="1:15" hidden="1" outlineLevel="1" x14ac:dyDescent="0.25">
      <c r="A260" s="2"/>
      <c r="B260" s="3"/>
      <c r="C260" s="105"/>
      <c r="D260" s="53"/>
      <c r="E260" s="54"/>
      <c r="F260" s="54"/>
      <c r="G260" s="54"/>
      <c r="H260" s="54"/>
      <c r="I260" s="54"/>
      <c r="J260" s="53"/>
      <c r="K260" s="54"/>
      <c r="L260" s="54"/>
      <c r="M260" s="54"/>
      <c r="N260" s="54"/>
      <c r="O260" s="54"/>
    </row>
    <row r="261" spans="1:15" hidden="1" outlineLevel="1" x14ac:dyDescent="0.25">
      <c r="A261" s="12"/>
      <c r="B261" s="13"/>
      <c r="C261" s="105"/>
      <c r="D261" s="344" t="s">
        <v>223</v>
      </c>
      <c r="E261" s="345"/>
      <c r="F261" s="345"/>
      <c r="G261" s="345"/>
      <c r="H261" s="345"/>
      <c r="I261" s="346"/>
      <c r="J261" s="344" t="s">
        <v>223</v>
      </c>
      <c r="K261" s="345"/>
      <c r="L261" s="345"/>
      <c r="M261" s="345"/>
      <c r="N261" s="345"/>
      <c r="O261" s="346"/>
    </row>
    <row r="262" spans="1:15" hidden="1" outlineLevel="2" x14ac:dyDescent="0.25">
      <c r="A262" s="6">
        <v>277</v>
      </c>
      <c r="B262" s="7" t="s">
        <v>224</v>
      </c>
      <c r="C262" s="105"/>
      <c r="D262" s="65">
        <f ca="1">VLOOKUP($A262,INDIRECT($P$2),COLUMN()-1,FALSE)*VLOOKUP($A262,Usinas!$C:$D,2,FALSE)</f>
        <v>22.451000000000001</v>
      </c>
      <c r="E262" s="65">
        <f ca="1">VLOOKUP($A262,INDIRECT($P$2),COLUMN()-1,FALSE)*VLOOKUP($A262,Usinas!$C:$D,2,FALSE)</f>
        <v>32.655999999999999</v>
      </c>
      <c r="F262" s="65">
        <f ca="1">VLOOKUP($A262,INDIRECT($P$2),COLUMN()-1,FALSE)*VLOOKUP($A262,Usinas!$C:$D,2,FALSE)</f>
        <v>50.24</v>
      </c>
      <c r="G262" s="65">
        <f ca="1">VLOOKUP($A262,INDIRECT($P$2),COLUMN()-1,FALSE)*VLOOKUP($A262,Usinas!$C:$D,2,FALSE)</f>
        <v>63.741999999999997</v>
      </c>
      <c r="H262" s="65">
        <f ca="1">VLOOKUP($A262,INDIRECT($P$2),COLUMN()-1,FALSE)*VLOOKUP($A262,Usinas!$C:$D,2,FALSE)</f>
        <v>61.073</v>
      </c>
      <c r="I262" s="65">
        <f ca="1">VLOOKUP($A262,INDIRECT($P$2),COLUMN()-1,FALSE)*VLOOKUP($A262,Usinas!$C:$D,2,FALSE)</f>
        <v>41.918999999999997</v>
      </c>
      <c r="J262" s="65">
        <f ca="1">VLOOKUP($A262,INDIRECT($P$2),COLUMN()-1,FALSE)*VLOOKUP($A262,Usinas!$C:$D,2,FALSE)</f>
        <v>31.085999999999999</v>
      </c>
      <c r="K262" s="65">
        <f ca="1">VLOOKUP($A262,INDIRECT($P$2),COLUMN()-1,FALSE)*VLOOKUP($A262,Usinas!$C:$D,2,FALSE)</f>
        <v>23.393000000000001</v>
      </c>
      <c r="L262" s="65">
        <f ca="1">VLOOKUP($A262,INDIRECT($P$2),COLUMN()-1,FALSE)*VLOOKUP($A262,Usinas!$C:$D,2,FALSE)</f>
        <v>20.253</v>
      </c>
      <c r="M262" s="65">
        <f ca="1">VLOOKUP($A262,INDIRECT($P$2),COLUMN()-1,FALSE)*VLOOKUP($A262,Usinas!$C:$D,2,FALSE)</f>
        <v>18.055</v>
      </c>
      <c r="N262" s="65">
        <f ca="1">VLOOKUP($A262,INDIRECT($P$2),COLUMN()-1,FALSE)*VLOOKUP($A262,Usinas!$C:$D,2,FALSE)</f>
        <v>18.055</v>
      </c>
      <c r="O262" s="65">
        <f ca="1">VLOOKUP($A262,INDIRECT($P$2),COLUMN()-1,FALSE)*VLOOKUP($A262,Usinas!$C:$D,2,FALSE)</f>
        <v>18.683</v>
      </c>
    </row>
    <row r="263" spans="1:15" hidden="1" outlineLevel="2" x14ac:dyDescent="0.25">
      <c r="A263" s="6">
        <v>290</v>
      </c>
      <c r="B263" s="7" t="s">
        <v>250</v>
      </c>
      <c r="C263" s="105"/>
      <c r="D263" s="65">
        <f ca="1">VLOOKUP($A263,INDIRECT($P$2),COLUMN()-1,FALSE)*VLOOKUP($A263,Usinas!$C:$D,2,FALSE)</f>
        <v>162.09270000000001</v>
      </c>
      <c r="E263" s="65">
        <f ca="1">VLOOKUP($A263,INDIRECT($P$2),COLUMN()-1,FALSE)*VLOOKUP($A263,Usinas!$C:$D,2,FALSE)</f>
        <v>251.20859999999999</v>
      </c>
      <c r="F263" s="65">
        <f ca="1">VLOOKUP($A263,INDIRECT($P$2),COLUMN()-1,FALSE)*VLOOKUP($A263,Usinas!$C:$D,2,FALSE)</f>
        <v>318.33789999999999</v>
      </c>
      <c r="G263" s="65">
        <f ca="1">VLOOKUP($A263,INDIRECT($P$2),COLUMN()-1,FALSE)*VLOOKUP($A263,Usinas!$C:$D,2,FALSE)</f>
        <v>423.35899999999998</v>
      </c>
      <c r="H263" s="65">
        <f ca="1">VLOOKUP($A263,INDIRECT($P$2),COLUMN()-1,FALSE)*VLOOKUP($A263,Usinas!$C:$D,2,FALSE)</f>
        <v>494.23070000000001</v>
      </c>
      <c r="I263" s="65">
        <f ca="1">VLOOKUP($A263,INDIRECT($P$2),COLUMN()-1,FALSE)*VLOOKUP($A263,Usinas!$C:$D,2,FALSE)</f>
        <v>486.97980000000001</v>
      </c>
      <c r="J263" s="65">
        <f ca="1">VLOOKUP($A263,INDIRECT($P$2),COLUMN()-1,FALSE)*VLOOKUP($A263,Usinas!$C:$D,2,FALSE)</f>
        <v>339.85669999999999</v>
      </c>
      <c r="K263" s="65">
        <f ca="1">VLOOKUP($A263,INDIRECT($P$2),COLUMN()-1,FALSE)*VLOOKUP($A263,Usinas!$C:$D,2,FALSE)</f>
        <v>225.4796</v>
      </c>
      <c r="L263" s="65">
        <f ca="1">VLOOKUP($A263,INDIRECT($P$2),COLUMN()-1,FALSE)*VLOOKUP($A263,Usinas!$C:$D,2,FALSE)</f>
        <v>140.1061</v>
      </c>
      <c r="M263" s="65">
        <f ca="1">VLOOKUP($A263,INDIRECT($P$2),COLUMN()-1,FALSE)*VLOOKUP($A263,Usinas!$C:$D,2,FALSE)</f>
        <v>79.993799999999993</v>
      </c>
      <c r="N263" s="65">
        <f ca="1">VLOOKUP($A263,INDIRECT($P$2),COLUMN()-1,FALSE)*VLOOKUP($A263,Usinas!$C:$D,2,FALSE)</f>
        <v>58.475000000000001</v>
      </c>
      <c r="O263" s="65">
        <f ca="1">VLOOKUP($A263,INDIRECT($P$2),COLUMN()-1,FALSE)*VLOOKUP($A263,Usinas!$C:$D,2,FALSE)</f>
        <v>82.332799999999992</v>
      </c>
    </row>
    <row r="264" spans="1:15" hidden="1" outlineLevel="2" x14ac:dyDescent="0.25">
      <c r="A264" s="6">
        <v>269</v>
      </c>
      <c r="B264" s="7" t="s">
        <v>225</v>
      </c>
      <c r="C264" s="105"/>
      <c r="D264" s="65">
        <f ca="1">VLOOKUP($A264,INDIRECT($P$2),COLUMN()-1,FALSE)*VLOOKUP($A264,Usinas!$C:$D,2,FALSE)</f>
        <v>78.438400000000001</v>
      </c>
      <c r="E264" s="65">
        <f ca="1">VLOOKUP($A264,INDIRECT($P$2),COLUMN()-1,FALSE)*VLOOKUP($A264,Usinas!$C:$D,2,FALSE)</f>
        <v>119.6032</v>
      </c>
      <c r="F264" s="65">
        <f ca="1">VLOOKUP($A264,INDIRECT($P$2),COLUMN()-1,FALSE)*VLOOKUP($A264,Usinas!$C:$D,2,FALSE)</f>
        <v>152.98560000000001</v>
      </c>
      <c r="G264" s="65">
        <f ca="1">VLOOKUP($A264,INDIRECT($P$2),COLUMN()-1,FALSE)*VLOOKUP($A264,Usinas!$C:$D,2,FALSE)</f>
        <v>209.10080000000002</v>
      </c>
      <c r="H264" s="65">
        <f ca="1">VLOOKUP($A264,INDIRECT($P$2),COLUMN()-1,FALSE)*VLOOKUP($A264,Usinas!$C:$D,2,FALSE)</f>
        <v>242.89280000000002</v>
      </c>
      <c r="I264" s="65">
        <f ca="1">VLOOKUP($A264,INDIRECT($P$2),COLUMN()-1,FALSE)*VLOOKUP($A264,Usinas!$C:$D,2,FALSE)</f>
        <v>215.65440000000001</v>
      </c>
      <c r="J264" s="65">
        <f ca="1">VLOOKUP($A264,INDIRECT($P$2),COLUMN()-1,FALSE)*VLOOKUP($A264,Usinas!$C:$D,2,FALSE)</f>
        <v>137.21600000000001</v>
      </c>
      <c r="K264" s="65">
        <f ca="1">VLOOKUP($A264,INDIRECT($P$2),COLUMN()-1,FALSE)*VLOOKUP($A264,Usinas!$C:$D,2,FALSE)</f>
        <v>86.425600000000003</v>
      </c>
      <c r="L264" s="65">
        <f ca="1">VLOOKUP($A264,INDIRECT($P$2),COLUMN()-1,FALSE)*VLOOKUP($A264,Usinas!$C:$D,2,FALSE)</f>
        <v>64.512</v>
      </c>
      <c r="M264" s="65">
        <f ca="1">VLOOKUP($A264,INDIRECT($P$2),COLUMN()-1,FALSE)*VLOOKUP($A264,Usinas!$C:$D,2,FALSE)</f>
        <v>54.476800000000004</v>
      </c>
      <c r="N264" s="65">
        <f ca="1">VLOOKUP($A264,INDIRECT($P$2),COLUMN()-1,FALSE)*VLOOKUP($A264,Usinas!$C:$D,2,FALSE)</f>
        <v>53.862400000000001</v>
      </c>
      <c r="O264" s="65">
        <f ca="1">VLOOKUP($A264,INDIRECT($P$2),COLUMN()-1,FALSE)*VLOOKUP($A264,Usinas!$C:$D,2,FALSE)</f>
        <v>60.006400000000006</v>
      </c>
    </row>
    <row r="265" spans="1:15" hidden="1" outlineLevel="1" x14ac:dyDescent="0.25">
      <c r="A265" s="8"/>
      <c r="B265" s="9" t="s">
        <v>56</v>
      </c>
      <c r="C265" s="105"/>
      <c r="D265" s="55">
        <f t="shared" ref="D265:I265" ca="1" si="47">SUM(D262:D264)</f>
        <v>262.9821</v>
      </c>
      <c r="E265" s="48">
        <f t="shared" ca="1" si="47"/>
        <v>403.46780000000001</v>
      </c>
      <c r="F265" s="48">
        <f t="shared" ca="1" si="47"/>
        <v>521.56349999999998</v>
      </c>
      <c r="G265" s="48">
        <f t="shared" ca="1" si="47"/>
        <v>696.20180000000005</v>
      </c>
      <c r="H265" s="48">
        <f t="shared" ca="1" si="47"/>
        <v>798.19650000000001</v>
      </c>
      <c r="I265" s="56">
        <f t="shared" ca="1" si="47"/>
        <v>744.55320000000006</v>
      </c>
      <c r="J265" s="55">
        <f t="shared" ref="J265:O265" ca="1" si="48">SUM(J262:J264)</f>
        <v>508.15870000000001</v>
      </c>
      <c r="K265" s="48">
        <f t="shared" ca="1" si="48"/>
        <v>335.29820000000001</v>
      </c>
      <c r="L265" s="48">
        <f t="shared" ca="1" si="48"/>
        <v>224.87110000000001</v>
      </c>
      <c r="M265" s="48">
        <f t="shared" ca="1" si="48"/>
        <v>152.5256</v>
      </c>
      <c r="N265" s="48">
        <f t="shared" ca="1" si="48"/>
        <v>130.39240000000001</v>
      </c>
      <c r="O265" s="56">
        <f t="shared" ca="1" si="48"/>
        <v>161.0222</v>
      </c>
    </row>
    <row r="266" spans="1:15" hidden="1" outlineLevel="1" x14ac:dyDescent="0.25">
      <c r="A266" s="10"/>
      <c r="B266" s="11" t="s">
        <v>0</v>
      </c>
      <c r="C266" s="105"/>
      <c r="D266" s="57"/>
      <c r="E266" s="58"/>
      <c r="F266" s="58"/>
      <c r="G266" s="58"/>
      <c r="H266" s="58"/>
      <c r="I266" s="59"/>
      <c r="J266" s="57"/>
      <c r="K266" s="58"/>
      <c r="L266" s="58"/>
      <c r="M266" s="58"/>
      <c r="N266" s="58"/>
      <c r="O266" s="59"/>
    </row>
    <row r="267" spans="1:15" hidden="1" outlineLevel="1" x14ac:dyDescent="0.25">
      <c r="A267" s="2"/>
      <c r="B267" s="3"/>
      <c r="C267" s="105"/>
      <c r="D267" s="53"/>
      <c r="E267" s="54"/>
      <c r="F267" s="54"/>
      <c r="G267" s="54"/>
      <c r="H267" s="54"/>
      <c r="I267" s="54"/>
      <c r="J267" s="53"/>
      <c r="K267" s="54"/>
      <c r="L267" s="54"/>
      <c r="M267" s="54"/>
      <c r="N267" s="54"/>
      <c r="O267" s="54"/>
    </row>
    <row r="268" spans="1:15" hidden="1" outlineLevel="1" x14ac:dyDescent="0.25">
      <c r="A268" s="12"/>
      <c r="B268" s="13"/>
      <c r="C268" s="105"/>
      <c r="D268" s="347" t="s">
        <v>503</v>
      </c>
      <c r="E268" s="348" t="s">
        <v>167</v>
      </c>
      <c r="F268" s="348" t="s">
        <v>1</v>
      </c>
      <c r="G268" s="348"/>
      <c r="H268" s="348"/>
      <c r="I268" s="349"/>
      <c r="J268" s="347" t="s">
        <v>503</v>
      </c>
      <c r="K268" s="348" t="s">
        <v>167</v>
      </c>
      <c r="L268" s="348" t="s">
        <v>1</v>
      </c>
      <c r="M268" s="348"/>
      <c r="N268" s="348"/>
      <c r="O268" s="349"/>
    </row>
    <row r="269" spans="1:15" hidden="1" outlineLevel="2" x14ac:dyDescent="0.25">
      <c r="A269" s="6">
        <v>297</v>
      </c>
      <c r="B269" s="7" t="s">
        <v>271</v>
      </c>
      <c r="C269" s="105"/>
      <c r="D269" s="65">
        <f ca="1">VLOOKUP($A269,INDIRECT($P$2),COLUMN()-1,FALSE)*VLOOKUP($A269,Usinas!$C:$D,2,FALSE)</f>
        <v>83.464199999999991</v>
      </c>
      <c r="E269" s="65">
        <f ca="1">VLOOKUP($A269,INDIRECT($P$2),COLUMN()-1,FALSE)*VLOOKUP($A269,Usinas!$C:$D,2,FALSE)</f>
        <v>155.98740000000001</v>
      </c>
      <c r="F269" s="65">
        <f ca="1">VLOOKUP($A269,INDIRECT($P$2),COLUMN()-1,FALSE)*VLOOKUP($A269,Usinas!$C:$D,2,FALSE)</f>
        <v>237.8886</v>
      </c>
      <c r="G269" s="65">
        <f ca="1">VLOOKUP($A269,INDIRECT($P$2),COLUMN()-1,FALSE)*VLOOKUP($A269,Usinas!$C:$D,2,FALSE)</f>
        <v>294.4692</v>
      </c>
      <c r="H269" s="65">
        <f ca="1">VLOOKUP($A269,INDIRECT($P$2),COLUMN()-1,FALSE)*VLOOKUP($A269,Usinas!$C:$D,2,FALSE)</f>
        <v>314.78819999999996</v>
      </c>
      <c r="I269" s="65">
        <f ca="1">VLOOKUP($A269,INDIRECT($P$2),COLUMN()-1,FALSE)*VLOOKUP($A269,Usinas!$C:$D,2,FALSE)</f>
        <v>249.45479999999998</v>
      </c>
      <c r="J269" s="65">
        <f ca="1">VLOOKUP($A269,INDIRECT($P$2),COLUMN()-1,FALSE)*VLOOKUP($A269,Usinas!$C:$D,2,FALSE)</f>
        <v>184.12139999999999</v>
      </c>
      <c r="K269" s="65">
        <f ca="1">VLOOKUP($A269,INDIRECT($P$2),COLUMN()-1,FALSE)*VLOOKUP($A269,Usinas!$C:$D,2,FALSE)</f>
        <v>124.2585</v>
      </c>
      <c r="L269" s="65">
        <f ca="1">VLOOKUP($A269,INDIRECT($P$2),COLUMN()-1,FALSE)*VLOOKUP($A269,Usinas!$C:$D,2,FALSE)</f>
        <v>71.897999999999996</v>
      </c>
      <c r="M269" s="65">
        <f ca="1">VLOOKUP($A269,INDIRECT($P$2),COLUMN()-1,FALSE)*VLOOKUP($A269,Usinas!$C:$D,2,FALSE)</f>
        <v>43.607700000000001</v>
      </c>
      <c r="N269" s="65">
        <f ca="1">VLOOKUP($A269,INDIRECT($P$2),COLUMN()-1,FALSE)*VLOOKUP($A269,Usinas!$C:$D,2,FALSE)</f>
        <v>31.259999999999998</v>
      </c>
      <c r="O269" s="65">
        <f ca="1">VLOOKUP($A269,INDIRECT($P$2),COLUMN()-1,FALSE)*VLOOKUP($A269,Usinas!$C:$D,2,FALSE)</f>
        <v>36.261600000000001</v>
      </c>
    </row>
    <row r="270" spans="1:15" hidden="1" outlineLevel="2" x14ac:dyDescent="0.25">
      <c r="A270" s="6">
        <v>280</v>
      </c>
      <c r="B270" s="7" t="s">
        <v>251</v>
      </c>
      <c r="C270" s="105"/>
      <c r="D270" s="65">
        <f ca="1">VLOOKUP($A270,INDIRECT($P$2),COLUMN()-1,FALSE)*VLOOKUP($A270,Usinas!$C:$D,2,FALSE)</f>
        <v>0</v>
      </c>
      <c r="E270" s="65">
        <f ca="1">VLOOKUP($A270,INDIRECT($P$2),COLUMN()-1,FALSE)*VLOOKUP($A270,Usinas!$C:$D,2,FALSE)</f>
        <v>0</v>
      </c>
      <c r="F270" s="65">
        <f ca="1">VLOOKUP($A270,INDIRECT($P$2),COLUMN()-1,FALSE)*VLOOKUP($A270,Usinas!$C:$D,2,FALSE)</f>
        <v>0</v>
      </c>
      <c r="G270" s="65">
        <f ca="1">VLOOKUP($A270,INDIRECT($P$2),COLUMN()-1,FALSE)*VLOOKUP($A270,Usinas!$C:$D,2,FALSE)</f>
        <v>0</v>
      </c>
      <c r="H270" s="65">
        <f ca="1">VLOOKUP($A270,INDIRECT($P$2),COLUMN()-1,FALSE)*VLOOKUP($A270,Usinas!$C:$D,2,FALSE)</f>
        <v>0</v>
      </c>
      <c r="I270" s="65">
        <f ca="1">VLOOKUP($A270,INDIRECT($P$2),COLUMN()-1,FALSE)*VLOOKUP($A270,Usinas!$C:$D,2,FALSE)</f>
        <v>0</v>
      </c>
      <c r="J270" s="65">
        <f ca="1">VLOOKUP($A270,INDIRECT($P$2),COLUMN()-1,FALSE)*VLOOKUP($A270,Usinas!$C:$D,2,FALSE)</f>
        <v>0</v>
      </c>
      <c r="K270" s="65">
        <f ca="1">VLOOKUP($A270,INDIRECT($P$2),COLUMN()-1,FALSE)*VLOOKUP($A270,Usinas!$C:$D,2,FALSE)</f>
        <v>0</v>
      </c>
      <c r="L270" s="65">
        <f ca="1">VLOOKUP($A270,INDIRECT($P$2),COLUMN()-1,FALSE)*VLOOKUP($A270,Usinas!$C:$D,2,FALSE)</f>
        <v>0</v>
      </c>
      <c r="M270" s="65">
        <f ca="1">VLOOKUP($A270,INDIRECT($P$2),COLUMN()-1,FALSE)*VLOOKUP($A270,Usinas!$C:$D,2,FALSE)</f>
        <v>0</v>
      </c>
      <c r="N270" s="65">
        <f ca="1">VLOOKUP($A270,INDIRECT($P$2),COLUMN()-1,FALSE)*VLOOKUP($A270,Usinas!$C:$D,2,FALSE)</f>
        <v>0</v>
      </c>
      <c r="O270" s="65">
        <f ca="1">VLOOKUP($A270,INDIRECT($P$2),COLUMN()-1,FALSE)*VLOOKUP($A270,Usinas!$C:$D,2,FALSE)</f>
        <v>0</v>
      </c>
    </row>
    <row r="271" spans="1:15" hidden="1" outlineLevel="1" x14ac:dyDescent="0.25">
      <c r="A271" s="8"/>
      <c r="B271" s="9" t="s">
        <v>56</v>
      </c>
      <c r="C271" s="105"/>
      <c r="D271" s="55">
        <f t="shared" ref="D271:I271" ca="1" si="49">SUM(D269:D270)</f>
        <v>83.464199999999991</v>
      </c>
      <c r="E271" s="55">
        <f t="shared" ca="1" si="49"/>
        <v>155.98740000000001</v>
      </c>
      <c r="F271" s="55">
        <f t="shared" ca="1" si="49"/>
        <v>237.8886</v>
      </c>
      <c r="G271" s="55">
        <f t="shared" ca="1" si="49"/>
        <v>294.4692</v>
      </c>
      <c r="H271" s="55">
        <f t="shared" ca="1" si="49"/>
        <v>314.78819999999996</v>
      </c>
      <c r="I271" s="55">
        <f t="shared" ca="1" si="49"/>
        <v>249.45479999999998</v>
      </c>
      <c r="J271" s="55">
        <f t="shared" ref="J271:O271" ca="1" si="50">SUM(J269:J270)</f>
        <v>184.12139999999999</v>
      </c>
      <c r="K271" s="55">
        <f t="shared" ca="1" si="50"/>
        <v>124.2585</v>
      </c>
      <c r="L271" s="55">
        <f t="shared" ca="1" si="50"/>
        <v>71.897999999999996</v>
      </c>
      <c r="M271" s="55">
        <f t="shared" ca="1" si="50"/>
        <v>43.607700000000001</v>
      </c>
      <c r="N271" s="55">
        <f t="shared" ca="1" si="50"/>
        <v>31.259999999999998</v>
      </c>
      <c r="O271" s="55">
        <f t="shared" ca="1" si="50"/>
        <v>36.261600000000001</v>
      </c>
    </row>
    <row r="272" spans="1:15" hidden="1" outlineLevel="1" x14ac:dyDescent="0.25">
      <c r="A272" s="10"/>
      <c r="B272" s="11" t="s">
        <v>0</v>
      </c>
      <c r="C272" s="105"/>
      <c r="D272" s="57"/>
      <c r="E272" s="58"/>
      <c r="F272" s="58"/>
      <c r="G272" s="58"/>
      <c r="H272" s="58"/>
      <c r="I272" s="59"/>
      <c r="J272" s="57"/>
      <c r="K272" s="58"/>
      <c r="L272" s="58"/>
      <c r="M272" s="58"/>
      <c r="N272" s="58"/>
      <c r="O272" s="59"/>
    </row>
    <row r="273" spans="1:15" hidden="1" outlineLevel="1" x14ac:dyDescent="0.25">
      <c r="A273" s="2"/>
      <c r="B273" s="3"/>
      <c r="C273" s="105"/>
      <c r="D273" s="53"/>
      <c r="E273" s="54"/>
      <c r="F273" s="54"/>
      <c r="G273" s="54"/>
      <c r="H273" s="54"/>
      <c r="I273" s="54"/>
      <c r="J273" s="53"/>
      <c r="K273" s="54"/>
      <c r="L273" s="54"/>
      <c r="M273" s="54"/>
      <c r="N273" s="54"/>
      <c r="O273" s="54"/>
    </row>
    <row r="274" spans="1:15" ht="15.75" collapsed="1" x14ac:dyDescent="0.25">
      <c r="A274" s="85"/>
      <c r="B274" s="86"/>
      <c r="C274" s="97"/>
      <c r="D274" s="335" t="s">
        <v>226</v>
      </c>
      <c r="E274" s="336"/>
      <c r="F274" s="336"/>
      <c r="G274" s="336"/>
      <c r="H274" s="336"/>
      <c r="I274" s="336"/>
      <c r="J274" s="336"/>
      <c r="K274" s="336"/>
      <c r="L274" s="336"/>
      <c r="M274" s="336"/>
      <c r="N274" s="336"/>
      <c r="O274" s="337"/>
    </row>
    <row r="275" spans="1:15" ht="15.75" x14ac:dyDescent="0.25">
      <c r="A275" s="87"/>
      <c r="B275" s="88" t="s">
        <v>56</v>
      </c>
      <c r="C275" s="97"/>
      <c r="D275" s="88">
        <f ca="1">D258+D265+D271</f>
        <v>10037.978899999998</v>
      </c>
      <c r="E275" s="89">
        <f t="shared" ref="E275:I275" ca="1" si="51">E258+E265+E271</f>
        <v>13475.824000000001</v>
      </c>
      <c r="F275" s="89">
        <f t="shared" ca="1" si="51"/>
        <v>15677.231500000002</v>
      </c>
      <c r="G275" s="89">
        <f t="shared" ca="1" si="51"/>
        <v>15615.0532</v>
      </c>
      <c r="H275" s="89">
        <f t="shared" ca="1" si="51"/>
        <v>10498.321900000003</v>
      </c>
      <c r="I275" s="90">
        <f t="shared" ca="1" si="51"/>
        <v>5478.1198000000004</v>
      </c>
      <c r="J275" s="88">
        <f ca="1">J258+J265+J271</f>
        <v>3334.5636999999997</v>
      </c>
      <c r="K275" s="89">
        <f t="shared" ref="K275:O275" ca="1" si="52">K258+K265+K271</f>
        <v>2337.0961000000002</v>
      </c>
      <c r="L275" s="89">
        <f t="shared" ca="1" si="52"/>
        <v>1807.1817000000001</v>
      </c>
      <c r="M275" s="89">
        <f t="shared" ca="1" si="52"/>
        <v>1932.0153</v>
      </c>
      <c r="N275" s="89">
        <f t="shared" ca="1" si="52"/>
        <v>3065.3700000000008</v>
      </c>
      <c r="O275" s="90">
        <f t="shared" ca="1" si="52"/>
        <v>5855.4626000000007</v>
      </c>
    </row>
  </sheetData>
  <mergeCells count="58">
    <mergeCell ref="D274:O274"/>
    <mergeCell ref="D251:O251"/>
    <mergeCell ref="D255:I255"/>
    <mergeCell ref="J255:O255"/>
    <mergeCell ref="D261:I261"/>
    <mergeCell ref="J261:O261"/>
    <mergeCell ref="D268:I268"/>
    <mergeCell ref="J268:O268"/>
    <mergeCell ref="D236:I236"/>
    <mergeCell ref="J236:O236"/>
    <mergeCell ref="D241:I241"/>
    <mergeCell ref="J241:O241"/>
    <mergeCell ref="D246:I246"/>
    <mergeCell ref="J246:O246"/>
    <mergeCell ref="D228:I228"/>
    <mergeCell ref="J228:O228"/>
    <mergeCell ref="D182:I182"/>
    <mergeCell ref="J182:O182"/>
    <mergeCell ref="D194:I194"/>
    <mergeCell ref="J194:O194"/>
    <mergeCell ref="D209:I209"/>
    <mergeCell ref="J209:O209"/>
    <mergeCell ref="D214:I214"/>
    <mergeCell ref="J214:O214"/>
    <mergeCell ref="D219:I219"/>
    <mergeCell ref="J219:O219"/>
    <mergeCell ref="D224:O224"/>
    <mergeCell ref="D171:I171"/>
    <mergeCell ref="J171:O171"/>
    <mergeCell ref="D126:I126"/>
    <mergeCell ref="J126:O126"/>
    <mergeCell ref="D135:I135"/>
    <mergeCell ref="J135:O135"/>
    <mergeCell ref="D140:I140"/>
    <mergeCell ref="J140:O140"/>
    <mergeCell ref="D151:I151"/>
    <mergeCell ref="J151:O151"/>
    <mergeCell ref="D158:I158"/>
    <mergeCell ref="J158:O158"/>
    <mergeCell ref="D167:O167"/>
    <mergeCell ref="D104:I104"/>
    <mergeCell ref="J104:O104"/>
    <mergeCell ref="D109:I109"/>
    <mergeCell ref="J109:O109"/>
    <mergeCell ref="D114:I114"/>
    <mergeCell ref="J114:O114"/>
    <mergeCell ref="D63:O63"/>
    <mergeCell ref="D77:O77"/>
    <mergeCell ref="D83:I83"/>
    <mergeCell ref="J83:O83"/>
    <mergeCell ref="D89:I89"/>
    <mergeCell ref="J89:O89"/>
    <mergeCell ref="D53:O53"/>
    <mergeCell ref="A1:A4"/>
    <mergeCell ref="B1:B4"/>
    <mergeCell ref="D6:O6"/>
    <mergeCell ref="D25:O25"/>
    <mergeCell ref="D48:O48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2" tint="-0.249977111117893"/>
  </sheetPr>
  <dimension ref="A1:P275"/>
  <sheetViews>
    <sheetView workbookViewId="0">
      <selection sqref="A1:A4"/>
    </sheetView>
  </sheetViews>
  <sheetFormatPr defaultRowHeight="15" outlineLevelRow="2" x14ac:dyDescent="0.25"/>
  <cols>
    <col min="1" max="1" width="6.85546875" style="113" bestFit="1" customWidth="1"/>
    <col min="2" max="2" width="23.7109375" style="113" bestFit="1" customWidth="1"/>
    <col min="3" max="3" width="1.7109375" style="93" customWidth="1"/>
    <col min="4" max="8" width="12.140625" style="113" bestFit="1" customWidth="1"/>
    <col min="9" max="9" width="12.28515625" style="113" customWidth="1"/>
    <col min="10" max="16384" width="9.140625" style="113"/>
  </cols>
  <sheetData>
    <row r="1" spans="1:16" x14ac:dyDescent="0.25">
      <c r="A1" s="323" t="s">
        <v>39</v>
      </c>
      <c r="B1" s="325" t="s">
        <v>40</v>
      </c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13" t="s">
        <v>697</v>
      </c>
    </row>
    <row r="2" spans="1:16" x14ac:dyDescent="0.25">
      <c r="A2" s="324"/>
      <c r="B2" s="326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113" t="str">
        <f>P1&amp;"!$A$53:$N$372"</f>
        <v>Referencia!$A$53:$N$372</v>
      </c>
    </row>
    <row r="3" spans="1:16" x14ac:dyDescent="0.25">
      <c r="A3" s="324"/>
      <c r="B3" s="326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</row>
    <row r="4" spans="1:16" x14ac:dyDescent="0.25">
      <c r="A4" s="324"/>
      <c r="B4" s="326"/>
      <c r="D4" s="79" t="s">
        <v>505</v>
      </c>
      <c r="E4" s="79" t="s">
        <v>506</v>
      </c>
      <c r="F4" s="79" t="s">
        <v>507</v>
      </c>
      <c r="G4" s="79" t="s">
        <v>508</v>
      </c>
      <c r="H4" s="79" t="s">
        <v>509</v>
      </c>
      <c r="I4" s="79" t="s">
        <v>510</v>
      </c>
      <c r="J4" s="79" t="s">
        <v>511</v>
      </c>
      <c r="K4" s="79" t="s">
        <v>512</v>
      </c>
      <c r="L4" s="79" t="s">
        <v>513</v>
      </c>
      <c r="M4" s="79" t="s">
        <v>514</v>
      </c>
      <c r="N4" s="79" t="s">
        <v>515</v>
      </c>
      <c r="O4" s="79" t="s">
        <v>516</v>
      </c>
    </row>
    <row r="5" spans="1:16" x14ac:dyDescent="0.25">
      <c r="A5" s="91"/>
      <c r="B5" s="92"/>
      <c r="D5" s="94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</row>
    <row r="6" spans="1:16" hidden="1" outlineLevel="1" x14ac:dyDescent="0.25">
      <c r="A6" s="63"/>
      <c r="B6" s="64"/>
      <c r="D6" s="327" t="s">
        <v>41</v>
      </c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</row>
    <row r="7" spans="1:16" hidden="1" outlineLevel="2" x14ac:dyDescent="0.25">
      <c r="A7" s="61">
        <v>1</v>
      </c>
      <c r="B7" s="62" t="s">
        <v>42</v>
      </c>
      <c r="D7" s="65">
        <f ca="1">VLOOKUP($A7,INDIRECT($P$2),COLUMN()-1,FALSE)*VLOOKUP($A7,Usinas!$C:$D,2,FALSE)</f>
        <v>50.063400000000001</v>
      </c>
      <c r="E7" s="65">
        <f ca="1">VLOOKUP($A7,INDIRECT($P$2),COLUMN()-1,FALSE)*VLOOKUP($A7,Usinas!$C:$D,2,FALSE)</f>
        <v>45.332999999999998</v>
      </c>
      <c r="F7" s="65">
        <f ca="1">VLOOKUP($A7,INDIRECT($P$2),COLUMN()-1,FALSE)*VLOOKUP($A7,Usinas!$C:$D,2,FALSE)</f>
        <v>40.208399999999997</v>
      </c>
      <c r="G7" s="65">
        <f ca="1">VLOOKUP($A7,INDIRECT($P$2),COLUMN()-1,FALSE)*VLOOKUP($A7,Usinas!$C:$D,2,FALSE)</f>
        <v>27.396899999999999</v>
      </c>
      <c r="H7" s="65">
        <f ca="1">VLOOKUP($A7,INDIRECT($P$2),COLUMN()-1,FALSE)*VLOOKUP($A7,Usinas!$C:$D,2,FALSE)</f>
        <v>20.695499999999999</v>
      </c>
      <c r="I7" s="65">
        <f ca="1">VLOOKUP($A7,INDIRECT($P$2),COLUMN()-1,FALSE)*VLOOKUP($A7,Usinas!$C:$D,2,FALSE)</f>
        <v>17.541899999999998</v>
      </c>
      <c r="J7" s="65">
        <f ca="1">VLOOKUP($A7,INDIRECT($P$2),COLUMN()-1,FALSE)*VLOOKUP($A7,Usinas!$C:$D,2,FALSE)</f>
        <v>14.5854</v>
      </c>
      <c r="K7" s="65">
        <f ca="1">VLOOKUP($A7,INDIRECT($P$2),COLUMN()-1,FALSE)*VLOOKUP($A7,Usinas!$C:$D,2,FALSE)</f>
        <v>12.6144</v>
      </c>
      <c r="L7" s="65">
        <f ca="1">VLOOKUP($A7,INDIRECT($P$2),COLUMN()-1,FALSE)*VLOOKUP($A7,Usinas!$C:$D,2,FALSE)</f>
        <v>13.2057</v>
      </c>
      <c r="M7" s="65">
        <f ca="1">VLOOKUP($A7,INDIRECT($P$2),COLUMN()-1,FALSE)*VLOOKUP($A7,Usinas!$C:$D,2,FALSE)</f>
        <v>15.5709</v>
      </c>
      <c r="N7" s="65">
        <f ca="1">VLOOKUP($A7,INDIRECT($P$2),COLUMN()-1,FALSE)*VLOOKUP($A7,Usinas!$C:$D,2,FALSE)</f>
        <v>21.8781</v>
      </c>
      <c r="O7" s="65">
        <f ca="1">VLOOKUP($A7,INDIRECT($P$2),COLUMN()-1,FALSE)*VLOOKUP($A7,Usinas!$C:$D,2,FALSE)</f>
        <v>35.872199999999999</v>
      </c>
    </row>
    <row r="8" spans="1:16" hidden="1" outlineLevel="2" x14ac:dyDescent="0.25">
      <c r="A8" s="61">
        <v>2</v>
      </c>
      <c r="B8" s="62" t="s">
        <v>43</v>
      </c>
      <c r="D8" s="65">
        <f ca="1">VLOOKUP($A8,INDIRECT($P$2),COLUMN()-1,FALSE)*VLOOKUP($A8,Usinas!$C:$D,2,FALSE)</f>
        <v>62.153799999999997</v>
      </c>
      <c r="E8" s="65">
        <f ca="1">VLOOKUP($A8,INDIRECT($P$2),COLUMN()-1,FALSE)*VLOOKUP($A8,Usinas!$C:$D,2,FALSE)</f>
        <v>56.280999999999999</v>
      </c>
      <c r="F8" s="65">
        <f ca="1">VLOOKUP($A8,INDIRECT($P$2),COLUMN()-1,FALSE)*VLOOKUP($A8,Usinas!$C:$D,2,FALSE)</f>
        <v>49.918799999999997</v>
      </c>
      <c r="G8" s="65">
        <f ca="1">VLOOKUP($A8,INDIRECT($P$2),COLUMN()-1,FALSE)*VLOOKUP($A8,Usinas!$C:$D,2,FALSE)</f>
        <v>34.013300000000001</v>
      </c>
      <c r="H8" s="65">
        <f ca="1">VLOOKUP($A8,INDIRECT($P$2),COLUMN()-1,FALSE)*VLOOKUP($A8,Usinas!$C:$D,2,FALSE)</f>
        <v>25.6935</v>
      </c>
      <c r="I8" s="65">
        <f ca="1">VLOOKUP($A8,INDIRECT($P$2),COLUMN()-1,FALSE)*VLOOKUP($A8,Usinas!$C:$D,2,FALSE)</f>
        <v>21.778300000000002</v>
      </c>
      <c r="J8" s="65">
        <f ca="1">VLOOKUP($A8,INDIRECT($P$2),COLUMN()-1,FALSE)*VLOOKUP($A8,Usinas!$C:$D,2,FALSE)</f>
        <v>18.107800000000001</v>
      </c>
      <c r="K8" s="65">
        <f ca="1">VLOOKUP($A8,INDIRECT($P$2),COLUMN()-1,FALSE)*VLOOKUP($A8,Usinas!$C:$D,2,FALSE)</f>
        <v>15.6608</v>
      </c>
      <c r="L8" s="65">
        <f ca="1">VLOOKUP($A8,INDIRECT($P$2),COLUMN()-1,FALSE)*VLOOKUP($A8,Usinas!$C:$D,2,FALSE)</f>
        <v>16.3949</v>
      </c>
      <c r="M8" s="65">
        <f ca="1">VLOOKUP($A8,INDIRECT($P$2),COLUMN()-1,FALSE)*VLOOKUP($A8,Usinas!$C:$D,2,FALSE)</f>
        <v>19.331299999999999</v>
      </c>
      <c r="N8" s="65">
        <f ca="1">VLOOKUP($A8,INDIRECT($P$2),COLUMN()-1,FALSE)*VLOOKUP($A8,Usinas!$C:$D,2,FALSE)</f>
        <v>27.1617</v>
      </c>
      <c r="O8" s="65">
        <f ca="1">VLOOKUP($A8,INDIRECT($P$2),COLUMN()-1,FALSE)*VLOOKUP($A8,Usinas!$C:$D,2,FALSE)</f>
        <v>44.535400000000003</v>
      </c>
    </row>
    <row r="9" spans="1:16" hidden="1" outlineLevel="2" x14ac:dyDescent="0.25">
      <c r="A9" s="61">
        <v>211</v>
      </c>
      <c r="B9" s="62" t="s">
        <v>44</v>
      </c>
      <c r="D9" s="65">
        <f ca="1">VLOOKUP($A9,INDIRECT($P$2),COLUMN()-1,FALSE)*VLOOKUP($A9,Usinas!$C:$D,2,FALSE)</f>
        <v>205.69149999999999</v>
      </c>
      <c r="E9" s="65">
        <f ca="1">VLOOKUP($A9,INDIRECT($P$2),COLUMN()-1,FALSE)*VLOOKUP($A9,Usinas!$C:$D,2,FALSE)</f>
        <v>182.18389999999999</v>
      </c>
      <c r="F9" s="65">
        <f ca="1">VLOOKUP($A9,INDIRECT($P$2),COLUMN()-1,FALSE)*VLOOKUP($A9,Usinas!$C:$D,2,FALSE)</f>
        <v>161.09620000000001</v>
      </c>
      <c r="G9" s="65">
        <f ca="1">VLOOKUP($A9,INDIRECT($P$2),COLUMN()-1,FALSE)*VLOOKUP($A9,Usinas!$C:$D,2,FALSE)</f>
        <v>111.3154</v>
      </c>
      <c r="H9" s="65">
        <f ca="1">VLOOKUP($A9,INDIRECT($P$2),COLUMN()-1,FALSE)*VLOOKUP($A9,Usinas!$C:$D,2,FALSE)</f>
        <v>81.930900000000008</v>
      </c>
      <c r="I9" s="65">
        <f ca="1">VLOOKUP($A9,INDIRECT($P$2),COLUMN()-1,FALSE)*VLOOKUP($A9,Usinas!$C:$D,2,FALSE)</f>
        <v>68.448599999999999</v>
      </c>
      <c r="J9" s="65">
        <f ca="1">VLOOKUP($A9,INDIRECT($P$2),COLUMN()-1,FALSE)*VLOOKUP($A9,Usinas!$C:$D,2,FALSE)</f>
        <v>57.731900000000003</v>
      </c>
      <c r="K9" s="65">
        <f ca="1">VLOOKUP($A9,INDIRECT($P$2),COLUMN()-1,FALSE)*VLOOKUP($A9,Usinas!$C:$D,2,FALSE)</f>
        <v>49.089399999999998</v>
      </c>
      <c r="L9" s="65">
        <f ca="1">VLOOKUP($A9,INDIRECT($P$2),COLUMN()-1,FALSE)*VLOOKUP($A9,Usinas!$C:$D,2,FALSE)</f>
        <v>50.1265</v>
      </c>
      <c r="M9" s="65">
        <f ca="1">VLOOKUP($A9,INDIRECT($P$2),COLUMN()-1,FALSE)*VLOOKUP($A9,Usinas!$C:$D,2,FALSE)</f>
        <v>60.151800000000001</v>
      </c>
      <c r="N9" s="65">
        <f ca="1">VLOOKUP($A9,INDIRECT($P$2),COLUMN()-1,FALSE)*VLOOKUP($A9,Usinas!$C:$D,2,FALSE)</f>
        <v>88.153500000000008</v>
      </c>
      <c r="O9" s="65">
        <f ca="1">VLOOKUP($A9,INDIRECT($P$2),COLUMN()-1,FALSE)*VLOOKUP($A9,Usinas!$C:$D,2,FALSE)</f>
        <v>149.3424</v>
      </c>
    </row>
    <row r="10" spans="1:16" hidden="1" outlineLevel="2" x14ac:dyDescent="0.25">
      <c r="A10" s="61">
        <v>6</v>
      </c>
      <c r="B10" s="62" t="s">
        <v>30</v>
      </c>
      <c r="D10" s="65">
        <f ca="1">VLOOKUP($A10,INDIRECT($P$2),COLUMN()-1,FALSE)*VLOOKUP($A10,Usinas!$C:$D,2,FALSE)</f>
        <v>1376.7731999999999</v>
      </c>
      <c r="E10" s="65">
        <f ca="1">VLOOKUP($A10,INDIRECT($P$2),COLUMN()-1,FALSE)*VLOOKUP($A10,Usinas!$C:$D,2,FALSE)</f>
        <v>1277.1078</v>
      </c>
      <c r="F10" s="65">
        <f ca="1">VLOOKUP($A10,INDIRECT($P$2),COLUMN()-1,FALSE)*VLOOKUP($A10,Usinas!$C:$D,2,FALSE)</f>
        <v>1135.722</v>
      </c>
      <c r="G10" s="65">
        <f ca="1">VLOOKUP($A10,INDIRECT($P$2),COLUMN()-1,FALSE)*VLOOKUP($A10,Usinas!$C:$D,2,FALSE)</f>
        <v>780.32599999999991</v>
      </c>
      <c r="H10" s="65">
        <f ca="1">VLOOKUP($A10,INDIRECT($P$2),COLUMN()-1,FALSE)*VLOOKUP($A10,Usinas!$C:$D,2,FALSE)</f>
        <v>570.17879999999991</v>
      </c>
      <c r="I10" s="65">
        <f ca="1">VLOOKUP($A10,INDIRECT($P$2),COLUMN()-1,FALSE)*VLOOKUP($A10,Usinas!$C:$D,2,FALSE)</f>
        <v>475.92159999999996</v>
      </c>
      <c r="J10" s="65">
        <f ca="1">VLOOKUP($A10,INDIRECT($P$2),COLUMN()-1,FALSE)*VLOOKUP($A10,Usinas!$C:$D,2,FALSE)</f>
        <v>390.93559999999997</v>
      </c>
      <c r="K10" s="65">
        <f ca="1">VLOOKUP($A10,INDIRECT($P$2),COLUMN()-1,FALSE)*VLOOKUP($A10,Usinas!$C:$D,2,FALSE)</f>
        <v>321.40159999999997</v>
      </c>
      <c r="L10" s="65">
        <f ca="1">VLOOKUP($A10,INDIRECT($P$2),COLUMN()-1,FALSE)*VLOOKUP($A10,Usinas!$C:$D,2,FALSE)</f>
        <v>334.53579999999999</v>
      </c>
      <c r="M10" s="65">
        <f ca="1">VLOOKUP($A10,INDIRECT($P$2),COLUMN()-1,FALSE)*VLOOKUP($A10,Usinas!$C:$D,2,FALSE)</f>
        <v>394.79859999999996</v>
      </c>
      <c r="N10" s="65">
        <f ca="1">VLOOKUP($A10,INDIRECT($P$2),COLUMN()-1,FALSE)*VLOOKUP($A10,Usinas!$C:$D,2,FALSE)</f>
        <v>557.81719999999996</v>
      </c>
      <c r="O10" s="65">
        <f ca="1">VLOOKUP($A10,INDIRECT($P$2),COLUMN()-1,FALSE)*VLOOKUP($A10,Usinas!$C:$D,2,FALSE)</f>
        <v>961.11439999999993</v>
      </c>
    </row>
    <row r="11" spans="1:16" hidden="1" outlineLevel="2" x14ac:dyDescent="0.25">
      <c r="A11" s="61">
        <v>7</v>
      </c>
      <c r="B11" s="62" t="s">
        <v>45</v>
      </c>
      <c r="D11" s="65">
        <f ca="1">VLOOKUP($A11,INDIRECT($P$2),COLUMN()-1,FALSE)*VLOOKUP($A11,Usinas!$C:$D,2,FALSE)</f>
        <v>662.72820000000002</v>
      </c>
      <c r="E11" s="65">
        <f ca="1">VLOOKUP($A11,INDIRECT($P$2),COLUMN()-1,FALSE)*VLOOKUP($A11,Usinas!$C:$D,2,FALSE)</f>
        <v>620.68200000000002</v>
      </c>
      <c r="F11" s="65">
        <f ca="1">VLOOKUP($A11,INDIRECT($P$2),COLUMN()-1,FALSE)*VLOOKUP($A11,Usinas!$C:$D,2,FALSE)</f>
        <v>552.60720000000003</v>
      </c>
      <c r="G11" s="65">
        <f ca="1">VLOOKUP($A11,INDIRECT($P$2),COLUMN()-1,FALSE)*VLOOKUP($A11,Usinas!$C:$D,2,FALSE)</f>
        <v>380.08429999999998</v>
      </c>
      <c r="H11" s="65">
        <f ca="1">VLOOKUP($A11,INDIRECT($P$2),COLUMN()-1,FALSE)*VLOOKUP($A11,Usinas!$C:$D,2,FALSE)</f>
        <v>276.971</v>
      </c>
      <c r="I11" s="65">
        <f ca="1">VLOOKUP($A11,INDIRECT($P$2),COLUMN()-1,FALSE)*VLOOKUP($A11,Usinas!$C:$D,2,FALSE)</f>
        <v>229.5856</v>
      </c>
      <c r="J11" s="65">
        <f ca="1">VLOOKUP($A11,INDIRECT($P$2),COLUMN()-1,FALSE)*VLOOKUP($A11,Usinas!$C:$D,2,FALSE)</f>
        <v>188.54050000000001</v>
      </c>
      <c r="K11" s="65">
        <f ca="1">VLOOKUP($A11,INDIRECT($P$2),COLUMN()-1,FALSE)*VLOOKUP($A11,Usinas!$C:$D,2,FALSE)</f>
        <v>154.83680000000001</v>
      </c>
      <c r="L11" s="65">
        <f ca="1">VLOOKUP($A11,INDIRECT($P$2),COLUMN()-1,FALSE)*VLOOKUP($A11,Usinas!$C:$D,2,FALSE)</f>
        <v>160.17599999999999</v>
      </c>
      <c r="M11" s="65">
        <f ca="1">VLOOKUP($A11,INDIRECT($P$2),COLUMN()-1,FALSE)*VLOOKUP($A11,Usinas!$C:$D,2,FALSE)</f>
        <v>189.2079</v>
      </c>
      <c r="N11" s="65">
        <f ca="1">VLOOKUP($A11,INDIRECT($P$2),COLUMN()-1,FALSE)*VLOOKUP($A11,Usinas!$C:$D,2,FALSE)</f>
        <v>265.62520000000001</v>
      </c>
      <c r="O11" s="65">
        <f ca="1">VLOOKUP($A11,INDIRECT($P$2),COLUMN()-1,FALSE)*VLOOKUP($A11,Usinas!$C:$D,2,FALSE)</f>
        <v>457.16899999999998</v>
      </c>
    </row>
    <row r="12" spans="1:16" hidden="1" outlineLevel="2" x14ac:dyDescent="0.25">
      <c r="A12" s="61">
        <v>8</v>
      </c>
      <c r="B12" s="62" t="s">
        <v>46</v>
      </c>
      <c r="D12" s="65">
        <f ca="1">VLOOKUP($A12,INDIRECT($P$2),COLUMN()-1,FALSE)*VLOOKUP($A12,Usinas!$C:$D,2,FALSE)</f>
        <v>1141.7183</v>
      </c>
      <c r="E12" s="65">
        <f ca="1">VLOOKUP($A12,INDIRECT($P$2),COLUMN()-1,FALSE)*VLOOKUP($A12,Usinas!$C:$D,2,FALSE)</f>
        <v>1074.7570000000001</v>
      </c>
      <c r="F12" s="65">
        <f ca="1">VLOOKUP($A12,INDIRECT($P$2),COLUMN()-1,FALSE)*VLOOKUP($A12,Usinas!$C:$D,2,FALSE)</f>
        <v>957.71539999999993</v>
      </c>
      <c r="G12" s="65">
        <f ca="1">VLOOKUP($A12,INDIRECT($P$2),COLUMN()-1,FALSE)*VLOOKUP($A12,Usinas!$C:$D,2,FALSE)</f>
        <v>661.17250000000001</v>
      </c>
      <c r="H12" s="65">
        <f ca="1">VLOOKUP($A12,INDIRECT($P$2),COLUMN()-1,FALSE)*VLOOKUP($A12,Usinas!$C:$D,2,FALSE)</f>
        <v>480.54579999999999</v>
      </c>
      <c r="I12" s="65">
        <f ca="1">VLOOKUP($A12,INDIRECT($P$2),COLUMN()-1,FALSE)*VLOOKUP($A12,Usinas!$C:$D,2,FALSE)</f>
        <v>397.82889999999998</v>
      </c>
      <c r="J12" s="65">
        <f ca="1">VLOOKUP($A12,INDIRECT($P$2),COLUMN()-1,FALSE)*VLOOKUP($A12,Usinas!$C:$D,2,FALSE)</f>
        <v>326.36599999999999</v>
      </c>
      <c r="K12" s="65">
        <f ca="1">VLOOKUP($A12,INDIRECT($P$2),COLUMN()-1,FALSE)*VLOOKUP($A12,Usinas!$C:$D,2,FALSE)</f>
        <v>267.28249999999997</v>
      </c>
      <c r="L12" s="65">
        <f ca="1">VLOOKUP($A12,INDIRECT($P$2),COLUMN()-1,FALSE)*VLOOKUP($A12,Usinas!$C:$D,2,FALSE)</f>
        <v>275.72300000000001</v>
      </c>
      <c r="M12" s="65">
        <f ca="1">VLOOKUP($A12,INDIRECT($P$2),COLUMN()-1,FALSE)*VLOOKUP($A12,Usinas!$C:$D,2,FALSE)</f>
        <v>325.24059999999997</v>
      </c>
      <c r="N12" s="65">
        <f ca="1">VLOOKUP($A12,INDIRECT($P$2),COLUMN()-1,FALSE)*VLOOKUP($A12,Usinas!$C:$D,2,FALSE)</f>
        <v>456.34969999999998</v>
      </c>
      <c r="O12" s="65">
        <f ca="1">VLOOKUP($A12,INDIRECT($P$2),COLUMN()-1,FALSE)*VLOOKUP($A12,Usinas!$C:$D,2,FALSE)</f>
        <v>783.27839999999992</v>
      </c>
    </row>
    <row r="13" spans="1:16" hidden="1" outlineLevel="2" x14ac:dyDescent="0.25">
      <c r="A13" s="61">
        <v>9</v>
      </c>
      <c r="B13" s="62" t="s">
        <v>47</v>
      </c>
      <c r="D13" s="65">
        <f ca="1">VLOOKUP($A13,INDIRECT($P$2),COLUMN()-1,FALSE)*VLOOKUP($A13,Usinas!$C:$D,2,FALSE)</f>
        <v>827.19780000000003</v>
      </c>
      <c r="E13" s="65">
        <f ca="1">VLOOKUP($A13,INDIRECT($P$2),COLUMN()-1,FALSE)*VLOOKUP($A13,Usinas!$C:$D,2,FALSE)</f>
        <v>781.10759999999993</v>
      </c>
      <c r="F13" s="65">
        <f ca="1">VLOOKUP($A13,INDIRECT($P$2),COLUMN()-1,FALSE)*VLOOKUP($A13,Usinas!$C:$D,2,FALSE)</f>
        <v>696.20460000000003</v>
      </c>
      <c r="G13" s="65">
        <f ca="1">VLOOKUP($A13,INDIRECT($P$2),COLUMN()-1,FALSE)*VLOOKUP($A13,Usinas!$C:$D,2,FALSE)</f>
        <v>481.92559999999997</v>
      </c>
      <c r="H13" s="65">
        <f ca="1">VLOOKUP($A13,INDIRECT($P$2),COLUMN()-1,FALSE)*VLOOKUP($A13,Usinas!$C:$D,2,FALSE)</f>
        <v>349.3152</v>
      </c>
      <c r="I13" s="65">
        <f ca="1">VLOOKUP($A13,INDIRECT($P$2),COLUMN()-1,FALSE)*VLOOKUP($A13,Usinas!$C:$D,2,FALSE)</f>
        <v>289.0745</v>
      </c>
      <c r="J13" s="65">
        <f ca="1">VLOOKUP($A13,INDIRECT($P$2),COLUMN()-1,FALSE)*VLOOKUP($A13,Usinas!$C:$D,2,FALSE)</f>
        <v>236.91980000000001</v>
      </c>
      <c r="K13" s="65">
        <f ca="1">VLOOKUP($A13,INDIRECT($P$2),COLUMN()-1,FALSE)*VLOOKUP($A13,Usinas!$C:$D,2,FALSE)</f>
        <v>194.06399999999999</v>
      </c>
      <c r="L13" s="65">
        <f ca="1">VLOOKUP($A13,INDIRECT($P$2),COLUMN()-1,FALSE)*VLOOKUP($A13,Usinas!$C:$D,2,FALSE)</f>
        <v>199.7242</v>
      </c>
      <c r="M13" s="65">
        <f ca="1">VLOOKUP($A13,INDIRECT($P$2),COLUMN()-1,FALSE)*VLOOKUP($A13,Usinas!$C:$D,2,FALSE)</f>
        <v>235.70689999999999</v>
      </c>
      <c r="N13" s="65">
        <f ca="1">VLOOKUP($A13,INDIRECT($P$2),COLUMN()-1,FALSE)*VLOOKUP($A13,Usinas!$C:$D,2,FALSE)</f>
        <v>329.90879999999999</v>
      </c>
      <c r="O13" s="65">
        <f ca="1">VLOOKUP($A13,INDIRECT($P$2),COLUMN()-1,FALSE)*VLOOKUP($A13,Usinas!$C:$D,2,FALSE)</f>
        <v>565.61569999999995</v>
      </c>
    </row>
    <row r="14" spans="1:16" hidden="1" outlineLevel="2" x14ac:dyDescent="0.25">
      <c r="A14" s="61">
        <v>10</v>
      </c>
      <c r="B14" s="62" t="s">
        <v>48</v>
      </c>
      <c r="D14" s="65">
        <f ca="1">VLOOKUP($A14,INDIRECT($P$2),COLUMN()-1,FALSE)*VLOOKUP($A14,Usinas!$C:$D,2,FALSE)</f>
        <v>319.64</v>
      </c>
      <c r="E14" s="65">
        <f ca="1">VLOOKUP($A14,INDIRECT($P$2),COLUMN()-1,FALSE)*VLOOKUP($A14,Usinas!$C:$D,2,FALSE)</f>
        <v>304.08499999999998</v>
      </c>
      <c r="F14" s="65">
        <f ca="1">VLOOKUP($A14,INDIRECT($P$2),COLUMN()-1,FALSE)*VLOOKUP($A14,Usinas!$C:$D,2,FALSE)</f>
        <v>270.99250000000001</v>
      </c>
      <c r="G14" s="65">
        <f ca="1">VLOOKUP($A14,INDIRECT($P$2),COLUMN()-1,FALSE)*VLOOKUP($A14,Usinas!$C:$D,2,FALSE)</f>
        <v>188.49</v>
      </c>
      <c r="H14" s="65">
        <f ca="1">VLOOKUP($A14,INDIRECT($P$2),COLUMN()-1,FALSE)*VLOOKUP($A14,Usinas!$C:$D,2,FALSE)</f>
        <v>135.8775</v>
      </c>
      <c r="I14" s="65">
        <f ca="1">VLOOKUP($A14,INDIRECT($P$2),COLUMN()-1,FALSE)*VLOOKUP($A14,Usinas!$C:$D,2,FALSE)</f>
        <v>112.24</v>
      </c>
      <c r="J14" s="65">
        <f ca="1">VLOOKUP($A14,INDIRECT($P$2),COLUMN()-1,FALSE)*VLOOKUP($A14,Usinas!$C:$D,2,FALSE)</f>
        <v>91.957499999999996</v>
      </c>
      <c r="K14" s="65">
        <f ca="1">VLOOKUP($A14,INDIRECT($P$2),COLUMN()-1,FALSE)*VLOOKUP($A14,Usinas!$C:$D,2,FALSE)</f>
        <v>75.334999999999994</v>
      </c>
      <c r="L14" s="65">
        <f ca="1">VLOOKUP($A14,INDIRECT($P$2),COLUMN()-1,FALSE)*VLOOKUP($A14,Usinas!$C:$D,2,FALSE)</f>
        <v>77.164999999999992</v>
      </c>
      <c r="M14" s="65">
        <f ca="1">VLOOKUP($A14,INDIRECT($P$2),COLUMN()-1,FALSE)*VLOOKUP($A14,Usinas!$C:$D,2,FALSE)</f>
        <v>90.89</v>
      </c>
      <c r="N14" s="65">
        <f ca="1">VLOOKUP($A14,INDIRECT($P$2),COLUMN()-1,FALSE)*VLOOKUP($A14,Usinas!$C:$D,2,FALSE)</f>
        <v>126.88</v>
      </c>
      <c r="O14" s="65">
        <f ca="1">VLOOKUP($A14,INDIRECT($P$2),COLUMN()-1,FALSE)*VLOOKUP($A14,Usinas!$C:$D,2,FALSE)</f>
        <v>217.00749999999999</v>
      </c>
    </row>
    <row r="15" spans="1:16" hidden="1" outlineLevel="2" x14ac:dyDescent="0.25">
      <c r="A15" s="61">
        <v>11</v>
      </c>
      <c r="B15" s="62" t="s">
        <v>49</v>
      </c>
      <c r="D15" s="65">
        <f ca="1">VLOOKUP($A15,INDIRECT($P$2),COLUMN()-1,FALSE)*VLOOKUP($A15,Usinas!$C:$D,2,FALSE)</f>
        <v>546.31200000000001</v>
      </c>
      <c r="E15" s="65">
        <f ca="1">VLOOKUP($A15,INDIRECT($P$2),COLUMN()-1,FALSE)*VLOOKUP($A15,Usinas!$C:$D,2,FALSE)</f>
        <v>524.80560000000003</v>
      </c>
      <c r="F15" s="65">
        <f ca="1">VLOOKUP($A15,INDIRECT($P$2),COLUMN()-1,FALSE)*VLOOKUP($A15,Usinas!$C:$D,2,FALSE)</f>
        <v>468.44400000000002</v>
      </c>
      <c r="G15" s="65">
        <f ca="1">VLOOKUP($A15,INDIRECT($P$2),COLUMN()-1,FALSE)*VLOOKUP($A15,Usinas!$C:$D,2,FALSE)</f>
        <v>328.28160000000003</v>
      </c>
      <c r="H15" s="65">
        <f ca="1">VLOOKUP($A15,INDIRECT($P$2),COLUMN()-1,FALSE)*VLOOKUP($A15,Usinas!$C:$D,2,FALSE)</f>
        <v>235.33440000000002</v>
      </c>
      <c r="I15" s="65">
        <f ca="1">VLOOKUP($A15,INDIRECT($P$2),COLUMN()-1,FALSE)*VLOOKUP($A15,Usinas!$C:$D,2,FALSE)</f>
        <v>194.05199999999999</v>
      </c>
      <c r="J15" s="65">
        <f ca="1">VLOOKUP($A15,INDIRECT($P$2),COLUMN()-1,FALSE)*VLOOKUP($A15,Usinas!$C:$D,2,FALSE)</f>
        <v>158.45519999999999</v>
      </c>
      <c r="K15" s="65">
        <f ca="1">VLOOKUP($A15,INDIRECT($P$2),COLUMN()-1,FALSE)*VLOOKUP($A15,Usinas!$C:$D,2,FALSE)</f>
        <v>129.53280000000001</v>
      </c>
      <c r="L15" s="65">
        <f ca="1">VLOOKUP($A15,INDIRECT($P$2),COLUMN()-1,FALSE)*VLOOKUP($A15,Usinas!$C:$D,2,FALSE)</f>
        <v>131.7576</v>
      </c>
      <c r="M15" s="65">
        <f ca="1">VLOOKUP($A15,INDIRECT($P$2),COLUMN()-1,FALSE)*VLOOKUP($A15,Usinas!$C:$D,2,FALSE)</f>
        <v>154.99440000000001</v>
      </c>
      <c r="N15" s="65">
        <f ca="1">VLOOKUP($A15,INDIRECT($P$2),COLUMN()-1,FALSE)*VLOOKUP($A15,Usinas!$C:$D,2,FALSE)</f>
        <v>215.8056</v>
      </c>
      <c r="O15" s="65">
        <f ca="1">VLOOKUP($A15,INDIRECT($P$2),COLUMN()-1,FALSE)*VLOOKUP($A15,Usinas!$C:$D,2,FALSE)</f>
        <v>367.58640000000003</v>
      </c>
    </row>
    <row r="16" spans="1:16" hidden="1" outlineLevel="2" x14ac:dyDescent="0.25">
      <c r="A16" s="61">
        <v>12</v>
      </c>
      <c r="B16" s="62" t="s">
        <v>50</v>
      </c>
      <c r="D16" s="65">
        <f ca="1">VLOOKUP($A16,INDIRECT($P$2),COLUMN()-1,FALSE)*VLOOKUP($A16,Usinas!$C:$D,2,FALSE)</f>
        <v>508.27720000000005</v>
      </c>
      <c r="E16" s="65">
        <f ca="1">VLOOKUP($A16,INDIRECT($P$2),COLUMN()-1,FALSE)*VLOOKUP($A16,Usinas!$C:$D,2,FALSE)</f>
        <v>494.21500000000003</v>
      </c>
      <c r="F16" s="65">
        <f ca="1">VLOOKUP($A16,INDIRECT($P$2),COLUMN()-1,FALSE)*VLOOKUP($A16,Usinas!$C:$D,2,FALSE)</f>
        <v>442.65360000000004</v>
      </c>
      <c r="G16" s="65">
        <f ca="1">VLOOKUP($A16,INDIRECT($P$2),COLUMN()-1,FALSE)*VLOOKUP($A16,Usinas!$C:$D,2,FALSE)</f>
        <v>312.62920000000003</v>
      </c>
      <c r="H16" s="65">
        <f ca="1">VLOOKUP($A16,INDIRECT($P$2),COLUMN()-1,FALSE)*VLOOKUP($A16,Usinas!$C:$D,2,FALSE)</f>
        <v>222.9572</v>
      </c>
      <c r="I16" s="65">
        <f ca="1">VLOOKUP($A16,INDIRECT($P$2),COLUMN()-1,FALSE)*VLOOKUP($A16,Usinas!$C:$D,2,FALSE)</f>
        <v>182.60480000000001</v>
      </c>
      <c r="J16" s="65">
        <f ca="1">VLOOKUP($A16,INDIRECT($P$2),COLUMN()-1,FALSE)*VLOOKUP($A16,Usinas!$C:$D,2,FALSE)</f>
        <v>148.3664</v>
      </c>
      <c r="K16" s="65">
        <f ca="1">VLOOKUP($A16,INDIRECT($P$2),COLUMN()-1,FALSE)*VLOOKUP($A16,Usinas!$C:$D,2,FALSE)</f>
        <v>121.05720000000001</v>
      </c>
      <c r="L16" s="65">
        <f ca="1">VLOOKUP($A16,INDIRECT($P$2),COLUMN()-1,FALSE)*VLOOKUP($A16,Usinas!$C:$D,2,FALSE)</f>
        <v>121.8724</v>
      </c>
      <c r="M16" s="65">
        <f ca="1">VLOOKUP($A16,INDIRECT($P$2),COLUMN()-1,FALSE)*VLOOKUP($A16,Usinas!$C:$D,2,FALSE)</f>
        <v>143.679</v>
      </c>
      <c r="N16" s="65">
        <f ca="1">VLOOKUP($A16,INDIRECT($P$2),COLUMN()-1,FALSE)*VLOOKUP($A16,Usinas!$C:$D,2,FALSE)</f>
        <v>199.52020000000002</v>
      </c>
      <c r="O16" s="65">
        <f ca="1">VLOOKUP($A16,INDIRECT($P$2),COLUMN()-1,FALSE)*VLOOKUP($A16,Usinas!$C:$D,2,FALSE)</f>
        <v>338.71559999999999</v>
      </c>
    </row>
    <row r="17" spans="1:15" hidden="1" outlineLevel="2" x14ac:dyDescent="0.25">
      <c r="A17" s="61">
        <v>14</v>
      </c>
      <c r="B17" s="62" t="s">
        <v>51</v>
      </c>
      <c r="D17" s="65">
        <f ca="1">VLOOKUP($A17,INDIRECT($P$2),COLUMN()-1,FALSE)*VLOOKUP($A17,Usinas!$C:$D,2,FALSE)</f>
        <v>79.830799999999996</v>
      </c>
      <c r="E17" s="65">
        <f ca="1">VLOOKUP($A17,INDIRECT($P$2),COLUMN()-1,FALSE)*VLOOKUP($A17,Usinas!$C:$D,2,FALSE)</f>
        <v>81.459999999999994</v>
      </c>
      <c r="F17" s="65">
        <f ca="1">VLOOKUP($A17,INDIRECT($P$2),COLUMN()-1,FALSE)*VLOOKUP($A17,Usinas!$C:$D,2,FALSE)</f>
        <v>70.870199999999997</v>
      </c>
      <c r="G17" s="65">
        <f ca="1">VLOOKUP($A17,INDIRECT($P$2),COLUMN()-1,FALSE)*VLOOKUP($A17,Usinas!$C:$D,2,FALSE)</f>
        <v>48.875999999999998</v>
      </c>
      <c r="H17" s="65">
        <f ca="1">VLOOKUP($A17,INDIRECT($P$2),COLUMN()-1,FALSE)*VLOOKUP($A17,Usinas!$C:$D,2,FALSE)</f>
        <v>35.842399999999998</v>
      </c>
      <c r="I17" s="65">
        <f ca="1">VLOOKUP($A17,INDIRECT($P$2),COLUMN()-1,FALSE)*VLOOKUP($A17,Usinas!$C:$D,2,FALSE)</f>
        <v>29.325600000000001</v>
      </c>
      <c r="J17" s="65">
        <f ca="1">VLOOKUP($A17,INDIRECT($P$2),COLUMN()-1,FALSE)*VLOOKUP($A17,Usinas!$C:$D,2,FALSE)</f>
        <v>23.6234</v>
      </c>
      <c r="K17" s="65">
        <f ca="1">VLOOKUP($A17,INDIRECT($P$2),COLUMN()-1,FALSE)*VLOOKUP($A17,Usinas!$C:$D,2,FALSE)</f>
        <v>20.364999999999998</v>
      </c>
      <c r="L17" s="65">
        <f ca="1">VLOOKUP($A17,INDIRECT($P$2),COLUMN()-1,FALSE)*VLOOKUP($A17,Usinas!$C:$D,2,FALSE)</f>
        <v>20.364999999999998</v>
      </c>
      <c r="M17" s="65">
        <f ca="1">VLOOKUP($A17,INDIRECT($P$2),COLUMN()-1,FALSE)*VLOOKUP($A17,Usinas!$C:$D,2,FALSE)</f>
        <v>25.252600000000001</v>
      </c>
      <c r="N17" s="65">
        <f ca="1">VLOOKUP($A17,INDIRECT($P$2),COLUMN()-1,FALSE)*VLOOKUP($A17,Usinas!$C:$D,2,FALSE)</f>
        <v>32.584000000000003</v>
      </c>
      <c r="O17" s="65">
        <f ca="1">VLOOKUP($A17,INDIRECT($P$2),COLUMN()-1,FALSE)*VLOOKUP($A17,Usinas!$C:$D,2,FALSE)</f>
        <v>57.021999999999998</v>
      </c>
    </row>
    <row r="18" spans="1:15" hidden="1" outlineLevel="2" x14ac:dyDescent="0.25">
      <c r="A18" s="61">
        <v>15</v>
      </c>
      <c r="B18" s="62" t="s">
        <v>52</v>
      </c>
      <c r="D18" s="65">
        <f ca="1">VLOOKUP($A18,INDIRECT($P$2),COLUMN()-1,FALSE)*VLOOKUP($A18,Usinas!$C:$D,2,FALSE)</f>
        <v>119.376</v>
      </c>
      <c r="E18" s="65">
        <f ca="1">VLOOKUP($A18,INDIRECT($P$2),COLUMN()-1,FALSE)*VLOOKUP($A18,Usinas!$C:$D,2,FALSE)</f>
        <v>122.3604</v>
      </c>
      <c r="F18" s="65">
        <f ca="1">VLOOKUP($A18,INDIRECT($P$2),COLUMN()-1,FALSE)*VLOOKUP($A18,Usinas!$C:$D,2,FALSE)</f>
        <v>105.9462</v>
      </c>
      <c r="G18" s="65">
        <f ca="1">VLOOKUP($A18,INDIRECT($P$2),COLUMN()-1,FALSE)*VLOOKUP($A18,Usinas!$C:$D,2,FALSE)</f>
        <v>72.371700000000004</v>
      </c>
      <c r="H18" s="65">
        <f ca="1">VLOOKUP($A18,INDIRECT($P$2),COLUMN()-1,FALSE)*VLOOKUP($A18,Usinas!$C:$D,2,FALSE)</f>
        <v>52.973100000000002</v>
      </c>
      <c r="I18" s="65">
        <f ca="1">VLOOKUP($A18,INDIRECT($P$2),COLUMN()-1,FALSE)*VLOOKUP($A18,Usinas!$C:$D,2,FALSE)</f>
        <v>44.0199</v>
      </c>
      <c r="J18" s="65">
        <f ca="1">VLOOKUP($A18,INDIRECT($P$2),COLUMN()-1,FALSE)*VLOOKUP($A18,Usinas!$C:$D,2,FALSE)</f>
        <v>36.558900000000001</v>
      </c>
      <c r="K18" s="65">
        <f ca="1">VLOOKUP($A18,INDIRECT($P$2),COLUMN()-1,FALSE)*VLOOKUP($A18,Usinas!$C:$D,2,FALSE)</f>
        <v>30.5901</v>
      </c>
      <c r="L18" s="65">
        <f ca="1">VLOOKUP($A18,INDIRECT($P$2),COLUMN()-1,FALSE)*VLOOKUP($A18,Usinas!$C:$D,2,FALSE)</f>
        <v>31.336199999999998</v>
      </c>
      <c r="M18" s="65">
        <f ca="1">VLOOKUP($A18,INDIRECT($P$2),COLUMN()-1,FALSE)*VLOOKUP($A18,Usinas!$C:$D,2,FALSE)</f>
        <v>38.051099999999998</v>
      </c>
      <c r="N18" s="65">
        <f ca="1">VLOOKUP($A18,INDIRECT($P$2),COLUMN()-1,FALSE)*VLOOKUP($A18,Usinas!$C:$D,2,FALSE)</f>
        <v>47.750399999999999</v>
      </c>
      <c r="O18" s="65">
        <f ca="1">VLOOKUP($A18,INDIRECT($P$2),COLUMN()-1,FALSE)*VLOOKUP($A18,Usinas!$C:$D,2,FALSE)</f>
        <v>85.055399999999992</v>
      </c>
    </row>
    <row r="19" spans="1:15" hidden="1" outlineLevel="2" x14ac:dyDescent="0.25">
      <c r="A19" s="61">
        <v>16</v>
      </c>
      <c r="B19" s="62" t="s">
        <v>53</v>
      </c>
      <c r="D19" s="65">
        <f ca="1">VLOOKUP($A19,INDIRECT($P$2),COLUMN()-1,FALSE)*VLOOKUP($A19,Usinas!$C:$D,2,FALSE)</f>
        <v>33.436799999999998</v>
      </c>
      <c r="E19" s="65">
        <f ca="1">VLOOKUP($A19,INDIRECT($P$2),COLUMN()-1,FALSE)*VLOOKUP($A19,Usinas!$C:$D,2,FALSE)</f>
        <v>34.468800000000002</v>
      </c>
      <c r="F19" s="65">
        <f ca="1">VLOOKUP($A19,INDIRECT($P$2),COLUMN()-1,FALSE)*VLOOKUP($A19,Usinas!$C:$D,2,FALSE)</f>
        <v>29.928000000000001</v>
      </c>
      <c r="G19" s="65">
        <f ca="1">VLOOKUP($A19,INDIRECT($P$2),COLUMN()-1,FALSE)*VLOOKUP($A19,Usinas!$C:$D,2,FALSE)</f>
        <v>20.433599999999998</v>
      </c>
      <c r="H19" s="65">
        <f ca="1">VLOOKUP($A19,INDIRECT($P$2),COLUMN()-1,FALSE)*VLOOKUP($A19,Usinas!$C:$D,2,FALSE)</f>
        <v>14.860799999999999</v>
      </c>
      <c r="I19" s="65">
        <f ca="1">VLOOKUP($A19,INDIRECT($P$2),COLUMN()-1,FALSE)*VLOOKUP($A19,Usinas!$C:$D,2,FALSE)</f>
        <v>12.384</v>
      </c>
      <c r="J19" s="65">
        <f ca="1">VLOOKUP($A19,INDIRECT($P$2),COLUMN()-1,FALSE)*VLOOKUP($A19,Usinas!$C:$D,2,FALSE)</f>
        <v>10.1136</v>
      </c>
      <c r="K19" s="65">
        <f ca="1">VLOOKUP($A19,INDIRECT($P$2),COLUMN()-1,FALSE)*VLOOKUP($A19,Usinas!$C:$D,2,FALSE)</f>
        <v>8.6687999999999992</v>
      </c>
      <c r="L19" s="65">
        <f ca="1">VLOOKUP($A19,INDIRECT($P$2),COLUMN()-1,FALSE)*VLOOKUP($A19,Usinas!$C:$D,2,FALSE)</f>
        <v>8.8751999999999995</v>
      </c>
      <c r="M19" s="65">
        <f ca="1">VLOOKUP($A19,INDIRECT($P$2),COLUMN()-1,FALSE)*VLOOKUP($A19,Usinas!$C:$D,2,FALSE)</f>
        <v>10.732799999999999</v>
      </c>
      <c r="N19" s="65">
        <f ca="1">VLOOKUP($A19,INDIRECT($P$2),COLUMN()-1,FALSE)*VLOOKUP($A19,Usinas!$C:$D,2,FALSE)</f>
        <v>13.416</v>
      </c>
      <c r="O19" s="65">
        <f ca="1">VLOOKUP($A19,INDIRECT($P$2),COLUMN()-1,FALSE)*VLOOKUP($A19,Usinas!$C:$D,2,FALSE)</f>
        <v>23.942399999999999</v>
      </c>
    </row>
    <row r="20" spans="1:15" hidden="1" outlineLevel="2" x14ac:dyDescent="0.25">
      <c r="A20" s="61">
        <v>17</v>
      </c>
      <c r="B20" s="62" t="s">
        <v>54</v>
      </c>
      <c r="D20" s="65">
        <f ca="1">VLOOKUP($A20,INDIRECT($P$2),COLUMN()-1,FALSE)*VLOOKUP($A20,Usinas!$C:$D,2,FALSE)</f>
        <v>1635.3028999999999</v>
      </c>
      <c r="E20" s="65">
        <f ca="1">VLOOKUP($A20,INDIRECT($P$2),COLUMN()-1,FALSE)*VLOOKUP($A20,Usinas!$C:$D,2,FALSE)</f>
        <v>1674.8149000000001</v>
      </c>
      <c r="F20" s="65">
        <f ca="1">VLOOKUP($A20,INDIRECT($P$2),COLUMN()-1,FALSE)*VLOOKUP($A20,Usinas!$C:$D,2,FALSE)</f>
        <v>1499.9743000000001</v>
      </c>
      <c r="G20" s="65">
        <f ca="1">VLOOKUP($A20,INDIRECT($P$2),COLUMN()-1,FALSE)*VLOOKUP($A20,Usinas!$C:$D,2,FALSE)</f>
        <v>1084.1105</v>
      </c>
      <c r="H20" s="65">
        <f ca="1">VLOOKUP($A20,INDIRECT($P$2),COLUMN()-1,FALSE)*VLOOKUP($A20,Usinas!$C:$D,2,FALSE)</f>
        <v>777.39859999999999</v>
      </c>
      <c r="I20" s="65">
        <f ca="1">VLOOKUP($A20,INDIRECT($P$2),COLUMN()-1,FALSE)*VLOOKUP($A20,Usinas!$C:$D,2,FALSE)</f>
        <v>648.9846</v>
      </c>
      <c r="J20" s="65">
        <f ca="1">VLOOKUP($A20,INDIRECT($P$2),COLUMN()-1,FALSE)*VLOOKUP($A20,Usinas!$C:$D,2,FALSE)</f>
        <v>530.44860000000006</v>
      </c>
      <c r="K20" s="65">
        <f ca="1">VLOOKUP($A20,INDIRECT($P$2),COLUMN()-1,FALSE)*VLOOKUP($A20,Usinas!$C:$D,2,FALSE)</f>
        <v>440.06490000000002</v>
      </c>
      <c r="L20" s="65">
        <f ca="1">VLOOKUP($A20,INDIRECT($P$2),COLUMN()-1,FALSE)*VLOOKUP($A20,Usinas!$C:$D,2,FALSE)</f>
        <v>435.6198</v>
      </c>
      <c r="M20" s="65">
        <f ca="1">VLOOKUP($A20,INDIRECT($P$2),COLUMN()-1,FALSE)*VLOOKUP($A20,Usinas!$C:$D,2,FALSE)</f>
        <v>500.81459999999998</v>
      </c>
      <c r="N20" s="65">
        <f ca="1">VLOOKUP($A20,INDIRECT($P$2),COLUMN()-1,FALSE)*VLOOKUP($A20,Usinas!$C:$D,2,FALSE)</f>
        <v>667.75279999999998</v>
      </c>
      <c r="O20" s="65">
        <f ca="1">VLOOKUP($A20,INDIRECT($P$2),COLUMN()-1,FALSE)*VLOOKUP($A20,Usinas!$C:$D,2,FALSE)</f>
        <v>1102.8787</v>
      </c>
    </row>
    <row r="21" spans="1:15" hidden="1" outlineLevel="2" x14ac:dyDescent="0.25">
      <c r="A21" s="61">
        <v>18</v>
      </c>
      <c r="B21" s="62" t="s">
        <v>55</v>
      </c>
      <c r="D21" s="65">
        <f ca="1">VLOOKUP($A21,INDIRECT($P$2),COLUMN()-1,FALSE)*VLOOKUP($A21,Usinas!$C:$D,2,FALSE)</f>
        <v>1737.048</v>
      </c>
      <c r="E21" s="65">
        <f ca="1">VLOOKUP($A21,INDIRECT($P$2),COLUMN()-1,FALSE)*VLOOKUP($A21,Usinas!$C:$D,2,FALSE)</f>
        <v>1808.6399999999999</v>
      </c>
      <c r="F21" s="65">
        <f ca="1">VLOOKUP($A21,INDIRECT($P$2),COLUMN()-1,FALSE)*VLOOKUP($A21,Usinas!$C:$D,2,FALSE)</f>
        <v>1628.7179999999998</v>
      </c>
      <c r="G21" s="65">
        <f ca="1">VLOOKUP($A21,INDIRECT($P$2),COLUMN()-1,FALSE)*VLOOKUP($A21,Usinas!$C:$D,2,FALSE)</f>
        <v>1185.9779999999998</v>
      </c>
      <c r="H21" s="65">
        <f ca="1">VLOOKUP($A21,INDIRECT($P$2),COLUMN()-1,FALSE)*VLOOKUP($A21,Usinas!$C:$D,2,FALSE)</f>
        <v>846.38699999999994</v>
      </c>
      <c r="I21" s="65">
        <f ca="1">VLOOKUP($A21,INDIRECT($P$2),COLUMN()-1,FALSE)*VLOOKUP($A21,Usinas!$C:$D,2,FALSE)</f>
        <v>709.32599999999991</v>
      </c>
      <c r="J21" s="65">
        <f ca="1">VLOOKUP($A21,INDIRECT($P$2),COLUMN()-1,FALSE)*VLOOKUP($A21,Usinas!$C:$D,2,FALSE)</f>
        <v>580.74299999999994</v>
      </c>
      <c r="K21" s="65">
        <f ca="1">VLOOKUP($A21,INDIRECT($P$2),COLUMN()-1,FALSE)*VLOOKUP($A21,Usinas!$C:$D,2,FALSE)</f>
        <v>484.18799999999999</v>
      </c>
      <c r="L21" s="65">
        <f ca="1">VLOOKUP($A21,INDIRECT($P$2),COLUMN()-1,FALSE)*VLOOKUP($A21,Usinas!$C:$D,2,FALSE)</f>
        <v>476.18099999999998</v>
      </c>
      <c r="M21" s="65">
        <f ca="1">VLOOKUP($A21,INDIRECT($P$2),COLUMN()-1,FALSE)*VLOOKUP($A21,Usinas!$C:$D,2,FALSE)</f>
        <v>547.77300000000002</v>
      </c>
      <c r="N21" s="65">
        <f ca="1">VLOOKUP($A21,INDIRECT($P$2),COLUMN()-1,FALSE)*VLOOKUP($A21,Usinas!$C:$D,2,FALSE)</f>
        <v>715.92</v>
      </c>
      <c r="O21" s="65">
        <f ca="1">VLOOKUP($A21,INDIRECT($P$2),COLUMN()-1,FALSE)*VLOOKUP($A21,Usinas!$C:$D,2,FALSE)</f>
        <v>1161.4859999999999</v>
      </c>
    </row>
    <row r="22" spans="1:15" hidden="1" outlineLevel="1" x14ac:dyDescent="0.25">
      <c r="A22" s="14"/>
      <c r="B22" s="15" t="s">
        <v>56</v>
      </c>
      <c r="D22" s="74">
        <f t="shared" ref="D22:O22" ca="1" si="0">SUM(D7:D21)</f>
        <v>9305.5499000000018</v>
      </c>
      <c r="E22" s="48">
        <f t="shared" ca="1" si="0"/>
        <v>9082.3019999999997</v>
      </c>
      <c r="F22" s="48">
        <f t="shared" ca="1" si="0"/>
        <v>8110.9993999999997</v>
      </c>
      <c r="G22" s="48">
        <f t="shared" ca="1" si="0"/>
        <v>5717.4046000000008</v>
      </c>
      <c r="H22" s="48">
        <f t="shared" ca="1" si="0"/>
        <v>4126.9616999999998</v>
      </c>
      <c r="I22" s="75">
        <f t="shared" ca="1" si="0"/>
        <v>3433.1162999999997</v>
      </c>
      <c r="J22" s="74">
        <f t="shared" ca="1" si="0"/>
        <v>2813.4535999999994</v>
      </c>
      <c r="K22" s="48">
        <f t="shared" ca="1" si="0"/>
        <v>2324.7512999999994</v>
      </c>
      <c r="L22" s="48">
        <f t="shared" ca="1" si="0"/>
        <v>2353.0582999999997</v>
      </c>
      <c r="M22" s="48">
        <f t="shared" ca="1" si="0"/>
        <v>2752.1955000000003</v>
      </c>
      <c r="N22" s="48">
        <f t="shared" ca="1" si="0"/>
        <v>3766.5231999999996</v>
      </c>
      <c r="O22" s="75">
        <f t="shared" ca="1" si="0"/>
        <v>6350.6214999999993</v>
      </c>
    </row>
    <row r="23" spans="1:15" hidden="1" outlineLevel="1" x14ac:dyDescent="0.25">
      <c r="A23" s="16"/>
      <c r="B23" s="17" t="s">
        <v>0</v>
      </c>
      <c r="D23" s="80"/>
      <c r="E23" s="81"/>
      <c r="F23" s="81"/>
      <c r="G23" s="81"/>
      <c r="H23" s="81"/>
      <c r="I23" s="82"/>
      <c r="J23" s="80"/>
      <c r="K23" s="81"/>
      <c r="L23" s="81"/>
      <c r="M23" s="81"/>
      <c r="N23" s="81"/>
      <c r="O23" s="82"/>
    </row>
    <row r="24" spans="1:15" hidden="1" outlineLevel="1" x14ac:dyDescent="0.25">
      <c r="A24" s="47"/>
      <c r="B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</row>
    <row r="25" spans="1:15" hidden="1" outlineLevel="1" x14ac:dyDescent="0.25">
      <c r="A25" s="63"/>
      <c r="B25" s="64"/>
      <c r="D25" s="327" t="s">
        <v>57</v>
      </c>
      <c r="E25" s="328" t="s">
        <v>58</v>
      </c>
      <c r="F25" s="328" t="s">
        <v>59</v>
      </c>
      <c r="G25" s="328"/>
      <c r="H25" s="328"/>
      <c r="I25" s="328"/>
      <c r="J25" s="328" t="s">
        <v>57</v>
      </c>
      <c r="K25" s="328" t="s">
        <v>58</v>
      </c>
      <c r="L25" s="328" t="s">
        <v>59</v>
      </c>
      <c r="M25" s="328"/>
      <c r="N25" s="328"/>
      <c r="O25" s="328"/>
    </row>
    <row r="26" spans="1:15" hidden="1" outlineLevel="2" x14ac:dyDescent="0.25">
      <c r="A26" s="61">
        <v>22</v>
      </c>
      <c r="B26" s="62" t="s">
        <v>60</v>
      </c>
      <c r="D26" s="65">
        <f ca="1">VLOOKUP($A26,INDIRECT($P$2),COLUMN()-1,FALSE)*VLOOKUP($A26,Usinas!$C:$D,2,FALSE)</f>
        <v>67.5886</v>
      </c>
      <c r="E26" s="65">
        <f ca="1">VLOOKUP($A26,INDIRECT($P$2),COLUMN()-1,FALSE)*VLOOKUP($A26,Usinas!$C:$D,2,FALSE)</f>
        <v>68.639200000000002</v>
      </c>
      <c r="F26" s="65">
        <f ca="1">VLOOKUP($A26,INDIRECT($P$2),COLUMN()-1,FALSE)*VLOOKUP($A26,Usinas!$C:$D,2,FALSE)</f>
        <v>69.689800000000005</v>
      </c>
      <c r="G26" s="65">
        <f ca="1">VLOOKUP($A26,INDIRECT($P$2),COLUMN()-1,FALSE)*VLOOKUP($A26,Usinas!$C:$D,2,FALSE)</f>
        <v>52.53</v>
      </c>
      <c r="H26" s="65">
        <f ca="1">VLOOKUP($A26,INDIRECT($P$2),COLUMN()-1,FALSE)*VLOOKUP($A26,Usinas!$C:$D,2,FALSE)</f>
        <v>33.619199999999999</v>
      </c>
      <c r="I26" s="65">
        <f ca="1">VLOOKUP($A26,INDIRECT($P$2),COLUMN()-1,FALSE)*VLOOKUP($A26,Usinas!$C:$D,2,FALSE)</f>
        <v>25.564600000000002</v>
      </c>
      <c r="J26" s="65">
        <f ca="1">VLOOKUP($A26,INDIRECT($P$2),COLUMN()-1,FALSE)*VLOOKUP($A26,Usinas!$C:$D,2,FALSE)</f>
        <v>20.311600000000002</v>
      </c>
      <c r="K26" s="65">
        <f ca="1">VLOOKUP($A26,INDIRECT($P$2),COLUMN()-1,FALSE)*VLOOKUP($A26,Usinas!$C:$D,2,FALSE)</f>
        <v>15.759</v>
      </c>
      <c r="L26" s="65">
        <f ca="1">VLOOKUP($A26,INDIRECT($P$2),COLUMN()-1,FALSE)*VLOOKUP($A26,Usinas!$C:$D,2,FALSE)</f>
        <v>13.6578</v>
      </c>
      <c r="M26" s="65">
        <f ca="1">VLOOKUP($A26,INDIRECT($P$2),COLUMN()-1,FALSE)*VLOOKUP($A26,Usinas!$C:$D,2,FALSE)</f>
        <v>16.109200000000001</v>
      </c>
      <c r="N26" s="65">
        <f ca="1">VLOOKUP($A26,INDIRECT($P$2),COLUMN()-1,FALSE)*VLOOKUP($A26,Usinas!$C:$D,2,FALSE)</f>
        <v>27.3156</v>
      </c>
      <c r="O26" s="65">
        <f ca="1">VLOOKUP($A26,INDIRECT($P$2),COLUMN()-1,FALSE)*VLOOKUP($A26,Usinas!$C:$D,2,FALSE)</f>
        <v>51.129200000000004</v>
      </c>
    </row>
    <row r="27" spans="1:15" hidden="1" outlineLevel="2" x14ac:dyDescent="0.25">
      <c r="A27" s="61">
        <v>251</v>
      </c>
      <c r="B27" s="62" t="s">
        <v>61</v>
      </c>
      <c r="D27" s="65">
        <f ca="1">VLOOKUP($A27,INDIRECT($P$2),COLUMN()-1,FALSE)*VLOOKUP($A27,Usinas!$C:$D,2,FALSE)</f>
        <v>207.0138</v>
      </c>
      <c r="E27" s="65">
        <f ca="1">VLOOKUP($A27,INDIRECT($P$2),COLUMN()-1,FALSE)*VLOOKUP($A27,Usinas!$C:$D,2,FALSE)</f>
        <v>207.0138</v>
      </c>
      <c r="F27" s="65">
        <f ca="1">VLOOKUP($A27,INDIRECT($P$2),COLUMN()-1,FALSE)*VLOOKUP($A27,Usinas!$C:$D,2,FALSE)</f>
        <v>207.0138</v>
      </c>
      <c r="G27" s="65">
        <f ca="1">VLOOKUP($A27,INDIRECT($P$2),COLUMN()-1,FALSE)*VLOOKUP($A27,Usinas!$C:$D,2,FALSE)</f>
        <v>154.93890000000002</v>
      </c>
      <c r="H27" s="65">
        <f ca="1">VLOOKUP($A27,INDIRECT($P$2),COLUMN()-1,FALSE)*VLOOKUP($A27,Usinas!$C:$D,2,FALSE)</f>
        <v>97.720799999999997</v>
      </c>
      <c r="I27" s="65">
        <f ca="1">VLOOKUP($A27,INDIRECT($P$2),COLUMN()-1,FALSE)*VLOOKUP($A27,Usinas!$C:$D,2,FALSE)</f>
        <v>74.576400000000007</v>
      </c>
      <c r="J27" s="65">
        <f ca="1">VLOOKUP($A27,INDIRECT($P$2),COLUMN()-1,FALSE)*VLOOKUP($A27,Usinas!$C:$D,2,FALSE)</f>
        <v>58.503900000000002</v>
      </c>
      <c r="K27" s="65">
        <f ca="1">VLOOKUP($A27,INDIRECT($P$2),COLUMN()-1,FALSE)*VLOOKUP($A27,Usinas!$C:$D,2,FALSE)</f>
        <v>46.288800000000002</v>
      </c>
      <c r="L27" s="65">
        <f ca="1">VLOOKUP($A27,INDIRECT($P$2),COLUMN()-1,FALSE)*VLOOKUP($A27,Usinas!$C:$D,2,FALSE)</f>
        <v>39.216900000000003</v>
      </c>
      <c r="M27" s="65">
        <f ca="1">VLOOKUP($A27,INDIRECT($P$2),COLUMN()-1,FALSE)*VLOOKUP($A27,Usinas!$C:$D,2,FALSE)</f>
        <v>47.574600000000004</v>
      </c>
      <c r="N27" s="65">
        <f ca="1">VLOOKUP($A27,INDIRECT($P$2),COLUMN()-1,FALSE)*VLOOKUP($A27,Usinas!$C:$D,2,FALSE)</f>
        <v>81.648300000000006</v>
      </c>
      <c r="O27" s="65">
        <f ca="1">VLOOKUP($A27,INDIRECT($P$2),COLUMN()-1,FALSE)*VLOOKUP($A27,Usinas!$C:$D,2,FALSE)</f>
        <v>155.58180000000002</v>
      </c>
    </row>
    <row r="28" spans="1:15" hidden="1" outlineLevel="2" x14ac:dyDescent="0.25">
      <c r="A28" s="61">
        <v>24</v>
      </c>
      <c r="B28" s="62" t="s">
        <v>31</v>
      </c>
      <c r="D28" s="65">
        <f ca="1">VLOOKUP($A28,INDIRECT($P$2),COLUMN()-1,FALSE)*VLOOKUP($A28,Usinas!$C:$D,2,FALSE)</f>
        <v>995.73810000000003</v>
      </c>
      <c r="E28" s="65">
        <f ca="1">VLOOKUP($A28,INDIRECT($P$2),COLUMN()-1,FALSE)*VLOOKUP($A28,Usinas!$C:$D,2,FALSE)</f>
        <v>991.32730000000004</v>
      </c>
      <c r="F28" s="65">
        <f ca="1">VLOOKUP($A28,INDIRECT($P$2),COLUMN()-1,FALSE)*VLOOKUP($A28,Usinas!$C:$D,2,FALSE)</f>
        <v>948.322</v>
      </c>
      <c r="G28" s="65">
        <f ca="1">VLOOKUP($A28,INDIRECT($P$2),COLUMN()-1,FALSE)*VLOOKUP($A28,Usinas!$C:$D,2,FALSE)</f>
        <v>690.29020000000003</v>
      </c>
      <c r="H28" s="65">
        <f ca="1">VLOOKUP($A28,INDIRECT($P$2),COLUMN()-1,FALSE)*VLOOKUP($A28,Usinas!$C:$D,2,FALSE)</f>
        <v>437.77190000000002</v>
      </c>
      <c r="I28" s="65">
        <f ca="1">VLOOKUP($A28,INDIRECT($P$2),COLUMN()-1,FALSE)*VLOOKUP($A28,Usinas!$C:$D,2,FALSE)</f>
        <v>337.42619999999999</v>
      </c>
      <c r="J28" s="65">
        <f ca="1">VLOOKUP($A28,INDIRECT($P$2),COLUMN()-1,FALSE)*VLOOKUP($A28,Usinas!$C:$D,2,FALSE)</f>
        <v>270.16149999999999</v>
      </c>
      <c r="K28" s="65">
        <f ca="1">VLOOKUP($A28,INDIRECT($P$2),COLUMN()-1,FALSE)*VLOOKUP($A28,Usinas!$C:$D,2,FALSE)</f>
        <v>216.1292</v>
      </c>
      <c r="L28" s="65">
        <f ca="1">VLOOKUP($A28,INDIRECT($P$2),COLUMN()-1,FALSE)*VLOOKUP($A28,Usinas!$C:$D,2,FALSE)</f>
        <v>190.7671</v>
      </c>
      <c r="M28" s="65">
        <f ca="1">VLOOKUP($A28,INDIRECT($P$2),COLUMN()-1,FALSE)*VLOOKUP($A28,Usinas!$C:$D,2,FALSE)</f>
        <v>228.25890000000001</v>
      </c>
      <c r="N28" s="65">
        <f ca="1">VLOOKUP($A28,INDIRECT($P$2),COLUMN()-1,FALSE)*VLOOKUP($A28,Usinas!$C:$D,2,FALSE)</f>
        <v>389.25310000000002</v>
      </c>
      <c r="O28" s="65">
        <f ca="1">VLOOKUP($A28,INDIRECT($P$2),COLUMN()-1,FALSE)*VLOOKUP($A28,Usinas!$C:$D,2,FALSE)</f>
        <v>725.57659999999998</v>
      </c>
    </row>
    <row r="29" spans="1:15" hidden="1" outlineLevel="2" x14ac:dyDescent="0.25">
      <c r="A29" s="61">
        <v>25</v>
      </c>
      <c r="B29" s="62" t="s">
        <v>32</v>
      </c>
      <c r="D29" s="65">
        <f ca="1">VLOOKUP($A29,INDIRECT($P$2),COLUMN()-1,FALSE)*VLOOKUP($A29,Usinas!$C:$D,2,FALSE)</f>
        <v>531.32499999999993</v>
      </c>
      <c r="E29" s="65">
        <f ca="1">VLOOKUP($A29,INDIRECT($P$2),COLUMN()-1,FALSE)*VLOOKUP($A29,Usinas!$C:$D,2,FALSE)</f>
        <v>533.32999999999993</v>
      </c>
      <c r="F29" s="65">
        <f ca="1">VLOOKUP($A29,INDIRECT($P$2),COLUMN()-1,FALSE)*VLOOKUP($A29,Usinas!$C:$D,2,FALSE)</f>
        <v>500.24749999999995</v>
      </c>
      <c r="G29" s="65">
        <f ca="1">VLOOKUP($A29,INDIRECT($P$2),COLUMN()-1,FALSE)*VLOOKUP($A29,Usinas!$C:$D,2,FALSE)</f>
        <v>375.9375</v>
      </c>
      <c r="H29" s="65">
        <f ca="1">VLOOKUP($A29,INDIRECT($P$2),COLUMN()-1,FALSE)*VLOOKUP($A29,Usinas!$C:$D,2,FALSE)</f>
        <v>257.64249999999998</v>
      </c>
      <c r="I29" s="65">
        <f ca="1">VLOOKUP($A29,INDIRECT($P$2),COLUMN()-1,FALSE)*VLOOKUP($A29,Usinas!$C:$D,2,FALSE)</f>
        <v>201.5025</v>
      </c>
      <c r="J29" s="65">
        <f ca="1">VLOOKUP($A29,INDIRECT($P$2),COLUMN()-1,FALSE)*VLOOKUP($A29,Usinas!$C:$D,2,FALSE)</f>
        <v>166.41499999999999</v>
      </c>
      <c r="K29" s="65">
        <f ca="1">VLOOKUP($A29,INDIRECT($P$2),COLUMN()-1,FALSE)*VLOOKUP($A29,Usinas!$C:$D,2,FALSE)</f>
        <v>135.33750000000001</v>
      </c>
      <c r="L29" s="65">
        <f ca="1">VLOOKUP($A29,INDIRECT($P$2),COLUMN()-1,FALSE)*VLOOKUP($A29,Usinas!$C:$D,2,FALSE)</f>
        <v>123.30749999999999</v>
      </c>
      <c r="M29" s="65">
        <f ca="1">VLOOKUP($A29,INDIRECT($P$2),COLUMN()-1,FALSE)*VLOOKUP($A29,Usinas!$C:$D,2,FALSE)</f>
        <v>152.38</v>
      </c>
      <c r="N29" s="65">
        <f ca="1">VLOOKUP($A29,INDIRECT($P$2),COLUMN()-1,FALSE)*VLOOKUP($A29,Usinas!$C:$D,2,FALSE)</f>
        <v>224.56</v>
      </c>
      <c r="O29" s="65">
        <f ca="1">VLOOKUP($A29,INDIRECT($P$2),COLUMN()-1,FALSE)*VLOOKUP($A29,Usinas!$C:$D,2,FALSE)</f>
        <v>376.94</v>
      </c>
    </row>
    <row r="30" spans="1:15" hidden="1" outlineLevel="2" x14ac:dyDescent="0.25">
      <c r="A30" s="61">
        <v>206</v>
      </c>
      <c r="B30" s="62" t="s">
        <v>62</v>
      </c>
      <c r="D30" s="65">
        <f ca="1">VLOOKUP($A30,INDIRECT($P$2),COLUMN()-1,FALSE)*VLOOKUP($A30,Usinas!$C:$D,2,FALSE)</f>
        <v>374.72299999999996</v>
      </c>
      <c r="E30" s="65">
        <f ca="1">VLOOKUP($A30,INDIRECT($P$2),COLUMN()-1,FALSE)*VLOOKUP($A30,Usinas!$C:$D,2,FALSE)</f>
        <v>377.79449999999997</v>
      </c>
      <c r="F30" s="65">
        <f ca="1">VLOOKUP($A30,INDIRECT($P$2),COLUMN()-1,FALSE)*VLOOKUP($A30,Usinas!$C:$D,2,FALSE)</f>
        <v>355.06539999999995</v>
      </c>
      <c r="G30" s="65">
        <f ca="1">VLOOKUP($A30,INDIRECT($P$2),COLUMN()-1,FALSE)*VLOOKUP($A30,Usinas!$C:$D,2,FALSE)</f>
        <v>269.67769999999996</v>
      </c>
      <c r="H30" s="65">
        <f ca="1">VLOOKUP($A30,INDIRECT($P$2),COLUMN()-1,FALSE)*VLOOKUP($A30,Usinas!$C:$D,2,FALSE)</f>
        <v>184.29</v>
      </c>
      <c r="I30" s="65">
        <f ca="1">VLOOKUP($A30,INDIRECT($P$2),COLUMN()-1,FALSE)*VLOOKUP($A30,Usinas!$C:$D,2,FALSE)</f>
        <v>144.3605</v>
      </c>
      <c r="J30" s="65">
        <f ca="1">VLOOKUP($A30,INDIRECT($P$2),COLUMN()-1,FALSE)*VLOOKUP($A30,Usinas!$C:$D,2,FALSE)</f>
        <v>119.78849999999998</v>
      </c>
      <c r="K30" s="65">
        <f ca="1">VLOOKUP($A30,INDIRECT($P$2),COLUMN()-1,FALSE)*VLOOKUP($A30,Usinas!$C:$D,2,FALSE)</f>
        <v>98.902299999999997</v>
      </c>
      <c r="L30" s="65">
        <f ca="1">VLOOKUP($A30,INDIRECT($P$2),COLUMN()-1,FALSE)*VLOOKUP($A30,Usinas!$C:$D,2,FALSE)</f>
        <v>90.916399999999996</v>
      </c>
      <c r="M30" s="65">
        <f ca="1">VLOOKUP($A30,INDIRECT($P$2),COLUMN()-1,FALSE)*VLOOKUP($A30,Usinas!$C:$D,2,FALSE)</f>
        <v>110.574</v>
      </c>
      <c r="N30" s="65">
        <f ca="1">VLOOKUP($A30,INDIRECT($P$2),COLUMN()-1,FALSE)*VLOOKUP($A30,Usinas!$C:$D,2,FALSE)</f>
        <v>161.56089999999998</v>
      </c>
      <c r="O30" s="65">
        <f ca="1">VLOOKUP($A30,INDIRECT($P$2),COLUMN()-1,FALSE)*VLOOKUP($A30,Usinas!$C:$D,2,FALSE)</f>
        <v>266.6062</v>
      </c>
    </row>
    <row r="31" spans="1:15" hidden="1" outlineLevel="2" x14ac:dyDescent="0.25">
      <c r="A31" s="61">
        <v>207</v>
      </c>
      <c r="B31" s="62" t="s">
        <v>63</v>
      </c>
      <c r="D31" s="65">
        <f ca="1">VLOOKUP($A31,INDIRECT($P$2),COLUMN()-1,FALSE)*VLOOKUP($A31,Usinas!$C:$D,2,FALSE)</f>
        <v>312.23200000000003</v>
      </c>
      <c r="E31" s="65">
        <f ca="1">VLOOKUP($A31,INDIRECT($P$2),COLUMN()-1,FALSE)*VLOOKUP($A31,Usinas!$C:$D,2,FALSE)</f>
        <v>315.25360000000001</v>
      </c>
      <c r="F31" s="65">
        <f ca="1">VLOOKUP($A31,INDIRECT($P$2),COLUMN()-1,FALSE)*VLOOKUP($A31,Usinas!$C:$D,2,FALSE)</f>
        <v>296.62040000000002</v>
      </c>
      <c r="G31" s="65">
        <f ca="1">VLOOKUP($A31,INDIRECT($P$2),COLUMN()-1,FALSE)*VLOOKUP($A31,Usinas!$C:$D,2,FALSE)</f>
        <v>225.61280000000002</v>
      </c>
      <c r="H31" s="65">
        <f ca="1">VLOOKUP($A31,INDIRECT($P$2),COLUMN()-1,FALSE)*VLOOKUP($A31,Usinas!$C:$D,2,FALSE)</f>
        <v>154.60520000000002</v>
      </c>
      <c r="I31" s="65">
        <f ca="1">VLOOKUP($A31,INDIRECT($P$2),COLUMN()-1,FALSE)*VLOOKUP($A31,Usinas!$C:$D,2,FALSE)</f>
        <v>120.864</v>
      </c>
      <c r="J31" s="65">
        <f ca="1">VLOOKUP($A31,INDIRECT($P$2),COLUMN()-1,FALSE)*VLOOKUP($A31,Usinas!$C:$D,2,FALSE)</f>
        <v>100.21640000000001</v>
      </c>
      <c r="K31" s="65">
        <f ca="1">VLOOKUP($A31,INDIRECT($P$2),COLUMN()-1,FALSE)*VLOOKUP($A31,Usinas!$C:$D,2,FALSE)</f>
        <v>82.590400000000002</v>
      </c>
      <c r="L31" s="65">
        <f ca="1">VLOOKUP($A31,INDIRECT($P$2),COLUMN()-1,FALSE)*VLOOKUP($A31,Usinas!$C:$D,2,FALSE)</f>
        <v>76.043600000000012</v>
      </c>
      <c r="M31" s="65">
        <f ca="1">VLOOKUP($A31,INDIRECT($P$2),COLUMN()-1,FALSE)*VLOOKUP($A31,Usinas!$C:$D,2,FALSE)</f>
        <v>92.158800000000014</v>
      </c>
      <c r="N31" s="65">
        <f ca="1">VLOOKUP($A31,INDIRECT($P$2),COLUMN()-1,FALSE)*VLOOKUP($A31,Usinas!$C:$D,2,FALSE)</f>
        <v>134.96480000000003</v>
      </c>
      <c r="O31" s="65">
        <f ca="1">VLOOKUP($A31,INDIRECT($P$2),COLUMN()-1,FALSE)*VLOOKUP($A31,Usinas!$C:$D,2,FALSE)</f>
        <v>222.08760000000001</v>
      </c>
    </row>
    <row r="32" spans="1:15" hidden="1" outlineLevel="2" x14ac:dyDescent="0.25">
      <c r="A32" s="61">
        <v>28</v>
      </c>
      <c r="B32" s="62" t="s">
        <v>64</v>
      </c>
      <c r="D32" s="65">
        <f ca="1">VLOOKUP($A32,INDIRECT($P$2),COLUMN()-1,FALSE)*VLOOKUP($A32,Usinas!$C:$D,2,FALSE)</f>
        <v>258.75920000000002</v>
      </c>
      <c r="E32" s="65">
        <f ca="1">VLOOKUP($A32,INDIRECT($P$2),COLUMN()-1,FALSE)*VLOOKUP($A32,Usinas!$C:$D,2,FALSE)</f>
        <v>262.37540000000001</v>
      </c>
      <c r="F32" s="65">
        <f ca="1">VLOOKUP($A32,INDIRECT($P$2),COLUMN()-1,FALSE)*VLOOKUP($A32,Usinas!$C:$D,2,FALSE)</f>
        <v>246.70519999999999</v>
      </c>
      <c r="G32" s="65">
        <f ca="1">VLOOKUP($A32,INDIRECT($P$2),COLUMN()-1,FALSE)*VLOOKUP($A32,Usinas!$C:$D,2,FALSE)</f>
        <v>188.4442</v>
      </c>
      <c r="H32" s="65">
        <f ca="1">VLOOKUP($A32,INDIRECT($P$2),COLUMN()-1,FALSE)*VLOOKUP($A32,Usinas!$C:$D,2,FALSE)</f>
        <v>128.9778</v>
      </c>
      <c r="I32" s="65">
        <f ca="1">VLOOKUP($A32,INDIRECT($P$2),COLUMN()-1,FALSE)*VLOOKUP($A32,Usinas!$C:$D,2,FALSE)</f>
        <v>100.8518</v>
      </c>
      <c r="J32" s="65">
        <f ca="1">VLOOKUP($A32,INDIRECT($P$2),COLUMN()-1,FALSE)*VLOOKUP($A32,Usinas!$C:$D,2,FALSE)</f>
        <v>83.574399999999997</v>
      </c>
      <c r="K32" s="65">
        <f ca="1">VLOOKUP($A32,INDIRECT($P$2),COLUMN()-1,FALSE)*VLOOKUP($A32,Usinas!$C:$D,2,FALSE)</f>
        <v>69.511399999999995</v>
      </c>
      <c r="L32" s="65">
        <f ca="1">VLOOKUP($A32,INDIRECT($P$2),COLUMN()-1,FALSE)*VLOOKUP($A32,Usinas!$C:$D,2,FALSE)</f>
        <v>63.886199999999995</v>
      </c>
      <c r="M32" s="65">
        <f ca="1">VLOOKUP($A32,INDIRECT($P$2),COLUMN()-1,FALSE)*VLOOKUP($A32,Usinas!$C:$D,2,FALSE)</f>
        <v>76.743799999999993</v>
      </c>
      <c r="N32" s="65">
        <f ca="1">VLOOKUP($A32,INDIRECT($P$2),COLUMN()-1,FALSE)*VLOOKUP($A32,Usinas!$C:$D,2,FALSE)</f>
        <v>112.1022</v>
      </c>
      <c r="O32" s="65">
        <f ca="1">VLOOKUP($A32,INDIRECT($P$2),COLUMN()-1,FALSE)*VLOOKUP($A32,Usinas!$C:$D,2,FALSE)</f>
        <v>184.02439999999999</v>
      </c>
    </row>
    <row r="33" spans="1:15" hidden="1" outlineLevel="2" x14ac:dyDescent="0.25">
      <c r="A33" s="61">
        <v>205</v>
      </c>
      <c r="B33" s="62" t="s">
        <v>65</v>
      </c>
      <c r="D33" s="65">
        <f ca="1">VLOOKUP($A33,INDIRECT($P$2),COLUMN()-1,FALSE)*VLOOKUP($A33,Usinas!$C:$D,2,FALSE)</f>
        <v>136.3494</v>
      </c>
      <c r="E33" s="65">
        <f ca="1">VLOOKUP($A33,INDIRECT($P$2),COLUMN()-1,FALSE)*VLOOKUP($A33,Usinas!$C:$D,2,FALSE)</f>
        <v>150.04660000000001</v>
      </c>
      <c r="F33" s="65">
        <f ca="1">VLOOKUP($A33,INDIRECT($P$2),COLUMN()-1,FALSE)*VLOOKUP($A33,Usinas!$C:$D,2,FALSE)</f>
        <v>148.8014</v>
      </c>
      <c r="G33" s="65">
        <f ca="1">VLOOKUP($A33,INDIRECT($P$2),COLUMN()-1,FALSE)*VLOOKUP($A33,Usinas!$C:$D,2,FALSE)</f>
        <v>118.29400000000001</v>
      </c>
      <c r="H33" s="65">
        <f ca="1">VLOOKUP($A33,INDIRECT($P$2),COLUMN()-1,FALSE)*VLOOKUP($A33,Usinas!$C:$D,2,FALSE)</f>
        <v>74.089400000000012</v>
      </c>
      <c r="I33" s="65">
        <f ca="1">VLOOKUP($A33,INDIRECT($P$2),COLUMN()-1,FALSE)*VLOOKUP($A33,Usinas!$C:$D,2,FALSE)</f>
        <v>54.166200000000003</v>
      </c>
      <c r="J33" s="65">
        <f ca="1">VLOOKUP($A33,INDIRECT($P$2),COLUMN()-1,FALSE)*VLOOKUP($A33,Usinas!$C:$D,2,FALSE)</f>
        <v>42.336800000000004</v>
      </c>
      <c r="K33" s="65">
        <f ca="1">VLOOKUP($A33,INDIRECT($P$2),COLUMN()-1,FALSE)*VLOOKUP($A33,Usinas!$C:$D,2,FALSE)</f>
        <v>33.620400000000004</v>
      </c>
      <c r="L33" s="65">
        <f ca="1">VLOOKUP($A33,INDIRECT($P$2),COLUMN()-1,FALSE)*VLOOKUP($A33,Usinas!$C:$D,2,FALSE)</f>
        <v>29.262200000000004</v>
      </c>
      <c r="M33" s="65">
        <f ca="1">VLOOKUP($A33,INDIRECT($P$2),COLUMN()-1,FALSE)*VLOOKUP($A33,Usinas!$C:$D,2,FALSE)</f>
        <v>37.9786</v>
      </c>
      <c r="N33" s="65">
        <f ca="1">VLOOKUP($A33,INDIRECT($P$2),COLUMN()-1,FALSE)*VLOOKUP($A33,Usinas!$C:$D,2,FALSE)</f>
        <v>62.260000000000005</v>
      </c>
      <c r="O33" s="65">
        <f ca="1">VLOOKUP($A33,INDIRECT($P$2),COLUMN()-1,FALSE)*VLOOKUP($A33,Usinas!$C:$D,2,FALSE)</f>
        <v>100.23860000000001</v>
      </c>
    </row>
    <row r="34" spans="1:15" hidden="1" outlineLevel="2" x14ac:dyDescent="0.25">
      <c r="A34" s="61">
        <v>23</v>
      </c>
      <c r="B34" s="62" t="s">
        <v>66</v>
      </c>
      <c r="D34" s="65">
        <f ca="1">VLOOKUP($A34,INDIRECT($P$2),COLUMN()-1,FALSE)*VLOOKUP($A34,Usinas!$C:$D,2,FALSE)</f>
        <v>98.85329999999999</v>
      </c>
      <c r="E34" s="65">
        <f ca="1">VLOOKUP($A34,INDIRECT($P$2),COLUMN()-1,FALSE)*VLOOKUP($A34,Usinas!$C:$D,2,FALSE)</f>
        <v>108.2679</v>
      </c>
      <c r="F34" s="65">
        <f ca="1">VLOOKUP($A34,INDIRECT($P$2),COLUMN()-1,FALSE)*VLOOKUP($A34,Usinas!$C:$D,2,FALSE)</f>
        <v>108.2679</v>
      </c>
      <c r="G34" s="65">
        <f ca="1">VLOOKUP($A34,INDIRECT($P$2),COLUMN()-1,FALSE)*VLOOKUP($A34,Usinas!$C:$D,2,FALSE)</f>
        <v>84.731399999999994</v>
      </c>
      <c r="H34" s="65">
        <f ca="1">VLOOKUP($A34,INDIRECT($P$2),COLUMN()-1,FALSE)*VLOOKUP($A34,Usinas!$C:$D,2,FALSE)</f>
        <v>53.590799999999994</v>
      </c>
      <c r="I34" s="65">
        <f ca="1">VLOOKUP($A34,INDIRECT($P$2),COLUMN()-1,FALSE)*VLOOKUP($A34,Usinas!$C:$D,2,FALSE)</f>
        <v>39.468899999999998</v>
      </c>
      <c r="J34" s="65">
        <f ca="1">VLOOKUP($A34,INDIRECT($P$2),COLUMN()-1,FALSE)*VLOOKUP($A34,Usinas!$C:$D,2,FALSE)</f>
        <v>30.778499999999998</v>
      </c>
      <c r="K34" s="65">
        <f ca="1">VLOOKUP($A34,INDIRECT($P$2),COLUMN()-1,FALSE)*VLOOKUP($A34,Usinas!$C:$D,2,FALSE)</f>
        <v>24.2607</v>
      </c>
      <c r="L34" s="65">
        <f ca="1">VLOOKUP($A34,INDIRECT($P$2),COLUMN()-1,FALSE)*VLOOKUP($A34,Usinas!$C:$D,2,FALSE)</f>
        <v>21.001799999999999</v>
      </c>
      <c r="M34" s="65">
        <f ca="1">VLOOKUP($A34,INDIRECT($P$2),COLUMN()-1,FALSE)*VLOOKUP($A34,Usinas!$C:$D,2,FALSE)</f>
        <v>27.519599999999997</v>
      </c>
      <c r="N34" s="65">
        <f ca="1">VLOOKUP($A34,INDIRECT($P$2),COLUMN()-1,FALSE)*VLOOKUP($A34,Usinas!$C:$D,2,FALSE)</f>
        <v>45.262499999999996</v>
      </c>
      <c r="O34" s="65">
        <f ca="1">VLOOKUP($A34,INDIRECT($P$2),COLUMN()-1,FALSE)*VLOOKUP($A34,Usinas!$C:$D,2,FALSE)</f>
        <v>72.7821</v>
      </c>
    </row>
    <row r="35" spans="1:15" hidden="1" outlineLevel="2" x14ac:dyDescent="0.25">
      <c r="A35" s="61">
        <v>209</v>
      </c>
      <c r="B35" s="62" t="s">
        <v>67</v>
      </c>
      <c r="D35" s="65">
        <f ca="1">VLOOKUP($A35,INDIRECT($P$2),COLUMN()-1,FALSE)*VLOOKUP($A35,Usinas!$C:$D,2,FALSE)</f>
        <v>461.61360000000002</v>
      </c>
      <c r="E35" s="65">
        <f ca="1">VLOOKUP($A35,INDIRECT($P$2),COLUMN()-1,FALSE)*VLOOKUP($A35,Usinas!$C:$D,2,FALSE)</f>
        <v>508.62980000000005</v>
      </c>
      <c r="F35" s="65">
        <f ca="1">VLOOKUP($A35,INDIRECT($P$2),COLUMN()-1,FALSE)*VLOOKUP($A35,Usinas!$C:$D,2,FALSE)</f>
        <v>508.62980000000005</v>
      </c>
      <c r="G35" s="65">
        <f ca="1">VLOOKUP($A35,INDIRECT($P$2),COLUMN()-1,FALSE)*VLOOKUP($A35,Usinas!$C:$D,2,FALSE)</f>
        <v>392.61580000000004</v>
      </c>
      <c r="H35" s="65">
        <f ca="1">VLOOKUP($A35,INDIRECT($P$2),COLUMN()-1,FALSE)*VLOOKUP($A35,Usinas!$C:$D,2,FALSE)</f>
        <v>247.90360000000001</v>
      </c>
      <c r="I35" s="65">
        <f ca="1">VLOOKUP($A35,INDIRECT($P$2),COLUMN()-1,FALSE)*VLOOKUP($A35,Usinas!$C:$D,2,FALSE)</f>
        <v>184.40120000000002</v>
      </c>
      <c r="J35" s="65">
        <f ca="1">VLOOKUP($A35,INDIRECT($P$2),COLUMN()-1,FALSE)*VLOOKUP($A35,Usinas!$C:$D,2,FALSE)</f>
        <v>144.7122</v>
      </c>
      <c r="K35" s="65">
        <f ca="1">VLOOKUP($A35,INDIRECT($P$2),COLUMN()-1,FALSE)*VLOOKUP($A35,Usinas!$C:$D,2,FALSE)</f>
        <v>114.18220000000001</v>
      </c>
      <c r="L35" s="65">
        <f ca="1">VLOOKUP($A35,INDIRECT($P$2),COLUMN()-1,FALSE)*VLOOKUP($A35,Usinas!$C:$D,2,FALSE)</f>
        <v>98.917200000000008</v>
      </c>
      <c r="M35" s="65">
        <f ca="1">VLOOKUP($A35,INDIRECT($P$2),COLUMN()-1,FALSE)*VLOOKUP($A35,Usinas!$C:$D,2,FALSE)</f>
        <v>124.56240000000001</v>
      </c>
      <c r="N35" s="65">
        <f ca="1">VLOOKUP($A35,INDIRECT($P$2),COLUMN()-1,FALSE)*VLOOKUP($A35,Usinas!$C:$D,2,FALSE)</f>
        <v>206.99340000000001</v>
      </c>
      <c r="O35" s="65">
        <f ca="1">VLOOKUP($A35,INDIRECT($P$2),COLUMN()-1,FALSE)*VLOOKUP($A35,Usinas!$C:$D,2,FALSE)</f>
        <v>338.88300000000004</v>
      </c>
    </row>
    <row r="36" spans="1:15" hidden="1" outlineLevel="2" x14ac:dyDescent="0.25">
      <c r="A36" s="61">
        <v>31</v>
      </c>
      <c r="B36" s="62" t="s">
        <v>68</v>
      </c>
      <c r="D36" s="65">
        <f ca="1">VLOOKUP($A36,INDIRECT($P$2),COLUMN()-1,FALSE)*VLOOKUP($A36,Usinas!$C:$D,2,FALSE)</f>
        <v>1867.4433000000001</v>
      </c>
      <c r="E36" s="65">
        <f ca="1">VLOOKUP($A36,INDIRECT($P$2),COLUMN()-1,FALSE)*VLOOKUP($A36,Usinas!$C:$D,2,FALSE)</f>
        <v>1930.8042</v>
      </c>
      <c r="F36" s="65">
        <f ca="1">VLOOKUP($A36,INDIRECT($P$2),COLUMN()-1,FALSE)*VLOOKUP($A36,Usinas!$C:$D,2,FALSE)</f>
        <v>1878.3441</v>
      </c>
      <c r="G36" s="65">
        <f ca="1">VLOOKUP($A36,INDIRECT($P$2),COLUMN()-1,FALSE)*VLOOKUP($A36,Usinas!$C:$D,2,FALSE)</f>
        <v>1403.4780000000001</v>
      </c>
      <c r="H36" s="65">
        <f ca="1">VLOOKUP($A36,INDIRECT($P$2),COLUMN()-1,FALSE)*VLOOKUP($A36,Usinas!$C:$D,2,FALSE)</f>
        <v>906.81029999999998</v>
      </c>
      <c r="I36" s="65">
        <f ca="1">VLOOKUP($A36,INDIRECT($P$2),COLUMN()-1,FALSE)*VLOOKUP($A36,Usinas!$C:$D,2,FALSE)</f>
        <v>701.05770000000007</v>
      </c>
      <c r="J36" s="65">
        <f ca="1">VLOOKUP($A36,INDIRECT($P$2),COLUMN()-1,FALSE)*VLOOKUP($A36,Usinas!$C:$D,2,FALSE)</f>
        <v>557.30340000000001</v>
      </c>
      <c r="K36" s="65">
        <f ca="1">VLOOKUP($A36,INDIRECT($P$2),COLUMN()-1,FALSE)*VLOOKUP($A36,Usinas!$C:$D,2,FALSE)</f>
        <v>446.93279999999999</v>
      </c>
      <c r="L36" s="65">
        <f ca="1">VLOOKUP($A36,INDIRECT($P$2),COLUMN()-1,FALSE)*VLOOKUP($A36,Usinas!$C:$D,2,FALSE)</f>
        <v>396.51659999999998</v>
      </c>
      <c r="M36" s="65">
        <f ca="1">VLOOKUP($A36,INDIRECT($P$2),COLUMN()-1,FALSE)*VLOOKUP($A36,Usinas!$C:$D,2,FALSE)</f>
        <v>481.67910000000001</v>
      </c>
      <c r="N36" s="65">
        <f ca="1">VLOOKUP($A36,INDIRECT($P$2),COLUMN()-1,FALSE)*VLOOKUP($A36,Usinas!$C:$D,2,FALSE)</f>
        <v>775.31939999999997</v>
      </c>
      <c r="O36" s="65">
        <f ca="1">VLOOKUP($A36,INDIRECT($P$2),COLUMN()-1,FALSE)*VLOOKUP($A36,Usinas!$C:$D,2,FALSE)</f>
        <v>1344.2049</v>
      </c>
    </row>
    <row r="37" spans="1:15" hidden="1" outlineLevel="2" x14ac:dyDescent="0.25">
      <c r="A37" s="61">
        <v>32</v>
      </c>
      <c r="B37" s="62" t="s">
        <v>69</v>
      </c>
      <c r="D37" s="65">
        <f ca="1">VLOOKUP($A37,INDIRECT($P$2),COLUMN()-1,FALSE)*VLOOKUP($A37,Usinas!$C:$D,2,FALSE)</f>
        <v>810.49680000000001</v>
      </c>
      <c r="E37" s="65">
        <f ca="1">VLOOKUP($A37,INDIRECT($P$2),COLUMN()-1,FALSE)*VLOOKUP($A37,Usinas!$C:$D,2,FALSE)</f>
        <v>840.73500000000001</v>
      </c>
      <c r="F37" s="65">
        <f ca="1">VLOOKUP($A37,INDIRECT($P$2),COLUMN()-1,FALSE)*VLOOKUP($A37,Usinas!$C:$D,2,FALSE)</f>
        <v>817.84440000000006</v>
      </c>
      <c r="G37" s="65">
        <f ca="1">VLOOKUP($A37,INDIRECT($P$2),COLUMN()-1,FALSE)*VLOOKUP($A37,Usinas!$C:$D,2,FALSE)</f>
        <v>612.95940000000007</v>
      </c>
      <c r="H37" s="65">
        <f ca="1">VLOOKUP($A37,INDIRECT($P$2),COLUMN()-1,FALSE)*VLOOKUP($A37,Usinas!$C:$D,2,FALSE)</f>
        <v>396.48780000000005</v>
      </c>
      <c r="I37" s="65">
        <f ca="1">VLOOKUP($A37,INDIRECT($P$2),COLUMN()-1,FALSE)*VLOOKUP($A37,Usinas!$C:$D,2,FALSE)</f>
        <v>306.90360000000004</v>
      </c>
      <c r="J37" s="65">
        <f ca="1">VLOOKUP($A37,INDIRECT($P$2),COLUMN()-1,FALSE)*VLOOKUP($A37,Usinas!$C:$D,2,FALSE)</f>
        <v>244.73160000000001</v>
      </c>
      <c r="K37" s="65">
        <f ca="1">VLOOKUP($A37,INDIRECT($P$2),COLUMN()-1,FALSE)*VLOOKUP($A37,Usinas!$C:$D,2,FALSE)</f>
        <v>196.40700000000001</v>
      </c>
      <c r="L37" s="65">
        <f ca="1">VLOOKUP($A37,INDIRECT($P$2),COLUMN()-1,FALSE)*VLOOKUP($A37,Usinas!$C:$D,2,FALSE)</f>
        <v>174.64680000000001</v>
      </c>
      <c r="M37" s="65">
        <f ca="1">VLOOKUP($A37,INDIRECT($P$2),COLUMN()-1,FALSE)*VLOOKUP($A37,Usinas!$C:$D,2,FALSE)</f>
        <v>210.53700000000001</v>
      </c>
      <c r="N37" s="65">
        <f ca="1">VLOOKUP($A37,INDIRECT($P$2),COLUMN()-1,FALSE)*VLOOKUP($A37,Usinas!$C:$D,2,FALSE)</f>
        <v>337.14180000000005</v>
      </c>
      <c r="O37" s="65">
        <f ca="1">VLOOKUP($A37,INDIRECT($P$2),COLUMN()-1,FALSE)*VLOOKUP($A37,Usinas!$C:$D,2,FALSE)</f>
        <v>583.28640000000007</v>
      </c>
    </row>
    <row r="38" spans="1:15" hidden="1" outlineLevel="2" x14ac:dyDescent="0.25">
      <c r="A38" s="61">
        <v>33</v>
      </c>
      <c r="B38" s="62" t="s">
        <v>70</v>
      </c>
      <c r="D38" s="65">
        <f ca="1">VLOOKUP($A38,INDIRECT($P$2),COLUMN()-1,FALSE)*VLOOKUP($A38,Usinas!$C:$D,2,FALSE)</f>
        <v>2562.5545999999999</v>
      </c>
      <c r="E38" s="65">
        <f ca="1">VLOOKUP($A38,INDIRECT($P$2),COLUMN()-1,FALSE)*VLOOKUP($A38,Usinas!$C:$D,2,FALSE)</f>
        <v>2671.1480000000001</v>
      </c>
      <c r="F38" s="65">
        <f ca="1">VLOOKUP($A38,INDIRECT($P$2),COLUMN()-1,FALSE)*VLOOKUP($A38,Usinas!$C:$D,2,FALSE)</f>
        <v>2639.3188999999998</v>
      </c>
      <c r="G38" s="65">
        <f ca="1">VLOOKUP($A38,INDIRECT($P$2),COLUMN()-1,FALSE)*VLOOKUP($A38,Usinas!$C:$D,2,FALSE)</f>
        <v>2015.2188999999998</v>
      </c>
      <c r="H38" s="65">
        <f ca="1">VLOOKUP($A38,INDIRECT($P$2),COLUMN()-1,FALSE)*VLOOKUP($A38,Usinas!$C:$D,2,FALSE)</f>
        <v>1316.8509999999999</v>
      </c>
      <c r="I38" s="65">
        <f ca="1">VLOOKUP($A38,INDIRECT($P$2),COLUMN()-1,FALSE)*VLOOKUP($A38,Usinas!$C:$D,2,FALSE)</f>
        <v>1030.3890999999999</v>
      </c>
      <c r="J38" s="65">
        <f ca="1">VLOOKUP($A38,INDIRECT($P$2),COLUMN()-1,FALSE)*VLOOKUP($A38,Usinas!$C:$D,2,FALSE)</f>
        <v>828.1807</v>
      </c>
      <c r="K38" s="65">
        <f ca="1">VLOOKUP($A38,INDIRECT($P$2),COLUMN()-1,FALSE)*VLOOKUP($A38,Usinas!$C:$D,2,FALSE)</f>
        <v>675.27620000000002</v>
      </c>
      <c r="L38" s="65">
        <f ca="1">VLOOKUP($A38,INDIRECT($P$2),COLUMN()-1,FALSE)*VLOOKUP($A38,Usinas!$C:$D,2,FALSE)</f>
        <v>612.24209999999994</v>
      </c>
      <c r="M38" s="65">
        <f ca="1">VLOOKUP($A38,INDIRECT($P$2),COLUMN()-1,FALSE)*VLOOKUP($A38,Usinas!$C:$D,2,FALSE)</f>
        <v>726.45240000000001</v>
      </c>
      <c r="N38" s="65">
        <f ca="1">VLOOKUP($A38,INDIRECT($P$2),COLUMN()-1,FALSE)*VLOOKUP($A38,Usinas!$C:$D,2,FALSE)</f>
        <v>1104.6569999999999</v>
      </c>
      <c r="O38" s="65">
        <f ca="1">VLOOKUP($A38,INDIRECT($P$2),COLUMN()-1,FALSE)*VLOOKUP($A38,Usinas!$C:$D,2,FALSE)</f>
        <v>1859.818</v>
      </c>
    </row>
    <row r="39" spans="1:15" hidden="1" outlineLevel="2" x14ac:dyDescent="0.25">
      <c r="A39" s="61">
        <v>247</v>
      </c>
      <c r="B39" s="62" t="s">
        <v>71</v>
      </c>
      <c r="D39" s="65">
        <f ca="1">VLOOKUP($A39,INDIRECT($P$2),COLUMN()-1,FALSE)*VLOOKUP($A39,Usinas!$C:$D,2,FALSE)</f>
        <v>69.591200000000001</v>
      </c>
      <c r="E39" s="65">
        <f ca="1">VLOOKUP($A39,INDIRECT($P$2),COLUMN()-1,FALSE)*VLOOKUP($A39,Usinas!$C:$D,2,FALSE)</f>
        <v>77.778399999999991</v>
      </c>
      <c r="F39" s="65">
        <f ca="1">VLOOKUP($A39,INDIRECT($P$2),COLUMN()-1,FALSE)*VLOOKUP($A39,Usinas!$C:$D,2,FALSE)</f>
        <v>78.982399999999998</v>
      </c>
      <c r="G39" s="65">
        <f ca="1">VLOOKUP($A39,INDIRECT($P$2),COLUMN()-1,FALSE)*VLOOKUP($A39,Usinas!$C:$D,2,FALSE)</f>
        <v>60.922399999999996</v>
      </c>
      <c r="H39" s="65">
        <f ca="1">VLOOKUP($A39,INDIRECT($P$2),COLUMN()-1,FALSE)*VLOOKUP($A39,Usinas!$C:$D,2,FALSE)</f>
        <v>42.621600000000001</v>
      </c>
      <c r="I39" s="65">
        <f ca="1">VLOOKUP($A39,INDIRECT($P$2),COLUMN()-1,FALSE)*VLOOKUP($A39,Usinas!$C:$D,2,FALSE)</f>
        <v>33.471199999999996</v>
      </c>
      <c r="J39" s="65">
        <f ca="1">VLOOKUP($A39,INDIRECT($P$2),COLUMN()-1,FALSE)*VLOOKUP($A39,Usinas!$C:$D,2,FALSE)</f>
        <v>27.932799999999997</v>
      </c>
      <c r="K39" s="65">
        <f ca="1">VLOOKUP($A39,INDIRECT($P$2),COLUMN()-1,FALSE)*VLOOKUP($A39,Usinas!$C:$D,2,FALSE)</f>
        <v>24.320799999999998</v>
      </c>
      <c r="L39" s="65">
        <f ca="1">VLOOKUP($A39,INDIRECT($P$2),COLUMN()-1,FALSE)*VLOOKUP($A39,Usinas!$C:$D,2,FALSE)</f>
        <v>24.802399999999999</v>
      </c>
      <c r="M39" s="65">
        <f ca="1">VLOOKUP($A39,INDIRECT($P$2),COLUMN()-1,FALSE)*VLOOKUP($A39,Usinas!$C:$D,2,FALSE)</f>
        <v>30.822399999999998</v>
      </c>
      <c r="N39" s="65">
        <f ca="1">VLOOKUP($A39,INDIRECT($P$2),COLUMN()-1,FALSE)*VLOOKUP($A39,Usinas!$C:$D,2,FALSE)</f>
        <v>39.972799999999999</v>
      </c>
      <c r="O39" s="65">
        <f ca="1">VLOOKUP($A39,INDIRECT($P$2),COLUMN()-1,FALSE)*VLOOKUP($A39,Usinas!$C:$D,2,FALSE)</f>
        <v>55.624799999999993</v>
      </c>
    </row>
    <row r="40" spans="1:15" hidden="1" outlineLevel="2" x14ac:dyDescent="0.25">
      <c r="A40" s="61">
        <v>248</v>
      </c>
      <c r="B40" s="62" t="s">
        <v>72</v>
      </c>
      <c r="D40" s="65">
        <f ca="1">VLOOKUP($A40,INDIRECT($P$2),COLUMN()-1,FALSE)*VLOOKUP($A40,Usinas!$C:$D,2,FALSE)</f>
        <v>100.74469999999999</v>
      </c>
      <c r="E40" s="65">
        <f ca="1">VLOOKUP($A40,INDIRECT($P$2),COLUMN()-1,FALSE)*VLOOKUP($A40,Usinas!$C:$D,2,FALSE)</f>
        <v>112.4592</v>
      </c>
      <c r="F40" s="65">
        <f ca="1">VLOOKUP($A40,INDIRECT($P$2),COLUMN()-1,FALSE)*VLOOKUP($A40,Usinas!$C:$D,2,FALSE)</f>
        <v>114.1327</v>
      </c>
      <c r="G40" s="65">
        <f ca="1">VLOOKUP($A40,INDIRECT($P$2),COLUMN()-1,FALSE)*VLOOKUP($A40,Usinas!$C:$D,2,FALSE)</f>
        <v>88.0261</v>
      </c>
      <c r="H40" s="65">
        <f ca="1">VLOOKUP($A40,INDIRECT($P$2),COLUMN()-1,FALSE)*VLOOKUP($A40,Usinas!$C:$D,2,FALSE)</f>
        <v>61.584800000000001</v>
      </c>
      <c r="I40" s="65">
        <f ca="1">VLOOKUP($A40,INDIRECT($P$2),COLUMN()-1,FALSE)*VLOOKUP($A40,Usinas!$C:$D,2,FALSE)</f>
        <v>48.531500000000001</v>
      </c>
      <c r="J40" s="65">
        <f ca="1">VLOOKUP($A40,INDIRECT($P$2),COLUMN()-1,FALSE)*VLOOKUP($A40,Usinas!$C:$D,2,FALSE)</f>
        <v>40.498699999999999</v>
      </c>
      <c r="K40" s="65">
        <f ca="1">VLOOKUP($A40,INDIRECT($P$2),COLUMN()-1,FALSE)*VLOOKUP($A40,Usinas!$C:$D,2,FALSE)</f>
        <v>35.143500000000003</v>
      </c>
      <c r="L40" s="65">
        <f ca="1">VLOOKUP($A40,INDIRECT($P$2),COLUMN()-1,FALSE)*VLOOKUP($A40,Usinas!$C:$D,2,FALSE)</f>
        <v>35.812899999999999</v>
      </c>
      <c r="M40" s="65">
        <f ca="1">VLOOKUP($A40,INDIRECT($P$2),COLUMN()-1,FALSE)*VLOOKUP($A40,Usinas!$C:$D,2,FALSE)</f>
        <v>44.515099999999997</v>
      </c>
      <c r="N40" s="65">
        <f ca="1">VLOOKUP($A40,INDIRECT($P$2),COLUMN()-1,FALSE)*VLOOKUP($A40,Usinas!$C:$D,2,FALSE)</f>
        <v>57.903100000000002</v>
      </c>
      <c r="O40" s="65">
        <f ca="1">VLOOKUP($A40,INDIRECT($P$2),COLUMN()-1,FALSE)*VLOOKUP($A40,Usinas!$C:$D,2,FALSE)</f>
        <v>80.662700000000001</v>
      </c>
    </row>
    <row r="41" spans="1:15" hidden="1" outlineLevel="2" x14ac:dyDescent="0.25">
      <c r="A41" s="61">
        <v>261</v>
      </c>
      <c r="B41" s="62" t="s">
        <v>73</v>
      </c>
      <c r="D41" s="65">
        <f ca="1">VLOOKUP($A41,INDIRECT($P$2),COLUMN()-1,FALSE)*VLOOKUP($A41,Usinas!$C:$D,2,FALSE)</f>
        <v>79.855999999999995</v>
      </c>
      <c r="E41" s="65">
        <f ca="1">VLOOKUP($A41,INDIRECT($P$2),COLUMN()-1,FALSE)*VLOOKUP($A41,Usinas!$C:$D,2,FALSE)</f>
        <v>89.28</v>
      </c>
      <c r="F41" s="65">
        <f ca="1">VLOOKUP($A41,INDIRECT($P$2),COLUMN()-1,FALSE)*VLOOKUP($A41,Usinas!$C:$D,2,FALSE)</f>
        <v>90.52</v>
      </c>
      <c r="G41" s="65">
        <f ca="1">VLOOKUP($A41,INDIRECT($P$2),COLUMN()-1,FALSE)*VLOOKUP($A41,Usinas!$C:$D,2,FALSE)</f>
        <v>70.183999999999997</v>
      </c>
      <c r="H41" s="65">
        <f ca="1">VLOOKUP($A41,INDIRECT($P$2),COLUMN()-1,FALSE)*VLOOKUP($A41,Usinas!$C:$D,2,FALSE)</f>
        <v>49.103999999999999</v>
      </c>
      <c r="I41" s="65">
        <f ca="1">VLOOKUP($A41,INDIRECT($P$2),COLUMN()-1,FALSE)*VLOOKUP($A41,Usinas!$C:$D,2,FALSE)</f>
        <v>38.688000000000002</v>
      </c>
      <c r="J41" s="65">
        <f ca="1">VLOOKUP($A41,INDIRECT($P$2),COLUMN()-1,FALSE)*VLOOKUP($A41,Usinas!$C:$D,2,FALSE)</f>
        <v>32.24</v>
      </c>
      <c r="K41" s="65">
        <f ca="1">VLOOKUP($A41,INDIRECT($P$2),COLUMN()-1,FALSE)*VLOOKUP($A41,Usinas!$C:$D,2,FALSE)</f>
        <v>28.024000000000001</v>
      </c>
      <c r="L41" s="65">
        <f ca="1">VLOOKUP($A41,INDIRECT($P$2),COLUMN()-1,FALSE)*VLOOKUP($A41,Usinas!$C:$D,2,FALSE)</f>
        <v>28.52</v>
      </c>
      <c r="M41" s="65">
        <f ca="1">VLOOKUP($A41,INDIRECT($P$2),COLUMN()-1,FALSE)*VLOOKUP($A41,Usinas!$C:$D,2,FALSE)</f>
        <v>35.463999999999999</v>
      </c>
      <c r="N41" s="65">
        <f ca="1">VLOOKUP($A41,INDIRECT($P$2),COLUMN()-1,FALSE)*VLOOKUP($A41,Usinas!$C:$D,2,FALSE)</f>
        <v>45.88</v>
      </c>
      <c r="O41" s="65">
        <f ca="1">VLOOKUP($A41,INDIRECT($P$2),COLUMN()-1,FALSE)*VLOOKUP($A41,Usinas!$C:$D,2,FALSE)</f>
        <v>63.735999999999997</v>
      </c>
    </row>
    <row r="42" spans="1:15" hidden="1" outlineLevel="2" x14ac:dyDescent="0.25">
      <c r="A42" s="61">
        <v>294</v>
      </c>
      <c r="B42" s="62" t="s">
        <v>74</v>
      </c>
      <c r="D42" s="65">
        <f ca="1">VLOOKUP($A42,INDIRECT($P$2),COLUMN()-1,FALSE)*VLOOKUP($A42,Usinas!$C:$D,2,FALSE)</f>
        <v>109.15559999999999</v>
      </c>
      <c r="E42" s="65">
        <f ca="1">VLOOKUP($A42,INDIRECT($P$2),COLUMN()-1,FALSE)*VLOOKUP($A42,Usinas!$C:$D,2,FALSE)</f>
        <v>118.1396</v>
      </c>
      <c r="F42" s="65">
        <f ca="1">VLOOKUP($A42,INDIRECT($P$2),COLUMN()-1,FALSE)*VLOOKUP($A42,Usinas!$C:$D,2,FALSE)</f>
        <v>118.58879999999999</v>
      </c>
      <c r="G42" s="65">
        <f ca="1">VLOOKUP($A42,INDIRECT($P$2),COLUMN()-1,FALSE)*VLOOKUP($A42,Usinas!$C:$D,2,FALSE)</f>
        <v>95.230400000000003</v>
      </c>
      <c r="H42" s="65">
        <f ca="1">VLOOKUP($A42,INDIRECT($P$2),COLUMN()-1,FALSE)*VLOOKUP($A42,Usinas!$C:$D,2,FALSE)</f>
        <v>74.117999999999995</v>
      </c>
      <c r="I42" s="65">
        <f ca="1">VLOOKUP($A42,INDIRECT($P$2),COLUMN()-1,FALSE)*VLOOKUP($A42,Usinas!$C:$D,2,FALSE)</f>
        <v>64.684799999999996</v>
      </c>
      <c r="J42" s="65">
        <f ca="1">VLOOKUP($A42,INDIRECT($P$2),COLUMN()-1,FALSE)*VLOOKUP($A42,Usinas!$C:$D,2,FALSE)</f>
        <v>57.497599999999998</v>
      </c>
      <c r="K42" s="65">
        <f ca="1">VLOOKUP($A42,INDIRECT($P$2),COLUMN()-1,FALSE)*VLOOKUP($A42,Usinas!$C:$D,2,FALSE)</f>
        <v>53.454799999999999</v>
      </c>
      <c r="L42" s="65">
        <f ca="1">VLOOKUP($A42,INDIRECT($P$2),COLUMN()-1,FALSE)*VLOOKUP($A42,Usinas!$C:$D,2,FALSE)</f>
        <v>54.802399999999999</v>
      </c>
      <c r="M42" s="65">
        <f ca="1">VLOOKUP($A42,INDIRECT($P$2),COLUMN()-1,FALSE)*VLOOKUP($A42,Usinas!$C:$D,2,FALSE)</f>
        <v>62.887999999999998</v>
      </c>
      <c r="N42" s="65">
        <f ca="1">VLOOKUP($A42,INDIRECT($P$2),COLUMN()-1,FALSE)*VLOOKUP($A42,Usinas!$C:$D,2,FALSE)</f>
        <v>74.117999999999995</v>
      </c>
      <c r="O42" s="65">
        <f ca="1">VLOOKUP($A42,INDIRECT($P$2),COLUMN()-1,FALSE)*VLOOKUP($A42,Usinas!$C:$D,2,FALSE)</f>
        <v>92.535200000000003</v>
      </c>
    </row>
    <row r="43" spans="1:15" hidden="1" outlineLevel="2" x14ac:dyDescent="0.25">
      <c r="A43" s="61">
        <v>241</v>
      </c>
      <c r="B43" s="62" t="s">
        <v>75</v>
      </c>
      <c r="D43" s="65">
        <f ca="1">VLOOKUP($A43,INDIRECT($P$2),COLUMN()-1,FALSE)*VLOOKUP($A43,Usinas!$C:$D,2,FALSE)</f>
        <v>96.910500000000013</v>
      </c>
      <c r="E43" s="65">
        <f ca="1">VLOOKUP($A43,INDIRECT($P$2),COLUMN()-1,FALSE)*VLOOKUP($A43,Usinas!$C:$D,2,FALSE)</f>
        <v>104.59020000000001</v>
      </c>
      <c r="F43" s="65">
        <f ca="1">VLOOKUP($A43,INDIRECT($P$2),COLUMN()-1,FALSE)*VLOOKUP($A43,Usinas!$C:$D,2,FALSE)</f>
        <v>104.95590000000001</v>
      </c>
      <c r="G43" s="65">
        <f ca="1">VLOOKUP($A43,INDIRECT($P$2),COLUMN()-1,FALSE)*VLOOKUP($A43,Usinas!$C:$D,2,FALSE)</f>
        <v>84.842400000000012</v>
      </c>
      <c r="H43" s="65">
        <f ca="1">VLOOKUP($A43,INDIRECT($P$2),COLUMN()-1,FALSE)*VLOOKUP($A43,Usinas!$C:$D,2,FALSE)</f>
        <v>65.826000000000008</v>
      </c>
      <c r="I43" s="65">
        <f ca="1">VLOOKUP($A43,INDIRECT($P$2),COLUMN()-1,FALSE)*VLOOKUP($A43,Usinas!$C:$D,2,FALSE)</f>
        <v>57.414900000000003</v>
      </c>
      <c r="J43" s="65">
        <f ca="1">VLOOKUP($A43,INDIRECT($P$2),COLUMN()-1,FALSE)*VLOOKUP($A43,Usinas!$C:$D,2,FALSE)</f>
        <v>51.198</v>
      </c>
      <c r="K43" s="65">
        <f ca="1">VLOOKUP($A43,INDIRECT($P$2),COLUMN()-1,FALSE)*VLOOKUP($A43,Usinas!$C:$D,2,FALSE)</f>
        <v>47.1753</v>
      </c>
      <c r="L43" s="65">
        <f ca="1">VLOOKUP($A43,INDIRECT($P$2),COLUMN()-1,FALSE)*VLOOKUP($A43,Usinas!$C:$D,2,FALSE)</f>
        <v>48.638100000000001</v>
      </c>
      <c r="M43" s="65">
        <f ca="1">VLOOKUP($A43,INDIRECT($P$2),COLUMN()-1,FALSE)*VLOOKUP($A43,Usinas!$C:$D,2,FALSE)</f>
        <v>55.586400000000005</v>
      </c>
      <c r="N43" s="65">
        <f ca="1">VLOOKUP($A43,INDIRECT($P$2),COLUMN()-1,FALSE)*VLOOKUP($A43,Usinas!$C:$D,2,FALSE)</f>
        <v>65.826000000000008</v>
      </c>
      <c r="O43" s="65">
        <f ca="1">VLOOKUP($A43,INDIRECT($P$2),COLUMN()-1,FALSE)*VLOOKUP($A43,Usinas!$C:$D,2,FALSE)</f>
        <v>81.916800000000009</v>
      </c>
    </row>
    <row r="44" spans="1:15" hidden="1" outlineLevel="2" x14ac:dyDescent="0.25">
      <c r="A44" s="61">
        <v>99</v>
      </c>
      <c r="B44" s="62" t="s">
        <v>76</v>
      </c>
      <c r="D44" s="65">
        <f ca="1">VLOOKUP($A44,INDIRECT($P$2),COLUMN()-1,FALSE)*VLOOKUP($A44,Usinas!$C:$D,2,FALSE)</f>
        <v>31.96</v>
      </c>
      <c r="E44" s="65">
        <f ca="1">VLOOKUP($A44,INDIRECT($P$2),COLUMN()-1,FALSE)*VLOOKUP($A44,Usinas!$C:$D,2,FALSE)</f>
        <v>33.957500000000003</v>
      </c>
      <c r="F44" s="65">
        <f ca="1">VLOOKUP($A44,INDIRECT($P$2),COLUMN()-1,FALSE)*VLOOKUP($A44,Usinas!$C:$D,2,FALSE)</f>
        <v>33.957500000000003</v>
      </c>
      <c r="G44" s="65">
        <f ca="1">VLOOKUP($A44,INDIRECT($P$2),COLUMN()-1,FALSE)*VLOOKUP($A44,Usinas!$C:$D,2,FALSE)</f>
        <v>29.163500000000003</v>
      </c>
      <c r="H44" s="65">
        <f ca="1">VLOOKUP($A44,INDIRECT($P$2),COLUMN()-1,FALSE)*VLOOKUP($A44,Usinas!$C:$D,2,FALSE)</f>
        <v>23.970000000000002</v>
      </c>
      <c r="I44" s="65">
        <f ca="1">VLOOKUP($A44,INDIRECT($P$2),COLUMN()-1,FALSE)*VLOOKUP($A44,Usinas!$C:$D,2,FALSE)</f>
        <v>21.573</v>
      </c>
      <c r="J44" s="65">
        <f ca="1">VLOOKUP($A44,INDIRECT($P$2),COLUMN()-1,FALSE)*VLOOKUP($A44,Usinas!$C:$D,2,FALSE)</f>
        <v>19.575500000000002</v>
      </c>
      <c r="K44" s="65">
        <f ca="1">VLOOKUP($A44,INDIRECT($P$2),COLUMN()-1,FALSE)*VLOOKUP($A44,Usinas!$C:$D,2,FALSE)</f>
        <v>18.377000000000002</v>
      </c>
      <c r="L44" s="65">
        <f ca="1">VLOOKUP($A44,INDIRECT($P$2),COLUMN()-1,FALSE)*VLOOKUP($A44,Usinas!$C:$D,2,FALSE)</f>
        <v>18.776500000000002</v>
      </c>
      <c r="M44" s="65">
        <f ca="1">VLOOKUP($A44,INDIRECT($P$2),COLUMN()-1,FALSE)*VLOOKUP($A44,Usinas!$C:$D,2,FALSE)</f>
        <v>20.374500000000001</v>
      </c>
      <c r="N44" s="65">
        <f ca="1">VLOOKUP($A44,INDIRECT($P$2),COLUMN()-1,FALSE)*VLOOKUP($A44,Usinas!$C:$D,2,FALSE)</f>
        <v>23.171000000000003</v>
      </c>
      <c r="O44" s="65">
        <f ca="1">VLOOKUP($A44,INDIRECT($P$2),COLUMN()-1,FALSE)*VLOOKUP($A44,Usinas!$C:$D,2,FALSE)</f>
        <v>27.5655</v>
      </c>
    </row>
    <row r="45" spans="1:15" hidden="1" outlineLevel="1" x14ac:dyDescent="0.25">
      <c r="A45" s="18"/>
      <c r="B45" s="19" t="s">
        <v>56</v>
      </c>
      <c r="D45" s="66">
        <f t="shared" ref="D45:O45" ca="1" si="1">SUM(D26:D44)</f>
        <v>9172.9087</v>
      </c>
      <c r="E45" s="49">
        <f t="shared" ca="1" si="1"/>
        <v>9501.5702000000001</v>
      </c>
      <c r="F45" s="49">
        <f t="shared" ca="1" si="1"/>
        <v>9266.0079000000005</v>
      </c>
      <c r="G45" s="49">
        <f t="shared" ca="1" si="1"/>
        <v>7013.097600000001</v>
      </c>
      <c r="H45" s="49">
        <f t="shared" ca="1" si="1"/>
        <v>4607.5847000000003</v>
      </c>
      <c r="I45" s="67">
        <f t="shared" ca="1" si="1"/>
        <v>3585.8961000000004</v>
      </c>
      <c r="J45" s="66">
        <f t="shared" ca="1" si="1"/>
        <v>2895.9571000000001</v>
      </c>
      <c r="K45" s="49">
        <f t="shared" ca="1" si="1"/>
        <v>2361.6932999999999</v>
      </c>
      <c r="L45" s="49">
        <f t="shared" ca="1" si="1"/>
        <v>2141.7345</v>
      </c>
      <c r="M45" s="49">
        <f t="shared" ca="1" si="1"/>
        <v>2582.1788000000001</v>
      </c>
      <c r="N45" s="49">
        <f t="shared" ca="1" si="1"/>
        <v>3969.9098999999997</v>
      </c>
      <c r="O45" s="67">
        <f t="shared" ca="1" si="1"/>
        <v>6683.1997999999994</v>
      </c>
    </row>
    <row r="46" spans="1:15" hidden="1" outlineLevel="1" x14ac:dyDescent="0.25">
      <c r="A46" s="20"/>
      <c r="B46" s="21" t="s">
        <v>0</v>
      </c>
      <c r="D46" s="68"/>
      <c r="E46" s="69"/>
      <c r="F46" s="69"/>
      <c r="G46" s="69"/>
      <c r="H46" s="69"/>
      <c r="I46" s="70"/>
      <c r="J46" s="68"/>
      <c r="K46" s="69"/>
      <c r="L46" s="69"/>
      <c r="M46" s="69"/>
      <c r="N46" s="69"/>
      <c r="O46" s="70"/>
    </row>
    <row r="47" spans="1:15" hidden="1" outlineLevel="1" x14ac:dyDescent="0.25">
      <c r="A47" s="47"/>
      <c r="B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</row>
    <row r="48" spans="1:15" hidden="1" outlineLevel="1" x14ac:dyDescent="0.25">
      <c r="A48" s="63"/>
      <c r="B48" s="64"/>
      <c r="D48" s="320" t="s">
        <v>77</v>
      </c>
      <c r="E48" s="321"/>
      <c r="F48" s="321"/>
      <c r="G48" s="321"/>
      <c r="H48" s="321"/>
      <c r="I48" s="321"/>
      <c r="J48" s="321"/>
      <c r="K48" s="321"/>
      <c r="L48" s="321"/>
      <c r="M48" s="321"/>
      <c r="N48" s="321"/>
      <c r="O48" s="322"/>
    </row>
    <row r="49" spans="1:15" hidden="1" outlineLevel="2" x14ac:dyDescent="0.25">
      <c r="A49" s="61">
        <v>318</v>
      </c>
      <c r="B49" s="62" t="s">
        <v>79</v>
      </c>
      <c r="D49" s="65">
        <f ca="1">VLOOKUP($A49,INDIRECT($P$2),COLUMN()-1,FALSE)*VLOOKUP($A49,Usinas!$C:$D,2,FALSE)</f>
        <v>361.83679999999998</v>
      </c>
      <c r="E49" s="65">
        <f ca="1">VLOOKUP($A49,INDIRECT($P$2),COLUMN()-1,FALSE)*VLOOKUP($A49,Usinas!$C:$D,2,FALSE)</f>
        <v>373.14419999999996</v>
      </c>
      <c r="F49" s="65">
        <f ca="1">VLOOKUP($A49,INDIRECT($P$2),COLUMN()-1,FALSE)*VLOOKUP($A49,Usinas!$C:$D,2,FALSE)</f>
        <v>327.91460000000001</v>
      </c>
      <c r="G49" s="65">
        <f ca="1">VLOOKUP($A49,INDIRECT($P$2),COLUMN()-1,FALSE)*VLOOKUP($A49,Usinas!$C:$D,2,FALSE)</f>
        <v>231.80169999999998</v>
      </c>
      <c r="H49" s="65">
        <f ca="1">VLOOKUP($A49,INDIRECT($P$2),COLUMN()-1,FALSE)*VLOOKUP($A49,Usinas!$C:$D,2,FALSE)</f>
        <v>175.2647</v>
      </c>
      <c r="I49" s="65">
        <f ca="1">VLOOKUP($A49,INDIRECT($P$2),COLUMN()-1,FALSE)*VLOOKUP($A49,Usinas!$C:$D,2,FALSE)</f>
        <v>163.9573</v>
      </c>
      <c r="J49" s="65">
        <f ca="1">VLOOKUP($A49,INDIRECT($P$2),COLUMN()-1,FALSE)*VLOOKUP($A49,Usinas!$C:$D,2,FALSE)</f>
        <v>135.68879999999999</v>
      </c>
      <c r="K49" s="65">
        <f ca="1">VLOOKUP($A49,INDIRECT($P$2),COLUMN()-1,FALSE)*VLOOKUP($A49,Usinas!$C:$D,2,FALSE)</f>
        <v>118.7277</v>
      </c>
      <c r="L49" s="65">
        <f ca="1">VLOOKUP($A49,INDIRECT($P$2),COLUMN()-1,FALSE)*VLOOKUP($A49,Usinas!$C:$D,2,FALSE)</f>
        <v>163.9573</v>
      </c>
      <c r="M49" s="65">
        <f ca="1">VLOOKUP($A49,INDIRECT($P$2),COLUMN()-1,FALSE)*VLOOKUP($A49,Usinas!$C:$D,2,FALSE)</f>
        <v>203.53319999999999</v>
      </c>
      <c r="N49" s="65">
        <f ca="1">VLOOKUP($A49,INDIRECT($P$2),COLUMN()-1,FALSE)*VLOOKUP($A49,Usinas!$C:$D,2,FALSE)</f>
        <v>209.18689999999998</v>
      </c>
      <c r="O49" s="65">
        <f ca="1">VLOOKUP($A49,INDIRECT($P$2),COLUMN()-1,FALSE)*VLOOKUP($A49,Usinas!$C:$D,2,FALSE)</f>
        <v>277.03129999999999</v>
      </c>
    </row>
    <row r="50" spans="1:15" hidden="1" outlineLevel="1" x14ac:dyDescent="0.25">
      <c r="A50" s="18"/>
      <c r="B50" s="19" t="s">
        <v>56</v>
      </c>
      <c r="D50" s="66">
        <f t="shared" ref="D50:O50" ca="1" si="2">D49</f>
        <v>361.83679999999998</v>
      </c>
      <c r="E50" s="49">
        <f t="shared" ca="1" si="2"/>
        <v>373.14419999999996</v>
      </c>
      <c r="F50" s="49">
        <f t="shared" ca="1" si="2"/>
        <v>327.91460000000001</v>
      </c>
      <c r="G50" s="49">
        <f t="shared" ca="1" si="2"/>
        <v>231.80169999999998</v>
      </c>
      <c r="H50" s="49">
        <f t="shared" ca="1" si="2"/>
        <v>175.2647</v>
      </c>
      <c r="I50" s="67">
        <f t="shared" ca="1" si="2"/>
        <v>163.9573</v>
      </c>
      <c r="J50" s="66">
        <f t="shared" ca="1" si="2"/>
        <v>135.68879999999999</v>
      </c>
      <c r="K50" s="49">
        <f t="shared" ca="1" si="2"/>
        <v>118.7277</v>
      </c>
      <c r="L50" s="49">
        <f t="shared" ca="1" si="2"/>
        <v>163.9573</v>
      </c>
      <c r="M50" s="49">
        <f t="shared" ca="1" si="2"/>
        <v>203.53319999999999</v>
      </c>
      <c r="N50" s="49">
        <f t="shared" ca="1" si="2"/>
        <v>209.18689999999998</v>
      </c>
      <c r="O50" s="67">
        <f t="shared" ca="1" si="2"/>
        <v>277.03129999999999</v>
      </c>
    </row>
    <row r="51" spans="1:15" hidden="1" outlineLevel="1" x14ac:dyDescent="0.25">
      <c r="A51" s="20"/>
      <c r="B51" s="21" t="s">
        <v>0</v>
      </c>
      <c r="D51" s="68"/>
      <c r="E51" s="69"/>
      <c r="F51" s="69"/>
      <c r="G51" s="69"/>
      <c r="H51" s="69"/>
      <c r="I51" s="70"/>
      <c r="J51" s="68"/>
      <c r="K51" s="69"/>
      <c r="L51" s="69"/>
      <c r="M51" s="69"/>
      <c r="N51" s="69"/>
      <c r="O51" s="70"/>
    </row>
    <row r="52" spans="1:15" hidden="1" outlineLevel="1" x14ac:dyDescent="0.25">
      <c r="A52" s="1"/>
      <c r="B52" s="135"/>
      <c r="D52" s="50"/>
      <c r="E52" s="51"/>
      <c r="F52" s="51"/>
      <c r="G52" s="51"/>
      <c r="H52" s="51"/>
      <c r="I52" s="51"/>
      <c r="J52" s="50"/>
      <c r="K52" s="51"/>
      <c r="L52" s="51"/>
      <c r="M52" s="51"/>
      <c r="N52" s="51"/>
      <c r="O52" s="51"/>
    </row>
    <row r="53" spans="1:15" hidden="1" outlineLevel="1" x14ac:dyDescent="0.25">
      <c r="A53" s="63"/>
      <c r="B53" s="64"/>
      <c r="D53" s="320" t="s">
        <v>80</v>
      </c>
      <c r="E53" s="321"/>
      <c r="F53" s="321"/>
      <c r="G53" s="321"/>
      <c r="H53" s="321"/>
      <c r="I53" s="321"/>
      <c r="J53" s="321"/>
      <c r="K53" s="321"/>
      <c r="L53" s="321"/>
      <c r="M53" s="321"/>
      <c r="N53" s="321"/>
      <c r="O53" s="322"/>
    </row>
    <row r="54" spans="1:15" hidden="1" outlineLevel="2" x14ac:dyDescent="0.25">
      <c r="A54" s="61">
        <v>37</v>
      </c>
      <c r="B54" s="62" t="s">
        <v>82</v>
      </c>
      <c r="D54" s="65">
        <f ca="1">VLOOKUP($A54,INDIRECT($P$2),COLUMN()-1,FALSE)*VLOOKUP($A54,Usinas!$C:$D,2,FALSE)</f>
        <v>119.5762</v>
      </c>
      <c r="E54" s="65">
        <f ca="1">VLOOKUP($A54,INDIRECT($P$2),COLUMN()-1,FALSE)*VLOOKUP($A54,Usinas!$C:$D,2,FALSE)</f>
        <v>126.46820000000001</v>
      </c>
      <c r="F54" s="65">
        <f ca="1">VLOOKUP($A54,INDIRECT($P$2),COLUMN()-1,FALSE)*VLOOKUP($A54,Usinas!$C:$D,2,FALSE)</f>
        <v>106.6537</v>
      </c>
      <c r="G54" s="65">
        <f ca="1">VLOOKUP($A54,INDIRECT($P$2),COLUMN()-1,FALSE)*VLOOKUP($A54,Usinas!$C:$D,2,FALSE)</f>
        <v>70.298400000000001</v>
      </c>
      <c r="H54" s="65">
        <f ca="1">VLOOKUP($A54,INDIRECT($P$2),COLUMN()-1,FALSE)*VLOOKUP($A54,Usinas!$C:$D,2,FALSE)</f>
        <v>55.480600000000003</v>
      </c>
      <c r="I54" s="65">
        <f ca="1">VLOOKUP($A54,INDIRECT($P$2),COLUMN()-1,FALSE)*VLOOKUP($A54,Usinas!$C:$D,2,FALSE)</f>
        <v>54.963700000000003</v>
      </c>
      <c r="J54" s="65">
        <f ca="1">VLOOKUP($A54,INDIRECT($P$2),COLUMN()-1,FALSE)*VLOOKUP($A54,Usinas!$C:$D,2,FALSE)</f>
        <v>43.764200000000002</v>
      </c>
      <c r="K54" s="65">
        <f ca="1">VLOOKUP($A54,INDIRECT($P$2),COLUMN()-1,FALSE)*VLOOKUP($A54,Usinas!$C:$D,2,FALSE)</f>
        <v>36.6999</v>
      </c>
      <c r="L54" s="65">
        <f ca="1">VLOOKUP($A54,INDIRECT($P$2),COLUMN()-1,FALSE)*VLOOKUP($A54,Usinas!$C:$D,2,FALSE)</f>
        <v>39.629000000000005</v>
      </c>
      <c r="M54" s="65">
        <f ca="1">VLOOKUP($A54,INDIRECT($P$2),COLUMN()-1,FALSE)*VLOOKUP($A54,Usinas!$C:$D,2,FALSE)</f>
        <v>48.760899999999999</v>
      </c>
      <c r="N54" s="65">
        <f ca="1">VLOOKUP($A54,INDIRECT($P$2),COLUMN()-1,FALSE)*VLOOKUP($A54,Usinas!$C:$D,2,FALSE)</f>
        <v>52.551500000000004</v>
      </c>
      <c r="O54" s="65">
        <f ca="1">VLOOKUP($A54,INDIRECT($P$2),COLUMN()-1,FALSE)*VLOOKUP($A54,Usinas!$C:$D,2,FALSE)</f>
        <v>80.636400000000009</v>
      </c>
    </row>
    <row r="55" spans="1:15" hidden="1" outlineLevel="2" x14ac:dyDescent="0.25">
      <c r="A55" s="61">
        <v>38</v>
      </c>
      <c r="B55" s="62" t="s">
        <v>83</v>
      </c>
      <c r="D55" s="65">
        <f ca="1">VLOOKUP($A55,INDIRECT($P$2),COLUMN()-1,FALSE)*VLOOKUP($A55,Usinas!$C:$D,2,FALSE)</f>
        <v>146.15369999999999</v>
      </c>
      <c r="E55" s="65">
        <f ca="1">VLOOKUP($A55,INDIRECT($P$2),COLUMN()-1,FALSE)*VLOOKUP($A55,Usinas!$C:$D,2,FALSE)</f>
        <v>155.1825</v>
      </c>
      <c r="F55" s="65">
        <f ca="1">VLOOKUP($A55,INDIRECT($P$2),COLUMN()-1,FALSE)*VLOOKUP($A55,Usinas!$C:$D,2,FALSE)</f>
        <v>131.2938</v>
      </c>
      <c r="G55" s="65">
        <f ca="1">VLOOKUP($A55,INDIRECT($P$2),COLUMN()-1,FALSE)*VLOOKUP($A55,Usinas!$C:$D,2,FALSE)</f>
        <v>87.278399999999991</v>
      </c>
      <c r="H55" s="65">
        <f ca="1">VLOOKUP($A55,INDIRECT($P$2),COLUMN()-1,FALSE)*VLOOKUP($A55,Usinas!$C:$D,2,FALSE)</f>
        <v>69.032699999999991</v>
      </c>
      <c r="I55" s="65">
        <f ca="1">VLOOKUP($A55,INDIRECT($P$2),COLUMN()-1,FALSE)*VLOOKUP($A55,Usinas!$C:$D,2,FALSE)</f>
        <v>68.468400000000003</v>
      </c>
      <c r="J55" s="65">
        <f ca="1">VLOOKUP($A55,INDIRECT($P$2),COLUMN()-1,FALSE)*VLOOKUP($A55,Usinas!$C:$D,2,FALSE)</f>
        <v>54.172799999999995</v>
      </c>
      <c r="K55" s="65">
        <f ca="1">VLOOKUP($A55,INDIRECT($P$2),COLUMN()-1,FALSE)*VLOOKUP($A55,Usinas!$C:$D,2,FALSE)</f>
        <v>45.8964</v>
      </c>
      <c r="L55" s="65">
        <f ca="1">VLOOKUP($A55,INDIRECT($P$2),COLUMN()-1,FALSE)*VLOOKUP($A55,Usinas!$C:$D,2,FALSE)</f>
        <v>49.094099999999997</v>
      </c>
      <c r="M55" s="65">
        <f ca="1">VLOOKUP($A55,INDIRECT($P$2),COLUMN()-1,FALSE)*VLOOKUP($A55,Usinas!$C:$D,2,FALSE)</f>
        <v>59.627699999999997</v>
      </c>
      <c r="N55" s="65">
        <f ca="1">VLOOKUP($A55,INDIRECT($P$2),COLUMN()-1,FALSE)*VLOOKUP($A55,Usinas!$C:$D,2,FALSE)</f>
        <v>64.518299999999996</v>
      </c>
      <c r="O55" s="65">
        <f ca="1">VLOOKUP($A55,INDIRECT($P$2),COLUMN()-1,FALSE)*VLOOKUP($A55,Usinas!$C:$D,2,FALSE)</f>
        <v>98.188199999999995</v>
      </c>
    </row>
    <row r="56" spans="1:15" hidden="1" outlineLevel="2" x14ac:dyDescent="0.25">
      <c r="A56" s="61">
        <v>39</v>
      </c>
      <c r="B56" s="62" t="s">
        <v>84</v>
      </c>
      <c r="D56" s="65">
        <f ca="1">VLOOKUP($A56,INDIRECT($P$2),COLUMN()-1,FALSE)*VLOOKUP($A56,Usinas!$C:$D,2,FALSE)</f>
        <v>183.45600000000002</v>
      </c>
      <c r="E56" s="65">
        <f ca="1">VLOOKUP($A56,INDIRECT($P$2),COLUMN()-1,FALSE)*VLOOKUP($A56,Usinas!$C:$D,2,FALSE)</f>
        <v>194.12640000000002</v>
      </c>
      <c r="F56" s="65">
        <f ca="1">VLOOKUP($A56,INDIRECT($P$2),COLUMN()-1,FALSE)*VLOOKUP($A56,Usinas!$C:$D,2,FALSE)</f>
        <v>166.04640000000001</v>
      </c>
      <c r="G56" s="65">
        <f ca="1">VLOOKUP($A56,INDIRECT($P$2),COLUMN()-1,FALSE)*VLOOKUP($A56,Usinas!$C:$D,2,FALSE)</f>
        <v>114.0048</v>
      </c>
      <c r="H56" s="65">
        <f ca="1">VLOOKUP($A56,INDIRECT($P$2),COLUMN()-1,FALSE)*VLOOKUP($A56,Usinas!$C:$D,2,FALSE)</f>
        <v>90.417600000000007</v>
      </c>
      <c r="I56" s="65">
        <f ca="1">VLOOKUP($A56,INDIRECT($P$2),COLUMN()-1,FALSE)*VLOOKUP($A56,Usinas!$C:$D,2,FALSE)</f>
        <v>88.92</v>
      </c>
      <c r="J56" s="65">
        <f ca="1">VLOOKUP($A56,INDIRECT($P$2),COLUMN()-1,FALSE)*VLOOKUP($A56,Usinas!$C:$D,2,FALSE)</f>
        <v>71.884799999999998</v>
      </c>
      <c r="K56" s="65">
        <f ca="1">VLOOKUP($A56,INDIRECT($P$2),COLUMN()-1,FALSE)*VLOOKUP($A56,Usinas!$C:$D,2,FALSE)</f>
        <v>61.588799999999999</v>
      </c>
      <c r="L56" s="65">
        <f ca="1">VLOOKUP($A56,INDIRECT($P$2),COLUMN()-1,FALSE)*VLOOKUP($A56,Usinas!$C:$D,2,FALSE)</f>
        <v>66.081600000000009</v>
      </c>
      <c r="M56" s="65">
        <f ca="1">VLOOKUP($A56,INDIRECT($P$2),COLUMN()-1,FALSE)*VLOOKUP($A56,Usinas!$C:$D,2,FALSE)</f>
        <v>78.998400000000004</v>
      </c>
      <c r="N56" s="65">
        <f ca="1">VLOOKUP($A56,INDIRECT($P$2),COLUMN()-1,FALSE)*VLOOKUP($A56,Usinas!$C:$D,2,FALSE)</f>
        <v>84.614400000000003</v>
      </c>
      <c r="O56" s="65">
        <f ca="1">VLOOKUP($A56,INDIRECT($P$2),COLUMN()-1,FALSE)*VLOOKUP($A56,Usinas!$C:$D,2,FALSE)</f>
        <v>126.36</v>
      </c>
    </row>
    <row r="57" spans="1:15" hidden="1" outlineLevel="2" x14ac:dyDescent="0.25">
      <c r="A57" s="61">
        <v>40</v>
      </c>
      <c r="B57" s="62" t="s">
        <v>85</v>
      </c>
      <c r="D57" s="65">
        <f ca="1">VLOOKUP($A57,INDIRECT($P$2),COLUMN()-1,FALSE)*VLOOKUP($A57,Usinas!$C:$D,2,FALSE)</f>
        <v>229.16669999999999</v>
      </c>
      <c r="E57" s="65">
        <f ca="1">VLOOKUP($A57,INDIRECT($P$2),COLUMN()-1,FALSE)*VLOOKUP($A57,Usinas!$C:$D,2,FALSE)</f>
        <v>243.9915</v>
      </c>
      <c r="F57" s="65">
        <f ca="1">VLOOKUP($A57,INDIRECT($P$2),COLUMN()-1,FALSE)*VLOOKUP($A57,Usinas!$C:$D,2,FALSE)</f>
        <v>210.22389999999999</v>
      </c>
      <c r="G57" s="65">
        <f ca="1">VLOOKUP($A57,INDIRECT($P$2),COLUMN()-1,FALSE)*VLOOKUP($A57,Usinas!$C:$D,2,FALSE)</f>
        <v>143.10050000000001</v>
      </c>
      <c r="H57" s="65">
        <f ca="1">VLOOKUP($A57,INDIRECT($P$2),COLUMN()-1,FALSE)*VLOOKUP($A57,Usinas!$C:$D,2,FALSE)</f>
        <v>114.0686</v>
      </c>
      <c r="I57" s="65">
        <f ca="1">VLOOKUP($A57,INDIRECT($P$2),COLUMN()-1,FALSE)*VLOOKUP($A57,Usinas!$C:$D,2,FALSE)</f>
        <v>111.80370000000001</v>
      </c>
      <c r="J57" s="65">
        <f ca="1">VLOOKUP($A57,INDIRECT($P$2),COLUMN()-1,FALSE)*VLOOKUP($A57,Usinas!$C:$D,2,FALSE)</f>
        <v>91.213700000000003</v>
      </c>
      <c r="K57" s="65">
        <f ca="1">VLOOKUP($A57,INDIRECT($P$2),COLUMN()-1,FALSE)*VLOOKUP($A57,Usinas!$C:$D,2,FALSE)</f>
        <v>79.065600000000003</v>
      </c>
      <c r="L57" s="65">
        <f ca="1">VLOOKUP($A57,INDIRECT($P$2),COLUMN()-1,FALSE)*VLOOKUP($A57,Usinas!$C:$D,2,FALSE)</f>
        <v>83.183599999999998</v>
      </c>
      <c r="M57" s="65">
        <f ca="1">VLOOKUP($A57,INDIRECT($P$2),COLUMN()-1,FALSE)*VLOOKUP($A57,Usinas!$C:$D,2,FALSE)</f>
        <v>97.390699999999995</v>
      </c>
      <c r="N57" s="65">
        <f ca="1">VLOOKUP($A57,INDIRECT($P$2),COLUMN()-1,FALSE)*VLOOKUP($A57,Usinas!$C:$D,2,FALSE)</f>
        <v>104.1854</v>
      </c>
      <c r="O57" s="65">
        <f ca="1">VLOOKUP($A57,INDIRECT($P$2),COLUMN()-1,FALSE)*VLOOKUP($A57,Usinas!$C:$D,2,FALSE)</f>
        <v>156.68989999999999</v>
      </c>
    </row>
    <row r="58" spans="1:15" hidden="1" outlineLevel="2" x14ac:dyDescent="0.25">
      <c r="A58" s="61">
        <v>42</v>
      </c>
      <c r="B58" s="62" t="s">
        <v>86</v>
      </c>
      <c r="D58" s="65">
        <f ca="1">VLOOKUP($A58,INDIRECT($P$2),COLUMN()-1,FALSE)*VLOOKUP($A58,Usinas!$C:$D,2,FALSE)</f>
        <v>311.59980000000002</v>
      </c>
      <c r="E58" s="65">
        <f ca="1">VLOOKUP($A58,INDIRECT($P$2),COLUMN()-1,FALSE)*VLOOKUP($A58,Usinas!$C:$D,2,FALSE)</f>
        <v>332.66789999999997</v>
      </c>
      <c r="F58" s="65">
        <f ca="1">VLOOKUP($A58,INDIRECT($P$2),COLUMN()-1,FALSE)*VLOOKUP($A58,Usinas!$C:$D,2,FALSE)</f>
        <v>285.84989999999999</v>
      </c>
      <c r="G58" s="65">
        <f ca="1">VLOOKUP($A58,INDIRECT($P$2),COLUMN()-1,FALSE)*VLOOKUP($A58,Usinas!$C:$D,2,FALSE)</f>
        <v>194.03460000000001</v>
      </c>
      <c r="H58" s="65">
        <f ca="1">VLOOKUP($A58,INDIRECT($P$2),COLUMN()-1,FALSE)*VLOOKUP($A58,Usinas!$C:$D,2,FALSE)</f>
        <v>153.459</v>
      </c>
      <c r="I58" s="65">
        <f ca="1">VLOOKUP($A58,INDIRECT($P$2),COLUMN()-1,FALSE)*VLOOKUP($A58,Usinas!$C:$D,2,FALSE)</f>
        <v>150.858</v>
      </c>
      <c r="J58" s="65">
        <f ca="1">VLOOKUP($A58,INDIRECT($P$2),COLUMN()-1,FALSE)*VLOOKUP($A58,Usinas!$C:$D,2,FALSE)</f>
        <v>122.7672</v>
      </c>
      <c r="K58" s="65">
        <f ca="1">VLOOKUP($A58,INDIRECT($P$2),COLUMN()-1,FALSE)*VLOOKUP($A58,Usinas!$C:$D,2,FALSE)</f>
        <v>105.86069999999999</v>
      </c>
      <c r="L58" s="65">
        <f ca="1">VLOOKUP($A58,INDIRECT($P$2),COLUMN()-1,FALSE)*VLOOKUP($A58,Usinas!$C:$D,2,FALSE)</f>
        <v>111.5829</v>
      </c>
      <c r="M58" s="65">
        <f ca="1">VLOOKUP($A58,INDIRECT($P$2),COLUMN()-1,FALSE)*VLOOKUP($A58,Usinas!$C:$D,2,FALSE)</f>
        <v>131.35050000000001</v>
      </c>
      <c r="N58" s="65">
        <f ca="1">VLOOKUP($A58,INDIRECT($P$2),COLUMN()-1,FALSE)*VLOOKUP($A58,Usinas!$C:$D,2,FALSE)</f>
        <v>140.7141</v>
      </c>
      <c r="O58" s="65">
        <f ca="1">VLOOKUP($A58,INDIRECT($P$2),COLUMN()-1,FALSE)*VLOOKUP($A58,Usinas!$C:$D,2,FALSE)</f>
        <v>211.72139999999999</v>
      </c>
    </row>
    <row r="59" spans="1:15" hidden="1" outlineLevel="2" x14ac:dyDescent="0.25">
      <c r="A59" s="61">
        <v>43</v>
      </c>
      <c r="B59" s="62" t="s">
        <v>87</v>
      </c>
      <c r="D59" s="65">
        <f ca="1">VLOOKUP($A59,INDIRECT($P$2),COLUMN()-1,FALSE)*VLOOKUP($A59,Usinas!$C:$D,2,FALSE)</f>
        <v>489.96559999999999</v>
      </c>
      <c r="E59" s="65">
        <f ca="1">VLOOKUP($A59,INDIRECT($P$2),COLUMN()-1,FALSE)*VLOOKUP($A59,Usinas!$C:$D,2,FALSE)</f>
        <v>533.65679999999998</v>
      </c>
      <c r="F59" s="65">
        <f ca="1">VLOOKUP($A59,INDIRECT($P$2),COLUMN()-1,FALSE)*VLOOKUP($A59,Usinas!$C:$D,2,FALSE)</f>
        <v>463.82889999999998</v>
      </c>
      <c r="G59" s="65">
        <f ca="1">VLOOKUP($A59,INDIRECT($P$2),COLUMN()-1,FALSE)*VLOOKUP($A59,Usinas!$C:$D,2,FALSE)</f>
        <v>319.10180000000003</v>
      </c>
      <c r="H59" s="65">
        <f ca="1">VLOOKUP($A59,INDIRECT($P$2),COLUMN()-1,FALSE)*VLOOKUP($A59,Usinas!$C:$D,2,FALSE)</f>
        <v>247.32339999999999</v>
      </c>
      <c r="I59" s="65">
        <f ca="1">VLOOKUP($A59,INDIRECT($P$2),COLUMN()-1,FALSE)*VLOOKUP($A59,Usinas!$C:$D,2,FALSE)</f>
        <v>244.59270000000001</v>
      </c>
      <c r="J59" s="65">
        <f ca="1">VLOOKUP($A59,INDIRECT($P$2),COLUMN()-1,FALSE)*VLOOKUP($A59,Usinas!$C:$D,2,FALSE)</f>
        <v>198.95099999999999</v>
      </c>
      <c r="K59" s="65">
        <f ca="1">VLOOKUP($A59,INDIRECT($P$2),COLUMN()-1,FALSE)*VLOOKUP($A59,Usinas!$C:$D,2,FALSE)</f>
        <v>172.42420000000001</v>
      </c>
      <c r="L59" s="65">
        <f ca="1">VLOOKUP($A59,INDIRECT($P$2),COLUMN()-1,FALSE)*VLOOKUP($A59,Usinas!$C:$D,2,FALSE)</f>
        <v>178.66579999999999</v>
      </c>
      <c r="M59" s="65">
        <f ca="1">VLOOKUP($A59,INDIRECT($P$2),COLUMN()-1,FALSE)*VLOOKUP($A59,Usinas!$C:$D,2,FALSE)</f>
        <v>209.87379999999999</v>
      </c>
      <c r="N59" s="65">
        <f ca="1">VLOOKUP($A59,INDIRECT($P$2),COLUMN()-1,FALSE)*VLOOKUP($A59,Usinas!$C:$D,2,FALSE)</f>
        <v>223.91740000000001</v>
      </c>
      <c r="O59" s="65">
        <f ca="1">VLOOKUP($A59,INDIRECT($P$2),COLUMN()-1,FALSE)*VLOOKUP($A59,Usinas!$C:$D,2,FALSE)</f>
        <v>332.75529999999998</v>
      </c>
    </row>
    <row r="60" spans="1:15" hidden="1" outlineLevel="1" x14ac:dyDescent="0.25">
      <c r="A60" s="18"/>
      <c r="B60" s="19" t="s">
        <v>56</v>
      </c>
      <c r="D60" s="66">
        <f t="shared" ref="D60:O60" ca="1" si="3">SUM(D54:D59)</f>
        <v>1479.9179999999999</v>
      </c>
      <c r="E60" s="49">
        <f t="shared" ca="1" si="3"/>
        <v>1586.0933</v>
      </c>
      <c r="F60" s="49">
        <f t="shared" ca="1" si="3"/>
        <v>1363.8966</v>
      </c>
      <c r="G60" s="49">
        <f t="shared" ca="1" si="3"/>
        <v>927.81849999999997</v>
      </c>
      <c r="H60" s="49">
        <f t="shared" ca="1" si="3"/>
        <v>729.78189999999995</v>
      </c>
      <c r="I60" s="67">
        <f t="shared" ca="1" si="3"/>
        <v>719.60649999999998</v>
      </c>
      <c r="J60" s="66">
        <f t="shared" ca="1" si="3"/>
        <v>582.75369999999998</v>
      </c>
      <c r="K60" s="49">
        <f t="shared" ca="1" si="3"/>
        <v>501.53560000000004</v>
      </c>
      <c r="L60" s="49">
        <f t="shared" ca="1" si="3"/>
        <v>528.23700000000008</v>
      </c>
      <c r="M60" s="49">
        <f t="shared" ca="1" si="3"/>
        <v>626.00199999999995</v>
      </c>
      <c r="N60" s="49">
        <f t="shared" ca="1" si="3"/>
        <v>670.50110000000006</v>
      </c>
      <c r="O60" s="67">
        <f t="shared" ca="1" si="3"/>
        <v>1006.3512000000001</v>
      </c>
    </row>
    <row r="61" spans="1:15" hidden="1" outlineLevel="1" x14ac:dyDescent="0.25">
      <c r="A61" s="20"/>
      <c r="B61" s="21" t="s">
        <v>0</v>
      </c>
      <c r="D61" s="68"/>
      <c r="E61" s="69"/>
      <c r="F61" s="69"/>
      <c r="G61" s="69"/>
      <c r="H61" s="69"/>
      <c r="I61" s="70"/>
      <c r="J61" s="68"/>
      <c r="K61" s="69"/>
      <c r="L61" s="69"/>
      <c r="M61" s="69"/>
      <c r="N61" s="69"/>
      <c r="O61" s="70"/>
    </row>
    <row r="62" spans="1:15" hidden="1" outlineLevel="1" x14ac:dyDescent="0.25">
      <c r="A62" s="1"/>
      <c r="B62" s="135"/>
      <c r="D62" s="50"/>
      <c r="E62" s="51"/>
      <c r="F62" s="51"/>
      <c r="G62" s="51"/>
      <c r="H62" s="51"/>
      <c r="I62" s="51"/>
      <c r="J62" s="50"/>
      <c r="K62" s="51"/>
      <c r="L62" s="51"/>
      <c r="M62" s="51"/>
      <c r="N62" s="51"/>
      <c r="O62" s="51"/>
    </row>
    <row r="63" spans="1:15" hidden="1" outlineLevel="1" x14ac:dyDescent="0.25">
      <c r="A63" s="63"/>
      <c r="B63" s="64"/>
      <c r="D63" s="320" t="s">
        <v>88</v>
      </c>
      <c r="E63" s="321" t="s">
        <v>58</v>
      </c>
      <c r="F63" s="321" t="s">
        <v>89</v>
      </c>
      <c r="G63" s="321"/>
      <c r="H63" s="321"/>
      <c r="I63" s="321"/>
      <c r="J63" s="321" t="s">
        <v>88</v>
      </c>
      <c r="K63" s="321" t="s">
        <v>58</v>
      </c>
      <c r="L63" s="321" t="s">
        <v>89</v>
      </c>
      <c r="M63" s="321"/>
      <c r="N63" s="321"/>
      <c r="O63" s="322"/>
    </row>
    <row r="64" spans="1:15" hidden="1" outlineLevel="2" x14ac:dyDescent="0.25">
      <c r="A64" s="61">
        <v>47</v>
      </c>
      <c r="B64" s="62" t="s">
        <v>90</v>
      </c>
      <c r="D64" s="65">
        <f ca="1">VLOOKUP($A64,INDIRECT($P$2),COLUMN()-1,FALSE)*VLOOKUP($A64,Usinas!$C:$D,2,FALSE)</f>
        <v>95.680200000000013</v>
      </c>
      <c r="E64" s="65">
        <f ca="1">VLOOKUP($A64,INDIRECT($P$2),COLUMN()-1,FALSE)*VLOOKUP($A64,Usinas!$C:$D,2,FALSE)</f>
        <v>107.67680000000001</v>
      </c>
      <c r="F64" s="65">
        <f ca="1">VLOOKUP($A64,INDIRECT($P$2),COLUMN()-1,FALSE)*VLOOKUP($A64,Usinas!$C:$D,2,FALSE)</f>
        <v>91.291200000000003</v>
      </c>
      <c r="G64" s="65">
        <f ca="1">VLOOKUP($A64,INDIRECT($P$2),COLUMN()-1,FALSE)*VLOOKUP($A64,Usinas!$C:$D,2,FALSE)</f>
        <v>64.372</v>
      </c>
      <c r="H64" s="65">
        <f ca="1">VLOOKUP($A64,INDIRECT($P$2),COLUMN()-1,FALSE)*VLOOKUP($A64,Usinas!$C:$D,2,FALSE)</f>
        <v>56.471800000000002</v>
      </c>
      <c r="I64" s="65">
        <f ca="1">VLOOKUP($A64,INDIRECT($P$2),COLUMN()-1,FALSE)*VLOOKUP($A64,Usinas!$C:$D,2,FALSE)</f>
        <v>58.812600000000003</v>
      </c>
      <c r="J64" s="65">
        <f ca="1">VLOOKUP($A64,INDIRECT($P$2),COLUMN()-1,FALSE)*VLOOKUP($A64,Usinas!$C:$D,2,FALSE)</f>
        <v>51.790200000000006</v>
      </c>
      <c r="K64" s="65">
        <f ca="1">VLOOKUP($A64,INDIRECT($P$2),COLUMN()-1,FALSE)*VLOOKUP($A64,Usinas!$C:$D,2,FALSE)</f>
        <v>43.304800000000007</v>
      </c>
      <c r="L64" s="65">
        <f ca="1">VLOOKUP($A64,INDIRECT($P$2),COLUMN()-1,FALSE)*VLOOKUP($A64,Usinas!$C:$D,2,FALSE)</f>
        <v>46.523400000000002</v>
      </c>
      <c r="M64" s="65">
        <f ca="1">VLOOKUP($A64,INDIRECT($P$2),COLUMN()-1,FALSE)*VLOOKUP($A64,Usinas!$C:$D,2,FALSE)</f>
        <v>55.886600000000008</v>
      </c>
      <c r="N64" s="65">
        <f ca="1">VLOOKUP($A64,INDIRECT($P$2),COLUMN()-1,FALSE)*VLOOKUP($A64,Usinas!$C:$D,2,FALSE)</f>
        <v>52.960600000000007</v>
      </c>
      <c r="O64" s="65">
        <f ca="1">VLOOKUP($A64,INDIRECT($P$2),COLUMN()-1,FALSE)*VLOOKUP($A64,Usinas!$C:$D,2,FALSE)</f>
        <v>68.17580000000001</v>
      </c>
    </row>
    <row r="65" spans="1:15" hidden="1" outlineLevel="2" x14ac:dyDescent="0.25">
      <c r="A65" s="61">
        <v>48</v>
      </c>
      <c r="B65" s="62" t="s">
        <v>91</v>
      </c>
      <c r="D65" s="65">
        <f ca="1">VLOOKUP($A65,INDIRECT($P$2),COLUMN()-1,FALSE)*VLOOKUP($A65,Usinas!$C:$D,2,FALSE)</f>
        <v>76.686400000000006</v>
      </c>
      <c r="E65" s="65">
        <f ca="1">VLOOKUP($A65,INDIRECT($P$2),COLUMN()-1,FALSE)*VLOOKUP($A65,Usinas!$C:$D,2,FALSE)</f>
        <v>86.559200000000004</v>
      </c>
      <c r="F65" s="65">
        <f ca="1">VLOOKUP($A65,INDIRECT($P$2),COLUMN()-1,FALSE)*VLOOKUP($A65,Usinas!$C:$D,2,FALSE)</f>
        <v>73.471999999999994</v>
      </c>
      <c r="G65" s="65">
        <f ca="1">VLOOKUP($A65,INDIRECT($P$2),COLUMN()-1,FALSE)*VLOOKUP($A65,Usinas!$C:$D,2,FALSE)</f>
        <v>51.889600000000002</v>
      </c>
      <c r="H65" s="65">
        <f ca="1">VLOOKUP($A65,INDIRECT($P$2),COLUMN()-1,FALSE)*VLOOKUP($A65,Usinas!$C:$D,2,FALSE)</f>
        <v>45.231200000000001</v>
      </c>
      <c r="I65" s="65">
        <f ca="1">VLOOKUP($A65,INDIRECT($P$2),COLUMN()-1,FALSE)*VLOOKUP($A65,Usinas!$C:$D,2,FALSE)</f>
        <v>47.527200000000001</v>
      </c>
      <c r="J65" s="65">
        <f ca="1">VLOOKUP($A65,INDIRECT($P$2),COLUMN()-1,FALSE)*VLOOKUP($A65,Usinas!$C:$D,2,FALSE)</f>
        <v>41.557600000000001</v>
      </c>
      <c r="K65" s="65">
        <f ca="1">VLOOKUP($A65,INDIRECT($P$2),COLUMN()-1,FALSE)*VLOOKUP($A65,Usinas!$C:$D,2,FALSE)</f>
        <v>34.669600000000003</v>
      </c>
      <c r="L65" s="65">
        <f ca="1">VLOOKUP($A65,INDIRECT($P$2),COLUMN()-1,FALSE)*VLOOKUP($A65,Usinas!$C:$D,2,FALSE)</f>
        <v>37.424799999999998</v>
      </c>
      <c r="M65" s="65">
        <f ca="1">VLOOKUP($A65,INDIRECT($P$2),COLUMN()-1,FALSE)*VLOOKUP($A65,Usinas!$C:$D,2,FALSE)</f>
        <v>45.001599999999996</v>
      </c>
      <c r="N65" s="65">
        <f ca="1">VLOOKUP($A65,INDIRECT($P$2),COLUMN()-1,FALSE)*VLOOKUP($A65,Usinas!$C:$D,2,FALSE)</f>
        <v>42.705599999999997</v>
      </c>
      <c r="O65" s="65">
        <f ca="1">VLOOKUP($A65,INDIRECT($P$2),COLUMN()-1,FALSE)*VLOOKUP($A65,Usinas!$C:$D,2,FALSE)</f>
        <v>54.644799999999996</v>
      </c>
    </row>
    <row r="66" spans="1:15" hidden="1" outlineLevel="2" x14ac:dyDescent="0.25">
      <c r="A66" s="61">
        <v>49</v>
      </c>
      <c r="B66" s="62" t="s">
        <v>92</v>
      </c>
      <c r="D66" s="65">
        <f ca="1">VLOOKUP($A66,INDIRECT($P$2),COLUMN()-1,FALSE)*VLOOKUP($A66,Usinas!$C:$D,2,FALSE)</f>
        <v>316.09820000000002</v>
      </c>
      <c r="E66" s="65">
        <f ca="1">VLOOKUP($A66,INDIRECT($P$2),COLUMN()-1,FALSE)*VLOOKUP($A66,Usinas!$C:$D,2,FALSE)</f>
        <v>341.71090000000004</v>
      </c>
      <c r="F66" s="65">
        <f ca="1">VLOOKUP($A66,INDIRECT($P$2),COLUMN()-1,FALSE)*VLOOKUP($A66,Usinas!$C:$D,2,FALSE)</f>
        <v>282.98910000000001</v>
      </c>
      <c r="G66" s="65">
        <f ca="1">VLOOKUP($A66,INDIRECT($P$2),COLUMN()-1,FALSE)*VLOOKUP($A66,Usinas!$C:$D,2,FALSE)</f>
        <v>203.65220000000002</v>
      </c>
      <c r="H66" s="65">
        <f ca="1">VLOOKUP($A66,INDIRECT($P$2),COLUMN()-1,FALSE)*VLOOKUP($A66,Usinas!$C:$D,2,FALSE)</f>
        <v>188.03470000000002</v>
      </c>
      <c r="I66" s="65">
        <f ca="1">VLOOKUP($A66,INDIRECT($P$2),COLUMN()-1,FALSE)*VLOOKUP($A66,Usinas!$C:$D,2,FALSE)</f>
        <v>196.1558</v>
      </c>
      <c r="J66" s="65">
        <f ca="1">VLOOKUP($A66,INDIRECT($P$2),COLUMN()-1,FALSE)*VLOOKUP($A66,Usinas!$C:$D,2,FALSE)</f>
        <v>173.0419</v>
      </c>
      <c r="K66" s="65">
        <f ca="1">VLOOKUP($A66,INDIRECT($P$2),COLUMN()-1,FALSE)*VLOOKUP($A66,Usinas!$C:$D,2,FALSE)</f>
        <v>143.05630000000002</v>
      </c>
      <c r="L66" s="65">
        <f ca="1">VLOOKUP($A66,INDIRECT($P$2),COLUMN()-1,FALSE)*VLOOKUP($A66,Usinas!$C:$D,2,FALSE)</f>
        <v>159.29850000000002</v>
      </c>
      <c r="M66" s="65">
        <f ca="1">VLOOKUP($A66,INDIRECT($P$2),COLUMN()-1,FALSE)*VLOOKUP($A66,Usinas!$C:$D,2,FALSE)</f>
        <v>190.5335</v>
      </c>
      <c r="N66" s="65">
        <f ca="1">VLOOKUP($A66,INDIRECT($P$2),COLUMN()-1,FALSE)*VLOOKUP($A66,Usinas!$C:$D,2,FALSE)</f>
        <v>176.16540000000001</v>
      </c>
      <c r="O66" s="65">
        <f ca="1">VLOOKUP($A66,INDIRECT($P$2),COLUMN()-1,FALSE)*VLOOKUP($A66,Usinas!$C:$D,2,FALSE)</f>
        <v>219.2697</v>
      </c>
    </row>
    <row r="67" spans="1:15" hidden="1" outlineLevel="2" x14ac:dyDescent="0.25">
      <c r="A67" s="61">
        <v>249</v>
      </c>
      <c r="B67" s="62" t="s">
        <v>93</v>
      </c>
      <c r="D67" s="65">
        <f ca="1">VLOOKUP($A67,INDIRECT($P$2),COLUMN()-1,FALSE)*VLOOKUP($A67,Usinas!$C:$D,2,FALSE)</f>
        <v>48.332799999999999</v>
      </c>
      <c r="E67" s="65">
        <f ca="1">VLOOKUP($A67,INDIRECT($P$2),COLUMN()-1,FALSE)*VLOOKUP($A67,Usinas!$C:$D,2,FALSE)</f>
        <v>52.203199999999995</v>
      </c>
      <c r="F67" s="65">
        <f ca="1">VLOOKUP($A67,INDIRECT($P$2),COLUMN()-1,FALSE)*VLOOKUP($A67,Usinas!$C:$D,2,FALSE)</f>
        <v>43.235199999999999</v>
      </c>
      <c r="G67" s="65">
        <f ca="1">VLOOKUP($A67,INDIRECT($P$2),COLUMN()-1,FALSE)*VLOOKUP($A67,Usinas!$C:$D,2,FALSE)</f>
        <v>31.246399999999998</v>
      </c>
      <c r="H67" s="65">
        <f ca="1">VLOOKUP($A67,INDIRECT($P$2),COLUMN()-1,FALSE)*VLOOKUP($A67,Usinas!$C:$D,2,FALSE)</f>
        <v>28.791999999999998</v>
      </c>
      <c r="I67" s="65">
        <f ca="1">VLOOKUP($A67,INDIRECT($P$2),COLUMN()-1,FALSE)*VLOOKUP($A67,Usinas!$C:$D,2,FALSE)</f>
        <v>30.113599999999998</v>
      </c>
      <c r="J67" s="65">
        <f ca="1">VLOOKUP($A67,INDIRECT($P$2),COLUMN()-1,FALSE)*VLOOKUP($A67,Usinas!$C:$D,2,FALSE)</f>
        <v>26.526399999999999</v>
      </c>
      <c r="K67" s="65">
        <f ca="1">VLOOKUP($A67,INDIRECT($P$2),COLUMN()-1,FALSE)*VLOOKUP($A67,Usinas!$C:$D,2,FALSE)</f>
        <v>21.9008</v>
      </c>
      <c r="L67" s="65">
        <f ca="1">VLOOKUP($A67,INDIRECT($P$2),COLUMN()-1,FALSE)*VLOOKUP($A67,Usinas!$C:$D,2,FALSE)</f>
        <v>24.3552</v>
      </c>
      <c r="M67" s="65">
        <f ca="1">VLOOKUP($A67,INDIRECT($P$2),COLUMN()-1,FALSE)*VLOOKUP($A67,Usinas!$C:$D,2,FALSE)</f>
        <v>29.169599999999999</v>
      </c>
      <c r="N67" s="65">
        <f ca="1">VLOOKUP($A67,INDIRECT($P$2),COLUMN()-1,FALSE)*VLOOKUP($A67,Usinas!$C:$D,2,FALSE)</f>
        <v>26.9984</v>
      </c>
      <c r="O67" s="65">
        <f ca="1">VLOOKUP($A67,INDIRECT($P$2),COLUMN()-1,FALSE)*VLOOKUP($A67,Usinas!$C:$D,2,FALSE)</f>
        <v>33.512</v>
      </c>
    </row>
    <row r="68" spans="1:15" hidden="1" outlineLevel="2" x14ac:dyDescent="0.25">
      <c r="A68" s="61">
        <v>50</v>
      </c>
      <c r="B68" s="62" t="s">
        <v>94</v>
      </c>
      <c r="D68" s="65">
        <f ca="1">VLOOKUP($A68,INDIRECT($P$2),COLUMN()-1,FALSE)*VLOOKUP($A68,Usinas!$C:$D,2,FALSE)</f>
        <v>98.0535</v>
      </c>
      <c r="E68" s="65">
        <f ca="1">VLOOKUP($A68,INDIRECT($P$2),COLUMN()-1,FALSE)*VLOOKUP($A68,Usinas!$C:$D,2,FALSE)</f>
        <v>107.18519999999999</v>
      </c>
      <c r="F68" s="65">
        <f ca="1">VLOOKUP($A68,INDIRECT($P$2),COLUMN()-1,FALSE)*VLOOKUP($A68,Usinas!$C:$D,2,FALSE)</f>
        <v>90.718199999999996</v>
      </c>
      <c r="G68" s="65">
        <f ca="1">VLOOKUP($A68,INDIRECT($P$2),COLUMN()-1,FALSE)*VLOOKUP($A68,Usinas!$C:$D,2,FALSE)</f>
        <v>67.065600000000003</v>
      </c>
      <c r="H68" s="65">
        <f ca="1">VLOOKUP($A68,INDIRECT($P$2),COLUMN()-1,FALSE)*VLOOKUP($A68,Usinas!$C:$D,2,FALSE)</f>
        <v>61.2273</v>
      </c>
      <c r="I68" s="65">
        <f ca="1">VLOOKUP($A68,INDIRECT($P$2),COLUMN()-1,FALSE)*VLOOKUP($A68,Usinas!$C:$D,2,FALSE)</f>
        <v>63.622500000000002</v>
      </c>
      <c r="J68" s="65">
        <f ca="1">VLOOKUP($A68,INDIRECT($P$2),COLUMN()-1,FALSE)*VLOOKUP($A68,Usinas!$C:$D,2,FALSE)</f>
        <v>55.389000000000003</v>
      </c>
      <c r="K68" s="65">
        <f ca="1">VLOOKUP($A68,INDIRECT($P$2),COLUMN()-1,FALSE)*VLOOKUP($A68,Usinas!$C:$D,2,FALSE)</f>
        <v>46.406999999999996</v>
      </c>
      <c r="L68" s="65">
        <f ca="1">VLOOKUP($A68,INDIRECT($P$2),COLUMN()-1,FALSE)*VLOOKUP($A68,Usinas!$C:$D,2,FALSE)</f>
        <v>50.598599999999998</v>
      </c>
      <c r="M68" s="65">
        <f ca="1">VLOOKUP($A68,INDIRECT($P$2),COLUMN()-1,FALSE)*VLOOKUP($A68,Usinas!$C:$D,2,FALSE)</f>
        <v>59.7303</v>
      </c>
      <c r="N68" s="65">
        <f ca="1">VLOOKUP($A68,INDIRECT($P$2),COLUMN()-1,FALSE)*VLOOKUP($A68,Usinas!$C:$D,2,FALSE)</f>
        <v>56.137500000000003</v>
      </c>
      <c r="O68" s="65">
        <f ca="1">VLOOKUP($A68,INDIRECT($P$2),COLUMN()-1,FALSE)*VLOOKUP($A68,Usinas!$C:$D,2,FALSE)</f>
        <v>69.460800000000006</v>
      </c>
    </row>
    <row r="69" spans="1:15" hidden="1" outlineLevel="2" x14ac:dyDescent="0.25">
      <c r="A69" s="61">
        <v>51</v>
      </c>
      <c r="B69" s="62" t="s">
        <v>95</v>
      </c>
      <c r="D69" s="65">
        <f ca="1">VLOOKUP($A69,INDIRECT($P$2),COLUMN()-1,FALSE)*VLOOKUP($A69,Usinas!$C:$D,2,FALSE)</f>
        <v>85.718499999999992</v>
      </c>
      <c r="E69" s="65">
        <f ca="1">VLOOKUP($A69,INDIRECT($P$2),COLUMN()-1,FALSE)*VLOOKUP($A69,Usinas!$C:$D,2,FALSE)</f>
        <v>93.968099999999993</v>
      </c>
      <c r="F69" s="65">
        <f ca="1">VLOOKUP($A69,INDIRECT($P$2),COLUMN()-1,FALSE)*VLOOKUP($A69,Usinas!$C:$D,2,FALSE)</f>
        <v>79.660199999999989</v>
      </c>
      <c r="G69" s="65">
        <f ca="1">VLOOKUP($A69,INDIRECT($P$2),COLUMN()-1,FALSE)*VLOOKUP($A69,Usinas!$C:$D,2,FALSE)</f>
        <v>58.907299999999992</v>
      </c>
      <c r="H69" s="65">
        <f ca="1">VLOOKUP($A69,INDIRECT($P$2),COLUMN()-1,FALSE)*VLOOKUP($A69,Usinas!$C:$D,2,FALSE)</f>
        <v>53.751299999999993</v>
      </c>
      <c r="I69" s="65">
        <f ca="1">VLOOKUP($A69,INDIRECT($P$2),COLUMN()-1,FALSE)*VLOOKUP($A69,Usinas!$C:$D,2,FALSE)</f>
        <v>55.942599999999992</v>
      </c>
      <c r="J69" s="65">
        <f ca="1">VLOOKUP($A69,INDIRECT($P$2),COLUMN()-1,FALSE)*VLOOKUP($A69,Usinas!$C:$D,2,FALSE)</f>
        <v>48.595299999999995</v>
      </c>
      <c r="K69" s="65">
        <f ca="1">VLOOKUP($A69,INDIRECT($P$2),COLUMN()-1,FALSE)*VLOOKUP($A69,Usinas!$C:$D,2,FALSE)</f>
        <v>40.732399999999998</v>
      </c>
      <c r="L69" s="65">
        <f ca="1">VLOOKUP($A69,INDIRECT($P$2),COLUMN()-1,FALSE)*VLOOKUP($A69,Usinas!$C:$D,2,FALSE)</f>
        <v>44.470499999999994</v>
      </c>
      <c r="M69" s="65">
        <f ca="1">VLOOKUP($A69,INDIRECT($P$2),COLUMN()-1,FALSE)*VLOOKUP($A69,Usinas!$C:$D,2,FALSE)</f>
        <v>52.462299999999992</v>
      </c>
      <c r="N69" s="65">
        <f ca="1">VLOOKUP($A69,INDIRECT($P$2),COLUMN()-1,FALSE)*VLOOKUP($A69,Usinas!$C:$D,2,FALSE)</f>
        <v>49.368699999999997</v>
      </c>
      <c r="O69" s="65">
        <f ca="1">VLOOKUP($A69,INDIRECT($P$2),COLUMN()-1,FALSE)*VLOOKUP($A69,Usinas!$C:$D,2,FALSE)</f>
        <v>60.840799999999994</v>
      </c>
    </row>
    <row r="70" spans="1:15" hidden="1" outlineLevel="2" x14ac:dyDescent="0.25">
      <c r="A70" s="61">
        <v>52</v>
      </c>
      <c r="B70" s="62" t="s">
        <v>96</v>
      </c>
      <c r="D70" s="65">
        <f ca="1">VLOOKUP($A70,INDIRECT($P$2),COLUMN()-1,FALSE)*VLOOKUP($A70,Usinas!$C:$D,2,FALSE)</f>
        <v>103.81920000000001</v>
      </c>
      <c r="E70" s="65">
        <f ca="1">VLOOKUP($A70,INDIRECT($P$2),COLUMN()-1,FALSE)*VLOOKUP($A70,Usinas!$C:$D,2,FALSE)</f>
        <v>114.08040000000001</v>
      </c>
      <c r="F70" s="65">
        <f ca="1">VLOOKUP($A70,INDIRECT($P$2),COLUMN()-1,FALSE)*VLOOKUP($A70,Usinas!$C:$D,2,FALSE)</f>
        <v>96.877800000000008</v>
      </c>
      <c r="G70" s="65">
        <f ca="1">VLOOKUP($A70,INDIRECT($P$2),COLUMN()-1,FALSE)*VLOOKUP($A70,Usinas!$C:$D,2,FALSE)</f>
        <v>71.979300000000009</v>
      </c>
      <c r="H70" s="65">
        <f ca="1">VLOOKUP($A70,INDIRECT($P$2),COLUMN()-1,FALSE)*VLOOKUP($A70,Usinas!$C:$D,2,FALSE)</f>
        <v>65.490600000000001</v>
      </c>
      <c r="I70" s="65">
        <f ca="1">VLOOKUP($A70,INDIRECT($P$2),COLUMN()-1,FALSE)*VLOOKUP($A70,Usinas!$C:$D,2,FALSE)</f>
        <v>68.206800000000001</v>
      </c>
      <c r="J70" s="65">
        <f ca="1">VLOOKUP($A70,INDIRECT($P$2),COLUMN()-1,FALSE)*VLOOKUP($A70,Usinas!$C:$D,2,FALSE)</f>
        <v>59.152799999999999</v>
      </c>
      <c r="K70" s="65">
        <f ca="1">VLOOKUP($A70,INDIRECT($P$2),COLUMN()-1,FALSE)*VLOOKUP($A70,Usinas!$C:$D,2,FALSE)</f>
        <v>49.646100000000004</v>
      </c>
      <c r="L70" s="65">
        <f ca="1">VLOOKUP($A70,INDIRECT($P$2),COLUMN()-1,FALSE)*VLOOKUP($A70,Usinas!$C:$D,2,FALSE)</f>
        <v>54.022200000000005</v>
      </c>
      <c r="M70" s="65">
        <f ca="1">VLOOKUP($A70,INDIRECT($P$2),COLUMN()-1,FALSE)*VLOOKUP($A70,Usinas!$C:$D,2,FALSE)</f>
        <v>63.6798</v>
      </c>
      <c r="N70" s="65">
        <f ca="1">VLOOKUP($A70,INDIRECT($P$2),COLUMN()-1,FALSE)*VLOOKUP($A70,Usinas!$C:$D,2,FALSE)</f>
        <v>60.058199999999999</v>
      </c>
      <c r="O70" s="65">
        <f ca="1">VLOOKUP($A70,INDIRECT($P$2),COLUMN()-1,FALSE)*VLOOKUP($A70,Usinas!$C:$D,2,FALSE)</f>
        <v>73.941000000000003</v>
      </c>
    </row>
    <row r="71" spans="1:15" hidden="1" outlineLevel="2" x14ac:dyDescent="0.25">
      <c r="A71" s="61">
        <v>61</v>
      </c>
      <c r="B71" s="62" t="s">
        <v>97</v>
      </c>
      <c r="D71" s="65">
        <f ca="1">VLOOKUP($A71,INDIRECT($P$2),COLUMN()-1,FALSE)*VLOOKUP($A71,Usinas!$C:$D,2,FALSE)</f>
        <v>553.08799999999997</v>
      </c>
      <c r="E71" s="65">
        <f ca="1">VLOOKUP($A71,INDIRECT($P$2),COLUMN()-1,FALSE)*VLOOKUP($A71,Usinas!$C:$D,2,FALSE)</f>
        <v>583.15519999999992</v>
      </c>
      <c r="F71" s="65">
        <f ca="1">VLOOKUP($A71,INDIRECT($P$2),COLUMN()-1,FALSE)*VLOOKUP($A71,Usinas!$C:$D,2,FALSE)</f>
        <v>476.99199999999996</v>
      </c>
      <c r="G71" s="65">
        <f ca="1">VLOOKUP($A71,INDIRECT($P$2),COLUMN()-1,FALSE)*VLOOKUP($A71,Usinas!$C:$D,2,FALSE)</f>
        <v>363.77599999999995</v>
      </c>
      <c r="H71" s="65">
        <f ca="1">VLOOKUP($A71,INDIRECT($P$2),COLUMN()-1,FALSE)*VLOOKUP($A71,Usinas!$C:$D,2,FALSE)</f>
        <v>364.51839999999999</v>
      </c>
      <c r="I71" s="65">
        <f ca="1">VLOOKUP($A71,INDIRECT($P$2),COLUMN()-1,FALSE)*VLOOKUP($A71,Usinas!$C:$D,2,FALSE)</f>
        <v>397.92639999999994</v>
      </c>
      <c r="J71" s="65">
        <f ca="1">VLOOKUP($A71,INDIRECT($P$2),COLUMN()-1,FALSE)*VLOOKUP($A71,Usinas!$C:$D,2,FALSE)</f>
        <v>360.06399999999996</v>
      </c>
      <c r="K71" s="65">
        <f ca="1">VLOOKUP($A71,INDIRECT($P$2),COLUMN()-1,FALSE)*VLOOKUP($A71,Usinas!$C:$D,2,FALSE)</f>
        <v>296.2176</v>
      </c>
      <c r="L71" s="65">
        <f ca="1">VLOOKUP($A71,INDIRECT($P$2),COLUMN()-1,FALSE)*VLOOKUP($A71,Usinas!$C:$D,2,FALSE)</f>
        <v>327.39839999999998</v>
      </c>
      <c r="M71" s="65">
        <f ca="1">VLOOKUP($A71,INDIRECT($P$2),COLUMN()-1,FALSE)*VLOOKUP($A71,Usinas!$C:$D,2,FALSE)</f>
        <v>406.83519999999999</v>
      </c>
      <c r="N71" s="65">
        <f ca="1">VLOOKUP($A71,INDIRECT($P$2),COLUMN()-1,FALSE)*VLOOKUP($A71,Usinas!$C:$D,2,FALSE)</f>
        <v>366.37439999999998</v>
      </c>
      <c r="O71" s="65">
        <f ca="1">VLOOKUP($A71,INDIRECT($P$2),COLUMN()-1,FALSE)*VLOOKUP($A71,Usinas!$C:$D,2,FALSE)</f>
        <v>403.49439999999998</v>
      </c>
    </row>
    <row r="72" spans="1:15" hidden="1" outlineLevel="2" x14ac:dyDescent="0.25">
      <c r="A72" s="61">
        <v>62</v>
      </c>
      <c r="B72" s="62" t="s">
        <v>98</v>
      </c>
      <c r="D72" s="65">
        <f ca="1">VLOOKUP($A72,INDIRECT($P$2),COLUMN()-1,FALSE)*VLOOKUP($A72,Usinas!$C:$D,2,FALSE)</f>
        <v>350.80520000000001</v>
      </c>
      <c r="E72" s="65">
        <f ca="1">VLOOKUP($A72,INDIRECT($P$2),COLUMN()-1,FALSE)*VLOOKUP($A72,Usinas!$C:$D,2,FALSE)</f>
        <v>370.54360000000003</v>
      </c>
      <c r="F72" s="65">
        <f ca="1">VLOOKUP($A72,INDIRECT($P$2),COLUMN()-1,FALSE)*VLOOKUP($A72,Usinas!$C:$D,2,FALSE)</f>
        <v>303.92649999999998</v>
      </c>
      <c r="G72" s="65">
        <f ca="1">VLOOKUP($A72,INDIRECT($P$2),COLUMN()-1,FALSE)*VLOOKUP($A72,Usinas!$C:$D,2,FALSE)</f>
        <v>231.92619999999999</v>
      </c>
      <c r="H72" s="65">
        <f ca="1">VLOOKUP($A72,INDIRECT($P$2),COLUMN()-1,FALSE)*VLOOKUP($A72,Usinas!$C:$D,2,FALSE)</f>
        <v>232.37479999999999</v>
      </c>
      <c r="I72" s="65">
        <f ca="1">VLOOKUP($A72,INDIRECT($P$2),COLUMN()-1,FALSE)*VLOOKUP($A72,Usinas!$C:$D,2,FALSE)</f>
        <v>253.9076</v>
      </c>
      <c r="J72" s="65">
        <f ca="1">VLOOKUP($A72,INDIRECT($P$2),COLUMN()-1,FALSE)*VLOOKUP($A72,Usinas!$C:$D,2,FALSE)</f>
        <v>230.3561</v>
      </c>
      <c r="K72" s="65">
        <f ca="1">VLOOKUP($A72,INDIRECT($P$2),COLUMN()-1,FALSE)*VLOOKUP($A72,Usinas!$C:$D,2,FALSE)</f>
        <v>189.7578</v>
      </c>
      <c r="L72" s="65">
        <f ca="1">VLOOKUP($A72,INDIRECT($P$2),COLUMN()-1,FALSE)*VLOOKUP($A72,Usinas!$C:$D,2,FALSE)</f>
        <v>208.59899999999999</v>
      </c>
      <c r="M72" s="65">
        <f ca="1">VLOOKUP($A72,INDIRECT($P$2),COLUMN()-1,FALSE)*VLOOKUP($A72,Usinas!$C:$D,2,FALSE)</f>
        <v>260.18799999999999</v>
      </c>
      <c r="N72" s="65">
        <f ca="1">VLOOKUP($A72,INDIRECT($P$2),COLUMN()-1,FALSE)*VLOOKUP($A72,Usinas!$C:$D,2,FALSE)</f>
        <v>234.61779999999999</v>
      </c>
      <c r="O72" s="65">
        <f ca="1">VLOOKUP($A72,INDIRECT($P$2),COLUMN()-1,FALSE)*VLOOKUP($A72,Usinas!$C:$D,2,FALSE)</f>
        <v>256.82350000000002</v>
      </c>
    </row>
    <row r="73" spans="1:15" hidden="1" outlineLevel="2" x14ac:dyDescent="0.25">
      <c r="A73" s="61">
        <v>63</v>
      </c>
      <c r="B73" s="62" t="s">
        <v>99</v>
      </c>
      <c r="D73" s="65">
        <f ca="1">VLOOKUP($A73,INDIRECT($P$2),COLUMN()-1,FALSE)*VLOOKUP($A73,Usinas!$C:$D,2,FALSE)</f>
        <v>321.74009999999998</v>
      </c>
      <c r="E73" s="65">
        <f ca="1">VLOOKUP($A73,INDIRECT($P$2),COLUMN()-1,FALSE)*VLOOKUP($A73,Usinas!$C:$D,2,FALSE)</f>
        <v>340.92899999999997</v>
      </c>
      <c r="F73" s="65">
        <f ca="1">VLOOKUP($A73,INDIRECT($P$2),COLUMN()-1,FALSE)*VLOOKUP($A73,Usinas!$C:$D,2,FALSE)</f>
        <v>283.3623</v>
      </c>
      <c r="G73" s="65">
        <f ca="1">VLOOKUP($A73,INDIRECT($P$2),COLUMN()-1,FALSE)*VLOOKUP($A73,Usinas!$C:$D,2,FALSE)</f>
        <v>216.85319999999999</v>
      </c>
      <c r="H73" s="65">
        <f ca="1">VLOOKUP($A73,INDIRECT($P$2),COLUMN()-1,FALSE)*VLOOKUP($A73,Usinas!$C:$D,2,FALSE)</f>
        <v>216.108</v>
      </c>
      <c r="I73" s="65">
        <f ca="1">VLOOKUP($A73,INDIRECT($P$2),COLUMN()-1,FALSE)*VLOOKUP($A73,Usinas!$C:$D,2,FALSE)</f>
        <v>237.5325</v>
      </c>
      <c r="J73" s="65">
        <f ca="1">VLOOKUP($A73,INDIRECT($P$2),COLUMN()-1,FALSE)*VLOOKUP($A73,Usinas!$C:$D,2,FALSE)</f>
        <v>215.36279999999999</v>
      </c>
      <c r="K73" s="65">
        <f ca="1">VLOOKUP($A73,INDIRECT($P$2),COLUMN()-1,FALSE)*VLOOKUP($A73,Usinas!$C:$D,2,FALSE)</f>
        <v>179.0343</v>
      </c>
      <c r="L73" s="65">
        <f ca="1">VLOOKUP($A73,INDIRECT($P$2),COLUMN()-1,FALSE)*VLOOKUP($A73,Usinas!$C:$D,2,FALSE)</f>
        <v>194.68349999999998</v>
      </c>
      <c r="M73" s="65">
        <f ca="1">VLOOKUP($A73,INDIRECT($P$2),COLUMN()-1,FALSE)*VLOOKUP($A73,Usinas!$C:$D,2,FALSE)</f>
        <v>242.74889999999999</v>
      </c>
      <c r="N73" s="65">
        <f ca="1">VLOOKUP($A73,INDIRECT($P$2),COLUMN()-1,FALSE)*VLOOKUP($A73,Usinas!$C:$D,2,FALSE)</f>
        <v>221.13809999999998</v>
      </c>
      <c r="O73" s="65">
        <f ca="1">VLOOKUP($A73,INDIRECT($P$2),COLUMN()-1,FALSE)*VLOOKUP($A73,Usinas!$C:$D,2,FALSE)</f>
        <v>239.20919999999998</v>
      </c>
    </row>
    <row r="74" spans="1:15" hidden="1" outlineLevel="1" x14ac:dyDescent="0.25">
      <c r="A74" s="18"/>
      <c r="B74" s="19" t="s">
        <v>56</v>
      </c>
      <c r="D74" s="66">
        <f t="shared" ref="D74:O74" ca="1" si="4">SUM(D64:D73)</f>
        <v>2050.0221000000001</v>
      </c>
      <c r="E74" s="49">
        <f t="shared" ca="1" si="4"/>
        <v>2198.0115999999998</v>
      </c>
      <c r="F74" s="49">
        <f t="shared" ca="1" si="4"/>
        <v>1822.5245</v>
      </c>
      <c r="G74" s="49">
        <f t="shared" ca="1" si="4"/>
        <v>1361.6677999999999</v>
      </c>
      <c r="H74" s="49">
        <f t="shared" ca="1" si="4"/>
        <v>1312.0001</v>
      </c>
      <c r="I74" s="67">
        <f t="shared" ca="1" si="4"/>
        <v>1409.7475999999999</v>
      </c>
      <c r="J74" s="66">
        <f t="shared" ca="1" si="4"/>
        <v>1261.8361</v>
      </c>
      <c r="K74" s="49">
        <f t="shared" ca="1" si="4"/>
        <v>1044.7266999999999</v>
      </c>
      <c r="L74" s="49">
        <f t="shared" ca="1" si="4"/>
        <v>1147.3741</v>
      </c>
      <c r="M74" s="49">
        <f t="shared" ca="1" si="4"/>
        <v>1406.2357999999999</v>
      </c>
      <c r="N74" s="49">
        <f t="shared" ca="1" si="4"/>
        <v>1286.5246999999997</v>
      </c>
      <c r="O74" s="67">
        <f t="shared" ca="1" si="4"/>
        <v>1479.3720000000001</v>
      </c>
    </row>
    <row r="75" spans="1:15" hidden="1" outlineLevel="1" x14ac:dyDescent="0.25">
      <c r="A75" s="20"/>
      <c r="B75" s="21" t="s">
        <v>0</v>
      </c>
      <c r="D75" s="68"/>
      <c r="E75" s="69"/>
      <c r="F75" s="69"/>
      <c r="G75" s="69"/>
      <c r="H75" s="69"/>
      <c r="I75" s="70"/>
      <c r="J75" s="68"/>
      <c r="K75" s="69"/>
      <c r="L75" s="69"/>
      <c r="M75" s="69"/>
      <c r="N75" s="69"/>
      <c r="O75" s="70"/>
    </row>
    <row r="76" spans="1:15" hidden="1" outlineLevel="1" x14ac:dyDescent="0.25">
      <c r="A76" s="52"/>
      <c r="B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</row>
    <row r="77" spans="1:15" hidden="1" outlineLevel="1" x14ac:dyDescent="0.25">
      <c r="A77" s="63"/>
      <c r="B77" s="64"/>
      <c r="D77" s="320" t="s">
        <v>100</v>
      </c>
      <c r="E77" s="321" t="s">
        <v>58</v>
      </c>
      <c r="F77" s="321" t="s">
        <v>101</v>
      </c>
      <c r="G77" s="321"/>
      <c r="H77" s="321"/>
      <c r="I77" s="321"/>
      <c r="J77" s="321" t="s">
        <v>100</v>
      </c>
      <c r="K77" s="321" t="s">
        <v>58</v>
      </c>
      <c r="L77" s="321" t="s">
        <v>101</v>
      </c>
      <c r="M77" s="321"/>
      <c r="N77" s="321"/>
      <c r="O77" s="322"/>
    </row>
    <row r="78" spans="1:15" hidden="1" outlineLevel="2" x14ac:dyDescent="0.25">
      <c r="A78" s="61">
        <v>34</v>
      </c>
      <c r="B78" s="62" t="s">
        <v>102</v>
      </c>
      <c r="D78" s="65">
        <f ca="1">VLOOKUP($A78,INDIRECT($P$2),COLUMN()-1,FALSE)*VLOOKUP($A78,Usinas!$C:$D,2,FALSE)</f>
        <v>3496.8564000000001</v>
      </c>
      <c r="E78" s="65">
        <f ca="1">VLOOKUP($A78,INDIRECT($P$2),COLUMN()-1,FALSE)*VLOOKUP($A78,Usinas!$C:$D,2,FALSE)</f>
        <v>3676.3024</v>
      </c>
      <c r="F78" s="65">
        <f ca="1">VLOOKUP($A78,INDIRECT($P$2),COLUMN()-1,FALSE)*VLOOKUP($A78,Usinas!$C:$D,2,FALSE)</f>
        <v>3513.2406000000001</v>
      </c>
      <c r="G78" s="65">
        <f ca="1">VLOOKUP($A78,INDIRECT($P$2),COLUMN()-1,FALSE)*VLOOKUP($A78,Usinas!$C:$D,2,FALSE)</f>
        <v>2646.8285000000001</v>
      </c>
      <c r="H78" s="65">
        <f ca="1">VLOOKUP($A78,INDIRECT($P$2),COLUMN()-1,FALSE)*VLOOKUP($A78,Usinas!$C:$D,2,FALSE)</f>
        <v>1813.1848</v>
      </c>
      <c r="I78" s="65">
        <f ca="1">VLOOKUP($A78,INDIRECT($P$2),COLUMN()-1,FALSE)*VLOOKUP($A78,Usinas!$C:$D,2,FALSE)</f>
        <v>1483.1602</v>
      </c>
      <c r="J78" s="65">
        <f ca="1">VLOOKUP($A78,INDIRECT($P$2),COLUMN()-1,FALSE)*VLOOKUP($A78,Usinas!$C:$D,2,FALSE)</f>
        <v>1213.9911999999999</v>
      </c>
      <c r="K78" s="65">
        <f ca="1">VLOOKUP($A78,INDIRECT($P$2),COLUMN()-1,FALSE)*VLOOKUP($A78,Usinas!$C:$D,2,FALSE)</f>
        <v>1017.3808</v>
      </c>
      <c r="L78" s="65">
        <f ca="1">VLOOKUP($A78,INDIRECT($P$2),COLUMN()-1,FALSE)*VLOOKUP($A78,Usinas!$C:$D,2,FALSE)</f>
        <v>969.78859999999997</v>
      </c>
      <c r="M78" s="65">
        <f ca="1">VLOOKUP($A78,INDIRECT($P$2),COLUMN()-1,FALSE)*VLOOKUP($A78,Usinas!$C:$D,2,FALSE)</f>
        <v>1121.9276</v>
      </c>
      <c r="N78" s="65">
        <f ca="1">VLOOKUP($A78,INDIRECT($P$2),COLUMN()-1,FALSE)*VLOOKUP($A78,Usinas!$C:$D,2,FALSE)</f>
        <v>1528.0217</v>
      </c>
      <c r="O78" s="65">
        <f ca="1">VLOOKUP($A78,INDIRECT($P$2),COLUMN()-1,FALSE)*VLOOKUP($A78,Usinas!$C:$D,2,FALSE)</f>
        <v>2450.9983000000002</v>
      </c>
    </row>
    <row r="79" spans="1:15" hidden="1" outlineLevel="2" x14ac:dyDescent="0.25">
      <c r="A79" s="61">
        <v>45</v>
      </c>
      <c r="B79" s="62" t="s">
        <v>103</v>
      </c>
      <c r="D79" s="65">
        <f ca="1">VLOOKUP($A79,INDIRECT($P$2),COLUMN()-1,FALSE)*VLOOKUP($A79,Usinas!$C:$D,2,FALSE)</f>
        <v>2105.73</v>
      </c>
      <c r="E79" s="65">
        <f ca="1">VLOOKUP($A79,INDIRECT($P$2),COLUMN()-1,FALSE)*VLOOKUP($A79,Usinas!$C:$D,2,FALSE)</f>
        <v>2227.8960000000002</v>
      </c>
      <c r="F79" s="65">
        <f ca="1">VLOOKUP($A79,INDIRECT($P$2),COLUMN()-1,FALSE)*VLOOKUP($A79,Usinas!$C:$D,2,FALSE)</f>
        <v>2103.3540000000003</v>
      </c>
      <c r="G79" s="65">
        <f ca="1">VLOOKUP($A79,INDIRECT($P$2),COLUMN()-1,FALSE)*VLOOKUP($A79,Usinas!$C:$D,2,FALSE)</f>
        <v>1577.4660000000001</v>
      </c>
      <c r="H79" s="65">
        <f ca="1">VLOOKUP($A79,INDIRECT($P$2),COLUMN()-1,FALSE)*VLOOKUP($A79,Usinas!$C:$D,2,FALSE)</f>
        <v>1107.2160000000001</v>
      </c>
      <c r="I79" s="65">
        <f ca="1">VLOOKUP($A79,INDIRECT($P$2),COLUMN()-1,FALSE)*VLOOKUP($A79,Usinas!$C:$D,2,FALSE)</f>
        <v>936.14400000000001</v>
      </c>
      <c r="J79" s="65">
        <f ca="1">VLOOKUP($A79,INDIRECT($P$2),COLUMN()-1,FALSE)*VLOOKUP($A79,Usinas!$C:$D,2,FALSE)</f>
        <v>772.596</v>
      </c>
      <c r="K79" s="65">
        <f ca="1">VLOOKUP($A79,INDIRECT($P$2),COLUMN()-1,FALSE)*VLOOKUP($A79,Usinas!$C:$D,2,FALSE)</f>
        <v>658.74599999999998</v>
      </c>
      <c r="L79" s="65">
        <f ca="1">VLOOKUP($A79,INDIRECT($P$2),COLUMN()-1,FALSE)*VLOOKUP($A79,Usinas!$C:$D,2,FALSE)</f>
        <v>635.58000000000004</v>
      </c>
      <c r="M79" s="65">
        <f ca="1">VLOOKUP($A79,INDIRECT($P$2),COLUMN()-1,FALSE)*VLOOKUP($A79,Usinas!$C:$D,2,FALSE)</f>
        <v>730.02600000000007</v>
      </c>
      <c r="N79" s="65">
        <f ca="1">VLOOKUP($A79,INDIRECT($P$2),COLUMN()-1,FALSE)*VLOOKUP($A79,Usinas!$C:$D,2,FALSE)</f>
        <v>946.83600000000001</v>
      </c>
      <c r="O79" s="65">
        <f ca="1">VLOOKUP($A79,INDIRECT($P$2),COLUMN()-1,FALSE)*VLOOKUP($A79,Usinas!$C:$D,2,FALSE)</f>
        <v>1478.0700000000002</v>
      </c>
    </row>
    <row r="80" spans="1:15" hidden="1" outlineLevel="1" x14ac:dyDescent="0.25">
      <c r="A80" s="18"/>
      <c r="B80" s="19" t="s">
        <v>56</v>
      </c>
      <c r="D80" s="66">
        <f t="shared" ref="D80:O80" ca="1" si="5">SUM(D78:D79)</f>
        <v>5602.5864000000001</v>
      </c>
      <c r="E80" s="49">
        <f t="shared" ca="1" si="5"/>
        <v>5904.1984000000002</v>
      </c>
      <c r="F80" s="49">
        <f t="shared" ca="1" si="5"/>
        <v>5616.5946000000004</v>
      </c>
      <c r="G80" s="49">
        <f t="shared" ca="1" si="5"/>
        <v>4224.2945</v>
      </c>
      <c r="H80" s="49">
        <f t="shared" ca="1" si="5"/>
        <v>2920.4008000000003</v>
      </c>
      <c r="I80" s="67">
        <f t="shared" ca="1" si="5"/>
        <v>2419.3042</v>
      </c>
      <c r="J80" s="66">
        <f t="shared" ca="1" si="5"/>
        <v>1986.5871999999999</v>
      </c>
      <c r="K80" s="49">
        <f t="shared" ca="1" si="5"/>
        <v>1676.1268</v>
      </c>
      <c r="L80" s="49">
        <f t="shared" ca="1" si="5"/>
        <v>1605.3686</v>
      </c>
      <c r="M80" s="49">
        <f t="shared" ca="1" si="5"/>
        <v>1851.9536000000001</v>
      </c>
      <c r="N80" s="49">
        <f t="shared" ca="1" si="5"/>
        <v>2474.8577</v>
      </c>
      <c r="O80" s="67">
        <f t="shared" ca="1" si="5"/>
        <v>3929.0683000000004</v>
      </c>
    </row>
    <row r="81" spans="1:15" hidden="1" outlineLevel="1" x14ac:dyDescent="0.25">
      <c r="A81" s="20"/>
      <c r="B81" s="21" t="s">
        <v>0</v>
      </c>
      <c r="D81" s="68"/>
      <c r="E81" s="69"/>
      <c r="F81" s="69"/>
      <c r="G81" s="69"/>
      <c r="H81" s="69"/>
      <c r="I81" s="70"/>
      <c r="J81" s="68"/>
      <c r="K81" s="69"/>
      <c r="L81" s="69"/>
      <c r="M81" s="69"/>
      <c r="N81" s="69"/>
      <c r="O81" s="70"/>
    </row>
    <row r="82" spans="1:15" hidden="1" outlineLevel="1" x14ac:dyDescent="0.25">
      <c r="A82" s="1"/>
      <c r="B82" s="135"/>
      <c r="D82" s="50"/>
      <c r="E82" s="51"/>
      <c r="F82" s="51"/>
      <c r="G82" s="51"/>
      <c r="H82" s="51"/>
      <c r="I82" s="51"/>
      <c r="J82" s="50"/>
      <c r="K82" s="51"/>
      <c r="L82" s="51"/>
      <c r="M82" s="51"/>
      <c r="N82" s="51"/>
      <c r="O82" s="51"/>
    </row>
    <row r="83" spans="1:15" ht="17.25" hidden="1" customHeight="1" outlineLevel="1" x14ac:dyDescent="0.25">
      <c r="A83" s="63"/>
      <c r="B83" s="64"/>
      <c r="D83" s="329" t="s">
        <v>104</v>
      </c>
      <c r="E83" s="330" t="s">
        <v>58</v>
      </c>
      <c r="F83" s="330" t="s">
        <v>105</v>
      </c>
      <c r="G83" s="330"/>
      <c r="H83" s="330"/>
      <c r="I83" s="331"/>
      <c r="J83" s="329" t="s">
        <v>104</v>
      </c>
      <c r="K83" s="330" t="s">
        <v>58</v>
      </c>
      <c r="L83" s="330" t="s">
        <v>105</v>
      </c>
      <c r="M83" s="330"/>
      <c r="N83" s="330"/>
      <c r="O83" s="331"/>
    </row>
    <row r="84" spans="1:15" hidden="1" outlineLevel="2" x14ac:dyDescent="0.25">
      <c r="A84" s="61">
        <v>46</v>
      </c>
      <c r="B84" s="62" t="s">
        <v>106</v>
      </c>
      <c r="D84" s="65">
        <f ca="1">VLOOKUP($A84,INDIRECT($P$2),COLUMN()-1,FALSE)*VLOOKUP($A84,Usinas!$C:$D,2,FALSE)</f>
        <v>1832.1093000000001</v>
      </c>
      <c r="E84" s="65">
        <f ca="1">VLOOKUP($A84,INDIRECT($P$2),COLUMN()-1,FALSE)*VLOOKUP($A84,Usinas!$C:$D,2,FALSE)</f>
        <v>1971.0189</v>
      </c>
      <c r="F84" s="65">
        <f ca="1">VLOOKUP($A84,INDIRECT($P$2),COLUMN()-1,FALSE)*VLOOKUP($A84,Usinas!$C:$D,2,FALSE)</f>
        <v>1867.4739</v>
      </c>
      <c r="G84" s="65">
        <f ca="1">VLOOKUP($A84,INDIRECT($P$2),COLUMN()-1,FALSE)*VLOOKUP($A84,Usinas!$C:$D,2,FALSE)</f>
        <v>1434.4965</v>
      </c>
      <c r="H84" s="65">
        <f ca="1">VLOOKUP($A84,INDIRECT($P$2),COLUMN()-1,FALSE)*VLOOKUP($A84,Usinas!$C:$D,2,FALSE)</f>
        <v>1032.2639999999999</v>
      </c>
      <c r="I84" s="65">
        <f ca="1">VLOOKUP($A84,INDIRECT($P$2),COLUMN()-1,FALSE)*VLOOKUP($A84,Usinas!$C:$D,2,FALSE)</f>
        <v>894.46950000000004</v>
      </c>
      <c r="J84" s="65">
        <f ca="1">VLOOKUP($A84,INDIRECT($P$2),COLUMN()-1,FALSE)*VLOOKUP($A84,Usinas!$C:$D,2,FALSE)</f>
        <v>735.3288</v>
      </c>
      <c r="K84" s="65">
        <f ca="1">VLOOKUP($A84,INDIRECT($P$2),COLUMN()-1,FALSE)*VLOOKUP($A84,Usinas!$C:$D,2,FALSE)</f>
        <v>626.68619999999999</v>
      </c>
      <c r="L84" s="65">
        <f ca="1">VLOOKUP($A84,INDIRECT($P$2),COLUMN()-1,FALSE)*VLOOKUP($A84,Usinas!$C:$D,2,FALSE)</f>
        <v>607.88879999999995</v>
      </c>
      <c r="M84" s="65">
        <f ca="1">VLOOKUP($A84,INDIRECT($P$2),COLUMN()-1,FALSE)*VLOOKUP($A84,Usinas!$C:$D,2,FALSE)</f>
        <v>692.47709999999995</v>
      </c>
      <c r="N84" s="65">
        <f ca="1">VLOOKUP($A84,INDIRECT($P$2),COLUMN()-1,FALSE)*VLOOKUP($A84,Usinas!$C:$D,2,FALSE)</f>
        <v>866.59199999999998</v>
      </c>
      <c r="O84" s="65">
        <f ca="1">VLOOKUP($A84,INDIRECT($P$2),COLUMN()-1,FALSE)*VLOOKUP($A84,Usinas!$C:$D,2,FALSE)</f>
        <v>1293.0381</v>
      </c>
    </row>
    <row r="85" spans="1:15" hidden="1" outlineLevel="2" x14ac:dyDescent="0.25">
      <c r="A85" s="61">
        <v>66</v>
      </c>
      <c r="B85" s="62" t="s">
        <v>107</v>
      </c>
      <c r="D85" s="65">
        <f ca="1">VLOOKUP($A85,INDIRECT($P$2),COLUMN()-1,FALSE)*VLOOKUP($A85,Usinas!$C:$D,2,FALSE)</f>
        <v>15289.612800000001</v>
      </c>
      <c r="E85" s="65">
        <f ca="1">VLOOKUP($A85,INDIRECT($P$2),COLUMN()-1,FALSE)*VLOOKUP($A85,Usinas!$C:$D,2,FALSE)</f>
        <v>16703.3642</v>
      </c>
      <c r="F85" s="65">
        <f ca="1">VLOOKUP($A85,INDIRECT($P$2),COLUMN()-1,FALSE)*VLOOKUP($A85,Usinas!$C:$D,2,FALSE)</f>
        <v>15539.8892</v>
      </c>
      <c r="G85" s="65">
        <f ca="1">VLOOKUP($A85,INDIRECT($P$2),COLUMN()-1,FALSE)*VLOOKUP($A85,Usinas!$C:$D,2,FALSE)</f>
        <v>12346.2796</v>
      </c>
      <c r="H85" s="65">
        <f ca="1">VLOOKUP($A85,INDIRECT($P$2),COLUMN()-1,FALSE)*VLOOKUP($A85,Usinas!$C:$D,2,FALSE)</f>
        <v>9874.5416000000005</v>
      </c>
      <c r="I85" s="65">
        <f ca="1">VLOOKUP($A85,INDIRECT($P$2),COLUMN()-1,FALSE)*VLOOKUP($A85,Usinas!$C:$D,2,FALSE)</f>
        <v>9143.3621999999996</v>
      </c>
      <c r="J85" s="65">
        <f ca="1">VLOOKUP($A85,INDIRECT($P$2),COLUMN()-1,FALSE)*VLOOKUP($A85,Usinas!$C:$D,2,FALSE)</f>
        <v>7739.9528</v>
      </c>
      <c r="K85" s="65">
        <f ca="1">VLOOKUP($A85,INDIRECT($P$2),COLUMN()-1,FALSE)*VLOOKUP($A85,Usinas!$C:$D,2,FALSE)</f>
        <v>6506.1522000000004</v>
      </c>
      <c r="L85" s="65">
        <f ca="1">VLOOKUP($A85,INDIRECT($P$2),COLUMN()-1,FALSE)*VLOOKUP($A85,Usinas!$C:$D,2,FALSE)</f>
        <v>6543.3833999999997</v>
      </c>
      <c r="M85" s="65">
        <f ca="1">VLOOKUP($A85,INDIRECT($P$2),COLUMN()-1,FALSE)*VLOOKUP($A85,Usinas!$C:$D,2,FALSE)</f>
        <v>7856.8173999999999</v>
      </c>
      <c r="N85" s="65">
        <f ca="1">VLOOKUP($A85,INDIRECT($P$2),COLUMN()-1,FALSE)*VLOOKUP($A85,Usinas!$C:$D,2,FALSE)</f>
        <v>8629.3647999999994</v>
      </c>
      <c r="O85" s="65">
        <f ca="1">VLOOKUP($A85,INDIRECT($P$2),COLUMN()-1,FALSE)*VLOOKUP($A85,Usinas!$C:$D,2,FALSE)</f>
        <v>11364.8238</v>
      </c>
    </row>
    <row r="86" spans="1:15" hidden="1" outlineLevel="1" x14ac:dyDescent="0.25">
      <c r="A86" s="18"/>
      <c r="B86" s="19" t="s">
        <v>56</v>
      </c>
      <c r="D86" s="66">
        <f t="shared" ref="D86:O86" ca="1" si="6">SUM(D84:D85)</f>
        <v>17121.722099999999</v>
      </c>
      <c r="E86" s="49">
        <f t="shared" ca="1" si="6"/>
        <v>18674.383099999999</v>
      </c>
      <c r="F86" s="49">
        <f t="shared" ca="1" si="6"/>
        <v>17407.363099999999</v>
      </c>
      <c r="G86" s="49">
        <f t="shared" ca="1" si="6"/>
        <v>13780.776099999999</v>
      </c>
      <c r="H86" s="49">
        <f t="shared" ca="1" si="6"/>
        <v>10906.8056</v>
      </c>
      <c r="I86" s="67">
        <f t="shared" ca="1" si="6"/>
        <v>10037.831699999999</v>
      </c>
      <c r="J86" s="66">
        <f t="shared" ca="1" si="6"/>
        <v>8475.2816000000003</v>
      </c>
      <c r="K86" s="49">
        <f t="shared" ca="1" si="6"/>
        <v>7132.8384000000005</v>
      </c>
      <c r="L86" s="49">
        <f t="shared" ca="1" si="6"/>
        <v>7151.2721999999994</v>
      </c>
      <c r="M86" s="49">
        <f t="shared" ca="1" si="6"/>
        <v>8549.2945</v>
      </c>
      <c r="N86" s="49">
        <f t="shared" ca="1" si="6"/>
        <v>9495.9567999999999</v>
      </c>
      <c r="O86" s="67">
        <f t="shared" ca="1" si="6"/>
        <v>12657.8619</v>
      </c>
    </row>
    <row r="87" spans="1:15" hidden="1" outlineLevel="1" x14ac:dyDescent="0.25">
      <c r="A87" s="20"/>
      <c r="B87" s="21" t="s">
        <v>0</v>
      </c>
      <c r="D87" s="68"/>
      <c r="E87" s="69"/>
      <c r="F87" s="69"/>
      <c r="G87" s="69"/>
      <c r="H87" s="69"/>
      <c r="I87" s="70"/>
      <c r="J87" s="68"/>
      <c r="K87" s="69"/>
      <c r="L87" s="69"/>
      <c r="M87" s="69"/>
      <c r="N87" s="69"/>
      <c r="O87" s="70"/>
    </row>
    <row r="88" spans="1:15" hidden="1" outlineLevel="1" x14ac:dyDescent="0.25">
      <c r="A88" s="1"/>
      <c r="B88" s="135"/>
      <c r="D88" s="50"/>
      <c r="E88" s="51"/>
      <c r="F88" s="51"/>
      <c r="G88" s="51"/>
      <c r="H88" s="51"/>
      <c r="I88" s="51"/>
      <c r="J88" s="50"/>
      <c r="K88" s="51"/>
      <c r="L88" s="51"/>
      <c r="M88" s="51"/>
      <c r="N88" s="51"/>
      <c r="O88" s="51"/>
    </row>
    <row r="89" spans="1:15" hidden="1" outlineLevel="1" x14ac:dyDescent="0.25">
      <c r="A89" s="63"/>
      <c r="B89" s="64"/>
      <c r="D89" s="329" t="s">
        <v>108</v>
      </c>
      <c r="E89" s="330" t="s">
        <v>58</v>
      </c>
      <c r="F89" s="330" t="s">
        <v>109</v>
      </c>
      <c r="G89" s="330"/>
      <c r="H89" s="330"/>
      <c r="I89" s="331"/>
      <c r="J89" s="329" t="s">
        <v>108</v>
      </c>
      <c r="K89" s="330" t="s">
        <v>58</v>
      </c>
      <c r="L89" s="330" t="s">
        <v>109</v>
      </c>
      <c r="M89" s="330"/>
      <c r="N89" s="330"/>
      <c r="O89" s="331"/>
    </row>
    <row r="90" spans="1:15" hidden="1" outlineLevel="2" x14ac:dyDescent="0.25">
      <c r="A90" s="61">
        <v>120</v>
      </c>
      <c r="B90" s="62" t="s">
        <v>110</v>
      </c>
      <c r="D90" s="65">
        <f ca="1">VLOOKUP($A90,INDIRECT($P$2),COLUMN()-1,FALSE)*VLOOKUP($A90,Usinas!$C:$D,2,FALSE)</f>
        <v>22.707000000000001</v>
      </c>
      <c r="E90" s="65">
        <f ca="1">VLOOKUP($A90,INDIRECT($P$2),COLUMN()-1,FALSE)*VLOOKUP($A90,Usinas!$C:$D,2,FALSE)</f>
        <v>24.220800000000004</v>
      </c>
      <c r="F90" s="65">
        <f ca="1">VLOOKUP($A90,INDIRECT($P$2),COLUMN()-1,FALSE)*VLOOKUP($A90,Usinas!$C:$D,2,FALSE)</f>
        <v>23.211600000000001</v>
      </c>
      <c r="G90" s="65">
        <f ca="1">VLOOKUP($A90,INDIRECT($P$2),COLUMN()-1,FALSE)*VLOOKUP($A90,Usinas!$C:$D,2,FALSE)</f>
        <v>17.156400000000001</v>
      </c>
      <c r="H90" s="65">
        <f ca="1">VLOOKUP($A90,INDIRECT($P$2),COLUMN()-1,FALSE)*VLOOKUP($A90,Usinas!$C:$D,2,FALSE)</f>
        <v>13.624200000000002</v>
      </c>
      <c r="I90" s="65">
        <f ca="1">VLOOKUP($A90,INDIRECT($P$2),COLUMN()-1,FALSE)*VLOOKUP($A90,Usinas!$C:$D,2,FALSE)</f>
        <v>12.110400000000002</v>
      </c>
      <c r="J90" s="65">
        <f ca="1">VLOOKUP($A90,INDIRECT($P$2),COLUMN()-1,FALSE)*VLOOKUP($A90,Usinas!$C:$D,2,FALSE)</f>
        <v>10.092000000000001</v>
      </c>
      <c r="K90" s="65">
        <f ca="1">VLOOKUP($A90,INDIRECT($P$2),COLUMN()-1,FALSE)*VLOOKUP($A90,Usinas!$C:$D,2,FALSE)</f>
        <v>8.5782000000000007</v>
      </c>
      <c r="L90" s="65">
        <f ca="1">VLOOKUP($A90,INDIRECT($P$2),COLUMN()-1,FALSE)*VLOOKUP($A90,Usinas!$C:$D,2,FALSE)</f>
        <v>9.0828000000000007</v>
      </c>
      <c r="M90" s="65">
        <f ca="1">VLOOKUP($A90,INDIRECT($P$2),COLUMN()-1,FALSE)*VLOOKUP($A90,Usinas!$C:$D,2,FALSE)</f>
        <v>10.092000000000001</v>
      </c>
      <c r="N90" s="65">
        <f ca="1">VLOOKUP($A90,INDIRECT($P$2),COLUMN()-1,FALSE)*VLOOKUP($A90,Usinas!$C:$D,2,FALSE)</f>
        <v>12.110400000000002</v>
      </c>
      <c r="O90" s="65">
        <f ca="1">VLOOKUP($A90,INDIRECT($P$2),COLUMN()-1,FALSE)*VLOOKUP($A90,Usinas!$C:$D,2,FALSE)</f>
        <v>17.156400000000001</v>
      </c>
    </row>
    <row r="91" spans="1:15" hidden="1" outlineLevel="2" x14ac:dyDescent="0.25">
      <c r="A91" s="61">
        <v>121</v>
      </c>
      <c r="B91" s="62" t="s">
        <v>111</v>
      </c>
      <c r="D91" s="65">
        <f ca="1">VLOOKUP($A91,INDIRECT($P$2),COLUMN()-1,FALSE)*VLOOKUP($A91,Usinas!$C:$D,2,FALSE)</f>
        <v>74.932100000000005</v>
      </c>
      <c r="E91" s="65">
        <f ca="1">VLOOKUP($A91,INDIRECT($P$2),COLUMN()-1,FALSE)*VLOOKUP($A91,Usinas!$C:$D,2,FALSE)</f>
        <v>79.133899999999997</v>
      </c>
      <c r="F91" s="65">
        <f ca="1">VLOOKUP($A91,INDIRECT($P$2),COLUMN()-1,FALSE)*VLOOKUP($A91,Usinas!$C:$D,2,FALSE)</f>
        <v>72.130899999999997</v>
      </c>
      <c r="G91" s="65">
        <f ca="1">VLOOKUP($A91,INDIRECT($P$2),COLUMN()-1,FALSE)*VLOOKUP($A91,Usinas!$C:$D,2,FALSE)</f>
        <v>56.024000000000001</v>
      </c>
      <c r="H91" s="65">
        <f ca="1">VLOOKUP($A91,INDIRECT($P$2),COLUMN()-1,FALSE)*VLOOKUP($A91,Usinas!$C:$D,2,FALSE)</f>
        <v>43.418600000000005</v>
      </c>
      <c r="I91" s="65">
        <f ca="1">VLOOKUP($A91,INDIRECT($P$2),COLUMN()-1,FALSE)*VLOOKUP($A91,Usinas!$C:$D,2,FALSE)</f>
        <v>38.516500000000001</v>
      </c>
      <c r="J91" s="65">
        <f ca="1">VLOOKUP($A91,INDIRECT($P$2),COLUMN()-1,FALSE)*VLOOKUP($A91,Usinas!$C:$D,2,FALSE)</f>
        <v>33.614400000000003</v>
      </c>
      <c r="K91" s="65">
        <f ca="1">VLOOKUP($A91,INDIRECT($P$2),COLUMN()-1,FALSE)*VLOOKUP($A91,Usinas!$C:$D,2,FALSE)</f>
        <v>29.412600000000001</v>
      </c>
      <c r="L91" s="65">
        <f ca="1">VLOOKUP($A91,INDIRECT($P$2),COLUMN()-1,FALSE)*VLOOKUP($A91,Usinas!$C:$D,2,FALSE)</f>
        <v>31.513500000000001</v>
      </c>
      <c r="M91" s="65">
        <f ca="1">VLOOKUP($A91,INDIRECT($P$2),COLUMN()-1,FALSE)*VLOOKUP($A91,Usinas!$C:$D,2,FALSE)</f>
        <v>35.715299999999999</v>
      </c>
      <c r="N91" s="65">
        <f ca="1">VLOOKUP($A91,INDIRECT($P$2),COLUMN()-1,FALSE)*VLOOKUP($A91,Usinas!$C:$D,2,FALSE)</f>
        <v>41.317700000000002</v>
      </c>
      <c r="O91" s="65">
        <f ca="1">VLOOKUP($A91,INDIRECT($P$2),COLUMN()-1,FALSE)*VLOOKUP($A91,Usinas!$C:$D,2,FALSE)</f>
        <v>56.024000000000001</v>
      </c>
    </row>
    <row r="92" spans="1:15" hidden="1" outlineLevel="2" x14ac:dyDescent="0.25">
      <c r="A92" s="61">
        <v>122</v>
      </c>
      <c r="B92" s="62" t="s">
        <v>112</v>
      </c>
      <c r="D92" s="65">
        <f ca="1">VLOOKUP($A92,INDIRECT($P$2),COLUMN()-1,FALSE)*VLOOKUP($A92,Usinas!$C:$D,2,FALSE)</f>
        <v>42.6404</v>
      </c>
      <c r="E92" s="65">
        <f ca="1">VLOOKUP($A92,INDIRECT($P$2),COLUMN()-1,FALSE)*VLOOKUP($A92,Usinas!$C:$D,2,FALSE)</f>
        <v>45.811999999999998</v>
      </c>
      <c r="F92" s="65">
        <f ca="1">VLOOKUP($A92,INDIRECT($P$2),COLUMN()-1,FALSE)*VLOOKUP($A92,Usinas!$C:$D,2,FALSE)</f>
        <v>41.230800000000002</v>
      </c>
      <c r="G92" s="65">
        <f ca="1">VLOOKUP($A92,INDIRECT($P$2),COLUMN()-1,FALSE)*VLOOKUP($A92,Usinas!$C:$D,2,FALSE)</f>
        <v>32.068399999999997</v>
      </c>
      <c r="H92" s="65">
        <f ca="1">VLOOKUP($A92,INDIRECT($P$2),COLUMN()-1,FALSE)*VLOOKUP($A92,Usinas!$C:$D,2,FALSE)</f>
        <v>25.020399999999999</v>
      </c>
      <c r="I92" s="65">
        <f ca="1">VLOOKUP($A92,INDIRECT($P$2),COLUMN()-1,FALSE)*VLOOKUP($A92,Usinas!$C:$D,2,FALSE)</f>
        <v>22.2012</v>
      </c>
      <c r="J92" s="65">
        <f ca="1">VLOOKUP($A92,INDIRECT($P$2),COLUMN()-1,FALSE)*VLOOKUP($A92,Usinas!$C:$D,2,FALSE)</f>
        <v>19.381999999999998</v>
      </c>
      <c r="K92" s="65">
        <f ca="1">VLOOKUP($A92,INDIRECT($P$2),COLUMN()-1,FALSE)*VLOOKUP($A92,Usinas!$C:$D,2,FALSE)</f>
        <v>16.915199999999999</v>
      </c>
      <c r="L92" s="65">
        <f ca="1">VLOOKUP($A92,INDIRECT($P$2),COLUMN()-1,FALSE)*VLOOKUP($A92,Usinas!$C:$D,2,FALSE)</f>
        <v>18.3248</v>
      </c>
      <c r="M92" s="65">
        <f ca="1">VLOOKUP($A92,INDIRECT($P$2),COLUMN()-1,FALSE)*VLOOKUP($A92,Usinas!$C:$D,2,FALSE)</f>
        <v>20.4392</v>
      </c>
      <c r="N92" s="65">
        <f ca="1">VLOOKUP($A92,INDIRECT($P$2),COLUMN()-1,FALSE)*VLOOKUP($A92,Usinas!$C:$D,2,FALSE)</f>
        <v>23.610800000000001</v>
      </c>
      <c r="O92" s="65">
        <f ca="1">VLOOKUP($A92,INDIRECT($P$2),COLUMN()-1,FALSE)*VLOOKUP($A92,Usinas!$C:$D,2,FALSE)</f>
        <v>31.715999999999998</v>
      </c>
    </row>
    <row r="93" spans="1:15" hidden="1" outlineLevel="2" x14ac:dyDescent="0.25">
      <c r="A93" s="61">
        <v>123</v>
      </c>
      <c r="B93" s="62" t="s">
        <v>113</v>
      </c>
      <c r="D93" s="65">
        <f ca="1">VLOOKUP($A93,INDIRECT($P$2),COLUMN()-1,FALSE)*VLOOKUP($A93,Usinas!$C:$D,2,FALSE)</f>
        <v>203.49139999999997</v>
      </c>
      <c r="E93" s="65">
        <f ca="1">VLOOKUP($A93,INDIRECT($P$2),COLUMN()-1,FALSE)*VLOOKUP($A93,Usinas!$C:$D,2,FALSE)</f>
        <v>215.21079999999998</v>
      </c>
      <c r="F93" s="65">
        <f ca="1">VLOOKUP($A93,INDIRECT($P$2),COLUMN()-1,FALSE)*VLOOKUP($A93,Usinas!$C:$D,2,FALSE)</f>
        <v>206.68759999999997</v>
      </c>
      <c r="G93" s="65">
        <f ca="1">VLOOKUP($A93,INDIRECT($P$2),COLUMN()-1,FALSE)*VLOOKUP($A93,Usinas!$C:$D,2,FALSE)</f>
        <v>147.55789999999999</v>
      </c>
      <c r="H93" s="65">
        <f ca="1">VLOOKUP($A93,INDIRECT($P$2),COLUMN()-1,FALSE)*VLOOKUP($A93,Usinas!$C:$D,2,FALSE)</f>
        <v>102.8111</v>
      </c>
      <c r="I93" s="65">
        <f ca="1">VLOOKUP($A93,INDIRECT($P$2),COLUMN()-1,FALSE)*VLOOKUP($A93,Usinas!$C:$D,2,FALSE)</f>
        <v>88.960899999999995</v>
      </c>
      <c r="J93" s="65">
        <f ca="1">VLOOKUP($A93,INDIRECT($P$2),COLUMN()-1,FALSE)*VLOOKUP($A93,Usinas!$C:$D,2,FALSE)</f>
        <v>75.6434</v>
      </c>
      <c r="K93" s="65">
        <f ca="1">VLOOKUP($A93,INDIRECT($P$2),COLUMN()-1,FALSE)*VLOOKUP($A93,Usinas!$C:$D,2,FALSE)</f>
        <v>64.456699999999998</v>
      </c>
      <c r="L93" s="65">
        <f ca="1">VLOOKUP($A93,INDIRECT($P$2),COLUMN()-1,FALSE)*VLOOKUP($A93,Usinas!$C:$D,2,FALSE)</f>
        <v>67.120199999999997</v>
      </c>
      <c r="M93" s="65">
        <f ca="1">VLOOKUP($A93,INDIRECT($P$2),COLUMN()-1,FALSE)*VLOOKUP($A93,Usinas!$C:$D,2,FALSE)</f>
        <v>79.904999999999987</v>
      </c>
      <c r="N93" s="65">
        <f ca="1">VLOOKUP($A93,INDIRECT($P$2),COLUMN()-1,FALSE)*VLOOKUP($A93,Usinas!$C:$D,2,FALSE)</f>
        <v>99.614899999999992</v>
      </c>
      <c r="O93" s="65">
        <f ca="1">VLOOKUP($A93,INDIRECT($P$2),COLUMN()-1,FALSE)*VLOOKUP($A93,Usinas!$C:$D,2,FALSE)</f>
        <v>143.82899999999998</v>
      </c>
    </row>
    <row r="94" spans="1:15" hidden="1" outlineLevel="2" x14ac:dyDescent="0.25">
      <c r="A94" s="61">
        <v>197</v>
      </c>
      <c r="B94" s="62" t="s">
        <v>114</v>
      </c>
      <c r="D94" s="65">
        <f ca="1">VLOOKUP($A94,INDIRECT($P$2),COLUMN()-1,FALSE)*VLOOKUP($A94,Usinas!$C:$D,2,FALSE)</f>
        <v>71.850999999999999</v>
      </c>
      <c r="E94" s="65">
        <f ca="1">VLOOKUP($A94,INDIRECT($P$2),COLUMN()-1,FALSE)*VLOOKUP($A94,Usinas!$C:$D,2,FALSE)</f>
        <v>70.745599999999996</v>
      </c>
      <c r="F94" s="65">
        <f ca="1">VLOOKUP($A94,INDIRECT($P$2),COLUMN()-1,FALSE)*VLOOKUP($A94,Usinas!$C:$D,2,FALSE)</f>
        <v>64.113199999999992</v>
      </c>
      <c r="G94" s="65">
        <f ca="1">VLOOKUP($A94,INDIRECT($P$2),COLUMN()-1,FALSE)*VLOOKUP($A94,Usinas!$C:$D,2,FALSE)</f>
        <v>47.532199999999996</v>
      </c>
      <c r="H94" s="65">
        <f ca="1">VLOOKUP($A94,INDIRECT($P$2),COLUMN()-1,FALSE)*VLOOKUP($A94,Usinas!$C:$D,2,FALSE)</f>
        <v>36.478200000000001</v>
      </c>
      <c r="I94" s="65">
        <f ca="1">VLOOKUP($A94,INDIRECT($P$2),COLUMN()-1,FALSE)*VLOOKUP($A94,Usinas!$C:$D,2,FALSE)</f>
        <v>32.056599999999996</v>
      </c>
      <c r="J94" s="65">
        <f ca="1">VLOOKUP($A94,INDIRECT($P$2),COLUMN()-1,FALSE)*VLOOKUP($A94,Usinas!$C:$D,2,FALSE)</f>
        <v>27.634999999999998</v>
      </c>
      <c r="K94" s="65">
        <f ca="1">VLOOKUP($A94,INDIRECT($P$2),COLUMN()-1,FALSE)*VLOOKUP($A94,Usinas!$C:$D,2,FALSE)</f>
        <v>24.3188</v>
      </c>
      <c r="L94" s="65">
        <f ca="1">VLOOKUP($A94,INDIRECT($P$2),COLUMN()-1,FALSE)*VLOOKUP($A94,Usinas!$C:$D,2,FALSE)</f>
        <v>24.3188</v>
      </c>
      <c r="M94" s="65">
        <f ca="1">VLOOKUP($A94,INDIRECT($P$2),COLUMN()-1,FALSE)*VLOOKUP($A94,Usinas!$C:$D,2,FALSE)</f>
        <v>27.634999999999998</v>
      </c>
      <c r="N94" s="65">
        <f ca="1">VLOOKUP($A94,INDIRECT($P$2),COLUMN()-1,FALSE)*VLOOKUP($A94,Usinas!$C:$D,2,FALSE)</f>
        <v>37.583599999999997</v>
      </c>
      <c r="O94" s="65">
        <f ca="1">VLOOKUP($A94,INDIRECT($P$2),COLUMN()-1,FALSE)*VLOOKUP($A94,Usinas!$C:$D,2,FALSE)</f>
        <v>54.1646</v>
      </c>
    </row>
    <row r="95" spans="1:15" hidden="1" outlineLevel="2" x14ac:dyDescent="0.25">
      <c r="A95" s="61">
        <v>198</v>
      </c>
      <c r="B95" s="62" t="s">
        <v>115</v>
      </c>
      <c r="D95" s="65">
        <f ca="1">VLOOKUP($A95,INDIRECT($P$2),COLUMN()-1,FALSE)*VLOOKUP($A95,Usinas!$C:$D,2,FALSE)</f>
        <v>80.650800000000004</v>
      </c>
      <c r="E95" s="65">
        <f ca="1">VLOOKUP($A95,INDIRECT($P$2),COLUMN()-1,FALSE)*VLOOKUP($A95,Usinas!$C:$D,2,FALSE)</f>
        <v>78.149999999999991</v>
      </c>
      <c r="F95" s="65">
        <f ca="1">VLOOKUP($A95,INDIRECT($P$2),COLUMN()-1,FALSE)*VLOOKUP($A95,Usinas!$C:$D,2,FALSE)</f>
        <v>71.272800000000004</v>
      </c>
      <c r="G95" s="65">
        <f ca="1">VLOOKUP($A95,INDIRECT($P$2),COLUMN()-1,FALSE)*VLOOKUP($A95,Usinas!$C:$D,2,FALSE)</f>
        <v>52.516799999999996</v>
      </c>
      <c r="H95" s="65">
        <f ca="1">VLOOKUP($A95,INDIRECT($P$2),COLUMN()-1,FALSE)*VLOOKUP($A95,Usinas!$C:$D,2,FALSE)</f>
        <v>40.637999999999998</v>
      </c>
      <c r="I95" s="65">
        <f ca="1">VLOOKUP($A95,INDIRECT($P$2),COLUMN()-1,FALSE)*VLOOKUP($A95,Usinas!$C:$D,2,FALSE)</f>
        <v>35.011200000000002</v>
      </c>
      <c r="J95" s="65">
        <f ca="1">VLOOKUP($A95,INDIRECT($P$2),COLUMN()-1,FALSE)*VLOOKUP($A95,Usinas!$C:$D,2,FALSE)</f>
        <v>30.634799999999998</v>
      </c>
      <c r="K95" s="65">
        <f ca="1">VLOOKUP($A95,INDIRECT($P$2),COLUMN()-1,FALSE)*VLOOKUP($A95,Usinas!$C:$D,2,FALSE)</f>
        <v>27.508800000000001</v>
      </c>
      <c r="L95" s="65">
        <f ca="1">VLOOKUP($A95,INDIRECT($P$2),COLUMN()-1,FALSE)*VLOOKUP($A95,Usinas!$C:$D,2,FALSE)</f>
        <v>27.508800000000001</v>
      </c>
      <c r="M95" s="65">
        <f ca="1">VLOOKUP($A95,INDIRECT($P$2),COLUMN()-1,FALSE)*VLOOKUP($A95,Usinas!$C:$D,2,FALSE)</f>
        <v>31.885199999999998</v>
      </c>
      <c r="N95" s="65">
        <f ca="1">VLOOKUP($A95,INDIRECT($P$2),COLUMN()-1,FALSE)*VLOOKUP($A95,Usinas!$C:$D,2,FALSE)</f>
        <v>43.763999999999996</v>
      </c>
      <c r="O95" s="65">
        <f ca="1">VLOOKUP($A95,INDIRECT($P$2),COLUMN()-1,FALSE)*VLOOKUP($A95,Usinas!$C:$D,2,FALSE)</f>
        <v>63.770399999999995</v>
      </c>
    </row>
    <row r="96" spans="1:15" hidden="1" outlineLevel="2" x14ac:dyDescent="0.25">
      <c r="A96" s="61">
        <v>126</v>
      </c>
      <c r="B96" s="62" t="s">
        <v>116</v>
      </c>
      <c r="D96" s="65">
        <f ca="1">VLOOKUP($A96,INDIRECT($P$2),COLUMN()-1,FALSE)*VLOOKUP($A96,Usinas!$C:$D,2,FALSE)</f>
        <v>304.21999999999997</v>
      </c>
      <c r="E96" s="65">
        <f ca="1">VLOOKUP($A96,INDIRECT($P$2),COLUMN()-1,FALSE)*VLOOKUP($A96,Usinas!$C:$D,2,FALSE)</f>
        <v>303.29250000000002</v>
      </c>
      <c r="F96" s="65">
        <f ca="1">VLOOKUP($A96,INDIRECT($P$2),COLUMN()-1,FALSE)*VLOOKUP($A96,Usinas!$C:$D,2,FALSE)</f>
        <v>307.0025</v>
      </c>
      <c r="G96" s="65">
        <f ca="1">VLOOKUP($A96,INDIRECT($P$2),COLUMN()-1,FALSE)*VLOOKUP($A96,Usinas!$C:$D,2,FALSE)</f>
        <v>275.46749999999997</v>
      </c>
      <c r="H96" s="65">
        <f ca="1">VLOOKUP($A96,INDIRECT($P$2),COLUMN()-1,FALSE)*VLOOKUP($A96,Usinas!$C:$D,2,FALSE)</f>
        <v>202.19499999999999</v>
      </c>
      <c r="I96" s="65">
        <f ca="1">VLOOKUP($A96,INDIRECT($P$2),COLUMN()-1,FALSE)*VLOOKUP($A96,Usinas!$C:$D,2,FALSE)</f>
        <v>151.1825</v>
      </c>
      <c r="J96" s="65">
        <f ca="1">VLOOKUP($A96,INDIRECT($P$2),COLUMN()-1,FALSE)*VLOOKUP($A96,Usinas!$C:$D,2,FALSE)</f>
        <v>116.86499999999999</v>
      </c>
      <c r="K96" s="65">
        <f ca="1">VLOOKUP($A96,INDIRECT($P$2),COLUMN()-1,FALSE)*VLOOKUP($A96,Usinas!$C:$D,2,FALSE)</f>
        <v>87.185000000000002</v>
      </c>
      <c r="L96" s="65">
        <f ca="1">VLOOKUP($A96,INDIRECT($P$2),COLUMN()-1,FALSE)*VLOOKUP($A96,Usinas!$C:$D,2,FALSE)</f>
        <v>87.185000000000002</v>
      </c>
      <c r="M96" s="65">
        <f ca="1">VLOOKUP($A96,INDIRECT($P$2),COLUMN()-1,FALSE)*VLOOKUP($A96,Usinas!$C:$D,2,FALSE)</f>
        <v>120.575</v>
      </c>
      <c r="N96" s="65">
        <f ca="1">VLOOKUP($A96,INDIRECT($P$2),COLUMN()-1,FALSE)*VLOOKUP($A96,Usinas!$C:$D,2,FALSE)</f>
        <v>197.5575</v>
      </c>
      <c r="O96" s="65">
        <f ca="1">VLOOKUP($A96,INDIRECT($P$2),COLUMN()-1,FALSE)*VLOOKUP($A96,Usinas!$C:$D,2,FALSE)</f>
        <v>282.88749999999999</v>
      </c>
    </row>
    <row r="97" spans="1:15" hidden="1" outlineLevel="2" x14ac:dyDescent="0.25">
      <c r="A97" s="61">
        <v>303</v>
      </c>
      <c r="B97" s="62" t="s">
        <v>117</v>
      </c>
      <c r="D97" s="65">
        <f ca="1">VLOOKUP($A97,INDIRECT($P$2),COLUMN()-1,FALSE)*VLOOKUP($A97,Usinas!$C:$D,2,FALSE)</f>
        <v>116.357</v>
      </c>
      <c r="E97" s="65">
        <f ca="1">VLOOKUP($A97,INDIRECT($P$2),COLUMN()-1,FALSE)*VLOOKUP($A97,Usinas!$C:$D,2,FALSE)</f>
        <v>116.357</v>
      </c>
      <c r="F97" s="65">
        <f ca="1">VLOOKUP($A97,INDIRECT($P$2),COLUMN()-1,FALSE)*VLOOKUP($A97,Usinas!$C:$D,2,FALSE)</f>
        <v>116.357</v>
      </c>
      <c r="G97" s="65">
        <f ca="1">VLOOKUP($A97,INDIRECT($P$2),COLUMN()-1,FALSE)*VLOOKUP($A97,Usinas!$C:$D,2,FALSE)</f>
        <v>103.70950000000001</v>
      </c>
      <c r="H97" s="65">
        <f ca="1">VLOOKUP($A97,INDIRECT($P$2),COLUMN()-1,FALSE)*VLOOKUP($A97,Usinas!$C:$D,2,FALSE)</f>
        <v>70.826000000000008</v>
      </c>
      <c r="I97" s="65">
        <f ca="1">VLOOKUP($A97,INDIRECT($P$2),COLUMN()-1,FALSE)*VLOOKUP($A97,Usinas!$C:$D,2,FALSE)</f>
        <v>45.530999999999999</v>
      </c>
      <c r="J97" s="65">
        <f ca="1">VLOOKUP($A97,INDIRECT($P$2),COLUMN()-1,FALSE)*VLOOKUP($A97,Usinas!$C:$D,2,FALSE)</f>
        <v>30.353999999999999</v>
      </c>
      <c r="K97" s="65">
        <f ca="1">VLOOKUP($A97,INDIRECT($P$2),COLUMN()-1,FALSE)*VLOOKUP($A97,Usinas!$C:$D,2,FALSE)</f>
        <v>22.765499999999999</v>
      </c>
      <c r="L97" s="65">
        <f ca="1">VLOOKUP($A97,INDIRECT($P$2),COLUMN()-1,FALSE)*VLOOKUP($A97,Usinas!$C:$D,2,FALSE)</f>
        <v>25.295000000000002</v>
      </c>
      <c r="M97" s="65">
        <f ca="1">VLOOKUP($A97,INDIRECT($P$2),COLUMN()-1,FALSE)*VLOOKUP($A97,Usinas!$C:$D,2,FALSE)</f>
        <v>37.942500000000003</v>
      </c>
      <c r="N97" s="65">
        <f ca="1">VLOOKUP($A97,INDIRECT($P$2),COLUMN()-1,FALSE)*VLOOKUP($A97,Usinas!$C:$D,2,FALSE)</f>
        <v>65.766999999999996</v>
      </c>
      <c r="O97" s="65">
        <f ca="1">VLOOKUP($A97,INDIRECT($P$2),COLUMN()-1,FALSE)*VLOOKUP($A97,Usinas!$C:$D,2,FALSE)</f>
        <v>103.70950000000001</v>
      </c>
    </row>
    <row r="98" spans="1:15" hidden="1" outlineLevel="2" x14ac:dyDescent="0.25">
      <c r="A98" s="61">
        <v>131</v>
      </c>
      <c r="B98" s="62" t="s">
        <v>118</v>
      </c>
      <c r="D98" s="65">
        <f ca="1">VLOOKUP($A98,INDIRECT($P$2),COLUMN()-1,FALSE)*VLOOKUP($A98,Usinas!$C:$D,2,FALSE)</f>
        <v>379.15199999999999</v>
      </c>
      <c r="E98" s="65">
        <f ca="1">VLOOKUP($A98,INDIRECT($P$2),COLUMN()-1,FALSE)*VLOOKUP($A98,Usinas!$C:$D,2,FALSE)</f>
        <v>376.51900000000001</v>
      </c>
      <c r="F98" s="65">
        <f ca="1">VLOOKUP($A98,INDIRECT($P$2),COLUMN()-1,FALSE)*VLOOKUP($A98,Usinas!$C:$D,2,FALSE)</f>
        <v>379.15199999999999</v>
      </c>
      <c r="G98" s="65">
        <f ca="1">VLOOKUP($A98,INDIRECT($P$2),COLUMN()-1,FALSE)*VLOOKUP($A98,Usinas!$C:$D,2,FALSE)</f>
        <v>376.51900000000001</v>
      </c>
      <c r="H98" s="65">
        <f ca="1">VLOOKUP($A98,INDIRECT($P$2),COLUMN()-1,FALSE)*VLOOKUP($A98,Usinas!$C:$D,2,FALSE)</f>
        <v>355.45499999999998</v>
      </c>
      <c r="I98" s="65">
        <f ca="1">VLOOKUP($A98,INDIRECT($P$2),COLUMN()-1,FALSE)*VLOOKUP($A98,Usinas!$C:$D,2,FALSE)</f>
        <v>321.226</v>
      </c>
      <c r="J98" s="65">
        <f ca="1">VLOOKUP($A98,INDIRECT($P$2),COLUMN()-1,FALSE)*VLOOKUP($A98,Usinas!$C:$D,2,FALSE)</f>
        <v>289.63</v>
      </c>
      <c r="K98" s="65">
        <f ca="1">VLOOKUP($A98,INDIRECT($P$2),COLUMN()-1,FALSE)*VLOOKUP($A98,Usinas!$C:$D,2,FALSE)</f>
        <v>252.768</v>
      </c>
      <c r="L98" s="65">
        <f ca="1">VLOOKUP($A98,INDIRECT($P$2),COLUMN()-1,FALSE)*VLOOKUP($A98,Usinas!$C:$D,2,FALSE)</f>
        <v>255.40100000000001</v>
      </c>
      <c r="M98" s="65">
        <f ca="1">VLOOKUP($A98,INDIRECT($P$2),COLUMN()-1,FALSE)*VLOOKUP($A98,Usinas!$C:$D,2,FALSE)</f>
        <v>294.89600000000002</v>
      </c>
      <c r="N98" s="65">
        <f ca="1">VLOOKUP($A98,INDIRECT($P$2),COLUMN()-1,FALSE)*VLOOKUP($A98,Usinas!$C:$D,2,FALSE)</f>
        <v>344.923</v>
      </c>
      <c r="O98" s="65">
        <f ca="1">VLOOKUP($A98,INDIRECT($P$2),COLUMN()-1,FALSE)*VLOOKUP($A98,Usinas!$C:$D,2,FALSE)</f>
        <v>373.88600000000002</v>
      </c>
    </row>
    <row r="99" spans="1:15" hidden="1" outlineLevel="2" x14ac:dyDescent="0.25">
      <c r="A99" s="61">
        <v>306</v>
      </c>
      <c r="B99" s="62" t="s">
        <v>119</v>
      </c>
      <c r="D99" s="65">
        <f ca="1">VLOOKUP($A99,INDIRECT($P$2),COLUMN()-1,FALSE)*VLOOKUP($A99,Usinas!$C:$D,2,FALSE)</f>
        <v>59.660000000000004</v>
      </c>
      <c r="E99" s="65">
        <f ca="1">VLOOKUP($A99,INDIRECT($P$2),COLUMN()-1,FALSE)*VLOOKUP($A99,Usinas!$C:$D,2,FALSE)</f>
        <v>59.346000000000004</v>
      </c>
      <c r="F99" s="65">
        <f ca="1">VLOOKUP($A99,INDIRECT($P$2),COLUMN()-1,FALSE)*VLOOKUP($A99,Usinas!$C:$D,2,FALSE)</f>
        <v>59.660000000000004</v>
      </c>
      <c r="G99" s="65">
        <f ca="1">VLOOKUP($A99,INDIRECT($P$2),COLUMN()-1,FALSE)*VLOOKUP($A99,Usinas!$C:$D,2,FALSE)</f>
        <v>57.776000000000003</v>
      </c>
      <c r="H99" s="65">
        <f ca="1">VLOOKUP($A99,INDIRECT($P$2),COLUMN()-1,FALSE)*VLOOKUP($A99,Usinas!$C:$D,2,FALSE)</f>
        <v>51.182000000000002</v>
      </c>
      <c r="I99" s="65">
        <f ca="1">VLOOKUP($A99,INDIRECT($P$2),COLUMN()-1,FALSE)*VLOOKUP($A99,Usinas!$C:$D,2,FALSE)</f>
        <v>43.96</v>
      </c>
      <c r="J99" s="65">
        <f ca="1">VLOOKUP($A99,INDIRECT($P$2),COLUMN()-1,FALSE)*VLOOKUP($A99,Usinas!$C:$D,2,FALSE)</f>
        <v>38.308</v>
      </c>
      <c r="K99" s="65">
        <f ca="1">VLOOKUP($A99,INDIRECT($P$2),COLUMN()-1,FALSE)*VLOOKUP($A99,Usinas!$C:$D,2,FALSE)</f>
        <v>33.283999999999999</v>
      </c>
      <c r="L99" s="65">
        <f ca="1">VLOOKUP($A99,INDIRECT($P$2),COLUMN()-1,FALSE)*VLOOKUP($A99,Usinas!$C:$D,2,FALSE)</f>
        <v>33.597999999999999</v>
      </c>
      <c r="M99" s="65">
        <f ca="1">VLOOKUP($A99,INDIRECT($P$2),COLUMN()-1,FALSE)*VLOOKUP($A99,Usinas!$C:$D,2,FALSE)</f>
        <v>39.878</v>
      </c>
      <c r="N99" s="65">
        <f ca="1">VLOOKUP($A99,INDIRECT($P$2),COLUMN()-1,FALSE)*VLOOKUP($A99,Usinas!$C:$D,2,FALSE)</f>
        <v>49.298000000000002</v>
      </c>
      <c r="O99" s="65">
        <f ca="1">VLOOKUP($A99,INDIRECT($P$2),COLUMN()-1,FALSE)*VLOOKUP($A99,Usinas!$C:$D,2,FALSE)</f>
        <v>57.462000000000003</v>
      </c>
    </row>
    <row r="100" spans="1:15" hidden="1" outlineLevel="2" x14ac:dyDescent="0.25">
      <c r="A100" s="61">
        <v>299</v>
      </c>
      <c r="B100" s="62" t="s">
        <v>120</v>
      </c>
      <c r="D100" s="65">
        <f ca="1">VLOOKUP($A100,INDIRECT($P$2),COLUMN()-1,FALSE)*VLOOKUP($A100,Usinas!$C:$D,2,FALSE)</f>
        <v>230.07319999999999</v>
      </c>
      <c r="E100" s="65">
        <f ca="1">VLOOKUP($A100,INDIRECT($P$2),COLUMN()-1,FALSE)*VLOOKUP($A100,Usinas!$C:$D,2,FALSE)</f>
        <v>230.84959999999998</v>
      </c>
      <c r="F100" s="65">
        <f ca="1">VLOOKUP($A100,INDIRECT($P$2),COLUMN()-1,FALSE)*VLOOKUP($A100,Usinas!$C:$D,2,FALSE)</f>
        <v>212.73359999999997</v>
      </c>
      <c r="G100" s="65">
        <f ca="1">VLOOKUP($A100,INDIRECT($P$2),COLUMN()-1,FALSE)*VLOOKUP($A100,Usinas!$C:$D,2,FALSE)</f>
        <v>142.59879999999998</v>
      </c>
      <c r="H100" s="65">
        <f ca="1">VLOOKUP($A100,INDIRECT($P$2),COLUMN()-1,FALSE)*VLOOKUP($A100,Usinas!$C:$D,2,FALSE)</f>
        <v>93.685599999999994</v>
      </c>
      <c r="I100" s="65">
        <f ca="1">VLOOKUP($A100,INDIRECT($P$2),COLUMN()-1,FALSE)*VLOOKUP($A100,Usinas!$C:$D,2,FALSE)</f>
        <v>77.898799999999994</v>
      </c>
      <c r="J100" s="65">
        <f ca="1">VLOOKUP($A100,INDIRECT($P$2),COLUMN()-1,FALSE)*VLOOKUP($A100,Usinas!$C:$D,2,FALSE)</f>
        <v>64.699999999999989</v>
      </c>
      <c r="K100" s="65">
        <f ca="1">VLOOKUP($A100,INDIRECT($P$2),COLUMN()-1,FALSE)*VLOOKUP($A100,Usinas!$C:$D,2,FALSE)</f>
        <v>54.865599999999993</v>
      </c>
      <c r="L100" s="65">
        <f ca="1">VLOOKUP($A100,INDIRECT($P$2),COLUMN()-1,FALSE)*VLOOKUP($A100,Usinas!$C:$D,2,FALSE)</f>
        <v>56.159599999999998</v>
      </c>
      <c r="M100" s="65">
        <f ca="1">VLOOKUP($A100,INDIRECT($P$2),COLUMN()-1,FALSE)*VLOOKUP($A100,Usinas!$C:$D,2,FALSE)</f>
        <v>67.029199999999989</v>
      </c>
      <c r="N100" s="65">
        <f ca="1">VLOOKUP($A100,INDIRECT($P$2),COLUMN()-1,FALSE)*VLOOKUP($A100,Usinas!$C:$D,2,FALSE)</f>
        <v>94.979599999999991</v>
      </c>
      <c r="O100" s="65">
        <f ca="1">VLOOKUP($A100,INDIRECT($P$2),COLUMN()-1,FALSE)*VLOOKUP($A100,Usinas!$C:$D,2,FALSE)</f>
        <v>155.79759999999999</v>
      </c>
    </row>
    <row r="101" spans="1:15" hidden="1" outlineLevel="1" x14ac:dyDescent="0.25">
      <c r="A101" s="18"/>
      <c r="B101" s="19" t="s">
        <v>56</v>
      </c>
      <c r="D101" s="66">
        <f t="shared" ref="D101:O101" ca="1" si="7">SUM(D90:D100)</f>
        <v>1585.7349000000002</v>
      </c>
      <c r="E101" s="49">
        <f t="shared" ca="1" si="7"/>
        <v>1599.6371999999999</v>
      </c>
      <c r="F101" s="49">
        <f t="shared" ca="1" si="7"/>
        <v>1553.5520000000001</v>
      </c>
      <c r="G101" s="49">
        <f t="shared" ca="1" si="7"/>
        <v>1308.9265</v>
      </c>
      <c r="H101" s="49">
        <f t="shared" ca="1" si="7"/>
        <v>1035.3341</v>
      </c>
      <c r="I101" s="67">
        <f t="shared" ca="1" si="7"/>
        <v>868.65509999999995</v>
      </c>
      <c r="J101" s="66">
        <f t="shared" ca="1" si="7"/>
        <v>736.85860000000002</v>
      </c>
      <c r="K101" s="49">
        <f t="shared" ca="1" si="7"/>
        <v>622.05840000000001</v>
      </c>
      <c r="L101" s="49">
        <f t="shared" ca="1" si="7"/>
        <v>635.50749999999994</v>
      </c>
      <c r="M101" s="49">
        <f t="shared" ca="1" si="7"/>
        <v>765.99239999999998</v>
      </c>
      <c r="N101" s="49">
        <f t="shared" ca="1" si="7"/>
        <v>1010.5265000000001</v>
      </c>
      <c r="O101" s="67">
        <f t="shared" ca="1" si="7"/>
        <v>1340.4030000000002</v>
      </c>
    </row>
    <row r="102" spans="1:15" hidden="1" outlineLevel="1" x14ac:dyDescent="0.25">
      <c r="A102" s="20"/>
      <c r="B102" s="21" t="s">
        <v>0</v>
      </c>
      <c r="D102" s="68"/>
      <c r="E102" s="69"/>
      <c r="F102" s="69"/>
      <c r="G102" s="69"/>
      <c r="H102" s="69"/>
      <c r="I102" s="70"/>
      <c r="J102" s="68"/>
      <c r="K102" s="69"/>
      <c r="L102" s="69"/>
      <c r="M102" s="69"/>
      <c r="N102" s="69"/>
      <c r="O102" s="70"/>
    </row>
    <row r="103" spans="1:15" hidden="1" outlineLevel="1" x14ac:dyDescent="0.25">
      <c r="A103" s="1"/>
      <c r="B103" s="135"/>
      <c r="D103" s="50"/>
      <c r="E103" s="51"/>
      <c r="F103" s="51"/>
      <c r="G103" s="51"/>
      <c r="H103" s="51"/>
      <c r="I103" s="51"/>
      <c r="J103" s="50"/>
      <c r="K103" s="51"/>
      <c r="L103" s="51"/>
      <c r="M103" s="51"/>
      <c r="N103" s="51"/>
      <c r="O103" s="51"/>
    </row>
    <row r="104" spans="1:15" hidden="1" outlineLevel="1" x14ac:dyDescent="0.25">
      <c r="A104" s="63"/>
      <c r="B104" s="64"/>
      <c r="D104" s="329" t="s">
        <v>121</v>
      </c>
      <c r="E104" s="330" t="s">
        <v>58</v>
      </c>
      <c r="F104" s="330" t="s">
        <v>109</v>
      </c>
      <c r="G104" s="330"/>
      <c r="H104" s="330"/>
      <c r="I104" s="331"/>
      <c r="J104" s="329" t="s">
        <v>121</v>
      </c>
      <c r="K104" s="330" t="s">
        <v>58</v>
      </c>
      <c r="L104" s="330" t="s">
        <v>109</v>
      </c>
      <c r="M104" s="330"/>
      <c r="N104" s="330"/>
      <c r="O104" s="331"/>
    </row>
    <row r="105" spans="1:15" hidden="1" outlineLevel="2" x14ac:dyDescent="0.25">
      <c r="A105" s="61">
        <v>196</v>
      </c>
      <c r="B105" s="62" t="s">
        <v>122</v>
      </c>
      <c r="D105" s="65">
        <f ca="1">VLOOKUP($A105,INDIRECT($P$2),COLUMN()-1,FALSE)*VLOOKUP($A105,Usinas!$C:$D,2,FALSE)</f>
        <v>106.78500000000001</v>
      </c>
      <c r="E105" s="65">
        <f ca="1">VLOOKUP($A105,INDIRECT($P$2),COLUMN()-1,FALSE)*VLOOKUP($A105,Usinas!$C:$D,2,FALSE)</f>
        <v>79.665000000000006</v>
      </c>
      <c r="F105" s="65">
        <f ca="1">VLOOKUP($A105,INDIRECT($P$2),COLUMN()-1,FALSE)*VLOOKUP($A105,Usinas!$C:$D,2,FALSE)</f>
        <v>77.97</v>
      </c>
      <c r="G105" s="65">
        <f ca="1">VLOOKUP($A105,INDIRECT($P$2),COLUMN()-1,FALSE)*VLOOKUP($A105,Usinas!$C:$D,2,FALSE)</f>
        <v>62.715000000000003</v>
      </c>
      <c r="H105" s="65">
        <f ca="1">VLOOKUP($A105,INDIRECT($P$2),COLUMN()-1,FALSE)*VLOOKUP($A105,Usinas!$C:$D,2,FALSE)</f>
        <v>44.07</v>
      </c>
      <c r="I105" s="65">
        <f ca="1">VLOOKUP($A105,INDIRECT($P$2),COLUMN()-1,FALSE)*VLOOKUP($A105,Usinas!$C:$D,2,FALSE)</f>
        <v>33.9</v>
      </c>
      <c r="J105" s="65">
        <f ca="1">VLOOKUP($A105,INDIRECT($P$2),COLUMN()-1,FALSE)*VLOOKUP($A105,Usinas!$C:$D,2,FALSE)</f>
        <v>30.51</v>
      </c>
      <c r="K105" s="65">
        <f ca="1">VLOOKUP($A105,INDIRECT($P$2),COLUMN()-1,FALSE)*VLOOKUP($A105,Usinas!$C:$D,2,FALSE)</f>
        <v>25.425000000000001</v>
      </c>
      <c r="L105" s="65">
        <f ca="1">VLOOKUP($A105,INDIRECT($P$2),COLUMN()-1,FALSE)*VLOOKUP($A105,Usinas!$C:$D,2,FALSE)</f>
        <v>25.425000000000001</v>
      </c>
      <c r="M105" s="65">
        <f ca="1">VLOOKUP($A105,INDIRECT($P$2),COLUMN()-1,FALSE)*VLOOKUP($A105,Usinas!$C:$D,2,FALSE)</f>
        <v>33.9</v>
      </c>
      <c r="N105" s="65">
        <f ca="1">VLOOKUP($A105,INDIRECT($P$2),COLUMN()-1,FALSE)*VLOOKUP($A105,Usinas!$C:$D,2,FALSE)</f>
        <v>64.41</v>
      </c>
      <c r="O105" s="65">
        <f ca="1">VLOOKUP($A105,INDIRECT($P$2),COLUMN()-1,FALSE)*VLOOKUP($A105,Usinas!$C:$D,2,FALSE)</f>
        <v>98.31</v>
      </c>
    </row>
    <row r="106" spans="1:15" hidden="1" outlineLevel="1" x14ac:dyDescent="0.25">
      <c r="A106" s="18"/>
      <c r="B106" s="19" t="s">
        <v>56</v>
      </c>
      <c r="D106" s="66">
        <f t="shared" ref="D106:O106" ca="1" si="8">D105</f>
        <v>106.78500000000001</v>
      </c>
      <c r="E106" s="49">
        <f t="shared" ca="1" si="8"/>
        <v>79.665000000000006</v>
      </c>
      <c r="F106" s="49">
        <f t="shared" ca="1" si="8"/>
        <v>77.97</v>
      </c>
      <c r="G106" s="49">
        <f t="shared" ca="1" si="8"/>
        <v>62.715000000000003</v>
      </c>
      <c r="H106" s="49">
        <f t="shared" ca="1" si="8"/>
        <v>44.07</v>
      </c>
      <c r="I106" s="67">
        <f t="shared" ca="1" si="8"/>
        <v>33.9</v>
      </c>
      <c r="J106" s="66">
        <f t="shared" ca="1" si="8"/>
        <v>30.51</v>
      </c>
      <c r="K106" s="49">
        <f t="shared" ca="1" si="8"/>
        <v>25.425000000000001</v>
      </c>
      <c r="L106" s="49">
        <f t="shared" ca="1" si="8"/>
        <v>25.425000000000001</v>
      </c>
      <c r="M106" s="49">
        <f t="shared" ca="1" si="8"/>
        <v>33.9</v>
      </c>
      <c r="N106" s="49">
        <f t="shared" ca="1" si="8"/>
        <v>64.41</v>
      </c>
      <c r="O106" s="67">
        <f t="shared" ca="1" si="8"/>
        <v>98.31</v>
      </c>
    </row>
    <row r="107" spans="1:15" hidden="1" outlineLevel="1" x14ac:dyDescent="0.25">
      <c r="A107" s="20"/>
      <c r="B107" s="21" t="s">
        <v>0</v>
      </c>
      <c r="D107" s="68"/>
      <c r="E107" s="69"/>
      <c r="F107" s="69"/>
      <c r="G107" s="69"/>
      <c r="H107" s="69"/>
      <c r="I107" s="70"/>
      <c r="J107" s="68"/>
      <c r="K107" s="69"/>
      <c r="L107" s="69"/>
      <c r="M107" s="69"/>
      <c r="N107" s="69"/>
      <c r="O107" s="70"/>
    </row>
    <row r="108" spans="1:15" hidden="1" outlineLevel="1" x14ac:dyDescent="0.25">
      <c r="A108" s="1"/>
      <c r="B108" s="135"/>
      <c r="D108" s="50"/>
      <c r="E108" s="51"/>
      <c r="F108" s="51"/>
      <c r="G108" s="51"/>
      <c r="H108" s="51"/>
      <c r="I108" s="51"/>
      <c r="J108" s="50"/>
      <c r="K108" s="51"/>
      <c r="L108" s="51"/>
      <c r="M108" s="51"/>
      <c r="N108" s="51"/>
      <c r="O108" s="51"/>
    </row>
    <row r="109" spans="1:15" hidden="1" outlineLevel="1" x14ac:dyDescent="0.25">
      <c r="A109" s="63"/>
      <c r="B109" s="64"/>
      <c r="D109" s="329" t="s">
        <v>123</v>
      </c>
      <c r="E109" s="330" t="s">
        <v>58</v>
      </c>
      <c r="F109" s="330" t="s">
        <v>124</v>
      </c>
      <c r="G109" s="330"/>
      <c r="H109" s="330"/>
      <c r="I109" s="331"/>
      <c r="J109" s="329" t="s">
        <v>123</v>
      </c>
      <c r="K109" s="330" t="s">
        <v>58</v>
      </c>
      <c r="L109" s="330" t="s">
        <v>124</v>
      </c>
      <c r="M109" s="330"/>
      <c r="N109" s="330"/>
      <c r="O109" s="331"/>
    </row>
    <row r="110" spans="1:15" hidden="1" outlineLevel="2" x14ac:dyDescent="0.25">
      <c r="A110" s="61">
        <v>283</v>
      </c>
      <c r="B110" s="62" t="s">
        <v>125</v>
      </c>
      <c r="D110" s="65">
        <f ca="1">VLOOKUP($A110,INDIRECT($P$2),COLUMN()-1,FALSE)*VLOOKUP($A110,Usinas!$C:$D,2,FALSE)</f>
        <v>80.678399999999996</v>
      </c>
      <c r="E110" s="65">
        <f ca="1">VLOOKUP($A110,INDIRECT($P$2),COLUMN()-1,FALSE)*VLOOKUP($A110,Usinas!$C:$D,2,FALSE)</f>
        <v>56.8416</v>
      </c>
      <c r="F110" s="65">
        <f ca="1">VLOOKUP($A110,INDIRECT($P$2),COLUMN()-1,FALSE)*VLOOKUP($A110,Usinas!$C:$D,2,FALSE)</f>
        <v>55.924799999999998</v>
      </c>
      <c r="G110" s="65">
        <f ca="1">VLOOKUP($A110,INDIRECT($P$2),COLUMN()-1,FALSE)*VLOOKUP($A110,Usinas!$C:$D,2,FALSE)</f>
        <v>49.507199999999997</v>
      </c>
      <c r="H110" s="65">
        <f ca="1">VLOOKUP($A110,INDIRECT($P$2),COLUMN()-1,FALSE)*VLOOKUP($A110,Usinas!$C:$D,2,FALSE)</f>
        <v>33.921599999999998</v>
      </c>
      <c r="I110" s="65">
        <f ca="1">VLOOKUP($A110,INDIRECT($P$2),COLUMN()-1,FALSE)*VLOOKUP($A110,Usinas!$C:$D,2,FALSE)</f>
        <v>28.4208</v>
      </c>
      <c r="J110" s="65">
        <f ca="1">VLOOKUP($A110,INDIRECT($P$2),COLUMN()-1,FALSE)*VLOOKUP($A110,Usinas!$C:$D,2,FALSE)</f>
        <v>27.962399999999999</v>
      </c>
      <c r="K110" s="65">
        <f ca="1">VLOOKUP($A110,INDIRECT($P$2),COLUMN()-1,FALSE)*VLOOKUP($A110,Usinas!$C:$D,2,FALSE)</f>
        <v>23.378399999999999</v>
      </c>
      <c r="L110" s="65">
        <f ca="1">VLOOKUP($A110,INDIRECT($P$2),COLUMN()-1,FALSE)*VLOOKUP($A110,Usinas!$C:$D,2,FALSE)</f>
        <v>20.628</v>
      </c>
      <c r="M110" s="65">
        <f ca="1">VLOOKUP($A110,INDIRECT($P$2),COLUMN()-1,FALSE)*VLOOKUP($A110,Usinas!$C:$D,2,FALSE)</f>
        <v>28.4208</v>
      </c>
      <c r="N110" s="65">
        <f ca="1">VLOOKUP($A110,INDIRECT($P$2),COLUMN()-1,FALSE)*VLOOKUP($A110,Usinas!$C:$D,2,FALSE)</f>
        <v>56.383199999999995</v>
      </c>
      <c r="O110" s="65">
        <f ca="1">VLOOKUP($A110,INDIRECT($P$2),COLUMN()-1,FALSE)*VLOOKUP($A110,Usinas!$C:$D,2,FALSE)</f>
        <v>84.804000000000002</v>
      </c>
    </row>
    <row r="111" spans="1:15" hidden="1" outlineLevel="1" x14ac:dyDescent="0.25">
      <c r="A111" s="18"/>
      <c r="B111" s="19" t="s">
        <v>56</v>
      </c>
      <c r="D111" s="66">
        <f t="shared" ref="D111:O111" ca="1" si="9">D110</f>
        <v>80.678399999999996</v>
      </c>
      <c r="E111" s="49">
        <f t="shared" ca="1" si="9"/>
        <v>56.8416</v>
      </c>
      <c r="F111" s="49">
        <f t="shared" ca="1" si="9"/>
        <v>55.924799999999998</v>
      </c>
      <c r="G111" s="49">
        <f t="shared" ca="1" si="9"/>
        <v>49.507199999999997</v>
      </c>
      <c r="H111" s="49">
        <f t="shared" ca="1" si="9"/>
        <v>33.921599999999998</v>
      </c>
      <c r="I111" s="67">
        <f t="shared" ca="1" si="9"/>
        <v>28.4208</v>
      </c>
      <c r="J111" s="66">
        <f t="shared" ca="1" si="9"/>
        <v>27.962399999999999</v>
      </c>
      <c r="K111" s="49">
        <f t="shared" ca="1" si="9"/>
        <v>23.378399999999999</v>
      </c>
      <c r="L111" s="49">
        <f t="shared" ca="1" si="9"/>
        <v>20.628</v>
      </c>
      <c r="M111" s="49">
        <f t="shared" ca="1" si="9"/>
        <v>28.4208</v>
      </c>
      <c r="N111" s="49">
        <f t="shared" ca="1" si="9"/>
        <v>56.383199999999995</v>
      </c>
      <c r="O111" s="67">
        <f t="shared" ca="1" si="9"/>
        <v>84.804000000000002</v>
      </c>
    </row>
    <row r="112" spans="1:15" hidden="1" outlineLevel="1" x14ac:dyDescent="0.25">
      <c r="A112" s="20"/>
      <c r="B112" s="21" t="s">
        <v>0</v>
      </c>
      <c r="D112" s="68"/>
      <c r="E112" s="69"/>
      <c r="F112" s="69"/>
      <c r="G112" s="69"/>
      <c r="H112" s="69"/>
      <c r="I112" s="70"/>
      <c r="J112" s="68"/>
      <c r="K112" s="69"/>
      <c r="L112" s="69"/>
      <c r="M112" s="69"/>
      <c r="N112" s="69"/>
      <c r="O112" s="70"/>
    </row>
    <row r="113" spans="1:15" hidden="1" outlineLevel="1" x14ac:dyDescent="0.25">
      <c r="A113" s="1"/>
      <c r="B113" s="135"/>
      <c r="D113" s="50"/>
      <c r="E113" s="51"/>
      <c r="F113" s="51"/>
      <c r="G113" s="51"/>
      <c r="H113" s="51"/>
      <c r="I113" s="51"/>
      <c r="J113" s="50"/>
      <c r="K113" s="51"/>
      <c r="L113" s="51"/>
      <c r="M113" s="51"/>
      <c r="N113" s="51"/>
      <c r="O113" s="51"/>
    </row>
    <row r="114" spans="1:15" hidden="1" outlineLevel="1" x14ac:dyDescent="0.25">
      <c r="A114" s="63"/>
      <c r="B114" s="64"/>
      <c r="D114" s="329" t="s">
        <v>126</v>
      </c>
      <c r="E114" s="330" t="s">
        <v>58</v>
      </c>
      <c r="F114" s="330" t="s">
        <v>127</v>
      </c>
      <c r="G114" s="330"/>
      <c r="H114" s="330"/>
      <c r="I114" s="331"/>
      <c r="J114" s="329" t="s">
        <v>126</v>
      </c>
      <c r="K114" s="330" t="s">
        <v>58</v>
      </c>
      <c r="L114" s="330" t="s">
        <v>127</v>
      </c>
      <c r="M114" s="330"/>
      <c r="N114" s="330"/>
      <c r="O114" s="331"/>
    </row>
    <row r="115" spans="1:15" hidden="1" outlineLevel="2" x14ac:dyDescent="0.25">
      <c r="A115" s="61">
        <v>262</v>
      </c>
      <c r="B115" s="62" t="s">
        <v>128</v>
      </c>
      <c r="D115" s="65">
        <f ca="1">VLOOKUP($A115,INDIRECT($P$2),COLUMN()-1,FALSE)*VLOOKUP($A115,Usinas!$C:$D,2,FALSE)</f>
        <v>156.70259999999999</v>
      </c>
      <c r="E115" s="65">
        <f ca="1">VLOOKUP($A115,INDIRECT($P$2),COLUMN()-1,FALSE)*VLOOKUP($A115,Usinas!$C:$D,2,FALSE)</f>
        <v>119.8314</v>
      </c>
      <c r="F115" s="65">
        <f ca="1">VLOOKUP($A115,INDIRECT($P$2),COLUMN()-1,FALSE)*VLOOKUP($A115,Usinas!$C:$D,2,FALSE)</f>
        <v>107.541</v>
      </c>
      <c r="G115" s="65">
        <f ca="1">VLOOKUP($A115,INDIRECT($P$2),COLUMN()-1,FALSE)*VLOOKUP($A115,Usinas!$C:$D,2,FALSE)</f>
        <v>77.839200000000005</v>
      </c>
      <c r="H115" s="65">
        <f ca="1">VLOOKUP($A115,INDIRECT($P$2),COLUMN()-1,FALSE)*VLOOKUP($A115,Usinas!$C:$D,2,FALSE)</f>
        <v>58.379399999999997</v>
      </c>
      <c r="I115" s="65">
        <f ca="1">VLOOKUP($A115,INDIRECT($P$2),COLUMN()-1,FALSE)*VLOOKUP($A115,Usinas!$C:$D,2,FALSE)</f>
        <v>50.1858</v>
      </c>
      <c r="J115" s="65">
        <f ca="1">VLOOKUP($A115,INDIRECT($P$2),COLUMN()-1,FALSE)*VLOOKUP($A115,Usinas!$C:$D,2,FALSE)</f>
        <v>44.040599999999998</v>
      </c>
      <c r="K115" s="65">
        <f ca="1">VLOOKUP($A115,INDIRECT($P$2),COLUMN()-1,FALSE)*VLOOKUP($A115,Usinas!$C:$D,2,FALSE)</f>
        <v>38.919600000000003</v>
      </c>
      <c r="L115" s="65">
        <f ca="1">VLOOKUP($A115,INDIRECT($P$2),COLUMN()-1,FALSE)*VLOOKUP($A115,Usinas!$C:$D,2,FALSE)</f>
        <v>38.919600000000003</v>
      </c>
      <c r="M115" s="65">
        <f ca="1">VLOOKUP($A115,INDIRECT($P$2),COLUMN()-1,FALSE)*VLOOKUP($A115,Usinas!$C:$D,2,FALSE)</f>
        <v>49.1616</v>
      </c>
      <c r="N115" s="65">
        <f ca="1">VLOOKUP($A115,INDIRECT($P$2),COLUMN()-1,FALSE)*VLOOKUP($A115,Usinas!$C:$D,2,FALSE)</f>
        <v>80.911799999999999</v>
      </c>
      <c r="O115" s="65">
        <f ca="1">VLOOKUP($A115,INDIRECT($P$2),COLUMN()-1,FALSE)*VLOOKUP($A115,Usinas!$C:$D,2,FALSE)</f>
        <v>134.17019999999999</v>
      </c>
    </row>
    <row r="116" spans="1:15" hidden="1" outlineLevel="2" x14ac:dyDescent="0.25">
      <c r="A116" s="61">
        <v>183</v>
      </c>
      <c r="B116" s="62" t="s">
        <v>129</v>
      </c>
      <c r="D116" s="65">
        <f ca="1">VLOOKUP($A116,INDIRECT($P$2),COLUMN()-1,FALSE)*VLOOKUP($A116,Usinas!$C:$D,2,FALSE)</f>
        <v>157.5</v>
      </c>
      <c r="E116" s="65">
        <f ca="1">VLOOKUP($A116,INDIRECT($P$2),COLUMN()-1,FALSE)*VLOOKUP($A116,Usinas!$C:$D,2,FALSE)</f>
        <v>120</v>
      </c>
      <c r="F116" s="65">
        <f ca="1">VLOOKUP($A116,INDIRECT($P$2),COLUMN()-1,FALSE)*VLOOKUP($A116,Usinas!$C:$D,2,FALSE)</f>
        <v>107.8125</v>
      </c>
      <c r="G116" s="65">
        <f ca="1">VLOOKUP($A116,INDIRECT($P$2),COLUMN()-1,FALSE)*VLOOKUP($A116,Usinas!$C:$D,2,FALSE)</f>
        <v>77.8125</v>
      </c>
      <c r="H116" s="65">
        <f ca="1">VLOOKUP($A116,INDIRECT($P$2),COLUMN()-1,FALSE)*VLOOKUP($A116,Usinas!$C:$D,2,FALSE)</f>
        <v>58.125</v>
      </c>
      <c r="I116" s="65">
        <f ca="1">VLOOKUP($A116,INDIRECT($P$2),COLUMN()-1,FALSE)*VLOOKUP($A116,Usinas!$C:$D,2,FALSE)</f>
        <v>49.6875</v>
      </c>
      <c r="J116" s="65">
        <f ca="1">VLOOKUP($A116,INDIRECT($P$2),COLUMN()-1,FALSE)*VLOOKUP($A116,Usinas!$C:$D,2,FALSE)</f>
        <v>44.0625</v>
      </c>
      <c r="K116" s="65">
        <f ca="1">VLOOKUP($A116,INDIRECT($P$2),COLUMN()-1,FALSE)*VLOOKUP($A116,Usinas!$C:$D,2,FALSE)</f>
        <v>39.375</v>
      </c>
      <c r="L116" s="65">
        <f ca="1">VLOOKUP($A116,INDIRECT($P$2),COLUMN()-1,FALSE)*VLOOKUP($A116,Usinas!$C:$D,2,FALSE)</f>
        <v>39.375</v>
      </c>
      <c r="M116" s="65">
        <f ca="1">VLOOKUP($A116,INDIRECT($P$2),COLUMN()-1,FALSE)*VLOOKUP($A116,Usinas!$C:$D,2,FALSE)</f>
        <v>49.6875</v>
      </c>
      <c r="N116" s="65">
        <f ca="1">VLOOKUP($A116,INDIRECT($P$2),COLUMN()-1,FALSE)*VLOOKUP($A116,Usinas!$C:$D,2,FALSE)</f>
        <v>80.625</v>
      </c>
      <c r="O116" s="65">
        <f ca="1">VLOOKUP($A116,INDIRECT($P$2),COLUMN()-1,FALSE)*VLOOKUP($A116,Usinas!$C:$D,2,FALSE)</f>
        <v>134.0625</v>
      </c>
    </row>
    <row r="117" spans="1:15" hidden="1" outlineLevel="2" x14ac:dyDescent="0.25">
      <c r="A117" s="61">
        <v>134</v>
      </c>
      <c r="B117" s="62" t="s">
        <v>130</v>
      </c>
      <c r="D117" s="65">
        <f ca="1">VLOOKUP($A117,INDIRECT($P$2),COLUMN()-1,FALSE)*VLOOKUP($A117,Usinas!$C:$D,2,FALSE)</f>
        <v>232.52130000000002</v>
      </c>
      <c r="E117" s="65">
        <f ca="1">VLOOKUP($A117,INDIRECT($P$2),COLUMN()-1,FALSE)*VLOOKUP($A117,Usinas!$C:$D,2,FALSE)</f>
        <v>187.89600000000002</v>
      </c>
      <c r="F117" s="65">
        <f ca="1">VLOOKUP($A117,INDIRECT($P$2),COLUMN()-1,FALSE)*VLOOKUP($A117,Usinas!$C:$D,2,FALSE)</f>
        <v>168.3235</v>
      </c>
      <c r="G117" s="65">
        <f ca="1">VLOOKUP($A117,INDIRECT($P$2),COLUMN()-1,FALSE)*VLOOKUP($A117,Usinas!$C:$D,2,FALSE)</f>
        <v>127.6127</v>
      </c>
      <c r="H117" s="65">
        <f ca="1">VLOOKUP($A117,INDIRECT($P$2),COLUMN()-1,FALSE)*VLOOKUP($A117,Usinas!$C:$D,2,FALSE)</f>
        <v>91.599299999999999</v>
      </c>
      <c r="I117" s="65">
        <f ca="1">VLOOKUP($A117,INDIRECT($P$2),COLUMN()-1,FALSE)*VLOOKUP($A117,Usinas!$C:$D,2,FALSE)</f>
        <v>75.1584</v>
      </c>
      <c r="J117" s="65">
        <f ca="1">VLOOKUP($A117,INDIRECT($P$2),COLUMN()-1,FALSE)*VLOOKUP($A117,Usinas!$C:$D,2,FALSE)</f>
        <v>64.197800000000001</v>
      </c>
      <c r="K117" s="65">
        <f ca="1">VLOOKUP($A117,INDIRECT($P$2),COLUMN()-1,FALSE)*VLOOKUP($A117,Usinas!$C:$D,2,FALSE)</f>
        <v>55.585900000000002</v>
      </c>
      <c r="L117" s="65">
        <f ca="1">VLOOKUP($A117,INDIRECT($P$2),COLUMN()-1,FALSE)*VLOOKUP($A117,Usinas!$C:$D,2,FALSE)</f>
        <v>53.237200000000001</v>
      </c>
      <c r="M117" s="65">
        <f ca="1">VLOOKUP($A117,INDIRECT($P$2),COLUMN()-1,FALSE)*VLOOKUP($A117,Usinas!$C:$D,2,FALSE)</f>
        <v>68.112300000000005</v>
      </c>
      <c r="N117" s="65">
        <f ca="1">VLOOKUP($A117,INDIRECT($P$2),COLUMN()-1,FALSE)*VLOOKUP($A117,Usinas!$C:$D,2,FALSE)</f>
        <v>126.82980000000001</v>
      </c>
      <c r="O117" s="65">
        <f ca="1">VLOOKUP($A117,INDIRECT($P$2),COLUMN()-1,FALSE)*VLOOKUP($A117,Usinas!$C:$D,2,FALSE)</f>
        <v>201.98820000000001</v>
      </c>
    </row>
    <row r="118" spans="1:15" hidden="1" outlineLevel="2" x14ac:dyDescent="0.25">
      <c r="A118" s="61">
        <v>263</v>
      </c>
      <c r="B118" s="62" t="s">
        <v>131</v>
      </c>
      <c r="D118" s="65">
        <f ca="1">VLOOKUP($A118,INDIRECT($P$2),COLUMN()-1,FALSE)*VLOOKUP($A118,Usinas!$C:$D,2,FALSE)</f>
        <v>131.50200000000001</v>
      </c>
      <c r="E118" s="65">
        <f ca="1">VLOOKUP($A118,INDIRECT($P$2),COLUMN()-1,FALSE)*VLOOKUP($A118,Usinas!$C:$D,2,FALSE)</f>
        <v>106.47420000000001</v>
      </c>
      <c r="F118" s="65">
        <f ca="1">VLOOKUP($A118,INDIRECT($P$2),COLUMN()-1,FALSE)*VLOOKUP($A118,Usinas!$C:$D,2,FALSE)</f>
        <v>95.020800000000008</v>
      </c>
      <c r="G118" s="65">
        <f ca="1">VLOOKUP($A118,INDIRECT($P$2),COLUMN()-1,FALSE)*VLOOKUP($A118,Usinas!$C:$D,2,FALSE)</f>
        <v>72.114000000000004</v>
      </c>
      <c r="H118" s="65">
        <f ca="1">VLOOKUP($A118,INDIRECT($P$2),COLUMN()-1,FALSE)*VLOOKUP($A118,Usinas!$C:$D,2,FALSE)</f>
        <v>51.752400000000002</v>
      </c>
      <c r="I118" s="65">
        <f ca="1">VLOOKUP($A118,INDIRECT($P$2),COLUMN()-1,FALSE)*VLOOKUP($A118,Usinas!$C:$D,2,FALSE)</f>
        <v>42.42</v>
      </c>
      <c r="J118" s="65">
        <f ca="1">VLOOKUP($A118,INDIRECT($P$2),COLUMN()-1,FALSE)*VLOOKUP($A118,Usinas!$C:$D,2,FALSE)</f>
        <v>36.057000000000002</v>
      </c>
      <c r="K118" s="65">
        <f ca="1">VLOOKUP($A118,INDIRECT($P$2),COLUMN()-1,FALSE)*VLOOKUP($A118,Usinas!$C:$D,2,FALSE)</f>
        <v>31.390800000000002</v>
      </c>
      <c r="L118" s="65">
        <f ca="1">VLOOKUP($A118,INDIRECT($P$2),COLUMN()-1,FALSE)*VLOOKUP($A118,Usinas!$C:$D,2,FALSE)</f>
        <v>30.118200000000002</v>
      </c>
      <c r="M118" s="65">
        <f ca="1">VLOOKUP($A118,INDIRECT($P$2),COLUMN()-1,FALSE)*VLOOKUP($A118,Usinas!$C:$D,2,FALSE)</f>
        <v>38.602200000000003</v>
      </c>
      <c r="N118" s="65">
        <f ca="1">VLOOKUP($A118,INDIRECT($P$2),COLUMN()-1,FALSE)*VLOOKUP($A118,Usinas!$C:$D,2,FALSE)</f>
        <v>71.689800000000005</v>
      </c>
      <c r="O118" s="65">
        <f ca="1">VLOOKUP($A118,INDIRECT($P$2),COLUMN()-1,FALSE)*VLOOKUP($A118,Usinas!$C:$D,2,FALSE)</f>
        <v>114.10980000000001</v>
      </c>
    </row>
    <row r="119" spans="1:15" hidden="1" outlineLevel="2" x14ac:dyDescent="0.25">
      <c r="A119" s="61">
        <v>149</v>
      </c>
      <c r="B119" s="62" t="s">
        <v>132</v>
      </c>
      <c r="D119" s="65">
        <f ca="1">VLOOKUP($A119,INDIRECT($P$2),COLUMN()-1,FALSE)*VLOOKUP($A119,Usinas!$C:$D,2,FALSE)</f>
        <v>127.32719999999999</v>
      </c>
      <c r="E119" s="65">
        <f ca="1">VLOOKUP($A119,INDIRECT($P$2),COLUMN()-1,FALSE)*VLOOKUP($A119,Usinas!$C:$D,2,FALSE)</f>
        <v>108.20479999999999</v>
      </c>
      <c r="F119" s="65">
        <f ca="1">VLOOKUP($A119,INDIRECT($P$2),COLUMN()-1,FALSE)*VLOOKUP($A119,Usinas!$C:$D,2,FALSE)</f>
        <v>96.078400000000002</v>
      </c>
      <c r="G119" s="65">
        <f ca="1">VLOOKUP($A119,INDIRECT($P$2),COLUMN()-1,FALSE)*VLOOKUP($A119,Usinas!$C:$D,2,FALSE)</f>
        <v>74.623999999999995</v>
      </c>
      <c r="H119" s="65">
        <f ca="1">VLOOKUP($A119,INDIRECT($P$2),COLUMN()-1,FALSE)*VLOOKUP($A119,Usinas!$C:$D,2,FALSE)</f>
        <v>57.367199999999997</v>
      </c>
      <c r="I119" s="65">
        <f ca="1">VLOOKUP($A119,INDIRECT($P$2),COLUMN()-1,FALSE)*VLOOKUP($A119,Usinas!$C:$D,2,FALSE)</f>
        <v>49.904799999999994</v>
      </c>
      <c r="J119" s="65">
        <f ca="1">VLOOKUP($A119,INDIRECT($P$2),COLUMN()-1,FALSE)*VLOOKUP($A119,Usinas!$C:$D,2,FALSE)</f>
        <v>44.7744</v>
      </c>
      <c r="K119" s="65">
        <f ca="1">VLOOKUP($A119,INDIRECT($P$2),COLUMN()-1,FALSE)*VLOOKUP($A119,Usinas!$C:$D,2,FALSE)</f>
        <v>40.110399999999998</v>
      </c>
      <c r="L119" s="65">
        <f ca="1">VLOOKUP($A119,INDIRECT($P$2),COLUMN()-1,FALSE)*VLOOKUP($A119,Usinas!$C:$D,2,FALSE)</f>
        <v>39.643999999999998</v>
      </c>
      <c r="M119" s="65">
        <f ca="1">VLOOKUP($A119,INDIRECT($P$2),COLUMN()-1,FALSE)*VLOOKUP($A119,Usinas!$C:$D,2,FALSE)</f>
        <v>47.106400000000001</v>
      </c>
      <c r="N119" s="65">
        <f ca="1">VLOOKUP($A119,INDIRECT($P$2),COLUMN()-1,FALSE)*VLOOKUP($A119,Usinas!$C:$D,2,FALSE)</f>
        <v>68.5608</v>
      </c>
      <c r="O119" s="65">
        <f ca="1">VLOOKUP($A119,INDIRECT($P$2),COLUMN()-1,FALSE)*VLOOKUP($A119,Usinas!$C:$D,2,FALSE)</f>
        <v>107.27199999999999</v>
      </c>
    </row>
    <row r="120" spans="1:15" hidden="1" outlineLevel="2" x14ac:dyDescent="0.25">
      <c r="A120" s="61">
        <v>141</v>
      </c>
      <c r="B120" s="62" t="s">
        <v>133</v>
      </c>
      <c r="D120" s="65">
        <f ca="1">VLOOKUP($A120,INDIRECT($P$2),COLUMN()-1,FALSE)*VLOOKUP($A120,Usinas!$C:$D,2,FALSE)</f>
        <v>170.90190000000001</v>
      </c>
      <c r="E120" s="65">
        <f ca="1">VLOOKUP($A120,INDIRECT($P$2),COLUMN()-1,FALSE)*VLOOKUP($A120,Usinas!$C:$D,2,FALSE)</f>
        <v>138.76650000000001</v>
      </c>
      <c r="F120" s="65">
        <f ca="1">VLOOKUP($A120,INDIRECT($P$2),COLUMN()-1,FALSE)*VLOOKUP($A120,Usinas!$C:$D,2,FALSE)</f>
        <v>122.69880000000001</v>
      </c>
      <c r="G120" s="65">
        <f ca="1">VLOOKUP($A120,INDIRECT($P$2),COLUMN()-1,FALSE)*VLOOKUP($A120,Usinas!$C:$D,2,FALSE)</f>
        <v>96.243899999999996</v>
      </c>
      <c r="H120" s="65">
        <f ca="1">VLOOKUP($A120,INDIRECT($P$2),COLUMN()-1,FALSE)*VLOOKUP($A120,Usinas!$C:$D,2,FALSE)</f>
        <v>72.061199999999999</v>
      </c>
      <c r="I120" s="65">
        <f ca="1">VLOOKUP($A120,INDIRECT($P$2),COLUMN()-1,FALSE)*VLOOKUP($A120,Usinas!$C:$D,2,FALSE)</f>
        <v>61.349400000000003</v>
      </c>
      <c r="J120" s="65">
        <f ca="1">VLOOKUP($A120,INDIRECT($P$2),COLUMN()-1,FALSE)*VLOOKUP($A120,Usinas!$C:$D,2,FALSE)</f>
        <v>54.3705</v>
      </c>
      <c r="K120" s="65">
        <f ca="1">VLOOKUP($A120,INDIRECT($P$2),COLUMN()-1,FALSE)*VLOOKUP($A120,Usinas!$C:$D,2,FALSE)</f>
        <v>48.69</v>
      </c>
      <c r="L120" s="65">
        <f ca="1">VLOOKUP($A120,INDIRECT($P$2),COLUMN()-1,FALSE)*VLOOKUP($A120,Usinas!$C:$D,2,FALSE)</f>
        <v>47.391599999999997</v>
      </c>
      <c r="M120" s="65">
        <f ca="1">VLOOKUP($A120,INDIRECT($P$2),COLUMN()-1,FALSE)*VLOOKUP($A120,Usinas!$C:$D,2,FALSE)</f>
        <v>57.129599999999996</v>
      </c>
      <c r="N120" s="65">
        <f ca="1">VLOOKUP($A120,INDIRECT($P$2),COLUMN()-1,FALSE)*VLOOKUP($A120,Usinas!$C:$D,2,FALSE)</f>
        <v>91.374899999999997</v>
      </c>
      <c r="O120" s="65">
        <f ca="1">VLOOKUP($A120,INDIRECT($P$2),COLUMN()-1,FALSE)*VLOOKUP($A120,Usinas!$C:$D,2,FALSE)</f>
        <v>147.69300000000001</v>
      </c>
    </row>
    <row r="121" spans="1:15" hidden="1" outlineLevel="2" x14ac:dyDescent="0.25">
      <c r="A121" s="61">
        <v>148</v>
      </c>
      <c r="B121" s="62" t="s">
        <v>134</v>
      </c>
      <c r="D121" s="65">
        <f ca="1">VLOOKUP($A121,INDIRECT($P$2),COLUMN()-1,FALSE)*VLOOKUP($A121,Usinas!$C:$D,2,FALSE)</f>
        <v>400.30199999999996</v>
      </c>
      <c r="E121" s="65">
        <f ca="1">VLOOKUP($A121,INDIRECT($P$2),COLUMN()-1,FALSE)*VLOOKUP($A121,Usinas!$C:$D,2,FALSE)</f>
        <v>311.346</v>
      </c>
      <c r="F121" s="65">
        <f ca="1">VLOOKUP($A121,INDIRECT($P$2),COLUMN()-1,FALSE)*VLOOKUP($A121,Usinas!$C:$D,2,FALSE)</f>
        <v>273.53969999999998</v>
      </c>
      <c r="G121" s="65">
        <f ca="1">VLOOKUP($A121,INDIRECT($P$2),COLUMN()-1,FALSE)*VLOOKUP($A121,Usinas!$C:$D,2,FALSE)</f>
        <v>211.51759999999999</v>
      </c>
      <c r="H121" s="65">
        <f ca="1">VLOOKUP($A121,INDIRECT($P$2),COLUMN()-1,FALSE)*VLOOKUP($A121,Usinas!$C:$D,2,FALSE)</f>
        <v>153.44909999999999</v>
      </c>
      <c r="I121" s="65">
        <f ca="1">VLOOKUP($A121,INDIRECT($P$2),COLUMN()-1,FALSE)*VLOOKUP($A121,Usinas!$C:$D,2,FALSE)</f>
        <v>128.73909999999998</v>
      </c>
      <c r="J121" s="65">
        <f ca="1">VLOOKUP($A121,INDIRECT($P$2),COLUMN()-1,FALSE)*VLOOKUP($A121,Usinas!$C:$D,2,FALSE)</f>
        <v>113.9131</v>
      </c>
      <c r="K121" s="65">
        <f ca="1">VLOOKUP($A121,INDIRECT($P$2),COLUMN()-1,FALSE)*VLOOKUP($A121,Usinas!$C:$D,2,FALSE)</f>
        <v>101.31099999999999</v>
      </c>
      <c r="L121" s="65">
        <f ca="1">VLOOKUP($A121,INDIRECT($P$2),COLUMN()-1,FALSE)*VLOOKUP($A121,Usinas!$C:$D,2,FALSE)</f>
        <v>97.851599999999991</v>
      </c>
      <c r="M121" s="65">
        <f ca="1">VLOOKUP($A121,INDIRECT($P$2),COLUMN()-1,FALSE)*VLOOKUP($A121,Usinas!$C:$D,2,FALSE)</f>
        <v>122.5616</v>
      </c>
      <c r="N121" s="65">
        <f ca="1">VLOOKUP($A121,INDIRECT($P$2),COLUMN()-1,FALSE)*VLOOKUP($A121,Usinas!$C:$D,2,FALSE)</f>
        <v>207.31689999999998</v>
      </c>
      <c r="O121" s="65">
        <f ca="1">VLOOKUP($A121,INDIRECT($P$2),COLUMN()-1,FALSE)*VLOOKUP($A121,Usinas!$C:$D,2,FALSE)</f>
        <v>349.39939999999996</v>
      </c>
    </row>
    <row r="122" spans="1:15" hidden="1" outlineLevel="2" x14ac:dyDescent="0.25">
      <c r="A122" s="61">
        <v>144</v>
      </c>
      <c r="B122" s="62" t="s">
        <v>135</v>
      </c>
      <c r="D122" s="65">
        <f ca="1">VLOOKUP($A122,INDIRECT($P$2),COLUMN()-1,FALSE)*VLOOKUP($A122,Usinas!$C:$D,2,FALSE)</f>
        <v>341.35039999999998</v>
      </c>
      <c r="E122" s="65">
        <f ca="1">VLOOKUP($A122,INDIRECT($P$2),COLUMN()-1,FALSE)*VLOOKUP($A122,Usinas!$C:$D,2,FALSE)</f>
        <v>264.5104</v>
      </c>
      <c r="F122" s="65">
        <f ca="1">VLOOKUP($A122,INDIRECT($P$2),COLUMN()-1,FALSE)*VLOOKUP($A122,Usinas!$C:$D,2,FALSE)</f>
        <v>232.32799999999997</v>
      </c>
      <c r="G122" s="65">
        <f ca="1">VLOOKUP($A122,INDIRECT($P$2),COLUMN()-1,FALSE)*VLOOKUP($A122,Usinas!$C:$D,2,FALSE)</f>
        <v>179.53439999999998</v>
      </c>
      <c r="H122" s="65">
        <f ca="1">VLOOKUP($A122,INDIRECT($P$2),COLUMN()-1,FALSE)*VLOOKUP($A122,Usinas!$C:$D,2,FALSE)</f>
        <v>129.99519999999998</v>
      </c>
      <c r="I122" s="65">
        <f ca="1">VLOOKUP($A122,INDIRECT($P$2),COLUMN()-1,FALSE)*VLOOKUP($A122,Usinas!$C:$D,2,FALSE)</f>
        <v>108.66079999999999</v>
      </c>
      <c r="J122" s="65">
        <f ca="1">VLOOKUP($A122,INDIRECT($P$2),COLUMN()-1,FALSE)*VLOOKUP($A122,Usinas!$C:$D,2,FALSE)</f>
        <v>96.185599999999994</v>
      </c>
      <c r="K122" s="65">
        <f ca="1">VLOOKUP($A122,INDIRECT($P$2),COLUMN()-1,FALSE)*VLOOKUP($A122,Usinas!$C:$D,2,FALSE)</f>
        <v>85.15679999999999</v>
      </c>
      <c r="L122" s="65">
        <f ca="1">VLOOKUP($A122,INDIRECT($P$2),COLUMN()-1,FALSE)*VLOOKUP($A122,Usinas!$C:$D,2,FALSE)</f>
        <v>82.083199999999991</v>
      </c>
      <c r="M122" s="65">
        <f ca="1">VLOOKUP($A122,INDIRECT($P$2),COLUMN()-1,FALSE)*VLOOKUP($A122,Usinas!$C:$D,2,FALSE)</f>
        <v>103.23679999999999</v>
      </c>
      <c r="N122" s="65">
        <f ca="1">VLOOKUP($A122,INDIRECT($P$2),COLUMN()-1,FALSE)*VLOOKUP($A122,Usinas!$C:$D,2,FALSE)</f>
        <v>176.0992</v>
      </c>
      <c r="O122" s="65">
        <f ca="1">VLOOKUP($A122,INDIRECT($P$2),COLUMN()-1,FALSE)*VLOOKUP($A122,Usinas!$C:$D,2,FALSE)</f>
        <v>298.13919999999996</v>
      </c>
    </row>
    <row r="123" spans="1:15" hidden="1" outlineLevel="1" x14ac:dyDescent="0.25">
      <c r="A123" s="18"/>
      <c r="B123" s="19" t="s">
        <v>56</v>
      </c>
      <c r="D123" s="66">
        <f t="shared" ref="D123:O123" ca="1" si="10">SUM(D115:D122)</f>
        <v>1718.1073999999999</v>
      </c>
      <c r="E123" s="49">
        <f t="shared" ca="1" si="10"/>
        <v>1357.0293000000001</v>
      </c>
      <c r="F123" s="49">
        <f t="shared" ca="1" si="10"/>
        <v>1203.3426999999999</v>
      </c>
      <c r="G123" s="49">
        <f t="shared" ca="1" si="10"/>
        <v>917.29830000000004</v>
      </c>
      <c r="H123" s="49">
        <f t="shared" ca="1" si="10"/>
        <v>672.72879999999998</v>
      </c>
      <c r="I123" s="67">
        <f t="shared" ca="1" si="10"/>
        <v>566.10579999999993</v>
      </c>
      <c r="J123" s="66">
        <f t="shared" ca="1" si="10"/>
        <v>497.60149999999999</v>
      </c>
      <c r="K123" s="49">
        <f t="shared" ca="1" si="10"/>
        <v>440.53949999999998</v>
      </c>
      <c r="L123" s="49">
        <f t="shared" ca="1" si="10"/>
        <v>428.62039999999996</v>
      </c>
      <c r="M123" s="49">
        <f t="shared" ca="1" si="10"/>
        <v>535.59799999999996</v>
      </c>
      <c r="N123" s="49">
        <f t="shared" ca="1" si="10"/>
        <v>903.40819999999997</v>
      </c>
      <c r="O123" s="67">
        <f t="shared" ca="1" si="10"/>
        <v>1486.8343</v>
      </c>
    </row>
    <row r="124" spans="1:15" hidden="1" outlineLevel="1" x14ac:dyDescent="0.25">
      <c r="A124" s="20"/>
      <c r="B124" s="21" t="s">
        <v>0</v>
      </c>
      <c r="D124" s="68"/>
      <c r="E124" s="69"/>
      <c r="F124" s="69"/>
      <c r="G124" s="69"/>
      <c r="H124" s="69"/>
      <c r="I124" s="70"/>
      <c r="J124" s="68"/>
      <c r="K124" s="69"/>
      <c r="L124" s="69"/>
      <c r="M124" s="69"/>
      <c r="N124" s="69"/>
      <c r="O124" s="70"/>
    </row>
    <row r="125" spans="1:15" hidden="1" outlineLevel="1" x14ac:dyDescent="0.25">
      <c r="A125" s="1"/>
      <c r="B125" s="135"/>
      <c r="D125" s="50"/>
      <c r="E125" s="51"/>
      <c r="F125" s="51"/>
      <c r="G125" s="51"/>
      <c r="H125" s="51"/>
      <c r="I125" s="51"/>
      <c r="J125" s="50"/>
      <c r="K125" s="51"/>
      <c r="L125" s="51"/>
      <c r="M125" s="51"/>
      <c r="N125" s="51"/>
      <c r="O125" s="51"/>
    </row>
    <row r="126" spans="1:15" hidden="1" outlineLevel="1" x14ac:dyDescent="0.25">
      <c r="A126" s="38"/>
      <c r="B126" s="39"/>
      <c r="D126" s="332" t="s">
        <v>136</v>
      </c>
      <c r="E126" s="333" t="s">
        <v>58</v>
      </c>
      <c r="F126" s="333" t="s">
        <v>137</v>
      </c>
      <c r="G126" s="333"/>
      <c r="H126" s="333"/>
      <c r="I126" s="334"/>
      <c r="J126" s="332" t="s">
        <v>136</v>
      </c>
      <c r="K126" s="333" t="s">
        <v>58</v>
      </c>
      <c r="L126" s="333" t="s">
        <v>137</v>
      </c>
      <c r="M126" s="333"/>
      <c r="N126" s="333"/>
      <c r="O126" s="334"/>
    </row>
    <row r="127" spans="1:15" hidden="1" outlineLevel="2" x14ac:dyDescent="0.25">
      <c r="A127" s="30">
        <v>278</v>
      </c>
      <c r="B127" s="31" t="s">
        <v>138</v>
      </c>
      <c r="D127" s="65">
        <f ca="1">VLOOKUP($A127,INDIRECT($P$2),COLUMN()-1,FALSE)*VLOOKUP($A127,Usinas!$C:$D,2,FALSE)</f>
        <v>157.43699999999998</v>
      </c>
      <c r="E127" s="65">
        <f ca="1">VLOOKUP($A127,INDIRECT($P$2),COLUMN()-1,FALSE)*VLOOKUP($A127,Usinas!$C:$D,2,FALSE)</f>
        <v>177.5025</v>
      </c>
      <c r="F127" s="65">
        <f ca="1">VLOOKUP($A127,INDIRECT($P$2),COLUMN()-1,FALSE)*VLOOKUP($A127,Usinas!$C:$D,2,FALSE)</f>
        <v>166.18349999999998</v>
      </c>
      <c r="G127" s="65">
        <f ca="1">VLOOKUP($A127,INDIRECT($P$2),COLUMN()-1,FALSE)*VLOOKUP($A127,Usinas!$C:$D,2,FALSE)</f>
        <v>111.13199999999999</v>
      </c>
      <c r="H127" s="65">
        <f ca="1">VLOOKUP($A127,INDIRECT($P$2),COLUMN()-1,FALSE)*VLOOKUP($A127,Usinas!$C:$D,2,FALSE)</f>
        <v>63.283499999999997</v>
      </c>
      <c r="I127" s="65">
        <f ca="1">VLOOKUP($A127,INDIRECT($P$2),COLUMN()-1,FALSE)*VLOOKUP($A127,Usinas!$C:$D,2,FALSE)</f>
        <v>47.333999999999996</v>
      </c>
      <c r="J127" s="65">
        <f ca="1">VLOOKUP($A127,INDIRECT($P$2),COLUMN()-1,FALSE)*VLOOKUP($A127,Usinas!$C:$D,2,FALSE)</f>
        <v>40.131</v>
      </c>
      <c r="K127" s="65">
        <f ca="1">VLOOKUP($A127,INDIRECT($P$2),COLUMN()-1,FALSE)*VLOOKUP($A127,Usinas!$C:$D,2,FALSE)</f>
        <v>35.500499999999995</v>
      </c>
      <c r="L127" s="65">
        <f ca="1">VLOOKUP($A127,INDIRECT($P$2),COLUMN()-1,FALSE)*VLOOKUP($A127,Usinas!$C:$D,2,FALSE)</f>
        <v>36.015000000000001</v>
      </c>
      <c r="M127" s="65">
        <f ca="1">VLOOKUP($A127,INDIRECT($P$2),COLUMN()-1,FALSE)*VLOOKUP($A127,Usinas!$C:$D,2,FALSE)</f>
        <v>48.363</v>
      </c>
      <c r="N127" s="65">
        <f ca="1">VLOOKUP($A127,INDIRECT($P$2),COLUMN()-1,FALSE)*VLOOKUP($A127,Usinas!$C:$D,2,FALSE)</f>
        <v>66.884999999999991</v>
      </c>
      <c r="O127" s="65">
        <f ca="1">VLOOKUP($A127,INDIRECT($P$2),COLUMN()-1,FALSE)*VLOOKUP($A127,Usinas!$C:$D,2,FALSE)</f>
        <v>106.50149999999999</v>
      </c>
    </row>
    <row r="128" spans="1:15" hidden="1" outlineLevel="2" x14ac:dyDescent="0.25">
      <c r="A128" s="30">
        <v>281</v>
      </c>
      <c r="B128" s="31" t="s">
        <v>139</v>
      </c>
      <c r="D128" s="65">
        <f ca="1">VLOOKUP($A128,INDIRECT($P$2),COLUMN()-1,FALSE)*VLOOKUP($A128,Usinas!$C:$D,2,FALSE)</f>
        <v>189.3032</v>
      </c>
      <c r="E128" s="65">
        <f ca="1">VLOOKUP($A128,INDIRECT($P$2),COLUMN()-1,FALSE)*VLOOKUP($A128,Usinas!$C:$D,2,FALSE)</f>
        <v>200.3092</v>
      </c>
      <c r="F128" s="65">
        <f ca="1">VLOOKUP($A128,INDIRECT($P$2),COLUMN()-1,FALSE)*VLOOKUP($A128,Usinas!$C:$D,2,FALSE)</f>
        <v>202.5104</v>
      </c>
      <c r="G128" s="65">
        <f ca="1">VLOOKUP($A128,INDIRECT($P$2),COLUMN()-1,FALSE)*VLOOKUP($A128,Usinas!$C:$D,2,FALSE)</f>
        <v>187.102</v>
      </c>
      <c r="H128" s="65">
        <f ca="1">VLOOKUP($A128,INDIRECT($P$2),COLUMN()-1,FALSE)*VLOOKUP($A128,Usinas!$C:$D,2,FALSE)</f>
        <v>169.4924</v>
      </c>
      <c r="I128" s="65">
        <f ca="1">VLOOKUP($A128,INDIRECT($P$2),COLUMN()-1,FALSE)*VLOOKUP($A128,Usinas!$C:$D,2,FALSE)</f>
        <v>156.2852</v>
      </c>
      <c r="J128" s="65">
        <f ca="1">VLOOKUP($A128,INDIRECT($P$2),COLUMN()-1,FALSE)*VLOOKUP($A128,Usinas!$C:$D,2,FALSE)</f>
        <v>147.4804</v>
      </c>
      <c r="K128" s="65">
        <f ca="1">VLOOKUP($A128,INDIRECT($P$2),COLUMN()-1,FALSE)*VLOOKUP($A128,Usinas!$C:$D,2,FALSE)</f>
        <v>140.8768</v>
      </c>
      <c r="L128" s="65">
        <f ca="1">VLOOKUP($A128,INDIRECT($P$2),COLUMN()-1,FALSE)*VLOOKUP($A128,Usinas!$C:$D,2,FALSE)</f>
        <v>138.6756</v>
      </c>
      <c r="M128" s="65">
        <f ca="1">VLOOKUP($A128,INDIRECT($P$2),COLUMN()-1,FALSE)*VLOOKUP($A128,Usinas!$C:$D,2,FALSE)</f>
        <v>147.4804</v>
      </c>
      <c r="N128" s="65">
        <f ca="1">VLOOKUP($A128,INDIRECT($P$2),COLUMN()-1,FALSE)*VLOOKUP($A128,Usinas!$C:$D,2,FALSE)</f>
        <v>158.4864</v>
      </c>
      <c r="O128" s="65">
        <f ca="1">VLOOKUP($A128,INDIRECT($P$2),COLUMN()-1,FALSE)*VLOOKUP($A128,Usinas!$C:$D,2,FALSE)</f>
        <v>171.6936</v>
      </c>
    </row>
    <row r="129" spans="1:15" hidden="1" outlineLevel="2" x14ac:dyDescent="0.25">
      <c r="A129" s="30">
        <v>295</v>
      </c>
      <c r="B129" s="31" t="s">
        <v>140</v>
      </c>
      <c r="D129" s="65">
        <f ca="1">VLOOKUP($A129,INDIRECT($P$2),COLUMN()-1,FALSE)*VLOOKUP($A129,Usinas!$C:$D,2,FALSE)</f>
        <v>89.983599999999996</v>
      </c>
      <c r="E129" s="65">
        <f ca="1">VLOOKUP($A129,INDIRECT($P$2),COLUMN()-1,FALSE)*VLOOKUP($A129,Usinas!$C:$D,2,FALSE)</f>
        <v>93.656400000000005</v>
      </c>
      <c r="F129" s="65">
        <f ca="1">VLOOKUP($A129,INDIRECT($P$2),COLUMN()-1,FALSE)*VLOOKUP($A129,Usinas!$C:$D,2,FALSE)</f>
        <v>101.002</v>
      </c>
      <c r="G129" s="65">
        <f ca="1">VLOOKUP($A129,INDIRECT($P$2),COLUMN()-1,FALSE)*VLOOKUP($A129,Usinas!$C:$D,2,FALSE)</f>
        <v>88.147199999999998</v>
      </c>
      <c r="H129" s="65">
        <f ca="1">VLOOKUP($A129,INDIRECT($P$2),COLUMN()-1,FALSE)*VLOOKUP($A129,Usinas!$C:$D,2,FALSE)</f>
        <v>77.128799999999998</v>
      </c>
      <c r="I129" s="65">
        <f ca="1">VLOOKUP($A129,INDIRECT($P$2),COLUMN()-1,FALSE)*VLOOKUP($A129,Usinas!$C:$D,2,FALSE)</f>
        <v>72.537800000000004</v>
      </c>
      <c r="J129" s="65">
        <f ca="1">VLOOKUP($A129,INDIRECT($P$2),COLUMN()-1,FALSE)*VLOOKUP($A129,Usinas!$C:$D,2,FALSE)</f>
        <v>69.783200000000008</v>
      </c>
      <c r="K129" s="65">
        <f ca="1">VLOOKUP($A129,INDIRECT($P$2),COLUMN()-1,FALSE)*VLOOKUP($A129,Usinas!$C:$D,2,FALSE)</f>
        <v>66.110399999999998</v>
      </c>
      <c r="L129" s="65">
        <f ca="1">VLOOKUP($A129,INDIRECT($P$2),COLUMN()-1,FALSE)*VLOOKUP($A129,Usinas!$C:$D,2,FALSE)</f>
        <v>65.1922</v>
      </c>
      <c r="M129" s="65">
        <f ca="1">VLOOKUP($A129,INDIRECT($P$2),COLUMN()-1,FALSE)*VLOOKUP($A129,Usinas!$C:$D,2,FALSE)</f>
        <v>68.864999999999995</v>
      </c>
      <c r="N129" s="65">
        <f ca="1">VLOOKUP($A129,INDIRECT($P$2),COLUMN()-1,FALSE)*VLOOKUP($A129,Usinas!$C:$D,2,FALSE)</f>
        <v>72.537800000000004</v>
      </c>
      <c r="O129" s="65">
        <f ca="1">VLOOKUP($A129,INDIRECT($P$2),COLUMN()-1,FALSE)*VLOOKUP($A129,Usinas!$C:$D,2,FALSE)</f>
        <v>80.801600000000008</v>
      </c>
    </row>
    <row r="130" spans="1:15" hidden="1" outlineLevel="2" x14ac:dyDescent="0.25">
      <c r="A130" s="30">
        <v>259</v>
      </c>
      <c r="B130" s="31" t="s">
        <v>141</v>
      </c>
      <c r="D130" s="65">
        <f ca="1">VLOOKUP($A130,INDIRECT($P$2),COLUMN()-1,FALSE)*VLOOKUP($A130,Usinas!$C:$D,2,FALSE)</f>
        <v>77.948399999999992</v>
      </c>
      <c r="E130" s="65">
        <f ca="1">VLOOKUP($A130,INDIRECT($P$2),COLUMN()-1,FALSE)*VLOOKUP($A130,Usinas!$C:$D,2,FALSE)</f>
        <v>87.882999999999996</v>
      </c>
      <c r="F130" s="65">
        <f ca="1">VLOOKUP($A130,INDIRECT($P$2),COLUMN()-1,FALSE)*VLOOKUP($A130,Usinas!$C:$D,2,FALSE)</f>
        <v>86.354600000000005</v>
      </c>
      <c r="G130" s="65">
        <f ca="1">VLOOKUP($A130,INDIRECT($P$2),COLUMN()-1,FALSE)*VLOOKUP($A130,Usinas!$C:$D,2,FALSE)</f>
        <v>68.013800000000003</v>
      </c>
      <c r="H130" s="65">
        <f ca="1">VLOOKUP($A130,INDIRECT($P$2),COLUMN()-1,FALSE)*VLOOKUP($A130,Usinas!$C:$D,2,FALSE)</f>
        <v>50.437199999999997</v>
      </c>
      <c r="I130" s="65">
        <f ca="1">VLOOKUP($A130,INDIRECT($P$2),COLUMN()-1,FALSE)*VLOOKUP($A130,Usinas!$C:$D,2,FALSE)</f>
        <v>42.795200000000001</v>
      </c>
      <c r="J130" s="65">
        <f ca="1">VLOOKUP($A130,INDIRECT($P$2),COLUMN()-1,FALSE)*VLOOKUP($A130,Usinas!$C:$D,2,FALSE)</f>
        <v>38.974199999999996</v>
      </c>
      <c r="K130" s="65">
        <f ca="1">VLOOKUP($A130,INDIRECT($P$2),COLUMN()-1,FALSE)*VLOOKUP($A130,Usinas!$C:$D,2,FALSE)</f>
        <v>35.917400000000001</v>
      </c>
      <c r="L130" s="65">
        <f ca="1">VLOOKUP($A130,INDIRECT($P$2),COLUMN()-1,FALSE)*VLOOKUP($A130,Usinas!$C:$D,2,FALSE)</f>
        <v>36.681600000000003</v>
      </c>
      <c r="M130" s="65">
        <f ca="1">VLOOKUP($A130,INDIRECT($P$2),COLUMN()-1,FALSE)*VLOOKUP($A130,Usinas!$C:$D,2,FALSE)</f>
        <v>39.738399999999999</v>
      </c>
      <c r="N130" s="65">
        <f ca="1">VLOOKUP($A130,INDIRECT($P$2),COLUMN()-1,FALSE)*VLOOKUP($A130,Usinas!$C:$D,2,FALSE)</f>
        <v>46.616199999999999</v>
      </c>
      <c r="O130" s="65">
        <f ca="1">VLOOKUP($A130,INDIRECT($P$2),COLUMN()-1,FALSE)*VLOOKUP($A130,Usinas!$C:$D,2,FALSE)</f>
        <v>61.135999999999996</v>
      </c>
    </row>
    <row r="131" spans="1:15" hidden="1" outlineLevel="2" x14ac:dyDescent="0.25">
      <c r="A131" s="30">
        <v>252</v>
      </c>
      <c r="B131" s="31" t="s">
        <v>142</v>
      </c>
      <c r="D131" s="65">
        <f ca="1">VLOOKUP($A131,INDIRECT($P$2),COLUMN()-1,FALSE)*VLOOKUP($A131,Usinas!$C:$D,2,FALSE)</f>
        <v>126.8982</v>
      </c>
      <c r="E131" s="65">
        <f ca="1">VLOOKUP($A131,INDIRECT($P$2),COLUMN()-1,FALSE)*VLOOKUP($A131,Usinas!$C:$D,2,FALSE)</f>
        <v>143.07149999999999</v>
      </c>
      <c r="F131" s="65">
        <f ca="1">VLOOKUP($A131,INDIRECT($P$2),COLUMN()-1,FALSE)*VLOOKUP($A131,Usinas!$C:$D,2,FALSE)</f>
        <v>140.58330000000001</v>
      </c>
      <c r="G131" s="65">
        <f ca="1">VLOOKUP($A131,INDIRECT($P$2),COLUMN()-1,FALSE)*VLOOKUP($A131,Usinas!$C:$D,2,FALSE)</f>
        <v>110.72490000000001</v>
      </c>
      <c r="H131" s="65">
        <f ca="1">VLOOKUP($A131,INDIRECT($P$2),COLUMN()-1,FALSE)*VLOOKUP($A131,Usinas!$C:$D,2,FALSE)</f>
        <v>82.110600000000005</v>
      </c>
      <c r="I131" s="65">
        <f ca="1">VLOOKUP($A131,INDIRECT($P$2),COLUMN()-1,FALSE)*VLOOKUP($A131,Usinas!$C:$D,2,FALSE)</f>
        <v>69.669600000000003</v>
      </c>
      <c r="J131" s="65">
        <f ca="1">VLOOKUP($A131,INDIRECT($P$2),COLUMN()-1,FALSE)*VLOOKUP($A131,Usinas!$C:$D,2,FALSE)</f>
        <v>63.449100000000001</v>
      </c>
      <c r="K131" s="65">
        <f ca="1">VLOOKUP($A131,INDIRECT($P$2),COLUMN()-1,FALSE)*VLOOKUP($A131,Usinas!$C:$D,2,FALSE)</f>
        <v>58.472699999999996</v>
      </c>
      <c r="L131" s="65">
        <f ca="1">VLOOKUP($A131,INDIRECT($P$2),COLUMN()-1,FALSE)*VLOOKUP($A131,Usinas!$C:$D,2,FALSE)</f>
        <v>59.716799999999999</v>
      </c>
      <c r="M131" s="65">
        <f ca="1">VLOOKUP($A131,INDIRECT($P$2),COLUMN()-1,FALSE)*VLOOKUP($A131,Usinas!$C:$D,2,FALSE)</f>
        <v>64.693200000000004</v>
      </c>
      <c r="N131" s="65">
        <f ca="1">VLOOKUP($A131,INDIRECT($P$2),COLUMN()-1,FALSE)*VLOOKUP($A131,Usinas!$C:$D,2,FALSE)</f>
        <v>75.890100000000004</v>
      </c>
      <c r="O131" s="65">
        <f ca="1">VLOOKUP($A131,INDIRECT($P$2),COLUMN()-1,FALSE)*VLOOKUP($A131,Usinas!$C:$D,2,FALSE)</f>
        <v>99.527999999999992</v>
      </c>
    </row>
    <row r="132" spans="1:15" hidden="1" outlineLevel="1" x14ac:dyDescent="0.25">
      <c r="A132" s="40"/>
      <c r="B132" s="41" t="s">
        <v>56</v>
      </c>
      <c r="D132" s="83">
        <f t="shared" ref="D132:O132" ca="1" si="11">SUM(D127:D131)</f>
        <v>641.57039999999995</v>
      </c>
      <c r="E132" s="49">
        <f t="shared" ca="1" si="11"/>
        <v>702.42259999999999</v>
      </c>
      <c r="F132" s="49">
        <f t="shared" ca="1" si="11"/>
        <v>696.63380000000006</v>
      </c>
      <c r="G132" s="49">
        <f t="shared" ca="1" si="11"/>
        <v>565.11990000000003</v>
      </c>
      <c r="H132" s="49">
        <f t="shared" ca="1" si="11"/>
        <v>442.45249999999999</v>
      </c>
      <c r="I132" s="84">
        <f t="shared" ca="1" si="11"/>
        <v>388.62180000000006</v>
      </c>
      <c r="J132" s="83">
        <f t="shared" ca="1" si="11"/>
        <v>359.81790000000001</v>
      </c>
      <c r="K132" s="49">
        <f t="shared" ca="1" si="11"/>
        <v>336.87779999999998</v>
      </c>
      <c r="L132" s="49">
        <f t="shared" ca="1" si="11"/>
        <v>336.28120000000001</v>
      </c>
      <c r="M132" s="49">
        <f t="shared" ca="1" si="11"/>
        <v>369.14</v>
      </c>
      <c r="N132" s="49">
        <f t="shared" ca="1" si="11"/>
        <v>420.41550000000001</v>
      </c>
      <c r="O132" s="84">
        <f t="shared" ca="1" si="11"/>
        <v>519.66070000000002</v>
      </c>
    </row>
    <row r="133" spans="1:15" hidden="1" outlineLevel="1" x14ac:dyDescent="0.25">
      <c r="A133" s="42"/>
      <c r="B133" s="43" t="s">
        <v>0</v>
      </c>
      <c r="D133" s="80"/>
      <c r="E133" s="81"/>
      <c r="F133" s="81"/>
      <c r="G133" s="81"/>
      <c r="H133" s="81"/>
      <c r="I133" s="82"/>
      <c r="J133" s="80"/>
      <c r="K133" s="81"/>
      <c r="L133" s="81"/>
      <c r="M133" s="81"/>
      <c r="N133" s="81"/>
      <c r="O133" s="82"/>
    </row>
    <row r="134" spans="1:15" hidden="1" outlineLevel="1" x14ac:dyDescent="0.25">
      <c r="A134" s="1"/>
      <c r="B134" s="135"/>
      <c r="D134" s="50"/>
      <c r="E134" s="51"/>
      <c r="F134" s="51"/>
      <c r="G134" s="51"/>
      <c r="H134" s="51"/>
      <c r="I134" s="51"/>
      <c r="J134" s="50"/>
      <c r="K134" s="51"/>
      <c r="L134" s="51"/>
      <c r="M134" s="51"/>
      <c r="N134" s="51"/>
      <c r="O134" s="51"/>
    </row>
    <row r="135" spans="1:15" hidden="1" outlineLevel="1" x14ac:dyDescent="0.25">
      <c r="A135" s="38"/>
      <c r="B135" s="39"/>
      <c r="D135" s="332" t="s">
        <v>143</v>
      </c>
      <c r="E135" s="333" t="s">
        <v>58</v>
      </c>
      <c r="F135" s="333" t="s">
        <v>144</v>
      </c>
      <c r="G135" s="333"/>
      <c r="H135" s="333"/>
      <c r="I135" s="334"/>
      <c r="J135" s="332" t="s">
        <v>143</v>
      </c>
      <c r="K135" s="333" t="s">
        <v>58</v>
      </c>
      <c r="L135" s="333" t="s">
        <v>144</v>
      </c>
      <c r="M135" s="333"/>
      <c r="N135" s="333"/>
      <c r="O135" s="334"/>
    </row>
    <row r="136" spans="1:15" hidden="1" outlineLevel="2" x14ac:dyDescent="0.25">
      <c r="A136" s="30">
        <v>255</v>
      </c>
      <c r="B136" s="31" t="s">
        <v>145</v>
      </c>
      <c r="D136" s="65">
        <f ca="1">VLOOKUP($A136,INDIRECT($P$2),COLUMN()-1,FALSE)*VLOOKUP($A136,Usinas!$C:$D,2,FALSE)</f>
        <v>517.93219999999997</v>
      </c>
      <c r="E136" s="65">
        <f ca="1">VLOOKUP($A136,INDIRECT($P$2),COLUMN()-1,FALSE)*VLOOKUP($A136,Usinas!$C:$D,2,FALSE)</f>
        <v>350.76099999999997</v>
      </c>
      <c r="F136" s="65">
        <f ca="1">VLOOKUP($A136,INDIRECT($P$2),COLUMN()-1,FALSE)*VLOOKUP($A136,Usinas!$C:$D,2,FALSE)</f>
        <v>317.92379999999997</v>
      </c>
      <c r="G136" s="65">
        <f ca="1">VLOOKUP($A136,INDIRECT($P$2),COLUMN()-1,FALSE)*VLOOKUP($A136,Usinas!$C:$D,2,FALSE)</f>
        <v>200.00839999999999</v>
      </c>
      <c r="H136" s="65">
        <f ca="1">VLOOKUP($A136,INDIRECT($P$2),COLUMN()-1,FALSE)*VLOOKUP($A136,Usinas!$C:$D,2,FALSE)</f>
        <v>105.9746</v>
      </c>
      <c r="I136" s="65">
        <f ca="1">VLOOKUP($A136,INDIRECT($P$2),COLUMN()-1,FALSE)*VLOOKUP($A136,Usinas!$C:$D,2,FALSE)</f>
        <v>79.107799999999997</v>
      </c>
      <c r="J136" s="65">
        <f ca="1">VLOOKUP($A136,INDIRECT($P$2),COLUMN()-1,FALSE)*VLOOKUP($A136,Usinas!$C:$D,2,FALSE)</f>
        <v>65.674399999999991</v>
      </c>
      <c r="K136" s="65">
        <f ca="1">VLOOKUP($A136,INDIRECT($P$2),COLUMN()-1,FALSE)*VLOOKUP($A136,Usinas!$C:$D,2,FALSE)</f>
        <v>55.226199999999999</v>
      </c>
      <c r="L136" s="65">
        <f ca="1">VLOOKUP($A136,INDIRECT($P$2),COLUMN()-1,FALSE)*VLOOKUP($A136,Usinas!$C:$D,2,FALSE)</f>
        <v>52.241</v>
      </c>
      <c r="M136" s="65">
        <f ca="1">VLOOKUP($A136,INDIRECT($P$2),COLUMN()-1,FALSE)*VLOOKUP($A136,Usinas!$C:$D,2,FALSE)</f>
        <v>101.49679999999999</v>
      </c>
      <c r="N136" s="65">
        <f ca="1">VLOOKUP($A136,INDIRECT($P$2),COLUMN()-1,FALSE)*VLOOKUP($A136,Usinas!$C:$D,2,FALSE)</f>
        <v>300.01259999999996</v>
      </c>
      <c r="O136" s="65">
        <f ca="1">VLOOKUP($A136,INDIRECT($P$2),COLUMN()-1,FALSE)*VLOOKUP($A136,Usinas!$C:$D,2,FALSE)</f>
        <v>537.33600000000001</v>
      </c>
    </row>
    <row r="137" spans="1:15" hidden="1" outlineLevel="1" x14ac:dyDescent="0.25">
      <c r="A137" s="40"/>
      <c r="B137" s="41" t="s">
        <v>56</v>
      </c>
      <c r="D137" s="83">
        <f t="shared" ref="D137:O137" ca="1" si="12">D136</f>
        <v>517.93219999999997</v>
      </c>
      <c r="E137" s="49">
        <f t="shared" ca="1" si="12"/>
        <v>350.76099999999997</v>
      </c>
      <c r="F137" s="49">
        <f t="shared" ca="1" si="12"/>
        <v>317.92379999999997</v>
      </c>
      <c r="G137" s="49">
        <f t="shared" ca="1" si="12"/>
        <v>200.00839999999999</v>
      </c>
      <c r="H137" s="49">
        <f t="shared" ca="1" si="12"/>
        <v>105.9746</v>
      </c>
      <c r="I137" s="84">
        <f t="shared" ca="1" si="12"/>
        <v>79.107799999999997</v>
      </c>
      <c r="J137" s="83">
        <f t="shared" ca="1" si="12"/>
        <v>65.674399999999991</v>
      </c>
      <c r="K137" s="49">
        <f t="shared" ca="1" si="12"/>
        <v>55.226199999999999</v>
      </c>
      <c r="L137" s="49">
        <f t="shared" ca="1" si="12"/>
        <v>52.241</v>
      </c>
      <c r="M137" s="49">
        <f t="shared" ca="1" si="12"/>
        <v>101.49679999999999</v>
      </c>
      <c r="N137" s="49">
        <f t="shared" ca="1" si="12"/>
        <v>300.01259999999996</v>
      </c>
      <c r="O137" s="84">
        <f t="shared" ca="1" si="12"/>
        <v>537.33600000000001</v>
      </c>
    </row>
    <row r="138" spans="1:15" hidden="1" outlineLevel="1" x14ac:dyDescent="0.25">
      <c r="A138" s="42"/>
      <c r="B138" s="43" t="s">
        <v>0</v>
      </c>
      <c r="D138" s="80"/>
      <c r="E138" s="81"/>
      <c r="F138" s="81"/>
      <c r="G138" s="81"/>
      <c r="H138" s="81"/>
      <c r="I138" s="82"/>
      <c r="J138" s="80"/>
      <c r="K138" s="81"/>
      <c r="L138" s="81"/>
      <c r="M138" s="81"/>
      <c r="N138" s="81"/>
      <c r="O138" s="82"/>
    </row>
    <row r="139" spans="1:15" hidden="1" outlineLevel="1" x14ac:dyDescent="0.25">
      <c r="A139" s="1"/>
      <c r="B139" s="135"/>
      <c r="D139" s="50"/>
      <c r="E139" s="51"/>
      <c r="F139" s="51"/>
      <c r="G139" s="51"/>
      <c r="H139" s="51"/>
      <c r="I139" s="51"/>
      <c r="J139" s="50"/>
      <c r="K139" s="51"/>
      <c r="L139" s="51"/>
      <c r="M139" s="51"/>
      <c r="N139" s="51"/>
      <c r="O139" s="51"/>
    </row>
    <row r="140" spans="1:15" hidden="1" outlineLevel="1" x14ac:dyDescent="0.25">
      <c r="A140" s="38"/>
      <c r="B140" s="39"/>
      <c r="D140" s="332" t="s">
        <v>146</v>
      </c>
      <c r="E140" s="333" t="s">
        <v>58</v>
      </c>
      <c r="F140" s="333" t="s">
        <v>147</v>
      </c>
      <c r="G140" s="333"/>
      <c r="H140" s="333"/>
      <c r="I140" s="334"/>
      <c r="J140" s="332" t="s">
        <v>146</v>
      </c>
      <c r="K140" s="333" t="s">
        <v>58</v>
      </c>
      <c r="L140" s="333" t="s">
        <v>147</v>
      </c>
      <c r="M140" s="333"/>
      <c r="N140" s="333"/>
      <c r="O140" s="334"/>
    </row>
    <row r="141" spans="1:15" hidden="1" outlineLevel="2" x14ac:dyDescent="0.25">
      <c r="A141" s="30">
        <v>279</v>
      </c>
      <c r="B141" s="31" t="s">
        <v>148</v>
      </c>
      <c r="D141" s="65">
        <f ca="1">VLOOKUP($A141,INDIRECT($P$2),COLUMN()-1,FALSE)*VLOOKUP($A141,Usinas!$C:$D,2,FALSE)</f>
        <v>118.9875</v>
      </c>
      <c r="E141" s="65">
        <f ca="1">VLOOKUP($A141,INDIRECT($P$2),COLUMN()-1,FALSE)*VLOOKUP($A141,Usinas!$C:$D,2,FALSE)</f>
        <v>185.87100000000001</v>
      </c>
      <c r="F141" s="65">
        <f ca="1">VLOOKUP($A141,INDIRECT($P$2),COLUMN()-1,FALSE)*VLOOKUP($A141,Usinas!$C:$D,2,FALSE)</f>
        <v>211.17150000000001</v>
      </c>
      <c r="G141" s="65">
        <f ca="1">VLOOKUP($A141,INDIRECT($P$2),COLUMN()-1,FALSE)*VLOOKUP($A141,Usinas!$C:$D,2,FALSE)</f>
        <v>189.6285</v>
      </c>
      <c r="H141" s="65">
        <f ca="1">VLOOKUP($A141,INDIRECT($P$2),COLUMN()-1,FALSE)*VLOOKUP($A141,Usinas!$C:$D,2,FALSE)</f>
        <v>115.73099999999999</v>
      </c>
      <c r="I141" s="65">
        <f ca="1">VLOOKUP($A141,INDIRECT($P$2),COLUMN()-1,FALSE)*VLOOKUP($A141,Usinas!$C:$D,2,FALSE)</f>
        <v>61.372500000000002</v>
      </c>
      <c r="J141" s="65">
        <f ca="1">VLOOKUP($A141,INDIRECT($P$2),COLUMN()-1,FALSE)*VLOOKUP($A141,Usinas!$C:$D,2,FALSE)</f>
        <v>36.322499999999998</v>
      </c>
      <c r="K141" s="65">
        <f ca="1">VLOOKUP($A141,INDIRECT($P$2),COLUMN()-1,FALSE)*VLOOKUP($A141,Usinas!$C:$D,2,FALSE)</f>
        <v>22.294499999999999</v>
      </c>
      <c r="L141" s="65">
        <f ca="1">VLOOKUP($A141,INDIRECT($P$2),COLUMN()-1,FALSE)*VLOOKUP($A141,Usinas!$C:$D,2,FALSE)</f>
        <v>15.781499999999999</v>
      </c>
      <c r="M141" s="65">
        <f ca="1">VLOOKUP($A141,INDIRECT($P$2),COLUMN()-1,FALSE)*VLOOKUP($A141,Usinas!$C:$D,2,FALSE)</f>
        <v>15.03</v>
      </c>
      <c r="N141" s="65">
        <f ca="1">VLOOKUP($A141,INDIRECT($P$2),COLUMN()-1,FALSE)*VLOOKUP($A141,Usinas!$C:$D,2,FALSE)</f>
        <v>29.308499999999999</v>
      </c>
      <c r="O141" s="65">
        <f ca="1">VLOOKUP($A141,INDIRECT($P$2),COLUMN()-1,FALSE)*VLOOKUP($A141,Usinas!$C:$D,2,FALSE)</f>
        <v>59.619</v>
      </c>
    </row>
    <row r="142" spans="1:15" hidden="1" outlineLevel="2" x14ac:dyDescent="0.25">
      <c r="A142" s="30">
        <v>145</v>
      </c>
      <c r="B142" s="31" t="s">
        <v>149</v>
      </c>
      <c r="D142" s="65">
        <f ca="1">VLOOKUP($A142,INDIRECT($P$2),COLUMN()-1,FALSE)*VLOOKUP($A142,Usinas!$C:$D,2,FALSE)</f>
        <v>62.805600000000005</v>
      </c>
      <c r="E142" s="65">
        <f ca="1">VLOOKUP($A142,INDIRECT($P$2),COLUMN()-1,FALSE)*VLOOKUP($A142,Usinas!$C:$D,2,FALSE)</f>
        <v>72.468000000000004</v>
      </c>
      <c r="F142" s="65">
        <f ca="1">VLOOKUP($A142,INDIRECT($P$2),COLUMN()-1,FALSE)*VLOOKUP($A142,Usinas!$C:$D,2,FALSE)</f>
        <v>79.446400000000011</v>
      </c>
      <c r="G142" s="65">
        <f ca="1">VLOOKUP($A142,INDIRECT($P$2),COLUMN()-1,FALSE)*VLOOKUP($A142,Usinas!$C:$D,2,FALSE)</f>
        <v>59.584800000000008</v>
      </c>
      <c r="H142" s="65">
        <f ca="1">VLOOKUP($A142,INDIRECT($P$2),COLUMN()-1,FALSE)*VLOOKUP($A142,Usinas!$C:$D,2,FALSE)</f>
        <v>41.870400000000004</v>
      </c>
      <c r="I142" s="65">
        <f ca="1">VLOOKUP($A142,INDIRECT($P$2),COLUMN()-1,FALSE)*VLOOKUP($A142,Usinas!$C:$D,2,FALSE)</f>
        <v>34.355200000000004</v>
      </c>
      <c r="J142" s="65">
        <f ca="1">VLOOKUP($A142,INDIRECT($P$2),COLUMN()-1,FALSE)*VLOOKUP($A142,Usinas!$C:$D,2,FALSE)</f>
        <v>31.134400000000003</v>
      </c>
      <c r="K142" s="65">
        <f ca="1">VLOOKUP($A142,INDIRECT($P$2),COLUMN()-1,FALSE)*VLOOKUP($A142,Usinas!$C:$D,2,FALSE)</f>
        <v>28.987200000000001</v>
      </c>
      <c r="L142" s="65">
        <f ca="1">VLOOKUP($A142,INDIRECT($P$2),COLUMN()-1,FALSE)*VLOOKUP($A142,Usinas!$C:$D,2,FALSE)</f>
        <v>27.913600000000002</v>
      </c>
      <c r="M142" s="65">
        <f ca="1">VLOOKUP($A142,INDIRECT($P$2),COLUMN()-1,FALSE)*VLOOKUP($A142,Usinas!$C:$D,2,FALSE)</f>
        <v>30.060800000000004</v>
      </c>
      <c r="N142" s="65">
        <f ca="1">VLOOKUP($A142,INDIRECT($P$2),COLUMN()-1,FALSE)*VLOOKUP($A142,Usinas!$C:$D,2,FALSE)</f>
        <v>34.892000000000003</v>
      </c>
      <c r="O142" s="65">
        <f ca="1">VLOOKUP($A142,INDIRECT($P$2),COLUMN()-1,FALSE)*VLOOKUP($A142,Usinas!$C:$D,2,FALSE)</f>
        <v>47.238400000000006</v>
      </c>
    </row>
    <row r="143" spans="1:15" hidden="1" outlineLevel="2" x14ac:dyDescent="0.25">
      <c r="A143" s="30">
        <v>229</v>
      </c>
      <c r="B143" s="31" t="s">
        <v>402</v>
      </c>
      <c r="D143" s="65">
        <f ca="1">VLOOKUP($A143,INDIRECT($P$2),COLUMN()-1,FALSE)*VLOOKUP($A143,Usinas!$C:$D,2,FALSE)</f>
        <v>0</v>
      </c>
      <c r="E143" s="65">
        <f ca="1">VLOOKUP($A143,INDIRECT($P$2),COLUMN()-1,FALSE)*VLOOKUP($A143,Usinas!$C:$D,2,FALSE)</f>
        <v>0</v>
      </c>
      <c r="F143" s="65">
        <f ca="1">VLOOKUP($A143,INDIRECT($P$2),COLUMN()-1,FALSE)*VLOOKUP($A143,Usinas!$C:$D,2,FALSE)</f>
        <v>0</v>
      </c>
      <c r="G143" s="65">
        <f ca="1">VLOOKUP($A143,INDIRECT($P$2),COLUMN()-1,FALSE)*VLOOKUP($A143,Usinas!$C:$D,2,FALSE)</f>
        <v>0</v>
      </c>
      <c r="H143" s="65">
        <f ca="1">VLOOKUP($A143,INDIRECT($P$2),COLUMN()-1,FALSE)*VLOOKUP($A143,Usinas!$C:$D,2,FALSE)</f>
        <v>0</v>
      </c>
      <c r="I143" s="65">
        <f ca="1">VLOOKUP($A143,INDIRECT($P$2),COLUMN()-1,FALSE)*VLOOKUP($A143,Usinas!$C:$D,2,FALSE)</f>
        <v>0</v>
      </c>
      <c r="J143" s="65">
        <f ca="1">VLOOKUP($A143,INDIRECT($P$2),COLUMN()-1,FALSE)*VLOOKUP($A143,Usinas!$C:$D,2,FALSE)</f>
        <v>0</v>
      </c>
      <c r="K143" s="65">
        <f ca="1">VLOOKUP($A143,INDIRECT($P$2),COLUMN()-1,FALSE)*VLOOKUP($A143,Usinas!$C:$D,2,FALSE)</f>
        <v>0</v>
      </c>
      <c r="L143" s="65">
        <f ca="1">VLOOKUP($A143,INDIRECT($P$2),COLUMN()-1,FALSE)*VLOOKUP($A143,Usinas!$C:$D,2,FALSE)</f>
        <v>0</v>
      </c>
      <c r="M143" s="65">
        <f ca="1">VLOOKUP($A143,INDIRECT($P$2),COLUMN()-1,FALSE)*VLOOKUP($A143,Usinas!$C:$D,2,FALSE)</f>
        <v>0</v>
      </c>
      <c r="N143" s="65">
        <f ca="1">VLOOKUP($A143,INDIRECT($P$2),COLUMN()-1,FALSE)*VLOOKUP($A143,Usinas!$C:$D,2,FALSE)</f>
        <v>0</v>
      </c>
      <c r="O143" s="65">
        <f ca="1">VLOOKUP($A143,INDIRECT($P$2),COLUMN()-1,FALSE)*VLOOKUP($A143,Usinas!$C:$D,2,FALSE)</f>
        <v>0</v>
      </c>
    </row>
    <row r="144" spans="1:15" hidden="1" outlineLevel="2" x14ac:dyDescent="0.25">
      <c r="A144" s="30">
        <v>285</v>
      </c>
      <c r="B144" s="31" t="s">
        <v>150</v>
      </c>
      <c r="D144" s="65">
        <f ca="1">VLOOKUP($A144,INDIRECT($P$2),COLUMN()-1,FALSE)*VLOOKUP($A144,Usinas!$C:$D,2,FALSE)</f>
        <v>0</v>
      </c>
      <c r="E144" s="65">
        <f ca="1">VLOOKUP($A144,INDIRECT($P$2),COLUMN()-1,FALSE)*VLOOKUP($A144,Usinas!$C:$D,2,FALSE)</f>
        <v>0</v>
      </c>
      <c r="F144" s="65">
        <f ca="1">VLOOKUP($A144,INDIRECT($P$2),COLUMN()-1,FALSE)*VLOOKUP($A144,Usinas!$C:$D,2,FALSE)</f>
        <v>0</v>
      </c>
      <c r="G144" s="65">
        <f ca="1">VLOOKUP($A144,INDIRECT($P$2),COLUMN()-1,FALSE)*VLOOKUP($A144,Usinas!$C:$D,2,FALSE)</f>
        <v>0</v>
      </c>
      <c r="H144" s="65">
        <f ca="1">VLOOKUP($A144,INDIRECT($P$2),COLUMN()-1,FALSE)*VLOOKUP($A144,Usinas!$C:$D,2,FALSE)</f>
        <v>0</v>
      </c>
      <c r="I144" s="65">
        <f ca="1">VLOOKUP($A144,INDIRECT($P$2),COLUMN()-1,FALSE)*VLOOKUP($A144,Usinas!$C:$D,2,FALSE)</f>
        <v>0</v>
      </c>
      <c r="J144" s="65">
        <f ca="1">VLOOKUP($A144,INDIRECT($P$2),COLUMN()-1,FALSE)*VLOOKUP($A144,Usinas!$C:$D,2,FALSE)</f>
        <v>0</v>
      </c>
      <c r="K144" s="65">
        <f ca="1">VLOOKUP($A144,INDIRECT($P$2),COLUMN()-1,FALSE)*VLOOKUP($A144,Usinas!$C:$D,2,FALSE)</f>
        <v>0</v>
      </c>
      <c r="L144" s="65">
        <f ca="1">VLOOKUP($A144,INDIRECT($P$2),COLUMN()-1,FALSE)*VLOOKUP($A144,Usinas!$C:$D,2,FALSE)</f>
        <v>0</v>
      </c>
      <c r="M144" s="65">
        <f ca="1">VLOOKUP($A144,INDIRECT($P$2),COLUMN()-1,FALSE)*VLOOKUP($A144,Usinas!$C:$D,2,FALSE)</f>
        <v>0</v>
      </c>
      <c r="N144" s="65">
        <f ca="1">VLOOKUP($A144,INDIRECT($P$2),COLUMN()-1,FALSE)*VLOOKUP($A144,Usinas!$C:$D,2,FALSE)</f>
        <v>0</v>
      </c>
      <c r="O144" s="65">
        <f ca="1">VLOOKUP($A144,INDIRECT($P$2),COLUMN()-1,FALSE)*VLOOKUP($A144,Usinas!$C:$D,2,FALSE)</f>
        <v>0</v>
      </c>
    </row>
    <row r="145" spans="1:15" hidden="1" outlineLevel="2" x14ac:dyDescent="0.25">
      <c r="A145" s="30">
        <v>287</v>
      </c>
      <c r="B145" s="31" t="s">
        <v>151</v>
      </c>
      <c r="D145" s="65">
        <f ca="1">VLOOKUP($A145,INDIRECT($P$2),COLUMN()-1,FALSE)*VLOOKUP($A145,Usinas!$C:$D,2,FALSE)</f>
        <v>0</v>
      </c>
      <c r="E145" s="65">
        <f ca="1">VLOOKUP($A145,INDIRECT($P$2),COLUMN()-1,FALSE)*VLOOKUP($A145,Usinas!$C:$D,2,FALSE)</f>
        <v>0</v>
      </c>
      <c r="F145" s="65">
        <f ca="1">VLOOKUP($A145,INDIRECT($P$2),COLUMN()-1,FALSE)*VLOOKUP($A145,Usinas!$C:$D,2,FALSE)</f>
        <v>0</v>
      </c>
      <c r="G145" s="65">
        <f ca="1">VLOOKUP($A145,INDIRECT($P$2),COLUMN()-1,FALSE)*VLOOKUP($A145,Usinas!$C:$D,2,FALSE)</f>
        <v>0</v>
      </c>
      <c r="H145" s="65">
        <f ca="1">VLOOKUP($A145,INDIRECT($P$2),COLUMN()-1,FALSE)*VLOOKUP($A145,Usinas!$C:$D,2,FALSE)</f>
        <v>0</v>
      </c>
      <c r="I145" s="65">
        <f ca="1">VLOOKUP($A145,INDIRECT($P$2),COLUMN()-1,FALSE)*VLOOKUP($A145,Usinas!$C:$D,2,FALSE)</f>
        <v>0</v>
      </c>
      <c r="J145" s="65">
        <f ca="1">VLOOKUP($A145,INDIRECT($P$2),COLUMN()-1,FALSE)*VLOOKUP($A145,Usinas!$C:$D,2,FALSE)</f>
        <v>0</v>
      </c>
      <c r="K145" s="65">
        <f ca="1">VLOOKUP($A145,INDIRECT($P$2),COLUMN()-1,FALSE)*VLOOKUP($A145,Usinas!$C:$D,2,FALSE)</f>
        <v>0</v>
      </c>
      <c r="L145" s="65">
        <f ca="1">VLOOKUP($A145,INDIRECT($P$2),COLUMN()-1,FALSE)*VLOOKUP($A145,Usinas!$C:$D,2,FALSE)</f>
        <v>0</v>
      </c>
      <c r="M145" s="65">
        <f ca="1">VLOOKUP($A145,INDIRECT($P$2),COLUMN()-1,FALSE)*VLOOKUP($A145,Usinas!$C:$D,2,FALSE)</f>
        <v>0</v>
      </c>
      <c r="N145" s="65">
        <f ca="1">VLOOKUP($A145,INDIRECT($P$2),COLUMN()-1,FALSE)*VLOOKUP($A145,Usinas!$C:$D,2,FALSE)</f>
        <v>0</v>
      </c>
      <c r="O145" s="65">
        <f ca="1">VLOOKUP($A145,INDIRECT($P$2),COLUMN()-1,FALSE)*VLOOKUP($A145,Usinas!$C:$D,2,FALSE)</f>
        <v>0</v>
      </c>
    </row>
    <row r="146" spans="1:15" hidden="1" outlineLevel="2" x14ac:dyDescent="0.25">
      <c r="A146" s="30">
        <v>291</v>
      </c>
      <c r="B146" s="31" t="s">
        <v>152</v>
      </c>
      <c r="D146" s="65">
        <f ca="1">VLOOKUP($A146,INDIRECT($P$2),COLUMN()-1,FALSE)*VLOOKUP($A146,Usinas!$C:$D,2,FALSE)</f>
        <v>438.79450000000003</v>
      </c>
      <c r="E146" s="65">
        <f ca="1">VLOOKUP($A146,INDIRECT($P$2),COLUMN()-1,FALSE)*VLOOKUP($A146,Usinas!$C:$D,2,FALSE)</f>
        <v>649.06830000000002</v>
      </c>
      <c r="F146" s="65">
        <f ca="1">VLOOKUP($A146,INDIRECT($P$2),COLUMN()-1,FALSE)*VLOOKUP($A146,Usinas!$C:$D,2,FALSE)</f>
        <v>724.6626</v>
      </c>
      <c r="G146" s="65">
        <f ca="1">VLOOKUP($A146,INDIRECT($P$2),COLUMN()-1,FALSE)*VLOOKUP($A146,Usinas!$C:$D,2,FALSE)</f>
        <v>633.42809999999997</v>
      </c>
      <c r="H146" s="65">
        <f ca="1">VLOOKUP($A146,INDIRECT($P$2),COLUMN()-1,FALSE)*VLOOKUP($A146,Usinas!$C:$D,2,FALSE)</f>
        <v>402.30070000000001</v>
      </c>
      <c r="I146" s="65">
        <f ca="1">VLOOKUP($A146,INDIRECT($P$2),COLUMN()-1,FALSE)*VLOOKUP($A146,Usinas!$C:$D,2,FALSE)</f>
        <v>187.6824</v>
      </c>
      <c r="J146" s="65">
        <f ca="1">VLOOKUP($A146,INDIRECT($P$2),COLUMN()-1,FALSE)*VLOOKUP($A146,Usinas!$C:$D,2,FALSE)</f>
        <v>86.021100000000004</v>
      </c>
      <c r="K146" s="65">
        <f ca="1">VLOOKUP($A146,INDIRECT($P$2),COLUMN()-1,FALSE)*VLOOKUP($A146,Usinas!$C:$D,2,FALSE)</f>
        <v>49.527299999999997</v>
      </c>
      <c r="L146" s="65">
        <f ca="1">VLOOKUP($A146,INDIRECT($P$2),COLUMN()-1,FALSE)*VLOOKUP($A146,Usinas!$C:$D,2,FALSE)</f>
        <v>40.838300000000004</v>
      </c>
      <c r="M146" s="65">
        <f ca="1">VLOOKUP($A146,INDIRECT($P$2),COLUMN()-1,FALSE)*VLOOKUP($A146,Usinas!$C:$D,2,FALSE)</f>
        <v>46.9206</v>
      </c>
      <c r="N146" s="65">
        <f ca="1">VLOOKUP($A146,INDIRECT($P$2),COLUMN()-1,FALSE)*VLOOKUP($A146,Usinas!$C:$D,2,FALSE)</f>
        <v>81.676600000000008</v>
      </c>
      <c r="O146" s="65">
        <f ca="1">VLOOKUP($A146,INDIRECT($P$2),COLUMN()-1,FALSE)*VLOOKUP($A146,Usinas!$C:$D,2,FALSE)</f>
        <v>198.97810000000001</v>
      </c>
    </row>
    <row r="147" spans="1:15" hidden="1" outlineLevel="2" x14ac:dyDescent="0.25">
      <c r="A147" s="30">
        <v>296</v>
      </c>
      <c r="B147" s="31" t="s">
        <v>153</v>
      </c>
      <c r="D147" s="65">
        <f ca="1">VLOOKUP($A147,INDIRECT($P$2),COLUMN()-1,FALSE)*VLOOKUP($A147,Usinas!$C:$D,2,FALSE)</f>
        <v>49.378</v>
      </c>
      <c r="E147" s="65">
        <f ca="1">VLOOKUP($A147,INDIRECT($P$2),COLUMN()-1,FALSE)*VLOOKUP($A147,Usinas!$C:$D,2,FALSE)</f>
        <v>52.199600000000004</v>
      </c>
      <c r="F147" s="65">
        <f ca="1">VLOOKUP($A147,INDIRECT($P$2),COLUMN()-1,FALSE)*VLOOKUP($A147,Usinas!$C:$D,2,FALSE)</f>
        <v>55.0212</v>
      </c>
      <c r="G147" s="65">
        <f ca="1">VLOOKUP($A147,INDIRECT($P$2),COLUMN()-1,FALSE)*VLOOKUP($A147,Usinas!$C:$D,2,FALSE)</f>
        <v>52.199600000000004</v>
      </c>
      <c r="H147" s="65">
        <f ca="1">VLOOKUP($A147,INDIRECT($P$2),COLUMN()-1,FALSE)*VLOOKUP($A147,Usinas!$C:$D,2,FALSE)</f>
        <v>47.967200000000005</v>
      </c>
      <c r="I147" s="65">
        <f ca="1">VLOOKUP($A147,INDIRECT($P$2),COLUMN()-1,FALSE)*VLOOKUP($A147,Usinas!$C:$D,2,FALSE)</f>
        <v>45.145600000000002</v>
      </c>
      <c r="J147" s="65">
        <f ca="1">VLOOKUP($A147,INDIRECT($P$2),COLUMN()-1,FALSE)*VLOOKUP($A147,Usinas!$C:$D,2,FALSE)</f>
        <v>42.323999999999998</v>
      </c>
      <c r="K147" s="65">
        <f ca="1">VLOOKUP($A147,INDIRECT($P$2),COLUMN()-1,FALSE)*VLOOKUP($A147,Usinas!$C:$D,2,FALSE)</f>
        <v>40.913200000000003</v>
      </c>
      <c r="L147" s="65">
        <f ca="1">VLOOKUP($A147,INDIRECT($P$2),COLUMN()-1,FALSE)*VLOOKUP($A147,Usinas!$C:$D,2,FALSE)</f>
        <v>40.913200000000003</v>
      </c>
      <c r="M147" s="65">
        <f ca="1">VLOOKUP($A147,INDIRECT($P$2),COLUMN()-1,FALSE)*VLOOKUP($A147,Usinas!$C:$D,2,FALSE)</f>
        <v>42.323999999999998</v>
      </c>
      <c r="N147" s="65">
        <f ca="1">VLOOKUP($A147,INDIRECT($P$2),COLUMN()-1,FALSE)*VLOOKUP($A147,Usinas!$C:$D,2,FALSE)</f>
        <v>43.7348</v>
      </c>
      <c r="O147" s="65">
        <f ca="1">VLOOKUP($A147,INDIRECT($P$2),COLUMN()-1,FALSE)*VLOOKUP($A147,Usinas!$C:$D,2,FALSE)</f>
        <v>46.556400000000004</v>
      </c>
    </row>
    <row r="148" spans="1:15" hidden="1" outlineLevel="1" x14ac:dyDescent="0.25">
      <c r="A148" s="40"/>
      <c r="B148" s="41" t="s">
        <v>56</v>
      </c>
      <c r="D148" s="83">
        <f t="shared" ref="D148:O148" ca="1" si="13">SUM(D141:D147)</f>
        <v>669.96560000000011</v>
      </c>
      <c r="E148" s="49">
        <f t="shared" ca="1" si="13"/>
        <v>959.60690000000011</v>
      </c>
      <c r="F148" s="49">
        <f t="shared" ca="1" si="13"/>
        <v>1070.3017</v>
      </c>
      <c r="G148" s="49">
        <f t="shared" ca="1" si="13"/>
        <v>934.84100000000001</v>
      </c>
      <c r="H148" s="49">
        <f t="shared" ca="1" si="13"/>
        <v>607.86930000000007</v>
      </c>
      <c r="I148" s="84">
        <f t="shared" ca="1" si="13"/>
        <v>328.5557</v>
      </c>
      <c r="J148" s="83">
        <f t="shared" ca="1" si="13"/>
        <v>195.80200000000002</v>
      </c>
      <c r="K148" s="49">
        <f t="shared" ca="1" si="13"/>
        <v>141.72219999999999</v>
      </c>
      <c r="L148" s="49">
        <f t="shared" ca="1" si="13"/>
        <v>125.4466</v>
      </c>
      <c r="M148" s="49">
        <f t="shared" ca="1" si="13"/>
        <v>134.33539999999999</v>
      </c>
      <c r="N148" s="49">
        <f t="shared" ca="1" si="13"/>
        <v>189.61190000000002</v>
      </c>
      <c r="O148" s="84">
        <f t="shared" ca="1" si="13"/>
        <v>352.39190000000002</v>
      </c>
    </row>
    <row r="149" spans="1:15" hidden="1" outlineLevel="1" x14ac:dyDescent="0.25">
      <c r="A149" s="42"/>
      <c r="B149" s="43" t="s">
        <v>0</v>
      </c>
      <c r="D149" s="80"/>
      <c r="E149" s="81"/>
      <c r="F149" s="81"/>
      <c r="G149" s="81"/>
      <c r="H149" s="81"/>
      <c r="I149" s="82"/>
      <c r="J149" s="80"/>
      <c r="K149" s="81"/>
      <c r="L149" s="81"/>
      <c r="M149" s="81"/>
      <c r="N149" s="81"/>
      <c r="O149" s="82"/>
    </row>
    <row r="150" spans="1:15" hidden="1" outlineLevel="1" x14ac:dyDescent="0.25">
      <c r="A150" s="1"/>
      <c r="B150" s="135"/>
      <c r="D150" s="50"/>
      <c r="E150" s="51"/>
      <c r="F150" s="51"/>
      <c r="G150" s="51"/>
      <c r="H150" s="51"/>
      <c r="I150" s="51"/>
      <c r="J150" s="50"/>
      <c r="K150" s="51"/>
      <c r="L150" s="51"/>
      <c r="M150" s="51"/>
      <c r="N150" s="51"/>
      <c r="O150" s="51"/>
    </row>
    <row r="151" spans="1:15" hidden="1" outlineLevel="1" x14ac:dyDescent="0.25">
      <c r="A151" s="38"/>
      <c r="B151" s="39"/>
      <c r="D151" s="332" t="s">
        <v>154</v>
      </c>
      <c r="E151" s="333" t="s">
        <v>58</v>
      </c>
      <c r="F151" s="333" t="s">
        <v>155</v>
      </c>
      <c r="G151" s="333"/>
      <c r="H151" s="333"/>
      <c r="I151" s="334"/>
      <c r="J151" s="332" t="s">
        <v>154</v>
      </c>
      <c r="K151" s="333" t="s">
        <v>58</v>
      </c>
      <c r="L151" s="333" t="s">
        <v>155</v>
      </c>
      <c r="M151" s="333"/>
      <c r="N151" s="333"/>
      <c r="O151" s="334"/>
    </row>
    <row r="152" spans="1:15" hidden="1" outlineLevel="2" x14ac:dyDescent="0.25">
      <c r="A152" s="30">
        <v>155</v>
      </c>
      <c r="B152" s="31" t="s">
        <v>156</v>
      </c>
      <c r="D152" s="65">
        <f ca="1">VLOOKUP($A152,INDIRECT($P$2),COLUMN()-1,FALSE)*VLOOKUP($A152,Usinas!$C:$D,2,FALSE)</f>
        <v>108.5913</v>
      </c>
      <c r="E152" s="65">
        <f ca="1">VLOOKUP($A152,INDIRECT($P$2),COLUMN()-1,FALSE)*VLOOKUP($A152,Usinas!$C:$D,2,FALSE)</f>
        <v>92.612399999999994</v>
      </c>
      <c r="F152" s="65">
        <f ca="1">VLOOKUP($A152,INDIRECT($P$2),COLUMN()-1,FALSE)*VLOOKUP($A152,Usinas!$C:$D,2,FALSE)</f>
        <v>78.916200000000003</v>
      </c>
      <c r="G152" s="65">
        <f ca="1">VLOOKUP($A152,INDIRECT($P$2),COLUMN()-1,FALSE)*VLOOKUP($A152,Usinas!$C:$D,2,FALSE)</f>
        <v>52.176000000000002</v>
      </c>
      <c r="H152" s="65">
        <f ca="1">VLOOKUP($A152,INDIRECT($P$2),COLUMN()-1,FALSE)*VLOOKUP($A152,Usinas!$C:$D,2,FALSE)</f>
        <v>36.197099999999999</v>
      </c>
      <c r="I152" s="65">
        <f ca="1">VLOOKUP($A152,INDIRECT($P$2),COLUMN()-1,FALSE)*VLOOKUP($A152,Usinas!$C:$D,2,FALSE)</f>
        <v>29.349</v>
      </c>
      <c r="J152" s="65">
        <f ca="1">VLOOKUP($A152,INDIRECT($P$2),COLUMN()-1,FALSE)*VLOOKUP($A152,Usinas!$C:$D,2,FALSE)</f>
        <v>23.805299999999999</v>
      </c>
      <c r="K152" s="65">
        <f ca="1">VLOOKUP($A152,INDIRECT($P$2),COLUMN()-1,FALSE)*VLOOKUP($A152,Usinas!$C:$D,2,FALSE)</f>
        <v>20.5443</v>
      </c>
      <c r="L152" s="65">
        <f ca="1">VLOOKUP($A152,INDIRECT($P$2),COLUMN()-1,FALSE)*VLOOKUP($A152,Usinas!$C:$D,2,FALSE)</f>
        <v>19.892099999999999</v>
      </c>
      <c r="M152" s="65">
        <f ca="1">VLOOKUP($A152,INDIRECT($P$2),COLUMN()-1,FALSE)*VLOOKUP($A152,Usinas!$C:$D,2,FALSE)</f>
        <v>25.1097</v>
      </c>
      <c r="N152" s="65">
        <f ca="1">VLOOKUP($A152,INDIRECT($P$2),COLUMN()-1,FALSE)*VLOOKUP($A152,Usinas!$C:$D,2,FALSE)</f>
        <v>43.045200000000001</v>
      </c>
      <c r="O152" s="65">
        <f ca="1">VLOOKUP($A152,INDIRECT($P$2),COLUMN()-1,FALSE)*VLOOKUP($A152,Usinas!$C:$D,2,FALSE)</f>
        <v>82.177199999999999</v>
      </c>
    </row>
    <row r="153" spans="1:15" hidden="1" outlineLevel="2" x14ac:dyDescent="0.25">
      <c r="A153" s="30">
        <v>156</v>
      </c>
      <c r="B153" s="31" t="s">
        <v>157</v>
      </c>
      <c r="D153" s="65">
        <f ca="1">VLOOKUP($A153,INDIRECT($P$2),COLUMN()-1,FALSE)*VLOOKUP($A153,Usinas!$C:$D,2,FALSE)</f>
        <v>634.39749999999992</v>
      </c>
      <c r="E153" s="65">
        <f ca="1">VLOOKUP($A153,INDIRECT($P$2),COLUMN()-1,FALSE)*VLOOKUP($A153,Usinas!$C:$D,2,FALSE)</f>
        <v>588.80689999999993</v>
      </c>
      <c r="F153" s="65">
        <f ca="1">VLOOKUP($A153,INDIRECT($P$2),COLUMN()-1,FALSE)*VLOOKUP($A153,Usinas!$C:$D,2,FALSE)</f>
        <v>489.4538</v>
      </c>
      <c r="G153" s="65">
        <f ca="1">VLOOKUP($A153,INDIRECT($P$2),COLUMN()-1,FALSE)*VLOOKUP($A153,Usinas!$C:$D,2,FALSE)</f>
        <v>324.72550000000001</v>
      </c>
      <c r="H153" s="65">
        <f ca="1">VLOOKUP($A153,INDIRECT($P$2),COLUMN()-1,FALSE)*VLOOKUP($A153,Usinas!$C:$D,2,FALSE)</f>
        <v>194.40519999999998</v>
      </c>
      <c r="I153" s="65">
        <f ca="1">VLOOKUP($A153,INDIRECT($P$2),COLUMN()-1,FALSE)*VLOOKUP($A153,Usinas!$C:$D,2,FALSE)</f>
        <v>146.66409999999999</v>
      </c>
      <c r="J153" s="65">
        <f ca="1">VLOOKUP($A153,INDIRECT($P$2),COLUMN()-1,FALSE)*VLOOKUP($A153,Usinas!$C:$D,2,FALSE)</f>
        <v>117.84739999999999</v>
      </c>
      <c r="K153" s="65">
        <f ca="1">VLOOKUP($A153,INDIRECT($P$2),COLUMN()-1,FALSE)*VLOOKUP($A153,Usinas!$C:$D,2,FALSE)</f>
        <v>96.342399999999998</v>
      </c>
      <c r="L153" s="65">
        <f ca="1">VLOOKUP($A153,INDIRECT($P$2),COLUMN()-1,FALSE)*VLOOKUP($A153,Usinas!$C:$D,2,FALSE)</f>
        <v>94.19189999999999</v>
      </c>
      <c r="M153" s="65">
        <f ca="1">VLOOKUP($A153,INDIRECT($P$2),COLUMN()-1,FALSE)*VLOOKUP($A153,Usinas!$C:$D,2,FALSE)</f>
        <v>128.59989999999999</v>
      </c>
      <c r="N153" s="65">
        <f ca="1">VLOOKUP($A153,INDIRECT($P$2),COLUMN()-1,FALSE)*VLOOKUP($A153,Usinas!$C:$D,2,FALSE)</f>
        <v>257.62989999999996</v>
      </c>
      <c r="O153" s="65">
        <f ca="1">VLOOKUP($A153,INDIRECT($P$2),COLUMN()-1,FALSE)*VLOOKUP($A153,Usinas!$C:$D,2,FALSE)</f>
        <v>478.7013</v>
      </c>
    </row>
    <row r="154" spans="1:15" hidden="1" outlineLevel="2" x14ac:dyDescent="0.25">
      <c r="A154" s="30">
        <v>158</v>
      </c>
      <c r="B154" s="31" t="s">
        <v>158</v>
      </c>
      <c r="D154" s="65">
        <f ca="1">VLOOKUP($A154,INDIRECT($P$2),COLUMN()-1,FALSE)*VLOOKUP($A154,Usinas!$C:$D,2,FALSE)</f>
        <v>133.12370000000001</v>
      </c>
      <c r="E154" s="65">
        <f ca="1">VLOOKUP($A154,INDIRECT($P$2),COLUMN()-1,FALSE)*VLOOKUP($A154,Usinas!$C:$D,2,FALSE)</f>
        <v>133.12370000000001</v>
      </c>
      <c r="F154" s="65">
        <f ca="1">VLOOKUP($A154,INDIRECT($P$2),COLUMN()-1,FALSE)*VLOOKUP($A154,Usinas!$C:$D,2,FALSE)</f>
        <v>139.5393</v>
      </c>
      <c r="G154" s="65">
        <f ca="1">VLOOKUP($A154,INDIRECT($P$2),COLUMN()-1,FALSE)*VLOOKUP($A154,Usinas!$C:$D,2,FALSE)</f>
        <v>109.0652</v>
      </c>
      <c r="H154" s="65">
        <f ca="1">VLOOKUP($A154,INDIRECT($P$2),COLUMN()-1,FALSE)*VLOOKUP($A154,Usinas!$C:$D,2,FALSE)</f>
        <v>75.383300000000006</v>
      </c>
      <c r="I154" s="65">
        <f ca="1">VLOOKUP($A154,INDIRECT($P$2),COLUMN()-1,FALSE)*VLOOKUP($A154,Usinas!$C:$D,2,FALSE)</f>
        <v>64.156000000000006</v>
      </c>
      <c r="J154" s="65">
        <f ca="1">VLOOKUP($A154,INDIRECT($P$2),COLUMN()-1,FALSE)*VLOOKUP($A154,Usinas!$C:$D,2,FALSE)</f>
        <v>56.136500000000005</v>
      </c>
      <c r="K154" s="65">
        <f ca="1">VLOOKUP($A154,INDIRECT($P$2),COLUMN()-1,FALSE)*VLOOKUP($A154,Usinas!$C:$D,2,FALSE)</f>
        <v>48.117000000000004</v>
      </c>
      <c r="L154" s="65">
        <f ca="1">VLOOKUP($A154,INDIRECT($P$2),COLUMN()-1,FALSE)*VLOOKUP($A154,Usinas!$C:$D,2,FALSE)</f>
        <v>43.305300000000003</v>
      </c>
      <c r="M154" s="65">
        <f ca="1">VLOOKUP($A154,INDIRECT($P$2),COLUMN()-1,FALSE)*VLOOKUP($A154,Usinas!$C:$D,2,FALSE)</f>
        <v>52.928700000000006</v>
      </c>
      <c r="N154" s="65">
        <f ca="1">VLOOKUP($A154,INDIRECT($P$2),COLUMN()-1,FALSE)*VLOOKUP($A154,Usinas!$C:$D,2,FALSE)</f>
        <v>81.798900000000003</v>
      </c>
      <c r="O154" s="65">
        <f ca="1">VLOOKUP($A154,INDIRECT($P$2),COLUMN()-1,FALSE)*VLOOKUP($A154,Usinas!$C:$D,2,FALSE)</f>
        <v>126.7081</v>
      </c>
    </row>
    <row r="155" spans="1:15" hidden="1" outlineLevel="1" x14ac:dyDescent="0.25">
      <c r="A155" s="40"/>
      <c r="B155" s="41" t="s">
        <v>56</v>
      </c>
      <c r="D155" s="83">
        <f t="shared" ref="D155:O155" ca="1" si="14">SUM(D152:D154)</f>
        <v>876.11249999999995</v>
      </c>
      <c r="E155" s="49">
        <f t="shared" ca="1" si="14"/>
        <v>814.54299999999989</v>
      </c>
      <c r="F155" s="49">
        <f t="shared" ca="1" si="14"/>
        <v>707.90930000000003</v>
      </c>
      <c r="G155" s="49">
        <f t="shared" ca="1" si="14"/>
        <v>485.9667</v>
      </c>
      <c r="H155" s="49">
        <f t="shared" ca="1" si="14"/>
        <v>305.98559999999998</v>
      </c>
      <c r="I155" s="84">
        <f t="shared" ca="1" si="14"/>
        <v>240.16909999999999</v>
      </c>
      <c r="J155" s="83">
        <f t="shared" ca="1" si="14"/>
        <v>197.78919999999999</v>
      </c>
      <c r="K155" s="49">
        <f t="shared" ca="1" si="14"/>
        <v>165.00369999999998</v>
      </c>
      <c r="L155" s="49">
        <f t="shared" ca="1" si="14"/>
        <v>157.38929999999999</v>
      </c>
      <c r="M155" s="49">
        <f t="shared" ca="1" si="14"/>
        <v>206.63830000000002</v>
      </c>
      <c r="N155" s="49">
        <f t="shared" ca="1" si="14"/>
        <v>382.47399999999999</v>
      </c>
      <c r="O155" s="84">
        <f t="shared" ca="1" si="14"/>
        <v>687.58660000000009</v>
      </c>
    </row>
    <row r="156" spans="1:15" hidden="1" outlineLevel="1" x14ac:dyDescent="0.25">
      <c r="A156" s="42"/>
      <c r="B156" s="43" t="s">
        <v>0</v>
      </c>
      <c r="D156" s="80"/>
      <c r="E156" s="81"/>
      <c r="F156" s="81"/>
      <c r="G156" s="81"/>
      <c r="H156" s="81"/>
      <c r="I156" s="82"/>
      <c r="J156" s="80"/>
      <c r="K156" s="81"/>
      <c r="L156" s="81"/>
      <c r="M156" s="81"/>
      <c r="N156" s="81"/>
      <c r="O156" s="82"/>
    </row>
    <row r="157" spans="1:15" hidden="1" outlineLevel="1" x14ac:dyDescent="0.25">
      <c r="A157" s="1"/>
      <c r="B157" s="135"/>
      <c r="D157" s="50"/>
      <c r="E157" s="51"/>
      <c r="F157" s="51"/>
      <c r="G157" s="51"/>
      <c r="H157" s="51"/>
      <c r="I157" s="51"/>
      <c r="J157" s="50"/>
      <c r="K157" s="51"/>
      <c r="L157" s="51"/>
      <c r="M157" s="51"/>
      <c r="N157" s="51"/>
      <c r="O157" s="51"/>
    </row>
    <row r="158" spans="1:15" hidden="1" outlineLevel="1" x14ac:dyDescent="0.25">
      <c r="A158" s="38"/>
      <c r="B158" s="39"/>
      <c r="D158" s="332" t="s">
        <v>159</v>
      </c>
      <c r="E158" s="333" t="s">
        <v>58</v>
      </c>
      <c r="F158" s="333" t="s">
        <v>160</v>
      </c>
      <c r="G158" s="333"/>
      <c r="H158" s="333"/>
      <c r="I158" s="334"/>
      <c r="J158" s="332" t="s">
        <v>159</v>
      </c>
      <c r="K158" s="333" t="s">
        <v>58</v>
      </c>
      <c r="L158" s="333" t="s">
        <v>160</v>
      </c>
      <c r="M158" s="333"/>
      <c r="N158" s="333"/>
      <c r="O158" s="334"/>
    </row>
    <row r="159" spans="1:15" hidden="1" outlineLevel="2" x14ac:dyDescent="0.25">
      <c r="A159" s="30">
        <v>270</v>
      </c>
      <c r="B159" s="31" t="s">
        <v>161</v>
      </c>
      <c r="D159" s="65">
        <f ca="1">VLOOKUP($A159,INDIRECT($P$2),COLUMN()-1,FALSE)*VLOOKUP($A159,Usinas!$C:$D,2,FALSE)</f>
        <v>1480.2025000000001</v>
      </c>
      <c r="E159" s="65">
        <f ca="1">VLOOKUP($A159,INDIRECT($P$2),COLUMN()-1,FALSE)*VLOOKUP($A159,Usinas!$C:$D,2,FALSE)</f>
        <v>1677.2190000000001</v>
      </c>
      <c r="F159" s="65">
        <f ca="1">VLOOKUP($A159,INDIRECT($P$2),COLUMN()-1,FALSE)*VLOOKUP($A159,Usinas!$C:$D,2,FALSE)</f>
        <v>1548.2815000000001</v>
      </c>
      <c r="G159" s="65">
        <f ca="1">VLOOKUP($A159,INDIRECT($P$2),COLUMN()-1,FALSE)*VLOOKUP($A159,Usinas!$C:$D,2,FALSE)</f>
        <v>1095.4530000000002</v>
      </c>
      <c r="H159" s="65">
        <f ca="1">VLOOKUP($A159,INDIRECT($P$2),COLUMN()-1,FALSE)*VLOOKUP($A159,Usinas!$C:$D,2,FALSE)</f>
        <v>579.70300000000009</v>
      </c>
      <c r="I159" s="65">
        <f ca="1">VLOOKUP($A159,INDIRECT($P$2),COLUMN()-1,FALSE)*VLOOKUP($A159,Usinas!$C:$D,2,FALSE)</f>
        <v>402.28500000000003</v>
      </c>
      <c r="J159" s="65">
        <f ca="1">VLOOKUP($A159,INDIRECT($P$2),COLUMN()-1,FALSE)*VLOOKUP($A159,Usinas!$C:$D,2,FALSE)</f>
        <v>303.26100000000002</v>
      </c>
      <c r="K159" s="65">
        <f ca="1">VLOOKUP($A159,INDIRECT($P$2),COLUMN()-1,FALSE)*VLOOKUP($A159,Usinas!$C:$D,2,FALSE)</f>
        <v>234.15050000000002</v>
      </c>
      <c r="L159" s="65">
        <f ca="1">VLOOKUP($A159,INDIRECT($P$2),COLUMN()-1,FALSE)*VLOOKUP($A159,Usinas!$C:$D,2,FALSE)</f>
        <v>222.80400000000003</v>
      </c>
      <c r="M159" s="65">
        <f ca="1">VLOOKUP($A159,INDIRECT($P$2),COLUMN()-1,FALSE)*VLOOKUP($A159,Usinas!$C:$D,2,FALSE)</f>
        <v>325.95400000000001</v>
      </c>
      <c r="N159" s="65">
        <f ca="1">VLOOKUP($A159,INDIRECT($P$2),COLUMN()-1,FALSE)*VLOOKUP($A159,Usinas!$C:$D,2,FALSE)</f>
        <v>587.95500000000004</v>
      </c>
      <c r="O159" s="65">
        <f ca="1">VLOOKUP($A159,INDIRECT($P$2),COLUMN()-1,FALSE)*VLOOKUP($A159,Usinas!$C:$D,2,FALSE)</f>
        <v>1097.5160000000001</v>
      </c>
    </row>
    <row r="160" spans="1:15" hidden="1" outlineLevel="2" x14ac:dyDescent="0.25">
      <c r="A160" s="30">
        <v>191</v>
      </c>
      <c r="B160" s="31" t="s">
        <v>162</v>
      </c>
      <c r="D160" s="65">
        <f ca="1">VLOOKUP($A160,INDIRECT($P$2),COLUMN()-1,FALSE)*VLOOKUP($A160,Usinas!$C:$D,2,FALSE)</f>
        <v>638.40000000000009</v>
      </c>
      <c r="E160" s="65">
        <f ca="1">VLOOKUP($A160,INDIRECT($P$2),COLUMN()-1,FALSE)*VLOOKUP($A160,Usinas!$C:$D,2,FALSE)</f>
        <v>722.19</v>
      </c>
      <c r="F160" s="65">
        <f ca="1">VLOOKUP($A160,INDIRECT($P$2),COLUMN()-1,FALSE)*VLOOKUP($A160,Usinas!$C:$D,2,FALSE)</f>
        <v>668.32500000000005</v>
      </c>
      <c r="G160" s="65">
        <f ca="1">VLOOKUP($A160,INDIRECT($P$2),COLUMN()-1,FALSE)*VLOOKUP($A160,Usinas!$C:$D,2,FALSE)</f>
        <v>473.613</v>
      </c>
      <c r="H160" s="65">
        <f ca="1">VLOOKUP($A160,INDIRECT($P$2),COLUMN()-1,FALSE)*VLOOKUP($A160,Usinas!$C:$D,2,FALSE)</f>
        <v>252.16800000000001</v>
      </c>
      <c r="I160" s="65">
        <f ca="1">VLOOKUP($A160,INDIRECT($P$2),COLUMN()-1,FALSE)*VLOOKUP($A160,Usinas!$C:$D,2,FALSE)</f>
        <v>175.161</v>
      </c>
      <c r="J160" s="65">
        <f ca="1">VLOOKUP($A160,INDIRECT($P$2),COLUMN()-1,FALSE)*VLOOKUP($A160,Usinas!$C:$D,2,FALSE)</f>
        <v>132.86700000000002</v>
      </c>
      <c r="K160" s="65">
        <f ca="1">VLOOKUP($A160,INDIRECT($P$2),COLUMN()-1,FALSE)*VLOOKUP($A160,Usinas!$C:$D,2,FALSE)</f>
        <v>103.74000000000001</v>
      </c>
      <c r="L160" s="65">
        <f ca="1">VLOOKUP($A160,INDIRECT($P$2),COLUMN()-1,FALSE)*VLOOKUP($A160,Usinas!$C:$D,2,FALSE)</f>
        <v>98.154000000000011</v>
      </c>
      <c r="M160" s="65">
        <f ca="1">VLOOKUP($A160,INDIRECT($P$2),COLUMN()-1,FALSE)*VLOOKUP($A160,Usinas!$C:$D,2,FALSE)</f>
        <v>143.24100000000001</v>
      </c>
      <c r="N160" s="65">
        <f ca="1">VLOOKUP($A160,INDIRECT($P$2),COLUMN()-1,FALSE)*VLOOKUP($A160,Usinas!$C:$D,2,FALSE)</f>
        <v>256.95600000000002</v>
      </c>
      <c r="O160" s="65">
        <f ca="1">VLOOKUP($A160,INDIRECT($P$2),COLUMN()-1,FALSE)*VLOOKUP($A160,Usinas!$C:$D,2,FALSE)</f>
        <v>473.214</v>
      </c>
    </row>
    <row r="161" spans="1:15" hidden="1" outlineLevel="2" x14ac:dyDescent="0.25">
      <c r="A161" s="30">
        <v>253</v>
      </c>
      <c r="B161" s="31" t="s">
        <v>163</v>
      </c>
      <c r="D161" s="65">
        <f ca="1">VLOOKUP($A161,INDIRECT($P$2),COLUMN()-1,FALSE)*VLOOKUP($A161,Usinas!$C:$D,2,FALSE)</f>
        <v>357.95649999999995</v>
      </c>
      <c r="E161" s="65">
        <f ca="1">VLOOKUP($A161,INDIRECT($P$2),COLUMN()-1,FALSE)*VLOOKUP($A161,Usinas!$C:$D,2,FALSE)</f>
        <v>406.18599999999998</v>
      </c>
      <c r="F161" s="65">
        <f ca="1">VLOOKUP($A161,INDIRECT($P$2),COLUMN()-1,FALSE)*VLOOKUP($A161,Usinas!$C:$D,2,FALSE)</f>
        <v>379.32399999999996</v>
      </c>
      <c r="G161" s="65">
        <f ca="1">VLOOKUP($A161,INDIRECT($P$2),COLUMN()-1,FALSE)*VLOOKUP($A161,Usinas!$C:$D,2,FALSE)</f>
        <v>273.3005</v>
      </c>
      <c r="H161" s="65">
        <f ca="1">VLOOKUP($A161,INDIRECT($P$2),COLUMN()-1,FALSE)*VLOOKUP($A161,Usinas!$C:$D,2,FALSE)</f>
        <v>144.48499999999999</v>
      </c>
      <c r="I161" s="65">
        <f ca="1">VLOOKUP($A161,INDIRECT($P$2),COLUMN()-1,FALSE)*VLOOKUP($A161,Usinas!$C:$D,2,FALSE)</f>
        <v>98.086999999999989</v>
      </c>
      <c r="J161" s="65">
        <f ca="1">VLOOKUP($A161,INDIRECT($P$2),COLUMN()-1,FALSE)*VLOOKUP($A161,Usinas!$C:$D,2,FALSE)</f>
        <v>74.277499999999989</v>
      </c>
      <c r="K161" s="65">
        <f ca="1">VLOOKUP($A161,INDIRECT($P$2),COLUMN()-1,FALSE)*VLOOKUP($A161,Usinas!$C:$D,2,FALSE)</f>
        <v>57.997499999999995</v>
      </c>
      <c r="L161" s="65">
        <f ca="1">VLOOKUP($A161,INDIRECT($P$2),COLUMN()-1,FALSE)*VLOOKUP($A161,Usinas!$C:$D,2,FALSE)</f>
        <v>54.741499999999995</v>
      </c>
      <c r="M161" s="65">
        <f ca="1">VLOOKUP($A161,INDIRECT($P$2),COLUMN()-1,FALSE)*VLOOKUP($A161,Usinas!$C:$D,2,FALSE)</f>
        <v>78.550999999999988</v>
      </c>
      <c r="N161" s="65">
        <f ca="1">VLOOKUP($A161,INDIRECT($P$2),COLUMN()-1,FALSE)*VLOOKUP($A161,Usinas!$C:$D,2,FALSE)</f>
        <v>142.04299999999998</v>
      </c>
      <c r="O161" s="65">
        <f ca="1">VLOOKUP($A161,INDIRECT($P$2),COLUMN()-1,FALSE)*VLOOKUP($A161,Usinas!$C:$D,2,FALSE)</f>
        <v>265.77099999999996</v>
      </c>
    </row>
    <row r="162" spans="1:15" hidden="1" outlineLevel="2" x14ac:dyDescent="0.25">
      <c r="A162" s="30">
        <v>257</v>
      </c>
      <c r="B162" s="31" t="s">
        <v>164</v>
      </c>
      <c r="D162" s="65">
        <f ca="1">VLOOKUP($A162,INDIRECT($P$2),COLUMN()-1,FALSE)*VLOOKUP($A162,Usinas!$C:$D,2,FALSE)</f>
        <v>754.375</v>
      </c>
      <c r="E162" s="65">
        <f ca="1">VLOOKUP($A162,INDIRECT($P$2),COLUMN()-1,FALSE)*VLOOKUP($A162,Usinas!$C:$D,2,FALSE)</f>
        <v>849.48660000000007</v>
      </c>
      <c r="F162" s="65">
        <f ca="1">VLOOKUP($A162,INDIRECT($P$2),COLUMN()-1,FALSE)*VLOOKUP($A162,Usinas!$C:$D,2,FALSE)</f>
        <v>813.27660000000003</v>
      </c>
      <c r="G162" s="65">
        <f ca="1">VLOOKUP($A162,INDIRECT($P$2),COLUMN()-1,FALSE)*VLOOKUP($A162,Usinas!$C:$D,2,FALSE)</f>
        <v>575.98040000000003</v>
      </c>
      <c r="H162" s="65">
        <f ca="1">VLOOKUP($A162,INDIRECT($P$2),COLUMN()-1,FALSE)*VLOOKUP($A162,Usinas!$C:$D,2,FALSE)</f>
        <v>287.02460000000002</v>
      </c>
      <c r="I162" s="65">
        <f ca="1">VLOOKUP($A162,INDIRECT($P$2),COLUMN()-1,FALSE)*VLOOKUP($A162,Usinas!$C:$D,2,FALSE)</f>
        <v>189.0162</v>
      </c>
      <c r="J162" s="65">
        <f ca="1">VLOOKUP($A162,INDIRECT($P$2),COLUMN()-1,FALSE)*VLOOKUP($A162,Usinas!$C:$D,2,FALSE)</f>
        <v>144.84</v>
      </c>
      <c r="K162" s="65">
        <f ca="1">VLOOKUP($A162,INDIRECT($P$2),COLUMN()-1,FALSE)*VLOOKUP($A162,Usinas!$C:$D,2,FALSE)</f>
        <v>116.3548</v>
      </c>
      <c r="L162" s="65">
        <f ca="1">VLOOKUP($A162,INDIRECT($P$2),COLUMN()-1,FALSE)*VLOOKUP($A162,Usinas!$C:$D,2,FALSE)</f>
        <v>110.8026</v>
      </c>
      <c r="M162" s="65">
        <f ca="1">VLOOKUP($A162,INDIRECT($P$2),COLUMN()-1,FALSE)*VLOOKUP($A162,Usinas!$C:$D,2,FALSE)</f>
        <v>153.28900000000002</v>
      </c>
      <c r="N162" s="65">
        <f ca="1">VLOOKUP($A162,INDIRECT($P$2),COLUMN()-1,FALSE)*VLOOKUP($A162,Usinas!$C:$D,2,FALSE)</f>
        <v>288.95580000000001</v>
      </c>
      <c r="O162" s="65">
        <f ca="1">VLOOKUP($A162,INDIRECT($P$2),COLUMN()-1,FALSE)*VLOOKUP($A162,Usinas!$C:$D,2,FALSE)</f>
        <v>562.94479999999999</v>
      </c>
    </row>
    <row r="163" spans="1:15" hidden="1" outlineLevel="2" x14ac:dyDescent="0.25">
      <c r="A163" s="30">
        <v>273</v>
      </c>
      <c r="B163" s="31" t="s">
        <v>165</v>
      </c>
      <c r="D163" s="65">
        <f ca="1">VLOOKUP($A163,INDIRECT($P$2),COLUMN()-1,FALSE)*VLOOKUP($A163,Usinas!$C:$D,2,FALSE)</f>
        <v>1447.6335999999999</v>
      </c>
      <c r="E163" s="65">
        <f ca="1">VLOOKUP($A163,INDIRECT($P$2),COLUMN()-1,FALSE)*VLOOKUP($A163,Usinas!$C:$D,2,FALSE)</f>
        <v>1664.2751999999998</v>
      </c>
      <c r="F163" s="65">
        <f ca="1">VLOOKUP($A163,INDIRECT($P$2),COLUMN()-1,FALSE)*VLOOKUP($A163,Usinas!$C:$D,2,FALSE)</f>
        <v>1670.7711999999999</v>
      </c>
      <c r="G163" s="65">
        <f ca="1">VLOOKUP($A163,INDIRECT($P$2),COLUMN()-1,FALSE)*VLOOKUP($A163,Usinas!$C:$D,2,FALSE)</f>
        <v>1244.9584</v>
      </c>
      <c r="H163" s="65">
        <f ca="1">VLOOKUP($A163,INDIRECT($P$2),COLUMN()-1,FALSE)*VLOOKUP($A163,Usinas!$C:$D,2,FALSE)</f>
        <v>614.8463999999999</v>
      </c>
      <c r="I163" s="65">
        <f ca="1">VLOOKUP($A163,INDIRECT($P$2),COLUMN()-1,FALSE)*VLOOKUP($A163,Usinas!$C:$D,2,FALSE)</f>
        <v>366.0496</v>
      </c>
      <c r="J163" s="65">
        <f ca="1">VLOOKUP($A163,INDIRECT($P$2),COLUMN()-1,FALSE)*VLOOKUP($A163,Usinas!$C:$D,2,FALSE)</f>
        <v>263.4128</v>
      </c>
      <c r="K163" s="65">
        <f ca="1">VLOOKUP($A163,INDIRECT($P$2),COLUMN()-1,FALSE)*VLOOKUP($A163,Usinas!$C:$D,2,FALSE)</f>
        <v>202.0256</v>
      </c>
      <c r="L163" s="65">
        <f ca="1">VLOOKUP($A163,INDIRECT($P$2),COLUMN()-1,FALSE)*VLOOKUP($A163,Usinas!$C:$D,2,FALSE)</f>
        <v>184.16159999999999</v>
      </c>
      <c r="M163" s="65">
        <f ca="1">VLOOKUP($A163,INDIRECT($P$2),COLUMN()-1,FALSE)*VLOOKUP($A163,Usinas!$C:$D,2,FALSE)</f>
        <v>257.89119999999997</v>
      </c>
      <c r="N163" s="65">
        <f ca="1">VLOOKUP($A163,INDIRECT($P$2),COLUMN()-1,FALSE)*VLOOKUP($A163,Usinas!$C:$D,2,FALSE)</f>
        <v>510.91039999999998</v>
      </c>
      <c r="O163" s="65">
        <f ca="1">VLOOKUP($A163,INDIRECT($P$2),COLUMN()-1,FALSE)*VLOOKUP($A163,Usinas!$C:$D,2,FALSE)</f>
        <v>1032.5391999999999</v>
      </c>
    </row>
    <row r="164" spans="1:15" hidden="1" outlineLevel="1" x14ac:dyDescent="0.25">
      <c r="A164" s="40"/>
      <c r="B164" s="41" t="s">
        <v>56</v>
      </c>
      <c r="D164" s="83">
        <f t="shared" ref="D164:O164" ca="1" si="15">SUM(D159:D163)</f>
        <v>4678.5675999999994</v>
      </c>
      <c r="E164" s="49">
        <f t="shared" ca="1" si="15"/>
        <v>5319.3568000000005</v>
      </c>
      <c r="F164" s="49">
        <f t="shared" ca="1" si="15"/>
        <v>5079.9782999999998</v>
      </c>
      <c r="G164" s="49">
        <f t="shared" ca="1" si="15"/>
        <v>3663.3053000000004</v>
      </c>
      <c r="H164" s="49">
        <f t="shared" ca="1" si="15"/>
        <v>1878.2270000000001</v>
      </c>
      <c r="I164" s="84">
        <f t="shared" ca="1" si="15"/>
        <v>1230.5988</v>
      </c>
      <c r="J164" s="83">
        <f t="shared" ca="1" si="15"/>
        <v>918.65830000000005</v>
      </c>
      <c r="K164" s="49">
        <f t="shared" ca="1" si="15"/>
        <v>714.26839999999993</v>
      </c>
      <c r="L164" s="49">
        <f t="shared" ca="1" si="15"/>
        <v>670.66369999999995</v>
      </c>
      <c r="M164" s="49">
        <f t="shared" ca="1" si="15"/>
        <v>958.92620000000011</v>
      </c>
      <c r="N164" s="49">
        <f t="shared" ca="1" si="15"/>
        <v>1786.8202000000001</v>
      </c>
      <c r="O164" s="84">
        <f t="shared" ca="1" si="15"/>
        <v>3431.9849999999997</v>
      </c>
    </row>
    <row r="165" spans="1:15" hidden="1" outlineLevel="1" x14ac:dyDescent="0.25">
      <c r="A165" s="42"/>
      <c r="B165" s="43" t="s">
        <v>0</v>
      </c>
      <c r="D165" s="80"/>
      <c r="E165" s="81"/>
      <c r="F165" s="81"/>
      <c r="G165" s="81"/>
      <c r="H165" s="81"/>
      <c r="I165" s="82"/>
      <c r="J165" s="80"/>
      <c r="K165" s="81"/>
      <c r="L165" s="81"/>
      <c r="M165" s="81"/>
      <c r="N165" s="81"/>
      <c r="O165" s="82"/>
    </row>
    <row r="166" spans="1:15" hidden="1" outlineLevel="1" x14ac:dyDescent="0.25">
      <c r="A166" s="1"/>
      <c r="B166" s="135"/>
      <c r="D166" s="50"/>
      <c r="E166" s="51"/>
      <c r="F166" s="51"/>
      <c r="G166" s="51"/>
      <c r="H166" s="51"/>
      <c r="I166" s="51"/>
      <c r="J166" s="50"/>
      <c r="K166" s="51"/>
      <c r="L166" s="51"/>
      <c r="M166" s="51"/>
      <c r="N166" s="51"/>
      <c r="O166" s="51"/>
    </row>
    <row r="167" spans="1:15" ht="15.75" collapsed="1" x14ac:dyDescent="0.25">
      <c r="A167" s="85"/>
      <c r="B167" s="86"/>
      <c r="C167" s="97"/>
      <c r="D167" s="335" t="s">
        <v>166</v>
      </c>
      <c r="E167" s="336"/>
      <c r="F167" s="336"/>
      <c r="G167" s="336"/>
      <c r="H167" s="336"/>
      <c r="I167" s="336"/>
      <c r="J167" s="336"/>
      <c r="K167" s="336"/>
      <c r="L167" s="336"/>
      <c r="M167" s="336"/>
      <c r="N167" s="336"/>
      <c r="O167" s="337"/>
    </row>
    <row r="168" spans="1:15" ht="15.75" x14ac:dyDescent="0.25">
      <c r="A168" s="87"/>
      <c r="B168" s="88" t="s">
        <v>56</v>
      </c>
      <c r="C168" s="97"/>
      <c r="D168" s="88">
        <f t="shared" ref="D168:O168" ca="1" si="16">D22+D45+D60+D74+D80+D86+D101+D106+D111+D123+D132+D137+D148+D155+D164+D50</f>
        <v>55969.998000000014</v>
      </c>
      <c r="E168" s="89">
        <f t="shared" ca="1" si="16"/>
        <v>58559.566199999994</v>
      </c>
      <c r="F168" s="89">
        <f t="shared" ca="1" si="16"/>
        <v>54678.837100000012</v>
      </c>
      <c r="G168" s="89">
        <f t="shared" ca="1" si="16"/>
        <v>41444.549099999989</v>
      </c>
      <c r="H168" s="89">
        <f t="shared" ca="1" si="16"/>
        <v>29905.362999999998</v>
      </c>
      <c r="I168" s="90">
        <f t="shared" ca="1" si="16"/>
        <v>25533.5946</v>
      </c>
      <c r="J168" s="88">
        <f t="shared" ca="1" si="16"/>
        <v>21182.232399999994</v>
      </c>
      <c r="K168" s="89">
        <f t="shared" ca="1" si="16"/>
        <v>17684.899400000002</v>
      </c>
      <c r="L168" s="89">
        <f t="shared" ca="1" si="16"/>
        <v>17543.204699999995</v>
      </c>
      <c r="M168" s="89">
        <f t="shared" ca="1" si="16"/>
        <v>21105.841300000007</v>
      </c>
      <c r="N168" s="89">
        <f t="shared" ca="1" si="16"/>
        <v>26987.522399999994</v>
      </c>
      <c r="O168" s="90">
        <f t="shared" ca="1" si="16"/>
        <v>40922.817500000005</v>
      </c>
    </row>
    <row r="170" spans="1:15" x14ac:dyDescent="0.25">
      <c r="A170" s="91"/>
      <c r="B170" s="92"/>
      <c r="D170" s="94"/>
      <c r="E170" s="95"/>
      <c r="F170" s="95"/>
      <c r="G170" s="95"/>
      <c r="H170" s="95"/>
      <c r="I170" s="96"/>
    </row>
    <row r="171" spans="1:15" hidden="1" outlineLevel="1" x14ac:dyDescent="0.25">
      <c r="A171" s="63"/>
      <c r="B171" s="64"/>
      <c r="D171" s="329" t="s">
        <v>168</v>
      </c>
      <c r="E171" s="330" t="s">
        <v>58</v>
      </c>
      <c r="F171" s="330" t="s">
        <v>169</v>
      </c>
      <c r="G171" s="330"/>
      <c r="H171" s="330"/>
      <c r="I171" s="331"/>
      <c r="J171" s="329" t="s">
        <v>168</v>
      </c>
      <c r="K171" s="330" t="s">
        <v>58</v>
      </c>
      <c r="L171" s="330" t="s">
        <v>169</v>
      </c>
      <c r="M171" s="330"/>
      <c r="N171" s="330"/>
      <c r="O171" s="331"/>
    </row>
    <row r="172" spans="1:15" hidden="1" outlineLevel="2" x14ac:dyDescent="0.25">
      <c r="A172" s="61">
        <v>71</v>
      </c>
      <c r="B172" s="62" t="s">
        <v>170</v>
      </c>
      <c r="D172" s="65">
        <f ca="1">VLOOKUP($A172,INDIRECT($P$2),COLUMN()-1,FALSE)*VLOOKUP($A172,Usinas!$C:$D,2,FALSE)</f>
        <v>74.010300000000001</v>
      </c>
      <c r="E172" s="65">
        <f ca="1">VLOOKUP($A172,INDIRECT($P$2),COLUMN()-1,FALSE)*VLOOKUP($A172,Usinas!$C:$D,2,FALSE)</f>
        <v>77.263500000000008</v>
      </c>
      <c r="F172" s="65">
        <f ca="1">VLOOKUP($A172,INDIRECT($P$2),COLUMN()-1,FALSE)*VLOOKUP($A172,Usinas!$C:$D,2,FALSE)</f>
        <v>65.064000000000007</v>
      </c>
      <c r="G172" s="65">
        <f ca="1">VLOOKUP($A172,INDIRECT($P$2),COLUMN()-1,FALSE)*VLOOKUP($A172,Usinas!$C:$D,2,FALSE)</f>
        <v>65.064000000000007</v>
      </c>
      <c r="H172" s="65">
        <f ca="1">VLOOKUP($A172,INDIRECT($P$2),COLUMN()-1,FALSE)*VLOOKUP($A172,Usinas!$C:$D,2,FALSE)</f>
        <v>87.023099999999999</v>
      </c>
      <c r="I172" s="65">
        <f ca="1">VLOOKUP($A172,INDIRECT($P$2),COLUMN()-1,FALSE)*VLOOKUP($A172,Usinas!$C:$D,2,FALSE)</f>
        <v>101.66250000000001</v>
      </c>
      <c r="J172" s="65">
        <f ca="1">VLOOKUP($A172,INDIRECT($P$2),COLUMN()-1,FALSE)*VLOOKUP($A172,Usinas!$C:$D,2,FALSE)</f>
        <v>95.969400000000007</v>
      </c>
      <c r="K172" s="65">
        <f ca="1">VLOOKUP($A172,INDIRECT($P$2),COLUMN()-1,FALSE)*VLOOKUP($A172,Usinas!$C:$D,2,FALSE)</f>
        <v>73.197000000000003</v>
      </c>
      <c r="L172" s="65">
        <f ca="1">VLOOKUP($A172,INDIRECT($P$2),COLUMN()-1,FALSE)*VLOOKUP($A172,Usinas!$C:$D,2,FALSE)</f>
        <v>90.276300000000006</v>
      </c>
      <c r="M172" s="65">
        <f ca="1">VLOOKUP($A172,INDIRECT($P$2),COLUMN()-1,FALSE)*VLOOKUP($A172,Usinas!$C:$D,2,FALSE)</f>
        <v>113.86200000000001</v>
      </c>
      <c r="N172" s="65">
        <f ca="1">VLOOKUP($A172,INDIRECT($P$2),COLUMN()-1,FALSE)*VLOOKUP($A172,Usinas!$C:$D,2,FALSE)</f>
        <v>87.836399999999998</v>
      </c>
      <c r="O172" s="65">
        <f ca="1">VLOOKUP($A172,INDIRECT($P$2),COLUMN()-1,FALSE)*VLOOKUP($A172,Usinas!$C:$D,2,FALSE)</f>
        <v>74.823599999999999</v>
      </c>
    </row>
    <row r="173" spans="1:15" hidden="1" outlineLevel="2" x14ac:dyDescent="0.25">
      <c r="A173" s="61">
        <v>72</v>
      </c>
      <c r="B173" s="62" t="s">
        <v>171</v>
      </c>
      <c r="D173" s="65">
        <f ca="1">VLOOKUP($A173,INDIRECT($P$2),COLUMN()-1,FALSE)*VLOOKUP($A173,Usinas!$C:$D,2,FALSE)</f>
        <v>78.840499999999992</v>
      </c>
      <c r="E173" s="65">
        <f ca="1">VLOOKUP($A173,INDIRECT($P$2),COLUMN()-1,FALSE)*VLOOKUP($A173,Usinas!$C:$D,2,FALSE)</f>
        <v>82.99</v>
      </c>
      <c r="F173" s="65">
        <f ca="1">VLOOKUP($A173,INDIRECT($P$2),COLUMN()-1,FALSE)*VLOOKUP($A173,Usinas!$C:$D,2,FALSE)</f>
        <v>69.711600000000004</v>
      </c>
      <c r="G173" s="65">
        <f ca="1">VLOOKUP($A173,INDIRECT($P$2),COLUMN()-1,FALSE)*VLOOKUP($A173,Usinas!$C:$D,2,FALSE)</f>
        <v>69.711600000000004</v>
      </c>
      <c r="H173" s="65">
        <f ca="1">VLOOKUP($A173,INDIRECT($P$2),COLUMN()-1,FALSE)*VLOOKUP($A173,Usinas!$C:$D,2,FALSE)</f>
        <v>92.948799999999991</v>
      </c>
      <c r="I173" s="65">
        <f ca="1">VLOOKUP($A173,INDIRECT($P$2),COLUMN()-1,FALSE)*VLOOKUP($A173,Usinas!$C:$D,2,FALSE)</f>
        <v>108.7169</v>
      </c>
      <c r="J173" s="65">
        <f ca="1">VLOOKUP($A173,INDIRECT($P$2),COLUMN()-1,FALSE)*VLOOKUP($A173,Usinas!$C:$D,2,FALSE)</f>
        <v>102.9076</v>
      </c>
      <c r="K173" s="65">
        <f ca="1">VLOOKUP($A173,INDIRECT($P$2),COLUMN()-1,FALSE)*VLOOKUP($A173,Usinas!$C:$D,2,FALSE)</f>
        <v>78.010599999999997</v>
      </c>
      <c r="L173" s="65">
        <f ca="1">VLOOKUP($A173,INDIRECT($P$2),COLUMN()-1,FALSE)*VLOOKUP($A173,Usinas!$C:$D,2,FALSE)</f>
        <v>97.098299999999995</v>
      </c>
      <c r="M173" s="65">
        <f ca="1">VLOOKUP($A173,INDIRECT($P$2),COLUMN()-1,FALSE)*VLOOKUP($A173,Usinas!$C:$D,2,FALSE)</f>
        <v>121.16539999999999</v>
      </c>
      <c r="N173" s="65">
        <f ca="1">VLOOKUP($A173,INDIRECT($P$2),COLUMN()-1,FALSE)*VLOOKUP($A173,Usinas!$C:$D,2,FALSE)</f>
        <v>94.608599999999996</v>
      </c>
      <c r="O173" s="65">
        <f ca="1">VLOOKUP($A173,INDIRECT($P$2),COLUMN()-1,FALSE)*VLOOKUP($A173,Usinas!$C:$D,2,FALSE)</f>
        <v>79.670400000000001</v>
      </c>
    </row>
    <row r="174" spans="1:15" hidden="1" outlineLevel="2" x14ac:dyDescent="0.25">
      <c r="A174" s="61">
        <v>74</v>
      </c>
      <c r="B174" s="62" t="s">
        <v>33</v>
      </c>
      <c r="D174" s="65">
        <f ca="1">VLOOKUP($A174,INDIRECT($P$2),COLUMN()-1,FALSE)*VLOOKUP($A174,Usinas!$C:$D,2,FALSE)</f>
        <v>685.17689999999993</v>
      </c>
      <c r="E174" s="65">
        <f ca="1">VLOOKUP($A174,INDIRECT($P$2),COLUMN()-1,FALSE)*VLOOKUP($A174,Usinas!$C:$D,2,FALSE)</f>
        <v>773.5498</v>
      </c>
      <c r="F174" s="65">
        <f ca="1">VLOOKUP($A174,INDIRECT($P$2),COLUMN()-1,FALSE)*VLOOKUP($A174,Usinas!$C:$D,2,FALSE)</f>
        <v>690.91539999999998</v>
      </c>
      <c r="G174" s="65">
        <f ca="1">VLOOKUP($A174,INDIRECT($P$2),COLUMN()-1,FALSE)*VLOOKUP($A174,Usinas!$C:$D,2,FALSE)</f>
        <v>554.33909999999992</v>
      </c>
      <c r="H174" s="65">
        <f ca="1">VLOOKUP($A174,INDIRECT($P$2),COLUMN()-1,FALSE)*VLOOKUP($A174,Usinas!$C:$D,2,FALSE)</f>
        <v>671.40449999999998</v>
      </c>
      <c r="I174" s="65">
        <f ca="1">VLOOKUP($A174,INDIRECT($P$2),COLUMN()-1,FALSE)*VLOOKUP($A174,Usinas!$C:$D,2,FALSE)</f>
        <v>786.17449999999997</v>
      </c>
      <c r="J174" s="65">
        <f ca="1">VLOOKUP($A174,INDIRECT($P$2),COLUMN()-1,FALSE)*VLOOKUP($A174,Usinas!$C:$D,2,FALSE)</f>
        <v>835.52559999999994</v>
      </c>
      <c r="K174" s="65">
        <f ca="1">VLOOKUP($A174,INDIRECT($P$2),COLUMN()-1,FALSE)*VLOOKUP($A174,Usinas!$C:$D,2,FALSE)</f>
        <v>711.57399999999996</v>
      </c>
      <c r="L174" s="65">
        <f ca="1">VLOOKUP($A174,INDIRECT($P$2),COLUMN()-1,FALSE)*VLOOKUP($A174,Usinas!$C:$D,2,FALSE)</f>
        <v>838.96870000000001</v>
      </c>
      <c r="M174" s="65">
        <f ca="1">VLOOKUP($A174,INDIRECT($P$2),COLUMN()-1,FALSE)*VLOOKUP($A174,Usinas!$C:$D,2,FALSE)</f>
        <v>1059.3271</v>
      </c>
      <c r="N174" s="65">
        <f ca="1">VLOOKUP($A174,INDIRECT($P$2),COLUMN()-1,FALSE)*VLOOKUP($A174,Usinas!$C:$D,2,FALSE)</f>
        <v>789.61759999999992</v>
      </c>
      <c r="O174" s="65">
        <f ca="1">VLOOKUP($A174,INDIRECT($P$2),COLUMN()-1,FALSE)*VLOOKUP($A174,Usinas!$C:$D,2,FALSE)</f>
        <v>659.92750000000001</v>
      </c>
    </row>
    <row r="175" spans="1:15" hidden="1" outlineLevel="2" x14ac:dyDescent="0.25">
      <c r="A175" s="61">
        <v>75</v>
      </c>
      <c r="B175" s="62" t="s">
        <v>172</v>
      </c>
      <c r="D175" s="65">
        <f ca="1">VLOOKUP($A175,INDIRECT($P$2),COLUMN()-1,FALSE)*VLOOKUP($A175,Usinas!$C:$D,2,FALSE)</f>
        <v>792.73080000000004</v>
      </c>
      <c r="E175" s="65">
        <f ca="1">VLOOKUP($A175,INDIRECT($P$2),COLUMN()-1,FALSE)*VLOOKUP($A175,Usinas!$C:$D,2,FALSE)</f>
        <v>881.83619999999996</v>
      </c>
      <c r="F175" s="65">
        <f ca="1">VLOOKUP($A175,INDIRECT($P$2),COLUMN()-1,FALSE)*VLOOKUP($A175,Usinas!$C:$D,2,FALSE)</f>
        <v>785.56140000000005</v>
      </c>
      <c r="G175" s="65">
        <f ca="1">VLOOKUP($A175,INDIRECT($P$2),COLUMN()-1,FALSE)*VLOOKUP($A175,Usinas!$C:$D,2,FALSE)</f>
        <v>657.53639999999996</v>
      </c>
      <c r="H175" s="65">
        <f ca="1">VLOOKUP($A175,INDIRECT($P$2),COLUMN()-1,FALSE)*VLOOKUP($A175,Usinas!$C:$D,2,FALSE)</f>
        <v>800.92439999999999</v>
      </c>
      <c r="I175" s="65">
        <f ca="1">VLOOKUP($A175,INDIRECT($P$2),COLUMN()-1,FALSE)*VLOOKUP($A175,Usinas!$C:$D,2,FALSE)</f>
        <v>945.33659999999998</v>
      </c>
      <c r="J175" s="65">
        <f ca="1">VLOOKUP($A175,INDIRECT($P$2),COLUMN()-1,FALSE)*VLOOKUP($A175,Usinas!$C:$D,2,FALSE)</f>
        <v>974.01419999999996</v>
      </c>
      <c r="K175" s="65">
        <f ca="1">VLOOKUP($A175,INDIRECT($P$2),COLUMN()-1,FALSE)*VLOOKUP($A175,Usinas!$C:$D,2,FALSE)</f>
        <v>823.45680000000004</v>
      </c>
      <c r="L175" s="65">
        <f ca="1">VLOOKUP($A175,INDIRECT($P$2),COLUMN()-1,FALSE)*VLOOKUP($A175,Usinas!$C:$D,2,FALSE)</f>
        <v>964.79639999999995</v>
      </c>
      <c r="M175" s="65">
        <f ca="1">VLOOKUP($A175,INDIRECT($P$2),COLUMN()-1,FALSE)*VLOOKUP($A175,Usinas!$C:$D,2,FALSE)</f>
        <v>1219.8222000000001</v>
      </c>
      <c r="N175" s="65">
        <f ca="1">VLOOKUP($A175,INDIRECT($P$2),COLUMN()-1,FALSE)*VLOOKUP($A175,Usinas!$C:$D,2,FALSE)</f>
        <v>932.02200000000005</v>
      </c>
      <c r="O175" s="65">
        <f ca="1">VLOOKUP($A175,INDIRECT($P$2),COLUMN()-1,FALSE)*VLOOKUP($A175,Usinas!$C:$D,2,FALSE)</f>
        <v>773.27099999999996</v>
      </c>
    </row>
    <row r="176" spans="1:15" hidden="1" outlineLevel="2" x14ac:dyDescent="0.25">
      <c r="A176" s="30">
        <v>77</v>
      </c>
      <c r="B176" s="31" t="s">
        <v>173</v>
      </c>
      <c r="D176" s="65">
        <f ca="1">VLOOKUP($A176,INDIRECT($P$2),COLUMN()-1,FALSE)*VLOOKUP($A176,Usinas!$C:$D,2,FALSE)</f>
        <v>777.03</v>
      </c>
      <c r="E176" s="65">
        <f ca="1">VLOOKUP($A176,INDIRECT($P$2),COLUMN()-1,FALSE)*VLOOKUP($A176,Usinas!$C:$D,2,FALSE)</f>
        <v>862.19600000000003</v>
      </c>
      <c r="F176" s="65">
        <f ca="1">VLOOKUP($A176,INDIRECT($P$2),COLUMN()-1,FALSE)*VLOOKUP($A176,Usinas!$C:$D,2,FALSE)</f>
        <v>751.56799999999998</v>
      </c>
      <c r="G176" s="65">
        <f ca="1">VLOOKUP($A176,INDIRECT($P$2),COLUMN()-1,FALSE)*VLOOKUP($A176,Usinas!$C:$D,2,FALSE)</f>
        <v>664.64599999999996</v>
      </c>
      <c r="H176" s="65">
        <f ca="1">VLOOKUP($A176,INDIRECT($P$2),COLUMN()-1,FALSE)*VLOOKUP($A176,Usinas!$C:$D,2,FALSE)</f>
        <v>832.34400000000005</v>
      </c>
      <c r="I176" s="65">
        <f ca="1">VLOOKUP($A176,INDIRECT($P$2),COLUMN()-1,FALSE)*VLOOKUP($A176,Usinas!$C:$D,2,FALSE)</f>
        <v>989.50599999999997</v>
      </c>
      <c r="J176" s="65">
        <f ca="1">VLOOKUP($A176,INDIRECT($P$2),COLUMN()-1,FALSE)*VLOOKUP($A176,Usinas!$C:$D,2,FALSE)</f>
        <v>996.53</v>
      </c>
      <c r="K176" s="65">
        <f ca="1">VLOOKUP($A176,INDIRECT($P$2),COLUMN()-1,FALSE)*VLOOKUP($A176,Usinas!$C:$D,2,FALSE)</f>
        <v>822.68600000000004</v>
      </c>
      <c r="L176" s="65">
        <f ca="1">VLOOKUP($A176,INDIRECT($P$2),COLUMN()-1,FALSE)*VLOOKUP($A176,Usinas!$C:$D,2,FALSE)</f>
        <v>974.58</v>
      </c>
      <c r="M176" s="65">
        <f ca="1">VLOOKUP($A176,INDIRECT($P$2),COLUMN()-1,FALSE)*VLOOKUP($A176,Usinas!$C:$D,2,FALSE)</f>
        <v>1252.028</v>
      </c>
      <c r="N176" s="65">
        <f ca="1">VLOOKUP($A176,INDIRECT($P$2),COLUMN()-1,FALSE)*VLOOKUP($A176,Usinas!$C:$D,2,FALSE)</f>
        <v>939.46</v>
      </c>
      <c r="O176" s="65">
        <f ca="1">VLOOKUP($A176,INDIRECT($P$2),COLUMN()-1,FALSE)*VLOOKUP($A176,Usinas!$C:$D,2,FALSE)</f>
        <v>762.10400000000004</v>
      </c>
    </row>
    <row r="177" spans="1:15" hidden="1" outlineLevel="2" x14ac:dyDescent="0.25">
      <c r="A177" s="30">
        <v>78</v>
      </c>
      <c r="B177" s="31" t="s">
        <v>174</v>
      </c>
      <c r="D177" s="65">
        <f ca="1">VLOOKUP($A177,INDIRECT($P$2),COLUMN()-1,FALSE)*VLOOKUP($A177,Usinas!$C:$D,2,FALSE)</f>
        <v>581.50540000000001</v>
      </c>
      <c r="E177" s="65">
        <f ca="1">VLOOKUP($A177,INDIRECT($P$2),COLUMN()-1,FALSE)*VLOOKUP($A177,Usinas!$C:$D,2,FALSE)</f>
        <v>645.20609999999999</v>
      </c>
      <c r="F177" s="65">
        <f ca="1">VLOOKUP($A177,INDIRECT($P$2),COLUMN()-1,FALSE)*VLOOKUP($A177,Usinas!$C:$D,2,FALSE)</f>
        <v>563.84580000000005</v>
      </c>
      <c r="G177" s="65">
        <f ca="1">VLOOKUP($A177,INDIRECT($P$2),COLUMN()-1,FALSE)*VLOOKUP($A177,Usinas!$C:$D,2,FALSE)</f>
        <v>499.51440000000002</v>
      </c>
      <c r="H177" s="65">
        <f ca="1">VLOOKUP($A177,INDIRECT($P$2),COLUMN()-1,FALSE)*VLOOKUP($A177,Usinas!$C:$D,2,FALSE)</f>
        <v>628.17720000000008</v>
      </c>
      <c r="I177" s="65">
        <f ca="1">VLOOKUP($A177,INDIRECT($P$2),COLUMN()-1,FALSE)*VLOOKUP($A177,Usinas!$C:$D,2,FALSE)</f>
        <v>745.48740000000009</v>
      </c>
      <c r="J177" s="65">
        <f ca="1">VLOOKUP($A177,INDIRECT($P$2),COLUMN()-1,FALSE)*VLOOKUP($A177,Usinas!$C:$D,2,FALSE)</f>
        <v>748.6409000000001</v>
      </c>
      <c r="K177" s="65">
        <f ca="1">VLOOKUP($A177,INDIRECT($P$2),COLUMN()-1,FALSE)*VLOOKUP($A177,Usinas!$C:$D,2,FALSE)</f>
        <v>618.08600000000001</v>
      </c>
      <c r="L177" s="65">
        <f ca="1">VLOOKUP($A177,INDIRECT($P$2),COLUMN()-1,FALSE)*VLOOKUP($A177,Usinas!$C:$D,2,FALSE)</f>
        <v>729.08920000000001</v>
      </c>
      <c r="M177" s="65">
        <f ca="1">VLOOKUP($A177,INDIRECT($P$2),COLUMN()-1,FALSE)*VLOOKUP($A177,Usinas!$C:$D,2,FALSE)</f>
        <v>946.05000000000007</v>
      </c>
      <c r="N177" s="65">
        <f ca="1">VLOOKUP($A177,INDIRECT($P$2),COLUMN()-1,FALSE)*VLOOKUP($A177,Usinas!$C:$D,2,FALSE)</f>
        <v>711.42960000000005</v>
      </c>
      <c r="O177" s="65">
        <f ca="1">VLOOKUP($A177,INDIRECT($P$2),COLUMN()-1,FALSE)*VLOOKUP($A177,Usinas!$C:$D,2,FALSE)</f>
        <v>573.30630000000008</v>
      </c>
    </row>
    <row r="178" spans="1:15" hidden="1" outlineLevel="2" x14ac:dyDescent="0.25">
      <c r="A178" s="30">
        <v>222</v>
      </c>
      <c r="B178" s="31" t="s">
        <v>175</v>
      </c>
      <c r="D178" s="65">
        <f ca="1">VLOOKUP($A178,INDIRECT($P$2),COLUMN()-1,FALSE)*VLOOKUP($A178,Usinas!$C:$D,2,FALSE)</f>
        <v>677.79899999999998</v>
      </c>
      <c r="E178" s="65">
        <f ca="1">VLOOKUP($A178,INDIRECT($P$2),COLUMN()-1,FALSE)*VLOOKUP($A178,Usinas!$C:$D,2,FALSE)</f>
        <v>750.14499999999998</v>
      </c>
      <c r="F178" s="65">
        <f ca="1">VLOOKUP($A178,INDIRECT($P$2),COLUMN()-1,FALSE)*VLOOKUP($A178,Usinas!$C:$D,2,FALSE)</f>
        <v>652.89299999999992</v>
      </c>
      <c r="G178" s="65">
        <f ca="1">VLOOKUP($A178,INDIRECT($P$2),COLUMN()-1,FALSE)*VLOOKUP($A178,Usinas!$C:$D,2,FALSE)</f>
        <v>605.45299999999997</v>
      </c>
      <c r="H178" s="65">
        <f ca="1">VLOOKUP($A178,INDIRECT($P$2),COLUMN()-1,FALSE)*VLOOKUP($A178,Usinas!$C:$D,2,FALSE)</f>
        <v>785.72499999999991</v>
      </c>
      <c r="I178" s="65">
        <f ca="1">VLOOKUP($A178,INDIRECT($P$2),COLUMN()-1,FALSE)*VLOOKUP($A178,Usinas!$C:$D,2,FALSE)</f>
        <v>933.97499999999991</v>
      </c>
      <c r="J178" s="65">
        <f ca="1">VLOOKUP($A178,INDIRECT($P$2),COLUMN()-1,FALSE)*VLOOKUP($A178,Usinas!$C:$D,2,FALSE)</f>
        <v>903.73199999999997</v>
      </c>
      <c r="K178" s="65">
        <f ca="1">VLOOKUP($A178,INDIRECT($P$2),COLUMN()-1,FALSE)*VLOOKUP($A178,Usinas!$C:$D,2,FALSE)</f>
        <v>749.55199999999991</v>
      </c>
      <c r="L178" s="65">
        <f ca="1">VLOOKUP($A178,INDIRECT($P$2),COLUMN()-1,FALSE)*VLOOKUP($A178,Usinas!$C:$D,2,FALSE)</f>
        <v>869.93099999999993</v>
      </c>
      <c r="M178" s="65">
        <f ca="1">VLOOKUP($A178,INDIRECT($P$2),COLUMN()-1,FALSE)*VLOOKUP($A178,Usinas!$C:$D,2,FALSE)</f>
        <v>1147.4549999999999</v>
      </c>
      <c r="N178" s="65">
        <f ca="1">VLOOKUP($A178,INDIRECT($P$2),COLUMN()-1,FALSE)*VLOOKUP($A178,Usinas!$C:$D,2,FALSE)</f>
        <v>866.96600000000001</v>
      </c>
      <c r="O178" s="65">
        <f ca="1">VLOOKUP($A178,INDIRECT($P$2),COLUMN()-1,FALSE)*VLOOKUP($A178,Usinas!$C:$D,2,FALSE)</f>
        <v>687.88</v>
      </c>
    </row>
    <row r="179" spans="1:15" hidden="1" outlineLevel="1" x14ac:dyDescent="0.25">
      <c r="A179" s="32"/>
      <c r="B179" s="33" t="s">
        <v>56</v>
      </c>
      <c r="D179" s="74">
        <f t="shared" ref="D179:O179" ca="1" si="17">SUM(D172:D178)</f>
        <v>3667.0928999999996</v>
      </c>
      <c r="E179" s="48">
        <f t="shared" ca="1" si="17"/>
        <v>4073.1866</v>
      </c>
      <c r="F179" s="48">
        <f t="shared" ca="1" si="17"/>
        <v>3579.5592000000001</v>
      </c>
      <c r="G179" s="48">
        <f t="shared" ca="1" si="17"/>
        <v>3116.2644999999998</v>
      </c>
      <c r="H179" s="48">
        <f t="shared" ca="1" si="17"/>
        <v>3898.547</v>
      </c>
      <c r="I179" s="75">
        <f t="shared" ca="1" si="17"/>
        <v>4610.8588999999993</v>
      </c>
      <c r="J179" s="74">
        <f t="shared" ca="1" si="17"/>
        <v>4657.3197</v>
      </c>
      <c r="K179" s="48">
        <f t="shared" ca="1" si="17"/>
        <v>3876.5623999999998</v>
      </c>
      <c r="L179" s="48">
        <f t="shared" ca="1" si="17"/>
        <v>4564.7398999999996</v>
      </c>
      <c r="M179" s="48">
        <f t="shared" ca="1" si="17"/>
        <v>5859.7097000000003</v>
      </c>
      <c r="N179" s="48">
        <f t="shared" ca="1" si="17"/>
        <v>4421.9402</v>
      </c>
      <c r="O179" s="75">
        <f t="shared" ca="1" si="17"/>
        <v>3610.9828000000007</v>
      </c>
    </row>
    <row r="180" spans="1:15" hidden="1" outlineLevel="1" x14ac:dyDescent="0.25">
      <c r="A180" s="34"/>
      <c r="B180" s="35" t="s">
        <v>0</v>
      </c>
      <c r="D180" s="76"/>
      <c r="E180" s="77"/>
      <c r="F180" s="77"/>
      <c r="G180" s="77"/>
      <c r="H180" s="77"/>
      <c r="I180" s="78"/>
      <c r="J180" s="76"/>
      <c r="K180" s="77"/>
      <c r="L180" s="77"/>
      <c r="M180" s="77"/>
      <c r="N180" s="77"/>
      <c r="O180" s="78"/>
    </row>
    <row r="181" spans="1:15" hidden="1" outlineLevel="1" x14ac:dyDescent="0.25">
      <c r="A181" s="2"/>
      <c r="B181" s="3"/>
      <c r="D181" s="53"/>
      <c r="E181" s="54"/>
      <c r="F181" s="54"/>
      <c r="G181" s="54"/>
      <c r="H181" s="54"/>
      <c r="I181" s="54"/>
      <c r="J181" s="53"/>
      <c r="K181" s="54"/>
      <c r="L181" s="54"/>
      <c r="M181" s="54"/>
      <c r="N181" s="54"/>
      <c r="O181" s="54"/>
    </row>
    <row r="182" spans="1:15" hidden="1" outlineLevel="1" x14ac:dyDescent="0.25">
      <c r="A182" s="36"/>
      <c r="B182" s="37"/>
      <c r="D182" s="332" t="s">
        <v>176</v>
      </c>
      <c r="E182" s="333" t="s">
        <v>58</v>
      </c>
      <c r="F182" s="333" t="s">
        <v>177</v>
      </c>
      <c r="G182" s="333"/>
      <c r="H182" s="333"/>
      <c r="I182" s="334"/>
      <c r="J182" s="332" t="s">
        <v>176</v>
      </c>
      <c r="K182" s="333" t="s">
        <v>58</v>
      </c>
      <c r="L182" s="333" t="s">
        <v>177</v>
      </c>
      <c r="M182" s="333"/>
      <c r="N182" s="333"/>
      <c r="O182" s="334"/>
    </row>
    <row r="183" spans="1:15" hidden="1" outlineLevel="2" x14ac:dyDescent="0.25">
      <c r="A183" s="30">
        <v>110</v>
      </c>
      <c r="B183" s="31" t="s">
        <v>178</v>
      </c>
      <c r="D183" s="65">
        <f ca="1">VLOOKUP($A183,INDIRECT($P$2),COLUMN()-1,FALSE)*VLOOKUP($A183,Usinas!$C:$D,2,FALSE)</f>
        <v>0</v>
      </c>
      <c r="E183" s="65">
        <f ca="1">VLOOKUP($A183,INDIRECT($P$2),COLUMN()-1,FALSE)*VLOOKUP($A183,Usinas!$C:$D,2,FALSE)</f>
        <v>0</v>
      </c>
      <c r="F183" s="65">
        <f ca="1">VLOOKUP($A183,INDIRECT($P$2),COLUMN()-1,FALSE)*VLOOKUP($A183,Usinas!$C:$D,2,FALSE)</f>
        <v>0</v>
      </c>
      <c r="G183" s="65">
        <f ca="1">VLOOKUP($A183,INDIRECT($P$2),COLUMN()-1,FALSE)*VLOOKUP($A183,Usinas!$C:$D,2,FALSE)</f>
        <v>0</v>
      </c>
      <c r="H183" s="65">
        <f ca="1">VLOOKUP($A183,INDIRECT($P$2),COLUMN()-1,FALSE)*VLOOKUP($A183,Usinas!$C:$D,2,FALSE)</f>
        <v>0</v>
      </c>
      <c r="I183" s="65">
        <f ca="1">VLOOKUP($A183,INDIRECT($P$2),COLUMN()-1,FALSE)*VLOOKUP($A183,Usinas!$C:$D,2,FALSE)</f>
        <v>0</v>
      </c>
      <c r="J183" s="65">
        <f ca="1">VLOOKUP($A183,INDIRECT($P$2),COLUMN()-1,FALSE)*VLOOKUP($A183,Usinas!$C:$D,2,FALSE)</f>
        <v>0</v>
      </c>
      <c r="K183" s="65">
        <f ca="1">VLOOKUP($A183,INDIRECT($P$2),COLUMN()-1,FALSE)*VLOOKUP($A183,Usinas!$C:$D,2,FALSE)</f>
        <v>0</v>
      </c>
      <c r="L183" s="65">
        <f ca="1">VLOOKUP($A183,INDIRECT($P$2),COLUMN()-1,FALSE)*VLOOKUP($A183,Usinas!$C:$D,2,FALSE)</f>
        <v>0</v>
      </c>
      <c r="M183" s="65">
        <f ca="1">VLOOKUP($A183,INDIRECT($P$2),COLUMN()-1,FALSE)*VLOOKUP($A183,Usinas!$C:$D,2,FALSE)</f>
        <v>0</v>
      </c>
      <c r="N183" s="65">
        <f ca="1">VLOOKUP($A183,INDIRECT($P$2),COLUMN()-1,FALSE)*VLOOKUP($A183,Usinas!$C:$D,2,FALSE)</f>
        <v>0</v>
      </c>
      <c r="O183" s="65">
        <f ca="1">VLOOKUP($A183,INDIRECT($P$2),COLUMN()-1,FALSE)*VLOOKUP($A183,Usinas!$C:$D,2,FALSE)</f>
        <v>0</v>
      </c>
    </row>
    <row r="184" spans="1:15" hidden="1" outlineLevel="2" x14ac:dyDescent="0.25">
      <c r="A184" s="30">
        <v>111</v>
      </c>
      <c r="B184" s="31" t="s">
        <v>34</v>
      </c>
      <c r="D184" s="65">
        <f ca="1">VLOOKUP($A184,INDIRECT($P$2),COLUMN()-1,FALSE)*VLOOKUP($A184,Usinas!$C:$D,2,FALSE)</f>
        <v>50.120399999999997</v>
      </c>
      <c r="E184" s="65">
        <f ca="1">VLOOKUP($A184,INDIRECT($P$2),COLUMN()-1,FALSE)*VLOOKUP($A184,Usinas!$C:$D,2,FALSE)</f>
        <v>46.703099999999999</v>
      </c>
      <c r="F184" s="65">
        <f ca="1">VLOOKUP($A184,INDIRECT($P$2),COLUMN()-1,FALSE)*VLOOKUP($A184,Usinas!$C:$D,2,FALSE)</f>
        <v>39.488799999999998</v>
      </c>
      <c r="G184" s="65">
        <f ca="1">VLOOKUP($A184,INDIRECT($P$2),COLUMN()-1,FALSE)*VLOOKUP($A184,Usinas!$C:$D,2,FALSE)</f>
        <v>52.018899999999995</v>
      </c>
      <c r="H184" s="65">
        <f ca="1">VLOOKUP($A184,INDIRECT($P$2),COLUMN()-1,FALSE)*VLOOKUP($A184,Usinas!$C:$D,2,FALSE)</f>
        <v>72.9024</v>
      </c>
      <c r="I184" s="65">
        <f ca="1">VLOOKUP($A184,INDIRECT($P$2),COLUMN()-1,FALSE)*VLOOKUP($A184,Usinas!$C:$D,2,FALSE)</f>
        <v>89.229500000000002</v>
      </c>
      <c r="J184" s="65">
        <f ca="1">VLOOKUP($A184,INDIRECT($P$2),COLUMN()-1,FALSE)*VLOOKUP($A184,Usinas!$C:$D,2,FALSE)</f>
        <v>100.24079999999999</v>
      </c>
      <c r="K184" s="65">
        <f ca="1">VLOOKUP($A184,INDIRECT($P$2),COLUMN()-1,FALSE)*VLOOKUP($A184,Usinas!$C:$D,2,FALSE)</f>
        <v>103.65809999999999</v>
      </c>
      <c r="L184" s="65">
        <f ca="1">VLOOKUP($A184,INDIRECT($P$2),COLUMN()-1,FALSE)*VLOOKUP($A184,Usinas!$C:$D,2,FALSE)</f>
        <v>118.46639999999999</v>
      </c>
      <c r="M184" s="65">
        <f ca="1">VLOOKUP($A184,INDIRECT($P$2),COLUMN()-1,FALSE)*VLOOKUP($A184,Usinas!$C:$D,2,FALSE)</f>
        <v>116.94759999999999</v>
      </c>
      <c r="N184" s="65">
        <f ca="1">VLOOKUP($A184,INDIRECT($P$2),COLUMN()-1,FALSE)*VLOOKUP($A184,Usinas!$C:$D,2,FALSE)</f>
        <v>83.154299999999992</v>
      </c>
      <c r="O184" s="65">
        <f ca="1">VLOOKUP($A184,INDIRECT($P$2),COLUMN()-1,FALSE)*VLOOKUP($A184,Usinas!$C:$D,2,FALSE)</f>
        <v>64.548999999999992</v>
      </c>
    </row>
    <row r="185" spans="1:15" hidden="1" outlineLevel="2" x14ac:dyDescent="0.25">
      <c r="A185" s="30">
        <v>112</v>
      </c>
      <c r="B185" s="31" t="s">
        <v>179</v>
      </c>
      <c r="D185" s="65">
        <f ca="1">VLOOKUP($A185,INDIRECT($P$2),COLUMN()-1,FALSE)*VLOOKUP($A185,Usinas!$C:$D,2,FALSE)</f>
        <v>110.97880000000001</v>
      </c>
      <c r="E185" s="65">
        <f ca="1">VLOOKUP($A185,INDIRECT($P$2),COLUMN()-1,FALSE)*VLOOKUP($A185,Usinas!$C:$D,2,FALSE)</f>
        <v>102.69680000000001</v>
      </c>
      <c r="F185" s="65">
        <f ca="1">VLOOKUP($A185,INDIRECT($P$2),COLUMN()-1,FALSE)*VLOOKUP($A185,Usinas!$C:$D,2,FALSE)</f>
        <v>86.960999999999999</v>
      </c>
      <c r="G185" s="65">
        <f ca="1">VLOOKUP($A185,INDIRECT($P$2),COLUMN()-1,FALSE)*VLOOKUP($A185,Usinas!$C:$D,2,FALSE)</f>
        <v>114.2916</v>
      </c>
      <c r="H185" s="65">
        <f ca="1">VLOOKUP($A185,INDIRECT($P$2),COLUMN()-1,FALSE)*VLOOKUP($A185,Usinas!$C:$D,2,FALSE)</f>
        <v>160.67080000000001</v>
      </c>
      <c r="I185" s="65">
        <f ca="1">VLOOKUP($A185,INDIRECT($P$2),COLUMN()-1,FALSE)*VLOOKUP($A185,Usinas!$C:$D,2,FALSE)</f>
        <v>196.2834</v>
      </c>
      <c r="J185" s="65">
        <f ca="1">VLOOKUP($A185,INDIRECT($P$2),COLUMN()-1,FALSE)*VLOOKUP($A185,Usinas!$C:$D,2,FALSE)</f>
        <v>220.30120000000002</v>
      </c>
      <c r="K185" s="65">
        <f ca="1">VLOOKUP($A185,INDIRECT($P$2),COLUMN()-1,FALSE)*VLOOKUP($A185,Usinas!$C:$D,2,FALSE)</f>
        <v>227.75500000000002</v>
      </c>
      <c r="L185" s="65">
        <f ca="1">VLOOKUP($A185,INDIRECT($P$2),COLUMN()-1,FALSE)*VLOOKUP($A185,Usinas!$C:$D,2,FALSE)</f>
        <v>260.0548</v>
      </c>
      <c r="M185" s="65">
        <f ca="1">VLOOKUP($A185,INDIRECT($P$2),COLUMN()-1,FALSE)*VLOOKUP($A185,Usinas!$C:$D,2,FALSE)</f>
        <v>257.5702</v>
      </c>
      <c r="N185" s="65">
        <f ca="1">VLOOKUP($A185,INDIRECT($P$2),COLUMN()-1,FALSE)*VLOOKUP($A185,Usinas!$C:$D,2,FALSE)</f>
        <v>183.03220000000002</v>
      </c>
      <c r="O185" s="65">
        <f ca="1">VLOOKUP($A185,INDIRECT($P$2),COLUMN()-1,FALSE)*VLOOKUP($A185,Usinas!$C:$D,2,FALSE)</f>
        <v>141.62220000000002</v>
      </c>
    </row>
    <row r="186" spans="1:15" hidden="1" outlineLevel="2" x14ac:dyDescent="0.25">
      <c r="A186" s="30">
        <v>113</v>
      </c>
      <c r="B186" s="31" t="s">
        <v>180</v>
      </c>
      <c r="D186" s="65">
        <f ca="1">VLOOKUP($A186,INDIRECT($P$2),COLUMN()-1,FALSE)*VLOOKUP($A186,Usinas!$C:$D,2,FALSE)</f>
        <v>137.0994</v>
      </c>
      <c r="E186" s="65">
        <f ca="1">VLOOKUP($A186,INDIRECT($P$2),COLUMN()-1,FALSE)*VLOOKUP($A186,Usinas!$C:$D,2,FALSE)</f>
        <v>127.18859999999999</v>
      </c>
      <c r="F186" s="65">
        <f ca="1">VLOOKUP($A186,INDIRECT($P$2),COLUMN()-1,FALSE)*VLOOKUP($A186,Usinas!$C:$D,2,FALSE)</f>
        <v>108.19289999999999</v>
      </c>
      <c r="G186" s="65">
        <f ca="1">VLOOKUP($A186,INDIRECT($P$2),COLUMN()-1,FALSE)*VLOOKUP($A186,Usinas!$C:$D,2,FALSE)</f>
        <v>145.35839999999999</v>
      </c>
      <c r="H186" s="65">
        <f ca="1">VLOOKUP($A186,INDIRECT($P$2),COLUMN()-1,FALSE)*VLOOKUP($A186,Usinas!$C:$D,2,FALSE)</f>
        <v>203.9973</v>
      </c>
      <c r="I186" s="65">
        <f ca="1">VLOOKUP($A186,INDIRECT($P$2),COLUMN()-1,FALSE)*VLOOKUP($A186,Usinas!$C:$D,2,FALSE)</f>
        <v>248.5959</v>
      </c>
      <c r="J186" s="65">
        <f ca="1">VLOOKUP($A186,INDIRECT($P$2),COLUMN()-1,FALSE)*VLOOKUP($A186,Usinas!$C:$D,2,FALSE)</f>
        <v>283.28370000000001</v>
      </c>
      <c r="K186" s="65">
        <f ca="1">VLOOKUP($A186,INDIRECT($P$2),COLUMN()-1,FALSE)*VLOOKUP($A186,Usinas!$C:$D,2,FALSE)</f>
        <v>287.41319999999996</v>
      </c>
      <c r="L186" s="65">
        <f ca="1">VLOOKUP($A186,INDIRECT($P$2),COLUMN()-1,FALSE)*VLOOKUP($A186,Usinas!$C:$D,2,FALSE)</f>
        <v>328.70819999999998</v>
      </c>
      <c r="M186" s="65">
        <f ca="1">VLOOKUP($A186,INDIRECT($P$2),COLUMN()-1,FALSE)*VLOOKUP($A186,Usinas!$C:$D,2,FALSE)</f>
        <v>325.40459999999996</v>
      </c>
      <c r="N186" s="65">
        <f ca="1">VLOOKUP($A186,INDIRECT($P$2),COLUMN()-1,FALSE)*VLOOKUP($A186,Usinas!$C:$D,2,FALSE)</f>
        <v>235.38149999999999</v>
      </c>
      <c r="O186" s="65">
        <f ca="1">VLOOKUP($A186,INDIRECT($P$2),COLUMN()-1,FALSE)*VLOOKUP($A186,Usinas!$C:$D,2,FALSE)</f>
        <v>175.0908</v>
      </c>
    </row>
    <row r="187" spans="1:15" hidden="1" outlineLevel="2" x14ac:dyDescent="0.25">
      <c r="A187" s="30">
        <v>114</v>
      </c>
      <c r="B187" s="31" t="s">
        <v>181</v>
      </c>
      <c r="D187" s="65">
        <f ca="1">VLOOKUP($A187,INDIRECT($P$2),COLUMN()-1,FALSE)*VLOOKUP($A187,Usinas!$C:$D,2,FALSE)</f>
        <v>68.983199999999997</v>
      </c>
      <c r="E187" s="65">
        <f ca="1">VLOOKUP($A187,INDIRECT($P$2),COLUMN()-1,FALSE)*VLOOKUP($A187,Usinas!$C:$D,2,FALSE)</f>
        <v>65.551199999999994</v>
      </c>
      <c r="F187" s="65">
        <f ca="1">VLOOKUP($A187,INDIRECT($P$2),COLUMN()-1,FALSE)*VLOOKUP($A187,Usinas!$C:$D,2,FALSE)</f>
        <v>55.941600000000001</v>
      </c>
      <c r="G187" s="65">
        <f ca="1">VLOOKUP($A187,INDIRECT($P$2),COLUMN()-1,FALSE)*VLOOKUP($A187,Usinas!$C:$D,2,FALSE)</f>
        <v>77.22</v>
      </c>
      <c r="H187" s="65">
        <f ca="1">VLOOKUP($A187,INDIRECT($P$2),COLUMN()-1,FALSE)*VLOOKUP($A187,Usinas!$C:$D,2,FALSE)</f>
        <v>103.6464</v>
      </c>
      <c r="I187" s="65">
        <f ca="1">VLOOKUP($A187,INDIRECT($P$2),COLUMN()-1,FALSE)*VLOOKUP($A187,Usinas!$C:$D,2,FALSE)</f>
        <v>131.78880000000001</v>
      </c>
      <c r="J187" s="65">
        <f ca="1">VLOOKUP($A187,INDIRECT($P$2),COLUMN()-1,FALSE)*VLOOKUP($A187,Usinas!$C:$D,2,FALSE)</f>
        <v>148.60560000000001</v>
      </c>
      <c r="K187" s="65">
        <f ca="1">VLOOKUP($A187,INDIRECT($P$2),COLUMN()-1,FALSE)*VLOOKUP($A187,Usinas!$C:$D,2,FALSE)</f>
        <v>145.86000000000001</v>
      </c>
      <c r="L187" s="65">
        <f ca="1">VLOOKUP($A187,INDIRECT($P$2),COLUMN()-1,FALSE)*VLOOKUP($A187,Usinas!$C:$D,2,FALSE)</f>
        <v>165.76560000000001</v>
      </c>
      <c r="M187" s="65">
        <f ca="1">VLOOKUP($A187,INDIRECT($P$2),COLUMN()-1,FALSE)*VLOOKUP($A187,Usinas!$C:$D,2,FALSE)</f>
        <v>163.02000000000001</v>
      </c>
      <c r="N187" s="65">
        <f ca="1">VLOOKUP($A187,INDIRECT($P$2),COLUMN()-1,FALSE)*VLOOKUP($A187,Usinas!$C:$D,2,FALSE)</f>
        <v>117.0312</v>
      </c>
      <c r="O187" s="65">
        <f ca="1">VLOOKUP($A187,INDIRECT($P$2),COLUMN()-1,FALSE)*VLOOKUP($A187,Usinas!$C:$D,2,FALSE)</f>
        <v>87.172799999999995</v>
      </c>
    </row>
    <row r="188" spans="1:15" hidden="1" outlineLevel="2" x14ac:dyDescent="0.25">
      <c r="A188" s="30">
        <v>97</v>
      </c>
      <c r="B188" s="31" t="s">
        <v>182</v>
      </c>
      <c r="D188" s="65">
        <f ca="1">VLOOKUP($A188,INDIRECT($P$2),COLUMN()-1,FALSE)*VLOOKUP($A188,Usinas!$C:$D,2,FALSE)</f>
        <v>57.616</v>
      </c>
      <c r="E188" s="65">
        <f ca="1">VLOOKUP($A188,INDIRECT($P$2),COLUMN()-1,FALSE)*VLOOKUP($A188,Usinas!$C:$D,2,FALSE)</f>
        <v>73.820499999999996</v>
      </c>
      <c r="F188" s="65">
        <f ca="1">VLOOKUP($A188,INDIRECT($P$2),COLUMN()-1,FALSE)*VLOOKUP($A188,Usinas!$C:$D,2,FALSE)</f>
        <v>55.815499999999993</v>
      </c>
      <c r="G188" s="65">
        <f ca="1">VLOOKUP($A188,INDIRECT($P$2),COLUMN()-1,FALSE)*VLOOKUP($A188,Usinas!$C:$D,2,FALSE)</f>
        <v>62.657399999999996</v>
      </c>
      <c r="H188" s="65">
        <f ca="1">VLOOKUP($A188,INDIRECT($P$2),COLUMN()-1,FALSE)*VLOOKUP($A188,Usinas!$C:$D,2,FALSE)</f>
        <v>86.784099999999995</v>
      </c>
      <c r="I188" s="65">
        <f ca="1">VLOOKUP($A188,INDIRECT($P$2),COLUMN()-1,FALSE)*VLOOKUP($A188,Usinas!$C:$D,2,FALSE)</f>
        <v>113.0714</v>
      </c>
      <c r="J188" s="65">
        <f ca="1">VLOOKUP($A188,INDIRECT($P$2),COLUMN()-1,FALSE)*VLOOKUP($A188,Usinas!$C:$D,2,FALSE)</f>
        <v>146.20059999999998</v>
      </c>
      <c r="K188" s="65">
        <f ca="1">VLOOKUP($A188,INDIRECT($P$2),COLUMN()-1,FALSE)*VLOOKUP($A188,Usinas!$C:$D,2,FALSE)</f>
        <v>152.6824</v>
      </c>
      <c r="L188" s="65">
        <f ca="1">VLOOKUP($A188,INDIRECT($P$2),COLUMN()-1,FALSE)*VLOOKUP($A188,Usinas!$C:$D,2,FALSE)</f>
        <v>169.6071</v>
      </c>
      <c r="M188" s="65">
        <f ca="1">VLOOKUP($A188,INDIRECT($P$2),COLUMN()-1,FALSE)*VLOOKUP($A188,Usinas!$C:$D,2,FALSE)</f>
        <v>139.3587</v>
      </c>
      <c r="N188" s="65">
        <f ca="1">VLOOKUP($A188,INDIRECT($P$2),COLUMN()-1,FALSE)*VLOOKUP($A188,Usinas!$C:$D,2,FALSE)</f>
        <v>81.742699999999999</v>
      </c>
      <c r="O188" s="65">
        <f ca="1">VLOOKUP($A188,INDIRECT($P$2),COLUMN()-1,FALSE)*VLOOKUP($A188,Usinas!$C:$D,2,FALSE)</f>
        <v>65.178100000000001</v>
      </c>
    </row>
    <row r="189" spans="1:15" hidden="1" outlineLevel="2" x14ac:dyDescent="0.25">
      <c r="A189" s="30">
        <v>98</v>
      </c>
      <c r="B189" s="31" t="s">
        <v>183</v>
      </c>
      <c r="D189" s="65">
        <f ca="1">VLOOKUP($A189,INDIRECT($P$2),COLUMN()-1,FALSE)*VLOOKUP($A189,Usinas!$C:$D,2,FALSE)</f>
        <v>70.540499999999994</v>
      </c>
      <c r="E189" s="65">
        <f ca="1">VLOOKUP($A189,INDIRECT($P$2),COLUMN()-1,FALSE)*VLOOKUP($A189,Usinas!$C:$D,2,FALSE)</f>
        <v>91.778499999999994</v>
      </c>
      <c r="F189" s="65">
        <f ca="1">VLOOKUP($A189,INDIRECT($P$2),COLUMN()-1,FALSE)*VLOOKUP($A189,Usinas!$C:$D,2,FALSE)</f>
        <v>69.781999999999996</v>
      </c>
      <c r="G189" s="65">
        <f ca="1">VLOOKUP($A189,INDIRECT($P$2),COLUMN()-1,FALSE)*VLOOKUP($A189,Usinas!$C:$D,2,FALSE)</f>
        <v>75.091499999999996</v>
      </c>
      <c r="H189" s="65">
        <f ca="1">VLOOKUP($A189,INDIRECT($P$2),COLUMN()-1,FALSE)*VLOOKUP($A189,Usinas!$C:$D,2,FALSE)</f>
        <v>97.087999999999994</v>
      </c>
      <c r="I189" s="65">
        <f ca="1">VLOOKUP($A189,INDIRECT($P$2),COLUMN()-1,FALSE)*VLOOKUP($A189,Usinas!$C:$D,2,FALSE)</f>
        <v>128.94499999999999</v>
      </c>
      <c r="J189" s="65">
        <f ca="1">VLOOKUP($A189,INDIRECT($P$2),COLUMN()-1,FALSE)*VLOOKUP($A189,Usinas!$C:$D,2,FALSE)</f>
        <v>166.11149999999998</v>
      </c>
      <c r="K189" s="65">
        <f ca="1">VLOOKUP($A189,INDIRECT($P$2),COLUMN()-1,FALSE)*VLOOKUP($A189,Usinas!$C:$D,2,FALSE)</f>
        <v>176.73049999999998</v>
      </c>
      <c r="L189" s="65">
        <f ca="1">VLOOKUP($A189,INDIRECT($P$2),COLUMN()-1,FALSE)*VLOOKUP($A189,Usinas!$C:$D,2,FALSE)</f>
        <v>191.142</v>
      </c>
      <c r="M189" s="65">
        <f ca="1">VLOOKUP($A189,INDIRECT($P$2),COLUMN()-1,FALSE)*VLOOKUP($A189,Usinas!$C:$D,2,FALSE)</f>
        <v>153.21699999999998</v>
      </c>
      <c r="N189" s="65">
        <f ca="1">VLOOKUP($A189,INDIRECT($P$2),COLUMN()-1,FALSE)*VLOOKUP($A189,Usinas!$C:$D,2,FALSE)</f>
        <v>93.29549999999999</v>
      </c>
      <c r="O189" s="65">
        <f ca="1">VLOOKUP($A189,INDIRECT($P$2),COLUMN()-1,FALSE)*VLOOKUP($A189,Usinas!$C:$D,2,FALSE)</f>
        <v>74.332999999999998</v>
      </c>
    </row>
    <row r="190" spans="1:15" hidden="1" outlineLevel="2" x14ac:dyDescent="0.25">
      <c r="A190" s="30">
        <v>284</v>
      </c>
      <c r="B190" s="31" t="s">
        <v>184</v>
      </c>
      <c r="D190" s="65">
        <f ca="1">VLOOKUP($A190,INDIRECT($P$2),COLUMN()-1,FALSE)*VLOOKUP($A190,Usinas!$C:$D,2,FALSE)</f>
        <v>50.812599999999996</v>
      </c>
      <c r="E190" s="65">
        <f ca="1">VLOOKUP($A190,INDIRECT($P$2),COLUMN()-1,FALSE)*VLOOKUP($A190,Usinas!$C:$D,2,FALSE)</f>
        <v>64.587099999999992</v>
      </c>
      <c r="F190" s="65">
        <f ca="1">VLOOKUP($A190,INDIRECT($P$2),COLUMN()-1,FALSE)*VLOOKUP($A190,Usinas!$C:$D,2,FALSE)</f>
        <v>49.2821</v>
      </c>
      <c r="G190" s="65">
        <f ca="1">VLOOKUP($A190,INDIRECT($P$2),COLUMN()-1,FALSE)*VLOOKUP($A190,Usinas!$C:$D,2,FALSE)</f>
        <v>54.791899999999998</v>
      </c>
      <c r="H190" s="65">
        <f ca="1">VLOOKUP($A190,INDIRECT($P$2),COLUMN()-1,FALSE)*VLOOKUP($A190,Usinas!$C:$D,2,FALSE)</f>
        <v>76.218899999999991</v>
      </c>
      <c r="I190" s="65">
        <f ca="1">VLOOKUP($A190,INDIRECT($P$2),COLUMN()-1,FALSE)*VLOOKUP($A190,Usinas!$C:$D,2,FALSE)</f>
        <v>99.176400000000001</v>
      </c>
      <c r="J190" s="65">
        <f ca="1">VLOOKUP($A190,INDIRECT($P$2),COLUMN()-1,FALSE)*VLOOKUP($A190,Usinas!$C:$D,2,FALSE)</f>
        <v>128.56199999999998</v>
      </c>
      <c r="K190" s="65">
        <f ca="1">VLOOKUP($A190,INDIRECT($P$2),COLUMN()-1,FALSE)*VLOOKUP($A190,Usinas!$C:$D,2,FALSE)</f>
        <v>134.0718</v>
      </c>
      <c r="L190" s="65">
        <f ca="1">VLOOKUP($A190,INDIRECT($P$2),COLUMN()-1,FALSE)*VLOOKUP($A190,Usinas!$C:$D,2,FALSE)</f>
        <v>149.07069999999999</v>
      </c>
      <c r="M190" s="65">
        <f ca="1">VLOOKUP($A190,INDIRECT($P$2),COLUMN()-1,FALSE)*VLOOKUP($A190,Usinas!$C:$D,2,FALSE)</f>
        <v>122.44</v>
      </c>
      <c r="N190" s="65">
        <f ca="1">VLOOKUP($A190,INDIRECT($P$2),COLUMN()-1,FALSE)*VLOOKUP($A190,Usinas!$C:$D,2,FALSE)</f>
        <v>71.933499999999995</v>
      </c>
      <c r="O190" s="65">
        <f ca="1">VLOOKUP($A190,INDIRECT($P$2),COLUMN()-1,FALSE)*VLOOKUP($A190,Usinas!$C:$D,2,FALSE)</f>
        <v>57.240699999999997</v>
      </c>
    </row>
    <row r="191" spans="1:15" hidden="1" outlineLevel="1" x14ac:dyDescent="0.25">
      <c r="A191" s="32"/>
      <c r="B191" s="33" t="s">
        <v>56</v>
      </c>
      <c r="D191" s="74">
        <f t="shared" ref="D191:O191" ca="1" si="18">SUM(D183:D190)</f>
        <v>546.15089999999998</v>
      </c>
      <c r="E191" s="48">
        <f t="shared" ca="1" si="18"/>
        <v>572.32579999999996</v>
      </c>
      <c r="F191" s="48">
        <f t="shared" ca="1" si="18"/>
        <v>465.46389999999997</v>
      </c>
      <c r="G191" s="48">
        <f t="shared" ca="1" si="18"/>
        <v>581.42969999999991</v>
      </c>
      <c r="H191" s="48">
        <f t="shared" ca="1" si="18"/>
        <v>801.3078999999999</v>
      </c>
      <c r="I191" s="75">
        <f t="shared" ca="1" si="18"/>
        <v>1007.0904</v>
      </c>
      <c r="J191" s="74">
        <f t="shared" ca="1" si="18"/>
        <v>1193.3054</v>
      </c>
      <c r="K191" s="48">
        <f t="shared" ca="1" si="18"/>
        <v>1228.1709999999998</v>
      </c>
      <c r="L191" s="48">
        <f t="shared" ca="1" si="18"/>
        <v>1382.8147999999999</v>
      </c>
      <c r="M191" s="48">
        <f t="shared" ca="1" si="18"/>
        <v>1277.9580999999998</v>
      </c>
      <c r="N191" s="48">
        <f t="shared" ca="1" si="18"/>
        <v>865.57089999999994</v>
      </c>
      <c r="O191" s="75">
        <f t="shared" ca="1" si="18"/>
        <v>665.18659999999988</v>
      </c>
    </row>
    <row r="192" spans="1:15" hidden="1" outlineLevel="1" x14ac:dyDescent="0.25">
      <c r="A192" s="34"/>
      <c r="B192" s="35" t="s">
        <v>0</v>
      </c>
      <c r="D192" s="76"/>
      <c r="E192" s="77"/>
      <c r="F192" s="77"/>
      <c r="G192" s="77"/>
      <c r="H192" s="77"/>
      <c r="I192" s="78"/>
      <c r="J192" s="76"/>
      <c r="K192" s="77"/>
      <c r="L192" s="77"/>
      <c r="M192" s="77"/>
      <c r="N192" s="77"/>
      <c r="O192" s="78"/>
    </row>
    <row r="193" spans="1:15" hidden="1" outlineLevel="1" x14ac:dyDescent="0.25">
      <c r="A193" s="2"/>
      <c r="B193" s="3"/>
      <c r="D193" s="53"/>
      <c r="E193" s="54"/>
      <c r="F193" s="54"/>
      <c r="G193" s="54"/>
      <c r="H193" s="54"/>
      <c r="I193" s="54"/>
      <c r="J193" s="53"/>
      <c r="K193" s="54"/>
      <c r="L193" s="54"/>
      <c r="M193" s="54"/>
      <c r="N193" s="54"/>
      <c r="O193" s="54"/>
    </row>
    <row r="194" spans="1:15" hidden="1" outlineLevel="1" x14ac:dyDescent="0.25">
      <c r="A194" s="36"/>
      <c r="B194" s="37"/>
      <c r="D194" s="332" t="s">
        <v>185</v>
      </c>
      <c r="E194" s="333" t="s">
        <v>58</v>
      </c>
      <c r="F194" s="333" t="s">
        <v>186</v>
      </c>
      <c r="G194" s="333"/>
      <c r="H194" s="333"/>
      <c r="I194" s="334"/>
      <c r="J194" s="332" t="s">
        <v>185</v>
      </c>
      <c r="K194" s="333" t="s">
        <v>58</v>
      </c>
      <c r="L194" s="333" t="s">
        <v>186</v>
      </c>
      <c r="M194" s="333"/>
      <c r="N194" s="333"/>
      <c r="O194" s="334"/>
    </row>
    <row r="195" spans="1:15" hidden="1" outlineLevel="2" x14ac:dyDescent="0.25">
      <c r="A195" s="30">
        <v>215</v>
      </c>
      <c r="B195" s="31" t="s">
        <v>187</v>
      </c>
      <c r="D195" s="65">
        <f ca="1">VLOOKUP($A195,INDIRECT($P$2),COLUMN()-1,FALSE)*VLOOKUP($A195,Usinas!$C:$D,2,FALSE)</f>
        <v>251.51759999999999</v>
      </c>
      <c r="E195" s="65">
        <f ca="1">VLOOKUP($A195,INDIRECT($P$2),COLUMN()-1,FALSE)*VLOOKUP($A195,Usinas!$C:$D,2,FALSE)</f>
        <v>327.94560000000001</v>
      </c>
      <c r="F195" s="65">
        <f ca="1">VLOOKUP($A195,INDIRECT($P$2),COLUMN()-1,FALSE)*VLOOKUP($A195,Usinas!$C:$D,2,FALSE)</f>
        <v>245.95919999999998</v>
      </c>
      <c r="G195" s="65">
        <f ca="1">VLOOKUP($A195,INDIRECT($P$2),COLUMN()-1,FALSE)*VLOOKUP($A195,Usinas!$C:$D,2,FALSE)</f>
        <v>257.07599999999996</v>
      </c>
      <c r="H195" s="65">
        <f ca="1">VLOOKUP($A195,INDIRECT($P$2),COLUMN()-1,FALSE)*VLOOKUP($A195,Usinas!$C:$D,2,FALSE)</f>
        <v>348.78960000000001</v>
      </c>
      <c r="I195" s="65">
        <f ca="1">VLOOKUP($A195,INDIRECT($P$2),COLUMN()-1,FALSE)*VLOOKUP($A195,Usinas!$C:$D,2,FALSE)</f>
        <v>386.30879999999996</v>
      </c>
      <c r="J195" s="65">
        <f ca="1">VLOOKUP($A195,INDIRECT($P$2),COLUMN()-1,FALSE)*VLOOKUP($A195,Usinas!$C:$D,2,FALSE)</f>
        <v>494.69759999999997</v>
      </c>
      <c r="K195" s="65">
        <f ca="1">VLOOKUP($A195,INDIRECT($P$2),COLUMN()-1,FALSE)*VLOOKUP($A195,Usinas!$C:$D,2,FALSE)</f>
        <v>532.21680000000003</v>
      </c>
      <c r="L195" s="65">
        <f ca="1">VLOOKUP($A195,INDIRECT($P$2),COLUMN()-1,FALSE)*VLOOKUP($A195,Usinas!$C:$D,2,FALSE)</f>
        <v>603.08640000000003</v>
      </c>
      <c r="M195" s="65">
        <f ca="1">VLOOKUP($A195,INDIRECT($P$2),COLUMN()-1,FALSE)*VLOOKUP($A195,Usinas!$C:$D,2,FALSE)</f>
        <v>530.82719999999995</v>
      </c>
      <c r="N195" s="65">
        <f ca="1">VLOOKUP($A195,INDIRECT($P$2),COLUMN()-1,FALSE)*VLOOKUP($A195,Usinas!$C:$D,2,FALSE)</f>
        <v>327.94560000000001</v>
      </c>
      <c r="O195" s="65">
        <f ca="1">VLOOKUP($A195,INDIRECT($P$2),COLUMN()-1,FALSE)*VLOOKUP($A195,Usinas!$C:$D,2,FALSE)</f>
        <v>257.07599999999996</v>
      </c>
    </row>
    <row r="196" spans="1:15" hidden="1" outlineLevel="2" x14ac:dyDescent="0.25">
      <c r="A196" s="30">
        <v>89</v>
      </c>
      <c r="B196" s="31" t="s">
        <v>188</v>
      </c>
      <c r="D196" s="65">
        <f ca="1">VLOOKUP($A196,INDIRECT($P$2),COLUMN()-1,FALSE)*VLOOKUP($A196,Usinas!$C:$D,2,FALSE)</f>
        <v>80.485900000000001</v>
      </c>
      <c r="E196" s="65">
        <f ca="1">VLOOKUP($A196,INDIRECT($P$2),COLUMN()-1,FALSE)*VLOOKUP($A196,Usinas!$C:$D,2,FALSE)</f>
        <v>100.5111</v>
      </c>
      <c r="F196" s="65">
        <f ca="1">VLOOKUP($A196,INDIRECT($P$2),COLUMN()-1,FALSE)*VLOOKUP($A196,Usinas!$C:$D,2,FALSE)</f>
        <v>81.256100000000004</v>
      </c>
      <c r="G196" s="65">
        <f ca="1">VLOOKUP($A196,INDIRECT($P$2),COLUMN()-1,FALSE)*VLOOKUP($A196,Usinas!$C:$D,2,FALSE)</f>
        <v>73.9392</v>
      </c>
      <c r="H196" s="65">
        <f ca="1">VLOOKUP($A196,INDIRECT($P$2),COLUMN()-1,FALSE)*VLOOKUP($A196,Usinas!$C:$D,2,FALSE)</f>
        <v>96.6601</v>
      </c>
      <c r="I196" s="65">
        <f ca="1">VLOOKUP($A196,INDIRECT($P$2),COLUMN()-1,FALSE)*VLOOKUP($A196,Usinas!$C:$D,2,FALSE)</f>
        <v>105.51739999999999</v>
      </c>
      <c r="J196" s="65">
        <f ca="1">VLOOKUP($A196,INDIRECT($P$2),COLUMN()-1,FALSE)*VLOOKUP($A196,Usinas!$C:$D,2,FALSE)</f>
        <v>126.6979</v>
      </c>
      <c r="K196" s="65">
        <f ca="1">VLOOKUP($A196,INDIRECT($P$2),COLUMN()-1,FALSE)*VLOOKUP($A196,Usinas!$C:$D,2,FALSE)</f>
        <v>133.24459999999999</v>
      </c>
      <c r="L196" s="65">
        <f ca="1">VLOOKUP($A196,INDIRECT($P$2),COLUMN()-1,FALSE)*VLOOKUP($A196,Usinas!$C:$D,2,FALSE)</f>
        <v>159.81649999999999</v>
      </c>
      <c r="M196" s="65">
        <f ca="1">VLOOKUP($A196,INDIRECT($P$2),COLUMN()-1,FALSE)*VLOOKUP($A196,Usinas!$C:$D,2,FALSE)</f>
        <v>164.43770000000001</v>
      </c>
      <c r="N196" s="65">
        <f ca="1">VLOOKUP($A196,INDIRECT($P$2),COLUMN()-1,FALSE)*VLOOKUP($A196,Usinas!$C:$D,2,FALSE)</f>
        <v>108.59820000000001</v>
      </c>
      <c r="O196" s="65">
        <f ca="1">VLOOKUP($A196,INDIRECT($P$2),COLUMN()-1,FALSE)*VLOOKUP($A196,Usinas!$C:$D,2,FALSE)</f>
        <v>78.560400000000001</v>
      </c>
    </row>
    <row r="197" spans="1:15" hidden="1" outlineLevel="2" x14ac:dyDescent="0.25">
      <c r="A197" s="30">
        <v>216</v>
      </c>
      <c r="B197" s="31" t="s">
        <v>189</v>
      </c>
      <c r="D197" s="65">
        <f ca="1">VLOOKUP($A197,INDIRECT($P$2),COLUMN()-1,FALSE)*VLOOKUP($A197,Usinas!$C:$D,2,FALSE)</f>
        <v>367.137</v>
      </c>
      <c r="E197" s="65">
        <f ca="1">VLOOKUP($A197,INDIRECT($P$2),COLUMN()-1,FALSE)*VLOOKUP($A197,Usinas!$C:$D,2,FALSE)</f>
        <v>459.73349999999999</v>
      </c>
      <c r="F197" s="65">
        <f ca="1">VLOOKUP($A197,INDIRECT($P$2),COLUMN()-1,FALSE)*VLOOKUP($A197,Usinas!$C:$D,2,FALSE)</f>
        <v>370.38600000000002</v>
      </c>
      <c r="G197" s="65">
        <f ca="1">VLOOKUP($A197,INDIRECT($P$2),COLUMN()-1,FALSE)*VLOOKUP($A197,Usinas!$C:$D,2,FALSE)</f>
        <v>344.39400000000001</v>
      </c>
      <c r="H197" s="65">
        <f ca="1">VLOOKUP($A197,INDIRECT($P$2),COLUMN()-1,FALSE)*VLOOKUP($A197,Usinas!$C:$D,2,FALSE)</f>
        <v>453.2355</v>
      </c>
      <c r="I197" s="65">
        <f ca="1">VLOOKUP($A197,INDIRECT($P$2),COLUMN()-1,FALSE)*VLOOKUP($A197,Usinas!$C:$D,2,FALSE)</f>
        <v>495.47250000000003</v>
      </c>
      <c r="J197" s="65">
        <f ca="1">VLOOKUP($A197,INDIRECT($P$2),COLUMN()-1,FALSE)*VLOOKUP($A197,Usinas!$C:$D,2,FALSE)</f>
        <v>594.56700000000001</v>
      </c>
      <c r="K197" s="65">
        <f ca="1">VLOOKUP($A197,INDIRECT($P$2),COLUMN()-1,FALSE)*VLOOKUP($A197,Usinas!$C:$D,2,FALSE)</f>
        <v>623.80799999999999</v>
      </c>
      <c r="L197" s="65">
        <f ca="1">VLOOKUP($A197,INDIRECT($P$2),COLUMN()-1,FALSE)*VLOOKUP($A197,Usinas!$C:$D,2,FALSE)</f>
        <v>747.27</v>
      </c>
      <c r="M197" s="65">
        <f ca="1">VLOOKUP($A197,INDIRECT($P$2),COLUMN()-1,FALSE)*VLOOKUP($A197,Usinas!$C:$D,2,FALSE)</f>
        <v>770.01300000000003</v>
      </c>
      <c r="N197" s="65">
        <f ca="1">VLOOKUP($A197,INDIRECT($P$2),COLUMN()-1,FALSE)*VLOOKUP($A197,Usinas!$C:$D,2,FALSE)</f>
        <v>505.21950000000004</v>
      </c>
      <c r="O197" s="65">
        <f ca="1">VLOOKUP($A197,INDIRECT($P$2),COLUMN()-1,FALSE)*VLOOKUP($A197,Usinas!$C:$D,2,FALSE)</f>
        <v>362.26350000000002</v>
      </c>
    </row>
    <row r="198" spans="1:15" hidden="1" outlineLevel="2" x14ac:dyDescent="0.25">
      <c r="A198" s="30">
        <v>217</v>
      </c>
      <c r="B198" s="31" t="s">
        <v>190</v>
      </c>
      <c r="D198" s="65">
        <f ca="1">VLOOKUP($A198,INDIRECT($P$2),COLUMN()-1,FALSE)*VLOOKUP($A198,Usinas!$C:$D,2,FALSE)</f>
        <v>452.91909999999996</v>
      </c>
      <c r="E198" s="65">
        <f ca="1">VLOOKUP($A198,INDIRECT($P$2),COLUMN()-1,FALSE)*VLOOKUP($A198,Usinas!$C:$D,2,FALSE)</f>
        <v>578.78099999999995</v>
      </c>
      <c r="F198" s="65">
        <f ca="1">VLOOKUP($A198,INDIRECT($P$2),COLUMN()-1,FALSE)*VLOOKUP($A198,Usinas!$C:$D,2,FALSE)</f>
        <v>452.00039999999996</v>
      </c>
      <c r="G198" s="65">
        <f ca="1">VLOOKUP($A198,INDIRECT($P$2),COLUMN()-1,FALSE)*VLOOKUP($A198,Usinas!$C:$D,2,FALSE)</f>
        <v>454.75649999999996</v>
      </c>
      <c r="H198" s="65">
        <f ca="1">VLOOKUP($A198,INDIRECT($P$2),COLUMN()-1,FALSE)*VLOOKUP($A198,Usinas!$C:$D,2,FALSE)</f>
        <v>621.0412</v>
      </c>
      <c r="I198" s="65">
        <f ca="1">VLOOKUP($A198,INDIRECT($P$2),COLUMN()-1,FALSE)*VLOOKUP($A198,Usinas!$C:$D,2,FALSE)</f>
        <v>685.35019999999997</v>
      </c>
      <c r="J198" s="65">
        <f ca="1">VLOOKUP($A198,INDIRECT($P$2),COLUMN()-1,FALSE)*VLOOKUP($A198,Usinas!$C:$D,2,FALSE)</f>
        <v>838.7731</v>
      </c>
      <c r="K198" s="65">
        <f ca="1">VLOOKUP($A198,INDIRECT($P$2),COLUMN()-1,FALSE)*VLOOKUP($A198,Usinas!$C:$D,2,FALSE)</f>
        <v>885.6268</v>
      </c>
      <c r="L198" s="65">
        <f ca="1">VLOOKUP($A198,INDIRECT($P$2),COLUMN()-1,FALSE)*VLOOKUP($A198,Usinas!$C:$D,2,FALSE)</f>
        <v>1027.1065999999998</v>
      </c>
      <c r="M198" s="65">
        <f ca="1">VLOOKUP($A198,INDIRECT($P$2),COLUMN()-1,FALSE)*VLOOKUP($A198,Usinas!$C:$D,2,FALSE)</f>
        <v>1002.3017</v>
      </c>
      <c r="N198" s="65">
        <f ca="1">VLOOKUP($A198,INDIRECT($P$2),COLUMN()-1,FALSE)*VLOOKUP($A198,Usinas!$C:$D,2,FALSE)</f>
        <v>633.90300000000002</v>
      </c>
      <c r="O198" s="65">
        <f ca="1">VLOOKUP($A198,INDIRECT($P$2),COLUMN()-1,FALSE)*VLOOKUP($A198,Usinas!$C:$D,2,FALSE)</f>
        <v>468.53699999999998</v>
      </c>
    </row>
    <row r="199" spans="1:15" hidden="1" outlineLevel="2" x14ac:dyDescent="0.25">
      <c r="A199" s="30">
        <v>92</v>
      </c>
      <c r="B199" s="31" t="s">
        <v>35</v>
      </c>
      <c r="D199" s="65">
        <f ca="1">VLOOKUP($A199,INDIRECT($P$2),COLUMN()-1,FALSE)*VLOOKUP($A199,Usinas!$C:$D,2,FALSE)</f>
        <v>615.46199999999999</v>
      </c>
      <c r="E199" s="65">
        <f ca="1">VLOOKUP($A199,INDIRECT($P$2),COLUMN()-1,FALSE)*VLOOKUP($A199,Usinas!$C:$D,2,FALSE)</f>
        <v>784.48439999999994</v>
      </c>
      <c r="F199" s="65">
        <f ca="1">VLOOKUP($A199,INDIRECT($P$2),COLUMN()-1,FALSE)*VLOOKUP($A199,Usinas!$C:$D,2,FALSE)</f>
        <v>615.46199999999999</v>
      </c>
      <c r="G199" s="65">
        <f ca="1">VLOOKUP($A199,INDIRECT($P$2),COLUMN()-1,FALSE)*VLOOKUP($A199,Usinas!$C:$D,2,FALSE)</f>
        <v>644.85720000000003</v>
      </c>
      <c r="H199" s="65">
        <f ca="1">VLOOKUP($A199,INDIRECT($P$2),COLUMN()-1,FALSE)*VLOOKUP($A199,Usinas!$C:$D,2,FALSE)</f>
        <v>892.87919999999997</v>
      </c>
      <c r="I199" s="65">
        <f ca="1">VLOOKUP($A199,INDIRECT($P$2),COLUMN()-1,FALSE)*VLOOKUP($A199,Usinas!$C:$D,2,FALSE)</f>
        <v>998.51819999999998</v>
      </c>
      <c r="J199" s="65">
        <f ca="1">VLOOKUP($A199,INDIRECT($P$2),COLUMN()-1,FALSE)*VLOOKUP($A199,Usinas!$C:$D,2,FALSE)</f>
        <v>1187.7498000000001</v>
      </c>
      <c r="K199" s="65">
        <f ca="1">VLOOKUP($A199,INDIRECT($P$2),COLUMN()-1,FALSE)*VLOOKUP($A199,Usinas!$C:$D,2,FALSE)</f>
        <v>1258.482</v>
      </c>
      <c r="L199" s="65">
        <f ca="1">VLOOKUP($A199,INDIRECT($P$2),COLUMN()-1,FALSE)*VLOOKUP($A199,Usinas!$C:$D,2,FALSE)</f>
        <v>1449.5508</v>
      </c>
      <c r="M199" s="65">
        <f ca="1">VLOOKUP($A199,INDIRECT($P$2),COLUMN()-1,FALSE)*VLOOKUP($A199,Usinas!$C:$D,2,FALSE)</f>
        <v>1425.6671999999999</v>
      </c>
      <c r="N199" s="65">
        <f ca="1">VLOOKUP($A199,INDIRECT($P$2),COLUMN()-1,FALSE)*VLOOKUP($A199,Usinas!$C:$D,2,FALSE)</f>
        <v>904.82100000000003</v>
      </c>
      <c r="O199" s="65">
        <f ca="1">VLOOKUP($A199,INDIRECT($P$2),COLUMN()-1,FALSE)*VLOOKUP($A199,Usinas!$C:$D,2,FALSE)</f>
        <v>659.5548</v>
      </c>
    </row>
    <row r="200" spans="1:15" hidden="1" outlineLevel="2" x14ac:dyDescent="0.25">
      <c r="A200" s="30">
        <v>93</v>
      </c>
      <c r="B200" s="31" t="s">
        <v>191</v>
      </c>
      <c r="D200" s="65">
        <f ca="1">VLOOKUP($A200,INDIRECT($P$2),COLUMN()-1,FALSE)*VLOOKUP($A200,Usinas!$C:$D,2,FALSE)</f>
        <v>76.251800000000003</v>
      </c>
      <c r="E200" s="65">
        <f ca="1">VLOOKUP($A200,INDIRECT($P$2),COLUMN()-1,FALSE)*VLOOKUP($A200,Usinas!$C:$D,2,FALSE)</f>
        <v>76.251800000000003</v>
      </c>
      <c r="F200" s="65">
        <f ca="1">VLOOKUP($A200,INDIRECT($P$2),COLUMN()-1,FALSE)*VLOOKUP($A200,Usinas!$C:$D,2,FALSE)</f>
        <v>65.038300000000007</v>
      </c>
      <c r="G200" s="65">
        <f ca="1">VLOOKUP($A200,INDIRECT($P$2),COLUMN()-1,FALSE)*VLOOKUP($A200,Usinas!$C:$D,2,FALSE)</f>
        <v>80.737200000000001</v>
      </c>
      <c r="H200" s="65">
        <f ca="1">VLOOKUP($A200,INDIRECT($P$2),COLUMN()-1,FALSE)*VLOOKUP($A200,Usinas!$C:$D,2,FALSE)</f>
        <v>123.3485</v>
      </c>
      <c r="I200" s="65">
        <f ca="1">VLOOKUP($A200,INDIRECT($P$2),COLUMN()-1,FALSE)*VLOOKUP($A200,Usinas!$C:$D,2,FALSE)</f>
        <v>154.74630000000002</v>
      </c>
      <c r="J200" s="65">
        <f ca="1">VLOOKUP($A200,INDIRECT($P$2),COLUMN()-1,FALSE)*VLOOKUP($A200,Usinas!$C:$D,2,FALSE)</f>
        <v>172.68790000000001</v>
      </c>
      <c r="K200" s="65">
        <f ca="1">VLOOKUP($A200,INDIRECT($P$2),COLUMN()-1,FALSE)*VLOOKUP($A200,Usinas!$C:$D,2,FALSE)</f>
        <v>159.23170000000002</v>
      </c>
      <c r="L200" s="65">
        <f ca="1">VLOOKUP($A200,INDIRECT($P$2),COLUMN()-1,FALSE)*VLOOKUP($A200,Usinas!$C:$D,2,FALSE)</f>
        <v>177.17330000000001</v>
      </c>
      <c r="M200" s="65">
        <f ca="1">VLOOKUP($A200,INDIRECT($P$2),COLUMN()-1,FALSE)*VLOOKUP($A200,Usinas!$C:$D,2,FALSE)</f>
        <v>188.38680000000002</v>
      </c>
      <c r="N200" s="65">
        <f ca="1">VLOOKUP($A200,INDIRECT($P$2),COLUMN()-1,FALSE)*VLOOKUP($A200,Usinas!$C:$D,2,FALSE)</f>
        <v>132.3193</v>
      </c>
      <c r="O200" s="65">
        <f ca="1">VLOOKUP($A200,INDIRECT($P$2),COLUMN()-1,FALSE)*VLOOKUP($A200,Usinas!$C:$D,2,FALSE)</f>
        <v>98.67880000000001</v>
      </c>
    </row>
    <row r="201" spans="1:15" hidden="1" outlineLevel="2" x14ac:dyDescent="0.25">
      <c r="A201" s="30">
        <v>220</v>
      </c>
      <c r="B201" s="31" t="s">
        <v>192</v>
      </c>
      <c r="D201" s="65">
        <f ca="1">VLOOKUP($A201,INDIRECT($P$2),COLUMN()-1,FALSE)*VLOOKUP($A201,Usinas!$C:$D,2,FALSE)</f>
        <v>32.774499999999996</v>
      </c>
      <c r="E201" s="65">
        <f ca="1">VLOOKUP($A201,INDIRECT($P$2),COLUMN()-1,FALSE)*VLOOKUP($A201,Usinas!$C:$D,2,FALSE)</f>
        <v>32.219000000000001</v>
      </c>
      <c r="F201" s="65">
        <f ca="1">VLOOKUP($A201,INDIRECT($P$2),COLUMN()-1,FALSE)*VLOOKUP($A201,Usinas!$C:$D,2,FALSE)</f>
        <v>27.2195</v>
      </c>
      <c r="G201" s="65">
        <f ca="1">VLOOKUP($A201,INDIRECT($P$2),COLUMN()-1,FALSE)*VLOOKUP($A201,Usinas!$C:$D,2,FALSE)</f>
        <v>34.441000000000003</v>
      </c>
      <c r="H201" s="65">
        <f ca="1">VLOOKUP($A201,INDIRECT($P$2),COLUMN()-1,FALSE)*VLOOKUP($A201,Usinas!$C:$D,2,FALSE)</f>
        <v>53.328000000000003</v>
      </c>
      <c r="I201" s="65">
        <f ca="1">VLOOKUP($A201,INDIRECT($P$2),COLUMN()-1,FALSE)*VLOOKUP($A201,Usinas!$C:$D,2,FALSE)</f>
        <v>65.548999999999992</v>
      </c>
      <c r="J201" s="65">
        <f ca="1">VLOOKUP($A201,INDIRECT($P$2),COLUMN()-1,FALSE)*VLOOKUP($A201,Usinas!$C:$D,2,FALSE)</f>
        <v>73.325999999999993</v>
      </c>
      <c r="K201" s="65">
        <f ca="1">VLOOKUP($A201,INDIRECT($P$2),COLUMN()-1,FALSE)*VLOOKUP($A201,Usinas!$C:$D,2,FALSE)</f>
        <v>66.104500000000002</v>
      </c>
      <c r="L201" s="65">
        <f ca="1">VLOOKUP($A201,INDIRECT($P$2),COLUMN()-1,FALSE)*VLOOKUP($A201,Usinas!$C:$D,2,FALSE)</f>
        <v>73.325999999999993</v>
      </c>
      <c r="M201" s="65">
        <f ca="1">VLOOKUP($A201,INDIRECT($P$2),COLUMN()-1,FALSE)*VLOOKUP($A201,Usinas!$C:$D,2,FALSE)</f>
        <v>81.658500000000004</v>
      </c>
      <c r="N201" s="65">
        <f ca="1">VLOOKUP($A201,INDIRECT($P$2),COLUMN()-1,FALSE)*VLOOKUP($A201,Usinas!$C:$D,2,FALSE)</f>
        <v>57.216499999999996</v>
      </c>
      <c r="O201" s="65">
        <f ca="1">VLOOKUP($A201,INDIRECT($P$2),COLUMN()-1,FALSE)*VLOOKUP($A201,Usinas!$C:$D,2,FALSE)</f>
        <v>42.773499999999999</v>
      </c>
    </row>
    <row r="202" spans="1:15" hidden="1" outlineLevel="2" x14ac:dyDescent="0.25">
      <c r="A202" s="30">
        <v>94</v>
      </c>
      <c r="B202" s="31" t="s">
        <v>193</v>
      </c>
      <c r="D202" s="65">
        <f ca="1">VLOOKUP($A202,INDIRECT($P$2),COLUMN()-1,FALSE)*VLOOKUP($A202,Usinas!$C:$D,2,FALSE)</f>
        <v>369.8734</v>
      </c>
      <c r="E202" s="65">
        <f ca="1">VLOOKUP($A202,INDIRECT($P$2),COLUMN()-1,FALSE)*VLOOKUP($A202,Usinas!$C:$D,2,FALSE)</f>
        <v>462.57119999999998</v>
      </c>
      <c r="F202" s="65">
        <f ca="1">VLOOKUP($A202,INDIRECT($P$2),COLUMN()-1,FALSE)*VLOOKUP($A202,Usinas!$C:$D,2,FALSE)</f>
        <v>369.41449999999998</v>
      </c>
      <c r="G202" s="65">
        <f ca="1">VLOOKUP($A202,INDIRECT($P$2),COLUMN()-1,FALSE)*VLOOKUP($A202,Usinas!$C:$D,2,FALSE)</f>
        <v>394.654</v>
      </c>
      <c r="H202" s="65">
        <f ca="1">VLOOKUP($A202,INDIRECT($P$2),COLUMN()-1,FALSE)*VLOOKUP($A202,Usinas!$C:$D,2,FALSE)</f>
        <v>550.22109999999998</v>
      </c>
      <c r="I202" s="65">
        <f ca="1">VLOOKUP($A202,INDIRECT($P$2),COLUMN()-1,FALSE)*VLOOKUP($A202,Usinas!$C:$D,2,FALSE)</f>
        <v>625.02179999999998</v>
      </c>
      <c r="J202" s="65">
        <f ca="1">VLOOKUP($A202,INDIRECT($P$2),COLUMN()-1,FALSE)*VLOOKUP($A202,Usinas!$C:$D,2,FALSE)</f>
        <v>731.94549999999992</v>
      </c>
      <c r="K202" s="65">
        <f ca="1">VLOOKUP($A202,INDIRECT($P$2),COLUMN()-1,FALSE)*VLOOKUP($A202,Usinas!$C:$D,2,FALSE)</f>
        <v>769.1164</v>
      </c>
      <c r="L202" s="65">
        <f ca="1">VLOOKUP($A202,INDIRECT($P$2),COLUMN()-1,FALSE)*VLOOKUP($A202,Usinas!$C:$D,2,FALSE)</f>
        <v>873.74559999999997</v>
      </c>
      <c r="M202" s="65">
        <f ca="1">VLOOKUP($A202,INDIRECT($P$2),COLUMN()-1,FALSE)*VLOOKUP($A202,Usinas!$C:$D,2,FALSE)</f>
        <v>865.48539999999991</v>
      </c>
      <c r="N202" s="65">
        <f ca="1">VLOOKUP($A202,INDIRECT($P$2),COLUMN()-1,FALSE)*VLOOKUP($A202,Usinas!$C:$D,2,FALSE)</f>
        <v>564.90589999999997</v>
      </c>
      <c r="O202" s="65">
        <f ca="1">VLOOKUP($A202,INDIRECT($P$2),COLUMN()-1,FALSE)*VLOOKUP($A202,Usinas!$C:$D,2,FALSE)</f>
        <v>411.63329999999996</v>
      </c>
    </row>
    <row r="203" spans="1:15" hidden="1" outlineLevel="2" x14ac:dyDescent="0.25">
      <c r="A203" s="30">
        <v>286</v>
      </c>
      <c r="B203" s="31" t="s">
        <v>194</v>
      </c>
      <c r="D203" s="65">
        <f ca="1">VLOOKUP($A203,INDIRECT($P$2),COLUMN()-1,FALSE)*VLOOKUP($A203,Usinas!$C:$D,2,FALSE)</f>
        <v>58.923200000000001</v>
      </c>
      <c r="E203" s="65">
        <f ca="1">VLOOKUP($A203,INDIRECT($P$2),COLUMN()-1,FALSE)*VLOOKUP($A203,Usinas!$C:$D,2,FALSE)</f>
        <v>69.4452</v>
      </c>
      <c r="F203" s="65">
        <f ca="1">VLOOKUP($A203,INDIRECT($P$2),COLUMN()-1,FALSE)*VLOOKUP($A203,Usinas!$C:$D,2,FALSE)</f>
        <v>58.923200000000001</v>
      </c>
      <c r="G203" s="65">
        <f ca="1">VLOOKUP($A203,INDIRECT($P$2),COLUMN()-1,FALSE)*VLOOKUP($A203,Usinas!$C:$D,2,FALSE)</f>
        <v>61.0276</v>
      </c>
      <c r="H203" s="65">
        <f ca="1">VLOOKUP($A203,INDIRECT($P$2),COLUMN()-1,FALSE)*VLOOKUP($A203,Usinas!$C:$D,2,FALSE)</f>
        <v>86.2804</v>
      </c>
      <c r="I203" s="65">
        <f ca="1">VLOOKUP($A203,INDIRECT($P$2),COLUMN()-1,FALSE)*VLOOKUP($A203,Usinas!$C:$D,2,FALSE)</f>
        <v>97.854600000000005</v>
      </c>
      <c r="J203" s="65">
        <f ca="1">VLOOKUP($A203,INDIRECT($P$2),COLUMN()-1,FALSE)*VLOOKUP($A203,Usinas!$C:$D,2,FALSE)</f>
        <v>95.750200000000007</v>
      </c>
      <c r="K203" s="65">
        <f ca="1">VLOOKUP($A203,INDIRECT($P$2),COLUMN()-1,FALSE)*VLOOKUP($A203,Usinas!$C:$D,2,FALSE)</f>
        <v>92.593600000000009</v>
      </c>
      <c r="L203" s="65">
        <f ca="1">VLOOKUP($A203,INDIRECT($P$2),COLUMN()-1,FALSE)*VLOOKUP($A203,Usinas!$C:$D,2,FALSE)</f>
        <v>104.1678</v>
      </c>
      <c r="M203" s="65">
        <f ca="1">VLOOKUP($A203,INDIRECT($P$2),COLUMN()-1,FALSE)*VLOOKUP($A203,Usinas!$C:$D,2,FALSE)</f>
        <v>127.31620000000001</v>
      </c>
      <c r="N203" s="65">
        <f ca="1">VLOOKUP($A203,INDIRECT($P$2),COLUMN()-1,FALSE)*VLOOKUP($A203,Usinas!$C:$D,2,FALSE)</f>
        <v>87.332599999999999</v>
      </c>
      <c r="O203" s="65">
        <f ca="1">VLOOKUP($A203,INDIRECT($P$2),COLUMN()-1,FALSE)*VLOOKUP($A203,Usinas!$C:$D,2,FALSE)</f>
        <v>65.236400000000003</v>
      </c>
    </row>
    <row r="204" spans="1:15" hidden="1" outlineLevel="2" x14ac:dyDescent="0.25">
      <c r="A204" s="30">
        <v>102</v>
      </c>
      <c r="B204" s="31" t="s">
        <v>195</v>
      </c>
      <c r="D204" s="65">
        <f ca="1">VLOOKUP($A204,INDIRECT($P$2),COLUMN()-1,FALSE)*VLOOKUP($A204,Usinas!$C:$D,2,FALSE)</f>
        <v>30.569000000000003</v>
      </c>
      <c r="E204" s="65">
        <f ca="1">VLOOKUP($A204,INDIRECT($P$2),COLUMN()-1,FALSE)*VLOOKUP($A204,Usinas!$C:$D,2,FALSE)</f>
        <v>28.187000000000001</v>
      </c>
      <c r="F204" s="65">
        <f ca="1">VLOOKUP($A204,INDIRECT($P$2),COLUMN()-1,FALSE)*VLOOKUP($A204,Usinas!$C:$D,2,FALSE)</f>
        <v>24.0185</v>
      </c>
      <c r="G204" s="65">
        <f ca="1">VLOOKUP($A204,INDIRECT($P$2),COLUMN()-1,FALSE)*VLOOKUP($A204,Usinas!$C:$D,2,FALSE)</f>
        <v>36.722500000000004</v>
      </c>
      <c r="H204" s="65">
        <f ca="1">VLOOKUP($A204,INDIRECT($P$2),COLUMN()-1,FALSE)*VLOOKUP($A204,Usinas!$C:$D,2,FALSE)</f>
        <v>48.235500000000002</v>
      </c>
      <c r="I204" s="65">
        <f ca="1">VLOOKUP($A204,INDIRECT($P$2),COLUMN()-1,FALSE)*VLOOKUP($A204,Usinas!$C:$D,2,FALSE)</f>
        <v>57.763500000000001</v>
      </c>
      <c r="J204" s="65">
        <f ca="1">VLOOKUP($A204,INDIRECT($P$2),COLUMN()-1,FALSE)*VLOOKUP($A204,Usinas!$C:$D,2,FALSE)</f>
        <v>56.771000000000001</v>
      </c>
      <c r="K204" s="65">
        <f ca="1">VLOOKUP($A204,INDIRECT($P$2),COLUMN()-1,FALSE)*VLOOKUP($A204,Usinas!$C:$D,2,FALSE)</f>
        <v>55.778500000000001</v>
      </c>
      <c r="L204" s="65">
        <f ca="1">VLOOKUP($A204,INDIRECT($P$2),COLUMN()-1,FALSE)*VLOOKUP($A204,Usinas!$C:$D,2,FALSE)</f>
        <v>64.909500000000008</v>
      </c>
      <c r="M204" s="65">
        <f ca="1">VLOOKUP($A204,INDIRECT($P$2),COLUMN()-1,FALSE)*VLOOKUP($A204,Usinas!$C:$D,2,FALSE)</f>
        <v>72.254000000000005</v>
      </c>
      <c r="N204" s="65">
        <f ca="1">VLOOKUP($A204,INDIRECT($P$2),COLUMN()-1,FALSE)*VLOOKUP($A204,Usinas!$C:$D,2,FALSE)</f>
        <v>53.198</v>
      </c>
      <c r="O204" s="65">
        <f ca="1">VLOOKUP($A204,INDIRECT($P$2),COLUMN()-1,FALSE)*VLOOKUP($A204,Usinas!$C:$D,2,FALSE)</f>
        <v>40.692500000000003</v>
      </c>
    </row>
    <row r="205" spans="1:15" hidden="1" outlineLevel="2" x14ac:dyDescent="0.25">
      <c r="A205" s="30">
        <v>103</v>
      </c>
      <c r="B205" s="31" t="s">
        <v>196</v>
      </c>
      <c r="D205" s="65">
        <f ca="1">VLOOKUP($A205,INDIRECT($P$2),COLUMN()-1,FALSE)*VLOOKUP($A205,Usinas!$C:$D,2,FALSE)</f>
        <v>42.064000000000007</v>
      </c>
      <c r="E205" s="65">
        <f ca="1">VLOOKUP($A205,INDIRECT($P$2),COLUMN()-1,FALSE)*VLOOKUP($A205,Usinas!$C:$D,2,FALSE)</f>
        <v>38.909200000000006</v>
      </c>
      <c r="F205" s="65">
        <f ca="1">VLOOKUP($A205,INDIRECT($P$2),COLUMN()-1,FALSE)*VLOOKUP($A205,Usinas!$C:$D,2,FALSE)</f>
        <v>33.125400000000006</v>
      </c>
      <c r="G205" s="65">
        <f ca="1">VLOOKUP($A205,INDIRECT($P$2),COLUMN()-1,FALSE)*VLOOKUP($A205,Usinas!$C:$D,2,FALSE)</f>
        <v>50.213900000000002</v>
      </c>
      <c r="H205" s="65">
        <f ca="1">VLOOKUP($A205,INDIRECT($P$2),COLUMN()-1,FALSE)*VLOOKUP($A205,Usinas!$C:$D,2,FALSE)</f>
        <v>65.98790000000001</v>
      </c>
      <c r="I205" s="65">
        <f ca="1">VLOOKUP($A205,INDIRECT($P$2),COLUMN()-1,FALSE)*VLOOKUP($A205,Usinas!$C:$D,2,FALSE)</f>
        <v>79.395800000000008</v>
      </c>
      <c r="J205" s="65">
        <f ca="1">VLOOKUP($A205,INDIRECT($P$2),COLUMN()-1,FALSE)*VLOOKUP($A205,Usinas!$C:$D,2,FALSE)</f>
        <v>78.081300000000013</v>
      </c>
      <c r="K205" s="65">
        <f ca="1">VLOOKUP($A205,INDIRECT($P$2),COLUMN()-1,FALSE)*VLOOKUP($A205,Usinas!$C:$D,2,FALSE)</f>
        <v>76.766800000000003</v>
      </c>
      <c r="L205" s="65">
        <f ca="1">VLOOKUP($A205,INDIRECT($P$2),COLUMN()-1,FALSE)*VLOOKUP($A205,Usinas!$C:$D,2,FALSE)</f>
        <v>89.123100000000008</v>
      </c>
      <c r="M205" s="65">
        <f ca="1">VLOOKUP($A205,INDIRECT($P$2),COLUMN()-1,FALSE)*VLOOKUP($A205,Usinas!$C:$D,2,FALSE)</f>
        <v>99.376200000000011</v>
      </c>
      <c r="N205" s="65">
        <f ca="1">VLOOKUP($A205,INDIRECT($P$2),COLUMN()-1,FALSE)*VLOOKUP($A205,Usinas!$C:$D,2,FALSE)</f>
        <v>73.612000000000009</v>
      </c>
      <c r="O205" s="65">
        <f ca="1">VLOOKUP($A205,INDIRECT($P$2),COLUMN()-1,FALSE)*VLOOKUP($A205,Usinas!$C:$D,2,FALSE)</f>
        <v>55.997700000000002</v>
      </c>
    </row>
    <row r="206" spans="1:15" hidden="1" outlineLevel="1" x14ac:dyDescent="0.25">
      <c r="A206" s="32"/>
      <c r="B206" s="33" t="s">
        <v>56</v>
      </c>
      <c r="D206" s="74">
        <f t="shared" ref="D206:O206" ca="1" si="19">SUM(D195:D205)</f>
        <v>2377.9775</v>
      </c>
      <c r="E206" s="48">
        <f t="shared" ca="1" si="19"/>
        <v>2959.0389999999998</v>
      </c>
      <c r="F206" s="48">
        <f t="shared" ca="1" si="19"/>
        <v>2342.8031000000001</v>
      </c>
      <c r="G206" s="48">
        <f t="shared" ca="1" si="19"/>
        <v>2432.8190999999997</v>
      </c>
      <c r="H206" s="48">
        <f t="shared" ca="1" si="19"/>
        <v>3340.0070000000005</v>
      </c>
      <c r="I206" s="75">
        <f t="shared" ca="1" si="19"/>
        <v>3751.4981000000007</v>
      </c>
      <c r="J206" s="74">
        <f t="shared" ca="1" si="19"/>
        <v>4451.0473000000002</v>
      </c>
      <c r="K206" s="48">
        <f t="shared" ca="1" si="19"/>
        <v>4652.9697000000006</v>
      </c>
      <c r="L206" s="48">
        <f t="shared" ca="1" si="19"/>
        <v>5369.2755999999999</v>
      </c>
      <c r="M206" s="48">
        <f t="shared" ca="1" si="19"/>
        <v>5327.7239</v>
      </c>
      <c r="N206" s="48">
        <f t="shared" ca="1" si="19"/>
        <v>3449.0716000000002</v>
      </c>
      <c r="O206" s="75">
        <f t="shared" ca="1" si="19"/>
        <v>2541.0038999999997</v>
      </c>
    </row>
    <row r="207" spans="1:15" hidden="1" outlineLevel="1" x14ac:dyDescent="0.25">
      <c r="A207" s="34"/>
      <c r="B207" s="35" t="s">
        <v>0</v>
      </c>
      <c r="D207" s="76"/>
      <c r="E207" s="77"/>
      <c r="F207" s="77"/>
      <c r="G207" s="77"/>
      <c r="H207" s="77"/>
      <c r="I207" s="78"/>
      <c r="J207" s="76"/>
      <c r="K207" s="77"/>
      <c r="L207" s="77"/>
      <c r="M207" s="77"/>
      <c r="N207" s="77"/>
      <c r="O207" s="78"/>
    </row>
    <row r="208" spans="1:15" hidden="1" outlineLevel="1" x14ac:dyDescent="0.25">
      <c r="A208" s="2"/>
      <c r="B208" s="3"/>
      <c r="D208" s="53"/>
      <c r="E208" s="54"/>
      <c r="F208" s="54"/>
      <c r="G208" s="54"/>
      <c r="H208" s="54"/>
      <c r="I208" s="54"/>
      <c r="J208" s="53"/>
      <c r="K208" s="54"/>
      <c r="L208" s="54"/>
      <c r="M208" s="54"/>
      <c r="N208" s="54"/>
      <c r="O208" s="54"/>
    </row>
    <row r="209" spans="1:15" hidden="1" outlineLevel="1" x14ac:dyDescent="0.25">
      <c r="A209" s="36"/>
      <c r="B209" s="37"/>
      <c r="D209" s="332" t="s">
        <v>197</v>
      </c>
      <c r="E209" s="333" t="s">
        <v>58</v>
      </c>
      <c r="F209" s="333" t="s">
        <v>198</v>
      </c>
      <c r="G209" s="333"/>
      <c r="H209" s="333"/>
      <c r="I209" s="334"/>
      <c r="J209" s="332" t="s">
        <v>197</v>
      </c>
      <c r="K209" s="333" t="s">
        <v>58</v>
      </c>
      <c r="L209" s="333" t="s">
        <v>198</v>
      </c>
      <c r="M209" s="333"/>
      <c r="N209" s="333"/>
      <c r="O209" s="334"/>
    </row>
    <row r="210" spans="1:15" hidden="1" outlineLevel="2" x14ac:dyDescent="0.25">
      <c r="A210" s="30">
        <v>115</v>
      </c>
      <c r="B210" s="31" t="s">
        <v>199</v>
      </c>
      <c r="D210" s="65">
        <f ca="1">VLOOKUP($A210,INDIRECT($P$2),COLUMN()-1,FALSE)*VLOOKUP($A210,Usinas!$C:$D,2,FALSE)</f>
        <v>163.14750000000001</v>
      </c>
      <c r="E210" s="65">
        <f ca="1">VLOOKUP($A210,INDIRECT($P$2),COLUMN()-1,FALSE)*VLOOKUP($A210,Usinas!$C:$D,2,FALSE)</f>
        <v>176.19929999999999</v>
      </c>
      <c r="F210" s="65">
        <f ca="1">VLOOKUP($A210,INDIRECT($P$2),COLUMN()-1,FALSE)*VLOOKUP($A210,Usinas!$C:$D,2,FALSE)</f>
        <v>156.6216</v>
      </c>
      <c r="G210" s="65">
        <f ca="1">VLOOKUP($A210,INDIRECT($P$2),COLUMN()-1,FALSE)*VLOOKUP($A210,Usinas!$C:$D,2,FALSE)</f>
        <v>117.4662</v>
      </c>
      <c r="H210" s="65">
        <f ca="1">VLOOKUP($A210,INDIRECT($P$2),COLUMN()-1,FALSE)*VLOOKUP($A210,Usinas!$C:$D,2,FALSE)</f>
        <v>110.94030000000001</v>
      </c>
      <c r="I210" s="65">
        <f ca="1">VLOOKUP($A210,INDIRECT($P$2),COLUMN()-1,FALSE)*VLOOKUP($A210,Usinas!$C:$D,2,FALSE)</f>
        <v>110.94030000000001</v>
      </c>
      <c r="J210" s="65">
        <f ca="1">VLOOKUP($A210,INDIRECT($P$2),COLUMN()-1,FALSE)*VLOOKUP($A210,Usinas!$C:$D,2,FALSE)</f>
        <v>110.94030000000001</v>
      </c>
      <c r="K210" s="65">
        <f ca="1">VLOOKUP($A210,INDIRECT($P$2),COLUMN()-1,FALSE)*VLOOKUP($A210,Usinas!$C:$D,2,FALSE)</f>
        <v>91.3626</v>
      </c>
      <c r="L210" s="65">
        <f ca="1">VLOOKUP($A210,INDIRECT($P$2),COLUMN()-1,FALSE)*VLOOKUP($A210,Usinas!$C:$D,2,FALSE)</f>
        <v>117.4662</v>
      </c>
      <c r="M210" s="65">
        <f ca="1">VLOOKUP($A210,INDIRECT($P$2),COLUMN()-1,FALSE)*VLOOKUP($A210,Usinas!$C:$D,2,FALSE)</f>
        <v>130.518</v>
      </c>
      <c r="N210" s="65">
        <f ca="1">VLOOKUP($A210,INDIRECT($P$2),COLUMN()-1,FALSE)*VLOOKUP($A210,Usinas!$C:$D,2,FALSE)</f>
        <v>123.99209999999999</v>
      </c>
      <c r="O210" s="65">
        <f ca="1">VLOOKUP($A210,INDIRECT($P$2),COLUMN()-1,FALSE)*VLOOKUP($A210,Usinas!$C:$D,2,FALSE)</f>
        <v>130.518</v>
      </c>
    </row>
    <row r="211" spans="1:15" hidden="1" outlineLevel="1" x14ac:dyDescent="0.25">
      <c r="A211" s="32"/>
      <c r="B211" s="33" t="s">
        <v>56</v>
      </c>
      <c r="D211" s="74">
        <f t="shared" ref="D211:O211" ca="1" si="20">D210</f>
        <v>163.14750000000001</v>
      </c>
      <c r="E211" s="48">
        <f t="shared" ca="1" si="20"/>
        <v>176.19929999999999</v>
      </c>
      <c r="F211" s="48">
        <f t="shared" ca="1" si="20"/>
        <v>156.6216</v>
      </c>
      <c r="G211" s="48">
        <f t="shared" ca="1" si="20"/>
        <v>117.4662</v>
      </c>
      <c r="H211" s="48">
        <f t="shared" ca="1" si="20"/>
        <v>110.94030000000001</v>
      </c>
      <c r="I211" s="75">
        <f t="shared" ca="1" si="20"/>
        <v>110.94030000000001</v>
      </c>
      <c r="J211" s="74">
        <f t="shared" ca="1" si="20"/>
        <v>110.94030000000001</v>
      </c>
      <c r="K211" s="48">
        <f t="shared" ca="1" si="20"/>
        <v>91.3626</v>
      </c>
      <c r="L211" s="48">
        <f t="shared" ca="1" si="20"/>
        <v>117.4662</v>
      </c>
      <c r="M211" s="48">
        <f t="shared" ca="1" si="20"/>
        <v>130.518</v>
      </c>
      <c r="N211" s="48">
        <f t="shared" ca="1" si="20"/>
        <v>123.99209999999999</v>
      </c>
      <c r="O211" s="75">
        <f t="shared" ca="1" si="20"/>
        <v>130.518</v>
      </c>
    </row>
    <row r="212" spans="1:15" hidden="1" outlineLevel="1" x14ac:dyDescent="0.25">
      <c r="A212" s="34"/>
      <c r="B212" s="35" t="s">
        <v>0</v>
      </c>
      <c r="D212" s="76"/>
      <c r="E212" s="77"/>
      <c r="F212" s="77"/>
      <c r="G212" s="77"/>
      <c r="H212" s="77"/>
      <c r="I212" s="78"/>
      <c r="J212" s="76"/>
      <c r="K212" s="77"/>
      <c r="L212" s="77"/>
      <c r="M212" s="77"/>
      <c r="N212" s="77"/>
      <c r="O212" s="78"/>
    </row>
    <row r="213" spans="1:15" hidden="1" outlineLevel="1" x14ac:dyDescent="0.25">
      <c r="A213" s="2"/>
      <c r="B213" s="3"/>
      <c r="D213" s="53"/>
      <c r="E213" s="54"/>
      <c r="F213" s="54"/>
      <c r="G213" s="54"/>
      <c r="H213" s="54"/>
      <c r="I213" s="54"/>
      <c r="J213" s="53"/>
      <c r="K213" s="54"/>
      <c r="L213" s="54"/>
      <c r="M213" s="54"/>
      <c r="N213" s="54"/>
      <c r="O213" s="54"/>
    </row>
    <row r="214" spans="1:15" hidden="1" outlineLevel="1" x14ac:dyDescent="0.25">
      <c r="A214" s="36"/>
      <c r="B214" s="37"/>
      <c r="D214" s="332" t="s">
        <v>200</v>
      </c>
      <c r="E214" s="333" t="s">
        <v>58</v>
      </c>
      <c r="F214" s="333" t="s">
        <v>201</v>
      </c>
      <c r="G214" s="333"/>
      <c r="H214" s="333"/>
      <c r="I214" s="334"/>
      <c r="J214" s="332" t="s">
        <v>200</v>
      </c>
      <c r="K214" s="333" t="s">
        <v>58</v>
      </c>
      <c r="L214" s="333" t="s">
        <v>201</v>
      </c>
      <c r="M214" s="333"/>
      <c r="N214" s="333"/>
      <c r="O214" s="334"/>
    </row>
    <row r="215" spans="1:15" hidden="1" outlineLevel="2" x14ac:dyDescent="0.25">
      <c r="A215" s="30">
        <v>101</v>
      </c>
      <c r="B215" s="31" t="s">
        <v>202</v>
      </c>
      <c r="D215" s="65">
        <f ca="1">VLOOKUP($A215,INDIRECT($P$2),COLUMN()-1,FALSE)*VLOOKUP($A215,Usinas!$C:$D,2,FALSE)</f>
        <v>201.54680000000002</v>
      </c>
      <c r="E215" s="65">
        <f ca="1">VLOOKUP($A215,INDIRECT($P$2),COLUMN()-1,FALSE)*VLOOKUP($A215,Usinas!$C:$D,2,FALSE)</f>
        <v>240.786</v>
      </c>
      <c r="F215" s="65">
        <f ca="1">VLOOKUP($A215,INDIRECT($P$2),COLUMN()-1,FALSE)*VLOOKUP($A215,Usinas!$C:$D,2,FALSE)</f>
        <v>187.27800000000002</v>
      </c>
      <c r="G215" s="65">
        <f ca="1">VLOOKUP($A215,INDIRECT($P$2),COLUMN()-1,FALSE)*VLOOKUP($A215,Usinas!$C:$D,2,FALSE)</f>
        <v>135.55360000000002</v>
      </c>
      <c r="H215" s="65">
        <f ca="1">VLOOKUP($A215,INDIRECT($P$2),COLUMN()-1,FALSE)*VLOOKUP($A215,Usinas!$C:$D,2,FALSE)</f>
        <v>165.87479999999999</v>
      </c>
      <c r="I215" s="65">
        <f ca="1">VLOOKUP($A215,INDIRECT($P$2),COLUMN()-1,FALSE)*VLOOKUP($A215,Usinas!$C:$D,2,FALSE)</f>
        <v>162.30760000000001</v>
      </c>
      <c r="J215" s="65">
        <f ca="1">VLOOKUP($A215,INDIRECT($P$2),COLUMN()-1,FALSE)*VLOOKUP($A215,Usinas!$C:$D,2,FALSE)</f>
        <v>208.68120000000002</v>
      </c>
      <c r="K215" s="65">
        <f ca="1">VLOOKUP($A215,INDIRECT($P$2),COLUMN()-1,FALSE)*VLOOKUP($A215,Usinas!$C:$D,2,FALSE)</f>
        <v>235.43520000000001</v>
      </c>
      <c r="L215" s="65">
        <f ca="1">VLOOKUP($A215,INDIRECT($P$2),COLUMN()-1,FALSE)*VLOOKUP($A215,Usinas!$C:$D,2,FALSE)</f>
        <v>288.94319999999999</v>
      </c>
      <c r="M215" s="65">
        <f ca="1">VLOOKUP($A215,INDIRECT($P$2),COLUMN()-1,FALSE)*VLOOKUP($A215,Usinas!$C:$D,2,FALSE)</f>
        <v>301.42840000000001</v>
      </c>
      <c r="N215" s="65">
        <f ca="1">VLOOKUP($A215,INDIRECT($P$2),COLUMN()-1,FALSE)*VLOOKUP($A215,Usinas!$C:$D,2,FALSE)</f>
        <v>205.114</v>
      </c>
      <c r="O215" s="65">
        <f ca="1">VLOOKUP($A215,INDIRECT($P$2),COLUMN()-1,FALSE)*VLOOKUP($A215,Usinas!$C:$D,2,FALSE)</f>
        <v>171.22560000000001</v>
      </c>
    </row>
    <row r="216" spans="1:15" hidden="1" outlineLevel="1" x14ac:dyDescent="0.25">
      <c r="A216" s="32"/>
      <c r="B216" s="33" t="s">
        <v>56</v>
      </c>
      <c r="D216" s="74">
        <f t="shared" ref="D216:O216" ca="1" si="21">D215</f>
        <v>201.54680000000002</v>
      </c>
      <c r="E216" s="48">
        <f t="shared" ca="1" si="21"/>
        <v>240.786</v>
      </c>
      <c r="F216" s="48">
        <f t="shared" ca="1" si="21"/>
        <v>187.27800000000002</v>
      </c>
      <c r="G216" s="48">
        <f t="shared" ca="1" si="21"/>
        <v>135.55360000000002</v>
      </c>
      <c r="H216" s="48">
        <f t="shared" ca="1" si="21"/>
        <v>165.87479999999999</v>
      </c>
      <c r="I216" s="75">
        <f t="shared" ca="1" si="21"/>
        <v>162.30760000000001</v>
      </c>
      <c r="J216" s="74">
        <f t="shared" ca="1" si="21"/>
        <v>208.68120000000002</v>
      </c>
      <c r="K216" s="48">
        <f t="shared" ca="1" si="21"/>
        <v>235.43520000000001</v>
      </c>
      <c r="L216" s="48">
        <f t="shared" ca="1" si="21"/>
        <v>288.94319999999999</v>
      </c>
      <c r="M216" s="48">
        <f t="shared" ca="1" si="21"/>
        <v>301.42840000000001</v>
      </c>
      <c r="N216" s="48">
        <f t="shared" ca="1" si="21"/>
        <v>205.114</v>
      </c>
      <c r="O216" s="75">
        <f t="shared" ca="1" si="21"/>
        <v>171.22560000000001</v>
      </c>
    </row>
    <row r="217" spans="1:15" hidden="1" outlineLevel="1" x14ac:dyDescent="0.25">
      <c r="A217" s="34"/>
      <c r="B217" s="35" t="s">
        <v>0</v>
      </c>
      <c r="D217" s="76"/>
      <c r="E217" s="77"/>
      <c r="F217" s="77"/>
      <c r="G217" s="77"/>
      <c r="H217" s="77"/>
      <c r="I217" s="78"/>
      <c r="J217" s="76"/>
      <c r="K217" s="77"/>
      <c r="L217" s="77"/>
      <c r="M217" s="77"/>
      <c r="N217" s="77"/>
      <c r="O217" s="78"/>
    </row>
    <row r="218" spans="1:15" hidden="1" outlineLevel="1" x14ac:dyDescent="0.25">
      <c r="A218" s="2"/>
      <c r="B218" s="3"/>
      <c r="D218" s="53"/>
      <c r="E218" s="54"/>
      <c r="F218" s="54"/>
      <c r="G218" s="54"/>
      <c r="H218" s="54"/>
      <c r="I218" s="54"/>
      <c r="J218" s="53"/>
      <c r="K218" s="54"/>
      <c r="L218" s="54"/>
      <c r="M218" s="54"/>
      <c r="N218" s="54"/>
      <c r="O218" s="54"/>
    </row>
    <row r="219" spans="1:15" hidden="1" outlineLevel="1" x14ac:dyDescent="0.25">
      <c r="A219" s="36"/>
      <c r="B219" s="37"/>
      <c r="D219" s="332" t="s">
        <v>203</v>
      </c>
      <c r="E219" s="333" t="s">
        <v>58</v>
      </c>
      <c r="F219" s="333" t="s">
        <v>204</v>
      </c>
      <c r="G219" s="333"/>
      <c r="H219" s="333"/>
      <c r="I219" s="334"/>
      <c r="J219" s="332" t="s">
        <v>203</v>
      </c>
      <c r="K219" s="333" t="s">
        <v>58</v>
      </c>
      <c r="L219" s="333" t="s">
        <v>204</v>
      </c>
      <c r="M219" s="333"/>
      <c r="N219" s="333"/>
      <c r="O219" s="334"/>
    </row>
    <row r="220" spans="1:15" hidden="1" outlineLevel="2" x14ac:dyDescent="0.25">
      <c r="A220" s="30">
        <v>57</v>
      </c>
      <c r="B220" s="31" t="s">
        <v>205</v>
      </c>
      <c r="D220" s="65">
        <f ca="1">VLOOKUP($A220,INDIRECT($P$2),COLUMN()-1,FALSE)*VLOOKUP($A220,Usinas!$C:$D,2,FALSE)</f>
        <v>314.90620000000001</v>
      </c>
      <c r="E220" s="65">
        <f ca="1">VLOOKUP($A220,INDIRECT($P$2),COLUMN()-1,FALSE)*VLOOKUP($A220,Usinas!$C:$D,2,FALSE)</f>
        <v>327.4606</v>
      </c>
      <c r="F220" s="65">
        <f ca="1">VLOOKUP($A220,INDIRECT($P$2),COLUMN()-1,FALSE)*VLOOKUP($A220,Usinas!$C:$D,2,FALSE)</f>
        <v>267.8272</v>
      </c>
      <c r="G220" s="65">
        <f ca="1">VLOOKUP($A220,INDIRECT($P$2),COLUMN()-1,FALSE)*VLOOKUP($A220,Usinas!$C:$D,2,FALSE)</f>
        <v>200.87040000000002</v>
      </c>
      <c r="H220" s="65">
        <f ca="1">VLOOKUP($A220,INDIRECT($P$2),COLUMN()-1,FALSE)*VLOOKUP($A220,Usinas!$C:$D,2,FALSE)</f>
        <v>244.8108</v>
      </c>
      <c r="I220" s="65">
        <f ca="1">VLOOKUP($A220,INDIRECT($P$2),COLUMN()-1,FALSE)*VLOOKUP($A220,Usinas!$C:$D,2,FALSE)</f>
        <v>288.75119999999998</v>
      </c>
      <c r="J220" s="65">
        <f ca="1">VLOOKUP($A220,INDIRECT($P$2),COLUMN()-1,FALSE)*VLOOKUP($A220,Usinas!$C:$D,2,FALSE)</f>
        <v>296.07460000000003</v>
      </c>
      <c r="K220" s="65">
        <f ca="1">VLOOKUP($A220,INDIRECT($P$2),COLUMN()-1,FALSE)*VLOOKUP($A220,Usinas!$C:$D,2,FALSE)</f>
        <v>238.53360000000001</v>
      </c>
      <c r="L220" s="65">
        <f ca="1">VLOOKUP($A220,INDIRECT($P$2),COLUMN()-1,FALSE)*VLOOKUP($A220,Usinas!$C:$D,2,FALSE)</f>
        <v>274.1044</v>
      </c>
      <c r="M220" s="65">
        <f ca="1">VLOOKUP($A220,INDIRECT($P$2),COLUMN()-1,FALSE)*VLOOKUP($A220,Usinas!$C:$D,2,FALSE)</f>
        <v>356.75420000000003</v>
      </c>
      <c r="N220" s="65">
        <f ca="1">VLOOKUP($A220,INDIRECT($P$2),COLUMN()-1,FALSE)*VLOOKUP($A220,Usinas!$C:$D,2,FALSE)</f>
        <v>291.88979999999998</v>
      </c>
      <c r="O220" s="65">
        <f ca="1">VLOOKUP($A220,INDIRECT($P$2),COLUMN()-1,FALSE)*VLOOKUP($A220,Usinas!$C:$D,2,FALSE)</f>
        <v>262.59620000000001</v>
      </c>
    </row>
    <row r="221" spans="1:15" hidden="1" outlineLevel="1" x14ac:dyDescent="0.25">
      <c r="A221" s="32"/>
      <c r="B221" s="33" t="s">
        <v>56</v>
      </c>
      <c r="D221" s="74">
        <f t="shared" ref="D221:O221" ca="1" si="22">D220</f>
        <v>314.90620000000001</v>
      </c>
      <c r="E221" s="48">
        <f t="shared" ca="1" si="22"/>
        <v>327.4606</v>
      </c>
      <c r="F221" s="48">
        <f t="shared" ca="1" si="22"/>
        <v>267.8272</v>
      </c>
      <c r="G221" s="48">
        <f t="shared" ca="1" si="22"/>
        <v>200.87040000000002</v>
      </c>
      <c r="H221" s="48">
        <f t="shared" ca="1" si="22"/>
        <v>244.8108</v>
      </c>
      <c r="I221" s="75">
        <f t="shared" ca="1" si="22"/>
        <v>288.75119999999998</v>
      </c>
      <c r="J221" s="74">
        <f t="shared" ca="1" si="22"/>
        <v>296.07460000000003</v>
      </c>
      <c r="K221" s="48">
        <f t="shared" ca="1" si="22"/>
        <v>238.53360000000001</v>
      </c>
      <c r="L221" s="48">
        <f t="shared" ca="1" si="22"/>
        <v>274.1044</v>
      </c>
      <c r="M221" s="48">
        <f t="shared" ca="1" si="22"/>
        <v>356.75420000000003</v>
      </c>
      <c r="N221" s="48">
        <f t="shared" ca="1" si="22"/>
        <v>291.88979999999998</v>
      </c>
      <c r="O221" s="75">
        <f t="shared" ca="1" si="22"/>
        <v>262.59620000000001</v>
      </c>
    </row>
    <row r="222" spans="1:15" hidden="1" outlineLevel="1" x14ac:dyDescent="0.25">
      <c r="A222" s="34"/>
      <c r="B222" s="35" t="s">
        <v>0</v>
      </c>
      <c r="D222" s="76"/>
      <c r="E222" s="77"/>
      <c r="F222" s="77"/>
      <c r="G222" s="77"/>
      <c r="H222" s="77"/>
      <c r="I222" s="78"/>
      <c r="J222" s="76"/>
      <c r="K222" s="77"/>
      <c r="L222" s="77"/>
      <c r="M222" s="77"/>
      <c r="N222" s="77"/>
      <c r="O222" s="78"/>
    </row>
    <row r="223" spans="1:15" hidden="1" outlineLevel="1" x14ac:dyDescent="0.25">
      <c r="A223" s="2"/>
      <c r="B223" s="3"/>
      <c r="D223" s="53"/>
      <c r="E223" s="54"/>
      <c r="F223" s="54"/>
      <c r="G223" s="54"/>
      <c r="H223" s="54"/>
      <c r="I223" s="54"/>
      <c r="J223" s="53"/>
      <c r="K223" s="54"/>
      <c r="L223" s="54"/>
      <c r="M223" s="54"/>
      <c r="N223" s="54"/>
      <c r="O223" s="54"/>
    </row>
    <row r="224" spans="1:15" ht="15.75" collapsed="1" x14ac:dyDescent="0.25">
      <c r="A224" s="85"/>
      <c r="B224" s="86"/>
      <c r="C224" s="97"/>
      <c r="D224" s="335" t="s">
        <v>206</v>
      </c>
      <c r="E224" s="336"/>
      <c r="F224" s="336"/>
      <c r="G224" s="336"/>
      <c r="H224" s="336"/>
      <c r="I224" s="336"/>
      <c r="J224" s="336"/>
      <c r="K224" s="336"/>
      <c r="L224" s="336"/>
      <c r="M224" s="336"/>
      <c r="N224" s="336"/>
      <c r="O224" s="337"/>
    </row>
    <row r="225" spans="1:15" ht="15.75" x14ac:dyDescent="0.25">
      <c r="A225" s="87"/>
      <c r="B225" s="88" t="s">
        <v>56</v>
      </c>
      <c r="C225" s="97"/>
      <c r="D225" s="88">
        <f t="shared" ref="D225:O225" ca="1" si="23">D179+D191+D206+D211+D216+D221</f>
        <v>7270.8217999999997</v>
      </c>
      <c r="E225" s="89">
        <f t="shared" ca="1" si="23"/>
        <v>8348.9972999999991</v>
      </c>
      <c r="F225" s="89">
        <f t="shared" ca="1" si="23"/>
        <v>6999.5530000000008</v>
      </c>
      <c r="G225" s="89">
        <f t="shared" ca="1" si="23"/>
        <v>6584.4034999999994</v>
      </c>
      <c r="H225" s="89">
        <f t="shared" ca="1" si="23"/>
        <v>8561.4878000000008</v>
      </c>
      <c r="I225" s="90">
        <f t="shared" ca="1" si="23"/>
        <v>9931.4465000000018</v>
      </c>
      <c r="J225" s="88">
        <f t="shared" ca="1" si="23"/>
        <v>10917.3685</v>
      </c>
      <c r="K225" s="89">
        <f t="shared" ca="1" si="23"/>
        <v>10323.0345</v>
      </c>
      <c r="L225" s="89">
        <f t="shared" ca="1" si="23"/>
        <v>11997.3441</v>
      </c>
      <c r="M225" s="89">
        <f t="shared" ca="1" si="23"/>
        <v>13254.0923</v>
      </c>
      <c r="N225" s="89">
        <f t="shared" ca="1" si="23"/>
        <v>9357.5785999999989</v>
      </c>
      <c r="O225" s="90">
        <f t="shared" ca="1" si="23"/>
        <v>7381.5131000000001</v>
      </c>
    </row>
    <row r="227" spans="1:15" x14ac:dyDescent="0.25">
      <c r="A227" s="98"/>
      <c r="B227" s="99"/>
      <c r="D227" s="100"/>
      <c r="E227" s="101"/>
      <c r="F227" s="101"/>
      <c r="G227" s="101"/>
      <c r="H227" s="101"/>
      <c r="I227" s="102"/>
    </row>
    <row r="228" spans="1:15" hidden="1" outlineLevel="1" x14ac:dyDescent="0.25">
      <c r="A228" s="28"/>
      <c r="B228" s="29"/>
      <c r="D228" s="341" t="s">
        <v>207</v>
      </c>
      <c r="E228" s="342"/>
      <c r="F228" s="342"/>
      <c r="G228" s="342"/>
      <c r="H228" s="342"/>
      <c r="I228" s="343"/>
      <c r="J228" s="341" t="s">
        <v>207</v>
      </c>
      <c r="K228" s="342"/>
      <c r="L228" s="342"/>
      <c r="M228" s="342"/>
      <c r="N228" s="342"/>
      <c r="O228" s="343"/>
    </row>
    <row r="229" spans="1:15" hidden="1" outlineLevel="2" x14ac:dyDescent="0.25">
      <c r="A229" s="30">
        <v>169</v>
      </c>
      <c r="B229" s="31" t="s">
        <v>36</v>
      </c>
      <c r="D229" s="65">
        <f ca="1">VLOOKUP($A229,INDIRECT($P$2),COLUMN()-1,FALSE)*VLOOKUP($A229,Usinas!$C:$D,2,FALSE)</f>
        <v>1130.7719999999999</v>
      </c>
      <c r="E229" s="65">
        <f ca="1">VLOOKUP($A229,INDIRECT($P$2),COLUMN()-1,FALSE)*VLOOKUP($A229,Usinas!$C:$D,2,FALSE)</f>
        <v>1181.623</v>
      </c>
      <c r="F229" s="65">
        <f ca="1">VLOOKUP($A229,INDIRECT($P$2),COLUMN()-1,FALSE)*VLOOKUP($A229,Usinas!$C:$D,2,FALSE)</f>
        <v>1143.3039999999999</v>
      </c>
      <c r="G229" s="65">
        <f ca="1">VLOOKUP($A229,INDIRECT($P$2),COLUMN()-1,FALSE)*VLOOKUP($A229,Usinas!$C:$D,2,FALSE)</f>
        <v>905.43700000000001</v>
      </c>
      <c r="H229" s="65">
        <f ca="1">VLOOKUP($A229,INDIRECT($P$2),COLUMN()-1,FALSE)*VLOOKUP($A229,Usinas!$C:$D,2,FALSE)</f>
        <v>548.03399999999999</v>
      </c>
      <c r="I229" s="65">
        <f ca="1">VLOOKUP($A229,INDIRECT($P$2),COLUMN()-1,FALSE)*VLOOKUP($A229,Usinas!$C:$D,2,FALSE)</f>
        <v>374.755</v>
      </c>
      <c r="J229" s="65">
        <f ca="1">VLOOKUP($A229,INDIRECT($P$2),COLUMN()-1,FALSE)*VLOOKUP($A229,Usinas!$C:$D,2,FALSE)</f>
        <v>312.577</v>
      </c>
      <c r="K229" s="65">
        <f ca="1">VLOOKUP($A229,INDIRECT($P$2),COLUMN()-1,FALSE)*VLOOKUP($A229,Usinas!$C:$D,2,FALSE)</f>
        <v>270.64299999999997</v>
      </c>
      <c r="L229" s="65">
        <f ca="1">VLOOKUP($A229,INDIRECT($P$2),COLUMN()-1,FALSE)*VLOOKUP($A229,Usinas!$C:$D,2,FALSE)</f>
        <v>242.20499999999998</v>
      </c>
      <c r="M229" s="65">
        <f ca="1">VLOOKUP($A229,INDIRECT($P$2),COLUMN()-1,FALSE)*VLOOKUP($A229,Usinas!$C:$D,2,FALSE)</f>
        <v>272.089</v>
      </c>
      <c r="N229" s="65">
        <f ca="1">VLOOKUP($A229,INDIRECT($P$2),COLUMN()-1,FALSE)*VLOOKUP($A229,Usinas!$C:$D,2,FALSE)</f>
        <v>449.46499999999997</v>
      </c>
      <c r="O229" s="65">
        <f ca="1">VLOOKUP($A229,INDIRECT($P$2),COLUMN()-1,FALSE)*VLOOKUP($A229,Usinas!$C:$D,2,FALSE)</f>
        <v>809.51900000000001</v>
      </c>
    </row>
    <row r="230" spans="1:15" hidden="1" outlineLevel="2" x14ac:dyDescent="0.25">
      <c r="A230" s="30">
        <v>172</v>
      </c>
      <c r="B230" s="31" t="s">
        <v>208</v>
      </c>
      <c r="D230" s="65">
        <f ca="1">VLOOKUP($A230,INDIRECT($P$2),COLUMN()-1,FALSE)*VLOOKUP($A230,Usinas!$C:$D,2,FALSE)</f>
        <v>2115.8796000000002</v>
      </c>
      <c r="E230" s="65">
        <f ca="1">VLOOKUP($A230,INDIRECT($P$2),COLUMN()-1,FALSE)*VLOOKUP($A230,Usinas!$C:$D,2,FALSE)</f>
        <v>2249.8017</v>
      </c>
      <c r="F230" s="65">
        <f ca="1">VLOOKUP($A230,INDIRECT($P$2),COLUMN()-1,FALSE)*VLOOKUP($A230,Usinas!$C:$D,2,FALSE)</f>
        <v>2246.2184999999999</v>
      </c>
      <c r="G230" s="65">
        <f ca="1">VLOOKUP($A230,INDIRECT($P$2),COLUMN()-1,FALSE)*VLOOKUP($A230,Usinas!$C:$D,2,FALSE)</f>
        <v>1823.8488</v>
      </c>
      <c r="H230" s="65">
        <f ca="1">VLOOKUP($A230,INDIRECT($P$2),COLUMN()-1,FALSE)*VLOOKUP($A230,Usinas!$C:$D,2,FALSE)</f>
        <v>1099.5945000000002</v>
      </c>
      <c r="I230" s="65">
        <f ca="1">VLOOKUP($A230,INDIRECT($P$2),COLUMN()-1,FALSE)*VLOOKUP($A230,Usinas!$C:$D,2,FALSE)</f>
        <v>723.35850000000005</v>
      </c>
      <c r="J230" s="65">
        <f ca="1">VLOOKUP($A230,INDIRECT($P$2),COLUMN()-1,FALSE)*VLOOKUP($A230,Usinas!$C:$D,2,FALSE)</f>
        <v>593.91539999999998</v>
      </c>
      <c r="K230" s="65">
        <f ca="1">VLOOKUP($A230,INDIRECT($P$2),COLUMN()-1,FALSE)*VLOOKUP($A230,Usinas!$C:$D,2,FALSE)</f>
        <v>517.77240000000006</v>
      </c>
      <c r="L230" s="65">
        <f ca="1">VLOOKUP($A230,INDIRECT($P$2),COLUMN()-1,FALSE)*VLOOKUP($A230,Usinas!$C:$D,2,FALSE)</f>
        <v>462.6807</v>
      </c>
      <c r="M230" s="65">
        <f ca="1">VLOOKUP($A230,INDIRECT($P$2),COLUMN()-1,FALSE)*VLOOKUP($A230,Usinas!$C:$D,2,FALSE)</f>
        <v>500.75220000000002</v>
      </c>
      <c r="N230" s="65">
        <f ca="1">VLOOKUP($A230,INDIRECT($P$2),COLUMN()-1,FALSE)*VLOOKUP($A230,Usinas!$C:$D,2,FALSE)</f>
        <v>802.63679999999999</v>
      </c>
      <c r="O230" s="65">
        <f ca="1">VLOOKUP($A230,INDIRECT($P$2),COLUMN()-1,FALSE)*VLOOKUP($A230,Usinas!$C:$D,2,FALSE)</f>
        <v>1478.5179000000001</v>
      </c>
    </row>
    <row r="231" spans="1:15" hidden="1" outlineLevel="2" x14ac:dyDescent="0.25">
      <c r="A231" s="30">
        <v>176</v>
      </c>
      <c r="B231" s="31" t="s">
        <v>209</v>
      </c>
      <c r="D231" s="65">
        <f ca="1">VLOOKUP($A231,INDIRECT($P$2),COLUMN()-1,FALSE)*VLOOKUP($A231,Usinas!$C:$D,2,FALSE)</f>
        <v>4814.8720000000003</v>
      </c>
      <c r="E231" s="65">
        <f ca="1">VLOOKUP($A231,INDIRECT($P$2),COLUMN()-1,FALSE)*VLOOKUP($A231,Usinas!$C:$D,2,FALSE)</f>
        <v>5142.3240999999998</v>
      </c>
      <c r="F231" s="65">
        <f ca="1">VLOOKUP($A231,INDIRECT($P$2),COLUMN()-1,FALSE)*VLOOKUP($A231,Usinas!$C:$D,2,FALSE)</f>
        <v>5160.6859000000004</v>
      </c>
      <c r="G231" s="65">
        <f ca="1">VLOOKUP($A231,INDIRECT($P$2),COLUMN()-1,FALSE)*VLOOKUP($A231,Usinas!$C:$D,2,FALSE)</f>
        <v>4228.3145000000004</v>
      </c>
      <c r="H231" s="65">
        <f ca="1">VLOOKUP($A231,INDIRECT($P$2),COLUMN()-1,FALSE)*VLOOKUP($A231,Usinas!$C:$D,2,FALSE)</f>
        <v>2558.4108000000001</v>
      </c>
      <c r="I231" s="65">
        <f ca="1">VLOOKUP($A231,INDIRECT($P$2),COLUMN()-1,FALSE)*VLOOKUP($A231,Usinas!$C:$D,2,FALSE)</f>
        <v>1668.8836000000001</v>
      </c>
      <c r="J231" s="65">
        <f ca="1">VLOOKUP($A231,INDIRECT($P$2),COLUMN()-1,FALSE)*VLOOKUP($A231,Usinas!$C:$D,2,FALSE)</f>
        <v>1365.9139</v>
      </c>
      <c r="K231" s="65">
        <f ca="1">VLOOKUP($A231,INDIRECT($P$2),COLUMN()-1,FALSE)*VLOOKUP($A231,Usinas!$C:$D,2,FALSE)</f>
        <v>1191.4767999999999</v>
      </c>
      <c r="L231" s="65">
        <f ca="1">VLOOKUP($A231,INDIRECT($P$2),COLUMN()-1,FALSE)*VLOOKUP($A231,Usinas!$C:$D,2,FALSE)</f>
        <v>1064.9844000000001</v>
      </c>
      <c r="M231" s="65">
        <f ca="1">VLOOKUP($A231,INDIRECT($P$2),COLUMN()-1,FALSE)*VLOOKUP($A231,Usinas!$C:$D,2,FALSE)</f>
        <v>1141.4919</v>
      </c>
      <c r="N231" s="65">
        <f ca="1">VLOOKUP($A231,INDIRECT($P$2),COLUMN()-1,FALSE)*VLOOKUP($A231,Usinas!$C:$D,2,FALSE)</f>
        <v>1804.5569</v>
      </c>
      <c r="O231" s="65">
        <f ca="1">VLOOKUP($A231,INDIRECT($P$2),COLUMN()-1,FALSE)*VLOOKUP($A231,Usinas!$C:$D,2,FALSE)</f>
        <v>3344.9079000000002</v>
      </c>
    </row>
    <row r="232" spans="1:15" hidden="1" outlineLevel="2" x14ac:dyDescent="0.25">
      <c r="A232" s="30">
        <v>178</v>
      </c>
      <c r="B232" s="31" t="s">
        <v>210</v>
      </c>
      <c r="D232" s="65">
        <f ca="1">VLOOKUP($A232,INDIRECT($P$2),COLUMN()-1,FALSE)*VLOOKUP($A232,Usinas!$C:$D,2,FALSE)</f>
        <v>5117.1427999999996</v>
      </c>
      <c r="E232" s="65">
        <f ca="1">VLOOKUP($A232,INDIRECT($P$2),COLUMN()-1,FALSE)*VLOOKUP($A232,Usinas!$C:$D,2,FALSE)</f>
        <v>5467.4686000000002</v>
      </c>
      <c r="F232" s="65">
        <f ca="1">VLOOKUP($A232,INDIRECT($P$2),COLUMN()-1,FALSE)*VLOOKUP($A232,Usinas!$C:$D,2,FALSE)</f>
        <v>5486.9913999999999</v>
      </c>
      <c r="G232" s="65">
        <f ca="1">VLOOKUP($A232,INDIRECT($P$2),COLUMN()-1,FALSE)*VLOOKUP($A232,Usinas!$C:$D,2,FALSE)</f>
        <v>4494.5824000000002</v>
      </c>
      <c r="H232" s="65">
        <f ca="1">VLOOKUP($A232,INDIRECT($P$2),COLUMN()-1,FALSE)*VLOOKUP($A232,Usinas!$C:$D,2,FALSE)</f>
        <v>2720.1768000000002</v>
      </c>
      <c r="I232" s="65">
        <f ca="1">VLOOKUP($A232,INDIRECT($P$2),COLUMN()-1,FALSE)*VLOOKUP($A232,Usinas!$C:$D,2,FALSE)</f>
        <v>1774.4056</v>
      </c>
      <c r="J232" s="65">
        <f ca="1">VLOOKUP($A232,INDIRECT($P$2),COLUMN()-1,FALSE)*VLOOKUP($A232,Usinas!$C:$D,2,FALSE)</f>
        <v>1452.2794000000001</v>
      </c>
      <c r="K232" s="65">
        <f ca="1">VLOOKUP($A232,INDIRECT($P$2),COLUMN()-1,FALSE)*VLOOKUP($A232,Usinas!$C:$D,2,FALSE)</f>
        <v>1266.8127999999999</v>
      </c>
      <c r="L232" s="65">
        <f ca="1">VLOOKUP($A232,INDIRECT($P$2),COLUMN()-1,FALSE)*VLOOKUP($A232,Usinas!$C:$D,2,FALSE)</f>
        <v>1132.3224</v>
      </c>
      <c r="M232" s="65">
        <f ca="1">VLOOKUP($A232,INDIRECT($P$2),COLUMN()-1,FALSE)*VLOOKUP($A232,Usinas!$C:$D,2,FALSE)</f>
        <v>1213.6674</v>
      </c>
      <c r="N232" s="65">
        <f ca="1">VLOOKUP($A232,INDIRECT($P$2),COLUMN()-1,FALSE)*VLOOKUP($A232,Usinas!$C:$D,2,FALSE)</f>
        <v>1918.6574000000001</v>
      </c>
      <c r="O232" s="65">
        <f ca="1">VLOOKUP($A232,INDIRECT($P$2),COLUMN()-1,FALSE)*VLOOKUP($A232,Usinas!$C:$D,2,FALSE)</f>
        <v>3554.2341999999999</v>
      </c>
    </row>
    <row r="233" spans="1:15" hidden="1" outlineLevel="1" x14ac:dyDescent="0.25">
      <c r="A233" s="32"/>
      <c r="B233" s="33" t="s">
        <v>56</v>
      </c>
      <c r="D233" s="74">
        <f t="shared" ref="D233:O233" ca="1" si="24">SUM(D229:D232)</f>
        <v>13178.6664</v>
      </c>
      <c r="E233" s="48">
        <f t="shared" ca="1" si="24"/>
        <v>14041.2174</v>
      </c>
      <c r="F233" s="48">
        <f t="shared" ca="1" si="24"/>
        <v>14037.199799999999</v>
      </c>
      <c r="G233" s="48">
        <f t="shared" ca="1" si="24"/>
        <v>11452.182700000001</v>
      </c>
      <c r="H233" s="48">
        <f t="shared" ca="1" si="24"/>
        <v>6926.2161000000006</v>
      </c>
      <c r="I233" s="75">
        <f t="shared" ca="1" si="24"/>
        <v>4541.4027000000006</v>
      </c>
      <c r="J233" s="74">
        <f t="shared" ca="1" si="24"/>
        <v>3724.6857</v>
      </c>
      <c r="K233" s="48">
        <f t="shared" ca="1" si="24"/>
        <v>3246.7049999999999</v>
      </c>
      <c r="L233" s="48">
        <f t="shared" ca="1" si="24"/>
        <v>2902.1925000000001</v>
      </c>
      <c r="M233" s="48">
        <f t="shared" ca="1" si="24"/>
        <v>3128.0005000000001</v>
      </c>
      <c r="N233" s="48">
        <f t="shared" ca="1" si="24"/>
        <v>4975.3161</v>
      </c>
      <c r="O233" s="75">
        <f t="shared" ca="1" si="24"/>
        <v>9187.1790000000001</v>
      </c>
    </row>
    <row r="234" spans="1:15" hidden="1" outlineLevel="1" x14ac:dyDescent="0.25">
      <c r="A234" s="34"/>
      <c r="B234" s="35" t="s">
        <v>0</v>
      </c>
      <c r="D234" s="76"/>
      <c r="E234" s="77"/>
      <c r="F234" s="77"/>
      <c r="G234" s="77"/>
      <c r="H234" s="77"/>
      <c r="I234" s="78"/>
      <c r="J234" s="76"/>
      <c r="K234" s="77"/>
      <c r="L234" s="77"/>
      <c r="M234" s="77"/>
      <c r="N234" s="77"/>
      <c r="O234" s="78"/>
    </row>
    <row r="235" spans="1:15" hidden="1" outlineLevel="1" x14ac:dyDescent="0.25">
      <c r="A235" s="2"/>
      <c r="B235" s="3"/>
      <c r="D235" s="53"/>
      <c r="E235" s="54"/>
      <c r="F235" s="54"/>
      <c r="G235" s="54"/>
      <c r="H235" s="54"/>
      <c r="I235" s="54"/>
      <c r="J235" s="53"/>
      <c r="K235" s="54"/>
      <c r="L235" s="54"/>
      <c r="M235" s="54"/>
      <c r="N235" s="54"/>
      <c r="O235" s="54"/>
    </row>
    <row r="236" spans="1:15" hidden="1" outlineLevel="1" x14ac:dyDescent="0.25">
      <c r="A236" s="36"/>
      <c r="B236" s="37"/>
      <c r="D236" s="332" t="s">
        <v>211</v>
      </c>
      <c r="E236" s="333" t="s">
        <v>58</v>
      </c>
      <c r="F236" s="333" t="s">
        <v>212</v>
      </c>
      <c r="G236" s="333"/>
      <c r="H236" s="333"/>
      <c r="I236" s="334"/>
      <c r="J236" s="332" t="s">
        <v>211</v>
      </c>
      <c r="K236" s="333" t="s">
        <v>58</v>
      </c>
      <c r="L236" s="333" t="s">
        <v>212</v>
      </c>
      <c r="M236" s="333"/>
      <c r="N236" s="333"/>
      <c r="O236" s="334"/>
    </row>
    <row r="237" spans="1:15" hidden="1" outlineLevel="2" x14ac:dyDescent="0.25">
      <c r="A237" s="30">
        <v>188</v>
      </c>
      <c r="B237" s="31" t="s">
        <v>213</v>
      </c>
      <c r="D237" s="65">
        <f ca="1">VLOOKUP($A237,INDIRECT($P$2),COLUMN()-1,FALSE)*VLOOKUP($A237,Usinas!$C:$D,2,FALSE)</f>
        <v>592.8202</v>
      </c>
      <c r="E237" s="65">
        <f ca="1">VLOOKUP($A237,INDIRECT($P$2),COLUMN()-1,FALSE)*VLOOKUP($A237,Usinas!$C:$D,2,FALSE)</f>
        <v>434.92619999999999</v>
      </c>
      <c r="F237" s="65">
        <f ca="1">VLOOKUP($A237,INDIRECT($P$2),COLUMN()-1,FALSE)*VLOOKUP($A237,Usinas!$C:$D,2,FALSE)</f>
        <v>359.5677</v>
      </c>
      <c r="G237" s="65">
        <f ca="1">VLOOKUP($A237,INDIRECT($P$2),COLUMN()-1,FALSE)*VLOOKUP($A237,Usinas!$C:$D,2,FALSE)</f>
        <v>246.8888</v>
      </c>
      <c r="H237" s="65">
        <f ca="1">VLOOKUP($A237,INDIRECT($P$2),COLUMN()-1,FALSE)*VLOOKUP($A237,Usinas!$C:$D,2,FALSE)</f>
        <v>149.99930000000001</v>
      </c>
      <c r="I237" s="65">
        <f ca="1">VLOOKUP($A237,INDIRECT($P$2),COLUMN()-1,FALSE)*VLOOKUP($A237,Usinas!$C:$D,2,FALSE)</f>
        <v>119.1382</v>
      </c>
      <c r="J237" s="65">
        <f ca="1">VLOOKUP($A237,INDIRECT($P$2),COLUMN()-1,FALSE)*VLOOKUP($A237,Usinas!$C:$D,2,FALSE)</f>
        <v>100.47799999999999</v>
      </c>
      <c r="K237" s="65">
        <f ca="1">VLOOKUP($A237,INDIRECT($P$2),COLUMN()-1,FALSE)*VLOOKUP($A237,Usinas!$C:$D,2,FALSE)</f>
        <v>84.688599999999994</v>
      </c>
      <c r="L237" s="65">
        <f ca="1">VLOOKUP($A237,INDIRECT($P$2),COLUMN()-1,FALSE)*VLOOKUP($A237,Usinas!$C:$D,2,FALSE)</f>
        <v>77.511600000000001</v>
      </c>
      <c r="M237" s="65">
        <f ca="1">VLOOKUP($A237,INDIRECT($P$2),COLUMN()-1,FALSE)*VLOOKUP($A237,Usinas!$C:$D,2,FALSE)</f>
        <v>124.1621</v>
      </c>
      <c r="N237" s="65">
        <f ca="1">VLOOKUP($A237,INDIRECT($P$2),COLUMN()-1,FALSE)*VLOOKUP($A237,Usinas!$C:$D,2,FALSE)</f>
        <v>340.18979999999999</v>
      </c>
      <c r="O237" s="65">
        <f ca="1">VLOOKUP($A237,INDIRECT($P$2),COLUMN()-1,FALSE)*VLOOKUP($A237,Usinas!$C:$D,2,FALSE)</f>
        <v>640.1884</v>
      </c>
    </row>
    <row r="238" spans="1:15" hidden="1" outlineLevel="1" x14ac:dyDescent="0.25">
      <c r="A238" s="32"/>
      <c r="B238" s="33" t="s">
        <v>56</v>
      </c>
      <c r="D238" s="74">
        <f t="shared" ref="D238:O238" ca="1" si="25">D237</f>
        <v>592.8202</v>
      </c>
      <c r="E238" s="48">
        <f t="shared" ca="1" si="25"/>
        <v>434.92619999999999</v>
      </c>
      <c r="F238" s="48">
        <f t="shared" ca="1" si="25"/>
        <v>359.5677</v>
      </c>
      <c r="G238" s="48">
        <f t="shared" ca="1" si="25"/>
        <v>246.8888</v>
      </c>
      <c r="H238" s="48">
        <f t="shared" ca="1" si="25"/>
        <v>149.99930000000001</v>
      </c>
      <c r="I238" s="75">
        <f t="shared" ca="1" si="25"/>
        <v>119.1382</v>
      </c>
      <c r="J238" s="74">
        <f t="shared" ca="1" si="25"/>
        <v>100.47799999999999</v>
      </c>
      <c r="K238" s="48">
        <f t="shared" ca="1" si="25"/>
        <v>84.688599999999994</v>
      </c>
      <c r="L238" s="48">
        <f t="shared" ca="1" si="25"/>
        <v>77.511600000000001</v>
      </c>
      <c r="M238" s="48">
        <f t="shared" ca="1" si="25"/>
        <v>124.1621</v>
      </c>
      <c r="N238" s="48">
        <f t="shared" ca="1" si="25"/>
        <v>340.18979999999999</v>
      </c>
      <c r="O238" s="75">
        <f t="shared" ca="1" si="25"/>
        <v>640.1884</v>
      </c>
    </row>
    <row r="239" spans="1:15" hidden="1" outlineLevel="1" x14ac:dyDescent="0.25">
      <c r="A239" s="34"/>
      <c r="B239" s="35" t="s">
        <v>0</v>
      </c>
      <c r="D239" s="76"/>
      <c r="E239" s="77"/>
      <c r="F239" s="77"/>
      <c r="G239" s="77"/>
      <c r="H239" s="77"/>
      <c r="I239" s="78"/>
      <c r="J239" s="76"/>
      <c r="K239" s="77"/>
      <c r="L239" s="77"/>
      <c r="M239" s="77"/>
      <c r="N239" s="77"/>
      <c r="O239" s="78"/>
    </row>
    <row r="240" spans="1:15" hidden="1" outlineLevel="1" x14ac:dyDescent="0.25">
      <c r="A240" s="2"/>
      <c r="B240" s="3"/>
      <c r="D240" s="53"/>
      <c r="E240" s="54"/>
      <c r="F240" s="54"/>
      <c r="G240" s="54"/>
      <c r="H240" s="54"/>
      <c r="I240" s="54"/>
      <c r="J240" s="53"/>
      <c r="K240" s="54"/>
      <c r="L240" s="54"/>
      <c r="M240" s="54"/>
      <c r="N240" s="54"/>
      <c r="O240" s="54"/>
    </row>
    <row r="241" spans="1:15" hidden="1" outlineLevel="1" x14ac:dyDescent="0.25">
      <c r="A241" s="36"/>
      <c r="B241" s="37"/>
      <c r="D241" s="332" t="s">
        <v>214</v>
      </c>
      <c r="E241" s="333" t="s">
        <v>58</v>
      </c>
      <c r="F241" s="333" t="s">
        <v>215</v>
      </c>
      <c r="G241" s="333"/>
      <c r="H241" s="333"/>
      <c r="I241" s="334"/>
      <c r="J241" s="332" t="s">
        <v>214</v>
      </c>
      <c r="K241" s="333" t="s">
        <v>58</v>
      </c>
      <c r="L241" s="333" t="s">
        <v>215</v>
      </c>
      <c r="M241" s="333"/>
      <c r="N241" s="333"/>
      <c r="O241" s="334"/>
    </row>
    <row r="242" spans="1:15" hidden="1" outlineLevel="2" x14ac:dyDescent="0.25">
      <c r="A242" s="30">
        <v>190</v>
      </c>
      <c r="B242" s="31" t="s">
        <v>216</v>
      </c>
      <c r="D242" s="65">
        <f ca="1">VLOOKUP($A242,INDIRECT($P$2),COLUMN()-1,FALSE)*VLOOKUP($A242,Usinas!$C:$D,2,FALSE)</f>
        <v>243.2226</v>
      </c>
      <c r="E242" s="65">
        <f ca="1">VLOOKUP($A242,INDIRECT($P$2),COLUMN()-1,FALSE)*VLOOKUP($A242,Usinas!$C:$D,2,FALSE)</f>
        <v>269.99939999999998</v>
      </c>
      <c r="F242" s="65">
        <f ca="1">VLOOKUP($A242,INDIRECT($P$2),COLUMN()-1,FALSE)*VLOOKUP($A242,Usinas!$C:$D,2,FALSE)</f>
        <v>286.363</v>
      </c>
      <c r="G242" s="65">
        <f ca="1">VLOOKUP($A242,INDIRECT($P$2),COLUMN()-1,FALSE)*VLOOKUP($A242,Usinas!$C:$D,2,FALSE)</f>
        <v>252.892</v>
      </c>
      <c r="H242" s="65">
        <f ca="1">VLOOKUP($A242,INDIRECT($P$2),COLUMN()-1,FALSE)*VLOOKUP($A242,Usinas!$C:$D,2,FALSE)</f>
        <v>163.636</v>
      </c>
      <c r="I242" s="65">
        <f ca="1">VLOOKUP($A242,INDIRECT($P$2),COLUMN()-1,FALSE)*VLOOKUP($A242,Usinas!$C:$D,2,FALSE)</f>
        <v>113.4295</v>
      </c>
      <c r="J242" s="65">
        <f ca="1">VLOOKUP($A242,INDIRECT($P$2),COLUMN()-1,FALSE)*VLOOKUP($A242,Usinas!$C:$D,2,FALSE)</f>
        <v>97.809700000000007</v>
      </c>
      <c r="K242" s="65">
        <f ca="1">VLOOKUP($A242,INDIRECT($P$2),COLUMN()-1,FALSE)*VLOOKUP($A242,Usinas!$C:$D,2,FALSE)</f>
        <v>89.627899999999997</v>
      </c>
      <c r="L242" s="65">
        <f ca="1">VLOOKUP($A242,INDIRECT($P$2),COLUMN()-1,FALSE)*VLOOKUP($A242,Usinas!$C:$D,2,FALSE)</f>
        <v>87.7684</v>
      </c>
      <c r="M242" s="65">
        <f ca="1">VLOOKUP($A242,INDIRECT($P$2),COLUMN()-1,FALSE)*VLOOKUP($A242,Usinas!$C:$D,2,FALSE)</f>
        <v>107.10720000000001</v>
      </c>
      <c r="N242" s="65">
        <f ca="1">VLOOKUP($A242,INDIRECT($P$2),COLUMN()-1,FALSE)*VLOOKUP($A242,Usinas!$C:$D,2,FALSE)</f>
        <v>148.76</v>
      </c>
      <c r="O242" s="65">
        <f ca="1">VLOOKUP($A242,INDIRECT($P$2),COLUMN()-1,FALSE)*VLOOKUP($A242,Usinas!$C:$D,2,FALSE)</f>
        <v>198.2227</v>
      </c>
    </row>
    <row r="243" spans="1:15" hidden="1" outlineLevel="1" x14ac:dyDescent="0.25">
      <c r="A243" s="32"/>
      <c r="B243" s="33" t="s">
        <v>56</v>
      </c>
      <c r="D243" s="74">
        <f t="shared" ref="D243:O243" ca="1" si="26">D242</f>
        <v>243.2226</v>
      </c>
      <c r="E243" s="48">
        <f t="shared" ca="1" si="26"/>
        <v>269.99939999999998</v>
      </c>
      <c r="F243" s="48">
        <f t="shared" ca="1" si="26"/>
        <v>286.363</v>
      </c>
      <c r="G243" s="48">
        <f t="shared" ca="1" si="26"/>
        <v>252.892</v>
      </c>
      <c r="H243" s="48">
        <f t="shared" ca="1" si="26"/>
        <v>163.636</v>
      </c>
      <c r="I243" s="75">
        <f t="shared" ca="1" si="26"/>
        <v>113.4295</v>
      </c>
      <c r="J243" s="74">
        <f t="shared" ca="1" si="26"/>
        <v>97.809700000000007</v>
      </c>
      <c r="K243" s="48">
        <f t="shared" ca="1" si="26"/>
        <v>89.627899999999997</v>
      </c>
      <c r="L243" s="48">
        <f t="shared" ca="1" si="26"/>
        <v>87.7684</v>
      </c>
      <c r="M243" s="48">
        <f t="shared" ca="1" si="26"/>
        <v>107.10720000000001</v>
      </c>
      <c r="N243" s="48">
        <f t="shared" ca="1" si="26"/>
        <v>148.76</v>
      </c>
      <c r="O243" s="75">
        <f t="shared" ca="1" si="26"/>
        <v>198.2227</v>
      </c>
    </row>
    <row r="244" spans="1:15" hidden="1" outlineLevel="1" x14ac:dyDescent="0.25">
      <c r="A244" s="34"/>
      <c r="B244" s="35" t="s">
        <v>0</v>
      </c>
      <c r="D244" s="76"/>
      <c r="E244" s="77"/>
      <c r="F244" s="77"/>
      <c r="G244" s="77"/>
      <c r="H244" s="77"/>
      <c r="I244" s="78"/>
      <c r="J244" s="76"/>
      <c r="K244" s="77"/>
      <c r="L244" s="77"/>
      <c r="M244" s="77"/>
      <c r="N244" s="77"/>
      <c r="O244" s="78"/>
    </row>
    <row r="245" spans="1:15" hidden="1" outlineLevel="1" x14ac:dyDescent="0.25">
      <c r="A245" s="2"/>
      <c r="B245" s="3"/>
      <c r="D245" s="53"/>
      <c r="E245" s="54"/>
      <c r="F245" s="54"/>
      <c r="G245" s="54"/>
      <c r="H245" s="54"/>
      <c r="I245" s="54"/>
      <c r="J245" s="53"/>
      <c r="K245" s="54"/>
      <c r="L245" s="54"/>
      <c r="M245" s="54"/>
      <c r="N245" s="54"/>
      <c r="O245" s="54"/>
    </row>
    <row r="246" spans="1:15" hidden="1" outlineLevel="1" x14ac:dyDescent="0.25">
      <c r="A246" s="36"/>
      <c r="B246" s="37"/>
      <c r="D246" s="332" t="s">
        <v>217</v>
      </c>
      <c r="E246" s="333" t="s">
        <v>58</v>
      </c>
      <c r="F246" s="333" t="s">
        <v>218</v>
      </c>
      <c r="G246" s="333"/>
      <c r="H246" s="333"/>
      <c r="I246" s="334"/>
      <c r="J246" s="332" t="s">
        <v>217</v>
      </c>
      <c r="K246" s="333" t="s">
        <v>58</v>
      </c>
      <c r="L246" s="333" t="s">
        <v>218</v>
      </c>
      <c r="M246" s="333"/>
      <c r="N246" s="333"/>
      <c r="O246" s="334"/>
    </row>
    <row r="247" spans="1:15" hidden="1" outlineLevel="2" x14ac:dyDescent="0.25">
      <c r="A247" s="30">
        <v>254</v>
      </c>
      <c r="B247" s="31" t="s">
        <v>219</v>
      </c>
      <c r="D247" s="65">
        <f ca="1">VLOOKUP($A247,INDIRECT($P$2),COLUMN()-1,FALSE)*VLOOKUP($A247,Usinas!$C:$D,2,FALSE)</f>
        <v>145.42320000000001</v>
      </c>
      <c r="E247" s="65">
        <f ca="1">VLOOKUP($A247,INDIRECT($P$2),COLUMN()-1,FALSE)*VLOOKUP($A247,Usinas!$C:$D,2,FALSE)</f>
        <v>146.34360000000001</v>
      </c>
      <c r="F247" s="65">
        <f ca="1">VLOOKUP($A247,INDIRECT($P$2),COLUMN()-1,FALSE)*VLOOKUP($A247,Usinas!$C:$D,2,FALSE)</f>
        <v>146.34360000000001</v>
      </c>
      <c r="G247" s="65">
        <f ca="1">VLOOKUP($A247,INDIRECT($P$2),COLUMN()-1,FALSE)*VLOOKUP($A247,Usinas!$C:$D,2,FALSE)</f>
        <v>121.4928</v>
      </c>
      <c r="H247" s="65">
        <f ca="1">VLOOKUP($A247,INDIRECT($P$2),COLUMN()-1,FALSE)*VLOOKUP($A247,Usinas!$C:$D,2,FALSE)</f>
        <v>73.632000000000005</v>
      </c>
      <c r="I247" s="65">
        <f ca="1">VLOOKUP($A247,INDIRECT($P$2),COLUMN()-1,FALSE)*VLOOKUP($A247,Usinas!$C:$D,2,FALSE)</f>
        <v>50.622</v>
      </c>
      <c r="J247" s="65">
        <f ca="1">VLOOKUP($A247,INDIRECT($P$2),COLUMN()-1,FALSE)*VLOOKUP($A247,Usinas!$C:$D,2,FALSE)</f>
        <v>50.622</v>
      </c>
      <c r="K247" s="65">
        <f ca="1">VLOOKUP($A247,INDIRECT($P$2),COLUMN()-1,FALSE)*VLOOKUP($A247,Usinas!$C:$D,2,FALSE)</f>
        <v>40.497599999999998</v>
      </c>
      <c r="L247" s="65">
        <f ca="1">VLOOKUP($A247,INDIRECT($P$2),COLUMN()-1,FALSE)*VLOOKUP($A247,Usinas!$C:$D,2,FALSE)</f>
        <v>27.611999999999998</v>
      </c>
      <c r="M247" s="65">
        <f ca="1">VLOOKUP($A247,INDIRECT($P$2),COLUMN()-1,FALSE)*VLOOKUP($A247,Usinas!$C:$D,2,FALSE)</f>
        <v>33.134399999999999</v>
      </c>
      <c r="N247" s="65">
        <f ca="1">VLOOKUP($A247,INDIRECT($P$2),COLUMN()-1,FALSE)*VLOOKUP($A247,Usinas!$C:$D,2,FALSE)</f>
        <v>88.358400000000003</v>
      </c>
      <c r="O247" s="65">
        <f ca="1">VLOOKUP($A247,INDIRECT($P$2),COLUMN()-1,FALSE)*VLOOKUP($A247,Usinas!$C:$D,2,FALSE)</f>
        <v>185.00040000000001</v>
      </c>
    </row>
    <row r="248" spans="1:15" hidden="1" outlineLevel="1" x14ac:dyDescent="0.25">
      <c r="A248" s="32"/>
      <c r="B248" s="33" t="s">
        <v>56</v>
      </c>
      <c r="D248" s="74">
        <f t="shared" ref="D248:O248" ca="1" si="27">D247</f>
        <v>145.42320000000001</v>
      </c>
      <c r="E248" s="48">
        <f t="shared" ca="1" si="27"/>
        <v>146.34360000000001</v>
      </c>
      <c r="F248" s="48">
        <f t="shared" ca="1" si="27"/>
        <v>146.34360000000001</v>
      </c>
      <c r="G248" s="48">
        <f t="shared" ca="1" si="27"/>
        <v>121.4928</v>
      </c>
      <c r="H248" s="48">
        <f t="shared" ca="1" si="27"/>
        <v>73.632000000000005</v>
      </c>
      <c r="I248" s="75">
        <f t="shared" ca="1" si="27"/>
        <v>50.622</v>
      </c>
      <c r="J248" s="74">
        <f t="shared" ca="1" si="27"/>
        <v>50.622</v>
      </c>
      <c r="K248" s="48">
        <f t="shared" ca="1" si="27"/>
        <v>40.497599999999998</v>
      </c>
      <c r="L248" s="48">
        <f t="shared" ca="1" si="27"/>
        <v>27.611999999999998</v>
      </c>
      <c r="M248" s="48">
        <f t="shared" ca="1" si="27"/>
        <v>33.134399999999999</v>
      </c>
      <c r="N248" s="48">
        <f t="shared" ca="1" si="27"/>
        <v>88.358400000000003</v>
      </c>
      <c r="O248" s="75">
        <f t="shared" ca="1" si="27"/>
        <v>185.00040000000001</v>
      </c>
    </row>
    <row r="249" spans="1:15" hidden="1" outlineLevel="1" x14ac:dyDescent="0.25">
      <c r="A249" s="34"/>
      <c r="B249" s="35" t="s">
        <v>0</v>
      </c>
      <c r="D249" s="76"/>
      <c r="E249" s="77"/>
      <c r="F249" s="77"/>
      <c r="G249" s="77"/>
      <c r="H249" s="77"/>
      <c r="I249" s="78"/>
      <c r="J249" s="76"/>
      <c r="K249" s="77"/>
      <c r="L249" s="77"/>
      <c r="M249" s="77"/>
      <c r="N249" s="77"/>
      <c r="O249" s="78"/>
    </row>
    <row r="250" spans="1:15" hidden="1" outlineLevel="1" x14ac:dyDescent="0.25">
      <c r="A250" s="2"/>
      <c r="B250" s="3"/>
      <c r="D250" s="53"/>
      <c r="E250" s="54"/>
      <c r="F250" s="54"/>
      <c r="G250" s="54"/>
      <c r="H250" s="54"/>
      <c r="I250" s="54"/>
      <c r="J250" s="53"/>
      <c r="K250" s="54"/>
      <c r="L250" s="54"/>
      <c r="M250" s="54"/>
      <c r="N250" s="54"/>
      <c r="O250" s="54"/>
    </row>
    <row r="251" spans="1:15" ht="15.75" collapsed="1" x14ac:dyDescent="0.25">
      <c r="A251" s="85"/>
      <c r="B251" s="86"/>
      <c r="C251" s="97"/>
      <c r="D251" s="335" t="s">
        <v>220</v>
      </c>
      <c r="E251" s="336"/>
      <c r="F251" s="336"/>
      <c r="G251" s="336"/>
      <c r="H251" s="336"/>
      <c r="I251" s="336"/>
      <c r="J251" s="336"/>
      <c r="K251" s="336"/>
      <c r="L251" s="336"/>
      <c r="M251" s="336"/>
      <c r="N251" s="336"/>
      <c r="O251" s="337"/>
    </row>
    <row r="252" spans="1:15" ht="15.75" x14ac:dyDescent="0.25">
      <c r="A252" s="87"/>
      <c r="B252" s="88" t="s">
        <v>56</v>
      </c>
      <c r="C252" s="97"/>
      <c r="D252" s="88">
        <f t="shared" ref="D252:O252" ca="1" si="28">D233+D238+D243+D248</f>
        <v>14160.132399999999</v>
      </c>
      <c r="E252" s="89">
        <f t="shared" ca="1" si="28"/>
        <v>14892.4866</v>
      </c>
      <c r="F252" s="89">
        <f t="shared" ca="1" si="28"/>
        <v>14829.474099999998</v>
      </c>
      <c r="G252" s="89">
        <f t="shared" ca="1" si="28"/>
        <v>12073.456300000002</v>
      </c>
      <c r="H252" s="89">
        <f t="shared" ca="1" si="28"/>
        <v>7313.483400000001</v>
      </c>
      <c r="I252" s="90">
        <f t="shared" ca="1" si="28"/>
        <v>4824.5924000000014</v>
      </c>
      <c r="J252" s="88">
        <f t="shared" ca="1" si="28"/>
        <v>3973.5953999999997</v>
      </c>
      <c r="K252" s="89">
        <f t="shared" ca="1" si="28"/>
        <v>3461.5191</v>
      </c>
      <c r="L252" s="89">
        <f t="shared" ca="1" si="28"/>
        <v>3095.0844999999999</v>
      </c>
      <c r="M252" s="89">
        <f t="shared" ca="1" si="28"/>
        <v>3392.4041999999999</v>
      </c>
      <c r="N252" s="89">
        <f t="shared" ca="1" si="28"/>
        <v>5552.6243000000004</v>
      </c>
      <c r="O252" s="90">
        <f t="shared" ca="1" si="28"/>
        <v>10210.5905</v>
      </c>
    </row>
    <row r="254" spans="1:15" x14ac:dyDescent="0.25">
      <c r="A254" s="103"/>
      <c r="B254" s="104"/>
      <c r="C254" s="105"/>
      <c r="D254" s="106"/>
      <c r="E254" s="107"/>
      <c r="F254" s="107"/>
      <c r="G254" s="107"/>
      <c r="H254" s="107"/>
      <c r="I254" s="108"/>
    </row>
    <row r="255" spans="1:15" hidden="1" outlineLevel="1" x14ac:dyDescent="0.25">
      <c r="A255" s="4"/>
      <c r="B255" s="5"/>
      <c r="C255" s="105"/>
      <c r="D255" s="338" t="s">
        <v>221</v>
      </c>
      <c r="E255" s="339"/>
      <c r="F255" s="339"/>
      <c r="G255" s="339"/>
      <c r="H255" s="339"/>
      <c r="I255" s="340"/>
      <c r="J255" s="338" t="s">
        <v>221</v>
      </c>
      <c r="K255" s="339"/>
      <c r="L255" s="339"/>
      <c r="M255" s="339"/>
      <c r="N255" s="339"/>
      <c r="O255" s="340"/>
    </row>
    <row r="256" spans="1:15" hidden="1" outlineLevel="2" x14ac:dyDescent="0.25">
      <c r="A256" s="6">
        <v>271</v>
      </c>
      <c r="B256" s="7" t="s">
        <v>222</v>
      </c>
      <c r="C256" s="105"/>
      <c r="D256" s="65">
        <f ca="1">VLOOKUP($A256,INDIRECT($P$2),COLUMN()-1,FALSE)*VLOOKUP($A256,Usinas!$C:$D,2,FALSE)</f>
        <v>1383.5616</v>
      </c>
      <c r="E256" s="65">
        <f ca="1">VLOOKUP($A256,INDIRECT($P$2),COLUMN()-1,FALSE)*VLOOKUP($A256,Usinas!$C:$D,2,FALSE)</f>
        <v>1662.9192</v>
      </c>
      <c r="F256" s="65">
        <f ca="1">VLOOKUP($A256,INDIRECT($P$2),COLUMN()-1,FALSE)*VLOOKUP($A256,Usinas!$C:$D,2,FALSE)</f>
        <v>1763.7203999999999</v>
      </c>
      <c r="G256" s="65">
        <f ca="1">VLOOKUP($A256,INDIRECT($P$2),COLUMN()-1,FALSE)*VLOOKUP($A256,Usinas!$C:$D,2,FALSE)</f>
        <v>1468.1304</v>
      </c>
      <c r="H256" s="65">
        <f ca="1">VLOOKUP($A256,INDIRECT($P$2),COLUMN()-1,FALSE)*VLOOKUP($A256,Usinas!$C:$D,2,FALSE)</f>
        <v>824.64599999999996</v>
      </c>
      <c r="I256" s="65">
        <f ca="1">VLOOKUP($A256,INDIRECT($P$2),COLUMN()-1,FALSE)*VLOOKUP($A256,Usinas!$C:$D,2,FALSE)</f>
        <v>470.7396</v>
      </c>
      <c r="J256" s="65">
        <f ca="1">VLOOKUP($A256,INDIRECT($P$2),COLUMN()-1,FALSE)*VLOOKUP($A256,Usinas!$C:$D,2,FALSE)</f>
        <v>333.26519999999999</v>
      </c>
      <c r="K256" s="65">
        <f ca="1">VLOOKUP($A256,INDIRECT($P$2),COLUMN()-1,FALSE)*VLOOKUP($A256,Usinas!$C:$D,2,FALSE)</f>
        <v>256.512</v>
      </c>
      <c r="L256" s="65">
        <f ca="1">VLOOKUP($A256,INDIRECT($P$2),COLUMN()-1,FALSE)*VLOOKUP($A256,Usinas!$C:$D,2,FALSE)</f>
        <v>231.46199999999999</v>
      </c>
      <c r="M256" s="65">
        <f ca="1">VLOOKUP($A256,INDIRECT($P$2),COLUMN()-1,FALSE)*VLOOKUP($A256,Usinas!$C:$D,2,FALSE)</f>
        <v>299.59800000000001</v>
      </c>
      <c r="N256" s="65">
        <f ca="1">VLOOKUP($A256,INDIRECT($P$2),COLUMN()-1,FALSE)*VLOOKUP($A256,Usinas!$C:$D,2,FALSE)</f>
        <v>521.24040000000002</v>
      </c>
      <c r="O256" s="65">
        <f ca="1">VLOOKUP($A256,INDIRECT($P$2),COLUMN()-1,FALSE)*VLOOKUP($A256,Usinas!$C:$D,2,FALSE)</f>
        <v>957.91199999999992</v>
      </c>
    </row>
    <row r="257" spans="1:15" hidden="1" outlineLevel="2" x14ac:dyDescent="0.25">
      <c r="A257" s="6">
        <v>275</v>
      </c>
      <c r="B257" s="7" t="s">
        <v>37</v>
      </c>
      <c r="C257" s="105"/>
      <c r="D257" s="65">
        <f ca="1">VLOOKUP($A257,INDIRECT($P$2),COLUMN()-1,FALSE)*VLOOKUP($A257,Usinas!$C:$D,2,FALSE)</f>
        <v>8307.9709999999995</v>
      </c>
      <c r="E257" s="65">
        <f ca="1">VLOOKUP($A257,INDIRECT($P$2),COLUMN()-1,FALSE)*VLOOKUP($A257,Usinas!$C:$D,2,FALSE)</f>
        <v>11253.4496</v>
      </c>
      <c r="F257" s="65">
        <f ca="1">VLOOKUP($A257,INDIRECT($P$2),COLUMN()-1,FALSE)*VLOOKUP($A257,Usinas!$C:$D,2,FALSE)</f>
        <v>13154.059000000001</v>
      </c>
      <c r="G257" s="65">
        <f ca="1">VLOOKUP($A257,INDIRECT($P$2),COLUMN()-1,FALSE)*VLOOKUP($A257,Usinas!$C:$D,2,FALSE)</f>
        <v>13156.2518</v>
      </c>
      <c r="H257" s="65">
        <f ca="1">VLOOKUP($A257,INDIRECT($P$2),COLUMN()-1,FALSE)*VLOOKUP($A257,Usinas!$C:$D,2,FALSE)</f>
        <v>8560.6912000000011</v>
      </c>
      <c r="I257" s="65">
        <f ca="1">VLOOKUP($A257,INDIRECT($P$2),COLUMN()-1,FALSE)*VLOOKUP($A257,Usinas!$C:$D,2,FALSE)</f>
        <v>4013.3722000000002</v>
      </c>
      <c r="J257" s="65">
        <f ca="1">VLOOKUP($A257,INDIRECT($P$2),COLUMN()-1,FALSE)*VLOOKUP($A257,Usinas!$C:$D,2,FALSE)</f>
        <v>2309.0183999999999</v>
      </c>
      <c r="K257" s="65">
        <f ca="1">VLOOKUP($A257,INDIRECT($P$2),COLUMN()-1,FALSE)*VLOOKUP($A257,Usinas!$C:$D,2,FALSE)</f>
        <v>1621.0274000000002</v>
      </c>
      <c r="L257" s="65">
        <f ca="1">VLOOKUP($A257,INDIRECT($P$2),COLUMN()-1,FALSE)*VLOOKUP($A257,Usinas!$C:$D,2,FALSE)</f>
        <v>1278.9506000000001</v>
      </c>
      <c r="M257" s="65">
        <f ca="1">VLOOKUP($A257,INDIRECT($P$2),COLUMN()-1,FALSE)*VLOOKUP($A257,Usinas!$C:$D,2,FALSE)</f>
        <v>1436.2840000000001</v>
      </c>
      <c r="N257" s="65">
        <f ca="1">VLOOKUP($A257,INDIRECT($P$2),COLUMN()-1,FALSE)*VLOOKUP($A257,Usinas!$C:$D,2,FALSE)</f>
        <v>2382.4772000000003</v>
      </c>
      <c r="O257" s="65">
        <f ca="1">VLOOKUP($A257,INDIRECT($P$2),COLUMN()-1,FALSE)*VLOOKUP($A257,Usinas!$C:$D,2,FALSE)</f>
        <v>4700.2668000000003</v>
      </c>
    </row>
    <row r="258" spans="1:15" hidden="1" outlineLevel="1" x14ac:dyDescent="0.25">
      <c r="A258" s="8"/>
      <c r="B258" s="9" t="s">
        <v>56</v>
      </c>
      <c r="C258" s="105"/>
      <c r="D258" s="55">
        <f t="shared" ref="D258:O258" ca="1" si="29">SUM(D256:D257)</f>
        <v>9691.5325999999986</v>
      </c>
      <c r="E258" s="48">
        <f t="shared" ca="1" si="29"/>
        <v>12916.3688</v>
      </c>
      <c r="F258" s="48">
        <f t="shared" ca="1" si="29"/>
        <v>14917.779400000001</v>
      </c>
      <c r="G258" s="48">
        <f t="shared" ca="1" si="29"/>
        <v>14624.3822</v>
      </c>
      <c r="H258" s="48">
        <f t="shared" ca="1" si="29"/>
        <v>9385.3372000000018</v>
      </c>
      <c r="I258" s="56">
        <f t="shared" ca="1" si="29"/>
        <v>4484.1118000000006</v>
      </c>
      <c r="J258" s="55">
        <f t="shared" ca="1" si="29"/>
        <v>2642.2835999999998</v>
      </c>
      <c r="K258" s="48">
        <f t="shared" ca="1" si="29"/>
        <v>1877.5394000000001</v>
      </c>
      <c r="L258" s="48">
        <f t="shared" ca="1" si="29"/>
        <v>1510.4126000000001</v>
      </c>
      <c r="M258" s="48">
        <f t="shared" ca="1" si="29"/>
        <v>1735.8820000000001</v>
      </c>
      <c r="N258" s="48">
        <f t="shared" ca="1" si="29"/>
        <v>2903.7176000000004</v>
      </c>
      <c r="O258" s="56">
        <f t="shared" ca="1" si="29"/>
        <v>5658.1788000000006</v>
      </c>
    </row>
    <row r="259" spans="1:15" hidden="1" outlineLevel="1" x14ac:dyDescent="0.25">
      <c r="A259" s="10"/>
      <c r="B259" s="11" t="s">
        <v>0</v>
      </c>
      <c r="C259" s="105"/>
      <c r="D259" s="57"/>
      <c r="E259" s="58"/>
      <c r="F259" s="58"/>
      <c r="G259" s="58"/>
      <c r="H259" s="58"/>
      <c r="I259" s="59"/>
      <c r="J259" s="57"/>
      <c r="K259" s="58"/>
      <c r="L259" s="58"/>
      <c r="M259" s="58"/>
      <c r="N259" s="58"/>
      <c r="O259" s="59"/>
    </row>
    <row r="260" spans="1:15" hidden="1" outlineLevel="1" x14ac:dyDescent="0.25">
      <c r="A260" s="2"/>
      <c r="B260" s="3"/>
      <c r="C260" s="105"/>
      <c r="D260" s="53"/>
      <c r="E260" s="54"/>
      <c r="F260" s="54"/>
      <c r="G260" s="54"/>
      <c r="H260" s="54"/>
      <c r="I260" s="54"/>
      <c r="J260" s="53"/>
      <c r="K260" s="54"/>
      <c r="L260" s="54"/>
      <c r="M260" s="54"/>
      <c r="N260" s="54"/>
      <c r="O260" s="54"/>
    </row>
    <row r="261" spans="1:15" hidden="1" outlineLevel="1" x14ac:dyDescent="0.25">
      <c r="A261" s="12"/>
      <c r="B261" s="13"/>
      <c r="C261" s="105"/>
      <c r="D261" s="344" t="s">
        <v>223</v>
      </c>
      <c r="E261" s="345"/>
      <c r="F261" s="345"/>
      <c r="G261" s="345"/>
      <c r="H261" s="345"/>
      <c r="I261" s="346"/>
      <c r="J261" s="344" t="s">
        <v>223</v>
      </c>
      <c r="K261" s="345"/>
      <c r="L261" s="345"/>
      <c r="M261" s="345"/>
      <c r="N261" s="345"/>
      <c r="O261" s="346"/>
    </row>
    <row r="262" spans="1:15" hidden="1" outlineLevel="2" x14ac:dyDescent="0.25">
      <c r="A262" s="6">
        <v>277</v>
      </c>
      <c r="B262" s="7" t="s">
        <v>224</v>
      </c>
      <c r="C262" s="105"/>
      <c r="D262" s="65">
        <f ca="1">VLOOKUP($A262,INDIRECT($P$2),COLUMN()-1,FALSE)*VLOOKUP($A262,Usinas!$C:$D,2,FALSE)</f>
        <v>22.451000000000001</v>
      </c>
      <c r="E262" s="65">
        <f ca="1">VLOOKUP($A262,INDIRECT($P$2),COLUMN()-1,FALSE)*VLOOKUP($A262,Usinas!$C:$D,2,FALSE)</f>
        <v>32.655999999999999</v>
      </c>
      <c r="F262" s="65">
        <f ca="1">VLOOKUP($A262,INDIRECT($P$2),COLUMN()-1,FALSE)*VLOOKUP($A262,Usinas!$C:$D,2,FALSE)</f>
        <v>50.24</v>
      </c>
      <c r="G262" s="65">
        <f ca="1">VLOOKUP($A262,INDIRECT($P$2),COLUMN()-1,FALSE)*VLOOKUP($A262,Usinas!$C:$D,2,FALSE)</f>
        <v>63.741999999999997</v>
      </c>
      <c r="H262" s="65">
        <f ca="1">VLOOKUP($A262,INDIRECT($P$2),COLUMN()-1,FALSE)*VLOOKUP($A262,Usinas!$C:$D,2,FALSE)</f>
        <v>61.073</v>
      </c>
      <c r="I262" s="65">
        <f ca="1">VLOOKUP($A262,INDIRECT($P$2),COLUMN()-1,FALSE)*VLOOKUP($A262,Usinas!$C:$D,2,FALSE)</f>
        <v>41.918999999999997</v>
      </c>
      <c r="J262" s="65">
        <f ca="1">VLOOKUP($A262,INDIRECT($P$2),COLUMN()-1,FALSE)*VLOOKUP($A262,Usinas!$C:$D,2,FALSE)</f>
        <v>31.085999999999999</v>
      </c>
      <c r="K262" s="65">
        <f ca="1">VLOOKUP($A262,INDIRECT($P$2),COLUMN()-1,FALSE)*VLOOKUP($A262,Usinas!$C:$D,2,FALSE)</f>
        <v>23.393000000000001</v>
      </c>
      <c r="L262" s="65">
        <f ca="1">VLOOKUP($A262,INDIRECT($P$2),COLUMN()-1,FALSE)*VLOOKUP($A262,Usinas!$C:$D,2,FALSE)</f>
        <v>20.253</v>
      </c>
      <c r="M262" s="65">
        <f ca="1">VLOOKUP($A262,INDIRECT($P$2),COLUMN()-1,FALSE)*VLOOKUP($A262,Usinas!$C:$D,2,FALSE)</f>
        <v>18.055</v>
      </c>
      <c r="N262" s="65">
        <f ca="1">VLOOKUP($A262,INDIRECT($P$2),COLUMN()-1,FALSE)*VLOOKUP($A262,Usinas!$C:$D,2,FALSE)</f>
        <v>18.055</v>
      </c>
      <c r="O262" s="65">
        <f ca="1">VLOOKUP($A262,INDIRECT($P$2),COLUMN()-1,FALSE)*VLOOKUP($A262,Usinas!$C:$D,2,FALSE)</f>
        <v>18.683</v>
      </c>
    </row>
    <row r="263" spans="1:15" hidden="1" outlineLevel="2" x14ac:dyDescent="0.25">
      <c r="A263" s="6">
        <v>290</v>
      </c>
      <c r="B263" s="7" t="s">
        <v>250</v>
      </c>
      <c r="C263" s="105"/>
      <c r="D263" s="65">
        <f ca="1">VLOOKUP($A263,INDIRECT($P$2),COLUMN()-1,FALSE)*VLOOKUP($A263,Usinas!$C:$D,2,FALSE)</f>
        <v>162.09270000000001</v>
      </c>
      <c r="E263" s="65">
        <f ca="1">VLOOKUP($A263,INDIRECT($P$2),COLUMN()-1,FALSE)*VLOOKUP($A263,Usinas!$C:$D,2,FALSE)</f>
        <v>251.20859999999999</v>
      </c>
      <c r="F263" s="65">
        <f ca="1">VLOOKUP($A263,INDIRECT($P$2),COLUMN()-1,FALSE)*VLOOKUP($A263,Usinas!$C:$D,2,FALSE)</f>
        <v>318.33789999999999</v>
      </c>
      <c r="G263" s="65">
        <f ca="1">VLOOKUP($A263,INDIRECT($P$2),COLUMN()-1,FALSE)*VLOOKUP($A263,Usinas!$C:$D,2,FALSE)</f>
        <v>423.35899999999998</v>
      </c>
      <c r="H263" s="65">
        <f ca="1">VLOOKUP($A263,INDIRECT($P$2),COLUMN()-1,FALSE)*VLOOKUP($A263,Usinas!$C:$D,2,FALSE)</f>
        <v>494.23070000000001</v>
      </c>
      <c r="I263" s="65">
        <f ca="1">VLOOKUP($A263,INDIRECT($P$2),COLUMN()-1,FALSE)*VLOOKUP($A263,Usinas!$C:$D,2,FALSE)</f>
        <v>486.97980000000001</v>
      </c>
      <c r="J263" s="65">
        <f ca="1">VLOOKUP($A263,INDIRECT($P$2),COLUMN()-1,FALSE)*VLOOKUP($A263,Usinas!$C:$D,2,FALSE)</f>
        <v>339.85669999999999</v>
      </c>
      <c r="K263" s="65">
        <f ca="1">VLOOKUP($A263,INDIRECT($P$2),COLUMN()-1,FALSE)*VLOOKUP($A263,Usinas!$C:$D,2,FALSE)</f>
        <v>225.4796</v>
      </c>
      <c r="L263" s="65">
        <f ca="1">VLOOKUP($A263,INDIRECT($P$2),COLUMN()-1,FALSE)*VLOOKUP($A263,Usinas!$C:$D,2,FALSE)</f>
        <v>140.1061</v>
      </c>
      <c r="M263" s="65">
        <f ca="1">VLOOKUP($A263,INDIRECT($P$2),COLUMN()-1,FALSE)*VLOOKUP($A263,Usinas!$C:$D,2,FALSE)</f>
        <v>79.993799999999993</v>
      </c>
      <c r="N263" s="65">
        <f ca="1">VLOOKUP($A263,INDIRECT($P$2),COLUMN()-1,FALSE)*VLOOKUP($A263,Usinas!$C:$D,2,FALSE)</f>
        <v>58.475000000000001</v>
      </c>
      <c r="O263" s="65">
        <f ca="1">VLOOKUP($A263,INDIRECT($P$2),COLUMN()-1,FALSE)*VLOOKUP($A263,Usinas!$C:$D,2,FALSE)</f>
        <v>82.332799999999992</v>
      </c>
    </row>
    <row r="264" spans="1:15" hidden="1" outlineLevel="2" x14ac:dyDescent="0.25">
      <c r="A264" s="6">
        <v>269</v>
      </c>
      <c r="B264" s="7" t="s">
        <v>225</v>
      </c>
      <c r="C264" s="105"/>
      <c r="D264" s="65">
        <f ca="1">VLOOKUP($A264,INDIRECT($P$2),COLUMN()-1,FALSE)*VLOOKUP($A264,Usinas!$C:$D,2,FALSE)</f>
        <v>78.438400000000001</v>
      </c>
      <c r="E264" s="65">
        <f ca="1">VLOOKUP($A264,INDIRECT($P$2),COLUMN()-1,FALSE)*VLOOKUP($A264,Usinas!$C:$D,2,FALSE)</f>
        <v>119.6032</v>
      </c>
      <c r="F264" s="65">
        <f ca="1">VLOOKUP($A264,INDIRECT($P$2),COLUMN()-1,FALSE)*VLOOKUP($A264,Usinas!$C:$D,2,FALSE)</f>
        <v>152.98560000000001</v>
      </c>
      <c r="G264" s="65">
        <f ca="1">VLOOKUP($A264,INDIRECT($P$2),COLUMN()-1,FALSE)*VLOOKUP($A264,Usinas!$C:$D,2,FALSE)</f>
        <v>209.10080000000002</v>
      </c>
      <c r="H264" s="65">
        <f ca="1">VLOOKUP($A264,INDIRECT($P$2),COLUMN()-1,FALSE)*VLOOKUP($A264,Usinas!$C:$D,2,FALSE)</f>
        <v>242.89280000000002</v>
      </c>
      <c r="I264" s="65">
        <f ca="1">VLOOKUP($A264,INDIRECT($P$2),COLUMN()-1,FALSE)*VLOOKUP($A264,Usinas!$C:$D,2,FALSE)</f>
        <v>215.65440000000001</v>
      </c>
      <c r="J264" s="65">
        <f ca="1">VLOOKUP($A264,INDIRECT($P$2),COLUMN()-1,FALSE)*VLOOKUP($A264,Usinas!$C:$D,2,FALSE)</f>
        <v>137.21600000000001</v>
      </c>
      <c r="K264" s="65">
        <f ca="1">VLOOKUP($A264,INDIRECT($P$2),COLUMN()-1,FALSE)*VLOOKUP($A264,Usinas!$C:$D,2,FALSE)</f>
        <v>86.425600000000003</v>
      </c>
      <c r="L264" s="65">
        <f ca="1">VLOOKUP($A264,INDIRECT($P$2),COLUMN()-1,FALSE)*VLOOKUP($A264,Usinas!$C:$D,2,FALSE)</f>
        <v>64.512</v>
      </c>
      <c r="M264" s="65">
        <f ca="1">VLOOKUP($A264,INDIRECT($P$2),COLUMN()-1,FALSE)*VLOOKUP($A264,Usinas!$C:$D,2,FALSE)</f>
        <v>54.476800000000004</v>
      </c>
      <c r="N264" s="65">
        <f ca="1">VLOOKUP($A264,INDIRECT($P$2),COLUMN()-1,FALSE)*VLOOKUP($A264,Usinas!$C:$D,2,FALSE)</f>
        <v>53.862400000000001</v>
      </c>
      <c r="O264" s="65">
        <f ca="1">VLOOKUP($A264,INDIRECT($P$2),COLUMN()-1,FALSE)*VLOOKUP($A264,Usinas!$C:$D,2,FALSE)</f>
        <v>60.006400000000006</v>
      </c>
    </row>
    <row r="265" spans="1:15" hidden="1" outlineLevel="1" x14ac:dyDescent="0.25">
      <c r="A265" s="8"/>
      <c r="B265" s="9" t="s">
        <v>56</v>
      </c>
      <c r="C265" s="105"/>
      <c r="D265" s="55">
        <f t="shared" ref="D265:O265" ca="1" si="30">SUM(D262:D264)</f>
        <v>262.9821</v>
      </c>
      <c r="E265" s="48">
        <f t="shared" ca="1" si="30"/>
        <v>403.46780000000001</v>
      </c>
      <c r="F265" s="48">
        <f t="shared" ca="1" si="30"/>
        <v>521.56349999999998</v>
      </c>
      <c r="G265" s="48">
        <f t="shared" ca="1" si="30"/>
        <v>696.20180000000005</v>
      </c>
      <c r="H265" s="48">
        <f t="shared" ca="1" si="30"/>
        <v>798.19650000000001</v>
      </c>
      <c r="I265" s="56">
        <f t="shared" ca="1" si="30"/>
        <v>744.55320000000006</v>
      </c>
      <c r="J265" s="55">
        <f t="shared" ca="1" si="30"/>
        <v>508.15870000000001</v>
      </c>
      <c r="K265" s="48">
        <f t="shared" ca="1" si="30"/>
        <v>335.29820000000001</v>
      </c>
      <c r="L265" s="48">
        <f t="shared" ca="1" si="30"/>
        <v>224.87110000000001</v>
      </c>
      <c r="M265" s="48">
        <f t="shared" ca="1" si="30"/>
        <v>152.5256</v>
      </c>
      <c r="N265" s="48">
        <f t="shared" ca="1" si="30"/>
        <v>130.39240000000001</v>
      </c>
      <c r="O265" s="56">
        <f t="shared" ca="1" si="30"/>
        <v>161.0222</v>
      </c>
    </row>
    <row r="266" spans="1:15" hidden="1" outlineLevel="1" x14ac:dyDescent="0.25">
      <c r="A266" s="10"/>
      <c r="B266" s="11" t="s">
        <v>0</v>
      </c>
      <c r="C266" s="105"/>
      <c r="D266" s="57"/>
      <c r="E266" s="58"/>
      <c r="F266" s="58"/>
      <c r="G266" s="58"/>
      <c r="H266" s="58"/>
      <c r="I266" s="59"/>
      <c r="J266" s="57"/>
      <c r="K266" s="58"/>
      <c r="L266" s="58"/>
      <c r="M266" s="58"/>
      <c r="N266" s="58"/>
      <c r="O266" s="59"/>
    </row>
    <row r="267" spans="1:15" hidden="1" outlineLevel="1" x14ac:dyDescent="0.25">
      <c r="A267" s="2"/>
      <c r="B267" s="3"/>
      <c r="C267" s="105"/>
      <c r="D267" s="53"/>
      <c r="E267" s="54"/>
      <c r="F267" s="54"/>
      <c r="G267" s="54"/>
      <c r="H267" s="54"/>
      <c r="I267" s="54"/>
      <c r="J267" s="53"/>
      <c r="K267" s="54"/>
      <c r="L267" s="54"/>
      <c r="M267" s="54"/>
      <c r="N267" s="54"/>
      <c r="O267" s="54"/>
    </row>
    <row r="268" spans="1:15" hidden="1" outlineLevel="1" x14ac:dyDescent="0.25">
      <c r="A268" s="12"/>
      <c r="B268" s="13"/>
      <c r="C268" s="105"/>
      <c r="D268" s="347" t="s">
        <v>503</v>
      </c>
      <c r="E268" s="348" t="s">
        <v>167</v>
      </c>
      <c r="F268" s="348" t="s">
        <v>1</v>
      </c>
      <c r="G268" s="348"/>
      <c r="H268" s="348"/>
      <c r="I268" s="349"/>
      <c r="J268" s="347" t="s">
        <v>503</v>
      </c>
      <c r="K268" s="348" t="s">
        <v>167</v>
      </c>
      <c r="L268" s="348" t="s">
        <v>1</v>
      </c>
      <c r="M268" s="348"/>
      <c r="N268" s="348"/>
      <c r="O268" s="349"/>
    </row>
    <row r="269" spans="1:15" hidden="1" outlineLevel="2" x14ac:dyDescent="0.25">
      <c r="A269" s="6">
        <v>297</v>
      </c>
      <c r="B269" s="7" t="s">
        <v>271</v>
      </c>
      <c r="C269" s="105"/>
      <c r="D269" s="65">
        <f ca="1">VLOOKUP($A269,INDIRECT($P$2),COLUMN()-1,FALSE)*VLOOKUP($A269,Usinas!$C:$D,2,FALSE)</f>
        <v>83.464199999999991</v>
      </c>
      <c r="E269" s="65">
        <f ca="1">VLOOKUP($A269,INDIRECT($P$2),COLUMN()-1,FALSE)*VLOOKUP($A269,Usinas!$C:$D,2,FALSE)</f>
        <v>155.98740000000001</v>
      </c>
      <c r="F269" s="65">
        <f ca="1">VLOOKUP($A269,INDIRECT($P$2),COLUMN()-1,FALSE)*VLOOKUP($A269,Usinas!$C:$D,2,FALSE)</f>
        <v>237.8886</v>
      </c>
      <c r="G269" s="65">
        <f ca="1">VLOOKUP($A269,INDIRECT($P$2),COLUMN()-1,FALSE)*VLOOKUP($A269,Usinas!$C:$D,2,FALSE)</f>
        <v>294.4692</v>
      </c>
      <c r="H269" s="65">
        <f ca="1">VLOOKUP($A269,INDIRECT($P$2),COLUMN()-1,FALSE)*VLOOKUP($A269,Usinas!$C:$D,2,FALSE)</f>
        <v>314.78819999999996</v>
      </c>
      <c r="I269" s="65">
        <f ca="1">VLOOKUP($A269,INDIRECT($P$2),COLUMN()-1,FALSE)*VLOOKUP($A269,Usinas!$C:$D,2,FALSE)</f>
        <v>249.45479999999998</v>
      </c>
      <c r="J269" s="65">
        <f ca="1">VLOOKUP($A269,INDIRECT($P$2),COLUMN()-1,FALSE)*VLOOKUP($A269,Usinas!$C:$D,2,FALSE)</f>
        <v>184.12139999999999</v>
      </c>
      <c r="K269" s="65">
        <f ca="1">VLOOKUP($A269,INDIRECT($P$2),COLUMN()-1,FALSE)*VLOOKUP($A269,Usinas!$C:$D,2,FALSE)</f>
        <v>124.2585</v>
      </c>
      <c r="L269" s="65">
        <f ca="1">VLOOKUP($A269,INDIRECT($P$2),COLUMN()-1,FALSE)*VLOOKUP($A269,Usinas!$C:$D,2,FALSE)</f>
        <v>71.897999999999996</v>
      </c>
      <c r="M269" s="65">
        <f ca="1">VLOOKUP($A269,INDIRECT($P$2),COLUMN()-1,FALSE)*VLOOKUP($A269,Usinas!$C:$D,2,FALSE)</f>
        <v>43.607700000000001</v>
      </c>
      <c r="N269" s="65">
        <f ca="1">VLOOKUP($A269,INDIRECT($P$2),COLUMN()-1,FALSE)*VLOOKUP($A269,Usinas!$C:$D,2,FALSE)</f>
        <v>31.259999999999998</v>
      </c>
      <c r="O269" s="65">
        <f ca="1">VLOOKUP($A269,INDIRECT($P$2),COLUMN()-1,FALSE)*VLOOKUP($A269,Usinas!$C:$D,2,FALSE)</f>
        <v>36.261600000000001</v>
      </c>
    </row>
    <row r="270" spans="1:15" hidden="1" outlineLevel="2" x14ac:dyDescent="0.25">
      <c r="A270" s="6">
        <v>280</v>
      </c>
      <c r="B270" s="7" t="s">
        <v>251</v>
      </c>
      <c r="C270" s="105"/>
      <c r="D270" s="65">
        <f ca="1">VLOOKUP($A270,INDIRECT($P$2),COLUMN()-1,FALSE)*VLOOKUP($A270,Usinas!$C:$D,2,FALSE)</f>
        <v>0</v>
      </c>
      <c r="E270" s="65">
        <f ca="1">VLOOKUP($A270,INDIRECT($P$2),COLUMN()-1,FALSE)*VLOOKUP($A270,Usinas!$C:$D,2,FALSE)</f>
        <v>0</v>
      </c>
      <c r="F270" s="65">
        <f ca="1">VLOOKUP($A270,INDIRECT($P$2),COLUMN()-1,FALSE)*VLOOKUP($A270,Usinas!$C:$D,2,FALSE)</f>
        <v>0</v>
      </c>
      <c r="G270" s="65">
        <f ca="1">VLOOKUP($A270,INDIRECT($P$2),COLUMN()-1,FALSE)*VLOOKUP($A270,Usinas!$C:$D,2,FALSE)</f>
        <v>0</v>
      </c>
      <c r="H270" s="65">
        <f ca="1">VLOOKUP($A270,INDIRECT($P$2),COLUMN()-1,FALSE)*VLOOKUP($A270,Usinas!$C:$D,2,FALSE)</f>
        <v>0</v>
      </c>
      <c r="I270" s="65">
        <f ca="1">VLOOKUP($A270,INDIRECT($P$2),COLUMN()-1,FALSE)*VLOOKUP($A270,Usinas!$C:$D,2,FALSE)</f>
        <v>0</v>
      </c>
      <c r="J270" s="65">
        <f ca="1">VLOOKUP($A270,INDIRECT($P$2),COLUMN()-1,FALSE)*VLOOKUP($A270,Usinas!$C:$D,2,FALSE)</f>
        <v>0</v>
      </c>
      <c r="K270" s="65">
        <f ca="1">VLOOKUP($A270,INDIRECT($P$2),COLUMN()-1,FALSE)*VLOOKUP($A270,Usinas!$C:$D,2,FALSE)</f>
        <v>0</v>
      </c>
      <c r="L270" s="65">
        <f ca="1">VLOOKUP($A270,INDIRECT($P$2),COLUMN()-1,FALSE)*VLOOKUP($A270,Usinas!$C:$D,2,FALSE)</f>
        <v>0</v>
      </c>
      <c r="M270" s="65">
        <f ca="1">VLOOKUP($A270,INDIRECT($P$2),COLUMN()-1,FALSE)*VLOOKUP($A270,Usinas!$C:$D,2,FALSE)</f>
        <v>0</v>
      </c>
      <c r="N270" s="65">
        <f ca="1">VLOOKUP($A270,INDIRECT($P$2),COLUMN()-1,FALSE)*VLOOKUP($A270,Usinas!$C:$D,2,FALSE)</f>
        <v>0</v>
      </c>
      <c r="O270" s="65">
        <f ca="1">VLOOKUP($A270,INDIRECT($P$2),COLUMN()-1,FALSE)*VLOOKUP($A270,Usinas!$C:$D,2,FALSE)</f>
        <v>0</v>
      </c>
    </row>
    <row r="271" spans="1:15" hidden="1" outlineLevel="1" x14ac:dyDescent="0.25">
      <c r="A271" s="8"/>
      <c r="B271" s="9" t="s">
        <v>56</v>
      </c>
      <c r="C271" s="105"/>
      <c r="D271" s="55">
        <f t="shared" ref="D271:O271" ca="1" si="31">SUM(D269:D270)</f>
        <v>83.464199999999991</v>
      </c>
      <c r="E271" s="55">
        <f t="shared" ca="1" si="31"/>
        <v>155.98740000000001</v>
      </c>
      <c r="F271" s="55">
        <f t="shared" ca="1" si="31"/>
        <v>237.8886</v>
      </c>
      <c r="G271" s="55">
        <f t="shared" ca="1" si="31"/>
        <v>294.4692</v>
      </c>
      <c r="H271" s="55">
        <f t="shared" ca="1" si="31"/>
        <v>314.78819999999996</v>
      </c>
      <c r="I271" s="55">
        <f t="shared" ca="1" si="31"/>
        <v>249.45479999999998</v>
      </c>
      <c r="J271" s="55">
        <f t="shared" ca="1" si="31"/>
        <v>184.12139999999999</v>
      </c>
      <c r="K271" s="55">
        <f t="shared" ca="1" si="31"/>
        <v>124.2585</v>
      </c>
      <c r="L271" s="55">
        <f t="shared" ca="1" si="31"/>
        <v>71.897999999999996</v>
      </c>
      <c r="M271" s="55">
        <f t="shared" ca="1" si="31"/>
        <v>43.607700000000001</v>
      </c>
      <c r="N271" s="55">
        <f t="shared" ca="1" si="31"/>
        <v>31.259999999999998</v>
      </c>
      <c r="O271" s="55">
        <f t="shared" ca="1" si="31"/>
        <v>36.261600000000001</v>
      </c>
    </row>
    <row r="272" spans="1:15" hidden="1" outlineLevel="1" x14ac:dyDescent="0.25">
      <c r="A272" s="10"/>
      <c r="B272" s="11" t="s">
        <v>0</v>
      </c>
      <c r="C272" s="105"/>
      <c r="D272" s="57"/>
      <c r="E272" s="58"/>
      <c r="F272" s="58"/>
      <c r="G272" s="58"/>
      <c r="H272" s="58"/>
      <c r="I272" s="59"/>
      <c r="J272" s="57"/>
      <c r="K272" s="58"/>
      <c r="L272" s="58"/>
      <c r="M272" s="58"/>
      <c r="N272" s="58"/>
      <c r="O272" s="59"/>
    </row>
    <row r="273" spans="1:15" hidden="1" outlineLevel="1" x14ac:dyDescent="0.25">
      <c r="A273" s="2"/>
      <c r="B273" s="3"/>
      <c r="C273" s="105"/>
      <c r="D273" s="53"/>
      <c r="E273" s="54"/>
      <c r="F273" s="54"/>
      <c r="G273" s="54"/>
      <c r="H273" s="54"/>
      <c r="I273" s="54"/>
      <c r="J273" s="53"/>
      <c r="K273" s="54"/>
      <c r="L273" s="54"/>
      <c r="M273" s="54"/>
      <c r="N273" s="54"/>
      <c r="O273" s="54"/>
    </row>
    <row r="274" spans="1:15" ht="15.75" collapsed="1" x14ac:dyDescent="0.25">
      <c r="A274" s="85"/>
      <c r="B274" s="86"/>
      <c r="C274" s="97"/>
      <c r="D274" s="335" t="s">
        <v>226</v>
      </c>
      <c r="E274" s="336"/>
      <c r="F274" s="336"/>
      <c r="G274" s="336"/>
      <c r="H274" s="336"/>
      <c r="I274" s="336"/>
      <c r="J274" s="336"/>
      <c r="K274" s="336"/>
      <c r="L274" s="336"/>
      <c r="M274" s="336"/>
      <c r="N274" s="336"/>
      <c r="O274" s="337"/>
    </row>
    <row r="275" spans="1:15" ht="15.75" x14ac:dyDescent="0.25">
      <c r="A275" s="87"/>
      <c r="B275" s="88" t="s">
        <v>56</v>
      </c>
      <c r="C275" s="97"/>
      <c r="D275" s="88">
        <f ca="1">D258+D265+D271</f>
        <v>10037.978899999998</v>
      </c>
      <c r="E275" s="89">
        <f t="shared" ref="E275:I275" ca="1" si="32">E258+E265+E271</f>
        <v>13475.824000000001</v>
      </c>
      <c r="F275" s="89">
        <f t="shared" ca="1" si="32"/>
        <v>15677.231500000002</v>
      </c>
      <c r="G275" s="89">
        <f t="shared" ca="1" si="32"/>
        <v>15615.0532</v>
      </c>
      <c r="H275" s="89">
        <f t="shared" ca="1" si="32"/>
        <v>10498.321900000003</v>
      </c>
      <c r="I275" s="90">
        <f t="shared" ca="1" si="32"/>
        <v>5478.1198000000004</v>
      </c>
      <c r="J275" s="88">
        <f ca="1">J258+J265+J271</f>
        <v>3334.5636999999997</v>
      </c>
      <c r="K275" s="89">
        <f t="shared" ref="K275:O275" ca="1" si="33">K258+K265+K271</f>
        <v>2337.0961000000002</v>
      </c>
      <c r="L275" s="89">
        <f t="shared" ca="1" si="33"/>
        <v>1807.1817000000001</v>
      </c>
      <c r="M275" s="89">
        <f t="shared" ca="1" si="33"/>
        <v>1932.0153</v>
      </c>
      <c r="N275" s="89">
        <f t="shared" ca="1" si="33"/>
        <v>3065.3700000000008</v>
      </c>
      <c r="O275" s="90">
        <f t="shared" ca="1" si="33"/>
        <v>5855.4626000000007</v>
      </c>
    </row>
  </sheetData>
  <mergeCells count="58">
    <mergeCell ref="D194:I194"/>
    <mergeCell ref="D209:I209"/>
    <mergeCell ref="D214:I214"/>
    <mergeCell ref="D219:I219"/>
    <mergeCell ref="J171:O171"/>
    <mergeCell ref="J194:O194"/>
    <mergeCell ref="J209:O209"/>
    <mergeCell ref="J214:O214"/>
    <mergeCell ref="J219:O219"/>
    <mergeCell ref="D171:I171"/>
    <mergeCell ref="D182:I182"/>
    <mergeCell ref="D224:O224"/>
    <mergeCell ref="D251:O251"/>
    <mergeCell ref="J228:O228"/>
    <mergeCell ref="D228:I228"/>
    <mergeCell ref="D236:I236"/>
    <mergeCell ref="J236:O236"/>
    <mergeCell ref="D274:O274"/>
    <mergeCell ref="D255:I255"/>
    <mergeCell ref="D261:I261"/>
    <mergeCell ref="D268:I268"/>
    <mergeCell ref="D241:I241"/>
    <mergeCell ref="D246:I246"/>
    <mergeCell ref="J241:O241"/>
    <mergeCell ref="J246:O246"/>
    <mergeCell ref="J255:O255"/>
    <mergeCell ref="J261:O261"/>
    <mergeCell ref="J268:O268"/>
    <mergeCell ref="D151:I151"/>
    <mergeCell ref="J109:O109"/>
    <mergeCell ref="J114:O114"/>
    <mergeCell ref="J126:O126"/>
    <mergeCell ref="J135:O135"/>
    <mergeCell ref="J140:O140"/>
    <mergeCell ref="D158:I158"/>
    <mergeCell ref="J182:O182"/>
    <mergeCell ref="J158:O158"/>
    <mergeCell ref="D167:O167"/>
    <mergeCell ref="J83:O83"/>
    <mergeCell ref="J89:O89"/>
    <mergeCell ref="J104:O104"/>
    <mergeCell ref="D114:I114"/>
    <mergeCell ref="D83:I83"/>
    <mergeCell ref="D89:I89"/>
    <mergeCell ref="D104:I104"/>
    <mergeCell ref="D109:I109"/>
    <mergeCell ref="J151:O151"/>
    <mergeCell ref="D126:I126"/>
    <mergeCell ref="D135:I135"/>
    <mergeCell ref="D140:I140"/>
    <mergeCell ref="D63:O63"/>
    <mergeCell ref="D77:O77"/>
    <mergeCell ref="A1:A4"/>
    <mergeCell ref="B1:B4"/>
    <mergeCell ref="D6:O6"/>
    <mergeCell ref="D25:O25"/>
    <mergeCell ref="D48:O48"/>
    <mergeCell ref="D53:O53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theme="7" tint="0.39997558519241921"/>
  </sheetPr>
  <dimension ref="A1:E180"/>
  <sheetViews>
    <sheetView topLeftCell="A16" workbookViewId="0"/>
  </sheetViews>
  <sheetFormatPr defaultRowHeight="15" x14ac:dyDescent="0.25"/>
  <cols>
    <col min="1" max="1" width="31.7109375" bestFit="1" customWidth="1"/>
    <col min="2" max="2" width="13.5703125" style="44" bestFit="1" customWidth="1"/>
    <col min="3" max="3" width="7.7109375" bestFit="1" customWidth="1"/>
    <col min="4" max="4" width="16.42578125" bestFit="1" customWidth="1"/>
  </cols>
  <sheetData>
    <row r="1" spans="1:5" ht="15.75" x14ac:dyDescent="0.25">
      <c r="A1" s="45" t="s">
        <v>466</v>
      </c>
      <c r="B1" s="45" t="s">
        <v>167</v>
      </c>
      <c r="C1" s="45" t="s">
        <v>467</v>
      </c>
      <c r="D1" s="45" t="s">
        <v>244</v>
      </c>
    </row>
    <row r="2" spans="1:5" x14ac:dyDescent="0.25">
      <c r="A2" s="71" t="s">
        <v>42</v>
      </c>
      <c r="B2" s="71">
        <v>1</v>
      </c>
      <c r="C2" s="71">
        <v>1</v>
      </c>
      <c r="D2" s="73">
        <v>0.1971</v>
      </c>
      <c r="E2" s="73">
        <v>0.1971</v>
      </c>
    </row>
    <row r="3" spans="1:5" x14ac:dyDescent="0.25">
      <c r="A3" s="71" t="s">
        <v>43</v>
      </c>
      <c r="B3" s="71">
        <v>1</v>
      </c>
      <c r="C3" s="71">
        <v>2</v>
      </c>
      <c r="D3" s="73">
        <v>0.2447</v>
      </c>
    </row>
    <row r="4" spans="1:5" x14ac:dyDescent="0.25">
      <c r="A4" s="71" t="s">
        <v>30</v>
      </c>
      <c r="B4" s="71">
        <v>1</v>
      </c>
      <c r="C4" s="71">
        <v>6</v>
      </c>
      <c r="D4" s="73">
        <v>0.77259999999999995</v>
      </c>
    </row>
    <row r="5" spans="1:5" x14ac:dyDescent="0.25">
      <c r="A5" s="71" t="s">
        <v>45</v>
      </c>
      <c r="B5" s="71">
        <v>1</v>
      </c>
      <c r="C5" s="71">
        <v>7</v>
      </c>
      <c r="D5" s="73">
        <v>0.3337</v>
      </c>
    </row>
    <row r="6" spans="1:5" x14ac:dyDescent="0.25">
      <c r="A6" s="71" t="s">
        <v>46</v>
      </c>
      <c r="B6" s="71">
        <v>1</v>
      </c>
      <c r="C6" s="71">
        <v>8</v>
      </c>
      <c r="D6" s="73">
        <v>0.56269999999999998</v>
      </c>
    </row>
    <row r="7" spans="1:5" x14ac:dyDescent="0.25">
      <c r="A7" s="71" t="s">
        <v>47</v>
      </c>
      <c r="B7" s="71">
        <v>1</v>
      </c>
      <c r="C7" s="71">
        <v>9</v>
      </c>
      <c r="D7" s="73">
        <v>0.40429999999999999</v>
      </c>
    </row>
    <row r="8" spans="1:5" x14ac:dyDescent="0.25">
      <c r="A8" s="71" t="s">
        <v>48</v>
      </c>
      <c r="B8" s="71">
        <v>1</v>
      </c>
      <c r="C8" s="71">
        <v>10</v>
      </c>
      <c r="D8" s="73">
        <v>0.1525</v>
      </c>
    </row>
    <row r="9" spans="1:5" x14ac:dyDescent="0.25">
      <c r="A9" s="71" t="s">
        <v>49</v>
      </c>
      <c r="B9" s="71">
        <v>1</v>
      </c>
      <c r="C9" s="71">
        <v>11</v>
      </c>
      <c r="D9" s="73">
        <v>0.2472</v>
      </c>
    </row>
    <row r="10" spans="1:5" x14ac:dyDescent="0.25">
      <c r="A10" s="71" t="s">
        <v>50</v>
      </c>
      <c r="B10" s="71">
        <v>1</v>
      </c>
      <c r="C10" s="71">
        <v>12</v>
      </c>
      <c r="D10" s="73">
        <v>0.20380000000000001</v>
      </c>
    </row>
    <row r="11" spans="1:5" x14ac:dyDescent="0.25">
      <c r="A11" s="71" t="s">
        <v>51</v>
      </c>
      <c r="B11" s="71">
        <v>1</v>
      </c>
      <c r="C11" s="71">
        <v>14</v>
      </c>
      <c r="D11" s="73">
        <v>0.81459999999999999</v>
      </c>
    </row>
    <row r="12" spans="1:5" x14ac:dyDescent="0.25">
      <c r="A12" s="71" t="s">
        <v>52</v>
      </c>
      <c r="B12" s="71">
        <v>1</v>
      </c>
      <c r="C12" s="71">
        <v>15</v>
      </c>
      <c r="D12" s="73">
        <v>0.74609999999999999</v>
      </c>
    </row>
    <row r="13" spans="1:5" x14ac:dyDescent="0.25">
      <c r="A13" s="71" t="s">
        <v>53</v>
      </c>
      <c r="B13" s="71">
        <v>1</v>
      </c>
      <c r="C13" s="71">
        <v>16</v>
      </c>
      <c r="D13" s="73">
        <v>0.2064</v>
      </c>
    </row>
    <row r="14" spans="1:5" x14ac:dyDescent="0.25">
      <c r="A14" s="71" t="s">
        <v>54</v>
      </c>
      <c r="B14" s="71">
        <v>1</v>
      </c>
      <c r="C14" s="71">
        <v>17</v>
      </c>
      <c r="D14" s="73">
        <v>0.49390000000000001</v>
      </c>
    </row>
    <row r="15" spans="1:5" x14ac:dyDescent="0.25">
      <c r="A15" s="71" t="s">
        <v>55</v>
      </c>
      <c r="B15" s="71">
        <v>1</v>
      </c>
      <c r="C15" s="71">
        <v>18</v>
      </c>
      <c r="D15" s="73">
        <v>0.47099999999999997</v>
      </c>
    </row>
    <row r="16" spans="1:5" x14ac:dyDescent="0.25">
      <c r="A16" s="71" t="s">
        <v>60</v>
      </c>
      <c r="B16" s="71">
        <v>1</v>
      </c>
      <c r="C16" s="71">
        <v>22</v>
      </c>
      <c r="D16" s="73">
        <v>0.35020000000000001</v>
      </c>
    </row>
    <row r="17" spans="1:4" x14ac:dyDescent="0.25">
      <c r="A17" s="71" t="s">
        <v>66</v>
      </c>
      <c r="B17" s="71">
        <v>1</v>
      </c>
      <c r="C17" s="71">
        <v>23</v>
      </c>
      <c r="D17" s="73">
        <v>0.36209999999999998</v>
      </c>
    </row>
    <row r="18" spans="1:4" x14ac:dyDescent="0.25">
      <c r="A18" s="71" t="s">
        <v>31</v>
      </c>
      <c r="B18" s="71">
        <v>1</v>
      </c>
      <c r="C18" s="71">
        <v>24</v>
      </c>
      <c r="D18" s="73">
        <v>1.1027</v>
      </c>
    </row>
    <row r="19" spans="1:4" x14ac:dyDescent="0.25">
      <c r="A19" s="71" t="s">
        <v>32</v>
      </c>
      <c r="B19" s="71">
        <v>1</v>
      </c>
      <c r="C19" s="71">
        <v>25</v>
      </c>
      <c r="D19" s="73">
        <v>1.0024999999999999</v>
      </c>
    </row>
    <row r="20" spans="1:4" x14ac:dyDescent="0.25">
      <c r="A20" s="71" t="s">
        <v>64</v>
      </c>
      <c r="B20" s="71">
        <v>1</v>
      </c>
      <c r="C20" s="71">
        <v>28</v>
      </c>
      <c r="D20" s="73">
        <v>0.40179999999999999</v>
      </c>
    </row>
    <row r="21" spans="1:4" x14ac:dyDescent="0.25">
      <c r="A21" s="71" t="s">
        <v>68</v>
      </c>
      <c r="B21" s="71">
        <v>1</v>
      </c>
      <c r="C21" s="71">
        <v>31</v>
      </c>
      <c r="D21" s="73">
        <v>0.68130000000000002</v>
      </c>
    </row>
    <row r="22" spans="1:4" x14ac:dyDescent="0.25">
      <c r="A22" s="71" t="s">
        <v>69</v>
      </c>
      <c r="B22" s="71">
        <v>1</v>
      </c>
      <c r="C22" s="71">
        <v>32</v>
      </c>
      <c r="D22" s="73">
        <v>0.28260000000000002</v>
      </c>
    </row>
    <row r="23" spans="1:4" x14ac:dyDescent="0.25">
      <c r="A23" s="71" t="s">
        <v>70</v>
      </c>
      <c r="B23" s="71">
        <v>1</v>
      </c>
      <c r="C23" s="71">
        <v>33</v>
      </c>
      <c r="D23" s="73">
        <v>0.62409999999999999</v>
      </c>
    </row>
    <row r="24" spans="1:4" x14ac:dyDescent="0.25">
      <c r="A24" s="71" t="s">
        <v>102</v>
      </c>
      <c r="B24" s="71">
        <v>1</v>
      </c>
      <c r="C24" s="71">
        <v>34</v>
      </c>
      <c r="D24" s="73">
        <v>0.3901</v>
      </c>
    </row>
    <row r="25" spans="1:4" x14ac:dyDescent="0.25">
      <c r="A25" s="71" t="s">
        <v>90</v>
      </c>
      <c r="B25" s="71">
        <v>1</v>
      </c>
      <c r="C25" s="71">
        <v>47</v>
      </c>
      <c r="D25" s="73">
        <v>0.29260000000000003</v>
      </c>
    </row>
    <row r="26" spans="1:4" x14ac:dyDescent="0.25">
      <c r="A26" s="71" t="s">
        <v>91</v>
      </c>
      <c r="B26" s="71">
        <v>1</v>
      </c>
      <c r="C26" s="71">
        <v>48</v>
      </c>
      <c r="D26" s="73">
        <v>0.2296</v>
      </c>
    </row>
    <row r="27" spans="1:4" x14ac:dyDescent="0.25">
      <c r="A27" s="71" t="s">
        <v>92</v>
      </c>
      <c r="B27" s="71">
        <v>1</v>
      </c>
      <c r="C27" s="71">
        <v>49</v>
      </c>
      <c r="D27" s="73">
        <v>0.62470000000000003</v>
      </c>
    </row>
    <row r="28" spans="1:4" x14ac:dyDescent="0.25">
      <c r="A28" s="71" t="s">
        <v>94</v>
      </c>
      <c r="B28" s="71">
        <v>1</v>
      </c>
      <c r="C28" s="71">
        <v>50</v>
      </c>
      <c r="D28" s="73">
        <v>0.1497</v>
      </c>
    </row>
    <row r="29" spans="1:4" x14ac:dyDescent="0.25">
      <c r="A29" s="71" t="s">
        <v>95</v>
      </c>
      <c r="B29" s="71">
        <v>1</v>
      </c>
      <c r="C29" s="71">
        <v>51</v>
      </c>
      <c r="D29" s="73">
        <v>0.12889999999999999</v>
      </c>
    </row>
    <row r="30" spans="1:4" x14ac:dyDescent="0.25">
      <c r="A30" s="71" t="s">
        <v>96</v>
      </c>
      <c r="B30" s="71">
        <v>1</v>
      </c>
      <c r="C30" s="71">
        <v>52</v>
      </c>
      <c r="D30" s="73">
        <v>0.15090000000000001</v>
      </c>
    </row>
    <row r="31" spans="1:4" x14ac:dyDescent="0.25">
      <c r="A31" s="71" t="s">
        <v>205</v>
      </c>
      <c r="B31" s="71">
        <v>2</v>
      </c>
      <c r="C31" s="71">
        <v>57</v>
      </c>
      <c r="D31" s="73">
        <v>1.0462</v>
      </c>
    </row>
    <row r="32" spans="1:4" x14ac:dyDescent="0.25">
      <c r="A32" s="71" t="s">
        <v>97</v>
      </c>
      <c r="B32" s="71">
        <v>1</v>
      </c>
      <c r="C32" s="71">
        <v>61</v>
      </c>
      <c r="D32" s="73">
        <v>0.37119999999999997</v>
      </c>
    </row>
    <row r="33" spans="1:4" x14ac:dyDescent="0.25">
      <c r="A33" s="71" t="s">
        <v>98</v>
      </c>
      <c r="B33" s="71">
        <v>1</v>
      </c>
      <c r="C33" s="71">
        <v>62</v>
      </c>
      <c r="D33" s="73">
        <v>0.2243</v>
      </c>
    </row>
    <row r="34" spans="1:4" x14ac:dyDescent="0.25">
      <c r="A34" s="71" t="s">
        <v>99</v>
      </c>
      <c r="B34" s="71">
        <v>1</v>
      </c>
      <c r="C34" s="71">
        <v>63</v>
      </c>
      <c r="D34" s="73">
        <v>0.18629999999999999</v>
      </c>
    </row>
    <row r="35" spans="1:4" x14ac:dyDescent="0.25">
      <c r="A35" s="71" t="s">
        <v>170</v>
      </c>
      <c r="B35" s="71">
        <v>2</v>
      </c>
      <c r="C35" s="71">
        <v>71</v>
      </c>
      <c r="D35" s="73">
        <v>0.81330000000000002</v>
      </c>
    </row>
    <row r="36" spans="1:4" x14ac:dyDescent="0.25">
      <c r="A36" s="71" t="s">
        <v>171</v>
      </c>
      <c r="B36" s="71">
        <v>2</v>
      </c>
      <c r="C36" s="71">
        <v>72</v>
      </c>
      <c r="D36" s="73">
        <v>0.82989999999999997</v>
      </c>
    </row>
    <row r="37" spans="1:4" x14ac:dyDescent="0.25">
      <c r="A37" s="71" t="s">
        <v>468</v>
      </c>
      <c r="B37" s="71">
        <v>2</v>
      </c>
      <c r="C37" s="71">
        <v>73</v>
      </c>
      <c r="D37" s="73">
        <v>0</v>
      </c>
    </row>
    <row r="38" spans="1:4" x14ac:dyDescent="0.25">
      <c r="A38" s="71" t="s">
        <v>33</v>
      </c>
      <c r="B38" s="71">
        <v>2</v>
      </c>
      <c r="C38" s="71">
        <v>74</v>
      </c>
      <c r="D38" s="73">
        <v>1.1476999999999999</v>
      </c>
    </row>
    <row r="39" spans="1:4" x14ac:dyDescent="0.25">
      <c r="A39" s="71" t="s">
        <v>469</v>
      </c>
      <c r="B39" s="71">
        <v>2</v>
      </c>
      <c r="C39" s="71">
        <v>76</v>
      </c>
      <c r="D39" s="73">
        <v>0</v>
      </c>
    </row>
    <row r="40" spans="1:4" x14ac:dyDescent="0.25">
      <c r="A40" s="71" t="s">
        <v>173</v>
      </c>
      <c r="B40" s="71">
        <v>2</v>
      </c>
      <c r="C40" s="71">
        <v>77</v>
      </c>
      <c r="D40" s="73">
        <v>0.878</v>
      </c>
    </row>
    <row r="41" spans="1:4" x14ac:dyDescent="0.25">
      <c r="A41" s="71" t="s">
        <v>174</v>
      </c>
      <c r="B41" s="71">
        <v>2</v>
      </c>
      <c r="C41" s="71">
        <v>78</v>
      </c>
      <c r="D41" s="73">
        <v>0.63070000000000004</v>
      </c>
    </row>
    <row r="42" spans="1:4" x14ac:dyDescent="0.25">
      <c r="A42" s="71" t="s">
        <v>188</v>
      </c>
      <c r="B42" s="71">
        <v>2</v>
      </c>
      <c r="C42" s="71">
        <v>89</v>
      </c>
      <c r="D42" s="73">
        <v>0.3851</v>
      </c>
    </row>
    <row r="43" spans="1:4" x14ac:dyDescent="0.25">
      <c r="A43" s="71" t="s">
        <v>35</v>
      </c>
      <c r="B43" s="71">
        <v>2</v>
      </c>
      <c r="C43" s="71">
        <v>92</v>
      </c>
      <c r="D43" s="73">
        <v>0.91859999999999997</v>
      </c>
    </row>
    <row r="44" spans="1:4" x14ac:dyDescent="0.25">
      <c r="A44" s="71" t="s">
        <v>236</v>
      </c>
      <c r="B44" s="71">
        <v>2</v>
      </c>
      <c r="C44" s="71">
        <v>93</v>
      </c>
      <c r="D44" s="73">
        <v>2.2427000000000001</v>
      </c>
    </row>
    <row r="45" spans="1:4" x14ac:dyDescent="0.25">
      <c r="A45" s="71" t="s">
        <v>193</v>
      </c>
      <c r="B45" s="71">
        <v>2</v>
      </c>
      <c r="C45" s="71">
        <v>94</v>
      </c>
      <c r="D45" s="73">
        <v>0.45889999999999997</v>
      </c>
    </row>
    <row r="46" spans="1:4" x14ac:dyDescent="0.25">
      <c r="A46" s="71" t="s">
        <v>182</v>
      </c>
      <c r="B46" s="71">
        <v>2</v>
      </c>
      <c r="C46" s="71">
        <v>97</v>
      </c>
      <c r="D46" s="73">
        <v>0.36009999999999998</v>
      </c>
    </row>
    <row r="47" spans="1:4" x14ac:dyDescent="0.25">
      <c r="A47" s="71" t="s">
        <v>183</v>
      </c>
      <c r="B47" s="71">
        <v>2</v>
      </c>
      <c r="C47" s="71">
        <v>98</v>
      </c>
      <c r="D47" s="73">
        <v>0.75849999999999995</v>
      </c>
    </row>
    <row r="48" spans="1:4" x14ac:dyDescent="0.25">
      <c r="A48" s="71" t="s">
        <v>76</v>
      </c>
      <c r="B48" s="71">
        <v>1</v>
      </c>
      <c r="C48" s="71">
        <v>99</v>
      </c>
      <c r="D48" s="73">
        <v>0.39950000000000002</v>
      </c>
    </row>
    <row r="49" spans="1:4" x14ac:dyDescent="0.25">
      <c r="A49" s="71" t="s">
        <v>202</v>
      </c>
      <c r="B49" s="71">
        <v>2</v>
      </c>
      <c r="C49" s="71">
        <v>101</v>
      </c>
      <c r="D49" s="73">
        <v>1.7836000000000001</v>
      </c>
    </row>
    <row r="50" spans="1:4" x14ac:dyDescent="0.25">
      <c r="A50" s="71" t="s">
        <v>195</v>
      </c>
      <c r="B50" s="71">
        <v>2</v>
      </c>
      <c r="C50" s="71">
        <v>102</v>
      </c>
      <c r="D50" s="73">
        <v>0.19850000000000001</v>
      </c>
    </row>
    <row r="51" spans="1:4" x14ac:dyDescent="0.25">
      <c r="A51" s="71" t="s">
        <v>196</v>
      </c>
      <c r="B51" s="71">
        <v>2</v>
      </c>
      <c r="C51" s="71">
        <v>103</v>
      </c>
      <c r="D51" s="73">
        <v>0.26290000000000002</v>
      </c>
    </row>
    <row r="52" spans="1:4" x14ac:dyDescent="0.25">
      <c r="A52" s="71" t="s">
        <v>331</v>
      </c>
      <c r="B52" s="71">
        <v>1</v>
      </c>
      <c r="C52" s="71">
        <v>104</v>
      </c>
      <c r="D52" s="73">
        <v>0</v>
      </c>
    </row>
    <row r="53" spans="1:4" x14ac:dyDescent="0.25">
      <c r="A53" s="71" t="s">
        <v>334</v>
      </c>
      <c r="B53" s="71">
        <v>1</v>
      </c>
      <c r="C53" s="71">
        <v>109</v>
      </c>
      <c r="D53" s="73">
        <v>0</v>
      </c>
    </row>
    <row r="54" spans="1:4" x14ac:dyDescent="0.25">
      <c r="A54" s="71" t="s">
        <v>178</v>
      </c>
      <c r="B54" s="71">
        <v>2</v>
      </c>
      <c r="C54" s="71">
        <v>110</v>
      </c>
      <c r="D54" s="73">
        <v>0</v>
      </c>
    </row>
    <row r="55" spans="1:4" x14ac:dyDescent="0.25">
      <c r="A55" s="71" t="s">
        <v>232</v>
      </c>
      <c r="B55" s="71">
        <v>2</v>
      </c>
      <c r="C55" s="71">
        <v>111</v>
      </c>
      <c r="D55" s="73">
        <v>0.37969999999999998</v>
      </c>
    </row>
    <row r="56" spans="1:4" x14ac:dyDescent="0.25">
      <c r="A56" s="71" t="s">
        <v>336</v>
      </c>
      <c r="B56" s="71">
        <v>2</v>
      </c>
      <c r="C56" s="71">
        <v>112</v>
      </c>
      <c r="D56" s="73">
        <v>0.82820000000000005</v>
      </c>
    </row>
    <row r="57" spans="1:4" x14ac:dyDescent="0.25">
      <c r="A57" s="71" t="s">
        <v>233</v>
      </c>
      <c r="B57" s="71">
        <v>2</v>
      </c>
      <c r="C57" s="71">
        <v>113</v>
      </c>
      <c r="D57" s="73">
        <v>0.82589999999999997</v>
      </c>
    </row>
    <row r="58" spans="1:4" x14ac:dyDescent="0.25">
      <c r="A58" s="71" t="s">
        <v>181</v>
      </c>
      <c r="B58" s="71">
        <v>2</v>
      </c>
      <c r="C58" s="71">
        <v>114</v>
      </c>
      <c r="D58" s="73">
        <v>0.34320000000000001</v>
      </c>
    </row>
    <row r="59" spans="1:4" x14ac:dyDescent="0.25">
      <c r="A59" s="71" t="s">
        <v>470</v>
      </c>
      <c r="B59" s="71">
        <v>2</v>
      </c>
      <c r="C59" s="71">
        <v>115</v>
      </c>
      <c r="D59" s="73">
        <v>6.5259</v>
      </c>
    </row>
    <row r="60" spans="1:4" x14ac:dyDescent="0.25">
      <c r="A60" s="71" t="s">
        <v>340</v>
      </c>
      <c r="B60" s="71">
        <v>1</v>
      </c>
      <c r="C60" s="71">
        <v>116</v>
      </c>
      <c r="D60" s="73">
        <v>0</v>
      </c>
    </row>
    <row r="61" spans="1:4" x14ac:dyDescent="0.25">
      <c r="A61" s="71" t="s">
        <v>229</v>
      </c>
      <c r="B61" s="71">
        <v>1</v>
      </c>
      <c r="C61" s="71">
        <v>117</v>
      </c>
      <c r="D61" s="73">
        <v>0</v>
      </c>
    </row>
    <row r="62" spans="1:4" x14ac:dyDescent="0.25">
      <c r="A62" s="71" t="s">
        <v>230</v>
      </c>
      <c r="B62" s="71">
        <v>1</v>
      </c>
      <c r="C62" s="71">
        <v>118</v>
      </c>
      <c r="D62" s="73">
        <v>0</v>
      </c>
    </row>
    <row r="63" spans="1:4" x14ac:dyDescent="0.25">
      <c r="A63" s="71" t="s">
        <v>345</v>
      </c>
      <c r="B63" s="71">
        <v>1</v>
      </c>
      <c r="C63" s="71">
        <v>119</v>
      </c>
      <c r="D63" s="73">
        <v>0</v>
      </c>
    </row>
    <row r="64" spans="1:4" x14ac:dyDescent="0.25">
      <c r="A64" s="71" t="s">
        <v>110</v>
      </c>
      <c r="B64" s="71">
        <v>1</v>
      </c>
      <c r="C64" s="71">
        <v>120</v>
      </c>
      <c r="D64" s="73">
        <v>0.50460000000000005</v>
      </c>
    </row>
    <row r="65" spans="1:4" x14ac:dyDescent="0.25">
      <c r="A65" s="71" t="s">
        <v>111</v>
      </c>
      <c r="B65" s="71">
        <v>1</v>
      </c>
      <c r="C65" s="71">
        <v>121</v>
      </c>
      <c r="D65" s="73">
        <v>0.70030000000000003</v>
      </c>
    </row>
    <row r="66" spans="1:4" x14ac:dyDescent="0.25">
      <c r="A66" s="71" t="s">
        <v>112</v>
      </c>
      <c r="B66" s="71">
        <v>1</v>
      </c>
      <c r="C66" s="71">
        <v>122</v>
      </c>
      <c r="D66" s="73">
        <v>0.35239999999999999</v>
      </c>
    </row>
    <row r="67" spans="1:4" x14ac:dyDescent="0.25">
      <c r="A67" s="71" t="s">
        <v>113</v>
      </c>
      <c r="B67" s="71">
        <v>1</v>
      </c>
      <c r="C67" s="71">
        <v>123</v>
      </c>
      <c r="D67" s="73">
        <v>0.53269999999999995</v>
      </c>
    </row>
    <row r="68" spans="1:4" x14ac:dyDescent="0.25">
      <c r="A68" s="71" t="s">
        <v>471</v>
      </c>
      <c r="B68" s="71">
        <v>1</v>
      </c>
      <c r="C68" s="71">
        <v>125</v>
      </c>
      <c r="D68" s="73">
        <v>0</v>
      </c>
    </row>
    <row r="69" spans="1:4" x14ac:dyDescent="0.25">
      <c r="A69" s="71" t="s">
        <v>472</v>
      </c>
      <c r="B69" s="71">
        <v>1</v>
      </c>
      <c r="C69" s="71">
        <v>129</v>
      </c>
      <c r="D69" s="73">
        <v>0</v>
      </c>
    </row>
    <row r="70" spans="1:4" x14ac:dyDescent="0.25">
      <c r="A70" s="71" t="s">
        <v>473</v>
      </c>
      <c r="B70" s="71">
        <v>1</v>
      </c>
      <c r="C70" s="71">
        <v>130</v>
      </c>
      <c r="D70" s="73">
        <v>0</v>
      </c>
    </row>
    <row r="71" spans="1:4" x14ac:dyDescent="0.25">
      <c r="A71" s="71" t="s">
        <v>130</v>
      </c>
      <c r="B71" s="71">
        <v>1</v>
      </c>
      <c r="C71" s="71">
        <v>134</v>
      </c>
      <c r="D71" s="73">
        <v>0.78290000000000004</v>
      </c>
    </row>
    <row r="72" spans="1:4" x14ac:dyDescent="0.25">
      <c r="A72" s="71" t="s">
        <v>133</v>
      </c>
      <c r="B72" s="71">
        <v>1</v>
      </c>
      <c r="C72" s="71">
        <v>141</v>
      </c>
      <c r="D72" s="73">
        <v>0.1623</v>
      </c>
    </row>
    <row r="73" spans="1:4" x14ac:dyDescent="0.25">
      <c r="A73" s="71" t="s">
        <v>135</v>
      </c>
      <c r="B73" s="71">
        <v>1</v>
      </c>
      <c r="C73" s="71">
        <v>144</v>
      </c>
      <c r="D73" s="73">
        <v>0.18079999999999999</v>
      </c>
    </row>
    <row r="74" spans="1:4" x14ac:dyDescent="0.25">
      <c r="A74" s="71" t="s">
        <v>149</v>
      </c>
      <c r="B74" s="71">
        <v>1</v>
      </c>
      <c r="C74" s="71">
        <v>145</v>
      </c>
      <c r="D74" s="73">
        <v>0.53680000000000005</v>
      </c>
    </row>
    <row r="75" spans="1:4" x14ac:dyDescent="0.25">
      <c r="A75" s="71" t="s">
        <v>134</v>
      </c>
      <c r="B75" s="71">
        <v>1</v>
      </c>
      <c r="C75" s="71">
        <v>148</v>
      </c>
      <c r="D75" s="73">
        <v>0.24709999999999999</v>
      </c>
    </row>
    <row r="76" spans="1:4" x14ac:dyDescent="0.25">
      <c r="A76" s="71" t="s">
        <v>132</v>
      </c>
      <c r="B76" s="71">
        <v>1</v>
      </c>
      <c r="C76" s="71">
        <v>149</v>
      </c>
      <c r="D76" s="73">
        <v>0.46639999999999998</v>
      </c>
    </row>
    <row r="77" spans="1:4" x14ac:dyDescent="0.25">
      <c r="A77" s="71" t="s">
        <v>156</v>
      </c>
      <c r="B77" s="71">
        <v>1</v>
      </c>
      <c r="C77" s="71">
        <v>155</v>
      </c>
      <c r="D77" s="73">
        <v>0.3261</v>
      </c>
    </row>
    <row r="78" spans="1:4" x14ac:dyDescent="0.25">
      <c r="A78" s="71" t="s">
        <v>157</v>
      </c>
      <c r="B78" s="71">
        <v>1</v>
      </c>
      <c r="C78" s="71">
        <v>156</v>
      </c>
      <c r="D78" s="73">
        <v>0.43009999999999998</v>
      </c>
    </row>
    <row r="79" spans="1:4" x14ac:dyDescent="0.25">
      <c r="A79" s="71" t="s">
        <v>158</v>
      </c>
      <c r="B79" s="71">
        <v>1</v>
      </c>
      <c r="C79" s="71">
        <v>158</v>
      </c>
      <c r="D79" s="73">
        <v>1.6039000000000001</v>
      </c>
    </row>
    <row r="80" spans="1:4" x14ac:dyDescent="0.25">
      <c r="A80" s="71" t="s">
        <v>369</v>
      </c>
      <c r="B80" s="71">
        <v>1</v>
      </c>
      <c r="C80" s="71">
        <v>160</v>
      </c>
      <c r="D80" s="73">
        <v>0</v>
      </c>
    </row>
    <row r="81" spans="1:4" x14ac:dyDescent="0.25">
      <c r="A81" s="71" t="s">
        <v>474</v>
      </c>
      <c r="B81" s="71">
        <v>1</v>
      </c>
      <c r="C81" s="71">
        <v>161</v>
      </c>
      <c r="D81" s="73">
        <v>0</v>
      </c>
    </row>
    <row r="82" spans="1:4" x14ac:dyDescent="0.25">
      <c r="A82" s="71" t="s">
        <v>475</v>
      </c>
      <c r="B82" s="71">
        <v>3</v>
      </c>
      <c r="C82" s="71">
        <v>168</v>
      </c>
      <c r="D82" s="73">
        <v>0</v>
      </c>
    </row>
    <row r="83" spans="1:4" x14ac:dyDescent="0.25">
      <c r="A83" s="71" t="s">
        <v>376</v>
      </c>
      <c r="B83" s="71">
        <v>3</v>
      </c>
      <c r="C83" s="71">
        <v>169</v>
      </c>
      <c r="D83" s="73">
        <v>0.24099999999999999</v>
      </c>
    </row>
    <row r="84" spans="1:4" x14ac:dyDescent="0.25">
      <c r="A84" s="71" t="s">
        <v>476</v>
      </c>
      <c r="B84" s="71">
        <v>3</v>
      </c>
      <c r="C84" s="71">
        <v>171</v>
      </c>
      <c r="D84" s="73">
        <v>0</v>
      </c>
    </row>
    <row r="85" spans="1:4" x14ac:dyDescent="0.25">
      <c r="A85" s="71" t="s">
        <v>208</v>
      </c>
      <c r="B85" s="71">
        <v>3</v>
      </c>
      <c r="C85" s="71">
        <v>172</v>
      </c>
      <c r="D85" s="73">
        <v>0.44790000000000002</v>
      </c>
    </row>
    <row r="86" spans="1:4" x14ac:dyDescent="0.25">
      <c r="A86" s="71" t="s">
        <v>239</v>
      </c>
      <c r="B86" s="71">
        <v>3</v>
      </c>
      <c r="C86" s="71">
        <v>173</v>
      </c>
      <c r="D86" s="73">
        <v>0</v>
      </c>
    </row>
    <row r="87" spans="1:4" x14ac:dyDescent="0.25">
      <c r="A87" s="71" t="s">
        <v>380</v>
      </c>
      <c r="B87" s="71">
        <v>3</v>
      </c>
      <c r="C87" s="71">
        <v>175</v>
      </c>
      <c r="D87" s="73">
        <v>0</v>
      </c>
    </row>
    <row r="88" spans="1:4" x14ac:dyDescent="0.25">
      <c r="A88" s="71" t="s">
        <v>209</v>
      </c>
      <c r="B88" s="71">
        <v>3</v>
      </c>
      <c r="C88" s="71">
        <v>176</v>
      </c>
      <c r="D88" s="73">
        <v>1.0201</v>
      </c>
    </row>
    <row r="89" spans="1:4" x14ac:dyDescent="0.25">
      <c r="A89" s="71" t="s">
        <v>210</v>
      </c>
      <c r="B89" s="71">
        <v>3</v>
      </c>
      <c r="C89" s="71">
        <v>178</v>
      </c>
      <c r="D89" s="73">
        <v>1.0846</v>
      </c>
    </row>
    <row r="90" spans="1:4" x14ac:dyDescent="0.25">
      <c r="A90" s="71" t="s">
        <v>129</v>
      </c>
      <c r="B90" s="71">
        <v>1</v>
      </c>
      <c r="C90" s="71">
        <v>183</v>
      </c>
      <c r="D90" s="73">
        <v>0.9375</v>
      </c>
    </row>
    <row r="91" spans="1:4" x14ac:dyDescent="0.25">
      <c r="A91" s="71" t="s">
        <v>213</v>
      </c>
      <c r="B91" s="71">
        <v>3</v>
      </c>
      <c r="C91" s="71">
        <v>188</v>
      </c>
      <c r="D91" s="73">
        <v>0.7177</v>
      </c>
    </row>
    <row r="92" spans="1:4" x14ac:dyDescent="0.25">
      <c r="A92" s="71" t="s">
        <v>216</v>
      </c>
      <c r="B92" s="71">
        <v>3</v>
      </c>
      <c r="C92" s="71">
        <v>190</v>
      </c>
      <c r="D92" s="73">
        <v>0.37190000000000001</v>
      </c>
    </row>
    <row r="93" spans="1:4" x14ac:dyDescent="0.25">
      <c r="A93" s="71" t="s">
        <v>162</v>
      </c>
      <c r="B93" s="71">
        <v>1</v>
      </c>
      <c r="C93" s="71">
        <v>191</v>
      </c>
      <c r="D93" s="73">
        <v>0.39900000000000002</v>
      </c>
    </row>
    <row r="94" spans="1:4" x14ac:dyDescent="0.25">
      <c r="A94" s="71" t="s">
        <v>122</v>
      </c>
      <c r="B94" s="71">
        <v>1</v>
      </c>
      <c r="C94" s="71">
        <v>196</v>
      </c>
      <c r="D94" s="73">
        <v>1.6950000000000001</v>
      </c>
    </row>
    <row r="95" spans="1:4" x14ac:dyDescent="0.25">
      <c r="A95" s="71" t="s">
        <v>114</v>
      </c>
      <c r="B95" s="71">
        <v>1</v>
      </c>
      <c r="C95" s="71">
        <v>197</v>
      </c>
      <c r="D95" s="73">
        <v>1.1053999999999999</v>
      </c>
    </row>
    <row r="96" spans="1:4" x14ac:dyDescent="0.25">
      <c r="A96" s="71" t="s">
        <v>115</v>
      </c>
      <c r="B96" s="71">
        <v>1</v>
      </c>
      <c r="C96" s="71">
        <v>198</v>
      </c>
      <c r="D96" s="73">
        <v>0.62519999999999998</v>
      </c>
    </row>
    <row r="97" spans="1:4" x14ac:dyDescent="0.25">
      <c r="A97" s="71" t="s">
        <v>228</v>
      </c>
      <c r="B97" s="71">
        <v>1</v>
      </c>
      <c r="C97" s="71">
        <v>201</v>
      </c>
      <c r="D97" s="73">
        <v>0</v>
      </c>
    </row>
    <row r="98" spans="1:4" x14ac:dyDescent="0.25">
      <c r="A98" s="71" t="s">
        <v>477</v>
      </c>
      <c r="B98" s="71">
        <v>1</v>
      </c>
      <c r="C98" s="71">
        <v>202</v>
      </c>
      <c r="D98" s="73">
        <v>0</v>
      </c>
    </row>
    <row r="99" spans="1:4" x14ac:dyDescent="0.25">
      <c r="A99" s="71" t="s">
        <v>478</v>
      </c>
      <c r="B99" s="71">
        <v>1</v>
      </c>
      <c r="C99" s="71">
        <v>203</v>
      </c>
      <c r="D99" s="73">
        <v>0</v>
      </c>
    </row>
    <row r="100" spans="1:4" x14ac:dyDescent="0.25">
      <c r="A100" s="71" t="s">
        <v>65</v>
      </c>
      <c r="B100" s="71">
        <v>1</v>
      </c>
      <c r="C100" s="71">
        <v>205</v>
      </c>
      <c r="D100" s="73">
        <v>0.62260000000000004</v>
      </c>
    </row>
    <row r="101" spans="1:4" x14ac:dyDescent="0.25">
      <c r="A101" s="71" t="s">
        <v>62</v>
      </c>
      <c r="B101" s="71">
        <v>1</v>
      </c>
      <c r="C101" s="71">
        <v>206</v>
      </c>
      <c r="D101" s="73">
        <v>0.61429999999999996</v>
      </c>
    </row>
    <row r="102" spans="1:4" x14ac:dyDescent="0.25">
      <c r="A102" s="71" t="s">
        <v>63</v>
      </c>
      <c r="B102" s="71">
        <v>1</v>
      </c>
      <c r="C102" s="71">
        <v>207</v>
      </c>
      <c r="D102" s="73">
        <v>0.50360000000000005</v>
      </c>
    </row>
    <row r="103" spans="1:4" x14ac:dyDescent="0.25">
      <c r="A103" s="71" t="s">
        <v>67</v>
      </c>
      <c r="B103" s="71">
        <v>1</v>
      </c>
      <c r="C103" s="71">
        <v>209</v>
      </c>
      <c r="D103" s="73">
        <v>0.61060000000000003</v>
      </c>
    </row>
    <row r="104" spans="1:4" x14ac:dyDescent="0.25">
      <c r="A104" s="71" t="s">
        <v>44</v>
      </c>
      <c r="B104" s="71">
        <v>1</v>
      </c>
      <c r="C104" s="71">
        <v>211</v>
      </c>
      <c r="D104" s="73">
        <v>0.34570000000000001</v>
      </c>
    </row>
    <row r="105" spans="1:4" x14ac:dyDescent="0.25">
      <c r="A105" s="71" t="s">
        <v>187</v>
      </c>
      <c r="B105" s="71">
        <v>2</v>
      </c>
      <c r="C105" s="71">
        <v>215</v>
      </c>
      <c r="D105" s="73">
        <v>1.3895999999999999</v>
      </c>
    </row>
    <row r="106" spans="1:4" x14ac:dyDescent="0.25">
      <c r="A106" s="71" t="s">
        <v>189</v>
      </c>
      <c r="B106" s="71">
        <v>2</v>
      </c>
      <c r="C106" s="71">
        <v>216</v>
      </c>
      <c r="D106" s="73">
        <v>1.6245000000000001</v>
      </c>
    </row>
    <row r="107" spans="1:4" x14ac:dyDescent="0.25">
      <c r="A107" s="71" t="s">
        <v>190</v>
      </c>
      <c r="B107" s="71">
        <v>2</v>
      </c>
      <c r="C107" s="71">
        <v>217</v>
      </c>
      <c r="D107" s="73">
        <v>0.91869999999999996</v>
      </c>
    </row>
    <row r="108" spans="1:4" x14ac:dyDescent="0.25">
      <c r="A108" s="71" t="s">
        <v>192</v>
      </c>
      <c r="B108" s="71">
        <v>2</v>
      </c>
      <c r="C108" s="71">
        <v>220</v>
      </c>
      <c r="D108" s="73">
        <v>0.55549999999999999</v>
      </c>
    </row>
    <row r="109" spans="1:4" x14ac:dyDescent="0.25">
      <c r="A109" s="71" t="s">
        <v>175</v>
      </c>
      <c r="B109" s="71">
        <v>2</v>
      </c>
      <c r="C109" s="71">
        <v>222</v>
      </c>
      <c r="D109" s="73">
        <v>0.59299999999999997</v>
      </c>
    </row>
    <row r="110" spans="1:4" x14ac:dyDescent="0.25">
      <c r="A110" s="71" t="s">
        <v>479</v>
      </c>
      <c r="B110" s="71">
        <v>1</v>
      </c>
      <c r="C110" s="71">
        <v>237</v>
      </c>
      <c r="D110" s="73">
        <v>0</v>
      </c>
    </row>
    <row r="111" spans="1:4" x14ac:dyDescent="0.25">
      <c r="A111" s="71" t="s">
        <v>480</v>
      </c>
      <c r="B111" s="71">
        <v>1</v>
      </c>
      <c r="C111" s="71">
        <v>238</v>
      </c>
      <c r="D111" s="73">
        <v>0</v>
      </c>
    </row>
    <row r="112" spans="1:4" x14ac:dyDescent="0.25">
      <c r="A112" s="71" t="s">
        <v>481</v>
      </c>
      <c r="B112" s="71">
        <v>1</v>
      </c>
      <c r="C112" s="71">
        <v>239</v>
      </c>
      <c r="D112" s="73">
        <v>0</v>
      </c>
    </row>
    <row r="113" spans="1:4" x14ac:dyDescent="0.25">
      <c r="A113" s="71" t="s">
        <v>482</v>
      </c>
      <c r="B113" s="71">
        <v>1</v>
      </c>
      <c r="C113" s="71">
        <v>240</v>
      </c>
      <c r="D113" s="73">
        <v>0</v>
      </c>
    </row>
    <row r="114" spans="1:4" x14ac:dyDescent="0.25">
      <c r="A114" s="71" t="s">
        <v>75</v>
      </c>
      <c r="B114" s="71">
        <v>1</v>
      </c>
      <c r="C114" s="71">
        <v>241</v>
      </c>
      <c r="D114" s="73">
        <v>0.36570000000000003</v>
      </c>
    </row>
    <row r="115" spans="1:4" x14ac:dyDescent="0.25">
      <c r="A115" s="71" t="s">
        <v>483</v>
      </c>
      <c r="B115" s="71">
        <v>1</v>
      </c>
      <c r="C115" s="71">
        <v>242</v>
      </c>
      <c r="D115" s="73">
        <v>0</v>
      </c>
    </row>
    <row r="116" spans="1:4" x14ac:dyDescent="0.25">
      <c r="A116" s="71" t="s">
        <v>484</v>
      </c>
      <c r="B116" s="71">
        <v>1</v>
      </c>
      <c r="C116" s="71">
        <v>243</v>
      </c>
      <c r="D116" s="73">
        <v>0</v>
      </c>
    </row>
    <row r="117" spans="1:4" x14ac:dyDescent="0.25">
      <c r="A117" s="71" t="s">
        <v>485</v>
      </c>
      <c r="B117" s="71">
        <v>1</v>
      </c>
      <c r="C117" s="71">
        <v>244</v>
      </c>
      <c r="D117" s="73">
        <v>0</v>
      </c>
    </row>
    <row r="118" spans="1:4" x14ac:dyDescent="0.25">
      <c r="A118" s="71" t="s">
        <v>486</v>
      </c>
      <c r="B118" s="71">
        <v>1</v>
      </c>
      <c r="C118" s="71">
        <v>245</v>
      </c>
      <c r="D118" s="73">
        <v>0</v>
      </c>
    </row>
    <row r="119" spans="1:4" x14ac:dyDescent="0.25">
      <c r="A119" s="71" t="s">
        <v>487</v>
      </c>
      <c r="B119" s="71">
        <v>1</v>
      </c>
      <c r="C119" s="71">
        <v>246</v>
      </c>
      <c r="D119" s="73">
        <v>0</v>
      </c>
    </row>
    <row r="120" spans="1:4" x14ac:dyDescent="0.25">
      <c r="A120" s="71" t="s">
        <v>71</v>
      </c>
      <c r="B120" s="71">
        <v>1</v>
      </c>
      <c r="C120" s="71">
        <v>247</v>
      </c>
      <c r="D120" s="73">
        <v>0.24079999999999999</v>
      </c>
    </row>
    <row r="121" spans="1:4" x14ac:dyDescent="0.25">
      <c r="A121" s="71" t="s">
        <v>72</v>
      </c>
      <c r="B121" s="71">
        <v>1</v>
      </c>
      <c r="C121" s="71">
        <v>248</v>
      </c>
      <c r="D121" s="73">
        <v>0.3347</v>
      </c>
    </row>
    <row r="122" spans="1:4" x14ac:dyDescent="0.25">
      <c r="A122" s="71" t="s">
        <v>93</v>
      </c>
      <c r="B122" s="71">
        <v>1</v>
      </c>
      <c r="C122" s="71">
        <v>249</v>
      </c>
      <c r="D122" s="73">
        <v>9.4399999999999998E-2</v>
      </c>
    </row>
    <row r="123" spans="1:4" x14ac:dyDescent="0.25">
      <c r="A123" s="71" t="s">
        <v>61</v>
      </c>
      <c r="B123" s="71">
        <v>1</v>
      </c>
      <c r="C123" s="71">
        <v>251</v>
      </c>
      <c r="D123" s="73">
        <v>0.64290000000000003</v>
      </c>
    </row>
    <row r="124" spans="1:4" x14ac:dyDescent="0.25">
      <c r="A124" s="71" t="s">
        <v>142</v>
      </c>
      <c r="B124" s="71">
        <v>1</v>
      </c>
      <c r="C124" s="71">
        <v>252</v>
      </c>
      <c r="D124" s="73">
        <v>1.2441</v>
      </c>
    </row>
    <row r="125" spans="1:4" x14ac:dyDescent="0.25">
      <c r="A125" s="71" t="s">
        <v>163</v>
      </c>
      <c r="B125" s="71">
        <v>1</v>
      </c>
      <c r="C125" s="71">
        <v>253</v>
      </c>
      <c r="D125" s="73">
        <v>0.20349999999999999</v>
      </c>
    </row>
    <row r="126" spans="1:4" x14ac:dyDescent="0.25">
      <c r="A126" s="71" t="s">
        <v>219</v>
      </c>
      <c r="B126" s="71">
        <v>3</v>
      </c>
      <c r="C126" s="71">
        <v>254</v>
      </c>
      <c r="D126" s="73">
        <v>0.9204</v>
      </c>
    </row>
    <row r="127" spans="1:4" x14ac:dyDescent="0.25">
      <c r="A127" s="71" t="s">
        <v>145</v>
      </c>
      <c r="B127" s="71">
        <v>1</v>
      </c>
      <c r="C127" s="71">
        <v>255</v>
      </c>
      <c r="D127" s="73">
        <v>1.4925999999999999</v>
      </c>
    </row>
    <row r="128" spans="1:4" x14ac:dyDescent="0.25">
      <c r="A128" s="71" t="s">
        <v>164</v>
      </c>
      <c r="B128" s="71">
        <v>1</v>
      </c>
      <c r="C128" s="71">
        <v>257</v>
      </c>
      <c r="D128" s="73">
        <v>0.2414</v>
      </c>
    </row>
    <row r="129" spans="1:4" x14ac:dyDescent="0.25">
      <c r="A129" s="71" t="s">
        <v>141</v>
      </c>
      <c r="B129" s="71">
        <v>1</v>
      </c>
      <c r="C129" s="71">
        <v>259</v>
      </c>
      <c r="D129" s="73">
        <v>0.76419999999999999</v>
      </c>
    </row>
    <row r="130" spans="1:4" x14ac:dyDescent="0.25">
      <c r="A130" s="71" t="s">
        <v>73</v>
      </c>
      <c r="B130" s="71">
        <v>1</v>
      </c>
      <c r="C130" s="71">
        <v>261</v>
      </c>
      <c r="D130" s="73">
        <v>0.248</v>
      </c>
    </row>
    <row r="131" spans="1:4" x14ac:dyDescent="0.25">
      <c r="A131" s="71" t="s">
        <v>128</v>
      </c>
      <c r="B131" s="71">
        <v>1</v>
      </c>
      <c r="C131" s="71">
        <v>262</v>
      </c>
      <c r="D131" s="73">
        <v>1.0242</v>
      </c>
    </row>
    <row r="132" spans="1:4" x14ac:dyDescent="0.25">
      <c r="A132" s="71" t="s">
        <v>131</v>
      </c>
      <c r="B132" s="71">
        <v>1</v>
      </c>
      <c r="C132" s="71">
        <v>263</v>
      </c>
      <c r="D132" s="73">
        <v>0.42420000000000002</v>
      </c>
    </row>
    <row r="133" spans="1:4" x14ac:dyDescent="0.25">
      <c r="A133" s="71" t="s">
        <v>488</v>
      </c>
      <c r="B133" s="71">
        <v>1</v>
      </c>
      <c r="C133" s="71">
        <v>66</v>
      </c>
      <c r="D133" s="73">
        <v>1.0342</v>
      </c>
    </row>
    <row r="134" spans="1:4" x14ac:dyDescent="0.25">
      <c r="A134" s="71" t="s">
        <v>225</v>
      </c>
      <c r="B134" s="71">
        <v>4</v>
      </c>
      <c r="C134" s="71">
        <v>269</v>
      </c>
      <c r="D134" s="73">
        <v>0.20480000000000001</v>
      </c>
    </row>
    <row r="135" spans="1:4" x14ac:dyDescent="0.25">
      <c r="A135" s="71" t="s">
        <v>161</v>
      </c>
      <c r="B135" s="71">
        <v>1</v>
      </c>
      <c r="C135" s="71">
        <v>270</v>
      </c>
      <c r="D135" s="73">
        <v>1.0315000000000001</v>
      </c>
    </row>
    <row r="136" spans="1:4" x14ac:dyDescent="0.25">
      <c r="A136" s="71" t="s">
        <v>222</v>
      </c>
      <c r="B136" s="71">
        <v>4</v>
      </c>
      <c r="C136" s="71">
        <v>271</v>
      </c>
      <c r="D136" s="73">
        <v>0.20039999999999999</v>
      </c>
    </row>
    <row r="137" spans="1:4" x14ac:dyDescent="0.25">
      <c r="A137" s="71" t="s">
        <v>165</v>
      </c>
      <c r="B137" s="71">
        <v>1</v>
      </c>
      <c r="C137" s="71">
        <v>273</v>
      </c>
      <c r="D137" s="73">
        <v>0.32479999999999998</v>
      </c>
    </row>
    <row r="138" spans="1:4" x14ac:dyDescent="0.25">
      <c r="A138" s="71" t="s">
        <v>240</v>
      </c>
      <c r="B138" s="71">
        <v>4</v>
      </c>
      <c r="C138" s="71">
        <v>275</v>
      </c>
      <c r="D138" s="73">
        <v>0.54820000000000002</v>
      </c>
    </row>
    <row r="139" spans="1:4" x14ac:dyDescent="0.25">
      <c r="A139" s="71" t="s">
        <v>489</v>
      </c>
      <c r="B139" s="71">
        <v>4</v>
      </c>
      <c r="C139" s="71">
        <v>277</v>
      </c>
      <c r="D139" s="73">
        <v>0.157</v>
      </c>
    </row>
    <row r="140" spans="1:4" x14ac:dyDescent="0.25">
      <c r="A140" s="71" t="s">
        <v>138</v>
      </c>
      <c r="B140" s="71">
        <v>1</v>
      </c>
      <c r="C140" s="71">
        <v>278</v>
      </c>
      <c r="D140" s="73">
        <v>0.51449999999999996</v>
      </c>
    </row>
    <row r="141" spans="1:4" x14ac:dyDescent="0.25">
      <c r="A141" s="71" t="s">
        <v>148</v>
      </c>
      <c r="B141" s="71">
        <v>1</v>
      </c>
      <c r="C141" s="71">
        <v>279</v>
      </c>
      <c r="D141" s="73">
        <v>0.2505</v>
      </c>
    </row>
    <row r="142" spans="1:4" x14ac:dyDescent="0.25">
      <c r="A142" s="71" t="s">
        <v>139</v>
      </c>
      <c r="B142" s="71">
        <v>1</v>
      </c>
      <c r="C142" s="71">
        <v>281</v>
      </c>
      <c r="D142" s="73">
        <v>2.2012</v>
      </c>
    </row>
    <row r="143" spans="1:4" x14ac:dyDescent="0.25">
      <c r="A143" s="71" t="s">
        <v>125</v>
      </c>
      <c r="B143" s="71">
        <v>1</v>
      </c>
      <c r="C143" s="71">
        <v>283</v>
      </c>
      <c r="D143" s="73">
        <v>0.45839999999999997</v>
      </c>
    </row>
    <row r="144" spans="1:4" x14ac:dyDescent="0.25">
      <c r="A144" s="71" t="s">
        <v>184</v>
      </c>
      <c r="B144" s="71">
        <v>2</v>
      </c>
      <c r="C144" s="71">
        <v>284</v>
      </c>
      <c r="D144" s="73">
        <v>0.30609999999999998</v>
      </c>
    </row>
    <row r="145" spans="1:5" x14ac:dyDescent="0.25">
      <c r="A145" s="71" t="s">
        <v>150</v>
      </c>
      <c r="B145" s="71">
        <v>1</v>
      </c>
      <c r="C145" s="71">
        <v>285</v>
      </c>
      <c r="D145" s="73">
        <v>0</v>
      </c>
      <c r="E145" s="132">
        <v>0.15509999999999999</v>
      </c>
    </row>
    <row r="146" spans="1:5" x14ac:dyDescent="0.25">
      <c r="A146" s="71" t="s">
        <v>194</v>
      </c>
      <c r="B146" s="71">
        <v>2</v>
      </c>
      <c r="C146" s="71">
        <v>286</v>
      </c>
      <c r="D146" s="73">
        <v>1.0522</v>
      </c>
    </row>
    <row r="147" spans="1:5" x14ac:dyDescent="0.25">
      <c r="A147" s="71" t="s">
        <v>151</v>
      </c>
      <c r="B147" s="71">
        <v>1</v>
      </c>
      <c r="C147" s="71">
        <v>287</v>
      </c>
      <c r="D147" s="73">
        <v>0</v>
      </c>
      <c r="E147" s="132">
        <v>0.13869999999999999</v>
      </c>
    </row>
    <row r="148" spans="1:5" x14ac:dyDescent="0.25">
      <c r="A148" s="71" t="s">
        <v>152</v>
      </c>
      <c r="B148" s="71">
        <v>1</v>
      </c>
      <c r="C148" s="71">
        <v>291</v>
      </c>
      <c r="D148" s="73">
        <v>0.86890000000000001</v>
      </c>
    </row>
    <row r="149" spans="1:5" x14ac:dyDescent="0.25">
      <c r="A149" s="71" t="s">
        <v>74</v>
      </c>
      <c r="B149" s="71">
        <v>1</v>
      </c>
      <c r="C149" s="71">
        <v>294</v>
      </c>
      <c r="D149" s="73">
        <v>0.44919999999999999</v>
      </c>
    </row>
    <row r="150" spans="1:5" x14ac:dyDescent="0.25">
      <c r="A150" s="71" t="s">
        <v>140</v>
      </c>
      <c r="B150" s="71">
        <v>1</v>
      </c>
      <c r="C150" s="71">
        <v>295</v>
      </c>
      <c r="D150" s="73">
        <v>0.91820000000000002</v>
      </c>
    </row>
    <row r="151" spans="1:5" x14ac:dyDescent="0.25">
      <c r="A151" s="71" t="s">
        <v>153</v>
      </c>
      <c r="B151" s="71">
        <v>1</v>
      </c>
      <c r="C151" s="71">
        <v>296</v>
      </c>
      <c r="D151" s="73">
        <v>1.4108000000000001</v>
      </c>
    </row>
    <row r="152" spans="1:5" x14ac:dyDescent="0.25">
      <c r="A152" s="71" t="s">
        <v>490</v>
      </c>
      <c r="B152" s="71">
        <v>1</v>
      </c>
      <c r="C152" s="71">
        <v>301</v>
      </c>
      <c r="D152" s="73">
        <v>0</v>
      </c>
    </row>
    <row r="153" spans="1:5" x14ac:dyDescent="0.25">
      <c r="A153" s="71" t="s">
        <v>345</v>
      </c>
      <c r="B153" s="71">
        <v>1</v>
      </c>
      <c r="C153" s="71">
        <v>320</v>
      </c>
      <c r="D153" s="73">
        <v>0</v>
      </c>
    </row>
    <row r="154" spans="1:5" x14ac:dyDescent="0.25">
      <c r="A154" s="71" t="s">
        <v>172</v>
      </c>
      <c r="B154" s="71">
        <v>2</v>
      </c>
      <c r="C154" s="71">
        <v>75</v>
      </c>
      <c r="D154" s="73">
        <v>1.0242</v>
      </c>
    </row>
    <row r="155" spans="1:5" x14ac:dyDescent="0.25">
      <c r="A155" s="71" t="s">
        <v>79</v>
      </c>
      <c r="B155" s="71">
        <v>1</v>
      </c>
      <c r="C155" s="71">
        <v>318</v>
      </c>
      <c r="D155" s="73">
        <v>5.6536999999999997</v>
      </c>
    </row>
    <row r="156" spans="1:5" x14ac:dyDescent="0.25">
      <c r="A156" s="71" t="s">
        <v>82</v>
      </c>
      <c r="B156" s="71">
        <v>1</v>
      </c>
      <c r="C156" s="71">
        <v>37</v>
      </c>
      <c r="D156" s="73">
        <v>0.17230000000000001</v>
      </c>
    </row>
    <row r="157" spans="1:5" x14ac:dyDescent="0.25">
      <c r="A157" s="71" t="s">
        <v>83</v>
      </c>
      <c r="B157" s="71">
        <v>1</v>
      </c>
      <c r="C157" s="71">
        <v>38</v>
      </c>
      <c r="D157" s="73">
        <v>0.18809999999999999</v>
      </c>
    </row>
    <row r="158" spans="1:5" x14ac:dyDescent="0.25">
      <c r="A158" s="71" t="s">
        <v>84</v>
      </c>
      <c r="B158" s="71">
        <v>1</v>
      </c>
      <c r="C158" s="71">
        <v>39</v>
      </c>
      <c r="D158" s="73">
        <v>0.18720000000000001</v>
      </c>
    </row>
    <row r="159" spans="1:5" x14ac:dyDescent="0.25">
      <c r="A159" s="71" t="s">
        <v>85</v>
      </c>
      <c r="B159" s="71">
        <v>1</v>
      </c>
      <c r="C159" s="71">
        <v>40</v>
      </c>
      <c r="D159" s="73">
        <v>0.2059</v>
      </c>
    </row>
    <row r="160" spans="1:5" x14ac:dyDescent="0.25">
      <c r="A160" s="71" t="s">
        <v>86</v>
      </c>
      <c r="B160" s="71">
        <v>1</v>
      </c>
      <c r="C160" s="71">
        <v>42</v>
      </c>
      <c r="D160" s="73">
        <v>0.2601</v>
      </c>
    </row>
    <row r="161" spans="1:4" x14ac:dyDescent="0.25">
      <c r="A161" s="71" t="s">
        <v>87</v>
      </c>
      <c r="B161" s="71">
        <v>1</v>
      </c>
      <c r="C161" s="71">
        <v>43</v>
      </c>
      <c r="D161" s="73">
        <v>0.3901</v>
      </c>
    </row>
    <row r="162" spans="1:4" x14ac:dyDescent="0.25">
      <c r="A162" s="71" t="s">
        <v>103</v>
      </c>
      <c r="B162" s="71">
        <v>1</v>
      </c>
      <c r="C162" s="71">
        <v>45</v>
      </c>
      <c r="D162" s="73">
        <v>0.19800000000000001</v>
      </c>
    </row>
    <row r="163" spans="1:4" x14ac:dyDescent="0.25">
      <c r="A163" s="71" t="s">
        <v>106</v>
      </c>
      <c r="B163" s="71">
        <v>1</v>
      </c>
      <c r="C163" s="71">
        <v>46</v>
      </c>
      <c r="D163" s="73">
        <v>0.1593</v>
      </c>
    </row>
    <row r="164" spans="1:4" x14ac:dyDescent="0.25">
      <c r="A164" s="71" t="s">
        <v>90</v>
      </c>
      <c r="B164" s="71">
        <v>1</v>
      </c>
      <c r="C164" s="71">
        <v>47</v>
      </c>
      <c r="D164" s="73">
        <v>0.29260000000000003</v>
      </c>
    </row>
    <row r="165" spans="1:4" x14ac:dyDescent="0.25">
      <c r="A165" s="71" t="s">
        <v>91</v>
      </c>
      <c r="B165" s="71">
        <v>1</v>
      </c>
      <c r="C165" s="71">
        <v>48</v>
      </c>
      <c r="D165" s="73">
        <v>0.2296</v>
      </c>
    </row>
    <row r="166" spans="1:4" x14ac:dyDescent="0.25">
      <c r="A166" s="71" t="s">
        <v>92</v>
      </c>
      <c r="B166" s="71">
        <v>1</v>
      </c>
      <c r="C166" s="71">
        <v>49</v>
      </c>
      <c r="D166" s="73">
        <v>0.62470000000000003</v>
      </c>
    </row>
    <row r="167" spans="1:4" x14ac:dyDescent="0.25">
      <c r="A167" s="71" t="s">
        <v>94</v>
      </c>
      <c r="B167" s="71">
        <v>1</v>
      </c>
      <c r="C167" s="71">
        <v>50</v>
      </c>
      <c r="D167" s="73">
        <v>0.1497</v>
      </c>
    </row>
    <row r="168" spans="1:4" x14ac:dyDescent="0.25">
      <c r="A168" s="71" t="s">
        <v>491</v>
      </c>
      <c r="B168" s="71">
        <v>1</v>
      </c>
      <c r="C168" s="71">
        <v>266</v>
      </c>
      <c r="D168" s="73">
        <v>0</v>
      </c>
    </row>
    <row r="169" spans="1:4" x14ac:dyDescent="0.25">
      <c r="A169" s="71" t="s">
        <v>117</v>
      </c>
      <c r="B169" s="71">
        <v>1</v>
      </c>
      <c r="C169" s="71">
        <v>303</v>
      </c>
      <c r="D169" s="73">
        <v>2.5295000000000001</v>
      </c>
    </row>
    <row r="170" spans="1:4" x14ac:dyDescent="0.25">
      <c r="A170" s="71" t="s">
        <v>119</v>
      </c>
      <c r="B170" s="71">
        <v>1</v>
      </c>
      <c r="C170" s="71">
        <v>306</v>
      </c>
      <c r="D170" s="73">
        <v>0.314</v>
      </c>
    </row>
    <row r="171" spans="1:4" x14ac:dyDescent="0.25">
      <c r="A171" s="71" t="s">
        <v>120</v>
      </c>
      <c r="B171" s="71">
        <v>1</v>
      </c>
      <c r="C171" s="71">
        <v>299</v>
      </c>
      <c r="D171" s="73">
        <v>0.25879999999999997</v>
      </c>
    </row>
    <row r="172" spans="1:4" x14ac:dyDescent="0.25">
      <c r="A172" s="71" t="s">
        <v>117</v>
      </c>
      <c r="B172" s="71">
        <v>1</v>
      </c>
      <c r="C172" s="71">
        <v>303</v>
      </c>
      <c r="D172" s="73">
        <v>2.5295000000000001</v>
      </c>
    </row>
    <row r="173" spans="1:4" x14ac:dyDescent="0.25">
      <c r="A173" s="71" t="s">
        <v>119</v>
      </c>
      <c r="B173" s="71">
        <v>1</v>
      </c>
      <c r="C173" s="71">
        <v>306</v>
      </c>
      <c r="D173" s="73">
        <v>0.314</v>
      </c>
    </row>
    <row r="174" spans="1:4" x14ac:dyDescent="0.25">
      <c r="A174" s="71" t="s">
        <v>79</v>
      </c>
      <c r="B174" s="71">
        <v>1</v>
      </c>
      <c r="C174" s="71">
        <v>318</v>
      </c>
      <c r="D174" s="73">
        <v>5.6536999999999997</v>
      </c>
    </row>
    <row r="175" spans="1:4" x14ac:dyDescent="0.25">
      <c r="A175" s="71" t="s">
        <v>116</v>
      </c>
      <c r="B175" s="71">
        <v>1</v>
      </c>
      <c r="C175" s="71">
        <v>126</v>
      </c>
      <c r="D175" s="73">
        <v>0.92749999999999999</v>
      </c>
    </row>
    <row r="176" spans="1:4" x14ac:dyDescent="0.25">
      <c r="A176" s="71" t="s">
        <v>118</v>
      </c>
      <c r="B176" s="71">
        <v>1</v>
      </c>
      <c r="C176" s="71">
        <v>131</v>
      </c>
      <c r="D176" s="73">
        <v>2.633</v>
      </c>
    </row>
    <row r="177" spans="1:5" x14ac:dyDescent="0.25">
      <c r="A177" s="71" t="s">
        <v>250</v>
      </c>
      <c r="B177" s="71">
        <v>4</v>
      </c>
      <c r="C177" s="71">
        <v>290</v>
      </c>
      <c r="D177" s="73">
        <v>0.2339</v>
      </c>
      <c r="E177" s="113"/>
    </row>
    <row r="178" spans="1:5" x14ac:dyDescent="0.25">
      <c r="A178" s="71" t="s">
        <v>271</v>
      </c>
      <c r="B178" s="71">
        <v>4</v>
      </c>
      <c r="C178" s="71">
        <v>297</v>
      </c>
      <c r="D178" s="73">
        <v>0.15629999999999999</v>
      </c>
      <c r="E178" s="113"/>
    </row>
    <row r="179" spans="1:5" x14ac:dyDescent="0.25">
      <c r="A179" s="71" t="s">
        <v>251</v>
      </c>
      <c r="B179" s="71">
        <v>4</v>
      </c>
      <c r="C179" s="71">
        <v>280</v>
      </c>
      <c r="D179" s="73">
        <v>0</v>
      </c>
      <c r="E179" s="132">
        <v>0.1794</v>
      </c>
    </row>
    <row r="180" spans="1:5" x14ac:dyDescent="0.25">
      <c r="A180" s="206" t="s">
        <v>402</v>
      </c>
      <c r="B180" s="206">
        <v>1</v>
      </c>
      <c r="C180" s="206">
        <v>229</v>
      </c>
      <c r="D180" s="207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7" tint="0.39997558519241921"/>
  </sheetPr>
  <dimension ref="A1:H196"/>
  <sheetViews>
    <sheetView workbookViewId="0"/>
  </sheetViews>
  <sheetFormatPr defaultRowHeight="15" x14ac:dyDescent="0.25"/>
  <cols>
    <col min="1" max="1" width="9.42578125" bestFit="1" customWidth="1"/>
    <col min="2" max="5" width="4.42578125" customWidth="1"/>
    <col min="6" max="6" width="19" bestFit="1" customWidth="1"/>
    <col min="7" max="7" width="89.5703125" style="111" customWidth="1"/>
    <col min="8" max="8" width="27" style="111" customWidth="1"/>
  </cols>
  <sheetData>
    <row r="1" spans="1:8" ht="63" x14ac:dyDescent="0.25">
      <c r="A1" s="25" t="s">
        <v>274</v>
      </c>
      <c r="B1" s="25" t="s">
        <v>275</v>
      </c>
      <c r="C1" s="25" t="s">
        <v>276</v>
      </c>
      <c r="D1" s="25" t="s">
        <v>277</v>
      </c>
      <c r="E1" s="25" t="s">
        <v>278</v>
      </c>
      <c r="F1" s="25" t="s">
        <v>279</v>
      </c>
      <c r="G1" s="218" t="s">
        <v>280</v>
      </c>
      <c r="H1" s="218" t="s">
        <v>281</v>
      </c>
    </row>
    <row r="2" spans="1:8" x14ac:dyDescent="0.25">
      <c r="A2" s="23">
        <v>1</v>
      </c>
      <c r="B2" s="24" t="s">
        <v>42</v>
      </c>
      <c r="C2" s="23" t="s">
        <v>2</v>
      </c>
      <c r="D2" s="24" t="s">
        <v>2</v>
      </c>
      <c r="E2" s="23" t="s">
        <v>282</v>
      </c>
      <c r="F2" s="24" t="s">
        <v>283</v>
      </c>
      <c r="G2" s="110"/>
      <c r="H2" s="110"/>
    </row>
    <row r="3" spans="1:8" x14ac:dyDescent="0.25">
      <c r="A3" s="23">
        <v>2</v>
      </c>
      <c r="B3" s="24" t="s">
        <v>43</v>
      </c>
      <c r="C3" s="23" t="s">
        <v>2</v>
      </c>
      <c r="D3" s="24" t="s">
        <v>2</v>
      </c>
      <c r="E3" s="23" t="s">
        <v>282</v>
      </c>
      <c r="F3" s="24" t="s">
        <v>283</v>
      </c>
      <c r="G3" s="110"/>
      <c r="H3" s="110"/>
    </row>
    <row r="4" spans="1:8" x14ac:dyDescent="0.25">
      <c r="A4" s="23">
        <v>6</v>
      </c>
      <c r="B4" s="24" t="s">
        <v>30</v>
      </c>
      <c r="C4" s="23" t="s">
        <v>2</v>
      </c>
      <c r="D4" s="24" t="s">
        <v>2</v>
      </c>
      <c r="E4" s="23" t="s">
        <v>282</v>
      </c>
      <c r="F4" s="24" t="s">
        <v>283</v>
      </c>
      <c r="G4" s="110"/>
      <c r="H4" s="110"/>
    </row>
    <row r="5" spans="1:8" x14ac:dyDescent="0.25">
      <c r="A5" s="23">
        <v>7</v>
      </c>
      <c r="B5" s="24" t="s">
        <v>284</v>
      </c>
      <c r="C5" s="23" t="s">
        <v>2</v>
      </c>
      <c r="D5" s="24" t="s">
        <v>2</v>
      </c>
      <c r="E5" s="23" t="s">
        <v>282</v>
      </c>
      <c r="F5" s="24" t="s">
        <v>283</v>
      </c>
      <c r="G5" s="110"/>
      <c r="H5" s="110"/>
    </row>
    <row r="6" spans="1:8" x14ac:dyDescent="0.25">
      <c r="A6" s="23">
        <v>8</v>
      </c>
      <c r="B6" s="24" t="s">
        <v>46</v>
      </c>
      <c r="C6" s="23" t="s">
        <v>2</v>
      </c>
      <c r="D6" s="24" t="s">
        <v>2</v>
      </c>
      <c r="E6" s="23" t="s">
        <v>282</v>
      </c>
      <c r="F6" s="24" t="s">
        <v>283</v>
      </c>
      <c r="G6" s="110"/>
      <c r="H6" s="110"/>
    </row>
    <row r="7" spans="1:8" x14ac:dyDescent="0.25">
      <c r="A7" s="23">
        <v>9</v>
      </c>
      <c r="B7" s="24" t="s">
        <v>47</v>
      </c>
      <c r="C7" s="23" t="s">
        <v>2</v>
      </c>
      <c r="D7" s="24" t="s">
        <v>2</v>
      </c>
      <c r="E7" s="23" t="s">
        <v>282</v>
      </c>
      <c r="F7" s="24" t="s">
        <v>283</v>
      </c>
      <c r="G7" s="110"/>
      <c r="H7" s="110"/>
    </row>
    <row r="8" spans="1:8" x14ac:dyDescent="0.25">
      <c r="A8" s="23">
        <v>10</v>
      </c>
      <c r="B8" s="24" t="s">
        <v>48</v>
      </c>
      <c r="C8" s="23" t="s">
        <v>2</v>
      </c>
      <c r="D8" s="24" t="s">
        <v>2</v>
      </c>
      <c r="E8" s="23" t="s">
        <v>282</v>
      </c>
      <c r="F8" s="24" t="s">
        <v>283</v>
      </c>
      <c r="G8" s="110"/>
      <c r="H8" s="110"/>
    </row>
    <row r="9" spans="1:8" x14ac:dyDescent="0.25">
      <c r="A9" s="23">
        <v>11</v>
      </c>
      <c r="B9" s="24" t="s">
        <v>49</v>
      </c>
      <c r="C9" s="23" t="s">
        <v>2</v>
      </c>
      <c r="D9" s="24" t="s">
        <v>2</v>
      </c>
      <c r="E9" s="23" t="s">
        <v>282</v>
      </c>
      <c r="F9" s="24" t="s">
        <v>283</v>
      </c>
      <c r="G9" s="110"/>
      <c r="H9" s="110"/>
    </row>
    <row r="10" spans="1:8" x14ac:dyDescent="0.25">
      <c r="A10" s="23">
        <v>12</v>
      </c>
      <c r="B10" s="24" t="s">
        <v>285</v>
      </c>
      <c r="C10" s="23" t="s">
        <v>2</v>
      </c>
      <c r="D10" s="24" t="s">
        <v>2</v>
      </c>
      <c r="E10" s="23" t="s">
        <v>282</v>
      </c>
      <c r="F10" s="24" t="s">
        <v>283</v>
      </c>
      <c r="G10" s="110"/>
      <c r="H10" s="110"/>
    </row>
    <row r="11" spans="1:8" x14ac:dyDescent="0.25">
      <c r="A11" s="23">
        <v>14</v>
      </c>
      <c r="B11" s="24" t="s">
        <v>51</v>
      </c>
      <c r="C11" s="23" t="s">
        <v>2</v>
      </c>
      <c r="D11" s="24" t="s">
        <v>286</v>
      </c>
      <c r="E11" s="23" t="s">
        <v>282</v>
      </c>
      <c r="F11" s="24" t="s">
        <v>283</v>
      </c>
      <c r="G11" s="110"/>
      <c r="H11" s="110"/>
    </row>
    <row r="12" spans="1:8" x14ac:dyDescent="0.25">
      <c r="A12" s="23">
        <v>15</v>
      </c>
      <c r="B12" s="24" t="s">
        <v>52</v>
      </c>
      <c r="C12" s="23" t="s">
        <v>2</v>
      </c>
      <c r="D12" s="24" t="s">
        <v>286</v>
      </c>
      <c r="E12" s="23" t="s">
        <v>282</v>
      </c>
      <c r="F12" s="24" t="s">
        <v>283</v>
      </c>
      <c r="G12" s="110"/>
      <c r="H12" s="110"/>
    </row>
    <row r="13" spans="1:8" x14ac:dyDescent="0.25">
      <c r="A13" s="23">
        <v>16</v>
      </c>
      <c r="B13" s="24" t="s">
        <v>53</v>
      </c>
      <c r="C13" s="23" t="s">
        <v>2</v>
      </c>
      <c r="D13" s="24" t="s">
        <v>286</v>
      </c>
      <c r="E13" s="23" t="s">
        <v>282</v>
      </c>
      <c r="F13" s="24" t="s">
        <v>283</v>
      </c>
      <c r="G13" s="110"/>
      <c r="H13" s="110"/>
    </row>
    <row r="14" spans="1:8" x14ac:dyDescent="0.25">
      <c r="A14" s="23">
        <v>17</v>
      </c>
      <c r="B14" s="24" t="s">
        <v>54</v>
      </c>
      <c r="C14" s="23" t="s">
        <v>2</v>
      </c>
      <c r="D14" s="24" t="s">
        <v>2</v>
      </c>
      <c r="E14" s="23" t="s">
        <v>282</v>
      </c>
      <c r="F14" s="24" t="s">
        <v>283</v>
      </c>
      <c r="G14" s="110"/>
      <c r="H14" s="110"/>
    </row>
    <row r="15" spans="1:8" x14ac:dyDescent="0.25">
      <c r="A15" s="72">
        <v>18</v>
      </c>
      <c r="B15" s="24" t="s">
        <v>55</v>
      </c>
      <c r="C15" s="23" t="s">
        <v>2</v>
      </c>
      <c r="D15" s="24" t="s">
        <v>2</v>
      </c>
      <c r="E15" s="23" t="s">
        <v>282</v>
      </c>
      <c r="F15" s="24" t="s">
        <v>283</v>
      </c>
      <c r="G15" s="110"/>
      <c r="H15" s="110"/>
    </row>
    <row r="16" spans="1:8" x14ac:dyDescent="0.25">
      <c r="A16" s="23">
        <v>22</v>
      </c>
      <c r="B16" s="24" t="s">
        <v>60</v>
      </c>
      <c r="C16" s="23" t="s">
        <v>3</v>
      </c>
      <c r="D16" s="24" t="s">
        <v>287</v>
      </c>
      <c r="E16" s="23" t="s">
        <v>282</v>
      </c>
      <c r="F16" s="24" t="s">
        <v>283</v>
      </c>
      <c r="G16" s="110"/>
      <c r="H16" s="110"/>
    </row>
    <row r="17" spans="1:8" x14ac:dyDescent="0.25">
      <c r="A17" s="23">
        <v>23</v>
      </c>
      <c r="B17" s="24" t="s">
        <v>66</v>
      </c>
      <c r="C17" s="23" t="s">
        <v>3</v>
      </c>
      <c r="D17" s="24" t="s">
        <v>288</v>
      </c>
      <c r="E17" s="23" t="s">
        <v>282</v>
      </c>
      <c r="F17" s="24" t="s">
        <v>283</v>
      </c>
      <c r="G17" s="110"/>
      <c r="H17" s="110"/>
    </row>
    <row r="18" spans="1:8" x14ac:dyDescent="0.25">
      <c r="A18" s="23">
        <v>24</v>
      </c>
      <c r="B18" s="24" t="s">
        <v>31</v>
      </c>
      <c r="C18" s="23" t="s">
        <v>3</v>
      </c>
      <c r="D18" s="24" t="s">
        <v>3</v>
      </c>
      <c r="E18" s="23" t="s">
        <v>282</v>
      </c>
      <c r="F18" s="24" t="s">
        <v>283</v>
      </c>
      <c r="G18" s="110"/>
      <c r="H18" s="110"/>
    </row>
    <row r="19" spans="1:8" x14ac:dyDescent="0.25">
      <c r="A19" s="23">
        <v>25</v>
      </c>
      <c r="B19" s="24" t="s">
        <v>32</v>
      </c>
      <c r="C19" s="23" t="s">
        <v>3</v>
      </c>
      <c r="D19" s="24" t="s">
        <v>289</v>
      </c>
      <c r="E19" s="23" t="s">
        <v>282</v>
      </c>
      <c r="F19" s="24" t="s">
        <v>283</v>
      </c>
      <c r="G19" s="110"/>
      <c r="H19" s="110"/>
    </row>
    <row r="20" spans="1:8" x14ac:dyDescent="0.25">
      <c r="A20" s="23">
        <v>28</v>
      </c>
      <c r="B20" s="24" t="s">
        <v>64</v>
      </c>
      <c r="C20" s="23" t="s">
        <v>3</v>
      </c>
      <c r="D20" s="24" t="s">
        <v>289</v>
      </c>
      <c r="E20" s="23" t="s">
        <v>282</v>
      </c>
      <c r="F20" s="24" t="s">
        <v>283</v>
      </c>
      <c r="G20" s="110"/>
      <c r="H20" s="110"/>
    </row>
    <row r="21" spans="1:8" x14ac:dyDescent="0.25">
      <c r="A21" s="23">
        <v>31</v>
      </c>
      <c r="B21" s="24" t="s">
        <v>68</v>
      </c>
      <c r="C21" s="23" t="s">
        <v>3</v>
      </c>
      <c r="D21" s="24" t="s">
        <v>3</v>
      </c>
      <c r="E21" s="23" t="s">
        <v>282</v>
      </c>
      <c r="F21" s="24" t="s">
        <v>283</v>
      </c>
      <c r="G21" s="110"/>
      <c r="H21" s="110"/>
    </row>
    <row r="22" spans="1:8" x14ac:dyDescent="0.25">
      <c r="A22" s="23">
        <v>32</v>
      </c>
      <c r="B22" s="24" t="s">
        <v>290</v>
      </c>
      <c r="C22" s="23" t="s">
        <v>3</v>
      </c>
      <c r="D22" s="24" t="s">
        <v>3</v>
      </c>
      <c r="E22" s="23" t="s">
        <v>282</v>
      </c>
      <c r="F22" s="24" t="s">
        <v>283</v>
      </c>
      <c r="G22" s="110"/>
      <c r="H22" s="110"/>
    </row>
    <row r="23" spans="1:8" x14ac:dyDescent="0.25">
      <c r="A23" s="23">
        <v>33</v>
      </c>
      <c r="B23" s="24" t="s">
        <v>70</v>
      </c>
      <c r="C23" s="23" t="s">
        <v>3</v>
      </c>
      <c r="D23" s="24" t="s">
        <v>3</v>
      </c>
      <c r="E23" s="23" t="s">
        <v>282</v>
      </c>
      <c r="F23" s="24" t="s">
        <v>283</v>
      </c>
      <c r="G23" s="110"/>
      <c r="H23" s="110"/>
    </row>
    <row r="24" spans="1:8" x14ac:dyDescent="0.25">
      <c r="A24" s="23">
        <v>34</v>
      </c>
      <c r="B24" s="24" t="s">
        <v>102</v>
      </c>
      <c r="C24" s="23" t="s">
        <v>291</v>
      </c>
      <c r="D24" s="24" t="s">
        <v>291</v>
      </c>
      <c r="E24" s="23" t="s">
        <v>282</v>
      </c>
      <c r="F24" s="24" t="s">
        <v>283</v>
      </c>
      <c r="G24" s="110"/>
      <c r="H24" s="110"/>
    </row>
    <row r="25" spans="1:8" x14ac:dyDescent="0.25">
      <c r="A25" s="23">
        <v>37</v>
      </c>
      <c r="B25" s="24" t="s">
        <v>82</v>
      </c>
      <c r="C25" s="23" t="s">
        <v>4</v>
      </c>
      <c r="D25" s="24" t="s">
        <v>4</v>
      </c>
      <c r="E25" s="23" t="s">
        <v>282</v>
      </c>
      <c r="F25" s="24" t="s">
        <v>292</v>
      </c>
      <c r="G25" s="110" t="s">
        <v>293</v>
      </c>
      <c r="H25" s="110" t="s">
        <v>294</v>
      </c>
    </row>
    <row r="26" spans="1:8" x14ac:dyDescent="0.25">
      <c r="A26" s="23">
        <v>38</v>
      </c>
      <c r="B26" s="24" t="s">
        <v>83</v>
      </c>
      <c r="C26" s="23" t="s">
        <v>4</v>
      </c>
      <c r="D26" s="24" t="s">
        <v>4</v>
      </c>
      <c r="E26" s="23" t="s">
        <v>282</v>
      </c>
      <c r="F26" s="24" t="s">
        <v>292</v>
      </c>
      <c r="G26" s="110" t="s">
        <v>295</v>
      </c>
      <c r="H26" s="110" t="s">
        <v>294</v>
      </c>
    </row>
    <row r="27" spans="1:8" x14ac:dyDescent="0.25">
      <c r="A27" s="23">
        <v>39</v>
      </c>
      <c r="B27" s="24" t="s">
        <v>84</v>
      </c>
      <c r="C27" s="23" t="s">
        <v>4</v>
      </c>
      <c r="D27" s="24" t="s">
        <v>4</v>
      </c>
      <c r="E27" s="23" t="s">
        <v>282</v>
      </c>
      <c r="F27" s="24" t="s">
        <v>292</v>
      </c>
      <c r="G27" s="110" t="s">
        <v>296</v>
      </c>
      <c r="H27" s="110" t="s">
        <v>294</v>
      </c>
    </row>
    <row r="28" spans="1:8" x14ac:dyDescent="0.25">
      <c r="A28" s="23">
        <v>40</v>
      </c>
      <c r="B28" s="24" t="s">
        <v>85</v>
      </c>
      <c r="C28" s="23" t="s">
        <v>4</v>
      </c>
      <c r="D28" s="24" t="s">
        <v>4</v>
      </c>
      <c r="E28" s="23" t="s">
        <v>282</v>
      </c>
      <c r="F28" s="24" t="s">
        <v>292</v>
      </c>
      <c r="G28" s="110" t="s">
        <v>297</v>
      </c>
      <c r="H28" s="110" t="s">
        <v>294</v>
      </c>
    </row>
    <row r="29" spans="1:8" x14ac:dyDescent="0.25">
      <c r="A29" s="23">
        <v>42</v>
      </c>
      <c r="B29" s="24" t="s">
        <v>298</v>
      </c>
      <c r="C29" s="23" t="s">
        <v>4</v>
      </c>
      <c r="D29" s="24" t="s">
        <v>4</v>
      </c>
      <c r="E29" s="23" t="s">
        <v>282</v>
      </c>
      <c r="F29" s="24" t="s">
        <v>292</v>
      </c>
      <c r="G29" s="110" t="s">
        <v>299</v>
      </c>
      <c r="H29" s="110" t="s">
        <v>294</v>
      </c>
    </row>
    <row r="30" spans="1:8" x14ac:dyDescent="0.25">
      <c r="A30" s="23">
        <v>43</v>
      </c>
      <c r="B30" s="24" t="s">
        <v>87</v>
      </c>
      <c r="C30" s="23" t="s">
        <v>4</v>
      </c>
      <c r="D30" s="24" t="s">
        <v>4</v>
      </c>
      <c r="E30" s="23" t="s">
        <v>282</v>
      </c>
      <c r="F30" s="24" t="s">
        <v>292</v>
      </c>
      <c r="G30" s="110" t="s">
        <v>300</v>
      </c>
      <c r="H30" s="110" t="s">
        <v>294</v>
      </c>
    </row>
    <row r="31" spans="1:8" x14ac:dyDescent="0.25">
      <c r="A31" s="23">
        <v>44</v>
      </c>
      <c r="B31" s="24" t="s">
        <v>301</v>
      </c>
      <c r="C31" s="23" t="s">
        <v>291</v>
      </c>
      <c r="D31" s="24" t="s">
        <v>302</v>
      </c>
      <c r="E31" s="23" t="s">
        <v>282</v>
      </c>
      <c r="F31" s="24" t="s">
        <v>292</v>
      </c>
      <c r="G31" s="110" t="s">
        <v>303</v>
      </c>
      <c r="H31" s="110" t="s">
        <v>294</v>
      </c>
    </row>
    <row r="32" spans="1:8" x14ac:dyDescent="0.25">
      <c r="A32" s="23">
        <v>45</v>
      </c>
      <c r="B32" s="24" t="s">
        <v>103</v>
      </c>
      <c r="C32" s="23" t="s">
        <v>291</v>
      </c>
      <c r="D32" s="24" t="s">
        <v>291</v>
      </c>
      <c r="E32" s="23" t="s">
        <v>282</v>
      </c>
      <c r="F32" s="24" t="s">
        <v>292</v>
      </c>
      <c r="G32" s="110" t="s">
        <v>304</v>
      </c>
      <c r="H32" s="110" t="s">
        <v>294</v>
      </c>
    </row>
    <row r="33" spans="1:8" x14ac:dyDescent="0.25">
      <c r="A33" s="23">
        <v>46</v>
      </c>
      <c r="B33" s="24" t="s">
        <v>305</v>
      </c>
      <c r="C33" s="23" t="s">
        <v>291</v>
      </c>
      <c r="D33" s="24" t="s">
        <v>291</v>
      </c>
      <c r="E33" s="23" t="s">
        <v>282</v>
      </c>
      <c r="F33" s="24" t="s">
        <v>292</v>
      </c>
      <c r="G33" s="110" t="s">
        <v>306</v>
      </c>
      <c r="H33" s="110" t="s">
        <v>294</v>
      </c>
    </row>
    <row r="34" spans="1:8" x14ac:dyDescent="0.25">
      <c r="A34" s="23">
        <v>47</v>
      </c>
      <c r="B34" s="24" t="s">
        <v>90</v>
      </c>
      <c r="C34" s="23" t="s">
        <v>307</v>
      </c>
      <c r="D34" s="24" t="s">
        <v>307</v>
      </c>
      <c r="E34" s="23" t="s">
        <v>282</v>
      </c>
      <c r="F34" s="24" t="s">
        <v>283</v>
      </c>
      <c r="G34" s="110"/>
      <c r="H34" s="110"/>
    </row>
    <row r="35" spans="1:8" x14ac:dyDescent="0.25">
      <c r="A35" s="23">
        <v>48</v>
      </c>
      <c r="B35" s="24" t="s">
        <v>91</v>
      </c>
      <c r="C35" s="23" t="s">
        <v>307</v>
      </c>
      <c r="D35" s="24" t="s">
        <v>307</v>
      </c>
      <c r="E35" s="23" t="s">
        <v>282</v>
      </c>
      <c r="F35" s="24" t="s">
        <v>283</v>
      </c>
      <c r="G35" s="110"/>
      <c r="H35" s="110"/>
    </row>
    <row r="36" spans="1:8" x14ac:dyDescent="0.25">
      <c r="A36" s="23">
        <v>49</v>
      </c>
      <c r="B36" s="24" t="s">
        <v>92</v>
      </c>
      <c r="C36" s="23" t="s">
        <v>307</v>
      </c>
      <c r="D36" s="24" t="s">
        <v>307</v>
      </c>
      <c r="E36" s="23" t="s">
        <v>282</v>
      </c>
      <c r="F36" s="24" t="s">
        <v>283</v>
      </c>
      <c r="G36" s="110"/>
      <c r="H36" s="110"/>
    </row>
    <row r="37" spans="1:8" x14ac:dyDescent="0.25">
      <c r="A37" s="23">
        <v>50</v>
      </c>
      <c r="B37" s="24" t="s">
        <v>94</v>
      </c>
      <c r="C37" s="23" t="s">
        <v>307</v>
      </c>
      <c r="D37" s="24" t="s">
        <v>307</v>
      </c>
      <c r="E37" s="23" t="s">
        <v>282</v>
      </c>
      <c r="F37" s="24" t="s">
        <v>283</v>
      </c>
      <c r="G37" s="110"/>
      <c r="H37" s="110"/>
    </row>
    <row r="38" spans="1:8" x14ac:dyDescent="0.25">
      <c r="A38" s="23">
        <v>51</v>
      </c>
      <c r="B38" s="24" t="s">
        <v>95</v>
      </c>
      <c r="C38" s="23" t="s">
        <v>307</v>
      </c>
      <c r="D38" s="24" t="s">
        <v>307</v>
      </c>
      <c r="E38" s="23" t="s">
        <v>282</v>
      </c>
      <c r="F38" s="24" t="s">
        <v>283</v>
      </c>
      <c r="G38" s="110"/>
      <c r="H38" s="110"/>
    </row>
    <row r="39" spans="1:8" x14ac:dyDescent="0.25">
      <c r="A39" s="23">
        <v>52</v>
      </c>
      <c r="B39" s="24" t="s">
        <v>96</v>
      </c>
      <c r="C39" s="23" t="s">
        <v>307</v>
      </c>
      <c r="D39" s="24" t="s">
        <v>307</v>
      </c>
      <c r="E39" s="23" t="s">
        <v>282</v>
      </c>
      <c r="F39" s="24" t="s">
        <v>283</v>
      </c>
      <c r="G39" s="110"/>
      <c r="H39" s="110"/>
    </row>
    <row r="40" spans="1:8" x14ac:dyDescent="0.25">
      <c r="A40" s="23">
        <v>57</v>
      </c>
      <c r="B40" s="24" t="s">
        <v>205</v>
      </c>
      <c r="C40" s="23" t="s">
        <v>307</v>
      </c>
      <c r="D40" s="24" t="s">
        <v>308</v>
      </c>
      <c r="E40" s="23" t="s">
        <v>282</v>
      </c>
      <c r="F40" s="24" t="s">
        <v>283</v>
      </c>
      <c r="G40" s="110"/>
      <c r="H40" s="110"/>
    </row>
    <row r="41" spans="1:8" x14ac:dyDescent="0.25">
      <c r="A41" s="23">
        <v>61</v>
      </c>
      <c r="B41" s="24" t="s">
        <v>97</v>
      </c>
      <c r="C41" s="23" t="s">
        <v>307</v>
      </c>
      <c r="D41" s="24" t="s">
        <v>307</v>
      </c>
      <c r="E41" s="23" t="s">
        <v>282</v>
      </c>
      <c r="F41" s="24" t="s">
        <v>283</v>
      </c>
      <c r="G41" s="110"/>
      <c r="H41" s="110"/>
    </row>
    <row r="42" spans="1:8" x14ac:dyDescent="0.25">
      <c r="A42" s="23">
        <v>62</v>
      </c>
      <c r="B42" s="24" t="s">
        <v>98</v>
      </c>
      <c r="C42" s="23" t="s">
        <v>307</v>
      </c>
      <c r="D42" s="24" t="s">
        <v>307</v>
      </c>
      <c r="E42" s="23" t="s">
        <v>282</v>
      </c>
      <c r="F42" s="24" t="s">
        <v>283</v>
      </c>
      <c r="G42" s="110"/>
      <c r="H42" s="110"/>
    </row>
    <row r="43" spans="1:8" x14ac:dyDescent="0.25">
      <c r="A43" s="23">
        <v>63</v>
      </c>
      <c r="B43" s="24" t="s">
        <v>99</v>
      </c>
      <c r="C43" s="23" t="s">
        <v>307</v>
      </c>
      <c r="D43" s="24" t="s">
        <v>307</v>
      </c>
      <c r="E43" s="23" t="s">
        <v>282</v>
      </c>
      <c r="F43" s="24" t="s">
        <v>283</v>
      </c>
      <c r="G43" s="110"/>
      <c r="H43" s="110"/>
    </row>
    <row r="44" spans="1:8" x14ac:dyDescent="0.25">
      <c r="A44" s="23">
        <v>66</v>
      </c>
      <c r="B44" s="24" t="s">
        <v>107</v>
      </c>
      <c r="C44" s="23" t="s">
        <v>291</v>
      </c>
      <c r="D44" s="24" t="s">
        <v>291</v>
      </c>
      <c r="E44" s="23" t="s">
        <v>282</v>
      </c>
      <c r="F44" s="24" t="s">
        <v>292</v>
      </c>
      <c r="G44" s="110" t="s">
        <v>309</v>
      </c>
      <c r="H44" s="110" t="s">
        <v>294</v>
      </c>
    </row>
    <row r="45" spans="1:8" x14ac:dyDescent="0.25">
      <c r="A45" s="23">
        <v>70</v>
      </c>
      <c r="B45" s="24" t="s">
        <v>310</v>
      </c>
      <c r="C45" s="23" t="s">
        <v>15</v>
      </c>
      <c r="D45" s="24" t="s">
        <v>311</v>
      </c>
      <c r="E45" s="23" t="s">
        <v>282</v>
      </c>
      <c r="F45" s="24" t="s">
        <v>292</v>
      </c>
      <c r="G45" s="110" t="s">
        <v>312</v>
      </c>
      <c r="H45" s="110" t="s">
        <v>313</v>
      </c>
    </row>
    <row r="46" spans="1:8" x14ac:dyDescent="0.25">
      <c r="A46" s="23">
        <v>71</v>
      </c>
      <c r="B46" s="24" t="s">
        <v>314</v>
      </c>
      <c r="C46" s="23" t="s">
        <v>15</v>
      </c>
      <c r="D46" s="24" t="s">
        <v>315</v>
      </c>
      <c r="E46" s="23" t="s">
        <v>282</v>
      </c>
      <c r="F46" s="24" t="s">
        <v>283</v>
      </c>
      <c r="G46" s="110"/>
      <c r="H46" s="110"/>
    </row>
    <row r="47" spans="1:8" x14ac:dyDescent="0.25">
      <c r="A47" s="23">
        <v>72</v>
      </c>
      <c r="B47" s="24" t="s">
        <v>235</v>
      </c>
      <c r="C47" s="23" t="s">
        <v>15</v>
      </c>
      <c r="D47" s="24" t="s">
        <v>316</v>
      </c>
      <c r="E47" s="23" t="s">
        <v>282</v>
      </c>
      <c r="F47" s="24" t="s">
        <v>283</v>
      </c>
      <c r="G47" s="110"/>
      <c r="H47" s="110"/>
    </row>
    <row r="48" spans="1:8" x14ac:dyDescent="0.25">
      <c r="A48" s="23">
        <v>73</v>
      </c>
      <c r="B48" s="24" t="s">
        <v>234</v>
      </c>
      <c r="C48" s="23" t="s">
        <v>15</v>
      </c>
      <c r="D48" s="24" t="s">
        <v>311</v>
      </c>
      <c r="E48" s="23" t="s">
        <v>282</v>
      </c>
      <c r="F48" s="24" t="s">
        <v>283</v>
      </c>
      <c r="G48" s="110"/>
      <c r="H48" s="110"/>
    </row>
    <row r="49" spans="1:8" x14ac:dyDescent="0.25">
      <c r="A49" s="23">
        <v>74</v>
      </c>
      <c r="B49" s="24" t="s">
        <v>33</v>
      </c>
      <c r="C49" s="23" t="s">
        <v>15</v>
      </c>
      <c r="D49" s="24" t="s">
        <v>15</v>
      </c>
      <c r="E49" s="23" t="s">
        <v>282</v>
      </c>
      <c r="F49" s="24" t="s">
        <v>283</v>
      </c>
      <c r="G49" s="110"/>
      <c r="H49" s="110"/>
    </row>
    <row r="50" spans="1:8" x14ac:dyDescent="0.25">
      <c r="A50" s="23">
        <v>75</v>
      </c>
      <c r="B50" s="24" t="s">
        <v>317</v>
      </c>
      <c r="C50" s="23" t="s">
        <v>15</v>
      </c>
      <c r="D50" s="24" t="s">
        <v>15</v>
      </c>
      <c r="E50" s="23" t="s">
        <v>282</v>
      </c>
      <c r="F50" s="24" t="s">
        <v>292</v>
      </c>
      <c r="G50" s="110" t="s">
        <v>318</v>
      </c>
      <c r="H50" s="110" t="s">
        <v>319</v>
      </c>
    </row>
    <row r="51" spans="1:8" x14ac:dyDescent="0.25">
      <c r="A51" s="23">
        <v>76</v>
      </c>
      <c r="B51" s="24" t="s">
        <v>172</v>
      </c>
      <c r="C51" s="23" t="s">
        <v>15</v>
      </c>
      <c r="D51" s="24" t="s">
        <v>15</v>
      </c>
      <c r="E51" s="23" t="s">
        <v>282</v>
      </c>
      <c r="F51" s="24" t="s">
        <v>283</v>
      </c>
      <c r="G51" s="110"/>
      <c r="H51" s="110"/>
    </row>
    <row r="52" spans="1:8" x14ac:dyDescent="0.25">
      <c r="A52" s="23">
        <v>77</v>
      </c>
      <c r="B52" s="24" t="s">
        <v>320</v>
      </c>
      <c r="C52" s="23" t="s">
        <v>15</v>
      </c>
      <c r="D52" s="24" t="s">
        <v>15</v>
      </c>
      <c r="E52" s="23" t="s">
        <v>282</v>
      </c>
      <c r="F52" s="24" t="s">
        <v>283</v>
      </c>
      <c r="G52" s="110"/>
      <c r="H52" s="110"/>
    </row>
    <row r="53" spans="1:8" x14ac:dyDescent="0.25">
      <c r="A53" s="23">
        <v>78</v>
      </c>
      <c r="B53" s="24" t="s">
        <v>174</v>
      </c>
      <c r="C53" s="23" t="s">
        <v>15</v>
      </c>
      <c r="D53" s="24" t="s">
        <v>15</v>
      </c>
      <c r="E53" s="23" t="s">
        <v>282</v>
      </c>
      <c r="F53" s="24" t="s">
        <v>283</v>
      </c>
      <c r="G53" s="110"/>
      <c r="H53" s="110"/>
    </row>
    <row r="54" spans="1:8" x14ac:dyDescent="0.25">
      <c r="A54" s="23">
        <v>81</v>
      </c>
      <c r="B54" s="24" t="s">
        <v>321</v>
      </c>
      <c r="C54" s="23" t="s">
        <v>15</v>
      </c>
      <c r="D54" s="24" t="s">
        <v>15</v>
      </c>
      <c r="E54" s="23" t="s">
        <v>322</v>
      </c>
      <c r="F54" s="24" t="s">
        <v>283</v>
      </c>
      <c r="G54" s="110"/>
      <c r="H54" s="110"/>
    </row>
    <row r="55" spans="1:8" x14ac:dyDescent="0.25">
      <c r="A55" s="23">
        <v>88</v>
      </c>
      <c r="B55" s="24" t="s">
        <v>323</v>
      </c>
      <c r="C55" s="23" t="s">
        <v>17</v>
      </c>
      <c r="D55" s="24" t="s">
        <v>324</v>
      </c>
      <c r="E55" s="23" t="s">
        <v>322</v>
      </c>
      <c r="F55" s="24" t="s">
        <v>283</v>
      </c>
      <c r="G55" s="110"/>
      <c r="H55" s="110"/>
    </row>
    <row r="56" spans="1:8" x14ac:dyDescent="0.25">
      <c r="A56" s="23">
        <v>89</v>
      </c>
      <c r="B56" s="24" t="s">
        <v>188</v>
      </c>
      <c r="C56" s="23" t="s">
        <v>17</v>
      </c>
      <c r="D56" s="24" t="s">
        <v>324</v>
      </c>
      <c r="E56" s="23" t="s">
        <v>322</v>
      </c>
      <c r="F56" s="24" t="s">
        <v>283</v>
      </c>
      <c r="G56" s="110"/>
      <c r="H56" s="110"/>
    </row>
    <row r="57" spans="1:8" x14ac:dyDescent="0.25">
      <c r="A57" s="23">
        <v>92</v>
      </c>
      <c r="B57" s="24" t="s">
        <v>35</v>
      </c>
      <c r="C57" s="23" t="s">
        <v>17</v>
      </c>
      <c r="D57" s="24" t="s">
        <v>17</v>
      </c>
      <c r="E57" s="23" t="s">
        <v>282</v>
      </c>
      <c r="F57" s="24" t="s">
        <v>283</v>
      </c>
      <c r="G57" s="110"/>
      <c r="H57" s="110"/>
    </row>
    <row r="58" spans="1:8" x14ac:dyDescent="0.25">
      <c r="A58" s="23">
        <v>93</v>
      </c>
      <c r="B58" s="24" t="s">
        <v>236</v>
      </c>
      <c r="C58" s="23" t="s">
        <v>17</v>
      </c>
      <c r="D58" s="24" t="s">
        <v>325</v>
      </c>
      <c r="E58" s="23" t="s">
        <v>282</v>
      </c>
      <c r="F58" s="24" t="s">
        <v>283</v>
      </c>
      <c r="G58" s="110"/>
      <c r="H58" s="110"/>
    </row>
    <row r="59" spans="1:8" x14ac:dyDescent="0.25">
      <c r="A59" s="23">
        <v>94</v>
      </c>
      <c r="B59" s="24" t="s">
        <v>326</v>
      </c>
      <c r="C59" s="23" t="s">
        <v>17</v>
      </c>
      <c r="D59" s="24" t="s">
        <v>17</v>
      </c>
      <c r="E59" s="23" t="s">
        <v>282</v>
      </c>
      <c r="F59" s="24" t="s">
        <v>283</v>
      </c>
      <c r="G59" s="110"/>
      <c r="H59" s="110"/>
    </row>
    <row r="60" spans="1:8" x14ac:dyDescent="0.25">
      <c r="A60" s="23">
        <v>97</v>
      </c>
      <c r="B60" s="24" t="s">
        <v>182</v>
      </c>
      <c r="C60" s="23" t="s">
        <v>16</v>
      </c>
      <c r="D60" s="24" t="s">
        <v>327</v>
      </c>
      <c r="E60" s="23" t="s">
        <v>282</v>
      </c>
      <c r="F60" s="24" t="s">
        <v>283</v>
      </c>
      <c r="G60" s="110"/>
      <c r="H60" s="110"/>
    </row>
    <row r="61" spans="1:8" x14ac:dyDescent="0.25">
      <c r="A61" s="23">
        <v>98</v>
      </c>
      <c r="B61" s="24" t="s">
        <v>183</v>
      </c>
      <c r="C61" s="23" t="s">
        <v>16</v>
      </c>
      <c r="D61" s="24" t="s">
        <v>327</v>
      </c>
      <c r="E61" s="23" t="s">
        <v>282</v>
      </c>
      <c r="F61" s="24" t="s">
        <v>283</v>
      </c>
      <c r="G61" s="110"/>
      <c r="H61" s="110"/>
    </row>
    <row r="62" spans="1:8" x14ac:dyDescent="0.25">
      <c r="A62" s="23">
        <v>99</v>
      </c>
      <c r="B62" s="24" t="s">
        <v>76</v>
      </c>
      <c r="C62" s="23" t="s">
        <v>3</v>
      </c>
      <c r="D62" s="24" t="s">
        <v>328</v>
      </c>
      <c r="E62" s="23" t="s">
        <v>282</v>
      </c>
      <c r="F62" s="24" t="s">
        <v>283</v>
      </c>
      <c r="G62" s="110"/>
      <c r="H62" s="110"/>
    </row>
    <row r="63" spans="1:8" x14ac:dyDescent="0.25">
      <c r="A63" s="23">
        <v>101</v>
      </c>
      <c r="B63" s="24" t="s">
        <v>202</v>
      </c>
      <c r="C63" s="23" t="s">
        <v>329</v>
      </c>
      <c r="D63" s="24" t="s">
        <v>19</v>
      </c>
      <c r="E63" s="23" t="s">
        <v>282</v>
      </c>
      <c r="F63" s="24" t="s">
        <v>283</v>
      </c>
      <c r="G63" s="110"/>
      <c r="H63" s="110"/>
    </row>
    <row r="64" spans="1:8" x14ac:dyDescent="0.25">
      <c r="A64" s="23">
        <v>102</v>
      </c>
      <c r="B64" s="24" t="s">
        <v>195</v>
      </c>
      <c r="C64" s="23" t="s">
        <v>17</v>
      </c>
      <c r="D64" s="24" t="s">
        <v>330</v>
      </c>
      <c r="E64" s="23" t="s">
        <v>282</v>
      </c>
      <c r="F64" s="24" t="s">
        <v>283</v>
      </c>
      <c r="G64" s="110"/>
      <c r="H64" s="110"/>
    </row>
    <row r="65" spans="1:8" x14ac:dyDescent="0.25">
      <c r="A65" s="23">
        <v>103</v>
      </c>
      <c r="B65" s="24" t="s">
        <v>196</v>
      </c>
      <c r="C65" s="23" t="s">
        <v>17</v>
      </c>
      <c r="D65" s="24" t="s">
        <v>330</v>
      </c>
      <c r="E65" s="23" t="s">
        <v>282</v>
      </c>
      <c r="F65" s="24" t="s">
        <v>283</v>
      </c>
      <c r="G65" s="110"/>
      <c r="H65" s="110"/>
    </row>
    <row r="66" spans="1:8" x14ac:dyDescent="0.25">
      <c r="A66" s="23">
        <v>104</v>
      </c>
      <c r="B66" s="24" t="s">
        <v>331</v>
      </c>
      <c r="C66" s="23" t="s">
        <v>4</v>
      </c>
      <c r="D66" s="24" t="s">
        <v>332</v>
      </c>
      <c r="E66" s="23" t="s">
        <v>282</v>
      </c>
      <c r="F66" s="24" t="s">
        <v>283</v>
      </c>
      <c r="G66" s="110" t="s">
        <v>333</v>
      </c>
      <c r="H66" s="110"/>
    </row>
    <row r="67" spans="1:8" x14ac:dyDescent="0.25">
      <c r="A67" s="23">
        <v>109</v>
      </c>
      <c r="B67" s="24" t="s">
        <v>334</v>
      </c>
      <c r="C67" s="23" t="s">
        <v>4</v>
      </c>
      <c r="D67" s="24" t="s">
        <v>332</v>
      </c>
      <c r="E67" s="23" t="s">
        <v>282</v>
      </c>
      <c r="F67" s="24" t="s">
        <v>283</v>
      </c>
      <c r="G67" s="110" t="s">
        <v>335</v>
      </c>
      <c r="H67" s="110"/>
    </row>
    <row r="68" spans="1:8" x14ac:dyDescent="0.25">
      <c r="A68" s="23">
        <v>110</v>
      </c>
      <c r="B68" s="24" t="s">
        <v>178</v>
      </c>
      <c r="C68" s="23" t="s">
        <v>16</v>
      </c>
      <c r="D68" s="24" t="s">
        <v>16</v>
      </c>
      <c r="E68" s="23" t="s">
        <v>282</v>
      </c>
      <c r="F68" s="24" t="s">
        <v>283</v>
      </c>
      <c r="G68" s="110"/>
      <c r="H68" s="110"/>
    </row>
    <row r="69" spans="1:8" x14ac:dyDescent="0.25">
      <c r="A69" s="23">
        <v>111</v>
      </c>
      <c r="B69" s="24" t="s">
        <v>232</v>
      </c>
      <c r="C69" s="23" t="s">
        <v>16</v>
      </c>
      <c r="D69" s="24" t="s">
        <v>16</v>
      </c>
      <c r="E69" s="23" t="s">
        <v>282</v>
      </c>
      <c r="F69" s="24" t="s">
        <v>283</v>
      </c>
      <c r="G69" s="110"/>
      <c r="H69" s="110"/>
    </row>
    <row r="70" spans="1:8" x14ac:dyDescent="0.25">
      <c r="A70" s="23">
        <v>112</v>
      </c>
      <c r="B70" s="24" t="s">
        <v>336</v>
      </c>
      <c r="C70" s="23" t="s">
        <v>16</v>
      </c>
      <c r="D70" s="24" t="s">
        <v>16</v>
      </c>
      <c r="E70" s="23" t="s">
        <v>282</v>
      </c>
      <c r="F70" s="24" t="s">
        <v>283</v>
      </c>
      <c r="G70" s="110"/>
      <c r="H70" s="110"/>
    </row>
    <row r="71" spans="1:8" x14ac:dyDescent="0.25">
      <c r="A71" s="23">
        <v>113</v>
      </c>
      <c r="B71" s="24" t="s">
        <v>233</v>
      </c>
      <c r="C71" s="23" t="s">
        <v>16</v>
      </c>
      <c r="D71" s="24" t="s">
        <v>16</v>
      </c>
      <c r="E71" s="23" t="s">
        <v>282</v>
      </c>
      <c r="F71" s="24" t="s">
        <v>283</v>
      </c>
      <c r="G71" s="110"/>
      <c r="H71" s="110"/>
    </row>
    <row r="72" spans="1:8" x14ac:dyDescent="0.25">
      <c r="A72" s="23">
        <v>114</v>
      </c>
      <c r="B72" s="24" t="s">
        <v>337</v>
      </c>
      <c r="C72" s="23" t="s">
        <v>16</v>
      </c>
      <c r="D72" s="24" t="s">
        <v>16</v>
      </c>
      <c r="E72" s="23" t="s">
        <v>282</v>
      </c>
      <c r="F72" s="24" t="s">
        <v>283</v>
      </c>
      <c r="G72" s="110"/>
      <c r="H72" s="110"/>
    </row>
    <row r="73" spans="1:8" x14ac:dyDescent="0.25">
      <c r="A73" s="23">
        <v>115</v>
      </c>
      <c r="B73" s="24" t="s">
        <v>338</v>
      </c>
      <c r="C73" s="23" t="s">
        <v>339</v>
      </c>
      <c r="D73" s="24" t="s">
        <v>339</v>
      </c>
      <c r="E73" s="23" t="s">
        <v>282</v>
      </c>
      <c r="F73" s="24" t="s">
        <v>283</v>
      </c>
      <c r="G73" s="110"/>
      <c r="H73" s="110"/>
    </row>
    <row r="74" spans="1:8" x14ac:dyDescent="0.25">
      <c r="A74" s="23">
        <v>116</v>
      </c>
      <c r="B74" s="24" t="s">
        <v>340</v>
      </c>
      <c r="C74" s="23" t="s">
        <v>341</v>
      </c>
      <c r="D74" s="24" t="s">
        <v>342</v>
      </c>
      <c r="E74" s="23" t="s">
        <v>282</v>
      </c>
      <c r="F74" s="24" t="s">
        <v>283</v>
      </c>
      <c r="G74" s="110" t="s">
        <v>343</v>
      </c>
      <c r="H74" s="110"/>
    </row>
    <row r="75" spans="1:8" x14ac:dyDescent="0.25">
      <c r="A75" s="23">
        <v>117</v>
      </c>
      <c r="B75" s="24" t="s">
        <v>229</v>
      </c>
      <c r="C75" s="23" t="s">
        <v>4</v>
      </c>
      <c r="D75" s="24" t="s">
        <v>344</v>
      </c>
      <c r="E75" s="23" t="s">
        <v>282</v>
      </c>
      <c r="F75" s="24" t="s">
        <v>283</v>
      </c>
      <c r="G75" s="110"/>
      <c r="H75" s="110"/>
    </row>
    <row r="76" spans="1:8" x14ac:dyDescent="0.25">
      <c r="A76" s="23">
        <v>118</v>
      </c>
      <c r="B76" s="24" t="s">
        <v>230</v>
      </c>
      <c r="C76" s="23" t="s">
        <v>4</v>
      </c>
      <c r="D76" s="24" t="s">
        <v>332</v>
      </c>
      <c r="E76" s="23" t="s">
        <v>282</v>
      </c>
      <c r="F76" s="24" t="s">
        <v>283</v>
      </c>
      <c r="G76" s="110"/>
      <c r="H76" s="110"/>
    </row>
    <row r="77" spans="1:8" x14ac:dyDescent="0.25">
      <c r="A77" s="23">
        <v>119</v>
      </c>
      <c r="B77" s="24" t="s">
        <v>345</v>
      </c>
      <c r="C77" s="23" t="s">
        <v>346</v>
      </c>
      <c r="D77" s="24" t="s">
        <v>347</v>
      </c>
      <c r="E77" s="23" t="s">
        <v>282</v>
      </c>
      <c r="F77" s="24" t="s">
        <v>283</v>
      </c>
      <c r="G77" s="110" t="s">
        <v>348</v>
      </c>
      <c r="H77" s="110" t="s">
        <v>349</v>
      </c>
    </row>
    <row r="78" spans="1:8" x14ac:dyDescent="0.25">
      <c r="A78" s="23">
        <v>120</v>
      </c>
      <c r="B78" s="24" t="s">
        <v>110</v>
      </c>
      <c r="C78" s="23" t="s">
        <v>10</v>
      </c>
      <c r="D78" s="24" t="s">
        <v>350</v>
      </c>
      <c r="E78" s="23" t="s">
        <v>282</v>
      </c>
      <c r="F78" s="24" t="s">
        <v>283</v>
      </c>
      <c r="G78" s="110"/>
      <c r="H78" s="110"/>
    </row>
    <row r="79" spans="1:8" x14ac:dyDescent="0.25">
      <c r="A79" s="23">
        <v>121</v>
      </c>
      <c r="B79" s="24" t="s">
        <v>111</v>
      </c>
      <c r="C79" s="23" t="s">
        <v>10</v>
      </c>
      <c r="D79" s="24" t="s">
        <v>351</v>
      </c>
      <c r="E79" s="23" t="s">
        <v>282</v>
      </c>
      <c r="F79" s="24" t="s">
        <v>283</v>
      </c>
      <c r="G79" s="110"/>
      <c r="H79" s="110"/>
    </row>
    <row r="80" spans="1:8" x14ac:dyDescent="0.25">
      <c r="A80" s="23">
        <v>122</v>
      </c>
      <c r="B80" s="24" t="s">
        <v>112</v>
      </c>
      <c r="C80" s="23" t="s">
        <v>10</v>
      </c>
      <c r="D80" s="24" t="s">
        <v>10</v>
      </c>
      <c r="E80" s="23" t="s">
        <v>282</v>
      </c>
      <c r="F80" s="24" t="s">
        <v>283</v>
      </c>
      <c r="G80" s="110"/>
      <c r="H80" s="110"/>
    </row>
    <row r="81" spans="1:8" x14ac:dyDescent="0.25">
      <c r="A81" s="23">
        <v>123</v>
      </c>
      <c r="B81" s="24" t="s">
        <v>113</v>
      </c>
      <c r="C81" s="23" t="s">
        <v>10</v>
      </c>
      <c r="D81" s="24" t="s">
        <v>10</v>
      </c>
      <c r="E81" s="23" t="s">
        <v>282</v>
      </c>
      <c r="F81" s="24" t="s">
        <v>283</v>
      </c>
      <c r="G81" s="110"/>
      <c r="H81" s="110"/>
    </row>
    <row r="82" spans="1:8" x14ac:dyDescent="0.25">
      <c r="A82" s="23">
        <v>125</v>
      </c>
      <c r="B82" s="24" t="s">
        <v>352</v>
      </c>
      <c r="C82" s="23" t="s">
        <v>10</v>
      </c>
      <c r="D82" s="24" t="s">
        <v>10</v>
      </c>
      <c r="E82" s="23" t="s">
        <v>282</v>
      </c>
      <c r="F82" s="24" t="s">
        <v>283</v>
      </c>
      <c r="G82" s="110"/>
      <c r="H82" s="110"/>
    </row>
    <row r="83" spans="1:8" x14ac:dyDescent="0.25">
      <c r="A83" s="23">
        <v>126</v>
      </c>
      <c r="B83" s="24" t="s">
        <v>261</v>
      </c>
      <c r="C83" s="23" t="s">
        <v>10</v>
      </c>
      <c r="D83" s="24" t="s">
        <v>10</v>
      </c>
      <c r="E83" s="23" t="s">
        <v>282</v>
      </c>
      <c r="F83" s="24" t="s">
        <v>292</v>
      </c>
      <c r="G83" s="110" t="s">
        <v>353</v>
      </c>
      <c r="H83" s="110" t="s">
        <v>354</v>
      </c>
    </row>
    <row r="84" spans="1:8" x14ac:dyDescent="0.25">
      <c r="A84" s="23">
        <v>127</v>
      </c>
      <c r="B84" s="24" t="s">
        <v>254</v>
      </c>
      <c r="C84" s="23" t="s">
        <v>10</v>
      </c>
      <c r="D84" s="24" t="s">
        <v>10</v>
      </c>
      <c r="E84" s="23" t="s">
        <v>282</v>
      </c>
      <c r="F84" s="24" t="s">
        <v>292</v>
      </c>
      <c r="G84" s="110" t="s">
        <v>355</v>
      </c>
      <c r="H84" s="110" t="s">
        <v>356</v>
      </c>
    </row>
    <row r="85" spans="1:8" x14ac:dyDescent="0.25">
      <c r="A85" s="23">
        <v>129</v>
      </c>
      <c r="B85" s="24" t="s">
        <v>254</v>
      </c>
      <c r="C85" s="23" t="s">
        <v>10</v>
      </c>
      <c r="D85" s="24" t="s">
        <v>10</v>
      </c>
      <c r="E85" s="23" t="s">
        <v>282</v>
      </c>
      <c r="F85" s="24" t="s">
        <v>283</v>
      </c>
      <c r="G85" s="110"/>
      <c r="H85" s="110"/>
    </row>
    <row r="86" spans="1:8" x14ac:dyDescent="0.25">
      <c r="A86" s="23">
        <v>130</v>
      </c>
      <c r="B86" s="24" t="s">
        <v>120</v>
      </c>
      <c r="C86" s="23" t="s">
        <v>10</v>
      </c>
      <c r="D86" s="24" t="s">
        <v>10</v>
      </c>
      <c r="E86" s="23" t="s">
        <v>282</v>
      </c>
      <c r="F86" s="24" t="s">
        <v>283</v>
      </c>
      <c r="G86" s="110"/>
      <c r="H86" s="110"/>
    </row>
    <row r="87" spans="1:8" x14ac:dyDescent="0.25">
      <c r="A87" s="23">
        <v>131</v>
      </c>
      <c r="B87" s="24" t="s">
        <v>357</v>
      </c>
      <c r="C87" s="23" t="s">
        <v>10</v>
      </c>
      <c r="D87" s="24" t="s">
        <v>358</v>
      </c>
      <c r="E87" s="23" t="s">
        <v>282</v>
      </c>
      <c r="F87" s="24" t="s">
        <v>292</v>
      </c>
      <c r="G87" s="110" t="s">
        <v>359</v>
      </c>
      <c r="H87" s="110" t="s">
        <v>360</v>
      </c>
    </row>
    <row r="88" spans="1:8" x14ac:dyDescent="0.25">
      <c r="A88" s="23">
        <v>132</v>
      </c>
      <c r="B88" s="24" t="s">
        <v>255</v>
      </c>
      <c r="C88" s="23" t="s">
        <v>10</v>
      </c>
      <c r="D88" s="24" t="s">
        <v>361</v>
      </c>
      <c r="E88" s="23" t="s">
        <v>282</v>
      </c>
      <c r="F88" s="24" t="s">
        <v>292</v>
      </c>
      <c r="G88" s="110" t="s">
        <v>362</v>
      </c>
      <c r="H88" s="110" t="s">
        <v>363</v>
      </c>
    </row>
    <row r="89" spans="1:8" x14ac:dyDescent="0.25">
      <c r="A89" s="23">
        <v>134</v>
      </c>
      <c r="B89" s="24" t="s">
        <v>130</v>
      </c>
      <c r="C89" s="23" t="s">
        <v>13</v>
      </c>
      <c r="D89" s="24" t="s">
        <v>13</v>
      </c>
      <c r="E89" s="23" t="s">
        <v>282</v>
      </c>
      <c r="F89" s="24" t="s">
        <v>283</v>
      </c>
      <c r="G89" s="110"/>
      <c r="H89" s="110"/>
    </row>
    <row r="90" spans="1:8" x14ac:dyDescent="0.25">
      <c r="A90" s="23">
        <v>141</v>
      </c>
      <c r="B90" s="24" t="s">
        <v>133</v>
      </c>
      <c r="C90" s="23" t="s">
        <v>13</v>
      </c>
      <c r="D90" s="24" t="s">
        <v>13</v>
      </c>
      <c r="E90" s="23" t="s">
        <v>282</v>
      </c>
      <c r="F90" s="24" t="s">
        <v>283</v>
      </c>
      <c r="G90" s="110"/>
      <c r="H90" s="110"/>
    </row>
    <row r="91" spans="1:8" x14ac:dyDescent="0.25">
      <c r="A91" s="23">
        <v>144</v>
      </c>
      <c r="B91" s="24" t="s">
        <v>135</v>
      </c>
      <c r="C91" s="23" t="s">
        <v>13</v>
      </c>
      <c r="D91" s="24" t="s">
        <v>13</v>
      </c>
      <c r="E91" s="23" t="s">
        <v>282</v>
      </c>
      <c r="F91" s="24" t="s">
        <v>283</v>
      </c>
      <c r="G91" s="110"/>
      <c r="H91" s="110"/>
    </row>
    <row r="92" spans="1:8" x14ac:dyDescent="0.25">
      <c r="A92" s="23">
        <v>145</v>
      </c>
      <c r="B92" s="24" t="s">
        <v>149</v>
      </c>
      <c r="C92" s="23" t="s">
        <v>364</v>
      </c>
      <c r="D92" s="24" t="s">
        <v>365</v>
      </c>
      <c r="E92" s="23" t="s">
        <v>282</v>
      </c>
      <c r="F92" s="24" t="s">
        <v>283</v>
      </c>
      <c r="G92" s="110"/>
      <c r="H92" s="110"/>
    </row>
    <row r="93" spans="1:8" x14ac:dyDescent="0.25">
      <c r="A93" s="23">
        <v>148</v>
      </c>
      <c r="B93" s="24" t="s">
        <v>258</v>
      </c>
      <c r="C93" s="23" t="s">
        <v>13</v>
      </c>
      <c r="D93" s="24" t="s">
        <v>13</v>
      </c>
      <c r="E93" s="23" t="s">
        <v>282</v>
      </c>
      <c r="F93" s="24" t="s">
        <v>283</v>
      </c>
      <c r="G93" s="110"/>
      <c r="H93" s="110"/>
    </row>
    <row r="94" spans="1:8" x14ac:dyDescent="0.25">
      <c r="A94" s="23">
        <v>149</v>
      </c>
      <c r="B94" s="24" t="s">
        <v>132</v>
      </c>
      <c r="C94" s="23" t="s">
        <v>13</v>
      </c>
      <c r="D94" s="24" t="s">
        <v>13</v>
      </c>
      <c r="E94" s="23" t="s">
        <v>282</v>
      </c>
      <c r="F94" s="24" t="s">
        <v>283</v>
      </c>
      <c r="G94" s="110"/>
      <c r="H94" s="110"/>
    </row>
    <row r="95" spans="1:8" x14ac:dyDescent="0.25">
      <c r="A95" s="23">
        <v>155</v>
      </c>
      <c r="B95" s="24" t="s">
        <v>156</v>
      </c>
      <c r="C95" s="23" t="s">
        <v>366</v>
      </c>
      <c r="D95" s="24" t="s">
        <v>367</v>
      </c>
      <c r="E95" s="23" t="s">
        <v>282</v>
      </c>
      <c r="F95" s="24" t="s">
        <v>283</v>
      </c>
      <c r="G95" s="110"/>
      <c r="H95" s="110"/>
    </row>
    <row r="96" spans="1:8" x14ac:dyDescent="0.25">
      <c r="A96" s="23">
        <v>156</v>
      </c>
      <c r="B96" s="24" t="s">
        <v>157</v>
      </c>
      <c r="C96" s="23" t="s">
        <v>366</v>
      </c>
      <c r="D96" s="24" t="s">
        <v>366</v>
      </c>
      <c r="E96" s="23" t="s">
        <v>282</v>
      </c>
      <c r="F96" s="24" t="s">
        <v>283</v>
      </c>
      <c r="G96" s="110"/>
      <c r="H96" s="110"/>
    </row>
    <row r="97" spans="1:8" x14ac:dyDescent="0.25">
      <c r="A97" s="23">
        <v>158</v>
      </c>
      <c r="B97" s="24" t="s">
        <v>158</v>
      </c>
      <c r="C97" s="23" t="s">
        <v>366</v>
      </c>
      <c r="D97" s="24" t="s">
        <v>368</v>
      </c>
      <c r="E97" s="23" t="s">
        <v>282</v>
      </c>
      <c r="F97" s="24" t="s">
        <v>283</v>
      </c>
      <c r="G97" s="110"/>
      <c r="H97" s="110"/>
    </row>
    <row r="98" spans="1:8" x14ac:dyDescent="0.25">
      <c r="A98" s="23">
        <v>160</v>
      </c>
      <c r="B98" s="24" t="s">
        <v>369</v>
      </c>
      <c r="C98" s="23" t="s">
        <v>4</v>
      </c>
      <c r="D98" s="24" t="s">
        <v>4</v>
      </c>
      <c r="E98" s="23" t="s">
        <v>282</v>
      </c>
      <c r="F98" s="24" t="s">
        <v>283</v>
      </c>
      <c r="G98" s="110"/>
      <c r="H98" s="110"/>
    </row>
    <row r="99" spans="1:8" x14ac:dyDescent="0.25">
      <c r="A99" s="23">
        <v>161</v>
      </c>
      <c r="B99" s="24" t="s">
        <v>370</v>
      </c>
      <c r="C99" s="23" t="s">
        <v>4</v>
      </c>
      <c r="D99" s="24" t="s">
        <v>4</v>
      </c>
      <c r="E99" s="23" t="s">
        <v>282</v>
      </c>
      <c r="F99" s="24" t="s">
        <v>283</v>
      </c>
      <c r="G99" s="110"/>
      <c r="H99" s="110"/>
    </row>
    <row r="100" spans="1:8" x14ac:dyDescent="0.25">
      <c r="A100" s="109">
        <v>164</v>
      </c>
      <c r="B100" s="24" t="s">
        <v>371</v>
      </c>
      <c r="C100" s="23" t="s">
        <v>4</v>
      </c>
      <c r="D100" s="24" t="s">
        <v>4</v>
      </c>
      <c r="E100" s="23" t="s">
        <v>282</v>
      </c>
      <c r="F100" s="24" t="s">
        <v>283</v>
      </c>
      <c r="G100" s="110" t="s">
        <v>372</v>
      </c>
      <c r="H100" s="110" t="s">
        <v>373</v>
      </c>
    </row>
    <row r="101" spans="1:8" x14ac:dyDescent="0.25">
      <c r="A101" s="23">
        <v>168</v>
      </c>
      <c r="B101" s="24" t="s">
        <v>374</v>
      </c>
      <c r="C101" s="23" t="s">
        <v>366</v>
      </c>
      <c r="D101" s="24" t="s">
        <v>366</v>
      </c>
      <c r="E101" s="23" t="s">
        <v>282</v>
      </c>
      <c r="F101" s="24" t="s">
        <v>283</v>
      </c>
      <c r="G101" s="110"/>
      <c r="H101" s="110" t="s">
        <v>375</v>
      </c>
    </row>
    <row r="102" spans="1:8" x14ac:dyDescent="0.25">
      <c r="A102" s="23">
        <v>169</v>
      </c>
      <c r="B102" s="24" t="s">
        <v>376</v>
      </c>
      <c r="C102" s="23" t="s">
        <v>366</v>
      </c>
      <c r="D102" s="24" t="s">
        <v>366</v>
      </c>
      <c r="E102" s="23" t="s">
        <v>282</v>
      </c>
      <c r="F102" s="24" t="s">
        <v>283</v>
      </c>
      <c r="G102" s="110"/>
      <c r="H102" s="110"/>
    </row>
    <row r="103" spans="1:8" x14ac:dyDescent="0.25">
      <c r="A103" s="23">
        <v>171</v>
      </c>
      <c r="B103" s="24" t="s">
        <v>377</v>
      </c>
      <c r="C103" s="23" t="s">
        <v>366</v>
      </c>
      <c r="D103" s="24" t="s">
        <v>366</v>
      </c>
      <c r="E103" s="23" t="s">
        <v>282</v>
      </c>
      <c r="F103" s="24" t="s">
        <v>283</v>
      </c>
      <c r="G103" s="110"/>
      <c r="H103" s="110" t="s">
        <v>378</v>
      </c>
    </row>
    <row r="104" spans="1:8" x14ac:dyDescent="0.25">
      <c r="A104" s="23">
        <v>172</v>
      </c>
      <c r="B104" s="24" t="s">
        <v>208</v>
      </c>
      <c r="C104" s="23" t="s">
        <v>366</v>
      </c>
      <c r="D104" s="24" t="s">
        <v>366</v>
      </c>
      <c r="E104" s="23" t="s">
        <v>282</v>
      </c>
      <c r="F104" s="24" t="s">
        <v>283</v>
      </c>
      <c r="G104" s="110"/>
      <c r="H104" s="110"/>
    </row>
    <row r="105" spans="1:8" x14ac:dyDescent="0.25">
      <c r="A105" s="23">
        <v>173</v>
      </c>
      <c r="B105" s="24" t="s">
        <v>239</v>
      </c>
      <c r="C105" s="23" t="s">
        <v>366</v>
      </c>
      <c r="D105" s="24" t="s">
        <v>366</v>
      </c>
      <c r="E105" s="23" t="s">
        <v>282</v>
      </c>
      <c r="F105" s="24" t="s">
        <v>283</v>
      </c>
      <c r="G105" s="110" t="s">
        <v>379</v>
      </c>
      <c r="H105" s="110"/>
    </row>
    <row r="106" spans="1:8" x14ac:dyDescent="0.25">
      <c r="A106" s="23">
        <v>175</v>
      </c>
      <c r="B106" s="24" t="s">
        <v>380</v>
      </c>
      <c r="C106" s="23" t="s">
        <v>366</v>
      </c>
      <c r="D106" s="24" t="s">
        <v>366</v>
      </c>
      <c r="E106" s="23" t="s">
        <v>282</v>
      </c>
      <c r="F106" s="24" t="s">
        <v>283</v>
      </c>
      <c r="G106" s="110"/>
      <c r="H106" s="110"/>
    </row>
    <row r="107" spans="1:8" x14ac:dyDescent="0.25">
      <c r="A107" s="23">
        <v>176</v>
      </c>
      <c r="B107" s="24" t="s">
        <v>381</v>
      </c>
      <c r="C107" s="23" t="s">
        <v>366</v>
      </c>
      <c r="D107" s="24" t="s">
        <v>366</v>
      </c>
      <c r="E107" s="23" t="s">
        <v>282</v>
      </c>
      <c r="F107" s="24" t="s">
        <v>283</v>
      </c>
      <c r="G107" s="110" t="s">
        <v>382</v>
      </c>
      <c r="H107" s="110"/>
    </row>
    <row r="108" spans="1:8" x14ac:dyDescent="0.25">
      <c r="A108" s="23">
        <v>178</v>
      </c>
      <c r="B108" s="24" t="s">
        <v>210</v>
      </c>
      <c r="C108" s="23" t="s">
        <v>366</v>
      </c>
      <c r="D108" s="24" t="s">
        <v>366</v>
      </c>
      <c r="E108" s="23" t="s">
        <v>282</v>
      </c>
      <c r="F108" s="24" t="s">
        <v>283</v>
      </c>
      <c r="G108" s="110"/>
      <c r="H108" s="110"/>
    </row>
    <row r="109" spans="1:8" x14ac:dyDescent="0.25">
      <c r="A109" s="23">
        <v>183</v>
      </c>
      <c r="B109" s="24" t="s">
        <v>383</v>
      </c>
      <c r="C109" s="23" t="s">
        <v>13</v>
      </c>
      <c r="D109" s="24" t="s">
        <v>384</v>
      </c>
      <c r="E109" s="23" t="s">
        <v>282</v>
      </c>
      <c r="F109" s="24" t="s">
        <v>283</v>
      </c>
      <c r="G109" s="110"/>
      <c r="H109" s="110"/>
    </row>
    <row r="110" spans="1:8" x14ac:dyDescent="0.25">
      <c r="A110" s="23">
        <v>188</v>
      </c>
      <c r="B110" s="24" t="s">
        <v>213</v>
      </c>
      <c r="C110" s="23" t="s">
        <v>385</v>
      </c>
      <c r="D110" s="24" t="s">
        <v>385</v>
      </c>
      <c r="E110" s="23" t="s">
        <v>282</v>
      </c>
      <c r="F110" s="24" t="s">
        <v>283</v>
      </c>
      <c r="G110" s="110"/>
      <c r="H110" s="110"/>
    </row>
    <row r="111" spans="1:8" x14ac:dyDescent="0.25">
      <c r="A111" s="23">
        <v>190</v>
      </c>
      <c r="B111" s="24" t="s">
        <v>386</v>
      </c>
      <c r="C111" s="23" t="s">
        <v>22</v>
      </c>
      <c r="D111" s="24" t="s">
        <v>22</v>
      </c>
      <c r="E111" s="23" t="s">
        <v>282</v>
      </c>
      <c r="F111" s="24" t="s">
        <v>283</v>
      </c>
      <c r="G111" s="110"/>
      <c r="H111" s="110"/>
    </row>
    <row r="112" spans="1:8" x14ac:dyDescent="0.25">
      <c r="A112" s="23">
        <v>191</v>
      </c>
      <c r="B112" s="24" t="s">
        <v>162</v>
      </c>
      <c r="C112" s="23" t="s">
        <v>387</v>
      </c>
      <c r="D112" s="24" t="s">
        <v>387</v>
      </c>
      <c r="E112" s="23" t="s">
        <v>282</v>
      </c>
      <c r="F112" s="24" t="s">
        <v>283</v>
      </c>
      <c r="G112" s="110"/>
      <c r="H112" s="110"/>
    </row>
    <row r="113" spans="1:8" x14ac:dyDescent="0.25">
      <c r="A113" s="23">
        <v>196</v>
      </c>
      <c r="B113" s="24" t="s">
        <v>122</v>
      </c>
      <c r="C113" s="23" t="s">
        <v>11</v>
      </c>
      <c r="D113" s="24" t="s">
        <v>11</v>
      </c>
      <c r="E113" s="23" t="s">
        <v>282</v>
      </c>
      <c r="F113" s="24" t="s">
        <v>283</v>
      </c>
      <c r="G113" s="110"/>
      <c r="H113" s="110"/>
    </row>
    <row r="114" spans="1:8" x14ac:dyDescent="0.25">
      <c r="A114" s="23">
        <v>197</v>
      </c>
      <c r="B114" s="24" t="s">
        <v>114</v>
      </c>
      <c r="C114" s="23" t="s">
        <v>10</v>
      </c>
      <c r="D114" s="24" t="s">
        <v>388</v>
      </c>
      <c r="E114" s="23" t="s">
        <v>282</v>
      </c>
      <c r="F114" s="24" t="s">
        <v>283</v>
      </c>
      <c r="G114" s="110"/>
      <c r="H114" s="110"/>
    </row>
    <row r="115" spans="1:8" x14ac:dyDescent="0.25">
      <c r="A115" s="23">
        <v>198</v>
      </c>
      <c r="B115" s="24" t="s">
        <v>115</v>
      </c>
      <c r="C115" s="23" t="s">
        <v>10</v>
      </c>
      <c r="D115" s="24" t="s">
        <v>389</v>
      </c>
      <c r="E115" s="23" t="s">
        <v>282</v>
      </c>
      <c r="F115" s="24" t="s">
        <v>283</v>
      </c>
      <c r="G115" s="110"/>
      <c r="H115" s="110"/>
    </row>
    <row r="116" spans="1:8" x14ac:dyDescent="0.25">
      <c r="A116" s="23">
        <v>199</v>
      </c>
      <c r="B116" s="24" t="s">
        <v>390</v>
      </c>
      <c r="C116" s="23" t="s">
        <v>10</v>
      </c>
      <c r="D116" s="24" t="s">
        <v>10</v>
      </c>
      <c r="E116" s="23" t="s">
        <v>322</v>
      </c>
      <c r="F116" s="24" t="s">
        <v>283</v>
      </c>
      <c r="G116" s="110"/>
      <c r="H116" s="110"/>
    </row>
    <row r="117" spans="1:8" x14ac:dyDescent="0.25">
      <c r="A117" s="23">
        <v>201</v>
      </c>
      <c r="B117" s="24" t="s">
        <v>228</v>
      </c>
      <c r="C117" s="23" t="s">
        <v>10</v>
      </c>
      <c r="D117" s="24" t="s">
        <v>391</v>
      </c>
      <c r="E117" s="23" t="s">
        <v>282</v>
      </c>
      <c r="F117" s="24" t="s">
        <v>283</v>
      </c>
      <c r="G117" s="110"/>
      <c r="H117" s="110"/>
    </row>
    <row r="118" spans="1:8" x14ac:dyDescent="0.25">
      <c r="A118" s="23">
        <v>202</v>
      </c>
      <c r="B118" s="24" t="s">
        <v>392</v>
      </c>
      <c r="C118" s="23" t="s">
        <v>10</v>
      </c>
      <c r="D118" s="24" t="s">
        <v>361</v>
      </c>
      <c r="E118" s="23" t="s">
        <v>282</v>
      </c>
      <c r="F118" s="24" t="s">
        <v>283</v>
      </c>
      <c r="G118" s="110"/>
      <c r="H118" s="110"/>
    </row>
    <row r="119" spans="1:8" x14ac:dyDescent="0.25">
      <c r="A119" s="23">
        <v>203</v>
      </c>
      <c r="B119" s="24" t="s">
        <v>252</v>
      </c>
      <c r="C119" s="23" t="s">
        <v>10</v>
      </c>
      <c r="D119" s="24" t="s">
        <v>391</v>
      </c>
      <c r="E119" s="23" t="s">
        <v>282</v>
      </c>
      <c r="F119" s="24" t="s">
        <v>283</v>
      </c>
      <c r="G119" s="110"/>
      <c r="H119" s="110"/>
    </row>
    <row r="120" spans="1:8" x14ac:dyDescent="0.25">
      <c r="A120" s="23">
        <v>204</v>
      </c>
      <c r="B120" s="24" t="s">
        <v>393</v>
      </c>
      <c r="C120" s="23" t="s">
        <v>289</v>
      </c>
      <c r="D120" s="24" t="s">
        <v>289</v>
      </c>
      <c r="E120" s="23" t="s">
        <v>322</v>
      </c>
      <c r="F120" s="24" t="s">
        <v>283</v>
      </c>
      <c r="G120" s="110"/>
      <c r="H120" s="110"/>
    </row>
    <row r="121" spans="1:8" x14ac:dyDescent="0.25">
      <c r="A121" s="23">
        <v>205</v>
      </c>
      <c r="B121" s="24" t="s">
        <v>394</v>
      </c>
      <c r="C121" s="23" t="s">
        <v>3</v>
      </c>
      <c r="D121" s="24" t="s">
        <v>288</v>
      </c>
      <c r="E121" s="23" t="s">
        <v>282</v>
      </c>
      <c r="F121" s="24" t="s">
        <v>283</v>
      </c>
      <c r="G121" s="110"/>
      <c r="H121" s="110"/>
    </row>
    <row r="122" spans="1:8" x14ac:dyDescent="0.25">
      <c r="A122" s="23">
        <v>206</v>
      </c>
      <c r="B122" s="24" t="s">
        <v>62</v>
      </c>
      <c r="C122" s="23" t="s">
        <v>3</v>
      </c>
      <c r="D122" s="24" t="s">
        <v>289</v>
      </c>
      <c r="E122" s="23" t="s">
        <v>282</v>
      </c>
      <c r="F122" s="24" t="s">
        <v>283</v>
      </c>
      <c r="G122" s="110"/>
      <c r="H122" s="110"/>
    </row>
    <row r="123" spans="1:8" x14ac:dyDescent="0.25">
      <c r="A123" s="23">
        <v>207</v>
      </c>
      <c r="B123" s="24" t="s">
        <v>63</v>
      </c>
      <c r="C123" s="23" t="s">
        <v>3</v>
      </c>
      <c r="D123" s="24" t="s">
        <v>289</v>
      </c>
      <c r="E123" s="23" t="s">
        <v>282</v>
      </c>
      <c r="F123" s="24" t="s">
        <v>283</v>
      </c>
      <c r="G123" s="110"/>
      <c r="H123" s="110"/>
    </row>
    <row r="124" spans="1:8" x14ac:dyDescent="0.25">
      <c r="A124" s="23">
        <v>209</v>
      </c>
      <c r="B124" s="24" t="s">
        <v>395</v>
      </c>
      <c r="C124" s="23" t="s">
        <v>3</v>
      </c>
      <c r="D124" s="24" t="s">
        <v>288</v>
      </c>
      <c r="E124" s="23" t="s">
        <v>282</v>
      </c>
      <c r="F124" s="24" t="s">
        <v>283</v>
      </c>
      <c r="G124" s="110"/>
      <c r="H124" s="110"/>
    </row>
    <row r="125" spans="1:8" x14ac:dyDescent="0.25">
      <c r="A125" s="23">
        <v>211</v>
      </c>
      <c r="B125" s="24" t="s">
        <v>44</v>
      </c>
      <c r="C125" s="23" t="s">
        <v>2</v>
      </c>
      <c r="D125" s="24" t="s">
        <v>2</v>
      </c>
      <c r="E125" s="23" t="s">
        <v>282</v>
      </c>
      <c r="F125" s="24" t="s">
        <v>283</v>
      </c>
      <c r="G125" s="110"/>
      <c r="H125" s="110"/>
    </row>
    <row r="126" spans="1:8" x14ac:dyDescent="0.25">
      <c r="A126" s="23">
        <v>215</v>
      </c>
      <c r="B126" s="24" t="s">
        <v>187</v>
      </c>
      <c r="C126" s="23" t="s">
        <v>17</v>
      </c>
      <c r="D126" s="24" t="s">
        <v>396</v>
      </c>
      <c r="E126" s="23" t="s">
        <v>282</v>
      </c>
      <c r="F126" s="24" t="s">
        <v>283</v>
      </c>
      <c r="G126" s="110"/>
      <c r="H126" s="110"/>
    </row>
    <row r="127" spans="1:8" x14ac:dyDescent="0.25">
      <c r="A127" s="23">
        <v>216</v>
      </c>
      <c r="B127" s="24" t="s">
        <v>189</v>
      </c>
      <c r="C127" s="23" t="s">
        <v>17</v>
      </c>
      <c r="D127" s="24" t="s">
        <v>324</v>
      </c>
      <c r="E127" s="23" t="s">
        <v>282</v>
      </c>
      <c r="F127" s="24" t="s">
        <v>283</v>
      </c>
      <c r="G127" s="110"/>
      <c r="H127" s="110"/>
    </row>
    <row r="128" spans="1:8" x14ac:dyDescent="0.25">
      <c r="A128" s="23">
        <v>217</v>
      </c>
      <c r="B128" s="24" t="s">
        <v>190</v>
      </c>
      <c r="C128" s="23" t="s">
        <v>17</v>
      </c>
      <c r="D128" s="24" t="s">
        <v>396</v>
      </c>
      <c r="E128" s="23" t="s">
        <v>282</v>
      </c>
      <c r="F128" s="24" t="s">
        <v>283</v>
      </c>
      <c r="G128" s="110"/>
      <c r="H128" s="110"/>
    </row>
    <row r="129" spans="1:8" x14ac:dyDescent="0.25">
      <c r="A129" s="23">
        <v>220</v>
      </c>
      <c r="B129" s="24" t="s">
        <v>192</v>
      </c>
      <c r="C129" s="23" t="s">
        <v>17</v>
      </c>
      <c r="D129" s="24" t="s">
        <v>325</v>
      </c>
      <c r="E129" s="23" t="s">
        <v>282</v>
      </c>
      <c r="F129" s="24" t="s">
        <v>283</v>
      </c>
      <c r="G129" s="110"/>
      <c r="H129" s="110"/>
    </row>
    <row r="130" spans="1:8" x14ac:dyDescent="0.25">
      <c r="A130" s="23">
        <v>222</v>
      </c>
      <c r="B130" s="24" t="s">
        <v>175</v>
      </c>
      <c r="C130" s="23" t="s">
        <v>15</v>
      </c>
      <c r="D130" s="24" t="s">
        <v>15</v>
      </c>
      <c r="E130" s="23" t="s">
        <v>282</v>
      </c>
      <c r="F130" s="24" t="s">
        <v>283</v>
      </c>
      <c r="G130" s="110"/>
      <c r="H130" s="110"/>
    </row>
    <row r="131" spans="1:8" x14ac:dyDescent="0.25">
      <c r="A131" s="23">
        <v>225</v>
      </c>
      <c r="B131" s="24" t="s">
        <v>397</v>
      </c>
      <c r="C131" s="23" t="s">
        <v>364</v>
      </c>
      <c r="D131" s="24" t="s">
        <v>398</v>
      </c>
      <c r="E131" s="23" t="s">
        <v>322</v>
      </c>
      <c r="F131" s="24" t="s">
        <v>283</v>
      </c>
      <c r="G131" s="110"/>
      <c r="H131" s="110"/>
    </row>
    <row r="132" spans="1:8" x14ac:dyDescent="0.25">
      <c r="A132" s="23">
        <v>227</v>
      </c>
      <c r="B132" s="24" t="s">
        <v>399</v>
      </c>
      <c r="C132" s="23" t="s">
        <v>364</v>
      </c>
      <c r="D132" s="24" t="s">
        <v>400</v>
      </c>
      <c r="E132" s="23" t="s">
        <v>322</v>
      </c>
      <c r="F132" s="24" t="s">
        <v>283</v>
      </c>
      <c r="G132" s="110"/>
      <c r="H132" s="110"/>
    </row>
    <row r="133" spans="1:8" x14ac:dyDescent="0.25">
      <c r="A133" s="23">
        <v>228</v>
      </c>
      <c r="B133" s="24" t="s">
        <v>401</v>
      </c>
      <c r="C133" s="23" t="s">
        <v>364</v>
      </c>
      <c r="D133" s="24" t="s">
        <v>400</v>
      </c>
      <c r="E133" s="23" t="s">
        <v>322</v>
      </c>
      <c r="F133" s="24" t="s">
        <v>283</v>
      </c>
      <c r="G133" s="110"/>
      <c r="H133" s="110"/>
    </row>
    <row r="134" spans="1:8" x14ac:dyDescent="0.25">
      <c r="A134" s="23">
        <v>229</v>
      </c>
      <c r="B134" s="24" t="s">
        <v>402</v>
      </c>
      <c r="C134" s="23" t="s">
        <v>364</v>
      </c>
      <c r="D134" s="24" t="s">
        <v>400</v>
      </c>
      <c r="E134" s="23" t="s">
        <v>322</v>
      </c>
      <c r="F134" s="24" t="s">
        <v>283</v>
      </c>
      <c r="G134" s="110"/>
      <c r="H134" s="110"/>
    </row>
    <row r="135" spans="1:8" x14ac:dyDescent="0.25">
      <c r="A135" s="23">
        <v>230</v>
      </c>
      <c r="B135" s="24" t="s">
        <v>403</v>
      </c>
      <c r="C135" s="23" t="s">
        <v>364</v>
      </c>
      <c r="D135" s="24" t="s">
        <v>400</v>
      </c>
      <c r="E135" s="23" t="s">
        <v>322</v>
      </c>
      <c r="F135" s="24" t="s">
        <v>283</v>
      </c>
      <c r="G135" s="110"/>
      <c r="H135" s="110"/>
    </row>
    <row r="136" spans="1:8" x14ac:dyDescent="0.25">
      <c r="A136" s="23">
        <v>237</v>
      </c>
      <c r="B136" s="24" t="s">
        <v>82</v>
      </c>
      <c r="C136" s="23" t="s">
        <v>4</v>
      </c>
      <c r="D136" s="24" t="s">
        <v>4</v>
      </c>
      <c r="E136" s="23" t="s">
        <v>282</v>
      </c>
      <c r="F136" s="24" t="s">
        <v>283</v>
      </c>
      <c r="G136" s="110"/>
      <c r="H136" s="110"/>
    </row>
    <row r="137" spans="1:8" x14ac:dyDescent="0.25">
      <c r="A137" s="23">
        <v>238</v>
      </c>
      <c r="B137" s="24" t="s">
        <v>83</v>
      </c>
      <c r="C137" s="23" t="s">
        <v>4</v>
      </c>
      <c r="D137" s="24" t="s">
        <v>4</v>
      </c>
      <c r="E137" s="23" t="s">
        <v>282</v>
      </c>
      <c r="F137" s="24" t="s">
        <v>283</v>
      </c>
      <c r="G137" s="110"/>
      <c r="H137" s="110"/>
    </row>
    <row r="138" spans="1:8" x14ac:dyDescent="0.25">
      <c r="A138" s="23">
        <v>239</v>
      </c>
      <c r="B138" s="24" t="s">
        <v>84</v>
      </c>
      <c r="C138" s="23" t="s">
        <v>4</v>
      </c>
      <c r="D138" s="24" t="s">
        <v>4</v>
      </c>
      <c r="E138" s="23" t="s">
        <v>282</v>
      </c>
      <c r="F138" s="24" t="s">
        <v>283</v>
      </c>
      <c r="G138" s="110"/>
      <c r="H138" s="110"/>
    </row>
    <row r="139" spans="1:8" x14ac:dyDescent="0.25">
      <c r="A139" s="23">
        <v>240</v>
      </c>
      <c r="B139" s="24" t="s">
        <v>85</v>
      </c>
      <c r="C139" s="23" t="s">
        <v>4</v>
      </c>
      <c r="D139" s="24" t="s">
        <v>4</v>
      </c>
      <c r="E139" s="23" t="s">
        <v>282</v>
      </c>
      <c r="F139" s="24" t="s">
        <v>283</v>
      </c>
      <c r="G139" s="110"/>
      <c r="H139" s="110"/>
    </row>
    <row r="140" spans="1:8" x14ac:dyDescent="0.25">
      <c r="A140" s="23">
        <v>241</v>
      </c>
      <c r="B140" s="24" t="s">
        <v>404</v>
      </c>
      <c r="C140" s="23" t="s">
        <v>3</v>
      </c>
      <c r="D140" s="24" t="s">
        <v>405</v>
      </c>
      <c r="E140" s="23" t="s">
        <v>282</v>
      </c>
      <c r="F140" s="24" t="s">
        <v>283</v>
      </c>
      <c r="G140" s="110"/>
      <c r="H140" s="110"/>
    </row>
    <row r="141" spans="1:8" x14ac:dyDescent="0.25">
      <c r="A141" s="23">
        <v>242</v>
      </c>
      <c r="B141" s="24" t="s">
        <v>298</v>
      </c>
      <c r="C141" s="23" t="s">
        <v>4</v>
      </c>
      <c r="D141" s="24" t="s">
        <v>4</v>
      </c>
      <c r="E141" s="23" t="s">
        <v>282</v>
      </c>
      <c r="F141" s="24" t="s">
        <v>283</v>
      </c>
      <c r="G141" s="110"/>
      <c r="H141" s="110"/>
    </row>
    <row r="142" spans="1:8" x14ac:dyDescent="0.25">
      <c r="A142" s="23">
        <v>243</v>
      </c>
      <c r="B142" s="24" t="s">
        <v>87</v>
      </c>
      <c r="C142" s="23" t="s">
        <v>4</v>
      </c>
      <c r="D142" s="24" t="s">
        <v>4</v>
      </c>
      <c r="E142" s="23" t="s">
        <v>282</v>
      </c>
      <c r="F142" s="24" t="s">
        <v>283</v>
      </c>
      <c r="G142" s="110"/>
      <c r="H142" s="110"/>
    </row>
    <row r="143" spans="1:8" x14ac:dyDescent="0.25">
      <c r="A143" s="23">
        <v>244</v>
      </c>
      <c r="B143" s="24" t="s">
        <v>301</v>
      </c>
      <c r="C143" s="23" t="s">
        <v>291</v>
      </c>
      <c r="D143" s="24" t="s">
        <v>302</v>
      </c>
      <c r="E143" s="23" t="s">
        <v>282</v>
      </c>
      <c r="F143" s="24" t="s">
        <v>283</v>
      </c>
      <c r="G143" s="110" t="s">
        <v>406</v>
      </c>
      <c r="H143" s="110"/>
    </row>
    <row r="144" spans="1:8" x14ac:dyDescent="0.25">
      <c r="A144" s="23">
        <v>245</v>
      </c>
      <c r="B144" s="24" t="s">
        <v>103</v>
      </c>
      <c r="C144" s="23" t="s">
        <v>291</v>
      </c>
      <c r="D144" s="24" t="s">
        <v>291</v>
      </c>
      <c r="E144" s="23" t="s">
        <v>282</v>
      </c>
      <c r="F144" s="24" t="s">
        <v>283</v>
      </c>
      <c r="G144" s="110"/>
      <c r="H144" s="110"/>
    </row>
    <row r="145" spans="1:8" x14ac:dyDescent="0.25">
      <c r="A145" s="23">
        <v>246</v>
      </c>
      <c r="B145" s="24" t="s">
        <v>305</v>
      </c>
      <c r="C145" s="23" t="s">
        <v>291</v>
      </c>
      <c r="D145" s="24" t="s">
        <v>291</v>
      </c>
      <c r="E145" s="23" t="s">
        <v>282</v>
      </c>
      <c r="F145" s="24" t="s">
        <v>283</v>
      </c>
      <c r="G145" s="110"/>
      <c r="H145" s="110"/>
    </row>
    <row r="146" spans="1:8" x14ac:dyDescent="0.25">
      <c r="A146" s="23">
        <v>247</v>
      </c>
      <c r="B146" s="24" t="s">
        <v>407</v>
      </c>
      <c r="C146" s="23" t="s">
        <v>3</v>
      </c>
      <c r="D146" s="24" t="s">
        <v>408</v>
      </c>
      <c r="E146" s="23" t="s">
        <v>282</v>
      </c>
      <c r="F146" s="24" t="s">
        <v>283</v>
      </c>
      <c r="G146" s="110"/>
      <c r="H146" s="110"/>
    </row>
    <row r="147" spans="1:8" x14ac:dyDescent="0.25">
      <c r="A147" s="23">
        <v>248</v>
      </c>
      <c r="B147" s="24" t="s">
        <v>409</v>
      </c>
      <c r="C147" s="23" t="s">
        <v>3</v>
      </c>
      <c r="D147" s="24" t="s">
        <v>408</v>
      </c>
      <c r="E147" s="23" t="s">
        <v>282</v>
      </c>
      <c r="F147" s="24" t="s">
        <v>283</v>
      </c>
      <c r="G147" s="110"/>
      <c r="H147" s="110"/>
    </row>
    <row r="148" spans="1:8" x14ac:dyDescent="0.25">
      <c r="A148" s="23">
        <v>249</v>
      </c>
      <c r="B148" s="24" t="s">
        <v>93</v>
      </c>
      <c r="C148" s="23" t="s">
        <v>307</v>
      </c>
      <c r="D148" s="24" t="s">
        <v>307</v>
      </c>
      <c r="E148" s="23" t="s">
        <v>282</v>
      </c>
      <c r="F148" s="24" t="s">
        <v>283</v>
      </c>
      <c r="G148" s="110"/>
      <c r="H148" s="110"/>
    </row>
    <row r="149" spans="1:8" x14ac:dyDescent="0.25">
      <c r="A149" s="23">
        <v>251</v>
      </c>
      <c r="B149" s="24" t="s">
        <v>61</v>
      </c>
      <c r="C149" s="23" t="s">
        <v>3</v>
      </c>
      <c r="D149" s="24" t="s">
        <v>287</v>
      </c>
      <c r="E149" s="23" t="s">
        <v>282</v>
      </c>
      <c r="F149" s="24" t="s">
        <v>283</v>
      </c>
      <c r="G149" s="110"/>
      <c r="H149" s="110"/>
    </row>
    <row r="150" spans="1:8" x14ac:dyDescent="0.25">
      <c r="A150" s="23">
        <v>253</v>
      </c>
      <c r="B150" s="24" t="s">
        <v>163</v>
      </c>
      <c r="C150" s="23" t="s">
        <v>387</v>
      </c>
      <c r="D150" s="24" t="s">
        <v>387</v>
      </c>
      <c r="E150" s="23" t="s">
        <v>282</v>
      </c>
      <c r="F150" s="24" t="s">
        <v>283</v>
      </c>
      <c r="G150" s="110"/>
      <c r="H150" s="110"/>
    </row>
    <row r="151" spans="1:8" x14ac:dyDescent="0.25">
      <c r="A151" s="23">
        <v>254</v>
      </c>
      <c r="B151" s="24" t="s">
        <v>219</v>
      </c>
      <c r="C151" s="23" t="s">
        <v>410</v>
      </c>
      <c r="D151" s="24" t="s">
        <v>23</v>
      </c>
      <c r="E151" s="23" t="s">
        <v>282</v>
      </c>
      <c r="F151" s="24" t="s">
        <v>283</v>
      </c>
      <c r="G151" s="110"/>
      <c r="H151" s="110"/>
    </row>
    <row r="152" spans="1:8" x14ac:dyDescent="0.25">
      <c r="A152" s="23">
        <v>255</v>
      </c>
      <c r="B152" s="24" t="s">
        <v>227</v>
      </c>
      <c r="C152" s="23" t="s">
        <v>385</v>
      </c>
      <c r="D152" s="24" t="s">
        <v>385</v>
      </c>
      <c r="E152" s="23" t="s">
        <v>282</v>
      </c>
      <c r="F152" s="24" t="s">
        <v>283</v>
      </c>
      <c r="G152" s="110"/>
      <c r="H152" s="110"/>
    </row>
    <row r="153" spans="1:8" x14ac:dyDescent="0.25">
      <c r="A153" s="23">
        <v>257</v>
      </c>
      <c r="B153" s="24" t="s">
        <v>164</v>
      </c>
      <c r="C153" s="23" t="s">
        <v>387</v>
      </c>
      <c r="D153" s="24" t="s">
        <v>387</v>
      </c>
      <c r="E153" s="23" t="s">
        <v>282</v>
      </c>
      <c r="F153" s="24" t="s">
        <v>283</v>
      </c>
      <c r="G153" s="110"/>
      <c r="H153" s="110"/>
    </row>
    <row r="154" spans="1:8" x14ac:dyDescent="0.25">
      <c r="A154" s="23">
        <v>258</v>
      </c>
      <c r="B154" s="24" t="s">
        <v>411</v>
      </c>
      <c r="C154" s="23" t="s">
        <v>385</v>
      </c>
      <c r="D154" s="24" t="s">
        <v>385</v>
      </c>
      <c r="E154" s="23" t="s">
        <v>322</v>
      </c>
      <c r="F154" s="24" t="s">
        <v>283</v>
      </c>
      <c r="G154" s="110"/>
      <c r="H154" s="110"/>
    </row>
    <row r="155" spans="1:8" x14ac:dyDescent="0.25">
      <c r="A155" s="23">
        <v>259</v>
      </c>
      <c r="B155" s="24" t="s">
        <v>412</v>
      </c>
      <c r="C155" s="23" t="s">
        <v>14</v>
      </c>
      <c r="D155" s="24" t="s">
        <v>413</v>
      </c>
      <c r="E155" s="23" t="s">
        <v>282</v>
      </c>
      <c r="F155" s="24" t="s">
        <v>283</v>
      </c>
      <c r="G155" s="110"/>
      <c r="H155" s="110"/>
    </row>
    <row r="156" spans="1:8" x14ac:dyDescent="0.25">
      <c r="A156" s="23">
        <v>261</v>
      </c>
      <c r="B156" s="24" t="s">
        <v>73</v>
      </c>
      <c r="C156" s="23" t="s">
        <v>3</v>
      </c>
      <c r="D156" s="24" t="s">
        <v>408</v>
      </c>
      <c r="E156" s="23" t="s">
        <v>282</v>
      </c>
      <c r="F156" s="24" t="s">
        <v>283</v>
      </c>
      <c r="G156" s="110"/>
      <c r="H156" s="110"/>
    </row>
    <row r="157" spans="1:8" x14ac:dyDescent="0.25">
      <c r="A157" s="23">
        <v>262</v>
      </c>
      <c r="B157" s="24" t="s">
        <v>414</v>
      </c>
      <c r="C157" s="23" t="s">
        <v>13</v>
      </c>
      <c r="D157" s="24" t="s">
        <v>415</v>
      </c>
      <c r="E157" s="23" t="s">
        <v>282</v>
      </c>
      <c r="F157" s="24" t="s">
        <v>283</v>
      </c>
      <c r="G157" s="110"/>
      <c r="H157" s="110"/>
    </row>
    <row r="158" spans="1:8" x14ac:dyDescent="0.25">
      <c r="A158" s="23">
        <v>263</v>
      </c>
      <c r="B158" s="24" t="s">
        <v>131</v>
      </c>
      <c r="C158" s="23" t="s">
        <v>13</v>
      </c>
      <c r="D158" s="24" t="s">
        <v>416</v>
      </c>
      <c r="E158" s="23" t="s">
        <v>282</v>
      </c>
      <c r="F158" s="24" t="s">
        <v>283</v>
      </c>
      <c r="G158" s="110"/>
      <c r="H158" s="110"/>
    </row>
    <row r="159" spans="1:8" x14ac:dyDescent="0.25">
      <c r="A159" s="23">
        <v>266</v>
      </c>
      <c r="B159" s="24" t="s">
        <v>107</v>
      </c>
      <c r="C159" s="23" t="s">
        <v>291</v>
      </c>
      <c r="D159" s="24" t="s">
        <v>291</v>
      </c>
      <c r="E159" s="23" t="s">
        <v>282</v>
      </c>
      <c r="F159" s="24" t="s">
        <v>283</v>
      </c>
      <c r="G159" s="110"/>
      <c r="H159" s="110"/>
    </row>
    <row r="160" spans="1:8" x14ac:dyDescent="0.25">
      <c r="A160" s="23">
        <v>269</v>
      </c>
      <c r="B160" s="24" t="s">
        <v>225</v>
      </c>
      <c r="C160" s="23" t="s">
        <v>364</v>
      </c>
      <c r="D160" s="24" t="s">
        <v>417</v>
      </c>
      <c r="E160" s="23" t="s">
        <v>282</v>
      </c>
      <c r="F160" s="24" t="s">
        <v>283</v>
      </c>
      <c r="G160" s="110"/>
      <c r="H160" s="110"/>
    </row>
    <row r="161" spans="1:8" x14ac:dyDescent="0.25">
      <c r="A161" s="23">
        <v>270</v>
      </c>
      <c r="B161" s="24" t="s">
        <v>161</v>
      </c>
      <c r="C161" s="23" t="s">
        <v>387</v>
      </c>
      <c r="D161" s="24" t="s">
        <v>387</v>
      </c>
      <c r="E161" s="23" t="s">
        <v>282</v>
      </c>
      <c r="F161" s="24" t="s">
        <v>283</v>
      </c>
      <c r="G161" s="110"/>
      <c r="H161" s="110"/>
    </row>
    <row r="162" spans="1:8" x14ac:dyDescent="0.25">
      <c r="A162" s="23">
        <v>271</v>
      </c>
      <c r="B162" s="24" t="s">
        <v>418</v>
      </c>
      <c r="C162" s="23" t="s">
        <v>387</v>
      </c>
      <c r="D162" s="24" t="s">
        <v>387</v>
      </c>
      <c r="E162" s="23" t="s">
        <v>282</v>
      </c>
      <c r="F162" s="24" t="s">
        <v>283</v>
      </c>
      <c r="G162" s="110"/>
      <c r="H162" s="110"/>
    </row>
    <row r="163" spans="1:8" x14ac:dyDescent="0.25">
      <c r="A163" s="23">
        <v>273</v>
      </c>
      <c r="B163" s="24" t="s">
        <v>165</v>
      </c>
      <c r="C163" s="23" t="s">
        <v>387</v>
      </c>
      <c r="D163" s="24" t="s">
        <v>387</v>
      </c>
      <c r="E163" s="23" t="s">
        <v>282</v>
      </c>
      <c r="F163" s="24" t="s">
        <v>283</v>
      </c>
      <c r="G163" s="110"/>
      <c r="H163" s="110"/>
    </row>
    <row r="164" spans="1:8" x14ac:dyDescent="0.25">
      <c r="A164" s="23">
        <v>275</v>
      </c>
      <c r="B164" s="24" t="s">
        <v>240</v>
      </c>
      <c r="C164" s="23" t="s">
        <v>387</v>
      </c>
      <c r="D164" s="24" t="s">
        <v>387</v>
      </c>
      <c r="E164" s="23" t="s">
        <v>282</v>
      </c>
      <c r="F164" s="24" t="s">
        <v>283</v>
      </c>
      <c r="G164" s="110"/>
      <c r="H164" s="110"/>
    </row>
    <row r="165" spans="1:8" x14ac:dyDescent="0.25">
      <c r="A165" s="23">
        <v>277</v>
      </c>
      <c r="B165" s="24" t="s">
        <v>419</v>
      </c>
      <c r="C165" s="23" t="s">
        <v>364</v>
      </c>
      <c r="D165" s="24" t="s">
        <v>420</v>
      </c>
      <c r="E165" s="23" t="s">
        <v>282</v>
      </c>
      <c r="F165" s="24" t="s">
        <v>283</v>
      </c>
      <c r="G165" s="110"/>
      <c r="H165" s="110"/>
    </row>
    <row r="166" spans="1:8" x14ac:dyDescent="0.25">
      <c r="A166" s="23">
        <v>278</v>
      </c>
      <c r="B166" s="24" t="s">
        <v>138</v>
      </c>
      <c r="C166" s="23" t="s">
        <v>14</v>
      </c>
      <c r="D166" s="24" t="s">
        <v>421</v>
      </c>
      <c r="E166" s="23" t="s">
        <v>282</v>
      </c>
      <c r="F166" s="24" t="s">
        <v>283</v>
      </c>
      <c r="G166" s="110"/>
      <c r="H166" s="110"/>
    </row>
    <row r="167" spans="1:8" x14ac:dyDescent="0.25">
      <c r="A167" s="23">
        <v>279</v>
      </c>
      <c r="B167" s="24" t="s">
        <v>148</v>
      </c>
      <c r="C167" s="23" t="s">
        <v>364</v>
      </c>
      <c r="D167" s="24" t="s">
        <v>422</v>
      </c>
      <c r="E167" s="23" t="s">
        <v>282</v>
      </c>
      <c r="F167" s="24" t="s">
        <v>283</v>
      </c>
      <c r="G167" s="110"/>
      <c r="H167" s="110"/>
    </row>
    <row r="168" spans="1:8" x14ac:dyDescent="0.25">
      <c r="A168" s="23">
        <v>280</v>
      </c>
      <c r="B168" s="24" t="s">
        <v>251</v>
      </c>
      <c r="C168" s="23" t="s">
        <v>364</v>
      </c>
      <c r="D168" s="24" t="s">
        <v>289</v>
      </c>
      <c r="E168" s="23" t="s">
        <v>282</v>
      </c>
      <c r="F168" s="24" t="s">
        <v>283</v>
      </c>
      <c r="G168" s="110"/>
      <c r="H168" s="110"/>
    </row>
    <row r="169" spans="1:8" x14ac:dyDescent="0.25">
      <c r="A169" s="23">
        <v>281</v>
      </c>
      <c r="B169" s="24" t="s">
        <v>423</v>
      </c>
      <c r="C169" s="23" t="s">
        <v>14</v>
      </c>
      <c r="D169" s="24" t="s">
        <v>424</v>
      </c>
      <c r="E169" s="23" t="s">
        <v>282</v>
      </c>
      <c r="F169" s="24" t="s">
        <v>283</v>
      </c>
      <c r="G169" s="110"/>
      <c r="H169" s="110"/>
    </row>
    <row r="170" spans="1:8" x14ac:dyDescent="0.25">
      <c r="A170" s="23">
        <v>283</v>
      </c>
      <c r="B170" s="24" t="s">
        <v>425</v>
      </c>
      <c r="C170" s="23" t="s">
        <v>12</v>
      </c>
      <c r="D170" s="24" t="s">
        <v>12</v>
      </c>
      <c r="E170" s="23" t="s">
        <v>282</v>
      </c>
      <c r="F170" s="24" t="s">
        <v>283</v>
      </c>
      <c r="G170" s="110"/>
      <c r="H170" s="110"/>
    </row>
    <row r="171" spans="1:8" x14ac:dyDescent="0.25">
      <c r="A171" s="23">
        <v>284</v>
      </c>
      <c r="B171" s="24" t="s">
        <v>184</v>
      </c>
      <c r="C171" s="23" t="s">
        <v>16</v>
      </c>
      <c r="D171" s="24" t="s">
        <v>426</v>
      </c>
      <c r="E171" s="23" t="s">
        <v>282</v>
      </c>
      <c r="F171" s="24" t="s">
        <v>283</v>
      </c>
      <c r="G171" s="110"/>
      <c r="H171" s="110"/>
    </row>
    <row r="172" spans="1:8" x14ac:dyDescent="0.25">
      <c r="A172" s="23">
        <v>285</v>
      </c>
      <c r="B172" s="24" t="s">
        <v>150</v>
      </c>
      <c r="C172" s="23" t="s">
        <v>364</v>
      </c>
      <c r="D172" s="24" t="s">
        <v>427</v>
      </c>
      <c r="E172" s="23" t="s">
        <v>322</v>
      </c>
      <c r="F172" s="24" t="s">
        <v>283</v>
      </c>
      <c r="G172" s="110"/>
      <c r="H172" s="110"/>
    </row>
    <row r="173" spans="1:8" x14ac:dyDescent="0.25">
      <c r="A173" s="23">
        <v>286</v>
      </c>
      <c r="B173" s="24" t="s">
        <v>428</v>
      </c>
      <c r="C173" s="23" t="s">
        <v>17</v>
      </c>
      <c r="D173" s="24" t="s">
        <v>429</v>
      </c>
      <c r="E173" s="23" t="s">
        <v>282</v>
      </c>
      <c r="F173" s="24" t="s">
        <v>283</v>
      </c>
      <c r="G173" s="110"/>
      <c r="H173" s="110"/>
    </row>
    <row r="174" spans="1:8" x14ac:dyDescent="0.25">
      <c r="A174" s="23">
        <v>287</v>
      </c>
      <c r="B174" s="24" t="s">
        <v>151</v>
      </c>
      <c r="C174" s="23" t="s">
        <v>364</v>
      </c>
      <c r="D174" s="24" t="s">
        <v>427</v>
      </c>
      <c r="E174" s="23" t="s">
        <v>322</v>
      </c>
      <c r="F174" s="24" t="s">
        <v>283</v>
      </c>
      <c r="G174" s="110"/>
      <c r="H174" s="110"/>
    </row>
    <row r="175" spans="1:8" x14ac:dyDescent="0.25">
      <c r="A175" s="112">
        <v>288</v>
      </c>
      <c r="B175" s="24" t="s">
        <v>430</v>
      </c>
      <c r="C175" s="23" t="s">
        <v>364</v>
      </c>
      <c r="D175" s="24" t="s">
        <v>431</v>
      </c>
      <c r="E175" s="23" t="s">
        <v>322</v>
      </c>
      <c r="F175" s="24" t="s">
        <v>283</v>
      </c>
      <c r="G175" s="110"/>
      <c r="H175" s="110"/>
    </row>
    <row r="176" spans="1:8" x14ac:dyDescent="0.25">
      <c r="A176" s="23">
        <v>290</v>
      </c>
      <c r="B176" s="24" t="s">
        <v>432</v>
      </c>
      <c r="C176" s="23" t="s">
        <v>364</v>
      </c>
      <c r="D176" s="24" t="s">
        <v>433</v>
      </c>
      <c r="E176" s="23" t="s">
        <v>322</v>
      </c>
      <c r="F176" s="24" t="s">
        <v>283</v>
      </c>
      <c r="G176" s="110"/>
      <c r="H176" s="110"/>
    </row>
    <row r="177" spans="1:8" x14ac:dyDescent="0.25">
      <c r="A177" s="23">
        <v>291</v>
      </c>
      <c r="B177" s="24" t="s">
        <v>152</v>
      </c>
      <c r="C177" s="23" t="s">
        <v>364</v>
      </c>
      <c r="D177" s="24" t="s">
        <v>434</v>
      </c>
      <c r="E177" s="23" t="s">
        <v>282</v>
      </c>
      <c r="F177" s="24" t="s">
        <v>283</v>
      </c>
      <c r="G177" s="110"/>
      <c r="H177" s="110"/>
    </row>
    <row r="178" spans="1:8" x14ac:dyDescent="0.25">
      <c r="A178" s="23">
        <v>292</v>
      </c>
      <c r="B178" s="24" t="s">
        <v>435</v>
      </c>
      <c r="C178" s="23" t="s">
        <v>364</v>
      </c>
      <c r="D178" s="24" t="s">
        <v>431</v>
      </c>
      <c r="E178" s="23" t="s">
        <v>322</v>
      </c>
      <c r="F178" s="24" t="s">
        <v>292</v>
      </c>
      <c r="G178" s="110"/>
      <c r="H178" s="110" t="s">
        <v>436</v>
      </c>
    </row>
    <row r="179" spans="1:8" x14ac:dyDescent="0.25">
      <c r="A179" s="72">
        <v>293</v>
      </c>
      <c r="B179" s="24" t="s">
        <v>437</v>
      </c>
      <c r="C179" s="23" t="s">
        <v>364</v>
      </c>
      <c r="D179" s="24" t="s">
        <v>431</v>
      </c>
      <c r="E179" s="23" t="s">
        <v>322</v>
      </c>
      <c r="F179" s="24" t="s">
        <v>292</v>
      </c>
      <c r="G179" s="110"/>
      <c r="H179" s="110" t="s">
        <v>438</v>
      </c>
    </row>
    <row r="180" spans="1:8" x14ac:dyDescent="0.25">
      <c r="A180" s="23">
        <v>294</v>
      </c>
      <c r="B180" s="24" t="s">
        <v>74</v>
      </c>
      <c r="C180" s="23" t="s">
        <v>3</v>
      </c>
      <c r="D180" s="24" t="s">
        <v>405</v>
      </c>
      <c r="E180" s="23" t="s">
        <v>282</v>
      </c>
      <c r="F180" s="24" t="s">
        <v>283</v>
      </c>
      <c r="G180" s="110"/>
      <c r="H180" s="110"/>
    </row>
    <row r="181" spans="1:8" x14ac:dyDescent="0.25">
      <c r="A181" s="23">
        <v>295</v>
      </c>
      <c r="B181" s="24" t="s">
        <v>140</v>
      </c>
      <c r="C181" s="23" t="s">
        <v>14</v>
      </c>
      <c r="D181" s="24" t="s">
        <v>439</v>
      </c>
      <c r="E181" s="23" t="s">
        <v>282</v>
      </c>
      <c r="F181" s="24" t="s">
        <v>283</v>
      </c>
      <c r="G181" s="110"/>
      <c r="H181" s="110"/>
    </row>
    <row r="182" spans="1:8" x14ac:dyDescent="0.25">
      <c r="A182" s="23">
        <v>296</v>
      </c>
      <c r="B182" s="24" t="s">
        <v>264</v>
      </c>
      <c r="C182" s="23" t="s">
        <v>364</v>
      </c>
      <c r="D182" s="24" t="s">
        <v>440</v>
      </c>
      <c r="E182" s="23" t="s">
        <v>282</v>
      </c>
      <c r="F182" s="24" t="s">
        <v>283</v>
      </c>
      <c r="G182" s="110"/>
      <c r="H182" s="110"/>
    </row>
    <row r="183" spans="1:8" x14ac:dyDescent="0.25">
      <c r="A183" s="23">
        <v>297</v>
      </c>
      <c r="B183" s="24" t="s">
        <v>271</v>
      </c>
      <c r="C183" s="23" t="s">
        <v>364</v>
      </c>
      <c r="D183" s="24" t="s">
        <v>289</v>
      </c>
      <c r="E183" s="23" t="s">
        <v>322</v>
      </c>
      <c r="F183" s="24" t="s">
        <v>283</v>
      </c>
      <c r="G183" s="110"/>
      <c r="H183" s="110"/>
    </row>
    <row r="184" spans="1:8" x14ac:dyDescent="0.25">
      <c r="A184" s="23">
        <v>298</v>
      </c>
      <c r="B184" s="24" t="s">
        <v>441</v>
      </c>
      <c r="C184" s="23" t="s">
        <v>10</v>
      </c>
      <c r="D184" s="24" t="s">
        <v>10</v>
      </c>
      <c r="E184" s="23" t="s">
        <v>282</v>
      </c>
      <c r="F184" s="24" t="s">
        <v>292</v>
      </c>
      <c r="G184" s="110" t="s">
        <v>442</v>
      </c>
      <c r="H184" s="110" t="s">
        <v>443</v>
      </c>
    </row>
    <row r="185" spans="1:8" x14ac:dyDescent="0.25">
      <c r="A185" s="23">
        <v>299</v>
      </c>
      <c r="B185" s="24" t="s">
        <v>444</v>
      </c>
      <c r="C185" s="23" t="s">
        <v>10</v>
      </c>
      <c r="D185" s="24" t="s">
        <v>10</v>
      </c>
      <c r="E185" s="23" t="s">
        <v>282</v>
      </c>
      <c r="F185" s="24" t="s">
        <v>292</v>
      </c>
      <c r="G185" s="110" t="s">
        <v>445</v>
      </c>
      <c r="H185" s="110" t="s">
        <v>356</v>
      </c>
    </row>
    <row r="186" spans="1:8" x14ac:dyDescent="0.25">
      <c r="A186" s="23">
        <v>300</v>
      </c>
      <c r="B186" s="24" t="s">
        <v>446</v>
      </c>
      <c r="C186" s="23" t="s">
        <v>358</v>
      </c>
      <c r="D186" s="24" t="s">
        <v>358</v>
      </c>
      <c r="E186" s="23" t="s">
        <v>282</v>
      </c>
      <c r="F186" s="24" t="s">
        <v>283</v>
      </c>
      <c r="G186" s="110"/>
      <c r="H186" s="110" t="s">
        <v>447</v>
      </c>
    </row>
    <row r="187" spans="1:8" x14ac:dyDescent="0.25">
      <c r="A187" s="23">
        <v>302</v>
      </c>
      <c r="B187" s="24" t="s">
        <v>448</v>
      </c>
      <c r="C187" s="23" t="s">
        <v>364</v>
      </c>
      <c r="D187" s="24" t="s">
        <v>431</v>
      </c>
      <c r="E187" s="23" t="s">
        <v>322</v>
      </c>
      <c r="F187" s="24" t="s">
        <v>292</v>
      </c>
      <c r="G187" s="110"/>
      <c r="H187" s="110" t="s">
        <v>449</v>
      </c>
    </row>
    <row r="188" spans="1:8" x14ac:dyDescent="0.25">
      <c r="A188" s="23">
        <v>303</v>
      </c>
      <c r="B188" s="24" t="s">
        <v>117</v>
      </c>
      <c r="C188" s="23" t="s">
        <v>10</v>
      </c>
      <c r="D188" s="24" t="s">
        <v>361</v>
      </c>
      <c r="E188" s="23" t="s">
        <v>282</v>
      </c>
      <c r="F188" s="24" t="s">
        <v>292</v>
      </c>
      <c r="G188" s="110" t="s">
        <v>450</v>
      </c>
      <c r="H188" s="110"/>
    </row>
    <row r="189" spans="1:8" x14ac:dyDescent="0.25">
      <c r="A189" s="23">
        <v>304</v>
      </c>
      <c r="B189" s="24" t="s">
        <v>451</v>
      </c>
      <c r="C189" s="23" t="s">
        <v>10</v>
      </c>
      <c r="D189" s="24" t="s">
        <v>391</v>
      </c>
      <c r="E189" s="23" t="s">
        <v>282</v>
      </c>
      <c r="F189" s="24" t="s">
        <v>292</v>
      </c>
      <c r="G189" s="110" t="s">
        <v>452</v>
      </c>
      <c r="H189" s="110"/>
    </row>
    <row r="190" spans="1:8" x14ac:dyDescent="0.25">
      <c r="A190" s="72">
        <v>306</v>
      </c>
      <c r="B190" s="24" t="s">
        <v>119</v>
      </c>
      <c r="C190" s="23" t="s">
        <v>10</v>
      </c>
      <c r="D190" s="24" t="s">
        <v>361</v>
      </c>
      <c r="E190" s="23" t="s">
        <v>282</v>
      </c>
      <c r="F190" s="24" t="s">
        <v>292</v>
      </c>
      <c r="G190" s="110" t="s">
        <v>453</v>
      </c>
      <c r="H190" s="110" t="s">
        <v>454</v>
      </c>
    </row>
    <row r="191" spans="1:8" x14ac:dyDescent="0.25">
      <c r="A191" s="23">
        <v>314</v>
      </c>
      <c r="B191" s="24" t="s">
        <v>390</v>
      </c>
      <c r="C191" s="23" t="s">
        <v>10</v>
      </c>
      <c r="D191" s="24" t="s">
        <v>10</v>
      </c>
      <c r="E191" s="23" t="s">
        <v>282</v>
      </c>
      <c r="F191" s="24" t="s">
        <v>292</v>
      </c>
      <c r="G191" s="110" t="s">
        <v>455</v>
      </c>
      <c r="H191" s="110" t="s">
        <v>356</v>
      </c>
    </row>
    <row r="192" spans="1:8" x14ac:dyDescent="0.25">
      <c r="A192" s="23">
        <v>315</v>
      </c>
      <c r="B192" s="24" t="s">
        <v>252</v>
      </c>
      <c r="C192" s="23" t="s">
        <v>10</v>
      </c>
      <c r="D192" s="24" t="s">
        <v>361</v>
      </c>
      <c r="E192" s="23" t="s">
        <v>282</v>
      </c>
      <c r="F192" s="24" t="s">
        <v>292</v>
      </c>
      <c r="G192" s="110" t="s">
        <v>456</v>
      </c>
      <c r="H192" s="110"/>
    </row>
    <row r="193" spans="1:8" x14ac:dyDescent="0.25">
      <c r="A193" s="23">
        <v>316</v>
      </c>
      <c r="B193" s="24" t="s">
        <v>253</v>
      </c>
      <c r="C193" s="23" t="s">
        <v>10</v>
      </c>
      <c r="D193" s="24" t="s">
        <v>361</v>
      </c>
      <c r="E193" s="23" t="s">
        <v>282</v>
      </c>
      <c r="F193" s="24" t="s">
        <v>292</v>
      </c>
      <c r="G193" s="110" t="s">
        <v>457</v>
      </c>
      <c r="H193" s="110"/>
    </row>
    <row r="194" spans="1:8" x14ac:dyDescent="0.25">
      <c r="A194" s="23">
        <v>317</v>
      </c>
      <c r="B194" s="24" t="s">
        <v>458</v>
      </c>
      <c r="C194" s="23" t="s">
        <v>10</v>
      </c>
      <c r="D194" s="24" t="s">
        <v>391</v>
      </c>
      <c r="E194" s="23" t="s">
        <v>282</v>
      </c>
      <c r="F194" s="24" t="s">
        <v>292</v>
      </c>
      <c r="G194" s="110" t="s">
        <v>459</v>
      </c>
      <c r="H194" s="110" t="s">
        <v>460</v>
      </c>
    </row>
    <row r="195" spans="1:8" x14ac:dyDescent="0.25">
      <c r="A195" s="23">
        <v>318</v>
      </c>
      <c r="B195" s="24" t="s">
        <v>461</v>
      </c>
      <c r="C195" s="23" t="s">
        <v>329</v>
      </c>
      <c r="D195" s="24" t="s">
        <v>341</v>
      </c>
      <c r="E195" s="23" t="s">
        <v>282</v>
      </c>
      <c r="F195" s="24" t="s">
        <v>292</v>
      </c>
      <c r="G195" s="110" t="s">
        <v>462</v>
      </c>
      <c r="H195" s="110" t="s">
        <v>463</v>
      </c>
    </row>
    <row r="196" spans="1:8" x14ac:dyDescent="0.25">
      <c r="A196" s="23">
        <v>319</v>
      </c>
      <c r="B196" s="24" t="s">
        <v>230</v>
      </c>
      <c r="C196" s="23" t="s">
        <v>4</v>
      </c>
      <c r="D196" s="24" t="s">
        <v>332</v>
      </c>
      <c r="E196" s="23" t="s">
        <v>282</v>
      </c>
      <c r="F196" s="24" t="s">
        <v>292</v>
      </c>
      <c r="G196" s="110" t="s">
        <v>464</v>
      </c>
      <c r="H196" s="110" t="s">
        <v>465</v>
      </c>
    </row>
  </sheetData>
  <autoFilter ref="A1:H196">
    <sortState ref="A2:H196">
      <sortCondition ref="A1:A196"/>
    </sortState>
  </autoFilter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theme="7" tint="0.39997558519241921"/>
  </sheetPr>
  <dimension ref="A1:B29"/>
  <sheetViews>
    <sheetView workbookViewId="0"/>
  </sheetViews>
  <sheetFormatPr defaultRowHeight="15" x14ac:dyDescent="0.25"/>
  <cols>
    <col min="1" max="1" width="23.85546875" customWidth="1"/>
    <col min="2" max="2" width="15.85546875" customWidth="1"/>
  </cols>
  <sheetData>
    <row r="1" spans="1:2" ht="31.5" x14ac:dyDescent="0.25">
      <c r="A1" s="25" t="s">
        <v>242</v>
      </c>
      <c r="B1" s="25" t="s">
        <v>243</v>
      </c>
    </row>
    <row r="2" spans="1:2" x14ac:dyDescent="0.25">
      <c r="A2" s="22" t="s">
        <v>101</v>
      </c>
      <c r="B2" s="22">
        <v>1</v>
      </c>
    </row>
    <row r="3" spans="1:2" x14ac:dyDescent="0.25">
      <c r="A3" s="22" t="s">
        <v>78</v>
      </c>
      <c r="B3" s="22">
        <v>1</v>
      </c>
    </row>
    <row r="4" spans="1:2" x14ac:dyDescent="0.25">
      <c r="A4" s="22" t="s">
        <v>147</v>
      </c>
      <c r="B4" s="22">
        <v>1</v>
      </c>
    </row>
    <row r="5" spans="1:2" x14ac:dyDescent="0.25">
      <c r="A5" s="22" t="s">
        <v>105</v>
      </c>
      <c r="B5" s="22">
        <v>1</v>
      </c>
    </row>
    <row r="6" spans="1:2" x14ac:dyDescent="0.25">
      <c r="A6" s="22" t="s">
        <v>127</v>
      </c>
      <c r="B6" s="22">
        <v>1</v>
      </c>
    </row>
    <row r="7" spans="1:2" x14ac:dyDescent="0.25">
      <c r="A7" s="22" t="s">
        <v>245</v>
      </c>
      <c r="B7" s="22">
        <v>1</v>
      </c>
    </row>
    <row r="8" spans="1:2" x14ac:dyDescent="0.25">
      <c r="A8" s="22" t="s">
        <v>109</v>
      </c>
      <c r="B8" s="22">
        <v>1</v>
      </c>
    </row>
    <row r="9" spans="1:2" x14ac:dyDescent="0.25">
      <c r="A9" s="22" t="s">
        <v>144</v>
      </c>
      <c r="B9" s="22">
        <v>1</v>
      </c>
    </row>
    <row r="10" spans="1:2" x14ac:dyDescent="0.25">
      <c r="A10" s="22" t="s">
        <v>124</v>
      </c>
      <c r="B10" s="22">
        <v>1</v>
      </c>
    </row>
    <row r="11" spans="1:2" x14ac:dyDescent="0.25">
      <c r="A11" s="22" t="s">
        <v>137</v>
      </c>
      <c r="B11" s="22">
        <v>1</v>
      </c>
    </row>
    <row r="12" spans="1:2" x14ac:dyDescent="0.25">
      <c r="A12" s="22" t="s">
        <v>246</v>
      </c>
      <c r="B12" s="22">
        <v>1</v>
      </c>
    </row>
    <row r="13" spans="1:2" x14ac:dyDescent="0.25">
      <c r="A13" s="22" t="s">
        <v>59</v>
      </c>
      <c r="B13" s="22">
        <v>1</v>
      </c>
    </row>
    <row r="14" spans="1:2" x14ac:dyDescent="0.25">
      <c r="A14" s="22" t="s">
        <v>89</v>
      </c>
      <c r="B14" s="22">
        <v>1</v>
      </c>
    </row>
    <row r="15" spans="1:2" x14ac:dyDescent="0.25">
      <c r="A15" s="22" t="s">
        <v>155</v>
      </c>
      <c r="B15" s="22">
        <v>1</v>
      </c>
    </row>
    <row r="16" spans="1:2" x14ac:dyDescent="0.25">
      <c r="A16" s="22" t="s">
        <v>81</v>
      </c>
      <c r="B16" s="22">
        <v>1</v>
      </c>
    </row>
    <row r="17" spans="1:2" x14ac:dyDescent="0.25">
      <c r="A17" s="22" t="s">
        <v>160</v>
      </c>
      <c r="B17" s="22">
        <v>1</v>
      </c>
    </row>
    <row r="18" spans="1:2" x14ac:dyDescent="0.25">
      <c r="A18" s="22" t="s">
        <v>198</v>
      </c>
      <c r="B18" s="22">
        <v>2</v>
      </c>
    </row>
    <row r="19" spans="1:2" x14ac:dyDescent="0.25">
      <c r="A19" s="22" t="s">
        <v>169</v>
      </c>
      <c r="B19" s="22">
        <v>2</v>
      </c>
    </row>
    <row r="20" spans="1:2" x14ac:dyDescent="0.25">
      <c r="A20" s="22" t="s">
        <v>201</v>
      </c>
      <c r="B20" s="22">
        <v>2</v>
      </c>
    </row>
    <row r="21" spans="1:2" x14ac:dyDescent="0.25">
      <c r="A21" s="22" t="s">
        <v>177</v>
      </c>
      <c r="B21" s="22">
        <v>2</v>
      </c>
    </row>
    <row r="22" spans="1:2" x14ac:dyDescent="0.25">
      <c r="A22" s="22" t="s">
        <v>204</v>
      </c>
      <c r="B22" s="22">
        <v>2</v>
      </c>
    </row>
    <row r="23" spans="1:2" x14ac:dyDescent="0.25">
      <c r="A23" s="22" t="s">
        <v>186</v>
      </c>
      <c r="B23" s="22">
        <v>2</v>
      </c>
    </row>
    <row r="24" spans="1:2" x14ac:dyDescent="0.25">
      <c r="A24" s="22" t="s">
        <v>212</v>
      </c>
      <c r="B24" s="22">
        <v>3</v>
      </c>
    </row>
    <row r="25" spans="1:2" x14ac:dyDescent="0.25">
      <c r="A25" s="22" t="s">
        <v>218</v>
      </c>
      <c r="B25" s="22">
        <v>3</v>
      </c>
    </row>
    <row r="26" spans="1:2" x14ac:dyDescent="0.25">
      <c r="A26" s="22" t="s">
        <v>215</v>
      </c>
      <c r="B26" s="22">
        <v>3</v>
      </c>
    </row>
    <row r="27" spans="1:2" x14ac:dyDescent="0.25">
      <c r="A27" s="22" t="s">
        <v>247</v>
      </c>
      <c r="B27" s="22">
        <v>3</v>
      </c>
    </row>
    <row r="28" spans="1:2" x14ac:dyDescent="0.25">
      <c r="A28" s="22" t="s">
        <v>248</v>
      </c>
      <c r="B28" s="22">
        <v>4</v>
      </c>
    </row>
    <row r="29" spans="1:2" x14ac:dyDescent="0.25">
      <c r="A29" s="22" t="s">
        <v>249</v>
      </c>
      <c r="B29" s="22">
        <v>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2:AY323"/>
  <sheetViews>
    <sheetView workbookViewId="0">
      <selection activeCell="N10" sqref="N10"/>
    </sheetView>
  </sheetViews>
  <sheetFormatPr defaultRowHeight="15" x14ac:dyDescent="0.25"/>
  <cols>
    <col min="1" max="1" width="4.42578125" bestFit="1" customWidth="1"/>
    <col min="2" max="2" width="17" bestFit="1" customWidth="1"/>
    <col min="3" max="3" width="13.85546875" customWidth="1"/>
    <col min="4" max="4" width="13.28515625" customWidth="1"/>
    <col min="5" max="5" width="17.28515625" style="210" customWidth="1"/>
    <col min="6" max="6" width="17.5703125" style="210" customWidth="1"/>
    <col min="7" max="12" width="5.28515625" customWidth="1"/>
    <col min="13" max="13" width="5.28515625" style="113" customWidth="1"/>
    <col min="14" max="14" width="6.5703125" style="113" bestFit="1" customWidth="1"/>
    <col min="15" max="15" width="6.140625" bestFit="1" customWidth="1"/>
    <col min="16" max="17" width="8.7109375" customWidth="1"/>
    <col min="18" max="18" width="10.5703125" customWidth="1"/>
    <col min="19" max="20" width="7.140625" customWidth="1"/>
    <col min="21" max="21" width="10.5703125" customWidth="1"/>
    <col min="22" max="24" width="11" style="225" customWidth="1"/>
    <col min="25" max="25" width="10.85546875" style="225" customWidth="1"/>
    <col min="26" max="26" width="11" style="225" bestFit="1" customWidth="1"/>
    <col min="27" max="27" width="10" bestFit="1" customWidth="1"/>
    <col min="28" max="30" width="10.5703125" customWidth="1"/>
    <col min="31" max="31" width="10.28515625" customWidth="1"/>
    <col min="32" max="32" width="10.5703125" customWidth="1"/>
    <col min="33" max="34" width="7.140625" customWidth="1"/>
    <col min="35" max="35" width="10.5703125" customWidth="1"/>
    <col min="36" max="37" width="11" customWidth="1"/>
    <col min="38" max="38" width="11" bestFit="1" customWidth="1"/>
    <col min="39" max="39" width="10.5703125" style="113" bestFit="1" customWidth="1"/>
    <col min="40" max="40" width="11" customWidth="1"/>
    <col min="41" max="41" width="10" customWidth="1"/>
    <col min="42" max="44" width="10.5703125" customWidth="1"/>
    <col min="45" max="45" width="10.28515625" customWidth="1"/>
    <col min="46" max="46" width="10.5703125" customWidth="1"/>
    <col min="47" max="49" width="9.140625" customWidth="1"/>
    <col min="51" max="51" width="10.5703125" style="113" bestFit="1" customWidth="1"/>
  </cols>
  <sheetData>
    <row r="2" spans="1:51" ht="15.75" thickBot="1" x14ac:dyDescent="0.3">
      <c r="G2" s="350" t="s">
        <v>689</v>
      </c>
      <c r="H2" s="350"/>
      <c r="I2" s="350"/>
      <c r="J2" s="350"/>
      <c r="K2" s="350"/>
      <c r="L2" s="350"/>
      <c r="M2" s="223"/>
      <c r="N2" s="223"/>
      <c r="O2">
        <v>1</v>
      </c>
      <c r="P2">
        <v>2</v>
      </c>
      <c r="Q2">
        <v>3</v>
      </c>
      <c r="R2">
        <v>4</v>
      </c>
      <c r="S2">
        <v>5</v>
      </c>
      <c r="T2">
        <v>6</v>
      </c>
      <c r="U2">
        <v>7</v>
      </c>
      <c r="V2" s="225">
        <v>8</v>
      </c>
      <c r="W2" s="225">
        <v>9</v>
      </c>
      <c r="X2" s="225">
        <v>10</v>
      </c>
      <c r="Y2" s="225">
        <v>11</v>
      </c>
      <c r="Z2" s="225">
        <v>12</v>
      </c>
      <c r="AA2" s="113">
        <v>1</v>
      </c>
      <c r="AB2" s="113">
        <v>2</v>
      </c>
      <c r="AC2" s="113">
        <v>3</v>
      </c>
      <c r="AD2" s="113">
        <v>4</v>
      </c>
      <c r="AE2" s="113">
        <v>5</v>
      </c>
      <c r="AF2" s="113">
        <v>6</v>
      </c>
      <c r="AG2" s="113">
        <v>7</v>
      </c>
      <c r="AH2" s="225">
        <v>8</v>
      </c>
      <c r="AI2" s="225">
        <v>9</v>
      </c>
      <c r="AJ2" s="225">
        <v>10</v>
      </c>
      <c r="AK2" s="225">
        <v>11</v>
      </c>
      <c r="AL2" s="225">
        <v>12</v>
      </c>
      <c r="AM2" s="113">
        <v>1</v>
      </c>
      <c r="AN2" s="113">
        <v>2</v>
      </c>
      <c r="AO2" s="113">
        <v>3</v>
      </c>
      <c r="AP2" s="113">
        <v>4</v>
      </c>
      <c r="AQ2" s="113">
        <v>5</v>
      </c>
      <c r="AR2" s="113">
        <v>6</v>
      </c>
      <c r="AS2" s="113">
        <v>7</v>
      </c>
      <c r="AT2" s="225">
        <v>8</v>
      </c>
      <c r="AU2" s="225">
        <v>9</v>
      </c>
      <c r="AV2" s="225">
        <v>10</v>
      </c>
      <c r="AW2" s="225">
        <v>11</v>
      </c>
      <c r="AX2" s="225">
        <v>12</v>
      </c>
    </row>
    <row r="3" spans="1:51" x14ac:dyDescent="0.25">
      <c r="A3" s="116" t="s">
        <v>533</v>
      </c>
      <c r="B3" s="116" t="s">
        <v>38</v>
      </c>
      <c r="C3" s="116" t="s">
        <v>534</v>
      </c>
      <c r="D3" s="116" t="s">
        <v>535</v>
      </c>
      <c r="E3" s="211" t="s">
        <v>492</v>
      </c>
      <c r="F3" s="211" t="s">
        <v>493</v>
      </c>
      <c r="G3" s="118" t="s">
        <v>494</v>
      </c>
      <c r="H3" s="117" t="s">
        <v>495</v>
      </c>
      <c r="I3" s="117" t="s">
        <v>496</v>
      </c>
      <c r="J3" s="117" t="s">
        <v>497</v>
      </c>
      <c r="K3" s="117" t="s">
        <v>498</v>
      </c>
      <c r="L3" s="119" t="s">
        <v>687</v>
      </c>
      <c r="M3" s="214"/>
      <c r="N3" s="224" t="s">
        <v>692</v>
      </c>
      <c r="O3" s="214" t="s">
        <v>690</v>
      </c>
      <c r="P3" s="214" t="s">
        <v>690</v>
      </c>
      <c r="Q3" s="214" t="s">
        <v>690</v>
      </c>
      <c r="R3" s="214" t="s">
        <v>690</v>
      </c>
      <c r="S3" s="214" t="s">
        <v>690</v>
      </c>
      <c r="T3" s="214" t="s">
        <v>690</v>
      </c>
      <c r="U3" s="214" t="s">
        <v>690</v>
      </c>
      <c r="V3" s="214" t="s">
        <v>690</v>
      </c>
      <c r="W3" s="214" t="s">
        <v>690</v>
      </c>
      <c r="X3" s="214" t="s">
        <v>690</v>
      </c>
      <c r="Y3" s="214" t="s">
        <v>690</v>
      </c>
      <c r="Z3" s="214" t="s">
        <v>690</v>
      </c>
      <c r="AA3" s="215" t="s">
        <v>691</v>
      </c>
      <c r="AB3" s="215" t="s">
        <v>691</v>
      </c>
      <c r="AC3" s="215" t="s">
        <v>691</v>
      </c>
      <c r="AD3" s="215" t="s">
        <v>691</v>
      </c>
      <c r="AE3" s="215" t="s">
        <v>691</v>
      </c>
      <c r="AF3" s="215" t="s">
        <v>691</v>
      </c>
      <c r="AG3" s="215" t="s">
        <v>691</v>
      </c>
      <c r="AH3" s="215" t="s">
        <v>691</v>
      </c>
      <c r="AI3" s="215" t="s">
        <v>691</v>
      </c>
      <c r="AJ3" s="215" t="s">
        <v>691</v>
      </c>
      <c r="AK3" s="215" t="s">
        <v>691</v>
      </c>
      <c r="AL3" s="215" t="s">
        <v>691</v>
      </c>
      <c r="AM3" s="215" t="s">
        <v>272</v>
      </c>
      <c r="AN3" s="215" t="s">
        <v>272</v>
      </c>
      <c r="AO3" s="215" t="s">
        <v>272</v>
      </c>
      <c r="AP3" s="215" t="s">
        <v>272</v>
      </c>
      <c r="AQ3" s="215" t="s">
        <v>272</v>
      </c>
      <c r="AR3" s="215" t="s">
        <v>272</v>
      </c>
      <c r="AS3" s="215" t="s">
        <v>272</v>
      </c>
      <c r="AT3" s="215" t="s">
        <v>272</v>
      </c>
      <c r="AU3" s="215" t="s">
        <v>272</v>
      </c>
      <c r="AV3" s="215" t="s">
        <v>272</v>
      </c>
      <c r="AW3" s="215" t="s">
        <v>272</v>
      </c>
      <c r="AX3" s="215" t="s">
        <v>272</v>
      </c>
      <c r="AY3" s="215"/>
    </row>
    <row r="4" spans="1:51" x14ac:dyDescent="0.25">
      <c r="A4" s="113">
        <v>1</v>
      </c>
      <c r="B4" s="209" t="s">
        <v>536</v>
      </c>
      <c r="C4" s="113">
        <v>1931</v>
      </c>
      <c r="D4" s="113">
        <v>2013</v>
      </c>
      <c r="E4" s="210" t="s">
        <v>2</v>
      </c>
      <c r="F4" s="210" t="s">
        <v>2</v>
      </c>
      <c r="G4" s="113"/>
      <c r="H4" s="113"/>
      <c r="I4" s="113"/>
      <c r="J4" s="113"/>
      <c r="K4" s="113"/>
      <c r="N4" s="113">
        <f>MATCH(A4,Entrada!$A$53:$A$372,0)</f>
        <v>1</v>
      </c>
      <c r="O4">
        <f>IF(NOT(ISNA($N4)),INDEX(Entrada!$C$53:$N$372,$N4,O$2),0)</f>
        <v>254</v>
      </c>
      <c r="P4">
        <f>IF(NOT(ISNA($N4)),INDEX(Entrada!$C$53:$N$372,$N4,P$2),0)</f>
        <v>230</v>
      </c>
      <c r="Q4">
        <f>IF(NOT(ISNA($N4)),INDEX(Entrada!$C$53:$N$372,$N4,Q$2),0)</f>
        <v>204</v>
      </c>
      <c r="R4">
        <f>IF(NOT(ISNA($N4)),INDEX(Entrada!$C$53:$N$372,$N4,R$2),0)</f>
        <v>139</v>
      </c>
      <c r="S4">
        <f>IF(NOT(ISNA($N4)),INDEX(Entrada!$C$53:$N$372,$N4,S$2),0)</f>
        <v>105</v>
      </c>
      <c r="T4">
        <f>IF(NOT(ISNA($N4)),INDEX(Entrada!$C$53:$N$372,$N4,T$2),0)</f>
        <v>89</v>
      </c>
      <c r="U4">
        <f>IF(NOT(ISNA($N4)),INDEX(Entrada!$C$53:$N$372,$N4,U$2),0)</f>
        <v>74</v>
      </c>
      <c r="V4" s="225">
        <f>IF(NOT(ISNA($N4)),INDEX(Entrada!$C$53:$N$372,$N4,V$2),0)</f>
        <v>64</v>
      </c>
      <c r="W4" s="225">
        <f>IF(NOT(ISNA($N4)),INDEX(Entrada!$C$53:$N$372,$N4,W$2),0)</f>
        <v>67</v>
      </c>
      <c r="X4" s="225">
        <f>IF(NOT(ISNA($N4)),INDEX(Entrada!$C$53:$N$372,$N4,X$2),0)</f>
        <v>79</v>
      </c>
      <c r="Y4" s="225">
        <f>IF(NOT(ISNA($N4)),INDEX(Entrada!$C$53:$N$372,$N4,Y$2),0)</f>
        <v>111</v>
      </c>
      <c r="Z4" s="225">
        <f>IF(NOT(ISNA($N4)),INDEX(Entrada!$C$53:$N$372,$N4,Z$2),0)</f>
        <v>182</v>
      </c>
      <c r="AA4">
        <f t="shared" ref="AA4:AA67" si="0">IF($G4&gt;0,INDEX($O$4:$Z$323,$G4,O$2),0)+IF($H4&gt;0,INDEX($O$4:$Z$323,$H4,O$2),0)+IF($I4&gt;0,INDEX($O$4:$Z$323,$I4,O$2),0)+IF($J4&gt;0,INDEX($O$4:$Z$323,$J4,O$2),0)+IF($K4&gt;0,INDEX($O$4:$Z$323,$K4,O$2),0)+IF($L4&gt;0,INDEX($O$4:$Z$323,$L4,O$2),0)</f>
        <v>0</v>
      </c>
      <c r="AB4" s="113">
        <f t="shared" ref="AB4:AB67" si="1">IF($G4&gt;0,INDEX($O$4:$Z$323,$G4,P$2),0)+IF($H4&gt;0,INDEX($O$4:$Z$323,$H4,P$2),0)+IF($I4&gt;0,INDEX($O$4:$Z$323,$I4,P$2),0)+IF($J4&gt;0,INDEX($O$4:$Z$323,$J4,P$2),0)+IF($K4&gt;0,INDEX($O$4:$Z$323,$K4,P$2),0)+IF($L4&gt;0,INDEX($O$4:$Z$323,$L4,P$2),0)</f>
        <v>0</v>
      </c>
      <c r="AC4" s="113">
        <f t="shared" ref="AC4:AC67" si="2">IF($G4&gt;0,INDEX($O$4:$Z$323,$G4,Q$2),0)+IF($H4&gt;0,INDEX($O$4:$Z$323,$H4,Q$2),0)+IF($I4&gt;0,INDEX($O$4:$Z$323,$I4,Q$2),0)+IF($J4&gt;0,INDEX($O$4:$Z$323,$J4,Q$2),0)+IF($K4&gt;0,INDEX($O$4:$Z$323,$K4,Q$2),0)+IF($L4&gt;0,INDEX($O$4:$Z$323,$L4,Q$2),0)</f>
        <v>0</v>
      </c>
      <c r="AD4" s="113">
        <f t="shared" ref="AD4:AD67" si="3">IF($G4&gt;0,INDEX($O$4:$Z$323,$G4,R$2),0)+IF($H4&gt;0,INDEX($O$4:$Z$323,$H4,R$2),0)+IF($I4&gt;0,INDEX($O$4:$Z$323,$I4,R$2),0)+IF($J4&gt;0,INDEX($O$4:$Z$323,$J4,R$2),0)+IF($K4&gt;0,INDEX($O$4:$Z$323,$K4,R$2),0)+IF($L4&gt;0,INDEX($O$4:$Z$323,$L4,R$2),0)</f>
        <v>0</v>
      </c>
      <c r="AE4" s="113">
        <f t="shared" ref="AE4:AE67" si="4">IF($G4&gt;0,INDEX($O$4:$Z$323,$G4,S$2),0)+IF($H4&gt;0,INDEX($O$4:$Z$323,$H4,S$2),0)+IF($I4&gt;0,INDEX($O$4:$Z$323,$I4,S$2),0)+IF($J4&gt;0,INDEX($O$4:$Z$323,$J4,S$2),0)+IF($K4&gt;0,INDEX($O$4:$Z$323,$K4,S$2),0)+IF($L4&gt;0,INDEX($O$4:$Z$323,$L4,S$2),0)</f>
        <v>0</v>
      </c>
      <c r="AF4">
        <f t="shared" ref="AF4:AF67" si="5">IF($G4&gt;0,INDEX($O$4:$Z$323,$G4,T$2),0)+IF($H4&gt;0,INDEX($O$4:$Z$323,$H4,T$2),0)+IF($I4&gt;0,INDEX($O$4:$Z$323,$I4,T$2),0)+IF($J4&gt;0,INDEX($O$4:$Z$323,$J4,T$2),0)+IF($K4&gt;0,INDEX($O$4:$Z$323,$K4,T$2),0)+IF($L4&gt;0,INDEX($O$4:$Z$323,$L4,T$2),0)</f>
        <v>0</v>
      </c>
      <c r="AG4">
        <f t="shared" ref="AG4:AG67" si="6">IF($G4&gt;0,INDEX($O$4:$Z$323,$G4,U$2),0)+IF($H4&gt;0,INDEX($O$4:$Z$323,$H4,U$2),0)+IF($I4&gt;0,INDEX($O$4:$Z$323,$I4,U$2),0)+IF($J4&gt;0,INDEX($O$4:$Z$323,$J4,U$2),0)+IF($K4&gt;0,INDEX($O$4:$Z$323,$K4,U$2),0)+IF($L4&gt;0,INDEX($O$4:$Z$323,$L4,U$2),0)</f>
        <v>0</v>
      </c>
      <c r="AH4">
        <f t="shared" ref="AH4:AH67" si="7">IF($G4&gt;0,INDEX($O$4:$Z$323,$G4,V$2),0)+IF($H4&gt;0,INDEX($O$4:$Z$323,$H4,V$2),0)+IF($I4&gt;0,INDEX($O$4:$Z$323,$I4,V$2),0)+IF($J4&gt;0,INDEX($O$4:$Z$323,$J4,V$2),0)+IF($K4&gt;0,INDEX($O$4:$Z$323,$K4,V$2),0)+IF($L4&gt;0,INDEX($O$4:$Z$323,$L4,V$2),0)</f>
        <v>0</v>
      </c>
      <c r="AI4">
        <f t="shared" ref="AI4:AI67" si="8">IF($G4&gt;0,INDEX($O$4:$Z$323,$G4,W$2),0)+IF($H4&gt;0,INDEX($O$4:$Z$323,$H4,W$2),0)+IF($I4&gt;0,INDEX($O$4:$Z$323,$I4,W$2),0)+IF($J4&gt;0,INDEX($O$4:$Z$323,$J4,W$2),0)+IF($K4&gt;0,INDEX($O$4:$Z$323,$K4,W$2),0)+IF($L4&gt;0,INDEX($O$4:$Z$323,$L4,W$2),0)</f>
        <v>0</v>
      </c>
      <c r="AJ4">
        <f t="shared" ref="AJ4:AJ67" si="9">IF($G4&gt;0,INDEX($O$4:$Z$323,$G4,X$2),0)+IF($H4&gt;0,INDEX($O$4:$Z$323,$H4,X$2),0)+IF($I4&gt;0,INDEX($O$4:$Z$323,$I4,X$2),0)+IF($J4&gt;0,INDEX($O$4:$Z$323,$J4,X$2),0)+IF($K4&gt;0,INDEX($O$4:$Z$323,$K4,X$2),0)+IF($L4&gt;0,INDEX($O$4:$Z$323,$L4,X$2),0)</f>
        <v>0</v>
      </c>
      <c r="AK4">
        <f t="shared" ref="AK4:AK67" si="10">IF($G4&gt;0,INDEX($O$4:$Z$323,$G4,Y$2),0)+IF($H4&gt;0,INDEX($O$4:$Z$323,$H4,Y$2),0)+IF($I4&gt;0,INDEX($O$4:$Z$323,$I4,Y$2),0)+IF($J4&gt;0,INDEX($O$4:$Z$323,$J4,Y$2),0)+IF($K4&gt;0,INDEX($O$4:$Z$323,$K4,Y$2),0)+IF($L4&gt;0,INDEX($O$4:$Z$323,$L4,Y$2),0)</f>
        <v>0</v>
      </c>
      <c r="AL4">
        <f t="shared" ref="AL4:AL67" si="11">IF($G4&gt;0,INDEX($O$4:$Z$323,$G4,Z$2),0)+IF($H4&gt;0,INDEX($O$4:$Z$323,$H4,Z$2),0)+IF($I4&gt;0,INDEX($O$4:$Z$323,$I4,Z$2),0)+IF($J4&gt;0,INDEX($O$4:$Z$323,$J4,Z$2),0)+IF($K4&gt;0,INDEX($O$4:$Z$323,$K4,Z$2),0)+IF($L4&gt;0,INDEX($O$4:$Z$323,$L4,Z$2),0)</f>
        <v>0</v>
      </c>
      <c r="AM4" s="113">
        <f t="shared" ref="AM4:AM67" si="12">O4-AA4</f>
        <v>254</v>
      </c>
      <c r="AN4">
        <f t="shared" ref="AN4:AN67" si="13">P4-AB4</f>
        <v>230</v>
      </c>
      <c r="AO4">
        <f t="shared" ref="AO4:AO67" si="14">Q4-AC4</f>
        <v>204</v>
      </c>
      <c r="AP4">
        <f t="shared" ref="AP4:AP67" si="15">R4-AD4</f>
        <v>139</v>
      </c>
      <c r="AQ4">
        <f t="shared" ref="AQ4:AQ67" si="16">S4-AE4</f>
        <v>105</v>
      </c>
      <c r="AR4">
        <f t="shared" ref="AR4:AR67" si="17">T4-AF4</f>
        <v>89</v>
      </c>
      <c r="AS4">
        <f t="shared" ref="AS4:AS67" si="18">U4-AG4</f>
        <v>74</v>
      </c>
      <c r="AT4">
        <f t="shared" ref="AT4:AT67" si="19">V4-AH4</f>
        <v>64</v>
      </c>
      <c r="AU4">
        <f t="shared" ref="AU4:AU67" si="20">W4-AI4</f>
        <v>67</v>
      </c>
      <c r="AV4">
        <f t="shared" ref="AV4:AV67" si="21">X4-AJ4</f>
        <v>79</v>
      </c>
      <c r="AW4">
        <f t="shared" ref="AW4:AW67" si="22">Y4-AK4</f>
        <v>111</v>
      </c>
      <c r="AX4">
        <f t="shared" ref="AX4:AX67" si="23">Z4-AL4</f>
        <v>182</v>
      </c>
    </row>
    <row r="5" spans="1:51" x14ac:dyDescent="0.25">
      <c r="A5" s="113">
        <v>2</v>
      </c>
      <c r="B5" s="209" t="s">
        <v>537</v>
      </c>
      <c r="C5" s="113">
        <v>1931</v>
      </c>
      <c r="D5" s="113">
        <v>2013</v>
      </c>
      <c r="E5" s="210" t="s">
        <v>2</v>
      </c>
      <c r="F5" s="210" t="s">
        <v>2</v>
      </c>
      <c r="G5" s="113">
        <v>1</v>
      </c>
      <c r="H5" s="113"/>
      <c r="I5" s="113"/>
      <c r="J5" s="113"/>
      <c r="K5" s="113"/>
      <c r="N5" s="113">
        <f>MATCH(A5,Entrada!$A$53:$A$372,0)</f>
        <v>2</v>
      </c>
      <c r="O5" s="113">
        <f>IF(NOT(ISNA($N5)),INDEX(Entrada!$C$53:$N$372,$N5,O$2),0)</f>
        <v>254</v>
      </c>
      <c r="P5">
        <f>IF(NOT(ISNA($N5)),INDEX(Entrada!$C$53:$N$372,$N5,P$2),0)</f>
        <v>230</v>
      </c>
      <c r="Q5">
        <f>IF(NOT(ISNA($N5)),INDEX(Entrada!$C$53:$N$372,$N5,Q$2),0)</f>
        <v>204</v>
      </c>
      <c r="R5">
        <f>IF(NOT(ISNA($N5)),INDEX(Entrada!$C$53:$N$372,$N5,R$2),0)</f>
        <v>139</v>
      </c>
      <c r="S5">
        <f>IF(NOT(ISNA($N5)),INDEX(Entrada!$C$53:$N$372,$N5,S$2),0)</f>
        <v>105</v>
      </c>
      <c r="T5">
        <f>IF(NOT(ISNA($N5)),INDEX(Entrada!$C$53:$N$372,$N5,T$2),0)</f>
        <v>89</v>
      </c>
      <c r="U5">
        <f>IF(NOT(ISNA($N5)),INDEX(Entrada!$C$53:$N$372,$N5,U$2),0)</f>
        <v>74</v>
      </c>
      <c r="V5" s="225">
        <f>IF(NOT(ISNA($N5)),INDEX(Entrada!$C$53:$N$372,$N5,V$2),0)</f>
        <v>64</v>
      </c>
      <c r="W5" s="225">
        <f>IF(NOT(ISNA($N5)),INDEX(Entrada!$C$53:$N$372,$N5,W$2),0)</f>
        <v>67</v>
      </c>
      <c r="X5" s="225">
        <f>IF(NOT(ISNA($N5)),INDEX(Entrada!$C$53:$N$372,$N5,X$2),0)</f>
        <v>79</v>
      </c>
      <c r="Y5" s="225">
        <f>IF(NOT(ISNA($N5)),INDEX(Entrada!$C$53:$N$372,$N5,Y$2),0)</f>
        <v>111</v>
      </c>
      <c r="Z5" s="225">
        <f>IF(NOT(ISNA($N5)),INDEX(Entrada!$C$53:$N$372,$N5,Z$2),0)</f>
        <v>182</v>
      </c>
      <c r="AA5" s="113">
        <f t="shared" si="0"/>
        <v>254</v>
      </c>
      <c r="AB5">
        <f t="shared" si="1"/>
        <v>230</v>
      </c>
      <c r="AC5">
        <f t="shared" si="2"/>
        <v>204</v>
      </c>
      <c r="AD5">
        <f t="shared" si="3"/>
        <v>139</v>
      </c>
      <c r="AE5">
        <f t="shared" si="4"/>
        <v>105</v>
      </c>
      <c r="AF5">
        <f t="shared" si="5"/>
        <v>89</v>
      </c>
      <c r="AG5">
        <f t="shared" si="6"/>
        <v>74</v>
      </c>
      <c r="AH5">
        <f t="shared" si="7"/>
        <v>64</v>
      </c>
      <c r="AI5">
        <f t="shared" si="8"/>
        <v>67</v>
      </c>
      <c r="AJ5">
        <f t="shared" si="9"/>
        <v>79</v>
      </c>
      <c r="AK5">
        <f t="shared" si="10"/>
        <v>111</v>
      </c>
      <c r="AL5">
        <f t="shared" si="11"/>
        <v>182</v>
      </c>
      <c r="AM5" s="113">
        <f t="shared" si="12"/>
        <v>0</v>
      </c>
      <c r="AN5">
        <f t="shared" si="13"/>
        <v>0</v>
      </c>
      <c r="AO5">
        <f t="shared" si="14"/>
        <v>0</v>
      </c>
      <c r="AP5">
        <f t="shared" si="15"/>
        <v>0</v>
      </c>
      <c r="AQ5">
        <f t="shared" si="16"/>
        <v>0</v>
      </c>
      <c r="AR5">
        <f t="shared" si="17"/>
        <v>0</v>
      </c>
      <c r="AS5">
        <f t="shared" si="18"/>
        <v>0</v>
      </c>
      <c r="AT5">
        <f t="shared" si="19"/>
        <v>0</v>
      </c>
      <c r="AU5">
        <f t="shared" si="20"/>
        <v>0</v>
      </c>
      <c r="AV5">
        <f t="shared" si="21"/>
        <v>0</v>
      </c>
      <c r="AW5">
        <f t="shared" si="22"/>
        <v>0</v>
      </c>
      <c r="AX5">
        <f t="shared" si="23"/>
        <v>0</v>
      </c>
    </row>
    <row r="6" spans="1:51" x14ac:dyDescent="0.25">
      <c r="A6" s="113">
        <v>3</v>
      </c>
      <c r="B6" s="209"/>
      <c r="C6" s="113">
        <v>0</v>
      </c>
      <c r="D6" s="113">
        <v>0</v>
      </c>
      <c r="E6" s="113" t="s">
        <v>688</v>
      </c>
      <c r="F6" s="113" t="s">
        <v>688</v>
      </c>
      <c r="G6" s="113"/>
      <c r="H6" s="113"/>
      <c r="I6" s="113"/>
      <c r="J6" s="113"/>
      <c r="K6" s="113"/>
      <c r="N6" s="113" t="e">
        <f>MATCH(A6,Entrada!$A$53:$A$372,0)</f>
        <v>#N/A</v>
      </c>
      <c r="O6" s="113">
        <f>IF(NOT(ISNA($N6)),INDEX(Entrada!$C$53:$N$372,$N6,O$2),0)</f>
        <v>0</v>
      </c>
      <c r="P6">
        <f>IF(NOT(ISNA($N6)),INDEX(Entrada!$C$53:$N$372,$N6,P$2),0)</f>
        <v>0</v>
      </c>
      <c r="Q6">
        <f>IF(NOT(ISNA($N6)),INDEX(Entrada!$C$53:$N$372,$N6,Q$2),0)</f>
        <v>0</v>
      </c>
      <c r="R6">
        <f>IF(NOT(ISNA($N6)),INDEX(Entrada!$C$53:$N$372,$N6,R$2),0)</f>
        <v>0</v>
      </c>
      <c r="S6">
        <f>IF(NOT(ISNA($N6)),INDEX(Entrada!$C$53:$N$372,$N6,S$2),0)</f>
        <v>0</v>
      </c>
      <c r="T6">
        <f>IF(NOT(ISNA($N6)),INDEX(Entrada!$C$53:$N$372,$N6,T$2),0)</f>
        <v>0</v>
      </c>
      <c r="U6">
        <f>IF(NOT(ISNA($N6)),INDEX(Entrada!$C$53:$N$372,$N6,U$2),0)</f>
        <v>0</v>
      </c>
      <c r="V6" s="225">
        <f>IF(NOT(ISNA($N6)),INDEX(Entrada!$C$53:$N$372,$N6,V$2),0)</f>
        <v>0</v>
      </c>
      <c r="W6" s="225">
        <f>IF(NOT(ISNA($N6)),INDEX(Entrada!$C$53:$N$372,$N6,W$2),0)</f>
        <v>0</v>
      </c>
      <c r="X6" s="225">
        <f>IF(NOT(ISNA($N6)),INDEX(Entrada!$C$53:$N$372,$N6,X$2),0)</f>
        <v>0</v>
      </c>
      <c r="Y6" s="225">
        <f>IF(NOT(ISNA($N6)),INDEX(Entrada!$C$53:$N$372,$N6,Y$2),0)</f>
        <v>0</v>
      </c>
      <c r="Z6" s="225">
        <f>IF(NOT(ISNA($N6)),INDEX(Entrada!$C$53:$N$372,$N6,Z$2),0)</f>
        <v>0</v>
      </c>
      <c r="AA6" s="113">
        <f t="shared" si="0"/>
        <v>0</v>
      </c>
      <c r="AB6">
        <f t="shared" si="1"/>
        <v>0</v>
      </c>
      <c r="AC6">
        <f t="shared" si="2"/>
        <v>0</v>
      </c>
      <c r="AD6">
        <f t="shared" si="3"/>
        <v>0</v>
      </c>
      <c r="AE6">
        <f t="shared" si="4"/>
        <v>0</v>
      </c>
      <c r="AF6">
        <f t="shared" si="5"/>
        <v>0</v>
      </c>
      <c r="AG6">
        <f t="shared" si="6"/>
        <v>0</v>
      </c>
      <c r="AH6">
        <f t="shared" si="7"/>
        <v>0</v>
      </c>
      <c r="AI6">
        <f t="shared" si="8"/>
        <v>0</v>
      </c>
      <c r="AJ6">
        <f t="shared" si="9"/>
        <v>0</v>
      </c>
      <c r="AK6">
        <f t="shared" si="10"/>
        <v>0</v>
      </c>
      <c r="AL6">
        <f t="shared" si="11"/>
        <v>0</v>
      </c>
      <c r="AM6" s="113">
        <f t="shared" si="12"/>
        <v>0</v>
      </c>
      <c r="AN6">
        <f t="shared" si="13"/>
        <v>0</v>
      </c>
      <c r="AO6">
        <f t="shared" si="14"/>
        <v>0</v>
      </c>
      <c r="AP6">
        <f t="shared" si="15"/>
        <v>0</v>
      </c>
      <c r="AQ6">
        <f t="shared" si="16"/>
        <v>0</v>
      </c>
      <c r="AR6">
        <f t="shared" si="17"/>
        <v>0</v>
      </c>
      <c r="AS6">
        <f t="shared" si="18"/>
        <v>0</v>
      </c>
      <c r="AT6">
        <f t="shared" si="19"/>
        <v>0</v>
      </c>
      <c r="AU6">
        <f t="shared" si="20"/>
        <v>0</v>
      </c>
      <c r="AV6">
        <f t="shared" si="21"/>
        <v>0</v>
      </c>
      <c r="AW6">
        <f t="shared" si="22"/>
        <v>0</v>
      </c>
      <c r="AX6">
        <f t="shared" si="23"/>
        <v>0</v>
      </c>
    </row>
    <row r="7" spans="1:51" x14ac:dyDescent="0.25">
      <c r="A7" s="113">
        <v>4</v>
      </c>
      <c r="B7" s="209"/>
      <c r="C7" s="113">
        <v>0</v>
      </c>
      <c r="D7" s="113">
        <v>0</v>
      </c>
      <c r="E7" s="113" t="s">
        <v>688</v>
      </c>
      <c r="F7" s="113" t="s">
        <v>688</v>
      </c>
      <c r="G7" s="222"/>
      <c r="H7" s="113"/>
      <c r="I7" s="113"/>
      <c r="J7" s="113"/>
      <c r="K7" s="113"/>
      <c r="N7" s="113" t="e">
        <f>MATCH(A7,Entrada!$A$53:$A$372,0)</f>
        <v>#N/A</v>
      </c>
      <c r="O7" s="113">
        <f>IF(NOT(ISNA($N7)),INDEX(Entrada!$C$53:$N$372,$N7,O$2),0)</f>
        <v>0</v>
      </c>
      <c r="P7">
        <f>IF(NOT(ISNA($N7)),INDEX(Entrada!$C$53:$N$372,$N7,P$2),0)</f>
        <v>0</v>
      </c>
      <c r="Q7">
        <f>IF(NOT(ISNA($N7)),INDEX(Entrada!$C$53:$N$372,$N7,Q$2),0)</f>
        <v>0</v>
      </c>
      <c r="R7">
        <f>IF(NOT(ISNA($N7)),INDEX(Entrada!$C$53:$N$372,$N7,R$2),0)</f>
        <v>0</v>
      </c>
      <c r="S7">
        <f>IF(NOT(ISNA($N7)),INDEX(Entrada!$C$53:$N$372,$N7,S$2),0)</f>
        <v>0</v>
      </c>
      <c r="T7">
        <f>IF(NOT(ISNA($N7)),INDEX(Entrada!$C$53:$N$372,$N7,T$2),0)</f>
        <v>0</v>
      </c>
      <c r="U7">
        <f>IF(NOT(ISNA($N7)),INDEX(Entrada!$C$53:$N$372,$N7,U$2),0)</f>
        <v>0</v>
      </c>
      <c r="V7" s="225">
        <f>IF(NOT(ISNA($N7)),INDEX(Entrada!$C$53:$N$372,$N7,V$2),0)</f>
        <v>0</v>
      </c>
      <c r="W7" s="225">
        <f>IF(NOT(ISNA($N7)),INDEX(Entrada!$C$53:$N$372,$N7,W$2),0)</f>
        <v>0</v>
      </c>
      <c r="X7" s="225">
        <f>IF(NOT(ISNA($N7)),INDEX(Entrada!$C$53:$N$372,$N7,X$2),0)</f>
        <v>0</v>
      </c>
      <c r="Y7" s="225">
        <f>IF(NOT(ISNA($N7)),INDEX(Entrada!$C$53:$N$372,$N7,Y$2),0)</f>
        <v>0</v>
      </c>
      <c r="Z7" s="225">
        <f>IF(NOT(ISNA($N7)),INDEX(Entrada!$C$53:$N$372,$N7,Z$2),0)</f>
        <v>0</v>
      </c>
      <c r="AA7" s="113">
        <f t="shared" si="0"/>
        <v>0</v>
      </c>
      <c r="AB7">
        <f t="shared" si="1"/>
        <v>0</v>
      </c>
      <c r="AC7">
        <f t="shared" si="2"/>
        <v>0</v>
      </c>
      <c r="AD7">
        <f t="shared" si="3"/>
        <v>0</v>
      </c>
      <c r="AE7">
        <f t="shared" si="4"/>
        <v>0</v>
      </c>
      <c r="AF7">
        <f t="shared" si="5"/>
        <v>0</v>
      </c>
      <c r="AG7">
        <f t="shared" si="6"/>
        <v>0</v>
      </c>
      <c r="AH7">
        <f t="shared" si="7"/>
        <v>0</v>
      </c>
      <c r="AI7">
        <f t="shared" si="8"/>
        <v>0</v>
      </c>
      <c r="AJ7">
        <f t="shared" si="9"/>
        <v>0</v>
      </c>
      <c r="AK7">
        <f t="shared" si="10"/>
        <v>0</v>
      </c>
      <c r="AL7">
        <f t="shared" si="11"/>
        <v>0</v>
      </c>
      <c r="AM7" s="113">
        <f t="shared" si="12"/>
        <v>0</v>
      </c>
      <c r="AN7">
        <f t="shared" si="13"/>
        <v>0</v>
      </c>
      <c r="AO7">
        <f t="shared" si="14"/>
        <v>0</v>
      </c>
      <c r="AP7">
        <f t="shared" si="15"/>
        <v>0</v>
      </c>
      <c r="AQ7">
        <f t="shared" si="16"/>
        <v>0</v>
      </c>
      <c r="AR7">
        <f t="shared" si="17"/>
        <v>0</v>
      </c>
      <c r="AS7">
        <f t="shared" si="18"/>
        <v>0</v>
      </c>
      <c r="AT7">
        <f t="shared" si="19"/>
        <v>0</v>
      </c>
      <c r="AU7">
        <f t="shared" si="20"/>
        <v>0</v>
      </c>
      <c r="AV7">
        <f t="shared" si="21"/>
        <v>0</v>
      </c>
      <c r="AW7">
        <f t="shared" si="22"/>
        <v>0</v>
      </c>
      <c r="AX7">
        <f t="shared" si="23"/>
        <v>0</v>
      </c>
    </row>
    <row r="8" spans="1:51" x14ac:dyDescent="0.25">
      <c r="A8" s="113">
        <v>5</v>
      </c>
      <c r="B8" s="209"/>
      <c r="C8" s="113">
        <v>0</v>
      </c>
      <c r="D8" s="113">
        <v>0</v>
      </c>
      <c r="E8" s="113" t="s">
        <v>688</v>
      </c>
      <c r="F8" s="113" t="s">
        <v>688</v>
      </c>
      <c r="G8" s="222"/>
      <c r="H8" s="113"/>
      <c r="I8" s="113"/>
      <c r="J8" s="113"/>
      <c r="K8" s="113"/>
      <c r="N8" s="113" t="e">
        <f>MATCH(A8,Entrada!$A$53:$A$372,0)</f>
        <v>#N/A</v>
      </c>
      <c r="O8" s="113">
        <f>IF(NOT(ISNA($N8)),INDEX(Entrada!$C$53:$N$372,$N8,O$2),0)</f>
        <v>0</v>
      </c>
      <c r="P8">
        <f>IF(NOT(ISNA($N8)),INDEX(Entrada!$C$53:$N$372,$N8,P$2),0)</f>
        <v>0</v>
      </c>
      <c r="Q8">
        <f>IF(NOT(ISNA($N8)),INDEX(Entrada!$C$53:$N$372,$N8,Q$2),0)</f>
        <v>0</v>
      </c>
      <c r="R8">
        <f>IF(NOT(ISNA($N8)),INDEX(Entrada!$C$53:$N$372,$N8,R$2),0)</f>
        <v>0</v>
      </c>
      <c r="S8">
        <f>IF(NOT(ISNA($N8)),INDEX(Entrada!$C$53:$N$372,$N8,S$2),0)</f>
        <v>0</v>
      </c>
      <c r="T8">
        <f>IF(NOT(ISNA($N8)),INDEX(Entrada!$C$53:$N$372,$N8,T$2),0)</f>
        <v>0</v>
      </c>
      <c r="U8">
        <f>IF(NOT(ISNA($N8)),INDEX(Entrada!$C$53:$N$372,$N8,U$2),0)</f>
        <v>0</v>
      </c>
      <c r="V8" s="225">
        <f>IF(NOT(ISNA($N8)),INDEX(Entrada!$C$53:$N$372,$N8,V$2),0)</f>
        <v>0</v>
      </c>
      <c r="W8" s="225">
        <f>IF(NOT(ISNA($N8)),INDEX(Entrada!$C$53:$N$372,$N8,W$2),0)</f>
        <v>0</v>
      </c>
      <c r="X8" s="225">
        <f>IF(NOT(ISNA($N8)),INDEX(Entrada!$C$53:$N$372,$N8,X$2),0)</f>
        <v>0</v>
      </c>
      <c r="Y8" s="225">
        <f>IF(NOT(ISNA($N8)),INDEX(Entrada!$C$53:$N$372,$N8,Y$2),0)</f>
        <v>0</v>
      </c>
      <c r="Z8" s="225">
        <f>IF(NOT(ISNA($N8)),INDEX(Entrada!$C$53:$N$372,$N8,Z$2),0)</f>
        <v>0</v>
      </c>
      <c r="AA8" s="113">
        <f t="shared" si="0"/>
        <v>0</v>
      </c>
      <c r="AB8">
        <f t="shared" si="1"/>
        <v>0</v>
      </c>
      <c r="AC8">
        <f t="shared" si="2"/>
        <v>0</v>
      </c>
      <c r="AD8">
        <f t="shared" si="3"/>
        <v>0</v>
      </c>
      <c r="AE8">
        <f t="shared" si="4"/>
        <v>0</v>
      </c>
      <c r="AF8">
        <f t="shared" si="5"/>
        <v>0</v>
      </c>
      <c r="AG8">
        <f t="shared" si="6"/>
        <v>0</v>
      </c>
      <c r="AH8">
        <f t="shared" si="7"/>
        <v>0</v>
      </c>
      <c r="AI8">
        <f t="shared" si="8"/>
        <v>0</v>
      </c>
      <c r="AJ8">
        <f t="shared" si="9"/>
        <v>0</v>
      </c>
      <c r="AK8">
        <f t="shared" si="10"/>
        <v>0</v>
      </c>
      <c r="AL8">
        <f t="shared" si="11"/>
        <v>0</v>
      </c>
      <c r="AM8" s="113">
        <f t="shared" si="12"/>
        <v>0</v>
      </c>
      <c r="AN8">
        <f t="shared" si="13"/>
        <v>0</v>
      </c>
      <c r="AO8">
        <f t="shared" si="14"/>
        <v>0</v>
      </c>
      <c r="AP8">
        <f t="shared" si="15"/>
        <v>0</v>
      </c>
      <c r="AQ8">
        <f t="shared" si="16"/>
        <v>0</v>
      </c>
      <c r="AR8">
        <f t="shared" si="17"/>
        <v>0</v>
      </c>
      <c r="AS8">
        <f t="shared" si="18"/>
        <v>0</v>
      </c>
      <c r="AT8">
        <f t="shared" si="19"/>
        <v>0</v>
      </c>
      <c r="AU8">
        <f t="shared" si="20"/>
        <v>0</v>
      </c>
      <c r="AV8">
        <f t="shared" si="21"/>
        <v>0</v>
      </c>
      <c r="AW8">
        <f t="shared" si="22"/>
        <v>0</v>
      </c>
      <c r="AX8">
        <f t="shared" si="23"/>
        <v>0</v>
      </c>
    </row>
    <row r="9" spans="1:51" x14ac:dyDescent="0.25">
      <c r="A9" s="113">
        <v>6</v>
      </c>
      <c r="B9" s="209" t="s">
        <v>538</v>
      </c>
      <c r="C9" s="113">
        <v>1931</v>
      </c>
      <c r="D9" s="113">
        <v>2013</v>
      </c>
      <c r="E9" s="210" t="s">
        <v>2</v>
      </c>
      <c r="F9" s="210" t="s">
        <v>2</v>
      </c>
      <c r="G9" s="113">
        <v>211</v>
      </c>
      <c r="H9" s="113"/>
      <c r="I9" s="113"/>
      <c r="J9" s="113"/>
      <c r="K9" s="113"/>
      <c r="N9" s="113">
        <f>MATCH(A9,Entrada!$A$53:$A$372,0)</f>
        <v>3</v>
      </c>
      <c r="O9" s="113">
        <f>IF(NOT(ISNA($N9)),INDEX(Entrada!$C$53:$N$372,$N9,O$2),0)</f>
        <v>1782</v>
      </c>
      <c r="P9">
        <f>IF(NOT(ISNA($N9)),INDEX(Entrada!$C$53:$N$372,$N9,P$2),0)</f>
        <v>1653</v>
      </c>
      <c r="Q9">
        <f>IF(NOT(ISNA($N9)),INDEX(Entrada!$C$53:$N$372,$N9,Q$2),0)</f>
        <v>1470</v>
      </c>
      <c r="R9">
        <f>IF(NOT(ISNA($N9)),INDEX(Entrada!$C$53:$N$372,$N9,R$2),0)</f>
        <v>1010</v>
      </c>
      <c r="S9">
        <f>IF(NOT(ISNA($N9)),INDEX(Entrada!$C$53:$N$372,$N9,S$2),0)</f>
        <v>738</v>
      </c>
      <c r="T9">
        <f>IF(NOT(ISNA($N9)),INDEX(Entrada!$C$53:$N$372,$N9,T$2),0)</f>
        <v>616</v>
      </c>
      <c r="U9">
        <f>IF(NOT(ISNA($N9)),INDEX(Entrada!$C$53:$N$372,$N9,U$2),0)</f>
        <v>506</v>
      </c>
      <c r="V9" s="225">
        <f>IF(NOT(ISNA($N9)),INDEX(Entrada!$C$53:$N$372,$N9,V$2),0)</f>
        <v>416</v>
      </c>
      <c r="W9" s="225">
        <f>IF(NOT(ISNA($N9)),INDEX(Entrada!$C$53:$N$372,$N9,W$2),0)</f>
        <v>433</v>
      </c>
      <c r="X9" s="225">
        <f>IF(NOT(ISNA($N9)),INDEX(Entrada!$C$53:$N$372,$N9,X$2),0)</f>
        <v>511</v>
      </c>
      <c r="Y9" s="225">
        <f>IF(NOT(ISNA($N9)),INDEX(Entrada!$C$53:$N$372,$N9,Y$2),0)</f>
        <v>722</v>
      </c>
      <c r="Z9" s="225">
        <f>IF(NOT(ISNA($N9)),INDEX(Entrada!$C$53:$N$372,$N9,Z$2),0)</f>
        <v>1244</v>
      </c>
      <c r="AA9" s="113">
        <f t="shared" si="0"/>
        <v>595</v>
      </c>
      <c r="AB9">
        <f t="shared" si="1"/>
        <v>527</v>
      </c>
      <c r="AC9">
        <f t="shared" si="2"/>
        <v>466</v>
      </c>
      <c r="AD9">
        <f t="shared" si="3"/>
        <v>322</v>
      </c>
      <c r="AE9">
        <f t="shared" si="4"/>
        <v>237</v>
      </c>
      <c r="AF9">
        <f t="shared" si="5"/>
        <v>198</v>
      </c>
      <c r="AG9">
        <f t="shared" si="6"/>
        <v>167</v>
      </c>
      <c r="AH9">
        <f t="shared" si="7"/>
        <v>142</v>
      </c>
      <c r="AI9">
        <f t="shared" si="8"/>
        <v>145</v>
      </c>
      <c r="AJ9">
        <f t="shared" si="9"/>
        <v>174</v>
      </c>
      <c r="AK9">
        <f t="shared" si="10"/>
        <v>255</v>
      </c>
      <c r="AL9">
        <f t="shared" si="11"/>
        <v>432</v>
      </c>
      <c r="AM9" s="113">
        <f t="shared" si="12"/>
        <v>1187</v>
      </c>
      <c r="AN9">
        <f t="shared" si="13"/>
        <v>1126</v>
      </c>
      <c r="AO9">
        <f t="shared" si="14"/>
        <v>1004</v>
      </c>
      <c r="AP9">
        <f t="shared" si="15"/>
        <v>688</v>
      </c>
      <c r="AQ9">
        <f t="shared" si="16"/>
        <v>501</v>
      </c>
      <c r="AR9">
        <f t="shared" si="17"/>
        <v>418</v>
      </c>
      <c r="AS9">
        <f t="shared" si="18"/>
        <v>339</v>
      </c>
      <c r="AT9">
        <f t="shared" si="19"/>
        <v>274</v>
      </c>
      <c r="AU9">
        <f t="shared" si="20"/>
        <v>288</v>
      </c>
      <c r="AV9">
        <f t="shared" si="21"/>
        <v>337</v>
      </c>
      <c r="AW9">
        <f t="shared" si="22"/>
        <v>467</v>
      </c>
      <c r="AX9">
        <f t="shared" si="23"/>
        <v>812</v>
      </c>
    </row>
    <row r="10" spans="1:51" x14ac:dyDescent="0.25">
      <c r="A10" s="113">
        <v>7</v>
      </c>
      <c r="B10" s="209" t="s">
        <v>268</v>
      </c>
      <c r="C10" s="113">
        <v>1931</v>
      </c>
      <c r="D10" s="113">
        <v>2013</v>
      </c>
      <c r="E10" s="210" t="s">
        <v>2</v>
      </c>
      <c r="F10" s="210" t="s">
        <v>2</v>
      </c>
      <c r="G10" s="113">
        <v>6</v>
      </c>
      <c r="H10" s="113"/>
      <c r="I10" s="113"/>
      <c r="J10" s="113"/>
      <c r="K10" s="113"/>
      <c r="N10" s="113">
        <f>MATCH(A10,Entrada!$A$53:$A$372,0)</f>
        <v>4</v>
      </c>
      <c r="O10" s="113">
        <f>IF(NOT(ISNA($N10)),INDEX(Entrada!$C$53:$N$372,$N10,O$2),0)</f>
        <v>1986</v>
      </c>
      <c r="P10">
        <f>IF(NOT(ISNA($N10)),INDEX(Entrada!$C$53:$N$372,$N10,P$2),0)</f>
        <v>1860</v>
      </c>
      <c r="Q10">
        <f>IF(NOT(ISNA($N10)),INDEX(Entrada!$C$53:$N$372,$N10,Q$2),0)</f>
        <v>1656</v>
      </c>
      <c r="R10">
        <f>IF(NOT(ISNA($N10)),INDEX(Entrada!$C$53:$N$372,$N10,R$2),0)</f>
        <v>1139</v>
      </c>
      <c r="S10">
        <f>IF(NOT(ISNA($N10)),INDEX(Entrada!$C$53:$N$372,$N10,S$2),0)</f>
        <v>830</v>
      </c>
      <c r="T10">
        <f>IF(NOT(ISNA($N10)),INDEX(Entrada!$C$53:$N$372,$N10,T$2),0)</f>
        <v>688</v>
      </c>
      <c r="U10">
        <f>IF(NOT(ISNA($N10)),INDEX(Entrada!$C$53:$N$372,$N10,U$2),0)</f>
        <v>565</v>
      </c>
      <c r="V10" s="225">
        <f>IF(NOT(ISNA($N10)),INDEX(Entrada!$C$53:$N$372,$N10,V$2),0)</f>
        <v>464</v>
      </c>
      <c r="W10" s="225">
        <f>IF(NOT(ISNA($N10)),INDEX(Entrada!$C$53:$N$372,$N10,W$2),0)</f>
        <v>480</v>
      </c>
      <c r="X10" s="225">
        <f>IF(NOT(ISNA($N10)),INDEX(Entrada!$C$53:$N$372,$N10,X$2),0)</f>
        <v>567</v>
      </c>
      <c r="Y10" s="225">
        <f>IF(NOT(ISNA($N10)),INDEX(Entrada!$C$53:$N$372,$N10,Y$2),0)</f>
        <v>796</v>
      </c>
      <c r="Z10" s="225">
        <f>IF(NOT(ISNA($N10)),INDEX(Entrada!$C$53:$N$372,$N10,Z$2),0)</f>
        <v>1370</v>
      </c>
      <c r="AA10" s="113">
        <f t="shared" si="0"/>
        <v>1782</v>
      </c>
      <c r="AB10">
        <f t="shared" si="1"/>
        <v>1653</v>
      </c>
      <c r="AC10">
        <f t="shared" si="2"/>
        <v>1470</v>
      </c>
      <c r="AD10">
        <f t="shared" si="3"/>
        <v>1010</v>
      </c>
      <c r="AE10">
        <f t="shared" si="4"/>
        <v>738</v>
      </c>
      <c r="AF10">
        <f t="shared" si="5"/>
        <v>616</v>
      </c>
      <c r="AG10">
        <f t="shared" si="6"/>
        <v>506</v>
      </c>
      <c r="AH10">
        <f t="shared" si="7"/>
        <v>416</v>
      </c>
      <c r="AI10">
        <f t="shared" si="8"/>
        <v>433</v>
      </c>
      <c r="AJ10">
        <f t="shared" si="9"/>
        <v>511</v>
      </c>
      <c r="AK10">
        <f t="shared" si="10"/>
        <v>722</v>
      </c>
      <c r="AL10">
        <f t="shared" si="11"/>
        <v>1244</v>
      </c>
      <c r="AM10" s="113">
        <f t="shared" si="12"/>
        <v>204</v>
      </c>
      <c r="AN10">
        <f t="shared" si="13"/>
        <v>207</v>
      </c>
      <c r="AO10">
        <f t="shared" si="14"/>
        <v>186</v>
      </c>
      <c r="AP10">
        <f t="shared" si="15"/>
        <v>129</v>
      </c>
      <c r="AQ10">
        <f t="shared" si="16"/>
        <v>92</v>
      </c>
      <c r="AR10">
        <f t="shared" si="17"/>
        <v>72</v>
      </c>
      <c r="AS10">
        <f t="shared" si="18"/>
        <v>59</v>
      </c>
      <c r="AT10">
        <f t="shared" si="19"/>
        <v>48</v>
      </c>
      <c r="AU10">
        <f t="shared" si="20"/>
        <v>47</v>
      </c>
      <c r="AV10">
        <f t="shared" si="21"/>
        <v>56</v>
      </c>
      <c r="AW10">
        <f t="shared" si="22"/>
        <v>74</v>
      </c>
      <c r="AX10">
        <f t="shared" si="23"/>
        <v>126</v>
      </c>
    </row>
    <row r="11" spans="1:51" x14ac:dyDescent="0.25">
      <c r="A11" s="113">
        <v>8</v>
      </c>
      <c r="B11" s="209" t="s">
        <v>539</v>
      </c>
      <c r="C11" s="113">
        <v>1931</v>
      </c>
      <c r="D11" s="113">
        <v>2013</v>
      </c>
      <c r="E11" s="210" t="s">
        <v>2</v>
      </c>
      <c r="F11" s="210" t="s">
        <v>2</v>
      </c>
      <c r="G11" s="113">
        <v>7</v>
      </c>
      <c r="H11" s="113"/>
      <c r="I11" s="113"/>
      <c r="J11" s="113"/>
      <c r="K11" s="113"/>
      <c r="N11" s="113">
        <f>MATCH(A11,Entrada!$A$53:$A$372,0)</f>
        <v>5</v>
      </c>
      <c r="O11" s="113">
        <f>IF(NOT(ISNA($N11)),INDEX(Entrada!$C$53:$N$372,$N11,O$2),0)</f>
        <v>2029</v>
      </c>
      <c r="P11">
        <f>IF(NOT(ISNA($N11)),INDEX(Entrada!$C$53:$N$372,$N11,P$2),0)</f>
        <v>1910</v>
      </c>
      <c r="Q11">
        <f>IF(NOT(ISNA($N11)),INDEX(Entrada!$C$53:$N$372,$N11,Q$2),0)</f>
        <v>1702</v>
      </c>
      <c r="R11">
        <f>IF(NOT(ISNA($N11)),INDEX(Entrada!$C$53:$N$372,$N11,R$2),0)</f>
        <v>1175</v>
      </c>
      <c r="S11">
        <f>IF(NOT(ISNA($N11)),INDEX(Entrada!$C$53:$N$372,$N11,S$2),0)</f>
        <v>854</v>
      </c>
      <c r="T11">
        <f>IF(NOT(ISNA($N11)),INDEX(Entrada!$C$53:$N$372,$N11,T$2),0)</f>
        <v>707</v>
      </c>
      <c r="U11">
        <f>IF(NOT(ISNA($N11)),INDEX(Entrada!$C$53:$N$372,$N11,U$2),0)</f>
        <v>580</v>
      </c>
      <c r="V11" s="225">
        <f>IF(NOT(ISNA($N11)),INDEX(Entrada!$C$53:$N$372,$N11,V$2),0)</f>
        <v>475</v>
      </c>
      <c r="W11" s="225">
        <f>IF(NOT(ISNA($N11)),INDEX(Entrada!$C$53:$N$372,$N11,W$2),0)</f>
        <v>490</v>
      </c>
      <c r="X11" s="225">
        <f>IF(NOT(ISNA($N11)),INDEX(Entrada!$C$53:$N$372,$N11,X$2),0)</f>
        <v>578</v>
      </c>
      <c r="Y11" s="225">
        <f>IF(NOT(ISNA($N11)),INDEX(Entrada!$C$53:$N$372,$N11,Y$2),0)</f>
        <v>811</v>
      </c>
      <c r="Z11" s="225">
        <f>IF(NOT(ISNA($N11)),INDEX(Entrada!$C$53:$N$372,$N11,Z$2),0)</f>
        <v>1392</v>
      </c>
      <c r="AA11" s="113">
        <f t="shared" si="0"/>
        <v>1986</v>
      </c>
      <c r="AB11">
        <f t="shared" si="1"/>
        <v>1860</v>
      </c>
      <c r="AC11">
        <f t="shared" si="2"/>
        <v>1656</v>
      </c>
      <c r="AD11">
        <f t="shared" si="3"/>
        <v>1139</v>
      </c>
      <c r="AE11">
        <f t="shared" si="4"/>
        <v>830</v>
      </c>
      <c r="AF11">
        <f t="shared" si="5"/>
        <v>688</v>
      </c>
      <c r="AG11">
        <f t="shared" si="6"/>
        <v>565</v>
      </c>
      <c r="AH11">
        <f t="shared" si="7"/>
        <v>464</v>
      </c>
      <c r="AI11">
        <f t="shared" si="8"/>
        <v>480</v>
      </c>
      <c r="AJ11">
        <f t="shared" si="9"/>
        <v>567</v>
      </c>
      <c r="AK11">
        <f t="shared" si="10"/>
        <v>796</v>
      </c>
      <c r="AL11">
        <f t="shared" si="11"/>
        <v>1370</v>
      </c>
      <c r="AM11" s="113">
        <f t="shared" si="12"/>
        <v>43</v>
      </c>
      <c r="AN11">
        <f t="shared" si="13"/>
        <v>50</v>
      </c>
      <c r="AO11">
        <f t="shared" si="14"/>
        <v>46</v>
      </c>
      <c r="AP11">
        <f t="shared" si="15"/>
        <v>36</v>
      </c>
      <c r="AQ11">
        <f t="shared" si="16"/>
        <v>24</v>
      </c>
      <c r="AR11">
        <f t="shared" si="17"/>
        <v>19</v>
      </c>
      <c r="AS11">
        <f t="shared" si="18"/>
        <v>15</v>
      </c>
      <c r="AT11">
        <f t="shared" si="19"/>
        <v>11</v>
      </c>
      <c r="AU11">
        <f t="shared" si="20"/>
        <v>10</v>
      </c>
      <c r="AV11">
        <f t="shared" si="21"/>
        <v>11</v>
      </c>
      <c r="AW11">
        <f t="shared" si="22"/>
        <v>15</v>
      </c>
      <c r="AX11">
        <f t="shared" si="23"/>
        <v>22</v>
      </c>
    </row>
    <row r="12" spans="1:51" x14ac:dyDescent="0.25">
      <c r="A12" s="113">
        <v>9</v>
      </c>
      <c r="B12" s="209" t="s">
        <v>540</v>
      </c>
      <c r="C12" s="113">
        <v>1931</v>
      </c>
      <c r="D12" s="113">
        <v>2013</v>
      </c>
      <c r="E12" s="210" t="s">
        <v>2</v>
      </c>
      <c r="F12" s="210" t="s">
        <v>2</v>
      </c>
      <c r="G12" s="113">
        <v>8</v>
      </c>
      <c r="H12" s="113"/>
      <c r="I12" s="113"/>
      <c r="J12" s="113"/>
      <c r="K12" s="113"/>
      <c r="N12" s="113">
        <f>MATCH(A12,Entrada!$A$53:$A$372,0)</f>
        <v>6</v>
      </c>
      <c r="O12" s="113">
        <f>IF(NOT(ISNA($N12)),INDEX(Entrada!$C$53:$N$372,$N12,O$2),0)</f>
        <v>2046</v>
      </c>
      <c r="P12">
        <f>IF(NOT(ISNA($N12)),INDEX(Entrada!$C$53:$N$372,$N12,P$2),0)</f>
        <v>1932</v>
      </c>
      <c r="Q12">
        <f>IF(NOT(ISNA($N12)),INDEX(Entrada!$C$53:$N$372,$N12,Q$2),0)</f>
        <v>1722</v>
      </c>
      <c r="R12">
        <f>IF(NOT(ISNA($N12)),INDEX(Entrada!$C$53:$N$372,$N12,R$2),0)</f>
        <v>1192</v>
      </c>
      <c r="S12">
        <f>IF(NOT(ISNA($N12)),INDEX(Entrada!$C$53:$N$372,$N12,S$2),0)</f>
        <v>864</v>
      </c>
      <c r="T12">
        <f>IF(NOT(ISNA($N12)),INDEX(Entrada!$C$53:$N$372,$N12,T$2),0)</f>
        <v>715</v>
      </c>
      <c r="U12">
        <f>IF(NOT(ISNA($N12)),INDEX(Entrada!$C$53:$N$372,$N12,U$2),0)</f>
        <v>586</v>
      </c>
      <c r="V12" s="225">
        <f>IF(NOT(ISNA($N12)),INDEX(Entrada!$C$53:$N$372,$N12,V$2),0)</f>
        <v>480</v>
      </c>
      <c r="W12" s="225">
        <f>IF(NOT(ISNA($N12)),INDEX(Entrada!$C$53:$N$372,$N12,W$2),0)</f>
        <v>494</v>
      </c>
      <c r="X12" s="225">
        <f>IF(NOT(ISNA($N12)),INDEX(Entrada!$C$53:$N$372,$N12,X$2),0)</f>
        <v>583</v>
      </c>
      <c r="Y12" s="225">
        <f>IF(NOT(ISNA($N12)),INDEX(Entrada!$C$53:$N$372,$N12,Y$2),0)</f>
        <v>816</v>
      </c>
      <c r="Z12" s="225">
        <f>IF(NOT(ISNA($N12)),INDEX(Entrada!$C$53:$N$372,$N12,Z$2),0)</f>
        <v>1399</v>
      </c>
      <c r="AA12" s="113">
        <f t="shared" si="0"/>
        <v>2029</v>
      </c>
      <c r="AB12">
        <f t="shared" si="1"/>
        <v>1910</v>
      </c>
      <c r="AC12">
        <f t="shared" si="2"/>
        <v>1702</v>
      </c>
      <c r="AD12">
        <f t="shared" si="3"/>
        <v>1175</v>
      </c>
      <c r="AE12">
        <f t="shared" si="4"/>
        <v>854</v>
      </c>
      <c r="AF12">
        <f t="shared" si="5"/>
        <v>707</v>
      </c>
      <c r="AG12">
        <f t="shared" si="6"/>
        <v>580</v>
      </c>
      <c r="AH12">
        <f t="shared" si="7"/>
        <v>475</v>
      </c>
      <c r="AI12">
        <f t="shared" si="8"/>
        <v>490</v>
      </c>
      <c r="AJ12">
        <f t="shared" si="9"/>
        <v>578</v>
      </c>
      <c r="AK12">
        <f t="shared" si="10"/>
        <v>811</v>
      </c>
      <c r="AL12">
        <f t="shared" si="11"/>
        <v>1392</v>
      </c>
      <c r="AM12" s="113">
        <f t="shared" si="12"/>
        <v>17</v>
      </c>
      <c r="AN12">
        <f t="shared" si="13"/>
        <v>22</v>
      </c>
      <c r="AO12">
        <f t="shared" si="14"/>
        <v>20</v>
      </c>
      <c r="AP12">
        <f t="shared" si="15"/>
        <v>17</v>
      </c>
      <c r="AQ12">
        <f t="shared" si="16"/>
        <v>10</v>
      </c>
      <c r="AR12">
        <f t="shared" si="17"/>
        <v>8</v>
      </c>
      <c r="AS12">
        <f t="shared" si="18"/>
        <v>6</v>
      </c>
      <c r="AT12">
        <f t="shared" si="19"/>
        <v>5</v>
      </c>
      <c r="AU12">
        <f t="shared" si="20"/>
        <v>4</v>
      </c>
      <c r="AV12">
        <f t="shared" si="21"/>
        <v>5</v>
      </c>
      <c r="AW12">
        <f t="shared" si="22"/>
        <v>5</v>
      </c>
      <c r="AX12">
        <f t="shared" si="23"/>
        <v>7</v>
      </c>
    </row>
    <row r="13" spans="1:51" x14ac:dyDescent="0.25">
      <c r="A13" s="113">
        <v>10</v>
      </c>
      <c r="B13" s="209" t="s">
        <v>541</v>
      </c>
      <c r="C13" s="113">
        <v>1931</v>
      </c>
      <c r="D13" s="113">
        <v>2013</v>
      </c>
      <c r="E13" s="210" t="s">
        <v>2</v>
      </c>
      <c r="F13" s="210" t="s">
        <v>2</v>
      </c>
      <c r="G13" s="113">
        <v>9</v>
      </c>
      <c r="H13" s="113"/>
      <c r="I13" s="113"/>
      <c r="J13" s="113"/>
      <c r="K13" s="113"/>
      <c r="N13" s="113">
        <f>MATCH(A13,Entrada!$A$53:$A$372,0)</f>
        <v>7</v>
      </c>
      <c r="O13" s="113">
        <f>IF(NOT(ISNA($N13)),INDEX(Entrada!$C$53:$N$372,$N13,O$2),0)</f>
        <v>2096</v>
      </c>
      <c r="P13">
        <f>IF(NOT(ISNA($N13)),INDEX(Entrada!$C$53:$N$372,$N13,P$2),0)</f>
        <v>1994</v>
      </c>
      <c r="Q13">
        <f>IF(NOT(ISNA($N13)),INDEX(Entrada!$C$53:$N$372,$N13,Q$2),0)</f>
        <v>1777</v>
      </c>
      <c r="R13">
        <f>IF(NOT(ISNA($N13)),INDEX(Entrada!$C$53:$N$372,$N13,R$2),0)</f>
        <v>1236</v>
      </c>
      <c r="S13">
        <f>IF(NOT(ISNA($N13)),INDEX(Entrada!$C$53:$N$372,$N13,S$2),0)</f>
        <v>891</v>
      </c>
      <c r="T13">
        <f>IF(NOT(ISNA($N13)),INDEX(Entrada!$C$53:$N$372,$N13,T$2),0)</f>
        <v>736</v>
      </c>
      <c r="U13">
        <f>IF(NOT(ISNA($N13)),INDEX(Entrada!$C$53:$N$372,$N13,U$2),0)</f>
        <v>603</v>
      </c>
      <c r="V13" s="225">
        <f>IF(NOT(ISNA($N13)),INDEX(Entrada!$C$53:$N$372,$N13,V$2),0)</f>
        <v>494</v>
      </c>
      <c r="W13" s="225">
        <f>IF(NOT(ISNA($N13)),INDEX(Entrada!$C$53:$N$372,$N13,W$2),0)</f>
        <v>506</v>
      </c>
      <c r="X13" s="225">
        <f>IF(NOT(ISNA($N13)),INDEX(Entrada!$C$53:$N$372,$N13,X$2),0)</f>
        <v>596</v>
      </c>
      <c r="Y13" s="225">
        <f>IF(NOT(ISNA($N13)),INDEX(Entrada!$C$53:$N$372,$N13,Y$2),0)</f>
        <v>832</v>
      </c>
      <c r="Z13" s="225">
        <f>IF(NOT(ISNA($N13)),INDEX(Entrada!$C$53:$N$372,$N13,Z$2),0)</f>
        <v>1423</v>
      </c>
      <c r="AA13" s="113">
        <f t="shared" si="0"/>
        <v>2046</v>
      </c>
      <c r="AB13">
        <f t="shared" si="1"/>
        <v>1932</v>
      </c>
      <c r="AC13">
        <f t="shared" si="2"/>
        <v>1722</v>
      </c>
      <c r="AD13">
        <f t="shared" si="3"/>
        <v>1192</v>
      </c>
      <c r="AE13">
        <f t="shared" si="4"/>
        <v>864</v>
      </c>
      <c r="AF13">
        <f t="shared" si="5"/>
        <v>715</v>
      </c>
      <c r="AG13">
        <f t="shared" si="6"/>
        <v>586</v>
      </c>
      <c r="AH13">
        <f t="shared" si="7"/>
        <v>480</v>
      </c>
      <c r="AI13">
        <f t="shared" si="8"/>
        <v>494</v>
      </c>
      <c r="AJ13">
        <f t="shared" si="9"/>
        <v>583</v>
      </c>
      <c r="AK13">
        <f t="shared" si="10"/>
        <v>816</v>
      </c>
      <c r="AL13">
        <f t="shared" si="11"/>
        <v>1399</v>
      </c>
      <c r="AM13" s="113">
        <f t="shared" si="12"/>
        <v>50</v>
      </c>
      <c r="AN13">
        <f t="shared" si="13"/>
        <v>62</v>
      </c>
      <c r="AO13">
        <f t="shared" si="14"/>
        <v>55</v>
      </c>
      <c r="AP13">
        <f t="shared" si="15"/>
        <v>44</v>
      </c>
      <c r="AQ13">
        <f t="shared" si="16"/>
        <v>27</v>
      </c>
      <c r="AR13">
        <f t="shared" si="17"/>
        <v>21</v>
      </c>
      <c r="AS13">
        <f t="shared" si="18"/>
        <v>17</v>
      </c>
      <c r="AT13">
        <f t="shared" si="19"/>
        <v>14</v>
      </c>
      <c r="AU13">
        <f t="shared" si="20"/>
        <v>12</v>
      </c>
      <c r="AV13">
        <f t="shared" si="21"/>
        <v>13</v>
      </c>
      <c r="AW13">
        <f t="shared" si="22"/>
        <v>16</v>
      </c>
      <c r="AX13">
        <f t="shared" si="23"/>
        <v>24</v>
      </c>
    </row>
    <row r="14" spans="1:51" x14ac:dyDescent="0.25">
      <c r="A14" s="113">
        <v>11</v>
      </c>
      <c r="B14" s="209" t="s">
        <v>49</v>
      </c>
      <c r="C14" s="113">
        <v>1931</v>
      </c>
      <c r="D14" s="113">
        <v>2013</v>
      </c>
      <c r="E14" s="210" t="s">
        <v>2</v>
      </c>
      <c r="F14" s="210" t="s">
        <v>2</v>
      </c>
      <c r="G14" s="113">
        <v>10</v>
      </c>
      <c r="H14" s="113"/>
      <c r="I14" s="113"/>
      <c r="J14" s="113"/>
      <c r="K14" s="113"/>
      <c r="N14" s="113">
        <f>MATCH(A14,Entrada!$A$53:$A$372,0)</f>
        <v>8</v>
      </c>
      <c r="O14" s="113">
        <f>IF(NOT(ISNA($N14)),INDEX(Entrada!$C$53:$N$372,$N14,O$2),0)</f>
        <v>2210</v>
      </c>
      <c r="P14">
        <f>IF(NOT(ISNA($N14)),INDEX(Entrada!$C$53:$N$372,$N14,P$2),0)</f>
        <v>2123</v>
      </c>
      <c r="Q14">
        <f>IF(NOT(ISNA($N14)),INDEX(Entrada!$C$53:$N$372,$N14,Q$2),0)</f>
        <v>1895</v>
      </c>
      <c r="R14">
        <f>IF(NOT(ISNA($N14)),INDEX(Entrada!$C$53:$N$372,$N14,R$2),0)</f>
        <v>1328</v>
      </c>
      <c r="S14">
        <f>IF(NOT(ISNA($N14)),INDEX(Entrada!$C$53:$N$372,$N14,S$2),0)</f>
        <v>952</v>
      </c>
      <c r="T14">
        <f>IF(NOT(ISNA($N14)),INDEX(Entrada!$C$53:$N$372,$N14,T$2),0)</f>
        <v>785</v>
      </c>
      <c r="U14">
        <f>IF(NOT(ISNA($N14)),INDEX(Entrada!$C$53:$N$372,$N14,U$2),0)</f>
        <v>641</v>
      </c>
      <c r="V14" s="225">
        <f>IF(NOT(ISNA($N14)),INDEX(Entrada!$C$53:$N$372,$N14,V$2),0)</f>
        <v>524</v>
      </c>
      <c r="W14" s="225">
        <f>IF(NOT(ISNA($N14)),INDEX(Entrada!$C$53:$N$372,$N14,W$2),0)</f>
        <v>533</v>
      </c>
      <c r="X14" s="225">
        <f>IF(NOT(ISNA($N14)),INDEX(Entrada!$C$53:$N$372,$N14,X$2),0)</f>
        <v>627</v>
      </c>
      <c r="Y14" s="225">
        <f>IF(NOT(ISNA($N14)),INDEX(Entrada!$C$53:$N$372,$N14,Y$2),0)</f>
        <v>873</v>
      </c>
      <c r="Z14" s="225">
        <f>IF(NOT(ISNA($N14)),INDEX(Entrada!$C$53:$N$372,$N14,Z$2),0)</f>
        <v>1487</v>
      </c>
      <c r="AA14" s="113">
        <f t="shared" si="0"/>
        <v>2096</v>
      </c>
      <c r="AB14">
        <f t="shared" si="1"/>
        <v>1994</v>
      </c>
      <c r="AC14">
        <f t="shared" si="2"/>
        <v>1777</v>
      </c>
      <c r="AD14">
        <f t="shared" si="3"/>
        <v>1236</v>
      </c>
      <c r="AE14">
        <f t="shared" si="4"/>
        <v>891</v>
      </c>
      <c r="AF14">
        <f t="shared" si="5"/>
        <v>736</v>
      </c>
      <c r="AG14">
        <f t="shared" si="6"/>
        <v>603</v>
      </c>
      <c r="AH14">
        <f t="shared" si="7"/>
        <v>494</v>
      </c>
      <c r="AI14">
        <f t="shared" si="8"/>
        <v>506</v>
      </c>
      <c r="AJ14">
        <f t="shared" si="9"/>
        <v>596</v>
      </c>
      <c r="AK14">
        <f t="shared" si="10"/>
        <v>832</v>
      </c>
      <c r="AL14">
        <f t="shared" si="11"/>
        <v>1423</v>
      </c>
      <c r="AM14" s="113">
        <f t="shared" si="12"/>
        <v>114</v>
      </c>
      <c r="AN14">
        <f t="shared" si="13"/>
        <v>129</v>
      </c>
      <c r="AO14">
        <f t="shared" si="14"/>
        <v>118</v>
      </c>
      <c r="AP14">
        <f t="shared" si="15"/>
        <v>92</v>
      </c>
      <c r="AQ14">
        <f t="shared" si="16"/>
        <v>61</v>
      </c>
      <c r="AR14">
        <f t="shared" si="17"/>
        <v>49</v>
      </c>
      <c r="AS14">
        <f t="shared" si="18"/>
        <v>38</v>
      </c>
      <c r="AT14">
        <f t="shared" si="19"/>
        <v>30</v>
      </c>
      <c r="AU14">
        <f t="shared" si="20"/>
        <v>27</v>
      </c>
      <c r="AV14">
        <f t="shared" si="21"/>
        <v>31</v>
      </c>
      <c r="AW14">
        <f t="shared" si="22"/>
        <v>41</v>
      </c>
      <c r="AX14">
        <f t="shared" si="23"/>
        <v>64</v>
      </c>
    </row>
    <row r="15" spans="1:51" x14ac:dyDescent="0.25">
      <c r="A15" s="113">
        <v>12</v>
      </c>
      <c r="B15" s="209" t="s">
        <v>542</v>
      </c>
      <c r="C15" s="113">
        <v>1931</v>
      </c>
      <c r="D15" s="113">
        <v>2013</v>
      </c>
      <c r="E15" s="210" t="s">
        <v>2</v>
      </c>
      <c r="F15" s="210" t="s">
        <v>2</v>
      </c>
      <c r="G15" s="113">
        <v>11</v>
      </c>
      <c r="H15" s="113"/>
      <c r="I15" s="113"/>
      <c r="J15" s="113"/>
      <c r="K15" s="113"/>
      <c r="N15" s="113">
        <f>MATCH(A15,Entrada!$A$53:$A$372,0)</f>
        <v>9</v>
      </c>
      <c r="O15" s="113">
        <f>IF(NOT(ISNA($N15)),INDEX(Entrada!$C$53:$N$372,$N15,O$2),0)</f>
        <v>2494</v>
      </c>
      <c r="P15">
        <f>IF(NOT(ISNA($N15)),INDEX(Entrada!$C$53:$N$372,$N15,P$2),0)</f>
        <v>2425</v>
      </c>
      <c r="Q15">
        <f>IF(NOT(ISNA($N15)),INDEX(Entrada!$C$53:$N$372,$N15,Q$2),0)</f>
        <v>2172</v>
      </c>
      <c r="R15">
        <f>IF(NOT(ISNA($N15)),INDEX(Entrada!$C$53:$N$372,$N15,R$2),0)</f>
        <v>1534</v>
      </c>
      <c r="S15">
        <f>IF(NOT(ISNA($N15)),INDEX(Entrada!$C$53:$N$372,$N15,S$2),0)</f>
        <v>1094</v>
      </c>
      <c r="T15">
        <f>IF(NOT(ISNA($N15)),INDEX(Entrada!$C$53:$N$372,$N15,T$2),0)</f>
        <v>896</v>
      </c>
      <c r="U15">
        <f>IF(NOT(ISNA($N15)),INDEX(Entrada!$C$53:$N$372,$N15,U$2),0)</f>
        <v>728</v>
      </c>
      <c r="V15" s="225">
        <f>IF(NOT(ISNA($N15)),INDEX(Entrada!$C$53:$N$372,$N15,V$2),0)</f>
        <v>594</v>
      </c>
      <c r="W15" s="225">
        <f>IF(NOT(ISNA($N15)),INDEX(Entrada!$C$53:$N$372,$N15,W$2),0)</f>
        <v>598</v>
      </c>
      <c r="X15" s="225">
        <f>IF(NOT(ISNA($N15)),INDEX(Entrada!$C$53:$N$372,$N15,X$2),0)</f>
        <v>705</v>
      </c>
      <c r="Y15" s="225">
        <f>IF(NOT(ISNA($N15)),INDEX(Entrada!$C$53:$N$372,$N15,Y$2),0)</f>
        <v>979</v>
      </c>
      <c r="Z15" s="225">
        <f>IF(NOT(ISNA($N15)),INDEX(Entrada!$C$53:$N$372,$N15,Z$2),0)</f>
        <v>1662</v>
      </c>
      <c r="AA15" s="113">
        <f t="shared" si="0"/>
        <v>2210</v>
      </c>
      <c r="AB15">
        <f t="shared" si="1"/>
        <v>2123</v>
      </c>
      <c r="AC15">
        <f t="shared" si="2"/>
        <v>1895</v>
      </c>
      <c r="AD15">
        <f t="shared" si="3"/>
        <v>1328</v>
      </c>
      <c r="AE15">
        <f t="shared" si="4"/>
        <v>952</v>
      </c>
      <c r="AF15">
        <f t="shared" si="5"/>
        <v>785</v>
      </c>
      <c r="AG15">
        <f t="shared" si="6"/>
        <v>641</v>
      </c>
      <c r="AH15">
        <f t="shared" si="7"/>
        <v>524</v>
      </c>
      <c r="AI15">
        <f t="shared" si="8"/>
        <v>533</v>
      </c>
      <c r="AJ15">
        <f t="shared" si="9"/>
        <v>627</v>
      </c>
      <c r="AK15">
        <f t="shared" si="10"/>
        <v>873</v>
      </c>
      <c r="AL15">
        <f t="shared" si="11"/>
        <v>1487</v>
      </c>
      <c r="AM15" s="113">
        <f t="shared" si="12"/>
        <v>284</v>
      </c>
      <c r="AN15">
        <f t="shared" si="13"/>
        <v>302</v>
      </c>
      <c r="AO15">
        <f t="shared" si="14"/>
        <v>277</v>
      </c>
      <c r="AP15">
        <f t="shared" si="15"/>
        <v>206</v>
      </c>
      <c r="AQ15">
        <f t="shared" si="16"/>
        <v>142</v>
      </c>
      <c r="AR15">
        <f t="shared" si="17"/>
        <v>111</v>
      </c>
      <c r="AS15">
        <f t="shared" si="18"/>
        <v>87</v>
      </c>
      <c r="AT15">
        <f t="shared" si="19"/>
        <v>70</v>
      </c>
      <c r="AU15">
        <f t="shared" si="20"/>
        <v>65</v>
      </c>
      <c r="AV15">
        <f t="shared" si="21"/>
        <v>78</v>
      </c>
      <c r="AW15">
        <f t="shared" si="22"/>
        <v>106</v>
      </c>
      <c r="AX15">
        <f t="shared" si="23"/>
        <v>175</v>
      </c>
    </row>
    <row r="16" spans="1:51" x14ac:dyDescent="0.25">
      <c r="A16" s="113">
        <v>13</v>
      </c>
      <c r="B16" s="209"/>
      <c r="C16" s="113">
        <v>0</v>
      </c>
      <c r="D16" s="113">
        <v>0</v>
      </c>
      <c r="E16" s="113" t="s">
        <v>688</v>
      </c>
      <c r="F16" s="113" t="s">
        <v>688</v>
      </c>
      <c r="G16" s="113"/>
      <c r="H16" s="113"/>
      <c r="I16" s="113"/>
      <c r="J16" s="113"/>
      <c r="K16" s="113"/>
      <c r="N16" s="113" t="e">
        <f>MATCH(A16,Entrada!$A$53:$A$372,0)</f>
        <v>#N/A</v>
      </c>
      <c r="O16" s="113">
        <f>IF(NOT(ISNA($N16)),INDEX(Entrada!$C$53:$N$372,$N16,O$2),0)</f>
        <v>0</v>
      </c>
      <c r="P16">
        <f>IF(NOT(ISNA($N16)),INDEX(Entrada!$C$53:$N$372,$N16,P$2),0)</f>
        <v>0</v>
      </c>
      <c r="Q16">
        <f>IF(NOT(ISNA($N16)),INDEX(Entrada!$C$53:$N$372,$N16,Q$2),0)</f>
        <v>0</v>
      </c>
      <c r="R16">
        <f>IF(NOT(ISNA($N16)),INDEX(Entrada!$C$53:$N$372,$N16,R$2),0)</f>
        <v>0</v>
      </c>
      <c r="S16">
        <f>IF(NOT(ISNA($N16)),INDEX(Entrada!$C$53:$N$372,$N16,S$2),0)</f>
        <v>0</v>
      </c>
      <c r="T16">
        <f>IF(NOT(ISNA($N16)),INDEX(Entrada!$C$53:$N$372,$N16,T$2),0)</f>
        <v>0</v>
      </c>
      <c r="U16">
        <f>IF(NOT(ISNA($N16)),INDEX(Entrada!$C$53:$N$372,$N16,U$2),0)</f>
        <v>0</v>
      </c>
      <c r="V16" s="225">
        <f>IF(NOT(ISNA($N16)),INDEX(Entrada!$C$53:$N$372,$N16,V$2),0)</f>
        <v>0</v>
      </c>
      <c r="W16" s="225">
        <f>IF(NOT(ISNA($N16)),INDEX(Entrada!$C$53:$N$372,$N16,W$2),0)</f>
        <v>0</v>
      </c>
      <c r="X16" s="225">
        <f>IF(NOT(ISNA($N16)),INDEX(Entrada!$C$53:$N$372,$N16,X$2),0)</f>
        <v>0</v>
      </c>
      <c r="Y16" s="225">
        <f>IF(NOT(ISNA($N16)),INDEX(Entrada!$C$53:$N$372,$N16,Y$2),0)</f>
        <v>0</v>
      </c>
      <c r="Z16" s="225">
        <f>IF(NOT(ISNA($N16)),INDEX(Entrada!$C$53:$N$372,$N16,Z$2),0)</f>
        <v>0</v>
      </c>
      <c r="AA16" s="113">
        <f t="shared" si="0"/>
        <v>0</v>
      </c>
      <c r="AB16">
        <f t="shared" si="1"/>
        <v>0</v>
      </c>
      <c r="AC16">
        <f t="shared" si="2"/>
        <v>0</v>
      </c>
      <c r="AD16">
        <f t="shared" si="3"/>
        <v>0</v>
      </c>
      <c r="AE16">
        <f t="shared" si="4"/>
        <v>0</v>
      </c>
      <c r="AF16">
        <f t="shared" si="5"/>
        <v>0</v>
      </c>
      <c r="AG16">
        <f t="shared" si="6"/>
        <v>0</v>
      </c>
      <c r="AH16">
        <f t="shared" si="7"/>
        <v>0</v>
      </c>
      <c r="AI16">
        <f t="shared" si="8"/>
        <v>0</v>
      </c>
      <c r="AJ16">
        <f t="shared" si="9"/>
        <v>0</v>
      </c>
      <c r="AK16">
        <f t="shared" si="10"/>
        <v>0</v>
      </c>
      <c r="AL16">
        <f t="shared" si="11"/>
        <v>0</v>
      </c>
      <c r="AM16" s="113">
        <f t="shared" si="12"/>
        <v>0</v>
      </c>
      <c r="AN16">
        <f t="shared" si="13"/>
        <v>0</v>
      </c>
      <c r="AO16">
        <f t="shared" si="14"/>
        <v>0</v>
      </c>
      <c r="AP16">
        <f t="shared" si="15"/>
        <v>0</v>
      </c>
      <c r="AQ16">
        <f t="shared" si="16"/>
        <v>0</v>
      </c>
      <c r="AR16">
        <f t="shared" si="17"/>
        <v>0</v>
      </c>
      <c r="AS16">
        <f t="shared" si="18"/>
        <v>0</v>
      </c>
      <c r="AT16">
        <f t="shared" si="19"/>
        <v>0</v>
      </c>
      <c r="AU16">
        <f t="shared" si="20"/>
        <v>0</v>
      </c>
      <c r="AV16">
        <f t="shared" si="21"/>
        <v>0</v>
      </c>
      <c r="AW16">
        <f t="shared" si="22"/>
        <v>0</v>
      </c>
      <c r="AX16">
        <f t="shared" si="23"/>
        <v>0</v>
      </c>
    </row>
    <row r="17" spans="1:50" x14ac:dyDescent="0.25">
      <c r="A17" s="113">
        <v>14</v>
      </c>
      <c r="B17" s="209" t="s">
        <v>543</v>
      </c>
      <c r="C17" s="113">
        <v>1931</v>
      </c>
      <c r="D17" s="113">
        <v>2013</v>
      </c>
      <c r="E17" s="210" t="s">
        <v>2</v>
      </c>
      <c r="F17" s="210" t="s">
        <v>286</v>
      </c>
      <c r="G17" s="113"/>
      <c r="H17" s="113"/>
      <c r="I17" s="113"/>
      <c r="J17" s="113"/>
      <c r="K17" s="113"/>
      <c r="N17" s="113">
        <f>MATCH(A17,Entrada!$A$53:$A$372,0)</f>
        <v>10</v>
      </c>
      <c r="O17" s="113">
        <f>IF(NOT(ISNA($N17)),INDEX(Entrada!$C$53:$N$372,$N17,O$2),0)</f>
        <v>98</v>
      </c>
      <c r="P17">
        <f>IF(NOT(ISNA($N17)),INDEX(Entrada!$C$53:$N$372,$N17,P$2),0)</f>
        <v>100</v>
      </c>
      <c r="Q17">
        <f>IF(NOT(ISNA($N17)),INDEX(Entrada!$C$53:$N$372,$N17,Q$2),0)</f>
        <v>87</v>
      </c>
      <c r="R17">
        <f>IF(NOT(ISNA($N17)),INDEX(Entrada!$C$53:$N$372,$N17,R$2),0)</f>
        <v>60</v>
      </c>
      <c r="S17">
        <f>IF(NOT(ISNA($N17)),INDEX(Entrada!$C$53:$N$372,$N17,S$2),0)</f>
        <v>44</v>
      </c>
      <c r="T17">
        <f>IF(NOT(ISNA($N17)),INDEX(Entrada!$C$53:$N$372,$N17,T$2),0)</f>
        <v>36</v>
      </c>
      <c r="U17">
        <f>IF(NOT(ISNA($N17)),INDEX(Entrada!$C$53:$N$372,$N17,U$2),0)</f>
        <v>29</v>
      </c>
      <c r="V17" s="225">
        <f>IF(NOT(ISNA($N17)),INDEX(Entrada!$C$53:$N$372,$N17,V$2),0)</f>
        <v>25</v>
      </c>
      <c r="W17" s="225">
        <f>IF(NOT(ISNA($N17)),INDEX(Entrada!$C$53:$N$372,$N17,W$2),0)</f>
        <v>25</v>
      </c>
      <c r="X17" s="225">
        <f>IF(NOT(ISNA($N17)),INDEX(Entrada!$C$53:$N$372,$N17,X$2),0)</f>
        <v>31</v>
      </c>
      <c r="Y17" s="225">
        <f>IF(NOT(ISNA($N17)),INDEX(Entrada!$C$53:$N$372,$N17,Y$2),0)</f>
        <v>40</v>
      </c>
      <c r="Z17" s="225">
        <f>IF(NOT(ISNA($N17)),INDEX(Entrada!$C$53:$N$372,$N17,Z$2),0)</f>
        <v>70</v>
      </c>
      <c r="AA17" s="113">
        <f t="shared" si="0"/>
        <v>0</v>
      </c>
      <c r="AB17">
        <f t="shared" si="1"/>
        <v>0</v>
      </c>
      <c r="AC17">
        <f t="shared" si="2"/>
        <v>0</v>
      </c>
      <c r="AD17">
        <f t="shared" si="3"/>
        <v>0</v>
      </c>
      <c r="AE17">
        <f t="shared" si="4"/>
        <v>0</v>
      </c>
      <c r="AF17">
        <f t="shared" si="5"/>
        <v>0</v>
      </c>
      <c r="AG17">
        <f t="shared" si="6"/>
        <v>0</v>
      </c>
      <c r="AH17">
        <f t="shared" si="7"/>
        <v>0</v>
      </c>
      <c r="AI17">
        <f t="shared" si="8"/>
        <v>0</v>
      </c>
      <c r="AJ17">
        <f t="shared" si="9"/>
        <v>0</v>
      </c>
      <c r="AK17">
        <f t="shared" si="10"/>
        <v>0</v>
      </c>
      <c r="AL17">
        <f t="shared" si="11"/>
        <v>0</v>
      </c>
      <c r="AM17" s="113">
        <f t="shared" si="12"/>
        <v>98</v>
      </c>
      <c r="AN17">
        <f t="shared" si="13"/>
        <v>100</v>
      </c>
      <c r="AO17">
        <f t="shared" si="14"/>
        <v>87</v>
      </c>
      <c r="AP17">
        <f t="shared" si="15"/>
        <v>60</v>
      </c>
      <c r="AQ17">
        <f t="shared" si="16"/>
        <v>44</v>
      </c>
      <c r="AR17">
        <f t="shared" si="17"/>
        <v>36</v>
      </c>
      <c r="AS17">
        <f t="shared" si="18"/>
        <v>29</v>
      </c>
      <c r="AT17">
        <f t="shared" si="19"/>
        <v>25</v>
      </c>
      <c r="AU17">
        <f t="shared" si="20"/>
        <v>25</v>
      </c>
      <c r="AV17">
        <f t="shared" si="21"/>
        <v>31</v>
      </c>
      <c r="AW17">
        <f t="shared" si="22"/>
        <v>40</v>
      </c>
      <c r="AX17">
        <f t="shared" si="23"/>
        <v>70</v>
      </c>
    </row>
    <row r="18" spans="1:50" x14ac:dyDescent="0.25">
      <c r="A18" s="113">
        <v>15</v>
      </c>
      <c r="B18" s="209" t="s">
        <v>544</v>
      </c>
      <c r="C18" s="113">
        <v>1931</v>
      </c>
      <c r="D18" s="113">
        <v>2013</v>
      </c>
      <c r="E18" s="210" t="s">
        <v>2</v>
      </c>
      <c r="F18" s="210" t="s">
        <v>286</v>
      </c>
      <c r="G18" s="113">
        <v>14</v>
      </c>
      <c r="H18" s="113"/>
      <c r="I18" s="113"/>
      <c r="J18" s="113"/>
      <c r="K18" s="113"/>
      <c r="N18" s="113">
        <f>MATCH(A18,Entrada!$A$53:$A$372,0)</f>
        <v>11</v>
      </c>
      <c r="O18" s="113">
        <f>IF(NOT(ISNA($N18)),INDEX(Entrada!$C$53:$N$372,$N18,O$2),0)</f>
        <v>160</v>
      </c>
      <c r="P18">
        <f>IF(NOT(ISNA($N18)),INDEX(Entrada!$C$53:$N$372,$N18,P$2),0)</f>
        <v>164</v>
      </c>
      <c r="Q18">
        <f>IF(NOT(ISNA($N18)),INDEX(Entrada!$C$53:$N$372,$N18,Q$2),0)</f>
        <v>142</v>
      </c>
      <c r="R18">
        <f>IF(NOT(ISNA($N18)),INDEX(Entrada!$C$53:$N$372,$N18,R$2),0)</f>
        <v>97</v>
      </c>
      <c r="S18">
        <f>IF(NOT(ISNA($N18)),INDEX(Entrada!$C$53:$N$372,$N18,S$2),0)</f>
        <v>71</v>
      </c>
      <c r="T18">
        <f>IF(NOT(ISNA($N18)),INDEX(Entrada!$C$53:$N$372,$N18,T$2),0)</f>
        <v>59</v>
      </c>
      <c r="U18">
        <f>IF(NOT(ISNA($N18)),INDEX(Entrada!$C$53:$N$372,$N18,U$2),0)</f>
        <v>49</v>
      </c>
      <c r="V18" s="225">
        <f>IF(NOT(ISNA($N18)),INDEX(Entrada!$C$53:$N$372,$N18,V$2),0)</f>
        <v>41</v>
      </c>
      <c r="W18" s="225">
        <f>IF(NOT(ISNA($N18)),INDEX(Entrada!$C$53:$N$372,$N18,W$2),0)</f>
        <v>42</v>
      </c>
      <c r="X18" s="225">
        <f>IF(NOT(ISNA($N18)),INDEX(Entrada!$C$53:$N$372,$N18,X$2),0)</f>
        <v>51</v>
      </c>
      <c r="Y18" s="225">
        <f>IF(NOT(ISNA($N18)),INDEX(Entrada!$C$53:$N$372,$N18,Y$2),0)</f>
        <v>64</v>
      </c>
      <c r="Z18" s="225">
        <f>IF(NOT(ISNA($N18)),INDEX(Entrada!$C$53:$N$372,$N18,Z$2),0)</f>
        <v>114</v>
      </c>
      <c r="AA18" s="113">
        <f t="shared" si="0"/>
        <v>98</v>
      </c>
      <c r="AB18">
        <f t="shared" si="1"/>
        <v>100</v>
      </c>
      <c r="AC18">
        <f t="shared" si="2"/>
        <v>87</v>
      </c>
      <c r="AD18">
        <f t="shared" si="3"/>
        <v>60</v>
      </c>
      <c r="AE18">
        <f t="shared" si="4"/>
        <v>44</v>
      </c>
      <c r="AF18">
        <f t="shared" si="5"/>
        <v>36</v>
      </c>
      <c r="AG18">
        <f t="shared" si="6"/>
        <v>29</v>
      </c>
      <c r="AH18">
        <f t="shared" si="7"/>
        <v>25</v>
      </c>
      <c r="AI18">
        <f t="shared" si="8"/>
        <v>25</v>
      </c>
      <c r="AJ18">
        <f t="shared" si="9"/>
        <v>31</v>
      </c>
      <c r="AK18">
        <f t="shared" si="10"/>
        <v>40</v>
      </c>
      <c r="AL18">
        <f t="shared" si="11"/>
        <v>70</v>
      </c>
      <c r="AM18" s="113">
        <f t="shared" si="12"/>
        <v>62</v>
      </c>
      <c r="AN18">
        <f t="shared" si="13"/>
        <v>64</v>
      </c>
      <c r="AO18">
        <f t="shared" si="14"/>
        <v>55</v>
      </c>
      <c r="AP18">
        <f t="shared" si="15"/>
        <v>37</v>
      </c>
      <c r="AQ18">
        <f t="shared" si="16"/>
        <v>27</v>
      </c>
      <c r="AR18">
        <f t="shared" si="17"/>
        <v>23</v>
      </c>
      <c r="AS18">
        <f t="shared" si="18"/>
        <v>20</v>
      </c>
      <c r="AT18">
        <f t="shared" si="19"/>
        <v>16</v>
      </c>
      <c r="AU18">
        <f t="shared" si="20"/>
        <v>17</v>
      </c>
      <c r="AV18">
        <f t="shared" si="21"/>
        <v>20</v>
      </c>
      <c r="AW18">
        <f t="shared" si="22"/>
        <v>24</v>
      </c>
      <c r="AX18">
        <f t="shared" si="23"/>
        <v>44</v>
      </c>
    </row>
    <row r="19" spans="1:50" x14ac:dyDescent="0.25">
      <c r="A19" s="113">
        <v>16</v>
      </c>
      <c r="B19" s="209" t="s">
        <v>267</v>
      </c>
      <c r="C19" s="113">
        <v>1931</v>
      </c>
      <c r="D19" s="113">
        <v>2013</v>
      </c>
      <c r="E19" s="210" t="s">
        <v>2</v>
      </c>
      <c r="F19" s="210" t="s">
        <v>286</v>
      </c>
      <c r="G19" s="113">
        <v>15</v>
      </c>
      <c r="H19" s="113"/>
      <c r="I19" s="113"/>
      <c r="J19" s="113"/>
      <c r="K19" s="113"/>
      <c r="N19" s="113">
        <f>MATCH(A19,Entrada!$A$53:$A$372,0)</f>
        <v>12</v>
      </c>
      <c r="O19" s="113">
        <f>IF(NOT(ISNA($N19)),INDEX(Entrada!$C$53:$N$372,$N19,O$2),0)</f>
        <v>162</v>
      </c>
      <c r="P19">
        <f>IF(NOT(ISNA($N19)),INDEX(Entrada!$C$53:$N$372,$N19,P$2),0)</f>
        <v>167</v>
      </c>
      <c r="Q19">
        <f>IF(NOT(ISNA($N19)),INDEX(Entrada!$C$53:$N$372,$N19,Q$2),0)</f>
        <v>145</v>
      </c>
      <c r="R19">
        <f>IF(NOT(ISNA($N19)),INDEX(Entrada!$C$53:$N$372,$N19,R$2),0)</f>
        <v>99</v>
      </c>
      <c r="S19">
        <f>IF(NOT(ISNA($N19)),INDEX(Entrada!$C$53:$N$372,$N19,S$2),0)</f>
        <v>72</v>
      </c>
      <c r="T19">
        <f>IF(NOT(ISNA($N19)),INDEX(Entrada!$C$53:$N$372,$N19,T$2),0)</f>
        <v>60</v>
      </c>
      <c r="U19">
        <f>IF(NOT(ISNA($N19)),INDEX(Entrada!$C$53:$N$372,$N19,U$2),0)</f>
        <v>49</v>
      </c>
      <c r="V19" s="225">
        <f>IF(NOT(ISNA($N19)),INDEX(Entrada!$C$53:$N$372,$N19,V$2),0)</f>
        <v>42</v>
      </c>
      <c r="W19" s="225">
        <f>IF(NOT(ISNA($N19)),INDEX(Entrada!$C$53:$N$372,$N19,W$2),0)</f>
        <v>43</v>
      </c>
      <c r="X19" s="225">
        <f>IF(NOT(ISNA($N19)),INDEX(Entrada!$C$53:$N$372,$N19,X$2),0)</f>
        <v>52</v>
      </c>
      <c r="Y19" s="225">
        <f>IF(NOT(ISNA($N19)),INDEX(Entrada!$C$53:$N$372,$N19,Y$2),0)</f>
        <v>65</v>
      </c>
      <c r="Z19" s="225">
        <f>IF(NOT(ISNA($N19)),INDEX(Entrada!$C$53:$N$372,$N19,Z$2),0)</f>
        <v>116</v>
      </c>
      <c r="AA19" s="113">
        <f t="shared" si="0"/>
        <v>160</v>
      </c>
      <c r="AB19">
        <f t="shared" si="1"/>
        <v>164</v>
      </c>
      <c r="AC19">
        <f t="shared" si="2"/>
        <v>142</v>
      </c>
      <c r="AD19">
        <f t="shared" si="3"/>
        <v>97</v>
      </c>
      <c r="AE19">
        <f t="shared" si="4"/>
        <v>71</v>
      </c>
      <c r="AF19">
        <f t="shared" si="5"/>
        <v>59</v>
      </c>
      <c r="AG19">
        <f t="shared" si="6"/>
        <v>49</v>
      </c>
      <c r="AH19">
        <f t="shared" si="7"/>
        <v>41</v>
      </c>
      <c r="AI19">
        <f t="shared" si="8"/>
        <v>42</v>
      </c>
      <c r="AJ19">
        <f t="shared" si="9"/>
        <v>51</v>
      </c>
      <c r="AK19">
        <f t="shared" si="10"/>
        <v>64</v>
      </c>
      <c r="AL19">
        <f t="shared" si="11"/>
        <v>114</v>
      </c>
      <c r="AM19" s="113">
        <f t="shared" si="12"/>
        <v>2</v>
      </c>
      <c r="AN19">
        <f t="shared" si="13"/>
        <v>3</v>
      </c>
      <c r="AO19">
        <f t="shared" si="14"/>
        <v>3</v>
      </c>
      <c r="AP19">
        <f t="shared" si="15"/>
        <v>2</v>
      </c>
      <c r="AQ19">
        <f t="shared" si="16"/>
        <v>1</v>
      </c>
      <c r="AR19">
        <f t="shared" si="17"/>
        <v>1</v>
      </c>
      <c r="AS19">
        <f t="shared" si="18"/>
        <v>0</v>
      </c>
      <c r="AT19">
        <f t="shared" si="19"/>
        <v>1</v>
      </c>
      <c r="AU19">
        <f t="shared" si="20"/>
        <v>1</v>
      </c>
      <c r="AV19">
        <f t="shared" si="21"/>
        <v>1</v>
      </c>
      <c r="AW19">
        <f t="shared" si="22"/>
        <v>1</v>
      </c>
      <c r="AX19">
        <f t="shared" si="23"/>
        <v>2</v>
      </c>
    </row>
    <row r="20" spans="1:50" x14ac:dyDescent="0.25">
      <c r="A20" s="113">
        <v>17</v>
      </c>
      <c r="B20" s="209" t="s">
        <v>545</v>
      </c>
      <c r="C20" s="113">
        <v>1931</v>
      </c>
      <c r="D20" s="113">
        <v>2013</v>
      </c>
      <c r="E20" s="210" t="s">
        <v>2</v>
      </c>
      <c r="F20" s="210" t="s">
        <v>2</v>
      </c>
      <c r="G20" s="113">
        <v>12</v>
      </c>
      <c r="H20" s="113">
        <v>16</v>
      </c>
      <c r="I20" s="113"/>
      <c r="J20" s="113"/>
      <c r="K20" s="113"/>
      <c r="N20" s="113">
        <f>MATCH(A20,Entrada!$A$53:$A$372,0)</f>
        <v>13</v>
      </c>
      <c r="O20" s="113">
        <f>IF(NOT(ISNA($N20)),INDEX(Entrada!$C$53:$N$372,$N20,O$2),0)</f>
        <v>3311</v>
      </c>
      <c r="P20">
        <f>IF(NOT(ISNA($N20)),INDEX(Entrada!$C$53:$N$372,$N20,P$2),0)</f>
        <v>3391</v>
      </c>
      <c r="Q20">
        <f>IF(NOT(ISNA($N20)),INDEX(Entrada!$C$53:$N$372,$N20,Q$2),0)</f>
        <v>3037</v>
      </c>
      <c r="R20">
        <f>IF(NOT(ISNA($N20)),INDEX(Entrada!$C$53:$N$372,$N20,R$2),0)</f>
        <v>2195</v>
      </c>
      <c r="S20">
        <f>IF(NOT(ISNA($N20)),INDEX(Entrada!$C$53:$N$372,$N20,S$2),0)</f>
        <v>1574</v>
      </c>
      <c r="T20">
        <f>IF(NOT(ISNA($N20)),INDEX(Entrada!$C$53:$N$372,$N20,T$2),0)</f>
        <v>1314</v>
      </c>
      <c r="U20">
        <f>IF(NOT(ISNA($N20)),INDEX(Entrada!$C$53:$N$372,$N20,U$2),0)</f>
        <v>1074</v>
      </c>
      <c r="V20" s="225">
        <f>IF(NOT(ISNA($N20)),INDEX(Entrada!$C$53:$N$372,$N20,V$2),0)</f>
        <v>891</v>
      </c>
      <c r="W20" s="225">
        <f>IF(NOT(ISNA($N20)),INDEX(Entrada!$C$53:$N$372,$N20,W$2),0)</f>
        <v>882</v>
      </c>
      <c r="X20" s="225">
        <f>IF(NOT(ISNA($N20)),INDEX(Entrada!$C$53:$N$372,$N20,X$2),0)</f>
        <v>1014</v>
      </c>
      <c r="Y20" s="225">
        <f>IF(NOT(ISNA($N20)),INDEX(Entrada!$C$53:$N$372,$N20,Y$2),0)</f>
        <v>1352</v>
      </c>
      <c r="Z20" s="225">
        <f>IF(NOT(ISNA($N20)),INDEX(Entrada!$C$53:$N$372,$N20,Z$2),0)</f>
        <v>2233</v>
      </c>
      <c r="AA20" s="113">
        <f t="shared" si="0"/>
        <v>2656</v>
      </c>
      <c r="AB20">
        <f t="shared" si="1"/>
        <v>2592</v>
      </c>
      <c r="AC20">
        <f t="shared" si="2"/>
        <v>2317</v>
      </c>
      <c r="AD20">
        <f t="shared" si="3"/>
        <v>1633</v>
      </c>
      <c r="AE20">
        <f t="shared" si="4"/>
        <v>1166</v>
      </c>
      <c r="AF20">
        <f t="shared" si="5"/>
        <v>956</v>
      </c>
      <c r="AG20">
        <f t="shared" si="6"/>
        <v>777</v>
      </c>
      <c r="AH20">
        <f t="shared" si="7"/>
        <v>636</v>
      </c>
      <c r="AI20">
        <f t="shared" si="8"/>
        <v>641</v>
      </c>
      <c r="AJ20">
        <f t="shared" si="9"/>
        <v>757</v>
      </c>
      <c r="AK20">
        <f t="shared" si="10"/>
        <v>1044</v>
      </c>
      <c r="AL20">
        <f t="shared" si="11"/>
        <v>1778</v>
      </c>
      <c r="AM20" s="113">
        <f t="shared" si="12"/>
        <v>655</v>
      </c>
      <c r="AN20">
        <f t="shared" si="13"/>
        <v>799</v>
      </c>
      <c r="AO20">
        <f t="shared" si="14"/>
        <v>720</v>
      </c>
      <c r="AP20">
        <f t="shared" si="15"/>
        <v>562</v>
      </c>
      <c r="AQ20">
        <f t="shared" si="16"/>
        <v>408</v>
      </c>
      <c r="AR20">
        <f t="shared" si="17"/>
        <v>358</v>
      </c>
      <c r="AS20">
        <f t="shared" si="18"/>
        <v>297</v>
      </c>
      <c r="AT20">
        <f t="shared" si="19"/>
        <v>255</v>
      </c>
      <c r="AU20">
        <f t="shared" si="20"/>
        <v>241</v>
      </c>
      <c r="AV20">
        <f t="shared" si="21"/>
        <v>257</v>
      </c>
      <c r="AW20">
        <f t="shared" si="22"/>
        <v>308</v>
      </c>
      <c r="AX20">
        <f t="shared" si="23"/>
        <v>455</v>
      </c>
    </row>
    <row r="21" spans="1:50" x14ac:dyDescent="0.25">
      <c r="A21" s="113">
        <v>18</v>
      </c>
      <c r="B21" s="209" t="s">
        <v>546</v>
      </c>
      <c r="C21" s="113">
        <v>1931</v>
      </c>
      <c r="D21" s="113">
        <v>2013</v>
      </c>
      <c r="E21" s="210" t="s">
        <v>2</v>
      </c>
      <c r="F21" s="210" t="s">
        <v>2</v>
      </c>
      <c r="G21" s="113">
        <v>17</v>
      </c>
      <c r="H21" s="113"/>
      <c r="I21" s="113"/>
      <c r="J21" s="113"/>
      <c r="K21" s="113"/>
      <c r="N21" s="113">
        <f>MATCH(A21,Entrada!$A$53:$A$372,0)</f>
        <v>14</v>
      </c>
      <c r="O21" s="113">
        <f>IF(NOT(ISNA($N21)),INDEX(Entrada!$C$53:$N$372,$N21,O$2),0)</f>
        <v>3688</v>
      </c>
      <c r="P21">
        <f>IF(NOT(ISNA($N21)),INDEX(Entrada!$C$53:$N$372,$N21,P$2),0)</f>
        <v>3840</v>
      </c>
      <c r="Q21">
        <f>IF(NOT(ISNA($N21)),INDEX(Entrada!$C$53:$N$372,$N21,Q$2),0)</f>
        <v>3458</v>
      </c>
      <c r="R21">
        <f>IF(NOT(ISNA($N21)),INDEX(Entrada!$C$53:$N$372,$N21,R$2),0)</f>
        <v>2518</v>
      </c>
      <c r="S21">
        <f>IF(NOT(ISNA($N21)),INDEX(Entrada!$C$53:$N$372,$N21,S$2),0)</f>
        <v>1797</v>
      </c>
      <c r="T21">
        <f>IF(NOT(ISNA($N21)),INDEX(Entrada!$C$53:$N$372,$N21,T$2),0)</f>
        <v>1506</v>
      </c>
      <c r="U21">
        <f>IF(NOT(ISNA($N21)),INDEX(Entrada!$C$53:$N$372,$N21,U$2),0)</f>
        <v>1233</v>
      </c>
      <c r="V21" s="225">
        <f>IF(NOT(ISNA($N21)),INDEX(Entrada!$C$53:$N$372,$N21,V$2),0)</f>
        <v>1028</v>
      </c>
      <c r="W21" s="225">
        <f>IF(NOT(ISNA($N21)),INDEX(Entrada!$C$53:$N$372,$N21,W$2),0)</f>
        <v>1011</v>
      </c>
      <c r="X21" s="225">
        <f>IF(NOT(ISNA($N21)),INDEX(Entrada!$C$53:$N$372,$N21,X$2),0)</f>
        <v>1163</v>
      </c>
      <c r="Y21" s="225">
        <f>IF(NOT(ISNA($N21)),INDEX(Entrada!$C$53:$N$372,$N21,Y$2),0)</f>
        <v>1520</v>
      </c>
      <c r="Z21" s="225">
        <f>IF(NOT(ISNA($N21)),INDEX(Entrada!$C$53:$N$372,$N21,Z$2),0)</f>
        <v>2466</v>
      </c>
      <c r="AA21" s="113">
        <f t="shared" si="0"/>
        <v>3311</v>
      </c>
      <c r="AB21">
        <f t="shared" si="1"/>
        <v>3391</v>
      </c>
      <c r="AC21">
        <f t="shared" si="2"/>
        <v>3037</v>
      </c>
      <c r="AD21">
        <f t="shared" si="3"/>
        <v>2195</v>
      </c>
      <c r="AE21">
        <f t="shared" si="4"/>
        <v>1574</v>
      </c>
      <c r="AF21">
        <f t="shared" si="5"/>
        <v>1314</v>
      </c>
      <c r="AG21">
        <f t="shared" si="6"/>
        <v>1074</v>
      </c>
      <c r="AH21">
        <f t="shared" si="7"/>
        <v>891</v>
      </c>
      <c r="AI21">
        <f t="shared" si="8"/>
        <v>882</v>
      </c>
      <c r="AJ21">
        <f t="shared" si="9"/>
        <v>1014</v>
      </c>
      <c r="AK21">
        <f t="shared" si="10"/>
        <v>1352</v>
      </c>
      <c r="AL21">
        <f t="shared" si="11"/>
        <v>2233</v>
      </c>
      <c r="AM21" s="113">
        <f t="shared" si="12"/>
        <v>377</v>
      </c>
      <c r="AN21">
        <f t="shared" si="13"/>
        <v>449</v>
      </c>
      <c r="AO21">
        <f t="shared" si="14"/>
        <v>421</v>
      </c>
      <c r="AP21">
        <f t="shared" si="15"/>
        <v>323</v>
      </c>
      <c r="AQ21">
        <f t="shared" si="16"/>
        <v>223</v>
      </c>
      <c r="AR21">
        <f t="shared" si="17"/>
        <v>192</v>
      </c>
      <c r="AS21">
        <f t="shared" si="18"/>
        <v>159</v>
      </c>
      <c r="AT21">
        <f t="shared" si="19"/>
        <v>137</v>
      </c>
      <c r="AU21">
        <f t="shared" si="20"/>
        <v>129</v>
      </c>
      <c r="AV21">
        <f t="shared" si="21"/>
        <v>149</v>
      </c>
      <c r="AW21">
        <f t="shared" si="22"/>
        <v>168</v>
      </c>
      <c r="AX21">
        <f t="shared" si="23"/>
        <v>233</v>
      </c>
    </row>
    <row r="22" spans="1:50" x14ac:dyDescent="0.25">
      <c r="A22" s="113">
        <v>19</v>
      </c>
      <c r="B22" s="209"/>
      <c r="C22" s="113">
        <v>0</v>
      </c>
      <c r="D22" s="113">
        <v>0</v>
      </c>
      <c r="E22" s="113" t="s">
        <v>688</v>
      </c>
      <c r="F22" s="113" t="s">
        <v>688</v>
      </c>
      <c r="G22" s="113"/>
      <c r="H22" s="113"/>
      <c r="I22" s="113"/>
      <c r="J22" s="113"/>
      <c r="K22" s="113"/>
      <c r="N22" s="113" t="e">
        <f>MATCH(A22,Entrada!$A$53:$A$372,0)</f>
        <v>#N/A</v>
      </c>
      <c r="O22" s="113">
        <f>IF(NOT(ISNA($N22)),INDEX(Entrada!$C$53:$N$372,$N22,O$2),0)</f>
        <v>0</v>
      </c>
      <c r="P22">
        <f>IF(NOT(ISNA($N22)),INDEX(Entrada!$C$53:$N$372,$N22,P$2),0)</f>
        <v>0</v>
      </c>
      <c r="Q22">
        <f>IF(NOT(ISNA($N22)),INDEX(Entrada!$C$53:$N$372,$N22,Q$2),0)</f>
        <v>0</v>
      </c>
      <c r="R22">
        <f>IF(NOT(ISNA($N22)),INDEX(Entrada!$C$53:$N$372,$N22,R$2),0)</f>
        <v>0</v>
      </c>
      <c r="S22">
        <f>IF(NOT(ISNA($N22)),INDEX(Entrada!$C$53:$N$372,$N22,S$2),0)</f>
        <v>0</v>
      </c>
      <c r="T22">
        <f>IF(NOT(ISNA($N22)),INDEX(Entrada!$C$53:$N$372,$N22,T$2),0)</f>
        <v>0</v>
      </c>
      <c r="U22">
        <f>IF(NOT(ISNA($N22)),INDEX(Entrada!$C$53:$N$372,$N22,U$2),0)</f>
        <v>0</v>
      </c>
      <c r="V22" s="225">
        <f>IF(NOT(ISNA($N22)),INDEX(Entrada!$C$53:$N$372,$N22,V$2),0)</f>
        <v>0</v>
      </c>
      <c r="W22" s="225">
        <f>IF(NOT(ISNA($N22)),INDEX(Entrada!$C$53:$N$372,$N22,W$2),0)</f>
        <v>0</v>
      </c>
      <c r="X22" s="225">
        <f>IF(NOT(ISNA($N22)),INDEX(Entrada!$C$53:$N$372,$N22,X$2),0)</f>
        <v>0</v>
      </c>
      <c r="Y22" s="225">
        <f>IF(NOT(ISNA($N22)),INDEX(Entrada!$C$53:$N$372,$N22,Y$2),0)</f>
        <v>0</v>
      </c>
      <c r="Z22" s="225">
        <f>IF(NOT(ISNA($N22)),INDEX(Entrada!$C$53:$N$372,$N22,Z$2),0)</f>
        <v>0</v>
      </c>
      <c r="AA22" s="113">
        <f t="shared" si="0"/>
        <v>0</v>
      </c>
      <c r="AB22">
        <f t="shared" si="1"/>
        <v>0</v>
      </c>
      <c r="AC22">
        <f t="shared" si="2"/>
        <v>0</v>
      </c>
      <c r="AD22">
        <f t="shared" si="3"/>
        <v>0</v>
      </c>
      <c r="AE22">
        <f t="shared" si="4"/>
        <v>0</v>
      </c>
      <c r="AF22">
        <f t="shared" si="5"/>
        <v>0</v>
      </c>
      <c r="AG22">
        <f t="shared" si="6"/>
        <v>0</v>
      </c>
      <c r="AH22">
        <f t="shared" si="7"/>
        <v>0</v>
      </c>
      <c r="AI22">
        <f t="shared" si="8"/>
        <v>0</v>
      </c>
      <c r="AJ22">
        <f t="shared" si="9"/>
        <v>0</v>
      </c>
      <c r="AK22">
        <f t="shared" si="10"/>
        <v>0</v>
      </c>
      <c r="AL22">
        <f t="shared" si="11"/>
        <v>0</v>
      </c>
      <c r="AM22" s="113">
        <f t="shared" si="12"/>
        <v>0</v>
      </c>
      <c r="AN22">
        <f t="shared" si="13"/>
        <v>0</v>
      </c>
      <c r="AO22">
        <f t="shared" si="14"/>
        <v>0</v>
      </c>
      <c r="AP22">
        <f t="shared" si="15"/>
        <v>0</v>
      </c>
      <c r="AQ22">
        <f t="shared" si="16"/>
        <v>0</v>
      </c>
      <c r="AR22">
        <f t="shared" si="17"/>
        <v>0</v>
      </c>
      <c r="AS22">
        <f t="shared" si="18"/>
        <v>0</v>
      </c>
      <c r="AT22">
        <f t="shared" si="19"/>
        <v>0</v>
      </c>
      <c r="AU22">
        <f t="shared" si="20"/>
        <v>0</v>
      </c>
      <c r="AV22">
        <f t="shared" si="21"/>
        <v>0</v>
      </c>
      <c r="AW22">
        <f t="shared" si="22"/>
        <v>0</v>
      </c>
      <c r="AX22">
        <f t="shared" si="23"/>
        <v>0</v>
      </c>
    </row>
    <row r="23" spans="1:50" x14ac:dyDescent="0.25">
      <c r="A23" s="113">
        <v>20</v>
      </c>
      <c r="B23" s="209" t="s">
        <v>547</v>
      </c>
      <c r="C23" s="113">
        <v>1931</v>
      </c>
      <c r="D23" s="113">
        <v>2013</v>
      </c>
      <c r="E23" s="210" t="s">
        <v>688</v>
      </c>
      <c r="F23" s="210" t="s">
        <v>688</v>
      </c>
      <c r="G23" s="113"/>
      <c r="H23" s="113"/>
      <c r="I23" s="113"/>
      <c r="J23" s="113"/>
      <c r="K23" s="113"/>
      <c r="N23" s="113">
        <f>MATCH(A23,Entrada!$A$53:$A$372,0)</f>
        <v>15</v>
      </c>
      <c r="O23" s="113">
        <f>IF(NOT(ISNA($N23)),INDEX(Entrada!$C$53:$N$372,$N23,O$2),0)</f>
        <v>331</v>
      </c>
      <c r="P23">
        <f>IF(NOT(ISNA($N23)),INDEX(Entrada!$C$53:$N$372,$N23,P$2),0)</f>
        <v>332</v>
      </c>
      <c r="Q23">
        <f>IF(NOT(ISNA($N23)),INDEX(Entrada!$C$53:$N$372,$N23,Q$2),0)</f>
        <v>301</v>
      </c>
      <c r="R23">
        <f>IF(NOT(ISNA($N23)),INDEX(Entrada!$C$53:$N$372,$N23,R$2),0)</f>
        <v>215</v>
      </c>
      <c r="S23">
        <f>IF(NOT(ISNA($N23)),INDEX(Entrada!$C$53:$N$372,$N23,S$2),0)</f>
        <v>136</v>
      </c>
      <c r="T23">
        <f>IF(NOT(ISNA($N23)),INDEX(Entrada!$C$53:$N$372,$N23,T$2),0)</f>
        <v>104</v>
      </c>
      <c r="U23">
        <f>IF(NOT(ISNA($N23)),INDEX(Entrada!$C$53:$N$372,$N23,U$2),0)</f>
        <v>82</v>
      </c>
      <c r="V23" s="225">
        <f>IF(NOT(ISNA($N23)),INDEX(Entrada!$C$53:$N$372,$N23,V$2),0)</f>
        <v>65</v>
      </c>
      <c r="W23" s="225">
        <f>IF(NOT(ISNA($N23)),INDEX(Entrada!$C$53:$N$372,$N23,W$2),0)</f>
        <v>56</v>
      </c>
      <c r="X23" s="225">
        <f>IF(NOT(ISNA($N23)),INDEX(Entrada!$C$53:$N$372,$N23,X$2),0)</f>
        <v>70</v>
      </c>
      <c r="Y23" s="225">
        <f>IF(NOT(ISNA($N23)),INDEX(Entrada!$C$53:$N$372,$N23,Y$2),0)</f>
        <v>122</v>
      </c>
      <c r="Z23" s="225">
        <f>IF(NOT(ISNA($N23)),INDEX(Entrada!$C$53:$N$372,$N23,Z$2),0)</f>
        <v>236</v>
      </c>
      <c r="AA23" s="113">
        <f t="shared" si="0"/>
        <v>0</v>
      </c>
      <c r="AB23">
        <f t="shared" si="1"/>
        <v>0</v>
      </c>
      <c r="AC23">
        <f t="shared" si="2"/>
        <v>0</v>
      </c>
      <c r="AD23">
        <f t="shared" si="3"/>
        <v>0</v>
      </c>
      <c r="AE23">
        <f t="shared" si="4"/>
        <v>0</v>
      </c>
      <c r="AF23">
        <f t="shared" si="5"/>
        <v>0</v>
      </c>
      <c r="AG23">
        <f t="shared" si="6"/>
        <v>0</v>
      </c>
      <c r="AH23">
        <f t="shared" si="7"/>
        <v>0</v>
      </c>
      <c r="AI23">
        <f t="shared" si="8"/>
        <v>0</v>
      </c>
      <c r="AJ23">
        <f t="shared" si="9"/>
        <v>0</v>
      </c>
      <c r="AK23">
        <f t="shared" si="10"/>
        <v>0</v>
      </c>
      <c r="AL23">
        <f t="shared" si="11"/>
        <v>0</v>
      </c>
      <c r="AM23" s="113">
        <f t="shared" si="12"/>
        <v>331</v>
      </c>
      <c r="AN23">
        <f t="shared" si="13"/>
        <v>332</v>
      </c>
      <c r="AO23">
        <f t="shared" si="14"/>
        <v>301</v>
      </c>
      <c r="AP23">
        <f t="shared" si="15"/>
        <v>215</v>
      </c>
      <c r="AQ23">
        <f t="shared" si="16"/>
        <v>136</v>
      </c>
      <c r="AR23">
        <f t="shared" si="17"/>
        <v>104</v>
      </c>
      <c r="AS23">
        <f t="shared" si="18"/>
        <v>82</v>
      </c>
      <c r="AT23">
        <f t="shared" si="19"/>
        <v>65</v>
      </c>
      <c r="AU23">
        <f t="shared" si="20"/>
        <v>56</v>
      </c>
      <c r="AV23">
        <f t="shared" si="21"/>
        <v>70</v>
      </c>
      <c r="AW23">
        <f t="shared" si="22"/>
        <v>122</v>
      </c>
      <c r="AX23">
        <f t="shared" si="23"/>
        <v>236</v>
      </c>
    </row>
    <row r="24" spans="1:50" x14ac:dyDescent="0.25">
      <c r="A24" s="113">
        <v>21</v>
      </c>
      <c r="B24" s="209"/>
      <c r="C24" s="113">
        <v>0</v>
      </c>
      <c r="D24" s="113">
        <v>0</v>
      </c>
      <c r="E24" s="113" t="s">
        <v>688</v>
      </c>
      <c r="F24" s="113" t="s">
        <v>688</v>
      </c>
      <c r="G24" s="113"/>
      <c r="H24" s="113"/>
      <c r="I24" s="113"/>
      <c r="J24" s="113"/>
      <c r="K24" s="113"/>
      <c r="N24" s="113" t="e">
        <f>MATCH(A24,Entrada!$A$53:$A$372,0)</f>
        <v>#N/A</v>
      </c>
      <c r="O24" s="113">
        <f>IF(NOT(ISNA($N24)),INDEX(Entrada!$C$53:$N$372,$N24,O$2),0)</f>
        <v>0</v>
      </c>
      <c r="P24">
        <f>IF(NOT(ISNA($N24)),INDEX(Entrada!$C$53:$N$372,$N24,P$2),0)</f>
        <v>0</v>
      </c>
      <c r="Q24">
        <f>IF(NOT(ISNA($N24)),INDEX(Entrada!$C$53:$N$372,$N24,Q$2),0)</f>
        <v>0</v>
      </c>
      <c r="R24">
        <f>IF(NOT(ISNA($N24)),INDEX(Entrada!$C$53:$N$372,$N24,R$2),0)</f>
        <v>0</v>
      </c>
      <c r="S24">
        <f>IF(NOT(ISNA($N24)),INDEX(Entrada!$C$53:$N$372,$N24,S$2),0)</f>
        <v>0</v>
      </c>
      <c r="T24">
        <f>IF(NOT(ISNA($N24)),INDEX(Entrada!$C$53:$N$372,$N24,T$2),0)</f>
        <v>0</v>
      </c>
      <c r="U24">
        <f>IF(NOT(ISNA($N24)),INDEX(Entrada!$C$53:$N$372,$N24,U$2),0)</f>
        <v>0</v>
      </c>
      <c r="V24" s="225">
        <f>IF(NOT(ISNA($N24)),INDEX(Entrada!$C$53:$N$372,$N24,V$2),0)</f>
        <v>0</v>
      </c>
      <c r="W24" s="225">
        <f>IF(NOT(ISNA($N24)),INDEX(Entrada!$C$53:$N$372,$N24,W$2),0)</f>
        <v>0</v>
      </c>
      <c r="X24" s="225">
        <f>IF(NOT(ISNA($N24)),INDEX(Entrada!$C$53:$N$372,$N24,X$2),0)</f>
        <v>0</v>
      </c>
      <c r="Y24" s="225">
        <f>IF(NOT(ISNA($N24)),INDEX(Entrada!$C$53:$N$372,$N24,Y$2),0)</f>
        <v>0</v>
      </c>
      <c r="Z24" s="225">
        <f>IF(NOT(ISNA($N24)),INDEX(Entrada!$C$53:$N$372,$N24,Z$2),0)</f>
        <v>0</v>
      </c>
      <c r="AA24" s="113">
        <f t="shared" si="0"/>
        <v>0</v>
      </c>
      <c r="AB24">
        <f t="shared" si="1"/>
        <v>0</v>
      </c>
      <c r="AC24">
        <f t="shared" si="2"/>
        <v>0</v>
      </c>
      <c r="AD24">
        <f t="shared" si="3"/>
        <v>0</v>
      </c>
      <c r="AE24">
        <f t="shared" si="4"/>
        <v>0</v>
      </c>
      <c r="AF24">
        <f t="shared" si="5"/>
        <v>0</v>
      </c>
      <c r="AG24">
        <f t="shared" si="6"/>
        <v>0</v>
      </c>
      <c r="AH24">
        <f t="shared" si="7"/>
        <v>0</v>
      </c>
      <c r="AI24">
        <f t="shared" si="8"/>
        <v>0</v>
      </c>
      <c r="AJ24">
        <f t="shared" si="9"/>
        <v>0</v>
      </c>
      <c r="AK24">
        <f t="shared" si="10"/>
        <v>0</v>
      </c>
      <c r="AL24">
        <f t="shared" si="11"/>
        <v>0</v>
      </c>
      <c r="AM24" s="113">
        <f t="shared" si="12"/>
        <v>0</v>
      </c>
      <c r="AN24">
        <f t="shared" si="13"/>
        <v>0</v>
      </c>
      <c r="AO24">
        <f t="shared" si="14"/>
        <v>0</v>
      </c>
      <c r="AP24">
        <f t="shared" si="15"/>
        <v>0</v>
      </c>
      <c r="AQ24">
        <f t="shared" si="16"/>
        <v>0</v>
      </c>
      <c r="AR24">
        <f t="shared" si="17"/>
        <v>0</v>
      </c>
      <c r="AS24">
        <f t="shared" si="18"/>
        <v>0</v>
      </c>
      <c r="AT24">
        <f t="shared" si="19"/>
        <v>0</v>
      </c>
      <c r="AU24">
        <f t="shared" si="20"/>
        <v>0</v>
      </c>
      <c r="AV24">
        <f t="shared" si="21"/>
        <v>0</v>
      </c>
      <c r="AW24">
        <f t="shared" si="22"/>
        <v>0</v>
      </c>
      <c r="AX24">
        <f t="shared" si="23"/>
        <v>0</v>
      </c>
    </row>
    <row r="25" spans="1:50" x14ac:dyDescent="0.25">
      <c r="A25" s="113">
        <v>22</v>
      </c>
      <c r="B25" s="209" t="s">
        <v>548</v>
      </c>
      <c r="C25" s="113">
        <v>1931</v>
      </c>
      <c r="D25" s="113">
        <v>2013</v>
      </c>
      <c r="E25" s="210" t="s">
        <v>3</v>
      </c>
      <c r="F25" s="210" t="s">
        <v>287</v>
      </c>
      <c r="G25" s="113"/>
      <c r="H25" s="113"/>
      <c r="I25" s="113"/>
      <c r="J25" s="113"/>
      <c r="K25" s="113"/>
      <c r="N25" s="113">
        <f>MATCH(A25,Entrada!$A$53:$A$372,0)</f>
        <v>16</v>
      </c>
      <c r="O25" s="113">
        <f>IF(NOT(ISNA($N25)),INDEX(Entrada!$C$53:$N$372,$N25,O$2),0)</f>
        <v>193</v>
      </c>
      <c r="P25">
        <f>IF(NOT(ISNA($N25)),INDEX(Entrada!$C$53:$N$372,$N25,P$2),0)</f>
        <v>196</v>
      </c>
      <c r="Q25">
        <f>IF(NOT(ISNA($N25)),INDEX(Entrada!$C$53:$N$372,$N25,Q$2),0)</f>
        <v>199</v>
      </c>
      <c r="R25">
        <f>IF(NOT(ISNA($N25)),INDEX(Entrada!$C$53:$N$372,$N25,R$2),0)</f>
        <v>150</v>
      </c>
      <c r="S25">
        <f>IF(NOT(ISNA($N25)),INDEX(Entrada!$C$53:$N$372,$N25,S$2),0)</f>
        <v>96</v>
      </c>
      <c r="T25">
        <f>IF(NOT(ISNA($N25)),INDEX(Entrada!$C$53:$N$372,$N25,T$2),0)</f>
        <v>73</v>
      </c>
      <c r="U25">
        <f>IF(NOT(ISNA($N25)),INDEX(Entrada!$C$53:$N$372,$N25,U$2),0)</f>
        <v>58</v>
      </c>
      <c r="V25" s="225">
        <f>IF(NOT(ISNA($N25)),INDEX(Entrada!$C$53:$N$372,$N25,V$2),0)</f>
        <v>45</v>
      </c>
      <c r="W25" s="225">
        <f>IF(NOT(ISNA($N25)),INDEX(Entrada!$C$53:$N$372,$N25,W$2),0)</f>
        <v>39</v>
      </c>
      <c r="X25" s="225">
        <f>IF(NOT(ISNA($N25)),INDEX(Entrada!$C$53:$N$372,$N25,X$2),0)</f>
        <v>46</v>
      </c>
      <c r="Y25" s="225">
        <f>IF(NOT(ISNA($N25)),INDEX(Entrada!$C$53:$N$372,$N25,Y$2),0)</f>
        <v>78</v>
      </c>
      <c r="Z25" s="225">
        <f>IF(NOT(ISNA($N25)),INDEX(Entrada!$C$53:$N$372,$N25,Z$2),0)</f>
        <v>146</v>
      </c>
      <c r="AA25" s="113">
        <f t="shared" si="0"/>
        <v>0</v>
      </c>
      <c r="AB25">
        <f t="shared" si="1"/>
        <v>0</v>
      </c>
      <c r="AC25">
        <f t="shared" si="2"/>
        <v>0</v>
      </c>
      <c r="AD25">
        <f t="shared" si="3"/>
        <v>0</v>
      </c>
      <c r="AE25">
        <f t="shared" si="4"/>
        <v>0</v>
      </c>
      <c r="AF25">
        <f t="shared" si="5"/>
        <v>0</v>
      </c>
      <c r="AG25">
        <f t="shared" si="6"/>
        <v>0</v>
      </c>
      <c r="AH25">
        <f t="shared" si="7"/>
        <v>0</v>
      </c>
      <c r="AI25">
        <f t="shared" si="8"/>
        <v>0</v>
      </c>
      <c r="AJ25">
        <f t="shared" si="9"/>
        <v>0</v>
      </c>
      <c r="AK25">
        <f t="shared" si="10"/>
        <v>0</v>
      </c>
      <c r="AL25">
        <f t="shared" si="11"/>
        <v>0</v>
      </c>
      <c r="AM25" s="113">
        <f t="shared" si="12"/>
        <v>193</v>
      </c>
      <c r="AN25">
        <f t="shared" si="13"/>
        <v>196</v>
      </c>
      <c r="AO25">
        <f t="shared" si="14"/>
        <v>199</v>
      </c>
      <c r="AP25">
        <f t="shared" si="15"/>
        <v>150</v>
      </c>
      <c r="AQ25">
        <f t="shared" si="16"/>
        <v>96</v>
      </c>
      <c r="AR25">
        <f t="shared" si="17"/>
        <v>73</v>
      </c>
      <c r="AS25">
        <f t="shared" si="18"/>
        <v>58</v>
      </c>
      <c r="AT25">
        <f t="shared" si="19"/>
        <v>45</v>
      </c>
      <c r="AU25">
        <f t="shared" si="20"/>
        <v>39</v>
      </c>
      <c r="AV25">
        <f t="shared" si="21"/>
        <v>46</v>
      </c>
      <c r="AW25">
        <f t="shared" si="22"/>
        <v>78</v>
      </c>
      <c r="AX25">
        <f t="shared" si="23"/>
        <v>146</v>
      </c>
    </row>
    <row r="26" spans="1:50" x14ac:dyDescent="0.25">
      <c r="A26" s="113">
        <v>23</v>
      </c>
      <c r="B26" s="209" t="s">
        <v>265</v>
      </c>
      <c r="C26" s="113">
        <v>1931</v>
      </c>
      <c r="D26" s="113">
        <v>2013</v>
      </c>
      <c r="E26" s="210" t="s">
        <v>3</v>
      </c>
      <c r="F26" s="210" t="s">
        <v>288</v>
      </c>
      <c r="G26" s="113">
        <v>205</v>
      </c>
      <c r="H26" s="113"/>
      <c r="I26" s="113"/>
      <c r="J26" s="113"/>
      <c r="K26" s="113"/>
      <c r="N26" s="113">
        <f>MATCH(A26,Entrada!$A$53:$A$372,0)</f>
        <v>17</v>
      </c>
      <c r="O26" s="113">
        <f>IF(NOT(ISNA($N26)),INDEX(Entrada!$C$53:$N$372,$N26,O$2),0)</f>
        <v>273</v>
      </c>
      <c r="P26">
        <f>IF(NOT(ISNA($N26)),INDEX(Entrada!$C$53:$N$372,$N26,P$2),0)</f>
        <v>299</v>
      </c>
      <c r="Q26">
        <f>IF(NOT(ISNA($N26)),INDEX(Entrada!$C$53:$N$372,$N26,Q$2),0)</f>
        <v>299</v>
      </c>
      <c r="R26">
        <f>IF(NOT(ISNA($N26)),INDEX(Entrada!$C$53:$N$372,$N26,R$2),0)</f>
        <v>234</v>
      </c>
      <c r="S26">
        <f>IF(NOT(ISNA($N26)),INDEX(Entrada!$C$53:$N$372,$N26,S$2),0)</f>
        <v>148</v>
      </c>
      <c r="T26">
        <f>IF(NOT(ISNA($N26)),INDEX(Entrada!$C$53:$N$372,$N26,T$2),0)</f>
        <v>109</v>
      </c>
      <c r="U26">
        <f>IF(NOT(ISNA($N26)),INDEX(Entrada!$C$53:$N$372,$N26,U$2),0)</f>
        <v>85</v>
      </c>
      <c r="V26" s="225">
        <f>IF(NOT(ISNA($N26)),INDEX(Entrada!$C$53:$N$372,$N26,V$2),0)</f>
        <v>67</v>
      </c>
      <c r="W26" s="225">
        <f>IF(NOT(ISNA($N26)),INDEX(Entrada!$C$53:$N$372,$N26,W$2),0)</f>
        <v>58</v>
      </c>
      <c r="X26" s="225">
        <f>IF(NOT(ISNA($N26)),INDEX(Entrada!$C$53:$N$372,$N26,X$2),0)</f>
        <v>76</v>
      </c>
      <c r="Y26" s="225">
        <f>IF(NOT(ISNA($N26)),INDEX(Entrada!$C$53:$N$372,$N26,Y$2),0)</f>
        <v>125</v>
      </c>
      <c r="Z26" s="225">
        <f>IF(NOT(ISNA($N26)),INDEX(Entrada!$C$53:$N$372,$N26,Z$2),0)</f>
        <v>201</v>
      </c>
      <c r="AA26" s="113">
        <f t="shared" si="0"/>
        <v>219</v>
      </c>
      <c r="AB26">
        <f t="shared" si="1"/>
        <v>241</v>
      </c>
      <c r="AC26">
        <f t="shared" si="2"/>
        <v>239</v>
      </c>
      <c r="AD26">
        <f t="shared" si="3"/>
        <v>190</v>
      </c>
      <c r="AE26">
        <f t="shared" si="4"/>
        <v>119</v>
      </c>
      <c r="AF26">
        <f t="shared" si="5"/>
        <v>87</v>
      </c>
      <c r="AG26">
        <f t="shared" si="6"/>
        <v>68</v>
      </c>
      <c r="AH26">
        <f t="shared" si="7"/>
        <v>54</v>
      </c>
      <c r="AI26">
        <f t="shared" si="8"/>
        <v>47</v>
      </c>
      <c r="AJ26">
        <f t="shared" si="9"/>
        <v>61</v>
      </c>
      <c r="AK26">
        <f t="shared" si="10"/>
        <v>100</v>
      </c>
      <c r="AL26">
        <f t="shared" si="11"/>
        <v>161</v>
      </c>
      <c r="AM26" s="113">
        <f t="shared" si="12"/>
        <v>54</v>
      </c>
      <c r="AN26">
        <f t="shared" si="13"/>
        <v>58</v>
      </c>
      <c r="AO26">
        <f t="shared" si="14"/>
        <v>60</v>
      </c>
      <c r="AP26">
        <f t="shared" si="15"/>
        <v>44</v>
      </c>
      <c r="AQ26">
        <f t="shared" si="16"/>
        <v>29</v>
      </c>
      <c r="AR26">
        <f t="shared" si="17"/>
        <v>22</v>
      </c>
      <c r="AS26">
        <f t="shared" si="18"/>
        <v>17</v>
      </c>
      <c r="AT26">
        <f t="shared" si="19"/>
        <v>13</v>
      </c>
      <c r="AU26">
        <f t="shared" si="20"/>
        <v>11</v>
      </c>
      <c r="AV26">
        <f t="shared" si="21"/>
        <v>15</v>
      </c>
      <c r="AW26">
        <f t="shared" si="22"/>
        <v>25</v>
      </c>
      <c r="AX26">
        <f t="shared" si="23"/>
        <v>40</v>
      </c>
    </row>
    <row r="27" spans="1:50" x14ac:dyDescent="0.25">
      <c r="A27" s="113">
        <v>24</v>
      </c>
      <c r="B27" s="209" t="s">
        <v>549</v>
      </c>
      <c r="C27" s="113">
        <v>1931</v>
      </c>
      <c r="D27" s="113">
        <v>2013</v>
      </c>
      <c r="E27" s="210" t="s">
        <v>3</v>
      </c>
      <c r="F27" s="210" t="s">
        <v>3</v>
      </c>
      <c r="G27" s="113">
        <v>251</v>
      </c>
      <c r="H27" s="113"/>
      <c r="I27" s="113"/>
      <c r="J27" s="113"/>
      <c r="K27" s="113"/>
      <c r="N27" s="113">
        <f>MATCH(A27,Entrada!$A$53:$A$372,0)</f>
        <v>18</v>
      </c>
      <c r="O27" s="113">
        <f>IF(NOT(ISNA($N27)),INDEX(Entrada!$C$53:$N$372,$N27,O$2),0)</f>
        <v>903</v>
      </c>
      <c r="P27">
        <f>IF(NOT(ISNA($N27)),INDEX(Entrada!$C$53:$N$372,$N27,P$2),0)</f>
        <v>899</v>
      </c>
      <c r="Q27">
        <f>IF(NOT(ISNA($N27)),INDEX(Entrada!$C$53:$N$372,$N27,Q$2),0)</f>
        <v>860</v>
      </c>
      <c r="R27">
        <f>IF(NOT(ISNA($N27)),INDEX(Entrada!$C$53:$N$372,$N27,R$2),0)</f>
        <v>626</v>
      </c>
      <c r="S27">
        <f>IF(NOT(ISNA($N27)),INDEX(Entrada!$C$53:$N$372,$N27,S$2),0)</f>
        <v>397</v>
      </c>
      <c r="T27">
        <f>IF(NOT(ISNA($N27)),INDEX(Entrada!$C$53:$N$372,$N27,T$2),0)</f>
        <v>306</v>
      </c>
      <c r="U27">
        <f>IF(NOT(ISNA($N27)),INDEX(Entrada!$C$53:$N$372,$N27,U$2),0)</f>
        <v>245</v>
      </c>
      <c r="V27" s="225">
        <f>IF(NOT(ISNA($N27)),INDEX(Entrada!$C$53:$N$372,$N27,V$2),0)</f>
        <v>196</v>
      </c>
      <c r="W27" s="225">
        <f>IF(NOT(ISNA($N27)),INDEX(Entrada!$C$53:$N$372,$N27,W$2),0)</f>
        <v>173</v>
      </c>
      <c r="X27" s="225">
        <f>IF(NOT(ISNA($N27)),INDEX(Entrada!$C$53:$N$372,$N27,X$2),0)</f>
        <v>207</v>
      </c>
      <c r="Y27" s="225">
        <f>IF(NOT(ISNA($N27)),INDEX(Entrada!$C$53:$N$372,$N27,Y$2),0)</f>
        <v>353</v>
      </c>
      <c r="Z27" s="225">
        <f>IF(NOT(ISNA($N27)),INDEX(Entrada!$C$53:$N$372,$N27,Z$2),0)</f>
        <v>658</v>
      </c>
      <c r="AA27" s="113">
        <f t="shared" si="0"/>
        <v>322</v>
      </c>
      <c r="AB27">
        <f t="shared" si="1"/>
        <v>322</v>
      </c>
      <c r="AC27">
        <f t="shared" si="2"/>
        <v>322</v>
      </c>
      <c r="AD27">
        <f t="shared" si="3"/>
        <v>241</v>
      </c>
      <c r="AE27">
        <f t="shared" si="4"/>
        <v>152</v>
      </c>
      <c r="AF27">
        <f t="shared" si="5"/>
        <v>116</v>
      </c>
      <c r="AG27">
        <f t="shared" si="6"/>
        <v>91</v>
      </c>
      <c r="AH27">
        <f t="shared" si="7"/>
        <v>72</v>
      </c>
      <c r="AI27">
        <f t="shared" si="8"/>
        <v>61</v>
      </c>
      <c r="AJ27">
        <f t="shared" si="9"/>
        <v>74</v>
      </c>
      <c r="AK27">
        <f t="shared" si="10"/>
        <v>127</v>
      </c>
      <c r="AL27">
        <f t="shared" si="11"/>
        <v>242</v>
      </c>
      <c r="AM27" s="113">
        <f t="shared" si="12"/>
        <v>581</v>
      </c>
      <c r="AN27">
        <f t="shared" si="13"/>
        <v>577</v>
      </c>
      <c r="AO27">
        <f t="shared" si="14"/>
        <v>538</v>
      </c>
      <c r="AP27">
        <f t="shared" si="15"/>
        <v>385</v>
      </c>
      <c r="AQ27">
        <f t="shared" si="16"/>
        <v>245</v>
      </c>
      <c r="AR27">
        <f t="shared" si="17"/>
        <v>190</v>
      </c>
      <c r="AS27">
        <f t="shared" si="18"/>
        <v>154</v>
      </c>
      <c r="AT27">
        <f t="shared" si="19"/>
        <v>124</v>
      </c>
      <c r="AU27">
        <f t="shared" si="20"/>
        <v>112</v>
      </c>
      <c r="AV27">
        <f t="shared" si="21"/>
        <v>133</v>
      </c>
      <c r="AW27">
        <f t="shared" si="22"/>
        <v>226</v>
      </c>
      <c r="AX27">
        <f t="shared" si="23"/>
        <v>416</v>
      </c>
    </row>
    <row r="28" spans="1:50" x14ac:dyDescent="0.25">
      <c r="A28" s="113">
        <v>25</v>
      </c>
      <c r="B28" s="209" t="s">
        <v>550</v>
      </c>
      <c r="C28" s="113">
        <v>1931</v>
      </c>
      <c r="D28" s="113">
        <v>2013</v>
      </c>
      <c r="E28" s="210" t="s">
        <v>3</v>
      </c>
      <c r="F28" s="210" t="s">
        <v>289</v>
      </c>
      <c r="G28" s="113"/>
      <c r="H28" s="113"/>
      <c r="I28" s="113"/>
      <c r="J28" s="113"/>
      <c r="K28" s="113"/>
      <c r="N28" s="113">
        <f>MATCH(A28,Entrada!$A$53:$A$372,0)</f>
        <v>19</v>
      </c>
      <c r="O28" s="113">
        <f>IF(NOT(ISNA($N28)),INDEX(Entrada!$C$53:$N$372,$N28,O$2),0)</f>
        <v>530</v>
      </c>
      <c r="P28">
        <f>IF(NOT(ISNA($N28)),INDEX(Entrada!$C$53:$N$372,$N28,P$2),0)</f>
        <v>532</v>
      </c>
      <c r="Q28">
        <f>IF(NOT(ISNA($N28)),INDEX(Entrada!$C$53:$N$372,$N28,Q$2),0)</f>
        <v>499</v>
      </c>
      <c r="R28">
        <f>IF(NOT(ISNA($N28)),INDEX(Entrada!$C$53:$N$372,$N28,R$2),0)</f>
        <v>375</v>
      </c>
      <c r="S28">
        <f>IF(NOT(ISNA($N28)),INDEX(Entrada!$C$53:$N$372,$N28,S$2),0)</f>
        <v>257</v>
      </c>
      <c r="T28">
        <f>IF(NOT(ISNA($N28)),INDEX(Entrada!$C$53:$N$372,$N28,T$2),0)</f>
        <v>201</v>
      </c>
      <c r="U28">
        <f>IF(NOT(ISNA($N28)),INDEX(Entrada!$C$53:$N$372,$N28,U$2),0)</f>
        <v>166</v>
      </c>
      <c r="V28" s="225">
        <f>IF(NOT(ISNA($N28)),INDEX(Entrada!$C$53:$N$372,$N28,V$2),0)</f>
        <v>135</v>
      </c>
      <c r="W28" s="225">
        <f>IF(NOT(ISNA($N28)),INDEX(Entrada!$C$53:$N$372,$N28,W$2),0)</f>
        <v>123</v>
      </c>
      <c r="X28" s="225">
        <f>IF(NOT(ISNA($N28)),INDEX(Entrada!$C$53:$N$372,$N28,X$2),0)</f>
        <v>152</v>
      </c>
      <c r="Y28" s="225">
        <f>IF(NOT(ISNA($N28)),INDEX(Entrada!$C$53:$N$372,$N28,Y$2),0)</f>
        <v>224</v>
      </c>
      <c r="Z28" s="225">
        <f>IF(NOT(ISNA($N28)),INDEX(Entrada!$C$53:$N$372,$N28,Z$2),0)</f>
        <v>376</v>
      </c>
      <c r="AA28" s="113">
        <f t="shared" si="0"/>
        <v>0</v>
      </c>
      <c r="AB28">
        <f t="shared" si="1"/>
        <v>0</v>
      </c>
      <c r="AC28">
        <f t="shared" si="2"/>
        <v>0</v>
      </c>
      <c r="AD28">
        <f t="shared" si="3"/>
        <v>0</v>
      </c>
      <c r="AE28">
        <f t="shared" si="4"/>
        <v>0</v>
      </c>
      <c r="AF28">
        <f t="shared" si="5"/>
        <v>0</v>
      </c>
      <c r="AG28">
        <f t="shared" si="6"/>
        <v>0</v>
      </c>
      <c r="AH28">
        <f t="shared" si="7"/>
        <v>0</v>
      </c>
      <c r="AI28">
        <f t="shared" si="8"/>
        <v>0</v>
      </c>
      <c r="AJ28">
        <f t="shared" si="9"/>
        <v>0</v>
      </c>
      <c r="AK28">
        <f t="shared" si="10"/>
        <v>0</v>
      </c>
      <c r="AL28">
        <f t="shared" si="11"/>
        <v>0</v>
      </c>
      <c r="AM28" s="113">
        <f t="shared" si="12"/>
        <v>530</v>
      </c>
      <c r="AN28">
        <f t="shared" si="13"/>
        <v>532</v>
      </c>
      <c r="AO28">
        <f t="shared" si="14"/>
        <v>499</v>
      </c>
      <c r="AP28">
        <f t="shared" si="15"/>
        <v>375</v>
      </c>
      <c r="AQ28">
        <f t="shared" si="16"/>
        <v>257</v>
      </c>
      <c r="AR28">
        <f t="shared" si="17"/>
        <v>201</v>
      </c>
      <c r="AS28">
        <f t="shared" si="18"/>
        <v>166</v>
      </c>
      <c r="AT28">
        <f t="shared" si="19"/>
        <v>135</v>
      </c>
      <c r="AU28">
        <f t="shared" si="20"/>
        <v>123</v>
      </c>
      <c r="AV28">
        <f t="shared" si="21"/>
        <v>152</v>
      </c>
      <c r="AW28">
        <f t="shared" si="22"/>
        <v>224</v>
      </c>
      <c r="AX28">
        <f t="shared" si="23"/>
        <v>376</v>
      </c>
    </row>
    <row r="29" spans="1:50" x14ac:dyDescent="0.25">
      <c r="A29" s="113">
        <v>26</v>
      </c>
      <c r="B29" s="209"/>
      <c r="C29" s="113">
        <v>0</v>
      </c>
      <c r="D29" s="113">
        <v>0</v>
      </c>
      <c r="E29" s="113" t="s">
        <v>688</v>
      </c>
      <c r="F29" s="113" t="s">
        <v>688</v>
      </c>
      <c r="G29" s="113"/>
      <c r="H29" s="113"/>
      <c r="I29" s="113"/>
      <c r="J29" s="113"/>
      <c r="K29" s="113"/>
      <c r="N29" s="113" t="e">
        <f>MATCH(A29,Entrada!$A$53:$A$372,0)</f>
        <v>#N/A</v>
      </c>
      <c r="O29" s="113">
        <f>IF(NOT(ISNA($N29)),INDEX(Entrada!$C$53:$N$372,$N29,O$2),0)</f>
        <v>0</v>
      </c>
      <c r="P29">
        <f>IF(NOT(ISNA($N29)),INDEX(Entrada!$C$53:$N$372,$N29,P$2),0)</f>
        <v>0</v>
      </c>
      <c r="Q29">
        <f>IF(NOT(ISNA($N29)),INDEX(Entrada!$C$53:$N$372,$N29,Q$2),0)</f>
        <v>0</v>
      </c>
      <c r="R29">
        <f>IF(NOT(ISNA($N29)),INDEX(Entrada!$C$53:$N$372,$N29,R$2),0)</f>
        <v>0</v>
      </c>
      <c r="S29">
        <f>IF(NOT(ISNA($N29)),INDEX(Entrada!$C$53:$N$372,$N29,S$2),0)</f>
        <v>0</v>
      </c>
      <c r="T29">
        <f>IF(NOT(ISNA($N29)),INDEX(Entrada!$C$53:$N$372,$N29,T$2),0)</f>
        <v>0</v>
      </c>
      <c r="U29">
        <f>IF(NOT(ISNA($N29)),INDEX(Entrada!$C$53:$N$372,$N29,U$2),0)</f>
        <v>0</v>
      </c>
      <c r="V29" s="225">
        <f>IF(NOT(ISNA($N29)),INDEX(Entrada!$C$53:$N$372,$N29,V$2),0)</f>
        <v>0</v>
      </c>
      <c r="W29" s="225">
        <f>IF(NOT(ISNA($N29)),INDEX(Entrada!$C$53:$N$372,$N29,W$2),0)</f>
        <v>0</v>
      </c>
      <c r="X29" s="225">
        <f>IF(NOT(ISNA($N29)),INDEX(Entrada!$C$53:$N$372,$N29,X$2),0)</f>
        <v>0</v>
      </c>
      <c r="Y29" s="225">
        <f>IF(NOT(ISNA($N29)),INDEX(Entrada!$C$53:$N$372,$N29,Y$2),0)</f>
        <v>0</v>
      </c>
      <c r="Z29" s="225">
        <f>IF(NOT(ISNA($N29)),INDEX(Entrada!$C$53:$N$372,$N29,Z$2),0)</f>
        <v>0</v>
      </c>
      <c r="AA29" s="113">
        <f t="shared" si="0"/>
        <v>0</v>
      </c>
      <c r="AB29">
        <f t="shared" si="1"/>
        <v>0</v>
      </c>
      <c r="AC29">
        <f t="shared" si="2"/>
        <v>0</v>
      </c>
      <c r="AD29">
        <f t="shared" si="3"/>
        <v>0</v>
      </c>
      <c r="AE29">
        <f t="shared" si="4"/>
        <v>0</v>
      </c>
      <c r="AF29">
        <f t="shared" si="5"/>
        <v>0</v>
      </c>
      <c r="AG29">
        <f t="shared" si="6"/>
        <v>0</v>
      </c>
      <c r="AH29">
        <f t="shared" si="7"/>
        <v>0</v>
      </c>
      <c r="AI29">
        <f t="shared" si="8"/>
        <v>0</v>
      </c>
      <c r="AJ29">
        <f t="shared" si="9"/>
        <v>0</v>
      </c>
      <c r="AK29">
        <f t="shared" si="10"/>
        <v>0</v>
      </c>
      <c r="AL29">
        <f t="shared" si="11"/>
        <v>0</v>
      </c>
      <c r="AM29" s="113">
        <f t="shared" si="12"/>
        <v>0</v>
      </c>
      <c r="AN29">
        <f t="shared" si="13"/>
        <v>0</v>
      </c>
      <c r="AO29">
        <f t="shared" si="14"/>
        <v>0</v>
      </c>
      <c r="AP29">
        <f t="shared" si="15"/>
        <v>0</v>
      </c>
      <c r="AQ29">
        <f t="shared" si="16"/>
        <v>0</v>
      </c>
      <c r="AR29">
        <f t="shared" si="17"/>
        <v>0</v>
      </c>
      <c r="AS29">
        <f t="shared" si="18"/>
        <v>0</v>
      </c>
      <c r="AT29">
        <f t="shared" si="19"/>
        <v>0</v>
      </c>
      <c r="AU29">
        <f t="shared" si="20"/>
        <v>0</v>
      </c>
      <c r="AV29">
        <f t="shared" si="21"/>
        <v>0</v>
      </c>
      <c r="AW29">
        <f t="shared" si="22"/>
        <v>0</v>
      </c>
      <c r="AX29">
        <f t="shared" si="23"/>
        <v>0</v>
      </c>
    </row>
    <row r="30" spans="1:50" x14ac:dyDescent="0.25">
      <c r="A30" s="113">
        <v>27</v>
      </c>
      <c r="B30" s="209"/>
      <c r="C30" s="113">
        <v>0</v>
      </c>
      <c r="D30" s="113">
        <v>0</v>
      </c>
      <c r="E30" s="113" t="s">
        <v>688</v>
      </c>
      <c r="F30" s="113" t="s">
        <v>688</v>
      </c>
      <c r="G30" s="113"/>
      <c r="H30" s="113"/>
      <c r="I30" s="113"/>
      <c r="J30" s="113"/>
      <c r="K30" s="113"/>
      <c r="N30" s="113" t="e">
        <f>MATCH(A30,Entrada!$A$53:$A$372,0)</f>
        <v>#N/A</v>
      </c>
      <c r="O30" s="113">
        <f>IF(NOT(ISNA($N30)),INDEX(Entrada!$C$53:$N$372,$N30,O$2),0)</f>
        <v>0</v>
      </c>
      <c r="P30">
        <f>IF(NOT(ISNA($N30)),INDEX(Entrada!$C$53:$N$372,$N30,P$2),0)</f>
        <v>0</v>
      </c>
      <c r="Q30">
        <f>IF(NOT(ISNA($N30)),INDEX(Entrada!$C$53:$N$372,$N30,Q$2),0)</f>
        <v>0</v>
      </c>
      <c r="R30">
        <f>IF(NOT(ISNA($N30)),INDEX(Entrada!$C$53:$N$372,$N30,R$2),0)</f>
        <v>0</v>
      </c>
      <c r="S30">
        <f>IF(NOT(ISNA($N30)),INDEX(Entrada!$C$53:$N$372,$N30,S$2),0)</f>
        <v>0</v>
      </c>
      <c r="T30">
        <f>IF(NOT(ISNA($N30)),INDEX(Entrada!$C$53:$N$372,$N30,T$2),0)</f>
        <v>0</v>
      </c>
      <c r="U30">
        <f>IF(NOT(ISNA($N30)),INDEX(Entrada!$C$53:$N$372,$N30,U$2),0)</f>
        <v>0</v>
      </c>
      <c r="V30" s="225">
        <f>IF(NOT(ISNA($N30)),INDEX(Entrada!$C$53:$N$372,$N30,V$2),0)</f>
        <v>0</v>
      </c>
      <c r="W30" s="225">
        <f>IF(NOT(ISNA($N30)),INDEX(Entrada!$C$53:$N$372,$N30,W$2),0)</f>
        <v>0</v>
      </c>
      <c r="X30" s="225">
        <f>IF(NOT(ISNA($N30)),INDEX(Entrada!$C$53:$N$372,$N30,X$2),0)</f>
        <v>0</v>
      </c>
      <c r="Y30" s="225">
        <f>IF(NOT(ISNA($N30)),INDEX(Entrada!$C$53:$N$372,$N30,Y$2),0)</f>
        <v>0</v>
      </c>
      <c r="Z30" s="225">
        <f>IF(NOT(ISNA($N30)),INDEX(Entrada!$C$53:$N$372,$N30,Z$2),0)</f>
        <v>0</v>
      </c>
      <c r="AA30" s="113">
        <f t="shared" si="0"/>
        <v>0</v>
      </c>
      <c r="AB30">
        <f t="shared" si="1"/>
        <v>0</v>
      </c>
      <c r="AC30">
        <f t="shared" si="2"/>
        <v>0</v>
      </c>
      <c r="AD30">
        <f t="shared" si="3"/>
        <v>0</v>
      </c>
      <c r="AE30">
        <f t="shared" si="4"/>
        <v>0</v>
      </c>
      <c r="AF30">
        <f t="shared" si="5"/>
        <v>0</v>
      </c>
      <c r="AG30">
        <f t="shared" si="6"/>
        <v>0</v>
      </c>
      <c r="AH30">
        <f t="shared" si="7"/>
        <v>0</v>
      </c>
      <c r="AI30">
        <f t="shared" si="8"/>
        <v>0</v>
      </c>
      <c r="AJ30">
        <f t="shared" si="9"/>
        <v>0</v>
      </c>
      <c r="AK30">
        <f t="shared" si="10"/>
        <v>0</v>
      </c>
      <c r="AL30">
        <f t="shared" si="11"/>
        <v>0</v>
      </c>
      <c r="AM30" s="113">
        <f t="shared" si="12"/>
        <v>0</v>
      </c>
      <c r="AN30">
        <f t="shared" si="13"/>
        <v>0</v>
      </c>
      <c r="AO30">
        <f t="shared" si="14"/>
        <v>0</v>
      </c>
      <c r="AP30">
        <f t="shared" si="15"/>
        <v>0</v>
      </c>
      <c r="AQ30">
        <f t="shared" si="16"/>
        <v>0</v>
      </c>
      <c r="AR30">
        <f t="shared" si="17"/>
        <v>0</v>
      </c>
      <c r="AS30">
        <f t="shared" si="18"/>
        <v>0</v>
      </c>
      <c r="AT30">
        <f t="shared" si="19"/>
        <v>0</v>
      </c>
      <c r="AU30">
        <f t="shared" si="20"/>
        <v>0</v>
      </c>
      <c r="AV30">
        <f t="shared" si="21"/>
        <v>0</v>
      </c>
      <c r="AW30">
        <f t="shared" si="22"/>
        <v>0</v>
      </c>
      <c r="AX30">
        <f t="shared" si="23"/>
        <v>0</v>
      </c>
    </row>
    <row r="31" spans="1:50" x14ac:dyDescent="0.25">
      <c r="A31" s="113">
        <v>28</v>
      </c>
      <c r="B31" s="209" t="s">
        <v>257</v>
      </c>
      <c r="C31" s="113">
        <v>1931</v>
      </c>
      <c r="D31" s="113">
        <v>2013</v>
      </c>
      <c r="E31" s="210" t="s">
        <v>3</v>
      </c>
      <c r="F31" s="210" t="s">
        <v>289</v>
      </c>
      <c r="G31" s="113">
        <v>207</v>
      </c>
      <c r="H31" s="113"/>
      <c r="I31" s="113"/>
      <c r="J31" s="113"/>
      <c r="K31" s="113"/>
      <c r="N31" s="113">
        <f>MATCH(A31,Entrada!$A$53:$A$372,0)</f>
        <v>20</v>
      </c>
      <c r="O31" s="113">
        <f>IF(NOT(ISNA($N31)),INDEX(Entrada!$C$53:$N$372,$N31,O$2),0)</f>
        <v>644</v>
      </c>
      <c r="P31">
        <f>IF(NOT(ISNA($N31)),INDEX(Entrada!$C$53:$N$372,$N31,P$2),0)</f>
        <v>653</v>
      </c>
      <c r="Q31">
        <f>IF(NOT(ISNA($N31)),INDEX(Entrada!$C$53:$N$372,$N31,Q$2),0)</f>
        <v>614</v>
      </c>
      <c r="R31">
        <f>IF(NOT(ISNA($N31)),INDEX(Entrada!$C$53:$N$372,$N31,R$2),0)</f>
        <v>469</v>
      </c>
      <c r="S31">
        <f>IF(NOT(ISNA($N31)),INDEX(Entrada!$C$53:$N$372,$N31,S$2),0)</f>
        <v>321</v>
      </c>
      <c r="T31">
        <f>IF(NOT(ISNA($N31)),INDEX(Entrada!$C$53:$N$372,$N31,T$2),0)</f>
        <v>251</v>
      </c>
      <c r="U31">
        <f>IF(NOT(ISNA($N31)),INDEX(Entrada!$C$53:$N$372,$N31,U$2),0)</f>
        <v>208</v>
      </c>
      <c r="V31" s="225">
        <f>IF(NOT(ISNA($N31)),INDEX(Entrada!$C$53:$N$372,$N31,V$2),0)</f>
        <v>173</v>
      </c>
      <c r="W31" s="225">
        <f>IF(NOT(ISNA($N31)),INDEX(Entrada!$C$53:$N$372,$N31,W$2),0)</f>
        <v>159</v>
      </c>
      <c r="X31" s="225">
        <f>IF(NOT(ISNA($N31)),INDEX(Entrada!$C$53:$N$372,$N31,X$2),0)</f>
        <v>191</v>
      </c>
      <c r="Y31" s="225">
        <f>IF(NOT(ISNA($N31)),INDEX(Entrada!$C$53:$N$372,$N31,Y$2),0)</f>
        <v>279</v>
      </c>
      <c r="Z31" s="225">
        <f>IF(NOT(ISNA($N31)),INDEX(Entrada!$C$53:$N$372,$N31,Z$2),0)</f>
        <v>458</v>
      </c>
      <c r="AA31" s="113">
        <f t="shared" si="0"/>
        <v>620</v>
      </c>
      <c r="AB31">
        <f t="shared" si="1"/>
        <v>626</v>
      </c>
      <c r="AC31">
        <f t="shared" si="2"/>
        <v>589</v>
      </c>
      <c r="AD31">
        <f t="shared" si="3"/>
        <v>448</v>
      </c>
      <c r="AE31">
        <f t="shared" si="4"/>
        <v>307</v>
      </c>
      <c r="AF31">
        <f t="shared" si="5"/>
        <v>240</v>
      </c>
      <c r="AG31">
        <f t="shared" si="6"/>
        <v>199</v>
      </c>
      <c r="AH31">
        <f t="shared" si="7"/>
        <v>164</v>
      </c>
      <c r="AI31">
        <f t="shared" si="8"/>
        <v>151</v>
      </c>
      <c r="AJ31">
        <f t="shared" si="9"/>
        <v>183</v>
      </c>
      <c r="AK31">
        <f t="shared" si="10"/>
        <v>268</v>
      </c>
      <c r="AL31">
        <f t="shared" si="11"/>
        <v>441</v>
      </c>
      <c r="AM31" s="113">
        <f t="shared" si="12"/>
        <v>24</v>
      </c>
      <c r="AN31">
        <f t="shared" si="13"/>
        <v>27</v>
      </c>
      <c r="AO31">
        <f t="shared" si="14"/>
        <v>25</v>
      </c>
      <c r="AP31">
        <f t="shared" si="15"/>
        <v>21</v>
      </c>
      <c r="AQ31">
        <f t="shared" si="16"/>
        <v>14</v>
      </c>
      <c r="AR31">
        <f t="shared" si="17"/>
        <v>11</v>
      </c>
      <c r="AS31">
        <f t="shared" si="18"/>
        <v>9</v>
      </c>
      <c r="AT31">
        <f t="shared" si="19"/>
        <v>9</v>
      </c>
      <c r="AU31">
        <f t="shared" si="20"/>
        <v>8</v>
      </c>
      <c r="AV31">
        <f t="shared" si="21"/>
        <v>8</v>
      </c>
      <c r="AW31">
        <f t="shared" si="22"/>
        <v>11</v>
      </c>
      <c r="AX31">
        <f t="shared" si="23"/>
        <v>17</v>
      </c>
    </row>
    <row r="32" spans="1:50" x14ac:dyDescent="0.25">
      <c r="A32" s="113">
        <v>29</v>
      </c>
      <c r="B32" s="209"/>
      <c r="C32" s="113">
        <v>0</v>
      </c>
      <c r="D32" s="113">
        <v>0</v>
      </c>
      <c r="E32" s="113" t="s">
        <v>688</v>
      </c>
      <c r="F32" s="113" t="s">
        <v>688</v>
      </c>
      <c r="G32" s="113"/>
      <c r="H32" s="113"/>
      <c r="I32" s="113"/>
      <c r="J32" s="113"/>
      <c r="K32" s="113"/>
      <c r="N32" s="113" t="e">
        <f>MATCH(A32,Entrada!$A$53:$A$372,0)</f>
        <v>#N/A</v>
      </c>
      <c r="O32" s="113">
        <f>IF(NOT(ISNA($N32)),INDEX(Entrada!$C$53:$N$372,$N32,O$2),0)</f>
        <v>0</v>
      </c>
      <c r="P32">
        <f>IF(NOT(ISNA($N32)),INDEX(Entrada!$C$53:$N$372,$N32,P$2),0)</f>
        <v>0</v>
      </c>
      <c r="Q32">
        <f>IF(NOT(ISNA($N32)),INDEX(Entrada!$C$53:$N$372,$N32,Q$2),0)</f>
        <v>0</v>
      </c>
      <c r="R32">
        <f>IF(NOT(ISNA($N32)),INDEX(Entrada!$C$53:$N$372,$N32,R$2),0)</f>
        <v>0</v>
      </c>
      <c r="S32">
        <f>IF(NOT(ISNA($N32)),INDEX(Entrada!$C$53:$N$372,$N32,S$2),0)</f>
        <v>0</v>
      </c>
      <c r="T32">
        <f>IF(NOT(ISNA($N32)),INDEX(Entrada!$C$53:$N$372,$N32,T$2),0)</f>
        <v>0</v>
      </c>
      <c r="U32">
        <f>IF(NOT(ISNA($N32)),INDEX(Entrada!$C$53:$N$372,$N32,U$2),0)</f>
        <v>0</v>
      </c>
      <c r="V32" s="225">
        <f>IF(NOT(ISNA($N32)),INDEX(Entrada!$C$53:$N$372,$N32,V$2),0)</f>
        <v>0</v>
      </c>
      <c r="W32" s="225">
        <f>IF(NOT(ISNA($N32)),INDEX(Entrada!$C$53:$N$372,$N32,W$2),0)</f>
        <v>0</v>
      </c>
      <c r="X32" s="225">
        <f>IF(NOT(ISNA($N32)),INDEX(Entrada!$C$53:$N$372,$N32,X$2),0)</f>
        <v>0</v>
      </c>
      <c r="Y32" s="225">
        <f>IF(NOT(ISNA($N32)),INDEX(Entrada!$C$53:$N$372,$N32,Y$2),0)</f>
        <v>0</v>
      </c>
      <c r="Z32" s="225">
        <f>IF(NOT(ISNA($N32)),INDEX(Entrada!$C$53:$N$372,$N32,Z$2),0)</f>
        <v>0</v>
      </c>
      <c r="AA32" s="113">
        <f t="shared" si="0"/>
        <v>0</v>
      </c>
      <c r="AB32">
        <f t="shared" si="1"/>
        <v>0</v>
      </c>
      <c r="AC32">
        <f t="shared" si="2"/>
        <v>0</v>
      </c>
      <c r="AD32">
        <f t="shared" si="3"/>
        <v>0</v>
      </c>
      <c r="AE32">
        <f t="shared" si="4"/>
        <v>0</v>
      </c>
      <c r="AF32">
        <f t="shared" si="5"/>
        <v>0</v>
      </c>
      <c r="AG32">
        <f t="shared" si="6"/>
        <v>0</v>
      </c>
      <c r="AH32">
        <f t="shared" si="7"/>
        <v>0</v>
      </c>
      <c r="AI32">
        <f t="shared" si="8"/>
        <v>0</v>
      </c>
      <c r="AJ32">
        <f t="shared" si="9"/>
        <v>0</v>
      </c>
      <c r="AK32">
        <f t="shared" si="10"/>
        <v>0</v>
      </c>
      <c r="AL32">
        <f t="shared" si="11"/>
        <v>0</v>
      </c>
      <c r="AM32" s="113">
        <f t="shared" si="12"/>
        <v>0</v>
      </c>
      <c r="AN32">
        <f t="shared" si="13"/>
        <v>0</v>
      </c>
      <c r="AO32">
        <f t="shared" si="14"/>
        <v>0</v>
      </c>
      <c r="AP32">
        <f t="shared" si="15"/>
        <v>0</v>
      </c>
      <c r="AQ32">
        <f t="shared" si="16"/>
        <v>0</v>
      </c>
      <c r="AR32">
        <f t="shared" si="17"/>
        <v>0</v>
      </c>
      <c r="AS32">
        <f t="shared" si="18"/>
        <v>0</v>
      </c>
      <c r="AT32">
        <f t="shared" si="19"/>
        <v>0</v>
      </c>
      <c r="AU32">
        <f t="shared" si="20"/>
        <v>0</v>
      </c>
      <c r="AV32">
        <f t="shared" si="21"/>
        <v>0</v>
      </c>
      <c r="AW32">
        <f t="shared" si="22"/>
        <v>0</v>
      </c>
      <c r="AX32">
        <f t="shared" si="23"/>
        <v>0</v>
      </c>
    </row>
    <row r="33" spans="1:51" x14ac:dyDescent="0.25">
      <c r="A33" s="113">
        <v>30</v>
      </c>
      <c r="B33" s="209"/>
      <c r="C33" s="113">
        <v>0</v>
      </c>
      <c r="D33" s="113">
        <v>0</v>
      </c>
      <c r="E33" s="113" t="s">
        <v>688</v>
      </c>
      <c r="F33" s="113" t="s">
        <v>688</v>
      </c>
      <c r="G33" s="113"/>
      <c r="H33" s="113"/>
      <c r="I33" s="113"/>
      <c r="J33" s="113"/>
      <c r="K33" s="113"/>
      <c r="N33" s="113" t="e">
        <f>MATCH(A33,Entrada!$A$53:$A$372,0)</f>
        <v>#N/A</v>
      </c>
      <c r="O33" s="113">
        <f>IF(NOT(ISNA($N33)),INDEX(Entrada!$C$53:$N$372,$N33,O$2),0)</f>
        <v>0</v>
      </c>
      <c r="P33">
        <f>IF(NOT(ISNA($N33)),INDEX(Entrada!$C$53:$N$372,$N33,P$2),0)</f>
        <v>0</v>
      </c>
      <c r="Q33">
        <f>IF(NOT(ISNA($N33)),INDEX(Entrada!$C$53:$N$372,$N33,Q$2),0)</f>
        <v>0</v>
      </c>
      <c r="R33">
        <f>IF(NOT(ISNA($N33)),INDEX(Entrada!$C$53:$N$372,$N33,R$2),0)</f>
        <v>0</v>
      </c>
      <c r="S33">
        <f>IF(NOT(ISNA($N33)),INDEX(Entrada!$C$53:$N$372,$N33,S$2),0)</f>
        <v>0</v>
      </c>
      <c r="T33">
        <f>IF(NOT(ISNA($N33)),INDEX(Entrada!$C$53:$N$372,$N33,T$2),0)</f>
        <v>0</v>
      </c>
      <c r="U33">
        <f>IF(NOT(ISNA($N33)),INDEX(Entrada!$C$53:$N$372,$N33,U$2),0)</f>
        <v>0</v>
      </c>
      <c r="V33" s="225">
        <f>IF(NOT(ISNA($N33)),INDEX(Entrada!$C$53:$N$372,$N33,V$2),0)</f>
        <v>0</v>
      </c>
      <c r="W33" s="225">
        <f>IF(NOT(ISNA($N33)),INDEX(Entrada!$C$53:$N$372,$N33,W$2),0)</f>
        <v>0</v>
      </c>
      <c r="X33" s="225">
        <f>IF(NOT(ISNA($N33)),INDEX(Entrada!$C$53:$N$372,$N33,X$2),0)</f>
        <v>0</v>
      </c>
      <c r="Y33" s="225">
        <f>IF(NOT(ISNA($N33)),INDEX(Entrada!$C$53:$N$372,$N33,Y$2),0)</f>
        <v>0</v>
      </c>
      <c r="Z33" s="225">
        <f>IF(NOT(ISNA($N33)),INDEX(Entrada!$C$53:$N$372,$N33,Z$2),0)</f>
        <v>0</v>
      </c>
      <c r="AA33" s="113">
        <f t="shared" si="0"/>
        <v>0</v>
      </c>
      <c r="AB33">
        <f t="shared" si="1"/>
        <v>0</v>
      </c>
      <c r="AC33">
        <f t="shared" si="2"/>
        <v>0</v>
      </c>
      <c r="AD33">
        <f t="shared" si="3"/>
        <v>0</v>
      </c>
      <c r="AE33">
        <f t="shared" si="4"/>
        <v>0</v>
      </c>
      <c r="AF33">
        <f t="shared" si="5"/>
        <v>0</v>
      </c>
      <c r="AG33">
        <f t="shared" si="6"/>
        <v>0</v>
      </c>
      <c r="AH33">
        <f t="shared" si="7"/>
        <v>0</v>
      </c>
      <c r="AI33">
        <f t="shared" si="8"/>
        <v>0</v>
      </c>
      <c r="AJ33">
        <f t="shared" si="9"/>
        <v>0</v>
      </c>
      <c r="AK33">
        <f t="shared" si="10"/>
        <v>0</v>
      </c>
      <c r="AL33">
        <f t="shared" si="11"/>
        <v>0</v>
      </c>
      <c r="AM33" s="113">
        <f t="shared" si="12"/>
        <v>0</v>
      </c>
      <c r="AN33">
        <f t="shared" si="13"/>
        <v>0</v>
      </c>
      <c r="AO33">
        <f t="shared" si="14"/>
        <v>0</v>
      </c>
      <c r="AP33">
        <f t="shared" si="15"/>
        <v>0</v>
      </c>
      <c r="AQ33">
        <f t="shared" si="16"/>
        <v>0</v>
      </c>
      <c r="AR33">
        <f t="shared" si="17"/>
        <v>0</v>
      </c>
      <c r="AS33">
        <f t="shared" si="18"/>
        <v>0</v>
      </c>
      <c r="AT33">
        <f t="shared" si="19"/>
        <v>0</v>
      </c>
      <c r="AU33">
        <f t="shared" si="20"/>
        <v>0</v>
      </c>
      <c r="AV33">
        <f t="shared" si="21"/>
        <v>0</v>
      </c>
      <c r="AW33">
        <f t="shared" si="22"/>
        <v>0</v>
      </c>
      <c r="AX33">
        <f t="shared" si="23"/>
        <v>0</v>
      </c>
    </row>
    <row r="34" spans="1:51" x14ac:dyDescent="0.25">
      <c r="A34" s="113">
        <v>31</v>
      </c>
      <c r="B34" s="209" t="s">
        <v>551</v>
      </c>
      <c r="C34" s="113">
        <v>1931</v>
      </c>
      <c r="D34" s="113">
        <v>2013</v>
      </c>
      <c r="E34" s="210" t="s">
        <v>3</v>
      </c>
      <c r="F34" s="210" t="s">
        <v>3</v>
      </c>
      <c r="G34" s="113">
        <v>24</v>
      </c>
      <c r="H34" s="113">
        <v>28</v>
      </c>
      <c r="I34" s="113">
        <v>209</v>
      </c>
      <c r="J34" s="113"/>
      <c r="K34" s="113"/>
      <c r="N34" s="113">
        <f>MATCH(A34,Entrada!$A$53:$A$372,0)</f>
        <v>21</v>
      </c>
      <c r="O34" s="113">
        <f>IF(NOT(ISNA($N34)),INDEX(Entrada!$C$53:$N$372,$N34,O$2),0)</f>
        <v>2741</v>
      </c>
      <c r="P34">
        <f>IF(NOT(ISNA($N34)),INDEX(Entrada!$C$53:$N$372,$N34,P$2),0)</f>
        <v>2834</v>
      </c>
      <c r="Q34">
        <f>IF(NOT(ISNA($N34)),INDEX(Entrada!$C$53:$N$372,$N34,Q$2),0)</f>
        <v>2757</v>
      </c>
      <c r="R34">
        <f>IF(NOT(ISNA($N34)),INDEX(Entrada!$C$53:$N$372,$N34,R$2),0)</f>
        <v>2060</v>
      </c>
      <c r="S34">
        <f>IF(NOT(ISNA($N34)),INDEX(Entrada!$C$53:$N$372,$N34,S$2),0)</f>
        <v>1331</v>
      </c>
      <c r="T34">
        <f>IF(NOT(ISNA($N34)),INDEX(Entrada!$C$53:$N$372,$N34,T$2),0)</f>
        <v>1029</v>
      </c>
      <c r="U34">
        <f>IF(NOT(ISNA($N34)),INDEX(Entrada!$C$53:$N$372,$N34,U$2),0)</f>
        <v>818</v>
      </c>
      <c r="V34" s="225">
        <f>IF(NOT(ISNA($N34)),INDEX(Entrada!$C$53:$N$372,$N34,V$2),0)</f>
        <v>656</v>
      </c>
      <c r="W34" s="225">
        <f>IF(NOT(ISNA($N34)),INDEX(Entrada!$C$53:$N$372,$N34,W$2),0)</f>
        <v>582</v>
      </c>
      <c r="X34" s="225">
        <f>IF(NOT(ISNA($N34)),INDEX(Entrada!$C$53:$N$372,$N34,X$2),0)</f>
        <v>707</v>
      </c>
      <c r="Y34" s="225">
        <f>IF(NOT(ISNA($N34)),INDEX(Entrada!$C$53:$N$372,$N34,Y$2),0)</f>
        <v>1138</v>
      </c>
      <c r="Z34" s="225">
        <f>IF(NOT(ISNA($N34)),INDEX(Entrada!$C$53:$N$372,$N34,Z$2),0)</f>
        <v>1973</v>
      </c>
      <c r="AA34" s="113">
        <f t="shared" si="0"/>
        <v>2303</v>
      </c>
      <c r="AB34">
        <f t="shared" si="1"/>
        <v>2385</v>
      </c>
      <c r="AC34">
        <f t="shared" si="2"/>
        <v>2307</v>
      </c>
      <c r="AD34">
        <f t="shared" si="3"/>
        <v>1738</v>
      </c>
      <c r="AE34">
        <f t="shared" si="4"/>
        <v>1124</v>
      </c>
      <c r="AF34">
        <f t="shared" si="5"/>
        <v>859</v>
      </c>
      <c r="AG34">
        <f t="shared" si="6"/>
        <v>690</v>
      </c>
      <c r="AH34">
        <f t="shared" si="7"/>
        <v>556</v>
      </c>
      <c r="AI34">
        <f t="shared" si="8"/>
        <v>494</v>
      </c>
      <c r="AJ34">
        <f t="shared" si="9"/>
        <v>602</v>
      </c>
      <c r="AK34">
        <f t="shared" si="10"/>
        <v>971</v>
      </c>
      <c r="AL34">
        <f t="shared" si="11"/>
        <v>1671</v>
      </c>
      <c r="AM34" s="113">
        <f t="shared" si="12"/>
        <v>438</v>
      </c>
      <c r="AN34">
        <f t="shared" si="13"/>
        <v>449</v>
      </c>
      <c r="AO34">
        <f t="shared" si="14"/>
        <v>450</v>
      </c>
      <c r="AP34">
        <f t="shared" si="15"/>
        <v>322</v>
      </c>
      <c r="AQ34">
        <f t="shared" si="16"/>
        <v>207</v>
      </c>
      <c r="AR34">
        <f t="shared" si="17"/>
        <v>170</v>
      </c>
      <c r="AS34">
        <f t="shared" si="18"/>
        <v>128</v>
      </c>
      <c r="AT34">
        <f t="shared" si="19"/>
        <v>100</v>
      </c>
      <c r="AU34">
        <f t="shared" si="20"/>
        <v>88</v>
      </c>
      <c r="AV34">
        <f t="shared" si="21"/>
        <v>105</v>
      </c>
      <c r="AW34">
        <f t="shared" si="22"/>
        <v>167</v>
      </c>
      <c r="AX34">
        <f t="shared" si="23"/>
        <v>302</v>
      </c>
    </row>
    <row r="35" spans="1:51" x14ac:dyDescent="0.25">
      <c r="A35" s="113">
        <v>32</v>
      </c>
      <c r="B35" s="209" t="s">
        <v>269</v>
      </c>
      <c r="C35" s="113">
        <v>1931</v>
      </c>
      <c r="D35" s="113">
        <v>2013</v>
      </c>
      <c r="E35" s="210" t="s">
        <v>3</v>
      </c>
      <c r="F35" s="210" t="s">
        <v>3</v>
      </c>
      <c r="G35" s="113">
        <v>31</v>
      </c>
      <c r="H35" s="113"/>
      <c r="I35" s="113"/>
      <c r="J35" s="113"/>
      <c r="K35" s="113"/>
      <c r="N35" s="113">
        <f>MATCH(A35,Entrada!$A$53:$A$372,0)</f>
        <v>22</v>
      </c>
      <c r="O35" s="113">
        <f>IF(NOT(ISNA($N35)),INDEX(Entrada!$C$53:$N$372,$N35,O$2),0)</f>
        <v>2868</v>
      </c>
      <c r="P35">
        <f>IF(NOT(ISNA($N35)),INDEX(Entrada!$C$53:$N$372,$N35,P$2),0)</f>
        <v>2975</v>
      </c>
      <c r="Q35">
        <f>IF(NOT(ISNA($N35)),INDEX(Entrada!$C$53:$N$372,$N35,Q$2),0)</f>
        <v>2894</v>
      </c>
      <c r="R35">
        <f>IF(NOT(ISNA($N35)),INDEX(Entrada!$C$53:$N$372,$N35,R$2),0)</f>
        <v>2169</v>
      </c>
      <c r="S35">
        <f>IF(NOT(ISNA($N35)),INDEX(Entrada!$C$53:$N$372,$N35,S$2),0)</f>
        <v>1403</v>
      </c>
      <c r="T35">
        <f>IF(NOT(ISNA($N35)),INDEX(Entrada!$C$53:$N$372,$N35,T$2),0)</f>
        <v>1086</v>
      </c>
      <c r="U35">
        <f>IF(NOT(ISNA($N35)),INDEX(Entrada!$C$53:$N$372,$N35,U$2),0)</f>
        <v>866</v>
      </c>
      <c r="V35" s="225">
        <f>IF(NOT(ISNA($N35)),INDEX(Entrada!$C$53:$N$372,$N35,V$2),0)</f>
        <v>695</v>
      </c>
      <c r="W35" s="225">
        <f>IF(NOT(ISNA($N35)),INDEX(Entrada!$C$53:$N$372,$N35,W$2),0)</f>
        <v>618</v>
      </c>
      <c r="X35" s="225">
        <f>IF(NOT(ISNA($N35)),INDEX(Entrada!$C$53:$N$372,$N35,X$2),0)</f>
        <v>745</v>
      </c>
      <c r="Y35" s="225">
        <f>IF(NOT(ISNA($N35)),INDEX(Entrada!$C$53:$N$372,$N35,Y$2),0)</f>
        <v>1193</v>
      </c>
      <c r="Z35" s="225">
        <f>IF(NOT(ISNA($N35)),INDEX(Entrada!$C$53:$N$372,$N35,Z$2),0)</f>
        <v>2064</v>
      </c>
      <c r="AA35" s="113">
        <f t="shared" si="0"/>
        <v>2741</v>
      </c>
      <c r="AB35">
        <f t="shared" si="1"/>
        <v>2834</v>
      </c>
      <c r="AC35">
        <f t="shared" si="2"/>
        <v>2757</v>
      </c>
      <c r="AD35">
        <f t="shared" si="3"/>
        <v>2060</v>
      </c>
      <c r="AE35">
        <f t="shared" si="4"/>
        <v>1331</v>
      </c>
      <c r="AF35">
        <f t="shared" si="5"/>
        <v>1029</v>
      </c>
      <c r="AG35">
        <f t="shared" si="6"/>
        <v>818</v>
      </c>
      <c r="AH35">
        <f t="shared" si="7"/>
        <v>656</v>
      </c>
      <c r="AI35">
        <f t="shared" si="8"/>
        <v>582</v>
      </c>
      <c r="AJ35">
        <f t="shared" si="9"/>
        <v>707</v>
      </c>
      <c r="AK35">
        <f t="shared" si="10"/>
        <v>1138</v>
      </c>
      <c r="AL35">
        <f t="shared" si="11"/>
        <v>1973</v>
      </c>
      <c r="AM35" s="113">
        <f t="shared" si="12"/>
        <v>127</v>
      </c>
      <c r="AN35">
        <f t="shared" si="13"/>
        <v>141</v>
      </c>
      <c r="AO35">
        <f t="shared" si="14"/>
        <v>137</v>
      </c>
      <c r="AP35">
        <f t="shared" si="15"/>
        <v>109</v>
      </c>
      <c r="AQ35">
        <f t="shared" si="16"/>
        <v>72</v>
      </c>
      <c r="AR35">
        <f t="shared" si="17"/>
        <v>57</v>
      </c>
      <c r="AS35">
        <f t="shared" si="18"/>
        <v>48</v>
      </c>
      <c r="AT35">
        <f t="shared" si="19"/>
        <v>39</v>
      </c>
      <c r="AU35">
        <f t="shared" si="20"/>
        <v>36</v>
      </c>
      <c r="AV35">
        <f t="shared" si="21"/>
        <v>38</v>
      </c>
      <c r="AW35">
        <f t="shared" si="22"/>
        <v>55</v>
      </c>
      <c r="AX35">
        <f t="shared" si="23"/>
        <v>91</v>
      </c>
    </row>
    <row r="36" spans="1:51" x14ac:dyDescent="0.25">
      <c r="A36" s="113">
        <v>33</v>
      </c>
      <c r="B36" s="209" t="s">
        <v>552</v>
      </c>
      <c r="C36" s="113">
        <v>1931</v>
      </c>
      <c r="D36" s="113">
        <v>2013</v>
      </c>
      <c r="E36" s="210" t="s">
        <v>3</v>
      </c>
      <c r="F36" s="210" t="s">
        <v>3</v>
      </c>
      <c r="G36" s="113">
        <v>32</v>
      </c>
      <c r="H36" s="113"/>
      <c r="I36" s="113"/>
      <c r="J36" s="113"/>
      <c r="K36" s="113"/>
      <c r="N36" s="113">
        <f>MATCH(A36,Entrada!$A$53:$A$372,0)</f>
        <v>23</v>
      </c>
      <c r="O36" s="113">
        <f>IF(NOT(ISNA($N36)),INDEX(Entrada!$C$53:$N$372,$N36,O$2),0)</f>
        <v>4106</v>
      </c>
      <c r="P36">
        <f>IF(NOT(ISNA($N36)),INDEX(Entrada!$C$53:$N$372,$N36,P$2),0)</f>
        <v>4280</v>
      </c>
      <c r="Q36">
        <f>IF(NOT(ISNA($N36)),INDEX(Entrada!$C$53:$N$372,$N36,Q$2),0)</f>
        <v>4229</v>
      </c>
      <c r="R36">
        <f>IF(NOT(ISNA($N36)),INDEX(Entrada!$C$53:$N$372,$N36,R$2),0)</f>
        <v>3229</v>
      </c>
      <c r="S36">
        <f>IF(NOT(ISNA($N36)),INDEX(Entrada!$C$53:$N$372,$N36,S$2),0)</f>
        <v>2110</v>
      </c>
      <c r="T36">
        <f>IF(NOT(ISNA($N36)),INDEX(Entrada!$C$53:$N$372,$N36,T$2),0)</f>
        <v>1651</v>
      </c>
      <c r="U36">
        <f>IF(NOT(ISNA($N36)),INDEX(Entrada!$C$53:$N$372,$N36,U$2),0)</f>
        <v>1327</v>
      </c>
      <c r="V36" s="225">
        <f>IF(NOT(ISNA($N36)),INDEX(Entrada!$C$53:$N$372,$N36,V$2),0)</f>
        <v>1082</v>
      </c>
      <c r="W36" s="225">
        <f>IF(NOT(ISNA($N36)),INDEX(Entrada!$C$53:$N$372,$N36,W$2),0)</f>
        <v>981</v>
      </c>
      <c r="X36" s="225">
        <f>IF(NOT(ISNA($N36)),INDEX(Entrada!$C$53:$N$372,$N36,X$2),0)</f>
        <v>1164</v>
      </c>
      <c r="Y36" s="225">
        <f>IF(NOT(ISNA($N36)),INDEX(Entrada!$C$53:$N$372,$N36,Y$2),0)</f>
        <v>1770</v>
      </c>
      <c r="Z36" s="225">
        <f>IF(NOT(ISNA($N36)),INDEX(Entrada!$C$53:$N$372,$N36,Z$2),0)</f>
        <v>2980</v>
      </c>
      <c r="AA36" s="113">
        <f t="shared" si="0"/>
        <v>2868</v>
      </c>
      <c r="AB36">
        <f t="shared" si="1"/>
        <v>2975</v>
      </c>
      <c r="AC36">
        <f t="shared" si="2"/>
        <v>2894</v>
      </c>
      <c r="AD36">
        <f t="shared" si="3"/>
        <v>2169</v>
      </c>
      <c r="AE36">
        <f t="shared" si="4"/>
        <v>1403</v>
      </c>
      <c r="AF36">
        <f t="shared" si="5"/>
        <v>1086</v>
      </c>
      <c r="AG36">
        <f t="shared" si="6"/>
        <v>866</v>
      </c>
      <c r="AH36">
        <f t="shared" si="7"/>
        <v>695</v>
      </c>
      <c r="AI36">
        <f t="shared" si="8"/>
        <v>618</v>
      </c>
      <c r="AJ36">
        <f t="shared" si="9"/>
        <v>745</v>
      </c>
      <c r="AK36">
        <f t="shared" si="10"/>
        <v>1193</v>
      </c>
      <c r="AL36">
        <f t="shared" si="11"/>
        <v>2064</v>
      </c>
      <c r="AM36" s="113">
        <f t="shared" si="12"/>
        <v>1238</v>
      </c>
      <c r="AN36">
        <f t="shared" si="13"/>
        <v>1305</v>
      </c>
      <c r="AO36">
        <f t="shared" si="14"/>
        <v>1335</v>
      </c>
      <c r="AP36">
        <f t="shared" si="15"/>
        <v>1060</v>
      </c>
      <c r="AQ36">
        <f t="shared" si="16"/>
        <v>707</v>
      </c>
      <c r="AR36">
        <f t="shared" si="17"/>
        <v>565</v>
      </c>
      <c r="AS36">
        <f t="shared" si="18"/>
        <v>461</v>
      </c>
      <c r="AT36">
        <f t="shared" si="19"/>
        <v>387</v>
      </c>
      <c r="AU36">
        <f t="shared" si="20"/>
        <v>363</v>
      </c>
      <c r="AV36">
        <f t="shared" si="21"/>
        <v>419</v>
      </c>
      <c r="AW36">
        <f t="shared" si="22"/>
        <v>577</v>
      </c>
      <c r="AX36">
        <f t="shared" si="23"/>
        <v>916</v>
      </c>
    </row>
    <row r="37" spans="1:51" x14ac:dyDescent="0.25">
      <c r="A37" s="113">
        <v>34</v>
      </c>
      <c r="B37" s="209" t="s">
        <v>553</v>
      </c>
      <c r="C37" s="113">
        <v>1931</v>
      </c>
      <c r="D37" s="113">
        <v>2013</v>
      </c>
      <c r="E37" s="210" t="s">
        <v>7</v>
      </c>
      <c r="F37" s="210" t="s">
        <v>291</v>
      </c>
      <c r="G37" s="113"/>
      <c r="H37" s="113"/>
      <c r="I37" s="113"/>
      <c r="J37" s="113"/>
      <c r="K37" s="113"/>
      <c r="N37" s="113">
        <f>MATCH(A37,Entrada!$A$53:$A$372,0)</f>
        <v>24</v>
      </c>
      <c r="O37" s="113">
        <f>IF(NOT(ISNA($N37)),INDEX(Entrada!$C$53:$N$372,$N37,O$2),0)</f>
        <v>8964</v>
      </c>
      <c r="P37">
        <f>IF(NOT(ISNA($N37)),INDEX(Entrada!$C$53:$N$372,$N37,P$2),0)</f>
        <v>9424</v>
      </c>
      <c r="Q37">
        <f>IF(NOT(ISNA($N37)),INDEX(Entrada!$C$53:$N$372,$N37,Q$2),0)</f>
        <v>9006</v>
      </c>
      <c r="R37">
        <f>IF(NOT(ISNA($N37)),INDEX(Entrada!$C$53:$N$372,$N37,R$2),0)</f>
        <v>6785</v>
      </c>
      <c r="S37">
        <f>IF(NOT(ISNA($N37)),INDEX(Entrada!$C$53:$N$372,$N37,S$2),0)</f>
        <v>4648</v>
      </c>
      <c r="T37">
        <f>IF(NOT(ISNA($N37)),INDEX(Entrada!$C$53:$N$372,$N37,T$2),0)</f>
        <v>3802</v>
      </c>
      <c r="U37">
        <f>IF(NOT(ISNA($N37)),INDEX(Entrada!$C$53:$N$372,$N37,U$2),0)</f>
        <v>3112</v>
      </c>
      <c r="V37" s="225">
        <f>IF(NOT(ISNA($N37)),INDEX(Entrada!$C$53:$N$372,$N37,V$2),0)</f>
        <v>2608</v>
      </c>
      <c r="W37" s="225">
        <f>IF(NOT(ISNA($N37)),INDEX(Entrada!$C$53:$N$372,$N37,W$2),0)</f>
        <v>2486</v>
      </c>
      <c r="X37" s="225">
        <f>IF(NOT(ISNA($N37)),INDEX(Entrada!$C$53:$N$372,$N37,X$2),0)</f>
        <v>2876</v>
      </c>
      <c r="Y37" s="225">
        <f>IF(NOT(ISNA($N37)),INDEX(Entrada!$C$53:$N$372,$N37,Y$2),0)</f>
        <v>3917</v>
      </c>
      <c r="Z37" s="225">
        <f>IF(NOT(ISNA($N37)),INDEX(Entrada!$C$53:$N$372,$N37,Z$2),0)</f>
        <v>6283</v>
      </c>
      <c r="AA37" s="113">
        <f t="shared" si="0"/>
        <v>0</v>
      </c>
      <c r="AB37">
        <f t="shared" si="1"/>
        <v>0</v>
      </c>
      <c r="AC37">
        <f t="shared" si="2"/>
        <v>0</v>
      </c>
      <c r="AD37">
        <f t="shared" si="3"/>
        <v>0</v>
      </c>
      <c r="AE37">
        <f t="shared" si="4"/>
        <v>0</v>
      </c>
      <c r="AF37">
        <f t="shared" si="5"/>
        <v>0</v>
      </c>
      <c r="AG37">
        <f t="shared" si="6"/>
        <v>0</v>
      </c>
      <c r="AH37">
        <f t="shared" si="7"/>
        <v>0</v>
      </c>
      <c r="AI37">
        <f t="shared" si="8"/>
        <v>0</v>
      </c>
      <c r="AJ37">
        <f t="shared" si="9"/>
        <v>0</v>
      </c>
      <c r="AK37">
        <f t="shared" si="10"/>
        <v>0</v>
      </c>
      <c r="AL37">
        <f t="shared" si="11"/>
        <v>0</v>
      </c>
      <c r="AM37" s="113">
        <f t="shared" si="12"/>
        <v>8964</v>
      </c>
      <c r="AN37">
        <f t="shared" si="13"/>
        <v>9424</v>
      </c>
      <c r="AO37">
        <f t="shared" si="14"/>
        <v>9006</v>
      </c>
      <c r="AP37">
        <f t="shared" si="15"/>
        <v>6785</v>
      </c>
      <c r="AQ37">
        <f t="shared" si="16"/>
        <v>4648</v>
      </c>
      <c r="AR37">
        <f t="shared" si="17"/>
        <v>3802</v>
      </c>
      <c r="AS37">
        <f t="shared" si="18"/>
        <v>3112</v>
      </c>
      <c r="AT37">
        <f t="shared" si="19"/>
        <v>2608</v>
      </c>
      <c r="AU37">
        <f t="shared" si="20"/>
        <v>2486</v>
      </c>
      <c r="AV37">
        <f t="shared" si="21"/>
        <v>2876</v>
      </c>
      <c r="AW37">
        <f t="shared" si="22"/>
        <v>3917</v>
      </c>
      <c r="AX37">
        <f t="shared" si="23"/>
        <v>6283</v>
      </c>
    </row>
    <row r="38" spans="1:51" x14ac:dyDescent="0.25">
      <c r="A38" s="113">
        <v>35</v>
      </c>
      <c r="B38" s="209"/>
      <c r="C38" s="113">
        <v>0</v>
      </c>
      <c r="D38" s="113">
        <v>0</v>
      </c>
      <c r="E38" s="113" t="s">
        <v>688</v>
      </c>
      <c r="F38" s="113" t="s">
        <v>688</v>
      </c>
      <c r="G38" s="113"/>
      <c r="H38" s="113"/>
      <c r="I38" s="113"/>
      <c r="J38" s="113"/>
      <c r="K38" s="113"/>
      <c r="N38" s="113" t="e">
        <f>MATCH(A38,Entrada!$A$53:$A$372,0)</f>
        <v>#N/A</v>
      </c>
      <c r="O38" s="113">
        <f>IF(NOT(ISNA($N38)),INDEX(Entrada!$C$53:$N$372,$N38,O$2),0)</f>
        <v>0</v>
      </c>
      <c r="P38">
        <f>IF(NOT(ISNA($N38)),INDEX(Entrada!$C$53:$N$372,$N38,P$2),0)</f>
        <v>0</v>
      </c>
      <c r="Q38">
        <f>IF(NOT(ISNA($N38)),INDEX(Entrada!$C$53:$N$372,$N38,Q$2),0)</f>
        <v>0</v>
      </c>
      <c r="R38">
        <f>IF(NOT(ISNA($N38)),INDEX(Entrada!$C$53:$N$372,$N38,R$2),0)</f>
        <v>0</v>
      </c>
      <c r="S38">
        <f>IF(NOT(ISNA($N38)),INDEX(Entrada!$C$53:$N$372,$N38,S$2),0)</f>
        <v>0</v>
      </c>
      <c r="T38">
        <f>IF(NOT(ISNA($N38)),INDEX(Entrada!$C$53:$N$372,$N38,T$2),0)</f>
        <v>0</v>
      </c>
      <c r="U38">
        <f>IF(NOT(ISNA($N38)),INDEX(Entrada!$C$53:$N$372,$N38,U$2),0)</f>
        <v>0</v>
      </c>
      <c r="V38" s="225">
        <f>IF(NOT(ISNA($N38)),INDEX(Entrada!$C$53:$N$372,$N38,V$2),0)</f>
        <v>0</v>
      </c>
      <c r="W38" s="225">
        <f>IF(NOT(ISNA($N38)),INDEX(Entrada!$C$53:$N$372,$N38,W$2),0)</f>
        <v>0</v>
      </c>
      <c r="X38" s="225">
        <f>IF(NOT(ISNA($N38)),INDEX(Entrada!$C$53:$N$372,$N38,X$2),0)</f>
        <v>0</v>
      </c>
      <c r="Y38" s="225">
        <f>IF(NOT(ISNA($N38)),INDEX(Entrada!$C$53:$N$372,$N38,Y$2),0)</f>
        <v>0</v>
      </c>
      <c r="Z38" s="225">
        <f>IF(NOT(ISNA($N38)),INDEX(Entrada!$C$53:$N$372,$N38,Z$2),0)</f>
        <v>0</v>
      </c>
      <c r="AA38" s="113">
        <f t="shared" si="0"/>
        <v>0</v>
      </c>
      <c r="AB38">
        <f t="shared" si="1"/>
        <v>0</v>
      </c>
      <c r="AC38">
        <f t="shared" si="2"/>
        <v>0</v>
      </c>
      <c r="AD38">
        <f t="shared" si="3"/>
        <v>0</v>
      </c>
      <c r="AE38">
        <f t="shared" si="4"/>
        <v>0</v>
      </c>
      <c r="AF38">
        <f t="shared" si="5"/>
        <v>0</v>
      </c>
      <c r="AG38">
        <f t="shared" si="6"/>
        <v>0</v>
      </c>
      <c r="AH38">
        <f t="shared" si="7"/>
        <v>0</v>
      </c>
      <c r="AI38">
        <f t="shared" si="8"/>
        <v>0</v>
      </c>
      <c r="AJ38">
        <f t="shared" si="9"/>
        <v>0</v>
      </c>
      <c r="AK38">
        <f t="shared" si="10"/>
        <v>0</v>
      </c>
      <c r="AL38">
        <f t="shared" si="11"/>
        <v>0</v>
      </c>
      <c r="AM38" s="113">
        <f t="shared" si="12"/>
        <v>0</v>
      </c>
      <c r="AN38">
        <f t="shared" si="13"/>
        <v>0</v>
      </c>
      <c r="AO38">
        <f t="shared" si="14"/>
        <v>0</v>
      </c>
      <c r="AP38">
        <f t="shared" si="15"/>
        <v>0</v>
      </c>
      <c r="AQ38">
        <f t="shared" si="16"/>
        <v>0</v>
      </c>
      <c r="AR38">
        <f t="shared" si="17"/>
        <v>0</v>
      </c>
      <c r="AS38">
        <f t="shared" si="18"/>
        <v>0</v>
      </c>
      <c r="AT38">
        <f t="shared" si="19"/>
        <v>0</v>
      </c>
      <c r="AU38">
        <f t="shared" si="20"/>
        <v>0</v>
      </c>
      <c r="AV38">
        <f t="shared" si="21"/>
        <v>0</v>
      </c>
      <c r="AW38">
        <f t="shared" si="22"/>
        <v>0</v>
      </c>
      <c r="AX38">
        <f t="shared" si="23"/>
        <v>0</v>
      </c>
    </row>
    <row r="39" spans="1:51" x14ac:dyDescent="0.25">
      <c r="A39" s="113">
        <v>36</v>
      </c>
      <c r="B39" s="209"/>
      <c r="C39" s="113">
        <v>0</v>
      </c>
      <c r="D39" s="113">
        <v>0</v>
      </c>
      <c r="E39" s="113" t="s">
        <v>688</v>
      </c>
      <c r="F39" s="113" t="s">
        <v>688</v>
      </c>
      <c r="G39" s="113"/>
      <c r="H39" s="113"/>
      <c r="I39" s="113"/>
      <c r="J39" s="113"/>
      <c r="K39" s="113"/>
      <c r="N39" s="113" t="e">
        <f>MATCH(A39,Entrada!$A$53:$A$372,0)</f>
        <v>#N/A</v>
      </c>
      <c r="O39" s="113">
        <f>IF(NOT(ISNA($N39)),INDEX(Entrada!$C$53:$N$372,$N39,O$2),0)</f>
        <v>0</v>
      </c>
      <c r="P39">
        <f>IF(NOT(ISNA($N39)),INDEX(Entrada!$C$53:$N$372,$N39,P$2),0)</f>
        <v>0</v>
      </c>
      <c r="Q39">
        <f>IF(NOT(ISNA($N39)),INDEX(Entrada!$C$53:$N$372,$N39,Q$2),0)</f>
        <v>0</v>
      </c>
      <c r="R39">
        <f>IF(NOT(ISNA($N39)),INDEX(Entrada!$C$53:$N$372,$N39,R$2),0)</f>
        <v>0</v>
      </c>
      <c r="S39">
        <f>IF(NOT(ISNA($N39)),INDEX(Entrada!$C$53:$N$372,$N39,S$2),0)</f>
        <v>0</v>
      </c>
      <c r="T39">
        <f>IF(NOT(ISNA($N39)),INDEX(Entrada!$C$53:$N$372,$N39,T$2),0)</f>
        <v>0</v>
      </c>
      <c r="U39">
        <f>IF(NOT(ISNA($N39)),INDEX(Entrada!$C$53:$N$372,$N39,U$2),0)</f>
        <v>0</v>
      </c>
      <c r="V39" s="225">
        <f>IF(NOT(ISNA($N39)),INDEX(Entrada!$C$53:$N$372,$N39,V$2),0)</f>
        <v>0</v>
      </c>
      <c r="W39" s="225">
        <f>IF(NOT(ISNA($N39)),INDEX(Entrada!$C$53:$N$372,$N39,W$2),0)</f>
        <v>0</v>
      </c>
      <c r="X39" s="225">
        <f>IF(NOT(ISNA($N39)),INDEX(Entrada!$C$53:$N$372,$N39,X$2),0)</f>
        <v>0</v>
      </c>
      <c r="Y39" s="225">
        <f>IF(NOT(ISNA($N39)),INDEX(Entrada!$C$53:$N$372,$N39,Y$2),0)</f>
        <v>0</v>
      </c>
      <c r="Z39" s="225">
        <f>IF(NOT(ISNA($N39)),INDEX(Entrada!$C$53:$N$372,$N39,Z$2),0)</f>
        <v>0</v>
      </c>
      <c r="AA39" s="113">
        <f t="shared" si="0"/>
        <v>0</v>
      </c>
      <c r="AB39">
        <f t="shared" si="1"/>
        <v>0</v>
      </c>
      <c r="AC39">
        <f t="shared" si="2"/>
        <v>0</v>
      </c>
      <c r="AD39">
        <f t="shared" si="3"/>
        <v>0</v>
      </c>
      <c r="AE39">
        <f t="shared" si="4"/>
        <v>0</v>
      </c>
      <c r="AF39">
        <f t="shared" si="5"/>
        <v>0</v>
      </c>
      <c r="AG39">
        <f t="shared" si="6"/>
        <v>0</v>
      </c>
      <c r="AH39">
        <f t="shared" si="7"/>
        <v>0</v>
      </c>
      <c r="AI39">
        <f t="shared" si="8"/>
        <v>0</v>
      </c>
      <c r="AJ39">
        <f t="shared" si="9"/>
        <v>0</v>
      </c>
      <c r="AK39">
        <f t="shared" si="10"/>
        <v>0</v>
      </c>
      <c r="AL39">
        <f t="shared" si="11"/>
        <v>0</v>
      </c>
      <c r="AM39" s="113">
        <f t="shared" si="12"/>
        <v>0</v>
      </c>
      <c r="AN39">
        <f t="shared" si="13"/>
        <v>0</v>
      </c>
      <c r="AO39">
        <f t="shared" si="14"/>
        <v>0</v>
      </c>
      <c r="AP39">
        <f t="shared" si="15"/>
        <v>0</v>
      </c>
      <c r="AQ39">
        <f t="shared" si="16"/>
        <v>0</v>
      </c>
      <c r="AR39">
        <f t="shared" si="17"/>
        <v>0</v>
      </c>
      <c r="AS39">
        <f t="shared" si="18"/>
        <v>0</v>
      </c>
      <c r="AT39">
        <f t="shared" si="19"/>
        <v>0</v>
      </c>
      <c r="AU39">
        <f t="shared" si="20"/>
        <v>0</v>
      </c>
      <c r="AV39">
        <f t="shared" si="21"/>
        <v>0</v>
      </c>
      <c r="AW39">
        <f t="shared" si="22"/>
        <v>0</v>
      </c>
      <c r="AX39">
        <f t="shared" si="23"/>
        <v>0</v>
      </c>
    </row>
    <row r="40" spans="1:51" x14ac:dyDescent="0.25">
      <c r="A40" s="113">
        <v>37</v>
      </c>
      <c r="B40" s="209" t="s">
        <v>82</v>
      </c>
      <c r="C40" s="113">
        <v>1931</v>
      </c>
      <c r="D40" s="113">
        <v>2013</v>
      </c>
      <c r="E40" s="212" t="s">
        <v>4</v>
      </c>
      <c r="F40" s="213" t="s">
        <v>4</v>
      </c>
      <c r="G40" s="113"/>
      <c r="H40" s="113"/>
      <c r="I40" s="113"/>
      <c r="J40" s="113"/>
      <c r="K40" s="113"/>
      <c r="N40" s="113">
        <f>MATCH(A40,Entrada!$A$53:$A$372,0)</f>
        <v>25</v>
      </c>
      <c r="O40">
        <f>IF(NOT(ISNA($N40)),INDEX(Entrada!$C$53:$N$372,$N40,O$2),0)</f>
        <v>694</v>
      </c>
      <c r="P40">
        <f>IF(NOT(ISNA($N40)),INDEX(Entrada!$C$53:$N$372,$N40,P$2),0)</f>
        <v>734</v>
      </c>
      <c r="Q40">
        <f>IF(NOT(ISNA($N40)),INDEX(Entrada!$C$53:$N$372,$N40,Q$2),0)</f>
        <v>619</v>
      </c>
      <c r="R40">
        <f>IF(NOT(ISNA($N40)),INDEX(Entrada!$C$53:$N$372,$N40,R$2),0)</f>
        <v>408</v>
      </c>
      <c r="S40">
        <f>IF(NOT(ISNA($N40)),INDEX(Entrada!$C$53:$N$372,$N40,S$2),0)</f>
        <v>322</v>
      </c>
      <c r="T40">
        <f>IF(NOT(ISNA($N40)),INDEX(Entrada!$C$53:$N$372,$N40,T$2),0)</f>
        <v>319</v>
      </c>
      <c r="U40" s="219">
        <f>IF(NOT(ISNA($N40)),INDEX(Entrada!$C$53:$N$372,$N40,U$2),0)</f>
        <v>254</v>
      </c>
      <c r="V40" s="225">
        <f>IF(NOT(ISNA($N40)),INDEX(Entrada!$C$53:$N$372,$N40,V$2),0)</f>
        <v>213</v>
      </c>
      <c r="W40" s="225">
        <f>IF(NOT(ISNA($N40)),INDEX(Entrada!$C$53:$N$372,$N40,W$2),0)</f>
        <v>230</v>
      </c>
      <c r="X40" s="225">
        <f>IF(NOT(ISNA($N40)),INDEX(Entrada!$C$53:$N$372,$N40,X$2),0)</f>
        <v>283</v>
      </c>
      <c r="Y40" s="225">
        <f>IF(NOT(ISNA($N40)),INDEX(Entrada!$C$53:$N$372,$N40,Y$2),0)</f>
        <v>305</v>
      </c>
      <c r="Z40" s="225">
        <f>IF(NOT(ISNA($N40)),INDEX(Entrada!$C$53:$N$372,$N40,Z$2),0)</f>
        <v>468</v>
      </c>
      <c r="AA40" s="113">
        <f t="shared" si="0"/>
        <v>0</v>
      </c>
      <c r="AB40">
        <f t="shared" si="1"/>
        <v>0</v>
      </c>
      <c r="AC40">
        <f t="shared" si="2"/>
        <v>0</v>
      </c>
      <c r="AD40">
        <f t="shared" si="3"/>
        <v>0</v>
      </c>
      <c r="AE40">
        <f t="shared" si="4"/>
        <v>0</v>
      </c>
      <c r="AF40">
        <f t="shared" si="5"/>
        <v>0</v>
      </c>
      <c r="AG40">
        <f t="shared" si="6"/>
        <v>0</v>
      </c>
      <c r="AH40">
        <f t="shared" si="7"/>
        <v>0</v>
      </c>
      <c r="AI40">
        <f t="shared" si="8"/>
        <v>0</v>
      </c>
      <c r="AJ40">
        <f t="shared" si="9"/>
        <v>0</v>
      </c>
      <c r="AK40">
        <f t="shared" si="10"/>
        <v>0</v>
      </c>
      <c r="AL40">
        <f t="shared" si="11"/>
        <v>0</v>
      </c>
      <c r="AM40" s="219">
        <f t="shared" si="12"/>
        <v>694</v>
      </c>
      <c r="AN40">
        <f t="shared" si="13"/>
        <v>734</v>
      </c>
      <c r="AO40">
        <f t="shared" si="14"/>
        <v>619</v>
      </c>
      <c r="AP40">
        <f t="shared" si="15"/>
        <v>408</v>
      </c>
      <c r="AQ40">
        <f t="shared" si="16"/>
        <v>322</v>
      </c>
      <c r="AR40">
        <f t="shared" si="17"/>
        <v>319</v>
      </c>
      <c r="AS40">
        <f t="shared" si="18"/>
        <v>254</v>
      </c>
      <c r="AT40">
        <f t="shared" si="19"/>
        <v>213</v>
      </c>
      <c r="AU40">
        <f t="shared" si="20"/>
        <v>230</v>
      </c>
      <c r="AV40">
        <f t="shared" si="21"/>
        <v>283</v>
      </c>
      <c r="AW40">
        <f t="shared" si="22"/>
        <v>305</v>
      </c>
      <c r="AX40">
        <f t="shared" si="23"/>
        <v>468</v>
      </c>
      <c r="AY40" s="219">
        <f>AY240-1*(AY$164-AY$120-AY$121)-AY$120-AY$121</f>
        <v>0</v>
      </c>
    </row>
    <row r="41" spans="1:51" x14ac:dyDescent="0.25">
      <c r="A41" s="113">
        <v>38</v>
      </c>
      <c r="B41" s="209" t="s">
        <v>554</v>
      </c>
      <c r="C41" s="113">
        <v>1931</v>
      </c>
      <c r="D41" s="113">
        <v>2013</v>
      </c>
      <c r="E41" s="212" t="s">
        <v>4</v>
      </c>
      <c r="F41" s="213" t="s">
        <v>4</v>
      </c>
      <c r="G41" s="113"/>
      <c r="H41" s="113"/>
      <c r="I41" s="113"/>
      <c r="J41" s="113"/>
      <c r="K41" s="113"/>
      <c r="N41" s="113">
        <f>MATCH(A41,Entrada!$A$53:$A$372,0)</f>
        <v>26</v>
      </c>
      <c r="O41">
        <f>IF(NOT(ISNA($N41)),INDEX(Entrada!$C$53:$N$372,$N41,O$2),0)</f>
        <v>777</v>
      </c>
      <c r="P41">
        <f>IF(NOT(ISNA($N41)),INDEX(Entrada!$C$53:$N$372,$N41,P$2),0)</f>
        <v>825</v>
      </c>
      <c r="Q41">
        <f>IF(NOT(ISNA($N41)),INDEX(Entrada!$C$53:$N$372,$N41,Q$2),0)</f>
        <v>698</v>
      </c>
      <c r="R41">
        <f>IF(NOT(ISNA($N41)),INDEX(Entrada!$C$53:$N$372,$N41,R$2),0)</f>
        <v>464</v>
      </c>
      <c r="S41">
        <f>IF(NOT(ISNA($N41)),INDEX(Entrada!$C$53:$N$372,$N41,S$2),0)</f>
        <v>367</v>
      </c>
      <c r="T41">
        <f>IF(NOT(ISNA($N41)),INDEX(Entrada!$C$53:$N$372,$N41,T$2),0)</f>
        <v>364</v>
      </c>
      <c r="U41" s="219">
        <f>IF(NOT(ISNA($N41)),INDEX(Entrada!$C$53:$N$372,$N41,U$2),0)</f>
        <v>288</v>
      </c>
      <c r="V41" s="225">
        <f>IF(NOT(ISNA($N41)),INDEX(Entrada!$C$53:$N$372,$N41,V$2),0)</f>
        <v>244</v>
      </c>
      <c r="W41" s="225">
        <f>IF(NOT(ISNA($N41)),INDEX(Entrada!$C$53:$N$372,$N41,W$2),0)</f>
        <v>261</v>
      </c>
      <c r="X41" s="225">
        <f>IF(NOT(ISNA($N41)),INDEX(Entrada!$C$53:$N$372,$N41,X$2),0)</f>
        <v>317</v>
      </c>
      <c r="Y41" s="225">
        <f>IF(NOT(ISNA($N41)),INDEX(Entrada!$C$53:$N$372,$N41,Y$2),0)</f>
        <v>343</v>
      </c>
      <c r="Z41" s="225">
        <f>IF(NOT(ISNA($N41)),INDEX(Entrada!$C$53:$N$372,$N41,Z$2),0)</f>
        <v>522</v>
      </c>
      <c r="AA41" s="113">
        <f t="shared" si="0"/>
        <v>0</v>
      </c>
      <c r="AB41">
        <f t="shared" si="1"/>
        <v>0</v>
      </c>
      <c r="AC41">
        <f t="shared" si="2"/>
        <v>0</v>
      </c>
      <c r="AD41">
        <f t="shared" si="3"/>
        <v>0</v>
      </c>
      <c r="AE41">
        <f t="shared" si="4"/>
        <v>0</v>
      </c>
      <c r="AF41">
        <f t="shared" si="5"/>
        <v>0</v>
      </c>
      <c r="AG41">
        <f t="shared" si="6"/>
        <v>0</v>
      </c>
      <c r="AH41">
        <f t="shared" si="7"/>
        <v>0</v>
      </c>
      <c r="AI41">
        <f t="shared" si="8"/>
        <v>0</v>
      </c>
      <c r="AJ41">
        <f t="shared" si="9"/>
        <v>0</v>
      </c>
      <c r="AK41">
        <f t="shared" si="10"/>
        <v>0</v>
      </c>
      <c r="AL41">
        <f t="shared" si="11"/>
        <v>0</v>
      </c>
      <c r="AM41" s="219">
        <f t="shared" si="12"/>
        <v>777</v>
      </c>
      <c r="AN41">
        <f t="shared" si="13"/>
        <v>825</v>
      </c>
      <c r="AO41">
        <f t="shared" si="14"/>
        <v>698</v>
      </c>
      <c r="AP41">
        <f t="shared" si="15"/>
        <v>464</v>
      </c>
      <c r="AQ41">
        <f t="shared" si="16"/>
        <v>367</v>
      </c>
      <c r="AR41">
        <f t="shared" si="17"/>
        <v>364</v>
      </c>
      <c r="AS41">
        <f t="shared" si="18"/>
        <v>288</v>
      </c>
      <c r="AT41">
        <f t="shared" si="19"/>
        <v>244</v>
      </c>
      <c r="AU41">
        <f t="shared" si="20"/>
        <v>261</v>
      </c>
      <c r="AV41">
        <f t="shared" si="21"/>
        <v>317</v>
      </c>
      <c r="AW41">
        <f t="shared" si="22"/>
        <v>343</v>
      </c>
      <c r="AX41">
        <f t="shared" si="23"/>
        <v>522</v>
      </c>
      <c r="AY41" s="219">
        <f>AY241-1*(AY$164-AY$120-AY$121)-AY$120-AY$121</f>
        <v>0</v>
      </c>
    </row>
    <row r="42" spans="1:51" x14ac:dyDescent="0.25">
      <c r="A42" s="113">
        <v>39</v>
      </c>
      <c r="B42" s="209" t="s">
        <v>555</v>
      </c>
      <c r="C42" s="113">
        <v>1931</v>
      </c>
      <c r="D42" s="113">
        <v>2013</v>
      </c>
      <c r="E42" s="212" t="s">
        <v>4</v>
      </c>
      <c r="F42" s="213" t="s">
        <v>4</v>
      </c>
      <c r="G42" s="113"/>
      <c r="H42" s="113"/>
      <c r="I42" s="113"/>
      <c r="J42" s="113"/>
      <c r="K42" s="113"/>
      <c r="N42" s="113">
        <f>MATCH(A42,Entrada!$A$53:$A$372,0)</f>
        <v>27</v>
      </c>
      <c r="O42">
        <f>IF(NOT(ISNA($N42)),INDEX(Entrada!$C$53:$N$372,$N42,O$2),0)</f>
        <v>980</v>
      </c>
      <c r="P42">
        <f>IF(NOT(ISNA($N42)),INDEX(Entrada!$C$53:$N$372,$N42,P$2),0)</f>
        <v>1037</v>
      </c>
      <c r="Q42">
        <f>IF(NOT(ISNA($N42)),INDEX(Entrada!$C$53:$N$372,$N42,Q$2),0)</f>
        <v>887</v>
      </c>
      <c r="R42">
        <f>IF(NOT(ISNA($N42)),INDEX(Entrada!$C$53:$N$372,$N42,R$2),0)</f>
        <v>609</v>
      </c>
      <c r="S42">
        <f>IF(NOT(ISNA($N42)),INDEX(Entrada!$C$53:$N$372,$N42,S$2),0)</f>
        <v>483</v>
      </c>
      <c r="T42">
        <f>IF(NOT(ISNA($N42)),INDEX(Entrada!$C$53:$N$372,$N42,T$2),0)</f>
        <v>475</v>
      </c>
      <c r="U42" s="219">
        <f>IF(NOT(ISNA($N42)),INDEX(Entrada!$C$53:$N$372,$N42,U$2),0)</f>
        <v>384</v>
      </c>
      <c r="V42" s="225">
        <f>IF(NOT(ISNA($N42)),INDEX(Entrada!$C$53:$N$372,$N42,V$2),0)</f>
        <v>329</v>
      </c>
      <c r="W42" s="225">
        <f>IF(NOT(ISNA($N42)),INDEX(Entrada!$C$53:$N$372,$N42,W$2),0)</f>
        <v>353</v>
      </c>
      <c r="X42" s="225">
        <f>IF(NOT(ISNA($N42)),INDEX(Entrada!$C$53:$N$372,$N42,X$2),0)</f>
        <v>422</v>
      </c>
      <c r="Y42" s="225">
        <f>IF(NOT(ISNA($N42)),INDEX(Entrada!$C$53:$N$372,$N42,Y$2),0)</f>
        <v>452</v>
      </c>
      <c r="Z42" s="225">
        <f>IF(NOT(ISNA($N42)),INDEX(Entrada!$C$53:$N$372,$N42,Z$2),0)</f>
        <v>675</v>
      </c>
      <c r="AA42" s="113">
        <f t="shared" si="0"/>
        <v>0</v>
      </c>
      <c r="AB42">
        <f t="shared" si="1"/>
        <v>0</v>
      </c>
      <c r="AC42">
        <f t="shared" si="2"/>
        <v>0</v>
      </c>
      <c r="AD42">
        <f t="shared" si="3"/>
        <v>0</v>
      </c>
      <c r="AE42">
        <f t="shared" si="4"/>
        <v>0</v>
      </c>
      <c r="AF42">
        <f t="shared" si="5"/>
        <v>0</v>
      </c>
      <c r="AG42">
        <f t="shared" si="6"/>
        <v>0</v>
      </c>
      <c r="AH42">
        <f t="shared" si="7"/>
        <v>0</v>
      </c>
      <c r="AI42">
        <f t="shared" si="8"/>
        <v>0</v>
      </c>
      <c r="AJ42">
        <f t="shared" si="9"/>
        <v>0</v>
      </c>
      <c r="AK42">
        <f t="shared" si="10"/>
        <v>0</v>
      </c>
      <c r="AL42">
        <f t="shared" si="11"/>
        <v>0</v>
      </c>
      <c r="AM42" s="219">
        <f t="shared" si="12"/>
        <v>980</v>
      </c>
      <c r="AN42">
        <f t="shared" si="13"/>
        <v>1037</v>
      </c>
      <c r="AO42">
        <f t="shared" si="14"/>
        <v>887</v>
      </c>
      <c r="AP42">
        <f t="shared" si="15"/>
        <v>609</v>
      </c>
      <c r="AQ42">
        <f t="shared" si="16"/>
        <v>483</v>
      </c>
      <c r="AR42">
        <f t="shared" si="17"/>
        <v>475</v>
      </c>
      <c r="AS42">
        <f t="shared" si="18"/>
        <v>384</v>
      </c>
      <c r="AT42">
        <f t="shared" si="19"/>
        <v>329</v>
      </c>
      <c r="AU42">
        <f t="shared" si="20"/>
        <v>353</v>
      </c>
      <c r="AV42">
        <f t="shared" si="21"/>
        <v>422</v>
      </c>
      <c r="AW42">
        <f t="shared" si="22"/>
        <v>452</v>
      </c>
      <c r="AX42">
        <f t="shared" si="23"/>
        <v>675</v>
      </c>
      <c r="AY42" s="219">
        <f>AY242-1*(AY$164-AY$120-AY$121)-AY$120-AY$121</f>
        <v>0</v>
      </c>
    </row>
    <row r="43" spans="1:51" x14ac:dyDescent="0.25">
      <c r="A43" s="113">
        <v>40</v>
      </c>
      <c r="B43" s="209" t="s">
        <v>556</v>
      </c>
      <c r="C43" s="113">
        <v>1931</v>
      </c>
      <c r="D43" s="113">
        <v>2013</v>
      </c>
      <c r="E43" s="212" t="s">
        <v>4</v>
      </c>
      <c r="F43" s="213" t="s">
        <v>4</v>
      </c>
      <c r="G43" s="113"/>
      <c r="H43" s="113"/>
      <c r="I43" s="113"/>
      <c r="J43" s="113"/>
      <c r="K43" s="113"/>
      <c r="N43" s="113">
        <f>MATCH(A43,Entrada!$A$53:$A$372,0)</f>
        <v>28</v>
      </c>
      <c r="O43">
        <f>IF(NOT(ISNA($N43)),INDEX(Entrada!$C$53:$N$372,$N43,O$2),0)</f>
        <v>1113</v>
      </c>
      <c r="P43">
        <f>IF(NOT(ISNA($N43)),INDEX(Entrada!$C$53:$N$372,$N43,P$2),0)</f>
        <v>1185</v>
      </c>
      <c r="Q43">
        <f>IF(NOT(ISNA($N43)),INDEX(Entrada!$C$53:$N$372,$N43,Q$2),0)</f>
        <v>1021</v>
      </c>
      <c r="R43">
        <f>IF(NOT(ISNA($N43)),INDEX(Entrada!$C$53:$N$372,$N43,R$2),0)</f>
        <v>695</v>
      </c>
      <c r="S43">
        <f>IF(NOT(ISNA($N43)),INDEX(Entrada!$C$53:$N$372,$N43,S$2),0)</f>
        <v>554</v>
      </c>
      <c r="T43">
        <f>IF(NOT(ISNA($N43)),INDEX(Entrada!$C$53:$N$372,$N43,T$2),0)</f>
        <v>543</v>
      </c>
      <c r="U43" s="219">
        <f>IF(NOT(ISNA($N43)),INDEX(Entrada!$C$53:$N$372,$N43,U$2),0)</f>
        <v>443</v>
      </c>
      <c r="V43" s="225">
        <f>IF(NOT(ISNA($N43)),INDEX(Entrada!$C$53:$N$372,$N43,V$2),0)</f>
        <v>384</v>
      </c>
      <c r="W43" s="225">
        <f>IF(NOT(ISNA($N43)),INDEX(Entrada!$C$53:$N$372,$N43,W$2),0)</f>
        <v>404</v>
      </c>
      <c r="X43" s="225">
        <f>IF(NOT(ISNA($N43)),INDEX(Entrada!$C$53:$N$372,$N43,X$2),0)</f>
        <v>473</v>
      </c>
      <c r="Y43" s="225">
        <f>IF(NOT(ISNA($N43)),INDEX(Entrada!$C$53:$N$372,$N43,Y$2),0)</f>
        <v>506</v>
      </c>
      <c r="Z43" s="225">
        <f>IF(NOT(ISNA($N43)),INDEX(Entrada!$C$53:$N$372,$N43,Z$2),0)</f>
        <v>761</v>
      </c>
      <c r="AA43" s="113">
        <f t="shared" si="0"/>
        <v>0</v>
      </c>
      <c r="AB43">
        <f t="shared" si="1"/>
        <v>0</v>
      </c>
      <c r="AC43">
        <f t="shared" si="2"/>
        <v>0</v>
      </c>
      <c r="AD43">
        <f t="shared" si="3"/>
        <v>0</v>
      </c>
      <c r="AE43">
        <f t="shared" si="4"/>
        <v>0</v>
      </c>
      <c r="AF43">
        <f t="shared" si="5"/>
        <v>0</v>
      </c>
      <c r="AG43">
        <f t="shared" si="6"/>
        <v>0</v>
      </c>
      <c r="AH43">
        <f t="shared" si="7"/>
        <v>0</v>
      </c>
      <c r="AI43">
        <f t="shared" si="8"/>
        <v>0</v>
      </c>
      <c r="AJ43">
        <f t="shared" si="9"/>
        <v>0</v>
      </c>
      <c r="AK43">
        <f t="shared" si="10"/>
        <v>0</v>
      </c>
      <c r="AL43">
        <f t="shared" si="11"/>
        <v>0</v>
      </c>
      <c r="AM43" s="219">
        <f t="shared" si="12"/>
        <v>1113</v>
      </c>
      <c r="AN43">
        <f t="shared" si="13"/>
        <v>1185</v>
      </c>
      <c r="AO43">
        <f t="shared" si="14"/>
        <v>1021</v>
      </c>
      <c r="AP43">
        <f t="shared" si="15"/>
        <v>695</v>
      </c>
      <c r="AQ43">
        <f t="shared" si="16"/>
        <v>554</v>
      </c>
      <c r="AR43">
        <f t="shared" si="17"/>
        <v>543</v>
      </c>
      <c r="AS43">
        <f t="shared" si="18"/>
        <v>443</v>
      </c>
      <c r="AT43">
        <f t="shared" si="19"/>
        <v>384</v>
      </c>
      <c r="AU43">
        <f t="shared" si="20"/>
        <v>404</v>
      </c>
      <c r="AV43">
        <f t="shared" si="21"/>
        <v>473</v>
      </c>
      <c r="AW43">
        <f t="shared" si="22"/>
        <v>506</v>
      </c>
      <c r="AX43">
        <f t="shared" si="23"/>
        <v>761</v>
      </c>
      <c r="AY43" s="219">
        <f>AY243-1*(AY$164-AY$120-AY$121)-AY$120-AY$121</f>
        <v>0</v>
      </c>
    </row>
    <row r="44" spans="1:51" x14ac:dyDescent="0.25">
      <c r="A44" s="113">
        <v>41</v>
      </c>
      <c r="B44" s="209"/>
      <c r="C44" s="113">
        <v>0</v>
      </c>
      <c r="D44" s="113">
        <v>0</v>
      </c>
      <c r="E44" s="113" t="s">
        <v>688</v>
      </c>
      <c r="F44" s="113" t="s">
        <v>688</v>
      </c>
      <c r="G44" s="113"/>
      <c r="H44" s="113"/>
      <c r="I44" s="113"/>
      <c r="J44" s="113"/>
      <c r="K44" s="113"/>
      <c r="N44" s="113" t="e">
        <f>MATCH(A44,Entrada!$A$53:$A$372,0)</f>
        <v>#N/A</v>
      </c>
      <c r="O44">
        <f>IF(NOT(ISNA($N44)),INDEX(Entrada!$C$53:$N$372,$N44,O$2),0)</f>
        <v>0</v>
      </c>
      <c r="P44">
        <f>IF(NOT(ISNA($N44)),INDEX(Entrada!$C$53:$N$372,$N44,P$2),0)</f>
        <v>0</v>
      </c>
      <c r="Q44">
        <f>IF(NOT(ISNA($N44)),INDEX(Entrada!$C$53:$N$372,$N44,Q$2),0)</f>
        <v>0</v>
      </c>
      <c r="R44">
        <f>IF(NOT(ISNA($N44)),INDEX(Entrada!$C$53:$N$372,$N44,R$2),0)</f>
        <v>0</v>
      </c>
      <c r="S44">
        <f>IF(NOT(ISNA($N44)),INDEX(Entrada!$C$53:$N$372,$N44,S$2),0)</f>
        <v>0</v>
      </c>
      <c r="T44">
        <f>IF(NOT(ISNA($N44)),INDEX(Entrada!$C$53:$N$372,$N44,T$2),0)</f>
        <v>0</v>
      </c>
      <c r="U44">
        <f>IF(NOT(ISNA($N44)),INDEX(Entrada!$C$53:$N$372,$N44,U$2),0)</f>
        <v>0</v>
      </c>
      <c r="V44" s="225">
        <f>IF(NOT(ISNA($N44)),INDEX(Entrada!$C$53:$N$372,$N44,V$2),0)</f>
        <v>0</v>
      </c>
      <c r="W44" s="225">
        <f>IF(NOT(ISNA($N44)),INDEX(Entrada!$C$53:$N$372,$N44,W$2),0)</f>
        <v>0</v>
      </c>
      <c r="X44" s="225">
        <f>IF(NOT(ISNA($N44)),INDEX(Entrada!$C$53:$N$372,$N44,X$2),0)</f>
        <v>0</v>
      </c>
      <c r="Y44" s="225">
        <f>IF(NOT(ISNA($N44)),INDEX(Entrada!$C$53:$N$372,$N44,Y$2),0)</f>
        <v>0</v>
      </c>
      <c r="Z44" s="225">
        <f>IF(NOT(ISNA($N44)),INDEX(Entrada!$C$53:$N$372,$N44,Z$2),0)</f>
        <v>0</v>
      </c>
      <c r="AA44" s="113">
        <f t="shared" si="0"/>
        <v>0</v>
      </c>
      <c r="AB44">
        <f t="shared" si="1"/>
        <v>0</v>
      </c>
      <c r="AC44">
        <f t="shared" si="2"/>
        <v>0</v>
      </c>
      <c r="AD44">
        <f t="shared" si="3"/>
        <v>0</v>
      </c>
      <c r="AE44">
        <f t="shared" si="4"/>
        <v>0</v>
      </c>
      <c r="AF44">
        <f t="shared" si="5"/>
        <v>0</v>
      </c>
      <c r="AG44">
        <f t="shared" si="6"/>
        <v>0</v>
      </c>
      <c r="AH44">
        <f t="shared" si="7"/>
        <v>0</v>
      </c>
      <c r="AI44">
        <f t="shared" si="8"/>
        <v>0</v>
      </c>
      <c r="AJ44">
        <f t="shared" si="9"/>
        <v>0</v>
      </c>
      <c r="AK44">
        <f t="shared" si="10"/>
        <v>0</v>
      </c>
      <c r="AL44">
        <f t="shared" si="11"/>
        <v>0</v>
      </c>
      <c r="AM44" s="113">
        <f t="shared" si="12"/>
        <v>0</v>
      </c>
      <c r="AN44">
        <f t="shared" si="13"/>
        <v>0</v>
      </c>
      <c r="AO44">
        <f t="shared" si="14"/>
        <v>0</v>
      </c>
      <c r="AP44">
        <f t="shared" si="15"/>
        <v>0</v>
      </c>
      <c r="AQ44">
        <f t="shared" si="16"/>
        <v>0</v>
      </c>
      <c r="AR44">
        <f t="shared" si="17"/>
        <v>0</v>
      </c>
      <c r="AS44">
        <f t="shared" si="18"/>
        <v>0</v>
      </c>
      <c r="AT44">
        <f t="shared" si="19"/>
        <v>0</v>
      </c>
      <c r="AU44">
        <f t="shared" si="20"/>
        <v>0</v>
      </c>
      <c r="AV44">
        <f t="shared" si="21"/>
        <v>0</v>
      </c>
      <c r="AW44">
        <f t="shared" si="22"/>
        <v>0</v>
      </c>
      <c r="AX44">
        <f t="shared" si="23"/>
        <v>0</v>
      </c>
    </row>
    <row r="45" spans="1:51" x14ac:dyDescent="0.25">
      <c r="A45" s="113">
        <v>42</v>
      </c>
      <c r="B45" s="209" t="s">
        <v>260</v>
      </c>
      <c r="C45" s="113">
        <v>1931</v>
      </c>
      <c r="D45" s="113">
        <v>2013</v>
      </c>
      <c r="E45" s="212" t="s">
        <v>4</v>
      </c>
      <c r="F45" s="213" t="s">
        <v>4</v>
      </c>
      <c r="G45" s="113"/>
      <c r="H45" s="113"/>
      <c r="I45" s="113"/>
      <c r="J45" s="113"/>
      <c r="K45" s="113"/>
      <c r="N45" s="113">
        <f>MATCH(A45,Entrada!$A$53:$A$372,0)</f>
        <v>29</v>
      </c>
      <c r="O45">
        <f>IF(NOT(ISNA($N45)),INDEX(Entrada!$C$53:$N$372,$N45,O$2),0)</f>
        <v>1198</v>
      </c>
      <c r="P45">
        <f>IF(NOT(ISNA($N45)),INDEX(Entrada!$C$53:$N$372,$N45,P$2),0)</f>
        <v>1279</v>
      </c>
      <c r="Q45">
        <f>IF(NOT(ISNA($N45)),INDEX(Entrada!$C$53:$N$372,$N45,Q$2),0)</f>
        <v>1099</v>
      </c>
      <c r="R45">
        <f>IF(NOT(ISNA($N45)),INDEX(Entrada!$C$53:$N$372,$N45,R$2),0)</f>
        <v>746</v>
      </c>
      <c r="S45">
        <f>IF(NOT(ISNA($N45)),INDEX(Entrada!$C$53:$N$372,$N45,S$2),0)</f>
        <v>590</v>
      </c>
      <c r="T45">
        <f>IF(NOT(ISNA($N45)),INDEX(Entrada!$C$53:$N$372,$N45,T$2),0)</f>
        <v>580</v>
      </c>
      <c r="U45" s="219">
        <f>IF(NOT(ISNA($N45)),INDEX(Entrada!$C$53:$N$372,$N45,U$2),0)</f>
        <v>472</v>
      </c>
      <c r="V45" s="225">
        <f>IF(NOT(ISNA($N45)),INDEX(Entrada!$C$53:$N$372,$N45,V$2),0)</f>
        <v>407</v>
      </c>
      <c r="W45" s="225">
        <f>IF(NOT(ISNA($N45)),INDEX(Entrada!$C$53:$N$372,$N45,W$2),0)</f>
        <v>429</v>
      </c>
      <c r="X45" s="225">
        <f>IF(NOT(ISNA($N45)),INDEX(Entrada!$C$53:$N$372,$N45,X$2),0)</f>
        <v>505</v>
      </c>
      <c r="Y45" s="225">
        <f>IF(NOT(ISNA($N45)),INDEX(Entrada!$C$53:$N$372,$N45,Y$2),0)</f>
        <v>541</v>
      </c>
      <c r="Z45" s="225">
        <f>IF(NOT(ISNA($N45)),INDEX(Entrada!$C$53:$N$372,$N45,Z$2),0)</f>
        <v>814</v>
      </c>
      <c r="AA45" s="113">
        <f t="shared" si="0"/>
        <v>0</v>
      </c>
      <c r="AB45">
        <f t="shared" si="1"/>
        <v>0</v>
      </c>
      <c r="AC45">
        <f t="shared" si="2"/>
        <v>0</v>
      </c>
      <c r="AD45">
        <f t="shared" si="3"/>
        <v>0</v>
      </c>
      <c r="AE45">
        <f t="shared" si="4"/>
        <v>0</v>
      </c>
      <c r="AF45">
        <f t="shared" si="5"/>
        <v>0</v>
      </c>
      <c r="AG45">
        <f t="shared" si="6"/>
        <v>0</v>
      </c>
      <c r="AH45">
        <f t="shared" si="7"/>
        <v>0</v>
      </c>
      <c r="AI45">
        <f t="shared" si="8"/>
        <v>0</v>
      </c>
      <c r="AJ45">
        <f t="shared" si="9"/>
        <v>0</v>
      </c>
      <c r="AK45">
        <f t="shared" si="10"/>
        <v>0</v>
      </c>
      <c r="AL45">
        <f t="shared" si="11"/>
        <v>0</v>
      </c>
      <c r="AM45" s="219">
        <f t="shared" si="12"/>
        <v>1198</v>
      </c>
      <c r="AN45">
        <f t="shared" si="13"/>
        <v>1279</v>
      </c>
      <c r="AO45">
        <f t="shared" si="14"/>
        <v>1099</v>
      </c>
      <c r="AP45">
        <f t="shared" si="15"/>
        <v>746</v>
      </c>
      <c r="AQ45">
        <f t="shared" si="16"/>
        <v>590</v>
      </c>
      <c r="AR45">
        <f t="shared" si="17"/>
        <v>580</v>
      </c>
      <c r="AS45">
        <f t="shared" si="18"/>
        <v>472</v>
      </c>
      <c r="AT45">
        <f t="shared" si="19"/>
        <v>407</v>
      </c>
      <c r="AU45">
        <f t="shared" si="20"/>
        <v>429</v>
      </c>
      <c r="AV45">
        <f t="shared" si="21"/>
        <v>505</v>
      </c>
      <c r="AW45">
        <f t="shared" si="22"/>
        <v>541</v>
      </c>
      <c r="AX45">
        <f t="shared" si="23"/>
        <v>814</v>
      </c>
      <c r="AY45" s="219">
        <f>AY245-1*(AY$164-AY$120-AY$121)-AY$120-AY$121</f>
        <v>0</v>
      </c>
    </row>
    <row r="46" spans="1:51" x14ac:dyDescent="0.25">
      <c r="A46" s="113">
        <v>43</v>
      </c>
      <c r="B46" s="209" t="s">
        <v>557</v>
      </c>
      <c r="C46" s="113">
        <v>1931</v>
      </c>
      <c r="D46" s="113">
        <v>2013</v>
      </c>
      <c r="E46" s="212" t="s">
        <v>4</v>
      </c>
      <c r="F46" s="213" t="s">
        <v>4</v>
      </c>
      <c r="G46" s="113"/>
      <c r="H46" s="113"/>
      <c r="I46" s="113"/>
      <c r="J46" s="113"/>
      <c r="K46" s="113"/>
      <c r="N46" s="113">
        <f>MATCH(A46,Entrada!$A$53:$A$372,0)</f>
        <v>30</v>
      </c>
      <c r="O46">
        <f>IF(NOT(ISNA($N46)),INDEX(Entrada!$C$53:$N$372,$N46,O$2),0)</f>
        <v>1256</v>
      </c>
      <c r="P46">
        <f>IF(NOT(ISNA($N46)),INDEX(Entrada!$C$53:$N$372,$N46,P$2),0)</f>
        <v>1368</v>
      </c>
      <c r="Q46">
        <f>IF(NOT(ISNA($N46)),INDEX(Entrada!$C$53:$N$372,$N46,Q$2),0)</f>
        <v>1189</v>
      </c>
      <c r="R46">
        <f>IF(NOT(ISNA($N46)),INDEX(Entrada!$C$53:$N$372,$N46,R$2),0)</f>
        <v>818</v>
      </c>
      <c r="S46">
        <f>IF(NOT(ISNA($N46)),INDEX(Entrada!$C$53:$N$372,$N46,S$2),0)</f>
        <v>634</v>
      </c>
      <c r="T46">
        <f>IF(NOT(ISNA($N46)),INDEX(Entrada!$C$53:$N$372,$N46,T$2),0)</f>
        <v>627</v>
      </c>
      <c r="U46" s="219">
        <f>IF(NOT(ISNA($N46)),INDEX(Entrada!$C$53:$N$372,$N46,U$2),0)</f>
        <v>510</v>
      </c>
      <c r="V46" s="225">
        <f>IF(NOT(ISNA($N46)),INDEX(Entrada!$C$53:$N$372,$N46,V$2),0)</f>
        <v>442</v>
      </c>
      <c r="W46" s="225">
        <f>IF(NOT(ISNA($N46)),INDEX(Entrada!$C$53:$N$372,$N46,W$2),0)</f>
        <v>458</v>
      </c>
      <c r="X46" s="225">
        <f>IF(NOT(ISNA($N46)),INDEX(Entrada!$C$53:$N$372,$N46,X$2),0)</f>
        <v>538</v>
      </c>
      <c r="Y46" s="225">
        <f>IF(NOT(ISNA($N46)),INDEX(Entrada!$C$53:$N$372,$N46,Y$2),0)</f>
        <v>574</v>
      </c>
      <c r="Z46" s="225">
        <f>IF(NOT(ISNA($N46)),INDEX(Entrada!$C$53:$N$372,$N46,Z$2),0)</f>
        <v>853</v>
      </c>
      <c r="AA46" s="113">
        <f t="shared" si="0"/>
        <v>0</v>
      </c>
      <c r="AB46">
        <f t="shared" si="1"/>
        <v>0</v>
      </c>
      <c r="AC46">
        <f t="shared" si="2"/>
        <v>0</v>
      </c>
      <c r="AD46">
        <f t="shared" si="3"/>
        <v>0</v>
      </c>
      <c r="AE46">
        <f t="shared" si="4"/>
        <v>0</v>
      </c>
      <c r="AF46">
        <f t="shared" si="5"/>
        <v>0</v>
      </c>
      <c r="AG46">
        <f t="shared" si="6"/>
        <v>0</v>
      </c>
      <c r="AH46">
        <f t="shared" si="7"/>
        <v>0</v>
      </c>
      <c r="AI46">
        <f t="shared" si="8"/>
        <v>0</v>
      </c>
      <c r="AJ46">
        <f t="shared" si="9"/>
        <v>0</v>
      </c>
      <c r="AK46">
        <f t="shared" si="10"/>
        <v>0</v>
      </c>
      <c r="AL46">
        <f t="shared" si="11"/>
        <v>0</v>
      </c>
      <c r="AM46" s="219">
        <f t="shared" si="12"/>
        <v>1256</v>
      </c>
      <c r="AN46">
        <f t="shared" si="13"/>
        <v>1368</v>
      </c>
      <c r="AO46">
        <f t="shared" si="14"/>
        <v>1189</v>
      </c>
      <c r="AP46">
        <f t="shared" si="15"/>
        <v>818</v>
      </c>
      <c r="AQ46">
        <f t="shared" si="16"/>
        <v>634</v>
      </c>
      <c r="AR46">
        <f t="shared" si="17"/>
        <v>627</v>
      </c>
      <c r="AS46">
        <f t="shared" si="18"/>
        <v>510</v>
      </c>
      <c r="AT46">
        <f t="shared" si="19"/>
        <v>442</v>
      </c>
      <c r="AU46">
        <f t="shared" si="20"/>
        <v>458</v>
      </c>
      <c r="AV46">
        <f t="shared" si="21"/>
        <v>538</v>
      </c>
      <c r="AW46">
        <f t="shared" si="22"/>
        <v>574</v>
      </c>
      <c r="AX46">
        <f t="shared" si="23"/>
        <v>853</v>
      </c>
      <c r="AY46" s="219">
        <f>AY246-1*(AY$164-AY$120-AY$121)-AY$120-AY$121</f>
        <v>0</v>
      </c>
    </row>
    <row r="47" spans="1:51" x14ac:dyDescent="0.25">
      <c r="A47" s="113">
        <v>44</v>
      </c>
      <c r="B47" s="209" t="s">
        <v>558</v>
      </c>
      <c r="C47" s="113">
        <v>1931</v>
      </c>
      <c r="D47" s="113">
        <v>2013</v>
      </c>
      <c r="E47" s="212" t="s">
        <v>7</v>
      </c>
      <c r="F47" s="213" t="s">
        <v>302</v>
      </c>
      <c r="G47" s="113"/>
      <c r="H47" s="113"/>
      <c r="I47" s="113"/>
      <c r="J47" s="113"/>
      <c r="K47" s="113"/>
      <c r="N47" s="113">
        <f>MATCH(A47,Entrada!$A$53:$A$372,0)</f>
        <v>31</v>
      </c>
      <c r="O47">
        <f>IF(NOT(ISNA($N47)),INDEX(Entrada!$C$53:$N$372,$N47,O$2),0)</f>
        <v>10220</v>
      </c>
      <c r="P47">
        <f>IF(NOT(ISNA($N47)),INDEX(Entrada!$C$53:$N$372,$N47,P$2),0)</f>
        <v>10792</v>
      </c>
      <c r="Q47">
        <f>IF(NOT(ISNA($N47)),INDEX(Entrada!$C$53:$N$372,$N47,Q$2),0)</f>
        <v>10195</v>
      </c>
      <c r="R47">
        <f>IF(NOT(ISNA($N47)),INDEX(Entrada!$C$53:$N$372,$N47,R$2),0)</f>
        <v>7603</v>
      </c>
      <c r="S47">
        <f>IF(NOT(ISNA($N47)),INDEX(Entrada!$C$53:$N$372,$N47,S$2),0)</f>
        <v>5282</v>
      </c>
      <c r="T47">
        <f>IF(NOT(ISNA($N47)),INDEX(Entrada!$C$53:$N$372,$N47,T$2),0)</f>
        <v>4429</v>
      </c>
      <c r="U47" s="219">
        <f>IF(NOT(ISNA($N47)),INDEX(Entrada!$C$53:$N$372,$N47,U$2),0)</f>
        <v>3623</v>
      </c>
      <c r="V47" s="225">
        <f>IF(NOT(ISNA($N47)),INDEX(Entrada!$C$53:$N$372,$N47,V$2),0)</f>
        <v>3050</v>
      </c>
      <c r="W47" s="225">
        <f>IF(NOT(ISNA($N47)),INDEX(Entrada!$C$53:$N$372,$N47,W$2),0)</f>
        <v>2944</v>
      </c>
      <c r="X47" s="225">
        <f>IF(NOT(ISNA($N47)),INDEX(Entrada!$C$53:$N$372,$N47,X$2),0)</f>
        <v>3414</v>
      </c>
      <c r="Y47" s="225">
        <f>IF(NOT(ISNA($N47)),INDEX(Entrada!$C$53:$N$372,$N47,Y$2),0)</f>
        <v>4491</v>
      </c>
      <c r="Z47" s="225">
        <f>IF(NOT(ISNA($N47)),INDEX(Entrada!$C$53:$N$372,$N47,Z$2),0)</f>
        <v>7136</v>
      </c>
      <c r="AA47" s="113">
        <f t="shared" si="0"/>
        <v>0</v>
      </c>
      <c r="AB47">
        <f t="shared" si="1"/>
        <v>0</v>
      </c>
      <c r="AC47">
        <f t="shared" si="2"/>
        <v>0</v>
      </c>
      <c r="AD47">
        <f t="shared" si="3"/>
        <v>0</v>
      </c>
      <c r="AE47">
        <f t="shared" si="4"/>
        <v>0</v>
      </c>
      <c r="AF47">
        <f t="shared" si="5"/>
        <v>0</v>
      </c>
      <c r="AG47">
        <f t="shared" si="6"/>
        <v>0</v>
      </c>
      <c r="AH47">
        <f t="shared" si="7"/>
        <v>0</v>
      </c>
      <c r="AI47">
        <f t="shared" si="8"/>
        <v>0</v>
      </c>
      <c r="AJ47">
        <f t="shared" si="9"/>
        <v>0</v>
      </c>
      <c r="AK47">
        <f t="shared" si="10"/>
        <v>0</v>
      </c>
      <c r="AL47">
        <f t="shared" si="11"/>
        <v>0</v>
      </c>
      <c r="AM47" s="219">
        <f t="shared" si="12"/>
        <v>10220</v>
      </c>
      <c r="AN47">
        <f t="shared" si="13"/>
        <v>10792</v>
      </c>
      <c r="AO47">
        <f t="shared" si="14"/>
        <v>10195</v>
      </c>
      <c r="AP47">
        <f t="shared" si="15"/>
        <v>7603</v>
      </c>
      <c r="AQ47">
        <f t="shared" si="16"/>
        <v>5282</v>
      </c>
      <c r="AR47">
        <f t="shared" si="17"/>
        <v>4429</v>
      </c>
      <c r="AS47">
        <f t="shared" si="18"/>
        <v>3623</v>
      </c>
      <c r="AT47">
        <f t="shared" si="19"/>
        <v>3050</v>
      </c>
      <c r="AU47">
        <f t="shared" si="20"/>
        <v>2944</v>
      </c>
      <c r="AV47">
        <f t="shared" si="21"/>
        <v>3414</v>
      </c>
      <c r="AW47">
        <f t="shared" si="22"/>
        <v>4491</v>
      </c>
      <c r="AX47">
        <f t="shared" si="23"/>
        <v>7136</v>
      </c>
      <c r="AY47" s="219">
        <f>AY247-1*(AY$164-AY$120-AY$121)-AY$120-AY$121</f>
        <v>3112</v>
      </c>
    </row>
    <row r="48" spans="1:51" x14ac:dyDescent="0.25">
      <c r="A48" s="113">
        <v>45</v>
      </c>
      <c r="B48" s="209" t="s">
        <v>559</v>
      </c>
      <c r="C48" s="113">
        <v>1931</v>
      </c>
      <c r="D48" s="113">
        <v>2013</v>
      </c>
      <c r="E48" s="212" t="s">
        <v>7</v>
      </c>
      <c r="F48" s="213" t="s">
        <v>291</v>
      </c>
      <c r="G48" s="113"/>
      <c r="H48" s="113"/>
      <c r="I48" s="113"/>
      <c r="J48" s="113"/>
      <c r="K48" s="113"/>
      <c r="N48" s="113">
        <f>MATCH(A48,Entrada!$A$53:$A$372,0)</f>
        <v>32</v>
      </c>
      <c r="O48">
        <f>IF(NOT(ISNA($N48)),INDEX(Entrada!$C$53:$N$372,$N48,O$2),0)</f>
        <v>10635</v>
      </c>
      <c r="P48">
        <f>IF(NOT(ISNA($N48)),INDEX(Entrada!$C$53:$N$372,$N48,P$2),0)</f>
        <v>11252</v>
      </c>
      <c r="Q48">
        <f>IF(NOT(ISNA($N48)),INDEX(Entrada!$C$53:$N$372,$N48,Q$2),0)</f>
        <v>10623</v>
      </c>
      <c r="R48">
        <f>IF(NOT(ISNA($N48)),INDEX(Entrada!$C$53:$N$372,$N48,R$2),0)</f>
        <v>7967</v>
      </c>
      <c r="S48">
        <f>IF(NOT(ISNA($N48)),INDEX(Entrada!$C$53:$N$372,$N48,S$2),0)</f>
        <v>5592</v>
      </c>
      <c r="T48">
        <f>IF(NOT(ISNA($N48)),INDEX(Entrada!$C$53:$N$372,$N48,T$2),0)</f>
        <v>4728</v>
      </c>
      <c r="U48" s="219">
        <f>IF(NOT(ISNA($N48)),INDEX(Entrada!$C$53:$N$372,$N48,U$2),0)</f>
        <v>3902</v>
      </c>
      <c r="V48" s="225">
        <f>IF(NOT(ISNA($N48)),INDEX(Entrada!$C$53:$N$372,$N48,V$2),0)</f>
        <v>3327</v>
      </c>
      <c r="W48" s="225">
        <f>IF(NOT(ISNA($N48)),INDEX(Entrada!$C$53:$N$372,$N48,W$2),0)</f>
        <v>3210</v>
      </c>
      <c r="X48" s="225">
        <f>IF(NOT(ISNA($N48)),INDEX(Entrada!$C$53:$N$372,$N48,X$2),0)</f>
        <v>3687</v>
      </c>
      <c r="Y48" s="225">
        <f>IF(NOT(ISNA($N48)),INDEX(Entrada!$C$53:$N$372,$N48,Y$2),0)</f>
        <v>4782</v>
      </c>
      <c r="Z48" s="225">
        <f>IF(NOT(ISNA($N48)),INDEX(Entrada!$C$53:$N$372,$N48,Z$2),0)</f>
        <v>7465</v>
      </c>
      <c r="AA48" s="113">
        <f t="shared" si="0"/>
        <v>0</v>
      </c>
      <c r="AB48">
        <f t="shared" si="1"/>
        <v>0</v>
      </c>
      <c r="AC48">
        <f t="shared" si="2"/>
        <v>0</v>
      </c>
      <c r="AD48">
        <f t="shared" si="3"/>
        <v>0</v>
      </c>
      <c r="AE48">
        <f t="shared" si="4"/>
        <v>0</v>
      </c>
      <c r="AF48">
        <f t="shared" si="5"/>
        <v>0</v>
      </c>
      <c r="AG48">
        <f t="shared" si="6"/>
        <v>0</v>
      </c>
      <c r="AH48">
        <f t="shared" si="7"/>
        <v>0</v>
      </c>
      <c r="AI48">
        <f t="shared" si="8"/>
        <v>0</v>
      </c>
      <c r="AJ48">
        <f t="shared" si="9"/>
        <v>0</v>
      </c>
      <c r="AK48">
        <f t="shared" si="10"/>
        <v>0</v>
      </c>
      <c r="AL48">
        <f t="shared" si="11"/>
        <v>0</v>
      </c>
      <c r="AM48" s="219">
        <f t="shared" si="12"/>
        <v>10635</v>
      </c>
      <c r="AN48">
        <f t="shared" si="13"/>
        <v>11252</v>
      </c>
      <c r="AO48">
        <f t="shared" si="14"/>
        <v>10623</v>
      </c>
      <c r="AP48">
        <f t="shared" si="15"/>
        <v>7967</v>
      </c>
      <c r="AQ48">
        <f t="shared" si="16"/>
        <v>5592</v>
      </c>
      <c r="AR48">
        <f t="shared" si="17"/>
        <v>4728</v>
      </c>
      <c r="AS48">
        <f t="shared" si="18"/>
        <v>3902</v>
      </c>
      <c r="AT48">
        <f t="shared" si="19"/>
        <v>3327</v>
      </c>
      <c r="AU48">
        <f t="shared" si="20"/>
        <v>3210</v>
      </c>
      <c r="AV48">
        <f t="shared" si="21"/>
        <v>3687</v>
      </c>
      <c r="AW48">
        <f t="shared" si="22"/>
        <v>4782</v>
      </c>
      <c r="AX48">
        <f t="shared" si="23"/>
        <v>7465</v>
      </c>
      <c r="AY48" s="219">
        <f>AY248-1*(AY$164-AY$120-AY$121)-AY$120-AY$121</f>
        <v>0</v>
      </c>
    </row>
    <row r="49" spans="1:51" x14ac:dyDescent="0.25">
      <c r="A49" s="113">
        <v>46</v>
      </c>
      <c r="B49" s="209" t="s">
        <v>560</v>
      </c>
      <c r="C49" s="113">
        <v>1931</v>
      </c>
      <c r="D49" s="113">
        <v>2013</v>
      </c>
      <c r="E49" s="212" t="s">
        <v>7</v>
      </c>
      <c r="F49" s="213" t="s">
        <v>291</v>
      </c>
      <c r="G49" s="113"/>
      <c r="H49" s="113"/>
      <c r="I49" s="113"/>
      <c r="J49" s="113"/>
      <c r="K49" s="113"/>
      <c r="N49" s="113">
        <f>MATCH(A49,Entrada!$A$53:$A$372,0)</f>
        <v>33</v>
      </c>
      <c r="O49">
        <f>IF(NOT(ISNA($N49)),INDEX(Entrada!$C$53:$N$372,$N49,O$2),0)</f>
        <v>11501</v>
      </c>
      <c r="P49">
        <f>IF(NOT(ISNA($N49)),INDEX(Entrada!$C$53:$N$372,$N49,P$2),0)</f>
        <v>12373</v>
      </c>
      <c r="Q49">
        <f>IF(NOT(ISNA($N49)),INDEX(Entrada!$C$53:$N$372,$N49,Q$2),0)</f>
        <v>11723</v>
      </c>
      <c r="R49">
        <f>IF(NOT(ISNA($N49)),INDEX(Entrada!$C$53:$N$372,$N49,R$2),0)</f>
        <v>9005</v>
      </c>
      <c r="S49">
        <f>IF(NOT(ISNA($N49)),INDEX(Entrada!$C$53:$N$372,$N49,S$2),0)</f>
        <v>6480</v>
      </c>
      <c r="T49">
        <f>IF(NOT(ISNA($N49)),INDEX(Entrada!$C$53:$N$372,$N49,T$2),0)</f>
        <v>5615</v>
      </c>
      <c r="U49" s="219">
        <f>IF(NOT(ISNA($N49)),INDEX(Entrada!$C$53:$N$372,$N49,U$2),0)</f>
        <v>4616</v>
      </c>
      <c r="V49" s="225">
        <f>IF(NOT(ISNA($N49)),INDEX(Entrada!$C$53:$N$372,$N49,V$2),0)</f>
        <v>3934</v>
      </c>
      <c r="W49" s="225">
        <f>IF(NOT(ISNA($N49)),INDEX(Entrada!$C$53:$N$372,$N49,W$2),0)</f>
        <v>3816</v>
      </c>
      <c r="X49" s="225">
        <f>IF(NOT(ISNA($N49)),INDEX(Entrada!$C$53:$N$372,$N49,X$2),0)</f>
        <v>4347</v>
      </c>
      <c r="Y49" s="225">
        <f>IF(NOT(ISNA($N49)),INDEX(Entrada!$C$53:$N$372,$N49,Y$2),0)</f>
        <v>5440</v>
      </c>
      <c r="Z49" s="225">
        <f>IF(NOT(ISNA($N49)),INDEX(Entrada!$C$53:$N$372,$N49,Z$2),0)</f>
        <v>8117</v>
      </c>
      <c r="AA49" s="113">
        <f t="shared" si="0"/>
        <v>0</v>
      </c>
      <c r="AB49">
        <f t="shared" si="1"/>
        <v>0</v>
      </c>
      <c r="AC49">
        <f t="shared" si="2"/>
        <v>0</v>
      </c>
      <c r="AD49">
        <f t="shared" si="3"/>
        <v>0</v>
      </c>
      <c r="AE49">
        <f t="shared" si="4"/>
        <v>0</v>
      </c>
      <c r="AF49">
        <f t="shared" si="5"/>
        <v>0</v>
      </c>
      <c r="AG49">
        <f t="shared" si="6"/>
        <v>0</v>
      </c>
      <c r="AH49">
        <f t="shared" si="7"/>
        <v>0</v>
      </c>
      <c r="AI49">
        <f t="shared" si="8"/>
        <v>0</v>
      </c>
      <c r="AJ49">
        <f t="shared" si="9"/>
        <v>0</v>
      </c>
      <c r="AK49">
        <f t="shared" si="10"/>
        <v>0</v>
      </c>
      <c r="AL49">
        <f t="shared" si="11"/>
        <v>0</v>
      </c>
      <c r="AM49" s="219">
        <f t="shared" si="12"/>
        <v>11501</v>
      </c>
      <c r="AN49">
        <f t="shared" si="13"/>
        <v>12373</v>
      </c>
      <c r="AO49">
        <f t="shared" si="14"/>
        <v>11723</v>
      </c>
      <c r="AP49">
        <f t="shared" si="15"/>
        <v>9005</v>
      </c>
      <c r="AQ49">
        <f t="shared" si="16"/>
        <v>6480</v>
      </c>
      <c r="AR49">
        <f t="shared" si="17"/>
        <v>5615</v>
      </c>
      <c r="AS49">
        <f t="shared" si="18"/>
        <v>4616</v>
      </c>
      <c r="AT49">
        <f t="shared" si="19"/>
        <v>3934</v>
      </c>
      <c r="AU49">
        <f t="shared" si="20"/>
        <v>3816</v>
      </c>
      <c r="AV49">
        <f t="shared" si="21"/>
        <v>4347</v>
      </c>
      <c r="AW49">
        <f t="shared" si="22"/>
        <v>5440</v>
      </c>
      <c r="AX49">
        <f t="shared" si="23"/>
        <v>8117</v>
      </c>
      <c r="AY49" s="219">
        <f>AY249-1*(AY$164-AY$120-AY$121)-AY$120-AY$121</f>
        <v>0</v>
      </c>
    </row>
    <row r="50" spans="1:51" x14ac:dyDescent="0.25">
      <c r="A50" s="113">
        <v>47</v>
      </c>
      <c r="B50" s="209" t="s">
        <v>561</v>
      </c>
      <c r="C50" s="113">
        <v>1931</v>
      </c>
      <c r="D50" s="113">
        <v>2013</v>
      </c>
      <c r="E50" s="210" t="s">
        <v>5</v>
      </c>
      <c r="F50" s="210" t="s">
        <v>307</v>
      </c>
      <c r="G50" s="113"/>
      <c r="H50" s="113"/>
      <c r="I50" s="113"/>
      <c r="J50" s="113"/>
      <c r="K50" s="113"/>
      <c r="N50" s="113">
        <f>MATCH(A50,Entrada!$A$53:$A$372,0)</f>
        <v>34</v>
      </c>
      <c r="O50">
        <f>IF(NOT(ISNA($N50)),INDEX(Entrada!$C$53:$N$372,$N50,O$2),0)</f>
        <v>327</v>
      </c>
      <c r="P50">
        <f>IF(NOT(ISNA($N50)),INDEX(Entrada!$C$53:$N$372,$N50,P$2),0)</f>
        <v>368</v>
      </c>
      <c r="Q50">
        <f>IF(NOT(ISNA($N50)),INDEX(Entrada!$C$53:$N$372,$N50,Q$2),0)</f>
        <v>312</v>
      </c>
      <c r="R50">
        <f>IF(NOT(ISNA($N50)),INDEX(Entrada!$C$53:$N$372,$N50,R$2),0)</f>
        <v>220</v>
      </c>
      <c r="S50">
        <f>IF(NOT(ISNA($N50)),INDEX(Entrada!$C$53:$N$372,$N50,S$2),0)</f>
        <v>193</v>
      </c>
      <c r="T50">
        <f>IF(NOT(ISNA($N50)),INDEX(Entrada!$C$53:$N$372,$N50,T$2),0)</f>
        <v>201</v>
      </c>
      <c r="U50">
        <f>IF(NOT(ISNA($N50)),INDEX(Entrada!$C$53:$N$372,$N50,U$2),0)</f>
        <v>177</v>
      </c>
      <c r="V50" s="225">
        <f>IF(NOT(ISNA($N50)),INDEX(Entrada!$C$53:$N$372,$N50,V$2),0)</f>
        <v>148</v>
      </c>
      <c r="W50" s="225">
        <f>IF(NOT(ISNA($N50)),INDEX(Entrada!$C$53:$N$372,$N50,W$2),0)</f>
        <v>159</v>
      </c>
      <c r="X50" s="225">
        <f>IF(NOT(ISNA($N50)),INDEX(Entrada!$C$53:$N$372,$N50,X$2),0)</f>
        <v>191</v>
      </c>
      <c r="Y50" s="225">
        <f>IF(NOT(ISNA($N50)),INDEX(Entrada!$C$53:$N$372,$N50,Y$2),0)</f>
        <v>181</v>
      </c>
      <c r="Z50" s="225">
        <f>IF(NOT(ISNA($N50)),INDEX(Entrada!$C$53:$N$372,$N50,Z$2),0)</f>
        <v>233</v>
      </c>
      <c r="AA50" s="113">
        <f t="shared" si="0"/>
        <v>0</v>
      </c>
      <c r="AB50">
        <f t="shared" si="1"/>
        <v>0</v>
      </c>
      <c r="AC50">
        <f t="shared" si="2"/>
        <v>0</v>
      </c>
      <c r="AD50">
        <f t="shared" si="3"/>
        <v>0</v>
      </c>
      <c r="AE50">
        <f t="shared" si="4"/>
        <v>0</v>
      </c>
      <c r="AF50">
        <f t="shared" si="5"/>
        <v>0</v>
      </c>
      <c r="AG50">
        <f t="shared" si="6"/>
        <v>0</v>
      </c>
      <c r="AH50">
        <f t="shared" si="7"/>
        <v>0</v>
      </c>
      <c r="AI50">
        <f t="shared" si="8"/>
        <v>0</v>
      </c>
      <c r="AJ50">
        <f t="shared" si="9"/>
        <v>0</v>
      </c>
      <c r="AK50">
        <f t="shared" si="10"/>
        <v>0</v>
      </c>
      <c r="AL50">
        <f t="shared" si="11"/>
        <v>0</v>
      </c>
      <c r="AM50" s="113">
        <f t="shared" si="12"/>
        <v>327</v>
      </c>
      <c r="AN50">
        <f t="shared" si="13"/>
        <v>368</v>
      </c>
      <c r="AO50">
        <f t="shared" si="14"/>
        <v>312</v>
      </c>
      <c r="AP50">
        <f t="shared" si="15"/>
        <v>220</v>
      </c>
      <c r="AQ50">
        <f t="shared" si="16"/>
        <v>193</v>
      </c>
      <c r="AR50">
        <f t="shared" si="17"/>
        <v>201</v>
      </c>
      <c r="AS50">
        <f t="shared" si="18"/>
        <v>177</v>
      </c>
      <c r="AT50">
        <f t="shared" si="19"/>
        <v>148</v>
      </c>
      <c r="AU50">
        <f t="shared" si="20"/>
        <v>159</v>
      </c>
      <c r="AV50">
        <f t="shared" si="21"/>
        <v>191</v>
      </c>
      <c r="AW50">
        <f t="shared" si="22"/>
        <v>181</v>
      </c>
      <c r="AX50">
        <f t="shared" si="23"/>
        <v>233</v>
      </c>
    </row>
    <row r="51" spans="1:51" x14ac:dyDescent="0.25">
      <c r="A51" s="113">
        <v>48</v>
      </c>
      <c r="B51" s="209" t="s">
        <v>562</v>
      </c>
      <c r="C51" s="113">
        <v>1931</v>
      </c>
      <c r="D51" s="113">
        <v>2013</v>
      </c>
      <c r="E51" s="210" t="s">
        <v>5</v>
      </c>
      <c r="F51" s="210" t="s">
        <v>307</v>
      </c>
      <c r="G51" s="113">
        <v>47</v>
      </c>
      <c r="H51" s="113"/>
      <c r="I51" s="113"/>
      <c r="J51" s="113"/>
      <c r="K51" s="113"/>
      <c r="N51" s="113">
        <f>MATCH(A51,Entrada!$A$53:$A$372,0)</f>
        <v>35</v>
      </c>
      <c r="O51">
        <f>IF(NOT(ISNA($N51)),INDEX(Entrada!$C$53:$N$372,$N51,O$2),0)</f>
        <v>334</v>
      </c>
      <c r="P51">
        <f>IF(NOT(ISNA($N51)),INDEX(Entrada!$C$53:$N$372,$N51,P$2),0)</f>
        <v>377</v>
      </c>
      <c r="Q51">
        <f>IF(NOT(ISNA($N51)),INDEX(Entrada!$C$53:$N$372,$N51,Q$2),0)</f>
        <v>320</v>
      </c>
      <c r="R51">
        <f>IF(NOT(ISNA($N51)),INDEX(Entrada!$C$53:$N$372,$N51,R$2),0)</f>
        <v>226</v>
      </c>
      <c r="S51">
        <f>IF(NOT(ISNA($N51)),INDEX(Entrada!$C$53:$N$372,$N51,S$2),0)</f>
        <v>197</v>
      </c>
      <c r="T51">
        <f>IF(NOT(ISNA($N51)),INDEX(Entrada!$C$53:$N$372,$N51,T$2),0)</f>
        <v>207</v>
      </c>
      <c r="U51">
        <f>IF(NOT(ISNA($N51)),INDEX(Entrada!$C$53:$N$372,$N51,U$2),0)</f>
        <v>181</v>
      </c>
      <c r="V51" s="225">
        <f>IF(NOT(ISNA($N51)),INDEX(Entrada!$C$53:$N$372,$N51,V$2),0)</f>
        <v>151</v>
      </c>
      <c r="W51" s="225">
        <f>IF(NOT(ISNA($N51)),INDEX(Entrada!$C$53:$N$372,$N51,W$2),0)</f>
        <v>163</v>
      </c>
      <c r="X51" s="225">
        <f>IF(NOT(ISNA($N51)),INDEX(Entrada!$C$53:$N$372,$N51,X$2),0)</f>
        <v>196</v>
      </c>
      <c r="Y51" s="225">
        <f>IF(NOT(ISNA($N51)),INDEX(Entrada!$C$53:$N$372,$N51,Y$2),0)</f>
        <v>186</v>
      </c>
      <c r="Z51" s="225">
        <f>IF(NOT(ISNA($N51)),INDEX(Entrada!$C$53:$N$372,$N51,Z$2),0)</f>
        <v>238</v>
      </c>
      <c r="AA51" s="113">
        <f t="shared" si="0"/>
        <v>327</v>
      </c>
      <c r="AB51">
        <f t="shared" si="1"/>
        <v>368</v>
      </c>
      <c r="AC51">
        <f t="shared" si="2"/>
        <v>312</v>
      </c>
      <c r="AD51">
        <f t="shared" si="3"/>
        <v>220</v>
      </c>
      <c r="AE51">
        <f t="shared" si="4"/>
        <v>193</v>
      </c>
      <c r="AF51">
        <f t="shared" si="5"/>
        <v>201</v>
      </c>
      <c r="AG51">
        <f t="shared" si="6"/>
        <v>177</v>
      </c>
      <c r="AH51">
        <f t="shared" si="7"/>
        <v>148</v>
      </c>
      <c r="AI51">
        <f t="shared" si="8"/>
        <v>159</v>
      </c>
      <c r="AJ51">
        <f t="shared" si="9"/>
        <v>191</v>
      </c>
      <c r="AK51">
        <f t="shared" si="10"/>
        <v>181</v>
      </c>
      <c r="AL51">
        <f t="shared" si="11"/>
        <v>233</v>
      </c>
      <c r="AM51" s="113">
        <f t="shared" si="12"/>
        <v>7</v>
      </c>
      <c r="AN51">
        <f t="shared" si="13"/>
        <v>9</v>
      </c>
      <c r="AO51">
        <f t="shared" si="14"/>
        <v>8</v>
      </c>
      <c r="AP51">
        <f t="shared" si="15"/>
        <v>6</v>
      </c>
      <c r="AQ51">
        <f t="shared" si="16"/>
        <v>4</v>
      </c>
      <c r="AR51">
        <f t="shared" si="17"/>
        <v>6</v>
      </c>
      <c r="AS51">
        <f t="shared" si="18"/>
        <v>4</v>
      </c>
      <c r="AT51">
        <f t="shared" si="19"/>
        <v>3</v>
      </c>
      <c r="AU51">
        <f t="shared" si="20"/>
        <v>4</v>
      </c>
      <c r="AV51">
        <f t="shared" si="21"/>
        <v>5</v>
      </c>
      <c r="AW51">
        <f t="shared" si="22"/>
        <v>5</v>
      </c>
      <c r="AX51">
        <f t="shared" si="23"/>
        <v>5</v>
      </c>
    </row>
    <row r="52" spans="1:51" x14ac:dyDescent="0.25">
      <c r="A52" s="113">
        <v>49</v>
      </c>
      <c r="B52" s="209" t="s">
        <v>563</v>
      </c>
      <c r="C52" s="113">
        <v>1931</v>
      </c>
      <c r="D52" s="113">
        <v>2013</v>
      </c>
      <c r="E52" s="210" t="s">
        <v>5</v>
      </c>
      <c r="F52" s="210" t="s">
        <v>307</v>
      </c>
      <c r="G52" s="113">
        <v>48</v>
      </c>
      <c r="H52" s="113"/>
      <c r="I52" s="113"/>
      <c r="J52" s="113"/>
      <c r="K52" s="113"/>
      <c r="N52" s="113">
        <f>MATCH(A52,Entrada!$A$53:$A$372,0)</f>
        <v>36</v>
      </c>
      <c r="O52">
        <f>IF(NOT(ISNA($N52)),INDEX(Entrada!$C$53:$N$372,$N52,O$2),0)</f>
        <v>506</v>
      </c>
      <c r="P52">
        <f>IF(NOT(ISNA($N52)),INDEX(Entrada!$C$53:$N$372,$N52,P$2),0)</f>
        <v>547</v>
      </c>
      <c r="Q52">
        <f>IF(NOT(ISNA($N52)),INDEX(Entrada!$C$53:$N$372,$N52,Q$2),0)</f>
        <v>453</v>
      </c>
      <c r="R52">
        <f>IF(NOT(ISNA($N52)),INDEX(Entrada!$C$53:$N$372,$N52,R$2),0)</f>
        <v>326</v>
      </c>
      <c r="S52">
        <f>IF(NOT(ISNA($N52)),INDEX(Entrada!$C$53:$N$372,$N52,S$2),0)</f>
        <v>301</v>
      </c>
      <c r="T52">
        <f>IF(NOT(ISNA($N52)),INDEX(Entrada!$C$53:$N$372,$N52,T$2),0)</f>
        <v>314</v>
      </c>
      <c r="U52">
        <f>IF(NOT(ISNA($N52)),INDEX(Entrada!$C$53:$N$372,$N52,U$2),0)</f>
        <v>277</v>
      </c>
      <c r="V52" s="225">
        <f>IF(NOT(ISNA($N52)),INDEX(Entrada!$C$53:$N$372,$N52,V$2),0)</f>
        <v>229</v>
      </c>
      <c r="W52" s="225">
        <f>IF(NOT(ISNA($N52)),INDEX(Entrada!$C$53:$N$372,$N52,W$2),0)</f>
        <v>255</v>
      </c>
      <c r="X52" s="225">
        <f>IF(NOT(ISNA($N52)),INDEX(Entrada!$C$53:$N$372,$N52,X$2),0)</f>
        <v>305</v>
      </c>
      <c r="Y52" s="225">
        <f>IF(NOT(ISNA($N52)),INDEX(Entrada!$C$53:$N$372,$N52,Y$2),0)</f>
        <v>282</v>
      </c>
      <c r="Z52" s="225">
        <f>IF(NOT(ISNA($N52)),INDEX(Entrada!$C$53:$N$372,$N52,Z$2),0)</f>
        <v>351</v>
      </c>
      <c r="AA52" s="113">
        <f t="shared" si="0"/>
        <v>334</v>
      </c>
      <c r="AB52">
        <f t="shared" si="1"/>
        <v>377</v>
      </c>
      <c r="AC52">
        <f t="shared" si="2"/>
        <v>320</v>
      </c>
      <c r="AD52">
        <f t="shared" si="3"/>
        <v>226</v>
      </c>
      <c r="AE52">
        <f t="shared" si="4"/>
        <v>197</v>
      </c>
      <c r="AF52">
        <f t="shared" si="5"/>
        <v>207</v>
      </c>
      <c r="AG52">
        <f t="shared" si="6"/>
        <v>181</v>
      </c>
      <c r="AH52">
        <f t="shared" si="7"/>
        <v>151</v>
      </c>
      <c r="AI52">
        <f t="shared" si="8"/>
        <v>163</v>
      </c>
      <c r="AJ52">
        <f t="shared" si="9"/>
        <v>196</v>
      </c>
      <c r="AK52">
        <f t="shared" si="10"/>
        <v>186</v>
      </c>
      <c r="AL52">
        <f t="shared" si="11"/>
        <v>238</v>
      </c>
      <c r="AM52" s="113">
        <f t="shared" si="12"/>
        <v>172</v>
      </c>
      <c r="AN52">
        <f t="shared" si="13"/>
        <v>170</v>
      </c>
      <c r="AO52">
        <f t="shared" si="14"/>
        <v>133</v>
      </c>
      <c r="AP52">
        <f t="shared" si="15"/>
        <v>100</v>
      </c>
      <c r="AQ52">
        <f t="shared" si="16"/>
        <v>104</v>
      </c>
      <c r="AR52">
        <f t="shared" si="17"/>
        <v>107</v>
      </c>
      <c r="AS52">
        <f t="shared" si="18"/>
        <v>96</v>
      </c>
      <c r="AT52">
        <f t="shared" si="19"/>
        <v>78</v>
      </c>
      <c r="AU52">
        <f t="shared" si="20"/>
        <v>92</v>
      </c>
      <c r="AV52">
        <f t="shared" si="21"/>
        <v>109</v>
      </c>
      <c r="AW52">
        <f t="shared" si="22"/>
        <v>96</v>
      </c>
      <c r="AX52">
        <f t="shared" si="23"/>
        <v>113</v>
      </c>
    </row>
    <row r="53" spans="1:51" x14ac:dyDescent="0.25">
      <c r="A53" s="113">
        <v>50</v>
      </c>
      <c r="B53" s="209" t="s">
        <v>564</v>
      </c>
      <c r="C53" s="113">
        <v>1931</v>
      </c>
      <c r="D53" s="113">
        <v>2013</v>
      </c>
      <c r="E53" s="210" t="s">
        <v>5</v>
      </c>
      <c r="F53" s="210" t="s">
        <v>307</v>
      </c>
      <c r="G53" s="113">
        <v>249</v>
      </c>
      <c r="H53" s="113"/>
      <c r="I53" s="113"/>
      <c r="J53" s="113"/>
      <c r="K53" s="113"/>
      <c r="N53" s="113">
        <f>MATCH(A53,Entrada!$A$53:$A$372,0)</f>
        <v>37</v>
      </c>
      <c r="O53">
        <f>IF(NOT(ISNA($N53)),INDEX(Entrada!$C$53:$N$372,$N53,O$2),0)</f>
        <v>655</v>
      </c>
      <c r="P53">
        <f>IF(NOT(ISNA($N53)),INDEX(Entrada!$C$53:$N$372,$N53,P$2),0)</f>
        <v>716</v>
      </c>
      <c r="Q53">
        <f>IF(NOT(ISNA($N53)),INDEX(Entrada!$C$53:$N$372,$N53,Q$2),0)</f>
        <v>606</v>
      </c>
      <c r="R53">
        <f>IF(NOT(ISNA($N53)),INDEX(Entrada!$C$53:$N$372,$N53,R$2),0)</f>
        <v>448</v>
      </c>
      <c r="S53">
        <f>IF(NOT(ISNA($N53)),INDEX(Entrada!$C$53:$N$372,$N53,S$2),0)</f>
        <v>409</v>
      </c>
      <c r="T53">
        <f>IF(NOT(ISNA($N53)),INDEX(Entrada!$C$53:$N$372,$N53,T$2),0)</f>
        <v>425</v>
      </c>
      <c r="U53">
        <f>IF(NOT(ISNA($N53)),INDEX(Entrada!$C$53:$N$372,$N53,U$2),0)</f>
        <v>370</v>
      </c>
      <c r="V53" s="225">
        <f>IF(NOT(ISNA($N53)),INDEX(Entrada!$C$53:$N$372,$N53,V$2),0)</f>
        <v>310</v>
      </c>
      <c r="W53" s="225">
        <f>IF(NOT(ISNA($N53)),INDEX(Entrada!$C$53:$N$372,$N53,W$2),0)</f>
        <v>338</v>
      </c>
      <c r="X53" s="225">
        <f>IF(NOT(ISNA($N53)),INDEX(Entrada!$C$53:$N$372,$N53,X$2),0)</f>
        <v>399</v>
      </c>
      <c r="Y53" s="225">
        <f>IF(NOT(ISNA($N53)),INDEX(Entrada!$C$53:$N$372,$N53,Y$2),0)</f>
        <v>375</v>
      </c>
      <c r="Z53" s="225">
        <f>IF(NOT(ISNA($N53)),INDEX(Entrada!$C$53:$N$372,$N53,Z$2),0)</f>
        <v>464</v>
      </c>
      <c r="AA53" s="113">
        <f t="shared" si="0"/>
        <v>512</v>
      </c>
      <c r="AB53">
        <f t="shared" si="1"/>
        <v>553</v>
      </c>
      <c r="AC53">
        <f t="shared" si="2"/>
        <v>458</v>
      </c>
      <c r="AD53">
        <f t="shared" si="3"/>
        <v>331</v>
      </c>
      <c r="AE53">
        <f t="shared" si="4"/>
        <v>305</v>
      </c>
      <c r="AF53">
        <f t="shared" si="5"/>
        <v>319</v>
      </c>
      <c r="AG53">
        <f t="shared" si="6"/>
        <v>281</v>
      </c>
      <c r="AH53">
        <f t="shared" si="7"/>
        <v>232</v>
      </c>
      <c r="AI53">
        <f t="shared" si="8"/>
        <v>258</v>
      </c>
      <c r="AJ53">
        <f t="shared" si="9"/>
        <v>309</v>
      </c>
      <c r="AK53">
        <f t="shared" si="10"/>
        <v>286</v>
      </c>
      <c r="AL53">
        <f t="shared" si="11"/>
        <v>355</v>
      </c>
      <c r="AM53" s="113">
        <f t="shared" si="12"/>
        <v>143</v>
      </c>
      <c r="AN53">
        <f t="shared" si="13"/>
        <v>163</v>
      </c>
      <c r="AO53">
        <f t="shared" si="14"/>
        <v>148</v>
      </c>
      <c r="AP53">
        <f t="shared" si="15"/>
        <v>117</v>
      </c>
      <c r="AQ53">
        <f t="shared" si="16"/>
        <v>104</v>
      </c>
      <c r="AR53">
        <f t="shared" si="17"/>
        <v>106</v>
      </c>
      <c r="AS53">
        <f t="shared" si="18"/>
        <v>89</v>
      </c>
      <c r="AT53">
        <f t="shared" si="19"/>
        <v>78</v>
      </c>
      <c r="AU53">
        <f t="shared" si="20"/>
        <v>80</v>
      </c>
      <c r="AV53">
        <f t="shared" si="21"/>
        <v>90</v>
      </c>
      <c r="AW53">
        <f t="shared" si="22"/>
        <v>89</v>
      </c>
      <c r="AX53">
        <f t="shared" si="23"/>
        <v>109</v>
      </c>
    </row>
    <row r="54" spans="1:51" x14ac:dyDescent="0.25">
      <c r="A54" s="113">
        <v>51</v>
      </c>
      <c r="B54" s="209" t="s">
        <v>565</v>
      </c>
      <c r="C54" s="113">
        <v>1931</v>
      </c>
      <c r="D54" s="113">
        <v>2013</v>
      </c>
      <c r="E54" s="210" t="s">
        <v>5</v>
      </c>
      <c r="F54" s="210" t="s">
        <v>307</v>
      </c>
      <c r="G54" s="113">
        <v>50</v>
      </c>
      <c r="H54" s="113"/>
      <c r="I54" s="113"/>
      <c r="J54" s="113"/>
      <c r="K54" s="113"/>
      <c r="N54" s="113">
        <f>MATCH(A54,Entrada!$A$53:$A$372,0)</f>
        <v>38</v>
      </c>
      <c r="O54">
        <f>IF(NOT(ISNA($N54)),INDEX(Entrada!$C$53:$N$372,$N54,O$2),0)</f>
        <v>665</v>
      </c>
      <c r="P54">
        <f>IF(NOT(ISNA($N54)),INDEX(Entrada!$C$53:$N$372,$N54,P$2),0)</f>
        <v>729</v>
      </c>
      <c r="Q54">
        <f>IF(NOT(ISNA($N54)),INDEX(Entrada!$C$53:$N$372,$N54,Q$2),0)</f>
        <v>618</v>
      </c>
      <c r="R54">
        <f>IF(NOT(ISNA($N54)),INDEX(Entrada!$C$53:$N$372,$N54,R$2),0)</f>
        <v>457</v>
      </c>
      <c r="S54">
        <f>IF(NOT(ISNA($N54)),INDEX(Entrada!$C$53:$N$372,$N54,S$2),0)</f>
        <v>417</v>
      </c>
      <c r="T54">
        <f>IF(NOT(ISNA($N54)),INDEX(Entrada!$C$53:$N$372,$N54,T$2),0)</f>
        <v>434</v>
      </c>
      <c r="U54">
        <f>IF(NOT(ISNA($N54)),INDEX(Entrada!$C$53:$N$372,$N54,U$2),0)</f>
        <v>377</v>
      </c>
      <c r="V54" s="225">
        <f>IF(NOT(ISNA($N54)),INDEX(Entrada!$C$53:$N$372,$N54,V$2),0)</f>
        <v>316</v>
      </c>
      <c r="W54" s="225">
        <f>IF(NOT(ISNA($N54)),INDEX(Entrada!$C$53:$N$372,$N54,W$2),0)</f>
        <v>345</v>
      </c>
      <c r="X54" s="225">
        <f>IF(NOT(ISNA($N54)),INDEX(Entrada!$C$53:$N$372,$N54,X$2),0)</f>
        <v>407</v>
      </c>
      <c r="Y54" s="225">
        <f>IF(NOT(ISNA($N54)),INDEX(Entrada!$C$53:$N$372,$N54,Y$2),0)</f>
        <v>383</v>
      </c>
      <c r="Z54" s="225">
        <f>IF(NOT(ISNA($N54)),INDEX(Entrada!$C$53:$N$372,$N54,Z$2),0)</f>
        <v>472</v>
      </c>
      <c r="AA54" s="113">
        <f t="shared" si="0"/>
        <v>655</v>
      </c>
      <c r="AB54">
        <f t="shared" si="1"/>
        <v>716</v>
      </c>
      <c r="AC54">
        <f t="shared" si="2"/>
        <v>606</v>
      </c>
      <c r="AD54">
        <f t="shared" si="3"/>
        <v>448</v>
      </c>
      <c r="AE54">
        <f t="shared" si="4"/>
        <v>409</v>
      </c>
      <c r="AF54">
        <f t="shared" si="5"/>
        <v>425</v>
      </c>
      <c r="AG54">
        <f t="shared" si="6"/>
        <v>370</v>
      </c>
      <c r="AH54">
        <f t="shared" si="7"/>
        <v>310</v>
      </c>
      <c r="AI54">
        <f t="shared" si="8"/>
        <v>338</v>
      </c>
      <c r="AJ54">
        <f t="shared" si="9"/>
        <v>399</v>
      </c>
      <c r="AK54">
        <f t="shared" si="10"/>
        <v>375</v>
      </c>
      <c r="AL54">
        <f t="shared" si="11"/>
        <v>464</v>
      </c>
      <c r="AM54" s="113">
        <f t="shared" si="12"/>
        <v>10</v>
      </c>
      <c r="AN54">
        <f t="shared" si="13"/>
        <v>13</v>
      </c>
      <c r="AO54">
        <f t="shared" si="14"/>
        <v>12</v>
      </c>
      <c r="AP54">
        <f t="shared" si="15"/>
        <v>9</v>
      </c>
      <c r="AQ54">
        <f t="shared" si="16"/>
        <v>8</v>
      </c>
      <c r="AR54">
        <f t="shared" si="17"/>
        <v>9</v>
      </c>
      <c r="AS54">
        <f t="shared" si="18"/>
        <v>7</v>
      </c>
      <c r="AT54">
        <f t="shared" si="19"/>
        <v>6</v>
      </c>
      <c r="AU54">
        <f t="shared" si="20"/>
        <v>7</v>
      </c>
      <c r="AV54">
        <f t="shared" si="21"/>
        <v>8</v>
      </c>
      <c r="AW54">
        <f t="shared" si="22"/>
        <v>8</v>
      </c>
      <c r="AX54">
        <f t="shared" si="23"/>
        <v>8</v>
      </c>
    </row>
    <row r="55" spans="1:51" x14ac:dyDescent="0.25">
      <c r="A55" s="113">
        <v>52</v>
      </c>
      <c r="B55" s="209" t="s">
        <v>566</v>
      </c>
      <c r="C55" s="113">
        <v>1931</v>
      </c>
      <c r="D55" s="113">
        <v>2013</v>
      </c>
      <c r="E55" s="210" t="s">
        <v>5</v>
      </c>
      <c r="F55" s="210" t="s">
        <v>307</v>
      </c>
      <c r="G55" s="113">
        <v>51</v>
      </c>
      <c r="H55" s="113"/>
      <c r="I55" s="113"/>
      <c r="J55" s="113"/>
      <c r="K55" s="113"/>
      <c r="N55" s="113">
        <f>MATCH(A55,Entrada!$A$53:$A$372,0)</f>
        <v>39</v>
      </c>
      <c r="O55">
        <f>IF(NOT(ISNA($N55)),INDEX(Entrada!$C$53:$N$372,$N55,O$2),0)</f>
        <v>688</v>
      </c>
      <c r="P55">
        <f>IF(NOT(ISNA($N55)),INDEX(Entrada!$C$53:$N$372,$N55,P$2),0)</f>
        <v>756</v>
      </c>
      <c r="Q55">
        <f>IF(NOT(ISNA($N55)),INDEX(Entrada!$C$53:$N$372,$N55,Q$2),0)</f>
        <v>642</v>
      </c>
      <c r="R55">
        <f>IF(NOT(ISNA($N55)),INDEX(Entrada!$C$53:$N$372,$N55,R$2),0)</f>
        <v>477</v>
      </c>
      <c r="S55">
        <f>IF(NOT(ISNA($N55)),INDEX(Entrada!$C$53:$N$372,$N55,S$2),0)</f>
        <v>434</v>
      </c>
      <c r="T55">
        <f>IF(NOT(ISNA($N55)),INDEX(Entrada!$C$53:$N$372,$N55,T$2),0)</f>
        <v>452</v>
      </c>
      <c r="U55">
        <f>IF(NOT(ISNA($N55)),INDEX(Entrada!$C$53:$N$372,$N55,U$2),0)</f>
        <v>392</v>
      </c>
      <c r="V55" s="225">
        <f>IF(NOT(ISNA($N55)),INDEX(Entrada!$C$53:$N$372,$N55,V$2),0)</f>
        <v>329</v>
      </c>
      <c r="W55" s="225">
        <f>IF(NOT(ISNA($N55)),INDEX(Entrada!$C$53:$N$372,$N55,W$2),0)</f>
        <v>358</v>
      </c>
      <c r="X55" s="225">
        <f>IF(NOT(ISNA($N55)),INDEX(Entrada!$C$53:$N$372,$N55,X$2),0)</f>
        <v>422</v>
      </c>
      <c r="Y55" s="225">
        <f>IF(NOT(ISNA($N55)),INDEX(Entrada!$C$53:$N$372,$N55,Y$2),0)</f>
        <v>398</v>
      </c>
      <c r="Z55" s="225">
        <f>IF(NOT(ISNA($N55)),INDEX(Entrada!$C$53:$N$372,$N55,Z$2),0)</f>
        <v>490</v>
      </c>
      <c r="AA55" s="113">
        <f t="shared" si="0"/>
        <v>665</v>
      </c>
      <c r="AB55">
        <f t="shared" si="1"/>
        <v>729</v>
      </c>
      <c r="AC55">
        <f t="shared" si="2"/>
        <v>618</v>
      </c>
      <c r="AD55">
        <f t="shared" si="3"/>
        <v>457</v>
      </c>
      <c r="AE55">
        <f t="shared" si="4"/>
        <v>417</v>
      </c>
      <c r="AF55">
        <f t="shared" si="5"/>
        <v>434</v>
      </c>
      <c r="AG55">
        <f t="shared" si="6"/>
        <v>377</v>
      </c>
      <c r="AH55">
        <f t="shared" si="7"/>
        <v>316</v>
      </c>
      <c r="AI55">
        <f t="shared" si="8"/>
        <v>345</v>
      </c>
      <c r="AJ55">
        <f t="shared" si="9"/>
        <v>407</v>
      </c>
      <c r="AK55">
        <f t="shared" si="10"/>
        <v>383</v>
      </c>
      <c r="AL55">
        <f t="shared" si="11"/>
        <v>472</v>
      </c>
      <c r="AM55" s="113">
        <f t="shared" si="12"/>
        <v>23</v>
      </c>
      <c r="AN55">
        <f t="shared" si="13"/>
        <v>27</v>
      </c>
      <c r="AO55">
        <f t="shared" si="14"/>
        <v>24</v>
      </c>
      <c r="AP55">
        <f t="shared" si="15"/>
        <v>20</v>
      </c>
      <c r="AQ55">
        <f t="shared" si="16"/>
        <v>17</v>
      </c>
      <c r="AR55">
        <f t="shared" si="17"/>
        <v>18</v>
      </c>
      <c r="AS55">
        <f t="shared" si="18"/>
        <v>15</v>
      </c>
      <c r="AT55">
        <f t="shared" si="19"/>
        <v>13</v>
      </c>
      <c r="AU55">
        <f t="shared" si="20"/>
        <v>13</v>
      </c>
      <c r="AV55">
        <f t="shared" si="21"/>
        <v>15</v>
      </c>
      <c r="AW55">
        <f t="shared" si="22"/>
        <v>15</v>
      </c>
      <c r="AX55">
        <f t="shared" si="23"/>
        <v>18</v>
      </c>
    </row>
    <row r="56" spans="1:51" x14ac:dyDescent="0.25">
      <c r="A56" s="113">
        <v>53</v>
      </c>
      <c r="B56" s="209"/>
      <c r="C56" s="113">
        <v>0</v>
      </c>
      <c r="D56" s="113">
        <v>0</v>
      </c>
      <c r="E56" s="113" t="s">
        <v>688</v>
      </c>
      <c r="F56" s="113" t="s">
        <v>688</v>
      </c>
      <c r="G56" s="113"/>
      <c r="H56" s="113"/>
      <c r="I56" s="113"/>
      <c r="J56" s="113"/>
      <c r="K56" s="113"/>
      <c r="N56" s="113" t="e">
        <f>MATCH(A56,Entrada!$A$53:$A$372,0)</f>
        <v>#N/A</v>
      </c>
      <c r="O56">
        <f>IF(NOT(ISNA($N56)),INDEX(Entrada!$C$53:$N$372,$N56,O$2),0)</f>
        <v>0</v>
      </c>
      <c r="P56">
        <f>IF(NOT(ISNA($N56)),INDEX(Entrada!$C$53:$N$372,$N56,P$2),0)</f>
        <v>0</v>
      </c>
      <c r="Q56">
        <f>IF(NOT(ISNA($N56)),INDEX(Entrada!$C$53:$N$372,$N56,Q$2),0)</f>
        <v>0</v>
      </c>
      <c r="R56">
        <f>IF(NOT(ISNA($N56)),INDEX(Entrada!$C$53:$N$372,$N56,R$2),0)</f>
        <v>0</v>
      </c>
      <c r="S56">
        <f>IF(NOT(ISNA($N56)),INDEX(Entrada!$C$53:$N$372,$N56,S$2),0)</f>
        <v>0</v>
      </c>
      <c r="T56">
        <f>IF(NOT(ISNA($N56)),INDEX(Entrada!$C$53:$N$372,$N56,T$2),0)</f>
        <v>0</v>
      </c>
      <c r="U56">
        <f>IF(NOT(ISNA($N56)),INDEX(Entrada!$C$53:$N$372,$N56,U$2),0)</f>
        <v>0</v>
      </c>
      <c r="V56" s="225">
        <f>IF(NOT(ISNA($N56)),INDEX(Entrada!$C$53:$N$372,$N56,V$2),0)</f>
        <v>0</v>
      </c>
      <c r="W56" s="225">
        <f>IF(NOT(ISNA($N56)),INDEX(Entrada!$C$53:$N$372,$N56,W$2),0)</f>
        <v>0</v>
      </c>
      <c r="X56" s="225">
        <f>IF(NOT(ISNA($N56)),INDEX(Entrada!$C$53:$N$372,$N56,X$2),0)</f>
        <v>0</v>
      </c>
      <c r="Y56" s="225">
        <f>IF(NOT(ISNA($N56)),INDEX(Entrada!$C$53:$N$372,$N56,Y$2),0)</f>
        <v>0</v>
      </c>
      <c r="Z56" s="225">
        <f>IF(NOT(ISNA($N56)),INDEX(Entrada!$C$53:$N$372,$N56,Z$2),0)</f>
        <v>0</v>
      </c>
      <c r="AA56" s="113">
        <f t="shared" si="0"/>
        <v>0</v>
      </c>
      <c r="AB56">
        <f t="shared" si="1"/>
        <v>0</v>
      </c>
      <c r="AC56">
        <f t="shared" si="2"/>
        <v>0</v>
      </c>
      <c r="AD56">
        <f t="shared" si="3"/>
        <v>0</v>
      </c>
      <c r="AE56">
        <f t="shared" si="4"/>
        <v>0</v>
      </c>
      <c r="AF56">
        <f t="shared" si="5"/>
        <v>0</v>
      </c>
      <c r="AG56">
        <f t="shared" si="6"/>
        <v>0</v>
      </c>
      <c r="AH56">
        <f t="shared" si="7"/>
        <v>0</v>
      </c>
      <c r="AI56">
        <f t="shared" si="8"/>
        <v>0</v>
      </c>
      <c r="AJ56">
        <f t="shared" si="9"/>
        <v>0</v>
      </c>
      <c r="AK56">
        <f t="shared" si="10"/>
        <v>0</v>
      </c>
      <c r="AL56">
        <f t="shared" si="11"/>
        <v>0</v>
      </c>
      <c r="AM56" s="113">
        <f t="shared" si="12"/>
        <v>0</v>
      </c>
      <c r="AN56">
        <f t="shared" si="13"/>
        <v>0</v>
      </c>
      <c r="AO56">
        <f t="shared" si="14"/>
        <v>0</v>
      </c>
      <c r="AP56">
        <f t="shared" si="15"/>
        <v>0</v>
      </c>
      <c r="AQ56">
        <f t="shared" si="16"/>
        <v>0</v>
      </c>
      <c r="AR56">
        <f t="shared" si="17"/>
        <v>0</v>
      </c>
      <c r="AS56">
        <f t="shared" si="18"/>
        <v>0</v>
      </c>
      <c r="AT56">
        <f t="shared" si="19"/>
        <v>0</v>
      </c>
      <c r="AU56">
        <f t="shared" si="20"/>
        <v>0</v>
      </c>
      <c r="AV56">
        <f t="shared" si="21"/>
        <v>0</v>
      </c>
      <c r="AW56">
        <f t="shared" si="22"/>
        <v>0</v>
      </c>
      <c r="AX56">
        <f t="shared" si="23"/>
        <v>0</v>
      </c>
    </row>
    <row r="57" spans="1:51" x14ac:dyDescent="0.25">
      <c r="A57" s="113">
        <v>54</v>
      </c>
      <c r="B57" s="209"/>
      <c r="C57" s="113">
        <v>0</v>
      </c>
      <c r="D57" s="113">
        <v>0</v>
      </c>
      <c r="E57" s="113" t="s">
        <v>688</v>
      </c>
      <c r="F57" s="113" t="s">
        <v>688</v>
      </c>
      <c r="G57" s="113"/>
      <c r="H57" s="113"/>
      <c r="I57" s="113"/>
      <c r="J57" s="113"/>
      <c r="K57" s="113"/>
      <c r="N57" s="113" t="e">
        <f>MATCH(A57,Entrada!$A$53:$A$372,0)</f>
        <v>#N/A</v>
      </c>
      <c r="O57">
        <f>IF(NOT(ISNA($N57)),INDEX(Entrada!$C$53:$N$372,$N57,O$2),0)</f>
        <v>0</v>
      </c>
      <c r="P57">
        <f>IF(NOT(ISNA($N57)),INDEX(Entrada!$C$53:$N$372,$N57,P$2),0)</f>
        <v>0</v>
      </c>
      <c r="Q57">
        <f>IF(NOT(ISNA($N57)),INDEX(Entrada!$C$53:$N$372,$N57,Q$2),0)</f>
        <v>0</v>
      </c>
      <c r="R57">
        <f>IF(NOT(ISNA($N57)),INDEX(Entrada!$C$53:$N$372,$N57,R$2),0)</f>
        <v>0</v>
      </c>
      <c r="S57">
        <f>IF(NOT(ISNA($N57)),INDEX(Entrada!$C$53:$N$372,$N57,S$2),0)</f>
        <v>0</v>
      </c>
      <c r="T57">
        <f>IF(NOT(ISNA($N57)),INDEX(Entrada!$C$53:$N$372,$N57,T$2),0)</f>
        <v>0</v>
      </c>
      <c r="U57">
        <f>IF(NOT(ISNA($N57)),INDEX(Entrada!$C$53:$N$372,$N57,U$2),0)</f>
        <v>0</v>
      </c>
      <c r="V57" s="225">
        <f>IF(NOT(ISNA($N57)),INDEX(Entrada!$C$53:$N$372,$N57,V$2),0)</f>
        <v>0</v>
      </c>
      <c r="W57" s="225">
        <f>IF(NOT(ISNA($N57)),INDEX(Entrada!$C$53:$N$372,$N57,W$2),0)</f>
        <v>0</v>
      </c>
      <c r="X57" s="225">
        <f>IF(NOT(ISNA($N57)),INDEX(Entrada!$C$53:$N$372,$N57,X$2),0)</f>
        <v>0</v>
      </c>
      <c r="Y57" s="225">
        <f>IF(NOT(ISNA($N57)),INDEX(Entrada!$C$53:$N$372,$N57,Y$2),0)</f>
        <v>0</v>
      </c>
      <c r="Z57" s="225">
        <f>IF(NOT(ISNA($N57)),INDEX(Entrada!$C$53:$N$372,$N57,Z$2),0)</f>
        <v>0</v>
      </c>
      <c r="AA57" s="113">
        <f t="shared" si="0"/>
        <v>0</v>
      </c>
      <c r="AB57">
        <f t="shared" si="1"/>
        <v>0</v>
      </c>
      <c r="AC57">
        <f t="shared" si="2"/>
        <v>0</v>
      </c>
      <c r="AD57">
        <f t="shared" si="3"/>
        <v>0</v>
      </c>
      <c r="AE57">
        <f t="shared" si="4"/>
        <v>0</v>
      </c>
      <c r="AF57">
        <f t="shared" si="5"/>
        <v>0</v>
      </c>
      <c r="AG57">
        <f t="shared" si="6"/>
        <v>0</v>
      </c>
      <c r="AH57">
        <f t="shared" si="7"/>
        <v>0</v>
      </c>
      <c r="AI57">
        <f t="shared" si="8"/>
        <v>0</v>
      </c>
      <c r="AJ57">
        <f t="shared" si="9"/>
        <v>0</v>
      </c>
      <c r="AK57">
        <f t="shared" si="10"/>
        <v>0</v>
      </c>
      <c r="AL57">
        <f t="shared" si="11"/>
        <v>0</v>
      </c>
      <c r="AM57" s="113">
        <f t="shared" si="12"/>
        <v>0</v>
      </c>
      <c r="AN57">
        <f t="shared" si="13"/>
        <v>0</v>
      </c>
      <c r="AO57">
        <f t="shared" si="14"/>
        <v>0</v>
      </c>
      <c r="AP57">
        <f t="shared" si="15"/>
        <v>0</v>
      </c>
      <c r="AQ57">
        <f t="shared" si="16"/>
        <v>0</v>
      </c>
      <c r="AR57">
        <f t="shared" si="17"/>
        <v>0</v>
      </c>
      <c r="AS57">
        <f t="shared" si="18"/>
        <v>0</v>
      </c>
      <c r="AT57">
        <f t="shared" si="19"/>
        <v>0</v>
      </c>
      <c r="AU57">
        <f t="shared" si="20"/>
        <v>0</v>
      </c>
      <c r="AV57">
        <f t="shared" si="21"/>
        <v>0</v>
      </c>
      <c r="AW57">
        <f t="shared" si="22"/>
        <v>0</v>
      </c>
      <c r="AX57">
        <f t="shared" si="23"/>
        <v>0</v>
      </c>
    </row>
    <row r="58" spans="1:51" x14ac:dyDescent="0.25">
      <c r="A58" s="113">
        <v>55</v>
      </c>
      <c r="B58" s="209"/>
      <c r="C58" s="113">
        <v>0</v>
      </c>
      <c r="D58" s="113">
        <v>0</v>
      </c>
      <c r="E58" s="113" t="s">
        <v>688</v>
      </c>
      <c r="F58" s="113" t="s">
        <v>688</v>
      </c>
      <c r="G58" s="113"/>
      <c r="H58" s="113"/>
      <c r="I58" s="113"/>
      <c r="J58" s="113"/>
      <c r="K58" s="113"/>
      <c r="N58" s="113" t="e">
        <f>MATCH(A58,Entrada!$A$53:$A$372,0)</f>
        <v>#N/A</v>
      </c>
      <c r="O58">
        <f>IF(NOT(ISNA($N58)),INDEX(Entrada!$C$53:$N$372,$N58,O$2),0)</f>
        <v>0</v>
      </c>
      <c r="P58">
        <f>IF(NOT(ISNA($N58)),INDEX(Entrada!$C$53:$N$372,$N58,P$2),0)</f>
        <v>0</v>
      </c>
      <c r="Q58">
        <f>IF(NOT(ISNA($N58)),INDEX(Entrada!$C$53:$N$372,$N58,Q$2),0)</f>
        <v>0</v>
      </c>
      <c r="R58">
        <f>IF(NOT(ISNA($N58)),INDEX(Entrada!$C$53:$N$372,$N58,R$2),0)</f>
        <v>0</v>
      </c>
      <c r="S58">
        <f>IF(NOT(ISNA($N58)),INDEX(Entrada!$C$53:$N$372,$N58,S$2),0)</f>
        <v>0</v>
      </c>
      <c r="T58">
        <f>IF(NOT(ISNA($N58)),INDEX(Entrada!$C$53:$N$372,$N58,T$2),0)</f>
        <v>0</v>
      </c>
      <c r="U58">
        <f>IF(NOT(ISNA($N58)),INDEX(Entrada!$C$53:$N$372,$N58,U$2),0)</f>
        <v>0</v>
      </c>
      <c r="V58" s="225">
        <f>IF(NOT(ISNA($N58)),INDEX(Entrada!$C$53:$N$372,$N58,V$2),0)</f>
        <v>0</v>
      </c>
      <c r="W58" s="225">
        <f>IF(NOT(ISNA($N58)),INDEX(Entrada!$C$53:$N$372,$N58,W$2),0)</f>
        <v>0</v>
      </c>
      <c r="X58" s="225">
        <f>IF(NOT(ISNA($N58)),INDEX(Entrada!$C$53:$N$372,$N58,X$2),0)</f>
        <v>0</v>
      </c>
      <c r="Y58" s="225">
        <f>IF(NOT(ISNA($N58)),INDEX(Entrada!$C$53:$N$372,$N58,Y$2),0)</f>
        <v>0</v>
      </c>
      <c r="Z58" s="225">
        <f>IF(NOT(ISNA($N58)),INDEX(Entrada!$C$53:$N$372,$N58,Z$2),0)</f>
        <v>0</v>
      </c>
      <c r="AA58" s="113">
        <f t="shared" si="0"/>
        <v>0</v>
      </c>
      <c r="AB58">
        <f t="shared" si="1"/>
        <v>0</v>
      </c>
      <c r="AC58">
        <f t="shared" si="2"/>
        <v>0</v>
      </c>
      <c r="AD58">
        <f t="shared" si="3"/>
        <v>0</v>
      </c>
      <c r="AE58">
        <f t="shared" si="4"/>
        <v>0</v>
      </c>
      <c r="AF58">
        <f t="shared" si="5"/>
        <v>0</v>
      </c>
      <c r="AG58">
        <f t="shared" si="6"/>
        <v>0</v>
      </c>
      <c r="AH58">
        <f t="shared" si="7"/>
        <v>0</v>
      </c>
      <c r="AI58">
        <f t="shared" si="8"/>
        <v>0</v>
      </c>
      <c r="AJ58">
        <f t="shared" si="9"/>
        <v>0</v>
      </c>
      <c r="AK58">
        <f t="shared" si="10"/>
        <v>0</v>
      </c>
      <c r="AL58">
        <f t="shared" si="11"/>
        <v>0</v>
      </c>
      <c r="AM58" s="113">
        <f t="shared" si="12"/>
        <v>0</v>
      </c>
      <c r="AN58">
        <f t="shared" si="13"/>
        <v>0</v>
      </c>
      <c r="AO58">
        <f t="shared" si="14"/>
        <v>0</v>
      </c>
      <c r="AP58">
        <f t="shared" si="15"/>
        <v>0</v>
      </c>
      <c r="AQ58">
        <f t="shared" si="16"/>
        <v>0</v>
      </c>
      <c r="AR58">
        <f t="shared" si="17"/>
        <v>0</v>
      </c>
      <c r="AS58">
        <f t="shared" si="18"/>
        <v>0</v>
      </c>
      <c r="AT58">
        <f t="shared" si="19"/>
        <v>0</v>
      </c>
      <c r="AU58">
        <f t="shared" si="20"/>
        <v>0</v>
      </c>
      <c r="AV58">
        <f t="shared" si="21"/>
        <v>0</v>
      </c>
      <c r="AW58">
        <f t="shared" si="22"/>
        <v>0</v>
      </c>
      <c r="AX58">
        <f t="shared" si="23"/>
        <v>0</v>
      </c>
    </row>
    <row r="59" spans="1:51" x14ac:dyDescent="0.25">
      <c r="A59" s="113">
        <v>56</v>
      </c>
      <c r="B59" s="209"/>
      <c r="C59" s="113">
        <v>0</v>
      </c>
      <c r="D59" s="113">
        <v>0</v>
      </c>
      <c r="E59" s="113" t="s">
        <v>688</v>
      </c>
      <c r="F59" s="113" t="s">
        <v>688</v>
      </c>
      <c r="G59" s="113"/>
      <c r="H59" s="113"/>
      <c r="I59" s="113"/>
      <c r="J59" s="113"/>
      <c r="K59" s="113"/>
      <c r="N59" s="113" t="e">
        <f>MATCH(A59,Entrada!$A$53:$A$372,0)</f>
        <v>#N/A</v>
      </c>
      <c r="O59">
        <f>IF(NOT(ISNA($N59)),INDEX(Entrada!$C$53:$N$372,$N59,O$2),0)</f>
        <v>0</v>
      </c>
      <c r="P59">
        <f>IF(NOT(ISNA($N59)),INDEX(Entrada!$C$53:$N$372,$N59,P$2),0)</f>
        <v>0</v>
      </c>
      <c r="Q59">
        <f>IF(NOT(ISNA($N59)),INDEX(Entrada!$C$53:$N$372,$N59,Q$2),0)</f>
        <v>0</v>
      </c>
      <c r="R59">
        <f>IF(NOT(ISNA($N59)),INDEX(Entrada!$C$53:$N$372,$N59,R$2),0)</f>
        <v>0</v>
      </c>
      <c r="S59">
        <f>IF(NOT(ISNA($N59)),INDEX(Entrada!$C$53:$N$372,$N59,S$2),0)</f>
        <v>0</v>
      </c>
      <c r="T59">
        <f>IF(NOT(ISNA($N59)),INDEX(Entrada!$C$53:$N$372,$N59,T$2),0)</f>
        <v>0</v>
      </c>
      <c r="U59">
        <f>IF(NOT(ISNA($N59)),INDEX(Entrada!$C$53:$N$372,$N59,U$2),0)</f>
        <v>0</v>
      </c>
      <c r="V59" s="225">
        <f>IF(NOT(ISNA($N59)),INDEX(Entrada!$C$53:$N$372,$N59,V$2),0)</f>
        <v>0</v>
      </c>
      <c r="W59" s="225">
        <f>IF(NOT(ISNA($N59)),INDEX(Entrada!$C$53:$N$372,$N59,W$2),0)</f>
        <v>0</v>
      </c>
      <c r="X59" s="225">
        <f>IF(NOT(ISNA($N59)),INDEX(Entrada!$C$53:$N$372,$N59,X$2),0)</f>
        <v>0</v>
      </c>
      <c r="Y59" s="225">
        <f>IF(NOT(ISNA($N59)),INDEX(Entrada!$C$53:$N$372,$N59,Y$2),0)</f>
        <v>0</v>
      </c>
      <c r="Z59" s="225">
        <f>IF(NOT(ISNA($N59)),INDEX(Entrada!$C$53:$N$372,$N59,Z$2),0)</f>
        <v>0</v>
      </c>
      <c r="AA59" s="113">
        <f t="shared" si="0"/>
        <v>0</v>
      </c>
      <c r="AB59">
        <f t="shared" si="1"/>
        <v>0</v>
      </c>
      <c r="AC59">
        <f t="shared" si="2"/>
        <v>0</v>
      </c>
      <c r="AD59">
        <f t="shared" si="3"/>
        <v>0</v>
      </c>
      <c r="AE59">
        <f t="shared" si="4"/>
        <v>0</v>
      </c>
      <c r="AF59">
        <f t="shared" si="5"/>
        <v>0</v>
      </c>
      <c r="AG59">
        <f t="shared" si="6"/>
        <v>0</v>
      </c>
      <c r="AH59">
        <f t="shared" si="7"/>
        <v>0</v>
      </c>
      <c r="AI59">
        <f t="shared" si="8"/>
        <v>0</v>
      </c>
      <c r="AJ59">
        <f t="shared" si="9"/>
        <v>0</v>
      </c>
      <c r="AK59">
        <f t="shared" si="10"/>
        <v>0</v>
      </c>
      <c r="AL59">
        <f t="shared" si="11"/>
        <v>0</v>
      </c>
      <c r="AM59" s="113">
        <f t="shared" si="12"/>
        <v>0</v>
      </c>
      <c r="AN59">
        <f t="shared" si="13"/>
        <v>0</v>
      </c>
      <c r="AO59">
        <f t="shared" si="14"/>
        <v>0</v>
      </c>
      <c r="AP59">
        <f t="shared" si="15"/>
        <v>0</v>
      </c>
      <c r="AQ59">
        <f t="shared" si="16"/>
        <v>0</v>
      </c>
      <c r="AR59">
        <f t="shared" si="17"/>
        <v>0</v>
      </c>
      <c r="AS59">
        <f t="shared" si="18"/>
        <v>0</v>
      </c>
      <c r="AT59">
        <f t="shared" si="19"/>
        <v>0</v>
      </c>
      <c r="AU59">
        <f t="shared" si="20"/>
        <v>0</v>
      </c>
      <c r="AV59">
        <f t="shared" si="21"/>
        <v>0</v>
      </c>
      <c r="AW59">
        <f t="shared" si="22"/>
        <v>0</v>
      </c>
      <c r="AX59">
        <f t="shared" si="23"/>
        <v>0</v>
      </c>
    </row>
    <row r="60" spans="1:51" x14ac:dyDescent="0.25">
      <c r="A60" s="113">
        <v>57</v>
      </c>
      <c r="B60" s="209" t="s">
        <v>567</v>
      </c>
      <c r="C60" s="113">
        <v>1931</v>
      </c>
      <c r="D60" s="113">
        <v>2013</v>
      </c>
      <c r="E60" s="210" t="s">
        <v>6</v>
      </c>
      <c r="F60" s="210" t="s">
        <v>308</v>
      </c>
      <c r="G60" s="113"/>
      <c r="H60" s="113"/>
      <c r="I60" s="113"/>
      <c r="J60" s="113"/>
      <c r="K60" s="113"/>
      <c r="N60" s="113">
        <f>MATCH(A60,Entrada!$A$53:$A$372,0)</f>
        <v>40</v>
      </c>
      <c r="O60">
        <f>IF(NOT(ISNA($N60)),INDEX(Entrada!$C$53:$N$372,$N60,O$2),0)</f>
        <v>301</v>
      </c>
      <c r="P60">
        <f>IF(NOT(ISNA($N60)),INDEX(Entrada!$C$53:$N$372,$N60,P$2),0)</f>
        <v>313</v>
      </c>
      <c r="Q60">
        <f>IF(NOT(ISNA($N60)),INDEX(Entrada!$C$53:$N$372,$N60,Q$2),0)</f>
        <v>256</v>
      </c>
      <c r="R60">
        <f>IF(NOT(ISNA($N60)),INDEX(Entrada!$C$53:$N$372,$N60,R$2),0)</f>
        <v>192</v>
      </c>
      <c r="S60">
        <f>IF(NOT(ISNA($N60)),INDEX(Entrada!$C$53:$N$372,$N60,S$2),0)</f>
        <v>234</v>
      </c>
      <c r="T60">
        <f>IF(NOT(ISNA($N60)),INDEX(Entrada!$C$53:$N$372,$N60,T$2),0)</f>
        <v>276</v>
      </c>
      <c r="U60">
        <f>IF(NOT(ISNA($N60)),INDEX(Entrada!$C$53:$N$372,$N60,U$2),0)</f>
        <v>283</v>
      </c>
      <c r="V60" s="225">
        <f>IF(NOT(ISNA($N60)),INDEX(Entrada!$C$53:$N$372,$N60,V$2),0)</f>
        <v>228</v>
      </c>
      <c r="W60" s="225">
        <f>IF(NOT(ISNA($N60)),INDEX(Entrada!$C$53:$N$372,$N60,W$2),0)</f>
        <v>262</v>
      </c>
      <c r="X60" s="225">
        <f>IF(NOT(ISNA($N60)),INDEX(Entrada!$C$53:$N$372,$N60,X$2),0)</f>
        <v>341</v>
      </c>
      <c r="Y60" s="225">
        <f>IF(NOT(ISNA($N60)),INDEX(Entrada!$C$53:$N$372,$N60,Y$2),0)</f>
        <v>279</v>
      </c>
      <c r="Z60" s="225">
        <f>IF(NOT(ISNA($N60)),INDEX(Entrada!$C$53:$N$372,$N60,Z$2),0)</f>
        <v>251</v>
      </c>
      <c r="AA60" s="113">
        <f t="shared" si="0"/>
        <v>0</v>
      </c>
      <c r="AB60">
        <f t="shared" si="1"/>
        <v>0</v>
      </c>
      <c r="AC60">
        <f t="shared" si="2"/>
        <v>0</v>
      </c>
      <c r="AD60">
        <f t="shared" si="3"/>
        <v>0</v>
      </c>
      <c r="AE60">
        <f t="shared" si="4"/>
        <v>0</v>
      </c>
      <c r="AF60">
        <f t="shared" si="5"/>
        <v>0</v>
      </c>
      <c r="AG60">
        <f t="shared" si="6"/>
        <v>0</v>
      </c>
      <c r="AH60">
        <f t="shared" si="7"/>
        <v>0</v>
      </c>
      <c r="AI60">
        <f t="shared" si="8"/>
        <v>0</v>
      </c>
      <c r="AJ60">
        <f t="shared" si="9"/>
        <v>0</v>
      </c>
      <c r="AK60">
        <f t="shared" si="10"/>
        <v>0</v>
      </c>
      <c r="AL60">
        <f t="shared" si="11"/>
        <v>0</v>
      </c>
      <c r="AM60" s="113">
        <f t="shared" si="12"/>
        <v>301</v>
      </c>
      <c r="AN60">
        <f t="shared" si="13"/>
        <v>313</v>
      </c>
      <c r="AO60">
        <f t="shared" si="14"/>
        <v>256</v>
      </c>
      <c r="AP60">
        <f t="shared" si="15"/>
        <v>192</v>
      </c>
      <c r="AQ60">
        <f t="shared" si="16"/>
        <v>234</v>
      </c>
      <c r="AR60">
        <f t="shared" si="17"/>
        <v>276</v>
      </c>
      <c r="AS60">
        <f t="shared" si="18"/>
        <v>283</v>
      </c>
      <c r="AT60">
        <f t="shared" si="19"/>
        <v>228</v>
      </c>
      <c r="AU60">
        <f t="shared" si="20"/>
        <v>262</v>
      </c>
      <c r="AV60">
        <f t="shared" si="21"/>
        <v>341</v>
      </c>
      <c r="AW60">
        <f t="shared" si="22"/>
        <v>279</v>
      </c>
      <c r="AX60">
        <f t="shared" si="23"/>
        <v>251</v>
      </c>
    </row>
    <row r="61" spans="1:51" x14ac:dyDescent="0.25">
      <c r="A61" s="113">
        <v>58</v>
      </c>
      <c r="B61" s="209" t="s">
        <v>568</v>
      </c>
      <c r="C61" s="113">
        <v>1931</v>
      </c>
      <c r="D61" s="113">
        <v>2013</v>
      </c>
      <c r="E61" s="210" t="s">
        <v>688</v>
      </c>
      <c r="F61" s="210" t="s">
        <v>688</v>
      </c>
      <c r="G61" s="113"/>
      <c r="H61" s="113"/>
      <c r="I61" s="113"/>
      <c r="J61" s="113"/>
      <c r="K61" s="113"/>
      <c r="N61" s="113">
        <f>MATCH(A61,Entrada!$A$53:$A$372,0)</f>
        <v>41</v>
      </c>
      <c r="O61">
        <f>IF(NOT(ISNA($N61)),INDEX(Entrada!$C$53:$N$372,$N61,O$2),0)</f>
        <v>363</v>
      </c>
      <c r="P61">
        <f>IF(NOT(ISNA($N61)),INDEX(Entrada!$C$53:$N$372,$N61,P$2),0)</f>
        <v>378</v>
      </c>
      <c r="Q61">
        <f>IF(NOT(ISNA($N61)),INDEX(Entrada!$C$53:$N$372,$N61,Q$2),0)</f>
        <v>305</v>
      </c>
      <c r="R61">
        <f>IF(NOT(ISNA($N61)),INDEX(Entrada!$C$53:$N$372,$N61,R$2),0)</f>
        <v>231</v>
      </c>
      <c r="S61">
        <f>IF(NOT(ISNA($N61)),INDEX(Entrada!$C$53:$N$372,$N61,S$2),0)</f>
        <v>275</v>
      </c>
      <c r="T61">
        <f>IF(NOT(ISNA($N61)),INDEX(Entrada!$C$53:$N$372,$N61,T$2),0)</f>
        <v>320</v>
      </c>
      <c r="U61">
        <f>IF(NOT(ISNA($N61)),INDEX(Entrada!$C$53:$N$372,$N61,U$2),0)</f>
        <v>321</v>
      </c>
      <c r="V61" s="225">
        <f>IF(NOT(ISNA($N61)),INDEX(Entrada!$C$53:$N$372,$N61,V$2),0)</f>
        <v>261</v>
      </c>
      <c r="W61" s="225">
        <f>IF(NOT(ISNA($N61)),INDEX(Entrada!$C$53:$N$372,$N61,W$2),0)</f>
        <v>302</v>
      </c>
      <c r="X61" s="225">
        <f>IF(NOT(ISNA($N61)),INDEX(Entrada!$C$53:$N$372,$N61,X$2),0)</f>
        <v>392</v>
      </c>
      <c r="Y61" s="225">
        <f>IF(NOT(ISNA($N61)),INDEX(Entrada!$C$53:$N$372,$N61,Y$2),0)</f>
        <v>324</v>
      </c>
      <c r="Z61" s="225">
        <f>IF(NOT(ISNA($N61)),INDEX(Entrada!$C$53:$N$372,$N61,Z$2),0)</f>
        <v>301</v>
      </c>
      <c r="AA61" s="113">
        <f t="shared" si="0"/>
        <v>0</v>
      </c>
      <c r="AB61">
        <f t="shared" si="1"/>
        <v>0</v>
      </c>
      <c r="AC61">
        <f t="shared" si="2"/>
        <v>0</v>
      </c>
      <c r="AD61">
        <f t="shared" si="3"/>
        <v>0</v>
      </c>
      <c r="AE61">
        <f t="shared" si="4"/>
        <v>0</v>
      </c>
      <c r="AF61">
        <f t="shared" si="5"/>
        <v>0</v>
      </c>
      <c r="AG61">
        <f t="shared" si="6"/>
        <v>0</v>
      </c>
      <c r="AH61">
        <f t="shared" si="7"/>
        <v>0</v>
      </c>
      <c r="AI61">
        <f t="shared" si="8"/>
        <v>0</v>
      </c>
      <c r="AJ61">
        <f t="shared" si="9"/>
        <v>0</v>
      </c>
      <c r="AK61">
        <f t="shared" si="10"/>
        <v>0</v>
      </c>
      <c r="AL61">
        <f t="shared" si="11"/>
        <v>0</v>
      </c>
      <c r="AM61" s="113">
        <f t="shared" si="12"/>
        <v>363</v>
      </c>
      <c r="AN61">
        <f t="shared" si="13"/>
        <v>378</v>
      </c>
      <c r="AO61">
        <f t="shared" si="14"/>
        <v>305</v>
      </c>
      <c r="AP61">
        <f t="shared" si="15"/>
        <v>231</v>
      </c>
      <c r="AQ61">
        <f t="shared" si="16"/>
        <v>275</v>
      </c>
      <c r="AR61">
        <f t="shared" si="17"/>
        <v>320</v>
      </c>
      <c r="AS61">
        <f t="shared" si="18"/>
        <v>321</v>
      </c>
      <c r="AT61">
        <f t="shared" si="19"/>
        <v>261</v>
      </c>
      <c r="AU61">
        <f t="shared" si="20"/>
        <v>302</v>
      </c>
      <c r="AV61">
        <f t="shared" si="21"/>
        <v>392</v>
      </c>
      <c r="AW61">
        <f t="shared" si="22"/>
        <v>324</v>
      </c>
      <c r="AX61">
        <f t="shared" si="23"/>
        <v>301</v>
      </c>
    </row>
    <row r="62" spans="1:51" x14ac:dyDescent="0.25">
      <c r="A62" s="113">
        <v>59</v>
      </c>
      <c r="B62" s="209"/>
      <c r="C62" s="113">
        <v>0</v>
      </c>
      <c r="D62" s="113">
        <v>0</v>
      </c>
      <c r="E62" s="113" t="s">
        <v>688</v>
      </c>
      <c r="F62" s="113" t="s">
        <v>688</v>
      </c>
      <c r="G62" s="113"/>
      <c r="H62" s="113"/>
      <c r="I62" s="113"/>
      <c r="J62" s="113"/>
      <c r="K62" s="113"/>
      <c r="N62" s="113" t="e">
        <f>MATCH(A62,Entrada!$A$53:$A$372,0)</f>
        <v>#N/A</v>
      </c>
      <c r="O62">
        <f>IF(NOT(ISNA($N62)),INDEX(Entrada!$C$53:$N$372,$N62,O$2),0)</f>
        <v>0</v>
      </c>
      <c r="P62">
        <f>IF(NOT(ISNA($N62)),INDEX(Entrada!$C$53:$N$372,$N62,P$2),0)</f>
        <v>0</v>
      </c>
      <c r="Q62">
        <f>IF(NOT(ISNA($N62)),INDEX(Entrada!$C$53:$N$372,$N62,Q$2),0)</f>
        <v>0</v>
      </c>
      <c r="R62">
        <f>IF(NOT(ISNA($N62)),INDEX(Entrada!$C$53:$N$372,$N62,R$2),0)</f>
        <v>0</v>
      </c>
      <c r="S62">
        <f>IF(NOT(ISNA($N62)),INDEX(Entrada!$C$53:$N$372,$N62,S$2),0)</f>
        <v>0</v>
      </c>
      <c r="T62">
        <f>IF(NOT(ISNA($N62)),INDEX(Entrada!$C$53:$N$372,$N62,T$2),0)</f>
        <v>0</v>
      </c>
      <c r="U62">
        <f>IF(NOT(ISNA($N62)),INDEX(Entrada!$C$53:$N$372,$N62,U$2),0)</f>
        <v>0</v>
      </c>
      <c r="V62" s="225">
        <f>IF(NOT(ISNA($N62)),INDEX(Entrada!$C$53:$N$372,$N62,V$2),0)</f>
        <v>0</v>
      </c>
      <c r="W62" s="225">
        <f>IF(NOT(ISNA($N62)),INDEX(Entrada!$C$53:$N$372,$N62,W$2),0)</f>
        <v>0</v>
      </c>
      <c r="X62" s="225">
        <f>IF(NOT(ISNA($N62)),INDEX(Entrada!$C$53:$N$372,$N62,X$2),0)</f>
        <v>0</v>
      </c>
      <c r="Y62" s="225">
        <f>IF(NOT(ISNA($N62)),INDEX(Entrada!$C$53:$N$372,$N62,Y$2),0)</f>
        <v>0</v>
      </c>
      <c r="Z62" s="225">
        <f>IF(NOT(ISNA($N62)),INDEX(Entrada!$C$53:$N$372,$N62,Z$2),0)</f>
        <v>0</v>
      </c>
      <c r="AA62" s="113">
        <f t="shared" si="0"/>
        <v>0</v>
      </c>
      <c r="AB62">
        <f t="shared" si="1"/>
        <v>0</v>
      </c>
      <c r="AC62">
        <f t="shared" si="2"/>
        <v>0</v>
      </c>
      <c r="AD62">
        <f t="shared" si="3"/>
        <v>0</v>
      </c>
      <c r="AE62">
        <f t="shared" si="4"/>
        <v>0</v>
      </c>
      <c r="AF62">
        <f t="shared" si="5"/>
        <v>0</v>
      </c>
      <c r="AG62">
        <f t="shared" si="6"/>
        <v>0</v>
      </c>
      <c r="AH62">
        <f t="shared" si="7"/>
        <v>0</v>
      </c>
      <c r="AI62">
        <f t="shared" si="8"/>
        <v>0</v>
      </c>
      <c r="AJ62">
        <f t="shared" si="9"/>
        <v>0</v>
      </c>
      <c r="AK62">
        <f t="shared" si="10"/>
        <v>0</v>
      </c>
      <c r="AL62">
        <f t="shared" si="11"/>
        <v>0</v>
      </c>
      <c r="AM62" s="113">
        <f t="shared" si="12"/>
        <v>0</v>
      </c>
      <c r="AN62">
        <f t="shared" si="13"/>
        <v>0</v>
      </c>
      <c r="AO62">
        <f t="shared" si="14"/>
        <v>0</v>
      </c>
      <c r="AP62">
        <f t="shared" si="15"/>
        <v>0</v>
      </c>
      <c r="AQ62">
        <f t="shared" si="16"/>
        <v>0</v>
      </c>
      <c r="AR62">
        <f t="shared" si="17"/>
        <v>0</v>
      </c>
      <c r="AS62">
        <f t="shared" si="18"/>
        <v>0</v>
      </c>
      <c r="AT62">
        <f t="shared" si="19"/>
        <v>0</v>
      </c>
      <c r="AU62">
        <f t="shared" si="20"/>
        <v>0</v>
      </c>
      <c r="AV62">
        <f t="shared" si="21"/>
        <v>0</v>
      </c>
      <c r="AW62">
        <f t="shared" si="22"/>
        <v>0</v>
      </c>
      <c r="AX62">
        <f t="shared" si="23"/>
        <v>0</v>
      </c>
    </row>
    <row r="63" spans="1:51" x14ac:dyDescent="0.25">
      <c r="A63" s="113">
        <v>60</v>
      </c>
      <c r="B63" s="209"/>
      <c r="C63" s="113">
        <v>0</v>
      </c>
      <c r="D63" s="113">
        <v>0</v>
      </c>
      <c r="E63" s="113" t="s">
        <v>688</v>
      </c>
      <c r="F63" s="113" t="s">
        <v>688</v>
      </c>
      <c r="G63" s="113"/>
      <c r="H63" s="113"/>
      <c r="I63" s="113"/>
      <c r="J63" s="113"/>
      <c r="K63" s="113"/>
      <c r="N63" s="113" t="e">
        <f>MATCH(A63,Entrada!$A$53:$A$372,0)</f>
        <v>#N/A</v>
      </c>
      <c r="O63">
        <f>IF(NOT(ISNA($N63)),INDEX(Entrada!$C$53:$N$372,$N63,O$2),0)</f>
        <v>0</v>
      </c>
      <c r="P63">
        <f>IF(NOT(ISNA($N63)),INDEX(Entrada!$C$53:$N$372,$N63,P$2),0)</f>
        <v>0</v>
      </c>
      <c r="Q63">
        <f>IF(NOT(ISNA($N63)),INDEX(Entrada!$C$53:$N$372,$N63,Q$2),0)</f>
        <v>0</v>
      </c>
      <c r="R63">
        <f>IF(NOT(ISNA($N63)),INDEX(Entrada!$C$53:$N$372,$N63,R$2),0)</f>
        <v>0</v>
      </c>
      <c r="S63">
        <f>IF(NOT(ISNA($N63)),INDEX(Entrada!$C$53:$N$372,$N63,S$2),0)</f>
        <v>0</v>
      </c>
      <c r="T63">
        <f>IF(NOT(ISNA($N63)),INDEX(Entrada!$C$53:$N$372,$N63,T$2),0)</f>
        <v>0</v>
      </c>
      <c r="U63">
        <f>IF(NOT(ISNA($N63)),INDEX(Entrada!$C$53:$N$372,$N63,U$2),0)</f>
        <v>0</v>
      </c>
      <c r="V63" s="225">
        <f>IF(NOT(ISNA($N63)),INDEX(Entrada!$C$53:$N$372,$N63,V$2),0)</f>
        <v>0</v>
      </c>
      <c r="W63" s="225">
        <f>IF(NOT(ISNA($N63)),INDEX(Entrada!$C$53:$N$372,$N63,W$2),0)</f>
        <v>0</v>
      </c>
      <c r="X63" s="225">
        <f>IF(NOT(ISNA($N63)),INDEX(Entrada!$C$53:$N$372,$N63,X$2),0)</f>
        <v>0</v>
      </c>
      <c r="Y63" s="225">
        <f>IF(NOT(ISNA($N63)),INDEX(Entrada!$C$53:$N$372,$N63,Y$2),0)</f>
        <v>0</v>
      </c>
      <c r="Z63" s="225">
        <f>IF(NOT(ISNA($N63)),INDEX(Entrada!$C$53:$N$372,$N63,Z$2),0)</f>
        <v>0</v>
      </c>
      <c r="AA63" s="113">
        <f t="shared" si="0"/>
        <v>0</v>
      </c>
      <c r="AB63">
        <f t="shared" si="1"/>
        <v>0</v>
      </c>
      <c r="AC63">
        <f t="shared" si="2"/>
        <v>0</v>
      </c>
      <c r="AD63">
        <f t="shared" si="3"/>
        <v>0</v>
      </c>
      <c r="AE63">
        <f t="shared" si="4"/>
        <v>0</v>
      </c>
      <c r="AF63">
        <f t="shared" si="5"/>
        <v>0</v>
      </c>
      <c r="AG63">
        <f t="shared" si="6"/>
        <v>0</v>
      </c>
      <c r="AH63">
        <f t="shared" si="7"/>
        <v>0</v>
      </c>
      <c r="AI63">
        <f t="shared" si="8"/>
        <v>0</v>
      </c>
      <c r="AJ63">
        <f t="shared" si="9"/>
        <v>0</v>
      </c>
      <c r="AK63">
        <f t="shared" si="10"/>
        <v>0</v>
      </c>
      <c r="AL63">
        <f t="shared" si="11"/>
        <v>0</v>
      </c>
      <c r="AM63" s="113">
        <f t="shared" si="12"/>
        <v>0</v>
      </c>
      <c r="AN63">
        <f t="shared" si="13"/>
        <v>0</v>
      </c>
      <c r="AO63">
        <f t="shared" si="14"/>
        <v>0</v>
      </c>
      <c r="AP63">
        <f t="shared" si="15"/>
        <v>0</v>
      </c>
      <c r="AQ63">
        <f t="shared" si="16"/>
        <v>0</v>
      </c>
      <c r="AR63">
        <f t="shared" si="17"/>
        <v>0</v>
      </c>
      <c r="AS63">
        <f t="shared" si="18"/>
        <v>0</v>
      </c>
      <c r="AT63">
        <f t="shared" si="19"/>
        <v>0</v>
      </c>
      <c r="AU63">
        <f t="shared" si="20"/>
        <v>0</v>
      </c>
      <c r="AV63">
        <f t="shared" si="21"/>
        <v>0</v>
      </c>
      <c r="AW63">
        <f t="shared" si="22"/>
        <v>0</v>
      </c>
      <c r="AX63">
        <f t="shared" si="23"/>
        <v>0</v>
      </c>
    </row>
    <row r="64" spans="1:51" x14ac:dyDescent="0.25">
      <c r="A64" s="113">
        <v>61</v>
      </c>
      <c r="B64" s="209" t="s">
        <v>569</v>
      </c>
      <c r="C64" s="113">
        <v>1931</v>
      </c>
      <c r="D64" s="113">
        <v>2013</v>
      </c>
      <c r="E64" s="210" t="s">
        <v>5</v>
      </c>
      <c r="F64" s="210" t="s">
        <v>307</v>
      </c>
      <c r="G64" s="113">
        <v>52</v>
      </c>
      <c r="H64" s="113">
        <v>57</v>
      </c>
      <c r="I64" s="113"/>
      <c r="J64" s="113"/>
      <c r="K64" s="113"/>
      <c r="N64" s="113">
        <f>MATCH(A64,Entrada!$A$53:$A$372,0)</f>
        <v>42</v>
      </c>
      <c r="O64">
        <f>IF(NOT(ISNA($N64)),INDEX(Entrada!$C$53:$N$372,$N64,O$2),0)</f>
        <v>1490</v>
      </c>
      <c r="P64">
        <f>IF(NOT(ISNA($N64)),INDEX(Entrada!$C$53:$N$372,$N64,P$2),0)</f>
        <v>1571</v>
      </c>
      <c r="Q64">
        <f>IF(NOT(ISNA($N64)),INDEX(Entrada!$C$53:$N$372,$N64,Q$2),0)</f>
        <v>1285</v>
      </c>
      <c r="R64">
        <f>IF(NOT(ISNA($N64)),INDEX(Entrada!$C$53:$N$372,$N64,R$2),0)</f>
        <v>980</v>
      </c>
      <c r="S64">
        <f>IF(NOT(ISNA($N64)),INDEX(Entrada!$C$53:$N$372,$N64,S$2),0)</f>
        <v>982</v>
      </c>
      <c r="T64">
        <f>IF(NOT(ISNA($N64)),INDEX(Entrada!$C$53:$N$372,$N64,T$2),0)</f>
        <v>1072</v>
      </c>
      <c r="U64">
        <f>IF(NOT(ISNA($N64)),INDEX(Entrada!$C$53:$N$372,$N64,U$2),0)</f>
        <v>970</v>
      </c>
      <c r="V64" s="225">
        <f>IF(NOT(ISNA($N64)),INDEX(Entrada!$C$53:$N$372,$N64,V$2),0)</f>
        <v>798</v>
      </c>
      <c r="W64" s="225">
        <f>IF(NOT(ISNA($N64)),INDEX(Entrada!$C$53:$N$372,$N64,W$2),0)</f>
        <v>882</v>
      </c>
      <c r="X64" s="225">
        <f>IF(NOT(ISNA($N64)),INDEX(Entrada!$C$53:$N$372,$N64,X$2),0)</f>
        <v>1096</v>
      </c>
      <c r="Y64" s="225">
        <f>IF(NOT(ISNA($N64)),INDEX(Entrada!$C$53:$N$372,$N64,Y$2),0)</f>
        <v>987</v>
      </c>
      <c r="Z64" s="225">
        <f>IF(NOT(ISNA($N64)),INDEX(Entrada!$C$53:$N$372,$N64,Z$2),0)</f>
        <v>1087</v>
      </c>
      <c r="AA64" s="113">
        <f t="shared" si="0"/>
        <v>989</v>
      </c>
      <c r="AB64">
        <f t="shared" si="1"/>
        <v>1069</v>
      </c>
      <c r="AC64">
        <f t="shared" si="2"/>
        <v>898</v>
      </c>
      <c r="AD64">
        <f t="shared" si="3"/>
        <v>669</v>
      </c>
      <c r="AE64">
        <f t="shared" si="4"/>
        <v>668</v>
      </c>
      <c r="AF64">
        <f t="shared" si="5"/>
        <v>728</v>
      </c>
      <c r="AG64">
        <f t="shared" si="6"/>
        <v>675</v>
      </c>
      <c r="AH64">
        <f t="shared" si="7"/>
        <v>557</v>
      </c>
      <c r="AI64">
        <f t="shared" si="8"/>
        <v>620</v>
      </c>
      <c r="AJ64">
        <f t="shared" si="9"/>
        <v>763</v>
      </c>
      <c r="AK64">
        <f t="shared" si="10"/>
        <v>677</v>
      </c>
      <c r="AL64">
        <f t="shared" si="11"/>
        <v>741</v>
      </c>
      <c r="AM64" s="113">
        <f t="shared" si="12"/>
        <v>501</v>
      </c>
      <c r="AN64">
        <f t="shared" si="13"/>
        <v>502</v>
      </c>
      <c r="AO64">
        <f t="shared" si="14"/>
        <v>387</v>
      </c>
      <c r="AP64">
        <f t="shared" si="15"/>
        <v>311</v>
      </c>
      <c r="AQ64">
        <f t="shared" si="16"/>
        <v>314</v>
      </c>
      <c r="AR64">
        <f t="shared" si="17"/>
        <v>344</v>
      </c>
      <c r="AS64">
        <f t="shared" si="18"/>
        <v>295</v>
      </c>
      <c r="AT64">
        <f t="shared" si="19"/>
        <v>241</v>
      </c>
      <c r="AU64">
        <f t="shared" si="20"/>
        <v>262</v>
      </c>
      <c r="AV64">
        <f t="shared" si="21"/>
        <v>333</v>
      </c>
      <c r="AW64">
        <f t="shared" si="22"/>
        <v>310</v>
      </c>
      <c r="AX64">
        <f t="shared" si="23"/>
        <v>346</v>
      </c>
    </row>
    <row r="65" spans="1:51" x14ac:dyDescent="0.25">
      <c r="A65" s="113">
        <v>62</v>
      </c>
      <c r="B65" s="209" t="s">
        <v>570</v>
      </c>
      <c r="C65" s="113">
        <v>1931</v>
      </c>
      <c r="D65" s="113">
        <v>2013</v>
      </c>
      <c r="E65" s="210" t="s">
        <v>5</v>
      </c>
      <c r="F65" s="210" t="s">
        <v>307</v>
      </c>
      <c r="G65" s="113">
        <v>61</v>
      </c>
      <c r="H65" s="113"/>
      <c r="I65" s="113"/>
      <c r="J65" s="113"/>
      <c r="K65" s="113"/>
      <c r="N65" s="113">
        <f>MATCH(A65,Entrada!$A$53:$A$372,0)</f>
        <v>43</v>
      </c>
      <c r="O65">
        <f>IF(NOT(ISNA($N65)),INDEX(Entrada!$C$53:$N$372,$N65,O$2),0)</f>
        <v>1564</v>
      </c>
      <c r="P65">
        <f>IF(NOT(ISNA($N65)),INDEX(Entrada!$C$53:$N$372,$N65,P$2),0)</f>
        <v>1652</v>
      </c>
      <c r="Q65">
        <f>IF(NOT(ISNA($N65)),INDEX(Entrada!$C$53:$N$372,$N65,Q$2),0)</f>
        <v>1355</v>
      </c>
      <c r="R65">
        <f>IF(NOT(ISNA($N65)),INDEX(Entrada!$C$53:$N$372,$N65,R$2),0)</f>
        <v>1034</v>
      </c>
      <c r="S65">
        <f>IF(NOT(ISNA($N65)),INDEX(Entrada!$C$53:$N$372,$N65,S$2),0)</f>
        <v>1036</v>
      </c>
      <c r="T65">
        <f>IF(NOT(ISNA($N65)),INDEX(Entrada!$C$53:$N$372,$N65,T$2),0)</f>
        <v>1132</v>
      </c>
      <c r="U65">
        <f>IF(NOT(ISNA($N65)),INDEX(Entrada!$C$53:$N$372,$N65,U$2),0)</f>
        <v>1027</v>
      </c>
      <c r="V65" s="225">
        <f>IF(NOT(ISNA($N65)),INDEX(Entrada!$C$53:$N$372,$N65,V$2),0)</f>
        <v>846</v>
      </c>
      <c r="W65" s="225">
        <f>IF(NOT(ISNA($N65)),INDEX(Entrada!$C$53:$N$372,$N65,W$2),0)</f>
        <v>930</v>
      </c>
      <c r="X65" s="225">
        <f>IF(NOT(ISNA($N65)),INDEX(Entrada!$C$53:$N$372,$N65,X$2),0)</f>
        <v>1160</v>
      </c>
      <c r="Y65" s="225">
        <f>IF(NOT(ISNA($N65)),INDEX(Entrada!$C$53:$N$372,$N65,Y$2),0)</f>
        <v>1046</v>
      </c>
      <c r="Z65" s="225">
        <f>IF(NOT(ISNA($N65)),INDEX(Entrada!$C$53:$N$372,$N65,Z$2),0)</f>
        <v>1145</v>
      </c>
      <c r="AA65" s="113">
        <f t="shared" si="0"/>
        <v>1490</v>
      </c>
      <c r="AB65">
        <f t="shared" si="1"/>
        <v>1571</v>
      </c>
      <c r="AC65">
        <f t="shared" si="2"/>
        <v>1285</v>
      </c>
      <c r="AD65">
        <f t="shared" si="3"/>
        <v>980</v>
      </c>
      <c r="AE65">
        <f t="shared" si="4"/>
        <v>982</v>
      </c>
      <c r="AF65">
        <f t="shared" si="5"/>
        <v>1072</v>
      </c>
      <c r="AG65">
        <f t="shared" si="6"/>
        <v>970</v>
      </c>
      <c r="AH65">
        <f t="shared" si="7"/>
        <v>798</v>
      </c>
      <c r="AI65">
        <f t="shared" si="8"/>
        <v>882</v>
      </c>
      <c r="AJ65">
        <f t="shared" si="9"/>
        <v>1096</v>
      </c>
      <c r="AK65">
        <f t="shared" si="10"/>
        <v>987</v>
      </c>
      <c r="AL65">
        <f t="shared" si="11"/>
        <v>1087</v>
      </c>
      <c r="AM65" s="113">
        <f t="shared" si="12"/>
        <v>74</v>
      </c>
      <c r="AN65">
        <f t="shared" si="13"/>
        <v>81</v>
      </c>
      <c r="AO65">
        <f t="shared" si="14"/>
        <v>70</v>
      </c>
      <c r="AP65">
        <f t="shared" si="15"/>
        <v>54</v>
      </c>
      <c r="AQ65">
        <f t="shared" si="16"/>
        <v>54</v>
      </c>
      <c r="AR65">
        <f t="shared" si="17"/>
        <v>60</v>
      </c>
      <c r="AS65">
        <f t="shared" si="18"/>
        <v>57</v>
      </c>
      <c r="AT65">
        <f t="shared" si="19"/>
        <v>48</v>
      </c>
      <c r="AU65">
        <f t="shared" si="20"/>
        <v>48</v>
      </c>
      <c r="AV65">
        <f t="shared" si="21"/>
        <v>64</v>
      </c>
      <c r="AW65">
        <f t="shared" si="22"/>
        <v>59</v>
      </c>
      <c r="AX65">
        <f t="shared" si="23"/>
        <v>58</v>
      </c>
    </row>
    <row r="66" spans="1:51" x14ac:dyDescent="0.25">
      <c r="A66" s="113">
        <v>63</v>
      </c>
      <c r="B66" s="209" t="s">
        <v>571</v>
      </c>
      <c r="C66" s="113">
        <v>1931</v>
      </c>
      <c r="D66" s="113">
        <v>2013</v>
      </c>
      <c r="E66" s="210" t="s">
        <v>5</v>
      </c>
      <c r="F66" s="210" t="s">
        <v>307</v>
      </c>
      <c r="G66" s="113">
        <v>62</v>
      </c>
      <c r="H66" s="113"/>
      <c r="I66" s="113"/>
      <c r="J66" s="113"/>
      <c r="K66" s="113"/>
      <c r="N66" s="113">
        <f>MATCH(A66,Entrada!$A$53:$A$372,0)</f>
        <v>44</v>
      </c>
      <c r="O66">
        <f>IF(NOT(ISNA($N66)),INDEX(Entrada!$C$53:$N$372,$N66,O$2),0)</f>
        <v>1727</v>
      </c>
      <c r="P66">
        <f>IF(NOT(ISNA($N66)),INDEX(Entrada!$C$53:$N$372,$N66,P$2),0)</f>
        <v>1830</v>
      </c>
      <c r="Q66">
        <f>IF(NOT(ISNA($N66)),INDEX(Entrada!$C$53:$N$372,$N66,Q$2),0)</f>
        <v>1521</v>
      </c>
      <c r="R66">
        <f>IF(NOT(ISNA($N66)),INDEX(Entrada!$C$53:$N$372,$N66,R$2),0)</f>
        <v>1164</v>
      </c>
      <c r="S66">
        <f>IF(NOT(ISNA($N66)),INDEX(Entrada!$C$53:$N$372,$N66,S$2),0)</f>
        <v>1160</v>
      </c>
      <c r="T66">
        <f>IF(NOT(ISNA($N66)),INDEX(Entrada!$C$53:$N$372,$N66,T$2),0)</f>
        <v>1275</v>
      </c>
      <c r="U66">
        <f>IF(NOT(ISNA($N66)),INDEX(Entrada!$C$53:$N$372,$N66,U$2),0)</f>
        <v>1156</v>
      </c>
      <c r="V66" s="225">
        <f>IF(NOT(ISNA($N66)),INDEX(Entrada!$C$53:$N$372,$N66,V$2),0)</f>
        <v>961</v>
      </c>
      <c r="W66" s="225">
        <f>IF(NOT(ISNA($N66)),INDEX(Entrada!$C$53:$N$372,$N66,W$2),0)</f>
        <v>1045</v>
      </c>
      <c r="X66" s="225">
        <f>IF(NOT(ISNA($N66)),INDEX(Entrada!$C$53:$N$372,$N66,X$2),0)</f>
        <v>1303</v>
      </c>
      <c r="Y66" s="225">
        <f>IF(NOT(ISNA($N66)),INDEX(Entrada!$C$53:$N$372,$N66,Y$2),0)</f>
        <v>1187</v>
      </c>
      <c r="Z66" s="225">
        <f>IF(NOT(ISNA($N66)),INDEX(Entrada!$C$53:$N$372,$N66,Z$2),0)</f>
        <v>1284</v>
      </c>
      <c r="AA66" s="113">
        <f t="shared" si="0"/>
        <v>1564</v>
      </c>
      <c r="AB66">
        <f t="shared" si="1"/>
        <v>1652</v>
      </c>
      <c r="AC66">
        <f t="shared" si="2"/>
        <v>1355</v>
      </c>
      <c r="AD66">
        <f t="shared" si="3"/>
        <v>1034</v>
      </c>
      <c r="AE66">
        <f t="shared" si="4"/>
        <v>1036</v>
      </c>
      <c r="AF66">
        <f t="shared" si="5"/>
        <v>1132</v>
      </c>
      <c r="AG66">
        <f t="shared" si="6"/>
        <v>1027</v>
      </c>
      <c r="AH66">
        <f t="shared" si="7"/>
        <v>846</v>
      </c>
      <c r="AI66">
        <f t="shared" si="8"/>
        <v>930</v>
      </c>
      <c r="AJ66">
        <f t="shared" si="9"/>
        <v>1160</v>
      </c>
      <c r="AK66">
        <f t="shared" si="10"/>
        <v>1046</v>
      </c>
      <c r="AL66">
        <f t="shared" si="11"/>
        <v>1145</v>
      </c>
      <c r="AM66" s="113">
        <f t="shared" si="12"/>
        <v>163</v>
      </c>
      <c r="AN66">
        <f t="shared" si="13"/>
        <v>178</v>
      </c>
      <c r="AO66">
        <f t="shared" si="14"/>
        <v>166</v>
      </c>
      <c r="AP66">
        <f t="shared" si="15"/>
        <v>130</v>
      </c>
      <c r="AQ66">
        <f t="shared" si="16"/>
        <v>124</v>
      </c>
      <c r="AR66">
        <f t="shared" si="17"/>
        <v>143</v>
      </c>
      <c r="AS66">
        <f t="shared" si="18"/>
        <v>129</v>
      </c>
      <c r="AT66">
        <f t="shared" si="19"/>
        <v>115</v>
      </c>
      <c r="AU66">
        <f t="shared" si="20"/>
        <v>115</v>
      </c>
      <c r="AV66">
        <f t="shared" si="21"/>
        <v>143</v>
      </c>
      <c r="AW66">
        <f t="shared" si="22"/>
        <v>141</v>
      </c>
      <c r="AX66">
        <f t="shared" si="23"/>
        <v>139</v>
      </c>
    </row>
    <row r="67" spans="1:51" x14ac:dyDescent="0.25">
      <c r="A67" s="113">
        <v>64</v>
      </c>
      <c r="B67" s="209"/>
      <c r="C67" s="113">
        <v>0</v>
      </c>
      <c r="D67" s="113">
        <v>0</v>
      </c>
      <c r="E67" s="113" t="s">
        <v>688</v>
      </c>
      <c r="F67" s="113" t="s">
        <v>688</v>
      </c>
      <c r="G67" s="113"/>
      <c r="H67" s="113"/>
      <c r="I67" s="113"/>
      <c r="J67" s="113"/>
      <c r="K67" s="113"/>
      <c r="N67" s="113" t="e">
        <f>MATCH(A67,Entrada!$A$53:$A$372,0)</f>
        <v>#N/A</v>
      </c>
      <c r="O67">
        <f>IF(NOT(ISNA($N67)),INDEX(Entrada!$C$53:$N$372,$N67,O$2),0)</f>
        <v>0</v>
      </c>
      <c r="P67">
        <f>IF(NOT(ISNA($N67)),INDEX(Entrada!$C$53:$N$372,$N67,P$2),0)</f>
        <v>0</v>
      </c>
      <c r="Q67">
        <f>IF(NOT(ISNA($N67)),INDEX(Entrada!$C$53:$N$372,$N67,Q$2),0)</f>
        <v>0</v>
      </c>
      <c r="R67">
        <f>IF(NOT(ISNA($N67)),INDEX(Entrada!$C$53:$N$372,$N67,R$2),0)</f>
        <v>0</v>
      </c>
      <c r="S67">
        <f>IF(NOT(ISNA($N67)),INDEX(Entrada!$C$53:$N$372,$N67,S$2),0)</f>
        <v>0</v>
      </c>
      <c r="T67">
        <f>IF(NOT(ISNA($N67)),INDEX(Entrada!$C$53:$N$372,$N67,T$2),0)</f>
        <v>0</v>
      </c>
      <c r="U67">
        <f>IF(NOT(ISNA($N67)),INDEX(Entrada!$C$53:$N$372,$N67,U$2),0)</f>
        <v>0</v>
      </c>
      <c r="V67" s="225">
        <f>IF(NOT(ISNA($N67)),INDEX(Entrada!$C$53:$N$372,$N67,V$2),0)</f>
        <v>0</v>
      </c>
      <c r="W67" s="225">
        <f>IF(NOT(ISNA($N67)),INDEX(Entrada!$C$53:$N$372,$N67,W$2),0)</f>
        <v>0</v>
      </c>
      <c r="X67" s="225">
        <f>IF(NOT(ISNA($N67)),INDEX(Entrada!$C$53:$N$372,$N67,X$2),0)</f>
        <v>0</v>
      </c>
      <c r="Y67" s="225">
        <f>IF(NOT(ISNA($N67)),INDEX(Entrada!$C$53:$N$372,$N67,Y$2),0)</f>
        <v>0</v>
      </c>
      <c r="Z67" s="225">
        <f>IF(NOT(ISNA($N67)),INDEX(Entrada!$C$53:$N$372,$N67,Z$2),0)</f>
        <v>0</v>
      </c>
      <c r="AA67" s="113">
        <f t="shared" si="0"/>
        <v>0</v>
      </c>
      <c r="AB67">
        <f t="shared" si="1"/>
        <v>0</v>
      </c>
      <c r="AC67">
        <f t="shared" si="2"/>
        <v>0</v>
      </c>
      <c r="AD67">
        <f t="shared" si="3"/>
        <v>0</v>
      </c>
      <c r="AE67">
        <f t="shared" si="4"/>
        <v>0</v>
      </c>
      <c r="AF67">
        <f t="shared" si="5"/>
        <v>0</v>
      </c>
      <c r="AG67">
        <f t="shared" si="6"/>
        <v>0</v>
      </c>
      <c r="AH67">
        <f t="shared" si="7"/>
        <v>0</v>
      </c>
      <c r="AI67">
        <f t="shared" si="8"/>
        <v>0</v>
      </c>
      <c r="AJ67">
        <f t="shared" si="9"/>
        <v>0</v>
      </c>
      <c r="AK67">
        <f t="shared" si="10"/>
        <v>0</v>
      </c>
      <c r="AL67">
        <f t="shared" si="11"/>
        <v>0</v>
      </c>
      <c r="AM67" s="113">
        <f t="shared" si="12"/>
        <v>0</v>
      </c>
      <c r="AN67">
        <f t="shared" si="13"/>
        <v>0</v>
      </c>
      <c r="AO67">
        <f t="shared" si="14"/>
        <v>0</v>
      </c>
      <c r="AP67">
        <f t="shared" si="15"/>
        <v>0</v>
      </c>
      <c r="AQ67">
        <f t="shared" si="16"/>
        <v>0</v>
      </c>
      <c r="AR67">
        <f t="shared" si="17"/>
        <v>0</v>
      </c>
      <c r="AS67">
        <f t="shared" si="18"/>
        <v>0</v>
      </c>
      <c r="AT67">
        <f t="shared" si="19"/>
        <v>0</v>
      </c>
      <c r="AU67">
        <f t="shared" si="20"/>
        <v>0</v>
      </c>
      <c r="AV67">
        <f t="shared" si="21"/>
        <v>0</v>
      </c>
      <c r="AW67">
        <f t="shared" si="22"/>
        <v>0</v>
      </c>
      <c r="AX67">
        <f t="shared" si="23"/>
        <v>0</v>
      </c>
    </row>
    <row r="68" spans="1:51" x14ac:dyDescent="0.25">
      <c r="A68" s="113">
        <v>65</v>
      </c>
      <c r="B68" s="209" t="s">
        <v>572</v>
      </c>
      <c r="C68" s="113">
        <v>1931</v>
      </c>
      <c r="D68" s="113">
        <v>2013</v>
      </c>
      <c r="E68" s="210" t="s">
        <v>688</v>
      </c>
      <c r="F68" s="210" t="s">
        <v>688</v>
      </c>
      <c r="G68" s="113"/>
      <c r="H68" s="113"/>
      <c r="I68" s="113"/>
      <c r="J68" s="113"/>
      <c r="K68" s="113"/>
      <c r="N68" s="113">
        <f>MATCH(A68,Entrada!$A$53:$A$372,0)</f>
        <v>45</v>
      </c>
      <c r="O68">
        <f>IF(NOT(ISNA($N68)),INDEX(Entrada!$C$53:$N$372,$N68,O$2),0)</f>
        <v>82</v>
      </c>
      <c r="P68">
        <f>IF(NOT(ISNA($N68)),INDEX(Entrada!$C$53:$N$372,$N68,P$2),0)</f>
        <v>89</v>
      </c>
      <c r="Q68">
        <f>IF(NOT(ISNA($N68)),INDEX(Entrada!$C$53:$N$372,$N68,Q$2),0)</f>
        <v>76</v>
      </c>
      <c r="R68">
        <f>IF(NOT(ISNA($N68)),INDEX(Entrada!$C$53:$N$372,$N68,R$2),0)</f>
        <v>81</v>
      </c>
      <c r="S68">
        <f>IF(NOT(ISNA($N68)),INDEX(Entrada!$C$53:$N$372,$N68,S$2),0)</f>
        <v>116</v>
      </c>
      <c r="T68">
        <f>IF(NOT(ISNA($N68)),INDEX(Entrada!$C$53:$N$372,$N68,T$2),0)</f>
        <v>136</v>
      </c>
      <c r="U68">
        <f>IF(NOT(ISNA($N68)),INDEX(Entrada!$C$53:$N$372,$N68,U$2),0)</f>
        <v>120</v>
      </c>
      <c r="V68" s="225">
        <f>IF(NOT(ISNA($N68)),INDEX(Entrada!$C$53:$N$372,$N68,V$2),0)</f>
        <v>103</v>
      </c>
      <c r="W68" s="225">
        <f>IF(NOT(ISNA($N68)),INDEX(Entrada!$C$53:$N$372,$N68,W$2),0)</f>
        <v>117</v>
      </c>
      <c r="X68" s="225">
        <f>IF(NOT(ISNA($N68)),INDEX(Entrada!$C$53:$N$372,$N68,X$2),0)</f>
        <v>156</v>
      </c>
      <c r="Y68" s="225">
        <f>IF(NOT(ISNA($N68)),INDEX(Entrada!$C$53:$N$372,$N68,Y$2),0)</f>
        <v>118</v>
      </c>
      <c r="Z68" s="225">
        <f>IF(NOT(ISNA($N68)),INDEX(Entrada!$C$53:$N$372,$N68,Z$2),0)</f>
        <v>87</v>
      </c>
      <c r="AA68" s="113">
        <f t="shared" ref="AA68:AA131" si="24">IF($G68&gt;0,INDEX($O$4:$Z$323,$G68,O$2),0)+IF($H68&gt;0,INDEX($O$4:$Z$323,$H68,O$2),0)+IF($I68&gt;0,INDEX($O$4:$Z$323,$I68,O$2),0)+IF($J68&gt;0,INDEX($O$4:$Z$323,$J68,O$2),0)+IF($K68&gt;0,INDEX($O$4:$Z$323,$K68,O$2),0)+IF($L68&gt;0,INDEX($O$4:$Z$323,$L68,O$2),0)</f>
        <v>0</v>
      </c>
      <c r="AB68">
        <f t="shared" ref="AB68:AB131" si="25">IF($G68&gt;0,INDEX($O$4:$Z$323,$G68,P$2),0)+IF($H68&gt;0,INDEX($O$4:$Z$323,$H68,P$2),0)+IF($I68&gt;0,INDEX($O$4:$Z$323,$I68,P$2),0)+IF($J68&gt;0,INDEX($O$4:$Z$323,$J68,P$2),0)+IF($K68&gt;0,INDEX($O$4:$Z$323,$K68,P$2),0)+IF($L68&gt;0,INDEX($O$4:$Z$323,$L68,P$2),0)</f>
        <v>0</v>
      </c>
      <c r="AC68">
        <f t="shared" ref="AC68:AC131" si="26">IF($G68&gt;0,INDEX($O$4:$Z$323,$G68,Q$2),0)+IF($H68&gt;0,INDEX($O$4:$Z$323,$H68,Q$2),0)+IF($I68&gt;0,INDEX($O$4:$Z$323,$I68,Q$2),0)+IF($J68&gt;0,INDEX($O$4:$Z$323,$J68,Q$2),0)+IF($K68&gt;0,INDEX($O$4:$Z$323,$K68,Q$2),0)+IF($L68&gt;0,INDEX($O$4:$Z$323,$L68,Q$2),0)</f>
        <v>0</v>
      </c>
      <c r="AD68">
        <f t="shared" ref="AD68:AD131" si="27">IF($G68&gt;0,INDEX($O$4:$Z$323,$G68,R$2),0)+IF($H68&gt;0,INDEX($O$4:$Z$323,$H68,R$2),0)+IF($I68&gt;0,INDEX($O$4:$Z$323,$I68,R$2),0)+IF($J68&gt;0,INDEX($O$4:$Z$323,$J68,R$2),0)+IF($K68&gt;0,INDEX($O$4:$Z$323,$K68,R$2),0)+IF($L68&gt;0,INDEX($O$4:$Z$323,$L68,R$2),0)</f>
        <v>0</v>
      </c>
      <c r="AE68">
        <f t="shared" ref="AE68:AE131" si="28">IF($G68&gt;0,INDEX($O$4:$Z$323,$G68,S$2),0)+IF($H68&gt;0,INDEX($O$4:$Z$323,$H68,S$2),0)+IF($I68&gt;0,INDEX($O$4:$Z$323,$I68,S$2),0)+IF($J68&gt;0,INDEX($O$4:$Z$323,$J68,S$2),0)+IF($K68&gt;0,INDEX($O$4:$Z$323,$K68,S$2),0)+IF($L68&gt;0,INDEX($O$4:$Z$323,$L68,S$2),0)</f>
        <v>0</v>
      </c>
      <c r="AF68">
        <f t="shared" ref="AF68:AF131" si="29">IF($G68&gt;0,INDEX($O$4:$Z$323,$G68,T$2),0)+IF($H68&gt;0,INDEX($O$4:$Z$323,$H68,T$2),0)+IF($I68&gt;0,INDEX($O$4:$Z$323,$I68,T$2),0)+IF($J68&gt;0,INDEX($O$4:$Z$323,$J68,T$2),0)+IF($K68&gt;0,INDEX($O$4:$Z$323,$K68,T$2),0)+IF($L68&gt;0,INDEX($O$4:$Z$323,$L68,T$2),0)</f>
        <v>0</v>
      </c>
      <c r="AG68">
        <f t="shared" ref="AG68:AG131" si="30">IF($G68&gt;0,INDEX($O$4:$Z$323,$G68,U$2),0)+IF($H68&gt;0,INDEX($O$4:$Z$323,$H68,U$2),0)+IF($I68&gt;0,INDEX($O$4:$Z$323,$I68,U$2),0)+IF($J68&gt;0,INDEX($O$4:$Z$323,$J68,U$2),0)+IF($K68&gt;0,INDEX($O$4:$Z$323,$K68,U$2),0)+IF($L68&gt;0,INDEX($O$4:$Z$323,$L68,U$2),0)</f>
        <v>0</v>
      </c>
      <c r="AH68">
        <f t="shared" ref="AH68:AH131" si="31">IF($G68&gt;0,INDEX($O$4:$Z$323,$G68,V$2),0)+IF($H68&gt;0,INDEX($O$4:$Z$323,$H68,V$2),0)+IF($I68&gt;0,INDEX($O$4:$Z$323,$I68,V$2),0)+IF($J68&gt;0,INDEX($O$4:$Z$323,$J68,V$2),0)+IF($K68&gt;0,INDEX($O$4:$Z$323,$K68,V$2),0)+IF($L68&gt;0,INDEX($O$4:$Z$323,$L68,V$2),0)</f>
        <v>0</v>
      </c>
      <c r="AI68">
        <f t="shared" ref="AI68:AI131" si="32">IF($G68&gt;0,INDEX($O$4:$Z$323,$G68,W$2),0)+IF($H68&gt;0,INDEX($O$4:$Z$323,$H68,W$2),0)+IF($I68&gt;0,INDEX($O$4:$Z$323,$I68,W$2),0)+IF($J68&gt;0,INDEX($O$4:$Z$323,$J68,W$2),0)+IF($K68&gt;0,INDEX($O$4:$Z$323,$K68,W$2),0)+IF($L68&gt;0,INDEX($O$4:$Z$323,$L68,W$2),0)</f>
        <v>0</v>
      </c>
      <c r="AJ68">
        <f t="shared" ref="AJ68:AJ131" si="33">IF($G68&gt;0,INDEX($O$4:$Z$323,$G68,X$2),0)+IF($H68&gt;0,INDEX($O$4:$Z$323,$H68,X$2),0)+IF($I68&gt;0,INDEX($O$4:$Z$323,$I68,X$2),0)+IF($J68&gt;0,INDEX($O$4:$Z$323,$J68,X$2),0)+IF($K68&gt;0,INDEX($O$4:$Z$323,$K68,X$2),0)+IF($L68&gt;0,INDEX($O$4:$Z$323,$L68,X$2),0)</f>
        <v>0</v>
      </c>
      <c r="AK68">
        <f t="shared" ref="AK68:AK131" si="34">IF($G68&gt;0,INDEX($O$4:$Z$323,$G68,Y$2),0)+IF($H68&gt;0,INDEX($O$4:$Z$323,$H68,Y$2),0)+IF($I68&gt;0,INDEX($O$4:$Z$323,$I68,Y$2),0)+IF($J68&gt;0,INDEX($O$4:$Z$323,$J68,Y$2),0)+IF($K68&gt;0,INDEX($O$4:$Z$323,$K68,Y$2),0)+IF($L68&gt;0,INDEX($O$4:$Z$323,$L68,Y$2),0)</f>
        <v>0</v>
      </c>
      <c r="AL68">
        <f t="shared" ref="AL68:AL131" si="35">IF($G68&gt;0,INDEX($O$4:$Z$323,$G68,Z$2),0)+IF($H68&gt;0,INDEX($O$4:$Z$323,$H68,Z$2),0)+IF($I68&gt;0,INDEX($O$4:$Z$323,$I68,Z$2),0)+IF($J68&gt;0,INDEX($O$4:$Z$323,$J68,Z$2),0)+IF($K68&gt;0,INDEX($O$4:$Z$323,$K68,Z$2),0)+IF($L68&gt;0,INDEX($O$4:$Z$323,$L68,Z$2),0)</f>
        <v>0</v>
      </c>
      <c r="AM68" s="113">
        <f t="shared" ref="AM68:AM131" si="36">O68-AA68</f>
        <v>82</v>
      </c>
      <c r="AN68">
        <f t="shared" ref="AN68:AN131" si="37">P68-AB68</f>
        <v>89</v>
      </c>
      <c r="AO68">
        <f t="shared" ref="AO68:AO131" si="38">Q68-AC68</f>
        <v>76</v>
      </c>
      <c r="AP68">
        <f t="shared" ref="AP68:AP131" si="39">R68-AD68</f>
        <v>81</v>
      </c>
      <c r="AQ68">
        <f t="shared" ref="AQ68:AQ131" si="40">S68-AE68</f>
        <v>116</v>
      </c>
      <c r="AR68">
        <f t="shared" ref="AR68:AR131" si="41">T68-AF68</f>
        <v>136</v>
      </c>
      <c r="AS68">
        <f t="shared" ref="AS68:AS131" si="42">U68-AG68</f>
        <v>120</v>
      </c>
      <c r="AT68">
        <f t="shared" ref="AT68:AT131" si="43">V68-AH68</f>
        <v>103</v>
      </c>
      <c r="AU68">
        <f t="shared" ref="AU68:AU131" si="44">W68-AI68</f>
        <v>117</v>
      </c>
      <c r="AV68">
        <f t="shared" ref="AV68:AV131" si="45">X68-AJ68</f>
        <v>156</v>
      </c>
      <c r="AW68">
        <f t="shared" ref="AW68:AW131" si="46">Y68-AK68</f>
        <v>118</v>
      </c>
      <c r="AX68">
        <f t="shared" ref="AX68:AX131" si="47">Z68-AL68</f>
        <v>87</v>
      </c>
    </row>
    <row r="69" spans="1:51" x14ac:dyDescent="0.25">
      <c r="A69" s="113">
        <v>66</v>
      </c>
      <c r="B69" s="209" t="s">
        <v>573</v>
      </c>
      <c r="C69" s="113">
        <v>1931</v>
      </c>
      <c r="D69" s="113">
        <v>2013</v>
      </c>
      <c r="E69" s="212" t="s">
        <v>8</v>
      </c>
      <c r="F69" s="213" t="s">
        <v>291</v>
      </c>
      <c r="G69" s="113"/>
      <c r="H69" s="113"/>
      <c r="I69" s="113"/>
      <c r="J69" s="113"/>
      <c r="K69" s="113"/>
      <c r="N69" s="113">
        <f>MATCH(A69,Entrada!$A$53:$A$372,0)</f>
        <v>46</v>
      </c>
      <c r="O69">
        <f>IF(NOT(ISNA($N69)),INDEX(Entrada!$C$53:$N$372,$N69,O$2),0)</f>
        <v>14784</v>
      </c>
      <c r="P69">
        <f>IF(NOT(ISNA($N69)),INDEX(Entrada!$C$53:$N$372,$N69,P$2),0)</f>
        <v>16151</v>
      </c>
      <c r="Q69">
        <f>IF(NOT(ISNA($N69)),INDEX(Entrada!$C$53:$N$372,$N69,Q$2),0)</f>
        <v>15026</v>
      </c>
      <c r="R69">
        <f>IF(NOT(ISNA($N69)),INDEX(Entrada!$C$53:$N$372,$N69,R$2),0)</f>
        <v>11938</v>
      </c>
      <c r="S69">
        <f>IF(NOT(ISNA($N69)),INDEX(Entrada!$C$53:$N$372,$N69,S$2),0)</f>
        <v>9548</v>
      </c>
      <c r="T69">
        <f>IF(NOT(ISNA($N69)),INDEX(Entrada!$C$53:$N$372,$N69,T$2),0)</f>
        <v>8841</v>
      </c>
      <c r="U69" s="219">
        <f>IF(NOT(ISNA($N69)),INDEX(Entrada!$C$53:$N$372,$N69,U$2),0)</f>
        <v>7484</v>
      </c>
      <c r="V69" s="225">
        <f>IF(NOT(ISNA($N69)),INDEX(Entrada!$C$53:$N$372,$N69,V$2),0)</f>
        <v>6291</v>
      </c>
      <c r="W69" s="225">
        <f>IF(NOT(ISNA($N69)),INDEX(Entrada!$C$53:$N$372,$N69,W$2),0)</f>
        <v>6327</v>
      </c>
      <c r="X69" s="225">
        <f>IF(NOT(ISNA($N69)),INDEX(Entrada!$C$53:$N$372,$N69,X$2),0)</f>
        <v>7597</v>
      </c>
      <c r="Y69" s="225">
        <f>IF(NOT(ISNA($N69)),INDEX(Entrada!$C$53:$N$372,$N69,Y$2),0)</f>
        <v>8344</v>
      </c>
      <c r="Z69" s="225">
        <f>IF(NOT(ISNA($N69)),INDEX(Entrada!$C$53:$N$372,$N69,Z$2),0)</f>
        <v>10989</v>
      </c>
      <c r="AA69" s="113">
        <f t="shared" si="24"/>
        <v>0</v>
      </c>
      <c r="AB69">
        <f t="shared" si="25"/>
        <v>0</v>
      </c>
      <c r="AC69">
        <f t="shared" si="26"/>
        <v>0</v>
      </c>
      <c r="AD69">
        <f t="shared" si="27"/>
        <v>0</v>
      </c>
      <c r="AE69">
        <f t="shared" si="28"/>
        <v>0</v>
      </c>
      <c r="AF69">
        <f t="shared" si="29"/>
        <v>0</v>
      </c>
      <c r="AG69">
        <f t="shared" si="30"/>
        <v>0</v>
      </c>
      <c r="AH69">
        <f t="shared" si="31"/>
        <v>0</v>
      </c>
      <c r="AI69">
        <f t="shared" si="32"/>
        <v>0</v>
      </c>
      <c r="AJ69">
        <f t="shared" si="33"/>
        <v>0</v>
      </c>
      <c r="AK69">
        <f t="shared" si="34"/>
        <v>0</v>
      </c>
      <c r="AL69">
        <f t="shared" si="35"/>
        <v>0</v>
      </c>
      <c r="AM69" s="219">
        <f t="shared" si="36"/>
        <v>14784</v>
      </c>
      <c r="AN69">
        <f t="shared" si="37"/>
        <v>16151</v>
      </c>
      <c r="AO69">
        <f t="shared" si="38"/>
        <v>15026</v>
      </c>
      <c r="AP69">
        <f t="shared" si="39"/>
        <v>11938</v>
      </c>
      <c r="AQ69">
        <f t="shared" si="40"/>
        <v>9548</v>
      </c>
      <c r="AR69">
        <f t="shared" si="41"/>
        <v>8841</v>
      </c>
      <c r="AS69">
        <f t="shared" si="42"/>
        <v>7484</v>
      </c>
      <c r="AT69">
        <f t="shared" si="43"/>
        <v>6291</v>
      </c>
      <c r="AU69">
        <f t="shared" si="44"/>
        <v>6327</v>
      </c>
      <c r="AV69">
        <f t="shared" si="45"/>
        <v>7597</v>
      </c>
      <c r="AW69">
        <f t="shared" si="46"/>
        <v>8344</v>
      </c>
      <c r="AX69">
        <f t="shared" si="47"/>
        <v>10989</v>
      </c>
      <c r="AY69" s="219">
        <f>AY269-0.1*(AY164-AY120-AY121)-AY120-AY121</f>
        <v>0</v>
      </c>
    </row>
    <row r="70" spans="1:51" x14ac:dyDescent="0.25">
      <c r="A70" s="113">
        <v>67</v>
      </c>
      <c r="B70" s="209"/>
      <c r="C70" s="113">
        <v>0</v>
      </c>
      <c r="D70" s="113">
        <v>0</v>
      </c>
      <c r="E70" s="113" t="s">
        <v>688</v>
      </c>
      <c r="F70" s="113" t="s">
        <v>688</v>
      </c>
      <c r="G70" s="113"/>
      <c r="H70" s="113"/>
      <c r="I70" s="113"/>
      <c r="J70" s="113"/>
      <c r="K70" s="113"/>
      <c r="N70" s="113" t="e">
        <f>MATCH(A70,Entrada!$A$53:$A$372,0)</f>
        <v>#N/A</v>
      </c>
      <c r="O70">
        <f>IF(NOT(ISNA($N70)),INDEX(Entrada!$C$53:$N$372,$N70,O$2),0)</f>
        <v>0</v>
      </c>
      <c r="P70">
        <f>IF(NOT(ISNA($N70)),INDEX(Entrada!$C$53:$N$372,$N70,P$2),0)</f>
        <v>0</v>
      </c>
      <c r="Q70">
        <f>IF(NOT(ISNA($N70)),INDEX(Entrada!$C$53:$N$372,$N70,Q$2),0)</f>
        <v>0</v>
      </c>
      <c r="R70">
        <f>IF(NOT(ISNA($N70)),INDEX(Entrada!$C$53:$N$372,$N70,R$2),0)</f>
        <v>0</v>
      </c>
      <c r="S70">
        <f>IF(NOT(ISNA($N70)),INDEX(Entrada!$C$53:$N$372,$N70,S$2),0)</f>
        <v>0</v>
      </c>
      <c r="T70">
        <f>IF(NOT(ISNA($N70)),INDEX(Entrada!$C$53:$N$372,$N70,T$2),0)</f>
        <v>0</v>
      </c>
      <c r="U70">
        <f>IF(NOT(ISNA($N70)),INDEX(Entrada!$C$53:$N$372,$N70,U$2),0)</f>
        <v>0</v>
      </c>
      <c r="V70" s="225">
        <f>IF(NOT(ISNA($N70)),INDEX(Entrada!$C$53:$N$372,$N70,V$2),0)</f>
        <v>0</v>
      </c>
      <c r="W70" s="225">
        <f>IF(NOT(ISNA($N70)),INDEX(Entrada!$C$53:$N$372,$N70,W$2),0)</f>
        <v>0</v>
      </c>
      <c r="X70" s="225">
        <f>IF(NOT(ISNA($N70)),INDEX(Entrada!$C$53:$N$372,$N70,X$2),0)</f>
        <v>0</v>
      </c>
      <c r="Y70" s="225">
        <f>IF(NOT(ISNA($N70)),INDEX(Entrada!$C$53:$N$372,$N70,Y$2),0)</f>
        <v>0</v>
      </c>
      <c r="Z70" s="225">
        <f>IF(NOT(ISNA($N70)),INDEX(Entrada!$C$53:$N$372,$N70,Z$2),0)</f>
        <v>0</v>
      </c>
      <c r="AA70" s="113">
        <f t="shared" si="24"/>
        <v>0</v>
      </c>
      <c r="AB70">
        <f t="shared" si="25"/>
        <v>0</v>
      </c>
      <c r="AC70">
        <f t="shared" si="26"/>
        <v>0</v>
      </c>
      <c r="AD70">
        <f t="shared" si="27"/>
        <v>0</v>
      </c>
      <c r="AE70">
        <f t="shared" si="28"/>
        <v>0</v>
      </c>
      <c r="AF70">
        <f t="shared" si="29"/>
        <v>0</v>
      </c>
      <c r="AG70">
        <f t="shared" si="30"/>
        <v>0</v>
      </c>
      <c r="AH70">
        <f t="shared" si="31"/>
        <v>0</v>
      </c>
      <c r="AI70">
        <f t="shared" si="32"/>
        <v>0</v>
      </c>
      <c r="AJ70">
        <f t="shared" si="33"/>
        <v>0</v>
      </c>
      <c r="AK70">
        <f t="shared" si="34"/>
        <v>0</v>
      </c>
      <c r="AL70">
        <f t="shared" si="35"/>
        <v>0</v>
      </c>
      <c r="AM70" s="113">
        <f t="shared" si="36"/>
        <v>0</v>
      </c>
      <c r="AN70">
        <f t="shared" si="37"/>
        <v>0</v>
      </c>
      <c r="AO70">
        <f t="shared" si="38"/>
        <v>0</v>
      </c>
      <c r="AP70">
        <f t="shared" si="39"/>
        <v>0</v>
      </c>
      <c r="AQ70">
        <f t="shared" si="40"/>
        <v>0</v>
      </c>
      <c r="AR70">
        <f t="shared" si="41"/>
        <v>0</v>
      </c>
      <c r="AS70">
        <f t="shared" si="42"/>
        <v>0</v>
      </c>
      <c r="AT70">
        <f t="shared" si="43"/>
        <v>0</v>
      </c>
      <c r="AU70">
        <f t="shared" si="44"/>
        <v>0</v>
      </c>
      <c r="AV70">
        <f t="shared" si="45"/>
        <v>0</v>
      </c>
      <c r="AW70">
        <f t="shared" si="46"/>
        <v>0</v>
      </c>
      <c r="AX70">
        <f t="shared" si="47"/>
        <v>0</v>
      </c>
    </row>
    <row r="71" spans="1:51" x14ac:dyDescent="0.25">
      <c r="A71" s="113">
        <v>68</v>
      </c>
      <c r="B71" s="209"/>
      <c r="C71" s="113">
        <v>0</v>
      </c>
      <c r="D71" s="113">
        <v>0</v>
      </c>
      <c r="E71" s="113" t="s">
        <v>688</v>
      </c>
      <c r="F71" s="113" t="s">
        <v>688</v>
      </c>
      <c r="G71" s="113"/>
      <c r="H71" s="113"/>
      <c r="I71" s="113"/>
      <c r="J71" s="113"/>
      <c r="K71" s="113"/>
      <c r="N71" s="113" t="e">
        <f>MATCH(A71,Entrada!$A$53:$A$372,0)</f>
        <v>#N/A</v>
      </c>
      <c r="O71">
        <f>IF(NOT(ISNA($N71)),INDEX(Entrada!$C$53:$N$372,$N71,O$2),0)</f>
        <v>0</v>
      </c>
      <c r="P71">
        <f>IF(NOT(ISNA($N71)),INDEX(Entrada!$C$53:$N$372,$N71,P$2),0)</f>
        <v>0</v>
      </c>
      <c r="Q71">
        <f>IF(NOT(ISNA($N71)),INDEX(Entrada!$C$53:$N$372,$N71,Q$2),0)</f>
        <v>0</v>
      </c>
      <c r="R71">
        <f>IF(NOT(ISNA($N71)),INDEX(Entrada!$C$53:$N$372,$N71,R$2),0)</f>
        <v>0</v>
      </c>
      <c r="S71">
        <f>IF(NOT(ISNA($N71)),INDEX(Entrada!$C$53:$N$372,$N71,S$2),0)</f>
        <v>0</v>
      </c>
      <c r="T71">
        <f>IF(NOT(ISNA($N71)),INDEX(Entrada!$C$53:$N$372,$N71,T$2),0)</f>
        <v>0</v>
      </c>
      <c r="U71">
        <f>IF(NOT(ISNA($N71)),INDEX(Entrada!$C$53:$N$372,$N71,U$2),0)</f>
        <v>0</v>
      </c>
      <c r="V71" s="225">
        <f>IF(NOT(ISNA($N71)),INDEX(Entrada!$C$53:$N$372,$N71,V$2),0)</f>
        <v>0</v>
      </c>
      <c r="W71" s="225">
        <f>IF(NOT(ISNA($N71)),INDEX(Entrada!$C$53:$N$372,$N71,W$2),0)</f>
        <v>0</v>
      </c>
      <c r="X71" s="225">
        <f>IF(NOT(ISNA($N71)),INDEX(Entrada!$C$53:$N$372,$N71,X$2),0)</f>
        <v>0</v>
      </c>
      <c r="Y71" s="225">
        <f>IF(NOT(ISNA($N71)),INDEX(Entrada!$C$53:$N$372,$N71,Y$2),0)</f>
        <v>0</v>
      </c>
      <c r="Z71" s="225">
        <f>IF(NOT(ISNA($N71)),INDEX(Entrada!$C$53:$N$372,$N71,Z$2),0)</f>
        <v>0</v>
      </c>
      <c r="AA71" s="113">
        <f t="shared" si="24"/>
        <v>0</v>
      </c>
      <c r="AB71">
        <f t="shared" si="25"/>
        <v>0</v>
      </c>
      <c r="AC71">
        <f t="shared" si="26"/>
        <v>0</v>
      </c>
      <c r="AD71">
        <f t="shared" si="27"/>
        <v>0</v>
      </c>
      <c r="AE71">
        <f t="shared" si="28"/>
        <v>0</v>
      </c>
      <c r="AF71">
        <f t="shared" si="29"/>
        <v>0</v>
      </c>
      <c r="AG71">
        <f t="shared" si="30"/>
        <v>0</v>
      </c>
      <c r="AH71">
        <f t="shared" si="31"/>
        <v>0</v>
      </c>
      <c r="AI71">
        <f t="shared" si="32"/>
        <v>0</v>
      </c>
      <c r="AJ71">
        <f t="shared" si="33"/>
        <v>0</v>
      </c>
      <c r="AK71">
        <f t="shared" si="34"/>
        <v>0</v>
      </c>
      <c r="AL71">
        <f t="shared" si="35"/>
        <v>0</v>
      </c>
      <c r="AM71" s="113">
        <f t="shared" si="36"/>
        <v>0</v>
      </c>
      <c r="AN71">
        <f t="shared" si="37"/>
        <v>0</v>
      </c>
      <c r="AO71">
        <f t="shared" si="38"/>
        <v>0</v>
      </c>
      <c r="AP71">
        <f t="shared" si="39"/>
        <v>0</v>
      </c>
      <c r="AQ71">
        <f t="shared" si="40"/>
        <v>0</v>
      </c>
      <c r="AR71">
        <f t="shared" si="41"/>
        <v>0</v>
      </c>
      <c r="AS71">
        <f t="shared" si="42"/>
        <v>0</v>
      </c>
      <c r="AT71">
        <f t="shared" si="43"/>
        <v>0</v>
      </c>
      <c r="AU71">
        <f t="shared" si="44"/>
        <v>0</v>
      </c>
      <c r="AV71">
        <f t="shared" si="45"/>
        <v>0</v>
      </c>
      <c r="AW71">
        <f t="shared" si="46"/>
        <v>0</v>
      </c>
      <c r="AX71">
        <f t="shared" si="47"/>
        <v>0</v>
      </c>
    </row>
    <row r="72" spans="1:51" x14ac:dyDescent="0.25">
      <c r="A72" s="113">
        <v>69</v>
      </c>
      <c r="B72" s="209"/>
      <c r="C72" s="113">
        <v>0</v>
      </c>
      <c r="D72" s="113">
        <v>0</v>
      </c>
      <c r="E72" s="113" t="s">
        <v>688</v>
      </c>
      <c r="F72" s="113" t="s">
        <v>688</v>
      </c>
      <c r="G72" s="113"/>
      <c r="H72" s="113"/>
      <c r="I72" s="113"/>
      <c r="J72" s="113"/>
      <c r="K72" s="113"/>
      <c r="N72" s="113" t="e">
        <f>MATCH(A72,Entrada!$A$53:$A$372,0)</f>
        <v>#N/A</v>
      </c>
      <c r="O72">
        <f>IF(NOT(ISNA($N72)),INDEX(Entrada!$C$53:$N$372,$N72,O$2),0)</f>
        <v>0</v>
      </c>
      <c r="P72">
        <f>IF(NOT(ISNA($N72)),INDEX(Entrada!$C$53:$N$372,$N72,P$2),0)</f>
        <v>0</v>
      </c>
      <c r="Q72">
        <f>IF(NOT(ISNA($N72)),INDEX(Entrada!$C$53:$N$372,$N72,Q$2),0)</f>
        <v>0</v>
      </c>
      <c r="R72">
        <f>IF(NOT(ISNA($N72)),INDEX(Entrada!$C$53:$N$372,$N72,R$2),0)</f>
        <v>0</v>
      </c>
      <c r="S72">
        <f>IF(NOT(ISNA($N72)),INDEX(Entrada!$C$53:$N$372,$N72,S$2),0)</f>
        <v>0</v>
      </c>
      <c r="T72">
        <f>IF(NOT(ISNA($N72)),INDEX(Entrada!$C$53:$N$372,$N72,T$2),0)</f>
        <v>0</v>
      </c>
      <c r="U72">
        <f>IF(NOT(ISNA($N72)),INDEX(Entrada!$C$53:$N$372,$N72,U$2),0)</f>
        <v>0</v>
      </c>
      <c r="V72" s="225">
        <f>IF(NOT(ISNA($N72)),INDEX(Entrada!$C$53:$N$372,$N72,V$2),0)</f>
        <v>0</v>
      </c>
      <c r="W72" s="225">
        <f>IF(NOT(ISNA($N72)),INDEX(Entrada!$C$53:$N$372,$N72,W$2),0)</f>
        <v>0</v>
      </c>
      <c r="X72" s="225">
        <f>IF(NOT(ISNA($N72)),INDEX(Entrada!$C$53:$N$372,$N72,X$2),0)</f>
        <v>0</v>
      </c>
      <c r="Y72" s="225">
        <f>IF(NOT(ISNA($N72)),INDEX(Entrada!$C$53:$N$372,$N72,Y$2),0)</f>
        <v>0</v>
      </c>
      <c r="Z72" s="225">
        <f>IF(NOT(ISNA($N72)),INDEX(Entrada!$C$53:$N$372,$N72,Z$2),0)</f>
        <v>0</v>
      </c>
      <c r="AA72" s="113">
        <f t="shared" si="24"/>
        <v>0</v>
      </c>
      <c r="AB72">
        <f t="shared" si="25"/>
        <v>0</v>
      </c>
      <c r="AC72">
        <f t="shared" si="26"/>
        <v>0</v>
      </c>
      <c r="AD72">
        <f t="shared" si="27"/>
        <v>0</v>
      </c>
      <c r="AE72">
        <f t="shared" si="28"/>
        <v>0</v>
      </c>
      <c r="AF72">
        <f t="shared" si="29"/>
        <v>0</v>
      </c>
      <c r="AG72">
        <f t="shared" si="30"/>
        <v>0</v>
      </c>
      <c r="AH72">
        <f t="shared" si="31"/>
        <v>0</v>
      </c>
      <c r="AI72">
        <f t="shared" si="32"/>
        <v>0</v>
      </c>
      <c r="AJ72">
        <f t="shared" si="33"/>
        <v>0</v>
      </c>
      <c r="AK72">
        <f t="shared" si="34"/>
        <v>0</v>
      </c>
      <c r="AL72">
        <f t="shared" si="35"/>
        <v>0</v>
      </c>
      <c r="AM72" s="113">
        <f t="shared" si="36"/>
        <v>0</v>
      </c>
      <c r="AN72">
        <f t="shared" si="37"/>
        <v>0</v>
      </c>
      <c r="AO72">
        <f t="shared" si="38"/>
        <v>0</v>
      </c>
      <c r="AP72">
        <f t="shared" si="39"/>
        <v>0</v>
      </c>
      <c r="AQ72">
        <f t="shared" si="40"/>
        <v>0</v>
      </c>
      <c r="AR72">
        <f t="shared" si="41"/>
        <v>0</v>
      </c>
      <c r="AS72">
        <f t="shared" si="42"/>
        <v>0</v>
      </c>
      <c r="AT72">
        <f t="shared" si="43"/>
        <v>0</v>
      </c>
      <c r="AU72">
        <f t="shared" si="44"/>
        <v>0</v>
      </c>
      <c r="AV72">
        <f t="shared" si="45"/>
        <v>0</v>
      </c>
      <c r="AW72">
        <f t="shared" si="46"/>
        <v>0</v>
      </c>
      <c r="AX72">
        <f t="shared" si="47"/>
        <v>0</v>
      </c>
    </row>
    <row r="73" spans="1:51" x14ac:dyDescent="0.25">
      <c r="A73" s="113">
        <v>70</v>
      </c>
      <c r="B73" s="209" t="s">
        <v>574</v>
      </c>
      <c r="C73" s="113">
        <v>1931</v>
      </c>
      <c r="D73" s="113">
        <v>2013</v>
      </c>
      <c r="E73" s="212" t="s">
        <v>15</v>
      </c>
      <c r="F73" s="213" t="s">
        <v>311</v>
      </c>
      <c r="G73" s="113"/>
      <c r="H73" s="113"/>
      <c r="I73" s="113"/>
      <c r="J73" s="113"/>
      <c r="K73" s="113"/>
      <c r="N73" s="113">
        <f>MATCH(A73,Entrada!$A$53:$A$372,0)</f>
        <v>47</v>
      </c>
      <c r="O73">
        <f>IF(NOT(ISNA($N73)),INDEX(Entrada!$C$53:$N$372,$N73,O$2),0)</f>
        <v>21</v>
      </c>
      <c r="P73">
        <f>IF(NOT(ISNA($N73)),INDEX(Entrada!$C$53:$N$372,$N73,P$2),0)</f>
        <v>21</v>
      </c>
      <c r="Q73">
        <f>IF(NOT(ISNA($N73)),INDEX(Entrada!$C$53:$N$372,$N73,Q$2),0)</f>
        <v>14</v>
      </c>
      <c r="R73">
        <f>IF(NOT(ISNA($N73)),INDEX(Entrada!$C$53:$N$372,$N73,R$2),0)</f>
        <v>21</v>
      </c>
      <c r="S73">
        <f>IF(NOT(ISNA($N73)),INDEX(Entrada!$C$53:$N$372,$N73,S$2),0)</f>
        <v>42</v>
      </c>
      <c r="T73">
        <f>IF(NOT(ISNA($N73)),INDEX(Entrada!$C$53:$N$372,$N73,T$2),0)</f>
        <v>45</v>
      </c>
      <c r="U73" s="219">
        <f>IF(NOT(ISNA($N73)),INDEX(Entrada!$C$53:$N$372,$N73,U$2),0)</f>
        <v>41</v>
      </c>
      <c r="V73" s="225">
        <f>IF(NOT(ISNA($N73)),INDEX(Entrada!$C$53:$N$372,$N73,V$2),0)</f>
        <v>22</v>
      </c>
      <c r="W73" s="225">
        <f>IF(NOT(ISNA($N73)),INDEX(Entrada!$C$53:$N$372,$N73,W$2),0)</f>
        <v>39</v>
      </c>
      <c r="X73" s="225">
        <f>IF(NOT(ISNA($N73)),INDEX(Entrada!$C$53:$N$372,$N73,X$2),0)</f>
        <v>51</v>
      </c>
      <c r="Y73" s="225">
        <f>IF(NOT(ISNA($N73)),INDEX(Entrada!$C$53:$N$372,$N73,Y$2),0)</f>
        <v>26</v>
      </c>
      <c r="Z73" s="225">
        <f>IF(NOT(ISNA($N73)),INDEX(Entrada!$C$53:$N$372,$N73,Z$2),0)</f>
        <v>18</v>
      </c>
      <c r="AA73" s="113">
        <f t="shared" si="24"/>
        <v>0</v>
      </c>
      <c r="AB73">
        <f t="shared" si="25"/>
        <v>0</v>
      </c>
      <c r="AC73">
        <f t="shared" si="26"/>
        <v>0</v>
      </c>
      <c r="AD73">
        <f t="shared" si="27"/>
        <v>0</v>
      </c>
      <c r="AE73">
        <f t="shared" si="28"/>
        <v>0</v>
      </c>
      <c r="AF73">
        <f t="shared" si="29"/>
        <v>0</v>
      </c>
      <c r="AG73">
        <f t="shared" si="30"/>
        <v>0</v>
      </c>
      <c r="AH73">
        <f t="shared" si="31"/>
        <v>0</v>
      </c>
      <c r="AI73">
        <f t="shared" si="32"/>
        <v>0</v>
      </c>
      <c r="AJ73">
        <f t="shared" si="33"/>
        <v>0</v>
      </c>
      <c r="AK73">
        <f t="shared" si="34"/>
        <v>0</v>
      </c>
      <c r="AL73">
        <f t="shared" si="35"/>
        <v>0</v>
      </c>
      <c r="AM73" s="219">
        <f t="shared" si="36"/>
        <v>21</v>
      </c>
      <c r="AN73">
        <f t="shared" si="37"/>
        <v>21</v>
      </c>
      <c r="AO73">
        <f t="shared" si="38"/>
        <v>14</v>
      </c>
      <c r="AP73">
        <f t="shared" si="39"/>
        <v>21</v>
      </c>
      <c r="AQ73">
        <f t="shared" si="40"/>
        <v>42</v>
      </c>
      <c r="AR73">
        <f t="shared" si="41"/>
        <v>45</v>
      </c>
      <c r="AS73">
        <f t="shared" si="42"/>
        <v>41</v>
      </c>
      <c r="AT73">
        <f t="shared" si="43"/>
        <v>22</v>
      </c>
      <c r="AU73">
        <f t="shared" si="44"/>
        <v>39</v>
      </c>
      <c r="AV73">
        <f t="shared" si="45"/>
        <v>51</v>
      </c>
      <c r="AW73">
        <f t="shared" si="46"/>
        <v>26</v>
      </c>
      <c r="AX73">
        <f t="shared" si="47"/>
        <v>18</v>
      </c>
      <c r="AY73" s="219">
        <f>AY76-MIN(AY76-10,173.5)</f>
        <v>10</v>
      </c>
    </row>
    <row r="74" spans="1:51" x14ac:dyDescent="0.25">
      <c r="A74" s="113">
        <v>71</v>
      </c>
      <c r="B74" s="209" t="s">
        <v>170</v>
      </c>
      <c r="C74" s="113">
        <v>1931</v>
      </c>
      <c r="D74" s="113">
        <v>2013</v>
      </c>
      <c r="E74" s="210" t="s">
        <v>15</v>
      </c>
      <c r="F74" s="210" t="s">
        <v>315</v>
      </c>
      <c r="G74" s="113"/>
      <c r="H74" s="113"/>
      <c r="I74" s="113"/>
      <c r="J74" s="113"/>
      <c r="K74" s="113"/>
      <c r="N74" s="113">
        <f>MATCH(A74,Entrada!$A$53:$A$372,0)</f>
        <v>48</v>
      </c>
      <c r="O74">
        <f>IF(NOT(ISNA($N74)),INDEX(Entrada!$C$53:$N$372,$N74,O$2),0)</f>
        <v>91</v>
      </c>
      <c r="P74">
        <f>IF(NOT(ISNA($N74)),INDEX(Entrada!$C$53:$N$372,$N74,P$2),0)</f>
        <v>95</v>
      </c>
      <c r="Q74">
        <f>IF(NOT(ISNA($N74)),INDEX(Entrada!$C$53:$N$372,$N74,Q$2),0)</f>
        <v>80</v>
      </c>
      <c r="R74">
        <f>IF(NOT(ISNA($N74)),INDEX(Entrada!$C$53:$N$372,$N74,R$2),0)</f>
        <v>80</v>
      </c>
      <c r="S74">
        <f>IF(NOT(ISNA($N74)),INDEX(Entrada!$C$53:$N$372,$N74,S$2),0)</f>
        <v>107</v>
      </c>
      <c r="T74">
        <f>IF(NOT(ISNA($N74)),INDEX(Entrada!$C$53:$N$372,$N74,T$2),0)</f>
        <v>125</v>
      </c>
      <c r="U74">
        <f>IF(NOT(ISNA($N74)),INDEX(Entrada!$C$53:$N$372,$N74,U$2),0)</f>
        <v>118</v>
      </c>
      <c r="V74" s="225">
        <f>IF(NOT(ISNA($N74)),INDEX(Entrada!$C$53:$N$372,$N74,V$2),0)</f>
        <v>90</v>
      </c>
      <c r="W74" s="225">
        <f>IF(NOT(ISNA($N74)),INDEX(Entrada!$C$53:$N$372,$N74,W$2),0)</f>
        <v>111</v>
      </c>
      <c r="X74" s="225">
        <f>IF(NOT(ISNA($N74)),INDEX(Entrada!$C$53:$N$372,$N74,X$2),0)</f>
        <v>140</v>
      </c>
      <c r="Y74" s="225">
        <f>IF(NOT(ISNA($N74)),INDEX(Entrada!$C$53:$N$372,$N74,Y$2),0)</f>
        <v>108</v>
      </c>
      <c r="Z74" s="225">
        <f>IF(NOT(ISNA($N74)),INDEX(Entrada!$C$53:$N$372,$N74,Z$2),0)</f>
        <v>92</v>
      </c>
      <c r="AA74" s="113">
        <f t="shared" si="24"/>
        <v>0</v>
      </c>
      <c r="AB74">
        <f t="shared" si="25"/>
        <v>0</v>
      </c>
      <c r="AC74">
        <f t="shared" si="26"/>
        <v>0</v>
      </c>
      <c r="AD74">
        <f t="shared" si="27"/>
        <v>0</v>
      </c>
      <c r="AE74">
        <f t="shared" si="28"/>
        <v>0</v>
      </c>
      <c r="AF74">
        <f t="shared" si="29"/>
        <v>0</v>
      </c>
      <c r="AG74">
        <f t="shared" si="30"/>
        <v>0</v>
      </c>
      <c r="AH74">
        <f t="shared" si="31"/>
        <v>0</v>
      </c>
      <c r="AI74">
        <f t="shared" si="32"/>
        <v>0</v>
      </c>
      <c r="AJ74">
        <f t="shared" si="33"/>
        <v>0</v>
      </c>
      <c r="AK74">
        <f t="shared" si="34"/>
        <v>0</v>
      </c>
      <c r="AL74">
        <f t="shared" si="35"/>
        <v>0</v>
      </c>
      <c r="AM74" s="113">
        <f t="shared" si="36"/>
        <v>91</v>
      </c>
      <c r="AN74">
        <f t="shared" si="37"/>
        <v>95</v>
      </c>
      <c r="AO74">
        <f t="shared" si="38"/>
        <v>80</v>
      </c>
      <c r="AP74">
        <f t="shared" si="39"/>
        <v>80</v>
      </c>
      <c r="AQ74">
        <f t="shared" si="40"/>
        <v>107</v>
      </c>
      <c r="AR74">
        <f t="shared" si="41"/>
        <v>125</v>
      </c>
      <c r="AS74">
        <f t="shared" si="42"/>
        <v>118</v>
      </c>
      <c r="AT74">
        <f t="shared" si="43"/>
        <v>90</v>
      </c>
      <c r="AU74">
        <f t="shared" si="44"/>
        <v>111</v>
      </c>
      <c r="AV74">
        <f t="shared" si="45"/>
        <v>140</v>
      </c>
      <c r="AW74">
        <f t="shared" si="46"/>
        <v>108</v>
      </c>
      <c r="AX74">
        <f t="shared" si="47"/>
        <v>92</v>
      </c>
    </row>
    <row r="75" spans="1:51" x14ac:dyDescent="0.25">
      <c r="A75" s="113">
        <v>72</v>
      </c>
      <c r="B75" s="209" t="s">
        <v>575</v>
      </c>
      <c r="C75" s="113">
        <v>1931</v>
      </c>
      <c r="D75" s="113">
        <v>2013</v>
      </c>
      <c r="E75" s="210" t="s">
        <v>15</v>
      </c>
      <c r="F75" s="210" t="s">
        <v>316</v>
      </c>
      <c r="G75" s="113">
        <v>71</v>
      </c>
      <c r="H75" s="113"/>
      <c r="I75" s="113"/>
      <c r="J75" s="113"/>
      <c r="K75" s="113"/>
      <c r="N75" s="113">
        <f>MATCH(A75,Entrada!$A$53:$A$372,0)</f>
        <v>49</v>
      </c>
      <c r="O75">
        <f>IF(NOT(ISNA($N75)),INDEX(Entrada!$C$53:$N$372,$N75,O$2),0)</f>
        <v>95</v>
      </c>
      <c r="P75">
        <f>IF(NOT(ISNA($N75)),INDEX(Entrada!$C$53:$N$372,$N75,P$2),0)</f>
        <v>100</v>
      </c>
      <c r="Q75">
        <f>IF(NOT(ISNA($N75)),INDEX(Entrada!$C$53:$N$372,$N75,Q$2),0)</f>
        <v>84</v>
      </c>
      <c r="R75">
        <f>IF(NOT(ISNA($N75)),INDEX(Entrada!$C$53:$N$372,$N75,R$2),0)</f>
        <v>84</v>
      </c>
      <c r="S75">
        <f>IF(NOT(ISNA($N75)),INDEX(Entrada!$C$53:$N$372,$N75,S$2),0)</f>
        <v>112</v>
      </c>
      <c r="T75">
        <f>IF(NOT(ISNA($N75)),INDEX(Entrada!$C$53:$N$372,$N75,T$2),0)</f>
        <v>131</v>
      </c>
      <c r="U75">
        <f>IF(NOT(ISNA($N75)),INDEX(Entrada!$C$53:$N$372,$N75,U$2),0)</f>
        <v>124</v>
      </c>
      <c r="V75" s="225">
        <f>IF(NOT(ISNA($N75)),INDEX(Entrada!$C$53:$N$372,$N75,V$2),0)</f>
        <v>94</v>
      </c>
      <c r="W75" s="225">
        <f>IF(NOT(ISNA($N75)),INDEX(Entrada!$C$53:$N$372,$N75,W$2),0)</f>
        <v>117</v>
      </c>
      <c r="X75" s="225">
        <f>IF(NOT(ISNA($N75)),INDEX(Entrada!$C$53:$N$372,$N75,X$2),0)</f>
        <v>146</v>
      </c>
      <c r="Y75" s="225">
        <f>IF(NOT(ISNA($N75)),INDEX(Entrada!$C$53:$N$372,$N75,Y$2),0)</f>
        <v>114</v>
      </c>
      <c r="Z75" s="225">
        <f>IF(NOT(ISNA($N75)),INDEX(Entrada!$C$53:$N$372,$N75,Z$2),0)</f>
        <v>96</v>
      </c>
      <c r="AA75" s="113">
        <f t="shared" si="24"/>
        <v>91</v>
      </c>
      <c r="AB75">
        <f t="shared" si="25"/>
        <v>95</v>
      </c>
      <c r="AC75">
        <f t="shared" si="26"/>
        <v>80</v>
      </c>
      <c r="AD75">
        <f t="shared" si="27"/>
        <v>80</v>
      </c>
      <c r="AE75">
        <f t="shared" si="28"/>
        <v>107</v>
      </c>
      <c r="AF75">
        <f t="shared" si="29"/>
        <v>125</v>
      </c>
      <c r="AG75">
        <f t="shared" si="30"/>
        <v>118</v>
      </c>
      <c r="AH75">
        <f t="shared" si="31"/>
        <v>90</v>
      </c>
      <c r="AI75">
        <f t="shared" si="32"/>
        <v>111</v>
      </c>
      <c r="AJ75">
        <f t="shared" si="33"/>
        <v>140</v>
      </c>
      <c r="AK75">
        <f t="shared" si="34"/>
        <v>108</v>
      </c>
      <c r="AL75">
        <f t="shared" si="35"/>
        <v>92</v>
      </c>
      <c r="AM75" s="113">
        <f t="shared" si="36"/>
        <v>4</v>
      </c>
      <c r="AN75">
        <f t="shared" si="37"/>
        <v>5</v>
      </c>
      <c r="AO75">
        <f t="shared" si="38"/>
        <v>4</v>
      </c>
      <c r="AP75">
        <f t="shared" si="39"/>
        <v>4</v>
      </c>
      <c r="AQ75">
        <f t="shared" si="40"/>
        <v>5</v>
      </c>
      <c r="AR75">
        <f t="shared" si="41"/>
        <v>6</v>
      </c>
      <c r="AS75">
        <f t="shared" si="42"/>
        <v>6</v>
      </c>
      <c r="AT75">
        <f t="shared" si="43"/>
        <v>4</v>
      </c>
      <c r="AU75">
        <f t="shared" si="44"/>
        <v>6</v>
      </c>
      <c r="AV75">
        <f t="shared" si="45"/>
        <v>6</v>
      </c>
      <c r="AW75">
        <f t="shared" si="46"/>
        <v>6</v>
      </c>
      <c r="AX75">
        <f t="shared" si="47"/>
        <v>4</v>
      </c>
    </row>
    <row r="76" spans="1:51" x14ac:dyDescent="0.25">
      <c r="A76" s="113">
        <v>73</v>
      </c>
      <c r="B76" s="209" t="s">
        <v>574</v>
      </c>
      <c r="C76" s="113">
        <v>1931</v>
      </c>
      <c r="D76" s="113">
        <v>2013</v>
      </c>
      <c r="E76" s="210" t="s">
        <v>15</v>
      </c>
      <c r="F76" s="210" t="s">
        <v>311</v>
      </c>
      <c r="G76" s="113">
        <v>72</v>
      </c>
      <c r="H76" s="113"/>
      <c r="I76" s="113"/>
      <c r="J76" s="113"/>
      <c r="K76" s="113"/>
      <c r="N76" s="113">
        <f>MATCH(A76,Entrada!$A$53:$A$372,0)</f>
        <v>50</v>
      </c>
      <c r="O76">
        <f>IF(NOT(ISNA($N76)),INDEX(Entrada!$C$53:$N$372,$N76,O$2),0)</f>
        <v>113</v>
      </c>
      <c r="P76">
        <f>IF(NOT(ISNA($N76)),INDEX(Entrada!$C$53:$N$372,$N76,P$2),0)</f>
        <v>117</v>
      </c>
      <c r="Q76">
        <f>IF(NOT(ISNA($N76)),INDEX(Entrada!$C$53:$N$372,$N76,Q$2),0)</f>
        <v>100</v>
      </c>
      <c r="R76">
        <f>IF(NOT(ISNA($N76)),INDEX(Entrada!$C$53:$N$372,$N76,R$2),0)</f>
        <v>100</v>
      </c>
      <c r="S76">
        <f>IF(NOT(ISNA($N76)),INDEX(Entrada!$C$53:$N$372,$N76,S$2),0)</f>
        <v>134</v>
      </c>
      <c r="T76">
        <f>IF(NOT(ISNA($N76)),INDEX(Entrada!$C$53:$N$372,$N76,T$2),0)</f>
        <v>156</v>
      </c>
      <c r="U76">
        <f>IF(NOT(ISNA($N76)),INDEX(Entrada!$C$53:$N$372,$N76,U$2),0)</f>
        <v>148</v>
      </c>
      <c r="V76" s="225">
        <f>IF(NOT(ISNA($N76)),INDEX(Entrada!$C$53:$N$372,$N76,V$2),0)</f>
        <v>113</v>
      </c>
      <c r="W76" s="225">
        <f>IF(NOT(ISNA($N76)),INDEX(Entrada!$C$53:$N$372,$N76,W$2),0)</f>
        <v>138</v>
      </c>
      <c r="X76" s="225">
        <f>IF(NOT(ISNA($N76)),INDEX(Entrada!$C$53:$N$372,$N76,X$2),0)</f>
        <v>172</v>
      </c>
      <c r="Y76" s="225">
        <f>IF(NOT(ISNA($N76)),INDEX(Entrada!$C$53:$N$372,$N76,Y$2),0)</f>
        <v>135</v>
      </c>
      <c r="Z76" s="225">
        <f>IF(NOT(ISNA($N76)),INDEX(Entrada!$C$53:$N$372,$N76,Z$2),0)</f>
        <v>113</v>
      </c>
      <c r="AA76" s="113">
        <f t="shared" si="24"/>
        <v>95</v>
      </c>
      <c r="AB76">
        <f t="shared" si="25"/>
        <v>100</v>
      </c>
      <c r="AC76">
        <f t="shared" si="26"/>
        <v>84</v>
      </c>
      <c r="AD76">
        <f t="shared" si="27"/>
        <v>84</v>
      </c>
      <c r="AE76">
        <f t="shared" si="28"/>
        <v>112</v>
      </c>
      <c r="AF76">
        <f t="shared" si="29"/>
        <v>131</v>
      </c>
      <c r="AG76">
        <f t="shared" si="30"/>
        <v>124</v>
      </c>
      <c r="AH76">
        <f t="shared" si="31"/>
        <v>94</v>
      </c>
      <c r="AI76">
        <f t="shared" si="32"/>
        <v>117</v>
      </c>
      <c r="AJ76">
        <f t="shared" si="33"/>
        <v>146</v>
      </c>
      <c r="AK76">
        <f t="shared" si="34"/>
        <v>114</v>
      </c>
      <c r="AL76">
        <f t="shared" si="35"/>
        <v>96</v>
      </c>
      <c r="AM76" s="113">
        <f t="shared" si="36"/>
        <v>18</v>
      </c>
      <c r="AN76">
        <f t="shared" si="37"/>
        <v>17</v>
      </c>
      <c r="AO76">
        <f t="shared" si="38"/>
        <v>16</v>
      </c>
      <c r="AP76">
        <f t="shared" si="39"/>
        <v>16</v>
      </c>
      <c r="AQ76">
        <f t="shared" si="40"/>
        <v>22</v>
      </c>
      <c r="AR76">
        <f t="shared" si="41"/>
        <v>25</v>
      </c>
      <c r="AS76">
        <f t="shared" si="42"/>
        <v>24</v>
      </c>
      <c r="AT76">
        <f t="shared" si="43"/>
        <v>19</v>
      </c>
      <c r="AU76">
        <f t="shared" si="44"/>
        <v>21</v>
      </c>
      <c r="AV76">
        <f t="shared" si="45"/>
        <v>26</v>
      </c>
      <c r="AW76">
        <f t="shared" si="46"/>
        <v>21</v>
      </c>
      <c r="AX76">
        <f t="shared" si="47"/>
        <v>17</v>
      </c>
    </row>
    <row r="77" spans="1:51" x14ac:dyDescent="0.25">
      <c r="A77" s="113">
        <v>74</v>
      </c>
      <c r="B77" s="209" t="s">
        <v>576</v>
      </c>
      <c r="C77" s="113">
        <v>1931</v>
      </c>
      <c r="D77" s="113">
        <v>2013</v>
      </c>
      <c r="E77" s="210" t="s">
        <v>15</v>
      </c>
      <c r="F77" s="210" t="s">
        <v>15</v>
      </c>
      <c r="G77" s="113"/>
      <c r="H77" s="113"/>
      <c r="I77" s="113"/>
      <c r="J77" s="113"/>
      <c r="K77" s="113"/>
      <c r="N77" s="113">
        <f>MATCH(A77,Entrada!$A$53:$A$372,0)</f>
        <v>51</v>
      </c>
      <c r="O77">
        <f>IF(NOT(ISNA($N77)),INDEX(Entrada!$C$53:$N$372,$N77,O$2),0)</f>
        <v>597</v>
      </c>
      <c r="P77">
        <f>IF(NOT(ISNA($N77)),INDEX(Entrada!$C$53:$N$372,$N77,P$2),0)</f>
        <v>674</v>
      </c>
      <c r="Q77">
        <f>IF(NOT(ISNA($N77)),INDEX(Entrada!$C$53:$N$372,$N77,Q$2),0)</f>
        <v>602</v>
      </c>
      <c r="R77">
        <f>IF(NOT(ISNA($N77)),INDEX(Entrada!$C$53:$N$372,$N77,R$2),0)</f>
        <v>483</v>
      </c>
      <c r="S77">
        <f>IF(NOT(ISNA($N77)),INDEX(Entrada!$C$53:$N$372,$N77,S$2),0)</f>
        <v>585</v>
      </c>
      <c r="T77">
        <f>IF(NOT(ISNA($N77)),INDEX(Entrada!$C$53:$N$372,$N77,T$2),0)</f>
        <v>685</v>
      </c>
      <c r="U77">
        <f>IF(NOT(ISNA($N77)),INDEX(Entrada!$C$53:$N$372,$N77,U$2),0)</f>
        <v>728</v>
      </c>
      <c r="V77" s="225">
        <f>IF(NOT(ISNA($N77)),INDEX(Entrada!$C$53:$N$372,$N77,V$2),0)</f>
        <v>620</v>
      </c>
      <c r="W77" s="225">
        <f>IF(NOT(ISNA($N77)),INDEX(Entrada!$C$53:$N$372,$N77,W$2),0)</f>
        <v>731</v>
      </c>
      <c r="X77" s="225">
        <f>IF(NOT(ISNA($N77)),INDEX(Entrada!$C$53:$N$372,$N77,X$2),0)</f>
        <v>923</v>
      </c>
      <c r="Y77" s="225">
        <f>IF(NOT(ISNA($N77)),INDEX(Entrada!$C$53:$N$372,$N77,Y$2),0)</f>
        <v>688</v>
      </c>
      <c r="Z77" s="225">
        <f>IF(NOT(ISNA($N77)),INDEX(Entrada!$C$53:$N$372,$N77,Z$2),0)</f>
        <v>575</v>
      </c>
      <c r="AA77" s="113">
        <f t="shared" si="24"/>
        <v>0</v>
      </c>
      <c r="AB77">
        <f t="shared" si="25"/>
        <v>0</v>
      </c>
      <c r="AC77">
        <f t="shared" si="26"/>
        <v>0</v>
      </c>
      <c r="AD77">
        <f t="shared" si="27"/>
        <v>0</v>
      </c>
      <c r="AE77">
        <f t="shared" si="28"/>
        <v>0</v>
      </c>
      <c r="AF77">
        <f t="shared" si="29"/>
        <v>0</v>
      </c>
      <c r="AG77">
        <f t="shared" si="30"/>
        <v>0</v>
      </c>
      <c r="AH77">
        <f t="shared" si="31"/>
        <v>0</v>
      </c>
      <c r="AI77">
        <f t="shared" si="32"/>
        <v>0</v>
      </c>
      <c r="AJ77">
        <f t="shared" si="33"/>
        <v>0</v>
      </c>
      <c r="AK77">
        <f t="shared" si="34"/>
        <v>0</v>
      </c>
      <c r="AL77">
        <f t="shared" si="35"/>
        <v>0</v>
      </c>
      <c r="AM77" s="113">
        <f t="shared" si="36"/>
        <v>597</v>
      </c>
      <c r="AN77">
        <f t="shared" si="37"/>
        <v>674</v>
      </c>
      <c r="AO77">
        <f t="shared" si="38"/>
        <v>602</v>
      </c>
      <c r="AP77">
        <f t="shared" si="39"/>
        <v>483</v>
      </c>
      <c r="AQ77">
        <f t="shared" si="40"/>
        <v>585</v>
      </c>
      <c r="AR77">
        <f t="shared" si="41"/>
        <v>685</v>
      </c>
      <c r="AS77">
        <f t="shared" si="42"/>
        <v>728</v>
      </c>
      <c r="AT77">
        <f t="shared" si="43"/>
        <v>620</v>
      </c>
      <c r="AU77">
        <f t="shared" si="44"/>
        <v>731</v>
      </c>
      <c r="AV77">
        <f t="shared" si="45"/>
        <v>923</v>
      </c>
      <c r="AW77">
        <f t="shared" si="46"/>
        <v>688</v>
      </c>
      <c r="AX77">
        <f t="shared" si="47"/>
        <v>575</v>
      </c>
    </row>
    <row r="78" spans="1:51" x14ac:dyDescent="0.25">
      <c r="A78" s="113">
        <v>75</v>
      </c>
      <c r="B78" s="209" t="s">
        <v>577</v>
      </c>
      <c r="C78" s="113">
        <v>1931</v>
      </c>
      <c r="D78" s="113">
        <v>2013</v>
      </c>
      <c r="E78" s="212" t="s">
        <v>15</v>
      </c>
      <c r="F78" s="213" t="s">
        <v>15</v>
      </c>
      <c r="G78" s="113"/>
      <c r="H78" s="113"/>
      <c r="I78" s="113"/>
      <c r="J78" s="113"/>
      <c r="K78" s="113"/>
      <c r="N78" s="113">
        <f>MATCH(A78,Entrada!$A$53:$A$372,0)</f>
        <v>52</v>
      </c>
      <c r="O78">
        <f>IF(NOT(ISNA($N78)),INDEX(Entrada!$C$53:$N$372,$N78,O$2),0)</f>
        <v>774</v>
      </c>
      <c r="P78">
        <f>IF(NOT(ISNA($N78)),INDEX(Entrada!$C$53:$N$372,$N78,P$2),0)</f>
        <v>861</v>
      </c>
      <c r="Q78">
        <f>IF(NOT(ISNA($N78)),INDEX(Entrada!$C$53:$N$372,$N78,Q$2),0)</f>
        <v>767</v>
      </c>
      <c r="R78">
        <f>IF(NOT(ISNA($N78)),INDEX(Entrada!$C$53:$N$372,$N78,R$2),0)</f>
        <v>642</v>
      </c>
      <c r="S78">
        <f>IF(NOT(ISNA($N78)),INDEX(Entrada!$C$53:$N$372,$N78,S$2),0)</f>
        <v>782</v>
      </c>
      <c r="T78">
        <f>IF(NOT(ISNA($N78)),INDEX(Entrada!$C$53:$N$372,$N78,T$2),0)</f>
        <v>923</v>
      </c>
      <c r="U78" s="219">
        <f>IF(NOT(ISNA($N78)),INDEX(Entrada!$C$53:$N$372,$N78,U$2),0)</f>
        <v>951</v>
      </c>
      <c r="V78" s="225">
        <f>IF(NOT(ISNA($N78)),INDEX(Entrada!$C$53:$N$372,$N78,V$2),0)</f>
        <v>804</v>
      </c>
      <c r="W78" s="225">
        <f>IF(NOT(ISNA($N78)),INDEX(Entrada!$C$53:$N$372,$N78,W$2),0)</f>
        <v>942</v>
      </c>
      <c r="X78" s="225">
        <f>IF(NOT(ISNA($N78)),INDEX(Entrada!$C$53:$N$372,$N78,X$2),0)</f>
        <v>1191</v>
      </c>
      <c r="Y78" s="225">
        <f>IF(NOT(ISNA($N78)),INDEX(Entrada!$C$53:$N$372,$N78,Y$2),0)</f>
        <v>910</v>
      </c>
      <c r="Z78" s="225">
        <f>IF(NOT(ISNA($N78)),INDEX(Entrada!$C$53:$N$372,$N78,Z$2),0)</f>
        <v>755</v>
      </c>
      <c r="AA78" s="113">
        <f t="shared" si="24"/>
        <v>0</v>
      </c>
      <c r="AB78">
        <f t="shared" si="25"/>
        <v>0</v>
      </c>
      <c r="AC78">
        <f t="shared" si="26"/>
        <v>0</v>
      </c>
      <c r="AD78">
        <f t="shared" si="27"/>
        <v>0</v>
      </c>
      <c r="AE78">
        <f t="shared" si="28"/>
        <v>0</v>
      </c>
      <c r="AF78">
        <f t="shared" si="29"/>
        <v>0</v>
      </c>
      <c r="AG78">
        <f t="shared" si="30"/>
        <v>0</v>
      </c>
      <c r="AH78">
        <f t="shared" si="31"/>
        <v>0</v>
      </c>
      <c r="AI78">
        <f t="shared" si="32"/>
        <v>0</v>
      </c>
      <c r="AJ78">
        <f t="shared" si="33"/>
        <v>0</v>
      </c>
      <c r="AK78">
        <f t="shared" si="34"/>
        <v>0</v>
      </c>
      <c r="AL78">
        <f t="shared" si="35"/>
        <v>0</v>
      </c>
      <c r="AM78" s="219">
        <f t="shared" si="36"/>
        <v>774</v>
      </c>
      <c r="AN78">
        <f t="shared" si="37"/>
        <v>861</v>
      </c>
      <c r="AO78">
        <f t="shared" si="38"/>
        <v>767</v>
      </c>
      <c r="AP78">
        <f t="shared" si="39"/>
        <v>642</v>
      </c>
      <c r="AQ78">
        <f t="shared" si="40"/>
        <v>782</v>
      </c>
      <c r="AR78">
        <f t="shared" si="41"/>
        <v>923</v>
      </c>
      <c r="AS78">
        <f t="shared" si="42"/>
        <v>951</v>
      </c>
      <c r="AT78">
        <f t="shared" si="43"/>
        <v>804</v>
      </c>
      <c r="AU78">
        <f t="shared" si="44"/>
        <v>942</v>
      </c>
      <c r="AV78">
        <f t="shared" si="45"/>
        <v>1191</v>
      </c>
      <c r="AW78">
        <f t="shared" si="46"/>
        <v>910</v>
      </c>
      <c r="AX78">
        <f t="shared" si="47"/>
        <v>755</v>
      </c>
      <c r="AY78" s="219">
        <f>AY79+MIN(AY76-10,173.5)</f>
        <v>-10</v>
      </c>
    </row>
    <row r="79" spans="1:51" x14ac:dyDescent="0.25">
      <c r="A79" s="113">
        <v>76</v>
      </c>
      <c r="B79" s="209" t="s">
        <v>577</v>
      </c>
      <c r="C79" s="113">
        <v>1931</v>
      </c>
      <c r="D79" s="113">
        <v>2013</v>
      </c>
      <c r="E79" s="210" t="s">
        <v>15</v>
      </c>
      <c r="F79" s="210" t="s">
        <v>15</v>
      </c>
      <c r="G79" s="113">
        <v>74</v>
      </c>
      <c r="H79" s="113"/>
      <c r="I79" s="113"/>
      <c r="J79" s="113"/>
      <c r="K79" s="113"/>
      <c r="N79" s="113">
        <f>MATCH(A79,Entrada!$A$53:$A$372,0)</f>
        <v>53</v>
      </c>
      <c r="O79">
        <f>IF(NOT(ISNA($N79)),INDEX(Entrada!$C$53:$N$372,$N79,O$2),0)</f>
        <v>682</v>
      </c>
      <c r="P79">
        <f>IF(NOT(ISNA($N79)),INDEX(Entrada!$C$53:$N$372,$N79,P$2),0)</f>
        <v>765</v>
      </c>
      <c r="Q79">
        <f>IF(NOT(ISNA($N79)),INDEX(Entrada!$C$53:$N$372,$N79,Q$2),0)</f>
        <v>681</v>
      </c>
      <c r="R79">
        <f>IF(NOT(ISNA($N79)),INDEX(Entrada!$C$53:$N$372,$N79,R$2),0)</f>
        <v>564</v>
      </c>
      <c r="S79">
        <f>IF(NOT(ISNA($N79)),INDEX(Entrada!$C$53:$N$372,$N79,S$2),0)</f>
        <v>689</v>
      </c>
      <c r="T79">
        <f>IF(NOT(ISNA($N79)),INDEX(Entrada!$C$53:$N$372,$N79,T$2),0)</f>
        <v>811</v>
      </c>
      <c r="U79">
        <f>IF(NOT(ISNA($N79)),INDEX(Entrada!$C$53:$N$372,$N79,U$2),0)</f>
        <v>844</v>
      </c>
      <c r="V79" s="225">
        <f>IF(NOT(ISNA($N79)),INDEX(Entrada!$C$53:$N$372,$N79,V$2),0)</f>
        <v>713</v>
      </c>
      <c r="W79" s="225">
        <f>IF(NOT(ISNA($N79)),INDEX(Entrada!$C$53:$N$372,$N79,W$2),0)</f>
        <v>843</v>
      </c>
      <c r="X79" s="225">
        <f>IF(NOT(ISNA($N79)),INDEX(Entrada!$C$53:$N$372,$N79,X$2),0)</f>
        <v>1070</v>
      </c>
      <c r="Y79" s="225">
        <f>IF(NOT(ISNA($N79)),INDEX(Entrada!$C$53:$N$372,$N79,Y$2),0)</f>
        <v>801</v>
      </c>
      <c r="Z79" s="225">
        <f>IF(NOT(ISNA($N79)),INDEX(Entrada!$C$53:$N$372,$N79,Z$2),0)</f>
        <v>660</v>
      </c>
      <c r="AA79" s="113">
        <f t="shared" si="24"/>
        <v>597</v>
      </c>
      <c r="AB79">
        <f t="shared" si="25"/>
        <v>674</v>
      </c>
      <c r="AC79">
        <f t="shared" si="26"/>
        <v>602</v>
      </c>
      <c r="AD79">
        <f t="shared" si="27"/>
        <v>483</v>
      </c>
      <c r="AE79">
        <f t="shared" si="28"/>
        <v>585</v>
      </c>
      <c r="AF79">
        <f t="shared" si="29"/>
        <v>685</v>
      </c>
      <c r="AG79">
        <f t="shared" si="30"/>
        <v>728</v>
      </c>
      <c r="AH79">
        <f t="shared" si="31"/>
        <v>620</v>
      </c>
      <c r="AI79">
        <f t="shared" si="32"/>
        <v>731</v>
      </c>
      <c r="AJ79">
        <f t="shared" si="33"/>
        <v>923</v>
      </c>
      <c r="AK79">
        <f t="shared" si="34"/>
        <v>688</v>
      </c>
      <c r="AL79">
        <f t="shared" si="35"/>
        <v>575</v>
      </c>
      <c r="AM79" s="113">
        <f t="shared" si="36"/>
        <v>85</v>
      </c>
      <c r="AN79">
        <f t="shared" si="37"/>
        <v>91</v>
      </c>
      <c r="AO79">
        <f t="shared" si="38"/>
        <v>79</v>
      </c>
      <c r="AP79">
        <f t="shared" si="39"/>
        <v>81</v>
      </c>
      <c r="AQ79">
        <f t="shared" si="40"/>
        <v>104</v>
      </c>
      <c r="AR79">
        <f t="shared" si="41"/>
        <v>126</v>
      </c>
      <c r="AS79">
        <f t="shared" si="42"/>
        <v>116</v>
      </c>
      <c r="AT79">
        <f t="shared" si="43"/>
        <v>93</v>
      </c>
      <c r="AU79">
        <f t="shared" si="44"/>
        <v>112</v>
      </c>
      <c r="AV79">
        <f t="shared" si="45"/>
        <v>147</v>
      </c>
      <c r="AW79">
        <f t="shared" si="46"/>
        <v>113</v>
      </c>
      <c r="AX79">
        <f t="shared" si="47"/>
        <v>85</v>
      </c>
    </row>
    <row r="80" spans="1:51" x14ac:dyDescent="0.25">
      <c r="A80" s="113">
        <v>77</v>
      </c>
      <c r="B80" s="209" t="s">
        <v>241</v>
      </c>
      <c r="C80" s="113">
        <v>1931</v>
      </c>
      <c r="D80" s="113">
        <v>2013</v>
      </c>
      <c r="E80" s="210" t="s">
        <v>15</v>
      </c>
      <c r="F80" s="210" t="s">
        <v>15</v>
      </c>
      <c r="G80" s="113">
        <v>73</v>
      </c>
      <c r="H80" s="113">
        <v>76</v>
      </c>
      <c r="I80" s="113"/>
      <c r="J80" s="113"/>
      <c r="K80" s="113"/>
      <c r="N80" s="113">
        <f>MATCH(A80,Entrada!$A$53:$A$372,0)</f>
        <v>54</v>
      </c>
      <c r="O80">
        <f>IF(NOT(ISNA($N80)),INDEX(Entrada!$C$53:$N$372,$N80,O$2),0)</f>
        <v>885</v>
      </c>
      <c r="P80">
        <f>IF(NOT(ISNA($N80)),INDEX(Entrada!$C$53:$N$372,$N80,P$2),0)</f>
        <v>982</v>
      </c>
      <c r="Q80">
        <f>IF(NOT(ISNA($N80)),INDEX(Entrada!$C$53:$N$372,$N80,Q$2),0)</f>
        <v>856</v>
      </c>
      <c r="R80">
        <f>IF(NOT(ISNA($N80)),INDEX(Entrada!$C$53:$N$372,$N80,R$2),0)</f>
        <v>757</v>
      </c>
      <c r="S80">
        <f>IF(NOT(ISNA($N80)),INDEX(Entrada!$C$53:$N$372,$N80,S$2),0)</f>
        <v>948</v>
      </c>
      <c r="T80">
        <f>IF(NOT(ISNA($N80)),INDEX(Entrada!$C$53:$N$372,$N80,T$2),0)</f>
        <v>1127</v>
      </c>
      <c r="U80">
        <f>IF(NOT(ISNA($N80)),INDEX(Entrada!$C$53:$N$372,$N80,U$2),0)</f>
        <v>1135</v>
      </c>
      <c r="V80" s="225">
        <f>IF(NOT(ISNA($N80)),INDEX(Entrada!$C$53:$N$372,$N80,V$2),0)</f>
        <v>937</v>
      </c>
      <c r="W80" s="225">
        <f>IF(NOT(ISNA($N80)),INDEX(Entrada!$C$53:$N$372,$N80,W$2),0)</f>
        <v>1110</v>
      </c>
      <c r="X80" s="225">
        <f>IF(NOT(ISNA($N80)),INDEX(Entrada!$C$53:$N$372,$N80,X$2),0)</f>
        <v>1426</v>
      </c>
      <c r="Y80" s="225">
        <f>IF(NOT(ISNA($N80)),INDEX(Entrada!$C$53:$N$372,$N80,Y$2),0)</f>
        <v>1070</v>
      </c>
      <c r="Z80" s="225">
        <f>IF(NOT(ISNA($N80)),INDEX(Entrada!$C$53:$N$372,$N80,Z$2),0)</f>
        <v>868</v>
      </c>
      <c r="AA80" s="113">
        <f t="shared" si="24"/>
        <v>795</v>
      </c>
      <c r="AB80">
        <f t="shared" si="25"/>
        <v>882</v>
      </c>
      <c r="AC80">
        <f t="shared" si="26"/>
        <v>781</v>
      </c>
      <c r="AD80">
        <f t="shared" si="27"/>
        <v>664</v>
      </c>
      <c r="AE80">
        <f t="shared" si="28"/>
        <v>823</v>
      </c>
      <c r="AF80">
        <f t="shared" si="29"/>
        <v>967</v>
      </c>
      <c r="AG80">
        <f t="shared" si="30"/>
        <v>992</v>
      </c>
      <c r="AH80">
        <f t="shared" si="31"/>
        <v>826</v>
      </c>
      <c r="AI80">
        <f t="shared" si="32"/>
        <v>981</v>
      </c>
      <c r="AJ80">
        <f t="shared" si="33"/>
        <v>1242</v>
      </c>
      <c r="AK80">
        <f t="shared" si="34"/>
        <v>936</v>
      </c>
      <c r="AL80">
        <f t="shared" si="35"/>
        <v>773</v>
      </c>
      <c r="AM80" s="113">
        <f t="shared" si="36"/>
        <v>90</v>
      </c>
      <c r="AN80">
        <f t="shared" si="37"/>
        <v>100</v>
      </c>
      <c r="AO80">
        <f t="shared" si="38"/>
        <v>75</v>
      </c>
      <c r="AP80">
        <f t="shared" si="39"/>
        <v>93</v>
      </c>
      <c r="AQ80">
        <f t="shared" si="40"/>
        <v>125</v>
      </c>
      <c r="AR80">
        <f t="shared" si="41"/>
        <v>160</v>
      </c>
      <c r="AS80">
        <f t="shared" si="42"/>
        <v>143</v>
      </c>
      <c r="AT80">
        <f t="shared" si="43"/>
        <v>111</v>
      </c>
      <c r="AU80">
        <f t="shared" si="44"/>
        <v>129</v>
      </c>
      <c r="AV80">
        <f t="shared" si="45"/>
        <v>184</v>
      </c>
      <c r="AW80">
        <f t="shared" si="46"/>
        <v>134</v>
      </c>
      <c r="AX80">
        <f t="shared" si="47"/>
        <v>95</v>
      </c>
    </row>
    <row r="81" spans="1:50" x14ac:dyDescent="0.25">
      <c r="A81" s="113">
        <v>78</v>
      </c>
      <c r="B81" s="209" t="s">
        <v>174</v>
      </c>
      <c r="C81" s="113">
        <v>1931</v>
      </c>
      <c r="D81" s="113">
        <v>2013</v>
      </c>
      <c r="E81" s="210" t="s">
        <v>15</v>
      </c>
      <c r="F81" s="210" t="s">
        <v>15</v>
      </c>
      <c r="G81" s="113">
        <v>77</v>
      </c>
      <c r="H81" s="113"/>
      <c r="I81" s="113"/>
      <c r="J81" s="113"/>
      <c r="K81" s="113"/>
      <c r="N81" s="113">
        <f>MATCH(A81,Entrada!$A$53:$A$372,0)</f>
        <v>55</v>
      </c>
      <c r="O81">
        <f>IF(NOT(ISNA($N81)),INDEX(Entrada!$C$53:$N$372,$N81,O$2),0)</f>
        <v>922</v>
      </c>
      <c r="P81">
        <f>IF(NOT(ISNA($N81)),INDEX(Entrada!$C$53:$N$372,$N81,P$2),0)</f>
        <v>1023</v>
      </c>
      <c r="Q81">
        <f>IF(NOT(ISNA($N81)),INDEX(Entrada!$C$53:$N$372,$N81,Q$2),0)</f>
        <v>894</v>
      </c>
      <c r="R81">
        <f>IF(NOT(ISNA($N81)),INDEX(Entrada!$C$53:$N$372,$N81,R$2),0)</f>
        <v>792</v>
      </c>
      <c r="S81">
        <f>IF(NOT(ISNA($N81)),INDEX(Entrada!$C$53:$N$372,$N81,S$2),0)</f>
        <v>996</v>
      </c>
      <c r="T81">
        <f>IF(NOT(ISNA($N81)),INDEX(Entrada!$C$53:$N$372,$N81,T$2),0)</f>
        <v>1182</v>
      </c>
      <c r="U81">
        <f>IF(NOT(ISNA($N81)),INDEX(Entrada!$C$53:$N$372,$N81,U$2),0)</f>
        <v>1187</v>
      </c>
      <c r="V81" s="225">
        <f>IF(NOT(ISNA($N81)),INDEX(Entrada!$C$53:$N$372,$N81,V$2),0)</f>
        <v>980</v>
      </c>
      <c r="W81" s="225">
        <f>IF(NOT(ISNA($N81)),INDEX(Entrada!$C$53:$N$372,$N81,W$2),0)</f>
        <v>1156</v>
      </c>
      <c r="X81" s="225">
        <f>IF(NOT(ISNA($N81)),INDEX(Entrada!$C$53:$N$372,$N81,X$2),0)</f>
        <v>1500</v>
      </c>
      <c r="Y81" s="225">
        <f>IF(NOT(ISNA($N81)),INDEX(Entrada!$C$53:$N$372,$N81,Y$2),0)</f>
        <v>1128</v>
      </c>
      <c r="Z81" s="225">
        <f>IF(NOT(ISNA($N81)),INDEX(Entrada!$C$53:$N$372,$N81,Z$2),0)</f>
        <v>909</v>
      </c>
      <c r="AA81" s="113">
        <f t="shared" si="24"/>
        <v>885</v>
      </c>
      <c r="AB81">
        <f t="shared" si="25"/>
        <v>982</v>
      </c>
      <c r="AC81">
        <f t="shared" si="26"/>
        <v>856</v>
      </c>
      <c r="AD81">
        <f t="shared" si="27"/>
        <v>757</v>
      </c>
      <c r="AE81">
        <f t="shared" si="28"/>
        <v>948</v>
      </c>
      <c r="AF81">
        <f t="shared" si="29"/>
        <v>1127</v>
      </c>
      <c r="AG81">
        <f t="shared" si="30"/>
        <v>1135</v>
      </c>
      <c r="AH81">
        <f t="shared" si="31"/>
        <v>937</v>
      </c>
      <c r="AI81">
        <f t="shared" si="32"/>
        <v>1110</v>
      </c>
      <c r="AJ81">
        <f t="shared" si="33"/>
        <v>1426</v>
      </c>
      <c r="AK81">
        <f t="shared" si="34"/>
        <v>1070</v>
      </c>
      <c r="AL81">
        <f t="shared" si="35"/>
        <v>868</v>
      </c>
      <c r="AM81" s="113">
        <f t="shared" si="36"/>
        <v>37</v>
      </c>
      <c r="AN81">
        <f t="shared" si="37"/>
        <v>41</v>
      </c>
      <c r="AO81">
        <f t="shared" si="38"/>
        <v>38</v>
      </c>
      <c r="AP81">
        <f t="shared" si="39"/>
        <v>35</v>
      </c>
      <c r="AQ81">
        <f t="shared" si="40"/>
        <v>48</v>
      </c>
      <c r="AR81">
        <f t="shared" si="41"/>
        <v>55</v>
      </c>
      <c r="AS81">
        <f t="shared" si="42"/>
        <v>52</v>
      </c>
      <c r="AT81">
        <f t="shared" si="43"/>
        <v>43</v>
      </c>
      <c r="AU81">
        <f t="shared" si="44"/>
        <v>46</v>
      </c>
      <c r="AV81">
        <f t="shared" si="45"/>
        <v>74</v>
      </c>
      <c r="AW81">
        <f t="shared" si="46"/>
        <v>58</v>
      </c>
      <c r="AX81">
        <f t="shared" si="47"/>
        <v>41</v>
      </c>
    </row>
    <row r="82" spans="1:50" x14ac:dyDescent="0.25">
      <c r="A82" s="113">
        <v>79</v>
      </c>
      <c r="B82" s="209"/>
      <c r="C82" s="113">
        <v>0</v>
      </c>
      <c r="D82" s="113">
        <v>0</v>
      </c>
      <c r="E82" s="113" t="s">
        <v>688</v>
      </c>
      <c r="F82" s="113" t="s">
        <v>688</v>
      </c>
      <c r="G82" s="113"/>
      <c r="H82" s="113"/>
      <c r="I82" s="113"/>
      <c r="J82" s="113"/>
      <c r="K82" s="113"/>
      <c r="N82" s="113" t="e">
        <f>MATCH(A82,Entrada!$A$53:$A$372,0)</f>
        <v>#N/A</v>
      </c>
      <c r="O82">
        <f>IF(NOT(ISNA($N82)),INDEX(Entrada!$C$53:$N$372,$N82,O$2),0)</f>
        <v>0</v>
      </c>
      <c r="P82">
        <f>IF(NOT(ISNA($N82)),INDEX(Entrada!$C$53:$N$372,$N82,P$2),0)</f>
        <v>0</v>
      </c>
      <c r="Q82">
        <f>IF(NOT(ISNA($N82)),INDEX(Entrada!$C$53:$N$372,$N82,Q$2),0)</f>
        <v>0</v>
      </c>
      <c r="R82">
        <f>IF(NOT(ISNA($N82)),INDEX(Entrada!$C$53:$N$372,$N82,R$2),0)</f>
        <v>0</v>
      </c>
      <c r="S82">
        <f>IF(NOT(ISNA($N82)),INDEX(Entrada!$C$53:$N$372,$N82,S$2),0)</f>
        <v>0</v>
      </c>
      <c r="T82">
        <f>IF(NOT(ISNA($N82)),INDEX(Entrada!$C$53:$N$372,$N82,T$2),0)</f>
        <v>0</v>
      </c>
      <c r="U82">
        <f>IF(NOT(ISNA($N82)),INDEX(Entrada!$C$53:$N$372,$N82,U$2),0)</f>
        <v>0</v>
      </c>
      <c r="V82" s="225">
        <f>IF(NOT(ISNA($N82)),INDEX(Entrada!$C$53:$N$372,$N82,V$2),0)</f>
        <v>0</v>
      </c>
      <c r="W82" s="225">
        <f>IF(NOT(ISNA($N82)),INDEX(Entrada!$C$53:$N$372,$N82,W$2),0)</f>
        <v>0</v>
      </c>
      <c r="X82" s="225">
        <f>IF(NOT(ISNA($N82)),INDEX(Entrada!$C$53:$N$372,$N82,X$2),0)</f>
        <v>0</v>
      </c>
      <c r="Y82" s="225">
        <f>IF(NOT(ISNA($N82)),INDEX(Entrada!$C$53:$N$372,$N82,Y$2),0)</f>
        <v>0</v>
      </c>
      <c r="Z82" s="225">
        <f>IF(NOT(ISNA($N82)),INDEX(Entrada!$C$53:$N$372,$N82,Z$2),0)</f>
        <v>0</v>
      </c>
      <c r="AA82" s="113">
        <f t="shared" si="24"/>
        <v>0</v>
      </c>
      <c r="AB82">
        <f t="shared" si="25"/>
        <v>0</v>
      </c>
      <c r="AC82">
        <f t="shared" si="26"/>
        <v>0</v>
      </c>
      <c r="AD82">
        <f t="shared" si="27"/>
        <v>0</v>
      </c>
      <c r="AE82">
        <f t="shared" si="28"/>
        <v>0</v>
      </c>
      <c r="AF82">
        <f t="shared" si="29"/>
        <v>0</v>
      </c>
      <c r="AG82">
        <f t="shared" si="30"/>
        <v>0</v>
      </c>
      <c r="AH82">
        <f t="shared" si="31"/>
        <v>0</v>
      </c>
      <c r="AI82">
        <f t="shared" si="32"/>
        <v>0</v>
      </c>
      <c r="AJ82">
        <f t="shared" si="33"/>
        <v>0</v>
      </c>
      <c r="AK82">
        <f t="shared" si="34"/>
        <v>0</v>
      </c>
      <c r="AL82">
        <f t="shared" si="35"/>
        <v>0</v>
      </c>
      <c r="AM82" s="113">
        <f t="shared" si="36"/>
        <v>0</v>
      </c>
      <c r="AN82">
        <f t="shared" si="37"/>
        <v>0</v>
      </c>
      <c r="AO82">
        <f t="shared" si="38"/>
        <v>0</v>
      </c>
      <c r="AP82">
        <f t="shared" si="39"/>
        <v>0</v>
      </c>
      <c r="AQ82">
        <f t="shared" si="40"/>
        <v>0</v>
      </c>
      <c r="AR82">
        <f t="shared" si="41"/>
        <v>0</v>
      </c>
      <c r="AS82">
        <f t="shared" si="42"/>
        <v>0</v>
      </c>
      <c r="AT82">
        <f t="shared" si="43"/>
        <v>0</v>
      </c>
      <c r="AU82">
        <f t="shared" si="44"/>
        <v>0</v>
      </c>
      <c r="AV82">
        <f t="shared" si="45"/>
        <v>0</v>
      </c>
      <c r="AW82">
        <f t="shared" si="46"/>
        <v>0</v>
      </c>
      <c r="AX82">
        <f t="shared" si="47"/>
        <v>0</v>
      </c>
    </row>
    <row r="83" spans="1:50" x14ac:dyDescent="0.25">
      <c r="A83" s="113">
        <v>80</v>
      </c>
      <c r="B83" s="209" t="s">
        <v>578</v>
      </c>
      <c r="C83" s="113">
        <v>1931</v>
      </c>
      <c r="D83" s="113">
        <v>2013</v>
      </c>
      <c r="E83" s="210" t="s">
        <v>688</v>
      </c>
      <c r="F83" s="210" t="s">
        <v>688</v>
      </c>
      <c r="G83" s="113"/>
      <c r="H83" s="113"/>
      <c r="I83" s="113"/>
      <c r="J83" s="113"/>
      <c r="K83" s="113"/>
      <c r="N83" s="113">
        <f>MATCH(A83,Entrada!$A$53:$A$372,0)</f>
        <v>56</v>
      </c>
      <c r="O83">
        <f>IF(NOT(ISNA($N83)),INDEX(Entrada!$C$53:$N$372,$N83,O$2),0)</f>
        <v>52</v>
      </c>
      <c r="P83">
        <f>IF(NOT(ISNA($N83)),INDEX(Entrada!$C$53:$N$372,$N83,P$2),0)</f>
        <v>59</v>
      </c>
      <c r="Q83">
        <f>IF(NOT(ISNA($N83)),INDEX(Entrada!$C$53:$N$372,$N83,Q$2),0)</f>
        <v>49</v>
      </c>
      <c r="R83">
        <f>IF(NOT(ISNA($N83)),INDEX(Entrada!$C$53:$N$372,$N83,R$2),0)</f>
        <v>53</v>
      </c>
      <c r="S83">
        <f>IF(NOT(ISNA($N83)),INDEX(Entrada!$C$53:$N$372,$N83,S$2),0)</f>
        <v>73</v>
      </c>
      <c r="T83">
        <f>IF(NOT(ISNA($N83)),INDEX(Entrada!$C$53:$N$372,$N83,T$2),0)</f>
        <v>87</v>
      </c>
      <c r="U83">
        <f>IF(NOT(ISNA($N83)),INDEX(Entrada!$C$53:$N$372,$N83,U$2),0)</f>
        <v>79</v>
      </c>
      <c r="V83" s="225">
        <f>IF(NOT(ISNA($N83)),INDEX(Entrada!$C$53:$N$372,$N83,V$2),0)</f>
        <v>66</v>
      </c>
      <c r="W83" s="225">
        <f>IF(NOT(ISNA($N83)),INDEX(Entrada!$C$53:$N$372,$N83,W$2),0)</f>
        <v>78</v>
      </c>
      <c r="X83" s="225">
        <f>IF(NOT(ISNA($N83)),INDEX(Entrada!$C$53:$N$372,$N83,X$2),0)</f>
        <v>100</v>
      </c>
      <c r="Y83" s="225">
        <f>IF(NOT(ISNA($N83)),INDEX(Entrada!$C$53:$N$372,$N83,Y$2),0)</f>
        <v>73</v>
      </c>
      <c r="Z83" s="225">
        <f>IF(NOT(ISNA($N83)),INDEX(Entrada!$C$53:$N$372,$N83,Z$2),0)</f>
        <v>54</v>
      </c>
      <c r="AA83" s="113">
        <f t="shared" si="24"/>
        <v>0</v>
      </c>
      <c r="AB83">
        <f t="shared" si="25"/>
        <v>0</v>
      </c>
      <c r="AC83">
        <f t="shared" si="26"/>
        <v>0</v>
      </c>
      <c r="AD83">
        <f t="shared" si="27"/>
        <v>0</v>
      </c>
      <c r="AE83">
        <f t="shared" si="28"/>
        <v>0</v>
      </c>
      <c r="AF83">
        <f t="shared" si="29"/>
        <v>0</v>
      </c>
      <c r="AG83">
        <f t="shared" si="30"/>
        <v>0</v>
      </c>
      <c r="AH83">
        <f t="shared" si="31"/>
        <v>0</v>
      </c>
      <c r="AI83">
        <f t="shared" si="32"/>
        <v>0</v>
      </c>
      <c r="AJ83">
        <f t="shared" si="33"/>
        <v>0</v>
      </c>
      <c r="AK83">
        <f t="shared" si="34"/>
        <v>0</v>
      </c>
      <c r="AL83">
        <f t="shared" si="35"/>
        <v>0</v>
      </c>
      <c r="AM83" s="113">
        <f t="shared" si="36"/>
        <v>52</v>
      </c>
      <c r="AN83">
        <f t="shared" si="37"/>
        <v>59</v>
      </c>
      <c r="AO83">
        <f t="shared" si="38"/>
        <v>49</v>
      </c>
      <c r="AP83">
        <f t="shared" si="39"/>
        <v>53</v>
      </c>
      <c r="AQ83">
        <f t="shared" si="40"/>
        <v>73</v>
      </c>
      <c r="AR83">
        <f t="shared" si="41"/>
        <v>87</v>
      </c>
      <c r="AS83">
        <f t="shared" si="42"/>
        <v>79</v>
      </c>
      <c r="AT83">
        <f t="shared" si="43"/>
        <v>66</v>
      </c>
      <c r="AU83">
        <f t="shared" si="44"/>
        <v>78</v>
      </c>
      <c r="AV83">
        <f t="shared" si="45"/>
        <v>100</v>
      </c>
      <c r="AW83">
        <f t="shared" si="46"/>
        <v>73</v>
      </c>
      <c r="AX83">
        <f t="shared" si="47"/>
        <v>54</v>
      </c>
    </row>
    <row r="84" spans="1:50" x14ac:dyDescent="0.25">
      <c r="A84" s="113">
        <v>81</v>
      </c>
      <c r="B84" s="209" t="s">
        <v>579</v>
      </c>
      <c r="C84" s="113">
        <v>1931</v>
      </c>
      <c r="D84" s="113">
        <v>2013</v>
      </c>
      <c r="E84" s="212" t="s">
        <v>15</v>
      </c>
      <c r="F84" s="213" t="s">
        <v>15</v>
      </c>
      <c r="G84" s="113"/>
      <c r="H84" s="113"/>
      <c r="I84" s="113"/>
      <c r="J84" s="113"/>
      <c r="K84" s="113"/>
      <c r="N84" s="113">
        <f>MATCH(A84,Entrada!$A$53:$A$372,0)</f>
        <v>57</v>
      </c>
      <c r="O84">
        <f>IF(NOT(ISNA($N84)),INDEX(Entrada!$C$53:$N$372,$N84,O$2),0)</f>
        <v>1235</v>
      </c>
      <c r="P84">
        <f>IF(NOT(ISNA($N84)),INDEX(Entrada!$C$53:$N$372,$N84,P$2),0)</f>
        <v>1367</v>
      </c>
      <c r="Q84">
        <f>IF(NOT(ISNA($N84)),INDEX(Entrada!$C$53:$N$372,$N84,Q$2),0)</f>
        <v>1190</v>
      </c>
      <c r="R84">
        <f>IF(NOT(ISNA($N84)),INDEX(Entrada!$C$53:$N$372,$N84,R$2),0)</f>
        <v>1104</v>
      </c>
      <c r="S84">
        <f>IF(NOT(ISNA($N84)),INDEX(Entrada!$C$53:$N$372,$N84,S$2),0)</f>
        <v>1432</v>
      </c>
      <c r="T84">
        <f>IF(NOT(ISNA($N84)),INDEX(Entrada!$C$53:$N$372,$N84,T$2),0)</f>
        <v>1702</v>
      </c>
      <c r="U84">
        <f>IF(NOT(ISNA($N84)),INDEX(Entrada!$C$53:$N$372,$N84,U$2),0)</f>
        <v>1647</v>
      </c>
      <c r="V84" s="225">
        <f>IF(NOT(ISNA($N84)),INDEX(Entrada!$C$53:$N$372,$N84,V$2),0)</f>
        <v>1366</v>
      </c>
      <c r="W84" s="225">
        <f>IF(NOT(ISNA($N84)),INDEX(Entrada!$C$53:$N$372,$N84,W$2),0)</f>
        <v>1586</v>
      </c>
      <c r="X84" s="225">
        <f>IF(NOT(ISNA($N84)),INDEX(Entrada!$C$53:$N$372,$N84,X$2),0)</f>
        <v>2091</v>
      </c>
      <c r="Y84" s="225">
        <f>IF(NOT(ISNA($N84)),INDEX(Entrada!$C$53:$N$372,$N84,Y$2),0)</f>
        <v>1580</v>
      </c>
      <c r="Z84" s="225">
        <f>IF(NOT(ISNA($N84)),INDEX(Entrada!$C$53:$N$372,$N84,Z$2),0)</f>
        <v>1253</v>
      </c>
      <c r="AA84" s="113">
        <f t="shared" si="24"/>
        <v>0</v>
      </c>
      <c r="AB84">
        <f t="shared" si="25"/>
        <v>0</v>
      </c>
      <c r="AC84">
        <f t="shared" si="26"/>
        <v>0</v>
      </c>
      <c r="AD84">
        <f t="shared" si="27"/>
        <v>0</v>
      </c>
      <c r="AE84">
        <f t="shared" si="28"/>
        <v>0</v>
      </c>
      <c r="AF84">
        <f t="shared" si="29"/>
        <v>0</v>
      </c>
      <c r="AG84">
        <f t="shared" si="30"/>
        <v>0</v>
      </c>
      <c r="AH84">
        <f t="shared" si="31"/>
        <v>0</v>
      </c>
      <c r="AI84">
        <f t="shared" si="32"/>
        <v>0</v>
      </c>
      <c r="AJ84">
        <f t="shared" si="33"/>
        <v>0</v>
      </c>
      <c r="AK84">
        <f t="shared" si="34"/>
        <v>0</v>
      </c>
      <c r="AL84">
        <f t="shared" si="35"/>
        <v>0</v>
      </c>
      <c r="AM84" s="113">
        <f t="shared" si="36"/>
        <v>1235</v>
      </c>
      <c r="AN84">
        <f t="shared" si="37"/>
        <v>1367</v>
      </c>
      <c r="AO84">
        <f t="shared" si="38"/>
        <v>1190</v>
      </c>
      <c r="AP84">
        <f t="shared" si="39"/>
        <v>1104</v>
      </c>
      <c r="AQ84">
        <f t="shared" si="40"/>
        <v>1432</v>
      </c>
      <c r="AR84">
        <f t="shared" si="41"/>
        <v>1702</v>
      </c>
      <c r="AS84">
        <f t="shared" si="42"/>
        <v>1647</v>
      </c>
      <c r="AT84">
        <f t="shared" si="43"/>
        <v>1366</v>
      </c>
      <c r="AU84">
        <f t="shared" si="44"/>
        <v>1586</v>
      </c>
      <c r="AV84">
        <f t="shared" si="45"/>
        <v>2091</v>
      </c>
      <c r="AW84">
        <f t="shared" si="46"/>
        <v>1580</v>
      </c>
      <c r="AX84">
        <f t="shared" si="47"/>
        <v>1253</v>
      </c>
    </row>
    <row r="85" spans="1:50" x14ac:dyDescent="0.25">
      <c r="A85" s="113">
        <v>82</v>
      </c>
      <c r="B85" s="209"/>
      <c r="C85" s="113">
        <v>0</v>
      </c>
      <c r="D85" s="113">
        <v>0</v>
      </c>
      <c r="E85" s="113" t="s">
        <v>688</v>
      </c>
      <c r="F85" s="113" t="s">
        <v>688</v>
      </c>
      <c r="G85" s="113"/>
      <c r="H85" s="113"/>
      <c r="I85" s="113"/>
      <c r="J85" s="113"/>
      <c r="K85" s="113"/>
      <c r="N85" s="113" t="e">
        <f>MATCH(A85,Entrada!$A$53:$A$372,0)</f>
        <v>#N/A</v>
      </c>
      <c r="O85">
        <f>IF(NOT(ISNA($N85)),INDEX(Entrada!$C$53:$N$372,$N85,O$2),0)</f>
        <v>0</v>
      </c>
      <c r="P85">
        <f>IF(NOT(ISNA($N85)),INDEX(Entrada!$C$53:$N$372,$N85,P$2),0)</f>
        <v>0</v>
      </c>
      <c r="Q85">
        <f>IF(NOT(ISNA($N85)),INDEX(Entrada!$C$53:$N$372,$N85,Q$2),0)</f>
        <v>0</v>
      </c>
      <c r="R85">
        <f>IF(NOT(ISNA($N85)),INDEX(Entrada!$C$53:$N$372,$N85,R$2),0)</f>
        <v>0</v>
      </c>
      <c r="S85">
        <f>IF(NOT(ISNA($N85)),INDEX(Entrada!$C$53:$N$372,$N85,S$2),0)</f>
        <v>0</v>
      </c>
      <c r="T85">
        <f>IF(NOT(ISNA($N85)),INDEX(Entrada!$C$53:$N$372,$N85,T$2),0)</f>
        <v>0</v>
      </c>
      <c r="U85">
        <f>IF(NOT(ISNA($N85)),INDEX(Entrada!$C$53:$N$372,$N85,U$2),0)</f>
        <v>0</v>
      </c>
      <c r="V85" s="225">
        <f>IF(NOT(ISNA($N85)),INDEX(Entrada!$C$53:$N$372,$N85,V$2),0)</f>
        <v>0</v>
      </c>
      <c r="W85" s="225">
        <f>IF(NOT(ISNA($N85)),INDEX(Entrada!$C$53:$N$372,$N85,W$2),0)</f>
        <v>0</v>
      </c>
      <c r="X85" s="225">
        <f>IF(NOT(ISNA($N85)),INDEX(Entrada!$C$53:$N$372,$N85,X$2),0)</f>
        <v>0</v>
      </c>
      <c r="Y85" s="225">
        <f>IF(NOT(ISNA($N85)),INDEX(Entrada!$C$53:$N$372,$N85,Y$2),0)</f>
        <v>0</v>
      </c>
      <c r="Z85" s="225">
        <f>IF(NOT(ISNA($N85)),INDEX(Entrada!$C$53:$N$372,$N85,Z$2),0)</f>
        <v>0</v>
      </c>
      <c r="AA85" s="113">
        <f t="shared" si="24"/>
        <v>0</v>
      </c>
      <c r="AB85">
        <f t="shared" si="25"/>
        <v>0</v>
      </c>
      <c r="AC85">
        <f t="shared" si="26"/>
        <v>0</v>
      </c>
      <c r="AD85">
        <f t="shared" si="27"/>
        <v>0</v>
      </c>
      <c r="AE85">
        <f t="shared" si="28"/>
        <v>0</v>
      </c>
      <c r="AF85">
        <f t="shared" si="29"/>
        <v>0</v>
      </c>
      <c r="AG85">
        <f t="shared" si="30"/>
        <v>0</v>
      </c>
      <c r="AH85">
        <f t="shared" si="31"/>
        <v>0</v>
      </c>
      <c r="AI85">
        <f t="shared" si="32"/>
        <v>0</v>
      </c>
      <c r="AJ85">
        <f t="shared" si="33"/>
        <v>0</v>
      </c>
      <c r="AK85">
        <f t="shared" si="34"/>
        <v>0</v>
      </c>
      <c r="AL85">
        <f t="shared" si="35"/>
        <v>0</v>
      </c>
      <c r="AM85" s="113">
        <f t="shared" si="36"/>
        <v>0</v>
      </c>
      <c r="AN85">
        <f t="shared" si="37"/>
        <v>0</v>
      </c>
      <c r="AO85">
        <f t="shared" si="38"/>
        <v>0</v>
      </c>
      <c r="AP85">
        <f t="shared" si="39"/>
        <v>0</v>
      </c>
      <c r="AQ85">
        <f t="shared" si="40"/>
        <v>0</v>
      </c>
      <c r="AR85">
        <f t="shared" si="41"/>
        <v>0</v>
      </c>
      <c r="AS85">
        <f t="shared" si="42"/>
        <v>0</v>
      </c>
      <c r="AT85">
        <f t="shared" si="43"/>
        <v>0</v>
      </c>
      <c r="AU85">
        <f t="shared" si="44"/>
        <v>0</v>
      </c>
      <c r="AV85">
        <f t="shared" si="45"/>
        <v>0</v>
      </c>
      <c r="AW85">
        <f t="shared" si="46"/>
        <v>0</v>
      </c>
      <c r="AX85">
        <f t="shared" si="47"/>
        <v>0</v>
      </c>
    </row>
    <row r="86" spans="1:50" x14ac:dyDescent="0.25">
      <c r="A86" s="113">
        <v>83</v>
      </c>
      <c r="B86" s="209" t="s">
        <v>580</v>
      </c>
      <c r="C86" s="113">
        <v>1931</v>
      </c>
      <c r="D86" s="113">
        <v>2013</v>
      </c>
      <c r="E86" s="210" t="s">
        <v>688</v>
      </c>
      <c r="F86" s="210" t="s">
        <v>688</v>
      </c>
      <c r="G86" s="113"/>
      <c r="H86" s="113"/>
      <c r="I86" s="113"/>
      <c r="J86" s="113"/>
      <c r="K86" s="113"/>
      <c r="N86" s="113">
        <f>MATCH(A86,Entrada!$A$53:$A$372,0)</f>
        <v>58</v>
      </c>
      <c r="O86">
        <f>IF(NOT(ISNA($N86)),INDEX(Entrada!$C$53:$N$372,$N86,O$2),0)</f>
        <v>56</v>
      </c>
      <c r="P86">
        <f>IF(NOT(ISNA($N86)),INDEX(Entrada!$C$53:$N$372,$N86,P$2),0)</f>
        <v>63</v>
      </c>
      <c r="Q86">
        <f>IF(NOT(ISNA($N86)),INDEX(Entrada!$C$53:$N$372,$N86,Q$2),0)</f>
        <v>52</v>
      </c>
      <c r="R86">
        <f>IF(NOT(ISNA($N86)),INDEX(Entrada!$C$53:$N$372,$N86,R$2),0)</f>
        <v>57</v>
      </c>
      <c r="S86">
        <f>IF(NOT(ISNA($N86)),INDEX(Entrada!$C$53:$N$372,$N86,S$2),0)</f>
        <v>78</v>
      </c>
      <c r="T86">
        <f>IF(NOT(ISNA($N86)),INDEX(Entrada!$C$53:$N$372,$N86,T$2),0)</f>
        <v>93</v>
      </c>
      <c r="U86">
        <f>IF(NOT(ISNA($N86)),INDEX(Entrada!$C$53:$N$372,$N86,U$2),0)</f>
        <v>84</v>
      </c>
      <c r="V86" s="225">
        <f>IF(NOT(ISNA($N86)),INDEX(Entrada!$C$53:$N$372,$N86,V$2),0)</f>
        <v>71</v>
      </c>
      <c r="W86" s="225">
        <f>IF(NOT(ISNA($N86)),INDEX(Entrada!$C$53:$N$372,$N86,W$2),0)</f>
        <v>83</v>
      </c>
      <c r="X86" s="225">
        <f>IF(NOT(ISNA($N86)),INDEX(Entrada!$C$53:$N$372,$N86,X$2),0)</f>
        <v>107</v>
      </c>
      <c r="Y86" s="225">
        <f>IF(NOT(ISNA($N86)),INDEX(Entrada!$C$53:$N$372,$N86,Y$2),0)</f>
        <v>78</v>
      </c>
      <c r="Z86" s="225">
        <f>IF(NOT(ISNA($N86)),INDEX(Entrada!$C$53:$N$372,$N86,Z$2),0)</f>
        <v>58</v>
      </c>
      <c r="AA86" s="113">
        <f t="shared" si="24"/>
        <v>0</v>
      </c>
      <c r="AB86">
        <f t="shared" si="25"/>
        <v>0</v>
      </c>
      <c r="AC86">
        <f t="shared" si="26"/>
        <v>0</v>
      </c>
      <c r="AD86">
        <f t="shared" si="27"/>
        <v>0</v>
      </c>
      <c r="AE86">
        <f t="shared" si="28"/>
        <v>0</v>
      </c>
      <c r="AF86">
        <f t="shared" si="29"/>
        <v>0</v>
      </c>
      <c r="AG86">
        <f t="shared" si="30"/>
        <v>0</v>
      </c>
      <c r="AH86">
        <f t="shared" si="31"/>
        <v>0</v>
      </c>
      <c r="AI86">
        <f t="shared" si="32"/>
        <v>0</v>
      </c>
      <c r="AJ86">
        <f t="shared" si="33"/>
        <v>0</v>
      </c>
      <c r="AK86">
        <f t="shared" si="34"/>
        <v>0</v>
      </c>
      <c r="AL86">
        <f t="shared" si="35"/>
        <v>0</v>
      </c>
      <c r="AM86" s="113">
        <f t="shared" si="36"/>
        <v>56</v>
      </c>
      <c r="AN86">
        <f t="shared" si="37"/>
        <v>63</v>
      </c>
      <c r="AO86">
        <f t="shared" si="38"/>
        <v>52</v>
      </c>
      <c r="AP86">
        <f t="shared" si="39"/>
        <v>57</v>
      </c>
      <c r="AQ86">
        <f t="shared" si="40"/>
        <v>78</v>
      </c>
      <c r="AR86">
        <f t="shared" si="41"/>
        <v>93</v>
      </c>
      <c r="AS86">
        <f t="shared" si="42"/>
        <v>84</v>
      </c>
      <c r="AT86">
        <f t="shared" si="43"/>
        <v>71</v>
      </c>
      <c r="AU86">
        <f t="shared" si="44"/>
        <v>83</v>
      </c>
      <c r="AV86">
        <f t="shared" si="45"/>
        <v>107</v>
      </c>
      <c r="AW86">
        <f t="shared" si="46"/>
        <v>78</v>
      </c>
      <c r="AX86">
        <f t="shared" si="47"/>
        <v>58</v>
      </c>
    </row>
    <row r="87" spans="1:50" x14ac:dyDescent="0.25">
      <c r="A87" s="113">
        <v>84</v>
      </c>
      <c r="B87" s="209"/>
      <c r="C87" s="113">
        <v>0</v>
      </c>
      <c r="D87" s="113">
        <v>0</v>
      </c>
      <c r="E87" s="113" t="s">
        <v>688</v>
      </c>
      <c r="F87" s="113" t="s">
        <v>688</v>
      </c>
      <c r="G87" s="113"/>
      <c r="H87" s="113"/>
      <c r="I87" s="113"/>
      <c r="J87" s="113"/>
      <c r="K87" s="113"/>
      <c r="N87" s="113" t="e">
        <f>MATCH(A87,Entrada!$A$53:$A$372,0)</f>
        <v>#N/A</v>
      </c>
      <c r="O87">
        <f>IF(NOT(ISNA($N87)),INDEX(Entrada!$C$53:$N$372,$N87,O$2),0)</f>
        <v>0</v>
      </c>
      <c r="P87">
        <f>IF(NOT(ISNA($N87)),INDEX(Entrada!$C$53:$N$372,$N87,P$2),0)</f>
        <v>0</v>
      </c>
      <c r="Q87">
        <f>IF(NOT(ISNA($N87)),INDEX(Entrada!$C$53:$N$372,$N87,Q$2),0)</f>
        <v>0</v>
      </c>
      <c r="R87">
        <f>IF(NOT(ISNA($N87)),INDEX(Entrada!$C$53:$N$372,$N87,R$2),0)</f>
        <v>0</v>
      </c>
      <c r="S87">
        <f>IF(NOT(ISNA($N87)),INDEX(Entrada!$C$53:$N$372,$N87,S$2),0)</f>
        <v>0</v>
      </c>
      <c r="T87">
        <f>IF(NOT(ISNA($N87)),INDEX(Entrada!$C$53:$N$372,$N87,T$2),0)</f>
        <v>0</v>
      </c>
      <c r="U87">
        <f>IF(NOT(ISNA($N87)),INDEX(Entrada!$C$53:$N$372,$N87,U$2),0)</f>
        <v>0</v>
      </c>
      <c r="V87" s="225">
        <f>IF(NOT(ISNA($N87)),INDEX(Entrada!$C$53:$N$372,$N87,V$2),0)</f>
        <v>0</v>
      </c>
      <c r="W87" s="225">
        <f>IF(NOT(ISNA($N87)),INDEX(Entrada!$C$53:$N$372,$N87,W$2),0)</f>
        <v>0</v>
      </c>
      <c r="X87" s="225">
        <f>IF(NOT(ISNA($N87)),INDEX(Entrada!$C$53:$N$372,$N87,X$2),0)</f>
        <v>0</v>
      </c>
      <c r="Y87" s="225">
        <f>IF(NOT(ISNA($N87)),INDEX(Entrada!$C$53:$N$372,$N87,Y$2),0)</f>
        <v>0</v>
      </c>
      <c r="Z87" s="225">
        <f>IF(NOT(ISNA($N87)),INDEX(Entrada!$C$53:$N$372,$N87,Z$2),0)</f>
        <v>0</v>
      </c>
      <c r="AA87" s="113">
        <f t="shared" si="24"/>
        <v>0</v>
      </c>
      <c r="AB87">
        <f t="shared" si="25"/>
        <v>0</v>
      </c>
      <c r="AC87">
        <f t="shared" si="26"/>
        <v>0</v>
      </c>
      <c r="AD87">
        <f t="shared" si="27"/>
        <v>0</v>
      </c>
      <c r="AE87">
        <f t="shared" si="28"/>
        <v>0</v>
      </c>
      <c r="AF87">
        <f t="shared" si="29"/>
        <v>0</v>
      </c>
      <c r="AG87">
        <f t="shared" si="30"/>
        <v>0</v>
      </c>
      <c r="AH87">
        <f t="shared" si="31"/>
        <v>0</v>
      </c>
      <c r="AI87">
        <f t="shared" si="32"/>
        <v>0</v>
      </c>
      <c r="AJ87">
        <f t="shared" si="33"/>
        <v>0</v>
      </c>
      <c r="AK87">
        <f t="shared" si="34"/>
        <v>0</v>
      </c>
      <c r="AL87">
        <f t="shared" si="35"/>
        <v>0</v>
      </c>
      <c r="AM87" s="113">
        <f t="shared" si="36"/>
        <v>0</v>
      </c>
      <c r="AN87">
        <f t="shared" si="37"/>
        <v>0</v>
      </c>
      <c r="AO87">
        <f t="shared" si="38"/>
        <v>0</v>
      </c>
      <c r="AP87">
        <f t="shared" si="39"/>
        <v>0</v>
      </c>
      <c r="AQ87">
        <f t="shared" si="40"/>
        <v>0</v>
      </c>
      <c r="AR87">
        <f t="shared" si="41"/>
        <v>0</v>
      </c>
      <c r="AS87">
        <f t="shared" si="42"/>
        <v>0</v>
      </c>
      <c r="AT87">
        <f t="shared" si="43"/>
        <v>0</v>
      </c>
      <c r="AU87">
        <f t="shared" si="44"/>
        <v>0</v>
      </c>
      <c r="AV87">
        <f t="shared" si="45"/>
        <v>0</v>
      </c>
      <c r="AW87">
        <f t="shared" si="46"/>
        <v>0</v>
      </c>
      <c r="AX87">
        <f t="shared" si="47"/>
        <v>0</v>
      </c>
    </row>
    <row r="88" spans="1:50" x14ac:dyDescent="0.25">
      <c r="A88" s="113">
        <v>85</v>
      </c>
      <c r="B88" s="209" t="s">
        <v>581</v>
      </c>
      <c r="C88" s="113">
        <v>1931</v>
      </c>
      <c r="D88" s="113">
        <v>2013</v>
      </c>
      <c r="E88" s="210" t="s">
        <v>688</v>
      </c>
      <c r="F88" s="210" t="s">
        <v>688</v>
      </c>
      <c r="G88" s="113"/>
      <c r="H88" s="113"/>
      <c r="I88" s="113"/>
      <c r="J88" s="113"/>
      <c r="K88" s="113"/>
      <c r="N88" s="113">
        <f>MATCH(A88,Entrada!$A$53:$A$372,0)</f>
        <v>59</v>
      </c>
      <c r="O88">
        <f>IF(NOT(ISNA($N88)),INDEX(Entrada!$C$53:$N$372,$N88,O$2),0)</f>
        <v>108</v>
      </c>
      <c r="P88">
        <f>IF(NOT(ISNA($N88)),INDEX(Entrada!$C$53:$N$372,$N88,P$2),0)</f>
        <v>141</v>
      </c>
      <c r="Q88">
        <f>IF(NOT(ISNA($N88)),INDEX(Entrada!$C$53:$N$372,$N88,Q$2),0)</f>
        <v>106</v>
      </c>
      <c r="R88">
        <f>IF(NOT(ISNA($N88)),INDEX(Entrada!$C$53:$N$372,$N88,R$2),0)</f>
        <v>107</v>
      </c>
      <c r="S88">
        <f>IF(NOT(ISNA($N88)),INDEX(Entrada!$C$53:$N$372,$N88,S$2),0)</f>
        <v>138</v>
      </c>
      <c r="T88">
        <f>IF(NOT(ISNA($N88)),INDEX(Entrada!$C$53:$N$372,$N88,T$2),0)</f>
        <v>153</v>
      </c>
      <c r="U88">
        <f>IF(NOT(ISNA($N88)),INDEX(Entrada!$C$53:$N$372,$N88,U$2),0)</f>
        <v>202</v>
      </c>
      <c r="V88" s="225">
        <f>IF(NOT(ISNA($N88)),INDEX(Entrada!$C$53:$N$372,$N88,V$2),0)</f>
        <v>216</v>
      </c>
      <c r="W88" s="225">
        <f>IF(NOT(ISNA($N88)),INDEX(Entrada!$C$53:$N$372,$N88,W$2),0)</f>
        <v>245</v>
      </c>
      <c r="X88" s="225">
        <f>IF(NOT(ISNA($N88)),INDEX(Entrada!$C$53:$N$372,$N88,X$2),0)</f>
        <v>207</v>
      </c>
      <c r="Y88" s="225">
        <f>IF(NOT(ISNA($N88)),INDEX(Entrada!$C$53:$N$372,$N88,Y$2),0)</f>
        <v>128</v>
      </c>
      <c r="Z88" s="225">
        <f>IF(NOT(ISNA($N88)),INDEX(Entrada!$C$53:$N$372,$N88,Z$2),0)</f>
        <v>106</v>
      </c>
      <c r="AA88" s="113">
        <f t="shared" si="24"/>
        <v>0</v>
      </c>
      <c r="AB88">
        <f t="shared" si="25"/>
        <v>0</v>
      </c>
      <c r="AC88">
        <f t="shared" si="26"/>
        <v>0</v>
      </c>
      <c r="AD88">
        <f t="shared" si="27"/>
        <v>0</v>
      </c>
      <c r="AE88">
        <f t="shared" si="28"/>
        <v>0</v>
      </c>
      <c r="AF88">
        <f t="shared" si="29"/>
        <v>0</v>
      </c>
      <c r="AG88">
        <f t="shared" si="30"/>
        <v>0</v>
      </c>
      <c r="AH88">
        <f t="shared" si="31"/>
        <v>0</v>
      </c>
      <c r="AI88">
        <f t="shared" si="32"/>
        <v>0</v>
      </c>
      <c r="AJ88">
        <f t="shared" si="33"/>
        <v>0</v>
      </c>
      <c r="AK88">
        <f t="shared" si="34"/>
        <v>0</v>
      </c>
      <c r="AL88">
        <f t="shared" si="35"/>
        <v>0</v>
      </c>
      <c r="AM88" s="113">
        <f t="shared" si="36"/>
        <v>108</v>
      </c>
      <c r="AN88">
        <f t="shared" si="37"/>
        <v>141</v>
      </c>
      <c r="AO88">
        <f t="shared" si="38"/>
        <v>106</v>
      </c>
      <c r="AP88">
        <f t="shared" si="39"/>
        <v>107</v>
      </c>
      <c r="AQ88">
        <f t="shared" si="40"/>
        <v>138</v>
      </c>
      <c r="AR88">
        <f t="shared" si="41"/>
        <v>153</v>
      </c>
      <c r="AS88">
        <f t="shared" si="42"/>
        <v>202</v>
      </c>
      <c r="AT88">
        <f t="shared" si="43"/>
        <v>216</v>
      </c>
      <c r="AU88">
        <f t="shared" si="44"/>
        <v>245</v>
      </c>
      <c r="AV88">
        <f t="shared" si="45"/>
        <v>207</v>
      </c>
      <c r="AW88">
        <f t="shared" si="46"/>
        <v>128</v>
      </c>
      <c r="AX88">
        <f t="shared" si="47"/>
        <v>106</v>
      </c>
    </row>
    <row r="89" spans="1:50" x14ac:dyDescent="0.25">
      <c r="A89" s="113">
        <v>86</v>
      </c>
      <c r="B89" s="209"/>
      <c r="C89" s="113">
        <v>0</v>
      </c>
      <c r="D89" s="113">
        <v>0</v>
      </c>
      <c r="E89" s="113" t="s">
        <v>688</v>
      </c>
      <c r="F89" s="113" t="s">
        <v>688</v>
      </c>
      <c r="G89" s="113"/>
      <c r="H89" s="113"/>
      <c r="I89" s="113"/>
      <c r="J89" s="113"/>
      <c r="K89" s="113"/>
      <c r="N89" s="113" t="e">
        <f>MATCH(A89,Entrada!$A$53:$A$372,0)</f>
        <v>#N/A</v>
      </c>
      <c r="O89">
        <f>IF(NOT(ISNA($N89)),INDEX(Entrada!$C$53:$N$372,$N89,O$2),0)</f>
        <v>0</v>
      </c>
      <c r="P89">
        <f>IF(NOT(ISNA($N89)),INDEX(Entrada!$C$53:$N$372,$N89,P$2),0)</f>
        <v>0</v>
      </c>
      <c r="Q89">
        <f>IF(NOT(ISNA($N89)),INDEX(Entrada!$C$53:$N$372,$N89,Q$2),0)</f>
        <v>0</v>
      </c>
      <c r="R89">
        <f>IF(NOT(ISNA($N89)),INDEX(Entrada!$C$53:$N$372,$N89,R$2),0)</f>
        <v>0</v>
      </c>
      <c r="S89">
        <f>IF(NOT(ISNA($N89)),INDEX(Entrada!$C$53:$N$372,$N89,S$2),0)</f>
        <v>0</v>
      </c>
      <c r="T89">
        <f>IF(NOT(ISNA($N89)),INDEX(Entrada!$C$53:$N$372,$N89,T$2),0)</f>
        <v>0</v>
      </c>
      <c r="U89">
        <f>IF(NOT(ISNA($N89)),INDEX(Entrada!$C$53:$N$372,$N89,U$2),0)</f>
        <v>0</v>
      </c>
      <c r="V89" s="225">
        <f>IF(NOT(ISNA($N89)),INDEX(Entrada!$C$53:$N$372,$N89,V$2),0)</f>
        <v>0</v>
      </c>
      <c r="W89" s="225">
        <f>IF(NOT(ISNA($N89)),INDEX(Entrada!$C$53:$N$372,$N89,W$2),0)</f>
        <v>0</v>
      </c>
      <c r="X89" s="225">
        <f>IF(NOT(ISNA($N89)),INDEX(Entrada!$C$53:$N$372,$N89,X$2),0)</f>
        <v>0</v>
      </c>
      <c r="Y89" s="225">
        <f>IF(NOT(ISNA($N89)),INDEX(Entrada!$C$53:$N$372,$N89,Y$2),0)</f>
        <v>0</v>
      </c>
      <c r="Z89" s="225">
        <f>IF(NOT(ISNA($N89)),INDEX(Entrada!$C$53:$N$372,$N89,Z$2),0)</f>
        <v>0</v>
      </c>
      <c r="AA89" s="113">
        <f t="shared" si="24"/>
        <v>0</v>
      </c>
      <c r="AB89">
        <f t="shared" si="25"/>
        <v>0</v>
      </c>
      <c r="AC89">
        <f t="shared" si="26"/>
        <v>0</v>
      </c>
      <c r="AD89">
        <f t="shared" si="27"/>
        <v>0</v>
      </c>
      <c r="AE89">
        <f t="shared" si="28"/>
        <v>0</v>
      </c>
      <c r="AF89">
        <f t="shared" si="29"/>
        <v>0</v>
      </c>
      <c r="AG89">
        <f t="shared" si="30"/>
        <v>0</v>
      </c>
      <c r="AH89">
        <f t="shared" si="31"/>
        <v>0</v>
      </c>
      <c r="AI89">
        <f t="shared" si="32"/>
        <v>0</v>
      </c>
      <c r="AJ89">
        <f t="shared" si="33"/>
        <v>0</v>
      </c>
      <c r="AK89">
        <f t="shared" si="34"/>
        <v>0</v>
      </c>
      <c r="AL89">
        <f t="shared" si="35"/>
        <v>0</v>
      </c>
      <c r="AM89" s="113">
        <f t="shared" si="36"/>
        <v>0</v>
      </c>
      <c r="AN89">
        <f t="shared" si="37"/>
        <v>0</v>
      </c>
      <c r="AO89">
        <f t="shared" si="38"/>
        <v>0</v>
      </c>
      <c r="AP89">
        <f t="shared" si="39"/>
        <v>0</v>
      </c>
      <c r="AQ89">
        <f t="shared" si="40"/>
        <v>0</v>
      </c>
      <c r="AR89">
        <f t="shared" si="41"/>
        <v>0</v>
      </c>
      <c r="AS89">
        <f t="shared" si="42"/>
        <v>0</v>
      </c>
      <c r="AT89">
        <f t="shared" si="43"/>
        <v>0</v>
      </c>
      <c r="AU89">
        <f t="shared" si="44"/>
        <v>0</v>
      </c>
      <c r="AV89">
        <f t="shared" si="45"/>
        <v>0</v>
      </c>
      <c r="AW89">
        <f t="shared" si="46"/>
        <v>0</v>
      </c>
      <c r="AX89">
        <f t="shared" si="47"/>
        <v>0</v>
      </c>
    </row>
    <row r="90" spans="1:50" x14ac:dyDescent="0.25">
      <c r="A90" s="113">
        <v>87</v>
      </c>
      <c r="B90" s="209"/>
      <c r="C90" s="113">
        <v>0</v>
      </c>
      <c r="D90" s="113">
        <v>0</v>
      </c>
      <c r="E90" s="113" t="s">
        <v>688</v>
      </c>
      <c r="F90" s="113" t="s">
        <v>688</v>
      </c>
      <c r="G90" s="113"/>
      <c r="H90" s="113"/>
      <c r="I90" s="113"/>
      <c r="J90" s="113"/>
      <c r="K90" s="113"/>
      <c r="N90" s="113" t="e">
        <f>MATCH(A90,Entrada!$A$53:$A$372,0)</f>
        <v>#N/A</v>
      </c>
      <c r="O90">
        <f>IF(NOT(ISNA($N90)),INDEX(Entrada!$C$53:$N$372,$N90,O$2),0)</f>
        <v>0</v>
      </c>
      <c r="P90">
        <f>IF(NOT(ISNA($N90)),INDEX(Entrada!$C$53:$N$372,$N90,P$2),0)</f>
        <v>0</v>
      </c>
      <c r="Q90">
        <f>IF(NOT(ISNA($N90)),INDEX(Entrada!$C$53:$N$372,$N90,Q$2),0)</f>
        <v>0</v>
      </c>
      <c r="R90">
        <f>IF(NOT(ISNA($N90)),INDEX(Entrada!$C$53:$N$372,$N90,R$2),0)</f>
        <v>0</v>
      </c>
      <c r="S90">
        <f>IF(NOT(ISNA($N90)),INDEX(Entrada!$C$53:$N$372,$N90,S$2),0)</f>
        <v>0</v>
      </c>
      <c r="T90">
        <f>IF(NOT(ISNA($N90)),INDEX(Entrada!$C$53:$N$372,$N90,T$2),0)</f>
        <v>0</v>
      </c>
      <c r="U90">
        <f>IF(NOT(ISNA($N90)),INDEX(Entrada!$C$53:$N$372,$N90,U$2),0)</f>
        <v>0</v>
      </c>
      <c r="V90" s="225">
        <f>IF(NOT(ISNA($N90)),INDEX(Entrada!$C$53:$N$372,$N90,V$2),0)</f>
        <v>0</v>
      </c>
      <c r="W90" s="225">
        <f>IF(NOT(ISNA($N90)),INDEX(Entrada!$C$53:$N$372,$N90,W$2),0)</f>
        <v>0</v>
      </c>
      <c r="X90" s="225">
        <f>IF(NOT(ISNA($N90)),INDEX(Entrada!$C$53:$N$372,$N90,X$2),0)</f>
        <v>0</v>
      </c>
      <c r="Y90" s="225">
        <f>IF(NOT(ISNA($N90)),INDEX(Entrada!$C$53:$N$372,$N90,Y$2),0)</f>
        <v>0</v>
      </c>
      <c r="Z90" s="225">
        <f>IF(NOT(ISNA($N90)),INDEX(Entrada!$C$53:$N$372,$N90,Z$2),0)</f>
        <v>0</v>
      </c>
      <c r="AA90" s="113">
        <f t="shared" si="24"/>
        <v>0</v>
      </c>
      <c r="AB90">
        <f t="shared" si="25"/>
        <v>0</v>
      </c>
      <c r="AC90">
        <f t="shared" si="26"/>
        <v>0</v>
      </c>
      <c r="AD90">
        <f t="shared" si="27"/>
        <v>0</v>
      </c>
      <c r="AE90">
        <f t="shared" si="28"/>
        <v>0</v>
      </c>
      <c r="AF90">
        <f t="shared" si="29"/>
        <v>0</v>
      </c>
      <c r="AG90">
        <f t="shared" si="30"/>
        <v>0</v>
      </c>
      <c r="AH90">
        <f t="shared" si="31"/>
        <v>0</v>
      </c>
      <c r="AI90">
        <f t="shared" si="32"/>
        <v>0</v>
      </c>
      <c r="AJ90">
        <f t="shared" si="33"/>
        <v>0</v>
      </c>
      <c r="AK90">
        <f t="shared" si="34"/>
        <v>0</v>
      </c>
      <c r="AL90">
        <f t="shared" si="35"/>
        <v>0</v>
      </c>
      <c r="AM90" s="113">
        <f t="shared" si="36"/>
        <v>0</v>
      </c>
      <c r="AN90">
        <f t="shared" si="37"/>
        <v>0</v>
      </c>
      <c r="AO90">
        <f t="shared" si="38"/>
        <v>0</v>
      </c>
      <c r="AP90">
        <f t="shared" si="39"/>
        <v>0</v>
      </c>
      <c r="AQ90">
        <f t="shared" si="40"/>
        <v>0</v>
      </c>
      <c r="AR90">
        <f t="shared" si="41"/>
        <v>0</v>
      </c>
      <c r="AS90">
        <f t="shared" si="42"/>
        <v>0</v>
      </c>
      <c r="AT90">
        <f t="shared" si="43"/>
        <v>0</v>
      </c>
      <c r="AU90">
        <f t="shared" si="44"/>
        <v>0</v>
      </c>
      <c r="AV90">
        <f t="shared" si="45"/>
        <v>0</v>
      </c>
      <c r="AW90">
        <f t="shared" si="46"/>
        <v>0</v>
      </c>
      <c r="AX90">
        <f t="shared" si="47"/>
        <v>0</v>
      </c>
    </row>
    <row r="91" spans="1:50" x14ac:dyDescent="0.25">
      <c r="A91" s="113">
        <v>88</v>
      </c>
      <c r="B91" s="209" t="s">
        <v>582</v>
      </c>
      <c r="C91" s="113">
        <v>1931</v>
      </c>
      <c r="D91" s="113">
        <v>2013</v>
      </c>
      <c r="E91" s="212" t="s">
        <v>17</v>
      </c>
      <c r="F91" s="213" t="s">
        <v>324</v>
      </c>
      <c r="G91" s="113"/>
      <c r="H91" s="113"/>
      <c r="I91" s="113"/>
      <c r="J91" s="113"/>
      <c r="K91" s="113"/>
      <c r="N91" s="113">
        <f>MATCH(A91,Entrada!$A$53:$A$372,0)</f>
        <v>60</v>
      </c>
      <c r="O91">
        <f>IF(NOT(ISNA($N91)),INDEX(Entrada!$C$53:$N$372,$N91,O$2),0)</f>
        <v>177</v>
      </c>
      <c r="P91">
        <f>IF(NOT(ISNA($N91)),INDEX(Entrada!$C$53:$N$372,$N91,P$2),0)</f>
        <v>222</v>
      </c>
      <c r="Q91">
        <f>IF(NOT(ISNA($N91)),INDEX(Entrada!$C$53:$N$372,$N91,Q$2),0)</f>
        <v>180</v>
      </c>
      <c r="R91">
        <f>IF(NOT(ISNA($N91)),INDEX(Entrada!$C$53:$N$372,$N91,R$2),0)</f>
        <v>158</v>
      </c>
      <c r="S91">
        <f>IF(NOT(ISNA($N91)),INDEX(Entrada!$C$53:$N$372,$N91,S$2),0)</f>
        <v>203</v>
      </c>
      <c r="T91">
        <f>IF(NOT(ISNA($N91)),INDEX(Entrada!$C$53:$N$372,$N91,T$2),0)</f>
        <v>222</v>
      </c>
      <c r="U91">
        <f>IF(NOT(ISNA($N91)),INDEX(Entrada!$C$53:$N$372,$N91,U$2),0)</f>
        <v>265</v>
      </c>
      <c r="V91" s="225">
        <f>IF(NOT(ISNA($N91)),INDEX(Entrada!$C$53:$N$372,$N91,V$2),0)</f>
        <v>285</v>
      </c>
      <c r="W91" s="225">
        <f>IF(NOT(ISNA($N91)),INDEX(Entrada!$C$53:$N$372,$N91,W$2),0)</f>
        <v>336</v>
      </c>
      <c r="X91" s="225">
        <f>IF(NOT(ISNA($N91)),INDEX(Entrada!$C$53:$N$372,$N91,X$2),0)</f>
        <v>350</v>
      </c>
      <c r="Y91" s="225">
        <f>IF(NOT(ISNA($N91)),INDEX(Entrada!$C$53:$N$372,$N91,Y$2),0)</f>
        <v>232</v>
      </c>
      <c r="Z91" s="225">
        <f>IF(NOT(ISNA($N91)),INDEX(Entrada!$C$53:$N$372,$N91,Z$2),0)</f>
        <v>170</v>
      </c>
      <c r="AA91" s="113">
        <f t="shared" si="24"/>
        <v>0</v>
      </c>
      <c r="AB91">
        <f t="shared" si="25"/>
        <v>0</v>
      </c>
      <c r="AC91">
        <f t="shared" si="26"/>
        <v>0</v>
      </c>
      <c r="AD91">
        <f t="shared" si="27"/>
        <v>0</v>
      </c>
      <c r="AE91">
        <f t="shared" si="28"/>
        <v>0</v>
      </c>
      <c r="AF91">
        <f t="shared" si="29"/>
        <v>0</v>
      </c>
      <c r="AG91">
        <f t="shared" si="30"/>
        <v>0</v>
      </c>
      <c r="AH91">
        <f t="shared" si="31"/>
        <v>0</v>
      </c>
      <c r="AI91">
        <f t="shared" si="32"/>
        <v>0</v>
      </c>
      <c r="AJ91">
        <f t="shared" si="33"/>
        <v>0</v>
      </c>
      <c r="AK91">
        <f t="shared" si="34"/>
        <v>0</v>
      </c>
      <c r="AL91">
        <f t="shared" si="35"/>
        <v>0</v>
      </c>
      <c r="AM91" s="113">
        <f t="shared" si="36"/>
        <v>177</v>
      </c>
      <c r="AN91">
        <f t="shared" si="37"/>
        <v>222</v>
      </c>
      <c r="AO91">
        <f t="shared" si="38"/>
        <v>180</v>
      </c>
      <c r="AP91">
        <f t="shared" si="39"/>
        <v>158</v>
      </c>
      <c r="AQ91">
        <f t="shared" si="40"/>
        <v>203</v>
      </c>
      <c r="AR91">
        <f t="shared" si="41"/>
        <v>222</v>
      </c>
      <c r="AS91">
        <f t="shared" si="42"/>
        <v>265</v>
      </c>
      <c r="AT91">
        <f t="shared" si="43"/>
        <v>285</v>
      </c>
      <c r="AU91">
        <f t="shared" si="44"/>
        <v>336</v>
      </c>
      <c r="AV91">
        <f t="shared" si="45"/>
        <v>350</v>
      </c>
      <c r="AW91">
        <f t="shared" si="46"/>
        <v>232</v>
      </c>
      <c r="AX91">
        <f t="shared" si="47"/>
        <v>170</v>
      </c>
    </row>
    <row r="92" spans="1:50" x14ac:dyDescent="0.25">
      <c r="A92" s="113">
        <v>89</v>
      </c>
      <c r="B92" s="209" t="s">
        <v>583</v>
      </c>
      <c r="C92" s="113">
        <v>1931</v>
      </c>
      <c r="D92" s="113">
        <v>2013</v>
      </c>
      <c r="E92" s="210" t="s">
        <v>17</v>
      </c>
      <c r="F92" s="210" t="s">
        <v>324</v>
      </c>
      <c r="G92" s="113"/>
      <c r="H92" s="113"/>
      <c r="I92" s="113"/>
      <c r="J92" s="113"/>
      <c r="K92" s="113"/>
      <c r="N92" s="113">
        <f>MATCH(A92,Entrada!$A$53:$A$372,0)</f>
        <v>61</v>
      </c>
      <c r="O92">
        <f>IF(NOT(ISNA($N92)),INDEX(Entrada!$C$53:$N$372,$N92,O$2),0)</f>
        <v>209</v>
      </c>
      <c r="P92">
        <f>IF(NOT(ISNA($N92)),INDEX(Entrada!$C$53:$N$372,$N92,P$2),0)</f>
        <v>261</v>
      </c>
      <c r="Q92">
        <f>IF(NOT(ISNA($N92)),INDEX(Entrada!$C$53:$N$372,$N92,Q$2),0)</f>
        <v>211</v>
      </c>
      <c r="R92">
        <f>IF(NOT(ISNA($N92)),INDEX(Entrada!$C$53:$N$372,$N92,R$2),0)</f>
        <v>192</v>
      </c>
      <c r="S92">
        <f>IF(NOT(ISNA($N92)),INDEX(Entrada!$C$53:$N$372,$N92,S$2),0)</f>
        <v>251</v>
      </c>
      <c r="T92">
        <f>IF(NOT(ISNA($N92)),INDEX(Entrada!$C$53:$N$372,$N92,T$2),0)</f>
        <v>274</v>
      </c>
      <c r="U92">
        <f>IF(NOT(ISNA($N92)),INDEX(Entrada!$C$53:$N$372,$N92,U$2),0)</f>
        <v>329</v>
      </c>
      <c r="V92" s="225">
        <f>IF(NOT(ISNA($N92)),INDEX(Entrada!$C$53:$N$372,$N92,V$2),0)</f>
        <v>346</v>
      </c>
      <c r="W92" s="225">
        <f>IF(NOT(ISNA($N92)),INDEX(Entrada!$C$53:$N$372,$N92,W$2),0)</f>
        <v>415</v>
      </c>
      <c r="X92" s="225">
        <f>IF(NOT(ISNA($N92)),INDEX(Entrada!$C$53:$N$372,$N92,X$2),0)</f>
        <v>427</v>
      </c>
      <c r="Y92" s="225">
        <f>IF(NOT(ISNA($N92)),INDEX(Entrada!$C$53:$N$372,$N92,Y$2),0)</f>
        <v>282</v>
      </c>
      <c r="Z92" s="225">
        <f>IF(NOT(ISNA($N92)),INDEX(Entrada!$C$53:$N$372,$N92,Z$2),0)</f>
        <v>204</v>
      </c>
      <c r="AA92" s="113">
        <f t="shared" si="24"/>
        <v>0</v>
      </c>
      <c r="AB92">
        <f t="shared" si="25"/>
        <v>0</v>
      </c>
      <c r="AC92">
        <f t="shared" si="26"/>
        <v>0</v>
      </c>
      <c r="AD92">
        <f t="shared" si="27"/>
        <v>0</v>
      </c>
      <c r="AE92">
        <f t="shared" si="28"/>
        <v>0</v>
      </c>
      <c r="AF92">
        <f t="shared" si="29"/>
        <v>0</v>
      </c>
      <c r="AG92">
        <f t="shared" si="30"/>
        <v>0</v>
      </c>
      <c r="AH92">
        <f t="shared" si="31"/>
        <v>0</v>
      </c>
      <c r="AI92">
        <f t="shared" si="32"/>
        <v>0</v>
      </c>
      <c r="AJ92">
        <f t="shared" si="33"/>
        <v>0</v>
      </c>
      <c r="AK92">
        <f t="shared" si="34"/>
        <v>0</v>
      </c>
      <c r="AL92">
        <f t="shared" si="35"/>
        <v>0</v>
      </c>
      <c r="AM92" s="113">
        <f t="shared" si="36"/>
        <v>209</v>
      </c>
      <c r="AN92">
        <f t="shared" si="37"/>
        <v>261</v>
      </c>
      <c r="AO92">
        <f t="shared" si="38"/>
        <v>211</v>
      </c>
      <c r="AP92">
        <f t="shared" si="39"/>
        <v>192</v>
      </c>
      <c r="AQ92">
        <f t="shared" si="40"/>
        <v>251</v>
      </c>
      <c r="AR92">
        <f t="shared" si="41"/>
        <v>274</v>
      </c>
      <c r="AS92">
        <f t="shared" si="42"/>
        <v>329</v>
      </c>
      <c r="AT92">
        <f t="shared" si="43"/>
        <v>346</v>
      </c>
      <c r="AU92">
        <f t="shared" si="44"/>
        <v>415</v>
      </c>
      <c r="AV92">
        <f t="shared" si="45"/>
        <v>427</v>
      </c>
      <c r="AW92">
        <f t="shared" si="46"/>
        <v>282</v>
      </c>
      <c r="AX92">
        <f t="shared" si="47"/>
        <v>204</v>
      </c>
    </row>
    <row r="93" spans="1:50" x14ac:dyDescent="0.25">
      <c r="A93" s="113">
        <v>90</v>
      </c>
      <c r="B93" s="209"/>
      <c r="C93" s="113">
        <v>0</v>
      </c>
      <c r="D93" s="113">
        <v>0</v>
      </c>
      <c r="E93" s="113" t="s">
        <v>688</v>
      </c>
      <c r="F93" s="113" t="s">
        <v>688</v>
      </c>
      <c r="G93" s="113"/>
      <c r="H93" s="113"/>
      <c r="I93" s="113"/>
      <c r="J93" s="113"/>
      <c r="K93" s="113"/>
      <c r="N93" s="113" t="e">
        <f>MATCH(A93,Entrada!$A$53:$A$372,0)</f>
        <v>#N/A</v>
      </c>
      <c r="O93">
        <f>IF(NOT(ISNA($N93)),INDEX(Entrada!$C$53:$N$372,$N93,O$2),0)</f>
        <v>0</v>
      </c>
      <c r="P93">
        <f>IF(NOT(ISNA($N93)),INDEX(Entrada!$C$53:$N$372,$N93,P$2),0)</f>
        <v>0</v>
      </c>
      <c r="Q93">
        <f>IF(NOT(ISNA($N93)),INDEX(Entrada!$C$53:$N$372,$N93,Q$2),0)</f>
        <v>0</v>
      </c>
      <c r="R93">
        <f>IF(NOT(ISNA($N93)),INDEX(Entrada!$C$53:$N$372,$N93,R$2),0)</f>
        <v>0</v>
      </c>
      <c r="S93">
        <f>IF(NOT(ISNA($N93)),INDEX(Entrada!$C$53:$N$372,$N93,S$2),0)</f>
        <v>0</v>
      </c>
      <c r="T93">
        <f>IF(NOT(ISNA($N93)),INDEX(Entrada!$C$53:$N$372,$N93,T$2),0)</f>
        <v>0</v>
      </c>
      <c r="U93">
        <f>IF(NOT(ISNA($N93)),INDEX(Entrada!$C$53:$N$372,$N93,U$2),0)</f>
        <v>0</v>
      </c>
      <c r="V93" s="225">
        <f>IF(NOT(ISNA($N93)),INDEX(Entrada!$C$53:$N$372,$N93,V$2),0)</f>
        <v>0</v>
      </c>
      <c r="W93" s="225">
        <f>IF(NOT(ISNA($N93)),INDEX(Entrada!$C$53:$N$372,$N93,W$2),0)</f>
        <v>0</v>
      </c>
      <c r="X93" s="225">
        <f>IF(NOT(ISNA($N93)),INDEX(Entrada!$C$53:$N$372,$N93,X$2),0)</f>
        <v>0</v>
      </c>
      <c r="Y93" s="225">
        <f>IF(NOT(ISNA($N93)),INDEX(Entrada!$C$53:$N$372,$N93,Y$2),0)</f>
        <v>0</v>
      </c>
      <c r="Z93" s="225">
        <f>IF(NOT(ISNA($N93)),INDEX(Entrada!$C$53:$N$372,$N93,Z$2),0)</f>
        <v>0</v>
      </c>
      <c r="AA93" s="113">
        <f t="shared" si="24"/>
        <v>0</v>
      </c>
      <c r="AB93">
        <f t="shared" si="25"/>
        <v>0</v>
      </c>
      <c r="AC93">
        <f t="shared" si="26"/>
        <v>0</v>
      </c>
      <c r="AD93">
        <f t="shared" si="27"/>
        <v>0</v>
      </c>
      <c r="AE93">
        <f t="shared" si="28"/>
        <v>0</v>
      </c>
      <c r="AF93">
        <f t="shared" si="29"/>
        <v>0</v>
      </c>
      <c r="AG93">
        <f t="shared" si="30"/>
        <v>0</v>
      </c>
      <c r="AH93">
        <f t="shared" si="31"/>
        <v>0</v>
      </c>
      <c r="AI93">
        <f t="shared" si="32"/>
        <v>0</v>
      </c>
      <c r="AJ93">
        <f t="shared" si="33"/>
        <v>0</v>
      </c>
      <c r="AK93">
        <f t="shared" si="34"/>
        <v>0</v>
      </c>
      <c r="AL93">
        <f t="shared" si="35"/>
        <v>0</v>
      </c>
      <c r="AM93" s="113">
        <f t="shared" si="36"/>
        <v>0</v>
      </c>
      <c r="AN93">
        <f t="shared" si="37"/>
        <v>0</v>
      </c>
      <c r="AO93">
        <f t="shared" si="38"/>
        <v>0</v>
      </c>
      <c r="AP93">
        <f t="shared" si="39"/>
        <v>0</v>
      </c>
      <c r="AQ93">
        <f t="shared" si="40"/>
        <v>0</v>
      </c>
      <c r="AR93">
        <f t="shared" si="41"/>
        <v>0</v>
      </c>
      <c r="AS93">
        <f t="shared" si="42"/>
        <v>0</v>
      </c>
      <c r="AT93">
        <f t="shared" si="43"/>
        <v>0</v>
      </c>
      <c r="AU93">
        <f t="shared" si="44"/>
        <v>0</v>
      </c>
      <c r="AV93">
        <f t="shared" si="45"/>
        <v>0</v>
      </c>
      <c r="AW93">
        <f t="shared" si="46"/>
        <v>0</v>
      </c>
      <c r="AX93">
        <f t="shared" si="47"/>
        <v>0</v>
      </c>
    </row>
    <row r="94" spans="1:50" x14ac:dyDescent="0.25">
      <c r="A94" s="113">
        <v>91</v>
      </c>
      <c r="B94" s="209"/>
      <c r="C94" s="113">
        <v>0</v>
      </c>
      <c r="D94" s="113">
        <v>0</v>
      </c>
      <c r="E94" s="113" t="s">
        <v>688</v>
      </c>
      <c r="F94" s="113" t="s">
        <v>688</v>
      </c>
      <c r="G94" s="113"/>
      <c r="H94" s="113"/>
      <c r="I94" s="113"/>
      <c r="J94" s="113"/>
      <c r="K94" s="113"/>
      <c r="N94" s="113" t="e">
        <f>MATCH(A94,Entrada!$A$53:$A$372,0)</f>
        <v>#N/A</v>
      </c>
      <c r="O94">
        <f>IF(NOT(ISNA($N94)),INDEX(Entrada!$C$53:$N$372,$N94,O$2),0)</f>
        <v>0</v>
      </c>
      <c r="P94">
        <f>IF(NOT(ISNA($N94)),INDEX(Entrada!$C$53:$N$372,$N94,P$2),0)</f>
        <v>0</v>
      </c>
      <c r="Q94">
        <f>IF(NOT(ISNA($N94)),INDEX(Entrada!$C$53:$N$372,$N94,Q$2),0)</f>
        <v>0</v>
      </c>
      <c r="R94">
        <f>IF(NOT(ISNA($N94)),INDEX(Entrada!$C$53:$N$372,$N94,R$2),0)</f>
        <v>0</v>
      </c>
      <c r="S94">
        <f>IF(NOT(ISNA($N94)),INDEX(Entrada!$C$53:$N$372,$N94,S$2),0)</f>
        <v>0</v>
      </c>
      <c r="T94">
        <f>IF(NOT(ISNA($N94)),INDEX(Entrada!$C$53:$N$372,$N94,T$2),0)</f>
        <v>0</v>
      </c>
      <c r="U94">
        <f>IF(NOT(ISNA($N94)),INDEX(Entrada!$C$53:$N$372,$N94,U$2),0)</f>
        <v>0</v>
      </c>
      <c r="V94" s="225">
        <f>IF(NOT(ISNA($N94)),INDEX(Entrada!$C$53:$N$372,$N94,V$2),0)</f>
        <v>0</v>
      </c>
      <c r="W94" s="225">
        <f>IF(NOT(ISNA($N94)),INDEX(Entrada!$C$53:$N$372,$N94,W$2),0)</f>
        <v>0</v>
      </c>
      <c r="X94" s="225">
        <f>IF(NOT(ISNA($N94)),INDEX(Entrada!$C$53:$N$372,$N94,X$2),0)</f>
        <v>0</v>
      </c>
      <c r="Y94" s="225">
        <f>IF(NOT(ISNA($N94)),INDEX(Entrada!$C$53:$N$372,$N94,Y$2),0)</f>
        <v>0</v>
      </c>
      <c r="Z94" s="225">
        <f>IF(NOT(ISNA($N94)),INDEX(Entrada!$C$53:$N$372,$N94,Z$2),0)</f>
        <v>0</v>
      </c>
      <c r="AA94" s="113">
        <f t="shared" si="24"/>
        <v>0</v>
      </c>
      <c r="AB94">
        <f t="shared" si="25"/>
        <v>0</v>
      </c>
      <c r="AC94">
        <f t="shared" si="26"/>
        <v>0</v>
      </c>
      <c r="AD94">
        <f t="shared" si="27"/>
        <v>0</v>
      </c>
      <c r="AE94">
        <f t="shared" si="28"/>
        <v>0</v>
      </c>
      <c r="AF94">
        <f t="shared" si="29"/>
        <v>0</v>
      </c>
      <c r="AG94">
        <f t="shared" si="30"/>
        <v>0</v>
      </c>
      <c r="AH94">
        <f t="shared" si="31"/>
        <v>0</v>
      </c>
      <c r="AI94">
        <f t="shared" si="32"/>
        <v>0</v>
      </c>
      <c r="AJ94">
        <f t="shared" si="33"/>
        <v>0</v>
      </c>
      <c r="AK94">
        <f t="shared" si="34"/>
        <v>0</v>
      </c>
      <c r="AL94">
        <f t="shared" si="35"/>
        <v>0</v>
      </c>
      <c r="AM94" s="113">
        <f t="shared" si="36"/>
        <v>0</v>
      </c>
      <c r="AN94">
        <f t="shared" si="37"/>
        <v>0</v>
      </c>
      <c r="AO94">
        <f t="shared" si="38"/>
        <v>0</v>
      </c>
      <c r="AP94">
        <f t="shared" si="39"/>
        <v>0</v>
      </c>
      <c r="AQ94">
        <f t="shared" si="40"/>
        <v>0</v>
      </c>
      <c r="AR94">
        <f t="shared" si="41"/>
        <v>0</v>
      </c>
      <c r="AS94">
        <f t="shared" si="42"/>
        <v>0</v>
      </c>
      <c r="AT94">
        <f t="shared" si="43"/>
        <v>0</v>
      </c>
      <c r="AU94">
        <f t="shared" si="44"/>
        <v>0</v>
      </c>
      <c r="AV94">
        <f t="shared" si="45"/>
        <v>0</v>
      </c>
      <c r="AW94">
        <f t="shared" si="46"/>
        <v>0</v>
      </c>
      <c r="AX94">
        <f t="shared" si="47"/>
        <v>0</v>
      </c>
    </row>
    <row r="95" spans="1:50" x14ac:dyDescent="0.25">
      <c r="A95" s="113">
        <v>92</v>
      </c>
      <c r="B95" s="209" t="s">
        <v>584</v>
      </c>
      <c r="C95" s="113">
        <v>1931</v>
      </c>
      <c r="D95" s="113">
        <v>2013</v>
      </c>
      <c r="E95" s="210" t="s">
        <v>17</v>
      </c>
      <c r="F95" s="210" t="s">
        <v>17</v>
      </c>
      <c r="G95" s="113">
        <v>217</v>
      </c>
      <c r="H95" s="113"/>
      <c r="I95" s="113"/>
      <c r="J95" s="113"/>
      <c r="K95" s="113"/>
      <c r="N95" s="113">
        <f>MATCH(A95,Entrada!$A$53:$A$372,0)</f>
        <v>62</v>
      </c>
      <c r="O95">
        <f>IF(NOT(ISNA($N95)),INDEX(Entrada!$C$53:$N$372,$N95,O$2),0)</f>
        <v>670</v>
      </c>
      <c r="P95">
        <f>IF(NOT(ISNA($N95)),INDEX(Entrada!$C$53:$N$372,$N95,P$2),0)</f>
        <v>854</v>
      </c>
      <c r="Q95">
        <f>IF(NOT(ISNA($N95)),INDEX(Entrada!$C$53:$N$372,$N95,Q$2),0)</f>
        <v>670</v>
      </c>
      <c r="R95">
        <f>IF(NOT(ISNA($N95)),INDEX(Entrada!$C$53:$N$372,$N95,R$2),0)</f>
        <v>702</v>
      </c>
      <c r="S95">
        <f>IF(NOT(ISNA($N95)),INDEX(Entrada!$C$53:$N$372,$N95,S$2),0)</f>
        <v>972</v>
      </c>
      <c r="T95">
        <f>IF(NOT(ISNA($N95)),INDEX(Entrada!$C$53:$N$372,$N95,T$2),0)</f>
        <v>1087</v>
      </c>
      <c r="U95">
        <f>IF(NOT(ISNA($N95)),INDEX(Entrada!$C$53:$N$372,$N95,U$2),0)</f>
        <v>1293</v>
      </c>
      <c r="V95" s="225">
        <f>IF(NOT(ISNA($N95)),INDEX(Entrada!$C$53:$N$372,$N95,V$2),0)</f>
        <v>1370</v>
      </c>
      <c r="W95" s="225">
        <f>IF(NOT(ISNA($N95)),INDEX(Entrada!$C$53:$N$372,$N95,W$2),0)</f>
        <v>1578</v>
      </c>
      <c r="X95" s="225">
        <f>IF(NOT(ISNA($N95)),INDEX(Entrada!$C$53:$N$372,$N95,X$2),0)</f>
        <v>1552</v>
      </c>
      <c r="Y95" s="225">
        <f>IF(NOT(ISNA($N95)),INDEX(Entrada!$C$53:$N$372,$N95,Y$2),0)</f>
        <v>985</v>
      </c>
      <c r="Z95" s="225">
        <f>IF(NOT(ISNA($N95)),INDEX(Entrada!$C$53:$N$372,$N95,Z$2),0)</f>
        <v>718</v>
      </c>
      <c r="AA95" s="113">
        <f t="shared" si="24"/>
        <v>493</v>
      </c>
      <c r="AB95">
        <f t="shared" si="25"/>
        <v>630</v>
      </c>
      <c r="AC95">
        <f t="shared" si="26"/>
        <v>492</v>
      </c>
      <c r="AD95">
        <f t="shared" si="27"/>
        <v>495</v>
      </c>
      <c r="AE95">
        <f t="shared" si="28"/>
        <v>676</v>
      </c>
      <c r="AF95">
        <f t="shared" si="29"/>
        <v>746</v>
      </c>
      <c r="AG95">
        <f t="shared" si="30"/>
        <v>913</v>
      </c>
      <c r="AH95">
        <f t="shared" si="31"/>
        <v>964</v>
      </c>
      <c r="AI95">
        <f t="shared" si="32"/>
        <v>1118</v>
      </c>
      <c r="AJ95">
        <f t="shared" si="33"/>
        <v>1091</v>
      </c>
      <c r="AK95">
        <f t="shared" si="34"/>
        <v>690</v>
      </c>
      <c r="AL95">
        <f t="shared" si="35"/>
        <v>510</v>
      </c>
      <c r="AM95" s="113">
        <f t="shared" si="36"/>
        <v>177</v>
      </c>
      <c r="AN95">
        <f t="shared" si="37"/>
        <v>224</v>
      </c>
      <c r="AO95">
        <f t="shared" si="38"/>
        <v>178</v>
      </c>
      <c r="AP95">
        <f t="shared" si="39"/>
        <v>207</v>
      </c>
      <c r="AQ95">
        <f t="shared" si="40"/>
        <v>296</v>
      </c>
      <c r="AR95">
        <f t="shared" si="41"/>
        <v>341</v>
      </c>
      <c r="AS95">
        <f t="shared" si="42"/>
        <v>380</v>
      </c>
      <c r="AT95">
        <f t="shared" si="43"/>
        <v>406</v>
      </c>
      <c r="AU95">
        <f t="shared" si="44"/>
        <v>460</v>
      </c>
      <c r="AV95">
        <f t="shared" si="45"/>
        <v>461</v>
      </c>
      <c r="AW95">
        <f t="shared" si="46"/>
        <v>295</v>
      </c>
      <c r="AX95">
        <f t="shared" si="47"/>
        <v>208</v>
      </c>
    </row>
    <row r="96" spans="1:50" x14ac:dyDescent="0.25">
      <c r="A96" s="113">
        <v>93</v>
      </c>
      <c r="B96" s="209" t="s">
        <v>191</v>
      </c>
      <c r="C96" s="113">
        <v>1931</v>
      </c>
      <c r="D96" s="113">
        <v>2013</v>
      </c>
      <c r="E96" s="210" t="s">
        <v>17</v>
      </c>
      <c r="F96" s="210" t="s">
        <v>325</v>
      </c>
      <c r="G96" s="113"/>
      <c r="H96" s="113"/>
      <c r="I96" s="113"/>
      <c r="J96" s="113"/>
      <c r="K96" s="113"/>
      <c r="N96" s="113">
        <f>MATCH(A96,Entrada!$A$53:$A$372,0)</f>
        <v>63</v>
      </c>
      <c r="O96">
        <f>IF(NOT(ISNA($N96)),INDEX(Entrada!$C$53:$N$372,$N96,O$2),0)</f>
        <v>34</v>
      </c>
      <c r="P96">
        <f>IF(NOT(ISNA($N96)),INDEX(Entrada!$C$53:$N$372,$N96,P$2),0)</f>
        <v>34</v>
      </c>
      <c r="Q96">
        <f>IF(NOT(ISNA($N96)),INDEX(Entrada!$C$53:$N$372,$N96,Q$2),0)</f>
        <v>29</v>
      </c>
      <c r="R96">
        <f>IF(NOT(ISNA($N96)),INDEX(Entrada!$C$53:$N$372,$N96,R$2),0)</f>
        <v>36</v>
      </c>
      <c r="S96">
        <f>IF(NOT(ISNA($N96)),INDEX(Entrada!$C$53:$N$372,$N96,S$2),0)</f>
        <v>55</v>
      </c>
      <c r="T96">
        <f>IF(NOT(ISNA($N96)),INDEX(Entrada!$C$53:$N$372,$N96,T$2),0)</f>
        <v>69</v>
      </c>
      <c r="U96">
        <f>IF(NOT(ISNA($N96)),INDEX(Entrada!$C$53:$N$372,$N96,U$2),0)</f>
        <v>77</v>
      </c>
      <c r="V96" s="225">
        <f>IF(NOT(ISNA($N96)),INDEX(Entrada!$C$53:$N$372,$N96,V$2),0)</f>
        <v>71</v>
      </c>
      <c r="W96" s="225">
        <f>IF(NOT(ISNA($N96)),INDEX(Entrada!$C$53:$N$372,$N96,W$2),0)</f>
        <v>79</v>
      </c>
      <c r="X96" s="225">
        <f>IF(NOT(ISNA($N96)),INDEX(Entrada!$C$53:$N$372,$N96,X$2),0)</f>
        <v>84</v>
      </c>
      <c r="Y96" s="225">
        <f>IF(NOT(ISNA($N96)),INDEX(Entrada!$C$53:$N$372,$N96,Y$2),0)</f>
        <v>59</v>
      </c>
      <c r="Z96" s="225">
        <f>IF(NOT(ISNA($N96)),INDEX(Entrada!$C$53:$N$372,$N96,Z$2),0)</f>
        <v>44</v>
      </c>
      <c r="AA96" s="113">
        <f t="shared" si="24"/>
        <v>0</v>
      </c>
      <c r="AB96">
        <f t="shared" si="25"/>
        <v>0</v>
      </c>
      <c r="AC96">
        <f t="shared" si="26"/>
        <v>0</v>
      </c>
      <c r="AD96">
        <f t="shared" si="27"/>
        <v>0</v>
      </c>
      <c r="AE96">
        <f t="shared" si="28"/>
        <v>0</v>
      </c>
      <c r="AF96">
        <f t="shared" si="29"/>
        <v>0</v>
      </c>
      <c r="AG96">
        <f t="shared" si="30"/>
        <v>0</v>
      </c>
      <c r="AH96">
        <f t="shared" si="31"/>
        <v>0</v>
      </c>
      <c r="AI96">
        <f t="shared" si="32"/>
        <v>0</v>
      </c>
      <c r="AJ96">
        <f t="shared" si="33"/>
        <v>0</v>
      </c>
      <c r="AK96">
        <f t="shared" si="34"/>
        <v>0</v>
      </c>
      <c r="AL96">
        <f t="shared" si="35"/>
        <v>0</v>
      </c>
      <c r="AM96" s="113">
        <f t="shared" si="36"/>
        <v>34</v>
      </c>
      <c r="AN96">
        <f t="shared" si="37"/>
        <v>34</v>
      </c>
      <c r="AO96">
        <f t="shared" si="38"/>
        <v>29</v>
      </c>
      <c r="AP96">
        <f t="shared" si="39"/>
        <v>36</v>
      </c>
      <c r="AQ96">
        <f t="shared" si="40"/>
        <v>55</v>
      </c>
      <c r="AR96">
        <f t="shared" si="41"/>
        <v>69</v>
      </c>
      <c r="AS96">
        <f t="shared" si="42"/>
        <v>77</v>
      </c>
      <c r="AT96">
        <f t="shared" si="43"/>
        <v>71</v>
      </c>
      <c r="AU96">
        <f t="shared" si="44"/>
        <v>79</v>
      </c>
      <c r="AV96">
        <f t="shared" si="45"/>
        <v>84</v>
      </c>
      <c r="AW96">
        <f t="shared" si="46"/>
        <v>59</v>
      </c>
      <c r="AX96">
        <f t="shared" si="47"/>
        <v>44</v>
      </c>
    </row>
    <row r="97" spans="1:51" x14ac:dyDescent="0.25">
      <c r="A97" s="113">
        <v>94</v>
      </c>
      <c r="B97" s="209" t="s">
        <v>585</v>
      </c>
      <c r="C97" s="113">
        <v>1931</v>
      </c>
      <c r="D97" s="113">
        <v>2013</v>
      </c>
      <c r="E97" s="210" t="s">
        <v>17</v>
      </c>
      <c r="F97" s="210" t="s">
        <v>17</v>
      </c>
      <c r="G97" s="113">
        <v>92</v>
      </c>
      <c r="H97" s="113">
        <v>220</v>
      </c>
      <c r="I97" s="113"/>
      <c r="J97" s="113"/>
      <c r="K97" s="113"/>
      <c r="N97" s="113">
        <f>MATCH(A97,Entrada!$A$53:$A$372,0)</f>
        <v>64</v>
      </c>
      <c r="O97">
        <f>IF(NOT(ISNA($N97)),INDEX(Entrada!$C$53:$N$372,$N97,O$2),0)</f>
        <v>806</v>
      </c>
      <c r="P97">
        <f>IF(NOT(ISNA($N97)),INDEX(Entrada!$C$53:$N$372,$N97,P$2),0)</f>
        <v>1008</v>
      </c>
      <c r="Q97">
        <f>IF(NOT(ISNA($N97)),INDEX(Entrada!$C$53:$N$372,$N97,Q$2),0)</f>
        <v>805</v>
      </c>
      <c r="R97">
        <f>IF(NOT(ISNA($N97)),INDEX(Entrada!$C$53:$N$372,$N97,R$2),0)</f>
        <v>860</v>
      </c>
      <c r="S97">
        <f>IF(NOT(ISNA($N97)),INDEX(Entrada!$C$53:$N$372,$N97,S$2),0)</f>
        <v>1199</v>
      </c>
      <c r="T97">
        <f>IF(NOT(ISNA($N97)),INDEX(Entrada!$C$53:$N$372,$N97,T$2),0)</f>
        <v>1362</v>
      </c>
      <c r="U97">
        <f>IF(NOT(ISNA($N97)),INDEX(Entrada!$C$53:$N$372,$N97,U$2),0)</f>
        <v>1595</v>
      </c>
      <c r="V97" s="225">
        <f>IF(NOT(ISNA($N97)),INDEX(Entrada!$C$53:$N$372,$N97,V$2),0)</f>
        <v>1676</v>
      </c>
      <c r="W97" s="225">
        <f>IF(NOT(ISNA($N97)),INDEX(Entrada!$C$53:$N$372,$N97,W$2),0)</f>
        <v>1904</v>
      </c>
      <c r="X97" s="225">
        <f>IF(NOT(ISNA($N97)),INDEX(Entrada!$C$53:$N$372,$N97,X$2),0)</f>
        <v>1886</v>
      </c>
      <c r="Y97" s="225">
        <f>IF(NOT(ISNA($N97)),INDEX(Entrada!$C$53:$N$372,$N97,Y$2),0)</f>
        <v>1231</v>
      </c>
      <c r="Z97" s="225">
        <f>IF(NOT(ISNA($N97)),INDEX(Entrada!$C$53:$N$372,$N97,Z$2),0)</f>
        <v>897</v>
      </c>
      <c r="AA97" s="113">
        <f t="shared" si="24"/>
        <v>729</v>
      </c>
      <c r="AB97">
        <f t="shared" si="25"/>
        <v>912</v>
      </c>
      <c r="AC97">
        <f t="shared" si="26"/>
        <v>719</v>
      </c>
      <c r="AD97">
        <f t="shared" si="27"/>
        <v>764</v>
      </c>
      <c r="AE97">
        <f t="shared" si="28"/>
        <v>1068</v>
      </c>
      <c r="AF97">
        <f t="shared" si="29"/>
        <v>1205</v>
      </c>
      <c r="AG97">
        <f t="shared" si="30"/>
        <v>1425</v>
      </c>
      <c r="AH97">
        <f t="shared" si="31"/>
        <v>1489</v>
      </c>
      <c r="AI97">
        <f t="shared" si="32"/>
        <v>1710</v>
      </c>
      <c r="AJ97">
        <f t="shared" si="33"/>
        <v>1699</v>
      </c>
      <c r="AK97">
        <f t="shared" si="34"/>
        <v>1088</v>
      </c>
      <c r="AL97">
        <f t="shared" si="35"/>
        <v>795</v>
      </c>
      <c r="AM97" s="113">
        <f t="shared" si="36"/>
        <v>77</v>
      </c>
      <c r="AN97">
        <f t="shared" si="37"/>
        <v>96</v>
      </c>
      <c r="AO97">
        <f t="shared" si="38"/>
        <v>86</v>
      </c>
      <c r="AP97">
        <f t="shared" si="39"/>
        <v>96</v>
      </c>
      <c r="AQ97">
        <f t="shared" si="40"/>
        <v>131</v>
      </c>
      <c r="AR97">
        <f t="shared" si="41"/>
        <v>157</v>
      </c>
      <c r="AS97">
        <f t="shared" si="42"/>
        <v>170</v>
      </c>
      <c r="AT97">
        <f t="shared" si="43"/>
        <v>187</v>
      </c>
      <c r="AU97">
        <f t="shared" si="44"/>
        <v>194</v>
      </c>
      <c r="AV97">
        <f t="shared" si="45"/>
        <v>187</v>
      </c>
      <c r="AW97">
        <f t="shared" si="46"/>
        <v>143</v>
      </c>
      <c r="AX97">
        <f t="shared" si="47"/>
        <v>102</v>
      </c>
    </row>
    <row r="98" spans="1:51" x14ac:dyDescent="0.25">
      <c r="A98" s="113">
        <v>95</v>
      </c>
      <c r="B98" s="209"/>
      <c r="C98" s="113">
        <v>0</v>
      </c>
      <c r="D98" s="113">
        <v>0</v>
      </c>
      <c r="E98" s="113" t="s">
        <v>688</v>
      </c>
      <c r="F98" s="113" t="s">
        <v>688</v>
      </c>
      <c r="G98" s="113"/>
      <c r="H98" s="113"/>
      <c r="I98" s="113"/>
      <c r="J98" s="113"/>
      <c r="K98" s="113"/>
      <c r="N98" s="113" t="e">
        <f>MATCH(A98,Entrada!$A$53:$A$372,0)</f>
        <v>#N/A</v>
      </c>
      <c r="O98">
        <f>IF(NOT(ISNA($N98)),INDEX(Entrada!$C$53:$N$372,$N98,O$2),0)</f>
        <v>0</v>
      </c>
      <c r="P98">
        <f>IF(NOT(ISNA($N98)),INDEX(Entrada!$C$53:$N$372,$N98,P$2),0)</f>
        <v>0</v>
      </c>
      <c r="Q98">
        <f>IF(NOT(ISNA($N98)),INDEX(Entrada!$C$53:$N$372,$N98,Q$2),0)</f>
        <v>0</v>
      </c>
      <c r="R98">
        <f>IF(NOT(ISNA($N98)),INDEX(Entrada!$C$53:$N$372,$N98,R$2),0)</f>
        <v>0</v>
      </c>
      <c r="S98">
        <f>IF(NOT(ISNA($N98)),INDEX(Entrada!$C$53:$N$372,$N98,S$2),0)</f>
        <v>0</v>
      </c>
      <c r="T98">
        <f>IF(NOT(ISNA($N98)),INDEX(Entrada!$C$53:$N$372,$N98,T$2),0)</f>
        <v>0</v>
      </c>
      <c r="U98">
        <f>IF(NOT(ISNA($N98)),INDEX(Entrada!$C$53:$N$372,$N98,U$2),0)</f>
        <v>0</v>
      </c>
      <c r="V98" s="225">
        <f>IF(NOT(ISNA($N98)),INDEX(Entrada!$C$53:$N$372,$N98,V$2),0)</f>
        <v>0</v>
      </c>
      <c r="W98" s="225">
        <f>IF(NOT(ISNA($N98)),INDEX(Entrada!$C$53:$N$372,$N98,W$2),0)</f>
        <v>0</v>
      </c>
      <c r="X98" s="225">
        <f>IF(NOT(ISNA($N98)),INDEX(Entrada!$C$53:$N$372,$N98,X$2),0)</f>
        <v>0</v>
      </c>
      <c r="Y98" s="225">
        <f>IF(NOT(ISNA($N98)),INDEX(Entrada!$C$53:$N$372,$N98,Y$2),0)</f>
        <v>0</v>
      </c>
      <c r="Z98" s="225">
        <f>IF(NOT(ISNA($N98)),INDEX(Entrada!$C$53:$N$372,$N98,Z$2),0)</f>
        <v>0</v>
      </c>
      <c r="AA98" s="113">
        <f t="shared" si="24"/>
        <v>0</v>
      </c>
      <c r="AB98">
        <f t="shared" si="25"/>
        <v>0</v>
      </c>
      <c r="AC98">
        <f t="shared" si="26"/>
        <v>0</v>
      </c>
      <c r="AD98">
        <f t="shared" si="27"/>
        <v>0</v>
      </c>
      <c r="AE98">
        <f t="shared" si="28"/>
        <v>0</v>
      </c>
      <c r="AF98">
        <f t="shared" si="29"/>
        <v>0</v>
      </c>
      <c r="AG98">
        <f t="shared" si="30"/>
        <v>0</v>
      </c>
      <c r="AH98">
        <f t="shared" si="31"/>
        <v>0</v>
      </c>
      <c r="AI98">
        <f t="shared" si="32"/>
        <v>0</v>
      </c>
      <c r="AJ98">
        <f t="shared" si="33"/>
        <v>0</v>
      </c>
      <c r="AK98">
        <f t="shared" si="34"/>
        <v>0</v>
      </c>
      <c r="AL98">
        <f t="shared" si="35"/>
        <v>0</v>
      </c>
      <c r="AM98" s="113">
        <f t="shared" si="36"/>
        <v>0</v>
      </c>
      <c r="AN98">
        <f t="shared" si="37"/>
        <v>0</v>
      </c>
      <c r="AO98">
        <f t="shared" si="38"/>
        <v>0</v>
      </c>
      <c r="AP98">
        <f t="shared" si="39"/>
        <v>0</v>
      </c>
      <c r="AQ98">
        <f t="shared" si="40"/>
        <v>0</v>
      </c>
      <c r="AR98">
        <f t="shared" si="41"/>
        <v>0</v>
      </c>
      <c r="AS98">
        <f t="shared" si="42"/>
        <v>0</v>
      </c>
      <c r="AT98">
        <f t="shared" si="43"/>
        <v>0</v>
      </c>
      <c r="AU98">
        <f t="shared" si="44"/>
        <v>0</v>
      </c>
      <c r="AV98">
        <f t="shared" si="45"/>
        <v>0</v>
      </c>
      <c r="AW98">
        <f t="shared" si="46"/>
        <v>0</v>
      </c>
      <c r="AX98">
        <f t="shared" si="47"/>
        <v>0</v>
      </c>
    </row>
    <row r="99" spans="1:51" x14ac:dyDescent="0.25">
      <c r="A99" s="113">
        <v>96</v>
      </c>
      <c r="B99" s="209"/>
      <c r="C99" s="113">
        <v>0</v>
      </c>
      <c r="D99" s="113">
        <v>0</v>
      </c>
      <c r="E99" s="113" t="s">
        <v>688</v>
      </c>
      <c r="F99" s="113" t="s">
        <v>688</v>
      </c>
      <c r="G99" s="113"/>
      <c r="H99" s="113"/>
      <c r="I99" s="113"/>
      <c r="J99" s="113"/>
      <c r="K99" s="113"/>
      <c r="N99" s="113" t="e">
        <f>MATCH(A99,Entrada!$A$53:$A$372,0)</f>
        <v>#N/A</v>
      </c>
      <c r="O99">
        <f>IF(NOT(ISNA($N99)),INDEX(Entrada!$C$53:$N$372,$N99,O$2),0)</f>
        <v>0</v>
      </c>
      <c r="P99">
        <f>IF(NOT(ISNA($N99)),INDEX(Entrada!$C$53:$N$372,$N99,P$2),0)</f>
        <v>0</v>
      </c>
      <c r="Q99">
        <f>IF(NOT(ISNA($N99)),INDEX(Entrada!$C$53:$N$372,$N99,Q$2),0)</f>
        <v>0</v>
      </c>
      <c r="R99">
        <f>IF(NOT(ISNA($N99)),INDEX(Entrada!$C$53:$N$372,$N99,R$2),0)</f>
        <v>0</v>
      </c>
      <c r="S99">
        <f>IF(NOT(ISNA($N99)),INDEX(Entrada!$C$53:$N$372,$N99,S$2),0)</f>
        <v>0</v>
      </c>
      <c r="T99">
        <f>IF(NOT(ISNA($N99)),INDEX(Entrada!$C$53:$N$372,$N99,T$2),0)</f>
        <v>0</v>
      </c>
      <c r="U99">
        <f>IF(NOT(ISNA($N99)),INDEX(Entrada!$C$53:$N$372,$N99,U$2),0)</f>
        <v>0</v>
      </c>
      <c r="V99" s="225">
        <f>IF(NOT(ISNA($N99)),INDEX(Entrada!$C$53:$N$372,$N99,V$2),0)</f>
        <v>0</v>
      </c>
      <c r="W99" s="225">
        <f>IF(NOT(ISNA($N99)),INDEX(Entrada!$C$53:$N$372,$N99,W$2),0)</f>
        <v>0</v>
      </c>
      <c r="X99" s="225">
        <f>IF(NOT(ISNA($N99)),INDEX(Entrada!$C$53:$N$372,$N99,X$2),0)</f>
        <v>0</v>
      </c>
      <c r="Y99" s="225">
        <f>IF(NOT(ISNA($N99)),INDEX(Entrada!$C$53:$N$372,$N99,Y$2),0)</f>
        <v>0</v>
      </c>
      <c r="Z99" s="225">
        <f>IF(NOT(ISNA($N99)),INDEX(Entrada!$C$53:$N$372,$N99,Z$2),0)</f>
        <v>0</v>
      </c>
      <c r="AA99" s="113">
        <f t="shared" si="24"/>
        <v>0</v>
      </c>
      <c r="AB99">
        <f t="shared" si="25"/>
        <v>0</v>
      </c>
      <c r="AC99">
        <f t="shared" si="26"/>
        <v>0</v>
      </c>
      <c r="AD99">
        <f t="shared" si="27"/>
        <v>0</v>
      </c>
      <c r="AE99">
        <f t="shared" si="28"/>
        <v>0</v>
      </c>
      <c r="AF99">
        <f t="shared" si="29"/>
        <v>0</v>
      </c>
      <c r="AG99">
        <f t="shared" si="30"/>
        <v>0</v>
      </c>
      <c r="AH99">
        <f t="shared" si="31"/>
        <v>0</v>
      </c>
      <c r="AI99">
        <f t="shared" si="32"/>
        <v>0</v>
      </c>
      <c r="AJ99">
        <f t="shared" si="33"/>
        <v>0</v>
      </c>
      <c r="AK99">
        <f t="shared" si="34"/>
        <v>0</v>
      </c>
      <c r="AL99">
        <f t="shared" si="35"/>
        <v>0</v>
      </c>
      <c r="AM99" s="113">
        <f t="shared" si="36"/>
        <v>0</v>
      </c>
      <c r="AN99">
        <f t="shared" si="37"/>
        <v>0</v>
      </c>
      <c r="AO99">
        <f t="shared" si="38"/>
        <v>0</v>
      </c>
      <c r="AP99">
        <f t="shared" si="39"/>
        <v>0</v>
      </c>
      <c r="AQ99">
        <f t="shared" si="40"/>
        <v>0</v>
      </c>
      <c r="AR99">
        <f t="shared" si="41"/>
        <v>0</v>
      </c>
      <c r="AS99">
        <f t="shared" si="42"/>
        <v>0</v>
      </c>
      <c r="AT99">
        <f t="shared" si="43"/>
        <v>0</v>
      </c>
      <c r="AU99">
        <f t="shared" si="44"/>
        <v>0</v>
      </c>
      <c r="AV99">
        <f t="shared" si="45"/>
        <v>0</v>
      </c>
      <c r="AW99">
        <f t="shared" si="46"/>
        <v>0</v>
      </c>
      <c r="AX99">
        <f t="shared" si="47"/>
        <v>0</v>
      </c>
    </row>
    <row r="100" spans="1:51" x14ac:dyDescent="0.25">
      <c r="A100" s="113">
        <v>97</v>
      </c>
      <c r="B100" s="209" t="s">
        <v>586</v>
      </c>
      <c r="C100" s="113">
        <v>1931</v>
      </c>
      <c r="D100" s="113">
        <v>2013</v>
      </c>
      <c r="E100" s="210" t="s">
        <v>16</v>
      </c>
      <c r="F100" s="210" t="s">
        <v>327</v>
      </c>
      <c r="G100" s="113">
        <v>98</v>
      </c>
      <c r="H100" s="113"/>
      <c r="I100" s="113"/>
      <c r="J100" s="113"/>
      <c r="K100" s="113"/>
      <c r="N100" s="113">
        <f>MATCH(A100,Entrada!$A$53:$A$372,0)</f>
        <v>65</v>
      </c>
      <c r="O100">
        <f>IF(NOT(ISNA($N100)),INDEX(Entrada!$C$53:$N$372,$N100,O$2),0)</f>
        <v>160</v>
      </c>
      <c r="P100">
        <f>IF(NOT(ISNA($N100)),INDEX(Entrada!$C$53:$N$372,$N100,P$2),0)</f>
        <v>205</v>
      </c>
      <c r="Q100">
        <f>IF(NOT(ISNA($N100)),INDEX(Entrada!$C$53:$N$372,$N100,Q$2),0)</f>
        <v>155</v>
      </c>
      <c r="R100">
        <f>IF(NOT(ISNA($N100)),INDEX(Entrada!$C$53:$N$372,$N100,R$2),0)</f>
        <v>174</v>
      </c>
      <c r="S100">
        <f>IF(NOT(ISNA($N100)),INDEX(Entrada!$C$53:$N$372,$N100,S$2),0)</f>
        <v>241</v>
      </c>
      <c r="T100">
        <f>IF(NOT(ISNA($N100)),INDEX(Entrada!$C$53:$N$372,$N100,T$2),0)</f>
        <v>314</v>
      </c>
      <c r="U100">
        <f>IF(NOT(ISNA($N100)),INDEX(Entrada!$C$53:$N$372,$N100,U$2),0)</f>
        <v>406</v>
      </c>
      <c r="V100" s="225">
        <f>IF(NOT(ISNA($N100)),INDEX(Entrada!$C$53:$N$372,$N100,V$2),0)</f>
        <v>424</v>
      </c>
      <c r="W100" s="225">
        <f>IF(NOT(ISNA($N100)),INDEX(Entrada!$C$53:$N$372,$N100,W$2),0)</f>
        <v>471</v>
      </c>
      <c r="X100" s="225">
        <f>IF(NOT(ISNA($N100)),INDEX(Entrada!$C$53:$N$372,$N100,X$2),0)</f>
        <v>387</v>
      </c>
      <c r="Y100" s="225">
        <f>IF(NOT(ISNA($N100)),INDEX(Entrada!$C$53:$N$372,$N100,Y$2),0)</f>
        <v>227</v>
      </c>
      <c r="Z100" s="225">
        <f>IF(NOT(ISNA($N100)),INDEX(Entrada!$C$53:$N$372,$N100,Z$2),0)</f>
        <v>181</v>
      </c>
      <c r="AA100" s="113">
        <f t="shared" si="24"/>
        <v>93</v>
      </c>
      <c r="AB100">
        <f t="shared" si="25"/>
        <v>121</v>
      </c>
      <c r="AC100">
        <f t="shared" si="26"/>
        <v>92</v>
      </c>
      <c r="AD100">
        <f t="shared" si="27"/>
        <v>99</v>
      </c>
      <c r="AE100">
        <f t="shared" si="28"/>
        <v>128</v>
      </c>
      <c r="AF100">
        <f t="shared" si="29"/>
        <v>170</v>
      </c>
      <c r="AG100">
        <f t="shared" si="30"/>
        <v>219</v>
      </c>
      <c r="AH100">
        <f t="shared" si="31"/>
        <v>233</v>
      </c>
      <c r="AI100">
        <f t="shared" si="32"/>
        <v>252</v>
      </c>
      <c r="AJ100">
        <f t="shared" si="33"/>
        <v>202</v>
      </c>
      <c r="AK100">
        <f t="shared" si="34"/>
        <v>123</v>
      </c>
      <c r="AL100">
        <f t="shared" si="35"/>
        <v>98</v>
      </c>
      <c r="AM100" s="113">
        <f t="shared" si="36"/>
        <v>67</v>
      </c>
      <c r="AN100">
        <f t="shared" si="37"/>
        <v>84</v>
      </c>
      <c r="AO100">
        <f t="shared" si="38"/>
        <v>63</v>
      </c>
      <c r="AP100">
        <f t="shared" si="39"/>
        <v>75</v>
      </c>
      <c r="AQ100">
        <f t="shared" si="40"/>
        <v>113</v>
      </c>
      <c r="AR100">
        <f t="shared" si="41"/>
        <v>144</v>
      </c>
      <c r="AS100">
        <f t="shared" si="42"/>
        <v>187</v>
      </c>
      <c r="AT100">
        <f t="shared" si="43"/>
        <v>191</v>
      </c>
      <c r="AU100">
        <f t="shared" si="44"/>
        <v>219</v>
      </c>
      <c r="AV100">
        <f t="shared" si="45"/>
        <v>185</v>
      </c>
      <c r="AW100">
        <f t="shared" si="46"/>
        <v>104</v>
      </c>
      <c r="AX100">
        <f t="shared" si="47"/>
        <v>83</v>
      </c>
    </row>
    <row r="101" spans="1:51" x14ac:dyDescent="0.25">
      <c r="A101" s="113">
        <v>98</v>
      </c>
      <c r="B101" s="209" t="s">
        <v>183</v>
      </c>
      <c r="C101" s="113">
        <v>1931</v>
      </c>
      <c r="D101" s="113">
        <v>2013</v>
      </c>
      <c r="E101" s="210" t="s">
        <v>16</v>
      </c>
      <c r="F101" s="210" t="s">
        <v>327</v>
      </c>
      <c r="G101" s="113"/>
      <c r="H101" s="113"/>
      <c r="I101" s="113"/>
      <c r="J101" s="113"/>
      <c r="K101" s="113"/>
      <c r="N101" s="113">
        <f>MATCH(A101,Entrada!$A$53:$A$372,0)</f>
        <v>66</v>
      </c>
      <c r="O101">
        <f>IF(NOT(ISNA($N101)),INDEX(Entrada!$C$53:$N$372,$N101,O$2),0)</f>
        <v>93</v>
      </c>
      <c r="P101">
        <f>IF(NOT(ISNA($N101)),INDEX(Entrada!$C$53:$N$372,$N101,P$2),0)</f>
        <v>121</v>
      </c>
      <c r="Q101">
        <f>IF(NOT(ISNA($N101)),INDEX(Entrada!$C$53:$N$372,$N101,Q$2),0)</f>
        <v>92</v>
      </c>
      <c r="R101">
        <f>IF(NOT(ISNA($N101)),INDEX(Entrada!$C$53:$N$372,$N101,R$2),0)</f>
        <v>99</v>
      </c>
      <c r="S101">
        <f>IF(NOT(ISNA($N101)),INDEX(Entrada!$C$53:$N$372,$N101,S$2),0)</f>
        <v>128</v>
      </c>
      <c r="T101">
        <f>IF(NOT(ISNA($N101)),INDEX(Entrada!$C$53:$N$372,$N101,T$2),0)</f>
        <v>170</v>
      </c>
      <c r="U101">
        <f>IF(NOT(ISNA($N101)),INDEX(Entrada!$C$53:$N$372,$N101,U$2),0)</f>
        <v>219</v>
      </c>
      <c r="V101" s="225">
        <f>IF(NOT(ISNA($N101)),INDEX(Entrada!$C$53:$N$372,$N101,V$2),0)</f>
        <v>233</v>
      </c>
      <c r="W101" s="225">
        <f>IF(NOT(ISNA($N101)),INDEX(Entrada!$C$53:$N$372,$N101,W$2),0)</f>
        <v>252</v>
      </c>
      <c r="X101" s="225">
        <f>IF(NOT(ISNA($N101)),INDEX(Entrada!$C$53:$N$372,$N101,X$2),0)</f>
        <v>202</v>
      </c>
      <c r="Y101" s="225">
        <f>IF(NOT(ISNA($N101)),INDEX(Entrada!$C$53:$N$372,$N101,Y$2),0)</f>
        <v>123</v>
      </c>
      <c r="Z101" s="225">
        <f>IF(NOT(ISNA($N101)),INDEX(Entrada!$C$53:$N$372,$N101,Z$2),0)</f>
        <v>98</v>
      </c>
      <c r="AA101" s="113">
        <f t="shared" si="24"/>
        <v>0</v>
      </c>
      <c r="AB101">
        <f t="shared" si="25"/>
        <v>0</v>
      </c>
      <c r="AC101">
        <f t="shared" si="26"/>
        <v>0</v>
      </c>
      <c r="AD101">
        <f t="shared" si="27"/>
        <v>0</v>
      </c>
      <c r="AE101">
        <f t="shared" si="28"/>
        <v>0</v>
      </c>
      <c r="AF101">
        <f t="shared" si="29"/>
        <v>0</v>
      </c>
      <c r="AG101">
        <f t="shared" si="30"/>
        <v>0</v>
      </c>
      <c r="AH101">
        <f t="shared" si="31"/>
        <v>0</v>
      </c>
      <c r="AI101">
        <f t="shared" si="32"/>
        <v>0</v>
      </c>
      <c r="AJ101">
        <f t="shared" si="33"/>
        <v>0</v>
      </c>
      <c r="AK101">
        <f t="shared" si="34"/>
        <v>0</v>
      </c>
      <c r="AL101">
        <f t="shared" si="35"/>
        <v>0</v>
      </c>
      <c r="AM101" s="113">
        <f t="shared" si="36"/>
        <v>93</v>
      </c>
      <c r="AN101">
        <f t="shared" si="37"/>
        <v>121</v>
      </c>
      <c r="AO101">
        <f t="shared" si="38"/>
        <v>92</v>
      </c>
      <c r="AP101">
        <f t="shared" si="39"/>
        <v>99</v>
      </c>
      <c r="AQ101">
        <f t="shared" si="40"/>
        <v>128</v>
      </c>
      <c r="AR101">
        <f t="shared" si="41"/>
        <v>170</v>
      </c>
      <c r="AS101">
        <f t="shared" si="42"/>
        <v>219</v>
      </c>
      <c r="AT101">
        <f t="shared" si="43"/>
        <v>233</v>
      </c>
      <c r="AU101">
        <f t="shared" si="44"/>
        <v>252</v>
      </c>
      <c r="AV101">
        <f t="shared" si="45"/>
        <v>202</v>
      </c>
      <c r="AW101">
        <f t="shared" si="46"/>
        <v>123</v>
      </c>
      <c r="AX101">
        <f t="shared" si="47"/>
        <v>98</v>
      </c>
    </row>
    <row r="102" spans="1:51" x14ac:dyDescent="0.25">
      <c r="A102" s="113">
        <v>99</v>
      </c>
      <c r="B102" s="209" t="s">
        <v>587</v>
      </c>
      <c r="C102" s="113">
        <v>1931</v>
      </c>
      <c r="D102" s="113">
        <v>2013</v>
      </c>
      <c r="E102" s="210" t="s">
        <v>3</v>
      </c>
      <c r="F102" s="210" t="s">
        <v>328</v>
      </c>
      <c r="G102" s="113"/>
      <c r="H102" s="113"/>
      <c r="I102" s="113"/>
      <c r="J102" s="113"/>
      <c r="K102" s="113"/>
      <c r="N102" s="113">
        <f>MATCH(A102,Entrada!$A$53:$A$372,0)</f>
        <v>67</v>
      </c>
      <c r="O102">
        <f>IF(NOT(ISNA($N102)),INDEX(Entrada!$C$53:$N$372,$N102,O$2),0)</f>
        <v>80</v>
      </c>
      <c r="P102">
        <f>IF(NOT(ISNA($N102)),INDEX(Entrada!$C$53:$N$372,$N102,P$2),0)</f>
        <v>85</v>
      </c>
      <c r="Q102">
        <f>IF(NOT(ISNA($N102)),INDEX(Entrada!$C$53:$N$372,$N102,Q$2),0)</f>
        <v>85</v>
      </c>
      <c r="R102">
        <f>IF(NOT(ISNA($N102)),INDEX(Entrada!$C$53:$N$372,$N102,R$2),0)</f>
        <v>73</v>
      </c>
      <c r="S102">
        <f>IF(NOT(ISNA($N102)),INDEX(Entrada!$C$53:$N$372,$N102,S$2),0)</f>
        <v>60</v>
      </c>
      <c r="T102">
        <f>IF(NOT(ISNA($N102)),INDEX(Entrada!$C$53:$N$372,$N102,T$2),0)</f>
        <v>54</v>
      </c>
      <c r="U102">
        <f>IF(NOT(ISNA($N102)),INDEX(Entrada!$C$53:$N$372,$N102,U$2),0)</f>
        <v>49</v>
      </c>
      <c r="V102" s="225">
        <f>IF(NOT(ISNA($N102)),INDEX(Entrada!$C$53:$N$372,$N102,V$2),0)</f>
        <v>46</v>
      </c>
      <c r="W102" s="225">
        <f>IF(NOT(ISNA($N102)),INDEX(Entrada!$C$53:$N$372,$N102,W$2),0)</f>
        <v>47</v>
      </c>
      <c r="X102" s="225">
        <f>IF(NOT(ISNA($N102)),INDEX(Entrada!$C$53:$N$372,$N102,X$2),0)</f>
        <v>51</v>
      </c>
      <c r="Y102" s="225">
        <f>IF(NOT(ISNA($N102)),INDEX(Entrada!$C$53:$N$372,$N102,Y$2),0)</f>
        <v>58</v>
      </c>
      <c r="Z102" s="225">
        <f>IF(NOT(ISNA($N102)),INDEX(Entrada!$C$53:$N$372,$N102,Z$2),0)</f>
        <v>69</v>
      </c>
      <c r="AA102" s="113">
        <f t="shared" si="24"/>
        <v>0</v>
      </c>
      <c r="AB102">
        <f t="shared" si="25"/>
        <v>0</v>
      </c>
      <c r="AC102">
        <f t="shared" si="26"/>
        <v>0</v>
      </c>
      <c r="AD102">
        <f t="shared" si="27"/>
        <v>0</v>
      </c>
      <c r="AE102">
        <f t="shared" si="28"/>
        <v>0</v>
      </c>
      <c r="AF102">
        <f t="shared" si="29"/>
        <v>0</v>
      </c>
      <c r="AG102">
        <f t="shared" si="30"/>
        <v>0</v>
      </c>
      <c r="AH102">
        <f t="shared" si="31"/>
        <v>0</v>
      </c>
      <c r="AI102">
        <f t="shared" si="32"/>
        <v>0</v>
      </c>
      <c r="AJ102">
        <f t="shared" si="33"/>
        <v>0</v>
      </c>
      <c r="AK102">
        <f t="shared" si="34"/>
        <v>0</v>
      </c>
      <c r="AL102">
        <f t="shared" si="35"/>
        <v>0</v>
      </c>
      <c r="AM102" s="113">
        <f t="shared" si="36"/>
        <v>80</v>
      </c>
      <c r="AN102">
        <f t="shared" si="37"/>
        <v>85</v>
      </c>
      <c r="AO102">
        <f t="shared" si="38"/>
        <v>85</v>
      </c>
      <c r="AP102">
        <f t="shared" si="39"/>
        <v>73</v>
      </c>
      <c r="AQ102">
        <f t="shared" si="40"/>
        <v>60</v>
      </c>
      <c r="AR102">
        <f t="shared" si="41"/>
        <v>54</v>
      </c>
      <c r="AS102">
        <f t="shared" si="42"/>
        <v>49</v>
      </c>
      <c r="AT102">
        <f t="shared" si="43"/>
        <v>46</v>
      </c>
      <c r="AU102">
        <f t="shared" si="44"/>
        <v>47</v>
      </c>
      <c r="AV102">
        <f t="shared" si="45"/>
        <v>51</v>
      </c>
      <c r="AW102">
        <f t="shared" si="46"/>
        <v>58</v>
      </c>
      <c r="AX102">
        <f t="shared" si="47"/>
        <v>69</v>
      </c>
    </row>
    <row r="103" spans="1:51" x14ac:dyDescent="0.25">
      <c r="A103" s="113">
        <v>100</v>
      </c>
      <c r="B103" s="209" t="s">
        <v>588</v>
      </c>
      <c r="C103" s="113">
        <v>1931</v>
      </c>
      <c r="D103" s="113">
        <v>2013</v>
      </c>
      <c r="E103" s="210" t="s">
        <v>688</v>
      </c>
      <c r="F103" s="210" t="s">
        <v>688</v>
      </c>
      <c r="G103" s="113"/>
      <c r="H103" s="113"/>
      <c r="I103" s="113"/>
      <c r="J103" s="113"/>
      <c r="K103" s="113"/>
      <c r="N103" s="113">
        <f>MATCH(A103,Entrada!$A$53:$A$372,0)</f>
        <v>68</v>
      </c>
      <c r="O103">
        <f>IF(NOT(ISNA($N103)),INDEX(Entrada!$C$53:$N$372,$N103,O$2),0)</f>
        <v>5</v>
      </c>
      <c r="P103">
        <f>IF(NOT(ISNA($N103)),INDEX(Entrada!$C$53:$N$372,$N103,P$2),0)</f>
        <v>6</v>
      </c>
      <c r="Q103">
        <f>IF(NOT(ISNA($N103)),INDEX(Entrada!$C$53:$N$372,$N103,Q$2),0)</f>
        <v>6</v>
      </c>
      <c r="R103">
        <f>IF(NOT(ISNA($N103)),INDEX(Entrada!$C$53:$N$372,$N103,R$2),0)</f>
        <v>5</v>
      </c>
      <c r="S103">
        <f>IF(NOT(ISNA($N103)),INDEX(Entrada!$C$53:$N$372,$N103,S$2),0)</f>
        <v>4</v>
      </c>
      <c r="T103">
        <f>IF(NOT(ISNA($N103)),INDEX(Entrada!$C$53:$N$372,$N103,T$2),0)</f>
        <v>4</v>
      </c>
      <c r="U103">
        <f>IF(NOT(ISNA($N103)),INDEX(Entrada!$C$53:$N$372,$N103,U$2),0)</f>
        <v>4</v>
      </c>
      <c r="V103" s="225">
        <f>IF(NOT(ISNA($N103)),INDEX(Entrada!$C$53:$N$372,$N103,V$2),0)</f>
        <v>3</v>
      </c>
      <c r="W103" s="225">
        <f>IF(NOT(ISNA($N103)),INDEX(Entrada!$C$53:$N$372,$N103,W$2),0)</f>
        <v>4</v>
      </c>
      <c r="X103" s="225">
        <f>IF(NOT(ISNA($N103)),INDEX(Entrada!$C$53:$N$372,$N103,X$2),0)</f>
        <v>5</v>
      </c>
      <c r="Y103" s="225">
        <f>IF(NOT(ISNA($N103)),INDEX(Entrada!$C$53:$N$372,$N103,Y$2),0)</f>
        <v>5</v>
      </c>
      <c r="Z103" s="225">
        <f>IF(NOT(ISNA($N103)),INDEX(Entrada!$C$53:$N$372,$N103,Z$2),0)</f>
        <v>5</v>
      </c>
      <c r="AA103" s="113">
        <f t="shared" si="24"/>
        <v>0</v>
      </c>
      <c r="AB103">
        <f t="shared" si="25"/>
        <v>0</v>
      </c>
      <c r="AC103">
        <f t="shared" si="26"/>
        <v>0</v>
      </c>
      <c r="AD103">
        <f t="shared" si="27"/>
        <v>0</v>
      </c>
      <c r="AE103">
        <f t="shared" si="28"/>
        <v>0</v>
      </c>
      <c r="AF103">
        <f t="shared" si="29"/>
        <v>0</v>
      </c>
      <c r="AG103">
        <f t="shared" si="30"/>
        <v>0</v>
      </c>
      <c r="AH103">
        <f t="shared" si="31"/>
        <v>0</v>
      </c>
      <c r="AI103">
        <f t="shared" si="32"/>
        <v>0</v>
      </c>
      <c r="AJ103">
        <f t="shared" si="33"/>
        <v>0</v>
      </c>
      <c r="AK103">
        <f t="shared" si="34"/>
        <v>0</v>
      </c>
      <c r="AL103">
        <f t="shared" si="35"/>
        <v>0</v>
      </c>
      <c r="AM103" s="113">
        <f t="shared" si="36"/>
        <v>5</v>
      </c>
      <c r="AN103">
        <f t="shared" si="37"/>
        <v>6</v>
      </c>
      <c r="AO103">
        <f t="shared" si="38"/>
        <v>6</v>
      </c>
      <c r="AP103">
        <f t="shared" si="39"/>
        <v>5</v>
      </c>
      <c r="AQ103">
        <f t="shared" si="40"/>
        <v>4</v>
      </c>
      <c r="AR103">
        <f t="shared" si="41"/>
        <v>4</v>
      </c>
      <c r="AS103">
        <f t="shared" si="42"/>
        <v>4</v>
      </c>
      <c r="AT103">
        <f t="shared" si="43"/>
        <v>3</v>
      </c>
      <c r="AU103">
        <f t="shared" si="44"/>
        <v>4</v>
      </c>
      <c r="AV103">
        <f t="shared" si="45"/>
        <v>5</v>
      </c>
      <c r="AW103">
        <f t="shared" si="46"/>
        <v>5</v>
      </c>
      <c r="AX103">
        <f t="shared" si="47"/>
        <v>5</v>
      </c>
    </row>
    <row r="104" spans="1:51" x14ac:dyDescent="0.25">
      <c r="A104" s="113">
        <v>101</v>
      </c>
      <c r="B104" s="209" t="s">
        <v>238</v>
      </c>
      <c r="C104" s="113">
        <v>1931</v>
      </c>
      <c r="D104" s="113">
        <v>2013</v>
      </c>
      <c r="E104" s="210" t="s">
        <v>19</v>
      </c>
      <c r="F104" s="210" t="s">
        <v>19</v>
      </c>
      <c r="G104" s="113"/>
      <c r="H104" s="113"/>
      <c r="I104" s="113"/>
      <c r="J104" s="113"/>
      <c r="K104" s="113"/>
      <c r="N104" s="113">
        <f>MATCH(A104,Entrada!$A$53:$A$372,0)</f>
        <v>69</v>
      </c>
      <c r="O104">
        <f>IF(NOT(ISNA($N104)),INDEX(Entrada!$C$53:$N$372,$N104,O$2),0)</f>
        <v>113</v>
      </c>
      <c r="P104">
        <f>IF(NOT(ISNA($N104)),INDEX(Entrada!$C$53:$N$372,$N104,P$2),0)</f>
        <v>135</v>
      </c>
      <c r="Q104">
        <f>IF(NOT(ISNA($N104)),INDEX(Entrada!$C$53:$N$372,$N104,Q$2),0)</f>
        <v>105</v>
      </c>
      <c r="R104">
        <f>IF(NOT(ISNA($N104)),INDEX(Entrada!$C$53:$N$372,$N104,R$2),0)</f>
        <v>76</v>
      </c>
      <c r="S104">
        <f>IF(NOT(ISNA($N104)),INDEX(Entrada!$C$53:$N$372,$N104,S$2),0)</f>
        <v>93</v>
      </c>
      <c r="T104">
        <f>IF(NOT(ISNA($N104)),INDEX(Entrada!$C$53:$N$372,$N104,T$2),0)</f>
        <v>91</v>
      </c>
      <c r="U104">
        <f>IF(NOT(ISNA($N104)),INDEX(Entrada!$C$53:$N$372,$N104,U$2),0)</f>
        <v>117</v>
      </c>
      <c r="V104" s="225">
        <f>IF(NOT(ISNA($N104)),INDEX(Entrada!$C$53:$N$372,$N104,V$2),0)</f>
        <v>132</v>
      </c>
      <c r="W104" s="225">
        <f>IF(NOT(ISNA($N104)),INDEX(Entrada!$C$53:$N$372,$N104,W$2),0)</f>
        <v>162</v>
      </c>
      <c r="X104" s="225">
        <f>IF(NOT(ISNA($N104)),INDEX(Entrada!$C$53:$N$372,$N104,X$2),0)</f>
        <v>169</v>
      </c>
      <c r="Y104" s="225">
        <f>IF(NOT(ISNA($N104)),INDEX(Entrada!$C$53:$N$372,$N104,Y$2),0)</f>
        <v>115</v>
      </c>
      <c r="Z104" s="225">
        <f>IF(NOT(ISNA($N104)),INDEX(Entrada!$C$53:$N$372,$N104,Z$2),0)</f>
        <v>96</v>
      </c>
      <c r="AA104" s="113">
        <f t="shared" si="24"/>
        <v>0</v>
      </c>
      <c r="AB104">
        <f t="shared" si="25"/>
        <v>0</v>
      </c>
      <c r="AC104">
        <f t="shared" si="26"/>
        <v>0</v>
      </c>
      <c r="AD104">
        <f t="shared" si="27"/>
        <v>0</v>
      </c>
      <c r="AE104">
        <f t="shared" si="28"/>
        <v>0</v>
      </c>
      <c r="AF104">
        <f t="shared" si="29"/>
        <v>0</v>
      </c>
      <c r="AG104">
        <f t="shared" si="30"/>
        <v>0</v>
      </c>
      <c r="AH104">
        <f t="shared" si="31"/>
        <v>0</v>
      </c>
      <c r="AI104">
        <f t="shared" si="32"/>
        <v>0</v>
      </c>
      <c r="AJ104">
        <f t="shared" si="33"/>
        <v>0</v>
      </c>
      <c r="AK104">
        <f t="shared" si="34"/>
        <v>0</v>
      </c>
      <c r="AL104">
        <f t="shared" si="35"/>
        <v>0</v>
      </c>
      <c r="AM104" s="113">
        <f t="shared" si="36"/>
        <v>113</v>
      </c>
      <c r="AN104">
        <f t="shared" si="37"/>
        <v>135</v>
      </c>
      <c r="AO104">
        <f t="shared" si="38"/>
        <v>105</v>
      </c>
      <c r="AP104">
        <f t="shared" si="39"/>
        <v>76</v>
      </c>
      <c r="AQ104">
        <f t="shared" si="40"/>
        <v>93</v>
      </c>
      <c r="AR104">
        <f t="shared" si="41"/>
        <v>91</v>
      </c>
      <c r="AS104">
        <f t="shared" si="42"/>
        <v>117</v>
      </c>
      <c r="AT104">
        <f t="shared" si="43"/>
        <v>132</v>
      </c>
      <c r="AU104">
        <f t="shared" si="44"/>
        <v>162</v>
      </c>
      <c r="AV104">
        <f t="shared" si="45"/>
        <v>169</v>
      </c>
      <c r="AW104">
        <f t="shared" si="46"/>
        <v>115</v>
      </c>
      <c r="AX104">
        <f t="shared" si="47"/>
        <v>96</v>
      </c>
    </row>
    <row r="105" spans="1:51" x14ac:dyDescent="0.25">
      <c r="A105" s="113">
        <v>102</v>
      </c>
      <c r="B105" s="209" t="s">
        <v>589</v>
      </c>
      <c r="C105" s="113">
        <v>1931</v>
      </c>
      <c r="D105" s="113">
        <v>2013</v>
      </c>
      <c r="E105" s="210" t="s">
        <v>17</v>
      </c>
      <c r="F105" s="210" t="s">
        <v>330</v>
      </c>
      <c r="G105" s="113"/>
      <c r="H105" s="113"/>
      <c r="I105" s="113"/>
      <c r="J105" s="113"/>
      <c r="K105" s="113"/>
      <c r="N105" s="113">
        <f>MATCH(A105,Entrada!$A$53:$A$372,0)</f>
        <v>70</v>
      </c>
      <c r="O105">
        <f>IF(NOT(ISNA($N105)),INDEX(Entrada!$C$53:$N$372,$N105,O$2),0)</f>
        <v>154</v>
      </c>
      <c r="P105">
        <f>IF(NOT(ISNA($N105)),INDEX(Entrada!$C$53:$N$372,$N105,P$2),0)</f>
        <v>142</v>
      </c>
      <c r="Q105">
        <f>IF(NOT(ISNA($N105)),INDEX(Entrada!$C$53:$N$372,$N105,Q$2),0)</f>
        <v>121</v>
      </c>
      <c r="R105">
        <f>IF(NOT(ISNA($N105)),INDEX(Entrada!$C$53:$N$372,$N105,R$2),0)</f>
        <v>185</v>
      </c>
      <c r="S105">
        <f>IF(NOT(ISNA($N105)),INDEX(Entrada!$C$53:$N$372,$N105,S$2),0)</f>
        <v>243</v>
      </c>
      <c r="T105">
        <f>IF(NOT(ISNA($N105)),INDEX(Entrada!$C$53:$N$372,$N105,T$2),0)</f>
        <v>291</v>
      </c>
      <c r="U105">
        <f>IF(NOT(ISNA($N105)),INDEX(Entrada!$C$53:$N$372,$N105,U$2),0)</f>
        <v>286</v>
      </c>
      <c r="V105" s="225">
        <f>IF(NOT(ISNA($N105)),INDEX(Entrada!$C$53:$N$372,$N105,V$2),0)</f>
        <v>281</v>
      </c>
      <c r="W105" s="225">
        <f>IF(NOT(ISNA($N105)),INDEX(Entrada!$C$53:$N$372,$N105,W$2),0)</f>
        <v>327</v>
      </c>
      <c r="X105" s="225">
        <f>IF(NOT(ISNA($N105)),INDEX(Entrada!$C$53:$N$372,$N105,X$2),0)</f>
        <v>364</v>
      </c>
      <c r="Y105" s="225">
        <f>IF(NOT(ISNA($N105)),INDEX(Entrada!$C$53:$N$372,$N105,Y$2),0)</f>
        <v>268</v>
      </c>
      <c r="Z105" s="225">
        <f>IF(NOT(ISNA($N105)),INDEX(Entrada!$C$53:$N$372,$N105,Z$2),0)</f>
        <v>205</v>
      </c>
      <c r="AA105" s="113">
        <f t="shared" si="24"/>
        <v>0</v>
      </c>
      <c r="AB105">
        <f t="shared" si="25"/>
        <v>0</v>
      </c>
      <c r="AC105">
        <f t="shared" si="26"/>
        <v>0</v>
      </c>
      <c r="AD105">
        <f t="shared" si="27"/>
        <v>0</v>
      </c>
      <c r="AE105">
        <f t="shared" si="28"/>
        <v>0</v>
      </c>
      <c r="AF105">
        <f t="shared" si="29"/>
        <v>0</v>
      </c>
      <c r="AG105">
        <f t="shared" si="30"/>
        <v>0</v>
      </c>
      <c r="AH105">
        <f t="shared" si="31"/>
        <v>0</v>
      </c>
      <c r="AI105">
        <f t="shared" si="32"/>
        <v>0</v>
      </c>
      <c r="AJ105">
        <f t="shared" si="33"/>
        <v>0</v>
      </c>
      <c r="AK105">
        <f t="shared" si="34"/>
        <v>0</v>
      </c>
      <c r="AL105">
        <f t="shared" si="35"/>
        <v>0</v>
      </c>
      <c r="AM105" s="113">
        <f t="shared" si="36"/>
        <v>154</v>
      </c>
      <c r="AN105">
        <f t="shared" si="37"/>
        <v>142</v>
      </c>
      <c r="AO105">
        <f t="shared" si="38"/>
        <v>121</v>
      </c>
      <c r="AP105">
        <f t="shared" si="39"/>
        <v>185</v>
      </c>
      <c r="AQ105">
        <f t="shared" si="40"/>
        <v>243</v>
      </c>
      <c r="AR105">
        <f t="shared" si="41"/>
        <v>291</v>
      </c>
      <c r="AS105">
        <f t="shared" si="42"/>
        <v>286</v>
      </c>
      <c r="AT105">
        <f t="shared" si="43"/>
        <v>281</v>
      </c>
      <c r="AU105">
        <f t="shared" si="44"/>
        <v>327</v>
      </c>
      <c r="AV105">
        <f t="shared" si="45"/>
        <v>364</v>
      </c>
      <c r="AW105">
        <f t="shared" si="46"/>
        <v>268</v>
      </c>
      <c r="AX105">
        <f t="shared" si="47"/>
        <v>205</v>
      </c>
    </row>
    <row r="106" spans="1:51" x14ac:dyDescent="0.25">
      <c r="A106" s="113">
        <v>103</v>
      </c>
      <c r="B106" s="209" t="s">
        <v>590</v>
      </c>
      <c r="C106" s="113">
        <v>1931</v>
      </c>
      <c r="D106" s="113">
        <v>2013</v>
      </c>
      <c r="E106" s="210" t="s">
        <v>17</v>
      </c>
      <c r="F106" s="210" t="s">
        <v>330</v>
      </c>
      <c r="G106" s="113">
        <v>102</v>
      </c>
      <c r="H106" s="113"/>
      <c r="I106" s="113"/>
      <c r="J106" s="113"/>
      <c r="K106" s="113"/>
      <c r="N106" s="113">
        <f>MATCH(A106,Entrada!$A$53:$A$372,0)</f>
        <v>71</v>
      </c>
      <c r="O106">
        <f>IF(NOT(ISNA($N106)),INDEX(Entrada!$C$53:$N$372,$N106,O$2),0)</f>
        <v>160</v>
      </c>
      <c r="P106">
        <f>IF(NOT(ISNA($N106)),INDEX(Entrada!$C$53:$N$372,$N106,P$2),0)</f>
        <v>148</v>
      </c>
      <c r="Q106">
        <f>IF(NOT(ISNA($N106)),INDEX(Entrada!$C$53:$N$372,$N106,Q$2),0)</f>
        <v>126</v>
      </c>
      <c r="R106">
        <f>IF(NOT(ISNA($N106)),INDEX(Entrada!$C$53:$N$372,$N106,R$2),0)</f>
        <v>191</v>
      </c>
      <c r="S106">
        <f>IF(NOT(ISNA($N106)),INDEX(Entrada!$C$53:$N$372,$N106,S$2),0)</f>
        <v>251</v>
      </c>
      <c r="T106">
        <f>IF(NOT(ISNA($N106)),INDEX(Entrada!$C$53:$N$372,$N106,T$2),0)</f>
        <v>302</v>
      </c>
      <c r="U106">
        <f>IF(NOT(ISNA($N106)),INDEX(Entrada!$C$53:$N$372,$N106,U$2),0)</f>
        <v>297</v>
      </c>
      <c r="V106" s="225">
        <f>IF(NOT(ISNA($N106)),INDEX(Entrada!$C$53:$N$372,$N106,V$2),0)</f>
        <v>292</v>
      </c>
      <c r="W106" s="225">
        <f>IF(NOT(ISNA($N106)),INDEX(Entrada!$C$53:$N$372,$N106,W$2),0)</f>
        <v>339</v>
      </c>
      <c r="X106" s="225">
        <f>IF(NOT(ISNA($N106)),INDEX(Entrada!$C$53:$N$372,$N106,X$2),0)</f>
        <v>378</v>
      </c>
      <c r="Y106" s="225">
        <f>IF(NOT(ISNA($N106)),INDEX(Entrada!$C$53:$N$372,$N106,Y$2),0)</f>
        <v>280</v>
      </c>
      <c r="Z106" s="225">
        <f>IF(NOT(ISNA($N106)),INDEX(Entrada!$C$53:$N$372,$N106,Z$2),0)</f>
        <v>213</v>
      </c>
      <c r="AA106" s="113">
        <f t="shared" si="24"/>
        <v>154</v>
      </c>
      <c r="AB106">
        <f t="shared" si="25"/>
        <v>142</v>
      </c>
      <c r="AC106">
        <f t="shared" si="26"/>
        <v>121</v>
      </c>
      <c r="AD106">
        <f t="shared" si="27"/>
        <v>185</v>
      </c>
      <c r="AE106">
        <f t="shared" si="28"/>
        <v>243</v>
      </c>
      <c r="AF106">
        <f t="shared" si="29"/>
        <v>291</v>
      </c>
      <c r="AG106">
        <f t="shared" si="30"/>
        <v>286</v>
      </c>
      <c r="AH106">
        <f t="shared" si="31"/>
        <v>281</v>
      </c>
      <c r="AI106">
        <f t="shared" si="32"/>
        <v>327</v>
      </c>
      <c r="AJ106">
        <f t="shared" si="33"/>
        <v>364</v>
      </c>
      <c r="AK106">
        <f t="shared" si="34"/>
        <v>268</v>
      </c>
      <c r="AL106">
        <f t="shared" si="35"/>
        <v>205</v>
      </c>
      <c r="AM106" s="113">
        <f t="shared" si="36"/>
        <v>6</v>
      </c>
      <c r="AN106">
        <f t="shared" si="37"/>
        <v>6</v>
      </c>
      <c r="AO106">
        <f t="shared" si="38"/>
        <v>5</v>
      </c>
      <c r="AP106">
        <f t="shared" si="39"/>
        <v>6</v>
      </c>
      <c r="AQ106">
        <f t="shared" si="40"/>
        <v>8</v>
      </c>
      <c r="AR106">
        <f t="shared" si="41"/>
        <v>11</v>
      </c>
      <c r="AS106">
        <f t="shared" si="42"/>
        <v>11</v>
      </c>
      <c r="AT106">
        <f t="shared" si="43"/>
        <v>11</v>
      </c>
      <c r="AU106">
        <f t="shared" si="44"/>
        <v>12</v>
      </c>
      <c r="AV106">
        <f t="shared" si="45"/>
        <v>14</v>
      </c>
      <c r="AW106">
        <f t="shared" si="46"/>
        <v>12</v>
      </c>
      <c r="AX106">
        <f t="shared" si="47"/>
        <v>8</v>
      </c>
    </row>
    <row r="107" spans="1:51" x14ac:dyDescent="0.25">
      <c r="A107" s="113">
        <v>104</v>
      </c>
      <c r="B107" s="209" t="s">
        <v>591</v>
      </c>
      <c r="C107" s="113">
        <v>1931</v>
      </c>
      <c r="D107" s="113">
        <v>2013</v>
      </c>
      <c r="E107" s="210" t="s">
        <v>9</v>
      </c>
      <c r="F107" s="210" t="s">
        <v>332</v>
      </c>
      <c r="G107" s="113">
        <v>109</v>
      </c>
      <c r="H107" s="113"/>
      <c r="I107" s="113"/>
      <c r="J107" s="113"/>
      <c r="K107" s="113"/>
      <c r="N107" s="113">
        <f>MATCH(A107,Entrada!$A$53:$A$372,0)</f>
        <v>72</v>
      </c>
      <c r="O107">
        <f>IF(NOT(ISNA($N107)),INDEX(Entrada!$C$53:$N$372,$N107,O$2),0)</f>
        <v>45</v>
      </c>
      <c r="P107">
        <f>IF(NOT(ISNA($N107)),INDEX(Entrada!$C$53:$N$372,$N107,P$2),0)</f>
        <v>46</v>
      </c>
      <c r="Q107">
        <f>IF(NOT(ISNA($N107)),INDEX(Entrada!$C$53:$N$372,$N107,Q$2),0)</f>
        <v>41</v>
      </c>
      <c r="R107">
        <f>IF(NOT(ISNA($N107)),INDEX(Entrada!$C$53:$N$372,$N107,R$2),0)</f>
        <v>29</v>
      </c>
      <c r="S107">
        <f>IF(NOT(ISNA($N107)),INDEX(Entrada!$C$53:$N$372,$N107,S$2),0)</f>
        <v>22</v>
      </c>
      <c r="T107">
        <f>IF(NOT(ISNA($N107)),INDEX(Entrada!$C$53:$N$372,$N107,T$2),0)</f>
        <v>21</v>
      </c>
      <c r="U107" s="219">
        <f>IF(NOT(ISNA($N107)),INDEX(Entrada!$C$53:$N$372,$N107,U$2),0)</f>
        <v>18</v>
      </c>
      <c r="V107" s="225">
        <f>IF(NOT(ISNA($N107)),INDEX(Entrada!$C$53:$N$372,$N107,V$2),0)</f>
        <v>16</v>
      </c>
      <c r="W107" s="225">
        <f>IF(NOT(ISNA($N107)),INDEX(Entrada!$C$53:$N$372,$N107,W$2),0)</f>
        <v>21</v>
      </c>
      <c r="X107" s="225">
        <f>IF(NOT(ISNA($N107)),INDEX(Entrada!$C$53:$N$372,$N107,X$2),0)</f>
        <v>27</v>
      </c>
      <c r="Y107" s="225">
        <f>IF(NOT(ISNA($N107)),INDEX(Entrada!$C$53:$N$372,$N107,Y$2),0)</f>
        <v>26</v>
      </c>
      <c r="Z107" s="225">
        <f>IF(NOT(ISNA($N107)),INDEX(Entrada!$C$53:$N$372,$N107,Z$2),0)</f>
        <v>35</v>
      </c>
      <c r="AA107" s="113">
        <f t="shared" si="24"/>
        <v>26</v>
      </c>
      <c r="AB107">
        <f t="shared" si="25"/>
        <v>26</v>
      </c>
      <c r="AC107">
        <f t="shared" si="26"/>
        <v>23</v>
      </c>
      <c r="AD107">
        <f t="shared" si="27"/>
        <v>17</v>
      </c>
      <c r="AE107">
        <f t="shared" si="28"/>
        <v>12</v>
      </c>
      <c r="AF107">
        <f t="shared" si="29"/>
        <v>11</v>
      </c>
      <c r="AG107">
        <f t="shared" si="30"/>
        <v>9</v>
      </c>
      <c r="AH107">
        <f t="shared" si="31"/>
        <v>8</v>
      </c>
      <c r="AI107">
        <f t="shared" si="32"/>
        <v>12</v>
      </c>
      <c r="AJ107">
        <f t="shared" si="33"/>
        <v>15</v>
      </c>
      <c r="AK107">
        <f t="shared" si="34"/>
        <v>15</v>
      </c>
      <c r="AL107">
        <f t="shared" si="35"/>
        <v>21</v>
      </c>
      <c r="AM107" s="219">
        <f t="shared" si="36"/>
        <v>19</v>
      </c>
      <c r="AN107">
        <f t="shared" si="37"/>
        <v>20</v>
      </c>
      <c r="AO107">
        <f t="shared" si="38"/>
        <v>18</v>
      </c>
      <c r="AP107">
        <f t="shared" si="39"/>
        <v>12</v>
      </c>
      <c r="AQ107">
        <f t="shared" si="40"/>
        <v>10</v>
      </c>
      <c r="AR107">
        <f t="shared" si="41"/>
        <v>10</v>
      </c>
      <c r="AS107">
        <f t="shared" si="42"/>
        <v>9</v>
      </c>
      <c r="AT107">
        <f t="shared" si="43"/>
        <v>8</v>
      </c>
      <c r="AU107">
        <f t="shared" si="44"/>
        <v>9</v>
      </c>
      <c r="AV107">
        <f t="shared" si="45"/>
        <v>12</v>
      </c>
      <c r="AW107">
        <f t="shared" si="46"/>
        <v>11</v>
      </c>
      <c r="AX107">
        <f t="shared" si="47"/>
        <v>14</v>
      </c>
      <c r="AY107" s="219">
        <f>AY120+AY121</f>
        <v>0</v>
      </c>
    </row>
    <row r="108" spans="1:51" x14ac:dyDescent="0.25">
      <c r="A108" s="113">
        <v>105</v>
      </c>
      <c r="B108" s="209"/>
      <c r="C108" s="113">
        <v>0</v>
      </c>
      <c r="D108" s="113">
        <v>0</v>
      </c>
      <c r="E108" s="113" t="s">
        <v>688</v>
      </c>
      <c r="F108" s="113" t="s">
        <v>688</v>
      </c>
      <c r="G108" s="113"/>
      <c r="H108" s="113"/>
      <c r="I108" s="113"/>
      <c r="J108" s="113"/>
      <c r="K108" s="113"/>
      <c r="N108" s="113" t="e">
        <f>MATCH(A108,Entrada!$A$53:$A$372,0)</f>
        <v>#N/A</v>
      </c>
      <c r="O108">
        <f>IF(NOT(ISNA($N108)),INDEX(Entrada!$C$53:$N$372,$N108,O$2),0)</f>
        <v>0</v>
      </c>
      <c r="P108">
        <f>IF(NOT(ISNA($N108)),INDEX(Entrada!$C$53:$N$372,$N108,P$2),0)</f>
        <v>0</v>
      </c>
      <c r="Q108">
        <f>IF(NOT(ISNA($N108)),INDEX(Entrada!$C$53:$N$372,$N108,Q$2),0)</f>
        <v>0</v>
      </c>
      <c r="R108">
        <f>IF(NOT(ISNA($N108)),INDEX(Entrada!$C$53:$N$372,$N108,R$2),0)</f>
        <v>0</v>
      </c>
      <c r="S108">
        <f>IF(NOT(ISNA($N108)),INDEX(Entrada!$C$53:$N$372,$N108,S$2),0)</f>
        <v>0</v>
      </c>
      <c r="T108">
        <f>IF(NOT(ISNA($N108)),INDEX(Entrada!$C$53:$N$372,$N108,T$2),0)</f>
        <v>0</v>
      </c>
      <c r="U108">
        <f>IF(NOT(ISNA($N108)),INDEX(Entrada!$C$53:$N$372,$N108,U$2),0)</f>
        <v>0</v>
      </c>
      <c r="V108" s="225">
        <f>IF(NOT(ISNA($N108)),INDEX(Entrada!$C$53:$N$372,$N108,V$2),0)</f>
        <v>0</v>
      </c>
      <c r="W108" s="225">
        <f>IF(NOT(ISNA($N108)),INDEX(Entrada!$C$53:$N$372,$N108,W$2),0)</f>
        <v>0</v>
      </c>
      <c r="X108" s="225">
        <f>IF(NOT(ISNA($N108)),INDEX(Entrada!$C$53:$N$372,$N108,X$2),0)</f>
        <v>0</v>
      </c>
      <c r="Y108" s="225">
        <f>IF(NOT(ISNA($N108)),INDEX(Entrada!$C$53:$N$372,$N108,Y$2),0)</f>
        <v>0</v>
      </c>
      <c r="Z108" s="225">
        <f>IF(NOT(ISNA($N108)),INDEX(Entrada!$C$53:$N$372,$N108,Z$2),0)</f>
        <v>0</v>
      </c>
      <c r="AA108" s="113">
        <f t="shared" si="24"/>
        <v>0</v>
      </c>
      <c r="AB108">
        <f t="shared" si="25"/>
        <v>0</v>
      </c>
      <c r="AC108">
        <f t="shared" si="26"/>
        <v>0</v>
      </c>
      <c r="AD108">
        <f t="shared" si="27"/>
        <v>0</v>
      </c>
      <c r="AE108">
        <f t="shared" si="28"/>
        <v>0</v>
      </c>
      <c r="AF108">
        <f t="shared" si="29"/>
        <v>0</v>
      </c>
      <c r="AG108">
        <f t="shared" si="30"/>
        <v>0</v>
      </c>
      <c r="AH108">
        <f t="shared" si="31"/>
        <v>0</v>
      </c>
      <c r="AI108">
        <f t="shared" si="32"/>
        <v>0</v>
      </c>
      <c r="AJ108">
        <f t="shared" si="33"/>
        <v>0</v>
      </c>
      <c r="AK108">
        <f t="shared" si="34"/>
        <v>0</v>
      </c>
      <c r="AL108">
        <f t="shared" si="35"/>
        <v>0</v>
      </c>
      <c r="AM108" s="113">
        <f t="shared" si="36"/>
        <v>0</v>
      </c>
      <c r="AN108">
        <f t="shared" si="37"/>
        <v>0</v>
      </c>
      <c r="AO108">
        <f t="shared" si="38"/>
        <v>0</v>
      </c>
      <c r="AP108">
        <f t="shared" si="39"/>
        <v>0</v>
      </c>
      <c r="AQ108">
        <f t="shared" si="40"/>
        <v>0</v>
      </c>
      <c r="AR108">
        <f t="shared" si="41"/>
        <v>0</v>
      </c>
      <c r="AS108">
        <f t="shared" si="42"/>
        <v>0</v>
      </c>
      <c r="AT108">
        <f t="shared" si="43"/>
        <v>0</v>
      </c>
      <c r="AU108">
        <f t="shared" si="44"/>
        <v>0</v>
      </c>
      <c r="AV108">
        <f t="shared" si="45"/>
        <v>0</v>
      </c>
      <c r="AW108">
        <f t="shared" si="46"/>
        <v>0</v>
      </c>
      <c r="AX108">
        <f t="shared" si="47"/>
        <v>0</v>
      </c>
    </row>
    <row r="109" spans="1:51" x14ac:dyDescent="0.25">
      <c r="A109" s="113">
        <v>106</v>
      </c>
      <c r="B109" s="209"/>
      <c r="C109" s="113">
        <v>0</v>
      </c>
      <c r="D109" s="113">
        <v>0</v>
      </c>
      <c r="E109" s="113" t="s">
        <v>688</v>
      </c>
      <c r="F109" s="113" t="s">
        <v>688</v>
      </c>
      <c r="G109" s="113"/>
      <c r="H109" s="113"/>
      <c r="I109" s="113"/>
      <c r="J109" s="113"/>
      <c r="K109" s="113"/>
      <c r="N109" s="113" t="e">
        <f>MATCH(A109,Entrada!$A$53:$A$372,0)</f>
        <v>#N/A</v>
      </c>
      <c r="O109">
        <f>IF(NOT(ISNA($N109)),INDEX(Entrada!$C$53:$N$372,$N109,O$2),0)</f>
        <v>0</v>
      </c>
      <c r="P109">
        <f>IF(NOT(ISNA($N109)),INDEX(Entrada!$C$53:$N$372,$N109,P$2),0)</f>
        <v>0</v>
      </c>
      <c r="Q109">
        <f>IF(NOT(ISNA($N109)),INDEX(Entrada!$C$53:$N$372,$N109,Q$2),0)</f>
        <v>0</v>
      </c>
      <c r="R109">
        <f>IF(NOT(ISNA($N109)),INDEX(Entrada!$C$53:$N$372,$N109,R$2),0)</f>
        <v>0</v>
      </c>
      <c r="S109">
        <f>IF(NOT(ISNA($N109)),INDEX(Entrada!$C$53:$N$372,$N109,S$2),0)</f>
        <v>0</v>
      </c>
      <c r="T109">
        <f>IF(NOT(ISNA($N109)),INDEX(Entrada!$C$53:$N$372,$N109,T$2),0)</f>
        <v>0</v>
      </c>
      <c r="U109">
        <f>IF(NOT(ISNA($N109)),INDEX(Entrada!$C$53:$N$372,$N109,U$2),0)</f>
        <v>0</v>
      </c>
      <c r="V109" s="225">
        <f>IF(NOT(ISNA($N109)),INDEX(Entrada!$C$53:$N$372,$N109,V$2),0)</f>
        <v>0</v>
      </c>
      <c r="W109" s="225">
        <f>IF(NOT(ISNA($N109)),INDEX(Entrada!$C$53:$N$372,$N109,W$2),0)</f>
        <v>0</v>
      </c>
      <c r="X109" s="225">
        <f>IF(NOT(ISNA($N109)),INDEX(Entrada!$C$53:$N$372,$N109,X$2),0)</f>
        <v>0</v>
      </c>
      <c r="Y109" s="225">
        <f>IF(NOT(ISNA($N109)),INDEX(Entrada!$C$53:$N$372,$N109,Y$2),0)</f>
        <v>0</v>
      </c>
      <c r="Z109" s="225">
        <f>IF(NOT(ISNA($N109)),INDEX(Entrada!$C$53:$N$372,$N109,Z$2),0)</f>
        <v>0</v>
      </c>
      <c r="AA109" s="113">
        <f t="shared" si="24"/>
        <v>0</v>
      </c>
      <c r="AB109">
        <f t="shared" si="25"/>
        <v>0</v>
      </c>
      <c r="AC109">
        <f t="shared" si="26"/>
        <v>0</v>
      </c>
      <c r="AD109">
        <f t="shared" si="27"/>
        <v>0</v>
      </c>
      <c r="AE109">
        <f t="shared" si="28"/>
        <v>0</v>
      </c>
      <c r="AF109">
        <f t="shared" si="29"/>
        <v>0</v>
      </c>
      <c r="AG109">
        <f t="shared" si="30"/>
        <v>0</v>
      </c>
      <c r="AH109">
        <f t="shared" si="31"/>
        <v>0</v>
      </c>
      <c r="AI109">
        <f t="shared" si="32"/>
        <v>0</v>
      </c>
      <c r="AJ109">
        <f t="shared" si="33"/>
        <v>0</v>
      </c>
      <c r="AK109">
        <f t="shared" si="34"/>
        <v>0</v>
      </c>
      <c r="AL109">
        <f t="shared" si="35"/>
        <v>0</v>
      </c>
      <c r="AM109" s="113">
        <f t="shared" si="36"/>
        <v>0</v>
      </c>
      <c r="AN109">
        <f t="shared" si="37"/>
        <v>0</v>
      </c>
      <c r="AO109">
        <f t="shared" si="38"/>
        <v>0</v>
      </c>
      <c r="AP109">
        <f t="shared" si="39"/>
        <v>0</v>
      </c>
      <c r="AQ109">
        <f t="shared" si="40"/>
        <v>0</v>
      </c>
      <c r="AR109">
        <f t="shared" si="41"/>
        <v>0</v>
      </c>
      <c r="AS109">
        <f t="shared" si="42"/>
        <v>0</v>
      </c>
      <c r="AT109">
        <f t="shared" si="43"/>
        <v>0</v>
      </c>
      <c r="AU109">
        <f t="shared" si="44"/>
        <v>0</v>
      </c>
      <c r="AV109">
        <f t="shared" si="45"/>
        <v>0</v>
      </c>
      <c r="AW109">
        <f t="shared" si="46"/>
        <v>0</v>
      </c>
      <c r="AX109">
        <f t="shared" si="47"/>
        <v>0</v>
      </c>
    </row>
    <row r="110" spans="1:51" x14ac:dyDescent="0.25">
      <c r="A110" s="113">
        <v>107</v>
      </c>
      <c r="B110" s="209"/>
      <c r="C110" s="113">
        <v>0</v>
      </c>
      <c r="D110" s="113">
        <v>0</v>
      </c>
      <c r="E110" s="113" t="s">
        <v>688</v>
      </c>
      <c r="F110" s="113" t="s">
        <v>688</v>
      </c>
      <c r="G110" s="113"/>
      <c r="H110" s="113"/>
      <c r="I110" s="113"/>
      <c r="J110" s="113"/>
      <c r="K110" s="113"/>
      <c r="N110" s="113" t="e">
        <f>MATCH(A110,Entrada!$A$53:$A$372,0)</f>
        <v>#N/A</v>
      </c>
      <c r="O110">
        <f>IF(NOT(ISNA($N110)),INDEX(Entrada!$C$53:$N$372,$N110,O$2),0)</f>
        <v>0</v>
      </c>
      <c r="P110">
        <f>IF(NOT(ISNA($N110)),INDEX(Entrada!$C$53:$N$372,$N110,P$2),0)</f>
        <v>0</v>
      </c>
      <c r="Q110">
        <f>IF(NOT(ISNA($N110)),INDEX(Entrada!$C$53:$N$372,$N110,Q$2),0)</f>
        <v>0</v>
      </c>
      <c r="R110">
        <f>IF(NOT(ISNA($N110)),INDEX(Entrada!$C$53:$N$372,$N110,R$2),0)</f>
        <v>0</v>
      </c>
      <c r="S110">
        <f>IF(NOT(ISNA($N110)),INDEX(Entrada!$C$53:$N$372,$N110,S$2),0)</f>
        <v>0</v>
      </c>
      <c r="T110">
        <f>IF(NOT(ISNA($N110)),INDEX(Entrada!$C$53:$N$372,$N110,T$2),0)</f>
        <v>0</v>
      </c>
      <c r="U110">
        <f>IF(NOT(ISNA($N110)),INDEX(Entrada!$C$53:$N$372,$N110,U$2),0)</f>
        <v>0</v>
      </c>
      <c r="V110" s="225">
        <f>IF(NOT(ISNA($N110)),INDEX(Entrada!$C$53:$N$372,$N110,V$2),0)</f>
        <v>0</v>
      </c>
      <c r="W110" s="225">
        <f>IF(NOT(ISNA($N110)),INDEX(Entrada!$C$53:$N$372,$N110,W$2),0)</f>
        <v>0</v>
      </c>
      <c r="X110" s="225">
        <f>IF(NOT(ISNA($N110)),INDEX(Entrada!$C$53:$N$372,$N110,X$2),0)</f>
        <v>0</v>
      </c>
      <c r="Y110" s="225">
        <f>IF(NOT(ISNA($N110)),INDEX(Entrada!$C$53:$N$372,$N110,Y$2),0)</f>
        <v>0</v>
      </c>
      <c r="Z110" s="225">
        <f>IF(NOT(ISNA($N110)),INDEX(Entrada!$C$53:$N$372,$N110,Z$2),0)</f>
        <v>0</v>
      </c>
      <c r="AA110" s="113">
        <f t="shared" si="24"/>
        <v>0</v>
      </c>
      <c r="AB110">
        <f t="shared" si="25"/>
        <v>0</v>
      </c>
      <c r="AC110">
        <f t="shared" si="26"/>
        <v>0</v>
      </c>
      <c r="AD110">
        <f t="shared" si="27"/>
        <v>0</v>
      </c>
      <c r="AE110">
        <f t="shared" si="28"/>
        <v>0</v>
      </c>
      <c r="AF110">
        <f t="shared" si="29"/>
        <v>0</v>
      </c>
      <c r="AG110">
        <f t="shared" si="30"/>
        <v>0</v>
      </c>
      <c r="AH110">
        <f t="shared" si="31"/>
        <v>0</v>
      </c>
      <c r="AI110">
        <f t="shared" si="32"/>
        <v>0</v>
      </c>
      <c r="AJ110">
        <f t="shared" si="33"/>
        <v>0</v>
      </c>
      <c r="AK110">
        <f t="shared" si="34"/>
        <v>0</v>
      </c>
      <c r="AL110">
        <f t="shared" si="35"/>
        <v>0</v>
      </c>
      <c r="AM110" s="113">
        <f t="shared" si="36"/>
        <v>0</v>
      </c>
      <c r="AN110">
        <f t="shared" si="37"/>
        <v>0</v>
      </c>
      <c r="AO110">
        <f t="shared" si="38"/>
        <v>0</v>
      </c>
      <c r="AP110">
        <f t="shared" si="39"/>
        <v>0</v>
      </c>
      <c r="AQ110">
        <f t="shared" si="40"/>
        <v>0</v>
      </c>
      <c r="AR110">
        <f t="shared" si="41"/>
        <v>0</v>
      </c>
      <c r="AS110">
        <f t="shared" si="42"/>
        <v>0</v>
      </c>
      <c r="AT110">
        <f t="shared" si="43"/>
        <v>0</v>
      </c>
      <c r="AU110">
        <f t="shared" si="44"/>
        <v>0</v>
      </c>
      <c r="AV110">
        <f t="shared" si="45"/>
        <v>0</v>
      </c>
      <c r="AW110">
        <f t="shared" si="46"/>
        <v>0</v>
      </c>
      <c r="AX110">
        <f t="shared" si="47"/>
        <v>0</v>
      </c>
    </row>
    <row r="111" spans="1:51" x14ac:dyDescent="0.25">
      <c r="A111" s="113">
        <v>108</v>
      </c>
      <c r="B111" s="209"/>
      <c r="C111" s="113">
        <v>0</v>
      </c>
      <c r="D111" s="113">
        <v>0</v>
      </c>
      <c r="E111" s="113" t="s">
        <v>688</v>
      </c>
      <c r="F111" s="113" t="s">
        <v>688</v>
      </c>
      <c r="G111" s="113"/>
      <c r="H111" s="113"/>
      <c r="I111" s="113"/>
      <c r="J111" s="113"/>
      <c r="K111" s="113"/>
      <c r="N111" s="113" t="e">
        <f>MATCH(A111,Entrada!$A$53:$A$372,0)</f>
        <v>#N/A</v>
      </c>
      <c r="O111">
        <f>IF(NOT(ISNA($N111)),INDEX(Entrada!$C$53:$N$372,$N111,O$2),0)</f>
        <v>0</v>
      </c>
      <c r="P111">
        <f>IF(NOT(ISNA($N111)),INDEX(Entrada!$C$53:$N$372,$N111,P$2),0)</f>
        <v>0</v>
      </c>
      <c r="Q111">
        <f>IF(NOT(ISNA($N111)),INDEX(Entrada!$C$53:$N$372,$N111,Q$2),0)</f>
        <v>0</v>
      </c>
      <c r="R111">
        <f>IF(NOT(ISNA($N111)),INDEX(Entrada!$C$53:$N$372,$N111,R$2),0)</f>
        <v>0</v>
      </c>
      <c r="S111">
        <f>IF(NOT(ISNA($N111)),INDEX(Entrada!$C$53:$N$372,$N111,S$2),0)</f>
        <v>0</v>
      </c>
      <c r="T111">
        <f>IF(NOT(ISNA($N111)),INDEX(Entrada!$C$53:$N$372,$N111,T$2),0)</f>
        <v>0</v>
      </c>
      <c r="U111">
        <f>IF(NOT(ISNA($N111)),INDEX(Entrada!$C$53:$N$372,$N111,U$2),0)</f>
        <v>0</v>
      </c>
      <c r="V111" s="225">
        <f>IF(NOT(ISNA($N111)),INDEX(Entrada!$C$53:$N$372,$N111,V$2),0)</f>
        <v>0</v>
      </c>
      <c r="W111" s="225">
        <f>IF(NOT(ISNA($N111)),INDEX(Entrada!$C$53:$N$372,$N111,W$2),0)</f>
        <v>0</v>
      </c>
      <c r="X111" s="225">
        <f>IF(NOT(ISNA($N111)),INDEX(Entrada!$C$53:$N$372,$N111,X$2),0)</f>
        <v>0</v>
      </c>
      <c r="Y111" s="225">
        <f>IF(NOT(ISNA($N111)),INDEX(Entrada!$C$53:$N$372,$N111,Y$2),0)</f>
        <v>0</v>
      </c>
      <c r="Z111" s="225">
        <f>IF(NOT(ISNA($N111)),INDEX(Entrada!$C$53:$N$372,$N111,Z$2),0)</f>
        <v>0</v>
      </c>
      <c r="AA111" s="113">
        <f t="shared" si="24"/>
        <v>0</v>
      </c>
      <c r="AB111">
        <f t="shared" si="25"/>
        <v>0</v>
      </c>
      <c r="AC111">
        <f t="shared" si="26"/>
        <v>0</v>
      </c>
      <c r="AD111">
        <f t="shared" si="27"/>
        <v>0</v>
      </c>
      <c r="AE111">
        <f t="shared" si="28"/>
        <v>0</v>
      </c>
      <c r="AF111">
        <f t="shared" si="29"/>
        <v>0</v>
      </c>
      <c r="AG111">
        <f t="shared" si="30"/>
        <v>0</v>
      </c>
      <c r="AH111">
        <f t="shared" si="31"/>
        <v>0</v>
      </c>
      <c r="AI111">
        <f t="shared" si="32"/>
        <v>0</v>
      </c>
      <c r="AJ111">
        <f t="shared" si="33"/>
        <v>0</v>
      </c>
      <c r="AK111">
        <f t="shared" si="34"/>
        <v>0</v>
      </c>
      <c r="AL111">
        <f t="shared" si="35"/>
        <v>0</v>
      </c>
      <c r="AM111" s="113">
        <f t="shared" si="36"/>
        <v>0</v>
      </c>
      <c r="AN111">
        <f t="shared" si="37"/>
        <v>0</v>
      </c>
      <c r="AO111">
        <f t="shared" si="38"/>
        <v>0</v>
      </c>
      <c r="AP111">
        <f t="shared" si="39"/>
        <v>0</v>
      </c>
      <c r="AQ111">
        <f t="shared" si="40"/>
        <v>0</v>
      </c>
      <c r="AR111">
        <f t="shared" si="41"/>
        <v>0</v>
      </c>
      <c r="AS111">
        <f t="shared" si="42"/>
        <v>0</v>
      </c>
      <c r="AT111">
        <f t="shared" si="43"/>
        <v>0</v>
      </c>
      <c r="AU111">
        <f t="shared" si="44"/>
        <v>0</v>
      </c>
      <c r="AV111">
        <f t="shared" si="45"/>
        <v>0</v>
      </c>
      <c r="AW111">
        <f t="shared" si="46"/>
        <v>0</v>
      </c>
      <c r="AX111">
        <f t="shared" si="47"/>
        <v>0</v>
      </c>
    </row>
    <row r="112" spans="1:51" x14ac:dyDescent="0.25">
      <c r="A112" s="113">
        <v>109</v>
      </c>
      <c r="B112" s="209" t="s">
        <v>592</v>
      </c>
      <c r="C112" s="113">
        <v>1931</v>
      </c>
      <c r="D112" s="113">
        <v>2013</v>
      </c>
      <c r="E112" s="210" t="s">
        <v>9</v>
      </c>
      <c r="F112" s="210" t="s">
        <v>332</v>
      </c>
      <c r="G112" s="113"/>
      <c r="H112" s="113"/>
      <c r="I112" s="113"/>
      <c r="J112" s="113"/>
      <c r="K112" s="113"/>
      <c r="N112" s="113">
        <f>MATCH(A112,Entrada!$A$53:$A$372,0)</f>
        <v>73</v>
      </c>
      <c r="O112">
        <f>IF(NOT(ISNA($N112)),INDEX(Entrada!$C$53:$N$372,$N112,O$2),0)</f>
        <v>26</v>
      </c>
      <c r="P112">
        <f>IF(NOT(ISNA($N112)),INDEX(Entrada!$C$53:$N$372,$N112,P$2),0)</f>
        <v>26</v>
      </c>
      <c r="Q112">
        <f>IF(NOT(ISNA($N112)),INDEX(Entrada!$C$53:$N$372,$N112,Q$2),0)</f>
        <v>23</v>
      </c>
      <c r="R112">
        <f>IF(NOT(ISNA($N112)),INDEX(Entrada!$C$53:$N$372,$N112,R$2),0)</f>
        <v>17</v>
      </c>
      <c r="S112">
        <f>IF(NOT(ISNA($N112)),INDEX(Entrada!$C$53:$N$372,$N112,S$2),0)</f>
        <v>12</v>
      </c>
      <c r="T112">
        <f>IF(NOT(ISNA($N112)),INDEX(Entrada!$C$53:$N$372,$N112,T$2),0)</f>
        <v>11</v>
      </c>
      <c r="U112" s="219">
        <f>IF(NOT(ISNA($N112)),INDEX(Entrada!$C$53:$N$372,$N112,U$2),0)</f>
        <v>9</v>
      </c>
      <c r="V112" s="225">
        <f>IF(NOT(ISNA($N112)),INDEX(Entrada!$C$53:$N$372,$N112,V$2),0)</f>
        <v>8</v>
      </c>
      <c r="W112" s="225">
        <f>IF(NOT(ISNA($N112)),INDEX(Entrada!$C$53:$N$372,$N112,W$2),0)</f>
        <v>12</v>
      </c>
      <c r="X112" s="225">
        <f>IF(NOT(ISNA($N112)),INDEX(Entrada!$C$53:$N$372,$N112,X$2),0)</f>
        <v>15</v>
      </c>
      <c r="Y112" s="225">
        <f>IF(NOT(ISNA($N112)),INDEX(Entrada!$C$53:$N$372,$N112,Y$2),0)</f>
        <v>15</v>
      </c>
      <c r="Z112" s="225">
        <f>IF(NOT(ISNA($N112)),INDEX(Entrada!$C$53:$N$372,$N112,Z$2),0)</f>
        <v>21</v>
      </c>
      <c r="AA112" s="113">
        <f t="shared" si="24"/>
        <v>0</v>
      </c>
      <c r="AB112">
        <f t="shared" si="25"/>
        <v>0</v>
      </c>
      <c r="AC112">
        <f t="shared" si="26"/>
        <v>0</v>
      </c>
      <c r="AD112">
        <f t="shared" si="27"/>
        <v>0</v>
      </c>
      <c r="AE112">
        <f t="shared" si="28"/>
        <v>0</v>
      </c>
      <c r="AF112">
        <f t="shared" si="29"/>
        <v>0</v>
      </c>
      <c r="AG112">
        <f t="shared" si="30"/>
        <v>0</v>
      </c>
      <c r="AH112">
        <f t="shared" si="31"/>
        <v>0</v>
      </c>
      <c r="AI112">
        <f t="shared" si="32"/>
        <v>0</v>
      </c>
      <c r="AJ112">
        <f t="shared" si="33"/>
        <v>0</v>
      </c>
      <c r="AK112">
        <f t="shared" si="34"/>
        <v>0</v>
      </c>
      <c r="AL112">
        <f t="shared" si="35"/>
        <v>0</v>
      </c>
      <c r="AM112" s="219">
        <f t="shared" si="36"/>
        <v>26</v>
      </c>
      <c r="AN112">
        <f t="shared" si="37"/>
        <v>26</v>
      </c>
      <c r="AO112">
        <f t="shared" si="38"/>
        <v>23</v>
      </c>
      <c r="AP112">
        <f t="shared" si="39"/>
        <v>17</v>
      </c>
      <c r="AQ112">
        <f t="shared" si="40"/>
        <v>12</v>
      </c>
      <c r="AR112">
        <f t="shared" si="41"/>
        <v>11</v>
      </c>
      <c r="AS112">
        <f t="shared" si="42"/>
        <v>9</v>
      </c>
      <c r="AT112">
        <f t="shared" si="43"/>
        <v>8</v>
      </c>
      <c r="AU112">
        <f t="shared" si="44"/>
        <v>12</v>
      </c>
      <c r="AV112">
        <f t="shared" si="45"/>
        <v>15</v>
      </c>
      <c r="AW112">
        <f t="shared" si="46"/>
        <v>15</v>
      </c>
      <c r="AX112">
        <f t="shared" si="47"/>
        <v>21</v>
      </c>
      <c r="AY112" s="219">
        <f>AY121</f>
        <v>0</v>
      </c>
    </row>
    <row r="113" spans="1:51" x14ac:dyDescent="0.25">
      <c r="A113" s="113">
        <v>110</v>
      </c>
      <c r="B113" s="209" t="s">
        <v>593</v>
      </c>
      <c r="C113" s="113">
        <v>1931</v>
      </c>
      <c r="D113" s="113">
        <v>2013</v>
      </c>
      <c r="E113" s="210" t="s">
        <v>16</v>
      </c>
      <c r="F113" s="210" t="s">
        <v>16</v>
      </c>
      <c r="G113" s="113"/>
      <c r="H113" s="113"/>
      <c r="I113" s="113"/>
      <c r="J113" s="113"/>
      <c r="K113" s="113"/>
      <c r="N113" s="113">
        <f>MATCH(A113,Entrada!$A$53:$A$372,0)</f>
        <v>74</v>
      </c>
      <c r="O113">
        <f>IF(NOT(ISNA($N113)),INDEX(Entrada!$C$53:$N$372,$N113,O$2),0)</f>
        <v>20</v>
      </c>
      <c r="P113">
        <f>IF(NOT(ISNA($N113)),INDEX(Entrada!$C$53:$N$372,$N113,P$2),0)</f>
        <v>19</v>
      </c>
      <c r="Q113">
        <f>IF(NOT(ISNA($N113)),INDEX(Entrada!$C$53:$N$372,$N113,Q$2),0)</f>
        <v>15</v>
      </c>
      <c r="R113">
        <f>IF(NOT(ISNA($N113)),INDEX(Entrada!$C$53:$N$372,$N113,R$2),0)</f>
        <v>20</v>
      </c>
      <c r="S113">
        <f>IF(NOT(ISNA($N113)),INDEX(Entrada!$C$53:$N$372,$N113,S$2),0)</f>
        <v>27</v>
      </c>
      <c r="T113">
        <f>IF(NOT(ISNA($N113)),INDEX(Entrada!$C$53:$N$372,$N113,T$2),0)</f>
        <v>33</v>
      </c>
      <c r="U113">
        <f>IF(NOT(ISNA($N113)),INDEX(Entrada!$C$53:$N$372,$N113,U$2),0)</f>
        <v>38</v>
      </c>
      <c r="V113" s="225">
        <f>IF(NOT(ISNA($N113)),INDEX(Entrada!$C$53:$N$372,$N113,V$2),0)</f>
        <v>40</v>
      </c>
      <c r="W113" s="225">
        <f>IF(NOT(ISNA($N113)),INDEX(Entrada!$C$53:$N$372,$N113,W$2),0)</f>
        <v>43</v>
      </c>
      <c r="X113" s="225">
        <f>IF(NOT(ISNA($N113)),INDEX(Entrada!$C$53:$N$372,$N113,X$2),0)</f>
        <v>45</v>
      </c>
      <c r="Y113" s="225">
        <f>IF(NOT(ISNA($N113)),INDEX(Entrada!$C$53:$N$372,$N113,Y$2),0)</f>
        <v>32</v>
      </c>
      <c r="Z113" s="225">
        <f>IF(NOT(ISNA($N113)),INDEX(Entrada!$C$53:$N$372,$N113,Z$2),0)</f>
        <v>23</v>
      </c>
      <c r="AA113" s="113">
        <f t="shared" si="24"/>
        <v>0</v>
      </c>
      <c r="AB113">
        <f t="shared" si="25"/>
        <v>0</v>
      </c>
      <c r="AC113">
        <f t="shared" si="26"/>
        <v>0</v>
      </c>
      <c r="AD113">
        <f t="shared" si="27"/>
        <v>0</v>
      </c>
      <c r="AE113">
        <f t="shared" si="28"/>
        <v>0</v>
      </c>
      <c r="AF113">
        <f t="shared" si="29"/>
        <v>0</v>
      </c>
      <c r="AG113">
        <f t="shared" si="30"/>
        <v>0</v>
      </c>
      <c r="AH113">
        <f t="shared" si="31"/>
        <v>0</v>
      </c>
      <c r="AI113">
        <f t="shared" si="32"/>
        <v>0</v>
      </c>
      <c r="AJ113">
        <f t="shared" si="33"/>
        <v>0</v>
      </c>
      <c r="AK113">
        <f t="shared" si="34"/>
        <v>0</v>
      </c>
      <c r="AL113">
        <f t="shared" si="35"/>
        <v>0</v>
      </c>
      <c r="AM113" s="113">
        <f t="shared" si="36"/>
        <v>20</v>
      </c>
      <c r="AN113">
        <f t="shared" si="37"/>
        <v>19</v>
      </c>
      <c r="AO113">
        <f t="shared" si="38"/>
        <v>15</v>
      </c>
      <c r="AP113">
        <f t="shared" si="39"/>
        <v>20</v>
      </c>
      <c r="AQ113">
        <f t="shared" si="40"/>
        <v>27</v>
      </c>
      <c r="AR113">
        <f t="shared" si="41"/>
        <v>33</v>
      </c>
      <c r="AS113">
        <f t="shared" si="42"/>
        <v>38</v>
      </c>
      <c r="AT113">
        <f t="shared" si="43"/>
        <v>40</v>
      </c>
      <c r="AU113">
        <f t="shared" si="44"/>
        <v>43</v>
      </c>
      <c r="AV113">
        <f t="shared" si="45"/>
        <v>45</v>
      </c>
      <c r="AW113">
        <f t="shared" si="46"/>
        <v>32</v>
      </c>
      <c r="AX113">
        <f t="shared" si="47"/>
        <v>23</v>
      </c>
    </row>
    <row r="114" spans="1:51" x14ac:dyDescent="0.25">
      <c r="A114" s="113">
        <v>111</v>
      </c>
      <c r="B114" s="209" t="s">
        <v>34</v>
      </c>
      <c r="C114" s="113">
        <v>1931</v>
      </c>
      <c r="D114" s="113">
        <v>2013</v>
      </c>
      <c r="E114" s="210" t="s">
        <v>16</v>
      </c>
      <c r="F114" s="210" t="s">
        <v>16</v>
      </c>
      <c r="G114" s="113">
        <v>110</v>
      </c>
      <c r="H114" s="113"/>
      <c r="I114" s="113"/>
      <c r="J114" s="113"/>
      <c r="K114" s="113"/>
      <c r="N114" s="113">
        <f>MATCH(A114,Entrada!$A$53:$A$372,0)</f>
        <v>75</v>
      </c>
      <c r="O114">
        <f>IF(NOT(ISNA($N114)),INDEX(Entrada!$C$53:$N$372,$N114,O$2),0)</f>
        <v>132</v>
      </c>
      <c r="P114">
        <f>IF(NOT(ISNA($N114)),INDEX(Entrada!$C$53:$N$372,$N114,P$2),0)</f>
        <v>123</v>
      </c>
      <c r="Q114">
        <f>IF(NOT(ISNA($N114)),INDEX(Entrada!$C$53:$N$372,$N114,Q$2),0)</f>
        <v>104</v>
      </c>
      <c r="R114">
        <f>IF(NOT(ISNA($N114)),INDEX(Entrada!$C$53:$N$372,$N114,R$2),0)</f>
        <v>137</v>
      </c>
      <c r="S114">
        <f>IF(NOT(ISNA($N114)),INDEX(Entrada!$C$53:$N$372,$N114,S$2),0)</f>
        <v>192</v>
      </c>
      <c r="T114">
        <f>IF(NOT(ISNA($N114)),INDEX(Entrada!$C$53:$N$372,$N114,T$2),0)</f>
        <v>235</v>
      </c>
      <c r="U114">
        <f>IF(NOT(ISNA($N114)),INDEX(Entrada!$C$53:$N$372,$N114,U$2),0)</f>
        <v>264</v>
      </c>
      <c r="V114" s="225">
        <f>IF(NOT(ISNA($N114)),INDEX(Entrada!$C$53:$N$372,$N114,V$2),0)</f>
        <v>273</v>
      </c>
      <c r="W114" s="225">
        <f>IF(NOT(ISNA($N114)),INDEX(Entrada!$C$53:$N$372,$N114,W$2),0)</f>
        <v>312</v>
      </c>
      <c r="X114" s="225">
        <f>IF(NOT(ISNA($N114)),INDEX(Entrada!$C$53:$N$372,$N114,X$2),0)</f>
        <v>308</v>
      </c>
      <c r="Y114" s="225">
        <f>IF(NOT(ISNA($N114)),INDEX(Entrada!$C$53:$N$372,$N114,Y$2),0)</f>
        <v>219</v>
      </c>
      <c r="Z114" s="225">
        <f>IF(NOT(ISNA($N114)),INDEX(Entrada!$C$53:$N$372,$N114,Z$2),0)</f>
        <v>170</v>
      </c>
      <c r="AA114" s="113">
        <f t="shared" si="24"/>
        <v>20</v>
      </c>
      <c r="AB114">
        <f t="shared" si="25"/>
        <v>19</v>
      </c>
      <c r="AC114">
        <f t="shared" si="26"/>
        <v>15</v>
      </c>
      <c r="AD114">
        <f t="shared" si="27"/>
        <v>20</v>
      </c>
      <c r="AE114">
        <f t="shared" si="28"/>
        <v>27</v>
      </c>
      <c r="AF114">
        <f t="shared" si="29"/>
        <v>33</v>
      </c>
      <c r="AG114">
        <f t="shared" si="30"/>
        <v>38</v>
      </c>
      <c r="AH114">
        <f t="shared" si="31"/>
        <v>40</v>
      </c>
      <c r="AI114">
        <f t="shared" si="32"/>
        <v>43</v>
      </c>
      <c r="AJ114">
        <f t="shared" si="33"/>
        <v>45</v>
      </c>
      <c r="AK114">
        <f t="shared" si="34"/>
        <v>32</v>
      </c>
      <c r="AL114">
        <f t="shared" si="35"/>
        <v>23</v>
      </c>
      <c r="AM114" s="113">
        <f t="shared" si="36"/>
        <v>112</v>
      </c>
      <c r="AN114">
        <f t="shared" si="37"/>
        <v>104</v>
      </c>
      <c r="AO114">
        <f t="shared" si="38"/>
        <v>89</v>
      </c>
      <c r="AP114">
        <f t="shared" si="39"/>
        <v>117</v>
      </c>
      <c r="AQ114">
        <f t="shared" si="40"/>
        <v>165</v>
      </c>
      <c r="AR114">
        <f t="shared" si="41"/>
        <v>202</v>
      </c>
      <c r="AS114">
        <f t="shared" si="42"/>
        <v>226</v>
      </c>
      <c r="AT114">
        <f t="shared" si="43"/>
        <v>233</v>
      </c>
      <c r="AU114">
        <f t="shared" si="44"/>
        <v>269</v>
      </c>
      <c r="AV114">
        <f t="shared" si="45"/>
        <v>263</v>
      </c>
      <c r="AW114">
        <f t="shared" si="46"/>
        <v>187</v>
      </c>
      <c r="AX114">
        <f t="shared" si="47"/>
        <v>147</v>
      </c>
    </row>
    <row r="115" spans="1:51" x14ac:dyDescent="0.25">
      <c r="A115" s="113">
        <v>112</v>
      </c>
      <c r="B115" s="209" t="s">
        <v>179</v>
      </c>
      <c r="C115" s="113">
        <v>1931</v>
      </c>
      <c r="D115" s="113">
        <v>2013</v>
      </c>
      <c r="E115" s="210" t="s">
        <v>16</v>
      </c>
      <c r="F115" s="210" t="s">
        <v>16</v>
      </c>
      <c r="G115" s="113">
        <v>111</v>
      </c>
      <c r="H115" s="113"/>
      <c r="I115" s="113"/>
      <c r="J115" s="113"/>
      <c r="K115" s="113"/>
      <c r="N115" s="113">
        <f>MATCH(A115,Entrada!$A$53:$A$372,0)</f>
        <v>76</v>
      </c>
      <c r="O115">
        <f>IF(NOT(ISNA($N115)),INDEX(Entrada!$C$53:$N$372,$N115,O$2),0)</f>
        <v>134</v>
      </c>
      <c r="P115">
        <f>IF(NOT(ISNA($N115)),INDEX(Entrada!$C$53:$N$372,$N115,P$2),0)</f>
        <v>124</v>
      </c>
      <c r="Q115">
        <f>IF(NOT(ISNA($N115)),INDEX(Entrada!$C$53:$N$372,$N115,Q$2),0)</f>
        <v>105</v>
      </c>
      <c r="R115">
        <f>IF(NOT(ISNA($N115)),INDEX(Entrada!$C$53:$N$372,$N115,R$2),0)</f>
        <v>138</v>
      </c>
      <c r="S115">
        <f>IF(NOT(ISNA($N115)),INDEX(Entrada!$C$53:$N$372,$N115,S$2),0)</f>
        <v>194</v>
      </c>
      <c r="T115">
        <f>IF(NOT(ISNA($N115)),INDEX(Entrada!$C$53:$N$372,$N115,T$2),0)</f>
        <v>237</v>
      </c>
      <c r="U115">
        <f>IF(NOT(ISNA($N115)),INDEX(Entrada!$C$53:$N$372,$N115,U$2),0)</f>
        <v>266</v>
      </c>
      <c r="V115" s="225">
        <f>IF(NOT(ISNA($N115)),INDEX(Entrada!$C$53:$N$372,$N115,V$2),0)</f>
        <v>275</v>
      </c>
      <c r="W115" s="225">
        <f>IF(NOT(ISNA($N115)),INDEX(Entrada!$C$53:$N$372,$N115,W$2),0)</f>
        <v>314</v>
      </c>
      <c r="X115" s="225">
        <f>IF(NOT(ISNA($N115)),INDEX(Entrada!$C$53:$N$372,$N115,X$2),0)</f>
        <v>311</v>
      </c>
      <c r="Y115" s="225">
        <f>IF(NOT(ISNA($N115)),INDEX(Entrada!$C$53:$N$372,$N115,Y$2),0)</f>
        <v>221</v>
      </c>
      <c r="Z115" s="225">
        <f>IF(NOT(ISNA($N115)),INDEX(Entrada!$C$53:$N$372,$N115,Z$2),0)</f>
        <v>171</v>
      </c>
      <c r="AA115" s="113">
        <f t="shared" si="24"/>
        <v>132</v>
      </c>
      <c r="AB115">
        <f t="shared" si="25"/>
        <v>123</v>
      </c>
      <c r="AC115">
        <f t="shared" si="26"/>
        <v>104</v>
      </c>
      <c r="AD115">
        <f t="shared" si="27"/>
        <v>137</v>
      </c>
      <c r="AE115">
        <f t="shared" si="28"/>
        <v>192</v>
      </c>
      <c r="AF115">
        <f t="shared" si="29"/>
        <v>235</v>
      </c>
      <c r="AG115">
        <f t="shared" si="30"/>
        <v>264</v>
      </c>
      <c r="AH115">
        <f t="shared" si="31"/>
        <v>273</v>
      </c>
      <c r="AI115">
        <f t="shared" si="32"/>
        <v>312</v>
      </c>
      <c r="AJ115">
        <f t="shared" si="33"/>
        <v>308</v>
      </c>
      <c r="AK115">
        <f t="shared" si="34"/>
        <v>219</v>
      </c>
      <c r="AL115">
        <f t="shared" si="35"/>
        <v>170</v>
      </c>
      <c r="AM115" s="113">
        <f t="shared" si="36"/>
        <v>2</v>
      </c>
      <c r="AN115">
        <f t="shared" si="37"/>
        <v>1</v>
      </c>
      <c r="AO115">
        <f t="shared" si="38"/>
        <v>1</v>
      </c>
      <c r="AP115">
        <f t="shared" si="39"/>
        <v>1</v>
      </c>
      <c r="AQ115">
        <f t="shared" si="40"/>
        <v>2</v>
      </c>
      <c r="AR115">
        <f t="shared" si="41"/>
        <v>2</v>
      </c>
      <c r="AS115">
        <f t="shared" si="42"/>
        <v>2</v>
      </c>
      <c r="AT115">
        <f t="shared" si="43"/>
        <v>2</v>
      </c>
      <c r="AU115">
        <f t="shared" si="44"/>
        <v>2</v>
      </c>
      <c r="AV115">
        <f t="shared" si="45"/>
        <v>3</v>
      </c>
      <c r="AW115">
        <f t="shared" si="46"/>
        <v>2</v>
      </c>
      <c r="AX115">
        <f t="shared" si="47"/>
        <v>1</v>
      </c>
    </row>
    <row r="116" spans="1:51" x14ac:dyDescent="0.25">
      <c r="A116" s="113">
        <v>113</v>
      </c>
      <c r="B116" s="209" t="s">
        <v>180</v>
      </c>
      <c r="C116" s="113">
        <v>1931</v>
      </c>
      <c r="D116" s="113">
        <v>2013</v>
      </c>
      <c r="E116" s="210" t="s">
        <v>16</v>
      </c>
      <c r="F116" s="210" t="s">
        <v>16</v>
      </c>
      <c r="G116" s="113">
        <v>112</v>
      </c>
      <c r="H116" s="113"/>
      <c r="I116" s="113"/>
      <c r="J116" s="113"/>
      <c r="K116" s="113"/>
      <c r="N116" s="113">
        <f>MATCH(A116,Entrada!$A$53:$A$372,0)</f>
        <v>77</v>
      </c>
      <c r="O116">
        <f>IF(NOT(ISNA($N116)),INDEX(Entrada!$C$53:$N$372,$N116,O$2),0)</f>
        <v>166</v>
      </c>
      <c r="P116">
        <f>IF(NOT(ISNA($N116)),INDEX(Entrada!$C$53:$N$372,$N116,P$2),0)</f>
        <v>154</v>
      </c>
      <c r="Q116">
        <f>IF(NOT(ISNA($N116)),INDEX(Entrada!$C$53:$N$372,$N116,Q$2),0)</f>
        <v>131</v>
      </c>
      <c r="R116">
        <f>IF(NOT(ISNA($N116)),INDEX(Entrada!$C$53:$N$372,$N116,R$2),0)</f>
        <v>176</v>
      </c>
      <c r="S116">
        <f>IF(NOT(ISNA($N116)),INDEX(Entrada!$C$53:$N$372,$N116,S$2),0)</f>
        <v>247</v>
      </c>
      <c r="T116">
        <f>IF(NOT(ISNA($N116)),INDEX(Entrada!$C$53:$N$372,$N116,T$2),0)</f>
        <v>301</v>
      </c>
      <c r="U116">
        <f>IF(NOT(ISNA($N116)),INDEX(Entrada!$C$53:$N$372,$N116,U$2),0)</f>
        <v>343</v>
      </c>
      <c r="V116" s="225">
        <f>IF(NOT(ISNA($N116)),INDEX(Entrada!$C$53:$N$372,$N116,V$2),0)</f>
        <v>348</v>
      </c>
      <c r="W116" s="225">
        <f>IF(NOT(ISNA($N116)),INDEX(Entrada!$C$53:$N$372,$N116,W$2),0)</f>
        <v>398</v>
      </c>
      <c r="X116" s="225">
        <f>IF(NOT(ISNA($N116)),INDEX(Entrada!$C$53:$N$372,$N116,X$2),0)</f>
        <v>394</v>
      </c>
      <c r="Y116" s="225">
        <f>IF(NOT(ISNA($N116)),INDEX(Entrada!$C$53:$N$372,$N116,Y$2),0)</f>
        <v>285</v>
      </c>
      <c r="Z116" s="225">
        <f>IF(NOT(ISNA($N116)),INDEX(Entrada!$C$53:$N$372,$N116,Z$2),0)</f>
        <v>212</v>
      </c>
      <c r="AA116" s="113">
        <f t="shared" si="24"/>
        <v>134</v>
      </c>
      <c r="AB116">
        <f t="shared" si="25"/>
        <v>124</v>
      </c>
      <c r="AC116">
        <f t="shared" si="26"/>
        <v>105</v>
      </c>
      <c r="AD116">
        <f t="shared" si="27"/>
        <v>138</v>
      </c>
      <c r="AE116">
        <f t="shared" si="28"/>
        <v>194</v>
      </c>
      <c r="AF116">
        <f t="shared" si="29"/>
        <v>237</v>
      </c>
      <c r="AG116">
        <f t="shared" si="30"/>
        <v>266</v>
      </c>
      <c r="AH116">
        <f t="shared" si="31"/>
        <v>275</v>
      </c>
      <c r="AI116">
        <f t="shared" si="32"/>
        <v>314</v>
      </c>
      <c r="AJ116">
        <f t="shared" si="33"/>
        <v>311</v>
      </c>
      <c r="AK116">
        <f t="shared" si="34"/>
        <v>221</v>
      </c>
      <c r="AL116">
        <f t="shared" si="35"/>
        <v>171</v>
      </c>
      <c r="AM116" s="113">
        <f t="shared" si="36"/>
        <v>32</v>
      </c>
      <c r="AN116">
        <f t="shared" si="37"/>
        <v>30</v>
      </c>
      <c r="AO116">
        <f t="shared" si="38"/>
        <v>26</v>
      </c>
      <c r="AP116">
        <f t="shared" si="39"/>
        <v>38</v>
      </c>
      <c r="AQ116">
        <f t="shared" si="40"/>
        <v>53</v>
      </c>
      <c r="AR116">
        <f t="shared" si="41"/>
        <v>64</v>
      </c>
      <c r="AS116">
        <f t="shared" si="42"/>
        <v>77</v>
      </c>
      <c r="AT116">
        <f t="shared" si="43"/>
        <v>73</v>
      </c>
      <c r="AU116">
        <f t="shared" si="44"/>
        <v>84</v>
      </c>
      <c r="AV116">
        <f t="shared" si="45"/>
        <v>83</v>
      </c>
      <c r="AW116">
        <f t="shared" si="46"/>
        <v>64</v>
      </c>
      <c r="AX116">
        <f t="shared" si="47"/>
        <v>41</v>
      </c>
    </row>
    <row r="117" spans="1:51" x14ac:dyDescent="0.25">
      <c r="A117" s="113">
        <v>114</v>
      </c>
      <c r="B117" s="209" t="s">
        <v>594</v>
      </c>
      <c r="C117" s="113">
        <v>1931</v>
      </c>
      <c r="D117" s="113">
        <v>2013</v>
      </c>
      <c r="E117" s="210" t="s">
        <v>16</v>
      </c>
      <c r="F117" s="210" t="s">
        <v>16</v>
      </c>
      <c r="G117" s="113">
        <v>113</v>
      </c>
      <c r="H117" s="113"/>
      <c r="I117" s="113"/>
      <c r="J117" s="113"/>
      <c r="K117" s="113"/>
      <c r="N117" s="113">
        <f>MATCH(A117,Entrada!$A$53:$A$372,0)</f>
        <v>78</v>
      </c>
      <c r="O117">
        <f>IF(NOT(ISNA($N117)),INDEX(Entrada!$C$53:$N$372,$N117,O$2),0)</f>
        <v>201</v>
      </c>
      <c r="P117">
        <f>IF(NOT(ISNA($N117)),INDEX(Entrada!$C$53:$N$372,$N117,P$2),0)</f>
        <v>191</v>
      </c>
      <c r="Q117">
        <f>IF(NOT(ISNA($N117)),INDEX(Entrada!$C$53:$N$372,$N117,Q$2),0)</f>
        <v>163</v>
      </c>
      <c r="R117">
        <f>IF(NOT(ISNA($N117)),INDEX(Entrada!$C$53:$N$372,$N117,R$2),0)</f>
        <v>225</v>
      </c>
      <c r="S117">
        <f>IF(NOT(ISNA($N117)),INDEX(Entrada!$C$53:$N$372,$N117,S$2),0)</f>
        <v>302</v>
      </c>
      <c r="T117">
        <f>IF(NOT(ISNA($N117)),INDEX(Entrada!$C$53:$N$372,$N117,T$2),0)</f>
        <v>384</v>
      </c>
      <c r="U117">
        <f>IF(NOT(ISNA($N117)),INDEX(Entrada!$C$53:$N$372,$N117,U$2),0)</f>
        <v>433</v>
      </c>
      <c r="V117" s="225">
        <f>IF(NOT(ISNA($N117)),INDEX(Entrada!$C$53:$N$372,$N117,V$2),0)</f>
        <v>425</v>
      </c>
      <c r="W117" s="225">
        <f>IF(NOT(ISNA($N117)),INDEX(Entrada!$C$53:$N$372,$N117,W$2),0)</f>
        <v>483</v>
      </c>
      <c r="X117" s="225">
        <f>IF(NOT(ISNA($N117)),INDEX(Entrada!$C$53:$N$372,$N117,X$2),0)</f>
        <v>475</v>
      </c>
      <c r="Y117" s="225">
        <f>IF(NOT(ISNA($N117)),INDEX(Entrada!$C$53:$N$372,$N117,Y$2),0)</f>
        <v>341</v>
      </c>
      <c r="Z117" s="225">
        <f>IF(NOT(ISNA($N117)),INDEX(Entrada!$C$53:$N$372,$N117,Z$2),0)</f>
        <v>254</v>
      </c>
      <c r="AA117" s="113">
        <f t="shared" si="24"/>
        <v>166</v>
      </c>
      <c r="AB117">
        <f t="shared" si="25"/>
        <v>154</v>
      </c>
      <c r="AC117">
        <f t="shared" si="26"/>
        <v>131</v>
      </c>
      <c r="AD117">
        <f t="shared" si="27"/>
        <v>176</v>
      </c>
      <c r="AE117">
        <f t="shared" si="28"/>
        <v>247</v>
      </c>
      <c r="AF117">
        <f t="shared" si="29"/>
        <v>301</v>
      </c>
      <c r="AG117">
        <f t="shared" si="30"/>
        <v>343</v>
      </c>
      <c r="AH117">
        <f t="shared" si="31"/>
        <v>348</v>
      </c>
      <c r="AI117">
        <f t="shared" si="32"/>
        <v>398</v>
      </c>
      <c r="AJ117">
        <f t="shared" si="33"/>
        <v>394</v>
      </c>
      <c r="AK117">
        <f t="shared" si="34"/>
        <v>285</v>
      </c>
      <c r="AL117">
        <f t="shared" si="35"/>
        <v>212</v>
      </c>
      <c r="AM117" s="113">
        <f t="shared" si="36"/>
        <v>35</v>
      </c>
      <c r="AN117">
        <f t="shared" si="37"/>
        <v>37</v>
      </c>
      <c r="AO117">
        <f t="shared" si="38"/>
        <v>32</v>
      </c>
      <c r="AP117">
        <f t="shared" si="39"/>
        <v>49</v>
      </c>
      <c r="AQ117">
        <f t="shared" si="40"/>
        <v>55</v>
      </c>
      <c r="AR117">
        <f t="shared" si="41"/>
        <v>83</v>
      </c>
      <c r="AS117">
        <f t="shared" si="42"/>
        <v>90</v>
      </c>
      <c r="AT117">
        <f t="shared" si="43"/>
        <v>77</v>
      </c>
      <c r="AU117">
        <f t="shared" si="44"/>
        <v>85</v>
      </c>
      <c r="AV117">
        <f t="shared" si="45"/>
        <v>81</v>
      </c>
      <c r="AW117">
        <f t="shared" si="46"/>
        <v>56</v>
      </c>
      <c r="AX117">
        <f t="shared" si="47"/>
        <v>42</v>
      </c>
    </row>
    <row r="118" spans="1:51" x14ac:dyDescent="0.25">
      <c r="A118" s="113">
        <v>115</v>
      </c>
      <c r="B118" s="209" t="s">
        <v>595</v>
      </c>
      <c r="C118" s="113">
        <v>1931</v>
      </c>
      <c r="D118" s="113">
        <v>2013</v>
      </c>
      <c r="E118" s="210" t="s">
        <v>18</v>
      </c>
      <c r="F118" s="210" t="s">
        <v>339</v>
      </c>
      <c r="G118" s="113"/>
      <c r="H118" s="113"/>
      <c r="I118" s="113"/>
      <c r="J118" s="113"/>
      <c r="K118" s="113"/>
      <c r="N118" s="113">
        <f>MATCH(A118,Entrada!$A$53:$A$372,0)</f>
        <v>79</v>
      </c>
      <c r="O118">
        <f>IF(NOT(ISNA($N118)),INDEX(Entrada!$C$53:$N$372,$N118,O$2),0)</f>
        <v>25</v>
      </c>
      <c r="P118">
        <f>IF(NOT(ISNA($N118)),INDEX(Entrada!$C$53:$N$372,$N118,P$2),0)</f>
        <v>27</v>
      </c>
      <c r="Q118">
        <f>IF(NOT(ISNA($N118)),INDEX(Entrada!$C$53:$N$372,$N118,Q$2),0)</f>
        <v>24</v>
      </c>
      <c r="R118">
        <f>IF(NOT(ISNA($N118)),INDEX(Entrada!$C$53:$N$372,$N118,R$2),0)</f>
        <v>18</v>
      </c>
      <c r="S118">
        <f>IF(NOT(ISNA($N118)),INDEX(Entrada!$C$53:$N$372,$N118,S$2),0)</f>
        <v>17</v>
      </c>
      <c r="T118">
        <f>IF(NOT(ISNA($N118)),INDEX(Entrada!$C$53:$N$372,$N118,T$2),0)</f>
        <v>17</v>
      </c>
      <c r="U118">
        <f>IF(NOT(ISNA($N118)),INDEX(Entrada!$C$53:$N$372,$N118,U$2),0)</f>
        <v>17</v>
      </c>
      <c r="V118" s="225">
        <f>IF(NOT(ISNA($N118)),INDEX(Entrada!$C$53:$N$372,$N118,V$2),0)</f>
        <v>14</v>
      </c>
      <c r="W118" s="225">
        <f>IF(NOT(ISNA($N118)),INDEX(Entrada!$C$53:$N$372,$N118,W$2),0)</f>
        <v>18</v>
      </c>
      <c r="X118" s="225">
        <f>IF(NOT(ISNA($N118)),INDEX(Entrada!$C$53:$N$372,$N118,X$2),0)</f>
        <v>20</v>
      </c>
      <c r="Y118" s="225">
        <f>IF(NOT(ISNA($N118)),INDEX(Entrada!$C$53:$N$372,$N118,Y$2),0)</f>
        <v>19</v>
      </c>
      <c r="Z118" s="225">
        <f>IF(NOT(ISNA($N118)),INDEX(Entrada!$C$53:$N$372,$N118,Z$2),0)</f>
        <v>20</v>
      </c>
      <c r="AA118" s="113">
        <f t="shared" si="24"/>
        <v>0</v>
      </c>
      <c r="AB118">
        <f t="shared" si="25"/>
        <v>0</v>
      </c>
      <c r="AC118">
        <f t="shared" si="26"/>
        <v>0</v>
      </c>
      <c r="AD118">
        <f t="shared" si="27"/>
        <v>0</v>
      </c>
      <c r="AE118">
        <f t="shared" si="28"/>
        <v>0</v>
      </c>
      <c r="AF118">
        <f t="shared" si="29"/>
        <v>0</v>
      </c>
      <c r="AG118">
        <f t="shared" si="30"/>
        <v>0</v>
      </c>
      <c r="AH118">
        <f t="shared" si="31"/>
        <v>0</v>
      </c>
      <c r="AI118">
        <f t="shared" si="32"/>
        <v>0</v>
      </c>
      <c r="AJ118">
        <f t="shared" si="33"/>
        <v>0</v>
      </c>
      <c r="AK118">
        <f t="shared" si="34"/>
        <v>0</v>
      </c>
      <c r="AL118">
        <f t="shared" si="35"/>
        <v>0</v>
      </c>
      <c r="AM118" s="113">
        <f t="shared" si="36"/>
        <v>25</v>
      </c>
      <c r="AN118">
        <f t="shared" si="37"/>
        <v>27</v>
      </c>
      <c r="AO118">
        <f t="shared" si="38"/>
        <v>24</v>
      </c>
      <c r="AP118">
        <f t="shared" si="39"/>
        <v>18</v>
      </c>
      <c r="AQ118">
        <f t="shared" si="40"/>
        <v>17</v>
      </c>
      <c r="AR118">
        <f t="shared" si="41"/>
        <v>17</v>
      </c>
      <c r="AS118">
        <f t="shared" si="42"/>
        <v>17</v>
      </c>
      <c r="AT118">
        <f t="shared" si="43"/>
        <v>14</v>
      </c>
      <c r="AU118">
        <f t="shared" si="44"/>
        <v>18</v>
      </c>
      <c r="AV118">
        <f t="shared" si="45"/>
        <v>20</v>
      </c>
      <c r="AW118">
        <f t="shared" si="46"/>
        <v>19</v>
      </c>
      <c r="AX118">
        <f t="shared" si="47"/>
        <v>20</v>
      </c>
    </row>
    <row r="119" spans="1:51" x14ac:dyDescent="0.25">
      <c r="A119" s="113">
        <v>116</v>
      </c>
      <c r="B119" s="209" t="s">
        <v>596</v>
      </c>
      <c r="C119" s="113">
        <v>1931</v>
      </c>
      <c r="D119" s="113">
        <v>2013</v>
      </c>
      <c r="E119" s="210" t="s">
        <v>9</v>
      </c>
      <c r="F119" s="210" t="s">
        <v>342</v>
      </c>
      <c r="G119" s="113"/>
      <c r="H119" s="113"/>
      <c r="I119" s="113"/>
      <c r="J119" s="113"/>
      <c r="K119" s="113"/>
      <c r="N119" s="113">
        <f>MATCH(A119,Entrada!$A$53:$A$372,0)</f>
        <v>80</v>
      </c>
      <c r="O119">
        <f>IF(NOT(ISNA($N119)),INDEX(Entrada!$C$53:$N$372,$N119,O$2),0)</f>
        <v>6</v>
      </c>
      <c r="P119">
        <f>IF(NOT(ISNA($N119)),INDEX(Entrada!$C$53:$N$372,$N119,P$2),0)</f>
        <v>6</v>
      </c>
      <c r="Q119">
        <f>IF(NOT(ISNA($N119)),INDEX(Entrada!$C$53:$N$372,$N119,Q$2),0)</f>
        <v>5</v>
      </c>
      <c r="R119">
        <f>IF(NOT(ISNA($N119)),INDEX(Entrada!$C$53:$N$372,$N119,R$2),0)</f>
        <v>4</v>
      </c>
      <c r="S119">
        <f>IF(NOT(ISNA($N119)),INDEX(Entrada!$C$53:$N$372,$N119,S$2),0)</f>
        <v>3</v>
      </c>
      <c r="T119">
        <f>IF(NOT(ISNA($N119)),INDEX(Entrada!$C$53:$N$372,$N119,T$2),0)</f>
        <v>2</v>
      </c>
      <c r="U119" s="219">
        <f>IF(NOT(ISNA($N119)),INDEX(Entrada!$C$53:$N$372,$N119,U$2),0)</f>
        <v>2</v>
      </c>
      <c r="V119" s="225">
        <f>IF(NOT(ISNA($N119)),INDEX(Entrada!$C$53:$N$372,$N119,V$2),0)</f>
        <v>2</v>
      </c>
      <c r="W119" s="225">
        <f>IF(NOT(ISNA($N119)),INDEX(Entrada!$C$53:$N$372,$N119,W$2),0)</f>
        <v>3</v>
      </c>
      <c r="X119" s="225">
        <f>IF(NOT(ISNA($N119)),INDEX(Entrada!$C$53:$N$372,$N119,X$2),0)</f>
        <v>3</v>
      </c>
      <c r="Y119" s="225">
        <f>IF(NOT(ISNA($N119)),INDEX(Entrada!$C$53:$N$372,$N119,Y$2),0)</f>
        <v>3</v>
      </c>
      <c r="Z119" s="225">
        <f>IF(NOT(ISNA($N119)),INDEX(Entrada!$C$53:$N$372,$N119,Z$2),0)</f>
        <v>5</v>
      </c>
      <c r="AA119" s="113">
        <f t="shared" si="24"/>
        <v>0</v>
      </c>
      <c r="AB119">
        <f t="shared" si="25"/>
        <v>0</v>
      </c>
      <c r="AC119">
        <f t="shared" si="26"/>
        <v>0</v>
      </c>
      <c r="AD119">
        <f t="shared" si="27"/>
        <v>0</v>
      </c>
      <c r="AE119">
        <f t="shared" si="28"/>
        <v>0</v>
      </c>
      <c r="AF119">
        <f t="shared" si="29"/>
        <v>0</v>
      </c>
      <c r="AG119">
        <f t="shared" si="30"/>
        <v>0</v>
      </c>
      <c r="AH119">
        <f t="shared" si="31"/>
        <v>0</v>
      </c>
      <c r="AI119">
        <f t="shared" si="32"/>
        <v>0</v>
      </c>
      <c r="AJ119">
        <f t="shared" si="33"/>
        <v>0</v>
      </c>
      <c r="AK119">
        <f t="shared" si="34"/>
        <v>0</v>
      </c>
      <c r="AL119">
        <f t="shared" si="35"/>
        <v>0</v>
      </c>
      <c r="AM119" s="219">
        <f t="shared" si="36"/>
        <v>6</v>
      </c>
      <c r="AN119">
        <f t="shared" si="37"/>
        <v>6</v>
      </c>
      <c r="AO119">
        <f t="shared" si="38"/>
        <v>5</v>
      </c>
      <c r="AP119">
        <f t="shared" si="39"/>
        <v>4</v>
      </c>
      <c r="AQ119">
        <f t="shared" si="40"/>
        <v>3</v>
      </c>
      <c r="AR119">
        <f t="shared" si="41"/>
        <v>2</v>
      </c>
      <c r="AS119">
        <f t="shared" si="42"/>
        <v>2</v>
      </c>
      <c r="AT119">
        <f t="shared" si="43"/>
        <v>2</v>
      </c>
      <c r="AU119">
        <f t="shared" si="44"/>
        <v>3</v>
      </c>
      <c r="AV119">
        <f t="shared" si="45"/>
        <v>3</v>
      </c>
      <c r="AW119">
        <f t="shared" si="46"/>
        <v>3</v>
      </c>
      <c r="AX119">
        <f t="shared" si="47"/>
        <v>5</v>
      </c>
      <c r="AY119" s="219">
        <f>AY122-AY121</f>
        <v>-0.22831050228310501</v>
      </c>
    </row>
    <row r="120" spans="1:51" x14ac:dyDescent="0.25">
      <c r="A120" s="113">
        <v>117</v>
      </c>
      <c r="B120" s="209" t="s">
        <v>229</v>
      </c>
      <c r="C120" s="113">
        <v>1931</v>
      </c>
      <c r="D120" s="113">
        <v>2013</v>
      </c>
      <c r="E120" s="210" t="s">
        <v>9</v>
      </c>
      <c r="F120" s="210" t="s">
        <v>344</v>
      </c>
      <c r="G120" s="113"/>
      <c r="H120" s="113"/>
      <c r="I120" s="113"/>
      <c r="J120" s="113"/>
      <c r="K120" s="113"/>
      <c r="N120" s="113">
        <f>MATCH(A120,Entrada!$A$53:$A$372,0)</f>
        <v>81</v>
      </c>
      <c r="O120">
        <f>IF(NOT(ISNA($N120)),INDEX(Entrada!$C$53:$N$372,$N120,O$2),0)</f>
        <v>19</v>
      </c>
      <c r="P120">
        <f>IF(NOT(ISNA($N120)),INDEX(Entrada!$C$53:$N$372,$N120,P$2),0)</f>
        <v>20</v>
      </c>
      <c r="Q120">
        <f>IF(NOT(ISNA($N120)),INDEX(Entrada!$C$53:$N$372,$N120,Q$2),0)</f>
        <v>18</v>
      </c>
      <c r="R120">
        <f>IF(NOT(ISNA($N120)),INDEX(Entrada!$C$53:$N$372,$N120,R$2),0)</f>
        <v>13</v>
      </c>
      <c r="S120">
        <f>IF(NOT(ISNA($N120)),INDEX(Entrada!$C$53:$N$372,$N120,S$2),0)</f>
        <v>10</v>
      </c>
      <c r="T120">
        <f>IF(NOT(ISNA($N120)),INDEX(Entrada!$C$53:$N$372,$N120,T$2),0)</f>
        <v>10</v>
      </c>
      <c r="U120">
        <f>IF(NOT(ISNA($N120)),INDEX(Entrada!$C$53:$N$372,$N120,U$2),0)</f>
        <v>8</v>
      </c>
      <c r="V120" s="225">
        <f>IF(NOT(ISNA($N120)),INDEX(Entrada!$C$53:$N$372,$N120,V$2),0)</f>
        <v>7</v>
      </c>
      <c r="W120" s="225">
        <f>IF(NOT(ISNA($N120)),INDEX(Entrada!$C$53:$N$372,$N120,W$2),0)</f>
        <v>9</v>
      </c>
      <c r="X120" s="225">
        <f>IF(NOT(ISNA($N120)),INDEX(Entrada!$C$53:$N$372,$N120,X$2),0)</f>
        <v>11</v>
      </c>
      <c r="Y120" s="225">
        <f>IF(NOT(ISNA($N120)),INDEX(Entrada!$C$53:$N$372,$N120,Y$2),0)</f>
        <v>11</v>
      </c>
      <c r="Z120" s="225">
        <f>IF(NOT(ISNA($N120)),INDEX(Entrada!$C$53:$N$372,$N120,Z$2),0)</f>
        <v>14</v>
      </c>
      <c r="AA120" s="113">
        <f t="shared" si="24"/>
        <v>0</v>
      </c>
      <c r="AB120">
        <f t="shared" si="25"/>
        <v>0</v>
      </c>
      <c r="AC120">
        <f t="shared" si="26"/>
        <v>0</v>
      </c>
      <c r="AD120">
        <f t="shared" si="27"/>
        <v>0</v>
      </c>
      <c r="AE120">
        <f t="shared" si="28"/>
        <v>0</v>
      </c>
      <c r="AF120">
        <f t="shared" si="29"/>
        <v>0</v>
      </c>
      <c r="AG120">
        <f t="shared" si="30"/>
        <v>0</v>
      </c>
      <c r="AH120">
        <f t="shared" si="31"/>
        <v>0</v>
      </c>
      <c r="AI120">
        <f t="shared" si="32"/>
        <v>0</v>
      </c>
      <c r="AJ120">
        <f t="shared" si="33"/>
        <v>0</v>
      </c>
      <c r="AK120">
        <f t="shared" si="34"/>
        <v>0</v>
      </c>
      <c r="AL120">
        <f t="shared" si="35"/>
        <v>0</v>
      </c>
      <c r="AM120" s="113">
        <f t="shared" si="36"/>
        <v>19</v>
      </c>
      <c r="AN120">
        <f t="shared" si="37"/>
        <v>20</v>
      </c>
      <c r="AO120">
        <f t="shared" si="38"/>
        <v>18</v>
      </c>
      <c r="AP120">
        <f t="shared" si="39"/>
        <v>13</v>
      </c>
      <c r="AQ120">
        <f t="shared" si="40"/>
        <v>10</v>
      </c>
      <c r="AR120">
        <f t="shared" si="41"/>
        <v>10</v>
      </c>
      <c r="AS120">
        <f t="shared" si="42"/>
        <v>8</v>
      </c>
      <c r="AT120">
        <f t="shared" si="43"/>
        <v>7</v>
      </c>
      <c r="AU120">
        <f t="shared" si="44"/>
        <v>9</v>
      </c>
      <c r="AV120">
        <f t="shared" si="45"/>
        <v>11</v>
      </c>
      <c r="AW120">
        <f t="shared" si="46"/>
        <v>11</v>
      </c>
      <c r="AX120">
        <f t="shared" si="47"/>
        <v>14</v>
      </c>
    </row>
    <row r="121" spans="1:51" x14ac:dyDescent="0.25">
      <c r="A121" s="113">
        <v>118</v>
      </c>
      <c r="B121" s="209" t="s">
        <v>597</v>
      </c>
      <c r="C121" s="113">
        <v>1931</v>
      </c>
      <c r="D121" s="113">
        <v>2013</v>
      </c>
      <c r="E121" s="210" t="s">
        <v>9</v>
      </c>
      <c r="F121" s="210" t="s">
        <v>332</v>
      </c>
      <c r="G121" s="113">
        <v>117</v>
      </c>
      <c r="H121" s="113"/>
      <c r="I121" s="113"/>
      <c r="J121" s="113"/>
      <c r="K121" s="113"/>
      <c r="N121" s="113">
        <f>MATCH(A121,Entrada!$A$53:$A$372,0)</f>
        <v>82</v>
      </c>
      <c r="O121">
        <f>IF(NOT(ISNA($N121)),INDEX(Entrada!$C$53:$N$372,$N121,O$2),0)</f>
        <v>26</v>
      </c>
      <c r="P121">
        <f>IF(NOT(ISNA($N121)),INDEX(Entrada!$C$53:$N$372,$N121,P$2),0)</f>
        <v>26</v>
      </c>
      <c r="Q121">
        <f>IF(NOT(ISNA($N121)),INDEX(Entrada!$C$53:$N$372,$N121,Q$2),0)</f>
        <v>23</v>
      </c>
      <c r="R121">
        <f>IF(NOT(ISNA($N121)),INDEX(Entrada!$C$53:$N$372,$N121,R$2),0)</f>
        <v>17</v>
      </c>
      <c r="S121">
        <f>IF(NOT(ISNA($N121)),INDEX(Entrada!$C$53:$N$372,$N121,S$2),0)</f>
        <v>12</v>
      </c>
      <c r="T121">
        <f>IF(NOT(ISNA($N121)),INDEX(Entrada!$C$53:$N$372,$N121,T$2),0)</f>
        <v>11</v>
      </c>
      <c r="U121">
        <f>IF(NOT(ISNA($N121)),INDEX(Entrada!$C$53:$N$372,$N121,U$2),0)</f>
        <v>9</v>
      </c>
      <c r="V121" s="225">
        <f>IF(NOT(ISNA($N121)),INDEX(Entrada!$C$53:$N$372,$N121,V$2),0)</f>
        <v>8</v>
      </c>
      <c r="W121" s="225">
        <f>IF(NOT(ISNA($N121)),INDEX(Entrada!$C$53:$N$372,$N121,W$2),0)</f>
        <v>12</v>
      </c>
      <c r="X121" s="225">
        <f>IF(NOT(ISNA($N121)),INDEX(Entrada!$C$53:$N$372,$N121,X$2),0)</f>
        <v>15</v>
      </c>
      <c r="Y121" s="225">
        <f>IF(NOT(ISNA($N121)),INDEX(Entrada!$C$53:$N$372,$N121,Y$2),0)</f>
        <v>15</v>
      </c>
      <c r="Z121" s="225">
        <f>IF(NOT(ISNA($N121)),INDEX(Entrada!$C$53:$N$372,$N121,Z$2),0)</f>
        <v>21</v>
      </c>
      <c r="AA121" s="113">
        <f t="shared" si="24"/>
        <v>19</v>
      </c>
      <c r="AB121">
        <f t="shared" si="25"/>
        <v>20</v>
      </c>
      <c r="AC121">
        <f t="shared" si="26"/>
        <v>18</v>
      </c>
      <c r="AD121">
        <f t="shared" si="27"/>
        <v>13</v>
      </c>
      <c r="AE121">
        <f t="shared" si="28"/>
        <v>10</v>
      </c>
      <c r="AF121">
        <f t="shared" si="29"/>
        <v>10</v>
      </c>
      <c r="AG121">
        <f t="shared" si="30"/>
        <v>8</v>
      </c>
      <c r="AH121">
        <f t="shared" si="31"/>
        <v>7</v>
      </c>
      <c r="AI121">
        <f t="shared" si="32"/>
        <v>9</v>
      </c>
      <c r="AJ121">
        <f t="shared" si="33"/>
        <v>11</v>
      </c>
      <c r="AK121">
        <f t="shared" si="34"/>
        <v>11</v>
      </c>
      <c r="AL121">
        <f t="shared" si="35"/>
        <v>14</v>
      </c>
      <c r="AM121" s="113">
        <f t="shared" si="36"/>
        <v>7</v>
      </c>
      <c r="AN121">
        <f t="shared" si="37"/>
        <v>6</v>
      </c>
      <c r="AO121">
        <f t="shared" si="38"/>
        <v>5</v>
      </c>
      <c r="AP121">
        <f t="shared" si="39"/>
        <v>4</v>
      </c>
      <c r="AQ121">
        <f t="shared" si="40"/>
        <v>2</v>
      </c>
      <c r="AR121">
        <f t="shared" si="41"/>
        <v>1</v>
      </c>
      <c r="AS121">
        <f t="shared" si="42"/>
        <v>1</v>
      </c>
      <c r="AT121">
        <f t="shared" si="43"/>
        <v>1</v>
      </c>
      <c r="AU121">
        <f t="shared" si="44"/>
        <v>3</v>
      </c>
      <c r="AV121">
        <f t="shared" si="45"/>
        <v>4</v>
      </c>
      <c r="AW121">
        <f t="shared" si="46"/>
        <v>4</v>
      </c>
      <c r="AX121">
        <f t="shared" si="47"/>
        <v>7</v>
      </c>
    </row>
    <row r="122" spans="1:51" x14ac:dyDescent="0.25">
      <c r="A122" s="113">
        <v>119</v>
      </c>
      <c r="B122" s="209" t="s">
        <v>598</v>
      </c>
      <c r="C122" s="113">
        <v>1931</v>
      </c>
      <c r="D122" s="113">
        <v>2013</v>
      </c>
      <c r="E122" s="210" t="s">
        <v>9</v>
      </c>
      <c r="F122" s="210" t="s">
        <v>347</v>
      </c>
      <c r="G122" s="113"/>
      <c r="H122" s="113"/>
      <c r="I122" s="113"/>
      <c r="J122" s="113"/>
      <c r="K122" s="113"/>
      <c r="N122" s="113">
        <f>MATCH(A122,Entrada!$A$53:$A$372,0)</f>
        <v>83</v>
      </c>
      <c r="O122">
        <f>IF(NOT(ISNA($N122)),INDEX(Entrada!$C$53:$N$372,$N122,O$2),0)</f>
        <v>32</v>
      </c>
      <c r="P122">
        <f>IF(NOT(ISNA($N122)),INDEX(Entrada!$C$53:$N$372,$N122,P$2),0)</f>
        <v>31</v>
      </c>
      <c r="Q122">
        <f>IF(NOT(ISNA($N122)),INDEX(Entrada!$C$53:$N$372,$N122,Q$2),0)</f>
        <v>28</v>
      </c>
      <c r="R122">
        <f>IF(NOT(ISNA($N122)),INDEX(Entrada!$C$53:$N$372,$N122,R$2),0)</f>
        <v>20</v>
      </c>
      <c r="S122">
        <f>IF(NOT(ISNA($N122)),INDEX(Entrada!$C$53:$N$372,$N122,S$2),0)</f>
        <v>15</v>
      </c>
      <c r="T122">
        <f>IF(NOT(ISNA($N122)),INDEX(Entrada!$C$53:$N$372,$N122,T$2),0)</f>
        <v>13</v>
      </c>
      <c r="U122" s="219">
        <f>IF(NOT(ISNA($N122)),INDEX(Entrada!$C$53:$N$372,$N122,U$2),0)</f>
        <v>11</v>
      </c>
      <c r="V122" s="225">
        <f>IF(NOT(ISNA($N122)),INDEX(Entrada!$C$53:$N$372,$N122,V$2),0)</f>
        <v>10</v>
      </c>
      <c r="W122" s="225">
        <f>IF(NOT(ISNA($N122)),INDEX(Entrada!$C$53:$N$372,$N122,W$2),0)</f>
        <v>15</v>
      </c>
      <c r="X122" s="225">
        <f>IF(NOT(ISNA($N122)),INDEX(Entrada!$C$53:$N$372,$N122,X$2),0)</f>
        <v>19</v>
      </c>
      <c r="Y122" s="225">
        <f>IF(NOT(ISNA($N122)),INDEX(Entrada!$C$53:$N$372,$N122,Y$2),0)</f>
        <v>19</v>
      </c>
      <c r="Z122" s="225">
        <f>IF(NOT(ISNA($N122)),INDEX(Entrada!$C$53:$N$372,$N122,Z$2),0)</f>
        <v>25</v>
      </c>
      <c r="AA122" s="113">
        <f t="shared" si="24"/>
        <v>0</v>
      </c>
      <c r="AB122">
        <f t="shared" si="25"/>
        <v>0</v>
      </c>
      <c r="AC122">
        <f t="shared" si="26"/>
        <v>0</v>
      </c>
      <c r="AD122">
        <f t="shared" si="27"/>
        <v>0</v>
      </c>
      <c r="AE122">
        <f t="shared" si="28"/>
        <v>0</v>
      </c>
      <c r="AF122">
        <f t="shared" si="29"/>
        <v>0</v>
      </c>
      <c r="AG122">
        <f t="shared" si="30"/>
        <v>0</v>
      </c>
      <c r="AH122">
        <f t="shared" si="31"/>
        <v>0</v>
      </c>
      <c r="AI122">
        <f t="shared" si="32"/>
        <v>0</v>
      </c>
      <c r="AJ122">
        <f t="shared" si="33"/>
        <v>0</v>
      </c>
      <c r="AK122">
        <f t="shared" si="34"/>
        <v>0</v>
      </c>
      <c r="AL122">
        <f t="shared" si="35"/>
        <v>0</v>
      </c>
      <c r="AM122" s="219">
        <f t="shared" si="36"/>
        <v>32</v>
      </c>
      <c r="AN122">
        <f t="shared" si="37"/>
        <v>31</v>
      </c>
      <c r="AO122">
        <f t="shared" si="38"/>
        <v>28</v>
      </c>
      <c r="AP122">
        <f t="shared" si="39"/>
        <v>20</v>
      </c>
      <c r="AQ122">
        <f t="shared" si="40"/>
        <v>15</v>
      </c>
      <c r="AR122">
        <f t="shared" si="41"/>
        <v>13</v>
      </c>
      <c r="AS122">
        <f t="shared" si="42"/>
        <v>11</v>
      </c>
      <c r="AT122">
        <f t="shared" si="43"/>
        <v>10</v>
      </c>
      <c r="AU122">
        <f t="shared" si="44"/>
        <v>15</v>
      </c>
      <c r="AV122">
        <f t="shared" si="45"/>
        <v>19</v>
      </c>
      <c r="AW122">
        <f t="shared" si="46"/>
        <v>19</v>
      </c>
      <c r="AX122">
        <f t="shared" si="47"/>
        <v>25</v>
      </c>
      <c r="AY122" s="219">
        <f>(AY121-0.185)/0.8103</f>
        <v>-0.22831050228310501</v>
      </c>
    </row>
    <row r="123" spans="1:51" x14ac:dyDescent="0.25">
      <c r="A123" s="113">
        <v>120</v>
      </c>
      <c r="B123" s="209" t="s">
        <v>599</v>
      </c>
      <c r="C123" s="113">
        <v>1931</v>
      </c>
      <c r="D123" s="113">
        <v>2013</v>
      </c>
      <c r="E123" s="210" t="s">
        <v>10</v>
      </c>
      <c r="F123" s="210" t="s">
        <v>350</v>
      </c>
      <c r="G123" s="113"/>
      <c r="H123" s="113"/>
      <c r="I123" s="113"/>
      <c r="J123" s="113"/>
      <c r="K123" s="113"/>
      <c r="N123" s="113">
        <f>MATCH(A123,Entrada!$A$53:$A$372,0)</f>
        <v>84</v>
      </c>
      <c r="O123">
        <f>IF(NOT(ISNA($N123)),INDEX(Entrada!$C$53:$N$372,$N123,O$2),0)</f>
        <v>45</v>
      </c>
      <c r="P123">
        <f>IF(NOT(ISNA($N123)),INDEX(Entrada!$C$53:$N$372,$N123,P$2),0)</f>
        <v>48</v>
      </c>
      <c r="Q123">
        <f>IF(NOT(ISNA($N123)),INDEX(Entrada!$C$53:$N$372,$N123,Q$2),0)</f>
        <v>46</v>
      </c>
      <c r="R123">
        <f>IF(NOT(ISNA($N123)),INDEX(Entrada!$C$53:$N$372,$N123,R$2),0)</f>
        <v>34</v>
      </c>
      <c r="S123">
        <f>IF(NOT(ISNA($N123)),INDEX(Entrada!$C$53:$N$372,$N123,S$2),0)</f>
        <v>27</v>
      </c>
      <c r="T123">
        <f>IF(NOT(ISNA($N123)),INDEX(Entrada!$C$53:$N$372,$N123,T$2),0)</f>
        <v>24</v>
      </c>
      <c r="U123">
        <f>IF(NOT(ISNA($N123)),INDEX(Entrada!$C$53:$N$372,$N123,U$2),0)</f>
        <v>20</v>
      </c>
      <c r="V123" s="225">
        <f>IF(NOT(ISNA($N123)),INDEX(Entrada!$C$53:$N$372,$N123,V$2),0)</f>
        <v>17</v>
      </c>
      <c r="W123" s="225">
        <f>IF(NOT(ISNA($N123)),INDEX(Entrada!$C$53:$N$372,$N123,W$2),0)</f>
        <v>18</v>
      </c>
      <c r="X123" s="225">
        <f>IF(NOT(ISNA($N123)),INDEX(Entrada!$C$53:$N$372,$N123,X$2),0)</f>
        <v>20</v>
      </c>
      <c r="Y123" s="225">
        <f>IF(NOT(ISNA($N123)),INDEX(Entrada!$C$53:$N$372,$N123,Y$2),0)</f>
        <v>24</v>
      </c>
      <c r="Z123" s="225">
        <f>IF(NOT(ISNA($N123)),INDEX(Entrada!$C$53:$N$372,$N123,Z$2),0)</f>
        <v>34</v>
      </c>
      <c r="AA123" s="113">
        <f t="shared" si="24"/>
        <v>0</v>
      </c>
      <c r="AB123">
        <f t="shared" si="25"/>
        <v>0</v>
      </c>
      <c r="AC123">
        <f t="shared" si="26"/>
        <v>0</v>
      </c>
      <c r="AD123">
        <f t="shared" si="27"/>
        <v>0</v>
      </c>
      <c r="AE123">
        <f t="shared" si="28"/>
        <v>0</v>
      </c>
      <c r="AF123">
        <f t="shared" si="29"/>
        <v>0</v>
      </c>
      <c r="AG123">
        <f t="shared" si="30"/>
        <v>0</v>
      </c>
      <c r="AH123">
        <f t="shared" si="31"/>
        <v>0</v>
      </c>
      <c r="AI123">
        <f t="shared" si="32"/>
        <v>0</v>
      </c>
      <c r="AJ123">
        <f t="shared" si="33"/>
        <v>0</v>
      </c>
      <c r="AK123">
        <f t="shared" si="34"/>
        <v>0</v>
      </c>
      <c r="AL123">
        <f t="shared" si="35"/>
        <v>0</v>
      </c>
      <c r="AM123" s="113">
        <f t="shared" si="36"/>
        <v>45</v>
      </c>
      <c r="AN123">
        <f t="shared" si="37"/>
        <v>48</v>
      </c>
      <c r="AO123">
        <f t="shared" si="38"/>
        <v>46</v>
      </c>
      <c r="AP123">
        <f t="shared" si="39"/>
        <v>34</v>
      </c>
      <c r="AQ123">
        <f t="shared" si="40"/>
        <v>27</v>
      </c>
      <c r="AR123">
        <f t="shared" si="41"/>
        <v>24</v>
      </c>
      <c r="AS123">
        <f t="shared" si="42"/>
        <v>20</v>
      </c>
      <c r="AT123">
        <f t="shared" si="43"/>
        <v>17</v>
      </c>
      <c r="AU123">
        <f t="shared" si="44"/>
        <v>18</v>
      </c>
      <c r="AV123">
        <f t="shared" si="45"/>
        <v>20</v>
      </c>
      <c r="AW123">
        <f t="shared" si="46"/>
        <v>24</v>
      </c>
      <c r="AX123">
        <f t="shared" si="47"/>
        <v>34</v>
      </c>
    </row>
    <row r="124" spans="1:51" x14ac:dyDescent="0.25">
      <c r="A124" s="113">
        <v>121</v>
      </c>
      <c r="B124" s="209" t="s">
        <v>600</v>
      </c>
      <c r="C124" s="113">
        <v>1931</v>
      </c>
      <c r="D124" s="113">
        <v>2013</v>
      </c>
      <c r="E124" s="210" t="s">
        <v>10</v>
      </c>
      <c r="F124" s="210" t="s">
        <v>351</v>
      </c>
      <c r="G124" s="113"/>
      <c r="H124" s="113"/>
      <c r="I124" s="113"/>
      <c r="J124" s="113"/>
      <c r="K124" s="113"/>
      <c r="N124" s="113">
        <f>MATCH(A124,Entrada!$A$53:$A$372,0)</f>
        <v>85</v>
      </c>
      <c r="O124">
        <f>IF(NOT(ISNA($N124)),INDEX(Entrada!$C$53:$N$372,$N124,O$2),0)</f>
        <v>107</v>
      </c>
      <c r="P124">
        <f>IF(NOT(ISNA($N124)),INDEX(Entrada!$C$53:$N$372,$N124,P$2),0)</f>
        <v>113</v>
      </c>
      <c r="Q124">
        <f>IF(NOT(ISNA($N124)),INDEX(Entrada!$C$53:$N$372,$N124,Q$2),0)</f>
        <v>103</v>
      </c>
      <c r="R124">
        <f>IF(NOT(ISNA($N124)),INDEX(Entrada!$C$53:$N$372,$N124,R$2),0)</f>
        <v>80</v>
      </c>
      <c r="S124">
        <f>IF(NOT(ISNA($N124)),INDEX(Entrada!$C$53:$N$372,$N124,S$2),0)</f>
        <v>62</v>
      </c>
      <c r="T124">
        <f>IF(NOT(ISNA($N124)),INDEX(Entrada!$C$53:$N$372,$N124,T$2),0)</f>
        <v>55</v>
      </c>
      <c r="U124">
        <f>IF(NOT(ISNA($N124)),INDEX(Entrada!$C$53:$N$372,$N124,U$2),0)</f>
        <v>48</v>
      </c>
      <c r="V124" s="225">
        <f>IF(NOT(ISNA($N124)),INDEX(Entrada!$C$53:$N$372,$N124,V$2),0)</f>
        <v>42</v>
      </c>
      <c r="W124" s="225">
        <f>IF(NOT(ISNA($N124)),INDEX(Entrada!$C$53:$N$372,$N124,W$2),0)</f>
        <v>45</v>
      </c>
      <c r="X124" s="225">
        <f>IF(NOT(ISNA($N124)),INDEX(Entrada!$C$53:$N$372,$N124,X$2),0)</f>
        <v>51</v>
      </c>
      <c r="Y124" s="225">
        <f>IF(NOT(ISNA($N124)),INDEX(Entrada!$C$53:$N$372,$N124,Y$2),0)</f>
        <v>59</v>
      </c>
      <c r="Z124" s="225">
        <f>IF(NOT(ISNA($N124)),INDEX(Entrada!$C$53:$N$372,$N124,Z$2),0)</f>
        <v>80</v>
      </c>
      <c r="AA124" s="113">
        <f t="shared" si="24"/>
        <v>0</v>
      </c>
      <c r="AB124">
        <f t="shared" si="25"/>
        <v>0</v>
      </c>
      <c r="AC124">
        <f t="shared" si="26"/>
        <v>0</v>
      </c>
      <c r="AD124">
        <f t="shared" si="27"/>
        <v>0</v>
      </c>
      <c r="AE124">
        <f t="shared" si="28"/>
        <v>0</v>
      </c>
      <c r="AF124">
        <f t="shared" si="29"/>
        <v>0</v>
      </c>
      <c r="AG124">
        <f t="shared" si="30"/>
        <v>0</v>
      </c>
      <c r="AH124">
        <f t="shared" si="31"/>
        <v>0</v>
      </c>
      <c r="AI124">
        <f t="shared" si="32"/>
        <v>0</v>
      </c>
      <c r="AJ124">
        <f t="shared" si="33"/>
        <v>0</v>
      </c>
      <c r="AK124">
        <f t="shared" si="34"/>
        <v>0</v>
      </c>
      <c r="AL124">
        <f t="shared" si="35"/>
        <v>0</v>
      </c>
      <c r="AM124" s="113">
        <f t="shared" si="36"/>
        <v>107</v>
      </c>
      <c r="AN124">
        <f t="shared" si="37"/>
        <v>113</v>
      </c>
      <c r="AO124">
        <f t="shared" si="38"/>
        <v>103</v>
      </c>
      <c r="AP124">
        <f t="shared" si="39"/>
        <v>80</v>
      </c>
      <c r="AQ124">
        <f t="shared" si="40"/>
        <v>62</v>
      </c>
      <c r="AR124">
        <f t="shared" si="41"/>
        <v>55</v>
      </c>
      <c r="AS124">
        <f t="shared" si="42"/>
        <v>48</v>
      </c>
      <c r="AT124">
        <f t="shared" si="43"/>
        <v>42</v>
      </c>
      <c r="AU124">
        <f t="shared" si="44"/>
        <v>45</v>
      </c>
      <c r="AV124">
        <f t="shared" si="45"/>
        <v>51</v>
      </c>
      <c r="AW124">
        <f t="shared" si="46"/>
        <v>59</v>
      </c>
      <c r="AX124">
        <f t="shared" si="47"/>
        <v>80</v>
      </c>
    </row>
    <row r="125" spans="1:51" x14ac:dyDescent="0.25">
      <c r="A125" s="113">
        <v>122</v>
      </c>
      <c r="B125" s="209" t="s">
        <v>112</v>
      </c>
      <c r="C125" s="113">
        <v>1931</v>
      </c>
      <c r="D125" s="113">
        <v>2013</v>
      </c>
      <c r="E125" s="210" t="s">
        <v>10</v>
      </c>
      <c r="F125" s="210" t="s">
        <v>10</v>
      </c>
      <c r="G125" s="113">
        <v>121</v>
      </c>
      <c r="H125" s="113"/>
      <c r="I125" s="113"/>
      <c r="J125" s="113"/>
      <c r="K125" s="113"/>
      <c r="N125" s="113">
        <f>MATCH(A125,Entrada!$A$53:$A$372,0)</f>
        <v>86</v>
      </c>
      <c r="O125">
        <f>IF(NOT(ISNA($N125)),INDEX(Entrada!$C$53:$N$372,$N125,O$2),0)</f>
        <v>121</v>
      </c>
      <c r="P125">
        <f>IF(NOT(ISNA($N125)),INDEX(Entrada!$C$53:$N$372,$N125,P$2),0)</f>
        <v>130</v>
      </c>
      <c r="Q125">
        <f>IF(NOT(ISNA($N125)),INDEX(Entrada!$C$53:$N$372,$N125,Q$2),0)</f>
        <v>117</v>
      </c>
      <c r="R125">
        <f>IF(NOT(ISNA($N125)),INDEX(Entrada!$C$53:$N$372,$N125,R$2),0)</f>
        <v>91</v>
      </c>
      <c r="S125">
        <f>IF(NOT(ISNA($N125)),INDEX(Entrada!$C$53:$N$372,$N125,S$2),0)</f>
        <v>71</v>
      </c>
      <c r="T125">
        <f>IF(NOT(ISNA($N125)),INDEX(Entrada!$C$53:$N$372,$N125,T$2),0)</f>
        <v>63</v>
      </c>
      <c r="U125">
        <f>IF(NOT(ISNA($N125)),INDEX(Entrada!$C$53:$N$372,$N125,U$2),0)</f>
        <v>55</v>
      </c>
      <c r="V125" s="225">
        <f>IF(NOT(ISNA($N125)),INDEX(Entrada!$C$53:$N$372,$N125,V$2),0)</f>
        <v>48</v>
      </c>
      <c r="W125" s="225">
        <f>IF(NOT(ISNA($N125)),INDEX(Entrada!$C$53:$N$372,$N125,W$2),0)</f>
        <v>52</v>
      </c>
      <c r="X125" s="225">
        <f>IF(NOT(ISNA($N125)),INDEX(Entrada!$C$53:$N$372,$N125,X$2),0)</f>
        <v>58</v>
      </c>
      <c r="Y125" s="225">
        <f>IF(NOT(ISNA($N125)),INDEX(Entrada!$C$53:$N$372,$N125,Y$2),0)</f>
        <v>67</v>
      </c>
      <c r="Z125" s="225">
        <f>IF(NOT(ISNA($N125)),INDEX(Entrada!$C$53:$N$372,$N125,Z$2),0)</f>
        <v>90</v>
      </c>
      <c r="AA125" s="113">
        <f t="shared" si="24"/>
        <v>107</v>
      </c>
      <c r="AB125">
        <f t="shared" si="25"/>
        <v>113</v>
      </c>
      <c r="AC125">
        <f t="shared" si="26"/>
        <v>103</v>
      </c>
      <c r="AD125">
        <f t="shared" si="27"/>
        <v>80</v>
      </c>
      <c r="AE125">
        <f t="shared" si="28"/>
        <v>62</v>
      </c>
      <c r="AF125">
        <f t="shared" si="29"/>
        <v>55</v>
      </c>
      <c r="AG125">
        <f t="shared" si="30"/>
        <v>48</v>
      </c>
      <c r="AH125">
        <f t="shared" si="31"/>
        <v>42</v>
      </c>
      <c r="AI125">
        <f t="shared" si="32"/>
        <v>45</v>
      </c>
      <c r="AJ125">
        <f t="shared" si="33"/>
        <v>51</v>
      </c>
      <c r="AK125">
        <f t="shared" si="34"/>
        <v>59</v>
      </c>
      <c r="AL125">
        <f t="shared" si="35"/>
        <v>80</v>
      </c>
      <c r="AM125" s="113">
        <f t="shared" si="36"/>
        <v>14</v>
      </c>
      <c r="AN125">
        <f t="shared" si="37"/>
        <v>17</v>
      </c>
      <c r="AO125">
        <f t="shared" si="38"/>
        <v>14</v>
      </c>
      <c r="AP125">
        <f t="shared" si="39"/>
        <v>11</v>
      </c>
      <c r="AQ125">
        <f t="shared" si="40"/>
        <v>9</v>
      </c>
      <c r="AR125">
        <f t="shared" si="41"/>
        <v>8</v>
      </c>
      <c r="AS125">
        <f t="shared" si="42"/>
        <v>7</v>
      </c>
      <c r="AT125">
        <f t="shared" si="43"/>
        <v>6</v>
      </c>
      <c r="AU125">
        <f t="shared" si="44"/>
        <v>7</v>
      </c>
      <c r="AV125">
        <f t="shared" si="45"/>
        <v>7</v>
      </c>
      <c r="AW125">
        <f t="shared" si="46"/>
        <v>8</v>
      </c>
      <c r="AX125">
        <f t="shared" si="47"/>
        <v>10</v>
      </c>
    </row>
    <row r="126" spans="1:51" x14ac:dyDescent="0.25">
      <c r="A126" s="113">
        <v>123</v>
      </c>
      <c r="B126" s="209" t="s">
        <v>601</v>
      </c>
      <c r="C126" s="113">
        <v>1931</v>
      </c>
      <c r="D126" s="113">
        <v>2013</v>
      </c>
      <c r="E126" s="210" t="s">
        <v>10</v>
      </c>
      <c r="F126" s="210" t="s">
        <v>10</v>
      </c>
      <c r="G126" s="113">
        <v>120</v>
      </c>
      <c r="H126" s="113">
        <v>122</v>
      </c>
      <c r="I126" s="113"/>
      <c r="J126" s="113"/>
      <c r="K126" s="113"/>
      <c r="N126" s="113">
        <f>MATCH(A126,Entrada!$A$53:$A$372,0)</f>
        <v>87</v>
      </c>
      <c r="O126">
        <f>IF(NOT(ISNA($N126)),INDEX(Entrada!$C$53:$N$372,$N126,O$2),0)</f>
        <v>382</v>
      </c>
      <c r="P126">
        <f>IF(NOT(ISNA($N126)),INDEX(Entrada!$C$53:$N$372,$N126,P$2),0)</f>
        <v>404</v>
      </c>
      <c r="Q126">
        <f>IF(NOT(ISNA($N126)),INDEX(Entrada!$C$53:$N$372,$N126,Q$2),0)</f>
        <v>388</v>
      </c>
      <c r="R126">
        <f>IF(NOT(ISNA($N126)),INDEX(Entrada!$C$53:$N$372,$N126,R$2),0)</f>
        <v>277</v>
      </c>
      <c r="S126">
        <f>IF(NOT(ISNA($N126)),INDEX(Entrada!$C$53:$N$372,$N126,S$2),0)</f>
        <v>193</v>
      </c>
      <c r="T126">
        <f>IF(NOT(ISNA($N126)),INDEX(Entrada!$C$53:$N$372,$N126,T$2),0)</f>
        <v>167</v>
      </c>
      <c r="U126">
        <f>IF(NOT(ISNA($N126)),INDEX(Entrada!$C$53:$N$372,$N126,U$2),0)</f>
        <v>142</v>
      </c>
      <c r="V126" s="225">
        <f>IF(NOT(ISNA($N126)),INDEX(Entrada!$C$53:$N$372,$N126,V$2),0)</f>
        <v>121</v>
      </c>
      <c r="W126" s="225">
        <f>IF(NOT(ISNA($N126)),INDEX(Entrada!$C$53:$N$372,$N126,W$2),0)</f>
        <v>126</v>
      </c>
      <c r="X126" s="225">
        <f>IF(NOT(ISNA($N126)),INDEX(Entrada!$C$53:$N$372,$N126,X$2),0)</f>
        <v>150</v>
      </c>
      <c r="Y126" s="225">
        <f>IF(NOT(ISNA($N126)),INDEX(Entrada!$C$53:$N$372,$N126,Y$2),0)</f>
        <v>187</v>
      </c>
      <c r="Z126" s="225">
        <f>IF(NOT(ISNA($N126)),INDEX(Entrada!$C$53:$N$372,$N126,Z$2),0)</f>
        <v>270</v>
      </c>
      <c r="AA126" s="113">
        <f t="shared" si="24"/>
        <v>166</v>
      </c>
      <c r="AB126">
        <f t="shared" si="25"/>
        <v>178</v>
      </c>
      <c r="AC126">
        <f t="shared" si="26"/>
        <v>163</v>
      </c>
      <c r="AD126">
        <f t="shared" si="27"/>
        <v>125</v>
      </c>
      <c r="AE126">
        <f t="shared" si="28"/>
        <v>98</v>
      </c>
      <c r="AF126">
        <f t="shared" si="29"/>
        <v>87</v>
      </c>
      <c r="AG126">
        <f t="shared" si="30"/>
        <v>75</v>
      </c>
      <c r="AH126">
        <f t="shared" si="31"/>
        <v>65</v>
      </c>
      <c r="AI126">
        <f t="shared" si="32"/>
        <v>70</v>
      </c>
      <c r="AJ126">
        <f t="shared" si="33"/>
        <v>78</v>
      </c>
      <c r="AK126">
        <f t="shared" si="34"/>
        <v>91</v>
      </c>
      <c r="AL126">
        <f t="shared" si="35"/>
        <v>124</v>
      </c>
      <c r="AM126" s="113">
        <f t="shared" si="36"/>
        <v>216</v>
      </c>
      <c r="AN126">
        <f t="shared" si="37"/>
        <v>226</v>
      </c>
      <c r="AO126">
        <f t="shared" si="38"/>
        <v>225</v>
      </c>
      <c r="AP126">
        <f t="shared" si="39"/>
        <v>152</v>
      </c>
      <c r="AQ126">
        <f t="shared" si="40"/>
        <v>95</v>
      </c>
      <c r="AR126">
        <f t="shared" si="41"/>
        <v>80</v>
      </c>
      <c r="AS126">
        <f t="shared" si="42"/>
        <v>67</v>
      </c>
      <c r="AT126">
        <f t="shared" si="43"/>
        <v>56</v>
      </c>
      <c r="AU126">
        <f t="shared" si="44"/>
        <v>56</v>
      </c>
      <c r="AV126">
        <f t="shared" si="45"/>
        <v>72</v>
      </c>
      <c r="AW126">
        <f t="shared" si="46"/>
        <v>96</v>
      </c>
      <c r="AX126">
        <f t="shared" si="47"/>
        <v>146</v>
      </c>
    </row>
    <row r="127" spans="1:51" x14ac:dyDescent="0.25">
      <c r="A127" s="113">
        <v>124</v>
      </c>
      <c r="B127" s="209"/>
      <c r="C127" s="113">
        <v>0</v>
      </c>
      <c r="D127" s="113">
        <v>0</v>
      </c>
      <c r="E127" s="113" t="s">
        <v>688</v>
      </c>
      <c r="F127" s="113" t="s">
        <v>688</v>
      </c>
      <c r="G127" s="113"/>
      <c r="H127" s="113"/>
      <c r="I127" s="113"/>
      <c r="J127" s="113"/>
      <c r="K127" s="113"/>
      <c r="N127" s="113" t="e">
        <f>MATCH(A127,Entrada!$A$53:$A$372,0)</f>
        <v>#N/A</v>
      </c>
      <c r="O127">
        <f>IF(NOT(ISNA($N127)),INDEX(Entrada!$C$53:$N$372,$N127,O$2),0)</f>
        <v>0</v>
      </c>
      <c r="P127">
        <f>IF(NOT(ISNA($N127)),INDEX(Entrada!$C$53:$N$372,$N127,P$2),0)</f>
        <v>0</v>
      </c>
      <c r="Q127">
        <f>IF(NOT(ISNA($N127)),INDEX(Entrada!$C$53:$N$372,$N127,Q$2),0)</f>
        <v>0</v>
      </c>
      <c r="R127">
        <f>IF(NOT(ISNA($N127)),INDEX(Entrada!$C$53:$N$372,$N127,R$2),0)</f>
        <v>0</v>
      </c>
      <c r="S127">
        <f>IF(NOT(ISNA($N127)),INDEX(Entrada!$C$53:$N$372,$N127,S$2),0)</f>
        <v>0</v>
      </c>
      <c r="T127">
        <f>IF(NOT(ISNA($N127)),INDEX(Entrada!$C$53:$N$372,$N127,T$2),0)</f>
        <v>0</v>
      </c>
      <c r="U127">
        <f>IF(NOT(ISNA($N127)),INDEX(Entrada!$C$53:$N$372,$N127,U$2),0)</f>
        <v>0</v>
      </c>
      <c r="V127" s="225">
        <f>IF(NOT(ISNA($N127)),INDEX(Entrada!$C$53:$N$372,$N127,V$2),0)</f>
        <v>0</v>
      </c>
      <c r="W127" s="225">
        <f>IF(NOT(ISNA($N127)),INDEX(Entrada!$C$53:$N$372,$N127,W$2),0)</f>
        <v>0</v>
      </c>
      <c r="X127" s="225">
        <f>IF(NOT(ISNA($N127)),INDEX(Entrada!$C$53:$N$372,$N127,X$2),0)</f>
        <v>0</v>
      </c>
      <c r="Y127" s="225">
        <f>IF(NOT(ISNA($N127)),INDEX(Entrada!$C$53:$N$372,$N127,Y$2),0)</f>
        <v>0</v>
      </c>
      <c r="Z127" s="225">
        <f>IF(NOT(ISNA($N127)),INDEX(Entrada!$C$53:$N$372,$N127,Z$2),0)</f>
        <v>0</v>
      </c>
      <c r="AA127" s="113">
        <f t="shared" si="24"/>
        <v>0</v>
      </c>
      <c r="AB127">
        <f t="shared" si="25"/>
        <v>0</v>
      </c>
      <c r="AC127">
        <f t="shared" si="26"/>
        <v>0</v>
      </c>
      <c r="AD127">
        <f t="shared" si="27"/>
        <v>0</v>
      </c>
      <c r="AE127">
        <f t="shared" si="28"/>
        <v>0</v>
      </c>
      <c r="AF127">
        <f t="shared" si="29"/>
        <v>0</v>
      </c>
      <c r="AG127">
        <f t="shared" si="30"/>
        <v>0</v>
      </c>
      <c r="AH127">
        <f t="shared" si="31"/>
        <v>0</v>
      </c>
      <c r="AI127">
        <f t="shared" si="32"/>
        <v>0</v>
      </c>
      <c r="AJ127">
        <f t="shared" si="33"/>
        <v>0</v>
      </c>
      <c r="AK127">
        <f t="shared" si="34"/>
        <v>0</v>
      </c>
      <c r="AL127">
        <f t="shared" si="35"/>
        <v>0</v>
      </c>
      <c r="AM127" s="113">
        <f t="shared" si="36"/>
        <v>0</v>
      </c>
      <c r="AN127">
        <f t="shared" si="37"/>
        <v>0</v>
      </c>
      <c r="AO127">
        <f t="shared" si="38"/>
        <v>0</v>
      </c>
      <c r="AP127">
        <f t="shared" si="39"/>
        <v>0</v>
      </c>
      <c r="AQ127">
        <f t="shared" si="40"/>
        <v>0</v>
      </c>
      <c r="AR127">
        <f t="shared" si="41"/>
        <v>0</v>
      </c>
      <c r="AS127">
        <f t="shared" si="42"/>
        <v>0</v>
      </c>
      <c r="AT127">
        <f t="shared" si="43"/>
        <v>0</v>
      </c>
      <c r="AU127">
        <f t="shared" si="44"/>
        <v>0</v>
      </c>
      <c r="AV127">
        <f t="shared" si="45"/>
        <v>0</v>
      </c>
      <c r="AW127">
        <f t="shared" si="46"/>
        <v>0</v>
      </c>
      <c r="AX127">
        <f t="shared" si="47"/>
        <v>0</v>
      </c>
    </row>
    <row r="128" spans="1:51" x14ac:dyDescent="0.25">
      <c r="A128" s="113">
        <v>125</v>
      </c>
      <c r="B128" s="209" t="s">
        <v>262</v>
      </c>
      <c r="C128" s="113">
        <v>1931</v>
      </c>
      <c r="D128" s="113">
        <v>2013</v>
      </c>
      <c r="E128" s="210" t="s">
        <v>10</v>
      </c>
      <c r="F128" s="210" t="s">
        <v>10</v>
      </c>
      <c r="G128" s="113">
        <v>123</v>
      </c>
      <c r="H128" s="113"/>
      <c r="I128" s="113"/>
      <c r="J128" s="113"/>
      <c r="K128" s="113"/>
      <c r="N128" s="113">
        <f>MATCH(A128,Entrada!$A$53:$A$372,0)</f>
        <v>88</v>
      </c>
      <c r="O128">
        <f>IF(NOT(ISNA($N128)),INDEX(Entrada!$C$53:$N$372,$N128,O$2),0)</f>
        <v>501</v>
      </c>
      <c r="P128">
        <f>IF(NOT(ISNA($N128)),INDEX(Entrada!$C$53:$N$372,$N128,P$2),0)</f>
        <v>523</v>
      </c>
      <c r="Q128">
        <f>IF(NOT(ISNA($N128)),INDEX(Entrada!$C$53:$N$372,$N128,Q$2),0)</f>
        <v>497</v>
      </c>
      <c r="R128">
        <f>IF(NOT(ISNA($N128)),INDEX(Entrada!$C$53:$N$372,$N128,R$2),0)</f>
        <v>350</v>
      </c>
      <c r="S128">
        <f>IF(NOT(ISNA($N128)),INDEX(Entrada!$C$53:$N$372,$N128,S$2),0)</f>
        <v>245</v>
      </c>
      <c r="T128">
        <f>IF(NOT(ISNA($N128)),INDEX(Entrada!$C$53:$N$372,$N128,T$2),0)</f>
        <v>210</v>
      </c>
      <c r="U128">
        <f>IF(NOT(ISNA($N128)),INDEX(Entrada!$C$53:$N$372,$N128,U$2),0)</f>
        <v>176</v>
      </c>
      <c r="V128" s="225">
        <f>IF(NOT(ISNA($N128)),INDEX(Entrada!$C$53:$N$372,$N128,V$2),0)</f>
        <v>150</v>
      </c>
      <c r="W128" s="225">
        <f>IF(NOT(ISNA($N128)),INDEX(Entrada!$C$53:$N$372,$N128,W$2),0)</f>
        <v>155</v>
      </c>
      <c r="X128" s="225">
        <f>IF(NOT(ISNA($N128)),INDEX(Entrada!$C$53:$N$372,$N128,X$2),0)</f>
        <v>186</v>
      </c>
      <c r="Y128" s="225">
        <f>IF(NOT(ISNA($N128)),INDEX(Entrada!$C$53:$N$372,$N128,Y$2),0)</f>
        <v>241</v>
      </c>
      <c r="Z128" s="225">
        <f>IF(NOT(ISNA($N128)),INDEX(Entrada!$C$53:$N$372,$N128,Z$2),0)</f>
        <v>353</v>
      </c>
      <c r="AA128" s="113">
        <f t="shared" si="24"/>
        <v>382</v>
      </c>
      <c r="AB128">
        <f t="shared" si="25"/>
        <v>404</v>
      </c>
      <c r="AC128">
        <f t="shared" si="26"/>
        <v>388</v>
      </c>
      <c r="AD128">
        <f t="shared" si="27"/>
        <v>277</v>
      </c>
      <c r="AE128">
        <f t="shared" si="28"/>
        <v>193</v>
      </c>
      <c r="AF128">
        <f t="shared" si="29"/>
        <v>167</v>
      </c>
      <c r="AG128">
        <f t="shared" si="30"/>
        <v>142</v>
      </c>
      <c r="AH128">
        <f t="shared" si="31"/>
        <v>121</v>
      </c>
      <c r="AI128">
        <f t="shared" si="32"/>
        <v>126</v>
      </c>
      <c r="AJ128">
        <f t="shared" si="33"/>
        <v>150</v>
      </c>
      <c r="AK128">
        <f t="shared" si="34"/>
        <v>187</v>
      </c>
      <c r="AL128">
        <f t="shared" si="35"/>
        <v>270</v>
      </c>
      <c r="AM128" s="113">
        <f t="shared" si="36"/>
        <v>119</v>
      </c>
      <c r="AN128">
        <f t="shared" si="37"/>
        <v>119</v>
      </c>
      <c r="AO128">
        <f t="shared" si="38"/>
        <v>109</v>
      </c>
      <c r="AP128">
        <f t="shared" si="39"/>
        <v>73</v>
      </c>
      <c r="AQ128">
        <f t="shared" si="40"/>
        <v>52</v>
      </c>
      <c r="AR128">
        <f t="shared" si="41"/>
        <v>43</v>
      </c>
      <c r="AS128">
        <f t="shared" si="42"/>
        <v>34</v>
      </c>
      <c r="AT128">
        <f t="shared" si="43"/>
        <v>29</v>
      </c>
      <c r="AU128">
        <f t="shared" si="44"/>
        <v>29</v>
      </c>
      <c r="AV128">
        <f t="shared" si="45"/>
        <v>36</v>
      </c>
      <c r="AW128">
        <f t="shared" si="46"/>
        <v>54</v>
      </c>
      <c r="AX128">
        <f t="shared" si="47"/>
        <v>83</v>
      </c>
    </row>
    <row r="129" spans="1:51" x14ac:dyDescent="0.25">
      <c r="A129" s="113">
        <v>126</v>
      </c>
      <c r="B129" s="209" t="s">
        <v>602</v>
      </c>
      <c r="C129" s="113">
        <v>1931</v>
      </c>
      <c r="D129" s="113">
        <v>2013</v>
      </c>
      <c r="E129" s="212" t="s">
        <v>10</v>
      </c>
      <c r="F129" s="213" t="s">
        <v>10</v>
      </c>
      <c r="G129" s="113"/>
      <c r="H129" s="113"/>
      <c r="I129" s="113"/>
      <c r="J129" s="113"/>
      <c r="K129" s="113"/>
      <c r="N129" s="113">
        <f>MATCH(A129,Entrada!$A$53:$A$372,0)</f>
        <v>89</v>
      </c>
      <c r="O129">
        <f>IF(NOT(ISNA($N129)),INDEX(Entrada!$C$53:$N$372,$N129,O$2),0)</f>
        <v>328</v>
      </c>
      <c r="P129">
        <f>IF(NOT(ISNA($N129)),INDEX(Entrada!$C$53:$N$372,$N129,P$2),0)</f>
        <v>327</v>
      </c>
      <c r="Q129">
        <f>IF(NOT(ISNA($N129)),INDEX(Entrada!$C$53:$N$372,$N129,Q$2),0)</f>
        <v>331</v>
      </c>
      <c r="R129">
        <f>IF(NOT(ISNA($N129)),INDEX(Entrada!$C$53:$N$372,$N129,R$2),0)</f>
        <v>297</v>
      </c>
      <c r="S129">
        <f>IF(NOT(ISNA($N129)),INDEX(Entrada!$C$53:$N$372,$N129,S$2),0)</f>
        <v>218</v>
      </c>
      <c r="T129">
        <f>IF(NOT(ISNA($N129)),INDEX(Entrada!$C$53:$N$372,$N129,T$2),0)</f>
        <v>163</v>
      </c>
      <c r="U129" s="219">
        <f>IF(NOT(ISNA($N129)),INDEX(Entrada!$C$53:$N$372,$N129,U$2),0)</f>
        <v>126</v>
      </c>
      <c r="V129" s="225">
        <f>IF(NOT(ISNA($N129)),INDEX(Entrada!$C$53:$N$372,$N129,V$2),0)</f>
        <v>94</v>
      </c>
      <c r="W129" s="225">
        <f>IF(NOT(ISNA($N129)),INDEX(Entrada!$C$53:$N$372,$N129,W$2),0)</f>
        <v>94</v>
      </c>
      <c r="X129" s="225">
        <f>IF(NOT(ISNA($N129)),INDEX(Entrada!$C$53:$N$372,$N129,X$2),0)</f>
        <v>130</v>
      </c>
      <c r="Y129" s="225">
        <f>IF(NOT(ISNA($N129)),INDEX(Entrada!$C$53:$N$372,$N129,Y$2),0)</f>
        <v>213</v>
      </c>
      <c r="Z129" s="225">
        <f>IF(NOT(ISNA($N129)),INDEX(Entrada!$C$53:$N$372,$N129,Z$2),0)</f>
        <v>305</v>
      </c>
      <c r="AA129" s="113">
        <f t="shared" si="24"/>
        <v>0</v>
      </c>
      <c r="AB129">
        <f t="shared" si="25"/>
        <v>0</v>
      </c>
      <c r="AC129">
        <f t="shared" si="26"/>
        <v>0</v>
      </c>
      <c r="AD129">
        <f t="shared" si="27"/>
        <v>0</v>
      </c>
      <c r="AE129">
        <f t="shared" si="28"/>
        <v>0</v>
      </c>
      <c r="AF129">
        <f t="shared" si="29"/>
        <v>0</v>
      </c>
      <c r="AG129">
        <f t="shared" si="30"/>
        <v>0</v>
      </c>
      <c r="AH129">
        <f t="shared" si="31"/>
        <v>0</v>
      </c>
      <c r="AI129">
        <f t="shared" si="32"/>
        <v>0</v>
      </c>
      <c r="AJ129">
        <f t="shared" si="33"/>
        <v>0</v>
      </c>
      <c r="AK129">
        <f t="shared" si="34"/>
        <v>0</v>
      </c>
      <c r="AL129">
        <f t="shared" si="35"/>
        <v>0</v>
      </c>
      <c r="AM129" s="219">
        <f t="shared" si="36"/>
        <v>328</v>
      </c>
      <c r="AN129">
        <f t="shared" si="37"/>
        <v>327</v>
      </c>
      <c r="AO129">
        <f t="shared" si="38"/>
        <v>331</v>
      </c>
      <c r="AP129">
        <f t="shared" si="39"/>
        <v>297</v>
      </c>
      <c r="AQ129">
        <f t="shared" si="40"/>
        <v>218</v>
      </c>
      <c r="AR129">
        <f t="shared" si="41"/>
        <v>163</v>
      </c>
      <c r="AS129">
        <f t="shared" si="42"/>
        <v>126</v>
      </c>
      <c r="AT129">
        <f t="shared" si="43"/>
        <v>94</v>
      </c>
      <c r="AU129">
        <f t="shared" si="44"/>
        <v>94</v>
      </c>
      <c r="AV129">
        <f t="shared" si="45"/>
        <v>130</v>
      </c>
      <c r="AW129">
        <f t="shared" si="46"/>
        <v>213</v>
      </c>
      <c r="AX129">
        <f t="shared" si="47"/>
        <v>305</v>
      </c>
      <c r="AY129" s="219">
        <f>IF(AY130&lt;=430,MAX(0,AY130-90),340)</f>
        <v>0</v>
      </c>
    </row>
    <row r="130" spans="1:51" x14ac:dyDescent="0.25">
      <c r="A130" s="113">
        <v>127</v>
      </c>
      <c r="B130" s="209" t="s">
        <v>603</v>
      </c>
      <c r="C130" s="113">
        <v>1931</v>
      </c>
      <c r="D130" s="113">
        <v>2013</v>
      </c>
      <c r="E130" s="212" t="s">
        <v>10</v>
      </c>
      <c r="F130" s="213" t="s">
        <v>10</v>
      </c>
      <c r="G130" s="113"/>
      <c r="H130" s="113"/>
      <c r="I130" s="113"/>
      <c r="J130" s="113"/>
      <c r="K130" s="113"/>
      <c r="N130" s="113">
        <f>MATCH(A130,Entrada!$A$53:$A$372,0)</f>
        <v>90</v>
      </c>
      <c r="O130">
        <f>IF(NOT(ISNA($N130)),INDEX(Entrada!$C$53:$N$372,$N130,O$2),0)</f>
        <v>775</v>
      </c>
      <c r="P130">
        <f>IF(NOT(ISNA($N130)),INDEX(Entrada!$C$53:$N$372,$N130,P$2),0)</f>
        <v>775</v>
      </c>
      <c r="Q130">
        <f>IF(NOT(ISNA($N130)),INDEX(Entrada!$C$53:$N$372,$N130,Q$2),0)</f>
        <v>712</v>
      </c>
      <c r="R130">
        <f>IF(NOT(ISNA($N130)),INDEX(Entrada!$C$53:$N$372,$N130,R$2),0)</f>
        <v>476</v>
      </c>
      <c r="S130">
        <f>IF(NOT(ISNA($N130)),INDEX(Entrada!$C$53:$N$372,$N130,S$2),0)</f>
        <v>312</v>
      </c>
      <c r="T130">
        <f>IF(NOT(ISNA($N130)),INDEX(Entrada!$C$53:$N$372,$N130,T$2),0)</f>
        <v>260</v>
      </c>
      <c r="U130" s="219">
        <f>IF(NOT(ISNA($N130)),INDEX(Entrada!$C$53:$N$372,$N130,U$2),0)</f>
        <v>217</v>
      </c>
      <c r="V130" s="225">
        <f>IF(NOT(ISNA($N130)),INDEX(Entrada!$C$53:$N$372,$N130,V$2),0)</f>
        <v>184</v>
      </c>
      <c r="W130" s="225">
        <f>IF(NOT(ISNA($N130)),INDEX(Entrada!$C$53:$N$372,$N130,W$2),0)</f>
        <v>188</v>
      </c>
      <c r="X130" s="225">
        <f>IF(NOT(ISNA($N130)),INDEX(Entrada!$C$53:$N$372,$N130,X$2),0)</f>
        <v>222</v>
      </c>
      <c r="Y130" s="225">
        <f>IF(NOT(ISNA($N130)),INDEX(Entrada!$C$53:$N$372,$N130,Y$2),0)</f>
        <v>316</v>
      </c>
      <c r="Z130" s="225">
        <f>IF(NOT(ISNA($N130)),INDEX(Entrada!$C$53:$N$372,$N130,Z$2),0)</f>
        <v>520</v>
      </c>
      <c r="AA130" s="113">
        <f t="shared" si="24"/>
        <v>0</v>
      </c>
      <c r="AB130">
        <f t="shared" si="25"/>
        <v>0</v>
      </c>
      <c r="AC130">
        <f t="shared" si="26"/>
        <v>0</v>
      </c>
      <c r="AD130">
        <f t="shared" si="27"/>
        <v>0</v>
      </c>
      <c r="AE130">
        <f t="shared" si="28"/>
        <v>0</v>
      </c>
      <c r="AF130">
        <f t="shared" si="29"/>
        <v>0</v>
      </c>
      <c r="AG130">
        <f t="shared" si="30"/>
        <v>0</v>
      </c>
      <c r="AH130">
        <f t="shared" si="31"/>
        <v>0</v>
      </c>
      <c r="AI130">
        <f t="shared" si="32"/>
        <v>0</v>
      </c>
      <c r="AJ130">
        <f t="shared" si="33"/>
        <v>0</v>
      </c>
      <c r="AK130">
        <f t="shared" si="34"/>
        <v>0</v>
      </c>
      <c r="AL130">
        <f t="shared" si="35"/>
        <v>0</v>
      </c>
      <c r="AM130" s="219">
        <f t="shared" si="36"/>
        <v>775</v>
      </c>
      <c r="AN130">
        <f t="shared" si="37"/>
        <v>775</v>
      </c>
      <c r="AO130">
        <f t="shared" si="38"/>
        <v>712</v>
      </c>
      <c r="AP130">
        <f t="shared" si="39"/>
        <v>476</v>
      </c>
      <c r="AQ130">
        <f t="shared" si="40"/>
        <v>312</v>
      </c>
      <c r="AR130">
        <f t="shared" si="41"/>
        <v>260</v>
      </c>
      <c r="AS130">
        <f t="shared" si="42"/>
        <v>217</v>
      </c>
      <c r="AT130">
        <f t="shared" si="43"/>
        <v>184</v>
      </c>
      <c r="AU130">
        <f t="shared" si="44"/>
        <v>188</v>
      </c>
      <c r="AV130">
        <f t="shared" si="45"/>
        <v>222</v>
      </c>
      <c r="AW130">
        <f t="shared" si="46"/>
        <v>316</v>
      </c>
      <c r="AX130">
        <f t="shared" si="47"/>
        <v>520</v>
      </c>
      <c r="AY130" s="219">
        <f>AY132-AY301-AY206+AY307</f>
        <v>0</v>
      </c>
    </row>
    <row r="131" spans="1:51" x14ac:dyDescent="0.25">
      <c r="A131" s="113">
        <v>128</v>
      </c>
      <c r="B131" s="209"/>
      <c r="C131" s="113">
        <v>0</v>
      </c>
      <c r="D131" s="113">
        <v>0</v>
      </c>
      <c r="E131" s="113" t="s">
        <v>688</v>
      </c>
      <c r="F131" s="113" t="s">
        <v>688</v>
      </c>
      <c r="G131" s="113"/>
      <c r="H131" s="113"/>
      <c r="I131" s="113"/>
      <c r="J131" s="113"/>
      <c r="K131" s="113"/>
      <c r="N131" s="113" t="e">
        <f>MATCH(A131,Entrada!$A$53:$A$372,0)</f>
        <v>#N/A</v>
      </c>
      <c r="O131">
        <f>IF(NOT(ISNA($N131)),INDEX(Entrada!$C$53:$N$372,$N131,O$2),0)</f>
        <v>0</v>
      </c>
      <c r="P131">
        <f>IF(NOT(ISNA($N131)),INDEX(Entrada!$C$53:$N$372,$N131,P$2),0)</f>
        <v>0</v>
      </c>
      <c r="Q131">
        <f>IF(NOT(ISNA($N131)),INDEX(Entrada!$C$53:$N$372,$N131,Q$2),0)</f>
        <v>0</v>
      </c>
      <c r="R131">
        <f>IF(NOT(ISNA($N131)),INDEX(Entrada!$C$53:$N$372,$N131,R$2),0)</f>
        <v>0</v>
      </c>
      <c r="S131">
        <f>IF(NOT(ISNA($N131)),INDEX(Entrada!$C$53:$N$372,$N131,S$2),0)</f>
        <v>0</v>
      </c>
      <c r="T131">
        <f>IF(NOT(ISNA($N131)),INDEX(Entrada!$C$53:$N$372,$N131,T$2),0)</f>
        <v>0</v>
      </c>
      <c r="U131">
        <f>IF(NOT(ISNA($N131)),INDEX(Entrada!$C$53:$N$372,$N131,U$2),0)</f>
        <v>0</v>
      </c>
      <c r="V131" s="225">
        <f>IF(NOT(ISNA($N131)),INDEX(Entrada!$C$53:$N$372,$N131,V$2),0)</f>
        <v>0</v>
      </c>
      <c r="W131" s="225">
        <f>IF(NOT(ISNA($N131)),INDEX(Entrada!$C$53:$N$372,$N131,W$2),0)</f>
        <v>0</v>
      </c>
      <c r="X131" s="225">
        <f>IF(NOT(ISNA($N131)),INDEX(Entrada!$C$53:$N$372,$N131,X$2),0)</f>
        <v>0</v>
      </c>
      <c r="Y131" s="225">
        <f>IF(NOT(ISNA($N131)),INDEX(Entrada!$C$53:$N$372,$N131,Y$2),0)</f>
        <v>0</v>
      </c>
      <c r="Z131" s="225">
        <f>IF(NOT(ISNA($N131)),INDEX(Entrada!$C$53:$N$372,$N131,Z$2),0)</f>
        <v>0</v>
      </c>
      <c r="AA131" s="113">
        <f t="shared" si="24"/>
        <v>0</v>
      </c>
      <c r="AB131">
        <f t="shared" si="25"/>
        <v>0</v>
      </c>
      <c r="AC131">
        <f t="shared" si="26"/>
        <v>0</v>
      </c>
      <c r="AD131">
        <f t="shared" si="27"/>
        <v>0</v>
      </c>
      <c r="AE131">
        <f t="shared" si="28"/>
        <v>0</v>
      </c>
      <c r="AF131">
        <f t="shared" si="29"/>
        <v>0</v>
      </c>
      <c r="AG131">
        <f t="shared" si="30"/>
        <v>0</v>
      </c>
      <c r="AH131">
        <f t="shared" si="31"/>
        <v>0</v>
      </c>
      <c r="AI131">
        <f t="shared" si="32"/>
        <v>0</v>
      </c>
      <c r="AJ131">
        <f t="shared" si="33"/>
        <v>0</v>
      </c>
      <c r="AK131">
        <f t="shared" si="34"/>
        <v>0</v>
      </c>
      <c r="AL131">
        <f t="shared" si="35"/>
        <v>0</v>
      </c>
      <c r="AM131" s="113">
        <f t="shared" si="36"/>
        <v>0</v>
      </c>
      <c r="AN131">
        <f t="shared" si="37"/>
        <v>0</v>
      </c>
      <c r="AO131">
        <f t="shared" si="38"/>
        <v>0</v>
      </c>
      <c r="AP131">
        <f t="shared" si="39"/>
        <v>0</v>
      </c>
      <c r="AQ131">
        <f t="shared" si="40"/>
        <v>0</v>
      </c>
      <c r="AR131">
        <f t="shared" si="41"/>
        <v>0</v>
      </c>
      <c r="AS131">
        <f t="shared" si="42"/>
        <v>0</v>
      </c>
      <c r="AT131">
        <f t="shared" si="43"/>
        <v>0</v>
      </c>
      <c r="AU131">
        <f t="shared" si="44"/>
        <v>0</v>
      </c>
      <c r="AV131">
        <f t="shared" si="45"/>
        <v>0</v>
      </c>
      <c r="AW131">
        <f t="shared" si="46"/>
        <v>0</v>
      </c>
      <c r="AX131">
        <f t="shared" si="47"/>
        <v>0</v>
      </c>
    </row>
    <row r="132" spans="1:51" x14ac:dyDescent="0.25">
      <c r="A132" s="113">
        <v>129</v>
      </c>
      <c r="B132" s="209" t="s">
        <v>604</v>
      </c>
      <c r="C132" s="113">
        <v>1931</v>
      </c>
      <c r="D132" s="113">
        <v>2013</v>
      </c>
      <c r="E132" s="210" t="s">
        <v>10</v>
      </c>
      <c r="F132" s="210" t="s">
        <v>10</v>
      </c>
      <c r="G132" s="113">
        <v>198</v>
      </c>
      <c r="H132" s="113">
        <v>203</v>
      </c>
      <c r="I132" s="113"/>
      <c r="J132" s="113"/>
      <c r="K132" s="113"/>
      <c r="N132" s="113">
        <f>MATCH(A132,Entrada!$A$53:$A$372,0)</f>
        <v>91</v>
      </c>
      <c r="O132">
        <f>IF(NOT(ISNA($N132)),INDEX(Entrada!$C$53:$N$372,$N132,O$2),0)</f>
        <v>972</v>
      </c>
      <c r="P132">
        <f>IF(NOT(ISNA($N132)),INDEX(Entrada!$C$53:$N$372,$N132,P$2),0)</f>
        <v>971</v>
      </c>
      <c r="Q132">
        <f>IF(NOT(ISNA($N132)),INDEX(Entrada!$C$53:$N$372,$N132,Q$2),0)</f>
        <v>908</v>
      </c>
      <c r="R132">
        <f>IF(NOT(ISNA($N132)),INDEX(Entrada!$C$53:$N$372,$N132,R$2),0)</f>
        <v>662</v>
      </c>
      <c r="S132">
        <f>IF(NOT(ISNA($N132)),INDEX(Entrada!$C$53:$N$372,$N132,S$2),0)</f>
        <v>473</v>
      </c>
      <c r="T132">
        <f>IF(NOT(ISNA($N132)),INDEX(Entrada!$C$53:$N$372,$N132,T$2),0)</f>
        <v>397</v>
      </c>
      <c r="U132">
        <f>IF(NOT(ISNA($N132)),INDEX(Entrada!$C$53:$N$372,$N132,U$2),0)</f>
        <v>336</v>
      </c>
      <c r="V132" s="225">
        <f>IF(NOT(ISNA($N132)),INDEX(Entrada!$C$53:$N$372,$N132,V$2),0)</f>
        <v>288</v>
      </c>
      <c r="W132" s="225">
        <f>IF(NOT(ISNA($N132)),INDEX(Entrada!$C$53:$N$372,$N132,W$2),0)</f>
        <v>292</v>
      </c>
      <c r="X132" s="225">
        <f>IF(NOT(ISNA($N132)),INDEX(Entrada!$C$53:$N$372,$N132,X$2),0)</f>
        <v>347</v>
      </c>
      <c r="Y132" s="225">
        <f>IF(NOT(ISNA($N132)),INDEX(Entrada!$C$53:$N$372,$N132,Y$2),0)</f>
        <v>471</v>
      </c>
      <c r="Z132" s="225">
        <f>IF(NOT(ISNA($N132)),INDEX(Entrada!$C$53:$N$372,$N132,Z$2),0)</f>
        <v>705</v>
      </c>
      <c r="AA132" s="113">
        <f t="shared" ref="AA132:AA195" si="48">IF($G132&gt;0,INDEX($O$4:$Z$323,$G132,O$2),0)+IF($H132&gt;0,INDEX($O$4:$Z$323,$H132,O$2),0)+IF($I132&gt;0,INDEX($O$4:$Z$323,$I132,O$2),0)+IF($J132&gt;0,INDEX($O$4:$Z$323,$J132,O$2),0)+IF($K132&gt;0,INDEX($O$4:$Z$323,$K132,O$2),0)+IF($L132&gt;0,INDEX($O$4:$Z$323,$L132,O$2),0)</f>
        <v>171</v>
      </c>
      <c r="AB132">
        <f t="shared" ref="AB132:AB195" si="49">IF($G132&gt;0,INDEX($O$4:$Z$323,$G132,P$2),0)+IF($H132&gt;0,INDEX($O$4:$Z$323,$H132,P$2),0)+IF($I132&gt;0,INDEX($O$4:$Z$323,$I132,P$2),0)+IF($J132&gt;0,INDEX($O$4:$Z$323,$J132,P$2),0)+IF($K132&gt;0,INDEX($O$4:$Z$323,$K132,P$2),0)+IF($L132&gt;0,INDEX($O$4:$Z$323,$L132,P$2),0)</f>
        <v>167</v>
      </c>
      <c r="AC132">
        <f t="shared" ref="AC132:AC195" si="50">IF($G132&gt;0,INDEX($O$4:$Z$323,$G132,Q$2),0)+IF($H132&gt;0,INDEX($O$4:$Z$323,$H132,Q$2),0)+IF($I132&gt;0,INDEX($O$4:$Z$323,$I132,Q$2),0)+IF($J132&gt;0,INDEX($O$4:$Z$323,$J132,Q$2),0)+IF($K132&gt;0,INDEX($O$4:$Z$323,$K132,Q$2),0)+IF($L132&gt;0,INDEX($O$4:$Z$323,$L132,Q$2),0)</f>
        <v>153</v>
      </c>
      <c r="AD132">
        <f t="shared" ref="AD132:AD195" si="51">IF($G132&gt;0,INDEX($O$4:$Z$323,$G132,R$2),0)+IF($H132&gt;0,INDEX($O$4:$Z$323,$H132,R$2),0)+IF($I132&gt;0,INDEX($O$4:$Z$323,$I132,R$2),0)+IF($J132&gt;0,INDEX($O$4:$Z$323,$J132,R$2),0)+IF($K132&gt;0,INDEX($O$4:$Z$323,$K132,R$2),0)+IF($L132&gt;0,INDEX($O$4:$Z$323,$L132,R$2),0)</f>
        <v>114</v>
      </c>
      <c r="AE132">
        <f t="shared" ref="AE132:AE195" si="52">IF($G132&gt;0,INDEX($O$4:$Z$323,$G132,S$2),0)+IF($H132&gt;0,INDEX($O$4:$Z$323,$H132,S$2),0)+IF($I132&gt;0,INDEX($O$4:$Z$323,$I132,S$2),0)+IF($J132&gt;0,INDEX($O$4:$Z$323,$J132,S$2),0)+IF($K132&gt;0,INDEX($O$4:$Z$323,$K132,S$2),0)+IF($L132&gt;0,INDEX($O$4:$Z$323,$L132,S$2),0)</f>
        <v>86</v>
      </c>
      <c r="AF132">
        <f t="shared" ref="AF132:AF195" si="53">IF($G132&gt;0,INDEX($O$4:$Z$323,$G132,T$2),0)+IF($H132&gt;0,INDEX($O$4:$Z$323,$H132,T$2),0)+IF($I132&gt;0,INDEX($O$4:$Z$323,$I132,T$2),0)+IF($J132&gt;0,INDEX($O$4:$Z$323,$J132,T$2),0)+IF($K132&gt;0,INDEX($O$4:$Z$323,$K132,T$2),0)+IF($L132&gt;0,INDEX($O$4:$Z$323,$L132,T$2),0)</f>
        <v>71</v>
      </c>
      <c r="AG132">
        <f t="shared" ref="AG132:AG195" si="54">IF($G132&gt;0,INDEX($O$4:$Z$323,$G132,U$2),0)+IF($H132&gt;0,INDEX($O$4:$Z$323,$H132,U$2),0)+IF($I132&gt;0,INDEX($O$4:$Z$323,$I132,U$2),0)+IF($J132&gt;0,INDEX($O$4:$Z$323,$J132,U$2),0)+IF($K132&gt;0,INDEX($O$4:$Z$323,$K132,U$2),0)+IF($L132&gt;0,INDEX($O$4:$Z$323,$L132,U$2),0)</f>
        <v>62</v>
      </c>
      <c r="AH132">
        <f t="shared" ref="AH132:AH195" si="55">IF($G132&gt;0,INDEX($O$4:$Z$323,$G132,V$2),0)+IF($H132&gt;0,INDEX($O$4:$Z$323,$H132,V$2),0)+IF($I132&gt;0,INDEX($O$4:$Z$323,$I132,V$2),0)+IF($J132&gt;0,INDEX($O$4:$Z$323,$J132,V$2),0)+IF($K132&gt;0,INDEX($O$4:$Z$323,$K132,V$2),0)+IF($L132&gt;0,INDEX($O$4:$Z$323,$L132,V$2),0)</f>
        <v>55</v>
      </c>
      <c r="AI132">
        <f t="shared" ref="AI132:AI195" si="56">IF($G132&gt;0,INDEX($O$4:$Z$323,$G132,W$2),0)+IF($H132&gt;0,INDEX($O$4:$Z$323,$H132,W$2),0)+IF($I132&gt;0,INDEX($O$4:$Z$323,$I132,W$2),0)+IF($J132&gt;0,INDEX($O$4:$Z$323,$J132,W$2),0)+IF($K132&gt;0,INDEX($O$4:$Z$323,$K132,W$2),0)+IF($L132&gt;0,INDEX($O$4:$Z$323,$L132,W$2),0)</f>
        <v>55</v>
      </c>
      <c r="AJ132">
        <f t="shared" ref="AJ132:AJ195" si="57">IF($G132&gt;0,INDEX($O$4:$Z$323,$G132,X$2),0)+IF($H132&gt;0,INDEX($O$4:$Z$323,$H132,X$2),0)+IF($I132&gt;0,INDEX($O$4:$Z$323,$I132,X$2),0)+IF($J132&gt;0,INDEX($O$4:$Z$323,$J132,X$2),0)+IF($K132&gt;0,INDEX($O$4:$Z$323,$K132,X$2),0)+IF($L132&gt;0,INDEX($O$4:$Z$323,$L132,X$2),0)</f>
        <v>65</v>
      </c>
      <c r="AK132">
        <f t="shared" ref="AK132:AK195" si="58">IF($G132&gt;0,INDEX($O$4:$Z$323,$G132,Y$2),0)+IF($H132&gt;0,INDEX($O$4:$Z$323,$H132,Y$2),0)+IF($I132&gt;0,INDEX($O$4:$Z$323,$I132,Y$2),0)+IF($J132&gt;0,INDEX($O$4:$Z$323,$J132,Y$2),0)+IF($K132&gt;0,INDEX($O$4:$Z$323,$K132,Y$2),0)+IF($L132&gt;0,INDEX($O$4:$Z$323,$L132,Y$2),0)</f>
        <v>90</v>
      </c>
      <c r="AL132">
        <f t="shared" ref="AL132:AL195" si="59">IF($G132&gt;0,INDEX($O$4:$Z$323,$G132,Z$2),0)+IF($H132&gt;0,INDEX($O$4:$Z$323,$H132,Z$2),0)+IF($I132&gt;0,INDEX($O$4:$Z$323,$I132,Z$2),0)+IF($J132&gt;0,INDEX($O$4:$Z$323,$J132,Z$2),0)+IF($K132&gt;0,INDEX($O$4:$Z$323,$K132,Z$2),0)+IF($L132&gt;0,INDEX($O$4:$Z$323,$L132,Z$2),0)</f>
        <v>133</v>
      </c>
      <c r="AM132" s="113">
        <f t="shared" ref="AM132:AM195" si="60">O132-AA132</f>
        <v>801</v>
      </c>
      <c r="AN132">
        <f t="shared" ref="AN132:AN195" si="61">P132-AB132</f>
        <v>804</v>
      </c>
      <c r="AO132">
        <f t="shared" ref="AO132:AO195" si="62">Q132-AC132</f>
        <v>755</v>
      </c>
      <c r="AP132">
        <f t="shared" ref="AP132:AP195" si="63">R132-AD132</f>
        <v>548</v>
      </c>
      <c r="AQ132">
        <f t="shared" ref="AQ132:AQ195" si="64">S132-AE132</f>
        <v>387</v>
      </c>
      <c r="AR132">
        <f t="shared" ref="AR132:AR195" si="65">T132-AF132</f>
        <v>326</v>
      </c>
      <c r="AS132">
        <f t="shared" ref="AS132:AS195" si="66">U132-AG132</f>
        <v>274</v>
      </c>
      <c r="AT132">
        <f t="shared" ref="AT132:AT195" si="67">V132-AH132</f>
        <v>233</v>
      </c>
      <c r="AU132">
        <f t="shared" ref="AU132:AU195" si="68">W132-AI132</f>
        <v>237</v>
      </c>
      <c r="AV132">
        <f t="shared" ref="AV132:AV195" si="69">X132-AJ132</f>
        <v>282</v>
      </c>
      <c r="AW132">
        <f t="shared" ref="AW132:AW195" si="70">Y132-AK132</f>
        <v>381</v>
      </c>
      <c r="AX132">
        <f t="shared" ref="AX132:AX195" si="71">Z132-AL132</f>
        <v>572</v>
      </c>
    </row>
    <row r="133" spans="1:51" x14ac:dyDescent="0.25">
      <c r="A133" s="113">
        <v>130</v>
      </c>
      <c r="B133" s="209" t="s">
        <v>605</v>
      </c>
      <c r="C133" s="113">
        <v>1931</v>
      </c>
      <c r="D133" s="113">
        <v>2013</v>
      </c>
      <c r="E133" s="210" t="s">
        <v>10</v>
      </c>
      <c r="F133" s="210" t="s">
        <v>10</v>
      </c>
      <c r="G133" s="113">
        <v>129</v>
      </c>
      <c r="H133" s="113"/>
      <c r="I133" s="113"/>
      <c r="J133" s="113"/>
      <c r="K133" s="113"/>
      <c r="N133" s="113">
        <f>MATCH(A133,Entrada!$A$53:$A$372,0)</f>
        <v>92</v>
      </c>
      <c r="O133">
        <f>IF(NOT(ISNA($N133)),INDEX(Entrada!$C$53:$N$372,$N133,O$2),0)</f>
        <v>1086</v>
      </c>
      <c r="P133">
        <f>IF(NOT(ISNA($N133)),INDEX(Entrada!$C$53:$N$372,$N133,P$2),0)</f>
        <v>1088</v>
      </c>
      <c r="Q133">
        <f>IF(NOT(ISNA($N133)),INDEX(Entrada!$C$53:$N$372,$N133,Q$2),0)</f>
        <v>1018</v>
      </c>
      <c r="R133">
        <f>IF(NOT(ISNA($N133)),INDEX(Entrada!$C$53:$N$372,$N133,R$2),0)</f>
        <v>737</v>
      </c>
      <c r="S133">
        <f>IF(NOT(ISNA($N133)),INDEX(Entrada!$C$53:$N$372,$N133,S$2),0)</f>
        <v>522</v>
      </c>
      <c r="T133">
        <f>IF(NOT(ISNA($N133)),INDEX(Entrada!$C$53:$N$372,$N133,T$2),0)</f>
        <v>438</v>
      </c>
      <c r="U133">
        <f>IF(NOT(ISNA($N133)),INDEX(Entrada!$C$53:$N$372,$N133,U$2),0)</f>
        <v>369</v>
      </c>
      <c r="V133" s="225">
        <f>IF(NOT(ISNA($N133)),INDEX(Entrada!$C$53:$N$372,$N133,V$2),0)</f>
        <v>316</v>
      </c>
      <c r="W133" s="225">
        <f>IF(NOT(ISNA($N133)),INDEX(Entrada!$C$53:$N$372,$N133,W$2),0)</f>
        <v>321</v>
      </c>
      <c r="X133" s="225">
        <f>IF(NOT(ISNA($N133)),INDEX(Entrada!$C$53:$N$372,$N133,X$2),0)</f>
        <v>383</v>
      </c>
      <c r="Y133" s="225">
        <f>IF(NOT(ISNA($N133)),INDEX(Entrada!$C$53:$N$372,$N133,Y$2),0)</f>
        <v>522</v>
      </c>
      <c r="Z133" s="225">
        <f>IF(NOT(ISNA($N133)),INDEX(Entrada!$C$53:$N$372,$N133,Z$2),0)</f>
        <v>787</v>
      </c>
      <c r="AA133" s="113">
        <f t="shared" si="48"/>
        <v>972</v>
      </c>
      <c r="AB133">
        <f t="shared" si="49"/>
        <v>971</v>
      </c>
      <c r="AC133">
        <f t="shared" si="50"/>
        <v>908</v>
      </c>
      <c r="AD133">
        <f t="shared" si="51"/>
        <v>662</v>
      </c>
      <c r="AE133">
        <f t="shared" si="52"/>
        <v>473</v>
      </c>
      <c r="AF133">
        <f t="shared" si="53"/>
        <v>397</v>
      </c>
      <c r="AG133">
        <f t="shared" si="54"/>
        <v>336</v>
      </c>
      <c r="AH133">
        <f t="shared" si="55"/>
        <v>288</v>
      </c>
      <c r="AI133">
        <f t="shared" si="56"/>
        <v>292</v>
      </c>
      <c r="AJ133">
        <f t="shared" si="57"/>
        <v>347</v>
      </c>
      <c r="AK133">
        <f t="shared" si="58"/>
        <v>471</v>
      </c>
      <c r="AL133">
        <f t="shared" si="59"/>
        <v>705</v>
      </c>
      <c r="AM133" s="113">
        <f t="shared" si="60"/>
        <v>114</v>
      </c>
      <c r="AN133">
        <f t="shared" si="61"/>
        <v>117</v>
      </c>
      <c r="AO133">
        <f t="shared" si="62"/>
        <v>110</v>
      </c>
      <c r="AP133">
        <f t="shared" si="63"/>
        <v>75</v>
      </c>
      <c r="AQ133">
        <f t="shared" si="64"/>
        <v>49</v>
      </c>
      <c r="AR133">
        <f t="shared" si="65"/>
        <v>41</v>
      </c>
      <c r="AS133">
        <f t="shared" si="66"/>
        <v>33</v>
      </c>
      <c r="AT133">
        <f t="shared" si="67"/>
        <v>28</v>
      </c>
      <c r="AU133">
        <f t="shared" si="68"/>
        <v>29</v>
      </c>
      <c r="AV133">
        <f t="shared" si="69"/>
        <v>36</v>
      </c>
      <c r="AW133">
        <f t="shared" si="70"/>
        <v>51</v>
      </c>
      <c r="AX133">
        <f t="shared" si="71"/>
        <v>82</v>
      </c>
    </row>
    <row r="134" spans="1:51" x14ac:dyDescent="0.25">
      <c r="A134" s="113">
        <v>131</v>
      </c>
      <c r="B134" s="209" t="s">
        <v>357</v>
      </c>
      <c r="C134" s="113">
        <v>1931</v>
      </c>
      <c r="D134" s="113">
        <v>2013</v>
      </c>
      <c r="E134" s="212" t="s">
        <v>10</v>
      </c>
      <c r="F134" s="213" t="s">
        <v>358</v>
      </c>
      <c r="G134" s="113"/>
      <c r="H134" s="113"/>
      <c r="I134" s="113"/>
      <c r="J134" s="113"/>
      <c r="K134" s="113"/>
      <c r="N134" s="113">
        <f>MATCH(A134,Entrada!$A$53:$A$372,0)</f>
        <v>93</v>
      </c>
      <c r="O134">
        <f>IF(NOT(ISNA($N134)),INDEX(Entrada!$C$53:$N$372,$N134,O$2),0)</f>
        <v>144</v>
      </c>
      <c r="P134">
        <f>IF(NOT(ISNA($N134)),INDEX(Entrada!$C$53:$N$372,$N134,P$2),0)</f>
        <v>143</v>
      </c>
      <c r="Q134">
        <f>IF(NOT(ISNA($N134)),INDEX(Entrada!$C$53:$N$372,$N134,Q$2),0)</f>
        <v>144</v>
      </c>
      <c r="R134">
        <f>IF(NOT(ISNA($N134)),INDEX(Entrada!$C$53:$N$372,$N134,R$2),0)</f>
        <v>143</v>
      </c>
      <c r="S134">
        <f>IF(NOT(ISNA($N134)),INDEX(Entrada!$C$53:$N$372,$N134,S$2),0)</f>
        <v>135</v>
      </c>
      <c r="T134">
        <f>IF(NOT(ISNA($N134)),INDEX(Entrada!$C$53:$N$372,$N134,T$2),0)</f>
        <v>122</v>
      </c>
      <c r="U134" s="219">
        <f>IF(NOT(ISNA($N134)),INDEX(Entrada!$C$53:$N$372,$N134,U$2),0)</f>
        <v>110</v>
      </c>
      <c r="V134" s="225">
        <f>IF(NOT(ISNA($N134)),INDEX(Entrada!$C$53:$N$372,$N134,V$2),0)</f>
        <v>96</v>
      </c>
      <c r="W134" s="225">
        <f>IF(NOT(ISNA($N134)),INDEX(Entrada!$C$53:$N$372,$N134,W$2),0)</f>
        <v>97</v>
      </c>
      <c r="X134" s="225">
        <f>IF(NOT(ISNA($N134)),INDEX(Entrada!$C$53:$N$372,$N134,X$2),0)</f>
        <v>112</v>
      </c>
      <c r="Y134" s="225">
        <f>IF(NOT(ISNA($N134)),INDEX(Entrada!$C$53:$N$372,$N134,Y$2),0)</f>
        <v>131</v>
      </c>
      <c r="Z134" s="225">
        <f>IF(NOT(ISNA($N134)),INDEX(Entrada!$C$53:$N$372,$N134,Z$2),0)</f>
        <v>142</v>
      </c>
      <c r="AA134" s="113">
        <f t="shared" si="48"/>
        <v>0</v>
      </c>
      <c r="AB134">
        <f t="shared" si="49"/>
        <v>0</v>
      </c>
      <c r="AC134">
        <f t="shared" si="50"/>
        <v>0</v>
      </c>
      <c r="AD134">
        <f t="shared" si="51"/>
        <v>0</v>
      </c>
      <c r="AE134">
        <f t="shared" si="52"/>
        <v>0</v>
      </c>
      <c r="AF134">
        <f t="shared" si="53"/>
        <v>0</v>
      </c>
      <c r="AG134">
        <f t="shared" si="54"/>
        <v>0</v>
      </c>
      <c r="AH134">
        <f t="shared" si="55"/>
        <v>0</v>
      </c>
      <c r="AI134">
        <f t="shared" si="56"/>
        <v>0</v>
      </c>
      <c r="AJ134">
        <f t="shared" si="57"/>
        <v>0</v>
      </c>
      <c r="AK134">
        <f t="shared" si="58"/>
        <v>0</v>
      </c>
      <c r="AL134">
        <f t="shared" si="59"/>
        <v>0</v>
      </c>
      <c r="AM134" s="219">
        <f t="shared" si="60"/>
        <v>144</v>
      </c>
      <c r="AN134">
        <f t="shared" si="61"/>
        <v>143</v>
      </c>
      <c r="AO134">
        <f t="shared" si="62"/>
        <v>144</v>
      </c>
      <c r="AP134">
        <f t="shared" si="63"/>
        <v>143</v>
      </c>
      <c r="AQ134">
        <f t="shared" si="64"/>
        <v>135</v>
      </c>
      <c r="AR134">
        <f t="shared" si="65"/>
        <v>122</v>
      </c>
      <c r="AS134">
        <f t="shared" si="66"/>
        <v>110</v>
      </c>
      <c r="AT134">
        <f t="shared" si="67"/>
        <v>96</v>
      </c>
      <c r="AU134">
        <f t="shared" si="68"/>
        <v>97</v>
      </c>
      <c r="AV134">
        <f t="shared" si="69"/>
        <v>112</v>
      </c>
      <c r="AW134">
        <f t="shared" si="70"/>
        <v>131</v>
      </c>
      <c r="AX134">
        <f t="shared" si="71"/>
        <v>142</v>
      </c>
      <c r="AY134" s="219">
        <f>MIN(AY319,144)</f>
        <v>0</v>
      </c>
    </row>
    <row r="135" spans="1:51" x14ac:dyDescent="0.25">
      <c r="A135" s="113">
        <v>132</v>
      </c>
      <c r="B135" s="209" t="s">
        <v>606</v>
      </c>
      <c r="C135" s="113">
        <v>1931</v>
      </c>
      <c r="D135" s="113">
        <v>2013</v>
      </c>
      <c r="E135" s="212" t="s">
        <v>10</v>
      </c>
      <c r="F135" s="213" t="s">
        <v>361</v>
      </c>
      <c r="G135" s="113"/>
      <c r="H135" s="113"/>
      <c r="I135" s="113"/>
      <c r="J135" s="113"/>
      <c r="K135" s="113"/>
      <c r="N135" s="113">
        <f>MATCH(A135,Entrada!$A$53:$A$372,0)</f>
        <v>94</v>
      </c>
      <c r="O135">
        <f>IF(NOT(ISNA($N135)),INDEX(Entrada!$C$53:$N$372,$N135,O$2),0)</f>
        <v>31</v>
      </c>
      <c r="P135">
        <f>IF(NOT(ISNA($N135)),INDEX(Entrada!$C$53:$N$372,$N135,P$2),0)</f>
        <v>30</v>
      </c>
      <c r="Q135">
        <f>IF(NOT(ISNA($N135)),INDEX(Entrada!$C$53:$N$372,$N135,Q$2),0)</f>
        <v>29</v>
      </c>
      <c r="R135">
        <f>IF(NOT(ISNA($N135)),INDEX(Entrada!$C$53:$N$372,$N135,R$2),0)</f>
        <v>24</v>
      </c>
      <c r="S135">
        <f>IF(NOT(ISNA($N135)),INDEX(Entrada!$C$53:$N$372,$N135,S$2),0)</f>
        <v>17</v>
      </c>
      <c r="T135">
        <f>IF(NOT(ISNA($N135)),INDEX(Entrada!$C$53:$N$372,$N135,T$2),0)</f>
        <v>12</v>
      </c>
      <c r="U135" s="219">
        <f>IF(NOT(ISNA($N135)),INDEX(Entrada!$C$53:$N$372,$N135,U$2),0)</f>
        <v>10</v>
      </c>
      <c r="V135" s="225">
        <f>IF(NOT(ISNA($N135)),INDEX(Entrada!$C$53:$N$372,$N135,V$2),0)</f>
        <v>9</v>
      </c>
      <c r="W135" s="225">
        <f>IF(NOT(ISNA($N135)),INDEX(Entrada!$C$53:$N$372,$N135,W$2),0)</f>
        <v>9</v>
      </c>
      <c r="X135" s="225">
        <f>IF(NOT(ISNA($N135)),INDEX(Entrada!$C$53:$N$372,$N135,X$2),0)</f>
        <v>11</v>
      </c>
      <c r="Y135" s="225">
        <f>IF(NOT(ISNA($N135)),INDEX(Entrada!$C$53:$N$372,$N135,Y$2),0)</f>
        <v>17</v>
      </c>
      <c r="Z135" s="225">
        <f>IF(NOT(ISNA($N135)),INDEX(Entrada!$C$53:$N$372,$N135,Z$2),0)</f>
        <v>25</v>
      </c>
      <c r="AA135" s="113">
        <f t="shared" si="48"/>
        <v>0</v>
      </c>
      <c r="AB135">
        <f t="shared" si="49"/>
        <v>0</v>
      </c>
      <c r="AC135">
        <f t="shared" si="50"/>
        <v>0</v>
      </c>
      <c r="AD135">
        <f t="shared" si="51"/>
        <v>0</v>
      </c>
      <c r="AE135">
        <f t="shared" si="52"/>
        <v>0</v>
      </c>
      <c r="AF135">
        <f t="shared" si="53"/>
        <v>0</v>
      </c>
      <c r="AG135">
        <f t="shared" si="54"/>
        <v>0</v>
      </c>
      <c r="AH135">
        <f t="shared" si="55"/>
        <v>0</v>
      </c>
      <c r="AI135">
        <f t="shared" si="56"/>
        <v>0</v>
      </c>
      <c r="AJ135">
        <f t="shared" si="57"/>
        <v>0</v>
      </c>
      <c r="AK135">
        <f t="shared" si="58"/>
        <v>0</v>
      </c>
      <c r="AL135">
        <f t="shared" si="59"/>
        <v>0</v>
      </c>
      <c r="AM135" s="219">
        <f t="shared" si="60"/>
        <v>31</v>
      </c>
      <c r="AN135">
        <f t="shared" si="61"/>
        <v>30</v>
      </c>
      <c r="AO135">
        <f t="shared" si="62"/>
        <v>29</v>
      </c>
      <c r="AP135">
        <f t="shared" si="63"/>
        <v>24</v>
      </c>
      <c r="AQ135">
        <f t="shared" si="64"/>
        <v>17</v>
      </c>
      <c r="AR135">
        <f t="shared" si="65"/>
        <v>12</v>
      </c>
      <c r="AS135">
        <f t="shared" si="66"/>
        <v>10</v>
      </c>
      <c r="AT135">
        <f t="shared" si="67"/>
        <v>9</v>
      </c>
      <c r="AU135">
        <f t="shared" si="68"/>
        <v>9</v>
      </c>
      <c r="AV135">
        <f t="shared" si="69"/>
        <v>11</v>
      </c>
      <c r="AW135">
        <f t="shared" si="70"/>
        <v>17</v>
      </c>
      <c r="AX135">
        <f t="shared" si="71"/>
        <v>25</v>
      </c>
      <c r="AY135" s="219">
        <f>AY205+MIN(AY204,25)</f>
        <v>25</v>
      </c>
    </row>
    <row r="136" spans="1:51" x14ac:dyDescent="0.25">
      <c r="A136" s="113">
        <v>133</v>
      </c>
      <c r="B136" s="209"/>
      <c r="C136" s="113">
        <v>0</v>
      </c>
      <c r="D136" s="113">
        <v>0</v>
      </c>
      <c r="E136" s="113" t="s">
        <v>688</v>
      </c>
      <c r="F136" s="113" t="s">
        <v>688</v>
      </c>
      <c r="G136" s="113"/>
      <c r="H136" s="113"/>
      <c r="I136" s="113"/>
      <c r="J136" s="113"/>
      <c r="K136" s="113"/>
      <c r="N136" s="113" t="e">
        <f>MATCH(A136,Entrada!$A$53:$A$372,0)</f>
        <v>#N/A</v>
      </c>
      <c r="O136">
        <f>IF(NOT(ISNA($N136)),INDEX(Entrada!$C$53:$N$372,$N136,O$2),0)</f>
        <v>0</v>
      </c>
      <c r="P136">
        <f>IF(NOT(ISNA($N136)),INDEX(Entrada!$C$53:$N$372,$N136,P$2),0)</f>
        <v>0</v>
      </c>
      <c r="Q136">
        <f>IF(NOT(ISNA($N136)),INDEX(Entrada!$C$53:$N$372,$N136,Q$2),0)</f>
        <v>0</v>
      </c>
      <c r="R136">
        <f>IF(NOT(ISNA($N136)),INDEX(Entrada!$C$53:$N$372,$N136,R$2),0)</f>
        <v>0</v>
      </c>
      <c r="S136">
        <f>IF(NOT(ISNA($N136)),INDEX(Entrada!$C$53:$N$372,$N136,S$2),0)</f>
        <v>0</v>
      </c>
      <c r="T136">
        <f>IF(NOT(ISNA($N136)),INDEX(Entrada!$C$53:$N$372,$N136,T$2),0)</f>
        <v>0</v>
      </c>
      <c r="U136">
        <f>IF(NOT(ISNA($N136)),INDEX(Entrada!$C$53:$N$372,$N136,U$2),0)</f>
        <v>0</v>
      </c>
      <c r="V136" s="225">
        <f>IF(NOT(ISNA($N136)),INDEX(Entrada!$C$53:$N$372,$N136,V$2),0)</f>
        <v>0</v>
      </c>
      <c r="W136" s="225">
        <f>IF(NOT(ISNA($N136)),INDEX(Entrada!$C$53:$N$372,$N136,W$2),0)</f>
        <v>0</v>
      </c>
      <c r="X136" s="225">
        <f>IF(NOT(ISNA($N136)),INDEX(Entrada!$C$53:$N$372,$N136,X$2),0)</f>
        <v>0</v>
      </c>
      <c r="Y136" s="225">
        <f>IF(NOT(ISNA($N136)),INDEX(Entrada!$C$53:$N$372,$N136,Y$2),0)</f>
        <v>0</v>
      </c>
      <c r="Z136" s="225">
        <f>IF(NOT(ISNA($N136)),INDEX(Entrada!$C$53:$N$372,$N136,Z$2),0)</f>
        <v>0</v>
      </c>
      <c r="AA136" s="113">
        <f t="shared" si="48"/>
        <v>0</v>
      </c>
      <c r="AB136">
        <f t="shared" si="49"/>
        <v>0</v>
      </c>
      <c r="AC136">
        <f t="shared" si="50"/>
        <v>0</v>
      </c>
      <c r="AD136">
        <f t="shared" si="51"/>
        <v>0</v>
      </c>
      <c r="AE136">
        <f t="shared" si="52"/>
        <v>0</v>
      </c>
      <c r="AF136">
        <f t="shared" si="53"/>
        <v>0</v>
      </c>
      <c r="AG136">
        <f t="shared" si="54"/>
        <v>0</v>
      </c>
      <c r="AH136">
        <f t="shared" si="55"/>
        <v>0</v>
      </c>
      <c r="AI136">
        <f t="shared" si="56"/>
        <v>0</v>
      </c>
      <c r="AJ136">
        <f t="shared" si="57"/>
        <v>0</v>
      </c>
      <c r="AK136">
        <f t="shared" si="58"/>
        <v>0</v>
      </c>
      <c r="AL136">
        <f t="shared" si="59"/>
        <v>0</v>
      </c>
      <c r="AM136" s="113">
        <f t="shared" si="60"/>
        <v>0</v>
      </c>
      <c r="AN136">
        <f t="shared" si="61"/>
        <v>0</v>
      </c>
      <c r="AO136">
        <f t="shared" si="62"/>
        <v>0</v>
      </c>
      <c r="AP136">
        <f t="shared" si="63"/>
        <v>0</v>
      </c>
      <c r="AQ136">
        <f t="shared" si="64"/>
        <v>0</v>
      </c>
      <c r="AR136">
        <f t="shared" si="65"/>
        <v>0</v>
      </c>
      <c r="AS136">
        <f t="shared" si="66"/>
        <v>0</v>
      </c>
      <c r="AT136">
        <f t="shared" si="67"/>
        <v>0</v>
      </c>
      <c r="AU136">
        <f t="shared" si="68"/>
        <v>0</v>
      </c>
      <c r="AV136">
        <f t="shared" si="69"/>
        <v>0</v>
      </c>
      <c r="AW136">
        <f t="shared" si="70"/>
        <v>0</v>
      </c>
      <c r="AX136">
        <f t="shared" si="71"/>
        <v>0</v>
      </c>
    </row>
    <row r="137" spans="1:51" x14ac:dyDescent="0.25">
      <c r="A137" s="113">
        <v>134</v>
      </c>
      <c r="B137" s="209" t="s">
        <v>130</v>
      </c>
      <c r="C137" s="113">
        <v>1931</v>
      </c>
      <c r="D137" s="113">
        <v>2013</v>
      </c>
      <c r="E137" s="210" t="s">
        <v>13</v>
      </c>
      <c r="F137" s="210" t="s">
        <v>13</v>
      </c>
      <c r="G137" s="113"/>
      <c r="H137" s="113"/>
      <c r="I137" s="113"/>
      <c r="J137" s="113"/>
      <c r="K137" s="113"/>
      <c r="N137" s="113">
        <f>MATCH(A137,Entrada!$A$53:$A$372,0)</f>
        <v>95</v>
      </c>
      <c r="O137">
        <f>IF(NOT(ISNA($N137)),INDEX(Entrada!$C$53:$N$372,$N137,O$2),0)</f>
        <v>297</v>
      </c>
      <c r="P137">
        <f>IF(NOT(ISNA($N137)),INDEX(Entrada!$C$53:$N$372,$N137,P$2),0)</f>
        <v>240</v>
      </c>
      <c r="Q137">
        <f>IF(NOT(ISNA($N137)),INDEX(Entrada!$C$53:$N$372,$N137,Q$2),0)</f>
        <v>215</v>
      </c>
      <c r="R137">
        <f>IF(NOT(ISNA($N137)),INDEX(Entrada!$C$53:$N$372,$N137,R$2),0)</f>
        <v>163</v>
      </c>
      <c r="S137">
        <f>IF(NOT(ISNA($N137)),INDEX(Entrada!$C$53:$N$372,$N137,S$2),0)</f>
        <v>117</v>
      </c>
      <c r="T137">
        <f>IF(NOT(ISNA($N137)),INDEX(Entrada!$C$53:$N$372,$N137,T$2),0)</f>
        <v>96</v>
      </c>
      <c r="U137">
        <f>IF(NOT(ISNA($N137)),INDEX(Entrada!$C$53:$N$372,$N137,U$2),0)</f>
        <v>82</v>
      </c>
      <c r="V137" s="225">
        <f>IF(NOT(ISNA($N137)),INDEX(Entrada!$C$53:$N$372,$N137,V$2),0)</f>
        <v>71</v>
      </c>
      <c r="W137" s="225">
        <f>IF(NOT(ISNA($N137)),INDEX(Entrada!$C$53:$N$372,$N137,W$2),0)</f>
        <v>68</v>
      </c>
      <c r="X137" s="225">
        <f>IF(NOT(ISNA($N137)),INDEX(Entrada!$C$53:$N$372,$N137,X$2),0)</f>
        <v>87</v>
      </c>
      <c r="Y137" s="225">
        <f>IF(NOT(ISNA($N137)),INDEX(Entrada!$C$53:$N$372,$N137,Y$2),0)</f>
        <v>162</v>
      </c>
      <c r="Z137" s="225">
        <f>IF(NOT(ISNA($N137)),INDEX(Entrada!$C$53:$N$372,$N137,Z$2),0)</f>
        <v>258</v>
      </c>
      <c r="AA137" s="113">
        <f t="shared" si="48"/>
        <v>0</v>
      </c>
      <c r="AB137">
        <f t="shared" si="49"/>
        <v>0</v>
      </c>
      <c r="AC137">
        <f t="shared" si="50"/>
        <v>0</v>
      </c>
      <c r="AD137">
        <f t="shared" si="51"/>
        <v>0</v>
      </c>
      <c r="AE137">
        <f t="shared" si="52"/>
        <v>0</v>
      </c>
      <c r="AF137">
        <f t="shared" si="53"/>
        <v>0</v>
      </c>
      <c r="AG137">
        <f t="shared" si="54"/>
        <v>0</v>
      </c>
      <c r="AH137">
        <f t="shared" si="55"/>
        <v>0</v>
      </c>
      <c r="AI137">
        <f t="shared" si="56"/>
        <v>0</v>
      </c>
      <c r="AJ137">
        <f t="shared" si="57"/>
        <v>0</v>
      </c>
      <c r="AK137">
        <f t="shared" si="58"/>
        <v>0</v>
      </c>
      <c r="AL137">
        <f t="shared" si="59"/>
        <v>0</v>
      </c>
      <c r="AM137" s="113">
        <f t="shared" si="60"/>
        <v>297</v>
      </c>
      <c r="AN137">
        <f t="shared" si="61"/>
        <v>240</v>
      </c>
      <c r="AO137">
        <f t="shared" si="62"/>
        <v>215</v>
      </c>
      <c r="AP137">
        <f t="shared" si="63"/>
        <v>163</v>
      </c>
      <c r="AQ137">
        <f t="shared" si="64"/>
        <v>117</v>
      </c>
      <c r="AR137">
        <f t="shared" si="65"/>
        <v>96</v>
      </c>
      <c r="AS137">
        <f t="shared" si="66"/>
        <v>82</v>
      </c>
      <c r="AT137">
        <f t="shared" si="67"/>
        <v>71</v>
      </c>
      <c r="AU137">
        <f t="shared" si="68"/>
        <v>68</v>
      </c>
      <c r="AV137">
        <f t="shared" si="69"/>
        <v>87</v>
      </c>
      <c r="AW137">
        <f t="shared" si="70"/>
        <v>162</v>
      </c>
      <c r="AX137">
        <f t="shared" si="71"/>
        <v>258</v>
      </c>
    </row>
    <row r="138" spans="1:51" x14ac:dyDescent="0.25">
      <c r="A138" s="113">
        <v>135</v>
      </c>
      <c r="B138" s="209"/>
      <c r="C138" s="113">
        <v>0</v>
      </c>
      <c r="D138" s="113">
        <v>0</v>
      </c>
      <c r="E138" s="113" t="s">
        <v>688</v>
      </c>
      <c r="F138" s="113" t="s">
        <v>688</v>
      </c>
      <c r="G138" s="113"/>
      <c r="H138" s="113"/>
      <c r="I138" s="113"/>
      <c r="J138" s="113"/>
      <c r="K138" s="113"/>
      <c r="N138" s="113" t="e">
        <f>MATCH(A138,Entrada!$A$53:$A$372,0)</f>
        <v>#N/A</v>
      </c>
      <c r="O138">
        <f>IF(NOT(ISNA($N138)),INDEX(Entrada!$C$53:$N$372,$N138,O$2),0)</f>
        <v>0</v>
      </c>
      <c r="P138">
        <f>IF(NOT(ISNA($N138)),INDEX(Entrada!$C$53:$N$372,$N138,P$2),0)</f>
        <v>0</v>
      </c>
      <c r="Q138">
        <f>IF(NOT(ISNA($N138)),INDEX(Entrada!$C$53:$N$372,$N138,Q$2),0)</f>
        <v>0</v>
      </c>
      <c r="R138">
        <f>IF(NOT(ISNA($N138)),INDEX(Entrada!$C$53:$N$372,$N138,R$2),0)</f>
        <v>0</v>
      </c>
      <c r="S138">
        <f>IF(NOT(ISNA($N138)),INDEX(Entrada!$C$53:$N$372,$N138,S$2),0)</f>
        <v>0</v>
      </c>
      <c r="T138">
        <f>IF(NOT(ISNA($N138)),INDEX(Entrada!$C$53:$N$372,$N138,T$2),0)</f>
        <v>0</v>
      </c>
      <c r="U138">
        <f>IF(NOT(ISNA($N138)),INDEX(Entrada!$C$53:$N$372,$N138,U$2),0)</f>
        <v>0</v>
      </c>
      <c r="V138" s="225">
        <f>IF(NOT(ISNA($N138)),INDEX(Entrada!$C$53:$N$372,$N138,V$2),0)</f>
        <v>0</v>
      </c>
      <c r="W138" s="225">
        <f>IF(NOT(ISNA($N138)),INDEX(Entrada!$C$53:$N$372,$N138,W$2),0)</f>
        <v>0</v>
      </c>
      <c r="X138" s="225">
        <f>IF(NOT(ISNA($N138)),INDEX(Entrada!$C$53:$N$372,$N138,X$2),0)</f>
        <v>0</v>
      </c>
      <c r="Y138" s="225">
        <f>IF(NOT(ISNA($N138)),INDEX(Entrada!$C$53:$N$372,$N138,Y$2),0)</f>
        <v>0</v>
      </c>
      <c r="Z138" s="225">
        <f>IF(NOT(ISNA($N138)),INDEX(Entrada!$C$53:$N$372,$N138,Z$2),0)</f>
        <v>0</v>
      </c>
      <c r="AA138" s="113">
        <f t="shared" si="48"/>
        <v>0</v>
      </c>
      <c r="AB138">
        <f t="shared" si="49"/>
        <v>0</v>
      </c>
      <c r="AC138">
        <f t="shared" si="50"/>
        <v>0</v>
      </c>
      <c r="AD138">
        <f t="shared" si="51"/>
        <v>0</v>
      </c>
      <c r="AE138">
        <f t="shared" si="52"/>
        <v>0</v>
      </c>
      <c r="AF138">
        <f t="shared" si="53"/>
        <v>0</v>
      </c>
      <c r="AG138">
        <f t="shared" si="54"/>
        <v>0</v>
      </c>
      <c r="AH138">
        <f t="shared" si="55"/>
        <v>0</v>
      </c>
      <c r="AI138">
        <f t="shared" si="56"/>
        <v>0</v>
      </c>
      <c r="AJ138">
        <f t="shared" si="57"/>
        <v>0</v>
      </c>
      <c r="AK138">
        <f t="shared" si="58"/>
        <v>0</v>
      </c>
      <c r="AL138">
        <f t="shared" si="59"/>
        <v>0</v>
      </c>
      <c r="AM138" s="113">
        <f t="shared" si="60"/>
        <v>0</v>
      </c>
      <c r="AN138">
        <f t="shared" si="61"/>
        <v>0</v>
      </c>
      <c r="AO138">
        <f t="shared" si="62"/>
        <v>0</v>
      </c>
      <c r="AP138">
        <f t="shared" si="63"/>
        <v>0</v>
      </c>
      <c r="AQ138">
        <f t="shared" si="64"/>
        <v>0</v>
      </c>
      <c r="AR138">
        <f t="shared" si="65"/>
        <v>0</v>
      </c>
      <c r="AS138">
        <f t="shared" si="66"/>
        <v>0</v>
      </c>
      <c r="AT138">
        <f t="shared" si="67"/>
        <v>0</v>
      </c>
      <c r="AU138">
        <f t="shared" si="68"/>
        <v>0</v>
      </c>
      <c r="AV138">
        <f t="shared" si="69"/>
        <v>0</v>
      </c>
      <c r="AW138">
        <f t="shared" si="70"/>
        <v>0</v>
      </c>
      <c r="AX138">
        <f t="shared" si="71"/>
        <v>0</v>
      </c>
    </row>
    <row r="139" spans="1:51" x14ac:dyDescent="0.25">
      <c r="A139" s="113">
        <v>136</v>
      </c>
      <c r="B139" s="209"/>
      <c r="C139" s="113">
        <v>0</v>
      </c>
      <c r="D139" s="113">
        <v>0</v>
      </c>
      <c r="E139" s="113" t="s">
        <v>688</v>
      </c>
      <c r="F139" s="113" t="s">
        <v>688</v>
      </c>
      <c r="G139" s="113"/>
      <c r="H139" s="113"/>
      <c r="I139" s="113"/>
      <c r="J139" s="113"/>
      <c r="K139" s="113"/>
      <c r="N139" s="113" t="e">
        <f>MATCH(A139,Entrada!$A$53:$A$372,0)</f>
        <v>#N/A</v>
      </c>
      <c r="O139">
        <f>IF(NOT(ISNA($N139)),INDEX(Entrada!$C$53:$N$372,$N139,O$2),0)</f>
        <v>0</v>
      </c>
      <c r="P139">
        <f>IF(NOT(ISNA($N139)),INDEX(Entrada!$C$53:$N$372,$N139,P$2),0)</f>
        <v>0</v>
      </c>
      <c r="Q139">
        <f>IF(NOT(ISNA($N139)),INDEX(Entrada!$C$53:$N$372,$N139,Q$2),0)</f>
        <v>0</v>
      </c>
      <c r="R139">
        <f>IF(NOT(ISNA($N139)),INDEX(Entrada!$C$53:$N$372,$N139,R$2),0)</f>
        <v>0</v>
      </c>
      <c r="S139">
        <f>IF(NOT(ISNA($N139)),INDEX(Entrada!$C$53:$N$372,$N139,S$2),0)</f>
        <v>0</v>
      </c>
      <c r="T139">
        <f>IF(NOT(ISNA($N139)),INDEX(Entrada!$C$53:$N$372,$N139,T$2),0)</f>
        <v>0</v>
      </c>
      <c r="U139">
        <f>IF(NOT(ISNA($N139)),INDEX(Entrada!$C$53:$N$372,$N139,U$2),0)</f>
        <v>0</v>
      </c>
      <c r="V139" s="225">
        <f>IF(NOT(ISNA($N139)),INDEX(Entrada!$C$53:$N$372,$N139,V$2),0)</f>
        <v>0</v>
      </c>
      <c r="W139" s="225">
        <f>IF(NOT(ISNA($N139)),INDEX(Entrada!$C$53:$N$372,$N139,W$2),0)</f>
        <v>0</v>
      </c>
      <c r="X139" s="225">
        <f>IF(NOT(ISNA($N139)),INDEX(Entrada!$C$53:$N$372,$N139,X$2),0)</f>
        <v>0</v>
      </c>
      <c r="Y139" s="225">
        <f>IF(NOT(ISNA($N139)),INDEX(Entrada!$C$53:$N$372,$N139,Y$2),0)</f>
        <v>0</v>
      </c>
      <c r="Z139" s="225">
        <f>IF(NOT(ISNA($N139)),INDEX(Entrada!$C$53:$N$372,$N139,Z$2),0)</f>
        <v>0</v>
      </c>
      <c r="AA139" s="113">
        <f t="shared" si="48"/>
        <v>0</v>
      </c>
      <c r="AB139">
        <f t="shared" si="49"/>
        <v>0</v>
      </c>
      <c r="AC139">
        <f t="shared" si="50"/>
        <v>0</v>
      </c>
      <c r="AD139">
        <f t="shared" si="51"/>
        <v>0</v>
      </c>
      <c r="AE139">
        <f t="shared" si="52"/>
        <v>0</v>
      </c>
      <c r="AF139">
        <f t="shared" si="53"/>
        <v>0</v>
      </c>
      <c r="AG139">
        <f t="shared" si="54"/>
        <v>0</v>
      </c>
      <c r="AH139">
        <f t="shared" si="55"/>
        <v>0</v>
      </c>
      <c r="AI139">
        <f t="shared" si="56"/>
        <v>0</v>
      </c>
      <c r="AJ139">
        <f t="shared" si="57"/>
        <v>0</v>
      </c>
      <c r="AK139">
        <f t="shared" si="58"/>
        <v>0</v>
      </c>
      <c r="AL139">
        <f t="shared" si="59"/>
        <v>0</v>
      </c>
      <c r="AM139" s="113">
        <f t="shared" si="60"/>
        <v>0</v>
      </c>
      <c r="AN139">
        <f t="shared" si="61"/>
        <v>0</v>
      </c>
      <c r="AO139">
        <f t="shared" si="62"/>
        <v>0</v>
      </c>
      <c r="AP139">
        <f t="shared" si="63"/>
        <v>0</v>
      </c>
      <c r="AQ139">
        <f t="shared" si="64"/>
        <v>0</v>
      </c>
      <c r="AR139">
        <f t="shared" si="65"/>
        <v>0</v>
      </c>
      <c r="AS139">
        <f t="shared" si="66"/>
        <v>0</v>
      </c>
      <c r="AT139">
        <f t="shared" si="67"/>
        <v>0</v>
      </c>
      <c r="AU139">
        <f t="shared" si="68"/>
        <v>0</v>
      </c>
      <c r="AV139">
        <f t="shared" si="69"/>
        <v>0</v>
      </c>
      <c r="AW139">
        <f t="shared" si="70"/>
        <v>0</v>
      </c>
      <c r="AX139">
        <f t="shared" si="71"/>
        <v>0</v>
      </c>
    </row>
    <row r="140" spans="1:51" x14ac:dyDescent="0.25">
      <c r="A140" s="113">
        <v>137</v>
      </c>
      <c r="B140" s="209"/>
      <c r="C140" s="113">
        <v>0</v>
      </c>
      <c r="D140" s="113">
        <v>0</v>
      </c>
      <c r="E140" s="113" t="s">
        <v>688</v>
      </c>
      <c r="F140" s="113" t="s">
        <v>688</v>
      </c>
      <c r="G140" s="113"/>
      <c r="H140" s="113"/>
      <c r="I140" s="113"/>
      <c r="J140" s="113"/>
      <c r="K140" s="113"/>
      <c r="N140" s="113" t="e">
        <f>MATCH(A140,Entrada!$A$53:$A$372,0)</f>
        <v>#N/A</v>
      </c>
      <c r="O140">
        <f>IF(NOT(ISNA($N140)),INDEX(Entrada!$C$53:$N$372,$N140,O$2),0)</f>
        <v>0</v>
      </c>
      <c r="P140">
        <f>IF(NOT(ISNA($N140)),INDEX(Entrada!$C$53:$N$372,$N140,P$2),0)</f>
        <v>0</v>
      </c>
      <c r="Q140">
        <f>IF(NOT(ISNA($N140)),INDEX(Entrada!$C$53:$N$372,$N140,Q$2),0)</f>
        <v>0</v>
      </c>
      <c r="R140">
        <f>IF(NOT(ISNA($N140)),INDEX(Entrada!$C$53:$N$372,$N140,R$2),0)</f>
        <v>0</v>
      </c>
      <c r="S140">
        <f>IF(NOT(ISNA($N140)),INDEX(Entrada!$C$53:$N$372,$N140,S$2),0)</f>
        <v>0</v>
      </c>
      <c r="T140">
        <f>IF(NOT(ISNA($N140)),INDEX(Entrada!$C$53:$N$372,$N140,T$2),0)</f>
        <v>0</v>
      </c>
      <c r="U140">
        <f>IF(NOT(ISNA($N140)),INDEX(Entrada!$C$53:$N$372,$N140,U$2),0)</f>
        <v>0</v>
      </c>
      <c r="V140" s="225">
        <f>IF(NOT(ISNA($N140)),INDEX(Entrada!$C$53:$N$372,$N140,V$2),0)</f>
        <v>0</v>
      </c>
      <c r="W140" s="225">
        <f>IF(NOT(ISNA($N140)),INDEX(Entrada!$C$53:$N$372,$N140,W$2),0)</f>
        <v>0</v>
      </c>
      <c r="X140" s="225">
        <f>IF(NOT(ISNA($N140)),INDEX(Entrada!$C$53:$N$372,$N140,X$2),0)</f>
        <v>0</v>
      </c>
      <c r="Y140" s="225">
        <f>IF(NOT(ISNA($N140)),INDEX(Entrada!$C$53:$N$372,$N140,Y$2),0)</f>
        <v>0</v>
      </c>
      <c r="Z140" s="225">
        <f>IF(NOT(ISNA($N140)),INDEX(Entrada!$C$53:$N$372,$N140,Z$2),0)</f>
        <v>0</v>
      </c>
      <c r="AA140" s="113">
        <f t="shared" si="48"/>
        <v>0</v>
      </c>
      <c r="AB140">
        <f t="shared" si="49"/>
        <v>0</v>
      </c>
      <c r="AC140">
        <f t="shared" si="50"/>
        <v>0</v>
      </c>
      <c r="AD140">
        <f t="shared" si="51"/>
        <v>0</v>
      </c>
      <c r="AE140">
        <f t="shared" si="52"/>
        <v>0</v>
      </c>
      <c r="AF140">
        <f t="shared" si="53"/>
        <v>0</v>
      </c>
      <c r="AG140">
        <f t="shared" si="54"/>
        <v>0</v>
      </c>
      <c r="AH140">
        <f t="shared" si="55"/>
        <v>0</v>
      </c>
      <c r="AI140">
        <f t="shared" si="56"/>
        <v>0</v>
      </c>
      <c r="AJ140">
        <f t="shared" si="57"/>
        <v>0</v>
      </c>
      <c r="AK140">
        <f t="shared" si="58"/>
        <v>0</v>
      </c>
      <c r="AL140">
        <f t="shared" si="59"/>
        <v>0</v>
      </c>
      <c r="AM140" s="113">
        <f t="shared" si="60"/>
        <v>0</v>
      </c>
      <c r="AN140">
        <f t="shared" si="61"/>
        <v>0</v>
      </c>
      <c r="AO140">
        <f t="shared" si="62"/>
        <v>0</v>
      </c>
      <c r="AP140">
        <f t="shared" si="63"/>
        <v>0</v>
      </c>
      <c r="AQ140">
        <f t="shared" si="64"/>
        <v>0</v>
      </c>
      <c r="AR140">
        <f t="shared" si="65"/>
        <v>0</v>
      </c>
      <c r="AS140">
        <f t="shared" si="66"/>
        <v>0</v>
      </c>
      <c r="AT140">
        <f t="shared" si="67"/>
        <v>0</v>
      </c>
      <c r="AU140">
        <f t="shared" si="68"/>
        <v>0</v>
      </c>
      <c r="AV140">
        <f t="shared" si="69"/>
        <v>0</v>
      </c>
      <c r="AW140">
        <f t="shared" si="70"/>
        <v>0</v>
      </c>
      <c r="AX140">
        <f t="shared" si="71"/>
        <v>0</v>
      </c>
    </row>
    <row r="141" spans="1:51" x14ac:dyDescent="0.25">
      <c r="A141" s="113">
        <v>138</v>
      </c>
      <c r="B141" s="209"/>
      <c r="C141" s="113">
        <v>0</v>
      </c>
      <c r="D141" s="113">
        <v>0</v>
      </c>
      <c r="E141" s="113" t="s">
        <v>688</v>
      </c>
      <c r="F141" s="113" t="s">
        <v>688</v>
      </c>
      <c r="G141" s="113"/>
      <c r="H141" s="113"/>
      <c r="I141" s="113"/>
      <c r="J141" s="113"/>
      <c r="K141" s="113"/>
      <c r="N141" s="113" t="e">
        <f>MATCH(A141,Entrada!$A$53:$A$372,0)</f>
        <v>#N/A</v>
      </c>
      <c r="O141">
        <f>IF(NOT(ISNA($N141)),INDEX(Entrada!$C$53:$N$372,$N141,O$2),0)</f>
        <v>0</v>
      </c>
      <c r="P141">
        <f>IF(NOT(ISNA($N141)),INDEX(Entrada!$C$53:$N$372,$N141,P$2),0)</f>
        <v>0</v>
      </c>
      <c r="Q141">
        <f>IF(NOT(ISNA($N141)),INDEX(Entrada!$C$53:$N$372,$N141,Q$2),0)</f>
        <v>0</v>
      </c>
      <c r="R141">
        <f>IF(NOT(ISNA($N141)),INDEX(Entrada!$C$53:$N$372,$N141,R$2),0)</f>
        <v>0</v>
      </c>
      <c r="S141">
        <f>IF(NOT(ISNA($N141)),INDEX(Entrada!$C$53:$N$372,$N141,S$2),0)</f>
        <v>0</v>
      </c>
      <c r="T141">
        <f>IF(NOT(ISNA($N141)),INDEX(Entrada!$C$53:$N$372,$N141,T$2),0)</f>
        <v>0</v>
      </c>
      <c r="U141">
        <f>IF(NOT(ISNA($N141)),INDEX(Entrada!$C$53:$N$372,$N141,U$2),0)</f>
        <v>0</v>
      </c>
      <c r="V141" s="225">
        <f>IF(NOT(ISNA($N141)),INDEX(Entrada!$C$53:$N$372,$N141,V$2),0)</f>
        <v>0</v>
      </c>
      <c r="W141" s="225">
        <f>IF(NOT(ISNA($N141)),INDEX(Entrada!$C$53:$N$372,$N141,W$2),0)</f>
        <v>0</v>
      </c>
      <c r="X141" s="225">
        <f>IF(NOT(ISNA($N141)),INDEX(Entrada!$C$53:$N$372,$N141,X$2),0)</f>
        <v>0</v>
      </c>
      <c r="Y141" s="225">
        <f>IF(NOT(ISNA($N141)),INDEX(Entrada!$C$53:$N$372,$N141,Y$2),0)</f>
        <v>0</v>
      </c>
      <c r="Z141" s="225">
        <f>IF(NOT(ISNA($N141)),INDEX(Entrada!$C$53:$N$372,$N141,Z$2),0)</f>
        <v>0</v>
      </c>
      <c r="AA141" s="113">
        <f t="shared" si="48"/>
        <v>0</v>
      </c>
      <c r="AB141">
        <f t="shared" si="49"/>
        <v>0</v>
      </c>
      <c r="AC141">
        <f t="shared" si="50"/>
        <v>0</v>
      </c>
      <c r="AD141">
        <f t="shared" si="51"/>
        <v>0</v>
      </c>
      <c r="AE141">
        <f t="shared" si="52"/>
        <v>0</v>
      </c>
      <c r="AF141">
        <f t="shared" si="53"/>
        <v>0</v>
      </c>
      <c r="AG141">
        <f t="shared" si="54"/>
        <v>0</v>
      </c>
      <c r="AH141">
        <f t="shared" si="55"/>
        <v>0</v>
      </c>
      <c r="AI141">
        <f t="shared" si="56"/>
        <v>0</v>
      </c>
      <c r="AJ141">
        <f t="shared" si="57"/>
        <v>0</v>
      </c>
      <c r="AK141">
        <f t="shared" si="58"/>
        <v>0</v>
      </c>
      <c r="AL141">
        <f t="shared" si="59"/>
        <v>0</v>
      </c>
      <c r="AM141" s="113">
        <f t="shared" si="60"/>
        <v>0</v>
      </c>
      <c r="AN141">
        <f t="shared" si="61"/>
        <v>0</v>
      </c>
      <c r="AO141">
        <f t="shared" si="62"/>
        <v>0</v>
      </c>
      <c r="AP141">
        <f t="shared" si="63"/>
        <v>0</v>
      </c>
      <c r="AQ141">
        <f t="shared" si="64"/>
        <v>0</v>
      </c>
      <c r="AR141">
        <f t="shared" si="65"/>
        <v>0</v>
      </c>
      <c r="AS141">
        <f t="shared" si="66"/>
        <v>0</v>
      </c>
      <c r="AT141">
        <f t="shared" si="67"/>
        <v>0</v>
      </c>
      <c r="AU141">
        <f t="shared" si="68"/>
        <v>0</v>
      </c>
      <c r="AV141">
        <f t="shared" si="69"/>
        <v>0</v>
      </c>
      <c r="AW141">
        <f t="shared" si="70"/>
        <v>0</v>
      </c>
      <c r="AX141">
        <f t="shared" si="71"/>
        <v>0</v>
      </c>
    </row>
    <row r="142" spans="1:51" x14ac:dyDescent="0.25">
      <c r="A142" s="113">
        <v>139</v>
      </c>
      <c r="B142" s="209"/>
      <c r="C142" s="113">
        <v>0</v>
      </c>
      <c r="D142" s="113">
        <v>0</v>
      </c>
      <c r="E142" s="113" t="s">
        <v>688</v>
      </c>
      <c r="F142" s="113" t="s">
        <v>688</v>
      </c>
      <c r="G142" s="113"/>
      <c r="H142" s="113"/>
      <c r="I142" s="113"/>
      <c r="J142" s="113"/>
      <c r="K142" s="113"/>
      <c r="N142" s="113" t="e">
        <f>MATCH(A142,Entrada!$A$53:$A$372,0)</f>
        <v>#N/A</v>
      </c>
      <c r="O142">
        <f>IF(NOT(ISNA($N142)),INDEX(Entrada!$C$53:$N$372,$N142,O$2),0)</f>
        <v>0</v>
      </c>
      <c r="P142">
        <f>IF(NOT(ISNA($N142)),INDEX(Entrada!$C$53:$N$372,$N142,P$2),0)</f>
        <v>0</v>
      </c>
      <c r="Q142">
        <f>IF(NOT(ISNA($N142)),INDEX(Entrada!$C$53:$N$372,$N142,Q$2),0)</f>
        <v>0</v>
      </c>
      <c r="R142">
        <f>IF(NOT(ISNA($N142)),INDEX(Entrada!$C$53:$N$372,$N142,R$2),0)</f>
        <v>0</v>
      </c>
      <c r="S142">
        <f>IF(NOT(ISNA($N142)),INDEX(Entrada!$C$53:$N$372,$N142,S$2),0)</f>
        <v>0</v>
      </c>
      <c r="T142">
        <f>IF(NOT(ISNA($N142)),INDEX(Entrada!$C$53:$N$372,$N142,T$2),0)</f>
        <v>0</v>
      </c>
      <c r="U142">
        <f>IF(NOT(ISNA($N142)),INDEX(Entrada!$C$53:$N$372,$N142,U$2),0)</f>
        <v>0</v>
      </c>
      <c r="V142" s="225">
        <f>IF(NOT(ISNA($N142)),INDEX(Entrada!$C$53:$N$372,$N142,V$2),0)</f>
        <v>0</v>
      </c>
      <c r="W142" s="225">
        <f>IF(NOT(ISNA($N142)),INDEX(Entrada!$C$53:$N$372,$N142,W$2),0)</f>
        <v>0</v>
      </c>
      <c r="X142" s="225">
        <f>IF(NOT(ISNA($N142)),INDEX(Entrada!$C$53:$N$372,$N142,X$2),0)</f>
        <v>0</v>
      </c>
      <c r="Y142" s="225">
        <f>IF(NOT(ISNA($N142)),INDEX(Entrada!$C$53:$N$372,$N142,Y$2),0)</f>
        <v>0</v>
      </c>
      <c r="Z142" s="225">
        <f>IF(NOT(ISNA($N142)),INDEX(Entrada!$C$53:$N$372,$N142,Z$2),0)</f>
        <v>0</v>
      </c>
      <c r="AA142" s="113">
        <f t="shared" si="48"/>
        <v>0</v>
      </c>
      <c r="AB142">
        <f t="shared" si="49"/>
        <v>0</v>
      </c>
      <c r="AC142">
        <f t="shared" si="50"/>
        <v>0</v>
      </c>
      <c r="AD142">
        <f t="shared" si="51"/>
        <v>0</v>
      </c>
      <c r="AE142">
        <f t="shared" si="52"/>
        <v>0</v>
      </c>
      <c r="AF142">
        <f t="shared" si="53"/>
        <v>0</v>
      </c>
      <c r="AG142">
        <f t="shared" si="54"/>
        <v>0</v>
      </c>
      <c r="AH142">
        <f t="shared" si="55"/>
        <v>0</v>
      </c>
      <c r="AI142">
        <f t="shared" si="56"/>
        <v>0</v>
      </c>
      <c r="AJ142">
        <f t="shared" si="57"/>
        <v>0</v>
      </c>
      <c r="AK142">
        <f t="shared" si="58"/>
        <v>0</v>
      </c>
      <c r="AL142">
        <f t="shared" si="59"/>
        <v>0</v>
      </c>
      <c r="AM142" s="113">
        <f t="shared" si="60"/>
        <v>0</v>
      </c>
      <c r="AN142">
        <f t="shared" si="61"/>
        <v>0</v>
      </c>
      <c r="AO142">
        <f t="shared" si="62"/>
        <v>0</v>
      </c>
      <c r="AP142">
        <f t="shared" si="63"/>
        <v>0</v>
      </c>
      <c r="AQ142">
        <f t="shared" si="64"/>
        <v>0</v>
      </c>
      <c r="AR142">
        <f t="shared" si="65"/>
        <v>0</v>
      </c>
      <c r="AS142">
        <f t="shared" si="66"/>
        <v>0</v>
      </c>
      <c r="AT142">
        <f t="shared" si="67"/>
        <v>0</v>
      </c>
      <c r="AU142">
        <f t="shared" si="68"/>
        <v>0</v>
      </c>
      <c r="AV142">
        <f t="shared" si="69"/>
        <v>0</v>
      </c>
      <c r="AW142">
        <f t="shared" si="70"/>
        <v>0</v>
      </c>
      <c r="AX142">
        <f t="shared" si="71"/>
        <v>0</v>
      </c>
    </row>
    <row r="143" spans="1:51" x14ac:dyDescent="0.25">
      <c r="A143" s="113">
        <v>140</v>
      </c>
      <c r="B143" s="209"/>
      <c r="C143" s="113">
        <v>0</v>
      </c>
      <c r="D143" s="113">
        <v>0</v>
      </c>
      <c r="E143" s="113" t="s">
        <v>688</v>
      </c>
      <c r="F143" s="113" t="s">
        <v>688</v>
      </c>
      <c r="G143" s="113"/>
      <c r="H143" s="113"/>
      <c r="I143" s="113"/>
      <c r="J143" s="113"/>
      <c r="K143" s="113"/>
      <c r="N143" s="113" t="e">
        <f>MATCH(A143,Entrada!$A$53:$A$372,0)</f>
        <v>#N/A</v>
      </c>
      <c r="O143">
        <f>IF(NOT(ISNA($N143)),INDEX(Entrada!$C$53:$N$372,$N143,O$2),0)</f>
        <v>0</v>
      </c>
      <c r="P143">
        <f>IF(NOT(ISNA($N143)),INDEX(Entrada!$C$53:$N$372,$N143,P$2),0)</f>
        <v>0</v>
      </c>
      <c r="Q143">
        <f>IF(NOT(ISNA($N143)),INDEX(Entrada!$C$53:$N$372,$N143,Q$2),0)</f>
        <v>0</v>
      </c>
      <c r="R143">
        <f>IF(NOT(ISNA($N143)),INDEX(Entrada!$C$53:$N$372,$N143,R$2),0)</f>
        <v>0</v>
      </c>
      <c r="S143">
        <f>IF(NOT(ISNA($N143)),INDEX(Entrada!$C$53:$N$372,$N143,S$2),0)</f>
        <v>0</v>
      </c>
      <c r="T143">
        <f>IF(NOT(ISNA($N143)),INDEX(Entrada!$C$53:$N$372,$N143,T$2),0)</f>
        <v>0</v>
      </c>
      <c r="U143">
        <f>IF(NOT(ISNA($N143)),INDEX(Entrada!$C$53:$N$372,$N143,U$2),0)</f>
        <v>0</v>
      </c>
      <c r="V143" s="225">
        <f>IF(NOT(ISNA($N143)),INDEX(Entrada!$C$53:$N$372,$N143,V$2),0)</f>
        <v>0</v>
      </c>
      <c r="W143" s="225">
        <f>IF(NOT(ISNA($N143)),INDEX(Entrada!$C$53:$N$372,$N143,W$2),0)</f>
        <v>0</v>
      </c>
      <c r="X143" s="225">
        <f>IF(NOT(ISNA($N143)),INDEX(Entrada!$C$53:$N$372,$N143,X$2),0)</f>
        <v>0</v>
      </c>
      <c r="Y143" s="225">
        <f>IF(NOT(ISNA($N143)),INDEX(Entrada!$C$53:$N$372,$N143,Y$2),0)</f>
        <v>0</v>
      </c>
      <c r="Z143" s="225">
        <f>IF(NOT(ISNA($N143)),INDEX(Entrada!$C$53:$N$372,$N143,Z$2),0)</f>
        <v>0</v>
      </c>
      <c r="AA143" s="113">
        <f t="shared" si="48"/>
        <v>0</v>
      </c>
      <c r="AB143">
        <f t="shared" si="49"/>
        <v>0</v>
      </c>
      <c r="AC143">
        <f t="shared" si="50"/>
        <v>0</v>
      </c>
      <c r="AD143">
        <f t="shared" si="51"/>
        <v>0</v>
      </c>
      <c r="AE143">
        <f t="shared" si="52"/>
        <v>0</v>
      </c>
      <c r="AF143">
        <f t="shared" si="53"/>
        <v>0</v>
      </c>
      <c r="AG143">
        <f t="shared" si="54"/>
        <v>0</v>
      </c>
      <c r="AH143">
        <f t="shared" si="55"/>
        <v>0</v>
      </c>
      <c r="AI143">
        <f t="shared" si="56"/>
        <v>0</v>
      </c>
      <c r="AJ143">
        <f t="shared" si="57"/>
        <v>0</v>
      </c>
      <c r="AK143">
        <f t="shared" si="58"/>
        <v>0</v>
      </c>
      <c r="AL143">
        <f t="shared" si="59"/>
        <v>0</v>
      </c>
      <c r="AM143" s="113">
        <f t="shared" si="60"/>
        <v>0</v>
      </c>
      <c r="AN143">
        <f t="shared" si="61"/>
        <v>0</v>
      </c>
      <c r="AO143">
        <f t="shared" si="62"/>
        <v>0</v>
      </c>
      <c r="AP143">
        <f t="shared" si="63"/>
        <v>0</v>
      </c>
      <c r="AQ143">
        <f t="shared" si="64"/>
        <v>0</v>
      </c>
      <c r="AR143">
        <f t="shared" si="65"/>
        <v>0</v>
      </c>
      <c r="AS143">
        <f t="shared" si="66"/>
        <v>0</v>
      </c>
      <c r="AT143">
        <f t="shared" si="67"/>
        <v>0</v>
      </c>
      <c r="AU143">
        <f t="shared" si="68"/>
        <v>0</v>
      </c>
      <c r="AV143">
        <f t="shared" si="69"/>
        <v>0</v>
      </c>
      <c r="AW143">
        <f t="shared" si="70"/>
        <v>0</v>
      </c>
      <c r="AX143">
        <f t="shared" si="71"/>
        <v>0</v>
      </c>
    </row>
    <row r="144" spans="1:51" x14ac:dyDescent="0.25">
      <c r="A144" s="113">
        <v>141</v>
      </c>
      <c r="B144" s="209" t="s">
        <v>607</v>
      </c>
      <c r="C144" s="113">
        <v>1931</v>
      </c>
      <c r="D144" s="113">
        <v>2013</v>
      </c>
      <c r="E144" s="210" t="s">
        <v>13</v>
      </c>
      <c r="F144" s="210" t="s">
        <v>13</v>
      </c>
      <c r="G144" s="113">
        <v>263</v>
      </c>
      <c r="H144" s="113">
        <v>149</v>
      </c>
      <c r="I144" s="113">
        <v>183</v>
      </c>
      <c r="J144" s="113"/>
      <c r="K144" s="113"/>
      <c r="N144" s="113">
        <f>MATCH(A144,Entrada!$A$53:$A$372,0)</f>
        <v>96</v>
      </c>
      <c r="O144">
        <f>IF(NOT(ISNA($N144)),INDEX(Entrada!$C$53:$N$372,$N144,O$2),0)</f>
        <v>1053</v>
      </c>
      <c r="P144">
        <f>IF(NOT(ISNA($N144)),INDEX(Entrada!$C$53:$N$372,$N144,P$2),0)</f>
        <v>855</v>
      </c>
      <c r="Q144">
        <f>IF(NOT(ISNA($N144)),INDEX(Entrada!$C$53:$N$372,$N144,Q$2),0)</f>
        <v>756</v>
      </c>
      <c r="R144">
        <f>IF(NOT(ISNA($N144)),INDEX(Entrada!$C$53:$N$372,$N144,R$2),0)</f>
        <v>593</v>
      </c>
      <c r="S144">
        <f>IF(NOT(ISNA($N144)),INDEX(Entrada!$C$53:$N$372,$N144,S$2),0)</f>
        <v>444</v>
      </c>
      <c r="T144">
        <f>IF(NOT(ISNA($N144)),INDEX(Entrada!$C$53:$N$372,$N144,T$2),0)</f>
        <v>378</v>
      </c>
      <c r="U144">
        <f>IF(NOT(ISNA($N144)),INDEX(Entrada!$C$53:$N$372,$N144,U$2),0)</f>
        <v>335</v>
      </c>
      <c r="V144" s="225">
        <f>IF(NOT(ISNA($N144)),INDEX(Entrada!$C$53:$N$372,$N144,V$2),0)</f>
        <v>300</v>
      </c>
      <c r="W144" s="225">
        <f>IF(NOT(ISNA($N144)),INDEX(Entrada!$C$53:$N$372,$N144,W$2),0)</f>
        <v>292</v>
      </c>
      <c r="X144" s="225">
        <f>IF(NOT(ISNA($N144)),INDEX(Entrada!$C$53:$N$372,$N144,X$2),0)</f>
        <v>352</v>
      </c>
      <c r="Y144" s="225">
        <f>IF(NOT(ISNA($N144)),INDEX(Entrada!$C$53:$N$372,$N144,Y$2),0)</f>
        <v>563</v>
      </c>
      <c r="Z144" s="225">
        <f>IF(NOT(ISNA($N144)),INDEX(Entrada!$C$53:$N$372,$N144,Z$2),0)</f>
        <v>910</v>
      </c>
      <c r="AA144" s="113">
        <f t="shared" si="48"/>
        <v>751</v>
      </c>
      <c r="AB144">
        <f t="shared" si="49"/>
        <v>611</v>
      </c>
      <c r="AC144">
        <f t="shared" si="50"/>
        <v>545</v>
      </c>
      <c r="AD144">
        <f t="shared" si="51"/>
        <v>413</v>
      </c>
      <c r="AE144">
        <f t="shared" si="52"/>
        <v>307</v>
      </c>
      <c r="AF144">
        <f t="shared" si="53"/>
        <v>260</v>
      </c>
      <c r="AG144">
        <f t="shared" si="54"/>
        <v>228</v>
      </c>
      <c r="AH144">
        <f t="shared" si="55"/>
        <v>202</v>
      </c>
      <c r="AI144">
        <f t="shared" si="56"/>
        <v>198</v>
      </c>
      <c r="AJ144">
        <f t="shared" si="57"/>
        <v>245</v>
      </c>
      <c r="AK144">
        <f t="shared" si="58"/>
        <v>402</v>
      </c>
      <c r="AL144">
        <f t="shared" si="59"/>
        <v>642</v>
      </c>
      <c r="AM144" s="113">
        <f t="shared" si="60"/>
        <v>302</v>
      </c>
      <c r="AN144">
        <f t="shared" si="61"/>
        <v>244</v>
      </c>
      <c r="AO144">
        <f t="shared" si="62"/>
        <v>211</v>
      </c>
      <c r="AP144">
        <f t="shared" si="63"/>
        <v>180</v>
      </c>
      <c r="AQ144">
        <f t="shared" si="64"/>
        <v>137</v>
      </c>
      <c r="AR144">
        <f t="shared" si="65"/>
        <v>118</v>
      </c>
      <c r="AS144">
        <f t="shared" si="66"/>
        <v>107</v>
      </c>
      <c r="AT144">
        <f t="shared" si="67"/>
        <v>98</v>
      </c>
      <c r="AU144">
        <f t="shared" si="68"/>
        <v>94</v>
      </c>
      <c r="AV144">
        <f t="shared" si="69"/>
        <v>107</v>
      </c>
      <c r="AW144">
        <f t="shared" si="70"/>
        <v>161</v>
      </c>
      <c r="AX144">
        <f t="shared" si="71"/>
        <v>268</v>
      </c>
    </row>
    <row r="145" spans="1:50" x14ac:dyDescent="0.25">
      <c r="A145" s="113">
        <v>142</v>
      </c>
      <c r="B145" s="209"/>
      <c r="C145" s="113">
        <v>0</v>
      </c>
      <c r="D145" s="113">
        <v>0</v>
      </c>
      <c r="E145" s="113" t="s">
        <v>688</v>
      </c>
      <c r="F145" s="113" t="s">
        <v>688</v>
      </c>
      <c r="G145" s="113"/>
      <c r="H145" s="113"/>
      <c r="I145" s="113"/>
      <c r="J145" s="113"/>
      <c r="K145" s="113"/>
      <c r="N145" s="113" t="e">
        <f>MATCH(A145,Entrada!$A$53:$A$372,0)</f>
        <v>#N/A</v>
      </c>
      <c r="O145">
        <f>IF(NOT(ISNA($N145)),INDEX(Entrada!$C$53:$N$372,$N145,O$2),0)</f>
        <v>0</v>
      </c>
      <c r="P145">
        <f>IF(NOT(ISNA($N145)),INDEX(Entrada!$C$53:$N$372,$N145,P$2),0)</f>
        <v>0</v>
      </c>
      <c r="Q145">
        <f>IF(NOT(ISNA($N145)),INDEX(Entrada!$C$53:$N$372,$N145,Q$2),0)</f>
        <v>0</v>
      </c>
      <c r="R145">
        <f>IF(NOT(ISNA($N145)),INDEX(Entrada!$C$53:$N$372,$N145,R$2),0)</f>
        <v>0</v>
      </c>
      <c r="S145">
        <f>IF(NOT(ISNA($N145)),INDEX(Entrada!$C$53:$N$372,$N145,S$2),0)</f>
        <v>0</v>
      </c>
      <c r="T145">
        <f>IF(NOT(ISNA($N145)),INDEX(Entrada!$C$53:$N$372,$N145,T$2),0)</f>
        <v>0</v>
      </c>
      <c r="U145">
        <f>IF(NOT(ISNA($N145)),INDEX(Entrada!$C$53:$N$372,$N145,U$2),0)</f>
        <v>0</v>
      </c>
      <c r="V145" s="225">
        <f>IF(NOT(ISNA($N145)),INDEX(Entrada!$C$53:$N$372,$N145,V$2),0)</f>
        <v>0</v>
      </c>
      <c r="W145" s="225">
        <f>IF(NOT(ISNA($N145)),INDEX(Entrada!$C$53:$N$372,$N145,W$2),0)</f>
        <v>0</v>
      </c>
      <c r="X145" s="225">
        <f>IF(NOT(ISNA($N145)),INDEX(Entrada!$C$53:$N$372,$N145,X$2),0)</f>
        <v>0</v>
      </c>
      <c r="Y145" s="225">
        <f>IF(NOT(ISNA($N145)),INDEX(Entrada!$C$53:$N$372,$N145,Y$2),0)</f>
        <v>0</v>
      </c>
      <c r="Z145" s="225">
        <f>IF(NOT(ISNA($N145)),INDEX(Entrada!$C$53:$N$372,$N145,Z$2),0)</f>
        <v>0</v>
      </c>
      <c r="AA145" s="113">
        <f t="shared" si="48"/>
        <v>0</v>
      </c>
      <c r="AB145">
        <f t="shared" si="49"/>
        <v>0</v>
      </c>
      <c r="AC145">
        <f t="shared" si="50"/>
        <v>0</v>
      </c>
      <c r="AD145">
        <f t="shared" si="51"/>
        <v>0</v>
      </c>
      <c r="AE145">
        <f t="shared" si="52"/>
        <v>0</v>
      </c>
      <c r="AF145">
        <f t="shared" si="53"/>
        <v>0</v>
      </c>
      <c r="AG145">
        <f t="shared" si="54"/>
        <v>0</v>
      </c>
      <c r="AH145">
        <f t="shared" si="55"/>
        <v>0</v>
      </c>
      <c r="AI145">
        <f t="shared" si="56"/>
        <v>0</v>
      </c>
      <c r="AJ145">
        <f t="shared" si="57"/>
        <v>0</v>
      </c>
      <c r="AK145">
        <f t="shared" si="58"/>
        <v>0</v>
      </c>
      <c r="AL145">
        <f t="shared" si="59"/>
        <v>0</v>
      </c>
      <c r="AM145" s="113">
        <f t="shared" si="60"/>
        <v>0</v>
      </c>
      <c r="AN145">
        <f t="shared" si="61"/>
        <v>0</v>
      </c>
      <c r="AO145">
        <f t="shared" si="62"/>
        <v>0</v>
      </c>
      <c r="AP145">
        <f t="shared" si="63"/>
        <v>0</v>
      </c>
      <c r="AQ145">
        <f t="shared" si="64"/>
        <v>0</v>
      </c>
      <c r="AR145">
        <f t="shared" si="65"/>
        <v>0</v>
      </c>
      <c r="AS145">
        <f t="shared" si="66"/>
        <v>0</v>
      </c>
      <c r="AT145">
        <f t="shared" si="67"/>
        <v>0</v>
      </c>
      <c r="AU145">
        <f t="shared" si="68"/>
        <v>0</v>
      </c>
      <c r="AV145">
        <f t="shared" si="69"/>
        <v>0</v>
      </c>
      <c r="AW145">
        <f t="shared" si="70"/>
        <v>0</v>
      </c>
      <c r="AX145">
        <f t="shared" si="71"/>
        <v>0</v>
      </c>
    </row>
    <row r="146" spans="1:50" x14ac:dyDescent="0.25">
      <c r="A146" s="113">
        <v>143</v>
      </c>
      <c r="B146" s="209"/>
      <c r="C146" s="113">
        <v>0</v>
      </c>
      <c r="D146" s="113">
        <v>0</v>
      </c>
      <c r="E146" s="113" t="s">
        <v>688</v>
      </c>
      <c r="F146" s="113" t="s">
        <v>688</v>
      </c>
      <c r="G146" s="113"/>
      <c r="H146" s="113"/>
      <c r="I146" s="113"/>
      <c r="J146" s="113"/>
      <c r="K146" s="113"/>
      <c r="N146" s="113" t="e">
        <f>MATCH(A146,Entrada!$A$53:$A$372,0)</f>
        <v>#N/A</v>
      </c>
      <c r="O146">
        <f>IF(NOT(ISNA($N146)),INDEX(Entrada!$C$53:$N$372,$N146,O$2),0)</f>
        <v>0</v>
      </c>
      <c r="P146">
        <f>IF(NOT(ISNA($N146)),INDEX(Entrada!$C$53:$N$372,$N146,P$2),0)</f>
        <v>0</v>
      </c>
      <c r="Q146">
        <f>IF(NOT(ISNA($N146)),INDEX(Entrada!$C$53:$N$372,$N146,Q$2),0)</f>
        <v>0</v>
      </c>
      <c r="R146">
        <f>IF(NOT(ISNA($N146)),INDEX(Entrada!$C$53:$N$372,$N146,R$2),0)</f>
        <v>0</v>
      </c>
      <c r="S146">
        <f>IF(NOT(ISNA($N146)),INDEX(Entrada!$C$53:$N$372,$N146,S$2),0)</f>
        <v>0</v>
      </c>
      <c r="T146">
        <f>IF(NOT(ISNA($N146)),INDEX(Entrada!$C$53:$N$372,$N146,T$2),0)</f>
        <v>0</v>
      </c>
      <c r="U146">
        <f>IF(NOT(ISNA($N146)),INDEX(Entrada!$C$53:$N$372,$N146,U$2),0)</f>
        <v>0</v>
      </c>
      <c r="V146" s="225">
        <f>IF(NOT(ISNA($N146)),INDEX(Entrada!$C$53:$N$372,$N146,V$2),0)</f>
        <v>0</v>
      </c>
      <c r="W146" s="225">
        <f>IF(NOT(ISNA($N146)),INDEX(Entrada!$C$53:$N$372,$N146,W$2),0)</f>
        <v>0</v>
      </c>
      <c r="X146" s="225">
        <f>IF(NOT(ISNA($N146)),INDEX(Entrada!$C$53:$N$372,$N146,X$2),0)</f>
        <v>0</v>
      </c>
      <c r="Y146" s="225">
        <f>IF(NOT(ISNA($N146)),INDEX(Entrada!$C$53:$N$372,$N146,Y$2),0)</f>
        <v>0</v>
      </c>
      <c r="Z146" s="225">
        <f>IF(NOT(ISNA($N146)),INDEX(Entrada!$C$53:$N$372,$N146,Z$2),0)</f>
        <v>0</v>
      </c>
      <c r="AA146" s="113">
        <f t="shared" si="48"/>
        <v>0</v>
      </c>
      <c r="AB146">
        <f t="shared" si="49"/>
        <v>0</v>
      </c>
      <c r="AC146">
        <f t="shared" si="50"/>
        <v>0</v>
      </c>
      <c r="AD146">
        <f t="shared" si="51"/>
        <v>0</v>
      </c>
      <c r="AE146">
        <f t="shared" si="52"/>
        <v>0</v>
      </c>
      <c r="AF146">
        <f t="shared" si="53"/>
        <v>0</v>
      </c>
      <c r="AG146">
        <f t="shared" si="54"/>
        <v>0</v>
      </c>
      <c r="AH146">
        <f t="shared" si="55"/>
        <v>0</v>
      </c>
      <c r="AI146">
        <f t="shared" si="56"/>
        <v>0</v>
      </c>
      <c r="AJ146">
        <f t="shared" si="57"/>
        <v>0</v>
      </c>
      <c r="AK146">
        <f t="shared" si="58"/>
        <v>0</v>
      </c>
      <c r="AL146">
        <f t="shared" si="59"/>
        <v>0</v>
      </c>
      <c r="AM146" s="113">
        <f t="shared" si="60"/>
        <v>0</v>
      </c>
      <c r="AN146">
        <f t="shared" si="61"/>
        <v>0</v>
      </c>
      <c r="AO146">
        <f t="shared" si="62"/>
        <v>0</v>
      </c>
      <c r="AP146">
        <f t="shared" si="63"/>
        <v>0</v>
      </c>
      <c r="AQ146">
        <f t="shared" si="64"/>
        <v>0</v>
      </c>
      <c r="AR146">
        <f t="shared" si="65"/>
        <v>0</v>
      </c>
      <c r="AS146">
        <f t="shared" si="66"/>
        <v>0</v>
      </c>
      <c r="AT146">
        <f t="shared" si="67"/>
        <v>0</v>
      </c>
      <c r="AU146">
        <f t="shared" si="68"/>
        <v>0</v>
      </c>
      <c r="AV146">
        <f t="shared" si="69"/>
        <v>0</v>
      </c>
      <c r="AW146">
        <f t="shared" si="70"/>
        <v>0</v>
      </c>
      <c r="AX146">
        <f t="shared" si="71"/>
        <v>0</v>
      </c>
    </row>
    <row r="147" spans="1:50" x14ac:dyDescent="0.25">
      <c r="A147" s="113">
        <v>144</v>
      </c>
      <c r="B147" s="209" t="s">
        <v>608</v>
      </c>
      <c r="C147" s="113">
        <v>1931</v>
      </c>
      <c r="D147" s="113">
        <v>2013</v>
      </c>
      <c r="E147" s="210" t="s">
        <v>13</v>
      </c>
      <c r="F147" s="210" t="s">
        <v>13</v>
      </c>
      <c r="G147" s="113">
        <v>148</v>
      </c>
      <c r="H147" s="113"/>
      <c r="I147" s="113"/>
      <c r="J147" s="113"/>
      <c r="K147" s="113"/>
      <c r="N147" s="113">
        <f>MATCH(A147,Entrada!$A$53:$A$372,0)</f>
        <v>97</v>
      </c>
      <c r="O147">
        <f>IF(NOT(ISNA($N147)),INDEX(Entrada!$C$53:$N$372,$N147,O$2),0)</f>
        <v>1888</v>
      </c>
      <c r="P147">
        <f>IF(NOT(ISNA($N147)),INDEX(Entrada!$C$53:$N$372,$N147,P$2),0)</f>
        <v>1463</v>
      </c>
      <c r="Q147">
        <f>IF(NOT(ISNA($N147)),INDEX(Entrada!$C$53:$N$372,$N147,Q$2),0)</f>
        <v>1285</v>
      </c>
      <c r="R147">
        <f>IF(NOT(ISNA($N147)),INDEX(Entrada!$C$53:$N$372,$N147,R$2),0)</f>
        <v>993</v>
      </c>
      <c r="S147">
        <f>IF(NOT(ISNA($N147)),INDEX(Entrada!$C$53:$N$372,$N147,S$2),0)</f>
        <v>719</v>
      </c>
      <c r="T147">
        <f>IF(NOT(ISNA($N147)),INDEX(Entrada!$C$53:$N$372,$N147,T$2),0)</f>
        <v>601</v>
      </c>
      <c r="U147">
        <f>IF(NOT(ISNA($N147)),INDEX(Entrada!$C$53:$N$372,$N147,U$2),0)</f>
        <v>532</v>
      </c>
      <c r="V147" s="225">
        <f>IF(NOT(ISNA($N147)),INDEX(Entrada!$C$53:$N$372,$N147,V$2),0)</f>
        <v>471</v>
      </c>
      <c r="W147" s="225">
        <f>IF(NOT(ISNA($N147)),INDEX(Entrada!$C$53:$N$372,$N147,W$2),0)</f>
        <v>454</v>
      </c>
      <c r="X147" s="225">
        <f>IF(NOT(ISNA($N147)),INDEX(Entrada!$C$53:$N$372,$N147,X$2),0)</f>
        <v>571</v>
      </c>
      <c r="Y147" s="225">
        <f>IF(NOT(ISNA($N147)),INDEX(Entrada!$C$53:$N$372,$N147,Y$2),0)</f>
        <v>974</v>
      </c>
      <c r="Z147" s="225">
        <f>IF(NOT(ISNA($N147)),INDEX(Entrada!$C$53:$N$372,$N147,Z$2),0)</f>
        <v>1649</v>
      </c>
      <c r="AA147" s="113">
        <f t="shared" si="48"/>
        <v>1620</v>
      </c>
      <c r="AB147">
        <f t="shared" si="49"/>
        <v>1260</v>
      </c>
      <c r="AC147">
        <f t="shared" si="50"/>
        <v>1107</v>
      </c>
      <c r="AD147">
        <f t="shared" si="51"/>
        <v>856</v>
      </c>
      <c r="AE147">
        <f t="shared" si="52"/>
        <v>621</v>
      </c>
      <c r="AF147">
        <f t="shared" si="53"/>
        <v>521</v>
      </c>
      <c r="AG147">
        <f t="shared" si="54"/>
        <v>461</v>
      </c>
      <c r="AH147">
        <f t="shared" si="55"/>
        <v>410</v>
      </c>
      <c r="AI147">
        <f t="shared" si="56"/>
        <v>396</v>
      </c>
      <c r="AJ147">
        <f t="shared" si="57"/>
        <v>496</v>
      </c>
      <c r="AK147">
        <f t="shared" si="58"/>
        <v>839</v>
      </c>
      <c r="AL147">
        <f t="shared" si="59"/>
        <v>1414</v>
      </c>
      <c r="AM147" s="113">
        <f t="shared" si="60"/>
        <v>268</v>
      </c>
      <c r="AN147">
        <f t="shared" si="61"/>
        <v>203</v>
      </c>
      <c r="AO147">
        <f t="shared" si="62"/>
        <v>178</v>
      </c>
      <c r="AP147">
        <f t="shared" si="63"/>
        <v>137</v>
      </c>
      <c r="AQ147">
        <f t="shared" si="64"/>
        <v>98</v>
      </c>
      <c r="AR147">
        <f t="shared" si="65"/>
        <v>80</v>
      </c>
      <c r="AS147">
        <f t="shared" si="66"/>
        <v>71</v>
      </c>
      <c r="AT147">
        <f t="shared" si="67"/>
        <v>61</v>
      </c>
      <c r="AU147">
        <f t="shared" si="68"/>
        <v>58</v>
      </c>
      <c r="AV147">
        <f t="shared" si="69"/>
        <v>75</v>
      </c>
      <c r="AW147">
        <f t="shared" si="70"/>
        <v>135</v>
      </c>
      <c r="AX147">
        <f t="shared" si="71"/>
        <v>235</v>
      </c>
    </row>
    <row r="148" spans="1:50" x14ac:dyDescent="0.25">
      <c r="A148" s="113">
        <v>145</v>
      </c>
      <c r="B148" s="209" t="s">
        <v>609</v>
      </c>
      <c r="C148" s="113">
        <v>1931</v>
      </c>
      <c r="D148" s="113">
        <v>2013</v>
      </c>
      <c r="E148" s="210" t="s">
        <v>28</v>
      </c>
      <c r="F148" s="210" t="s">
        <v>365</v>
      </c>
      <c r="G148" s="113"/>
      <c r="H148" s="113"/>
      <c r="I148" s="113"/>
      <c r="J148" s="113"/>
      <c r="K148" s="113"/>
      <c r="N148" s="113">
        <f>MATCH(A148,Entrada!$A$53:$A$372,0)</f>
        <v>98</v>
      </c>
      <c r="O148">
        <f>IF(NOT(ISNA($N148)),INDEX(Entrada!$C$53:$N$372,$N148,O$2),0)</f>
        <v>117</v>
      </c>
      <c r="P148">
        <f>IF(NOT(ISNA($N148)),INDEX(Entrada!$C$53:$N$372,$N148,P$2),0)</f>
        <v>135</v>
      </c>
      <c r="Q148">
        <f>IF(NOT(ISNA($N148)),INDEX(Entrada!$C$53:$N$372,$N148,Q$2),0)</f>
        <v>148</v>
      </c>
      <c r="R148">
        <f>IF(NOT(ISNA($N148)),INDEX(Entrada!$C$53:$N$372,$N148,R$2),0)</f>
        <v>111</v>
      </c>
      <c r="S148">
        <f>IF(NOT(ISNA($N148)),INDEX(Entrada!$C$53:$N$372,$N148,S$2),0)</f>
        <v>78</v>
      </c>
      <c r="T148">
        <f>IF(NOT(ISNA($N148)),INDEX(Entrada!$C$53:$N$372,$N148,T$2),0)</f>
        <v>64</v>
      </c>
      <c r="U148">
        <f>IF(NOT(ISNA($N148)),INDEX(Entrada!$C$53:$N$372,$N148,U$2),0)</f>
        <v>58</v>
      </c>
      <c r="V148" s="225">
        <f>IF(NOT(ISNA($N148)),INDEX(Entrada!$C$53:$N$372,$N148,V$2),0)</f>
        <v>54</v>
      </c>
      <c r="W148" s="225">
        <f>IF(NOT(ISNA($N148)),INDEX(Entrada!$C$53:$N$372,$N148,W$2),0)</f>
        <v>52</v>
      </c>
      <c r="X148" s="225">
        <f>IF(NOT(ISNA($N148)),INDEX(Entrada!$C$53:$N$372,$N148,X$2),0)</f>
        <v>56</v>
      </c>
      <c r="Y148" s="225">
        <f>IF(NOT(ISNA($N148)),INDEX(Entrada!$C$53:$N$372,$N148,Y$2),0)</f>
        <v>65</v>
      </c>
      <c r="Z148" s="225">
        <f>IF(NOT(ISNA($N148)),INDEX(Entrada!$C$53:$N$372,$N148,Z$2),0)</f>
        <v>88</v>
      </c>
      <c r="AA148" s="113">
        <f t="shared" si="48"/>
        <v>0</v>
      </c>
      <c r="AB148">
        <f t="shared" si="49"/>
        <v>0</v>
      </c>
      <c r="AC148">
        <f t="shared" si="50"/>
        <v>0</v>
      </c>
      <c r="AD148">
        <f t="shared" si="51"/>
        <v>0</v>
      </c>
      <c r="AE148">
        <f t="shared" si="52"/>
        <v>0</v>
      </c>
      <c r="AF148">
        <f t="shared" si="53"/>
        <v>0</v>
      </c>
      <c r="AG148">
        <f t="shared" si="54"/>
        <v>0</v>
      </c>
      <c r="AH148">
        <f t="shared" si="55"/>
        <v>0</v>
      </c>
      <c r="AI148">
        <f t="shared" si="56"/>
        <v>0</v>
      </c>
      <c r="AJ148">
        <f t="shared" si="57"/>
        <v>0</v>
      </c>
      <c r="AK148">
        <f t="shared" si="58"/>
        <v>0</v>
      </c>
      <c r="AL148">
        <f t="shared" si="59"/>
        <v>0</v>
      </c>
      <c r="AM148" s="113">
        <f t="shared" si="60"/>
        <v>117</v>
      </c>
      <c r="AN148">
        <f t="shared" si="61"/>
        <v>135</v>
      </c>
      <c r="AO148">
        <f t="shared" si="62"/>
        <v>148</v>
      </c>
      <c r="AP148">
        <f t="shared" si="63"/>
        <v>111</v>
      </c>
      <c r="AQ148">
        <f t="shared" si="64"/>
        <v>78</v>
      </c>
      <c r="AR148">
        <f t="shared" si="65"/>
        <v>64</v>
      </c>
      <c r="AS148">
        <f t="shared" si="66"/>
        <v>58</v>
      </c>
      <c r="AT148">
        <f t="shared" si="67"/>
        <v>54</v>
      </c>
      <c r="AU148">
        <f t="shared" si="68"/>
        <v>52</v>
      </c>
      <c r="AV148">
        <f t="shared" si="69"/>
        <v>56</v>
      </c>
      <c r="AW148">
        <f t="shared" si="70"/>
        <v>65</v>
      </c>
      <c r="AX148">
        <f t="shared" si="71"/>
        <v>88</v>
      </c>
    </row>
    <row r="149" spans="1:50" x14ac:dyDescent="0.25">
      <c r="A149" s="113">
        <v>146</v>
      </c>
      <c r="B149" s="209"/>
      <c r="C149" s="113">
        <v>0</v>
      </c>
      <c r="D149" s="113">
        <v>0</v>
      </c>
      <c r="E149" s="113" t="s">
        <v>688</v>
      </c>
      <c r="F149" s="113" t="s">
        <v>688</v>
      </c>
      <c r="G149" s="113"/>
      <c r="H149" s="113"/>
      <c r="I149" s="113"/>
      <c r="J149" s="113"/>
      <c r="K149" s="113"/>
      <c r="N149" s="113" t="e">
        <f>MATCH(A149,Entrada!$A$53:$A$372,0)</f>
        <v>#N/A</v>
      </c>
      <c r="O149">
        <f>IF(NOT(ISNA($N149)),INDEX(Entrada!$C$53:$N$372,$N149,O$2),0)</f>
        <v>0</v>
      </c>
      <c r="P149">
        <f>IF(NOT(ISNA($N149)),INDEX(Entrada!$C$53:$N$372,$N149,P$2),0)</f>
        <v>0</v>
      </c>
      <c r="Q149">
        <f>IF(NOT(ISNA($N149)),INDEX(Entrada!$C$53:$N$372,$N149,Q$2),0)</f>
        <v>0</v>
      </c>
      <c r="R149">
        <f>IF(NOT(ISNA($N149)),INDEX(Entrada!$C$53:$N$372,$N149,R$2),0)</f>
        <v>0</v>
      </c>
      <c r="S149">
        <f>IF(NOT(ISNA($N149)),INDEX(Entrada!$C$53:$N$372,$N149,S$2),0)</f>
        <v>0</v>
      </c>
      <c r="T149">
        <f>IF(NOT(ISNA($N149)),INDEX(Entrada!$C$53:$N$372,$N149,T$2),0)</f>
        <v>0</v>
      </c>
      <c r="U149">
        <f>IF(NOT(ISNA($N149)),INDEX(Entrada!$C$53:$N$372,$N149,U$2),0)</f>
        <v>0</v>
      </c>
      <c r="V149" s="225">
        <f>IF(NOT(ISNA($N149)),INDEX(Entrada!$C$53:$N$372,$N149,V$2),0)</f>
        <v>0</v>
      </c>
      <c r="W149" s="225">
        <f>IF(NOT(ISNA($N149)),INDEX(Entrada!$C$53:$N$372,$N149,W$2),0)</f>
        <v>0</v>
      </c>
      <c r="X149" s="225">
        <f>IF(NOT(ISNA($N149)),INDEX(Entrada!$C$53:$N$372,$N149,X$2),0)</f>
        <v>0</v>
      </c>
      <c r="Y149" s="225">
        <f>IF(NOT(ISNA($N149)),INDEX(Entrada!$C$53:$N$372,$N149,Y$2),0)</f>
        <v>0</v>
      </c>
      <c r="Z149" s="225">
        <f>IF(NOT(ISNA($N149)),INDEX(Entrada!$C$53:$N$372,$N149,Z$2),0)</f>
        <v>0</v>
      </c>
      <c r="AA149" s="113">
        <f t="shared" si="48"/>
        <v>0</v>
      </c>
      <c r="AB149">
        <f t="shared" si="49"/>
        <v>0</v>
      </c>
      <c r="AC149">
        <f t="shared" si="50"/>
        <v>0</v>
      </c>
      <c r="AD149">
        <f t="shared" si="51"/>
        <v>0</v>
      </c>
      <c r="AE149">
        <f t="shared" si="52"/>
        <v>0</v>
      </c>
      <c r="AF149">
        <f t="shared" si="53"/>
        <v>0</v>
      </c>
      <c r="AG149">
        <f t="shared" si="54"/>
        <v>0</v>
      </c>
      <c r="AH149">
        <f t="shared" si="55"/>
        <v>0</v>
      </c>
      <c r="AI149">
        <f t="shared" si="56"/>
        <v>0</v>
      </c>
      <c r="AJ149">
        <f t="shared" si="57"/>
        <v>0</v>
      </c>
      <c r="AK149">
        <f t="shared" si="58"/>
        <v>0</v>
      </c>
      <c r="AL149">
        <f t="shared" si="59"/>
        <v>0</v>
      </c>
      <c r="AM149" s="113">
        <f t="shared" si="60"/>
        <v>0</v>
      </c>
      <c r="AN149">
        <f t="shared" si="61"/>
        <v>0</v>
      </c>
      <c r="AO149">
        <f t="shared" si="62"/>
        <v>0</v>
      </c>
      <c r="AP149">
        <f t="shared" si="63"/>
        <v>0</v>
      </c>
      <c r="AQ149">
        <f t="shared" si="64"/>
        <v>0</v>
      </c>
      <c r="AR149">
        <f t="shared" si="65"/>
        <v>0</v>
      </c>
      <c r="AS149">
        <f t="shared" si="66"/>
        <v>0</v>
      </c>
      <c r="AT149">
        <f t="shared" si="67"/>
        <v>0</v>
      </c>
      <c r="AU149">
        <f t="shared" si="68"/>
        <v>0</v>
      </c>
      <c r="AV149">
        <f t="shared" si="69"/>
        <v>0</v>
      </c>
      <c r="AW149">
        <f t="shared" si="70"/>
        <v>0</v>
      </c>
      <c r="AX149">
        <f t="shared" si="71"/>
        <v>0</v>
      </c>
    </row>
    <row r="150" spans="1:50" x14ac:dyDescent="0.25">
      <c r="A150" s="113">
        <v>147</v>
      </c>
      <c r="B150" s="209"/>
      <c r="C150" s="113">
        <v>0</v>
      </c>
      <c r="D150" s="113">
        <v>0</v>
      </c>
      <c r="E150" s="113" t="s">
        <v>688</v>
      </c>
      <c r="F150" s="113" t="s">
        <v>688</v>
      </c>
      <c r="G150" s="113"/>
      <c r="H150" s="113"/>
      <c r="I150" s="113"/>
      <c r="J150" s="113"/>
      <c r="K150" s="113"/>
      <c r="N150" s="113" t="e">
        <f>MATCH(A150,Entrada!$A$53:$A$372,0)</f>
        <v>#N/A</v>
      </c>
      <c r="O150">
        <f>IF(NOT(ISNA($N150)),INDEX(Entrada!$C$53:$N$372,$N150,O$2),0)</f>
        <v>0</v>
      </c>
      <c r="P150">
        <f>IF(NOT(ISNA($N150)),INDEX(Entrada!$C$53:$N$372,$N150,P$2),0)</f>
        <v>0</v>
      </c>
      <c r="Q150">
        <f>IF(NOT(ISNA($N150)),INDEX(Entrada!$C$53:$N$372,$N150,Q$2),0)</f>
        <v>0</v>
      </c>
      <c r="R150">
        <f>IF(NOT(ISNA($N150)),INDEX(Entrada!$C$53:$N$372,$N150,R$2),0)</f>
        <v>0</v>
      </c>
      <c r="S150">
        <f>IF(NOT(ISNA($N150)),INDEX(Entrada!$C$53:$N$372,$N150,S$2),0)</f>
        <v>0</v>
      </c>
      <c r="T150">
        <f>IF(NOT(ISNA($N150)),INDEX(Entrada!$C$53:$N$372,$N150,T$2),0)</f>
        <v>0</v>
      </c>
      <c r="U150">
        <f>IF(NOT(ISNA($N150)),INDEX(Entrada!$C$53:$N$372,$N150,U$2),0)</f>
        <v>0</v>
      </c>
      <c r="V150" s="225">
        <f>IF(NOT(ISNA($N150)),INDEX(Entrada!$C$53:$N$372,$N150,V$2),0)</f>
        <v>0</v>
      </c>
      <c r="W150" s="225">
        <f>IF(NOT(ISNA($N150)),INDEX(Entrada!$C$53:$N$372,$N150,W$2),0)</f>
        <v>0</v>
      </c>
      <c r="X150" s="225">
        <f>IF(NOT(ISNA($N150)),INDEX(Entrada!$C$53:$N$372,$N150,X$2),0)</f>
        <v>0</v>
      </c>
      <c r="Y150" s="225">
        <f>IF(NOT(ISNA($N150)),INDEX(Entrada!$C$53:$N$372,$N150,Y$2),0)</f>
        <v>0</v>
      </c>
      <c r="Z150" s="225">
        <f>IF(NOT(ISNA($N150)),INDEX(Entrada!$C$53:$N$372,$N150,Z$2),0)</f>
        <v>0</v>
      </c>
      <c r="AA150" s="113">
        <f t="shared" si="48"/>
        <v>0</v>
      </c>
      <c r="AB150">
        <f t="shared" si="49"/>
        <v>0</v>
      </c>
      <c r="AC150">
        <f t="shared" si="50"/>
        <v>0</v>
      </c>
      <c r="AD150">
        <f t="shared" si="51"/>
        <v>0</v>
      </c>
      <c r="AE150">
        <f t="shared" si="52"/>
        <v>0</v>
      </c>
      <c r="AF150">
        <f t="shared" si="53"/>
        <v>0</v>
      </c>
      <c r="AG150">
        <f t="shared" si="54"/>
        <v>0</v>
      </c>
      <c r="AH150">
        <f t="shared" si="55"/>
        <v>0</v>
      </c>
      <c r="AI150">
        <f t="shared" si="56"/>
        <v>0</v>
      </c>
      <c r="AJ150">
        <f t="shared" si="57"/>
        <v>0</v>
      </c>
      <c r="AK150">
        <f t="shared" si="58"/>
        <v>0</v>
      </c>
      <c r="AL150">
        <f t="shared" si="59"/>
        <v>0</v>
      </c>
      <c r="AM150" s="113">
        <f t="shared" si="60"/>
        <v>0</v>
      </c>
      <c r="AN150">
        <f t="shared" si="61"/>
        <v>0</v>
      </c>
      <c r="AO150">
        <f t="shared" si="62"/>
        <v>0</v>
      </c>
      <c r="AP150">
        <f t="shared" si="63"/>
        <v>0</v>
      </c>
      <c r="AQ150">
        <f t="shared" si="64"/>
        <v>0</v>
      </c>
      <c r="AR150">
        <f t="shared" si="65"/>
        <v>0</v>
      </c>
      <c r="AS150">
        <f t="shared" si="66"/>
        <v>0</v>
      </c>
      <c r="AT150">
        <f t="shared" si="67"/>
        <v>0</v>
      </c>
      <c r="AU150">
        <f t="shared" si="68"/>
        <v>0</v>
      </c>
      <c r="AV150">
        <f t="shared" si="69"/>
        <v>0</v>
      </c>
      <c r="AW150">
        <f t="shared" si="70"/>
        <v>0</v>
      </c>
      <c r="AX150">
        <f t="shared" si="71"/>
        <v>0</v>
      </c>
    </row>
    <row r="151" spans="1:50" x14ac:dyDescent="0.25">
      <c r="A151" s="113">
        <v>148</v>
      </c>
      <c r="B151" s="209" t="s">
        <v>610</v>
      </c>
      <c r="C151" s="113">
        <v>1931</v>
      </c>
      <c r="D151" s="113">
        <v>2013</v>
      </c>
      <c r="E151" s="210" t="s">
        <v>13</v>
      </c>
      <c r="F151" s="210" t="s">
        <v>13</v>
      </c>
      <c r="G151" s="113">
        <v>141</v>
      </c>
      <c r="H151" s="113"/>
      <c r="I151" s="113"/>
      <c r="J151" s="113"/>
      <c r="K151" s="113"/>
      <c r="N151" s="113">
        <f>MATCH(A151,Entrada!$A$53:$A$372,0)</f>
        <v>99</v>
      </c>
      <c r="O151">
        <f>IF(NOT(ISNA($N151)),INDEX(Entrada!$C$53:$N$372,$N151,O$2),0)</f>
        <v>1620</v>
      </c>
      <c r="P151">
        <f>IF(NOT(ISNA($N151)),INDEX(Entrada!$C$53:$N$372,$N151,P$2),0)</f>
        <v>1260</v>
      </c>
      <c r="Q151">
        <f>IF(NOT(ISNA($N151)),INDEX(Entrada!$C$53:$N$372,$N151,Q$2),0)</f>
        <v>1107</v>
      </c>
      <c r="R151">
        <f>IF(NOT(ISNA($N151)),INDEX(Entrada!$C$53:$N$372,$N151,R$2),0)</f>
        <v>856</v>
      </c>
      <c r="S151">
        <f>IF(NOT(ISNA($N151)),INDEX(Entrada!$C$53:$N$372,$N151,S$2),0)</f>
        <v>621</v>
      </c>
      <c r="T151">
        <f>IF(NOT(ISNA($N151)),INDEX(Entrada!$C$53:$N$372,$N151,T$2),0)</f>
        <v>521</v>
      </c>
      <c r="U151">
        <f>IF(NOT(ISNA($N151)),INDEX(Entrada!$C$53:$N$372,$N151,U$2),0)</f>
        <v>461</v>
      </c>
      <c r="V151" s="225">
        <f>IF(NOT(ISNA($N151)),INDEX(Entrada!$C$53:$N$372,$N151,V$2),0)</f>
        <v>410</v>
      </c>
      <c r="W151" s="225">
        <f>IF(NOT(ISNA($N151)),INDEX(Entrada!$C$53:$N$372,$N151,W$2),0)</f>
        <v>396</v>
      </c>
      <c r="X151" s="225">
        <f>IF(NOT(ISNA($N151)),INDEX(Entrada!$C$53:$N$372,$N151,X$2),0)</f>
        <v>496</v>
      </c>
      <c r="Y151" s="225">
        <f>IF(NOT(ISNA($N151)),INDEX(Entrada!$C$53:$N$372,$N151,Y$2),0)</f>
        <v>839</v>
      </c>
      <c r="Z151" s="225">
        <f>IF(NOT(ISNA($N151)),INDEX(Entrada!$C$53:$N$372,$N151,Z$2),0)</f>
        <v>1414</v>
      </c>
      <c r="AA151" s="113">
        <f t="shared" si="48"/>
        <v>1053</v>
      </c>
      <c r="AB151">
        <f t="shared" si="49"/>
        <v>855</v>
      </c>
      <c r="AC151">
        <f t="shared" si="50"/>
        <v>756</v>
      </c>
      <c r="AD151">
        <f t="shared" si="51"/>
        <v>593</v>
      </c>
      <c r="AE151">
        <f t="shared" si="52"/>
        <v>444</v>
      </c>
      <c r="AF151">
        <f t="shared" si="53"/>
        <v>378</v>
      </c>
      <c r="AG151">
        <f t="shared" si="54"/>
        <v>335</v>
      </c>
      <c r="AH151">
        <f t="shared" si="55"/>
        <v>300</v>
      </c>
      <c r="AI151">
        <f t="shared" si="56"/>
        <v>292</v>
      </c>
      <c r="AJ151">
        <f t="shared" si="57"/>
        <v>352</v>
      </c>
      <c r="AK151">
        <f t="shared" si="58"/>
        <v>563</v>
      </c>
      <c r="AL151">
        <f t="shared" si="59"/>
        <v>910</v>
      </c>
      <c r="AM151" s="113">
        <f t="shared" si="60"/>
        <v>567</v>
      </c>
      <c r="AN151">
        <f t="shared" si="61"/>
        <v>405</v>
      </c>
      <c r="AO151">
        <f t="shared" si="62"/>
        <v>351</v>
      </c>
      <c r="AP151">
        <f t="shared" si="63"/>
        <v>263</v>
      </c>
      <c r="AQ151">
        <f t="shared" si="64"/>
        <v>177</v>
      </c>
      <c r="AR151">
        <f t="shared" si="65"/>
        <v>143</v>
      </c>
      <c r="AS151">
        <f t="shared" si="66"/>
        <v>126</v>
      </c>
      <c r="AT151">
        <f t="shared" si="67"/>
        <v>110</v>
      </c>
      <c r="AU151">
        <f t="shared" si="68"/>
        <v>104</v>
      </c>
      <c r="AV151">
        <f t="shared" si="69"/>
        <v>144</v>
      </c>
      <c r="AW151">
        <f t="shared" si="70"/>
        <v>276</v>
      </c>
      <c r="AX151">
        <f t="shared" si="71"/>
        <v>504</v>
      </c>
    </row>
    <row r="152" spans="1:50" x14ac:dyDescent="0.25">
      <c r="A152" s="113">
        <v>149</v>
      </c>
      <c r="B152" s="209" t="s">
        <v>611</v>
      </c>
      <c r="C152" s="113">
        <v>1931</v>
      </c>
      <c r="D152" s="113">
        <v>2013</v>
      </c>
      <c r="E152" s="210" t="s">
        <v>13</v>
      </c>
      <c r="F152" s="210" t="s">
        <v>13</v>
      </c>
      <c r="G152" s="113"/>
      <c r="H152" s="113"/>
      <c r="I152" s="113"/>
      <c r="J152" s="113"/>
      <c r="K152" s="113"/>
      <c r="N152" s="113">
        <f>MATCH(A152,Entrada!$A$53:$A$372,0)</f>
        <v>100</v>
      </c>
      <c r="O152">
        <f>IF(NOT(ISNA($N152)),INDEX(Entrada!$C$53:$N$372,$N152,O$2),0)</f>
        <v>273</v>
      </c>
      <c r="P152">
        <f>IF(NOT(ISNA($N152)),INDEX(Entrada!$C$53:$N$372,$N152,P$2),0)</f>
        <v>232</v>
      </c>
      <c r="Q152">
        <f>IF(NOT(ISNA($N152)),INDEX(Entrada!$C$53:$N$372,$N152,Q$2),0)</f>
        <v>206</v>
      </c>
      <c r="R152">
        <f>IF(NOT(ISNA($N152)),INDEX(Entrada!$C$53:$N$372,$N152,R$2),0)</f>
        <v>160</v>
      </c>
      <c r="S152">
        <f>IF(NOT(ISNA($N152)),INDEX(Entrada!$C$53:$N$372,$N152,S$2),0)</f>
        <v>123</v>
      </c>
      <c r="T152">
        <f>IF(NOT(ISNA($N152)),INDEX(Entrada!$C$53:$N$372,$N152,T$2),0)</f>
        <v>107</v>
      </c>
      <c r="U152">
        <f>IF(NOT(ISNA($N152)),INDEX(Entrada!$C$53:$N$372,$N152,U$2),0)</f>
        <v>96</v>
      </c>
      <c r="V152" s="225">
        <f>IF(NOT(ISNA($N152)),INDEX(Entrada!$C$53:$N$372,$N152,V$2),0)</f>
        <v>86</v>
      </c>
      <c r="W152" s="225">
        <f>IF(NOT(ISNA($N152)),INDEX(Entrada!$C$53:$N$372,$N152,W$2),0)</f>
        <v>85</v>
      </c>
      <c r="X152" s="225">
        <f>IF(NOT(ISNA($N152)),INDEX(Entrada!$C$53:$N$372,$N152,X$2),0)</f>
        <v>101</v>
      </c>
      <c r="Y152" s="225">
        <f>IF(NOT(ISNA($N152)),INDEX(Entrada!$C$53:$N$372,$N152,Y$2),0)</f>
        <v>147</v>
      </c>
      <c r="Z152" s="225">
        <f>IF(NOT(ISNA($N152)),INDEX(Entrada!$C$53:$N$372,$N152,Z$2),0)</f>
        <v>230</v>
      </c>
      <c r="AA152" s="113">
        <f t="shared" si="48"/>
        <v>0</v>
      </c>
      <c r="AB152">
        <f t="shared" si="49"/>
        <v>0</v>
      </c>
      <c r="AC152">
        <f t="shared" si="50"/>
        <v>0</v>
      </c>
      <c r="AD152">
        <f t="shared" si="51"/>
        <v>0</v>
      </c>
      <c r="AE152">
        <f t="shared" si="52"/>
        <v>0</v>
      </c>
      <c r="AF152">
        <f t="shared" si="53"/>
        <v>0</v>
      </c>
      <c r="AG152">
        <f t="shared" si="54"/>
        <v>0</v>
      </c>
      <c r="AH152">
        <f t="shared" si="55"/>
        <v>0</v>
      </c>
      <c r="AI152">
        <f t="shared" si="56"/>
        <v>0</v>
      </c>
      <c r="AJ152">
        <f t="shared" si="57"/>
        <v>0</v>
      </c>
      <c r="AK152">
        <f t="shared" si="58"/>
        <v>0</v>
      </c>
      <c r="AL152">
        <f t="shared" si="59"/>
        <v>0</v>
      </c>
      <c r="AM152" s="113">
        <f t="shared" si="60"/>
        <v>273</v>
      </c>
      <c r="AN152">
        <f t="shared" si="61"/>
        <v>232</v>
      </c>
      <c r="AO152">
        <f t="shared" si="62"/>
        <v>206</v>
      </c>
      <c r="AP152">
        <f t="shared" si="63"/>
        <v>160</v>
      </c>
      <c r="AQ152">
        <f t="shared" si="64"/>
        <v>123</v>
      </c>
      <c r="AR152">
        <f t="shared" si="65"/>
        <v>107</v>
      </c>
      <c r="AS152">
        <f t="shared" si="66"/>
        <v>96</v>
      </c>
      <c r="AT152">
        <f t="shared" si="67"/>
        <v>86</v>
      </c>
      <c r="AU152">
        <f t="shared" si="68"/>
        <v>85</v>
      </c>
      <c r="AV152">
        <f t="shared" si="69"/>
        <v>101</v>
      </c>
      <c r="AW152">
        <f t="shared" si="70"/>
        <v>147</v>
      </c>
      <c r="AX152">
        <f t="shared" si="71"/>
        <v>230</v>
      </c>
    </row>
    <row r="153" spans="1:50" x14ac:dyDescent="0.25">
      <c r="A153" s="113">
        <v>150</v>
      </c>
      <c r="B153" s="209"/>
      <c r="C153" s="113">
        <v>0</v>
      </c>
      <c r="D153" s="113">
        <v>0</v>
      </c>
      <c r="E153" s="113" t="s">
        <v>688</v>
      </c>
      <c r="F153" s="113" t="s">
        <v>688</v>
      </c>
      <c r="G153" s="113"/>
      <c r="H153" s="113"/>
      <c r="I153" s="113"/>
      <c r="J153" s="113"/>
      <c r="K153" s="113"/>
      <c r="N153" s="113" t="e">
        <f>MATCH(A153,Entrada!$A$53:$A$372,0)</f>
        <v>#N/A</v>
      </c>
      <c r="O153">
        <f>IF(NOT(ISNA($N153)),INDEX(Entrada!$C$53:$N$372,$N153,O$2),0)</f>
        <v>0</v>
      </c>
      <c r="P153">
        <f>IF(NOT(ISNA($N153)),INDEX(Entrada!$C$53:$N$372,$N153,P$2),0)</f>
        <v>0</v>
      </c>
      <c r="Q153">
        <f>IF(NOT(ISNA($N153)),INDEX(Entrada!$C$53:$N$372,$N153,Q$2),0)</f>
        <v>0</v>
      </c>
      <c r="R153">
        <f>IF(NOT(ISNA($N153)),INDEX(Entrada!$C$53:$N$372,$N153,R$2),0)</f>
        <v>0</v>
      </c>
      <c r="S153">
        <f>IF(NOT(ISNA($N153)),INDEX(Entrada!$C$53:$N$372,$N153,S$2),0)</f>
        <v>0</v>
      </c>
      <c r="T153">
        <f>IF(NOT(ISNA($N153)),INDEX(Entrada!$C$53:$N$372,$N153,T$2),0)</f>
        <v>0</v>
      </c>
      <c r="U153">
        <f>IF(NOT(ISNA($N153)),INDEX(Entrada!$C$53:$N$372,$N153,U$2),0)</f>
        <v>0</v>
      </c>
      <c r="V153" s="225">
        <f>IF(NOT(ISNA($N153)),INDEX(Entrada!$C$53:$N$372,$N153,V$2),0)</f>
        <v>0</v>
      </c>
      <c r="W153" s="225">
        <f>IF(NOT(ISNA($N153)),INDEX(Entrada!$C$53:$N$372,$N153,W$2),0)</f>
        <v>0</v>
      </c>
      <c r="X153" s="225">
        <f>IF(NOT(ISNA($N153)),INDEX(Entrada!$C$53:$N$372,$N153,X$2),0)</f>
        <v>0</v>
      </c>
      <c r="Y153" s="225">
        <f>IF(NOT(ISNA($N153)),INDEX(Entrada!$C$53:$N$372,$N153,Y$2),0)</f>
        <v>0</v>
      </c>
      <c r="Z153" s="225">
        <f>IF(NOT(ISNA($N153)),INDEX(Entrada!$C$53:$N$372,$N153,Z$2),0)</f>
        <v>0</v>
      </c>
      <c r="AA153" s="113">
        <f t="shared" si="48"/>
        <v>0</v>
      </c>
      <c r="AB153">
        <f t="shared" si="49"/>
        <v>0</v>
      </c>
      <c r="AC153">
        <f t="shared" si="50"/>
        <v>0</v>
      </c>
      <c r="AD153">
        <f t="shared" si="51"/>
        <v>0</v>
      </c>
      <c r="AE153">
        <f t="shared" si="52"/>
        <v>0</v>
      </c>
      <c r="AF153">
        <f t="shared" si="53"/>
        <v>0</v>
      </c>
      <c r="AG153">
        <f t="shared" si="54"/>
        <v>0</v>
      </c>
      <c r="AH153">
        <f t="shared" si="55"/>
        <v>0</v>
      </c>
      <c r="AI153">
        <f t="shared" si="56"/>
        <v>0</v>
      </c>
      <c r="AJ153">
        <f t="shared" si="57"/>
        <v>0</v>
      </c>
      <c r="AK153">
        <f t="shared" si="58"/>
        <v>0</v>
      </c>
      <c r="AL153">
        <f t="shared" si="59"/>
        <v>0</v>
      </c>
      <c r="AM153" s="113">
        <f t="shared" si="60"/>
        <v>0</v>
      </c>
      <c r="AN153">
        <f t="shared" si="61"/>
        <v>0</v>
      </c>
      <c r="AO153">
        <f t="shared" si="62"/>
        <v>0</v>
      </c>
      <c r="AP153">
        <f t="shared" si="63"/>
        <v>0</v>
      </c>
      <c r="AQ153">
        <f t="shared" si="64"/>
        <v>0</v>
      </c>
      <c r="AR153">
        <f t="shared" si="65"/>
        <v>0</v>
      </c>
      <c r="AS153">
        <f t="shared" si="66"/>
        <v>0</v>
      </c>
      <c r="AT153">
        <f t="shared" si="67"/>
        <v>0</v>
      </c>
      <c r="AU153">
        <f t="shared" si="68"/>
        <v>0</v>
      </c>
      <c r="AV153">
        <f t="shared" si="69"/>
        <v>0</v>
      </c>
      <c r="AW153">
        <f t="shared" si="70"/>
        <v>0</v>
      </c>
      <c r="AX153">
        <f t="shared" si="71"/>
        <v>0</v>
      </c>
    </row>
    <row r="154" spans="1:50" x14ac:dyDescent="0.25">
      <c r="A154" s="113">
        <v>151</v>
      </c>
      <c r="B154" s="209"/>
      <c r="C154" s="113">
        <v>0</v>
      </c>
      <c r="D154" s="113">
        <v>0</v>
      </c>
      <c r="E154" s="113" t="s">
        <v>688</v>
      </c>
      <c r="F154" s="113" t="s">
        <v>688</v>
      </c>
      <c r="G154" s="113"/>
      <c r="H154" s="113"/>
      <c r="I154" s="113"/>
      <c r="J154" s="113"/>
      <c r="K154" s="113"/>
      <c r="N154" s="113" t="e">
        <f>MATCH(A154,Entrada!$A$53:$A$372,0)</f>
        <v>#N/A</v>
      </c>
      <c r="O154">
        <f>IF(NOT(ISNA($N154)),INDEX(Entrada!$C$53:$N$372,$N154,O$2),0)</f>
        <v>0</v>
      </c>
      <c r="P154">
        <f>IF(NOT(ISNA($N154)),INDEX(Entrada!$C$53:$N$372,$N154,P$2),0)</f>
        <v>0</v>
      </c>
      <c r="Q154">
        <f>IF(NOT(ISNA($N154)),INDEX(Entrada!$C$53:$N$372,$N154,Q$2),0)</f>
        <v>0</v>
      </c>
      <c r="R154">
        <f>IF(NOT(ISNA($N154)),INDEX(Entrada!$C$53:$N$372,$N154,R$2),0)</f>
        <v>0</v>
      </c>
      <c r="S154">
        <f>IF(NOT(ISNA($N154)),INDEX(Entrada!$C$53:$N$372,$N154,S$2),0)</f>
        <v>0</v>
      </c>
      <c r="T154">
        <f>IF(NOT(ISNA($N154)),INDEX(Entrada!$C$53:$N$372,$N154,T$2),0)</f>
        <v>0</v>
      </c>
      <c r="U154">
        <f>IF(NOT(ISNA($N154)),INDEX(Entrada!$C$53:$N$372,$N154,U$2),0)</f>
        <v>0</v>
      </c>
      <c r="V154" s="225">
        <f>IF(NOT(ISNA($N154)),INDEX(Entrada!$C$53:$N$372,$N154,V$2),0)</f>
        <v>0</v>
      </c>
      <c r="W154" s="225">
        <f>IF(NOT(ISNA($N154)),INDEX(Entrada!$C$53:$N$372,$N154,W$2),0)</f>
        <v>0</v>
      </c>
      <c r="X154" s="225">
        <f>IF(NOT(ISNA($N154)),INDEX(Entrada!$C$53:$N$372,$N154,X$2),0)</f>
        <v>0</v>
      </c>
      <c r="Y154" s="225">
        <f>IF(NOT(ISNA($N154)),INDEX(Entrada!$C$53:$N$372,$N154,Y$2),0)</f>
        <v>0</v>
      </c>
      <c r="Z154" s="225">
        <f>IF(NOT(ISNA($N154)),INDEX(Entrada!$C$53:$N$372,$N154,Z$2),0)</f>
        <v>0</v>
      </c>
      <c r="AA154" s="113">
        <f t="shared" si="48"/>
        <v>0</v>
      </c>
      <c r="AB154">
        <f t="shared" si="49"/>
        <v>0</v>
      </c>
      <c r="AC154">
        <f t="shared" si="50"/>
        <v>0</v>
      </c>
      <c r="AD154">
        <f t="shared" si="51"/>
        <v>0</v>
      </c>
      <c r="AE154">
        <f t="shared" si="52"/>
        <v>0</v>
      </c>
      <c r="AF154">
        <f t="shared" si="53"/>
        <v>0</v>
      </c>
      <c r="AG154">
        <f t="shared" si="54"/>
        <v>0</v>
      </c>
      <c r="AH154">
        <f t="shared" si="55"/>
        <v>0</v>
      </c>
      <c r="AI154">
        <f t="shared" si="56"/>
        <v>0</v>
      </c>
      <c r="AJ154">
        <f t="shared" si="57"/>
        <v>0</v>
      </c>
      <c r="AK154">
        <f t="shared" si="58"/>
        <v>0</v>
      </c>
      <c r="AL154">
        <f t="shared" si="59"/>
        <v>0</v>
      </c>
      <c r="AM154" s="113">
        <f t="shared" si="60"/>
        <v>0</v>
      </c>
      <c r="AN154">
        <f t="shared" si="61"/>
        <v>0</v>
      </c>
      <c r="AO154">
        <f t="shared" si="62"/>
        <v>0</v>
      </c>
      <c r="AP154">
        <f t="shared" si="63"/>
        <v>0</v>
      </c>
      <c r="AQ154">
        <f t="shared" si="64"/>
        <v>0</v>
      </c>
      <c r="AR154">
        <f t="shared" si="65"/>
        <v>0</v>
      </c>
      <c r="AS154">
        <f t="shared" si="66"/>
        <v>0</v>
      </c>
      <c r="AT154">
        <f t="shared" si="67"/>
        <v>0</v>
      </c>
      <c r="AU154">
        <f t="shared" si="68"/>
        <v>0</v>
      </c>
      <c r="AV154">
        <f t="shared" si="69"/>
        <v>0</v>
      </c>
      <c r="AW154">
        <f t="shared" si="70"/>
        <v>0</v>
      </c>
      <c r="AX154">
        <f t="shared" si="71"/>
        <v>0</v>
      </c>
    </row>
    <row r="155" spans="1:50" x14ac:dyDescent="0.25">
      <c r="A155" s="113">
        <v>152</v>
      </c>
      <c r="B155" s="209"/>
      <c r="C155" s="113">
        <v>0</v>
      </c>
      <c r="D155" s="113">
        <v>0</v>
      </c>
      <c r="E155" s="113" t="s">
        <v>688</v>
      </c>
      <c r="F155" s="113" t="s">
        <v>688</v>
      </c>
      <c r="G155" s="113"/>
      <c r="H155" s="113"/>
      <c r="I155" s="113"/>
      <c r="J155" s="113"/>
      <c r="K155" s="113"/>
      <c r="N155" s="113" t="e">
        <f>MATCH(A155,Entrada!$A$53:$A$372,0)</f>
        <v>#N/A</v>
      </c>
      <c r="O155">
        <f>IF(NOT(ISNA($N155)),INDEX(Entrada!$C$53:$N$372,$N155,O$2),0)</f>
        <v>0</v>
      </c>
      <c r="P155">
        <f>IF(NOT(ISNA($N155)),INDEX(Entrada!$C$53:$N$372,$N155,P$2),0)</f>
        <v>0</v>
      </c>
      <c r="Q155">
        <f>IF(NOT(ISNA($N155)),INDEX(Entrada!$C$53:$N$372,$N155,Q$2),0)</f>
        <v>0</v>
      </c>
      <c r="R155">
        <f>IF(NOT(ISNA($N155)),INDEX(Entrada!$C$53:$N$372,$N155,R$2),0)</f>
        <v>0</v>
      </c>
      <c r="S155">
        <f>IF(NOT(ISNA($N155)),INDEX(Entrada!$C$53:$N$372,$N155,S$2),0)</f>
        <v>0</v>
      </c>
      <c r="T155">
        <f>IF(NOT(ISNA($N155)),INDEX(Entrada!$C$53:$N$372,$N155,T$2),0)</f>
        <v>0</v>
      </c>
      <c r="U155">
        <f>IF(NOT(ISNA($N155)),INDEX(Entrada!$C$53:$N$372,$N155,U$2),0)</f>
        <v>0</v>
      </c>
      <c r="V155" s="225">
        <f>IF(NOT(ISNA($N155)),INDEX(Entrada!$C$53:$N$372,$N155,V$2),0)</f>
        <v>0</v>
      </c>
      <c r="W155" s="225">
        <f>IF(NOT(ISNA($N155)),INDEX(Entrada!$C$53:$N$372,$N155,W$2),0)</f>
        <v>0</v>
      </c>
      <c r="X155" s="225">
        <f>IF(NOT(ISNA($N155)),INDEX(Entrada!$C$53:$N$372,$N155,X$2),0)</f>
        <v>0</v>
      </c>
      <c r="Y155" s="225">
        <f>IF(NOT(ISNA($N155)),INDEX(Entrada!$C$53:$N$372,$N155,Y$2),0)</f>
        <v>0</v>
      </c>
      <c r="Z155" s="225">
        <f>IF(NOT(ISNA($N155)),INDEX(Entrada!$C$53:$N$372,$N155,Z$2),0)</f>
        <v>0</v>
      </c>
      <c r="AA155" s="113">
        <f t="shared" si="48"/>
        <v>0</v>
      </c>
      <c r="AB155">
        <f t="shared" si="49"/>
        <v>0</v>
      </c>
      <c r="AC155">
        <f t="shared" si="50"/>
        <v>0</v>
      </c>
      <c r="AD155">
        <f t="shared" si="51"/>
        <v>0</v>
      </c>
      <c r="AE155">
        <f t="shared" si="52"/>
        <v>0</v>
      </c>
      <c r="AF155">
        <f t="shared" si="53"/>
        <v>0</v>
      </c>
      <c r="AG155">
        <f t="shared" si="54"/>
        <v>0</v>
      </c>
      <c r="AH155">
        <f t="shared" si="55"/>
        <v>0</v>
      </c>
      <c r="AI155">
        <f t="shared" si="56"/>
        <v>0</v>
      </c>
      <c r="AJ155">
        <f t="shared" si="57"/>
        <v>0</v>
      </c>
      <c r="AK155">
        <f t="shared" si="58"/>
        <v>0</v>
      </c>
      <c r="AL155">
        <f t="shared" si="59"/>
        <v>0</v>
      </c>
      <c r="AM155" s="113">
        <f t="shared" si="60"/>
        <v>0</v>
      </c>
      <c r="AN155">
        <f t="shared" si="61"/>
        <v>0</v>
      </c>
      <c r="AO155">
        <f t="shared" si="62"/>
        <v>0</v>
      </c>
      <c r="AP155">
        <f t="shared" si="63"/>
        <v>0</v>
      </c>
      <c r="AQ155">
        <f t="shared" si="64"/>
        <v>0</v>
      </c>
      <c r="AR155">
        <f t="shared" si="65"/>
        <v>0</v>
      </c>
      <c r="AS155">
        <f t="shared" si="66"/>
        <v>0</v>
      </c>
      <c r="AT155">
        <f t="shared" si="67"/>
        <v>0</v>
      </c>
      <c r="AU155">
        <f t="shared" si="68"/>
        <v>0</v>
      </c>
      <c r="AV155">
        <f t="shared" si="69"/>
        <v>0</v>
      </c>
      <c r="AW155">
        <f t="shared" si="70"/>
        <v>0</v>
      </c>
      <c r="AX155">
        <f t="shared" si="71"/>
        <v>0</v>
      </c>
    </row>
    <row r="156" spans="1:50" x14ac:dyDescent="0.25">
      <c r="A156" s="113">
        <v>153</v>
      </c>
      <c r="B156" s="209"/>
      <c r="C156" s="113">
        <v>0</v>
      </c>
      <c r="D156" s="113">
        <v>0</v>
      </c>
      <c r="E156" s="113" t="s">
        <v>688</v>
      </c>
      <c r="F156" s="113" t="s">
        <v>688</v>
      </c>
      <c r="G156" s="113"/>
      <c r="H156" s="113"/>
      <c r="I156" s="113"/>
      <c r="J156" s="113"/>
      <c r="K156" s="113"/>
      <c r="N156" s="113" t="e">
        <f>MATCH(A156,Entrada!$A$53:$A$372,0)</f>
        <v>#N/A</v>
      </c>
      <c r="O156">
        <f>IF(NOT(ISNA($N156)),INDEX(Entrada!$C$53:$N$372,$N156,O$2),0)</f>
        <v>0</v>
      </c>
      <c r="P156">
        <f>IF(NOT(ISNA($N156)),INDEX(Entrada!$C$53:$N$372,$N156,P$2),0)</f>
        <v>0</v>
      </c>
      <c r="Q156">
        <f>IF(NOT(ISNA($N156)),INDEX(Entrada!$C$53:$N$372,$N156,Q$2),0)</f>
        <v>0</v>
      </c>
      <c r="R156">
        <f>IF(NOT(ISNA($N156)),INDEX(Entrada!$C$53:$N$372,$N156,R$2),0)</f>
        <v>0</v>
      </c>
      <c r="S156">
        <f>IF(NOT(ISNA($N156)),INDEX(Entrada!$C$53:$N$372,$N156,S$2),0)</f>
        <v>0</v>
      </c>
      <c r="T156">
        <f>IF(NOT(ISNA($N156)),INDEX(Entrada!$C$53:$N$372,$N156,T$2),0)</f>
        <v>0</v>
      </c>
      <c r="U156">
        <f>IF(NOT(ISNA($N156)),INDEX(Entrada!$C$53:$N$372,$N156,U$2),0)</f>
        <v>0</v>
      </c>
      <c r="V156" s="225">
        <f>IF(NOT(ISNA($N156)),INDEX(Entrada!$C$53:$N$372,$N156,V$2),0)</f>
        <v>0</v>
      </c>
      <c r="W156" s="225">
        <f>IF(NOT(ISNA($N156)),INDEX(Entrada!$C$53:$N$372,$N156,W$2),0)</f>
        <v>0</v>
      </c>
      <c r="X156" s="225">
        <f>IF(NOT(ISNA($N156)),INDEX(Entrada!$C$53:$N$372,$N156,X$2),0)</f>
        <v>0</v>
      </c>
      <c r="Y156" s="225">
        <f>IF(NOT(ISNA($N156)),INDEX(Entrada!$C$53:$N$372,$N156,Y$2),0)</f>
        <v>0</v>
      </c>
      <c r="Z156" s="225">
        <f>IF(NOT(ISNA($N156)),INDEX(Entrada!$C$53:$N$372,$N156,Z$2),0)</f>
        <v>0</v>
      </c>
      <c r="AA156" s="113">
        <f t="shared" si="48"/>
        <v>0</v>
      </c>
      <c r="AB156">
        <f t="shared" si="49"/>
        <v>0</v>
      </c>
      <c r="AC156">
        <f t="shared" si="50"/>
        <v>0</v>
      </c>
      <c r="AD156">
        <f t="shared" si="51"/>
        <v>0</v>
      </c>
      <c r="AE156">
        <f t="shared" si="52"/>
        <v>0</v>
      </c>
      <c r="AF156">
        <f t="shared" si="53"/>
        <v>0</v>
      </c>
      <c r="AG156">
        <f t="shared" si="54"/>
        <v>0</v>
      </c>
      <c r="AH156">
        <f t="shared" si="55"/>
        <v>0</v>
      </c>
      <c r="AI156">
        <f t="shared" si="56"/>
        <v>0</v>
      </c>
      <c r="AJ156">
        <f t="shared" si="57"/>
        <v>0</v>
      </c>
      <c r="AK156">
        <f t="shared" si="58"/>
        <v>0</v>
      </c>
      <c r="AL156">
        <f t="shared" si="59"/>
        <v>0</v>
      </c>
      <c r="AM156" s="113">
        <f t="shared" si="60"/>
        <v>0</v>
      </c>
      <c r="AN156">
        <f t="shared" si="61"/>
        <v>0</v>
      </c>
      <c r="AO156">
        <f t="shared" si="62"/>
        <v>0</v>
      </c>
      <c r="AP156">
        <f t="shared" si="63"/>
        <v>0</v>
      </c>
      <c r="AQ156">
        <f t="shared" si="64"/>
        <v>0</v>
      </c>
      <c r="AR156">
        <f t="shared" si="65"/>
        <v>0</v>
      </c>
      <c r="AS156">
        <f t="shared" si="66"/>
        <v>0</v>
      </c>
      <c r="AT156">
        <f t="shared" si="67"/>
        <v>0</v>
      </c>
      <c r="AU156">
        <f t="shared" si="68"/>
        <v>0</v>
      </c>
      <c r="AV156">
        <f t="shared" si="69"/>
        <v>0</v>
      </c>
      <c r="AW156">
        <f t="shared" si="70"/>
        <v>0</v>
      </c>
      <c r="AX156">
        <f t="shared" si="71"/>
        <v>0</v>
      </c>
    </row>
    <row r="157" spans="1:50" x14ac:dyDescent="0.25">
      <c r="A157" s="113">
        <v>154</v>
      </c>
      <c r="B157" s="209"/>
      <c r="C157" s="113">
        <v>0</v>
      </c>
      <c r="D157" s="113">
        <v>0</v>
      </c>
      <c r="E157" s="113" t="s">
        <v>688</v>
      </c>
      <c r="F157" s="113" t="s">
        <v>688</v>
      </c>
      <c r="G157" s="113"/>
      <c r="H157" s="113"/>
      <c r="I157" s="113"/>
      <c r="J157" s="113"/>
      <c r="K157" s="113"/>
      <c r="N157" s="113" t="e">
        <f>MATCH(A157,Entrada!$A$53:$A$372,0)</f>
        <v>#N/A</v>
      </c>
      <c r="O157">
        <f>IF(NOT(ISNA($N157)),INDEX(Entrada!$C$53:$N$372,$N157,O$2),0)</f>
        <v>0</v>
      </c>
      <c r="P157">
        <f>IF(NOT(ISNA($N157)),INDEX(Entrada!$C$53:$N$372,$N157,P$2),0)</f>
        <v>0</v>
      </c>
      <c r="Q157">
        <f>IF(NOT(ISNA($N157)),INDEX(Entrada!$C$53:$N$372,$N157,Q$2),0)</f>
        <v>0</v>
      </c>
      <c r="R157">
        <f>IF(NOT(ISNA($N157)),INDEX(Entrada!$C$53:$N$372,$N157,R$2),0)</f>
        <v>0</v>
      </c>
      <c r="S157">
        <f>IF(NOT(ISNA($N157)),INDEX(Entrada!$C$53:$N$372,$N157,S$2),0)</f>
        <v>0</v>
      </c>
      <c r="T157">
        <f>IF(NOT(ISNA($N157)),INDEX(Entrada!$C$53:$N$372,$N157,T$2),0)</f>
        <v>0</v>
      </c>
      <c r="U157">
        <f>IF(NOT(ISNA($N157)),INDEX(Entrada!$C$53:$N$372,$N157,U$2),0)</f>
        <v>0</v>
      </c>
      <c r="V157" s="225">
        <f>IF(NOT(ISNA($N157)),INDEX(Entrada!$C$53:$N$372,$N157,V$2),0)</f>
        <v>0</v>
      </c>
      <c r="W157" s="225">
        <f>IF(NOT(ISNA($N157)),INDEX(Entrada!$C$53:$N$372,$N157,W$2),0)</f>
        <v>0</v>
      </c>
      <c r="X157" s="225">
        <f>IF(NOT(ISNA($N157)),INDEX(Entrada!$C$53:$N$372,$N157,X$2),0)</f>
        <v>0</v>
      </c>
      <c r="Y157" s="225">
        <f>IF(NOT(ISNA($N157)),INDEX(Entrada!$C$53:$N$372,$N157,Y$2),0)</f>
        <v>0</v>
      </c>
      <c r="Z157" s="225">
        <f>IF(NOT(ISNA($N157)),INDEX(Entrada!$C$53:$N$372,$N157,Z$2),0)</f>
        <v>0</v>
      </c>
      <c r="AA157" s="113">
        <f t="shared" si="48"/>
        <v>0</v>
      </c>
      <c r="AB157">
        <f t="shared" si="49"/>
        <v>0</v>
      </c>
      <c r="AC157">
        <f t="shared" si="50"/>
        <v>0</v>
      </c>
      <c r="AD157">
        <f t="shared" si="51"/>
        <v>0</v>
      </c>
      <c r="AE157">
        <f t="shared" si="52"/>
        <v>0</v>
      </c>
      <c r="AF157">
        <f t="shared" si="53"/>
        <v>0</v>
      </c>
      <c r="AG157">
        <f t="shared" si="54"/>
        <v>0</v>
      </c>
      <c r="AH157">
        <f t="shared" si="55"/>
        <v>0</v>
      </c>
      <c r="AI157">
        <f t="shared" si="56"/>
        <v>0</v>
      </c>
      <c r="AJ157">
        <f t="shared" si="57"/>
        <v>0</v>
      </c>
      <c r="AK157">
        <f t="shared" si="58"/>
        <v>0</v>
      </c>
      <c r="AL157">
        <f t="shared" si="59"/>
        <v>0</v>
      </c>
      <c r="AM157" s="113">
        <f t="shared" si="60"/>
        <v>0</v>
      </c>
      <c r="AN157">
        <f t="shared" si="61"/>
        <v>0</v>
      </c>
      <c r="AO157">
        <f t="shared" si="62"/>
        <v>0</v>
      </c>
      <c r="AP157">
        <f t="shared" si="63"/>
        <v>0</v>
      </c>
      <c r="AQ157">
        <f t="shared" si="64"/>
        <v>0</v>
      </c>
      <c r="AR157">
        <f t="shared" si="65"/>
        <v>0</v>
      </c>
      <c r="AS157">
        <f t="shared" si="66"/>
        <v>0</v>
      </c>
      <c r="AT157">
        <f t="shared" si="67"/>
        <v>0</v>
      </c>
      <c r="AU157">
        <f t="shared" si="68"/>
        <v>0</v>
      </c>
      <c r="AV157">
        <f t="shared" si="69"/>
        <v>0</v>
      </c>
      <c r="AW157">
        <f t="shared" si="70"/>
        <v>0</v>
      </c>
      <c r="AX157">
        <f t="shared" si="71"/>
        <v>0</v>
      </c>
    </row>
    <row r="158" spans="1:50" x14ac:dyDescent="0.25">
      <c r="A158" s="113">
        <v>155</v>
      </c>
      <c r="B158" s="209" t="s">
        <v>156</v>
      </c>
      <c r="C158" s="113">
        <v>1931</v>
      </c>
      <c r="D158" s="113">
        <v>2013</v>
      </c>
      <c r="E158" s="210" t="s">
        <v>20</v>
      </c>
      <c r="F158" s="210" t="s">
        <v>367</v>
      </c>
      <c r="G158" s="113"/>
      <c r="H158" s="113"/>
      <c r="I158" s="113"/>
      <c r="J158" s="113"/>
      <c r="K158" s="113"/>
      <c r="N158" s="113">
        <f>MATCH(A158,Entrada!$A$53:$A$372,0)</f>
        <v>101</v>
      </c>
      <c r="O158">
        <f>IF(NOT(ISNA($N158)),INDEX(Entrada!$C$53:$N$372,$N158,O$2),0)</f>
        <v>333</v>
      </c>
      <c r="P158">
        <f>IF(NOT(ISNA($N158)),INDEX(Entrada!$C$53:$N$372,$N158,P$2),0)</f>
        <v>284</v>
      </c>
      <c r="Q158">
        <f>IF(NOT(ISNA($N158)),INDEX(Entrada!$C$53:$N$372,$N158,Q$2),0)</f>
        <v>242</v>
      </c>
      <c r="R158">
        <f>IF(NOT(ISNA($N158)),INDEX(Entrada!$C$53:$N$372,$N158,R$2),0)</f>
        <v>160</v>
      </c>
      <c r="S158">
        <f>IF(NOT(ISNA($N158)),INDEX(Entrada!$C$53:$N$372,$N158,S$2),0)</f>
        <v>111</v>
      </c>
      <c r="T158">
        <f>IF(NOT(ISNA($N158)),INDEX(Entrada!$C$53:$N$372,$N158,T$2),0)</f>
        <v>90</v>
      </c>
      <c r="U158">
        <f>IF(NOT(ISNA($N158)),INDEX(Entrada!$C$53:$N$372,$N158,U$2),0)</f>
        <v>73</v>
      </c>
      <c r="V158" s="225">
        <f>IF(NOT(ISNA($N158)),INDEX(Entrada!$C$53:$N$372,$N158,V$2),0)</f>
        <v>63</v>
      </c>
      <c r="W158" s="225">
        <f>IF(NOT(ISNA($N158)),INDEX(Entrada!$C$53:$N$372,$N158,W$2),0)</f>
        <v>61</v>
      </c>
      <c r="X158" s="225">
        <f>IF(NOT(ISNA($N158)),INDEX(Entrada!$C$53:$N$372,$N158,X$2),0)</f>
        <v>77</v>
      </c>
      <c r="Y158" s="225">
        <f>IF(NOT(ISNA($N158)),INDEX(Entrada!$C$53:$N$372,$N158,Y$2),0)</f>
        <v>132</v>
      </c>
      <c r="Z158" s="225">
        <f>IF(NOT(ISNA($N158)),INDEX(Entrada!$C$53:$N$372,$N158,Z$2),0)</f>
        <v>252</v>
      </c>
      <c r="AA158" s="113">
        <f t="shared" si="48"/>
        <v>0</v>
      </c>
      <c r="AB158">
        <f t="shared" si="49"/>
        <v>0</v>
      </c>
      <c r="AC158">
        <f t="shared" si="50"/>
        <v>0</v>
      </c>
      <c r="AD158">
        <f t="shared" si="51"/>
        <v>0</v>
      </c>
      <c r="AE158">
        <f t="shared" si="52"/>
        <v>0</v>
      </c>
      <c r="AF158">
        <f t="shared" si="53"/>
        <v>0</v>
      </c>
      <c r="AG158">
        <f t="shared" si="54"/>
        <v>0</v>
      </c>
      <c r="AH158">
        <f t="shared" si="55"/>
        <v>0</v>
      </c>
      <c r="AI158">
        <f t="shared" si="56"/>
        <v>0</v>
      </c>
      <c r="AJ158">
        <f t="shared" si="57"/>
        <v>0</v>
      </c>
      <c r="AK158">
        <f t="shared" si="58"/>
        <v>0</v>
      </c>
      <c r="AL158">
        <f t="shared" si="59"/>
        <v>0</v>
      </c>
      <c r="AM158" s="113">
        <f t="shared" si="60"/>
        <v>333</v>
      </c>
      <c r="AN158">
        <f t="shared" si="61"/>
        <v>284</v>
      </c>
      <c r="AO158">
        <f t="shared" si="62"/>
        <v>242</v>
      </c>
      <c r="AP158">
        <f t="shared" si="63"/>
        <v>160</v>
      </c>
      <c r="AQ158">
        <f t="shared" si="64"/>
        <v>111</v>
      </c>
      <c r="AR158">
        <f t="shared" si="65"/>
        <v>90</v>
      </c>
      <c r="AS158">
        <f t="shared" si="66"/>
        <v>73</v>
      </c>
      <c r="AT158">
        <f t="shared" si="67"/>
        <v>63</v>
      </c>
      <c r="AU158">
        <f t="shared" si="68"/>
        <v>61</v>
      </c>
      <c r="AV158">
        <f t="shared" si="69"/>
        <v>77</v>
      </c>
      <c r="AW158">
        <f t="shared" si="70"/>
        <v>132</v>
      </c>
      <c r="AX158">
        <f t="shared" si="71"/>
        <v>252</v>
      </c>
    </row>
    <row r="159" spans="1:50" x14ac:dyDescent="0.25">
      <c r="A159" s="113">
        <v>156</v>
      </c>
      <c r="B159" s="209" t="s">
        <v>612</v>
      </c>
      <c r="C159" s="113">
        <v>1931</v>
      </c>
      <c r="D159" s="113">
        <v>2013</v>
      </c>
      <c r="E159" s="210" t="s">
        <v>20</v>
      </c>
      <c r="F159" s="210" t="s">
        <v>366</v>
      </c>
      <c r="G159" s="113">
        <v>155</v>
      </c>
      <c r="H159" s="113"/>
      <c r="I159" s="113"/>
      <c r="J159" s="113"/>
      <c r="K159" s="113"/>
      <c r="N159" s="113">
        <f>MATCH(A159,Entrada!$A$53:$A$372,0)</f>
        <v>102</v>
      </c>
      <c r="O159">
        <f>IF(NOT(ISNA($N159)),INDEX(Entrada!$C$53:$N$372,$N159,O$2),0)</f>
        <v>1475</v>
      </c>
      <c r="P159">
        <f>IF(NOT(ISNA($N159)),INDEX(Entrada!$C$53:$N$372,$N159,P$2),0)</f>
        <v>1369</v>
      </c>
      <c r="Q159">
        <f>IF(NOT(ISNA($N159)),INDEX(Entrada!$C$53:$N$372,$N159,Q$2),0)</f>
        <v>1138</v>
      </c>
      <c r="R159">
        <f>IF(NOT(ISNA($N159)),INDEX(Entrada!$C$53:$N$372,$N159,R$2),0)</f>
        <v>755</v>
      </c>
      <c r="S159">
        <f>IF(NOT(ISNA($N159)),INDEX(Entrada!$C$53:$N$372,$N159,S$2),0)</f>
        <v>452</v>
      </c>
      <c r="T159">
        <f>IF(NOT(ISNA($N159)),INDEX(Entrada!$C$53:$N$372,$N159,T$2),0)</f>
        <v>341</v>
      </c>
      <c r="U159">
        <f>IF(NOT(ISNA($N159)),INDEX(Entrada!$C$53:$N$372,$N159,U$2),0)</f>
        <v>274</v>
      </c>
      <c r="V159" s="225">
        <f>IF(NOT(ISNA($N159)),INDEX(Entrada!$C$53:$N$372,$N159,V$2),0)</f>
        <v>224</v>
      </c>
      <c r="W159" s="225">
        <f>IF(NOT(ISNA($N159)),INDEX(Entrada!$C$53:$N$372,$N159,W$2),0)</f>
        <v>219</v>
      </c>
      <c r="X159" s="225">
        <f>IF(NOT(ISNA($N159)),INDEX(Entrada!$C$53:$N$372,$N159,X$2),0)</f>
        <v>299</v>
      </c>
      <c r="Y159" s="225">
        <f>IF(NOT(ISNA($N159)),INDEX(Entrada!$C$53:$N$372,$N159,Y$2),0)</f>
        <v>599</v>
      </c>
      <c r="Z159" s="225">
        <f>IF(NOT(ISNA($N159)),INDEX(Entrada!$C$53:$N$372,$N159,Z$2),0)</f>
        <v>1113</v>
      </c>
      <c r="AA159" s="113">
        <f t="shared" si="48"/>
        <v>333</v>
      </c>
      <c r="AB159">
        <f t="shared" si="49"/>
        <v>284</v>
      </c>
      <c r="AC159">
        <f t="shared" si="50"/>
        <v>242</v>
      </c>
      <c r="AD159">
        <f t="shared" si="51"/>
        <v>160</v>
      </c>
      <c r="AE159">
        <f t="shared" si="52"/>
        <v>111</v>
      </c>
      <c r="AF159">
        <f t="shared" si="53"/>
        <v>90</v>
      </c>
      <c r="AG159">
        <f t="shared" si="54"/>
        <v>73</v>
      </c>
      <c r="AH159">
        <f t="shared" si="55"/>
        <v>63</v>
      </c>
      <c r="AI159">
        <f t="shared" si="56"/>
        <v>61</v>
      </c>
      <c r="AJ159">
        <f t="shared" si="57"/>
        <v>77</v>
      </c>
      <c r="AK159">
        <f t="shared" si="58"/>
        <v>132</v>
      </c>
      <c r="AL159">
        <f t="shared" si="59"/>
        <v>252</v>
      </c>
      <c r="AM159" s="113">
        <f t="shared" si="60"/>
        <v>1142</v>
      </c>
      <c r="AN159">
        <f t="shared" si="61"/>
        <v>1085</v>
      </c>
      <c r="AO159">
        <f t="shared" si="62"/>
        <v>896</v>
      </c>
      <c r="AP159">
        <f t="shared" si="63"/>
        <v>595</v>
      </c>
      <c r="AQ159">
        <f t="shared" si="64"/>
        <v>341</v>
      </c>
      <c r="AR159">
        <f t="shared" si="65"/>
        <v>251</v>
      </c>
      <c r="AS159">
        <f t="shared" si="66"/>
        <v>201</v>
      </c>
      <c r="AT159">
        <f t="shared" si="67"/>
        <v>161</v>
      </c>
      <c r="AU159">
        <f t="shared" si="68"/>
        <v>158</v>
      </c>
      <c r="AV159">
        <f t="shared" si="69"/>
        <v>222</v>
      </c>
      <c r="AW159">
        <f t="shared" si="70"/>
        <v>467</v>
      </c>
      <c r="AX159">
        <f t="shared" si="71"/>
        <v>861</v>
      </c>
    </row>
    <row r="160" spans="1:50" x14ac:dyDescent="0.25">
      <c r="A160" s="113">
        <v>157</v>
      </c>
      <c r="B160" s="209"/>
      <c r="C160" s="113">
        <v>0</v>
      </c>
      <c r="D160" s="113">
        <v>0</v>
      </c>
      <c r="E160" s="113" t="s">
        <v>688</v>
      </c>
      <c r="F160" s="113" t="s">
        <v>688</v>
      </c>
      <c r="G160" s="113"/>
      <c r="H160" s="113"/>
      <c r="I160" s="113"/>
      <c r="J160" s="113"/>
      <c r="K160" s="113"/>
      <c r="N160" s="113" t="e">
        <f>MATCH(A160,Entrada!$A$53:$A$372,0)</f>
        <v>#N/A</v>
      </c>
      <c r="O160">
        <f>IF(NOT(ISNA($N160)),INDEX(Entrada!$C$53:$N$372,$N160,O$2),0)</f>
        <v>0</v>
      </c>
      <c r="P160">
        <f>IF(NOT(ISNA($N160)),INDEX(Entrada!$C$53:$N$372,$N160,P$2),0)</f>
        <v>0</v>
      </c>
      <c r="Q160">
        <f>IF(NOT(ISNA($N160)),INDEX(Entrada!$C$53:$N$372,$N160,Q$2),0)</f>
        <v>0</v>
      </c>
      <c r="R160">
        <f>IF(NOT(ISNA($N160)),INDEX(Entrada!$C$53:$N$372,$N160,R$2),0)</f>
        <v>0</v>
      </c>
      <c r="S160">
        <f>IF(NOT(ISNA($N160)),INDEX(Entrada!$C$53:$N$372,$N160,S$2),0)</f>
        <v>0</v>
      </c>
      <c r="T160">
        <f>IF(NOT(ISNA($N160)),INDEX(Entrada!$C$53:$N$372,$N160,T$2),0)</f>
        <v>0</v>
      </c>
      <c r="U160">
        <f>IF(NOT(ISNA($N160)),INDEX(Entrada!$C$53:$N$372,$N160,U$2),0)</f>
        <v>0</v>
      </c>
      <c r="V160" s="225">
        <f>IF(NOT(ISNA($N160)),INDEX(Entrada!$C$53:$N$372,$N160,V$2),0)</f>
        <v>0</v>
      </c>
      <c r="W160" s="225">
        <f>IF(NOT(ISNA($N160)),INDEX(Entrada!$C$53:$N$372,$N160,W$2),0)</f>
        <v>0</v>
      </c>
      <c r="X160" s="225">
        <f>IF(NOT(ISNA($N160)),INDEX(Entrada!$C$53:$N$372,$N160,X$2),0)</f>
        <v>0</v>
      </c>
      <c r="Y160" s="225">
        <f>IF(NOT(ISNA($N160)),INDEX(Entrada!$C$53:$N$372,$N160,Y$2),0)</f>
        <v>0</v>
      </c>
      <c r="Z160" s="225">
        <f>IF(NOT(ISNA($N160)),INDEX(Entrada!$C$53:$N$372,$N160,Z$2),0)</f>
        <v>0</v>
      </c>
      <c r="AA160" s="113">
        <f t="shared" si="48"/>
        <v>0</v>
      </c>
      <c r="AB160">
        <f t="shared" si="49"/>
        <v>0</v>
      </c>
      <c r="AC160">
        <f t="shared" si="50"/>
        <v>0</v>
      </c>
      <c r="AD160">
        <f t="shared" si="51"/>
        <v>0</v>
      </c>
      <c r="AE160">
        <f t="shared" si="52"/>
        <v>0</v>
      </c>
      <c r="AF160">
        <f t="shared" si="53"/>
        <v>0</v>
      </c>
      <c r="AG160">
        <f t="shared" si="54"/>
        <v>0</v>
      </c>
      <c r="AH160">
        <f t="shared" si="55"/>
        <v>0</v>
      </c>
      <c r="AI160">
        <f t="shared" si="56"/>
        <v>0</v>
      </c>
      <c r="AJ160">
        <f t="shared" si="57"/>
        <v>0</v>
      </c>
      <c r="AK160">
        <f t="shared" si="58"/>
        <v>0</v>
      </c>
      <c r="AL160">
        <f t="shared" si="59"/>
        <v>0</v>
      </c>
      <c r="AM160" s="113">
        <f t="shared" si="60"/>
        <v>0</v>
      </c>
      <c r="AN160">
        <f t="shared" si="61"/>
        <v>0</v>
      </c>
      <c r="AO160">
        <f t="shared" si="62"/>
        <v>0</v>
      </c>
      <c r="AP160">
        <f t="shared" si="63"/>
        <v>0</v>
      </c>
      <c r="AQ160">
        <f t="shared" si="64"/>
        <v>0</v>
      </c>
      <c r="AR160">
        <f t="shared" si="65"/>
        <v>0</v>
      </c>
      <c r="AS160">
        <f t="shared" si="66"/>
        <v>0</v>
      </c>
      <c r="AT160">
        <f t="shared" si="67"/>
        <v>0</v>
      </c>
      <c r="AU160">
        <f t="shared" si="68"/>
        <v>0</v>
      </c>
      <c r="AV160">
        <f t="shared" si="69"/>
        <v>0</v>
      </c>
      <c r="AW160">
        <f t="shared" si="70"/>
        <v>0</v>
      </c>
      <c r="AX160">
        <f t="shared" si="71"/>
        <v>0</v>
      </c>
    </row>
    <row r="161" spans="1:51" x14ac:dyDescent="0.25">
      <c r="A161" s="113">
        <v>158</v>
      </c>
      <c r="B161" s="209" t="s">
        <v>613</v>
      </c>
      <c r="C161" s="113">
        <v>1931</v>
      </c>
      <c r="D161" s="113">
        <v>2013</v>
      </c>
      <c r="E161" s="210" t="s">
        <v>20</v>
      </c>
      <c r="F161" s="210" t="s">
        <v>368</v>
      </c>
      <c r="G161" s="113"/>
      <c r="H161" s="113"/>
      <c r="I161" s="113"/>
      <c r="J161" s="113"/>
      <c r="K161" s="113"/>
      <c r="N161" s="113">
        <f>MATCH(A161,Entrada!$A$53:$A$372,0)</f>
        <v>103</v>
      </c>
      <c r="O161">
        <f>IF(NOT(ISNA($N161)),INDEX(Entrada!$C$53:$N$372,$N161,O$2),0)</f>
        <v>83</v>
      </c>
      <c r="P161">
        <f>IF(NOT(ISNA($N161)),INDEX(Entrada!$C$53:$N$372,$N161,P$2),0)</f>
        <v>83</v>
      </c>
      <c r="Q161">
        <f>IF(NOT(ISNA($N161)),INDEX(Entrada!$C$53:$N$372,$N161,Q$2),0)</f>
        <v>87</v>
      </c>
      <c r="R161">
        <f>IF(NOT(ISNA($N161)),INDEX(Entrada!$C$53:$N$372,$N161,R$2),0)</f>
        <v>68</v>
      </c>
      <c r="S161">
        <f>IF(NOT(ISNA($N161)),INDEX(Entrada!$C$53:$N$372,$N161,S$2),0)</f>
        <v>47</v>
      </c>
      <c r="T161">
        <f>IF(NOT(ISNA($N161)),INDEX(Entrada!$C$53:$N$372,$N161,T$2),0)</f>
        <v>40</v>
      </c>
      <c r="U161">
        <f>IF(NOT(ISNA($N161)),INDEX(Entrada!$C$53:$N$372,$N161,U$2),0)</f>
        <v>35</v>
      </c>
      <c r="V161" s="225">
        <f>IF(NOT(ISNA($N161)),INDEX(Entrada!$C$53:$N$372,$N161,V$2),0)</f>
        <v>30</v>
      </c>
      <c r="W161" s="225">
        <f>IF(NOT(ISNA($N161)),INDEX(Entrada!$C$53:$N$372,$N161,W$2),0)</f>
        <v>27</v>
      </c>
      <c r="X161" s="225">
        <f>IF(NOT(ISNA($N161)),INDEX(Entrada!$C$53:$N$372,$N161,X$2),0)</f>
        <v>33</v>
      </c>
      <c r="Y161" s="225">
        <f>IF(NOT(ISNA($N161)),INDEX(Entrada!$C$53:$N$372,$N161,Y$2),0)</f>
        <v>51</v>
      </c>
      <c r="Z161" s="225">
        <f>IF(NOT(ISNA($N161)),INDEX(Entrada!$C$53:$N$372,$N161,Z$2),0)</f>
        <v>79</v>
      </c>
      <c r="AA161" s="113">
        <f t="shared" si="48"/>
        <v>0</v>
      </c>
      <c r="AB161">
        <f t="shared" si="49"/>
        <v>0</v>
      </c>
      <c r="AC161">
        <f t="shared" si="50"/>
        <v>0</v>
      </c>
      <c r="AD161">
        <f t="shared" si="51"/>
        <v>0</v>
      </c>
      <c r="AE161">
        <f t="shared" si="52"/>
        <v>0</v>
      </c>
      <c r="AF161">
        <f t="shared" si="53"/>
        <v>0</v>
      </c>
      <c r="AG161">
        <f t="shared" si="54"/>
        <v>0</v>
      </c>
      <c r="AH161">
        <f t="shared" si="55"/>
        <v>0</v>
      </c>
      <c r="AI161">
        <f t="shared" si="56"/>
        <v>0</v>
      </c>
      <c r="AJ161">
        <f t="shared" si="57"/>
        <v>0</v>
      </c>
      <c r="AK161">
        <f t="shared" si="58"/>
        <v>0</v>
      </c>
      <c r="AL161">
        <f t="shared" si="59"/>
        <v>0</v>
      </c>
      <c r="AM161" s="113">
        <f t="shared" si="60"/>
        <v>83</v>
      </c>
      <c r="AN161">
        <f t="shared" si="61"/>
        <v>83</v>
      </c>
      <c r="AO161">
        <f t="shared" si="62"/>
        <v>87</v>
      </c>
      <c r="AP161">
        <f t="shared" si="63"/>
        <v>68</v>
      </c>
      <c r="AQ161">
        <f t="shared" si="64"/>
        <v>47</v>
      </c>
      <c r="AR161">
        <f t="shared" si="65"/>
        <v>40</v>
      </c>
      <c r="AS161">
        <f t="shared" si="66"/>
        <v>35</v>
      </c>
      <c r="AT161">
        <f t="shared" si="67"/>
        <v>30</v>
      </c>
      <c r="AU161">
        <f t="shared" si="68"/>
        <v>27</v>
      </c>
      <c r="AV161">
        <f t="shared" si="69"/>
        <v>33</v>
      </c>
      <c r="AW161">
        <f t="shared" si="70"/>
        <v>51</v>
      </c>
      <c r="AX161">
        <f t="shared" si="71"/>
        <v>79</v>
      </c>
    </row>
    <row r="162" spans="1:51" x14ac:dyDescent="0.25">
      <c r="A162" s="113">
        <v>159</v>
      </c>
      <c r="B162" s="209"/>
      <c r="C162" s="113">
        <v>0</v>
      </c>
      <c r="D162" s="113">
        <v>0</v>
      </c>
      <c r="E162" s="113" t="s">
        <v>688</v>
      </c>
      <c r="F162" s="113" t="s">
        <v>688</v>
      </c>
      <c r="G162" s="113"/>
      <c r="H162" s="113"/>
      <c r="I162" s="113"/>
      <c r="J162" s="113"/>
      <c r="K162" s="113"/>
      <c r="N162" s="113" t="e">
        <f>MATCH(A162,Entrada!$A$53:$A$372,0)</f>
        <v>#N/A</v>
      </c>
      <c r="O162">
        <f>IF(NOT(ISNA($N162)),INDEX(Entrada!$C$53:$N$372,$N162,O$2),0)</f>
        <v>0</v>
      </c>
      <c r="P162">
        <f>IF(NOT(ISNA($N162)),INDEX(Entrada!$C$53:$N$372,$N162,P$2),0)</f>
        <v>0</v>
      </c>
      <c r="Q162">
        <f>IF(NOT(ISNA($N162)),INDEX(Entrada!$C$53:$N$372,$N162,Q$2),0)</f>
        <v>0</v>
      </c>
      <c r="R162">
        <f>IF(NOT(ISNA($N162)),INDEX(Entrada!$C$53:$N$372,$N162,R$2),0)</f>
        <v>0</v>
      </c>
      <c r="S162">
        <f>IF(NOT(ISNA($N162)),INDEX(Entrada!$C$53:$N$372,$N162,S$2),0)</f>
        <v>0</v>
      </c>
      <c r="T162">
        <f>IF(NOT(ISNA($N162)),INDEX(Entrada!$C$53:$N$372,$N162,T$2),0)</f>
        <v>0</v>
      </c>
      <c r="U162">
        <f>IF(NOT(ISNA($N162)),INDEX(Entrada!$C$53:$N$372,$N162,U$2),0)</f>
        <v>0</v>
      </c>
      <c r="V162" s="225">
        <f>IF(NOT(ISNA($N162)),INDEX(Entrada!$C$53:$N$372,$N162,V$2),0)</f>
        <v>0</v>
      </c>
      <c r="W162" s="225">
        <f>IF(NOT(ISNA($N162)),INDEX(Entrada!$C$53:$N$372,$N162,W$2),0)</f>
        <v>0</v>
      </c>
      <c r="X162" s="225">
        <f>IF(NOT(ISNA($N162)),INDEX(Entrada!$C$53:$N$372,$N162,X$2),0)</f>
        <v>0</v>
      </c>
      <c r="Y162" s="225">
        <f>IF(NOT(ISNA($N162)),INDEX(Entrada!$C$53:$N$372,$N162,Y$2),0)</f>
        <v>0</v>
      </c>
      <c r="Z162" s="225">
        <f>IF(NOT(ISNA($N162)),INDEX(Entrada!$C$53:$N$372,$N162,Z$2),0)</f>
        <v>0</v>
      </c>
      <c r="AA162" s="113">
        <f t="shared" si="48"/>
        <v>0</v>
      </c>
      <c r="AB162">
        <f t="shared" si="49"/>
        <v>0</v>
      </c>
      <c r="AC162">
        <f t="shared" si="50"/>
        <v>0</v>
      </c>
      <c r="AD162">
        <f t="shared" si="51"/>
        <v>0</v>
      </c>
      <c r="AE162">
        <f t="shared" si="52"/>
        <v>0</v>
      </c>
      <c r="AF162">
        <f t="shared" si="53"/>
        <v>0</v>
      </c>
      <c r="AG162">
        <f t="shared" si="54"/>
        <v>0</v>
      </c>
      <c r="AH162">
        <f t="shared" si="55"/>
        <v>0</v>
      </c>
      <c r="AI162">
        <f t="shared" si="56"/>
        <v>0</v>
      </c>
      <c r="AJ162">
        <f t="shared" si="57"/>
        <v>0</v>
      </c>
      <c r="AK162">
        <f t="shared" si="58"/>
        <v>0</v>
      </c>
      <c r="AL162">
        <f t="shared" si="59"/>
        <v>0</v>
      </c>
      <c r="AM162" s="113">
        <f t="shared" si="60"/>
        <v>0</v>
      </c>
      <c r="AN162">
        <f t="shared" si="61"/>
        <v>0</v>
      </c>
      <c r="AO162">
        <f t="shared" si="62"/>
        <v>0</v>
      </c>
      <c r="AP162">
        <f t="shared" si="63"/>
        <v>0</v>
      </c>
      <c r="AQ162">
        <f t="shared" si="64"/>
        <v>0</v>
      </c>
      <c r="AR162">
        <f t="shared" si="65"/>
        <v>0</v>
      </c>
      <c r="AS162">
        <f t="shared" si="66"/>
        <v>0</v>
      </c>
      <c r="AT162">
        <f t="shared" si="67"/>
        <v>0</v>
      </c>
      <c r="AU162">
        <f t="shared" si="68"/>
        <v>0</v>
      </c>
      <c r="AV162">
        <f t="shared" si="69"/>
        <v>0</v>
      </c>
      <c r="AW162">
        <f t="shared" si="70"/>
        <v>0</v>
      </c>
      <c r="AX162">
        <f t="shared" si="71"/>
        <v>0</v>
      </c>
    </row>
    <row r="163" spans="1:51" x14ac:dyDescent="0.25">
      <c r="A163" s="113">
        <v>160</v>
      </c>
      <c r="B163" s="209" t="s">
        <v>614</v>
      </c>
      <c r="C163" s="113">
        <v>1931</v>
      </c>
      <c r="D163" s="113">
        <v>2013</v>
      </c>
      <c r="E163" s="210" t="s">
        <v>9</v>
      </c>
      <c r="F163" s="210" t="s">
        <v>4</v>
      </c>
      <c r="G163" s="113"/>
      <c r="H163" s="113"/>
      <c r="I163" s="113"/>
      <c r="J163" s="113"/>
      <c r="K163" s="113"/>
      <c r="N163" s="113">
        <f>MATCH(A163,Entrada!$A$53:$A$372,0)</f>
        <v>104</v>
      </c>
      <c r="O163">
        <f>IF(NOT(ISNA($N163)),INDEX(Entrada!$C$53:$N$372,$N163,O$2),0)</f>
        <v>11</v>
      </c>
      <c r="P163">
        <f>IF(NOT(ISNA($N163)),INDEX(Entrada!$C$53:$N$372,$N163,P$2),0)</f>
        <v>11</v>
      </c>
      <c r="Q163">
        <f>IF(NOT(ISNA($N163)),INDEX(Entrada!$C$53:$N$372,$N163,Q$2),0)</f>
        <v>11</v>
      </c>
      <c r="R163">
        <f>IF(NOT(ISNA($N163)),INDEX(Entrada!$C$53:$N$372,$N163,R$2),0)</f>
        <v>9</v>
      </c>
      <c r="S163">
        <f>IF(NOT(ISNA($N163)),INDEX(Entrada!$C$53:$N$372,$N163,S$2),0)</f>
        <v>7</v>
      </c>
      <c r="T163">
        <f>IF(NOT(ISNA($N163)),INDEX(Entrada!$C$53:$N$372,$N163,T$2),0)</f>
        <v>6</v>
      </c>
      <c r="U163">
        <f>IF(NOT(ISNA($N163)),INDEX(Entrada!$C$53:$N$372,$N163,U$2),0)</f>
        <v>6</v>
      </c>
      <c r="V163" s="225">
        <f>IF(NOT(ISNA($N163)),INDEX(Entrada!$C$53:$N$372,$N163,V$2),0)</f>
        <v>5</v>
      </c>
      <c r="W163" s="225">
        <f>IF(NOT(ISNA($N163)),INDEX(Entrada!$C$53:$N$372,$N163,W$2),0)</f>
        <v>6</v>
      </c>
      <c r="X163" s="225">
        <f>IF(NOT(ISNA($N163)),INDEX(Entrada!$C$53:$N$372,$N163,X$2),0)</f>
        <v>7</v>
      </c>
      <c r="Y163" s="225">
        <f>IF(NOT(ISNA($N163)),INDEX(Entrada!$C$53:$N$372,$N163,Y$2),0)</f>
        <v>7</v>
      </c>
      <c r="Z163" s="225">
        <f>IF(NOT(ISNA($N163)),INDEX(Entrada!$C$53:$N$372,$N163,Z$2),0)</f>
        <v>9</v>
      </c>
      <c r="AA163" s="113">
        <f t="shared" si="48"/>
        <v>0</v>
      </c>
      <c r="AB163">
        <f t="shared" si="49"/>
        <v>0</v>
      </c>
      <c r="AC163">
        <f t="shared" si="50"/>
        <v>0</v>
      </c>
      <c r="AD163">
        <f t="shared" si="51"/>
        <v>0</v>
      </c>
      <c r="AE163">
        <f t="shared" si="52"/>
        <v>0</v>
      </c>
      <c r="AF163">
        <f t="shared" si="53"/>
        <v>0</v>
      </c>
      <c r="AG163">
        <f t="shared" si="54"/>
        <v>0</v>
      </c>
      <c r="AH163">
        <f t="shared" si="55"/>
        <v>0</v>
      </c>
      <c r="AI163">
        <f t="shared" si="56"/>
        <v>0</v>
      </c>
      <c r="AJ163">
        <f t="shared" si="57"/>
        <v>0</v>
      </c>
      <c r="AK163">
        <f t="shared" si="58"/>
        <v>0</v>
      </c>
      <c r="AL163">
        <f t="shared" si="59"/>
        <v>0</v>
      </c>
      <c r="AM163" s="113">
        <f t="shared" si="60"/>
        <v>11</v>
      </c>
      <c r="AN163">
        <f t="shared" si="61"/>
        <v>11</v>
      </c>
      <c r="AO163">
        <f t="shared" si="62"/>
        <v>11</v>
      </c>
      <c r="AP163">
        <f t="shared" si="63"/>
        <v>9</v>
      </c>
      <c r="AQ163">
        <f t="shared" si="64"/>
        <v>7</v>
      </c>
      <c r="AR163">
        <f t="shared" si="65"/>
        <v>6</v>
      </c>
      <c r="AS163">
        <f t="shared" si="66"/>
        <v>6</v>
      </c>
      <c r="AT163">
        <f t="shared" si="67"/>
        <v>5</v>
      </c>
      <c r="AU163">
        <f t="shared" si="68"/>
        <v>6</v>
      </c>
      <c r="AV163">
        <f t="shared" si="69"/>
        <v>7</v>
      </c>
      <c r="AW163">
        <f t="shared" si="70"/>
        <v>7</v>
      </c>
      <c r="AX163">
        <f t="shared" si="71"/>
        <v>9</v>
      </c>
    </row>
    <row r="164" spans="1:51" x14ac:dyDescent="0.25">
      <c r="A164" s="113">
        <v>161</v>
      </c>
      <c r="B164" s="209" t="s">
        <v>615</v>
      </c>
      <c r="C164" s="113">
        <v>1931</v>
      </c>
      <c r="D164" s="113">
        <v>2013</v>
      </c>
      <c r="E164" s="210" t="s">
        <v>9</v>
      </c>
      <c r="F164" s="210" t="s">
        <v>4</v>
      </c>
      <c r="G164" s="113">
        <v>160</v>
      </c>
      <c r="H164" s="113">
        <v>104</v>
      </c>
      <c r="I164" s="113"/>
      <c r="J164" s="113"/>
      <c r="K164" s="113"/>
      <c r="N164" s="113">
        <f>MATCH(A164,Entrada!$A$53:$A$372,0)</f>
        <v>105</v>
      </c>
      <c r="O164">
        <f>IF(NOT(ISNA($N164)),INDEX(Entrada!$C$53:$N$372,$N164,O$2),0)</f>
        <v>177</v>
      </c>
      <c r="P164">
        <f>IF(NOT(ISNA($N164)),INDEX(Entrada!$C$53:$N$372,$N164,P$2),0)</f>
        <v>185</v>
      </c>
      <c r="Q164">
        <f>IF(NOT(ISNA($N164)),INDEX(Entrada!$C$53:$N$372,$N164,Q$2),0)</f>
        <v>161</v>
      </c>
      <c r="R164">
        <f>IF(NOT(ISNA($N164)),INDEX(Entrada!$C$53:$N$372,$N164,R$2),0)</f>
        <v>108</v>
      </c>
      <c r="S164">
        <f>IF(NOT(ISNA($N164)),INDEX(Entrada!$C$53:$N$372,$N164,S$2),0)</f>
        <v>83</v>
      </c>
      <c r="T164">
        <f>IF(NOT(ISNA($N164)),INDEX(Entrada!$C$53:$N$372,$N164,T$2),0)</f>
        <v>77</v>
      </c>
      <c r="U164">
        <f>IF(NOT(ISNA($N164)),INDEX(Entrada!$C$53:$N$372,$N164,U$2),0)</f>
        <v>65</v>
      </c>
      <c r="V164" s="225">
        <f>IF(NOT(ISNA($N164)),INDEX(Entrada!$C$53:$N$372,$N164,V$2),0)</f>
        <v>55</v>
      </c>
      <c r="W164" s="225">
        <f>IF(NOT(ISNA($N164)),INDEX(Entrada!$C$53:$N$372,$N164,W$2),0)</f>
        <v>70</v>
      </c>
      <c r="X164" s="225">
        <f>IF(NOT(ISNA($N164)),INDEX(Entrada!$C$53:$N$372,$N164,X$2),0)</f>
        <v>91</v>
      </c>
      <c r="Y164" s="225">
        <f>IF(NOT(ISNA($N164)),INDEX(Entrada!$C$53:$N$372,$N164,Y$2),0)</f>
        <v>98</v>
      </c>
      <c r="Z164" s="225">
        <f>IF(NOT(ISNA($N164)),INDEX(Entrada!$C$53:$N$372,$N164,Z$2),0)</f>
        <v>130</v>
      </c>
      <c r="AA164" s="113">
        <f t="shared" si="48"/>
        <v>56</v>
      </c>
      <c r="AB164">
        <f t="shared" si="49"/>
        <v>57</v>
      </c>
      <c r="AC164">
        <f t="shared" si="50"/>
        <v>52</v>
      </c>
      <c r="AD164">
        <f t="shared" si="51"/>
        <v>38</v>
      </c>
      <c r="AE164">
        <f t="shared" si="52"/>
        <v>29</v>
      </c>
      <c r="AF164">
        <f t="shared" si="53"/>
        <v>27</v>
      </c>
      <c r="AG164">
        <f t="shared" si="54"/>
        <v>24</v>
      </c>
      <c r="AH164">
        <f t="shared" si="55"/>
        <v>21</v>
      </c>
      <c r="AI164">
        <f t="shared" si="56"/>
        <v>27</v>
      </c>
      <c r="AJ164">
        <f t="shared" si="57"/>
        <v>34</v>
      </c>
      <c r="AK164">
        <f t="shared" si="58"/>
        <v>33</v>
      </c>
      <c r="AL164">
        <f t="shared" si="59"/>
        <v>44</v>
      </c>
      <c r="AM164" s="113">
        <f t="shared" si="60"/>
        <v>121</v>
      </c>
      <c r="AN164">
        <f t="shared" si="61"/>
        <v>128</v>
      </c>
      <c r="AO164">
        <f t="shared" si="62"/>
        <v>109</v>
      </c>
      <c r="AP164">
        <f t="shared" si="63"/>
        <v>70</v>
      </c>
      <c r="AQ164">
        <f t="shared" si="64"/>
        <v>54</v>
      </c>
      <c r="AR164">
        <f t="shared" si="65"/>
        <v>50</v>
      </c>
      <c r="AS164">
        <f t="shared" si="66"/>
        <v>41</v>
      </c>
      <c r="AT164">
        <f t="shared" si="67"/>
        <v>34</v>
      </c>
      <c r="AU164">
        <f t="shared" si="68"/>
        <v>43</v>
      </c>
      <c r="AV164">
        <f t="shared" si="69"/>
        <v>57</v>
      </c>
      <c r="AW164">
        <f t="shared" si="70"/>
        <v>65</v>
      </c>
      <c r="AX164">
        <f t="shared" si="71"/>
        <v>86</v>
      </c>
    </row>
    <row r="165" spans="1:51" x14ac:dyDescent="0.25">
      <c r="A165" s="113">
        <v>162</v>
      </c>
      <c r="B165" s="209"/>
      <c r="C165" s="113">
        <v>0</v>
      </c>
      <c r="D165" s="113">
        <v>0</v>
      </c>
      <c r="E165" s="113" t="s">
        <v>688</v>
      </c>
      <c r="F165" s="113" t="s">
        <v>688</v>
      </c>
      <c r="G165" s="113"/>
      <c r="H165" s="113"/>
      <c r="I165" s="113"/>
      <c r="J165" s="113"/>
      <c r="K165" s="113"/>
      <c r="N165" s="113" t="e">
        <f>MATCH(A165,Entrada!$A$53:$A$372,0)</f>
        <v>#N/A</v>
      </c>
      <c r="O165">
        <f>IF(NOT(ISNA($N165)),INDEX(Entrada!$C$53:$N$372,$N165,O$2),0)</f>
        <v>0</v>
      </c>
      <c r="P165">
        <f>IF(NOT(ISNA($N165)),INDEX(Entrada!$C$53:$N$372,$N165,P$2),0)</f>
        <v>0</v>
      </c>
      <c r="Q165">
        <f>IF(NOT(ISNA($N165)),INDEX(Entrada!$C$53:$N$372,$N165,Q$2),0)</f>
        <v>0</v>
      </c>
      <c r="R165">
        <f>IF(NOT(ISNA($N165)),INDEX(Entrada!$C$53:$N$372,$N165,R$2),0)</f>
        <v>0</v>
      </c>
      <c r="S165">
        <f>IF(NOT(ISNA($N165)),INDEX(Entrada!$C$53:$N$372,$N165,S$2),0)</f>
        <v>0</v>
      </c>
      <c r="T165">
        <f>IF(NOT(ISNA($N165)),INDEX(Entrada!$C$53:$N$372,$N165,T$2),0)</f>
        <v>0</v>
      </c>
      <c r="U165">
        <f>IF(NOT(ISNA($N165)),INDEX(Entrada!$C$53:$N$372,$N165,U$2),0)</f>
        <v>0</v>
      </c>
      <c r="V165" s="225">
        <f>IF(NOT(ISNA($N165)),INDEX(Entrada!$C$53:$N$372,$N165,V$2),0)</f>
        <v>0</v>
      </c>
      <c r="W165" s="225">
        <f>IF(NOT(ISNA($N165)),INDEX(Entrada!$C$53:$N$372,$N165,W$2),0)</f>
        <v>0</v>
      </c>
      <c r="X165" s="225">
        <f>IF(NOT(ISNA($N165)),INDEX(Entrada!$C$53:$N$372,$N165,X$2),0)</f>
        <v>0</v>
      </c>
      <c r="Y165" s="225">
        <f>IF(NOT(ISNA($N165)),INDEX(Entrada!$C$53:$N$372,$N165,Y$2),0)</f>
        <v>0</v>
      </c>
      <c r="Z165" s="225">
        <f>IF(NOT(ISNA($N165)),INDEX(Entrada!$C$53:$N$372,$N165,Z$2),0)</f>
        <v>0</v>
      </c>
      <c r="AA165" s="113">
        <f t="shared" si="48"/>
        <v>0</v>
      </c>
      <c r="AB165">
        <f t="shared" si="49"/>
        <v>0</v>
      </c>
      <c r="AC165">
        <f t="shared" si="50"/>
        <v>0</v>
      </c>
      <c r="AD165">
        <f t="shared" si="51"/>
        <v>0</v>
      </c>
      <c r="AE165">
        <f t="shared" si="52"/>
        <v>0</v>
      </c>
      <c r="AF165">
        <f t="shared" si="53"/>
        <v>0</v>
      </c>
      <c r="AG165">
        <f t="shared" si="54"/>
        <v>0</v>
      </c>
      <c r="AH165">
        <f t="shared" si="55"/>
        <v>0</v>
      </c>
      <c r="AI165">
        <f t="shared" si="56"/>
        <v>0</v>
      </c>
      <c r="AJ165">
        <f t="shared" si="57"/>
        <v>0</v>
      </c>
      <c r="AK165">
        <f t="shared" si="58"/>
        <v>0</v>
      </c>
      <c r="AL165">
        <f t="shared" si="59"/>
        <v>0</v>
      </c>
      <c r="AM165" s="113">
        <f t="shared" si="60"/>
        <v>0</v>
      </c>
      <c r="AN165">
        <f t="shared" si="61"/>
        <v>0</v>
      </c>
      <c r="AO165">
        <f t="shared" si="62"/>
        <v>0</v>
      </c>
      <c r="AP165">
        <f t="shared" si="63"/>
        <v>0</v>
      </c>
      <c r="AQ165">
        <f t="shared" si="64"/>
        <v>0</v>
      </c>
      <c r="AR165">
        <f t="shared" si="65"/>
        <v>0</v>
      </c>
      <c r="AS165">
        <f t="shared" si="66"/>
        <v>0</v>
      </c>
      <c r="AT165">
        <f t="shared" si="67"/>
        <v>0</v>
      </c>
      <c r="AU165">
        <f t="shared" si="68"/>
        <v>0</v>
      </c>
      <c r="AV165">
        <f t="shared" si="69"/>
        <v>0</v>
      </c>
      <c r="AW165">
        <f t="shared" si="70"/>
        <v>0</v>
      </c>
      <c r="AX165">
        <f t="shared" si="71"/>
        <v>0</v>
      </c>
    </row>
    <row r="166" spans="1:51" x14ac:dyDescent="0.25">
      <c r="A166" s="113">
        <v>163</v>
      </c>
      <c r="B166" s="209"/>
      <c r="C166" s="113">
        <v>0</v>
      </c>
      <c r="D166" s="113">
        <v>0</v>
      </c>
      <c r="E166" s="113" t="s">
        <v>688</v>
      </c>
      <c r="F166" s="113" t="s">
        <v>688</v>
      </c>
      <c r="G166" s="113"/>
      <c r="H166" s="113"/>
      <c r="I166" s="113"/>
      <c r="J166" s="113"/>
      <c r="K166" s="113"/>
      <c r="N166" s="113" t="e">
        <f>MATCH(A166,Entrada!$A$53:$A$372,0)</f>
        <v>#N/A</v>
      </c>
      <c r="O166">
        <f>IF(NOT(ISNA($N166)),INDEX(Entrada!$C$53:$N$372,$N166,O$2),0)</f>
        <v>0</v>
      </c>
      <c r="P166">
        <f>IF(NOT(ISNA($N166)),INDEX(Entrada!$C$53:$N$372,$N166,P$2),0)</f>
        <v>0</v>
      </c>
      <c r="Q166">
        <f>IF(NOT(ISNA($N166)),INDEX(Entrada!$C$53:$N$372,$N166,Q$2),0)</f>
        <v>0</v>
      </c>
      <c r="R166">
        <f>IF(NOT(ISNA($N166)),INDEX(Entrada!$C$53:$N$372,$N166,R$2),0)</f>
        <v>0</v>
      </c>
      <c r="S166">
        <f>IF(NOT(ISNA($N166)),INDEX(Entrada!$C$53:$N$372,$N166,S$2),0)</f>
        <v>0</v>
      </c>
      <c r="T166">
        <f>IF(NOT(ISNA($N166)),INDEX(Entrada!$C$53:$N$372,$N166,T$2),0)</f>
        <v>0</v>
      </c>
      <c r="U166">
        <f>IF(NOT(ISNA($N166)),INDEX(Entrada!$C$53:$N$372,$N166,U$2),0)</f>
        <v>0</v>
      </c>
      <c r="V166" s="225">
        <f>IF(NOT(ISNA($N166)),INDEX(Entrada!$C$53:$N$372,$N166,V$2),0)</f>
        <v>0</v>
      </c>
      <c r="W166" s="225">
        <f>IF(NOT(ISNA($N166)),INDEX(Entrada!$C$53:$N$372,$N166,W$2),0)</f>
        <v>0</v>
      </c>
      <c r="X166" s="225">
        <f>IF(NOT(ISNA($N166)),INDEX(Entrada!$C$53:$N$372,$N166,X$2),0)</f>
        <v>0</v>
      </c>
      <c r="Y166" s="225">
        <f>IF(NOT(ISNA($N166)),INDEX(Entrada!$C$53:$N$372,$N166,Y$2),0)</f>
        <v>0</v>
      </c>
      <c r="Z166" s="225">
        <f>IF(NOT(ISNA($N166)),INDEX(Entrada!$C$53:$N$372,$N166,Z$2),0)</f>
        <v>0</v>
      </c>
      <c r="AA166" s="113">
        <f t="shared" si="48"/>
        <v>0</v>
      </c>
      <c r="AB166">
        <f t="shared" si="49"/>
        <v>0</v>
      </c>
      <c r="AC166">
        <f t="shared" si="50"/>
        <v>0</v>
      </c>
      <c r="AD166">
        <f t="shared" si="51"/>
        <v>0</v>
      </c>
      <c r="AE166">
        <f t="shared" si="52"/>
        <v>0</v>
      </c>
      <c r="AF166">
        <f t="shared" si="53"/>
        <v>0</v>
      </c>
      <c r="AG166">
        <f t="shared" si="54"/>
        <v>0</v>
      </c>
      <c r="AH166">
        <f t="shared" si="55"/>
        <v>0</v>
      </c>
      <c r="AI166">
        <f t="shared" si="56"/>
        <v>0</v>
      </c>
      <c r="AJ166">
        <f t="shared" si="57"/>
        <v>0</v>
      </c>
      <c r="AK166">
        <f t="shared" si="58"/>
        <v>0</v>
      </c>
      <c r="AL166">
        <f t="shared" si="59"/>
        <v>0</v>
      </c>
      <c r="AM166" s="113">
        <f t="shared" si="60"/>
        <v>0</v>
      </c>
      <c r="AN166">
        <f t="shared" si="61"/>
        <v>0</v>
      </c>
      <c r="AO166">
        <f t="shared" si="62"/>
        <v>0</v>
      </c>
      <c r="AP166">
        <f t="shared" si="63"/>
        <v>0</v>
      </c>
      <c r="AQ166">
        <f t="shared" si="64"/>
        <v>0</v>
      </c>
      <c r="AR166">
        <f t="shared" si="65"/>
        <v>0</v>
      </c>
      <c r="AS166">
        <f t="shared" si="66"/>
        <v>0</v>
      </c>
      <c r="AT166">
        <f t="shared" si="67"/>
        <v>0</v>
      </c>
      <c r="AU166">
        <f t="shared" si="68"/>
        <v>0</v>
      </c>
      <c r="AV166">
        <f t="shared" si="69"/>
        <v>0</v>
      </c>
      <c r="AW166">
        <f t="shared" si="70"/>
        <v>0</v>
      </c>
      <c r="AX166">
        <f t="shared" si="71"/>
        <v>0</v>
      </c>
    </row>
    <row r="167" spans="1:51" x14ac:dyDescent="0.25">
      <c r="A167" s="113">
        <v>164</v>
      </c>
      <c r="B167" s="209" t="s">
        <v>615</v>
      </c>
      <c r="C167" s="113">
        <v>1931</v>
      </c>
      <c r="D167" s="113">
        <v>2013</v>
      </c>
      <c r="E167" s="212" t="s">
        <v>9</v>
      </c>
      <c r="F167" s="213" t="s">
        <v>4</v>
      </c>
      <c r="G167" s="113"/>
      <c r="H167" s="113"/>
      <c r="I167" s="113"/>
      <c r="J167" s="113"/>
      <c r="K167" s="113"/>
      <c r="N167" s="113">
        <f>MATCH(A167,Entrada!$A$53:$A$372,0)</f>
        <v>106</v>
      </c>
      <c r="O167">
        <f>IF(NOT(ISNA($N167)),INDEX(Entrada!$C$53:$N$372,$N167,O$2),0)</f>
        <v>132</v>
      </c>
      <c r="P167">
        <f>IF(NOT(ISNA($N167)),INDEX(Entrada!$C$53:$N$372,$N167,P$2),0)</f>
        <v>139</v>
      </c>
      <c r="Q167">
        <f>IF(NOT(ISNA($N167)),INDEX(Entrada!$C$53:$N$372,$N167,Q$2),0)</f>
        <v>120</v>
      </c>
      <c r="R167">
        <f>IF(NOT(ISNA($N167)),INDEX(Entrada!$C$53:$N$372,$N167,R$2),0)</f>
        <v>78</v>
      </c>
      <c r="S167">
        <f>IF(NOT(ISNA($N167)),INDEX(Entrada!$C$53:$N$372,$N167,S$2),0)</f>
        <v>61</v>
      </c>
      <c r="T167">
        <f>IF(NOT(ISNA($N167)),INDEX(Entrada!$C$53:$N$372,$N167,T$2),0)</f>
        <v>57</v>
      </c>
      <c r="U167" s="219">
        <f>IF(NOT(ISNA($N167)),INDEX(Entrada!$C$53:$N$372,$N167,U$2),0)</f>
        <v>47</v>
      </c>
      <c r="V167" s="225">
        <f>IF(NOT(ISNA($N167)),INDEX(Entrada!$C$53:$N$372,$N167,V$2),0)</f>
        <v>39</v>
      </c>
      <c r="W167" s="225">
        <f>IF(NOT(ISNA($N167)),INDEX(Entrada!$C$53:$N$372,$N167,W$2),0)</f>
        <v>49</v>
      </c>
      <c r="X167" s="225">
        <f>IF(NOT(ISNA($N167)),INDEX(Entrada!$C$53:$N$372,$N167,X$2),0)</f>
        <v>64</v>
      </c>
      <c r="Y167" s="225">
        <f>IF(NOT(ISNA($N167)),INDEX(Entrada!$C$53:$N$372,$N167,Y$2),0)</f>
        <v>71</v>
      </c>
      <c r="Z167" s="225">
        <f>IF(NOT(ISNA($N167)),INDEX(Entrada!$C$53:$N$372,$N167,Z$2),0)</f>
        <v>95</v>
      </c>
      <c r="AA167" s="113">
        <f t="shared" si="48"/>
        <v>0</v>
      </c>
      <c r="AB167">
        <f t="shared" si="49"/>
        <v>0</v>
      </c>
      <c r="AC167">
        <f t="shared" si="50"/>
        <v>0</v>
      </c>
      <c r="AD167">
        <f t="shared" si="51"/>
        <v>0</v>
      </c>
      <c r="AE167">
        <f t="shared" si="52"/>
        <v>0</v>
      </c>
      <c r="AF167">
        <f t="shared" si="53"/>
        <v>0</v>
      </c>
      <c r="AG167">
        <f t="shared" si="54"/>
        <v>0</v>
      </c>
      <c r="AH167">
        <f t="shared" si="55"/>
        <v>0</v>
      </c>
      <c r="AI167">
        <f t="shared" si="56"/>
        <v>0</v>
      </c>
      <c r="AJ167">
        <f t="shared" si="57"/>
        <v>0</v>
      </c>
      <c r="AK167">
        <f t="shared" si="58"/>
        <v>0</v>
      </c>
      <c r="AL167">
        <f t="shared" si="59"/>
        <v>0</v>
      </c>
      <c r="AM167" s="219">
        <f t="shared" si="60"/>
        <v>132</v>
      </c>
      <c r="AN167">
        <f t="shared" si="61"/>
        <v>139</v>
      </c>
      <c r="AO167">
        <f t="shared" si="62"/>
        <v>120</v>
      </c>
      <c r="AP167">
        <f t="shared" si="63"/>
        <v>78</v>
      </c>
      <c r="AQ167">
        <f t="shared" si="64"/>
        <v>61</v>
      </c>
      <c r="AR167">
        <f t="shared" si="65"/>
        <v>57</v>
      </c>
      <c r="AS167">
        <f t="shared" si="66"/>
        <v>47</v>
      </c>
      <c r="AT167">
        <f t="shared" si="67"/>
        <v>39</v>
      </c>
      <c r="AU167">
        <f t="shared" si="68"/>
        <v>49</v>
      </c>
      <c r="AV167">
        <f t="shared" si="69"/>
        <v>64</v>
      </c>
      <c r="AW167">
        <f t="shared" si="70"/>
        <v>71</v>
      </c>
      <c r="AX167">
        <f t="shared" si="71"/>
        <v>95</v>
      </c>
      <c r="AY167" s="219">
        <f>AY164-AY120-AY121</f>
        <v>0</v>
      </c>
    </row>
    <row r="168" spans="1:51" x14ac:dyDescent="0.25">
      <c r="A168" s="113">
        <v>165</v>
      </c>
      <c r="B168" s="209"/>
      <c r="C168" s="113">
        <v>0</v>
      </c>
      <c r="D168" s="113">
        <v>0</v>
      </c>
      <c r="E168" s="113" t="s">
        <v>688</v>
      </c>
      <c r="F168" s="113" t="s">
        <v>688</v>
      </c>
      <c r="G168" s="113"/>
      <c r="H168" s="113"/>
      <c r="I168" s="113"/>
      <c r="J168" s="113"/>
      <c r="K168" s="113"/>
      <c r="N168" s="113" t="e">
        <f>MATCH(A168,Entrada!$A$53:$A$372,0)</f>
        <v>#N/A</v>
      </c>
      <c r="O168">
        <f>IF(NOT(ISNA($N168)),INDEX(Entrada!$C$53:$N$372,$N168,O$2),0)</f>
        <v>0</v>
      </c>
      <c r="P168">
        <f>IF(NOT(ISNA($N168)),INDEX(Entrada!$C$53:$N$372,$N168,P$2),0)</f>
        <v>0</v>
      </c>
      <c r="Q168">
        <f>IF(NOT(ISNA($N168)),INDEX(Entrada!$C$53:$N$372,$N168,Q$2),0)</f>
        <v>0</v>
      </c>
      <c r="R168">
        <f>IF(NOT(ISNA($N168)),INDEX(Entrada!$C$53:$N$372,$N168,R$2),0)</f>
        <v>0</v>
      </c>
      <c r="S168">
        <f>IF(NOT(ISNA($N168)),INDEX(Entrada!$C$53:$N$372,$N168,S$2),0)</f>
        <v>0</v>
      </c>
      <c r="T168">
        <f>IF(NOT(ISNA($N168)),INDEX(Entrada!$C$53:$N$372,$N168,T$2),0)</f>
        <v>0</v>
      </c>
      <c r="U168">
        <f>IF(NOT(ISNA($N168)),INDEX(Entrada!$C$53:$N$372,$N168,U$2),0)</f>
        <v>0</v>
      </c>
      <c r="V168" s="225">
        <f>IF(NOT(ISNA($N168)),INDEX(Entrada!$C$53:$N$372,$N168,V$2),0)</f>
        <v>0</v>
      </c>
      <c r="W168" s="225">
        <f>IF(NOT(ISNA($N168)),INDEX(Entrada!$C$53:$N$372,$N168,W$2),0)</f>
        <v>0</v>
      </c>
      <c r="X168" s="225">
        <f>IF(NOT(ISNA($N168)),INDEX(Entrada!$C$53:$N$372,$N168,X$2),0)</f>
        <v>0</v>
      </c>
      <c r="Y168" s="225">
        <f>IF(NOT(ISNA($N168)),INDEX(Entrada!$C$53:$N$372,$N168,Y$2),0)</f>
        <v>0</v>
      </c>
      <c r="Z168" s="225">
        <f>IF(NOT(ISNA($N168)),INDEX(Entrada!$C$53:$N$372,$N168,Z$2),0)</f>
        <v>0</v>
      </c>
      <c r="AA168" s="113">
        <f t="shared" si="48"/>
        <v>0</v>
      </c>
      <c r="AB168">
        <f t="shared" si="49"/>
        <v>0</v>
      </c>
      <c r="AC168">
        <f t="shared" si="50"/>
        <v>0</v>
      </c>
      <c r="AD168">
        <f t="shared" si="51"/>
        <v>0</v>
      </c>
      <c r="AE168">
        <f t="shared" si="52"/>
        <v>0</v>
      </c>
      <c r="AF168">
        <f t="shared" si="53"/>
        <v>0</v>
      </c>
      <c r="AG168">
        <f t="shared" si="54"/>
        <v>0</v>
      </c>
      <c r="AH168">
        <f t="shared" si="55"/>
        <v>0</v>
      </c>
      <c r="AI168">
        <f t="shared" si="56"/>
        <v>0</v>
      </c>
      <c r="AJ168">
        <f t="shared" si="57"/>
        <v>0</v>
      </c>
      <c r="AK168">
        <f t="shared" si="58"/>
        <v>0</v>
      </c>
      <c r="AL168">
        <f t="shared" si="59"/>
        <v>0</v>
      </c>
      <c r="AM168" s="113">
        <f t="shared" si="60"/>
        <v>0</v>
      </c>
      <c r="AN168">
        <f t="shared" si="61"/>
        <v>0</v>
      </c>
      <c r="AO168">
        <f t="shared" si="62"/>
        <v>0</v>
      </c>
      <c r="AP168">
        <f t="shared" si="63"/>
        <v>0</v>
      </c>
      <c r="AQ168">
        <f t="shared" si="64"/>
        <v>0</v>
      </c>
      <c r="AR168">
        <f t="shared" si="65"/>
        <v>0</v>
      </c>
      <c r="AS168">
        <f t="shared" si="66"/>
        <v>0</v>
      </c>
      <c r="AT168">
        <f t="shared" si="67"/>
        <v>0</v>
      </c>
      <c r="AU168">
        <f t="shared" si="68"/>
        <v>0</v>
      </c>
      <c r="AV168">
        <f t="shared" si="69"/>
        <v>0</v>
      </c>
      <c r="AW168">
        <f t="shared" si="70"/>
        <v>0</v>
      </c>
      <c r="AX168">
        <f t="shared" si="71"/>
        <v>0</v>
      </c>
    </row>
    <row r="169" spans="1:51" x14ac:dyDescent="0.25">
      <c r="A169" s="113">
        <v>166</v>
      </c>
      <c r="B169" s="209"/>
      <c r="C169" s="113">
        <v>0</v>
      </c>
      <c r="D169" s="113">
        <v>0</v>
      </c>
      <c r="E169" s="113" t="s">
        <v>688</v>
      </c>
      <c r="F169" s="113" t="s">
        <v>688</v>
      </c>
      <c r="G169" s="113"/>
      <c r="H169" s="113"/>
      <c r="I169" s="113"/>
      <c r="J169" s="113"/>
      <c r="K169" s="113"/>
      <c r="N169" s="113" t="e">
        <f>MATCH(A169,Entrada!$A$53:$A$372,0)</f>
        <v>#N/A</v>
      </c>
      <c r="O169">
        <f>IF(NOT(ISNA($N169)),INDEX(Entrada!$C$53:$N$372,$N169,O$2),0)</f>
        <v>0</v>
      </c>
      <c r="P169">
        <f>IF(NOT(ISNA($N169)),INDEX(Entrada!$C$53:$N$372,$N169,P$2),0)</f>
        <v>0</v>
      </c>
      <c r="Q169">
        <f>IF(NOT(ISNA($N169)),INDEX(Entrada!$C$53:$N$372,$N169,Q$2),0)</f>
        <v>0</v>
      </c>
      <c r="R169">
        <f>IF(NOT(ISNA($N169)),INDEX(Entrada!$C$53:$N$372,$N169,R$2),0)</f>
        <v>0</v>
      </c>
      <c r="S169">
        <f>IF(NOT(ISNA($N169)),INDEX(Entrada!$C$53:$N$372,$N169,S$2),0)</f>
        <v>0</v>
      </c>
      <c r="T169">
        <f>IF(NOT(ISNA($N169)),INDEX(Entrada!$C$53:$N$372,$N169,T$2),0)</f>
        <v>0</v>
      </c>
      <c r="U169">
        <f>IF(NOT(ISNA($N169)),INDEX(Entrada!$C$53:$N$372,$N169,U$2),0)</f>
        <v>0</v>
      </c>
      <c r="V169" s="225">
        <f>IF(NOT(ISNA($N169)),INDEX(Entrada!$C$53:$N$372,$N169,V$2),0)</f>
        <v>0</v>
      </c>
      <c r="W169" s="225">
        <f>IF(NOT(ISNA($N169)),INDEX(Entrada!$C$53:$N$372,$N169,W$2),0)</f>
        <v>0</v>
      </c>
      <c r="X169" s="225">
        <f>IF(NOT(ISNA($N169)),INDEX(Entrada!$C$53:$N$372,$N169,X$2),0)</f>
        <v>0</v>
      </c>
      <c r="Y169" s="225">
        <f>IF(NOT(ISNA($N169)),INDEX(Entrada!$C$53:$N$372,$N169,Y$2),0)</f>
        <v>0</v>
      </c>
      <c r="Z169" s="225">
        <f>IF(NOT(ISNA($N169)),INDEX(Entrada!$C$53:$N$372,$N169,Z$2),0)</f>
        <v>0</v>
      </c>
      <c r="AA169" s="113">
        <f t="shared" si="48"/>
        <v>0</v>
      </c>
      <c r="AB169">
        <f t="shared" si="49"/>
        <v>0</v>
      </c>
      <c r="AC169">
        <f t="shared" si="50"/>
        <v>0</v>
      </c>
      <c r="AD169">
        <f t="shared" si="51"/>
        <v>0</v>
      </c>
      <c r="AE169">
        <f t="shared" si="52"/>
        <v>0</v>
      </c>
      <c r="AF169">
        <f t="shared" si="53"/>
        <v>0</v>
      </c>
      <c r="AG169">
        <f t="shared" si="54"/>
        <v>0</v>
      </c>
      <c r="AH169">
        <f t="shared" si="55"/>
        <v>0</v>
      </c>
      <c r="AI169">
        <f t="shared" si="56"/>
        <v>0</v>
      </c>
      <c r="AJ169">
        <f t="shared" si="57"/>
        <v>0</v>
      </c>
      <c r="AK169">
        <f t="shared" si="58"/>
        <v>0</v>
      </c>
      <c r="AL169">
        <f t="shared" si="59"/>
        <v>0</v>
      </c>
      <c r="AM169" s="113">
        <f t="shared" si="60"/>
        <v>0</v>
      </c>
      <c r="AN169">
        <f t="shared" si="61"/>
        <v>0</v>
      </c>
      <c r="AO169">
        <f t="shared" si="62"/>
        <v>0</v>
      </c>
      <c r="AP169">
        <f t="shared" si="63"/>
        <v>0</v>
      </c>
      <c r="AQ169">
        <f t="shared" si="64"/>
        <v>0</v>
      </c>
      <c r="AR169">
        <f t="shared" si="65"/>
        <v>0</v>
      </c>
      <c r="AS169">
        <f t="shared" si="66"/>
        <v>0</v>
      </c>
      <c r="AT169">
        <f t="shared" si="67"/>
        <v>0</v>
      </c>
      <c r="AU169">
        <f t="shared" si="68"/>
        <v>0</v>
      </c>
      <c r="AV169">
        <f t="shared" si="69"/>
        <v>0</v>
      </c>
      <c r="AW169">
        <f t="shared" si="70"/>
        <v>0</v>
      </c>
      <c r="AX169">
        <f t="shared" si="71"/>
        <v>0</v>
      </c>
    </row>
    <row r="170" spans="1:51" x14ac:dyDescent="0.25">
      <c r="A170" s="113">
        <v>167</v>
      </c>
      <c r="B170" s="209"/>
      <c r="C170" s="113">
        <v>0</v>
      </c>
      <c r="D170" s="113">
        <v>0</v>
      </c>
      <c r="E170" s="113" t="s">
        <v>688</v>
      </c>
      <c r="F170" s="113" t="s">
        <v>688</v>
      </c>
      <c r="G170" s="113"/>
      <c r="H170" s="113"/>
      <c r="I170" s="113"/>
      <c r="J170" s="113"/>
      <c r="K170" s="113"/>
      <c r="N170" s="113" t="e">
        <f>MATCH(A170,Entrada!$A$53:$A$372,0)</f>
        <v>#N/A</v>
      </c>
      <c r="O170">
        <f>IF(NOT(ISNA($N170)),INDEX(Entrada!$C$53:$N$372,$N170,O$2),0)</f>
        <v>0</v>
      </c>
      <c r="P170">
        <f>IF(NOT(ISNA($N170)),INDEX(Entrada!$C$53:$N$372,$N170,P$2),0)</f>
        <v>0</v>
      </c>
      <c r="Q170">
        <f>IF(NOT(ISNA($N170)),INDEX(Entrada!$C$53:$N$372,$N170,Q$2),0)</f>
        <v>0</v>
      </c>
      <c r="R170">
        <f>IF(NOT(ISNA($N170)),INDEX(Entrada!$C$53:$N$372,$N170,R$2),0)</f>
        <v>0</v>
      </c>
      <c r="S170">
        <f>IF(NOT(ISNA($N170)),INDEX(Entrada!$C$53:$N$372,$N170,S$2),0)</f>
        <v>0</v>
      </c>
      <c r="T170">
        <f>IF(NOT(ISNA($N170)),INDEX(Entrada!$C$53:$N$372,$N170,T$2),0)</f>
        <v>0</v>
      </c>
      <c r="U170">
        <f>IF(NOT(ISNA($N170)),INDEX(Entrada!$C$53:$N$372,$N170,U$2),0)</f>
        <v>0</v>
      </c>
      <c r="V170" s="225">
        <f>IF(NOT(ISNA($N170)),INDEX(Entrada!$C$53:$N$372,$N170,V$2),0)</f>
        <v>0</v>
      </c>
      <c r="W170" s="225">
        <f>IF(NOT(ISNA($N170)),INDEX(Entrada!$C$53:$N$372,$N170,W$2),0)</f>
        <v>0</v>
      </c>
      <c r="X170" s="225">
        <f>IF(NOT(ISNA($N170)),INDEX(Entrada!$C$53:$N$372,$N170,X$2),0)</f>
        <v>0</v>
      </c>
      <c r="Y170" s="225">
        <f>IF(NOT(ISNA($N170)),INDEX(Entrada!$C$53:$N$372,$N170,Y$2),0)</f>
        <v>0</v>
      </c>
      <c r="Z170" s="225">
        <f>IF(NOT(ISNA($N170)),INDEX(Entrada!$C$53:$N$372,$N170,Z$2),0)</f>
        <v>0</v>
      </c>
      <c r="AA170" s="113">
        <f t="shared" si="48"/>
        <v>0</v>
      </c>
      <c r="AB170">
        <f t="shared" si="49"/>
        <v>0</v>
      </c>
      <c r="AC170">
        <f t="shared" si="50"/>
        <v>0</v>
      </c>
      <c r="AD170">
        <f t="shared" si="51"/>
        <v>0</v>
      </c>
      <c r="AE170">
        <f t="shared" si="52"/>
        <v>0</v>
      </c>
      <c r="AF170">
        <f t="shared" si="53"/>
        <v>0</v>
      </c>
      <c r="AG170">
        <f t="shared" si="54"/>
        <v>0</v>
      </c>
      <c r="AH170">
        <f t="shared" si="55"/>
        <v>0</v>
      </c>
      <c r="AI170">
        <f t="shared" si="56"/>
        <v>0</v>
      </c>
      <c r="AJ170">
        <f t="shared" si="57"/>
        <v>0</v>
      </c>
      <c r="AK170">
        <f t="shared" si="58"/>
        <v>0</v>
      </c>
      <c r="AL170">
        <f t="shared" si="59"/>
        <v>0</v>
      </c>
      <c r="AM170" s="113">
        <f t="shared" si="60"/>
        <v>0</v>
      </c>
      <c r="AN170">
        <f t="shared" si="61"/>
        <v>0</v>
      </c>
      <c r="AO170">
        <f t="shared" si="62"/>
        <v>0</v>
      </c>
      <c r="AP170">
        <f t="shared" si="63"/>
        <v>0</v>
      </c>
      <c r="AQ170">
        <f t="shared" si="64"/>
        <v>0</v>
      </c>
      <c r="AR170">
        <f t="shared" si="65"/>
        <v>0</v>
      </c>
      <c r="AS170">
        <f t="shared" si="66"/>
        <v>0</v>
      </c>
      <c r="AT170">
        <f t="shared" si="67"/>
        <v>0</v>
      </c>
      <c r="AU170">
        <f t="shared" si="68"/>
        <v>0</v>
      </c>
      <c r="AV170">
        <f t="shared" si="69"/>
        <v>0</v>
      </c>
      <c r="AW170">
        <f t="shared" si="70"/>
        <v>0</v>
      </c>
      <c r="AX170">
        <f t="shared" si="71"/>
        <v>0</v>
      </c>
    </row>
    <row r="171" spans="1:51" x14ac:dyDescent="0.25">
      <c r="A171" s="113">
        <v>168</v>
      </c>
      <c r="B171" s="209" t="s">
        <v>616</v>
      </c>
      <c r="C171" s="113">
        <v>1931</v>
      </c>
      <c r="D171" s="113">
        <v>2013</v>
      </c>
      <c r="E171" s="210" t="s">
        <v>21</v>
      </c>
      <c r="F171" s="210" t="s">
        <v>366</v>
      </c>
      <c r="G171" s="113"/>
      <c r="H171" s="113"/>
      <c r="I171" s="113"/>
      <c r="J171" s="113"/>
      <c r="K171" s="113"/>
      <c r="N171" s="113">
        <f>MATCH(A171,Entrada!$A$53:$A$372,0)</f>
        <v>107</v>
      </c>
      <c r="O171">
        <f>IF(NOT(ISNA($N171)),INDEX(Entrada!$C$53:$N$372,$N171,O$2),0)</f>
        <v>3274</v>
      </c>
      <c r="P171">
        <f>IF(NOT(ISNA($N171)),INDEX(Entrada!$C$53:$N$372,$N171,P$2),0)</f>
        <v>3390</v>
      </c>
      <c r="Q171">
        <f>IF(NOT(ISNA($N171)),INDEX(Entrada!$C$53:$N$372,$N171,Q$2),0)</f>
        <v>3410</v>
      </c>
      <c r="R171">
        <f>IF(NOT(ISNA($N171)),INDEX(Entrada!$C$53:$N$372,$N171,R$2),0)</f>
        <v>2728</v>
      </c>
      <c r="S171">
        <f>IF(NOT(ISNA($N171)),INDEX(Entrada!$C$53:$N$372,$N171,S$2),0)</f>
        <v>1651</v>
      </c>
      <c r="T171">
        <f>IF(NOT(ISNA($N171)),INDEX(Entrada!$C$53:$N$372,$N171,T$2),0)</f>
        <v>1127</v>
      </c>
      <c r="U171">
        <f>IF(NOT(ISNA($N171)),INDEX(Entrada!$C$53:$N$372,$N171,U$2),0)</f>
        <v>962</v>
      </c>
      <c r="V171" s="225">
        <f>IF(NOT(ISNA($N171)),INDEX(Entrada!$C$53:$N$372,$N171,V$2),0)</f>
        <v>850</v>
      </c>
      <c r="W171" s="225">
        <f>IF(NOT(ISNA($N171)),INDEX(Entrada!$C$53:$N$372,$N171,W$2),0)</f>
        <v>760</v>
      </c>
      <c r="X171" s="225">
        <f>IF(NOT(ISNA($N171)),INDEX(Entrada!$C$53:$N$372,$N171,X$2),0)</f>
        <v>836</v>
      </c>
      <c r="Y171" s="225">
        <f>IF(NOT(ISNA($N171)),INDEX(Entrada!$C$53:$N$372,$N171,Y$2),0)</f>
        <v>1358</v>
      </c>
      <c r="Z171" s="225">
        <f>IF(NOT(ISNA($N171)),INDEX(Entrada!$C$53:$N$372,$N171,Z$2),0)</f>
        <v>2433</v>
      </c>
      <c r="AA171" s="113">
        <f t="shared" si="48"/>
        <v>0</v>
      </c>
      <c r="AB171">
        <f t="shared" si="49"/>
        <v>0</v>
      </c>
      <c r="AC171">
        <f t="shared" si="50"/>
        <v>0</v>
      </c>
      <c r="AD171">
        <f t="shared" si="51"/>
        <v>0</v>
      </c>
      <c r="AE171">
        <f t="shared" si="52"/>
        <v>0</v>
      </c>
      <c r="AF171">
        <f t="shared" si="53"/>
        <v>0</v>
      </c>
      <c r="AG171">
        <f t="shared" si="54"/>
        <v>0</v>
      </c>
      <c r="AH171">
        <f t="shared" si="55"/>
        <v>0</v>
      </c>
      <c r="AI171">
        <f t="shared" si="56"/>
        <v>0</v>
      </c>
      <c r="AJ171">
        <f t="shared" si="57"/>
        <v>0</v>
      </c>
      <c r="AK171">
        <f t="shared" si="58"/>
        <v>0</v>
      </c>
      <c r="AL171">
        <f t="shared" si="59"/>
        <v>0</v>
      </c>
      <c r="AM171" s="113">
        <f t="shared" si="60"/>
        <v>3274</v>
      </c>
      <c r="AN171">
        <f t="shared" si="61"/>
        <v>3390</v>
      </c>
      <c r="AO171">
        <f t="shared" si="62"/>
        <v>3410</v>
      </c>
      <c r="AP171">
        <f t="shared" si="63"/>
        <v>2728</v>
      </c>
      <c r="AQ171">
        <f t="shared" si="64"/>
        <v>1651</v>
      </c>
      <c r="AR171">
        <f t="shared" si="65"/>
        <v>1127</v>
      </c>
      <c r="AS171">
        <f t="shared" si="66"/>
        <v>962</v>
      </c>
      <c r="AT171">
        <f t="shared" si="67"/>
        <v>850</v>
      </c>
      <c r="AU171">
        <f t="shared" si="68"/>
        <v>760</v>
      </c>
      <c r="AV171">
        <f t="shared" si="69"/>
        <v>836</v>
      </c>
      <c r="AW171">
        <f t="shared" si="70"/>
        <v>1358</v>
      </c>
      <c r="AX171">
        <f t="shared" si="71"/>
        <v>2433</v>
      </c>
    </row>
    <row r="172" spans="1:51" x14ac:dyDescent="0.25">
      <c r="A172" s="113">
        <v>169</v>
      </c>
      <c r="B172" s="209" t="s">
        <v>36</v>
      </c>
      <c r="C172" s="113">
        <v>1931</v>
      </c>
      <c r="D172" s="113">
        <v>2013</v>
      </c>
      <c r="E172" s="210" t="s">
        <v>21</v>
      </c>
      <c r="F172" s="210" t="s">
        <v>366</v>
      </c>
      <c r="G172" s="113">
        <v>158</v>
      </c>
      <c r="H172" s="113">
        <v>156</v>
      </c>
      <c r="I172" s="113"/>
      <c r="J172" s="113"/>
      <c r="K172" s="113"/>
      <c r="N172" s="113">
        <f>MATCH(A172,Entrada!$A$53:$A$372,0)</f>
        <v>108</v>
      </c>
      <c r="O172">
        <f>IF(NOT(ISNA($N172)),INDEX(Entrada!$C$53:$N$372,$N172,O$2),0)</f>
        <v>4692</v>
      </c>
      <c r="P172">
        <f>IF(NOT(ISNA($N172)),INDEX(Entrada!$C$53:$N$372,$N172,P$2),0)</f>
        <v>4903</v>
      </c>
      <c r="Q172">
        <f>IF(NOT(ISNA($N172)),INDEX(Entrada!$C$53:$N$372,$N172,Q$2),0)</f>
        <v>4744</v>
      </c>
      <c r="R172">
        <f>IF(NOT(ISNA($N172)),INDEX(Entrada!$C$53:$N$372,$N172,R$2),0)</f>
        <v>3757</v>
      </c>
      <c r="S172">
        <f>IF(NOT(ISNA($N172)),INDEX(Entrada!$C$53:$N$372,$N172,S$2),0)</f>
        <v>2274</v>
      </c>
      <c r="T172">
        <f>IF(NOT(ISNA($N172)),INDEX(Entrada!$C$53:$N$372,$N172,T$2),0)</f>
        <v>1555</v>
      </c>
      <c r="U172">
        <f>IF(NOT(ISNA($N172)),INDEX(Entrada!$C$53:$N$372,$N172,U$2),0)</f>
        <v>1297</v>
      </c>
      <c r="V172" s="225">
        <f>IF(NOT(ISNA($N172)),INDEX(Entrada!$C$53:$N$372,$N172,V$2),0)</f>
        <v>1123</v>
      </c>
      <c r="W172" s="225">
        <f>IF(NOT(ISNA($N172)),INDEX(Entrada!$C$53:$N$372,$N172,W$2),0)</f>
        <v>1005</v>
      </c>
      <c r="X172" s="225">
        <f>IF(NOT(ISNA($N172)),INDEX(Entrada!$C$53:$N$372,$N172,X$2),0)</f>
        <v>1129</v>
      </c>
      <c r="Y172" s="225">
        <f>IF(NOT(ISNA($N172)),INDEX(Entrada!$C$53:$N$372,$N172,Y$2),0)</f>
        <v>1865</v>
      </c>
      <c r="Z172" s="225">
        <f>IF(NOT(ISNA($N172)),INDEX(Entrada!$C$53:$N$372,$N172,Z$2),0)</f>
        <v>3359</v>
      </c>
      <c r="AA172" s="113">
        <f t="shared" si="48"/>
        <v>1558</v>
      </c>
      <c r="AB172">
        <f t="shared" si="49"/>
        <v>1452</v>
      </c>
      <c r="AC172">
        <f t="shared" si="50"/>
        <v>1225</v>
      </c>
      <c r="AD172">
        <f t="shared" si="51"/>
        <v>823</v>
      </c>
      <c r="AE172">
        <f t="shared" si="52"/>
        <v>499</v>
      </c>
      <c r="AF172">
        <f t="shared" si="53"/>
        <v>381</v>
      </c>
      <c r="AG172">
        <f t="shared" si="54"/>
        <v>309</v>
      </c>
      <c r="AH172">
        <f t="shared" si="55"/>
        <v>254</v>
      </c>
      <c r="AI172">
        <f t="shared" si="56"/>
        <v>246</v>
      </c>
      <c r="AJ172">
        <f t="shared" si="57"/>
        <v>332</v>
      </c>
      <c r="AK172">
        <f t="shared" si="58"/>
        <v>650</v>
      </c>
      <c r="AL172">
        <f t="shared" si="59"/>
        <v>1192</v>
      </c>
      <c r="AM172" s="113">
        <f t="shared" si="60"/>
        <v>3134</v>
      </c>
      <c r="AN172">
        <f t="shared" si="61"/>
        <v>3451</v>
      </c>
      <c r="AO172">
        <f t="shared" si="62"/>
        <v>3519</v>
      </c>
      <c r="AP172">
        <f t="shared" si="63"/>
        <v>2934</v>
      </c>
      <c r="AQ172">
        <f t="shared" si="64"/>
        <v>1775</v>
      </c>
      <c r="AR172">
        <f t="shared" si="65"/>
        <v>1174</v>
      </c>
      <c r="AS172">
        <f t="shared" si="66"/>
        <v>988</v>
      </c>
      <c r="AT172">
        <f t="shared" si="67"/>
        <v>869</v>
      </c>
      <c r="AU172">
        <f t="shared" si="68"/>
        <v>759</v>
      </c>
      <c r="AV172">
        <f t="shared" si="69"/>
        <v>797</v>
      </c>
      <c r="AW172">
        <f t="shared" si="70"/>
        <v>1215</v>
      </c>
      <c r="AX172">
        <f t="shared" si="71"/>
        <v>2167</v>
      </c>
    </row>
    <row r="173" spans="1:51" x14ac:dyDescent="0.25">
      <c r="A173" s="113">
        <v>170</v>
      </c>
      <c r="B173" s="209"/>
      <c r="C173" s="113">
        <v>0</v>
      </c>
      <c r="D173" s="113">
        <v>0</v>
      </c>
      <c r="E173" s="113" t="s">
        <v>688</v>
      </c>
      <c r="F173" s="113" t="s">
        <v>688</v>
      </c>
      <c r="G173" s="113"/>
      <c r="H173" s="113"/>
      <c r="I173" s="113"/>
      <c r="J173" s="113"/>
      <c r="K173" s="113"/>
      <c r="N173" s="113" t="e">
        <f>MATCH(A173,Entrada!$A$53:$A$372,0)</f>
        <v>#N/A</v>
      </c>
      <c r="O173">
        <f>IF(NOT(ISNA($N173)),INDEX(Entrada!$C$53:$N$372,$N173,O$2),0)</f>
        <v>0</v>
      </c>
      <c r="P173">
        <f>IF(NOT(ISNA($N173)),INDEX(Entrada!$C$53:$N$372,$N173,P$2),0)</f>
        <v>0</v>
      </c>
      <c r="Q173">
        <f>IF(NOT(ISNA($N173)),INDEX(Entrada!$C$53:$N$372,$N173,Q$2),0)</f>
        <v>0</v>
      </c>
      <c r="R173">
        <f>IF(NOT(ISNA($N173)),INDEX(Entrada!$C$53:$N$372,$N173,R$2),0)</f>
        <v>0</v>
      </c>
      <c r="S173">
        <f>IF(NOT(ISNA($N173)),INDEX(Entrada!$C$53:$N$372,$N173,S$2),0)</f>
        <v>0</v>
      </c>
      <c r="T173">
        <f>IF(NOT(ISNA($N173)),INDEX(Entrada!$C$53:$N$372,$N173,T$2),0)</f>
        <v>0</v>
      </c>
      <c r="U173">
        <f>IF(NOT(ISNA($N173)),INDEX(Entrada!$C$53:$N$372,$N173,U$2),0)</f>
        <v>0</v>
      </c>
      <c r="V173" s="225">
        <f>IF(NOT(ISNA($N173)),INDEX(Entrada!$C$53:$N$372,$N173,V$2),0)</f>
        <v>0</v>
      </c>
      <c r="W173" s="225">
        <f>IF(NOT(ISNA($N173)),INDEX(Entrada!$C$53:$N$372,$N173,W$2),0)</f>
        <v>0</v>
      </c>
      <c r="X173" s="225">
        <f>IF(NOT(ISNA($N173)),INDEX(Entrada!$C$53:$N$372,$N173,X$2),0)</f>
        <v>0</v>
      </c>
      <c r="Y173" s="225">
        <f>IF(NOT(ISNA($N173)),INDEX(Entrada!$C$53:$N$372,$N173,Y$2),0)</f>
        <v>0</v>
      </c>
      <c r="Z173" s="225">
        <f>IF(NOT(ISNA($N173)),INDEX(Entrada!$C$53:$N$372,$N173,Z$2),0)</f>
        <v>0</v>
      </c>
      <c r="AA173" s="113">
        <f t="shared" si="48"/>
        <v>0</v>
      </c>
      <c r="AB173">
        <f t="shared" si="49"/>
        <v>0</v>
      </c>
      <c r="AC173">
        <f t="shared" si="50"/>
        <v>0</v>
      </c>
      <c r="AD173">
        <f t="shared" si="51"/>
        <v>0</v>
      </c>
      <c r="AE173">
        <f t="shared" si="52"/>
        <v>0</v>
      </c>
      <c r="AF173">
        <f t="shared" si="53"/>
        <v>0</v>
      </c>
      <c r="AG173">
        <f t="shared" si="54"/>
        <v>0</v>
      </c>
      <c r="AH173">
        <f t="shared" si="55"/>
        <v>0</v>
      </c>
      <c r="AI173">
        <f t="shared" si="56"/>
        <v>0</v>
      </c>
      <c r="AJ173">
        <f t="shared" si="57"/>
        <v>0</v>
      </c>
      <c r="AK173">
        <f t="shared" si="58"/>
        <v>0</v>
      </c>
      <c r="AL173">
        <f t="shared" si="59"/>
        <v>0</v>
      </c>
      <c r="AM173" s="113">
        <f t="shared" si="60"/>
        <v>0</v>
      </c>
      <c r="AN173">
        <f t="shared" si="61"/>
        <v>0</v>
      </c>
      <c r="AO173">
        <f t="shared" si="62"/>
        <v>0</v>
      </c>
      <c r="AP173">
        <f t="shared" si="63"/>
        <v>0</v>
      </c>
      <c r="AQ173">
        <f t="shared" si="64"/>
        <v>0</v>
      </c>
      <c r="AR173">
        <f t="shared" si="65"/>
        <v>0</v>
      </c>
      <c r="AS173">
        <f t="shared" si="66"/>
        <v>0</v>
      </c>
      <c r="AT173">
        <f t="shared" si="67"/>
        <v>0</v>
      </c>
      <c r="AU173">
        <f t="shared" si="68"/>
        <v>0</v>
      </c>
      <c r="AV173">
        <f t="shared" si="69"/>
        <v>0</v>
      </c>
      <c r="AW173">
        <f t="shared" si="70"/>
        <v>0</v>
      </c>
      <c r="AX173">
        <f t="shared" si="71"/>
        <v>0</v>
      </c>
    </row>
    <row r="174" spans="1:51" x14ac:dyDescent="0.25">
      <c r="A174" s="113">
        <v>171</v>
      </c>
      <c r="B174" s="209" t="s">
        <v>617</v>
      </c>
      <c r="C174" s="113">
        <v>1931</v>
      </c>
      <c r="D174" s="113">
        <v>2013</v>
      </c>
      <c r="E174" s="210" t="s">
        <v>21</v>
      </c>
      <c r="F174" s="210" t="s">
        <v>366</v>
      </c>
      <c r="G174" s="113"/>
      <c r="H174" s="113"/>
      <c r="I174" s="113"/>
      <c r="J174" s="113"/>
      <c r="K174" s="113"/>
      <c r="N174" s="113">
        <f>MATCH(A174,Entrada!$A$53:$A$372,0)</f>
        <v>109</v>
      </c>
      <c r="O174">
        <f>IF(NOT(ISNA($N174)),INDEX(Entrada!$C$53:$N$372,$N174,O$2),0)</f>
        <v>111</v>
      </c>
      <c r="P174">
        <f>IF(NOT(ISNA($N174)),INDEX(Entrada!$C$53:$N$372,$N174,P$2),0)</f>
        <v>143</v>
      </c>
      <c r="Q174">
        <f>IF(NOT(ISNA($N174)),INDEX(Entrada!$C$53:$N$372,$N174,Q$2),0)</f>
        <v>224</v>
      </c>
      <c r="R174">
        <f>IF(NOT(ISNA($N174)),INDEX(Entrada!$C$53:$N$372,$N174,R$2),0)</f>
        <v>196</v>
      </c>
      <c r="S174">
        <f>IF(NOT(ISNA($N174)),INDEX(Entrada!$C$53:$N$372,$N174,S$2),0)</f>
        <v>66</v>
      </c>
      <c r="T174">
        <f>IF(NOT(ISNA($N174)),INDEX(Entrada!$C$53:$N$372,$N174,T$2),0)</f>
        <v>18</v>
      </c>
      <c r="U174">
        <f>IF(NOT(ISNA($N174)),INDEX(Entrada!$C$53:$N$372,$N174,U$2),0)</f>
        <v>11</v>
      </c>
      <c r="V174" s="225">
        <f>IF(NOT(ISNA($N174)),INDEX(Entrada!$C$53:$N$372,$N174,V$2),0)</f>
        <v>14</v>
      </c>
      <c r="W174" s="225">
        <f>IF(NOT(ISNA($N174)),INDEX(Entrada!$C$53:$N$372,$N174,W$2),0)</f>
        <v>21</v>
      </c>
      <c r="X174" s="225">
        <f>IF(NOT(ISNA($N174)),INDEX(Entrada!$C$53:$N$372,$N174,X$2),0)</f>
        <v>22</v>
      </c>
      <c r="Y174" s="225">
        <f>IF(NOT(ISNA($N174)),INDEX(Entrada!$C$53:$N$372,$N174,Y$2),0)</f>
        <v>37</v>
      </c>
      <c r="Z174" s="225">
        <f>IF(NOT(ISNA($N174)),INDEX(Entrada!$C$53:$N$372,$N174,Z$2),0)</f>
        <v>84</v>
      </c>
      <c r="AA174" s="113">
        <f t="shared" si="48"/>
        <v>0</v>
      </c>
      <c r="AB174">
        <f t="shared" si="49"/>
        <v>0</v>
      </c>
      <c r="AC174">
        <f t="shared" si="50"/>
        <v>0</v>
      </c>
      <c r="AD174">
        <f t="shared" si="51"/>
        <v>0</v>
      </c>
      <c r="AE174">
        <f t="shared" si="52"/>
        <v>0</v>
      </c>
      <c r="AF174">
        <f t="shared" si="53"/>
        <v>0</v>
      </c>
      <c r="AG174">
        <f t="shared" si="54"/>
        <v>0</v>
      </c>
      <c r="AH174">
        <f t="shared" si="55"/>
        <v>0</v>
      </c>
      <c r="AI174">
        <f t="shared" si="56"/>
        <v>0</v>
      </c>
      <c r="AJ174">
        <f t="shared" si="57"/>
        <v>0</v>
      </c>
      <c r="AK174">
        <f t="shared" si="58"/>
        <v>0</v>
      </c>
      <c r="AL174">
        <f t="shared" si="59"/>
        <v>0</v>
      </c>
      <c r="AM174" s="113">
        <f t="shared" si="60"/>
        <v>111</v>
      </c>
      <c r="AN174">
        <f t="shared" si="61"/>
        <v>143</v>
      </c>
      <c r="AO174">
        <f t="shared" si="62"/>
        <v>224</v>
      </c>
      <c r="AP174">
        <f t="shared" si="63"/>
        <v>196</v>
      </c>
      <c r="AQ174">
        <f t="shared" si="64"/>
        <v>66</v>
      </c>
      <c r="AR174">
        <f t="shared" si="65"/>
        <v>18</v>
      </c>
      <c r="AS174">
        <f t="shared" si="66"/>
        <v>11</v>
      </c>
      <c r="AT174">
        <f t="shared" si="67"/>
        <v>14</v>
      </c>
      <c r="AU174">
        <f t="shared" si="68"/>
        <v>21</v>
      </c>
      <c r="AV174">
        <f t="shared" si="69"/>
        <v>22</v>
      </c>
      <c r="AW174">
        <f t="shared" si="70"/>
        <v>37</v>
      </c>
      <c r="AX174">
        <f t="shared" si="71"/>
        <v>84</v>
      </c>
    </row>
    <row r="175" spans="1:51" x14ac:dyDescent="0.25">
      <c r="A175" s="113">
        <v>172</v>
      </c>
      <c r="B175" s="209" t="s">
        <v>618</v>
      </c>
      <c r="C175" s="113">
        <v>1931</v>
      </c>
      <c r="D175" s="113">
        <v>2013</v>
      </c>
      <c r="E175" s="210" t="s">
        <v>21</v>
      </c>
      <c r="F175" s="210" t="s">
        <v>366</v>
      </c>
      <c r="G175" s="113">
        <v>169</v>
      </c>
      <c r="H175" s="113"/>
      <c r="I175" s="113"/>
      <c r="J175" s="113"/>
      <c r="K175" s="113"/>
      <c r="N175" s="113">
        <f>MATCH(A175,Entrada!$A$53:$A$372,0)</f>
        <v>110</v>
      </c>
      <c r="O175">
        <f>IF(NOT(ISNA($N175)),INDEX(Entrada!$C$53:$N$372,$N175,O$2),0)</f>
        <v>4724</v>
      </c>
      <c r="P175">
        <f>IF(NOT(ISNA($N175)),INDEX(Entrada!$C$53:$N$372,$N175,P$2),0)</f>
        <v>5023</v>
      </c>
      <c r="Q175">
        <f>IF(NOT(ISNA($N175)),INDEX(Entrada!$C$53:$N$372,$N175,Q$2),0)</f>
        <v>5015</v>
      </c>
      <c r="R175">
        <f>IF(NOT(ISNA($N175)),INDEX(Entrada!$C$53:$N$372,$N175,R$2),0)</f>
        <v>4072</v>
      </c>
      <c r="S175">
        <f>IF(NOT(ISNA($N175)),INDEX(Entrada!$C$53:$N$372,$N175,S$2),0)</f>
        <v>2455</v>
      </c>
      <c r="T175">
        <f>IF(NOT(ISNA($N175)),INDEX(Entrada!$C$53:$N$372,$N175,T$2),0)</f>
        <v>1615</v>
      </c>
      <c r="U175">
        <f>IF(NOT(ISNA($N175)),INDEX(Entrada!$C$53:$N$372,$N175,U$2),0)</f>
        <v>1326</v>
      </c>
      <c r="V175" s="225">
        <f>IF(NOT(ISNA($N175)),INDEX(Entrada!$C$53:$N$372,$N175,V$2),0)</f>
        <v>1156</v>
      </c>
      <c r="W175" s="225">
        <f>IF(NOT(ISNA($N175)),INDEX(Entrada!$C$53:$N$372,$N175,W$2),0)</f>
        <v>1033</v>
      </c>
      <c r="X175" s="225">
        <f>IF(NOT(ISNA($N175)),INDEX(Entrada!$C$53:$N$372,$N175,X$2),0)</f>
        <v>1118</v>
      </c>
      <c r="Y175" s="225">
        <f>IF(NOT(ISNA($N175)),INDEX(Entrada!$C$53:$N$372,$N175,Y$2),0)</f>
        <v>1792</v>
      </c>
      <c r="Z175" s="225">
        <f>IF(NOT(ISNA($N175)),INDEX(Entrada!$C$53:$N$372,$N175,Z$2),0)</f>
        <v>3301</v>
      </c>
      <c r="AA175" s="113">
        <f t="shared" si="48"/>
        <v>4692</v>
      </c>
      <c r="AB175">
        <f t="shared" si="49"/>
        <v>4903</v>
      </c>
      <c r="AC175">
        <f t="shared" si="50"/>
        <v>4744</v>
      </c>
      <c r="AD175">
        <f t="shared" si="51"/>
        <v>3757</v>
      </c>
      <c r="AE175">
        <f t="shared" si="52"/>
        <v>2274</v>
      </c>
      <c r="AF175">
        <f t="shared" si="53"/>
        <v>1555</v>
      </c>
      <c r="AG175">
        <f t="shared" si="54"/>
        <v>1297</v>
      </c>
      <c r="AH175">
        <f t="shared" si="55"/>
        <v>1123</v>
      </c>
      <c r="AI175">
        <f t="shared" si="56"/>
        <v>1005</v>
      </c>
      <c r="AJ175">
        <f t="shared" si="57"/>
        <v>1129</v>
      </c>
      <c r="AK175">
        <f t="shared" si="58"/>
        <v>1865</v>
      </c>
      <c r="AL175">
        <f t="shared" si="59"/>
        <v>3359</v>
      </c>
      <c r="AM175" s="113">
        <f t="shared" si="60"/>
        <v>32</v>
      </c>
      <c r="AN175">
        <f t="shared" si="61"/>
        <v>120</v>
      </c>
      <c r="AO175">
        <f t="shared" si="62"/>
        <v>271</v>
      </c>
      <c r="AP175">
        <f t="shared" si="63"/>
        <v>315</v>
      </c>
      <c r="AQ175">
        <f t="shared" si="64"/>
        <v>181</v>
      </c>
      <c r="AR175">
        <f t="shared" si="65"/>
        <v>60</v>
      </c>
      <c r="AS175">
        <f t="shared" si="66"/>
        <v>29</v>
      </c>
      <c r="AT175">
        <f t="shared" si="67"/>
        <v>33</v>
      </c>
      <c r="AU175">
        <f t="shared" si="68"/>
        <v>28</v>
      </c>
      <c r="AV175">
        <f t="shared" si="69"/>
        <v>-11</v>
      </c>
      <c r="AW175">
        <f t="shared" si="70"/>
        <v>-73</v>
      </c>
      <c r="AX175">
        <f t="shared" si="71"/>
        <v>-58</v>
      </c>
    </row>
    <row r="176" spans="1:51" x14ac:dyDescent="0.25">
      <c r="A176" s="113">
        <v>173</v>
      </c>
      <c r="B176" s="209" t="s">
        <v>619</v>
      </c>
      <c r="C176" s="113">
        <v>1931</v>
      </c>
      <c r="D176" s="113">
        <v>2013</v>
      </c>
      <c r="E176" s="210" t="s">
        <v>21</v>
      </c>
      <c r="F176" s="210" t="s">
        <v>366</v>
      </c>
      <c r="G176" s="113"/>
      <c r="H176" s="113"/>
      <c r="I176" s="113"/>
      <c r="J176" s="113"/>
      <c r="K176" s="113"/>
      <c r="N176" s="113">
        <f>MATCH(A176,Entrada!$A$53:$A$372,0)</f>
        <v>111</v>
      </c>
      <c r="O176">
        <f>IF(NOT(ISNA($N176)),INDEX(Entrada!$C$53:$N$372,$N176,O$2),0)</f>
        <v>4720</v>
      </c>
      <c r="P176">
        <f>IF(NOT(ISNA($N176)),INDEX(Entrada!$C$53:$N$372,$N176,P$2),0)</f>
        <v>5041</v>
      </c>
      <c r="Q176">
        <f>IF(NOT(ISNA($N176)),INDEX(Entrada!$C$53:$N$372,$N176,Q$2),0)</f>
        <v>5059</v>
      </c>
      <c r="R176">
        <f>IF(NOT(ISNA($N176)),INDEX(Entrada!$C$53:$N$372,$N176,R$2),0)</f>
        <v>4145</v>
      </c>
      <c r="S176">
        <f>IF(NOT(ISNA($N176)),INDEX(Entrada!$C$53:$N$372,$N176,S$2),0)</f>
        <v>2508</v>
      </c>
      <c r="T176">
        <f>IF(NOT(ISNA($N176)),INDEX(Entrada!$C$53:$N$372,$N176,T$2),0)</f>
        <v>1636</v>
      </c>
      <c r="U176" s="219">
        <f>IF(NOT(ISNA($N176)),INDEX(Entrada!$C$53:$N$372,$N176,U$2),0)</f>
        <v>1339</v>
      </c>
      <c r="V176" s="225">
        <f>IF(NOT(ISNA($N176)),INDEX(Entrada!$C$53:$N$372,$N176,V$2),0)</f>
        <v>1168</v>
      </c>
      <c r="W176" s="225">
        <f>IF(NOT(ISNA($N176)),INDEX(Entrada!$C$53:$N$372,$N176,W$2),0)</f>
        <v>1044</v>
      </c>
      <c r="X176" s="225">
        <f>IF(NOT(ISNA($N176)),INDEX(Entrada!$C$53:$N$372,$N176,X$2),0)</f>
        <v>1119</v>
      </c>
      <c r="Y176" s="225">
        <f>IF(NOT(ISNA($N176)),INDEX(Entrada!$C$53:$N$372,$N176,Y$2),0)</f>
        <v>1769</v>
      </c>
      <c r="Z176" s="225">
        <f>IF(NOT(ISNA($N176)),INDEX(Entrada!$C$53:$N$372,$N176,Z$2),0)</f>
        <v>3279</v>
      </c>
      <c r="AA176" s="113">
        <f t="shared" si="48"/>
        <v>0</v>
      </c>
      <c r="AB176">
        <f t="shared" si="49"/>
        <v>0</v>
      </c>
      <c r="AC176">
        <f t="shared" si="50"/>
        <v>0</v>
      </c>
      <c r="AD176">
        <f t="shared" si="51"/>
        <v>0</v>
      </c>
      <c r="AE176">
        <f t="shared" si="52"/>
        <v>0</v>
      </c>
      <c r="AF176">
        <f t="shared" si="53"/>
        <v>0</v>
      </c>
      <c r="AG176">
        <f t="shared" si="54"/>
        <v>0</v>
      </c>
      <c r="AH176">
        <f t="shared" si="55"/>
        <v>0</v>
      </c>
      <c r="AI176">
        <f t="shared" si="56"/>
        <v>0</v>
      </c>
      <c r="AJ176">
        <f t="shared" si="57"/>
        <v>0</v>
      </c>
      <c r="AK176">
        <f t="shared" si="58"/>
        <v>0</v>
      </c>
      <c r="AL176">
        <f t="shared" si="59"/>
        <v>0</v>
      </c>
      <c r="AM176" s="219">
        <f t="shared" si="60"/>
        <v>4720</v>
      </c>
      <c r="AN176">
        <f t="shared" si="61"/>
        <v>5041</v>
      </c>
      <c r="AO176">
        <f t="shared" si="62"/>
        <v>5059</v>
      </c>
      <c r="AP176">
        <f t="shared" si="63"/>
        <v>4145</v>
      </c>
      <c r="AQ176">
        <f t="shared" si="64"/>
        <v>2508</v>
      </c>
      <c r="AR176">
        <f t="shared" si="65"/>
        <v>1636</v>
      </c>
      <c r="AS176">
        <f t="shared" si="66"/>
        <v>1339</v>
      </c>
      <c r="AT176">
        <f t="shared" si="67"/>
        <v>1168</v>
      </c>
      <c r="AU176">
        <f t="shared" si="68"/>
        <v>1044</v>
      </c>
      <c r="AV176">
        <f t="shared" si="69"/>
        <v>1119</v>
      </c>
      <c r="AW176">
        <f t="shared" si="70"/>
        <v>1769</v>
      </c>
      <c r="AX176">
        <f t="shared" si="71"/>
        <v>3279</v>
      </c>
      <c r="AY176" s="219">
        <f>AY175</f>
        <v>0</v>
      </c>
    </row>
    <row r="177" spans="1:51" x14ac:dyDescent="0.25">
      <c r="A177" s="113">
        <v>174</v>
      </c>
      <c r="B177" s="209"/>
      <c r="C177" s="113">
        <v>0</v>
      </c>
      <c r="D177" s="113">
        <v>0</v>
      </c>
      <c r="E177" s="113" t="s">
        <v>688</v>
      </c>
      <c r="F177" s="113" t="s">
        <v>688</v>
      </c>
      <c r="G177" s="113"/>
      <c r="H177" s="113"/>
      <c r="I177" s="113"/>
      <c r="J177" s="113"/>
      <c r="K177" s="113"/>
      <c r="N177" s="113" t="e">
        <f>MATCH(A177,Entrada!$A$53:$A$372,0)</f>
        <v>#N/A</v>
      </c>
      <c r="O177">
        <f>IF(NOT(ISNA($N177)),INDEX(Entrada!$C$53:$N$372,$N177,O$2),0)</f>
        <v>0</v>
      </c>
      <c r="P177">
        <f>IF(NOT(ISNA($N177)),INDEX(Entrada!$C$53:$N$372,$N177,P$2),0)</f>
        <v>0</v>
      </c>
      <c r="Q177">
        <f>IF(NOT(ISNA($N177)),INDEX(Entrada!$C$53:$N$372,$N177,Q$2),0)</f>
        <v>0</v>
      </c>
      <c r="R177">
        <f>IF(NOT(ISNA($N177)),INDEX(Entrada!$C$53:$N$372,$N177,R$2),0)</f>
        <v>0</v>
      </c>
      <c r="S177">
        <f>IF(NOT(ISNA($N177)),INDEX(Entrada!$C$53:$N$372,$N177,S$2),0)</f>
        <v>0</v>
      </c>
      <c r="T177">
        <f>IF(NOT(ISNA($N177)),INDEX(Entrada!$C$53:$N$372,$N177,T$2),0)</f>
        <v>0</v>
      </c>
      <c r="U177">
        <f>IF(NOT(ISNA($N177)),INDEX(Entrada!$C$53:$N$372,$N177,U$2),0)</f>
        <v>0</v>
      </c>
      <c r="V177" s="225">
        <f>IF(NOT(ISNA($N177)),INDEX(Entrada!$C$53:$N$372,$N177,V$2),0)</f>
        <v>0</v>
      </c>
      <c r="W177" s="225">
        <f>IF(NOT(ISNA($N177)),INDEX(Entrada!$C$53:$N$372,$N177,W$2),0)</f>
        <v>0</v>
      </c>
      <c r="X177" s="225">
        <f>IF(NOT(ISNA($N177)),INDEX(Entrada!$C$53:$N$372,$N177,X$2),0)</f>
        <v>0</v>
      </c>
      <c r="Y177" s="225">
        <f>IF(NOT(ISNA($N177)),INDEX(Entrada!$C$53:$N$372,$N177,Y$2),0)</f>
        <v>0</v>
      </c>
      <c r="Z177" s="225">
        <f>IF(NOT(ISNA($N177)),INDEX(Entrada!$C$53:$N$372,$N177,Z$2),0)</f>
        <v>0</v>
      </c>
      <c r="AA177" s="113">
        <f t="shared" si="48"/>
        <v>0</v>
      </c>
      <c r="AB177">
        <f t="shared" si="49"/>
        <v>0</v>
      </c>
      <c r="AC177">
        <f t="shared" si="50"/>
        <v>0</v>
      </c>
      <c r="AD177">
        <f t="shared" si="51"/>
        <v>0</v>
      </c>
      <c r="AE177">
        <f t="shared" si="52"/>
        <v>0</v>
      </c>
      <c r="AF177">
        <f t="shared" si="53"/>
        <v>0</v>
      </c>
      <c r="AG177">
        <f t="shared" si="54"/>
        <v>0</v>
      </c>
      <c r="AH177">
        <f t="shared" si="55"/>
        <v>0</v>
      </c>
      <c r="AI177">
        <f t="shared" si="56"/>
        <v>0</v>
      </c>
      <c r="AJ177">
        <f t="shared" si="57"/>
        <v>0</v>
      </c>
      <c r="AK177">
        <f t="shared" si="58"/>
        <v>0</v>
      </c>
      <c r="AL177">
        <f t="shared" si="59"/>
        <v>0</v>
      </c>
      <c r="AM177" s="113">
        <f t="shared" si="60"/>
        <v>0</v>
      </c>
      <c r="AN177">
        <f t="shared" si="61"/>
        <v>0</v>
      </c>
      <c r="AO177">
        <f t="shared" si="62"/>
        <v>0</v>
      </c>
      <c r="AP177">
        <f t="shared" si="63"/>
        <v>0</v>
      </c>
      <c r="AQ177">
        <f t="shared" si="64"/>
        <v>0</v>
      </c>
      <c r="AR177">
        <f t="shared" si="65"/>
        <v>0</v>
      </c>
      <c r="AS177">
        <f t="shared" si="66"/>
        <v>0</v>
      </c>
      <c r="AT177">
        <f t="shared" si="67"/>
        <v>0</v>
      </c>
      <c r="AU177">
        <f t="shared" si="68"/>
        <v>0</v>
      </c>
      <c r="AV177">
        <f t="shared" si="69"/>
        <v>0</v>
      </c>
      <c r="AW177">
        <f t="shared" si="70"/>
        <v>0</v>
      </c>
      <c r="AX177">
        <f t="shared" si="71"/>
        <v>0</v>
      </c>
    </row>
    <row r="178" spans="1:51" x14ac:dyDescent="0.25">
      <c r="A178" s="113">
        <v>175</v>
      </c>
      <c r="B178" s="209" t="s">
        <v>620</v>
      </c>
      <c r="C178" s="113">
        <v>1931</v>
      </c>
      <c r="D178" s="113">
        <v>2013</v>
      </c>
      <c r="E178" s="210" t="s">
        <v>21</v>
      </c>
      <c r="F178" s="210" t="s">
        <v>366</v>
      </c>
      <c r="G178" s="113">
        <v>173</v>
      </c>
      <c r="H178" s="113"/>
      <c r="I178" s="113"/>
      <c r="J178" s="113"/>
      <c r="K178" s="113"/>
      <c r="N178" s="113">
        <f>MATCH(A178,Entrada!$A$53:$A$372,0)</f>
        <v>112</v>
      </c>
      <c r="O178">
        <f>IF(NOT(ISNA($N178)),INDEX(Entrada!$C$53:$N$372,$N178,O$2),0)</f>
        <v>4720</v>
      </c>
      <c r="P178">
        <f>IF(NOT(ISNA($N178)),INDEX(Entrada!$C$53:$N$372,$N178,P$2),0)</f>
        <v>5041</v>
      </c>
      <c r="Q178">
        <f>IF(NOT(ISNA($N178)),INDEX(Entrada!$C$53:$N$372,$N178,Q$2),0)</f>
        <v>5059</v>
      </c>
      <c r="R178">
        <f>IF(NOT(ISNA($N178)),INDEX(Entrada!$C$53:$N$372,$N178,R$2),0)</f>
        <v>4145</v>
      </c>
      <c r="S178">
        <f>IF(NOT(ISNA($N178)),INDEX(Entrada!$C$53:$N$372,$N178,S$2),0)</f>
        <v>2508</v>
      </c>
      <c r="T178">
        <f>IF(NOT(ISNA($N178)),INDEX(Entrada!$C$53:$N$372,$N178,T$2),0)</f>
        <v>1636</v>
      </c>
      <c r="U178">
        <f>IF(NOT(ISNA($N178)),INDEX(Entrada!$C$53:$N$372,$N178,U$2),0)</f>
        <v>1339</v>
      </c>
      <c r="V178" s="225">
        <f>IF(NOT(ISNA($N178)),INDEX(Entrada!$C$53:$N$372,$N178,V$2),0)</f>
        <v>1168</v>
      </c>
      <c r="W178" s="225">
        <f>IF(NOT(ISNA($N178)),INDEX(Entrada!$C$53:$N$372,$N178,W$2),0)</f>
        <v>1044</v>
      </c>
      <c r="X178" s="225">
        <f>IF(NOT(ISNA($N178)),INDEX(Entrada!$C$53:$N$372,$N178,X$2),0)</f>
        <v>1119</v>
      </c>
      <c r="Y178" s="225">
        <f>IF(NOT(ISNA($N178)),INDEX(Entrada!$C$53:$N$372,$N178,Y$2),0)</f>
        <v>1769</v>
      </c>
      <c r="Z178" s="225">
        <f>IF(NOT(ISNA($N178)),INDEX(Entrada!$C$53:$N$372,$N178,Z$2),0)</f>
        <v>3279</v>
      </c>
      <c r="AA178" s="113">
        <f t="shared" si="48"/>
        <v>4720</v>
      </c>
      <c r="AB178">
        <f t="shared" si="49"/>
        <v>5041</v>
      </c>
      <c r="AC178">
        <f t="shared" si="50"/>
        <v>5059</v>
      </c>
      <c r="AD178">
        <f t="shared" si="51"/>
        <v>4145</v>
      </c>
      <c r="AE178">
        <f t="shared" si="52"/>
        <v>2508</v>
      </c>
      <c r="AF178">
        <f t="shared" si="53"/>
        <v>1636</v>
      </c>
      <c r="AG178">
        <f t="shared" si="54"/>
        <v>1339</v>
      </c>
      <c r="AH178">
        <f t="shared" si="55"/>
        <v>1168</v>
      </c>
      <c r="AI178">
        <f t="shared" si="56"/>
        <v>1044</v>
      </c>
      <c r="AJ178">
        <f t="shared" si="57"/>
        <v>1119</v>
      </c>
      <c r="AK178">
        <f t="shared" si="58"/>
        <v>1769</v>
      </c>
      <c r="AL178">
        <f t="shared" si="59"/>
        <v>3279</v>
      </c>
      <c r="AM178" s="113">
        <f t="shared" si="60"/>
        <v>0</v>
      </c>
      <c r="AN178">
        <f t="shared" si="61"/>
        <v>0</v>
      </c>
      <c r="AO178">
        <f t="shared" si="62"/>
        <v>0</v>
      </c>
      <c r="AP178">
        <f t="shared" si="63"/>
        <v>0</v>
      </c>
      <c r="AQ178">
        <f t="shared" si="64"/>
        <v>0</v>
      </c>
      <c r="AR178">
        <f t="shared" si="65"/>
        <v>0</v>
      </c>
      <c r="AS178">
        <f t="shared" si="66"/>
        <v>0</v>
      </c>
      <c r="AT178">
        <f t="shared" si="67"/>
        <v>0</v>
      </c>
      <c r="AU178">
        <f t="shared" si="68"/>
        <v>0</v>
      </c>
      <c r="AV178">
        <f t="shared" si="69"/>
        <v>0</v>
      </c>
      <c r="AW178">
        <f t="shared" si="70"/>
        <v>0</v>
      </c>
      <c r="AX178">
        <f t="shared" si="71"/>
        <v>0</v>
      </c>
    </row>
    <row r="179" spans="1:51" x14ac:dyDescent="0.25">
      <c r="A179" s="113">
        <v>176</v>
      </c>
      <c r="B179" s="209" t="s">
        <v>621</v>
      </c>
      <c r="C179" s="113">
        <v>1931</v>
      </c>
      <c r="D179" s="113">
        <v>2013</v>
      </c>
      <c r="E179" s="210" t="s">
        <v>21</v>
      </c>
      <c r="F179" s="210" t="s">
        <v>366</v>
      </c>
      <c r="G179" s="113"/>
      <c r="H179" s="113"/>
      <c r="I179" s="113"/>
      <c r="J179" s="113"/>
      <c r="K179" s="113"/>
      <c r="N179" s="113">
        <f>MATCH(A179,Entrada!$A$53:$A$372,0)</f>
        <v>113</v>
      </c>
      <c r="O179">
        <f>IF(NOT(ISNA($N179)),INDEX(Entrada!$C$53:$N$372,$N179,O$2),0)</f>
        <v>4720</v>
      </c>
      <c r="P179">
        <f>IF(NOT(ISNA($N179)),INDEX(Entrada!$C$53:$N$372,$N179,P$2),0)</f>
        <v>5041</v>
      </c>
      <c r="Q179">
        <f>IF(NOT(ISNA($N179)),INDEX(Entrada!$C$53:$N$372,$N179,Q$2),0)</f>
        <v>5059</v>
      </c>
      <c r="R179">
        <f>IF(NOT(ISNA($N179)),INDEX(Entrada!$C$53:$N$372,$N179,R$2),0)</f>
        <v>4145</v>
      </c>
      <c r="S179">
        <f>IF(NOT(ISNA($N179)),INDEX(Entrada!$C$53:$N$372,$N179,S$2),0)</f>
        <v>2508</v>
      </c>
      <c r="T179">
        <f>IF(NOT(ISNA($N179)),INDEX(Entrada!$C$53:$N$372,$N179,T$2),0)</f>
        <v>1636</v>
      </c>
      <c r="U179" s="219">
        <f>IF(NOT(ISNA($N179)),INDEX(Entrada!$C$53:$N$372,$N179,U$2),0)</f>
        <v>1339</v>
      </c>
      <c r="V179" s="225">
        <f>IF(NOT(ISNA($N179)),INDEX(Entrada!$C$53:$N$372,$N179,V$2),0)</f>
        <v>1168</v>
      </c>
      <c r="W179" s="225">
        <f>IF(NOT(ISNA($N179)),INDEX(Entrada!$C$53:$N$372,$N179,W$2),0)</f>
        <v>1044</v>
      </c>
      <c r="X179" s="225">
        <f>IF(NOT(ISNA($N179)),INDEX(Entrada!$C$53:$N$372,$N179,X$2),0)</f>
        <v>1119</v>
      </c>
      <c r="Y179" s="225">
        <f>IF(NOT(ISNA($N179)),INDEX(Entrada!$C$53:$N$372,$N179,Y$2),0)</f>
        <v>1769</v>
      </c>
      <c r="Z179" s="225">
        <f>IF(NOT(ISNA($N179)),INDEX(Entrada!$C$53:$N$372,$N179,Z$2),0)</f>
        <v>3279</v>
      </c>
      <c r="AA179" s="113">
        <f t="shared" si="48"/>
        <v>0</v>
      </c>
      <c r="AB179">
        <f t="shared" si="49"/>
        <v>0</v>
      </c>
      <c r="AC179">
        <f t="shared" si="50"/>
        <v>0</v>
      </c>
      <c r="AD179">
        <f t="shared" si="51"/>
        <v>0</v>
      </c>
      <c r="AE179">
        <f t="shared" si="52"/>
        <v>0</v>
      </c>
      <c r="AF179">
        <f t="shared" si="53"/>
        <v>0</v>
      </c>
      <c r="AG179">
        <f t="shared" si="54"/>
        <v>0</v>
      </c>
      <c r="AH179">
        <f t="shared" si="55"/>
        <v>0</v>
      </c>
      <c r="AI179">
        <f t="shared" si="56"/>
        <v>0</v>
      </c>
      <c r="AJ179">
        <f t="shared" si="57"/>
        <v>0</v>
      </c>
      <c r="AK179">
        <f t="shared" si="58"/>
        <v>0</v>
      </c>
      <c r="AL179">
        <f t="shared" si="59"/>
        <v>0</v>
      </c>
      <c r="AM179" s="219">
        <f t="shared" si="60"/>
        <v>4720</v>
      </c>
      <c r="AN179">
        <f t="shared" si="61"/>
        <v>5041</v>
      </c>
      <c r="AO179">
        <f t="shared" si="62"/>
        <v>5059</v>
      </c>
      <c r="AP179">
        <f t="shared" si="63"/>
        <v>4145</v>
      </c>
      <c r="AQ179">
        <f t="shared" si="64"/>
        <v>2508</v>
      </c>
      <c r="AR179">
        <f t="shared" si="65"/>
        <v>1636</v>
      </c>
      <c r="AS179">
        <f t="shared" si="66"/>
        <v>1339</v>
      </c>
      <c r="AT179">
        <f t="shared" si="67"/>
        <v>1168</v>
      </c>
      <c r="AU179">
        <f t="shared" si="68"/>
        <v>1044</v>
      </c>
      <c r="AV179">
        <f t="shared" si="69"/>
        <v>1119</v>
      </c>
      <c r="AW179">
        <f t="shared" si="70"/>
        <v>1769</v>
      </c>
      <c r="AX179">
        <f t="shared" si="71"/>
        <v>3279</v>
      </c>
      <c r="AY179" s="219">
        <f>AY176</f>
        <v>0</v>
      </c>
    </row>
    <row r="180" spans="1:51" x14ac:dyDescent="0.25">
      <c r="A180" s="113">
        <v>177</v>
      </c>
      <c r="B180" s="209"/>
      <c r="C180" s="113">
        <v>0</v>
      </c>
      <c r="D180" s="113">
        <v>0</v>
      </c>
      <c r="E180" s="113" t="s">
        <v>688</v>
      </c>
      <c r="F180" s="113" t="s">
        <v>688</v>
      </c>
      <c r="G180" s="113"/>
      <c r="H180" s="113"/>
      <c r="I180" s="113"/>
      <c r="J180" s="113"/>
      <c r="K180" s="113"/>
      <c r="N180" s="113" t="e">
        <f>MATCH(A180,Entrada!$A$53:$A$372,0)</f>
        <v>#N/A</v>
      </c>
      <c r="O180">
        <f>IF(NOT(ISNA($N180)),INDEX(Entrada!$C$53:$N$372,$N180,O$2),0)</f>
        <v>0</v>
      </c>
      <c r="P180">
        <f>IF(NOT(ISNA($N180)),INDEX(Entrada!$C$53:$N$372,$N180,P$2),0)</f>
        <v>0</v>
      </c>
      <c r="Q180">
        <f>IF(NOT(ISNA($N180)),INDEX(Entrada!$C$53:$N$372,$N180,Q$2),0)</f>
        <v>0</v>
      </c>
      <c r="R180">
        <f>IF(NOT(ISNA($N180)),INDEX(Entrada!$C$53:$N$372,$N180,R$2),0)</f>
        <v>0</v>
      </c>
      <c r="S180">
        <f>IF(NOT(ISNA($N180)),INDEX(Entrada!$C$53:$N$372,$N180,S$2),0)</f>
        <v>0</v>
      </c>
      <c r="T180">
        <f>IF(NOT(ISNA($N180)),INDEX(Entrada!$C$53:$N$372,$N180,T$2),0)</f>
        <v>0</v>
      </c>
      <c r="U180">
        <f>IF(NOT(ISNA($N180)),INDEX(Entrada!$C$53:$N$372,$N180,U$2),0)</f>
        <v>0</v>
      </c>
      <c r="V180" s="225">
        <f>IF(NOT(ISNA($N180)),INDEX(Entrada!$C$53:$N$372,$N180,V$2),0)</f>
        <v>0</v>
      </c>
      <c r="W180" s="225">
        <f>IF(NOT(ISNA($N180)),INDEX(Entrada!$C$53:$N$372,$N180,W$2),0)</f>
        <v>0</v>
      </c>
      <c r="X180" s="225">
        <f>IF(NOT(ISNA($N180)),INDEX(Entrada!$C$53:$N$372,$N180,X$2),0)</f>
        <v>0</v>
      </c>
      <c r="Y180" s="225">
        <f>IF(NOT(ISNA($N180)),INDEX(Entrada!$C$53:$N$372,$N180,Y$2),0)</f>
        <v>0</v>
      </c>
      <c r="Z180" s="225">
        <f>IF(NOT(ISNA($N180)),INDEX(Entrada!$C$53:$N$372,$N180,Z$2),0)</f>
        <v>0</v>
      </c>
      <c r="AA180" s="113">
        <f t="shared" si="48"/>
        <v>0</v>
      </c>
      <c r="AB180">
        <f t="shared" si="49"/>
        <v>0</v>
      </c>
      <c r="AC180">
        <f t="shared" si="50"/>
        <v>0</v>
      </c>
      <c r="AD180">
        <f t="shared" si="51"/>
        <v>0</v>
      </c>
      <c r="AE180">
        <f t="shared" si="52"/>
        <v>0</v>
      </c>
      <c r="AF180">
        <f t="shared" si="53"/>
        <v>0</v>
      </c>
      <c r="AG180">
        <f t="shared" si="54"/>
        <v>0</v>
      </c>
      <c r="AH180">
        <f t="shared" si="55"/>
        <v>0</v>
      </c>
      <c r="AI180">
        <f t="shared" si="56"/>
        <v>0</v>
      </c>
      <c r="AJ180">
        <f t="shared" si="57"/>
        <v>0</v>
      </c>
      <c r="AK180">
        <f t="shared" si="58"/>
        <v>0</v>
      </c>
      <c r="AL180">
        <f t="shared" si="59"/>
        <v>0</v>
      </c>
      <c r="AM180" s="113">
        <f t="shared" si="60"/>
        <v>0</v>
      </c>
      <c r="AN180">
        <f t="shared" si="61"/>
        <v>0</v>
      </c>
      <c r="AO180">
        <f t="shared" si="62"/>
        <v>0</v>
      </c>
      <c r="AP180">
        <f t="shared" si="63"/>
        <v>0</v>
      </c>
      <c r="AQ180">
        <f t="shared" si="64"/>
        <v>0</v>
      </c>
      <c r="AR180">
        <f t="shared" si="65"/>
        <v>0</v>
      </c>
      <c r="AS180">
        <f t="shared" si="66"/>
        <v>0</v>
      </c>
      <c r="AT180">
        <f t="shared" si="67"/>
        <v>0</v>
      </c>
      <c r="AU180">
        <f t="shared" si="68"/>
        <v>0</v>
      </c>
      <c r="AV180">
        <f t="shared" si="69"/>
        <v>0</v>
      </c>
      <c r="AW180">
        <f t="shared" si="70"/>
        <v>0</v>
      </c>
      <c r="AX180">
        <f t="shared" si="71"/>
        <v>0</v>
      </c>
    </row>
    <row r="181" spans="1:51" x14ac:dyDescent="0.25">
      <c r="A181" s="113">
        <v>178</v>
      </c>
      <c r="B181" s="209" t="s">
        <v>622</v>
      </c>
      <c r="C181" s="113">
        <v>1931</v>
      </c>
      <c r="D181" s="113">
        <v>2013</v>
      </c>
      <c r="E181" s="210" t="s">
        <v>21</v>
      </c>
      <c r="F181" s="210" t="s">
        <v>366</v>
      </c>
      <c r="G181" s="113">
        <v>175</v>
      </c>
      <c r="H181" s="113"/>
      <c r="I181" s="113"/>
      <c r="J181" s="113"/>
      <c r="K181" s="113"/>
      <c r="N181" s="113">
        <f>MATCH(A181,Entrada!$A$53:$A$372,0)</f>
        <v>114</v>
      </c>
      <c r="O181">
        <f>IF(NOT(ISNA($N181)),INDEX(Entrada!$C$53:$N$372,$N181,O$2),0)</f>
        <v>4718</v>
      </c>
      <c r="P181">
        <f>IF(NOT(ISNA($N181)),INDEX(Entrada!$C$53:$N$372,$N181,P$2),0)</f>
        <v>5041</v>
      </c>
      <c r="Q181">
        <f>IF(NOT(ISNA($N181)),INDEX(Entrada!$C$53:$N$372,$N181,Q$2),0)</f>
        <v>5059</v>
      </c>
      <c r="R181">
        <f>IF(NOT(ISNA($N181)),INDEX(Entrada!$C$53:$N$372,$N181,R$2),0)</f>
        <v>4144</v>
      </c>
      <c r="S181">
        <f>IF(NOT(ISNA($N181)),INDEX(Entrada!$C$53:$N$372,$N181,S$2),0)</f>
        <v>2508</v>
      </c>
      <c r="T181">
        <f>IF(NOT(ISNA($N181)),INDEX(Entrada!$C$53:$N$372,$N181,T$2),0)</f>
        <v>1636</v>
      </c>
      <c r="U181">
        <f>IF(NOT(ISNA($N181)),INDEX(Entrada!$C$53:$N$372,$N181,U$2),0)</f>
        <v>1339</v>
      </c>
      <c r="V181" s="225">
        <f>IF(NOT(ISNA($N181)),INDEX(Entrada!$C$53:$N$372,$N181,V$2),0)</f>
        <v>1168</v>
      </c>
      <c r="W181" s="225">
        <f>IF(NOT(ISNA($N181)),INDEX(Entrada!$C$53:$N$372,$N181,W$2),0)</f>
        <v>1044</v>
      </c>
      <c r="X181" s="225">
        <f>IF(NOT(ISNA($N181)),INDEX(Entrada!$C$53:$N$372,$N181,X$2),0)</f>
        <v>1119</v>
      </c>
      <c r="Y181" s="225">
        <f>IF(NOT(ISNA($N181)),INDEX(Entrada!$C$53:$N$372,$N181,Y$2),0)</f>
        <v>1769</v>
      </c>
      <c r="Z181" s="225">
        <f>IF(NOT(ISNA($N181)),INDEX(Entrada!$C$53:$N$372,$N181,Z$2),0)</f>
        <v>3277</v>
      </c>
      <c r="AA181" s="113">
        <f t="shared" si="48"/>
        <v>4720</v>
      </c>
      <c r="AB181">
        <f t="shared" si="49"/>
        <v>5041</v>
      </c>
      <c r="AC181">
        <f t="shared" si="50"/>
        <v>5059</v>
      </c>
      <c r="AD181">
        <f t="shared" si="51"/>
        <v>4145</v>
      </c>
      <c r="AE181">
        <f t="shared" si="52"/>
        <v>2508</v>
      </c>
      <c r="AF181">
        <f t="shared" si="53"/>
        <v>1636</v>
      </c>
      <c r="AG181">
        <f t="shared" si="54"/>
        <v>1339</v>
      </c>
      <c r="AH181">
        <f t="shared" si="55"/>
        <v>1168</v>
      </c>
      <c r="AI181">
        <f t="shared" si="56"/>
        <v>1044</v>
      </c>
      <c r="AJ181">
        <f t="shared" si="57"/>
        <v>1119</v>
      </c>
      <c r="AK181">
        <f t="shared" si="58"/>
        <v>1769</v>
      </c>
      <c r="AL181">
        <f t="shared" si="59"/>
        <v>3279</v>
      </c>
      <c r="AM181" s="113">
        <f t="shared" si="60"/>
        <v>-2</v>
      </c>
      <c r="AN181">
        <f t="shared" si="61"/>
        <v>0</v>
      </c>
      <c r="AO181">
        <f t="shared" si="62"/>
        <v>0</v>
      </c>
      <c r="AP181">
        <f t="shared" si="63"/>
        <v>-1</v>
      </c>
      <c r="AQ181">
        <f t="shared" si="64"/>
        <v>0</v>
      </c>
      <c r="AR181">
        <f t="shared" si="65"/>
        <v>0</v>
      </c>
      <c r="AS181">
        <f t="shared" si="66"/>
        <v>0</v>
      </c>
      <c r="AT181">
        <f t="shared" si="67"/>
        <v>0</v>
      </c>
      <c r="AU181">
        <f t="shared" si="68"/>
        <v>0</v>
      </c>
      <c r="AV181">
        <f t="shared" si="69"/>
        <v>0</v>
      </c>
      <c r="AW181">
        <f t="shared" si="70"/>
        <v>0</v>
      </c>
      <c r="AX181">
        <f t="shared" si="71"/>
        <v>-2</v>
      </c>
    </row>
    <row r="182" spans="1:51" x14ac:dyDescent="0.25">
      <c r="A182" s="113">
        <v>179</v>
      </c>
      <c r="B182" s="209"/>
      <c r="C182" s="113">
        <v>0</v>
      </c>
      <c r="D182" s="113">
        <v>0</v>
      </c>
      <c r="E182" s="113" t="s">
        <v>688</v>
      </c>
      <c r="F182" s="113" t="s">
        <v>688</v>
      </c>
      <c r="G182" s="113"/>
      <c r="H182" s="113"/>
      <c r="I182" s="113"/>
      <c r="J182" s="113"/>
      <c r="K182" s="113"/>
      <c r="N182" s="113" t="e">
        <f>MATCH(A182,Entrada!$A$53:$A$372,0)</f>
        <v>#N/A</v>
      </c>
      <c r="O182">
        <f>IF(NOT(ISNA($N182)),INDEX(Entrada!$C$53:$N$372,$N182,O$2),0)</f>
        <v>0</v>
      </c>
      <c r="P182">
        <f>IF(NOT(ISNA($N182)),INDEX(Entrada!$C$53:$N$372,$N182,P$2),0)</f>
        <v>0</v>
      </c>
      <c r="Q182">
        <f>IF(NOT(ISNA($N182)),INDEX(Entrada!$C$53:$N$372,$N182,Q$2),0)</f>
        <v>0</v>
      </c>
      <c r="R182">
        <f>IF(NOT(ISNA($N182)),INDEX(Entrada!$C$53:$N$372,$N182,R$2),0)</f>
        <v>0</v>
      </c>
      <c r="S182">
        <f>IF(NOT(ISNA($N182)),INDEX(Entrada!$C$53:$N$372,$N182,S$2),0)</f>
        <v>0</v>
      </c>
      <c r="T182">
        <f>IF(NOT(ISNA($N182)),INDEX(Entrada!$C$53:$N$372,$N182,T$2),0)</f>
        <v>0</v>
      </c>
      <c r="U182">
        <f>IF(NOT(ISNA($N182)),INDEX(Entrada!$C$53:$N$372,$N182,U$2),0)</f>
        <v>0</v>
      </c>
      <c r="V182" s="225">
        <f>IF(NOT(ISNA($N182)),INDEX(Entrada!$C$53:$N$372,$N182,V$2),0)</f>
        <v>0</v>
      </c>
      <c r="W182" s="225">
        <f>IF(NOT(ISNA($N182)),INDEX(Entrada!$C$53:$N$372,$N182,W$2),0)</f>
        <v>0</v>
      </c>
      <c r="X182" s="225">
        <f>IF(NOT(ISNA($N182)),INDEX(Entrada!$C$53:$N$372,$N182,X$2),0)</f>
        <v>0</v>
      </c>
      <c r="Y182" s="225">
        <f>IF(NOT(ISNA($N182)),INDEX(Entrada!$C$53:$N$372,$N182,Y$2),0)</f>
        <v>0</v>
      </c>
      <c r="Z182" s="225">
        <f>IF(NOT(ISNA($N182)),INDEX(Entrada!$C$53:$N$372,$N182,Z$2),0)</f>
        <v>0</v>
      </c>
      <c r="AA182" s="113">
        <f t="shared" si="48"/>
        <v>0</v>
      </c>
      <c r="AB182">
        <f t="shared" si="49"/>
        <v>0</v>
      </c>
      <c r="AC182">
        <f t="shared" si="50"/>
        <v>0</v>
      </c>
      <c r="AD182">
        <f t="shared" si="51"/>
        <v>0</v>
      </c>
      <c r="AE182">
        <f t="shared" si="52"/>
        <v>0</v>
      </c>
      <c r="AF182">
        <f t="shared" si="53"/>
        <v>0</v>
      </c>
      <c r="AG182">
        <f t="shared" si="54"/>
        <v>0</v>
      </c>
      <c r="AH182">
        <f t="shared" si="55"/>
        <v>0</v>
      </c>
      <c r="AI182">
        <f t="shared" si="56"/>
        <v>0</v>
      </c>
      <c r="AJ182">
        <f t="shared" si="57"/>
        <v>0</v>
      </c>
      <c r="AK182">
        <f t="shared" si="58"/>
        <v>0</v>
      </c>
      <c r="AL182">
        <f t="shared" si="59"/>
        <v>0</v>
      </c>
      <c r="AM182" s="113">
        <f t="shared" si="60"/>
        <v>0</v>
      </c>
      <c r="AN182">
        <f t="shared" si="61"/>
        <v>0</v>
      </c>
      <c r="AO182">
        <f t="shared" si="62"/>
        <v>0</v>
      </c>
      <c r="AP182">
        <f t="shared" si="63"/>
        <v>0</v>
      </c>
      <c r="AQ182">
        <f t="shared" si="64"/>
        <v>0</v>
      </c>
      <c r="AR182">
        <f t="shared" si="65"/>
        <v>0</v>
      </c>
      <c r="AS182">
        <f t="shared" si="66"/>
        <v>0</v>
      </c>
      <c r="AT182">
        <f t="shared" si="67"/>
        <v>0</v>
      </c>
      <c r="AU182">
        <f t="shared" si="68"/>
        <v>0</v>
      </c>
      <c r="AV182">
        <f t="shared" si="69"/>
        <v>0</v>
      </c>
      <c r="AW182">
        <f t="shared" si="70"/>
        <v>0</v>
      </c>
      <c r="AX182">
        <f t="shared" si="71"/>
        <v>0</v>
      </c>
    </row>
    <row r="183" spans="1:51" x14ac:dyDescent="0.25">
      <c r="A183" s="113">
        <v>180</v>
      </c>
      <c r="B183" s="209"/>
      <c r="C183" s="113">
        <v>0</v>
      </c>
      <c r="D183" s="113">
        <v>0</v>
      </c>
      <c r="E183" s="113" t="s">
        <v>688</v>
      </c>
      <c r="F183" s="113" t="s">
        <v>688</v>
      </c>
      <c r="G183" s="113"/>
      <c r="H183" s="113"/>
      <c r="I183" s="113"/>
      <c r="J183" s="113"/>
      <c r="K183" s="113"/>
      <c r="N183" s="113" t="e">
        <f>MATCH(A183,Entrada!$A$53:$A$372,0)</f>
        <v>#N/A</v>
      </c>
      <c r="O183">
        <f>IF(NOT(ISNA($N183)),INDEX(Entrada!$C$53:$N$372,$N183,O$2),0)</f>
        <v>0</v>
      </c>
      <c r="P183">
        <f>IF(NOT(ISNA($N183)),INDEX(Entrada!$C$53:$N$372,$N183,P$2),0)</f>
        <v>0</v>
      </c>
      <c r="Q183">
        <f>IF(NOT(ISNA($N183)),INDEX(Entrada!$C$53:$N$372,$N183,Q$2),0)</f>
        <v>0</v>
      </c>
      <c r="R183">
        <f>IF(NOT(ISNA($N183)),INDEX(Entrada!$C$53:$N$372,$N183,R$2),0)</f>
        <v>0</v>
      </c>
      <c r="S183">
        <f>IF(NOT(ISNA($N183)),INDEX(Entrada!$C$53:$N$372,$N183,S$2),0)</f>
        <v>0</v>
      </c>
      <c r="T183">
        <f>IF(NOT(ISNA($N183)),INDEX(Entrada!$C$53:$N$372,$N183,T$2),0)</f>
        <v>0</v>
      </c>
      <c r="U183">
        <f>IF(NOT(ISNA($N183)),INDEX(Entrada!$C$53:$N$372,$N183,U$2),0)</f>
        <v>0</v>
      </c>
      <c r="V183" s="225">
        <f>IF(NOT(ISNA($N183)),INDEX(Entrada!$C$53:$N$372,$N183,V$2),0)</f>
        <v>0</v>
      </c>
      <c r="W183" s="225">
        <f>IF(NOT(ISNA($N183)),INDEX(Entrada!$C$53:$N$372,$N183,W$2),0)</f>
        <v>0</v>
      </c>
      <c r="X183" s="225">
        <f>IF(NOT(ISNA($N183)),INDEX(Entrada!$C$53:$N$372,$N183,X$2),0)</f>
        <v>0</v>
      </c>
      <c r="Y183" s="225">
        <f>IF(NOT(ISNA($N183)),INDEX(Entrada!$C$53:$N$372,$N183,Y$2),0)</f>
        <v>0</v>
      </c>
      <c r="Z183" s="225">
        <f>IF(NOT(ISNA($N183)),INDEX(Entrada!$C$53:$N$372,$N183,Z$2),0)</f>
        <v>0</v>
      </c>
      <c r="AA183" s="113">
        <f t="shared" si="48"/>
        <v>0</v>
      </c>
      <c r="AB183">
        <f t="shared" si="49"/>
        <v>0</v>
      </c>
      <c r="AC183">
        <f t="shared" si="50"/>
        <v>0</v>
      </c>
      <c r="AD183">
        <f t="shared" si="51"/>
        <v>0</v>
      </c>
      <c r="AE183">
        <f t="shared" si="52"/>
        <v>0</v>
      </c>
      <c r="AF183">
        <f t="shared" si="53"/>
        <v>0</v>
      </c>
      <c r="AG183">
        <f t="shared" si="54"/>
        <v>0</v>
      </c>
      <c r="AH183">
        <f t="shared" si="55"/>
        <v>0</v>
      </c>
      <c r="AI183">
        <f t="shared" si="56"/>
        <v>0</v>
      </c>
      <c r="AJ183">
        <f t="shared" si="57"/>
        <v>0</v>
      </c>
      <c r="AK183">
        <f t="shared" si="58"/>
        <v>0</v>
      </c>
      <c r="AL183">
        <f t="shared" si="59"/>
        <v>0</v>
      </c>
      <c r="AM183" s="113">
        <f t="shared" si="60"/>
        <v>0</v>
      </c>
      <c r="AN183">
        <f t="shared" si="61"/>
        <v>0</v>
      </c>
      <c r="AO183">
        <f t="shared" si="62"/>
        <v>0</v>
      </c>
      <c r="AP183">
        <f t="shared" si="63"/>
        <v>0</v>
      </c>
      <c r="AQ183">
        <f t="shared" si="64"/>
        <v>0</v>
      </c>
      <c r="AR183">
        <f t="shared" si="65"/>
        <v>0</v>
      </c>
      <c r="AS183">
        <f t="shared" si="66"/>
        <v>0</v>
      </c>
      <c r="AT183">
        <f t="shared" si="67"/>
        <v>0</v>
      </c>
      <c r="AU183">
        <f t="shared" si="68"/>
        <v>0</v>
      </c>
      <c r="AV183">
        <f t="shared" si="69"/>
        <v>0</v>
      </c>
      <c r="AW183">
        <f t="shared" si="70"/>
        <v>0</v>
      </c>
      <c r="AX183">
        <f t="shared" si="71"/>
        <v>0</v>
      </c>
    </row>
    <row r="184" spans="1:51" x14ac:dyDescent="0.25">
      <c r="A184" s="113">
        <v>181</v>
      </c>
      <c r="B184" s="209"/>
      <c r="C184" s="113">
        <v>0</v>
      </c>
      <c r="D184" s="113">
        <v>0</v>
      </c>
      <c r="E184" s="113" t="s">
        <v>688</v>
      </c>
      <c r="F184" s="113" t="s">
        <v>688</v>
      </c>
      <c r="G184" s="113"/>
      <c r="H184" s="113"/>
      <c r="I184" s="113"/>
      <c r="J184" s="113"/>
      <c r="K184" s="113"/>
      <c r="N184" s="113" t="e">
        <f>MATCH(A184,Entrada!$A$53:$A$372,0)</f>
        <v>#N/A</v>
      </c>
      <c r="O184">
        <f>IF(NOT(ISNA($N184)),INDEX(Entrada!$C$53:$N$372,$N184,O$2),0)</f>
        <v>0</v>
      </c>
      <c r="P184">
        <f>IF(NOT(ISNA($N184)),INDEX(Entrada!$C$53:$N$372,$N184,P$2),0)</f>
        <v>0</v>
      </c>
      <c r="Q184">
        <f>IF(NOT(ISNA($N184)),INDEX(Entrada!$C$53:$N$372,$N184,Q$2),0)</f>
        <v>0</v>
      </c>
      <c r="R184">
        <f>IF(NOT(ISNA($N184)),INDEX(Entrada!$C$53:$N$372,$N184,R$2),0)</f>
        <v>0</v>
      </c>
      <c r="S184">
        <f>IF(NOT(ISNA($N184)),INDEX(Entrada!$C$53:$N$372,$N184,S$2),0)</f>
        <v>0</v>
      </c>
      <c r="T184">
        <f>IF(NOT(ISNA($N184)),INDEX(Entrada!$C$53:$N$372,$N184,T$2),0)</f>
        <v>0</v>
      </c>
      <c r="U184">
        <f>IF(NOT(ISNA($N184)),INDEX(Entrada!$C$53:$N$372,$N184,U$2),0)</f>
        <v>0</v>
      </c>
      <c r="V184" s="225">
        <f>IF(NOT(ISNA($N184)),INDEX(Entrada!$C$53:$N$372,$N184,V$2),0)</f>
        <v>0</v>
      </c>
      <c r="W184" s="225">
        <f>IF(NOT(ISNA($N184)),INDEX(Entrada!$C$53:$N$372,$N184,W$2),0)</f>
        <v>0</v>
      </c>
      <c r="X184" s="225">
        <f>IF(NOT(ISNA($N184)),INDEX(Entrada!$C$53:$N$372,$N184,X$2),0)</f>
        <v>0</v>
      </c>
      <c r="Y184" s="225">
        <f>IF(NOT(ISNA($N184)),INDEX(Entrada!$C$53:$N$372,$N184,Y$2),0)</f>
        <v>0</v>
      </c>
      <c r="Z184" s="225">
        <f>IF(NOT(ISNA($N184)),INDEX(Entrada!$C$53:$N$372,$N184,Z$2),0)</f>
        <v>0</v>
      </c>
      <c r="AA184" s="113">
        <f t="shared" si="48"/>
        <v>0</v>
      </c>
      <c r="AB184">
        <f t="shared" si="49"/>
        <v>0</v>
      </c>
      <c r="AC184">
        <f t="shared" si="50"/>
        <v>0</v>
      </c>
      <c r="AD184">
        <f t="shared" si="51"/>
        <v>0</v>
      </c>
      <c r="AE184">
        <f t="shared" si="52"/>
        <v>0</v>
      </c>
      <c r="AF184">
        <f t="shared" si="53"/>
        <v>0</v>
      </c>
      <c r="AG184">
        <f t="shared" si="54"/>
        <v>0</v>
      </c>
      <c r="AH184">
        <f t="shared" si="55"/>
        <v>0</v>
      </c>
      <c r="AI184">
        <f t="shared" si="56"/>
        <v>0</v>
      </c>
      <c r="AJ184">
        <f t="shared" si="57"/>
        <v>0</v>
      </c>
      <c r="AK184">
        <f t="shared" si="58"/>
        <v>0</v>
      </c>
      <c r="AL184">
        <f t="shared" si="59"/>
        <v>0</v>
      </c>
      <c r="AM184" s="113">
        <f t="shared" si="60"/>
        <v>0</v>
      </c>
      <c r="AN184">
        <f t="shared" si="61"/>
        <v>0</v>
      </c>
      <c r="AO184">
        <f t="shared" si="62"/>
        <v>0</v>
      </c>
      <c r="AP184">
        <f t="shared" si="63"/>
        <v>0</v>
      </c>
      <c r="AQ184">
        <f t="shared" si="64"/>
        <v>0</v>
      </c>
      <c r="AR184">
        <f t="shared" si="65"/>
        <v>0</v>
      </c>
      <c r="AS184">
        <f t="shared" si="66"/>
        <v>0</v>
      </c>
      <c r="AT184">
        <f t="shared" si="67"/>
        <v>0</v>
      </c>
      <c r="AU184">
        <f t="shared" si="68"/>
        <v>0</v>
      </c>
      <c r="AV184">
        <f t="shared" si="69"/>
        <v>0</v>
      </c>
      <c r="AW184">
        <f t="shared" si="70"/>
        <v>0</v>
      </c>
      <c r="AX184">
        <f t="shared" si="71"/>
        <v>0</v>
      </c>
    </row>
    <row r="185" spans="1:51" x14ac:dyDescent="0.25">
      <c r="A185" s="113">
        <v>182</v>
      </c>
      <c r="B185" s="209"/>
      <c r="C185" s="113">
        <v>0</v>
      </c>
      <c r="D185" s="113">
        <v>0</v>
      </c>
      <c r="E185" s="113" t="s">
        <v>688</v>
      </c>
      <c r="F185" s="113" t="s">
        <v>688</v>
      </c>
      <c r="G185" s="113"/>
      <c r="H185" s="113"/>
      <c r="I185" s="113"/>
      <c r="J185" s="113"/>
      <c r="K185" s="113"/>
      <c r="N185" s="113" t="e">
        <f>MATCH(A185,Entrada!$A$53:$A$372,0)</f>
        <v>#N/A</v>
      </c>
      <c r="O185">
        <f>IF(NOT(ISNA($N185)),INDEX(Entrada!$C$53:$N$372,$N185,O$2),0)</f>
        <v>0</v>
      </c>
      <c r="P185">
        <f>IF(NOT(ISNA($N185)),INDEX(Entrada!$C$53:$N$372,$N185,P$2),0)</f>
        <v>0</v>
      </c>
      <c r="Q185">
        <f>IF(NOT(ISNA($N185)),INDEX(Entrada!$C$53:$N$372,$N185,Q$2),0)</f>
        <v>0</v>
      </c>
      <c r="R185">
        <f>IF(NOT(ISNA($N185)),INDEX(Entrada!$C$53:$N$372,$N185,R$2),0)</f>
        <v>0</v>
      </c>
      <c r="S185">
        <f>IF(NOT(ISNA($N185)),INDEX(Entrada!$C$53:$N$372,$N185,S$2),0)</f>
        <v>0</v>
      </c>
      <c r="T185">
        <f>IF(NOT(ISNA($N185)),INDEX(Entrada!$C$53:$N$372,$N185,T$2),0)</f>
        <v>0</v>
      </c>
      <c r="U185">
        <f>IF(NOT(ISNA($N185)),INDEX(Entrada!$C$53:$N$372,$N185,U$2),0)</f>
        <v>0</v>
      </c>
      <c r="V185" s="225">
        <f>IF(NOT(ISNA($N185)),INDEX(Entrada!$C$53:$N$372,$N185,V$2),0)</f>
        <v>0</v>
      </c>
      <c r="W185" s="225">
        <f>IF(NOT(ISNA($N185)),INDEX(Entrada!$C$53:$N$372,$N185,W$2),0)</f>
        <v>0</v>
      </c>
      <c r="X185" s="225">
        <f>IF(NOT(ISNA($N185)),INDEX(Entrada!$C$53:$N$372,$N185,X$2),0)</f>
        <v>0</v>
      </c>
      <c r="Y185" s="225">
        <f>IF(NOT(ISNA($N185)),INDEX(Entrada!$C$53:$N$372,$N185,Y$2),0)</f>
        <v>0</v>
      </c>
      <c r="Z185" s="225">
        <f>IF(NOT(ISNA($N185)),INDEX(Entrada!$C$53:$N$372,$N185,Z$2),0)</f>
        <v>0</v>
      </c>
      <c r="AA185" s="113">
        <f t="shared" si="48"/>
        <v>0</v>
      </c>
      <c r="AB185">
        <f t="shared" si="49"/>
        <v>0</v>
      </c>
      <c r="AC185">
        <f t="shared" si="50"/>
        <v>0</v>
      </c>
      <c r="AD185">
        <f t="shared" si="51"/>
        <v>0</v>
      </c>
      <c r="AE185">
        <f t="shared" si="52"/>
        <v>0</v>
      </c>
      <c r="AF185">
        <f t="shared" si="53"/>
        <v>0</v>
      </c>
      <c r="AG185">
        <f t="shared" si="54"/>
        <v>0</v>
      </c>
      <c r="AH185">
        <f t="shared" si="55"/>
        <v>0</v>
      </c>
      <c r="AI185">
        <f t="shared" si="56"/>
        <v>0</v>
      </c>
      <c r="AJ185">
        <f t="shared" si="57"/>
        <v>0</v>
      </c>
      <c r="AK185">
        <f t="shared" si="58"/>
        <v>0</v>
      </c>
      <c r="AL185">
        <f t="shared" si="59"/>
        <v>0</v>
      </c>
      <c r="AM185" s="113">
        <f t="shared" si="60"/>
        <v>0</v>
      </c>
      <c r="AN185">
        <f t="shared" si="61"/>
        <v>0</v>
      </c>
      <c r="AO185">
        <f t="shared" si="62"/>
        <v>0</v>
      </c>
      <c r="AP185">
        <f t="shared" si="63"/>
        <v>0</v>
      </c>
      <c r="AQ185">
        <f t="shared" si="64"/>
        <v>0</v>
      </c>
      <c r="AR185">
        <f t="shared" si="65"/>
        <v>0</v>
      </c>
      <c r="AS185">
        <f t="shared" si="66"/>
        <v>0</v>
      </c>
      <c r="AT185">
        <f t="shared" si="67"/>
        <v>0</v>
      </c>
      <c r="AU185">
        <f t="shared" si="68"/>
        <v>0</v>
      </c>
      <c r="AV185">
        <f t="shared" si="69"/>
        <v>0</v>
      </c>
      <c r="AW185">
        <f t="shared" si="70"/>
        <v>0</v>
      </c>
      <c r="AX185">
        <f t="shared" si="71"/>
        <v>0</v>
      </c>
    </row>
    <row r="186" spans="1:51" x14ac:dyDescent="0.25">
      <c r="A186" s="113">
        <v>183</v>
      </c>
      <c r="B186" s="209" t="s">
        <v>623</v>
      </c>
      <c r="C186" s="113">
        <v>1931</v>
      </c>
      <c r="D186" s="113">
        <v>2013</v>
      </c>
      <c r="E186" s="210" t="s">
        <v>13</v>
      </c>
      <c r="F186" s="210" t="s">
        <v>384</v>
      </c>
      <c r="G186" s="113">
        <v>262</v>
      </c>
      <c r="H186" s="113"/>
      <c r="I186" s="113"/>
      <c r="J186" s="113"/>
      <c r="K186" s="113"/>
      <c r="N186" s="113">
        <f>MATCH(A186,Entrada!$A$53:$A$372,0)</f>
        <v>115</v>
      </c>
      <c r="O186">
        <f>IF(NOT(ISNA($N186)),INDEX(Entrada!$C$53:$N$372,$N186,O$2),0)</f>
        <v>168</v>
      </c>
      <c r="P186">
        <f>IF(NOT(ISNA($N186)),INDEX(Entrada!$C$53:$N$372,$N186,P$2),0)</f>
        <v>128</v>
      </c>
      <c r="Q186">
        <f>IF(NOT(ISNA($N186)),INDEX(Entrada!$C$53:$N$372,$N186,Q$2),0)</f>
        <v>115</v>
      </c>
      <c r="R186">
        <f>IF(NOT(ISNA($N186)),INDEX(Entrada!$C$53:$N$372,$N186,R$2),0)</f>
        <v>83</v>
      </c>
      <c r="S186">
        <f>IF(NOT(ISNA($N186)),INDEX(Entrada!$C$53:$N$372,$N186,S$2),0)</f>
        <v>62</v>
      </c>
      <c r="T186">
        <f>IF(NOT(ISNA($N186)),INDEX(Entrada!$C$53:$N$372,$N186,T$2),0)</f>
        <v>53</v>
      </c>
      <c r="U186">
        <f>IF(NOT(ISNA($N186)),INDEX(Entrada!$C$53:$N$372,$N186,U$2),0)</f>
        <v>47</v>
      </c>
      <c r="V186" s="225">
        <f>IF(NOT(ISNA($N186)),INDEX(Entrada!$C$53:$N$372,$N186,V$2),0)</f>
        <v>42</v>
      </c>
      <c r="W186" s="225">
        <f>IF(NOT(ISNA($N186)),INDEX(Entrada!$C$53:$N$372,$N186,W$2),0)</f>
        <v>42</v>
      </c>
      <c r="X186" s="225">
        <f>IF(NOT(ISNA($N186)),INDEX(Entrada!$C$53:$N$372,$N186,X$2),0)</f>
        <v>53</v>
      </c>
      <c r="Y186" s="225">
        <f>IF(NOT(ISNA($N186)),INDEX(Entrada!$C$53:$N$372,$N186,Y$2),0)</f>
        <v>86</v>
      </c>
      <c r="Z186" s="225">
        <f>IF(NOT(ISNA($N186)),INDEX(Entrada!$C$53:$N$372,$N186,Z$2),0)</f>
        <v>143</v>
      </c>
      <c r="AA186" s="113">
        <f t="shared" si="48"/>
        <v>153</v>
      </c>
      <c r="AB186">
        <f t="shared" si="49"/>
        <v>117</v>
      </c>
      <c r="AC186">
        <f t="shared" si="50"/>
        <v>105</v>
      </c>
      <c r="AD186">
        <f t="shared" si="51"/>
        <v>76</v>
      </c>
      <c r="AE186">
        <f t="shared" si="52"/>
        <v>57</v>
      </c>
      <c r="AF186">
        <f t="shared" si="53"/>
        <v>49</v>
      </c>
      <c r="AG186">
        <f t="shared" si="54"/>
        <v>43</v>
      </c>
      <c r="AH186">
        <f t="shared" si="55"/>
        <v>38</v>
      </c>
      <c r="AI186">
        <f t="shared" si="56"/>
        <v>38</v>
      </c>
      <c r="AJ186">
        <f t="shared" si="57"/>
        <v>48</v>
      </c>
      <c r="AK186">
        <f t="shared" si="58"/>
        <v>79</v>
      </c>
      <c r="AL186">
        <f t="shared" si="59"/>
        <v>131</v>
      </c>
      <c r="AM186" s="113">
        <f t="shared" si="60"/>
        <v>15</v>
      </c>
      <c r="AN186">
        <f t="shared" si="61"/>
        <v>11</v>
      </c>
      <c r="AO186">
        <f t="shared" si="62"/>
        <v>10</v>
      </c>
      <c r="AP186">
        <f t="shared" si="63"/>
        <v>7</v>
      </c>
      <c r="AQ186">
        <f t="shared" si="64"/>
        <v>5</v>
      </c>
      <c r="AR186">
        <f t="shared" si="65"/>
        <v>4</v>
      </c>
      <c r="AS186">
        <f t="shared" si="66"/>
        <v>4</v>
      </c>
      <c r="AT186">
        <f t="shared" si="67"/>
        <v>4</v>
      </c>
      <c r="AU186">
        <f t="shared" si="68"/>
        <v>4</v>
      </c>
      <c r="AV186">
        <f t="shared" si="69"/>
        <v>5</v>
      </c>
      <c r="AW186">
        <f t="shared" si="70"/>
        <v>7</v>
      </c>
      <c r="AX186">
        <f t="shared" si="71"/>
        <v>12</v>
      </c>
    </row>
    <row r="187" spans="1:51" x14ac:dyDescent="0.25">
      <c r="A187" s="113">
        <v>184</v>
      </c>
      <c r="B187" s="209"/>
      <c r="C187" s="113">
        <v>0</v>
      </c>
      <c r="D187" s="113">
        <v>0</v>
      </c>
      <c r="E187" s="113" t="s">
        <v>688</v>
      </c>
      <c r="F187" s="113" t="s">
        <v>688</v>
      </c>
      <c r="G187" s="113"/>
      <c r="H187" s="113"/>
      <c r="I187" s="113"/>
      <c r="J187" s="113"/>
      <c r="K187" s="113"/>
      <c r="N187" s="113" t="e">
        <f>MATCH(A187,Entrada!$A$53:$A$372,0)</f>
        <v>#N/A</v>
      </c>
      <c r="O187">
        <f>IF(NOT(ISNA($N187)),INDEX(Entrada!$C$53:$N$372,$N187,O$2),0)</f>
        <v>0</v>
      </c>
      <c r="P187">
        <f>IF(NOT(ISNA($N187)),INDEX(Entrada!$C$53:$N$372,$N187,P$2),0)</f>
        <v>0</v>
      </c>
      <c r="Q187">
        <f>IF(NOT(ISNA($N187)),INDEX(Entrada!$C$53:$N$372,$N187,Q$2),0)</f>
        <v>0</v>
      </c>
      <c r="R187">
        <f>IF(NOT(ISNA($N187)),INDEX(Entrada!$C$53:$N$372,$N187,R$2),0)</f>
        <v>0</v>
      </c>
      <c r="S187">
        <f>IF(NOT(ISNA($N187)),INDEX(Entrada!$C$53:$N$372,$N187,S$2),0)</f>
        <v>0</v>
      </c>
      <c r="T187">
        <f>IF(NOT(ISNA($N187)),INDEX(Entrada!$C$53:$N$372,$N187,T$2),0)</f>
        <v>0</v>
      </c>
      <c r="U187">
        <f>IF(NOT(ISNA($N187)),INDEX(Entrada!$C$53:$N$372,$N187,U$2),0)</f>
        <v>0</v>
      </c>
      <c r="V187" s="225">
        <f>IF(NOT(ISNA($N187)),INDEX(Entrada!$C$53:$N$372,$N187,V$2),0)</f>
        <v>0</v>
      </c>
      <c r="W187" s="225">
        <f>IF(NOT(ISNA($N187)),INDEX(Entrada!$C$53:$N$372,$N187,W$2),0)</f>
        <v>0</v>
      </c>
      <c r="X187" s="225">
        <f>IF(NOT(ISNA($N187)),INDEX(Entrada!$C$53:$N$372,$N187,X$2),0)</f>
        <v>0</v>
      </c>
      <c r="Y187" s="225">
        <f>IF(NOT(ISNA($N187)),INDEX(Entrada!$C$53:$N$372,$N187,Y$2),0)</f>
        <v>0</v>
      </c>
      <c r="Z187" s="225">
        <f>IF(NOT(ISNA($N187)),INDEX(Entrada!$C$53:$N$372,$N187,Z$2),0)</f>
        <v>0</v>
      </c>
      <c r="AA187" s="113">
        <f t="shared" si="48"/>
        <v>0</v>
      </c>
      <c r="AB187">
        <f t="shared" si="49"/>
        <v>0</v>
      </c>
      <c r="AC187">
        <f t="shared" si="50"/>
        <v>0</v>
      </c>
      <c r="AD187">
        <f t="shared" si="51"/>
        <v>0</v>
      </c>
      <c r="AE187">
        <f t="shared" si="52"/>
        <v>0</v>
      </c>
      <c r="AF187">
        <f t="shared" si="53"/>
        <v>0</v>
      </c>
      <c r="AG187">
        <f t="shared" si="54"/>
        <v>0</v>
      </c>
      <c r="AH187">
        <f t="shared" si="55"/>
        <v>0</v>
      </c>
      <c r="AI187">
        <f t="shared" si="56"/>
        <v>0</v>
      </c>
      <c r="AJ187">
        <f t="shared" si="57"/>
        <v>0</v>
      </c>
      <c r="AK187">
        <f t="shared" si="58"/>
        <v>0</v>
      </c>
      <c r="AL187">
        <f t="shared" si="59"/>
        <v>0</v>
      </c>
      <c r="AM187" s="113">
        <f t="shared" si="60"/>
        <v>0</v>
      </c>
      <c r="AN187">
        <f t="shared" si="61"/>
        <v>0</v>
      </c>
      <c r="AO187">
        <f t="shared" si="62"/>
        <v>0</v>
      </c>
      <c r="AP187">
        <f t="shared" si="63"/>
        <v>0</v>
      </c>
      <c r="AQ187">
        <f t="shared" si="64"/>
        <v>0</v>
      </c>
      <c r="AR187">
        <f t="shared" si="65"/>
        <v>0</v>
      </c>
      <c r="AS187">
        <f t="shared" si="66"/>
        <v>0</v>
      </c>
      <c r="AT187">
        <f t="shared" si="67"/>
        <v>0</v>
      </c>
      <c r="AU187">
        <f t="shared" si="68"/>
        <v>0</v>
      </c>
      <c r="AV187">
        <f t="shared" si="69"/>
        <v>0</v>
      </c>
      <c r="AW187">
        <f t="shared" si="70"/>
        <v>0</v>
      </c>
      <c r="AX187">
        <f t="shared" si="71"/>
        <v>0</v>
      </c>
    </row>
    <row r="188" spans="1:51" x14ac:dyDescent="0.25">
      <c r="A188" s="113">
        <v>185</v>
      </c>
      <c r="B188" s="209"/>
      <c r="C188" s="113">
        <v>0</v>
      </c>
      <c r="D188" s="113">
        <v>0</v>
      </c>
      <c r="E188" s="113" t="s">
        <v>688</v>
      </c>
      <c r="F188" s="113" t="s">
        <v>688</v>
      </c>
      <c r="G188" s="113"/>
      <c r="H188" s="113"/>
      <c r="I188" s="113"/>
      <c r="J188" s="113"/>
      <c r="K188" s="113"/>
      <c r="N188" s="113" t="e">
        <f>MATCH(A188,Entrada!$A$53:$A$372,0)</f>
        <v>#N/A</v>
      </c>
      <c r="O188">
        <f>IF(NOT(ISNA($N188)),INDEX(Entrada!$C$53:$N$372,$N188,O$2),0)</f>
        <v>0</v>
      </c>
      <c r="P188">
        <f>IF(NOT(ISNA($N188)),INDEX(Entrada!$C$53:$N$372,$N188,P$2),0)</f>
        <v>0</v>
      </c>
      <c r="Q188">
        <f>IF(NOT(ISNA($N188)),INDEX(Entrada!$C$53:$N$372,$N188,Q$2),0)</f>
        <v>0</v>
      </c>
      <c r="R188">
        <f>IF(NOT(ISNA($N188)),INDEX(Entrada!$C$53:$N$372,$N188,R$2),0)</f>
        <v>0</v>
      </c>
      <c r="S188">
        <f>IF(NOT(ISNA($N188)),INDEX(Entrada!$C$53:$N$372,$N188,S$2),0)</f>
        <v>0</v>
      </c>
      <c r="T188">
        <f>IF(NOT(ISNA($N188)),INDEX(Entrada!$C$53:$N$372,$N188,T$2),0)</f>
        <v>0</v>
      </c>
      <c r="U188">
        <f>IF(NOT(ISNA($N188)),INDEX(Entrada!$C$53:$N$372,$N188,U$2),0)</f>
        <v>0</v>
      </c>
      <c r="V188" s="225">
        <f>IF(NOT(ISNA($N188)),INDEX(Entrada!$C$53:$N$372,$N188,V$2),0)</f>
        <v>0</v>
      </c>
      <c r="W188" s="225">
        <f>IF(NOT(ISNA($N188)),INDEX(Entrada!$C$53:$N$372,$N188,W$2),0)</f>
        <v>0</v>
      </c>
      <c r="X188" s="225">
        <f>IF(NOT(ISNA($N188)),INDEX(Entrada!$C$53:$N$372,$N188,X$2),0)</f>
        <v>0</v>
      </c>
      <c r="Y188" s="225">
        <f>IF(NOT(ISNA($N188)),INDEX(Entrada!$C$53:$N$372,$N188,Y$2),0)</f>
        <v>0</v>
      </c>
      <c r="Z188" s="225">
        <f>IF(NOT(ISNA($N188)),INDEX(Entrada!$C$53:$N$372,$N188,Z$2),0)</f>
        <v>0</v>
      </c>
      <c r="AA188" s="113">
        <f t="shared" si="48"/>
        <v>0</v>
      </c>
      <c r="AB188">
        <f t="shared" si="49"/>
        <v>0</v>
      </c>
      <c r="AC188">
        <f t="shared" si="50"/>
        <v>0</v>
      </c>
      <c r="AD188">
        <f t="shared" si="51"/>
        <v>0</v>
      </c>
      <c r="AE188">
        <f t="shared" si="52"/>
        <v>0</v>
      </c>
      <c r="AF188">
        <f t="shared" si="53"/>
        <v>0</v>
      </c>
      <c r="AG188">
        <f t="shared" si="54"/>
        <v>0</v>
      </c>
      <c r="AH188">
        <f t="shared" si="55"/>
        <v>0</v>
      </c>
      <c r="AI188">
        <f t="shared" si="56"/>
        <v>0</v>
      </c>
      <c r="AJ188">
        <f t="shared" si="57"/>
        <v>0</v>
      </c>
      <c r="AK188">
        <f t="shared" si="58"/>
        <v>0</v>
      </c>
      <c r="AL188">
        <f t="shared" si="59"/>
        <v>0</v>
      </c>
      <c r="AM188" s="113">
        <f t="shared" si="60"/>
        <v>0</v>
      </c>
      <c r="AN188">
        <f t="shared" si="61"/>
        <v>0</v>
      </c>
      <c r="AO188">
        <f t="shared" si="62"/>
        <v>0</v>
      </c>
      <c r="AP188">
        <f t="shared" si="63"/>
        <v>0</v>
      </c>
      <c r="AQ188">
        <f t="shared" si="64"/>
        <v>0</v>
      </c>
      <c r="AR188">
        <f t="shared" si="65"/>
        <v>0</v>
      </c>
      <c r="AS188">
        <f t="shared" si="66"/>
        <v>0</v>
      </c>
      <c r="AT188">
        <f t="shared" si="67"/>
        <v>0</v>
      </c>
      <c r="AU188">
        <f t="shared" si="68"/>
        <v>0</v>
      </c>
      <c r="AV188">
        <f t="shared" si="69"/>
        <v>0</v>
      </c>
      <c r="AW188">
        <f t="shared" si="70"/>
        <v>0</v>
      </c>
      <c r="AX188">
        <f t="shared" si="71"/>
        <v>0</v>
      </c>
    </row>
    <row r="189" spans="1:51" x14ac:dyDescent="0.25">
      <c r="A189" s="113">
        <v>186</v>
      </c>
      <c r="B189" s="209"/>
      <c r="C189" s="113">
        <v>0</v>
      </c>
      <c r="D189" s="113">
        <v>0</v>
      </c>
      <c r="E189" s="113" t="s">
        <v>688</v>
      </c>
      <c r="F189" s="113" t="s">
        <v>688</v>
      </c>
      <c r="G189" s="113"/>
      <c r="H189" s="113"/>
      <c r="I189" s="113"/>
      <c r="J189" s="113"/>
      <c r="K189" s="113"/>
      <c r="N189" s="113" t="e">
        <f>MATCH(A189,Entrada!$A$53:$A$372,0)</f>
        <v>#N/A</v>
      </c>
      <c r="O189">
        <f>IF(NOT(ISNA($N189)),INDEX(Entrada!$C$53:$N$372,$N189,O$2),0)</f>
        <v>0</v>
      </c>
      <c r="P189">
        <f>IF(NOT(ISNA($N189)),INDEX(Entrada!$C$53:$N$372,$N189,P$2),0)</f>
        <v>0</v>
      </c>
      <c r="Q189">
        <f>IF(NOT(ISNA($N189)),INDEX(Entrada!$C$53:$N$372,$N189,Q$2),0)</f>
        <v>0</v>
      </c>
      <c r="R189">
        <f>IF(NOT(ISNA($N189)),INDEX(Entrada!$C$53:$N$372,$N189,R$2),0)</f>
        <v>0</v>
      </c>
      <c r="S189">
        <f>IF(NOT(ISNA($N189)),INDEX(Entrada!$C$53:$N$372,$N189,S$2),0)</f>
        <v>0</v>
      </c>
      <c r="T189">
        <f>IF(NOT(ISNA($N189)),INDEX(Entrada!$C$53:$N$372,$N189,T$2),0)</f>
        <v>0</v>
      </c>
      <c r="U189">
        <f>IF(NOT(ISNA($N189)),INDEX(Entrada!$C$53:$N$372,$N189,U$2),0)</f>
        <v>0</v>
      </c>
      <c r="V189" s="225">
        <f>IF(NOT(ISNA($N189)),INDEX(Entrada!$C$53:$N$372,$N189,V$2),0)</f>
        <v>0</v>
      </c>
      <c r="W189" s="225">
        <f>IF(NOT(ISNA($N189)),INDEX(Entrada!$C$53:$N$372,$N189,W$2),0)</f>
        <v>0</v>
      </c>
      <c r="X189" s="225">
        <f>IF(NOT(ISNA($N189)),INDEX(Entrada!$C$53:$N$372,$N189,X$2),0)</f>
        <v>0</v>
      </c>
      <c r="Y189" s="225">
        <f>IF(NOT(ISNA($N189)),INDEX(Entrada!$C$53:$N$372,$N189,Y$2),0)</f>
        <v>0</v>
      </c>
      <c r="Z189" s="225">
        <f>IF(NOT(ISNA($N189)),INDEX(Entrada!$C$53:$N$372,$N189,Z$2),0)</f>
        <v>0</v>
      </c>
      <c r="AA189" s="113">
        <f t="shared" si="48"/>
        <v>0</v>
      </c>
      <c r="AB189">
        <f t="shared" si="49"/>
        <v>0</v>
      </c>
      <c r="AC189">
        <f t="shared" si="50"/>
        <v>0</v>
      </c>
      <c r="AD189">
        <f t="shared" si="51"/>
        <v>0</v>
      </c>
      <c r="AE189">
        <f t="shared" si="52"/>
        <v>0</v>
      </c>
      <c r="AF189">
        <f t="shared" si="53"/>
        <v>0</v>
      </c>
      <c r="AG189">
        <f t="shared" si="54"/>
        <v>0</v>
      </c>
      <c r="AH189">
        <f t="shared" si="55"/>
        <v>0</v>
      </c>
      <c r="AI189">
        <f t="shared" si="56"/>
        <v>0</v>
      </c>
      <c r="AJ189">
        <f t="shared" si="57"/>
        <v>0</v>
      </c>
      <c r="AK189">
        <f t="shared" si="58"/>
        <v>0</v>
      </c>
      <c r="AL189">
        <f t="shared" si="59"/>
        <v>0</v>
      </c>
      <c r="AM189" s="113">
        <f t="shared" si="60"/>
        <v>0</v>
      </c>
      <c r="AN189">
        <f t="shared" si="61"/>
        <v>0</v>
      </c>
      <c r="AO189">
        <f t="shared" si="62"/>
        <v>0</v>
      </c>
      <c r="AP189">
        <f t="shared" si="63"/>
        <v>0</v>
      </c>
      <c r="AQ189">
        <f t="shared" si="64"/>
        <v>0</v>
      </c>
      <c r="AR189">
        <f t="shared" si="65"/>
        <v>0</v>
      </c>
      <c r="AS189">
        <f t="shared" si="66"/>
        <v>0</v>
      </c>
      <c r="AT189">
        <f t="shared" si="67"/>
        <v>0</v>
      </c>
      <c r="AU189">
        <f t="shared" si="68"/>
        <v>0</v>
      </c>
      <c r="AV189">
        <f t="shared" si="69"/>
        <v>0</v>
      </c>
      <c r="AW189">
        <f t="shared" si="70"/>
        <v>0</v>
      </c>
      <c r="AX189">
        <f t="shared" si="71"/>
        <v>0</v>
      </c>
    </row>
    <row r="190" spans="1:51" x14ac:dyDescent="0.25">
      <c r="A190" s="113">
        <v>187</v>
      </c>
      <c r="B190" s="209" t="s">
        <v>624</v>
      </c>
      <c r="C190" s="113">
        <v>1931</v>
      </c>
      <c r="D190" s="113">
        <v>2013</v>
      </c>
      <c r="E190" s="210" t="s">
        <v>688</v>
      </c>
      <c r="F190" s="210" t="s">
        <v>688</v>
      </c>
      <c r="G190" s="113"/>
      <c r="H190" s="113"/>
      <c r="I190" s="113"/>
      <c r="J190" s="113"/>
      <c r="K190" s="113"/>
      <c r="N190" s="113">
        <f>MATCH(A190,Entrada!$A$53:$A$372,0)</f>
        <v>116</v>
      </c>
      <c r="O190">
        <f>IF(NOT(ISNA($N190)),INDEX(Entrada!$C$53:$N$372,$N190,O$2),0)</f>
        <v>122</v>
      </c>
      <c r="P190">
        <f>IF(NOT(ISNA($N190)),INDEX(Entrada!$C$53:$N$372,$N190,P$2),0)</f>
        <v>123</v>
      </c>
      <c r="Q190">
        <f>IF(NOT(ISNA($N190)),INDEX(Entrada!$C$53:$N$372,$N190,Q$2),0)</f>
        <v>122</v>
      </c>
      <c r="R190">
        <f>IF(NOT(ISNA($N190)),INDEX(Entrada!$C$53:$N$372,$N190,R$2),0)</f>
        <v>101</v>
      </c>
      <c r="S190">
        <f>IF(NOT(ISNA($N190)),INDEX(Entrada!$C$53:$N$372,$N190,S$2),0)</f>
        <v>87</v>
      </c>
      <c r="T190">
        <f>IF(NOT(ISNA($N190)),INDEX(Entrada!$C$53:$N$372,$N190,T$2),0)</f>
        <v>77</v>
      </c>
      <c r="U190">
        <f>IF(NOT(ISNA($N190)),INDEX(Entrada!$C$53:$N$372,$N190,U$2),0)</f>
        <v>68</v>
      </c>
      <c r="V190" s="225">
        <f>IF(NOT(ISNA($N190)),INDEX(Entrada!$C$53:$N$372,$N190,V$2),0)</f>
        <v>62</v>
      </c>
      <c r="W190" s="225">
        <f>IF(NOT(ISNA($N190)),INDEX(Entrada!$C$53:$N$372,$N190,W$2),0)</f>
        <v>61</v>
      </c>
      <c r="X190" s="225">
        <f>IF(NOT(ISNA($N190)),INDEX(Entrada!$C$53:$N$372,$N190,X$2),0)</f>
        <v>68</v>
      </c>
      <c r="Y190" s="225">
        <f>IF(NOT(ISNA($N190)),INDEX(Entrada!$C$53:$N$372,$N190,Y$2),0)</f>
        <v>86</v>
      </c>
      <c r="Z190" s="225">
        <f>IF(NOT(ISNA($N190)),INDEX(Entrada!$C$53:$N$372,$N190,Z$2),0)</f>
        <v>112</v>
      </c>
      <c r="AA190" s="113">
        <f t="shared" si="48"/>
        <v>0</v>
      </c>
      <c r="AB190">
        <f t="shared" si="49"/>
        <v>0</v>
      </c>
      <c r="AC190">
        <f t="shared" si="50"/>
        <v>0</v>
      </c>
      <c r="AD190">
        <f t="shared" si="51"/>
        <v>0</v>
      </c>
      <c r="AE190">
        <f t="shared" si="52"/>
        <v>0</v>
      </c>
      <c r="AF190">
        <f t="shared" si="53"/>
        <v>0</v>
      </c>
      <c r="AG190">
        <f t="shared" si="54"/>
        <v>0</v>
      </c>
      <c r="AH190">
        <f t="shared" si="55"/>
        <v>0</v>
      </c>
      <c r="AI190">
        <f t="shared" si="56"/>
        <v>0</v>
      </c>
      <c r="AJ190">
        <f t="shared" si="57"/>
        <v>0</v>
      </c>
      <c r="AK190">
        <f t="shared" si="58"/>
        <v>0</v>
      </c>
      <c r="AL190">
        <f t="shared" si="59"/>
        <v>0</v>
      </c>
      <c r="AM190" s="113">
        <f t="shared" si="60"/>
        <v>122</v>
      </c>
      <c r="AN190">
        <f t="shared" si="61"/>
        <v>123</v>
      </c>
      <c r="AO190">
        <f t="shared" si="62"/>
        <v>122</v>
      </c>
      <c r="AP190">
        <f t="shared" si="63"/>
        <v>101</v>
      </c>
      <c r="AQ190">
        <f t="shared" si="64"/>
        <v>87</v>
      </c>
      <c r="AR190">
        <f t="shared" si="65"/>
        <v>77</v>
      </c>
      <c r="AS190">
        <f t="shared" si="66"/>
        <v>68</v>
      </c>
      <c r="AT190">
        <f t="shared" si="67"/>
        <v>62</v>
      </c>
      <c r="AU190">
        <f t="shared" si="68"/>
        <v>61</v>
      </c>
      <c r="AV190">
        <f t="shared" si="69"/>
        <v>68</v>
      </c>
      <c r="AW190">
        <f t="shared" si="70"/>
        <v>86</v>
      </c>
      <c r="AX190">
        <f t="shared" si="71"/>
        <v>112</v>
      </c>
    </row>
    <row r="191" spans="1:51" x14ac:dyDescent="0.25">
      <c r="A191" s="113">
        <v>188</v>
      </c>
      <c r="B191" s="209" t="s">
        <v>625</v>
      </c>
      <c r="C191" s="113">
        <v>1931</v>
      </c>
      <c r="D191" s="113">
        <v>2013</v>
      </c>
      <c r="E191" s="210" t="s">
        <v>25</v>
      </c>
      <c r="F191" s="210" t="s">
        <v>385</v>
      </c>
      <c r="G191" s="113"/>
      <c r="H191" s="113"/>
      <c r="I191" s="113"/>
      <c r="J191" s="113"/>
      <c r="K191" s="113"/>
      <c r="N191" s="113">
        <f>MATCH(A191,Entrada!$A$53:$A$372,0)</f>
        <v>117</v>
      </c>
      <c r="O191">
        <f>IF(NOT(ISNA($N191)),INDEX(Entrada!$C$53:$N$372,$N191,O$2),0)</f>
        <v>826</v>
      </c>
      <c r="P191">
        <f>IF(NOT(ISNA($N191)),INDEX(Entrada!$C$53:$N$372,$N191,P$2),0)</f>
        <v>606</v>
      </c>
      <c r="Q191">
        <f>IF(NOT(ISNA($N191)),INDEX(Entrada!$C$53:$N$372,$N191,Q$2),0)</f>
        <v>501</v>
      </c>
      <c r="R191">
        <f>IF(NOT(ISNA($N191)),INDEX(Entrada!$C$53:$N$372,$N191,R$2),0)</f>
        <v>344</v>
      </c>
      <c r="S191">
        <f>IF(NOT(ISNA($N191)),INDEX(Entrada!$C$53:$N$372,$N191,S$2),0)</f>
        <v>209</v>
      </c>
      <c r="T191">
        <f>IF(NOT(ISNA($N191)),INDEX(Entrada!$C$53:$N$372,$N191,T$2),0)</f>
        <v>166</v>
      </c>
      <c r="U191">
        <f>IF(NOT(ISNA($N191)),INDEX(Entrada!$C$53:$N$372,$N191,U$2),0)</f>
        <v>140</v>
      </c>
      <c r="V191" s="225">
        <f>IF(NOT(ISNA($N191)),INDEX(Entrada!$C$53:$N$372,$N191,V$2),0)</f>
        <v>118</v>
      </c>
      <c r="W191" s="225">
        <f>IF(NOT(ISNA($N191)),INDEX(Entrada!$C$53:$N$372,$N191,W$2),0)</f>
        <v>108</v>
      </c>
      <c r="X191" s="225">
        <f>IF(NOT(ISNA($N191)),INDEX(Entrada!$C$53:$N$372,$N191,X$2),0)</f>
        <v>173</v>
      </c>
      <c r="Y191" s="225">
        <f>IF(NOT(ISNA($N191)),INDEX(Entrada!$C$53:$N$372,$N191,Y$2),0)</f>
        <v>474</v>
      </c>
      <c r="Z191" s="225">
        <f>IF(NOT(ISNA($N191)),INDEX(Entrada!$C$53:$N$372,$N191,Z$2),0)</f>
        <v>892</v>
      </c>
      <c r="AA191" s="113">
        <f t="shared" si="48"/>
        <v>0</v>
      </c>
      <c r="AB191">
        <f t="shared" si="49"/>
        <v>0</v>
      </c>
      <c r="AC191">
        <f t="shared" si="50"/>
        <v>0</v>
      </c>
      <c r="AD191">
        <f t="shared" si="51"/>
        <v>0</v>
      </c>
      <c r="AE191">
        <f t="shared" si="52"/>
        <v>0</v>
      </c>
      <c r="AF191">
        <f t="shared" si="53"/>
        <v>0</v>
      </c>
      <c r="AG191">
        <f t="shared" si="54"/>
        <v>0</v>
      </c>
      <c r="AH191">
        <f t="shared" si="55"/>
        <v>0</v>
      </c>
      <c r="AI191">
        <f t="shared" si="56"/>
        <v>0</v>
      </c>
      <c r="AJ191">
        <f t="shared" si="57"/>
        <v>0</v>
      </c>
      <c r="AK191">
        <f t="shared" si="58"/>
        <v>0</v>
      </c>
      <c r="AL191">
        <f t="shared" si="59"/>
        <v>0</v>
      </c>
      <c r="AM191" s="113">
        <f t="shared" si="60"/>
        <v>826</v>
      </c>
      <c r="AN191">
        <f t="shared" si="61"/>
        <v>606</v>
      </c>
      <c r="AO191">
        <f t="shared" si="62"/>
        <v>501</v>
      </c>
      <c r="AP191">
        <f t="shared" si="63"/>
        <v>344</v>
      </c>
      <c r="AQ191">
        <f t="shared" si="64"/>
        <v>209</v>
      </c>
      <c r="AR191">
        <f t="shared" si="65"/>
        <v>166</v>
      </c>
      <c r="AS191">
        <f t="shared" si="66"/>
        <v>140</v>
      </c>
      <c r="AT191">
        <f t="shared" si="67"/>
        <v>118</v>
      </c>
      <c r="AU191">
        <f t="shared" si="68"/>
        <v>108</v>
      </c>
      <c r="AV191">
        <f t="shared" si="69"/>
        <v>173</v>
      </c>
      <c r="AW191">
        <f t="shared" si="70"/>
        <v>474</v>
      </c>
      <c r="AX191">
        <f t="shared" si="71"/>
        <v>892</v>
      </c>
    </row>
    <row r="192" spans="1:51" x14ac:dyDescent="0.25">
      <c r="A192" s="113">
        <v>189</v>
      </c>
      <c r="B192" s="209"/>
      <c r="C192" s="113">
        <v>0</v>
      </c>
      <c r="D192" s="113">
        <v>0</v>
      </c>
      <c r="E192" s="113" t="s">
        <v>688</v>
      </c>
      <c r="F192" s="113" t="s">
        <v>688</v>
      </c>
      <c r="G192" s="113"/>
      <c r="H192" s="113"/>
      <c r="I192" s="113"/>
      <c r="J192" s="113"/>
      <c r="K192" s="113"/>
      <c r="N192" s="113" t="e">
        <f>MATCH(A192,Entrada!$A$53:$A$372,0)</f>
        <v>#N/A</v>
      </c>
      <c r="O192">
        <f>IF(NOT(ISNA($N192)),INDEX(Entrada!$C$53:$N$372,$N192,O$2),0)</f>
        <v>0</v>
      </c>
      <c r="P192">
        <f>IF(NOT(ISNA($N192)),INDEX(Entrada!$C$53:$N$372,$N192,P$2),0)</f>
        <v>0</v>
      </c>
      <c r="Q192">
        <f>IF(NOT(ISNA($N192)),INDEX(Entrada!$C$53:$N$372,$N192,Q$2),0)</f>
        <v>0</v>
      </c>
      <c r="R192">
        <f>IF(NOT(ISNA($N192)),INDEX(Entrada!$C$53:$N$372,$N192,R$2),0)</f>
        <v>0</v>
      </c>
      <c r="S192">
        <f>IF(NOT(ISNA($N192)),INDEX(Entrada!$C$53:$N$372,$N192,S$2),0)</f>
        <v>0</v>
      </c>
      <c r="T192">
        <f>IF(NOT(ISNA($N192)),INDEX(Entrada!$C$53:$N$372,$N192,T$2),0)</f>
        <v>0</v>
      </c>
      <c r="U192">
        <f>IF(NOT(ISNA($N192)),INDEX(Entrada!$C$53:$N$372,$N192,U$2),0)</f>
        <v>0</v>
      </c>
      <c r="V192" s="225">
        <f>IF(NOT(ISNA($N192)),INDEX(Entrada!$C$53:$N$372,$N192,V$2),0)</f>
        <v>0</v>
      </c>
      <c r="W192" s="225">
        <f>IF(NOT(ISNA($N192)),INDEX(Entrada!$C$53:$N$372,$N192,W$2),0)</f>
        <v>0</v>
      </c>
      <c r="X192" s="225">
        <f>IF(NOT(ISNA($N192)),INDEX(Entrada!$C$53:$N$372,$N192,X$2),0)</f>
        <v>0</v>
      </c>
      <c r="Y192" s="225">
        <f>IF(NOT(ISNA($N192)),INDEX(Entrada!$C$53:$N$372,$N192,Y$2),0)</f>
        <v>0</v>
      </c>
      <c r="Z192" s="225">
        <f>IF(NOT(ISNA($N192)),INDEX(Entrada!$C$53:$N$372,$N192,Z$2),0)</f>
        <v>0</v>
      </c>
      <c r="AA192" s="113">
        <f t="shared" si="48"/>
        <v>0</v>
      </c>
      <c r="AB192">
        <f t="shared" si="49"/>
        <v>0</v>
      </c>
      <c r="AC192">
        <f t="shared" si="50"/>
        <v>0</v>
      </c>
      <c r="AD192">
        <f t="shared" si="51"/>
        <v>0</v>
      </c>
      <c r="AE192">
        <f t="shared" si="52"/>
        <v>0</v>
      </c>
      <c r="AF192">
        <f t="shared" si="53"/>
        <v>0</v>
      </c>
      <c r="AG192">
        <f t="shared" si="54"/>
        <v>0</v>
      </c>
      <c r="AH192">
        <f t="shared" si="55"/>
        <v>0</v>
      </c>
      <c r="AI192">
        <f t="shared" si="56"/>
        <v>0</v>
      </c>
      <c r="AJ192">
        <f t="shared" si="57"/>
        <v>0</v>
      </c>
      <c r="AK192">
        <f t="shared" si="58"/>
        <v>0</v>
      </c>
      <c r="AL192">
        <f t="shared" si="59"/>
        <v>0</v>
      </c>
      <c r="AM192" s="113">
        <f t="shared" si="60"/>
        <v>0</v>
      </c>
      <c r="AN192">
        <f t="shared" si="61"/>
        <v>0</v>
      </c>
      <c r="AO192">
        <f t="shared" si="62"/>
        <v>0</v>
      </c>
      <c r="AP192">
        <f t="shared" si="63"/>
        <v>0</v>
      </c>
      <c r="AQ192">
        <f t="shared" si="64"/>
        <v>0</v>
      </c>
      <c r="AR192">
        <f t="shared" si="65"/>
        <v>0</v>
      </c>
      <c r="AS192">
        <f t="shared" si="66"/>
        <v>0</v>
      </c>
      <c r="AT192">
        <f t="shared" si="67"/>
        <v>0</v>
      </c>
      <c r="AU192">
        <f t="shared" si="68"/>
        <v>0</v>
      </c>
      <c r="AV192">
        <f t="shared" si="69"/>
        <v>0</v>
      </c>
      <c r="AW192">
        <f t="shared" si="70"/>
        <v>0</v>
      </c>
      <c r="AX192">
        <f t="shared" si="71"/>
        <v>0</v>
      </c>
    </row>
    <row r="193" spans="1:50" x14ac:dyDescent="0.25">
      <c r="A193" s="113">
        <v>190</v>
      </c>
      <c r="B193" s="209" t="s">
        <v>216</v>
      </c>
      <c r="C193" s="113">
        <v>1931</v>
      </c>
      <c r="D193" s="113">
        <v>2013</v>
      </c>
      <c r="E193" s="210" t="s">
        <v>22</v>
      </c>
      <c r="F193" s="210" t="s">
        <v>22</v>
      </c>
      <c r="G193" s="113"/>
      <c r="H193" s="113"/>
      <c r="I193" s="113"/>
      <c r="J193" s="113"/>
      <c r="K193" s="113"/>
      <c r="N193" s="113">
        <f>MATCH(A193,Entrada!$A$53:$A$372,0)</f>
        <v>118</v>
      </c>
      <c r="O193">
        <f>IF(NOT(ISNA($N193)),INDEX(Entrada!$C$53:$N$372,$N193,O$2),0)</f>
        <v>654</v>
      </c>
      <c r="P193">
        <f>IF(NOT(ISNA($N193)),INDEX(Entrada!$C$53:$N$372,$N193,P$2),0)</f>
        <v>726</v>
      </c>
      <c r="Q193">
        <f>IF(NOT(ISNA($N193)),INDEX(Entrada!$C$53:$N$372,$N193,Q$2),0)</f>
        <v>770</v>
      </c>
      <c r="R193">
        <f>IF(NOT(ISNA($N193)),INDEX(Entrada!$C$53:$N$372,$N193,R$2),0)</f>
        <v>680</v>
      </c>
      <c r="S193">
        <f>IF(NOT(ISNA($N193)),INDEX(Entrada!$C$53:$N$372,$N193,S$2),0)</f>
        <v>440</v>
      </c>
      <c r="T193">
        <f>IF(NOT(ISNA($N193)),INDEX(Entrada!$C$53:$N$372,$N193,T$2),0)</f>
        <v>305</v>
      </c>
      <c r="U193">
        <f>IF(NOT(ISNA($N193)),INDEX(Entrada!$C$53:$N$372,$N193,U$2),0)</f>
        <v>263</v>
      </c>
      <c r="V193" s="225">
        <f>IF(NOT(ISNA($N193)),INDEX(Entrada!$C$53:$N$372,$N193,V$2),0)</f>
        <v>241</v>
      </c>
      <c r="W193" s="225">
        <f>IF(NOT(ISNA($N193)),INDEX(Entrada!$C$53:$N$372,$N193,W$2),0)</f>
        <v>236</v>
      </c>
      <c r="X193" s="225">
        <f>IF(NOT(ISNA($N193)),INDEX(Entrada!$C$53:$N$372,$N193,X$2),0)</f>
        <v>288</v>
      </c>
      <c r="Y193" s="225">
        <f>IF(NOT(ISNA($N193)),INDEX(Entrada!$C$53:$N$372,$N193,Y$2),0)</f>
        <v>400</v>
      </c>
      <c r="Z193" s="225">
        <f>IF(NOT(ISNA($N193)),INDEX(Entrada!$C$53:$N$372,$N193,Z$2),0)</f>
        <v>533</v>
      </c>
      <c r="AA193" s="113">
        <f t="shared" si="48"/>
        <v>0</v>
      </c>
      <c r="AB193">
        <f t="shared" si="49"/>
        <v>0</v>
      </c>
      <c r="AC193">
        <f t="shared" si="50"/>
        <v>0</v>
      </c>
      <c r="AD193">
        <f t="shared" si="51"/>
        <v>0</v>
      </c>
      <c r="AE193">
        <f t="shared" si="52"/>
        <v>0</v>
      </c>
      <c r="AF193">
        <f t="shared" si="53"/>
        <v>0</v>
      </c>
      <c r="AG193">
        <f t="shared" si="54"/>
        <v>0</v>
      </c>
      <c r="AH193">
        <f t="shared" si="55"/>
        <v>0</v>
      </c>
      <c r="AI193">
        <f t="shared" si="56"/>
        <v>0</v>
      </c>
      <c r="AJ193">
        <f t="shared" si="57"/>
        <v>0</v>
      </c>
      <c r="AK193">
        <f t="shared" si="58"/>
        <v>0</v>
      </c>
      <c r="AL193">
        <f t="shared" si="59"/>
        <v>0</v>
      </c>
      <c r="AM193" s="113">
        <f t="shared" si="60"/>
        <v>654</v>
      </c>
      <c r="AN193">
        <f t="shared" si="61"/>
        <v>726</v>
      </c>
      <c r="AO193">
        <f t="shared" si="62"/>
        <v>770</v>
      </c>
      <c r="AP193">
        <f t="shared" si="63"/>
        <v>680</v>
      </c>
      <c r="AQ193">
        <f t="shared" si="64"/>
        <v>440</v>
      </c>
      <c r="AR193">
        <f t="shared" si="65"/>
        <v>305</v>
      </c>
      <c r="AS193">
        <f t="shared" si="66"/>
        <v>263</v>
      </c>
      <c r="AT193">
        <f t="shared" si="67"/>
        <v>241</v>
      </c>
      <c r="AU193">
        <f t="shared" si="68"/>
        <v>236</v>
      </c>
      <c r="AV193">
        <f t="shared" si="69"/>
        <v>288</v>
      </c>
      <c r="AW193">
        <f t="shared" si="70"/>
        <v>400</v>
      </c>
      <c r="AX193">
        <f t="shared" si="71"/>
        <v>533</v>
      </c>
    </row>
    <row r="194" spans="1:50" x14ac:dyDescent="0.25">
      <c r="A194" s="113">
        <v>191</v>
      </c>
      <c r="B194" s="209" t="s">
        <v>626</v>
      </c>
      <c r="C194" s="113">
        <v>1931</v>
      </c>
      <c r="D194" s="113">
        <v>2013</v>
      </c>
      <c r="E194" s="210" t="s">
        <v>26</v>
      </c>
      <c r="F194" s="210" t="s">
        <v>387</v>
      </c>
      <c r="G194" s="113">
        <v>270</v>
      </c>
      <c r="H194" s="113"/>
      <c r="I194" s="113"/>
      <c r="J194" s="113"/>
      <c r="K194" s="113"/>
      <c r="N194" s="113">
        <f>MATCH(A194,Entrada!$A$53:$A$372,0)</f>
        <v>119</v>
      </c>
      <c r="O194">
        <f>IF(NOT(ISNA($N194)),INDEX(Entrada!$C$53:$N$372,$N194,O$2),0)</f>
        <v>1600</v>
      </c>
      <c r="P194">
        <f>IF(NOT(ISNA($N194)),INDEX(Entrada!$C$53:$N$372,$N194,P$2),0)</f>
        <v>1810</v>
      </c>
      <c r="Q194">
        <f>IF(NOT(ISNA($N194)),INDEX(Entrada!$C$53:$N$372,$N194,Q$2),0)</f>
        <v>1675</v>
      </c>
      <c r="R194">
        <f>IF(NOT(ISNA($N194)),INDEX(Entrada!$C$53:$N$372,$N194,R$2),0)</f>
        <v>1187</v>
      </c>
      <c r="S194">
        <f>IF(NOT(ISNA($N194)),INDEX(Entrada!$C$53:$N$372,$N194,S$2),0)</f>
        <v>632</v>
      </c>
      <c r="T194">
        <f>IF(NOT(ISNA($N194)),INDEX(Entrada!$C$53:$N$372,$N194,T$2),0)</f>
        <v>439</v>
      </c>
      <c r="U194">
        <f>IF(NOT(ISNA($N194)),INDEX(Entrada!$C$53:$N$372,$N194,U$2),0)</f>
        <v>333</v>
      </c>
      <c r="V194" s="225">
        <f>IF(NOT(ISNA($N194)),INDEX(Entrada!$C$53:$N$372,$N194,V$2),0)</f>
        <v>260</v>
      </c>
      <c r="W194" s="225">
        <f>IF(NOT(ISNA($N194)),INDEX(Entrada!$C$53:$N$372,$N194,W$2),0)</f>
        <v>246</v>
      </c>
      <c r="X194" s="225">
        <f>IF(NOT(ISNA($N194)),INDEX(Entrada!$C$53:$N$372,$N194,X$2),0)</f>
        <v>359</v>
      </c>
      <c r="Y194" s="225">
        <f>IF(NOT(ISNA($N194)),INDEX(Entrada!$C$53:$N$372,$N194,Y$2),0)</f>
        <v>644</v>
      </c>
      <c r="Z194" s="225">
        <f>IF(NOT(ISNA($N194)),INDEX(Entrada!$C$53:$N$372,$N194,Z$2),0)</f>
        <v>1186</v>
      </c>
      <c r="AA194" s="113">
        <f t="shared" si="48"/>
        <v>1435</v>
      </c>
      <c r="AB194">
        <f t="shared" si="49"/>
        <v>1626</v>
      </c>
      <c r="AC194">
        <f t="shared" si="50"/>
        <v>1501</v>
      </c>
      <c r="AD194">
        <f t="shared" si="51"/>
        <v>1062</v>
      </c>
      <c r="AE194">
        <f t="shared" si="52"/>
        <v>562</v>
      </c>
      <c r="AF194">
        <f t="shared" si="53"/>
        <v>390</v>
      </c>
      <c r="AG194">
        <f t="shared" si="54"/>
        <v>294</v>
      </c>
      <c r="AH194">
        <f t="shared" si="55"/>
        <v>227</v>
      </c>
      <c r="AI194">
        <f t="shared" si="56"/>
        <v>216</v>
      </c>
      <c r="AJ194">
        <f t="shared" si="57"/>
        <v>316</v>
      </c>
      <c r="AK194">
        <f t="shared" si="58"/>
        <v>570</v>
      </c>
      <c r="AL194">
        <f t="shared" si="59"/>
        <v>1064</v>
      </c>
      <c r="AM194" s="113">
        <f t="shared" si="60"/>
        <v>165</v>
      </c>
      <c r="AN194">
        <f t="shared" si="61"/>
        <v>184</v>
      </c>
      <c r="AO194">
        <f t="shared" si="62"/>
        <v>174</v>
      </c>
      <c r="AP194">
        <f t="shared" si="63"/>
        <v>125</v>
      </c>
      <c r="AQ194">
        <f t="shared" si="64"/>
        <v>70</v>
      </c>
      <c r="AR194">
        <f t="shared" si="65"/>
        <v>49</v>
      </c>
      <c r="AS194">
        <f t="shared" si="66"/>
        <v>39</v>
      </c>
      <c r="AT194">
        <f t="shared" si="67"/>
        <v>33</v>
      </c>
      <c r="AU194">
        <f t="shared" si="68"/>
        <v>30</v>
      </c>
      <c r="AV194">
        <f t="shared" si="69"/>
        <v>43</v>
      </c>
      <c r="AW194">
        <f t="shared" si="70"/>
        <v>74</v>
      </c>
      <c r="AX194">
        <f t="shared" si="71"/>
        <v>122</v>
      </c>
    </row>
    <row r="195" spans="1:50" x14ac:dyDescent="0.25">
      <c r="A195" s="113">
        <v>192</v>
      </c>
      <c r="B195" s="209"/>
      <c r="C195" s="113">
        <v>0</v>
      </c>
      <c r="D195" s="113">
        <v>0</v>
      </c>
      <c r="E195" s="113" t="s">
        <v>688</v>
      </c>
      <c r="F195" s="113" t="s">
        <v>688</v>
      </c>
      <c r="G195" s="113"/>
      <c r="H195" s="113"/>
      <c r="I195" s="113"/>
      <c r="J195" s="113"/>
      <c r="K195" s="113"/>
      <c r="N195" s="113" t="e">
        <f>MATCH(A195,Entrada!$A$53:$A$372,0)</f>
        <v>#N/A</v>
      </c>
      <c r="O195">
        <f>IF(NOT(ISNA($N195)),INDEX(Entrada!$C$53:$N$372,$N195,O$2),0)</f>
        <v>0</v>
      </c>
      <c r="P195">
        <f>IF(NOT(ISNA($N195)),INDEX(Entrada!$C$53:$N$372,$N195,P$2),0)</f>
        <v>0</v>
      </c>
      <c r="Q195">
        <f>IF(NOT(ISNA($N195)),INDEX(Entrada!$C$53:$N$372,$N195,Q$2),0)</f>
        <v>0</v>
      </c>
      <c r="R195">
        <f>IF(NOT(ISNA($N195)),INDEX(Entrada!$C$53:$N$372,$N195,R$2),0)</f>
        <v>0</v>
      </c>
      <c r="S195">
        <f>IF(NOT(ISNA($N195)),INDEX(Entrada!$C$53:$N$372,$N195,S$2),0)</f>
        <v>0</v>
      </c>
      <c r="T195">
        <f>IF(NOT(ISNA($N195)),INDEX(Entrada!$C$53:$N$372,$N195,T$2),0)</f>
        <v>0</v>
      </c>
      <c r="U195">
        <f>IF(NOT(ISNA($N195)),INDEX(Entrada!$C$53:$N$372,$N195,U$2),0)</f>
        <v>0</v>
      </c>
      <c r="V195" s="225">
        <f>IF(NOT(ISNA($N195)),INDEX(Entrada!$C$53:$N$372,$N195,V$2),0)</f>
        <v>0</v>
      </c>
      <c r="W195" s="225">
        <f>IF(NOT(ISNA($N195)),INDEX(Entrada!$C$53:$N$372,$N195,W$2),0)</f>
        <v>0</v>
      </c>
      <c r="X195" s="225">
        <f>IF(NOT(ISNA($N195)),INDEX(Entrada!$C$53:$N$372,$N195,X$2),0)</f>
        <v>0</v>
      </c>
      <c r="Y195" s="225">
        <f>IF(NOT(ISNA($N195)),INDEX(Entrada!$C$53:$N$372,$N195,Y$2),0)</f>
        <v>0</v>
      </c>
      <c r="Z195" s="225">
        <f>IF(NOT(ISNA($N195)),INDEX(Entrada!$C$53:$N$372,$N195,Z$2),0)</f>
        <v>0</v>
      </c>
      <c r="AA195" s="113">
        <f t="shared" si="48"/>
        <v>0</v>
      </c>
      <c r="AB195">
        <f t="shared" si="49"/>
        <v>0</v>
      </c>
      <c r="AC195">
        <f t="shared" si="50"/>
        <v>0</v>
      </c>
      <c r="AD195">
        <f t="shared" si="51"/>
        <v>0</v>
      </c>
      <c r="AE195">
        <f t="shared" si="52"/>
        <v>0</v>
      </c>
      <c r="AF195">
        <f t="shared" si="53"/>
        <v>0</v>
      </c>
      <c r="AG195">
        <f t="shared" si="54"/>
        <v>0</v>
      </c>
      <c r="AH195">
        <f t="shared" si="55"/>
        <v>0</v>
      </c>
      <c r="AI195">
        <f t="shared" si="56"/>
        <v>0</v>
      </c>
      <c r="AJ195">
        <f t="shared" si="57"/>
        <v>0</v>
      </c>
      <c r="AK195">
        <f t="shared" si="58"/>
        <v>0</v>
      </c>
      <c r="AL195">
        <f t="shared" si="59"/>
        <v>0</v>
      </c>
      <c r="AM195" s="113">
        <f t="shared" si="60"/>
        <v>0</v>
      </c>
      <c r="AN195">
        <f t="shared" si="61"/>
        <v>0</v>
      </c>
      <c r="AO195">
        <f t="shared" si="62"/>
        <v>0</v>
      </c>
      <c r="AP195">
        <f t="shared" si="63"/>
        <v>0</v>
      </c>
      <c r="AQ195">
        <f t="shared" si="64"/>
        <v>0</v>
      </c>
      <c r="AR195">
        <f t="shared" si="65"/>
        <v>0</v>
      </c>
      <c r="AS195">
        <f t="shared" si="66"/>
        <v>0</v>
      </c>
      <c r="AT195">
        <f t="shared" si="67"/>
        <v>0</v>
      </c>
      <c r="AU195">
        <f t="shared" si="68"/>
        <v>0</v>
      </c>
      <c r="AV195">
        <f t="shared" si="69"/>
        <v>0</v>
      </c>
      <c r="AW195">
        <f t="shared" si="70"/>
        <v>0</v>
      </c>
      <c r="AX195">
        <f t="shared" si="71"/>
        <v>0</v>
      </c>
    </row>
    <row r="196" spans="1:50" x14ac:dyDescent="0.25">
      <c r="A196" s="113">
        <v>193</v>
      </c>
      <c r="B196" s="209"/>
      <c r="C196" s="113">
        <v>0</v>
      </c>
      <c r="D196" s="113">
        <v>0</v>
      </c>
      <c r="E196" s="113" t="s">
        <v>688</v>
      </c>
      <c r="F196" s="113" t="s">
        <v>688</v>
      </c>
      <c r="G196" s="113"/>
      <c r="H196" s="113"/>
      <c r="I196" s="113"/>
      <c r="J196" s="113"/>
      <c r="K196" s="113"/>
      <c r="N196" s="113" t="e">
        <f>MATCH(A196,Entrada!$A$53:$A$372,0)</f>
        <v>#N/A</v>
      </c>
      <c r="O196">
        <f>IF(NOT(ISNA($N196)),INDEX(Entrada!$C$53:$N$372,$N196,O$2),0)</f>
        <v>0</v>
      </c>
      <c r="P196">
        <f>IF(NOT(ISNA($N196)),INDEX(Entrada!$C$53:$N$372,$N196,P$2),0)</f>
        <v>0</v>
      </c>
      <c r="Q196">
        <f>IF(NOT(ISNA($N196)),INDEX(Entrada!$C$53:$N$372,$N196,Q$2),0)</f>
        <v>0</v>
      </c>
      <c r="R196">
        <f>IF(NOT(ISNA($N196)),INDEX(Entrada!$C$53:$N$372,$N196,R$2),0)</f>
        <v>0</v>
      </c>
      <c r="S196">
        <f>IF(NOT(ISNA($N196)),INDEX(Entrada!$C$53:$N$372,$N196,S$2),0)</f>
        <v>0</v>
      </c>
      <c r="T196">
        <f>IF(NOT(ISNA($N196)),INDEX(Entrada!$C$53:$N$372,$N196,T$2),0)</f>
        <v>0</v>
      </c>
      <c r="U196">
        <f>IF(NOT(ISNA($N196)),INDEX(Entrada!$C$53:$N$372,$N196,U$2),0)</f>
        <v>0</v>
      </c>
      <c r="V196" s="225">
        <f>IF(NOT(ISNA($N196)),INDEX(Entrada!$C$53:$N$372,$N196,V$2),0)</f>
        <v>0</v>
      </c>
      <c r="W196" s="225">
        <f>IF(NOT(ISNA($N196)),INDEX(Entrada!$C$53:$N$372,$N196,W$2),0)</f>
        <v>0</v>
      </c>
      <c r="X196" s="225">
        <f>IF(NOT(ISNA($N196)),INDEX(Entrada!$C$53:$N$372,$N196,X$2),0)</f>
        <v>0</v>
      </c>
      <c r="Y196" s="225">
        <f>IF(NOT(ISNA($N196)),INDEX(Entrada!$C$53:$N$372,$N196,Y$2),0)</f>
        <v>0</v>
      </c>
      <c r="Z196" s="225">
        <f>IF(NOT(ISNA($N196)),INDEX(Entrada!$C$53:$N$372,$N196,Z$2),0)</f>
        <v>0</v>
      </c>
      <c r="AA196" s="113">
        <f t="shared" ref="AA196:AA259" si="72">IF($G196&gt;0,INDEX($O$4:$Z$323,$G196,O$2),0)+IF($H196&gt;0,INDEX($O$4:$Z$323,$H196,O$2),0)+IF($I196&gt;0,INDEX($O$4:$Z$323,$I196,O$2),0)+IF($J196&gt;0,INDEX($O$4:$Z$323,$J196,O$2),0)+IF($K196&gt;0,INDEX($O$4:$Z$323,$K196,O$2),0)+IF($L196&gt;0,INDEX($O$4:$Z$323,$L196,O$2),0)</f>
        <v>0</v>
      </c>
      <c r="AB196">
        <f t="shared" ref="AB196:AB259" si="73">IF($G196&gt;0,INDEX($O$4:$Z$323,$G196,P$2),0)+IF($H196&gt;0,INDEX($O$4:$Z$323,$H196,P$2),0)+IF($I196&gt;0,INDEX($O$4:$Z$323,$I196,P$2),0)+IF($J196&gt;0,INDEX($O$4:$Z$323,$J196,P$2),0)+IF($K196&gt;0,INDEX($O$4:$Z$323,$K196,P$2),0)+IF($L196&gt;0,INDEX($O$4:$Z$323,$L196,P$2),0)</f>
        <v>0</v>
      </c>
      <c r="AC196">
        <f t="shared" ref="AC196:AC259" si="74">IF($G196&gt;0,INDEX($O$4:$Z$323,$G196,Q$2),0)+IF($H196&gt;0,INDEX($O$4:$Z$323,$H196,Q$2),0)+IF($I196&gt;0,INDEX($O$4:$Z$323,$I196,Q$2),0)+IF($J196&gt;0,INDEX($O$4:$Z$323,$J196,Q$2),0)+IF($K196&gt;0,INDEX($O$4:$Z$323,$K196,Q$2),0)+IF($L196&gt;0,INDEX($O$4:$Z$323,$L196,Q$2),0)</f>
        <v>0</v>
      </c>
      <c r="AD196">
        <f t="shared" ref="AD196:AD259" si="75">IF($G196&gt;0,INDEX($O$4:$Z$323,$G196,R$2),0)+IF($H196&gt;0,INDEX($O$4:$Z$323,$H196,R$2),0)+IF($I196&gt;0,INDEX($O$4:$Z$323,$I196,R$2),0)+IF($J196&gt;0,INDEX($O$4:$Z$323,$J196,R$2),0)+IF($K196&gt;0,INDEX($O$4:$Z$323,$K196,R$2),0)+IF($L196&gt;0,INDEX($O$4:$Z$323,$L196,R$2),0)</f>
        <v>0</v>
      </c>
      <c r="AE196">
        <f t="shared" ref="AE196:AE259" si="76">IF($G196&gt;0,INDEX($O$4:$Z$323,$G196,S$2),0)+IF($H196&gt;0,INDEX($O$4:$Z$323,$H196,S$2),0)+IF($I196&gt;0,INDEX($O$4:$Z$323,$I196,S$2),0)+IF($J196&gt;0,INDEX($O$4:$Z$323,$J196,S$2),0)+IF($K196&gt;0,INDEX($O$4:$Z$323,$K196,S$2),0)+IF($L196&gt;0,INDEX($O$4:$Z$323,$L196,S$2),0)</f>
        <v>0</v>
      </c>
      <c r="AF196">
        <f t="shared" ref="AF196:AF259" si="77">IF($G196&gt;0,INDEX($O$4:$Z$323,$G196,T$2),0)+IF($H196&gt;0,INDEX($O$4:$Z$323,$H196,T$2),0)+IF($I196&gt;0,INDEX($O$4:$Z$323,$I196,T$2),0)+IF($J196&gt;0,INDEX($O$4:$Z$323,$J196,T$2),0)+IF($K196&gt;0,INDEX($O$4:$Z$323,$K196,T$2),0)+IF($L196&gt;0,INDEX($O$4:$Z$323,$L196,T$2),0)</f>
        <v>0</v>
      </c>
      <c r="AG196">
        <f t="shared" ref="AG196:AG259" si="78">IF($G196&gt;0,INDEX($O$4:$Z$323,$G196,U$2),0)+IF($H196&gt;0,INDEX($O$4:$Z$323,$H196,U$2),0)+IF($I196&gt;0,INDEX($O$4:$Z$323,$I196,U$2),0)+IF($J196&gt;0,INDEX($O$4:$Z$323,$J196,U$2),0)+IF($K196&gt;0,INDEX($O$4:$Z$323,$K196,U$2),0)+IF($L196&gt;0,INDEX($O$4:$Z$323,$L196,U$2),0)</f>
        <v>0</v>
      </c>
      <c r="AH196">
        <f t="shared" ref="AH196:AH259" si="79">IF($G196&gt;0,INDEX($O$4:$Z$323,$G196,V$2),0)+IF($H196&gt;0,INDEX($O$4:$Z$323,$H196,V$2),0)+IF($I196&gt;0,INDEX($O$4:$Z$323,$I196,V$2),0)+IF($J196&gt;0,INDEX($O$4:$Z$323,$J196,V$2),0)+IF($K196&gt;0,INDEX($O$4:$Z$323,$K196,V$2),0)+IF($L196&gt;0,INDEX($O$4:$Z$323,$L196,V$2),0)</f>
        <v>0</v>
      </c>
      <c r="AI196">
        <f t="shared" ref="AI196:AI259" si="80">IF($G196&gt;0,INDEX($O$4:$Z$323,$G196,W$2),0)+IF($H196&gt;0,INDEX($O$4:$Z$323,$H196,W$2),0)+IF($I196&gt;0,INDEX($O$4:$Z$323,$I196,W$2),0)+IF($J196&gt;0,INDEX($O$4:$Z$323,$J196,W$2),0)+IF($K196&gt;0,INDEX($O$4:$Z$323,$K196,W$2),0)+IF($L196&gt;0,INDEX($O$4:$Z$323,$L196,W$2),0)</f>
        <v>0</v>
      </c>
      <c r="AJ196">
        <f t="shared" ref="AJ196:AJ259" si="81">IF($G196&gt;0,INDEX($O$4:$Z$323,$G196,X$2),0)+IF($H196&gt;0,INDEX($O$4:$Z$323,$H196,X$2),0)+IF($I196&gt;0,INDEX($O$4:$Z$323,$I196,X$2),0)+IF($J196&gt;0,INDEX($O$4:$Z$323,$J196,X$2),0)+IF($K196&gt;0,INDEX($O$4:$Z$323,$K196,X$2),0)+IF($L196&gt;0,INDEX($O$4:$Z$323,$L196,X$2),0)</f>
        <v>0</v>
      </c>
      <c r="AK196">
        <f t="shared" ref="AK196:AK259" si="82">IF($G196&gt;0,INDEX($O$4:$Z$323,$G196,Y$2),0)+IF($H196&gt;0,INDEX($O$4:$Z$323,$H196,Y$2),0)+IF($I196&gt;0,INDEX($O$4:$Z$323,$I196,Y$2),0)+IF($J196&gt;0,INDEX($O$4:$Z$323,$J196,Y$2),0)+IF($K196&gt;0,INDEX($O$4:$Z$323,$K196,Y$2),0)+IF($L196&gt;0,INDEX($O$4:$Z$323,$L196,Y$2),0)</f>
        <v>0</v>
      </c>
      <c r="AL196">
        <f t="shared" ref="AL196:AL259" si="83">IF($G196&gt;0,INDEX($O$4:$Z$323,$G196,Z$2),0)+IF($H196&gt;0,INDEX($O$4:$Z$323,$H196,Z$2),0)+IF($I196&gt;0,INDEX($O$4:$Z$323,$I196,Z$2),0)+IF($J196&gt;0,INDEX($O$4:$Z$323,$J196,Z$2),0)+IF($K196&gt;0,INDEX($O$4:$Z$323,$K196,Z$2),0)+IF($L196&gt;0,INDEX($O$4:$Z$323,$L196,Z$2),0)</f>
        <v>0</v>
      </c>
      <c r="AM196" s="113">
        <f t="shared" ref="AM196:AM259" si="84">O196-AA196</f>
        <v>0</v>
      </c>
      <c r="AN196">
        <f t="shared" ref="AN196:AN259" si="85">P196-AB196</f>
        <v>0</v>
      </c>
      <c r="AO196">
        <f t="shared" ref="AO196:AO259" si="86">Q196-AC196</f>
        <v>0</v>
      </c>
      <c r="AP196">
        <f t="shared" ref="AP196:AP259" si="87">R196-AD196</f>
        <v>0</v>
      </c>
      <c r="AQ196">
        <f t="shared" ref="AQ196:AQ259" si="88">S196-AE196</f>
        <v>0</v>
      </c>
      <c r="AR196">
        <f t="shared" ref="AR196:AR259" si="89">T196-AF196</f>
        <v>0</v>
      </c>
      <c r="AS196">
        <f t="shared" ref="AS196:AS259" si="90">U196-AG196</f>
        <v>0</v>
      </c>
      <c r="AT196">
        <f t="shared" ref="AT196:AT259" si="91">V196-AH196</f>
        <v>0</v>
      </c>
      <c r="AU196">
        <f t="shared" ref="AU196:AU259" si="92">W196-AI196</f>
        <v>0</v>
      </c>
      <c r="AV196">
        <f t="shared" ref="AV196:AV259" si="93">X196-AJ196</f>
        <v>0</v>
      </c>
      <c r="AW196">
        <f t="shared" ref="AW196:AW259" si="94">Y196-AK196</f>
        <v>0</v>
      </c>
      <c r="AX196">
        <f t="shared" ref="AX196:AX259" si="95">Z196-AL196</f>
        <v>0</v>
      </c>
    </row>
    <row r="197" spans="1:50" x14ac:dyDescent="0.25">
      <c r="A197" s="113">
        <v>194</v>
      </c>
      <c r="B197" s="209"/>
      <c r="C197" s="113">
        <v>0</v>
      </c>
      <c r="D197" s="113">
        <v>0</v>
      </c>
      <c r="E197" s="113" t="s">
        <v>688</v>
      </c>
      <c r="F197" s="113" t="s">
        <v>688</v>
      </c>
      <c r="G197" s="113"/>
      <c r="H197" s="113"/>
      <c r="I197" s="113"/>
      <c r="J197" s="113"/>
      <c r="K197" s="113"/>
      <c r="N197" s="113" t="e">
        <f>MATCH(A197,Entrada!$A$53:$A$372,0)</f>
        <v>#N/A</v>
      </c>
      <c r="O197">
        <f>IF(NOT(ISNA($N197)),INDEX(Entrada!$C$53:$N$372,$N197,O$2),0)</f>
        <v>0</v>
      </c>
      <c r="P197">
        <f>IF(NOT(ISNA($N197)),INDEX(Entrada!$C$53:$N$372,$N197,P$2),0)</f>
        <v>0</v>
      </c>
      <c r="Q197">
        <f>IF(NOT(ISNA($N197)),INDEX(Entrada!$C$53:$N$372,$N197,Q$2),0)</f>
        <v>0</v>
      </c>
      <c r="R197">
        <f>IF(NOT(ISNA($N197)),INDEX(Entrada!$C$53:$N$372,$N197,R$2),0)</f>
        <v>0</v>
      </c>
      <c r="S197">
        <f>IF(NOT(ISNA($N197)),INDEX(Entrada!$C$53:$N$372,$N197,S$2),0)</f>
        <v>0</v>
      </c>
      <c r="T197">
        <f>IF(NOT(ISNA($N197)),INDEX(Entrada!$C$53:$N$372,$N197,T$2),0)</f>
        <v>0</v>
      </c>
      <c r="U197">
        <f>IF(NOT(ISNA($N197)),INDEX(Entrada!$C$53:$N$372,$N197,U$2),0)</f>
        <v>0</v>
      </c>
      <c r="V197" s="225">
        <f>IF(NOT(ISNA($N197)),INDEX(Entrada!$C$53:$N$372,$N197,V$2),0)</f>
        <v>0</v>
      </c>
      <c r="W197" s="225">
        <f>IF(NOT(ISNA($N197)),INDEX(Entrada!$C$53:$N$372,$N197,W$2),0)</f>
        <v>0</v>
      </c>
      <c r="X197" s="225">
        <f>IF(NOT(ISNA($N197)),INDEX(Entrada!$C$53:$N$372,$N197,X$2),0)</f>
        <v>0</v>
      </c>
      <c r="Y197" s="225">
        <f>IF(NOT(ISNA($N197)),INDEX(Entrada!$C$53:$N$372,$N197,Y$2),0)</f>
        <v>0</v>
      </c>
      <c r="Z197" s="225">
        <f>IF(NOT(ISNA($N197)),INDEX(Entrada!$C$53:$N$372,$N197,Z$2),0)</f>
        <v>0</v>
      </c>
      <c r="AA197" s="113">
        <f t="shared" si="72"/>
        <v>0</v>
      </c>
      <c r="AB197">
        <f t="shared" si="73"/>
        <v>0</v>
      </c>
      <c r="AC197">
        <f t="shared" si="74"/>
        <v>0</v>
      </c>
      <c r="AD197">
        <f t="shared" si="75"/>
        <v>0</v>
      </c>
      <c r="AE197">
        <f t="shared" si="76"/>
        <v>0</v>
      </c>
      <c r="AF197">
        <f t="shared" si="77"/>
        <v>0</v>
      </c>
      <c r="AG197">
        <f t="shared" si="78"/>
        <v>0</v>
      </c>
      <c r="AH197">
        <f t="shared" si="79"/>
        <v>0</v>
      </c>
      <c r="AI197">
        <f t="shared" si="80"/>
        <v>0</v>
      </c>
      <c r="AJ197">
        <f t="shared" si="81"/>
        <v>0</v>
      </c>
      <c r="AK197">
        <f t="shared" si="82"/>
        <v>0</v>
      </c>
      <c r="AL197">
        <f t="shared" si="83"/>
        <v>0</v>
      </c>
      <c r="AM197" s="113">
        <f t="shared" si="84"/>
        <v>0</v>
      </c>
      <c r="AN197">
        <f t="shared" si="85"/>
        <v>0</v>
      </c>
      <c r="AO197">
        <f t="shared" si="86"/>
        <v>0</v>
      </c>
      <c r="AP197">
        <f t="shared" si="87"/>
        <v>0</v>
      </c>
      <c r="AQ197">
        <f t="shared" si="88"/>
        <v>0</v>
      </c>
      <c r="AR197">
        <f t="shared" si="89"/>
        <v>0</v>
      </c>
      <c r="AS197">
        <f t="shared" si="90"/>
        <v>0</v>
      </c>
      <c r="AT197">
        <f t="shared" si="91"/>
        <v>0</v>
      </c>
      <c r="AU197">
        <f t="shared" si="92"/>
        <v>0</v>
      </c>
      <c r="AV197">
        <f t="shared" si="93"/>
        <v>0</v>
      </c>
      <c r="AW197">
        <f t="shared" si="94"/>
        <v>0</v>
      </c>
      <c r="AX197">
        <f t="shared" si="95"/>
        <v>0</v>
      </c>
    </row>
    <row r="198" spans="1:50" x14ac:dyDescent="0.25">
      <c r="A198" s="113">
        <v>195</v>
      </c>
      <c r="B198" s="209"/>
      <c r="C198" s="113">
        <v>0</v>
      </c>
      <c r="D198" s="113">
        <v>0</v>
      </c>
      <c r="E198" s="113" t="s">
        <v>688</v>
      </c>
      <c r="F198" s="113" t="s">
        <v>688</v>
      </c>
      <c r="G198" s="113"/>
      <c r="H198" s="113"/>
      <c r="I198" s="113"/>
      <c r="J198" s="113"/>
      <c r="K198" s="113"/>
      <c r="N198" s="113" t="e">
        <f>MATCH(A198,Entrada!$A$53:$A$372,0)</f>
        <v>#N/A</v>
      </c>
      <c r="O198">
        <f>IF(NOT(ISNA($N198)),INDEX(Entrada!$C$53:$N$372,$N198,O$2),0)</f>
        <v>0</v>
      </c>
      <c r="P198">
        <f>IF(NOT(ISNA($N198)),INDEX(Entrada!$C$53:$N$372,$N198,P$2),0)</f>
        <v>0</v>
      </c>
      <c r="Q198">
        <f>IF(NOT(ISNA($N198)),INDEX(Entrada!$C$53:$N$372,$N198,Q$2),0)</f>
        <v>0</v>
      </c>
      <c r="R198">
        <f>IF(NOT(ISNA($N198)),INDEX(Entrada!$C$53:$N$372,$N198,R$2),0)</f>
        <v>0</v>
      </c>
      <c r="S198">
        <f>IF(NOT(ISNA($N198)),INDEX(Entrada!$C$53:$N$372,$N198,S$2),0)</f>
        <v>0</v>
      </c>
      <c r="T198">
        <f>IF(NOT(ISNA($N198)),INDEX(Entrada!$C$53:$N$372,$N198,T$2),0)</f>
        <v>0</v>
      </c>
      <c r="U198">
        <f>IF(NOT(ISNA($N198)),INDEX(Entrada!$C$53:$N$372,$N198,U$2),0)</f>
        <v>0</v>
      </c>
      <c r="V198" s="225">
        <f>IF(NOT(ISNA($N198)),INDEX(Entrada!$C$53:$N$372,$N198,V$2),0)</f>
        <v>0</v>
      </c>
      <c r="W198" s="225">
        <f>IF(NOT(ISNA($N198)),INDEX(Entrada!$C$53:$N$372,$N198,W$2),0)</f>
        <v>0</v>
      </c>
      <c r="X198" s="225">
        <f>IF(NOT(ISNA($N198)),INDEX(Entrada!$C$53:$N$372,$N198,X$2),0)</f>
        <v>0</v>
      </c>
      <c r="Y198" s="225">
        <f>IF(NOT(ISNA($N198)),INDEX(Entrada!$C$53:$N$372,$N198,Y$2),0)</f>
        <v>0</v>
      </c>
      <c r="Z198" s="225">
        <f>IF(NOT(ISNA($N198)),INDEX(Entrada!$C$53:$N$372,$N198,Z$2),0)</f>
        <v>0</v>
      </c>
      <c r="AA198" s="113">
        <f t="shared" si="72"/>
        <v>0</v>
      </c>
      <c r="AB198">
        <f t="shared" si="73"/>
        <v>0</v>
      </c>
      <c r="AC198">
        <f t="shared" si="74"/>
        <v>0</v>
      </c>
      <c r="AD198">
        <f t="shared" si="75"/>
        <v>0</v>
      </c>
      <c r="AE198">
        <f t="shared" si="76"/>
        <v>0</v>
      </c>
      <c r="AF198">
        <f t="shared" si="77"/>
        <v>0</v>
      </c>
      <c r="AG198">
        <f t="shared" si="78"/>
        <v>0</v>
      </c>
      <c r="AH198">
        <f t="shared" si="79"/>
        <v>0</v>
      </c>
      <c r="AI198">
        <f t="shared" si="80"/>
        <v>0</v>
      </c>
      <c r="AJ198">
        <f t="shared" si="81"/>
        <v>0</v>
      </c>
      <c r="AK198">
        <f t="shared" si="82"/>
        <v>0</v>
      </c>
      <c r="AL198">
        <f t="shared" si="83"/>
        <v>0</v>
      </c>
      <c r="AM198" s="113">
        <f t="shared" si="84"/>
        <v>0</v>
      </c>
      <c r="AN198">
        <f t="shared" si="85"/>
        <v>0</v>
      </c>
      <c r="AO198">
        <f t="shared" si="86"/>
        <v>0</v>
      </c>
      <c r="AP198">
        <f t="shared" si="87"/>
        <v>0</v>
      </c>
      <c r="AQ198">
        <f t="shared" si="88"/>
        <v>0</v>
      </c>
      <c r="AR198">
        <f t="shared" si="89"/>
        <v>0</v>
      </c>
      <c r="AS198">
        <f t="shared" si="90"/>
        <v>0</v>
      </c>
      <c r="AT198">
        <f t="shared" si="91"/>
        <v>0</v>
      </c>
      <c r="AU198">
        <f t="shared" si="92"/>
        <v>0</v>
      </c>
      <c r="AV198">
        <f t="shared" si="93"/>
        <v>0</v>
      </c>
      <c r="AW198">
        <f t="shared" si="94"/>
        <v>0</v>
      </c>
      <c r="AX198">
        <f t="shared" si="95"/>
        <v>0</v>
      </c>
    </row>
    <row r="199" spans="1:50" x14ac:dyDescent="0.25">
      <c r="A199" s="113">
        <v>196</v>
      </c>
      <c r="B199" s="209" t="s">
        <v>627</v>
      </c>
      <c r="C199" s="113">
        <v>1931</v>
      </c>
      <c r="D199" s="113">
        <v>2013</v>
      </c>
      <c r="E199" s="210" t="s">
        <v>11</v>
      </c>
      <c r="F199" s="210" t="s">
        <v>11</v>
      </c>
      <c r="G199" s="113"/>
      <c r="H199" s="113"/>
      <c r="I199" s="113"/>
      <c r="J199" s="113"/>
      <c r="K199" s="113"/>
      <c r="N199" s="113">
        <f>MATCH(A199,Entrada!$A$53:$A$372,0)</f>
        <v>120</v>
      </c>
      <c r="O199">
        <f>IF(NOT(ISNA($N199)),INDEX(Entrada!$C$53:$N$372,$N199,O$2),0)</f>
        <v>63</v>
      </c>
      <c r="P199">
        <f>IF(NOT(ISNA($N199)),INDEX(Entrada!$C$53:$N$372,$N199,P$2),0)</f>
        <v>47</v>
      </c>
      <c r="Q199">
        <f>IF(NOT(ISNA($N199)),INDEX(Entrada!$C$53:$N$372,$N199,Q$2),0)</f>
        <v>46</v>
      </c>
      <c r="R199">
        <f>IF(NOT(ISNA($N199)),INDEX(Entrada!$C$53:$N$372,$N199,R$2),0)</f>
        <v>37</v>
      </c>
      <c r="S199">
        <f>IF(NOT(ISNA($N199)),INDEX(Entrada!$C$53:$N$372,$N199,S$2),0)</f>
        <v>26</v>
      </c>
      <c r="T199">
        <f>IF(NOT(ISNA($N199)),INDEX(Entrada!$C$53:$N$372,$N199,T$2),0)</f>
        <v>20</v>
      </c>
      <c r="U199">
        <f>IF(NOT(ISNA($N199)),INDEX(Entrada!$C$53:$N$372,$N199,U$2),0)</f>
        <v>18</v>
      </c>
      <c r="V199" s="225">
        <f>IF(NOT(ISNA($N199)),INDEX(Entrada!$C$53:$N$372,$N199,V$2),0)</f>
        <v>15</v>
      </c>
      <c r="W199" s="225">
        <f>IF(NOT(ISNA($N199)),INDEX(Entrada!$C$53:$N$372,$N199,W$2),0)</f>
        <v>15</v>
      </c>
      <c r="X199" s="225">
        <f>IF(NOT(ISNA($N199)),INDEX(Entrada!$C$53:$N$372,$N199,X$2),0)</f>
        <v>20</v>
      </c>
      <c r="Y199" s="225">
        <f>IF(NOT(ISNA($N199)),INDEX(Entrada!$C$53:$N$372,$N199,Y$2),0)</f>
        <v>38</v>
      </c>
      <c r="Z199" s="225">
        <f>IF(NOT(ISNA($N199)),INDEX(Entrada!$C$53:$N$372,$N199,Z$2),0)</f>
        <v>58</v>
      </c>
      <c r="AA199" s="113">
        <f t="shared" si="72"/>
        <v>0</v>
      </c>
      <c r="AB199">
        <f t="shared" si="73"/>
        <v>0</v>
      </c>
      <c r="AC199">
        <f t="shared" si="74"/>
        <v>0</v>
      </c>
      <c r="AD199">
        <f t="shared" si="75"/>
        <v>0</v>
      </c>
      <c r="AE199">
        <f t="shared" si="76"/>
        <v>0</v>
      </c>
      <c r="AF199">
        <f t="shared" si="77"/>
        <v>0</v>
      </c>
      <c r="AG199">
        <f t="shared" si="78"/>
        <v>0</v>
      </c>
      <c r="AH199">
        <f t="shared" si="79"/>
        <v>0</v>
      </c>
      <c r="AI199">
        <f t="shared" si="80"/>
        <v>0</v>
      </c>
      <c r="AJ199">
        <f t="shared" si="81"/>
        <v>0</v>
      </c>
      <c r="AK199">
        <f t="shared" si="82"/>
        <v>0</v>
      </c>
      <c r="AL199">
        <f t="shared" si="83"/>
        <v>0</v>
      </c>
      <c r="AM199" s="113">
        <f t="shared" si="84"/>
        <v>63</v>
      </c>
      <c r="AN199">
        <f t="shared" si="85"/>
        <v>47</v>
      </c>
      <c r="AO199">
        <f t="shared" si="86"/>
        <v>46</v>
      </c>
      <c r="AP199">
        <f t="shared" si="87"/>
        <v>37</v>
      </c>
      <c r="AQ199">
        <f t="shared" si="88"/>
        <v>26</v>
      </c>
      <c r="AR199">
        <f t="shared" si="89"/>
        <v>20</v>
      </c>
      <c r="AS199">
        <f t="shared" si="90"/>
        <v>18</v>
      </c>
      <c r="AT199">
        <f t="shared" si="91"/>
        <v>15</v>
      </c>
      <c r="AU199">
        <f t="shared" si="92"/>
        <v>15</v>
      </c>
      <c r="AV199">
        <f t="shared" si="93"/>
        <v>20</v>
      </c>
      <c r="AW199">
        <f t="shared" si="94"/>
        <v>38</v>
      </c>
      <c r="AX199">
        <f t="shared" si="95"/>
        <v>58</v>
      </c>
    </row>
    <row r="200" spans="1:50" x14ac:dyDescent="0.25">
      <c r="A200" s="113">
        <v>197</v>
      </c>
      <c r="B200" s="209" t="s">
        <v>628</v>
      </c>
      <c r="C200" s="113">
        <v>1931</v>
      </c>
      <c r="D200" s="113">
        <v>2013</v>
      </c>
      <c r="E200" s="210" t="s">
        <v>10</v>
      </c>
      <c r="F200" s="210" t="s">
        <v>388</v>
      </c>
      <c r="G200" s="113"/>
      <c r="H200" s="113"/>
      <c r="I200" s="113"/>
      <c r="J200" s="113"/>
      <c r="K200" s="113"/>
      <c r="N200" s="113">
        <f>MATCH(A200,Entrada!$A$53:$A$372,0)</f>
        <v>121</v>
      </c>
      <c r="O200">
        <f>IF(NOT(ISNA($N200)),INDEX(Entrada!$C$53:$N$372,$N200,O$2),0)</f>
        <v>65</v>
      </c>
      <c r="P200">
        <f>IF(NOT(ISNA($N200)),INDEX(Entrada!$C$53:$N$372,$N200,P$2),0)</f>
        <v>64</v>
      </c>
      <c r="Q200">
        <f>IF(NOT(ISNA($N200)),INDEX(Entrada!$C$53:$N$372,$N200,Q$2),0)</f>
        <v>58</v>
      </c>
      <c r="R200">
        <f>IF(NOT(ISNA($N200)),INDEX(Entrada!$C$53:$N$372,$N200,R$2),0)</f>
        <v>43</v>
      </c>
      <c r="S200">
        <f>IF(NOT(ISNA($N200)),INDEX(Entrada!$C$53:$N$372,$N200,S$2),0)</f>
        <v>33</v>
      </c>
      <c r="T200">
        <f>IF(NOT(ISNA($N200)),INDEX(Entrada!$C$53:$N$372,$N200,T$2),0)</f>
        <v>29</v>
      </c>
      <c r="U200">
        <f>IF(NOT(ISNA($N200)),INDEX(Entrada!$C$53:$N$372,$N200,U$2),0)</f>
        <v>25</v>
      </c>
      <c r="V200" s="225">
        <f>IF(NOT(ISNA($N200)),INDEX(Entrada!$C$53:$N$372,$N200,V$2),0)</f>
        <v>22</v>
      </c>
      <c r="W200" s="225">
        <f>IF(NOT(ISNA($N200)),INDEX(Entrada!$C$53:$N$372,$N200,W$2),0)</f>
        <v>22</v>
      </c>
      <c r="X200" s="225">
        <f>IF(NOT(ISNA($N200)),INDEX(Entrada!$C$53:$N$372,$N200,X$2),0)</f>
        <v>25</v>
      </c>
      <c r="Y200" s="225">
        <f>IF(NOT(ISNA($N200)),INDEX(Entrada!$C$53:$N$372,$N200,Y$2),0)</f>
        <v>34</v>
      </c>
      <c r="Z200" s="225">
        <f>IF(NOT(ISNA($N200)),INDEX(Entrada!$C$53:$N$372,$N200,Z$2),0)</f>
        <v>49</v>
      </c>
      <c r="AA200" s="113">
        <f t="shared" si="72"/>
        <v>0</v>
      </c>
      <c r="AB200">
        <f t="shared" si="73"/>
        <v>0</v>
      </c>
      <c r="AC200">
        <f t="shared" si="74"/>
        <v>0</v>
      </c>
      <c r="AD200">
        <f t="shared" si="75"/>
        <v>0</v>
      </c>
      <c r="AE200">
        <f t="shared" si="76"/>
        <v>0</v>
      </c>
      <c r="AF200">
        <f t="shared" si="77"/>
        <v>0</v>
      </c>
      <c r="AG200">
        <f t="shared" si="78"/>
        <v>0</v>
      </c>
      <c r="AH200">
        <f t="shared" si="79"/>
        <v>0</v>
      </c>
      <c r="AI200">
        <f t="shared" si="80"/>
        <v>0</v>
      </c>
      <c r="AJ200">
        <f t="shared" si="81"/>
        <v>0</v>
      </c>
      <c r="AK200">
        <f t="shared" si="82"/>
        <v>0</v>
      </c>
      <c r="AL200">
        <f t="shared" si="83"/>
        <v>0</v>
      </c>
      <c r="AM200" s="113">
        <f t="shared" si="84"/>
        <v>65</v>
      </c>
      <c r="AN200">
        <f t="shared" si="85"/>
        <v>64</v>
      </c>
      <c r="AO200">
        <f t="shared" si="86"/>
        <v>58</v>
      </c>
      <c r="AP200">
        <f t="shared" si="87"/>
        <v>43</v>
      </c>
      <c r="AQ200">
        <f t="shared" si="88"/>
        <v>33</v>
      </c>
      <c r="AR200">
        <f t="shared" si="89"/>
        <v>29</v>
      </c>
      <c r="AS200">
        <f t="shared" si="90"/>
        <v>25</v>
      </c>
      <c r="AT200">
        <f t="shared" si="91"/>
        <v>22</v>
      </c>
      <c r="AU200">
        <f t="shared" si="92"/>
        <v>22</v>
      </c>
      <c r="AV200">
        <f t="shared" si="93"/>
        <v>25</v>
      </c>
      <c r="AW200">
        <f t="shared" si="94"/>
        <v>34</v>
      </c>
      <c r="AX200">
        <f t="shared" si="95"/>
        <v>49</v>
      </c>
    </row>
    <row r="201" spans="1:50" x14ac:dyDescent="0.25">
      <c r="A201" s="113">
        <v>198</v>
      </c>
      <c r="B201" s="209" t="s">
        <v>629</v>
      </c>
      <c r="C201" s="113">
        <v>1931</v>
      </c>
      <c r="D201" s="113">
        <v>2013</v>
      </c>
      <c r="E201" s="210" t="s">
        <v>10</v>
      </c>
      <c r="F201" s="210" t="s">
        <v>389</v>
      </c>
      <c r="G201" s="113">
        <v>197</v>
      </c>
      <c r="H201" s="113"/>
      <c r="I201" s="113"/>
      <c r="J201" s="113"/>
      <c r="K201" s="113"/>
      <c r="N201" s="113">
        <f>MATCH(A201,Entrada!$A$53:$A$372,0)</f>
        <v>122</v>
      </c>
      <c r="O201">
        <f>IF(NOT(ISNA($N201)),INDEX(Entrada!$C$53:$N$372,$N201,O$2),0)</f>
        <v>129</v>
      </c>
      <c r="P201">
        <f>IF(NOT(ISNA($N201)),INDEX(Entrada!$C$53:$N$372,$N201,P$2),0)</f>
        <v>125</v>
      </c>
      <c r="Q201">
        <f>IF(NOT(ISNA($N201)),INDEX(Entrada!$C$53:$N$372,$N201,Q$2),0)</f>
        <v>114</v>
      </c>
      <c r="R201">
        <f>IF(NOT(ISNA($N201)),INDEX(Entrada!$C$53:$N$372,$N201,R$2),0)</f>
        <v>84</v>
      </c>
      <c r="S201">
        <f>IF(NOT(ISNA($N201)),INDEX(Entrada!$C$53:$N$372,$N201,S$2),0)</f>
        <v>65</v>
      </c>
      <c r="T201">
        <f>IF(NOT(ISNA($N201)),INDEX(Entrada!$C$53:$N$372,$N201,T$2),0)</f>
        <v>56</v>
      </c>
      <c r="U201">
        <f>IF(NOT(ISNA($N201)),INDEX(Entrada!$C$53:$N$372,$N201,U$2),0)</f>
        <v>49</v>
      </c>
      <c r="V201" s="225">
        <f>IF(NOT(ISNA($N201)),INDEX(Entrada!$C$53:$N$372,$N201,V$2),0)</f>
        <v>44</v>
      </c>
      <c r="W201" s="225">
        <f>IF(NOT(ISNA($N201)),INDEX(Entrada!$C$53:$N$372,$N201,W$2),0)</f>
        <v>44</v>
      </c>
      <c r="X201" s="225">
        <f>IF(NOT(ISNA($N201)),INDEX(Entrada!$C$53:$N$372,$N201,X$2),0)</f>
        <v>51</v>
      </c>
      <c r="Y201" s="225">
        <f>IF(NOT(ISNA($N201)),INDEX(Entrada!$C$53:$N$372,$N201,Y$2),0)</f>
        <v>70</v>
      </c>
      <c r="Z201" s="225">
        <f>IF(NOT(ISNA($N201)),INDEX(Entrada!$C$53:$N$372,$N201,Z$2),0)</f>
        <v>102</v>
      </c>
      <c r="AA201" s="113">
        <f t="shared" si="72"/>
        <v>65</v>
      </c>
      <c r="AB201">
        <f t="shared" si="73"/>
        <v>64</v>
      </c>
      <c r="AC201">
        <f t="shared" si="74"/>
        <v>58</v>
      </c>
      <c r="AD201">
        <f t="shared" si="75"/>
        <v>43</v>
      </c>
      <c r="AE201">
        <f t="shared" si="76"/>
        <v>33</v>
      </c>
      <c r="AF201">
        <f t="shared" si="77"/>
        <v>29</v>
      </c>
      <c r="AG201">
        <f t="shared" si="78"/>
        <v>25</v>
      </c>
      <c r="AH201">
        <f t="shared" si="79"/>
        <v>22</v>
      </c>
      <c r="AI201">
        <f t="shared" si="80"/>
        <v>22</v>
      </c>
      <c r="AJ201">
        <f t="shared" si="81"/>
        <v>25</v>
      </c>
      <c r="AK201">
        <f t="shared" si="82"/>
        <v>34</v>
      </c>
      <c r="AL201">
        <f t="shared" si="83"/>
        <v>49</v>
      </c>
      <c r="AM201" s="113">
        <f t="shared" si="84"/>
        <v>64</v>
      </c>
      <c r="AN201">
        <f t="shared" si="85"/>
        <v>61</v>
      </c>
      <c r="AO201">
        <f t="shared" si="86"/>
        <v>56</v>
      </c>
      <c r="AP201">
        <f t="shared" si="87"/>
        <v>41</v>
      </c>
      <c r="AQ201">
        <f t="shared" si="88"/>
        <v>32</v>
      </c>
      <c r="AR201">
        <f t="shared" si="89"/>
        <v>27</v>
      </c>
      <c r="AS201">
        <f t="shared" si="90"/>
        <v>24</v>
      </c>
      <c r="AT201">
        <f t="shared" si="91"/>
        <v>22</v>
      </c>
      <c r="AU201">
        <f t="shared" si="92"/>
        <v>22</v>
      </c>
      <c r="AV201">
        <f t="shared" si="93"/>
        <v>26</v>
      </c>
      <c r="AW201">
        <f t="shared" si="94"/>
        <v>36</v>
      </c>
      <c r="AX201">
        <f t="shared" si="95"/>
        <v>53</v>
      </c>
    </row>
    <row r="202" spans="1:50" x14ac:dyDescent="0.25">
      <c r="A202" s="113">
        <v>199</v>
      </c>
      <c r="B202" s="209" t="s">
        <v>630</v>
      </c>
      <c r="C202" s="113">
        <v>1931</v>
      </c>
      <c r="D202" s="113">
        <v>2013</v>
      </c>
      <c r="E202" s="212" t="s">
        <v>10</v>
      </c>
      <c r="F202" s="213" t="s">
        <v>10</v>
      </c>
      <c r="G202" s="113"/>
      <c r="H202" s="113"/>
      <c r="I202" s="113"/>
      <c r="J202" s="113"/>
      <c r="K202" s="113"/>
      <c r="N202" s="113">
        <f>MATCH(A202,Entrada!$A$53:$A$372,0)</f>
        <v>123</v>
      </c>
      <c r="O202">
        <f>IF(NOT(ISNA($N202)),INDEX(Entrada!$C$53:$N$372,$N202,O$2),0)</f>
        <v>1139</v>
      </c>
      <c r="P202">
        <f>IF(NOT(ISNA($N202)),INDEX(Entrada!$C$53:$N$372,$N202,P$2),0)</f>
        <v>1143</v>
      </c>
      <c r="Q202">
        <f>IF(NOT(ISNA($N202)),INDEX(Entrada!$C$53:$N$372,$N202,Q$2),0)</f>
        <v>1073</v>
      </c>
      <c r="R202">
        <f>IF(NOT(ISNA($N202)),INDEX(Entrada!$C$53:$N$372,$N202,R$2),0)</f>
        <v>780</v>
      </c>
      <c r="S202">
        <f>IF(NOT(ISNA($N202)),INDEX(Entrada!$C$53:$N$372,$N202,S$2),0)</f>
        <v>551</v>
      </c>
      <c r="T202">
        <f>IF(NOT(ISNA($N202)),INDEX(Entrada!$C$53:$N$372,$N202,T$2),0)</f>
        <v>461</v>
      </c>
      <c r="U202">
        <f>IF(NOT(ISNA($N202)),INDEX(Entrada!$C$53:$N$372,$N202,U$2),0)</f>
        <v>389</v>
      </c>
      <c r="V202" s="225">
        <f>IF(NOT(ISNA($N202)),INDEX(Entrada!$C$53:$N$372,$N202,V$2),0)</f>
        <v>332</v>
      </c>
      <c r="W202" s="225">
        <f>IF(NOT(ISNA($N202)),INDEX(Entrada!$C$53:$N$372,$N202,W$2),0)</f>
        <v>338</v>
      </c>
      <c r="X202" s="225">
        <f>IF(NOT(ISNA($N202)),INDEX(Entrada!$C$53:$N$372,$N202,X$2),0)</f>
        <v>402</v>
      </c>
      <c r="Y202" s="225">
        <f>IF(NOT(ISNA($N202)),INDEX(Entrada!$C$53:$N$372,$N202,Y$2),0)</f>
        <v>546</v>
      </c>
      <c r="Z202" s="225">
        <f>IF(NOT(ISNA($N202)),INDEX(Entrada!$C$53:$N$372,$N202,Z$2),0)</f>
        <v>822</v>
      </c>
      <c r="AA202" s="113">
        <f t="shared" si="72"/>
        <v>0</v>
      </c>
      <c r="AB202">
        <f t="shared" si="73"/>
        <v>0</v>
      </c>
      <c r="AC202">
        <f t="shared" si="74"/>
        <v>0</v>
      </c>
      <c r="AD202">
        <f t="shared" si="75"/>
        <v>0</v>
      </c>
      <c r="AE202">
        <f t="shared" si="76"/>
        <v>0</v>
      </c>
      <c r="AF202">
        <f t="shared" si="77"/>
        <v>0</v>
      </c>
      <c r="AG202">
        <f t="shared" si="78"/>
        <v>0</v>
      </c>
      <c r="AH202">
        <f t="shared" si="79"/>
        <v>0</v>
      </c>
      <c r="AI202">
        <f t="shared" si="80"/>
        <v>0</v>
      </c>
      <c r="AJ202">
        <f t="shared" si="81"/>
        <v>0</v>
      </c>
      <c r="AK202">
        <f t="shared" si="82"/>
        <v>0</v>
      </c>
      <c r="AL202">
        <f t="shared" si="83"/>
        <v>0</v>
      </c>
      <c r="AM202" s="113">
        <f t="shared" si="84"/>
        <v>1139</v>
      </c>
      <c r="AN202">
        <f t="shared" si="85"/>
        <v>1143</v>
      </c>
      <c r="AO202">
        <f t="shared" si="86"/>
        <v>1073</v>
      </c>
      <c r="AP202">
        <f t="shared" si="87"/>
        <v>780</v>
      </c>
      <c r="AQ202">
        <f t="shared" si="88"/>
        <v>551</v>
      </c>
      <c r="AR202">
        <f t="shared" si="89"/>
        <v>461</v>
      </c>
      <c r="AS202">
        <f t="shared" si="90"/>
        <v>389</v>
      </c>
      <c r="AT202">
        <f t="shared" si="91"/>
        <v>332</v>
      </c>
      <c r="AU202">
        <f t="shared" si="92"/>
        <v>338</v>
      </c>
      <c r="AV202">
        <f t="shared" si="93"/>
        <v>402</v>
      </c>
      <c r="AW202">
        <f t="shared" si="94"/>
        <v>546</v>
      </c>
      <c r="AX202">
        <f t="shared" si="95"/>
        <v>822</v>
      </c>
    </row>
    <row r="203" spans="1:50" x14ac:dyDescent="0.25">
      <c r="A203" s="113">
        <v>200</v>
      </c>
      <c r="B203" s="209"/>
      <c r="C203" s="113">
        <v>0</v>
      </c>
      <c r="D203" s="113">
        <v>0</v>
      </c>
      <c r="E203" s="113" t="s">
        <v>688</v>
      </c>
      <c r="F203" s="113" t="s">
        <v>688</v>
      </c>
      <c r="G203" s="113"/>
      <c r="H203" s="113"/>
      <c r="I203" s="113"/>
      <c r="J203" s="113"/>
      <c r="K203" s="113"/>
      <c r="N203" s="113" t="e">
        <f>MATCH(A203,Entrada!$A$53:$A$372,0)</f>
        <v>#N/A</v>
      </c>
      <c r="O203">
        <f>IF(NOT(ISNA($N203)),INDEX(Entrada!$C$53:$N$372,$N203,O$2),0)</f>
        <v>0</v>
      </c>
      <c r="P203">
        <f>IF(NOT(ISNA($N203)),INDEX(Entrada!$C$53:$N$372,$N203,P$2),0)</f>
        <v>0</v>
      </c>
      <c r="Q203">
        <f>IF(NOT(ISNA($N203)),INDEX(Entrada!$C$53:$N$372,$N203,Q$2),0)</f>
        <v>0</v>
      </c>
      <c r="R203">
        <f>IF(NOT(ISNA($N203)),INDEX(Entrada!$C$53:$N$372,$N203,R$2),0)</f>
        <v>0</v>
      </c>
      <c r="S203">
        <f>IF(NOT(ISNA($N203)),INDEX(Entrada!$C$53:$N$372,$N203,S$2),0)</f>
        <v>0</v>
      </c>
      <c r="T203">
        <f>IF(NOT(ISNA($N203)),INDEX(Entrada!$C$53:$N$372,$N203,T$2),0)</f>
        <v>0</v>
      </c>
      <c r="U203">
        <f>IF(NOT(ISNA($N203)),INDEX(Entrada!$C$53:$N$372,$N203,U$2),0)</f>
        <v>0</v>
      </c>
      <c r="V203" s="225">
        <f>IF(NOT(ISNA($N203)),INDEX(Entrada!$C$53:$N$372,$N203,V$2),0)</f>
        <v>0</v>
      </c>
      <c r="W203" s="225">
        <f>IF(NOT(ISNA($N203)),INDEX(Entrada!$C$53:$N$372,$N203,W$2),0)</f>
        <v>0</v>
      </c>
      <c r="X203" s="225">
        <f>IF(NOT(ISNA($N203)),INDEX(Entrada!$C$53:$N$372,$N203,X$2),0)</f>
        <v>0</v>
      </c>
      <c r="Y203" s="225">
        <f>IF(NOT(ISNA($N203)),INDEX(Entrada!$C$53:$N$372,$N203,Y$2),0)</f>
        <v>0</v>
      </c>
      <c r="Z203" s="225">
        <f>IF(NOT(ISNA($N203)),INDEX(Entrada!$C$53:$N$372,$N203,Z$2),0)</f>
        <v>0</v>
      </c>
      <c r="AA203" s="113">
        <f t="shared" si="72"/>
        <v>0</v>
      </c>
      <c r="AB203">
        <f t="shared" si="73"/>
        <v>0</v>
      </c>
      <c r="AC203">
        <f t="shared" si="74"/>
        <v>0</v>
      </c>
      <c r="AD203">
        <f t="shared" si="75"/>
        <v>0</v>
      </c>
      <c r="AE203">
        <f t="shared" si="76"/>
        <v>0</v>
      </c>
      <c r="AF203">
        <f t="shared" si="77"/>
        <v>0</v>
      </c>
      <c r="AG203">
        <f t="shared" si="78"/>
        <v>0</v>
      </c>
      <c r="AH203">
        <f t="shared" si="79"/>
        <v>0</v>
      </c>
      <c r="AI203">
        <f t="shared" si="80"/>
        <v>0</v>
      </c>
      <c r="AJ203">
        <f t="shared" si="81"/>
        <v>0</v>
      </c>
      <c r="AK203">
        <f t="shared" si="82"/>
        <v>0</v>
      </c>
      <c r="AL203">
        <f t="shared" si="83"/>
        <v>0</v>
      </c>
      <c r="AM203" s="113">
        <f t="shared" si="84"/>
        <v>0</v>
      </c>
      <c r="AN203">
        <f t="shared" si="85"/>
        <v>0</v>
      </c>
      <c r="AO203">
        <f t="shared" si="86"/>
        <v>0</v>
      </c>
      <c r="AP203">
        <f t="shared" si="87"/>
        <v>0</v>
      </c>
      <c r="AQ203">
        <f t="shared" si="88"/>
        <v>0</v>
      </c>
      <c r="AR203">
        <f t="shared" si="89"/>
        <v>0</v>
      </c>
      <c r="AS203">
        <f t="shared" si="90"/>
        <v>0</v>
      </c>
      <c r="AT203">
        <f t="shared" si="91"/>
        <v>0</v>
      </c>
      <c r="AU203">
        <f t="shared" si="92"/>
        <v>0</v>
      </c>
      <c r="AV203">
        <f t="shared" si="93"/>
        <v>0</v>
      </c>
      <c r="AW203">
        <f t="shared" si="94"/>
        <v>0</v>
      </c>
      <c r="AX203">
        <f t="shared" si="95"/>
        <v>0</v>
      </c>
    </row>
    <row r="204" spans="1:50" x14ac:dyDescent="0.25">
      <c r="A204" s="113">
        <v>201</v>
      </c>
      <c r="B204" s="209" t="s">
        <v>631</v>
      </c>
      <c r="C204" s="113">
        <v>1931</v>
      </c>
      <c r="D204" s="113">
        <v>2013</v>
      </c>
      <c r="E204" s="210" t="s">
        <v>10</v>
      </c>
      <c r="F204" s="210" t="s">
        <v>391</v>
      </c>
      <c r="G204" s="113"/>
      <c r="H204" s="113"/>
      <c r="I204" s="113"/>
      <c r="J204" s="113"/>
      <c r="K204" s="113"/>
      <c r="N204" s="113">
        <f>MATCH(A204,Entrada!$A$53:$A$372,0)</f>
        <v>124</v>
      </c>
      <c r="O204">
        <f>IF(NOT(ISNA($N204)),INDEX(Entrada!$C$53:$N$372,$N204,O$2),0)</f>
        <v>25</v>
      </c>
      <c r="P204">
        <f>IF(NOT(ISNA($N204)),INDEX(Entrada!$C$53:$N$372,$N204,P$2),0)</f>
        <v>25</v>
      </c>
      <c r="Q204">
        <f>IF(NOT(ISNA($N204)),INDEX(Entrada!$C$53:$N$372,$N204,Q$2),0)</f>
        <v>23</v>
      </c>
      <c r="R204">
        <f>IF(NOT(ISNA($N204)),INDEX(Entrada!$C$53:$N$372,$N204,R$2),0)</f>
        <v>18</v>
      </c>
      <c r="S204">
        <f>IF(NOT(ISNA($N204)),INDEX(Entrada!$C$53:$N$372,$N204,S$2),0)</f>
        <v>12</v>
      </c>
      <c r="T204">
        <f>IF(NOT(ISNA($N204)),INDEX(Entrada!$C$53:$N$372,$N204,T$2),0)</f>
        <v>9</v>
      </c>
      <c r="U204">
        <f>IF(NOT(ISNA($N204)),INDEX(Entrada!$C$53:$N$372,$N204,U$2),0)</f>
        <v>7</v>
      </c>
      <c r="V204" s="225">
        <f>IF(NOT(ISNA($N204)),INDEX(Entrada!$C$53:$N$372,$N204,V$2),0)</f>
        <v>6</v>
      </c>
      <c r="W204" s="225">
        <f>IF(NOT(ISNA($N204)),INDEX(Entrada!$C$53:$N$372,$N204,W$2),0)</f>
        <v>7</v>
      </c>
      <c r="X204" s="225">
        <f>IF(NOT(ISNA($N204)),INDEX(Entrada!$C$53:$N$372,$N204,X$2),0)</f>
        <v>8</v>
      </c>
      <c r="Y204" s="225">
        <f>IF(NOT(ISNA($N204)),INDEX(Entrada!$C$53:$N$372,$N204,Y$2),0)</f>
        <v>12</v>
      </c>
      <c r="Z204" s="225">
        <f>IF(NOT(ISNA($N204)),INDEX(Entrada!$C$53:$N$372,$N204,Z$2),0)</f>
        <v>18</v>
      </c>
      <c r="AA204" s="113">
        <f t="shared" si="72"/>
        <v>0</v>
      </c>
      <c r="AB204">
        <f t="shared" si="73"/>
        <v>0</v>
      </c>
      <c r="AC204">
        <f t="shared" si="74"/>
        <v>0</v>
      </c>
      <c r="AD204">
        <f t="shared" si="75"/>
        <v>0</v>
      </c>
      <c r="AE204">
        <f t="shared" si="76"/>
        <v>0</v>
      </c>
      <c r="AF204">
        <f t="shared" si="77"/>
        <v>0</v>
      </c>
      <c r="AG204">
        <f t="shared" si="78"/>
        <v>0</v>
      </c>
      <c r="AH204">
        <f t="shared" si="79"/>
        <v>0</v>
      </c>
      <c r="AI204">
        <f t="shared" si="80"/>
        <v>0</v>
      </c>
      <c r="AJ204">
        <f t="shared" si="81"/>
        <v>0</v>
      </c>
      <c r="AK204">
        <f t="shared" si="82"/>
        <v>0</v>
      </c>
      <c r="AL204">
        <f t="shared" si="83"/>
        <v>0</v>
      </c>
      <c r="AM204" s="113">
        <f t="shared" si="84"/>
        <v>25</v>
      </c>
      <c r="AN204">
        <f t="shared" si="85"/>
        <v>25</v>
      </c>
      <c r="AO204">
        <f t="shared" si="86"/>
        <v>23</v>
      </c>
      <c r="AP204">
        <f t="shared" si="87"/>
        <v>18</v>
      </c>
      <c r="AQ204">
        <f t="shared" si="88"/>
        <v>12</v>
      </c>
      <c r="AR204">
        <f t="shared" si="89"/>
        <v>9</v>
      </c>
      <c r="AS204">
        <f t="shared" si="90"/>
        <v>7</v>
      </c>
      <c r="AT204">
        <f t="shared" si="91"/>
        <v>6</v>
      </c>
      <c r="AU204">
        <f t="shared" si="92"/>
        <v>7</v>
      </c>
      <c r="AV204">
        <f t="shared" si="93"/>
        <v>8</v>
      </c>
      <c r="AW204">
        <f t="shared" si="94"/>
        <v>12</v>
      </c>
      <c r="AX204">
        <f t="shared" si="95"/>
        <v>18</v>
      </c>
    </row>
    <row r="205" spans="1:50" x14ac:dyDescent="0.25">
      <c r="A205" s="113">
        <v>202</v>
      </c>
      <c r="B205" s="209" t="s">
        <v>606</v>
      </c>
      <c r="C205" s="113">
        <v>1931</v>
      </c>
      <c r="D205" s="113">
        <v>2013</v>
      </c>
      <c r="E205" s="210" t="s">
        <v>10</v>
      </c>
      <c r="F205" s="210" t="s">
        <v>361</v>
      </c>
      <c r="G205" s="113"/>
      <c r="H205" s="113"/>
      <c r="I205" s="113"/>
      <c r="J205" s="113"/>
      <c r="K205" s="113"/>
      <c r="N205" s="113">
        <f>MATCH(A205,Entrada!$A$53:$A$372,0)</f>
        <v>125</v>
      </c>
      <c r="O205">
        <f>IF(NOT(ISNA($N205)),INDEX(Entrada!$C$53:$N$372,$N205,O$2),0)</f>
        <v>10</v>
      </c>
      <c r="P205">
        <f>IF(NOT(ISNA($N205)),INDEX(Entrada!$C$53:$N$372,$N205,P$2),0)</f>
        <v>9</v>
      </c>
      <c r="Q205">
        <f>IF(NOT(ISNA($N205)),INDEX(Entrada!$C$53:$N$372,$N205,Q$2),0)</f>
        <v>9</v>
      </c>
      <c r="R205">
        <f>IF(NOT(ISNA($N205)),INDEX(Entrada!$C$53:$N$372,$N205,R$2),0)</f>
        <v>7</v>
      </c>
      <c r="S205">
        <f>IF(NOT(ISNA($N205)),INDEX(Entrada!$C$53:$N$372,$N205,S$2),0)</f>
        <v>5</v>
      </c>
      <c r="T205">
        <f>IF(NOT(ISNA($N205)),INDEX(Entrada!$C$53:$N$372,$N205,T$2),0)</f>
        <v>3</v>
      </c>
      <c r="U205">
        <f>IF(NOT(ISNA($N205)),INDEX(Entrada!$C$53:$N$372,$N205,U$2),0)</f>
        <v>3</v>
      </c>
      <c r="V205" s="225">
        <f>IF(NOT(ISNA($N205)),INDEX(Entrada!$C$53:$N$372,$N205,V$2),0)</f>
        <v>2</v>
      </c>
      <c r="W205" s="225">
        <f>IF(NOT(ISNA($N205)),INDEX(Entrada!$C$53:$N$372,$N205,W$2),0)</f>
        <v>3</v>
      </c>
      <c r="X205" s="225">
        <f>IF(NOT(ISNA($N205)),INDEX(Entrada!$C$53:$N$372,$N205,X$2),0)</f>
        <v>3</v>
      </c>
      <c r="Y205" s="225">
        <f>IF(NOT(ISNA($N205)),INDEX(Entrada!$C$53:$N$372,$N205,Y$2),0)</f>
        <v>5</v>
      </c>
      <c r="Z205" s="225">
        <f>IF(NOT(ISNA($N205)),INDEX(Entrada!$C$53:$N$372,$N205,Z$2),0)</f>
        <v>8</v>
      </c>
      <c r="AA205" s="113">
        <f t="shared" si="72"/>
        <v>0</v>
      </c>
      <c r="AB205">
        <f t="shared" si="73"/>
        <v>0</v>
      </c>
      <c r="AC205">
        <f t="shared" si="74"/>
        <v>0</v>
      </c>
      <c r="AD205">
        <f t="shared" si="75"/>
        <v>0</v>
      </c>
      <c r="AE205">
        <f t="shared" si="76"/>
        <v>0</v>
      </c>
      <c r="AF205">
        <f t="shared" si="77"/>
        <v>0</v>
      </c>
      <c r="AG205">
        <f t="shared" si="78"/>
        <v>0</v>
      </c>
      <c r="AH205">
        <f t="shared" si="79"/>
        <v>0</v>
      </c>
      <c r="AI205">
        <f t="shared" si="80"/>
        <v>0</v>
      </c>
      <c r="AJ205">
        <f t="shared" si="81"/>
        <v>0</v>
      </c>
      <c r="AK205">
        <f t="shared" si="82"/>
        <v>0</v>
      </c>
      <c r="AL205">
        <f t="shared" si="83"/>
        <v>0</v>
      </c>
      <c r="AM205" s="113">
        <f t="shared" si="84"/>
        <v>10</v>
      </c>
      <c r="AN205">
        <f t="shared" si="85"/>
        <v>9</v>
      </c>
      <c r="AO205">
        <f t="shared" si="86"/>
        <v>9</v>
      </c>
      <c r="AP205">
        <f t="shared" si="87"/>
        <v>7</v>
      </c>
      <c r="AQ205">
        <f t="shared" si="88"/>
        <v>5</v>
      </c>
      <c r="AR205">
        <f t="shared" si="89"/>
        <v>3</v>
      </c>
      <c r="AS205">
        <f t="shared" si="90"/>
        <v>3</v>
      </c>
      <c r="AT205">
        <f t="shared" si="91"/>
        <v>2</v>
      </c>
      <c r="AU205">
        <f t="shared" si="92"/>
        <v>3</v>
      </c>
      <c r="AV205">
        <f t="shared" si="93"/>
        <v>3</v>
      </c>
      <c r="AW205">
        <f t="shared" si="94"/>
        <v>5</v>
      </c>
      <c r="AX205">
        <f t="shared" si="95"/>
        <v>8</v>
      </c>
    </row>
    <row r="206" spans="1:50" x14ac:dyDescent="0.25">
      <c r="A206" s="113">
        <v>203</v>
      </c>
      <c r="B206" s="209" t="s">
        <v>632</v>
      </c>
      <c r="C206" s="113">
        <v>1931</v>
      </c>
      <c r="D206" s="113">
        <v>2013</v>
      </c>
      <c r="E206" s="210" t="s">
        <v>10</v>
      </c>
      <c r="F206" s="210" t="s">
        <v>391</v>
      </c>
      <c r="G206" s="113">
        <v>201</v>
      </c>
      <c r="H206" s="113"/>
      <c r="I206" s="113"/>
      <c r="J206" s="113"/>
      <c r="K206" s="113"/>
      <c r="N206" s="113">
        <f>MATCH(A206,Entrada!$A$53:$A$372,0)</f>
        <v>126</v>
      </c>
      <c r="O206">
        <f>IF(NOT(ISNA($N206)),INDEX(Entrada!$C$53:$N$372,$N206,O$2),0)</f>
        <v>42</v>
      </c>
      <c r="P206">
        <f>IF(NOT(ISNA($N206)),INDEX(Entrada!$C$53:$N$372,$N206,P$2),0)</f>
        <v>42</v>
      </c>
      <c r="Q206">
        <f>IF(NOT(ISNA($N206)),INDEX(Entrada!$C$53:$N$372,$N206,Q$2),0)</f>
        <v>39</v>
      </c>
      <c r="R206">
        <f>IF(NOT(ISNA($N206)),INDEX(Entrada!$C$53:$N$372,$N206,R$2),0)</f>
        <v>30</v>
      </c>
      <c r="S206">
        <f>IF(NOT(ISNA($N206)),INDEX(Entrada!$C$53:$N$372,$N206,S$2),0)</f>
        <v>21</v>
      </c>
      <c r="T206">
        <f>IF(NOT(ISNA($N206)),INDEX(Entrada!$C$53:$N$372,$N206,T$2),0)</f>
        <v>15</v>
      </c>
      <c r="U206">
        <f>IF(NOT(ISNA($N206)),INDEX(Entrada!$C$53:$N$372,$N206,U$2),0)</f>
        <v>13</v>
      </c>
      <c r="V206" s="225">
        <f>IF(NOT(ISNA($N206)),INDEX(Entrada!$C$53:$N$372,$N206,V$2),0)</f>
        <v>11</v>
      </c>
      <c r="W206" s="225">
        <f>IF(NOT(ISNA($N206)),INDEX(Entrada!$C$53:$N$372,$N206,W$2),0)</f>
        <v>11</v>
      </c>
      <c r="X206" s="225">
        <f>IF(NOT(ISNA($N206)),INDEX(Entrada!$C$53:$N$372,$N206,X$2),0)</f>
        <v>14</v>
      </c>
      <c r="Y206" s="225">
        <f>IF(NOT(ISNA($N206)),INDEX(Entrada!$C$53:$N$372,$N206,Y$2),0)</f>
        <v>20</v>
      </c>
      <c r="Z206" s="225">
        <f>IF(NOT(ISNA($N206)),INDEX(Entrada!$C$53:$N$372,$N206,Z$2),0)</f>
        <v>31</v>
      </c>
      <c r="AA206" s="113">
        <f t="shared" si="72"/>
        <v>25</v>
      </c>
      <c r="AB206">
        <f t="shared" si="73"/>
        <v>25</v>
      </c>
      <c r="AC206">
        <f t="shared" si="74"/>
        <v>23</v>
      </c>
      <c r="AD206">
        <f t="shared" si="75"/>
        <v>18</v>
      </c>
      <c r="AE206">
        <f t="shared" si="76"/>
        <v>12</v>
      </c>
      <c r="AF206">
        <f t="shared" si="77"/>
        <v>9</v>
      </c>
      <c r="AG206">
        <f t="shared" si="78"/>
        <v>7</v>
      </c>
      <c r="AH206">
        <f t="shared" si="79"/>
        <v>6</v>
      </c>
      <c r="AI206">
        <f t="shared" si="80"/>
        <v>7</v>
      </c>
      <c r="AJ206">
        <f t="shared" si="81"/>
        <v>8</v>
      </c>
      <c r="AK206">
        <f t="shared" si="82"/>
        <v>12</v>
      </c>
      <c r="AL206">
        <f t="shared" si="83"/>
        <v>18</v>
      </c>
      <c r="AM206" s="113">
        <f t="shared" si="84"/>
        <v>17</v>
      </c>
      <c r="AN206">
        <f t="shared" si="85"/>
        <v>17</v>
      </c>
      <c r="AO206">
        <f t="shared" si="86"/>
        <v>16</v>
      </c>
      <c r="AP206">
        <f t="shared" si="87"/>
        <v>12</v>
      </c>
      <c r="AQ206">
        <f t="shared" si="88"/>
        <v>9</v>
      </c>
      <c r="AR206">
        <f t="shared" si="89"/>
        <v>6</v>
      </c>
      <c r="AS206">
        <f t="shared" si="90"/>
        <v>6</v>
      </c>
      <c r="AT206">
        <f t="shared" si="91"/>
        <v>5</v>
      </c>
      <c r="AU206">
        <f t="shared" si="92"/>
        <v>4</v>
      </c>
      <c r="AV206">
        <f t="shared" si="93"/>
        <v>6</v>
      </c>
      <c r="AW206">
        <f t="shared" si="94"/>
        <v>8</v>
      </c>
      <c r="AX206">
        <f t="shared" si="95"/>
        <v>13</v>
      </c>
    </row>
    <row r="207" spans="1:50" x14ac:dyDescent="0.25">
      <c r="A207" s="113">
        <v>204</v>
      </c>
      <c r="B207" s="209" t="s">
        <v>633</v>
      </c>
      <c r="C207" s="113">
        <v>1931</v>
      </c>
      <c r="D207" s="113">
        <v>2013</v>
      </c>
      <c r="E207" s="212" t="s">
        <v>289</v>
      </c>
      <c r="F207" s="213" t="s">
        <v>289</v>
      </c>
      <c r="G207" s="113"/>
      <c r="H207" s="113"/>
      <c r="I207" s="113"/>
      <c r="J207" s="113"/>
      <c r="K207" s="113"/>
      <c r="N207" s="113">
        <f>MATCH(A207,Entrada!$A$53:$A$372,0)</f>
        <v>127</v>
      </c>
      <c r="O207">
        <f>IF(NOT(ISNA($N207)),INDEX(Entrada!$C$53:$N$372,$N207,O$2),0)</f>
        <v>528</v>
      </c>
      <c r="P207">
        <f>IF(NOT(ISNA($N207)),INDEX(Entrada!$C$53:$N$372,$N207,P$2),0)</f>
        <v>987</v>
      </c>
      <c r="Q207">
        <f>IF(NOT(ISNA($N207)),INDEX(Entrada!$C$53:$N$372,$N207,Q$2),0)</f>
        <v>1505</v>
      </c>
      <c r="R207">
        <f>IF(NOT(ISNA($N207)),INDEX(Entrada!$C$53:$N$372,$N207,R$2),0)</f>
        <v>1863</v>
      </c>
      <c r="S207">
        <f>IF(NOT(ISNA($N207)),INDEX(Entrada!$C$53:$N$372,$N207,S$2),0)</f>
        <v>1991</v>
      </c>
      <c r="T207">
        <f>IF(NOT(ISNA($N207)),INDEX(Entrada!$C$53:$N$372,$N207,T$2),0)</f>
        <v>1578</v>
      </c>
      <c r="U207">
        <f>IF(NOT(ISNA($N207)),INDEX(Entrada!$C$53:$N$372,$N207,U$2),0)</f>
        <v>1164</v>
      </c>
      <c r="V207" s="225">
        <f>IF(NOT(ISNA($N207)),INDEX(Entrada!$C$53:$N$372,$N207,V$2),0)</f>
        <v>786</v>
      </c>
      <c r="W207" s="225">
        <f>IF(NOT(ISNA($N207)),INDEX(Entrada!$C$53:$N$372,$N207,W$2),0)</f>
        <v>455</v>
      </c>
      <c r="X207" s="225">
        <f>IF(NOT(ISNA($N207)),INDEX(Entrada!$C$53:$N$372,$N207,X$2),0)</f>
        <v>275</v>
      </c>
      <c r="Y207" s="225">
        <f>IF(NOT(ISNA($N207)),INDEX(Entrada!$C$53:$N$372,$N207,Y$2),0)</f>
        <v>198</v>
      </c>
      <c r="Z207" s="225">
        <f>IF(NOT(ISNA($N207)),INDEX(Entrada!$C$53:$N$372,$N207,Z$2),0)</f>
        <v>230</v>
      </c>
      <c r="AA207" s="113">
        <f t="shared" si="72"/>
        <v>0</v>
      </c>
      <c r="AB207">
        <f t="shared" si="73"/>
        <v>0</v>
      </c>
      <c r="AC207">
        <f t="shared" si="74"/>
        <v>0</v>
      </c>
      <c r="AD207">
        <f t="shared" si="75"/>
        <v>0</v>
      </c>
      <c r="AE207">
        <f t="shared" si="76"/>
        <v>0</v>
      </c>
      <c r="AF207">
        <f t="shared" si="77"/>
        <v>0</v>
      </c>
      <c r="AG207">
        <f t="shared" si="78"/>
        <v>0</v>
      </c>
      <c r="AH207">
        <f t="shared" si="79"/>
        <v>0</v>
      </c>
      <c r="AI207">
        <f t="shared" si="80"/>
        <v>0</v>
      </c>
      <c r="AJ207">
        <f t="shared" si="81"/>
        <v>0</v>
      </c>
      <c r="AK207">
        <f t="shared" si="82"/>
        <v>0</v>
      </c>
      <c r="AL207">
        <f t="shared" si="83"/>
        <v>0</v>
      </c>
      <c r="AM207" s="113">
        <f t="shared" si="84"/>
        <v>528</v>
      </c>
      <c r="AN207">
        <f t="shared" si="85"/>
        <v>987</v>
      </c>
      <c r="AO207">
        <f t="shared" si="86"/>
        <v>1505</v>
      </c>
      <c r="AP207">
        <f t="shared" si="87"/>
        <v>1863</v>
      </c>
      <c r="AQ207">
        <f t="shared" si="88"/>
        <v>1991</v>
      </c>
      <c r="AR207">
        <f t="shared" si="89"/>
        <v>1578</v>
      </c>
      <c r="AS207">
        <f t="shared" si="90"/>
        <v>1164</v>
      </c>
      <c r="AT207">
        <f t="shared" si="91"/>
        <v>786</v>
      </c>
      <c r="AU207">
        <f t="shared" si="92"/>
        <v>455</v>
      </c>
      <c r="AV207">
        <f t="shared" si="93"/>
        <v>275</v>
      </c>
      <c r="AW207">
        <f t="shared" si="94"/>
        <v>198</v>
      </c>
      <c r="AX207">
        <f t="shared" si="95"/>
        <v>230</v>
      </c>
    </row>
    <row r="208" spans="1:50" x14ac:dyDescent="0.25">
      <c r="A208" s="113">
        <v>205</v>
      </c>
      <c r="B208" s="209" t="s">
        <v>634</v>
      </c>
      <c r="C208" s="113">
        <v>1931</v>
      </c>
      <c r="D208" s="113">
        <v>2013</v>
      </c>
      <c r="E208" s="210" t="s">
        <v>3</v>
      </c>
      <c r="F208" s="210" t="s">
        <v>288</v>
      </c>
      <c r="G208" s="113"/>
      <c r="H208" s="113"/>
      <c r="I208" s="113"/>
      <c r="J208" s="113"/>
      <c r="K208" s="113"/>
      <c r="N208" s="113">
        <f>MATCH(A208,Entrada!$A$53:$A$372,0)</f>
        <v>128</v>
      </c>
      <c r="O208">
        <f>IF(NOT(ISNA($N208)),INDEX(Entrada!$C$53:$N$372,$N208,O$2),0)</f>
        <v>219</v>
      </c>
      <c r="P208">
        <f>IF(NOT(ISNA($N208)),INDEX(Entrada!$C$53:$N$372,$N208,P$2),0)</f>
        <v>241</v>
      </c>
      <c r="Q208">
        <f>IF(NOT(ISNA($N208)),INDEX(Entrada!$C$53:$N$372,$N208,Q$2),0)</f>
        <v>239</v>
      </c>
      <c r="R208">
        <f>IF(NOT(ISNA($N208)),INDEX(Entrada!$C$53:$N$372,$N208,R$2),0)</f>
        <v>190</v>
      </c>
      <c r="S208">
        <f>IF(NOT(ISNA($N208)),INDEX(Entrada!$C$53:$N$372,$N208,S$2),0)</f>
        <v>119</v>
      </c>
      <c r="T208">
        <f>IF(NOT(ISNA($N208)),INDEX(Entrada!$C$53:$N$372,$N208,T$2),0)</f>
        <v>87</v>
      </c>
      <c r="U208">
        <f>IF(NOT(ISNA($N208)),INDEX(Entrada!$C$53:$N$372,$N208,U$2),0)</f>
        <v>68</v>
      </c>
      <c r="V208" s="225">
        <f>IF(NOT(ISNA($N208)),INDEX(Entrada!$C$53:$N$372,$N208,V$2),0)</f>
        <v>54</v>
      </c>
      <c r="W208" s="225">
        <f>IF(NOT(ISNA($N208)),INDEX(Entrada!$C$53:$N$372,$N208,W$2),0)</f>
        <v>47</v>
      </c>
      <c r="X208" s="225">
        <f>IF(NOT(ISNA($N208)),INDEX(Entrada!$C$53:$N$372,$N208,X$2),0)</f>
        <v>61</v>
      </c>
      <c r="Y208" s="225">
        <f>IF(NOT(ISNA($N208)),INDEX(Entrada!$C$53:$N$372,$N208,Y$2),0)</f>
        <v>100</v>
      </c>
      <c r="Z208" s="225">
        <f>IF(NOT(ISNA($N208)),INDEX(Entrada!$C$53:$N$372,$N208,Z$2),0)</f>
        <v>161</v>
      </c>
      <c r="AA208" s="113">
        <f t="shared" si="72"/>
        <v>0</v>
      </c>
      <c r="AB208">
        <f t="shared" si="73"/>
        <v>0</v>
      </c>
      <c r="AC208">
        <f t="shared" si="74"/>
        <v>0</v>
      </c>
      <c r="AD208">
        <f t="shared" si="75"/>
        <v>0</v>
      </c>
      <c r="AE208">
        <f t="shared" si="76"/>
        <v>0</v>
      </c>
      <c r="AF208">
        <f t="shared" si="77"/>
        <v>0</v>
      </c>
      <c r="AG208">
        <f t="shared" si="78"/>
        <v>0</v>
      </c>
      <c r="AH208">
        <f t="shared" si="79"/>
        <v>0</v>
      </c>
      <c r="AI208">
        <f t="shared" si="80"/>
        <v>0</v>
      </c>
      <c r="AJ208">
        <f t="shared" si="81"/>
        <v>0</v>
      </c>
      <c r="AK208">
        <f t="shared" si="82"/>
        <v>0</v>
      </c>
      <c r="AL208">
        <f t="shared" si="83"/>
        <v>0</v>
      </c>
      <c r="AM208" s="113">
        <f t="shared" si="84"/>
        <v>219</v>
      </c>
      <c r="AN208">
        <f t="shared" si="85"/>
        <v>241</v>
      </c>
      <c r="AO208">
        <f t="shared" si="86"/>
        <v>239</v>
      </c>
      <c r="AP208">
        <f t="shared" si="87"/>
        <v>190</v>
      </c>
      <c r="AQ208">
        <f t="shared" si="88"/>
        <v>119</v>
      </c>
      <c r="AR208">
        <f t="shared" si="89"/>
        <v>87</v>
      </c>
      <c r="AS208">
        <f t="shared" si="90"/>
        <v>68</v>
      </c>
      <c r="AT208">
        <f t="shared" si="91"/>
        <v>54</v>
      </c>
      <c r="AU208">
        <f t="shared" si="92"/>
        <v>47</v>
      </c>
      <c r="AV208">
        <f t="shared" si="93"/>
        <v>61</v>
      </c>
      <c r="AW208">
        <f t="shared" si="94"/>
        <v>100</v>
      </c>
      <c r="AX208">
        <f t="shared" si="95"/>
        <v>161</v>
      </c>
    </row>
    <row r="209" spans="1:50" x14ac:dyDescent="0.25">
      <c r="A209" s="113">
        <v>206</v>
      </c>
      <c r="B209" s="209" t="s">
        <v>635</v>
      </c>
      <c r="C209" s="113">
        <v>1931</v>
      </c>
      <c r="D209" s="113">
        <v>2013</v>
      </c>
      <c r="E209" s="210" t="s">
        <v>3</v>
      </c>
      <c r="F209" s="210" t="s">
        <v>289</v>
      </c>
      <c r="G209" s="113">
        <v>25</v>
      </c>
      <c r="H209" s="113"/>
      <c r="I209" s="113"/>
      <c r="J209" s="113"/>
      <c r="K209" s="113"/>
      <c r="N209" s="113">
        <f>MATCH(A209,Entrada!$A$53:$A$372,0)</f>
        <v>129</v>
      </c>
      <c r="O209">
        <f>IF(NOT(ISNA($N209)),INDEX(Entrada!$C$53:$N$372,$N209,O$2),0)</f>
        <v>610</v>
      </c>
      <c r="P209">
        <f>IF(NOT(ISNA($N209)),INDEX(Entrada!$C$53:$N$372,$N209,P$2),0)</f>
        <v>615</v>
      </c>
      <c r="Q209">
        <f>IF(NOT(ISNA($N209)),INDEX(Entrada!$C$53:$N$372,$N209,Q$2),0)</f>
        <v>578</v>
      </c>
      <c r="R209">
        <f>IF(NOT(ISNA($N209)),INDEX(Entrada!$C$53:$N$372,$N209,R$2),0)</f>
        <v>439</v>
      </c>
      <c r="S209">
        <f>IF(NOT(ISNA($N209)),INDEX(Entrada!$C$53:$N$372,$N209,S$2),0)</f>
        <v>300</v>
      </c>
      <c r="T209">
        <f>IF(NOT(ISNA($N209)),INDEX(Entrada!$C$53:$N$372,$N209,T$2),0)</f>
        <v>235</v>
      </c>
      <c r="U209">
        <f>IF(NOT(ISNA($N209)),INDEX(Entrada!$C$53:$N$372,$N209,U$2),0)</f>
        <v>195</v>
      </c>
      <c r="V209" s="225">
        <f>IF(NOT(ISNA($N209)),INDEX(Entrada!$C$53:$N$372,$N209,V$2),0)</f>
        <v>161</v>
      </c>
      <c r="W209" s="225">
        <f>IF(NOT(ISNA($N209)),INDEX(Entrada!$C$53:$N$372,$N209,W$2),0)</f>
        <v>148</v>
      </c>
      <c r="X209" s="225">
        <f>IF(NOT(ISNA($N209)),INDEX(Entrada!$C$53:$N$372,$N209,X$2),0)</f>
        <v>180</v>
      </c>
      <c r="Y209" s="225">
        <f>IF(NOT(ISNA($N209)),INDEX(Entrada!$C$53:$N$372,$N209,Y$2),0)</f>
        <v>263</v>
      </c>
      <c r="Z209" s="225">
        <f>IF(NOT(ISNA($N209)),INDEX(Entrada!$C$53:$N$372,$N209,Z$2),0)</f>
        <v>434</v>
      </c>
      <c r="AA209" s="113">
        <f t="shared" si="72"/>
        <v>530</v>
      </c>
      <c r="AB209">
        <f t="shared" si="73"/>
        <v>532</v>
      </c>
      <c r="AC209">
        <f t="shared" si="74"/>
        <v>499</v>
      </c>
      <c r="AD209">
        <f t="shared" si="75"/>
        <v>375</v>
      </c>
      <c r="AE209">
        <f t="shared" si="76"/>
        <v>257</v>
      </c>
      <c r="AF209">
        <f t="shared" si="77"/>
        <v>201</v>
      </c>
      <c r="AG209">
        <f t="shared" si="78"/>
        <v>166</v>
      </c>
      <c r="AH209">
        <f t="shared" si="79"/>
        <v>135</v>
      </c>
      <c r="AI209">
        <f t="shared" si="80"/>
        <v>123</v>
      </c>
      <c r="AJ209">
        <f t="shared" si="81"/>
        <v>152</v>
      </c>
      <c r="AK209">
        <f t="shared" si="82"/>
        <v>224</v>
      </c>
      <c r="AL209">
        <f t="shared" si="83"/>
        <v>376</v>
      </c>
      <c r="AM209" s="113">
        <f t="shared" si="84"/>
        <v>80</v>
      </c>
      <c r="AN209">
        <f t="shared" si="85"/>
        <v>83</v>
      </c>
      <c r="AO209">
        <f t="shared" si="86"/>
        <v>79</v>
      </c>
      <c r="AP209">
        <f t="shared" si="87"/>
        <v>64</v>
      </c>
      <c r="AQ209">
        <f t="shared" si="88"/>
        <v>43</v>
      </c>
      <c r="AR209">
        <f t="shared" si="89"/>
        <v>34</v>
      </c>
      <c r="AS209">
        <f t="shared" si="90"/>
        <v>29</v>
      </c>
      <c r="AT209">
        <f t="shared" si="91"/>
        <v>26</v>
      </c>
      <c r="AU209">
        <f t="shared" si="92"/>
        <v>25</v>
      </c>
      <c r="AV209">
        <f t="shared" si="93"/>
        <v>28</v>
      </c>
      <c r="AW209">
        <f t="shared" si="94"/>
        <v>39</v>
      </c>
      <c r="AX209">
        <f t="shared" si="95"/>
        <v>58</v>
      </c>
    </row>
    <row r="210" spans="1:50" x14ac:dyDescent="0.25">
      <c r="A210" s="113">
        <v>207</v>
      </c>
      <c r="B210" s="209" t="s">
        <v>256</v>
      </c>
      <c r="C210" s="113">
        <v>1931</v>
      </c>
      <c r="D210" s="113">
        <v>2013</v>
      </c>
      <c r="E210" s="210" t="s">
        <v>3</v>
      </c>
      <c r="F210" s="210" t="s">
        <v>289</v>
      </c>
      <c r="G210" s="113">
        <v>206</v>
      </c>
      <c r="H210" s="113"/>
      <c r="I210" s="113"/>
      <c r="J210" s="113"/>
      <c r="K210" s="113"/>
      <c r="N210" s="113">
        <f>MATCH(A210,Entrada!$A$53:$A$372,0)</f>
        <v>130</v>
      </c>
      <c r="O210">
        <f>IF(NOT(ISNA($N210)),INDEX(Entrada!$C$53:$N$372,$N210,O$2),0)</f>
        <v>620</v>
      </c>
      <c r="P210">
        <f>IF(NOT(ISNA($N210)),INDEX(Entrada!$C$53:$N$372,$N210,P$2),0)</f>
        <v>626</v>
      </c>
      <c r="Q210">
        <f>IF(NOT(ISNA($N210)),INDEX(Entrada!$C$53:$N$372,$N210,Q$2),0)</f>
        <v>589</v>
      </c>
      <c r="R210">
        <f>IF(NOT(ISNA($N210)),INDEX(Entrada!$C$53:$N$372,$N210,R$2),0)</f>
        <v>448</v>
      </c>
      <c r="S210">
        <f>IF(NOT(ISNA($N210)),INDEX(Entrada!$C$53:$N$372,$N210,S$2),0)</f>
        <v>307</v>
      </c>
      <c r="T210">
        <f>IF(NOT(ISNA($N210)),INDEX(Entrada!$C$53:$N$372,$N210,T$2),0)</f>
        <v>240</v>
      </c>
      <c r="U210">
        <f>IF(NOT(ISNA($N210)),INDEX(Entrada!$C$53:$N$372,$N210,U$2),0)</f>
        <v>199</v>
      </c>
      <c r="V210" s="225">
        <f>IF(NOT(ISNA($N210)),INDEX(Entrada!$C$53:$N$372,$N210,V$2),0)</f>
        <v>164</v>
      </c>
      <c r="W210" s="225">
        <f>IF(NOT(ISNA($N210)),INDEX(Entrada!$C$53:$N$372,$N210,W$2),0)</f>
        <v>151</v>
      </c>
      <c r="X210" s="225">
        <f>IF(NOT(ISNA($N210)),INDEX(Entrada!$C$53:$N$372,$N210,X$2),0)</f>
        <v>183</v>
      </c>
      <c r="Y210" s="225">
        <f>IF(NOT(ISNA($N210)),INDEX(Entrada!$C$53:$N$372,$N210,Y$2),0)</f>
        <v>268</v>
      </c>
      <c r="Z210" s="225">
        <f>IF(NOT(ISNA($N210)),INDEX(Entrada!$C$53:$N$372,$N210,Z$2),0)</f>
        <v>441</v>
      </c>
      <c r="AA210" s="113">
        <f t="shared" si="72"/>
        <v>610</v>
      </c>
      <c r="AB210">
        <f t="shared" si="73"/>
        <v>615</v>
      </c>
      <c r="AC210">
        <f t="shared" si="74"/>
        <v>578</v>
      </c>
      <c r="AD210">
        <f t="shared" si="75"/>
        <v>439</v>
      </c>
      <c r="AE210">
        <f t="shared" si="76"/>
        <v>300</v>
      </c>
      <c r="AF210">
        <f t="shared" si="77"/>
        <v>235</v>
      </c>
      <c r="AG210">
        <f t="shared" si="78"/>
        <v>195</v>
      </c>
      <c r="AH210">
        <f t="shared" si="79"/>
        <v>161</v>
      </c>
      <c r="AI210">
        <f t="shared" si="80"/>
        <v>148</v>
      </c>
      <c r="AJ210">
        <f t="shared" si="81"/>
        <v>180</v>
      </c>
      <c r="AK210">
        <f t="shared" si="82"/>
        <v>263</v>
      </c>
      <c r="AL210">
        <f t="shared" si="83"/>
        <v>434</v>
      </c>
      <c r="AM210" s="113">
        <f t="shared" si="84"/>
        <v>10</v>
      </c>
      <c r="AN210">
        <f t="shared" si="85"/>
        <v>11</v>
      </c>
      <c r="AO210">
        <f t="shared" si="86"/>
        <v>11</v>
      </c>
      <c r="AP210">
        <f t="shared" si="87"/>
        <v>9</v>
      </c>
      <c r="AQ210">
        <f t="shared" si="88"/>
        <v>7</v>
      </c>
      <c r="AR210">
        <f t="shared" si="89"/>
        <v>5</v>
      </c>
      <c r="AS210">
        <f t="shared" si="90"/>
        <v>4</v>
      </c>
      <c r="AT210">
        <f t="shared" si="91"/>
        <v>3</v>
      </c>
      <c r="AU210">
        <f t="shared" si="92"/>
        <v>3</v>
      </c>
      <c r="AV210">
        <f t="shared" si="93"/>
        <v>3</v>
      </c>
      <c r="AW210">
        <f t="shared" si="94"/>
        <v>5</v>
      </c>
      <c r="AX210">
        <f t="shared" si="95"/>
        <v>7</v>
      </c>
    </row>
    <row r="211" spans="1:50" x14ac:dyDescent="0.25">
      <c r="A211" s="113">
        <v>208</v>
      </c>
      <c r="B211" s="209"/>
      <c r="C211" s="113">
        <v>0</v>
      </c>
      <c r="D211" s="113">
        <v>0</v>
      </c>
      <c r="E211" s="113" t="s">
        <v>688</v>
      </c>
      <c r="F211" s="113" t="s">
        <v>688</v>
      </c>
      <c r="G211" s="113"/>
      <c r="H211" s="113"/>
      <c r="I211" s="113"/>
      <c r="J211" s="113"/>
      <c r="K211" s="113"/>
      <c r="N211" s="113" t="e">
        <f>MATCH(A211,Entrada!$A$53:$A$372,0)</f>
        <v>#N/A</v>
      </c>
      <c r="O211">
        <f>IF(NOT(ISNA($N211)),INDEX(Entrada!$C$53:$N$372,$N211,O$2),0)</f>
        <v>0</v>
      </c>
      <c r="P211">
        <f>IF(NOT(ISNA($N211)),INDEX(Entrada!$C$53:$N$372,$N211,P$2),0)</f>
        <v>0</v>
      </c>
      <c r="Q211">
        <f>IF(NOT(ISNA($N211)),INDEX(Entrada!$C$53:$N$372,$N211,Q$2),0)</f>
        <v>0</v>
      </c>
      <c r="R211">
        <f>IF(NOT(ISNA($N211)),INDEX(Entrada!$C$53:$N$372,$N211,R$2),0)</f>
        <v>0</v>
      </c>
      <c r="S211">
        <f>IF(NOT(ISNA($N211)),INDEX(Entrada!$C$53:$N$372,$N211,S$2),0)</f>
        <v>0</v>
      </c>
      <c r="T211">
        <f>IF(NOT(ISNA($N211)),INDEX(Entrada!$C$53:$N$372,$N211,T$2),0)</f>
        <v>0</v>
      </c>
      <c r="U211">
        <f>IF(NOT(ISNA($N211)),INDEX(Entrada!$C$53:$N$372,$N211,U$2),0)</f>
        <v>0</v>
      </c>
      <c r="V211" s="225">
        <f>IF(NOT(ISNA($N211)),INDEX(Entrada!$C$53:$N$372,$N211,V$2),0)</f>
        <v>0</v>
      </c>
      <c r="W211" s="225">
        <f>IF(NOT(ISNA($N211)),INDEX(Entrada!$C$53:$N$372,$N211,W$2),0)</f>
        <v>0</v>
      </c>
      <c r="X211" s="225">
        <f>IF(NOT(ISNA($N211)),INDEX(Entrada!$C$53:$N$372,$N211,X$2),0)</f>
        <v>0</v>
      </c>
      <c r="Y211" s="225">
        <f>IF(NOT(ISNA($N211)),INDEX(Entrada!$C$53:$N$372,$N211,Y$2),0)</f>
        <v>0</v>
      </c>
      <c r="Z211" s="225">
        <f>IF(NOT(ISNA($N211)),INDEX(Entrada!$C$53:$N$372,$N211,Z$2),0)</f>
        <v>0</v>
      </c>
      <c r="AA211" s="113">
        <f t="shared" si="72"/>
        <v>0</v>
      </c>
      <c r="AB211">
        <f t="shared" si="73"/>
        <v>0</v>
      </c>
      <c r="AC211">
        <f t="shared" si="74"/>
        <v>0</v>
      </c>
      <c r="AD211">
        <f t="shared" si="75"/>
        <v>0</v>
      </c>
      <c r="AE211">
        <f t="shared" si="76"/>
        <v>0</v>
      </c>
      <c r="AF211">
        <f t="shared" si="77"/>
        <v>0</v>
      </c>
      <c r="AG211">
        <f t="shared" si="78"/>
        <v>0</v>
      </c>
      <c r="AH211">
        <f t="shared" si="79"/>
        <v>0</v>
      </c>
      <c r="AI211">
        <f t="shared" si="80"/>
        <v>0</v>
      </c>
      <c r="AJ211">
        <f t="shared" si="81"/>
        <v>0</v>
      </c>
      <c r="AK211">
        <f t="shared" si="82"/>
        <v>0</v>
      </c>
      <c r="AL211">
        <f t="shared" si="83"/>
        <v>0</v>
      </c>
      <c r="AM211" s="113">
        <f t="shared" si="84"/>
        <v>0</v>
      </c>
      <c r="AN211">
        <f t="shared" si="85"/>
        <v>0</v>
      </c>
      <c r="AO211">
        <f t="shared" si="86"/>
        <v>0</v>
      </c>
      <c r="AP211">
        <f t="shared" si="87"/>
        <v>0</v>
      </c>
      <c r="AQ211">
        <f t="shared" si="88"/>
        <v>0</v>
      </c>
      <c r="AR211">
        <f t="shared" si="89"/>
        <v>0</v>
      </c>
      <c r="AS211">
        <f t="shared" si="90"/>
        <v>0</v>
      </c>
      <c r="AT211">
        <f t="shared" si="91"/>
        <v>0</v>
      </c>
      <c r="AU211">
        <f t="shared" si="92"/>
        <v>0</v>
      </c>
      <c r="AV211">
        <f t="shared" si="93"/>
        <v>0</v>
      </c>
      <c r="AW211">
        <f t="shared" si="94"/>
        <v>0</v>
      </c>
      <c r="AX211">
        <f t="shared" si="95"/>
        <v>0</v>
      </c>
    </row>
    <row r="212" spans="1:50" x14ac:dyDescent="0.25">
      <c r="A212" s="113">
        <v>209</v>
      </c>
      <c r="B212" s="209" t="s">
        <v>636</v>
      </c>
      <c r="C212" s="113">
        <v>1931</v>
      </c>
      <c r="D212" s="113">
        <v>2013</v>
      </c>
      <c r="E212" s="210" t="s">
        <v>3</v>
      </c>
      <c r="F212" s="210" t="s">
        <v>288</v>
      </c>
      <c r="G212" s="113">
        <v>23</v>
      </c>
      <c r="H212" s="113"/>
      <c r="I212" s="113"/>
      <c r="J212" s="113"/>
      <c r="K212" s="113"/>
      <c r="N212" s="113">
        <f>MATCH(A212,Entrada!$A$53:$A$372,0)</f>
        <v>131</v>
      </c>
      <c r="O212">
        <f>IF(NOT(ISNA($N212)),INDEX(Entrada!$C$53:$N$372,$N212,O$2),0)</f>
        <v>756</v>
      </c>
      <c r="P212">
        <f>IF(NOT(ISNA($N212)),INDEX(Entrada!$C$53:$N$372,$N212,P$2),0)</f>
        <v>833</v>
      </c>
      <c r="Q212">
        <f>IF(NOT(ISNA($N212)),INDEX(Entrada!$C$53:$N$372,$N212,Q$2),0)</f>
        <v>833</v>
      </c>
      <c r="R212">
        <f>IF(NOT(ISNA($N212)),INDEX(Entrada!$C$53:$N$372,$N212,R$2),0)</f>
        <v>643</v>
      </c>
      <c r="S212">
        <f>IF(NOT(ISNA($N212)),INDEX(Entrada!$C$53:$N$372,$N212,S$2),0)</f>
        <v>406</v>
      </c>
      <c r="T212">
        <f>IF(NOT(ISNA($N212)),INDEX(Entrada!$C$53:$N$372,$N212,T$2),0)</f>
        <v>302</v>
      </c>
      <c r="U212">
        <f>IF(NOT(ISNA($N212)),INDEX(Entrada!$C$53:$N$372,$N212,U$2),0)</f>
        <v>237</v>
      </c>
      <c r="V212" s="225">
        <f>IF(NOT(ISNA($N212)),INDEX(Entrada!$C$53:$N$372,$N212,V$2),0)</f>
        <v>187</v>
      </c>
      <c r="W212" s="225">
        <f>IF(NOT(ISNA($N212)),INDEX(Entrada!$C$53:$N$372,$N212,W$2),0)</f>
        <v>162</v>
      </c>
      <c r="X212" s="225">
        <f>IF(NOT(ISNA($N212)),INDEX(Entrada!$C$53:$N$372,$N212,X$2),0)</f>
        <v>204</v>
      </c>
      <c r="Y212" s="225">
        <f>IF(NOT(ISNA($N212)),INDEX(Entrada!$C$53:$N$372,$N212,Y$2),0)</f>
        <v>339</v>
      </c>
      <c r="Z212" s="225">
        <f>IF(NOT(ISNA($N212)),INDEX(Entrada!$C$53:$N$372,$N212,Z$2),0)</f>
        <v>555</v>
      </c>
      <c r="AA212" s="113">
        <f t="shared" si="72"/>
        <v>273</v>
      </c>
      <c r="AB212">
        <f t="shared" si="73"/>
        <v>299</v>
      </c>
      <c r="AC212">
        <f t="shared" si="74"/>
        <v>299</v>
      </c>
      <c r="AD212">
        <f t="shared" si="75"/>
        <v>234</v>
      </c>
      <c r="AE212">
        <f t="shared" si="76"/>
        <v>148</v>
      </c>
      <c r="AF212">
        <f t="shared" si="77"/>
        <v>109</v>
      </c>
      <c r="AG212">
        <f t="shared" si="78"/>
        <v>85</v>
      </c>
      <c r="AH212">
        <f t="shared" si="79"/>
        <v>67</v>
      </c>
      <c r="AI212">
        <f t="shared" si="80"/>
        <v>58</v>
      </c>
      <c r="AJ212">
        <f t="shared" si="81"/>
        <v>76</v>
      </c>
      <c r="AK212">
        <f t="shared" si="82"/>
        <v>125</v>
      </c>
      <c r="AL212">
        <f t="shared" si="83"/>
        <v>201</v>
      </c>
      <c r="AM212" s="113">
        <f t="shared" si="84"/>
        <v>483</v>
      </c>
      <c r="AN212">
        <f t="shared" si="85"/>
        <v>534</v>
      </c>
      <c r="AO212">
        <f t="shared" si="86"/>
        <v>534</v>
      </c>
      <c r="AP212">
        <f t="shared" si="87"/>
        <v>409</v>
      </c>
      <c r="AQ212">
        <f t="shared" si="88"/>
        <v>258</v>
      </c>
      <c r="AR212">
        <f t="shared" si="89"/>
        <v>193</v>
      </c>
      <c r="AS212">
        <f t="shared" si="90"/>
        <v>152</v>
      </c>
      <c r="AT212">
        <f t="shared" si="91"/>
        <v>120</v>
      </c>
      <c r="AU212">
        <f t="shared" si="92"/>
        <v>104</v>
      </c>
      <c r="AV212">
        <f t="shared" si="93"/>
        <v>128</v>
      </c>
      <c r="AW212">
        <f t="shared" si="94"/>
        <v>214</v>
      </c>
      <c r="AX212">
        <f t="shared" si="95"/>
        <v>354</v>
      </c>
    </row>
    <row r="213" spans="1:50" x14ac:dyDescent="0.25">
      <c r="A213" s="113">
        <v>210</v>
      </c>
      <c r="B213" s="209"/>
      <c r="C213" s="113">
        <v>0</v>
      </c>
      <c r="D213" s="113">
        <v>0</v>
      </c>
      <c r="E213" s="113" t="s">
        <v>688</v>
      </c>
      <c r="F213" s="113" t="s">
        <v>688</v>
      </c>
      <c r="G213" s="113"/>
      <c r="H213" s="113"/>
      <c r="I213" s="113"/>
      <c r="J213" s="113"/>
      <c r="K213" s="113"/>
      <c r="N213" s="113" t="e">
        <f>MATCH(A213,Entrada!$A$53:$A$372,0)</f>
        <v>#N/A</v>
      </c>
      <c r="O213">
        <f>IF(NOT(ISNA($N213)),INDEX(Entrada!$C$53:$N$372,$N213,O$2),0)</f>
        <v>0</v>
      </c>
      <c r="P213">
        <f>IF(NOT(ISNA($N213)),INDEX(Entrada!$C$53:$N$372,$N213,P$2),0)</f>
        <v>0</v>
      </c>
      <c r="Q213">
        <f>IF(NOT(ISNA($N213)),INDEX(Entrada!$C$53:$N$372,$N213,Q$2),0)</f>
        <v>0</v>
      </c>
      <c r="R213">
        <f>IF(NOT(ISNA($N213)),INDEX(Entrada!$C$53:$N$372,$N213,R$2),0)</f>
        <v>0</v>
      </c>
      <c r="S213">
        <f>IF(NOT(ISNA($N213)),INDEX(Entrada!$C$53:$N$372,$N213,S$2),0)</f>
        <v>0</v>
      </c>
      <c r="T213">
        <f>IF(NOT(ISNA($N213)),INDEX(Entrada!$C$53:$N$372,$N213,T$2),0)</f>
        <v>0</v>
      </c>
      <c r="U213">
        <f>IF(NOT(ISNA($N213)),INDEX(Entrada!$C$53:$N$372,$N213,U$2),0)</f>
        <v>0</v>
      </c>
      <c r="V213" s="225">
        <f>IF(NOT(ISNA($N213)),INDEX(Entrada!$C$53:$N$372,$N213,V$2),0)</f>
        <v>0</v>
      </c>
      <c r="W213" s="225">
        <f>IF(NOT(ISNA($N213)),INDEX(Entrada!$C$53:$N$372,$N213,W$2),0)</f>
        <v>0</v>
      </c>
      <c r="X213" s="225">
        <f>IF(NOT(ISNA($N213)),INDEX(Entrada!$C$53:$N$372,$N213,X$2),0)</f>
        <v>0</v>
      </c>
      <c r="Y213" s="225">
        <f>IF(NOT(ISNA($N213)),INDEX(Entrada!$C$53:$N$372,$N213,Y$2),0)</f>
        <v>0</v>
      </c>
      <c r="Z213" s="225">
        <f>IF(NOT(ISNA($N213)),INDEX(Entrada!$C$53:$N$372,$N213,Z$2),0)</f>
        <v>0</v>
      </c>
      <c r="AA213" s="113">
        <f t="shared" si="72"/>
        <v>0</v>
      </c>
      <c r="AB213">
        <f t="shared" si="73"/>
        <v>0</v>
      </c>
      <c r="AC213">
        <f t="shared" si="74"/>
        <v>0</v>
      </c>
      <c r="AD213">
        <f t="shared" si="75"/>
        <v>0</v>
      </c>
      <c r="AE213">
        <f t="shared" si="76"/>
        <v>0</v>
      </c>
      <c r="AF213">
        <f t="shared" si="77"/>
        <v>0</v>
      </c>
      <c r="AG213">
        <f t="shared" si="78"/>
        <v>0</v>
      </c>
      <c r="AH213">
        <f t="shared" si="79"/>
        <v>0</v>
      </c>
      <c r="AI213">
        <f t="shared" si="80"/>
        <v>0</v>
      </c>
      <c r="AJ213">
        <f t="shared" si="81"/>
        <v>0</v>
      </c>
      <c r="AK213">
        <f t="shared" si="82"/>
        <v>0</v>
      </c>
      <c r="AL213">
        <f t="shared" si="83"/>
        <v>0</v>
      </c>
      <c r="AM213" s="113">
        <f t="shared" si="84"/>
        <v>0</v>
      </c>
      <c r="AN213">
        <f t="shared" si="85"/>
        <v>0</v>
      </c>
      <c r="AO213">
        <f t="shared" si="86"/>
        <v>0</v>
      </c>
      <c r="AP213">
        <f t="shared" si="87"/>
        <v>0</v>
      </c>
      <c r="AQ213">
        <f t="shared" si="88"/>
        <v>0</v>
      </c>
      <c r="AR213">
        <f t="shared" si="89"/>
        <v>0</v>
      </c>
      <c r="AS213">
        <f t="shared" si="90"/>
        <v>0</v>
      </c>
      <c r="AT213">
        <f t="shared" si="91"/>
        <v>0</v>
      </c>
      <c r="AU213">
        <f t="shared" si="92"/>
        <v>0</v>
      </c>
      <c r="AV213">
        <f t="shared" si="93"/>
        <v>0</v>
      </c>
      <c r="AW213">
        <f t="shared" si="94"/>
        <v>0</v>
      </c>
      <c r="AX213">
        <f t="shared" si="95"/>
        <v>0</v>
      </c>
    </row>
    <row r="214" spans="1:50" x14ac:dyDescent="0.25">
      <c r="A214" s="113">
        <v>211</v>
      </c>
      <c r="B214" s="209" t="s">
        <v>44</v>
      </c>
      <c r="C214" s="113">
        <v>1931</v>
      </c>
      <c r="D214" s="113">
        <v>2013</v>
      </c>
      <c r="E214" s="210" t="s">
        <v>2</v>
      </c>
      <c r="F214" s="210" t="s">
        <v>2</v>
      </c>
      <c r="G214" s="113">
        <v>2</v>
      </c>
      <c r="H214" s="113"/>
      <c r="I214" s="113"/>
      <c r="J214" s="113"/>
      <c r="K214" s="113"/>
      <c r="N214" s="113">
        <f>MATCH(A214,Entrada!$A$53:$A$372,0)</f>
        <v>132</v>
      </c>
      <c r="O214">
        <f>IF(NOT(ISNA($N214)),INDEX(Entrada!$C$53:$N$372,$N214,O$2),0)</f>
        <v>595</v>
      </c>
      <c r="P214">
        <f>IF(NOT(ISNA($N214)),INDEX(Entrada!$C$53:$N$372,$N214,P$2),0)</f>
        <v>527</v>
      </c>
      <c r="Q214">
        <f>IF(NOT(ISNA($N214)),INDEX(Entrada!$C$53:$N$372,$N214,Q$2),0)</f>
        <v>466</v>
      </c>
      <c r="R214">
        <f>IF(NOT(ISNA($N214)),INDEX(Entrada!$C$53:$N$372,$N214,R$2),0)</f>
        <v>322</v>
      </c>
      <c r="S214">
        <f>IF(NOT(ISNA($N214)),INDEX(Entrada!$C$53:$N$372,$N214,S$2),0)</f>
        <v>237</v>
      </c>
      <c r="T214">
        <f>IF(NOT(ISNA($N214)),INDEX(Entrada!$C$53:$N$372,$N214,T$2),0)</f>
        <v>198</v>
      </c>
      <c r="U214">
        <f>IF(NOT(ISNA($N214)),INDEX(Entrada!$C$53:$N$372,$N214,U$2),0)</f>
        <v>167</v>
      </c>
      <c r="V214" s="225">
        <f>IF(NOT(ISNA($N214)),INDEX(Entrada!$C$53:$N$372,$N214,V$2),0)</f>
        <v>142</v>
      </c>
      <c r="W214" s="225">
        <f>IF(NOT(ISNA($N214)),INDEX(Entrada!$C$53:$N$372,$N214,W$2),0)</f>
        <v>145</v>
      </c>
      <c r="X214" s="225">
        <f>IF(NOT(ISNA($N214)),INDEX(Entrada!$C$53:$N$372,$N214,X$2),0)</f>
        <v>174</v>
      </c>
      <c r="Y214" s="225">
        <f>IF(NOT(ISNA($N214)),INDEX(Entrada!$C$53:$N$372,$N214,Y$2),0)</f>
        <v>255</v>
      </c>
      <c r="Z214" s="225">
        <f>IF(NOT(ISNA($N214)),INDEX(Entrada!$C$53:$N$372,$N214,Z$2),0)</f>
        <v>432</v>
      </c>
      <c r="AA214" s="113">
        <f t="shared" si="72"/>
        <v>254</v>
      </c>
      <c r="AB214">
        <f t="shared" si="73"/>
        <v>230</v>
      </c>
      <c r="AC214">
        <f t="shared" si="74"/>
        <v>204</v>
      </c>
      <c r="AD214">
        <f t="shared" si="75"/>
        <v>139</v>
      </c>
      <c r="AE214">
        <f t="shared" si="76"/>
        <v>105</v>
      </c>
      <c r="AF214">
        <f t="shared" si="77"/>
        <v>89</v>
      </c>
      <c r="AG214">
        <f t="shared" si="78"/>
        <v>74</v>
      </c>
      <c r="AH214">
        <f t="shared" si="79"/>
        <v>64</v>
      </c>
      <c r="AI214">
        <f t="shared" si="80"/>
        <v>67</v>
      </c>
      <c r="AJ214">
        <f t="shared" si="81"/>
        <v>79</v>
      </c>
      <c r="AK214">
        <f t="shared" si="82"/>
        <v>111</v>
      </c>
      <c r="AL214">
        <f t="shared" si="83"/>
        <v>182</v>
      </c>
      <c r="AM214" s="113">
        <f t="shared" si="84"/>
        <v>341</v>
      </c>
      <c r="AN214">
        <f t="shared" si="85"/>
        <v>297</v>
      </c>
      <c r="AO214">
        <f t="shared" si="86"/>
        <v>262</v>
      </c>
      <c r="AP214">
        <f t="shared" si="87"/>
        <v>183</v>
      </c>
      <c r="AQ214">
        <f t="shared" si="88"/>
        <v>132</v>
      </c>
      <c r="AR214">
        <f t="shared" si="89"/>
        <v>109</v>
      </c>
      <c r="AS214">
        <f t="shared" si="90"/>
        <v>93</v>
      </c>
      <c r="AT214">
        <f t="shared" si="91"/>
        <v>78</v>
      </c>
      <c r="AU214">
        <f t="shared" si="92"/>
        <v>78</v>
      </c>
      <c r="AV214">
        <f t="shared" si="93"/>
        <v>95</v>
      </c>
      <c r="AW214">
        <f t="shared" si="94"/>
        <v>144</v>
      </c>
      <c r="AX214">
        <f t="shared" si="95"/>
        <v>250</v>
      </c>
    </row>
    <row r="215" spans="1:50" x14ac:dyDescent="0.25">
      <c r="A215" s="113">
        <v>212</v>
      </c>
      <c r="B215" s="209"/>
      <c r="C215" s="113">
        <v>0</v>
      </c>
      <c r="D215" s="113">
        <v>0</v>
      </c>
      <c r="E215" s="113" t="s">
        <v>688</v>
      </c>
      <c r="F215" s="113" t="s">
        <v>688</v>
      </c>
      <c r="G215" s="113"/>
      <c r="H215" s="113"/>
      <c r="I215" s="113"/>
      <c r="J215" s="113"/>
      <c r="K215" s="113"/>
      <c r="N215" s="113" t="e">
        <f>MATCH(A215,Entrada!$A$53:$A$372,0)</f>
        <v>#N/A</v>
      </c>
      <c r="O215">
        <f>IF(NOT(ISNA($N215)),INDEX(Entrada!$C$53:$N$372,$N215,O$2),0)</f>
        <v>0</v>
      </c>
      <c r="P215">
        <f>IF(NOT(ISNA($N215)),INDEX(Entrada!$C$53:$N$372,$N215,P$2),0)</f>
        <v>0</v>
      </c>
      <c r="Q215">
        <f>IF(NOT(ISNA($N215)),INDEX(Entrada!$C$53:$N$372,$N215,Q$2),0)</f>
        <v>0</v>
      </c>
      <c r="R215">
        <f>IF(NOT(ISNA($N215)),INDEX(Entrada!$C$53:$N$372,$N215,R$2),0)</f>
        <v>0</v>
      </c>
      <c r="S215">
        <f>IF(NOT(ISNA($N215)),INDEX(Entrada!$C$53:$N$372,$N215,S$2),0)</f>
        <v>0</v>
      </c>
      <c r="T215">
        <f>IF(NOT(ISNA($N215)),INDEX(Entrada!$C$53:$N$372,$N215,T$2),0)</f>
        <v>0</v>
      </c>
      <c r="U215">
        <f>IF(NOT(ISNA($N215)),INDEX(Entrada!$C$53:$N$372,$N215,U$2),0)</f>
        <v>0</v>
      </c>
      <c r="V215" s="225">
        <f>IF(NOT(ISNA($N215)),INDEX(Entrada!$C$53:$N$372,$N215,V$2),0)</f>
        <v>0</v>
      </c>
      <c r="W215" s="225">
        <f>IF(NOT(ISNA($N215)),INDEX(Entrada!$C$53:$N$372,$N215,W$2),0)</f>
        <v>0</v>
      </c>
      <c r="X215" s="225">
        <f>IF(NOT(ISNA($N215)),INDEX(Entrada!$C$53:$N$372,$N215,X$2),0)</f>
        <v>0</v>
      </c>
      <c r="Y215" s="225">
        <f>IF(NOT(ISNA($N215)),INDEX(Entrada!$C$53:$N$372,$N215,Y$2),0)</f>
        <v>0</v>
      </c>
      <c r="Z215" s="225">
        <f>IF(NOT(ISNA($N215)),INDEX(Entrada!$C$53:$N$372,$N215,Z$2),0)</f>
        <v>0</v>
      </c>
      <c r="AA215" s="113">
        <f t="shared" si="72"/>
        <v>0</v>
      </c>
      <c r="AB215">
        <f t="shared" si="73"/>
        <v>0</v>
      </c>
      <c r="AC215">
        <f t="shared" si="74"/>
        <v>0</v>
      </c>
      <c r="AD215">
        <f t="shared" si="75"/>
        <v>0</v>
      </c>
      <c r="AE215">
        <f t="shared" si="76"/>
        <v>0</v>
      </c>
      <c r="AF215">
        <f t="shared" si="77"/>
        <v>0</v>
      </c>
      <c r="AG215">
        <f t="shared" si="78"/>
        <v>0</v>
      </c>
      <c r="AH215">
        <f t="shared" si="79"/>
        <v>0</v>
      </c>
      <c r="AI215">
        <f t="shared" si="80"/>
        <v>0</v>
      </c>
      <c r="AJ215">
        <f t="shared" si="81"/>
        <v>0</v>
      </c>
      <c r="AK215">
        <f t="shared" si="82"/>
        <v>0</v>
      </c>
      <c r="AL215">
        <f t="shared" si="83"/>
        <v>0</v>
      </c>
      <c r="AM215" s="113">
        <f t="shared" si="84"/>
        <v>0</v>
      </c>
      <c r="AN215">
        <f t="shared" si="85"/>
        <v>0</v>
      </c>
      <c r="AO215">
        <f t="shared" si="86"/>
        <v>0</v>
      </c>
      <c r="AP215">
        <f t="shared" si="87"/>
        <v>0</v>
      </c>
      <c r="AQ215">
        <f t="shared" si="88"/>
        <v>0</v>
      </c>
      <c r="AR215">
        <f t="shared" si="89"/>
        <v>0</v>
      </c>
      <c r="AS215">
        <f t="shared" si="90"/>
        <v>0</v>
      </c>
      <c r="AT215">
        <f t="shared" si="91"/>
        <v>0</v>
      </c>
      <c r="AU215">
        <f t="shared" si="92"/>
        <v>0</v>
      </c>
      <c r="AV215">
        <f t="shared" si="93"/>
        <v>0</v>
      </c>
      <c r="AW215">
        <f t="shared" si="94"/>
        <v>0</v>
      </c>
      <c r="AX215">
        <f t="shared" si="95"/>
        <v>0</v>
      </c>
    </row>
    <row r="216" spans="1:50" x14ac:dyDescent="0.25">
      <c r="A216" s="113">
        <v>213</v>
      </c>
      <c r="B216" s="209"/>
      <c r="C216" s="113">
        <v>0</v>
      </c>
      <c r="D216" s="113">
        <v>0</v>
      </c>
      <c r="E216" s="113" t="s">
        <v>688</v>
      </c>
      <c r="F216" s="113" t="s">
        <v>688</v>
      </c>
      <c r="G216" s="113"/>
      <c r="H216" s="113"/>
      <c r="I216" s="113"/>
      <c r="J216" s="113"/>
      <c r="K216" s="113"/>
      <c r="N216" s="113" t="e">
        <f>MATCH(A216,Entrada!$A$53:$A$372,0)</f>
        <v>#N/A</v>
      </c>
      <c r="O216">
        <f>IF(NOT(ISNA($N216)),INDEX(Entrada!$C$53:$N$372,$N216,O$2),0)</f>
        <v>0</v>
      </c>
      <c r="P216">
        <f>IF(NOT(ISNA($N216)),INDEX(Entrada!$C$53:$N$372,$N216,P$2),0)</f>
        <v>0</v>
      </c>
      <c r="Q216">
        <f>IF(NOT(ISNA($N216)),INDEX(Entrada!$C$53:$N$372,$N216,Q$2),0)</f>
        <v>0</v>
      </c>
      <c r="R216">
        <f>IF(NOT(ISNA($N216)),INDEX(Entrada!$C$53:$N$372,$N216,R$2),0)</f>
        <v>0</v>
      </c>
      <c r="S216">
        <f>IF(NOT(ISNA($N216)),INDEX(Entrada!$C$53:$N$372,$N216,S$2),0)</f>
        <v>0</v>
      </c>
      <c r="T216">
        <f>IF(NOT(ISNA($N216)),INDEX(Entrada!$C$53:$N$372,$N216,T$2),0)</f>
        <v>0</v>
      </c>
      <c r="U216">
        <f>IF(NOT(ISNA($N216)),INDEX(Entrada!$C$53:$N$372,$N216,U$2),0)</f>
        <v>0</v>
      </c>
      <c r="V216" s="225">
        <f>IF(NOT(ISNA($N216)),INDEX(Entrada!$C$53:$N$372,$N216,V$2),0)</f>
        <v>0</v>
      </c>
      <c r="W216" s="225">
        <f>IF(NOT(ISNA($N216)),INDEX(Entrada!$C$53:$N$372,$N216,W$2),0)</f>
        <v>0</v>
      </c>
      <c r="X216" s="225">
        <f>IF(NOT(ISNA($N216)),INDEX(Entrada!$C$53:$N$372,$N216,X$2),0)</f>
        <v>0</v>
      </c>
      <c r="Y216" s="225">
        <f>IF(NOT(ISNA($N216)),INDEX(Entrada!$C$53:$N$372,$N216,Y$2),0)</f>
        <v>0</v>
      </c>
      <c r="Z216" s="225">
        <f>IF(NOT(ISNA($N216)),INDEX(Entrada!$C$53:$N$372,$N216,Z$2),0)</f>
        <v>0</v>
      </c>
      <c r="AA216" s="113">
        <f t="shared" si="72"/>
        <v>0</v>
      </c>
      <c r="AB216">
        <f t="shared" si="73"/>
        <v>0</v>
      </c>
      <c r="AC216">
        <f t="shared" si="74"/>
        <v>0</v>
      </c>
      <c r="AD216">
        <f t="shared" si="75"/>
        <v>0</v>
      </c>
      <c r="AE216">
        <f t="shared" si="76"/>
        <v>0</v>
      </c>
      <c r="AF216">
        <f t="shared" si="77"/>
        <v>0</v>
      </c>
      <c r="AG216">
        <f t="shared" si="78"/>
        <v>0</v>
      </c>
      <c r="AH216">
        <f t="shared" si="79"/>
        <v>0</v>
      </c>
      <c r="AI216">
        <f t="shared" si="80"/>
        <v>0</v>
      </c>
      <c r="AJ216">
        <f t="shared" si="81"/>
        <v>0</v>
      </c>
      <c r="AK216">
        <f t="shared" si="82"/>
        <v>0</v>
      </c>
      <c r="AL216">
        <f t="shared" si="83"/>
        <v>0</v>
      </c>
      <c r="AM216" s="113">
        <f t="shared" si="84"/>
        <v>0</v>
      </c>
      <c r="AN216">
        <f t="shared" si="85"/>
        <v>0</v>
      </c>
      <c r="AO216">
        <f t="shared" si="86"/>
        <v>0</v>
      </c>
      <c r="AP216">
        <f t="shared" si="87"/>
        <v>0</v>
      </c>
      <c r="AQ216">
        <f t="shared" si="88"/>
        <v>0</v>
      </c>
      <c r="AR216">
        <f t="shared" si="89"/>
        <v>0</v>
      </c>
      <c r="AS216">
        <f t="shared" si="90"/>
        <v>0</v>
      </c>
      <c r="AT216">
        <f t="shared" si="91"/>
        <v>0</v>
      </c>
      <c r="AU216">
        <f t="shared" si="92"/>
        <v>0</v>
      </c>
      <c r="AV216">
        <f t="shared" si="93"/>
        <v>0</v>
      </c>
      <c r="AW216">
        <f t="shared" si="94"/>
        <v>0</v>
      </c>
      <c r="AX216">
        <f t="shared" si="95"/>
        <v>0</v>
      </c>
    </row>
    <row r="217" spans="1:50" x14ac:dyDescent="0.25">
      <c r="A217" s="113">
        <v>214</v>
      </c>
      <c r="B217" s="209"/>
      <c r="C217" s="113">
        <v>0</v>
      </c>
      <c r="D217" s="113">
        <v>0</v>
      </c>
      <c r="E217" s="113" t="s">
        <v>688</v>
      </c>
      <c r="F217" s="113" t="s">
        <v>688</v>
      </c>
      <c r="G217" s="113"/>
      <c r="H217" s="113"/>
      <c r="I217" s="113"/>
      <c r="J217" s="113"/>
      <c r="K217" s="113"/>
      <c r="N217" s="113" t="e">
        <f>MATCH(A217,Entrada!$A$53:$A$372,0)</f>
        <v>#N/A</v>
      </c>
      <c r="O217">
        <f>IF(NOT(ISNA($N217)),INDEX(Entrada!$C$53:$N$372,$N217,O$2),0)</f>
        <v>0</v>
      </c>
      <c r="P217">
        <f>IF(NOT(ISNA($N217)),INDEX(Entrada!$C$53:$N$372,$N217,P$2),0)</f>
        <v>0</v>
      </c>
      <c r="Q217">
        <f>IF(NOT(ISNA($N217)),INDEX(Entrada!$C$53:$N$372,$N217,Q$2),0)</f>
        <v>0</v>
      </c>
      <c r="R217">
        <f>IF(NOT(ISNA($N217)),INDEX(Entrada!$C$53:$N$372,$N217,R$2),0)</f>
        <v>0</v>
      </c>
      <c r="S217">
        <f>IF(NOT(ISNA($N217)),INDEX(Entrada!$C$53:$N$372,$N217,S$2),0)</f>
        <v>0</v>
      </c>
      <c r="T217">
        <f>IF(NOT(ISNA($N217)),INDEX(Entrada!$C$53:$N$372,$N217,T$2),0)</f>
        <v>0</v>
      </c>
      <c r="U217">
        <f>IF(NOT(ISNA($N217)),INDEX(Entrada!$C$53:$N$372,$N217,U$2),0)</f>
        <v>0</v>
      </c>
      <c r="V217" s="225">
        <f>IF(NOT(ISNA($N217)),INDEX(Entrada!$C$53:$N$372,$N217,V$2),0)</f>
        <v>0</v>
      </c>
      <c r="W217" s="225">
        <f>IF(NOT(ISNA($N217)),INDEX(Entrada!$C$53:$N$372,$N217,W$2),0)</f>
        <v>0</v>
      </c>
      <c r="X217" s="225">
        <f>IF(NOT(ISNA($N217)),INDEX(Entrada!$C$53:$N$372,$N217,X$2),0)</f>
        <v>0</v>
      </c>
      <c r="Y217" s="225">
        <f>IF(NOT(ISNA($N217)),INDEX(Entrada!$C$53:$N$372,$N217,Y$2),0)</f>
        <v>0</v>
      </c>
      <c r="Z217" s="225">
        <f>IF(NOT(ISNA($N217)),INDEX(Entrada!$C$53:$N$372,$N217,Z$2),0)</f>
        <v>0</v>
      </c>
      <c r="AA217" s="113">
        <f t="shared" si="72"/>
        <v>0</v>
      </c>
      <c r="AB217">
        <f t="shared" si="73"/>
        <v>0</v>
      </c>
      <c r="AC217">
        <f t="shared" si="74"/>
        <v>0</v>
      </c>
      <c r="AD217">
        <f t="shared" si="75"/>
        <v>0</v>
      </c>
      <c r="AE217">
        <f t="shared" si="76"/>
        <v>0</v>
      </c>
      <c r="AF217">
        <f t="shared" si="77"/>
        <v>0</v>
      </c>
      <c r="AG217">
        <f t="shared" si="78"/>
        <v>0</v>
      </c>
      <c r="AH217">
        <f t="shared" si="79"/>
        <v>0</v>
      </c>
      <c r="AI217">
        <f t="shared" si="80"/>
        <v>0</v>
      </c>
      <c r="AJ217">
        <f t="shared" si="81"/>
        <v>0</v>
      </c>
      <c r="AK217">
        <f t="shared" si="82"/>
        <v>0</v>
      </c>
      <c r="AL217">
        <f t="shared" si="83"/>
        <v>0</v>
      </c>
      <c r="AM217" s="113">
        <f t="shared" si="84"/>
        <v>0</v>
      </c>
      <c r="AN217">
        <f t="shared" si="85"/>
        <v>0</v>
      </c>
      <c r="AO217">
        <f t="shared" si="86"/>
        <v>0</v>
      </c>
      <c r="AP217">
        <f t="shared" si="87"/>
        <v>0</v>
      </c>
      <c r="AQ217">
        <f t="shared" si="88"/>
        <v>0</v>
      </c>
      <c r="AR217">
        <f t="shared" si="89"/>
        <v>0</v>
      </c>
      <c r="AS217">
        <f t="shared" si="90"/>
        <v>0</v>
      </c>
      <c r="AT217">
        <f t="shared" si="91"/>
        <v>0</v>
      </c>
      <c r="AU217">
        <f t="shared" si="92"/>
        <v>0</v>
      </c>
      <c r="AV217">
        <f t="shared" si="93"/>
        <v>0</v>
      </c>
      <c r="AW217">
        <f t="shared" si="94"/>
        <v>0</v>
      </c>
      <c r="AX217">
        <f t="shared" si="95"/>
        <v>0</v>
      </c>
    </row>
    <row r="218" spans="1:50" x14ac:dyDescent="0.25">
      <c r="A218" s="113">
        <v>215</v>
      </c>
      <c r="B218" s="209" t="s">
        <v>187</v>
      </c>
      <c r="C218" s="113">
        <v>1931</v>
      </c>
      <c r="D218" s="113">
        <v>2013</v>
      </c>
      <c r="E218" s="210" t="s">
        <v>17</v>
      </c>
      <c r="F218" s="210" t="s">
        <v>396</v>
      </c>
      <c r="G218" s="113"/>
      <c r="H218" s="113"/>
      <c r="I218" s="113"/>
      <c r="J218" s="113"/>
      <c r="K218" s="113"/>
      <c r="N218" s="113">
        <f>MATCH(A218,Entrada!$A$53:$A$372,0)</f>
        <v>133</v>
      </c>
      <c r="O218">
        <f>IF(NOT(ISNA($N218)),INDEX(Entrada!$C$53:$N$372,$N218,O$2),0)</f>
        <v>181</v>
      </c>
      <c r="P218">
        <f>IF(NOT(ISNA($N218)),INDEX(Entrada!$C$53:$N$372,$N218,P$2),0)</f>
        <v>236</v>
      </c>
      <c r="Q218">
        <f>IF(NOT(ISNA($N218)),INDEX(Entrada!$C$53:$N$372,$N218,Q$2),0)</f>
        <v>177</v>
      </c>
      <c r="R218">
        <f>IF(NOT(ISNA($N218)),INDEX(Entrada!$C$53:$N$372,$N218,R$2),0)</f>
        <v>185</v>
      </c>
      <c r="S218">
        <f>IF(NOT(ISNA($N218)),INDEX(Entrada!$C$53:$N$372,$N218,S$2),0)</f>
        <v>251</v>
      </c>
      <c r="T218">
        <f>IF(NOT(ISNA($N218)),INDEX(Entrada!$C$53:$N$372,$N218,T$2),0)</f>
        <v>278</v>
      </c>
      <c r="U218">
        <f>IF(NOT(ISNA($N218)),INDEX(Entrada!$C$53:$N$372,$N218,U$2),0)</f>
        <v>356</v>
      </c>
      <c r="V218" s="225">
        <f>IF(NOT(ISNA($N218)),INDEX(Entrada!$C$53:$N$372,$N218,V$2),0)</f>
        <v>383</v>
      </c>
      <c r="W218" s="225">
        <f>IF(NOT(ISNA($N218)),INDEX(Entrada!$C$53:$N$372,$N218,W$2),0)</f>
        <v>434</v>
      </c>
      <c r="X218" s="225">
        <f>IF(NOT(ISNA($N218)),INDEX(Entrada!$C$53:$N$372,$N218,X$2),0)</f>
        <v>382</v>
      </c>
      <c r="Y218" s="225">
        <f>IF(NOT(ISNA($N218)),INDEX(Entrada!$C$53:$N$372,$N218,Y$2),0)</f>
        <v>236</v>
      </c>
      <c r="Z218" s="225">
        <f>IF(NOT(ISNA($N218)),INDEX(Entrada!$C$53:$N$372,$N218,Z$2),0)</f>
        <v>185</v>
      </c>
      <c r="AA218" s="113">
        <f t="shared" si="72"/>
        <v>0</v>
      </c>
      <c r="AB218">
        <f t="shared" si="73"/>
        <v>0</v>
      </c>
      <c r="AC218">
        <f t="shared" si="74"/>
        <v>0</v>
      </c>
      <c r="AD218">
        <f t="shared" si="75"/>
        <v>0</v>
      </c>
      <c r="AE218">
        <f t="shared" si="76"/>
        <v>0</v>
      </c>
      <c r="AF218">
        <f t="shared" si="77"/>
        <v>0</v>
      </c>
      <c r="AG218">
        <f t="shared" si="78"/>
        <v>0</v>
      </c>
      <c r="AH218">
        <f t="shared" si="79"/>
        <v>0</v>
      </c>
      <c r="AI218">
        <f t="shared" si="80"/>
        <v>0</v>
      </c>
      <c r="AJ218">
        <f t="shared" si="81"/>
        <v>0</v>
      </c>
      <c r="AK218">
        <f t="shared" si="82"/>
        <v>0</v>
      </c>
      <c r="AL218">
        <f t="shared" si="83"/>
        <v>0</v>
      </c>
      <c r="AM218" s="113">
        <f t="shared" si="84"/>
        <v>181</v>
      </c>
      <c r="AN218">
        <f t="shared" si="85"/>
        <v>236</v>
      </c>
      <c r="AO218">
        <f t="shared" si="86"/>
        <v>177</v>
      </c>
      <c r="AP218">
        <f t="shared" si="87"/>
        <v>185</v>
      </c>
      <c r="AQ218">
        <f t="shared" si="88"/>
        <v>251</v>
      </c>
      <c r="AR218">
        <f t="shared" si="89"/>
        <v>278</v>
      </c>
      <c r="AS218">
        <f t="shared" si="90"/>
        <v>356</v>
      </c>
      <c r="AT218">
        <f t="shared" si="91"/>
        <v>383</v>
      </c>
      <c r="AU218">
        <f t="shared" si="92"/>
        <v>434</v>
      </c>
      <c r="AV218">
        <f t="shared" si="93"/>
        <v>382</v>
      </c>
      <c r="AW218">
        <f t="shared" si="94"/>
        <v>236</v>
      </c>
      <c r="AX218">
        <f t="shared" si="95"/>
        <v>185</v>
      </c>
    </row>
    <row r="219" spans="1:50" x14ac:dyDescent="0.25">
      <c r="A219" s="113">
        <v>216</v>
      </c>
      <c r="B219" s="209" t="s">
        <v>189</v>
      </c>
      <c r="C219" s="113">
        <v>1931</v>
      </c>
      <c r="D219" s="113">
        <v>2013</v>
      </c>
      <c r="E219" s="210" t="s">
        <v>17</v>
      </c>
      <c r="F219" s="210" t="s">
        <v>324</v>
      </c>
      <c r="G219" s="113">
        <v>89</v>
      </c>
      <c r="H219" s="113"/>
      <c r="I219" s="113"/>
      <c r="J219" s="113"/>
      <c r="K219" s="113"/>
      <c r="N219" s="113">
        <f>MATCH(A219,Entrada!$A$53:$A$372,0)</f>
        <v>134</v>
      </c>
      <c r="O219">
        <f>IF(NOT(ISNA($N219)),INDEX(Entrada!$C$53:$N$372,$N219,O$2),0)</f>
        <v>226</v>
      </c>
      <c r="P219">
        <f>IF(NOT(ISNA($N219)),INDEX(Entrada!$C$53:$N$372,$N219,P$2),0)</f>
        <v>283</v>
      </c>
      <c r="Q219">
        <f>IF(NOT(ISNA($N219)),INDEX(Entrada!$C$53:$N$372,$N219,Q$2),0)</f>
        <v>228</v>
      </c>
      <c r="R219">
        <f>IF(NOT(ISNA($N219)),INDEX(Entrada!$C$53:$N$372,$N219,R$2),0)</f>
        <v>212</v>
      </c>
      <c r="S219">
        <f>IF(NOT(ISNA($N219)),INDEX(Entrada!$C$53:$N$372,$N219,S$2),0)</f>
        <v>279</v>
      </c>
      <c r="T219">
        <f>IF(NOT(ISNA($N219)),INDEX(Entrada!$C$53:$N$372,$N219,T$2),0)</f>
        <v>305</v>
      </c>
      <c r="U219">
        <f>IF(NOT(ISNA($N219)),INDEX(Entrada!$C$53:$N$372,$N219,U$2),0)</f>
        <v>366</v>
      </c>
      <c r="V219" s="225">
        <f>IF(NOT(ISNA($N219)),INDEX(Entrada!$C$53:$N$372,$N219,V$2),0)</f>
        <v>384</v>
      </c>
      <c r="W219" s="225">
        <f>IF(NOT(ISNA($N219)),INDEX(Entrada!$C$53:$N$372,$N219,W$2),0)</f>
        <v>460</v>
      </c>
      <c r="X219" s="225">
        <f>IF(NOT(ISNA($N219)),INDEX(Entrada!$C$53:$N$372,$N219,X$2),0)</f>
        <v>474</v>
      </c>
      <c r="Y219" s="225">
        <f>IF(NOT(ISNA($N219)),INDEX(Entrada!$C$53:$N$372,$N219,Y$2),0)</f>
        <v>311</v>
      </c>
      <c r="Z219" s="225">
        <f>IF(NOT(ISNA($N219)),INDEX(Entrada!$C$53:$N$372,$N219,Z$2),0)</f>
        <v>223</v>
      </c>
      <c r="AA219" s="113">
        <f t="shared" si="72"/>
        <v>209</v>
      </c>
      <c r="AB219">
        <f t="shared" si="73"/>
        <v>261</v>
      </c>
      <c r="AC219">
        <f t="shared" si="74"/>
        <v>211</v>
      </c>
      <c r="AD219">
        <f t="shared" si="75"/>
        <v>192</v>
      </c>
      <c r="AE219">
        <f t="shared" si="76"/>
        <v>251</v>
      </c>
      <c r="AF219">
        <f t="shared" si="77"/>
        <v>274</v>
      </c>
      <c r="AG219">
        <f t="shared" si="78"/>
        <v>329</v>
      </c>
      <c r="AH219">
        <f t="shared" si="79"/>
        <v>346</v>
      </c>
      <c r="AI219">
        <f t="shared" si="80"/>
        <v>415</v>
      </c>
      <c r="AJ219">
        <f t="shared" si="81"/>
        <v>427</v>
      </c>
      <c r="AK219">
        <f t="shared" si="82"/>
        <v>282</v>
      </c>
      <c r="AL219">
        <f t="shared" si="83"/>
        <v>204</v>
      </c>
      <c r="AM219" s="113">
        <f t="shared" si="84"/>
        <v>17</v>
      </c>
      <c r="AN219">
        <f t="shared" si="85"/>
        <v>22</v>
      </c>
      <c r="AO219">
        <f t="shared" si="86"/>
        <v>17</v>
      </c>
      <c r="AP219">
        <f t="shared" si="87"/>
        <v>20</v>
      </c>
      <c r="AQ219">
        <f t="shared" si="88"/>
        <v>28</v>
      </c>
      <c r="AR219">
        <f t="shared" si="89"/>
        <v>31</v>
      </c>
      <c r="AS219">
        <f t="shared" si="90"/>
        <v>37</v>
      </c>
      <c r="AT219">
        <f t="shared" si="91"/>
        <v>38</v>
      </c>
      <c r="AU219">
        <f t="shared" si="92"/>
        <v>45</v>
      </c>
      <c r="AV219">
        <f t="shared" si="93"/>
        <v>47</v>
      </c>
      <c r="AW219">
        <f t="shared" si="94"/>
        <v>29</v>
      </c>
      <c r="AX219">
        <f t="shared" si="95"/>
        <v>19</v>
      </c>
    </row>
    <row r="220" spans="1:50" x14ac:dyDescent="0.25">
      <c r="A220" s="113">
        <v>217</v>
      </c>
      <c r="B220" s="209" t="s">
        <v>637</v>
      </c>
      <c r="C220" s="113">
        <v>1931</v>
      </c>
      <c r="D220" s="113">
        <v>2013</v>
      </c>
      <c r="E220" s="210" t="s">
        <v>17</v>
      </c>
      <c r="F220" s="210" t="s">
        <v>396</v>
      </c>
      <c r="G220" s="113">
        <v>215</v>
      </c>
      <c r="H220" s="113">
        <v>216</v>
      </c>
      <c r="I220" s="113"/>
      <c r="J220" s="113"/>
      <c r="K220" s="113"/>
      <c r="N220" s="113">
        <f>MATCH(A220,Entrada!$A$53:$A$372,0)</f>
        <v>135</v>
      </c>
      <c r="O220">
        <f>IF(NOT(ISNA($N220)),INDEX(Entrada!$C$53:$N$372,$N220,O$2),0)</f>
        <v>493</v>
      </c>
      <c r="P220">
        <f>IF(NOT(ISNA($N220)),INDEX(Entrada!$C$53:$N$372,$N220,P$2),0)</f>
        <v>630</v>
      </c>
      <c r="Q220">
        <f>IF(NOT(ISNA($N220)),INDEX(Entrada!$C$53:$N$372,$N220,Q$2),0)</f>
        <v>492</v>
      </c>
      <c r="R220">
        <f>IF(NOT(ISNA($N220)),INDEX(Entrada!$C$53:$N$372,$N220,R$2),0)</f>
        <v>495</v>
      </c>
      <c r="S220">
        <f>IF(NOT(ISNA($N220)),INDEX(Entrada!$C$53:$N$372,$N220,S$2),0)</f>
        <v>676</v>
      </c>
      <c r="T220">
        <f>IF(NOT(ISNA($N220)),INDEX(Entrada!$C$53:$N$372,$N220,T$2),0)</f>
        <v>746</v>
      </c>
      <c r="U220">
        <f>IF(NOT(ISNA($N220)),INDEX(Entrada!$C$53:$N$372,$N220,U$2),0)</f>
        <v>913</v>
      </c>
      <c r="V220" s="225">
        <f>IF(NOT(ISNA($N220)),INDEX(Entrada!$C$53:$N$372,$N220,V$2),0)</f>
        <v>964</v>
      </c>
      <c r="W220" s="225">
        <f>IF(NOT(ISNA($N220)),INDEX(Entrada!$C$53:$N$372,$N220,W$2),0)</f>
        <v>1118</v>
      </c>
      <c r="X220" s="225">
        <f>IF(NOT(ISNA($N220)),INDEX(Entrada!$C$53:$N$372,$N220,X$2),0)</f>
        <v>1091</v>
      </c>
      <c r="Y220" s="225">
        <f>IF(NOT(ISNA($N220)),INDEX(Entrada!$C$53:$N$372,$N220,Y$2),0)</f>
        <v>690</v>
      </c>
      <c r="Z220" s="225">
        <f>IF(NOT(ISNA($N220)),INDEX(Entrada!$C$53:$N$372,$N220,Z$2),0)</f>
        <v>510</v>
      </c>
      <c r="AA220" s="113">
        <f t="shared" si="72"/>
        <v>407</v>
      </c>
      <c r="AB220">
        <f t="shared" si="73"/>
        <v>519</v>
      </c>
      <c r="AC220">
        <f t="shared" si="74"/>
        <v>405</v>
      </c>
      <c r="AD220">
        <f t="shared" si="75"/>
        <v>397</v>
      </c>
      <c r="AE220">
        <f t="shared" si="76"/>
        <v>530</v>
      </c>
      <c r="AF220">
        <f t="shared" si="77"/>
        <v>583</v>
      </c>
      <c r="AG220">
        <f t="shared" si="78"/>
        <v>722</v>
      </c>
      <c r="AH220">
        <f t="shared" si="79"/>
        <v>767</v>
      </c>
      <c r="AI220">
        <f t="shared" si="80"/>
        <v>894</v>
      </c>
      <c r="AJ220">
        <f t="shared" si="81"/>
        <v>856</v>
      </c>
      <c r="AK220">
        <f t="shared" si="82"/>
        <v>547</v>
      </c>
      <c r="AL220">
        <f t="shared" si="83"/>
        <v>408</v>
      </c>
      <c r="AM220" s="113">
        <f t="shared" si="84"/>
        <v>86</v>
      </c>
      <c r="AN220">
        <f t="shared" si="85"/>
        <v>111</v>
      </c>
      <c r="AO220">
        <f t="shared" si="86"/>
        <v>87</v>
      </c>
      <c r="AP220">
        <f t="shared" si="87"/>
        <v>98</v>
      </c>
      <c r="AQ220">
        <f t="shared" si="88"/>
        <v>146</v>
      </c>
      <c r="AR220">
        <f t="shared" si="89"/>
        <v>163</v>
      </c>
      <c r="AS220">
        <f t="shared" si="90"/>
        <v>191</v>
      </c>
      <c r="AT220">
        <f t="shared" si="91"/>
        <v>197</v>
      </c>
      <c r="AU220">
        <f t="shared" si="92"/>
        <v>224</v>
      </c>
      <c r="AV220">
        <f t="shared" si="93"/>
        <v>235</v>
      </c>
      <c r="AW220">
        <f t="shared" si="94"/>
        <v>143</v>
      </c>
      <c r="AX220">
        <f t="shared" si="95"/>
        <v>102</v>
      </c>
    </row>
    <row r="221" spans="1:50" x14ac:dyDescent="0.25">
      <c r="A221" s="113">
        <v>218</v>
      </c>
      <c r="B221" s="209"/>
      <c r="C221" s="113">
        <v>0</v>
      </c>
      <c r="D221" s="113">
        <v>0</v>
      </c>
      <c r="E221" s="113" t="s">
        <v>688</v>
      </c>
      <c r="F221" s="113" t="s">
        <v>688</v>
      </c>
      <c r="G221" s="113"/>
      <c r="H221" s="113"/>
      <c r="I221" s="113"/>
      <c r="J221" s="113"/>
      <c r="K221" s="113"/>
      <c r="N221" s="113" t="e">
        <f>MATCH(A221,Entrada!$A$53:$A$372,0)</f>
        <v>#N/A</v>
      </c>
      <c r="O221">
        <f>IF(NOT(ISNA($N221)),INDEX(Entrada!$C$53:$N$372,$N221,O$2),0)</f>
        <v>0</v>
      </c>
      <c r="P221">
        <f>IF(NOT(ISNA($N221)),INDEX(Entrada!$C$53:$N$372,$N221,P$2),0)</f>
        <v>0</v>
      </c>
      <c r="Q221">
        <f>IF(NOT(ISNA($N221)),INDEX(Entrada!$C$53:$N$372,$N221,Q$2),0)</f>
        <v>0</v>
      </c>
      <c r="R221">
        <f>IF(NOT(ISNA($N221)),INDEX(Entrada!$C$53:$N$372,$N221,R$2),0)</f>
        <v>0</v>
      </c>
      <c r="S221">
        <f>IF(NOT(ISNA($N221)),INDEX(Entrada!$C$53:$N$372,$N221,S$2),0)</f>
        <v>0</v>
      </c>
      <c r="T221">
        <f>IF(NOT(ISNA($N221)),INDEX(Entrada!$C$53:$N$372,$N221,T$2),0)</f>
        <v>0</v>
      </c>
      <c r="U221">
        <f>IF(NOT(ISNA($N221)),INDEX(Entrada!$C$53:$N$372,$N221,U$2),0)</f>
        <v>0</v>
      </c>
      <c r="V221" s="225">
        <f>IF(NOT(ISNA($N221)),INDEX(Entrada!$C$53:$N$372,$N221,V$2),0)</f>
        <v>0</v>
      </c>
      <c r="W221" s="225">
        <f>IF(NOT(ISNA($N221)),INDEX(Entrada!$C$53:$N$372,$N221,W$2),0)</f>
        <v>0</v>
      </c>
      <c r="X221" s="225">
        <f>IF(NOT(ISNA($N221)),INDEX(Entrada!$C$53:$N$372,$N221,X$2),0)</f>
        <v>0</v>
      </c>
      <c r="Y221" s="225">
        <f>IF(NOT(ISNA($N221)),INDEX(Entrada!$C$53:$N$372,$N221,Y$2),0)</f>
        <v>0</v>
      </c>
      <c r="Z221" s="225">
        <f>IF(NOT(ISNA($N221)),INDEX(Entrada!$C$53:$N$372,$N221,Z$2),0)</f>
        <v>0</v>
      </c>
      <c r="AA221" s="113">
        <f t="shared" si="72"/>
        <v>0</v>
      </c>
      <c r="AB221">
        <f t="shared" si="73"/>
        <v>0</v>
      </c>
      <c r="AC221">
        <f t="shared" si="74"/>
        <v>0</v>
      </c>
      <c r="AD221">
        <f t="shared" si="75"/>
        <v>0</v>
      </c>
      <c r="AE221">
        <f t="shared" si="76"/>
        <v>0</v>
      </c>
      <c r="AF221">
        <f t="shared" si="77"/>
        <v>0</v>
      </c>
      <c r="AG221">
        <f t="shared" si="78"/>
        <v>0</v>
      </c>
      <c r="AH221">
        <f t="shared" si="79"/>
        <v>0</v>
      </c>
      <c r="AI221">
        <f t="shared" si="80"/>
        <v>0</v>
      </c>
      <c r="AJ221">
        <f t="shared" si="81"/>
        <v>0</v>
      </c>
      <c r="AK221">
        <f t="shared" si="82"/>
        <v>0</v>
      </c>
      <c r="AL221">
        <f t="shared" si="83"/>
        <v>0</v>
      </c>
      <c r="AM221" s="113">
        <f t="shared" si="84"/>
        <v>0</v>
      </c>
      <c r="AN221">
        <f t="shared" si="85"/>
        <v>0</v>
      </c>
      <c r="AO221">
        <f t="shared" si="86"/>
        <v>0</v>
      </c>
      <c r="AP221">
        <f t="shared" si="87"/>
        <v>0</v>
      </c>
      <c r="AQ221">
        <f t="shared" si="88"/>
        <v>0</v>
      </c>
      <c r="AR221">
        <f t="shared" si="89"/>
        <v>0</v>
      </c>
      <c r="AS221">
        <f t="shared" si="90"/>
        <v>0</v>
      </c>
      <c r="AT221">
        <f t="shared" si="91"/>
        <v>0</v>
      </c>
      <c r="AU221">
        <f t="shared" si="92"/>
        <v>0</v>
      </c>
      <c r="AV221">
        <f t="shared" si="93"/>
        <v>0</v>
      </c>
      <c r="AW221">
        <f t="shared" si="94"/>
        <v>0</v>
      </c>
      <c r="AX221">
        <f t="shared" si="95"/>
        <v>0</v>
      </c>
    </row>
    <row r="222" spans="1:50" x14ac:dyDescent="0.25">
      <c r="A222" s="113">
        <v>219</v>
      </c>
      <c r="B222" s="209"/>
      <c r="C222" s="113">
        <v>0</v>
      </c>
      <c r="D222" s="113">
        <v>0</v>
      </c>
      <c r="E222" s="113" t="s">
        <v>688</v>
      </c>
      <c r="F222" s="113" t="s">
        <v>688</v>
      </c>
      <c r="G222" s="113"/>
      <c r="H222" s="113"/>
      <c r="I222" s="113"/>
      <c r="J222" s="113"/>
      <c r="K222" s="113"/>
      <c r="N222" s="113" t="e">
        <f>MATCH(A222,Entrada!$A$53:$A$372,0)</f>
        <v>#N/A</v>
      </c>
      <c r="O222">
        <f>IF(NOT(ISNA($N222)),INDEX(Entrada!$C$53:$N$372,$N222,O$2),0)</f>
        <v>0</v>
      </c>
      <c r="P222">
        <f>IF(NOT(ISNA($N222)),INDEX(Entrada!$C$53:$N$372,$N222,P$2),0)</f>
        <v>0</v>
      </c>
      <c r="Q222">
        <f>IF(NOT(ISNA($N222)),INDEX(Entrada!$C$53:$N$372,$N222,Q$2),0)</f>
        <v>0</v>
      </c>
      <c r="R222">
        <f>IF(NOT(ISNA($N222)),INDEX(Entrada!$C$53:$N$372,$N222,R$2),0)</f>
        <v>0</v>
      </c>
      <c r="S222">
        <f>IF(NOT(ISNA($N222)),INDEX(Entrada!$C$53:$N$372,$N222,S$2),0)</f>
        <v>0</v>
      </c>
      <c r="T222">
        <f>IF(NOT(ISNA($N222)),INDEX(Entrada!$C$53:$N$372,$N222,T$2),0)</f>
        <v>0</v>
      </c>
      <c r="U222">
        <f>IF(NOT(ISNA($N222)),INDEX(Entrada!$C$53:$N$372,$N222,U$2),0)</f>
        <v>0</v>
      </c>
      <c r="V222" s="225">
        <f>IF(NOT(ISNA($N222)),INDEX(Entrada!$C$53:$N$372,$N222,V$2),0)</f>
        <v>0</v>
      </c>
      <c r="W222" s="225">
        <f>IF(NOT(ISNA($N222)),INDEX(Entrada!$C$53:$N$372,$N222,W$2),0)</f>
        <v>0</v>
      </c>
      <c r="X222" s="225">
        <f>IF(NOT(ISNA($N222)),INDEX(Entrada!$C$53:$N$372,$N222,X$2),0)</f>
        <v>0</v>
      </c>
      <c r="Y222" s="225">
        <f>IF(NOT(ISNA($N222)),INDEX(Entrada!$C$53:$N$372,$N222,Y$2),0)</f>
        <v>0</v>
      </c>
      <c r="Z222" s="225">
        <f>IF(NOT(ISNA($N222)),INDEX(Entrada!$C$53:$N$372,$N222,Z$2),0)</f>
        <v>0</v>
      </c>
      <c r="AA222" s="113">
        <f t="shared" si="72"/>
        <v>0</v>
      </c>
      <c r="AB222">
        <f t="shared" si="73"/>
        <v>0</v>
      </c>
      <c r="AC222">
        <f t="shared" si="74"/>
        <v>0</v>
      </c>
      <c r="AD222">
        <f t="shared" si="75"/>
        <v>0</v>
      </c>
      <c r="AE222">
        <f t="shared" si="76"/>
        <v>0</v>
      </c>
      <c r="AF222">
        <f t="shared" si="77"/>
        <v>0</v>
      </c>
      <c r="AG222">
        <f t="shared" si="78"/>
        <v>0</v>
      </c>
      <c r="AH222">
        <f t="shared" si="79"/>
        <v>0</v>
      </c>
      <c r="AI222">
        <f t="shared" si="80"/>
        <v>0</v>
      </c>
      <c r="AJ222">
        <f t="shared" si="81"/>
        <v>0</v>
      </c>
      <c r="AK222">
        <f t="shared" si="82"/>
        <v>0</v>
      </c>
      <c r="AL222">
        <f t="shared" si="83"/>
        <v>0</v>
      </c>
      <c r="AM222" s="113">
        <f t="shared" si="84"/>
        <v>0</v>
      </c>
      <c r="AN222">
        <f t="shared" si="85"/>
        <v>0</v>
      </c>
      <c r="AO222">
        <f t="shared" si="86"/>
        <v>0</v>
      </c>
      <c r="AP222">
        <f t="shared" si="87"/>
        <v>0</v>
      </c>
      <c r="AQ222">
        <f t="shared" si="88"/>
        <v>0</v>
      </c>
      <c r="AR222">
        <f t="shared" si="89"/>
        <v>0</v>
      </c>
      <c r="AS222">
        <f t="shared" si="90"/>
        <v>0</v>
      </c>
      <c r="AT222">
        <f t="shared" si="91"/>
        <v>0</v>
      </c>
      <c r="AU222">
        <f t="shared" si="92"/>
        <v>0</v>
      </c>
      <c r="AV222">
        <f t="shared" si="93"/>
        <v>0</v>
      </c>
      <c r="AW222">
        <f t="shared" si="94"/>
        <v>0</v>
      </c>
      <c r="AX222">
        <f t="shared" si="95"/>
        <v>0</v>
      </c>
    </row>
    <row r="223" spans="1:50" x14ac:dyDescent="0.25">
      <c r="A223" s="113">
        <v>220</v>
      </c>
      <c r="B223" s="209" t="s">
        <v>638</v>
      </c>
      <c r="C223" s="113">
        <v>1931</v>
      </c>
      <c r="D223" s="113">
        <v>2013</v>
      </c>
      <c r="E223" s="210" t="s">
        <v>17</v>
      </c>
      <c r="F223" s="210" t="s">
        <v>325</v>
      </c>
      <c r="G223" s="113">
        <v>93</v>
      </c>
      <c r="H223" s="113"/>
      <c r="I223" s="113"/>
      <c r="J223" s="113"/>
      <c r="K223" s="113"/>
      <c r="N223" s="113">
        <f>MATCH(A223,Entrada!$A$53:$A$372,0)</f>
        <v>136</v>
      </c>
      <c r="O223">
        <f>IF(NOT(ISNA($N223)),INDEX(Entrada!$C$53:$N$372,$N223,O$2),0)</f>
        <v>59</v>
      </c>
      <c r="P223">
        <f>IF(NOT(ISNA($N223)),INDEX(Entrada!$C$53:$N$372,$N223,P$2),0)</f>
        <v>58</v>
      </c>
      <c r="Q223">
        <f>IF(NOT(ISNA($N223)),INDEX(Entrada!$C$53:$N$372,$N223,Q$2),0)</f>
        <v>49</v>
      </c>
      <c r="R223">
        <f>IF(NOT(ISNA($N223)),INDEX(Entrada!$C$53:$N$372,$N223,R$2),0)</f>
        <v>62</v>
      </c>
      <c r="S223">
        <f>IF(NOT(ISNA($N223)),INDEX(Entrada!$C$53:$N$372,$N223,S$2),0)</f>
        <v>96</v>
      </c>
      <c r="T223">
        <f>IF(NOT(ISNA($N223)),INDEX(Entrada!$C$53:$N$372,$N223,T$2),0)</f>
        <v>118</v>
      </c>
      <c r="U223">
        <f>IF(NOT(ISNA($N223)),INDEX(Entrada!$C$53:$N$372,$N223,U$2),0)</f>
        <v>132</v>
      </c>
      <c r="V223" s="225">
        <f>IF(NOT(ISNA($N223)),INDEX(Entrada!$C$53:$N$372,$N223,V$2),0)</f>
        <v>119</v>
      </c>
      <c r="W223" s="225">
        <f>IF(NOT(ISNA($N223)),INDEX(Entrada!$C$53:$N$372,$N223,W$2),0)</f>
        <v>132</v>
      </c>
      <c r="X223" s="225">
        <f>IF(NOT(ISNA($N223)),INDEX(Entrada!$C$53:$N$372,$N223,X$2),0)</f>
        <v>147</v>
      </c>
      <c r="Y223" s="225">
        <f>IF(NOT(ISNA($N223)),INDEX(Entrada!$C$53:$N$372,$N223,Y$2),0)</f>
        <v>103</v>
      </c>
      <c r="Z223" s="225">
        <f>IF(NOT(ISNA($N223)),INDEX(Entrada!$C$53:$N$372,$N223,Z$2),0)</f>
        <v>77</v>
      </c>
      <c r="AA223" s="113">
        <f t="shared" si="72"/>
        <v>34</v>
      </c>
      <c r="AB223">
        <f t="shared" si="73"/>
        <v>34</v>
      </c>
      <c r="AC223">
        <f t="shared" si="74"/>
        <v>29</v>
      </c>
      <c r="AD223">
        <f t="shared" si="75"/>
        <v>36</v>
      </c>
      <c r="AE223">
        <f t="shared" si="76"/>
        <v>55</v>
      </c>
      <c r="AF223">
        <f t="shared" si="77"/>
        <v>69</v>
      </c>
      <c r="AG223">
        <f t="shared" si="78"/>
        <v>77</v>
      </c>
      <c r="AH223">
        <f t="shared" si="79"/>
        <v>71</v>
      </c>
      <c r="AI223">
        <f t="shared" si="80"/>
        <v>79</v>
      </c>
      <c r="AJ223">
        <f t="shared" si="81"/>
        <v>84</v>
      </c>
      <c r="AK223">
        <f t="shared" si="82"/>
        <v>59</v>
      </c>
      <c r="AL223">
        <f t="shared" si="83"/>
        <v>44</v>
      </c>
      <c r="AM223" s="113">
        <f t="shared" si="84"/>
        <v>25</v>
      </c>
      <c r="AN223">
        <f t="shared" si="85"/>
        <v>24</v>
      </c>
      <c r="AO223">
        <f t="shared" si="86"/>
        <v>20</v>
      </c>
      <c r="AP223">
        <f t="shared" si="87"/>
        <v>26</v>
      </c>
      <c r="AQ223">
        <f t="shared" si="88"/>
        <v>41</v>
      </c>
      <c r="AR223">
        <f t="shared" si="89"/>
        <v>49</v>
      </c>
      <c r="AS223">
        <f t="shared" si="90"/>
        <v>55</v>
      </c>
      <c r="AT223">
        <f t="shared" si="91"/>
        <v>48</v>
      </c>
      <c r="AU223">
        <f t="shared" si="92"/>
        <v>53</v>
      </c>
      <c r="AV223">
        <f t="shared" si="93"/>
        <v>63</v>
      </c>
      <c r="AW223">
        <f t="shared" si="94"/>
        <v>44</v>
      </c>
      <c r="AX223">
        <f t="shared" si="95"/>
        <v>33</v>
      </c>
    </row>
    <row r="224" spans="1:50" x14ac:dyDescent="0.25">
      <c r="A224" s="113">
        <v>221</v>
      </c>
      <c r="B224" s="209"/>
      <c r="C224" s="113">
        <v>0</v>
      </c>
      <c r="D224" s="113">
        <v>0</v>
      </c>
      <c r="E224" s="113" t="s">
        <v>688</v>
      </c>
      <c r="F224" s="113" t="s">
        <v>688</v>
      </c>
      <c r="G224" s="113"/>
      <c r="H224" s="113"/>
      <c r="I224" s="113"/>
      <c r="J224" s="113"/>
      <c r="K224" s="113"/>
      <c r="N224" s="113" t="e">
        <f>MATCH(A224,Entrada!$A$53:$A$372,0)</f>
        <v>#N/A</v>
      </c>
      <c r="O224">
        <f>IF(NOT(ISNA($N224)),INDEX(Entrada!$C$53:$N$372,$N224,O$2),0)</f>
        <v>0</v>
      </c>
      <c r="P224">
        <f>IF(NOT(ISNA($N224)),INDEX(Entrada!$C$53:$N$372,$N224,P$2),0)</f>
        <v>0</v>
      </c>
      <c r="Q224">
        <f>IF(NOT(ISNA($N224)),INDEX(Entrada!$C$53:$N$372,$N224,Q$2),0)</f>
        <v>0</v>
      </c>
      <c r="R224">
        <f>IF(NOT(ISNA($N224)),INDEX(Entrada!$C$53:$N$372,$N224,R$2),0)</f>
        <v>0</v>
      </c>
      <c r="S224">
        <f>IF(NOT(ISNA($N224)),INDEX(Entrada!$C$53:$N$372,$N224,S$2),0)</f>
        <v>0</v>
      </c>
      <c r="T224">
        <f>IF(NOT(ISNA($N224)),INDEX(Entrada!$C$53:$N$372,$N224,T$2),0)</f>
        <v>0</v>
      </c>
      <c r="U224">
        <f>IF(NOT(ISNA($N224)),INDEX(Entrada!$C$53:$N$372,$N224,U$2),0)</f>
        <v>0</v>
      </c>
      <c r="V224" s="225">
        <f>IF(NOT(ISNA($N224)),INDEX(Entrada!$C$53:$N$372,$N224,V$2),0)</f>
        <v>0</v>
      </c>
      <c r="W224" s="225">
        <f>IF(NOT(ISNA($N224)),INDEX(Entrada!$C$53:$N$372,$N224,W$2),0)</f>
        <v>0</v>
      </c>
      <c r="X224" s="225">
        <f>IF(NOT(ISNA($N224)),INDEX(Entrada!$C$53:$N$372,$N224,X$2),0)</f>
        <v>0</v>
      </c>
      <c r="Y224" s="225">
        <f>IF(NOT(ISNA($N224)),INDEX(Entrada!$C$53:$N$372,$N224,Y$2),0)</f>
        <v>0</v>
      </c>
      <c r="Z224" s="225">
        <f>IF(NOT(ISNA($N224)),INDEX(Entrada!$C$53:$N$372,$N224,Z$2),0)</f>
        <v>0</v>
      </c>
      <c r="AA224" s="113">
        <f t="shared" si="72"/>
        <v>0</v>
      </c>
      <c r="AB224">
        <f t="shared" si="73"/>
        <v>0</v>
      </c>
      <c r="AC224">
        <f t="shared" si="74"/>
        <v>0</v>
      </c>
      <c r="AD224">
        <f t="shared" si="75"/>
        <v>0</v>
      </c>
      <c r="AE224">
        <f t="shared" si="76"/>
        <v>0</v>
      </c>
      <c r="AF224">
        <f t="shared" si="77"/>
        <v>0</v>
      </c>
      <c r="AG224">
        <f t="shared" si="78"/>
        <v>0</v>
      </c>
      <c r="AH224">
        <f t="shared" si="79"/>
        <v>0</v>
      </c>
      <c r="AI224">
        <f t="shared" si="80"/>
        <v>0</v>
      </c>
      <c r="AJ224">
        <f t="shared" si="81"/>
        <v>0</v>
      </c>
      <c r="AK224">
        <f t="shared" si="82"/>
        <v>0</v>
      </c>
      <c r="AL224">
        <f t="shared" si="83"/>
        <v>0</v>
      </c>
      <c r="AM224" s="113">
        <f t="shared" si="84"/>
        <v>0</v>
      </c>
      <c r="AN224">
        <f t="shared" si="85"/>
        <v>0</v>
      </c>
      <c r="AO224">
        <f t="shared" si="86"/>
        <v>0</v>
      </c>
      <c r="AP224">
        <f t="shared" si="87"/>
        <v>0</v>
      </c>
      <c r="AQ224">
        <f t="shared" si="88"/>
        <v>0</v>
      </c>
      <c r="AR224">
        <f t="shared" si="89"/>
        <v>0</v>
      </c>
      <c r="AS224">
        <f t="shared" si="90"/>
        <v>0</v>
      </c>
      <c r="AT224">
        <f t="shared" si="91"/>
        <v>0</v>
      </c>
      <c r="AU224">
        <f t="shared" si="92"/>
        <v>0</v>
      </c>
      <c r="AV224">
        <f t="shared" si="93"/>
        <v>0</v>
      </c>
      <c r="AW224">
        <f t="shared" si="94"/>
        <v>0</v>
      </c>
      <c r="AX224">
        <f t="shared" si="95"/>
        <v>0</v>
      </c>
    </row>
    <row r="225" spans="1:50" x14ac:dyDescent="0.25">
      <c r="A225" s="113">
        <v>222</v>
      </c>
      <c r="B225" s="209" t="s">
        <v>175</v>
      </c>
      <c r="C225" s="113">
        <v>1931</v>
      </c>
      <c r="D225" s="113">
        <v>2013</v>
      </c>
      <c r="E225" s="210" t="s">
        <v>15</v>
      </c>
      <c r="F225" s="210" t="s">
        <v>15</v>
      </c>
      <c r="G225" s="113">
        <v>78</v>
      </c>
      <c r="H225" s="113"/>
      <c r="I225" s="113"/>
      <c r="J225" s="113"/>
      <c r="K225" s="113"/>
      <c r="N225" s="113">
        <f>MATCH(A225,Entrada!$A$53:$A$372,0)</f>
        <v>137</v>
      </c>
      <c r="O225">
        <f>IF(NOT(ISNA($N225)),INDEX(Entrada!$C$53:$N$372,$N225,O$2),0)</f>
        <v>1143</v>
      </c>
      <c r="P225">
        <f>IF(NOT(ISNA($N225)),INDEX(Entrada!$C$53:$N$372,$N225,P$2),0)</f>
        <v>1265</v>
      </c>
      <c r="Q225">
        <f>IF(NOT(ISNA($N225)),INDEX(Entrada!$C$53:$N$372,$N225,Q$2),0)</f>
        <v>1101</v>
      </c>
      <c r="R225">
        <f>IF(NOT(ISNA($N225)),INDEX(Entrada!$C$53:$N$372,$N225,R$2),0)</f>
        <v>1021</v>
      </c>
      <c r="S225">
        <f>IF(NOT(ISNA($N225)),INDEX(Entrada!$C$53:$N$372,$N225,S$2),0)</f>
        <v>1325</v>
      </c>
      <c r="T225">
        <f>IF(NOT(ISNA($N225)),INDEX(Entrada!$C$53:$N$372,$N225,T$2),0)</f>
        <v>1575</v>
      </c>
      <c r="U225">
        <f>IF(NOT(ISNA($N225)),INDEX(Entrada!$C$53:$N$372,$N225,U$2),0)</f>
        <v>1524</v>
      </c>
      <c r="V225" s="225">
        <f>IF(NOT(ISNA($N225)),INDEX(Entrada!$C$53:$N$372,$N225,V$2),0)</f>
        <v>1264</v>
      </c>
      <c r="W225" s="225">
        <f>IF(NOT(ISNA($N225)),INDEX(Entrada!$C$53:$N$372,$N225,W$2),0)</f>
        <v>1467</v>
      </c>
      <c r="X225" s="225">
        <f>IF(NOT(ISNA($N225)),INDEX(Entrada!$C$53:$N$372,$N225,X$2),0)</f>
        <v>1935</v>
      </c>
      <c r="Y225" s="225">
        <f>IF(NOT(ISNA($N225)),INDEX(Entrada!$C$53:$N$372,$N225,Y$2),0)</f>
        <v>1462</v>
      </c>
      <c r="Z225" s="225">
        <f>IF(NOT(ISNA($N225)),INDEX(Entrada!$C$53:$N$372,$N225,Z$2),0)</f>
        <v>1160</v>
      </c>
      <c r="AA225" s="113">
        <f t="shared" si="72"/>
        <v>922</v>
      </c>
      <c r="AB225">
        <f t="shared" si="73"/>
        <v>1023</v>
      </c>
      <c r="AC225">
        <f t="shared" si="74"/>
        <v>894</v>
      </c>
      <c r="AD225">
        <f t="shared" si="75"/>
        <v>792</v>
      </c>
      <c r="AE225">
        <f t="shared" si="76"/>
        <v>996</v>
      </c>
      <c r="AF225">
        <f t="shared" si="77"/>
        <v>1182</v>
      </c>
      <c r="AG225">
        <f t="shared" si="78"/>
        <v>1187</v>
      </c>
      <c r="AH225">
        <f t="shared" si="79"/>
        <v>980</v>
      </c>
      <c r="AI225">
        <f t="shared" si="80"/>
        <v>1156</v>
      </c>
      <c r="AJ225">
        <f t="shared" si="81"/>
        <v>1500</v>
      </c>
      <c r="AK225">
        <f t="shared" si="82"/>
        <v>1128</v>
      </c>
      <c r="AL225">
        <f t="shared" si="83"/>
        <v>909</v>
      </c>
      <c r="AM225" s="113">
        <f t="shared" si="84"/>
        <v>221</v>
      </c>
      <c r="AN225">
        <f t="shared" si="85"/>
        <v>242</v>
      </c>
      <c r="AO225">
        <f t="shared" si="86"/>
        <v>207</v>
      </c>
      <c r="AP225">
        <f t="shared" si="87"/>
        <v>229</v>
      </c>
      <c r="AQ225">
        <f t="shared" si="88"/>
        <v>329</v>
      </c>
      <c r="AR225">
        <f t="shared" si="89"/>
        <v>393</v>
      </c>
      <c r="AS225">
        <f t="shared" si="90"/>
        <v>337</v>
      </c>
      <c r="AT225">
        <f t="shared" si="91"/>
        <v>284</v>
      </c>
      <c r="AU225">
        <f t="shared" si="92"/>
        <v>311</v>
      </c>
      <c r="AV225">
        <f t="shared" si="93"/>
        <v>435</v>
      </c>
      <c r="AW225">
        <f t="shared" si="94"/>
        <v>334</v>
      </c>
      <c r="AX225">
        <f t="shared" si="95"/>
        <v>251</v>
      </c>
    </row>
    <row r="226" spans="1:50" x14ac:dyDescent="0.25">
      <c r="A226" s="113">
        <v>223</v>
      </c>
      <c r="B226" s="209"/>
      <c r="C226" s="113">
        <v>0</v>
      </c>
      <c r="D226" s="113">
        <v>0</v>
      </c>
      <c r="E226" s="113" t="s">
        <v>688</v>
      </c>
      <c r="F226" s="113" t="s">
        <v>688</v>
      </c>
      <c r="G226" s="113"/>
      <c r="H226" s="113"/>
      <c r="I226" s="113"/>
      <c r="J226" s="113"/>
      <c r="K226" s="113"/>
      <c r="N226" s="113" t="e">
        <f>MATCH(A226,Entrada!$A$53:$A$372,0)</f>
        <v>#N/A</v>
      </c>
      <c r="O226">
        <f>IF(NOT(ISNA($N226)),INDEX(Entrada!$C$53:$N$372,$N226,O$2),0)</f>
        <v>0</v>
      </c>
      <c r="P226">
        <f>IF(NOT(ISNA($N226)),INDEX(Entrada!$C$53:$N$372,$N226,P$2),0)</f>
        <v>0</v>
      </c>
      <c r="Q226">
        <f>IF(NOT(ISNA($N226)),INDEX(Entrada!$C$53:$N$372,$N226,Q$2),0)</f>
        <v>0</v>
      </c>
      <c r="R226">
        <f>IF(NOT(ISNA($N226)),INDEX(Entrada!$C$53:$N$372,$N226,R$2),0)</f>
        <v>0</v>
      </c>
      <c r="S226">
        <f>IF(NOT(ISNA($N226)),INDEX(Entrada!$C$53:$N$372,$N226,S$2),0)</f>
        <v>0</v>
      </c>
      <c r="T226">
        <f>IF(NOT(ISNA($N226)),INDEX(Entrada!$C$53:$N$372,$N226,T$2),0)</f>
        <v>0</v>
      </c>
      <c r="U226">
        <f>IF(NOT(ISNA($N226)),INDEX(Entrada!$C$53:$N$372,$N226,U$2),0)</f>
        <v>0</v>
      </c>
      <c r="V226" s="225">
        <f>IF(NOT(ISNA($N226)),INDEX(Entrada!$C$53:$N$372,$N226,V$2),0)</f>
        <v>0</v>
      </c>
      <c r="W226" s="225">
        <f>IF(NOT(ISNA($N226)),INDEX(Entrada!$C$53:$N$372,$N226,W$2),0)</f>
        <v>0</v>
      </c>
      <c r="X226" s="225">
        <f>IF(NOT(ISNA($N226)),INDEX(Entrada!$C$53:$N$372,$N226,X$2),0)</f>
        <v>0</v>
      </c>
      <c r="Y226" s="225">
        <f>IF(NOT(ISNA($N226)),INDEX(Entrada!$C$53:$N$372,$N226,Y$2),0)</f>
        <v>0</v>
      </c>
      <c r="Z226" s="225">
        <f>IF(NOT(ISNA($N226)),INDEX(Entrada!$C$53:$N$372,$N226,Z$2),0)</f>
        <v>0</v>
      </c>
      <c r="AA226" s="113">
        <f t="shared" si="72"/>
        <v>0</v>
      </c>
      <c r="AB226">
        <f t="shared" si="73"/>
        <v>0</v>
      </c>
      <c r="AC226">
        <f t="shared" si="74"/>
        <v>0</v>
      </c>
      <c r="AD226">
        <f t="shared" si="75"/>
        <v>0</v>
      </c>
      <c r="AE226">
        <f t="shared" si="76"/>
        <v>0</v>
      </c>
      <c r="AF226">
        <f t="shared" si="77"/>
        <v>0</v>
      </c>
      <c r="AG226">
        <f t="shared" si="78"/>
        <v>0</v>
      </c>
      <c r="AH226">
        <f t="shared" si="79"/>
        <v>0</v>
      </c>
      <c r="AI226">
        <f t="shared" si="80"/>
        <v>0</v>
      </c>
      <c r="AJ226">
        <f t="shared" si="81"/>
        <v>0</v>
      </c>
      <c r="AK226">
        <f t="shared" si="82"/>
        <v>0</v>
      </c>
      <c r="AL226">
        <f t="shared" si="83"/>
        <v>0</v>
      </c>
      <c r="AM226" s="113">
        <f t="shared" si="84"/>
        <v>0</v>
      </c>
      <c r="AN226">
        <f t="shared" si="85"/>
        <v>0</v>
      </c>
      <c r="AO226">
        <f t="shared" si="86"/>
        <v>0</v>
      </c>
      <c r="AP226">
        <f t="shared" si="87"/>
        <v>0</v>
      </c>
      <c r="AQ226">
        <f t="shared" si="88"/>
        <v>0</v>
      </c>
      <c r="AR226">
        <f t="shared" si="89"/>
        <v>0</v>
      </c>
      <c r="AS226">
        <f t="shared" si="90"/>
        <v>0</v>
      </c>
      <c r="AT226">
        <f t="shared" si="91"/>
        <v>0</v>
      </c>
      <c r="AU226">
        <f t="shared" si="92"/>
        <v>0</v>
      </c>
      <c r="AV226">
        <f t="shared" si="93"/>
        <v>0</v>
      </c>
      <c r="AW226">
        <f t="shared" si="94"/>
        <v>0</v>
      </c>
      <c r="AX226">
        <f t="shared" si="95"/>
        <v>0</v>
      </c>
    </row>
    <row r="227" spans="1:50" x14ac:dyDescent="0.25">
      <c r="A227" s="113">
        <v>224</v>
      </c>
      <c r="B227" s="209"/>
      <c r="C227" s="113">
        <v>0</v>
      </c>
      <c r="D227" s="113">
        <v>0</v>
      </c>
      <c r="E227" s="113" t="s">
        <v>688</v>
      </c>
      <c r="F227" s="113" t="s">
        <v>688</v>
      </c>
      <c r="G227" s="113"/>
      <c r="H227" s="113"/>
      <c r="I227" s="113"/>
      <c r="J227" s="113"/>
      <c r="K227" s="113"/>
      <c r="N227" s="113" t="e">
        <f>MATCH(A227,Entrada!$A$53:$A$372,0)</f>
        <v>#N/A</v>
      </c>
      <c r="O227">
        <f>IF(NOT(ISNA($N227)),INDEX(Entrada!$C$53:$N$372,$N227,O$2),0)</f>
        <v>0</v>
      </c>
      <c r="P227">
        <f>IF(NOT(ISNA($N227)),INDEX(Entrada!$C$53:$N$372,$N227,P$2),0)</f>
        <v>0</v>
      </c>
      <c r="Q227">
        <f>IF(NOT(ISNA($N227)),INDEX(Entrada!$C$53:$N$372,$N227,Q$2),0)</f>
        <v>0</v>
      </c>
      <c r="R227">
        <f>IF(NOT(ISNA($N227)),INDEX(Entrada!$C$53:$N$372,$N227,R$2),0)</f>
        <v>0</v>
      </c>
      <c r="S227">
        <f>IF(NOT(ISNA($N227)),INDEX(Entrada!$C$53:$N$372,$N227,S$2),0)</f>
        <v>0</v>
      </c>
      <c r="T227">
        <f>IF(NOT(ISNA($N227)),INDEX(Entrada!$C$53:$N$372,$N227,T$2),0)</f>
        <v>0</v>
      </c>
      <c r="U227">
        <f>IF(NOT(ISNA($N227)),INDEX(Entrada!$C$53:$N$372,$N227,U$2),0)</f>
        <v>0</v>
      </c>
      <c r="V227" s="225">
        <f>IF(NOT(ISNA($N227)),INDEX(Entrada!$C$53:$N$372,$N227,V$2),0)</f>
        <v>0</v>
      </c>
      <c r="W227" s="225">
        <f>IF(NOT(ISNA($N227)),INDEX(Entrada!$C$53:$N$372,$N227,W$2),0)</f>
        <v>0</v>
      </c>
      <c r="X227" s="225">
        <f>IF(NOT(ISNA($N227)),INDEX(Entrada!$C$53:$N$372,$N227,X$2),0)</f>
        <v>0</v>
      </c>
      <c r="Y227" s="225">
        <f>IF(NOT(ISNA($N227)),INDEX(Entrada!$C$53:$N$372,$N227,Y$2),0)</f>
        <v>0</v>
      </c>
      <c r="Z227" s="225">
        <f>IF(NOT(ISNA($N227)),INDEX(Entrada!$C$53:$N$372,$N227,Z$2),0)</f>
        <v>0</v>
      </c>
      <c r="AA227" s="113">
        <f t="shared" si="72"/>
        <v>0</v>
      </c>
      <c r="AB227">
        <f t="shared" si="73"/>
        <v>0</v>
      </c>
      <c r="AC227">
        <f t="shared" si="74"/>
        <v>0</v>
      </c>
      <c r="AD227">
        <f t="shared" si="75"/>
        <v>0</v>
      </c>
      <c r="AE227">
        <f t="shared" si="76"/>
        <v>0</v>
      </c>
      <c r="AF227">
        <f t="shared" si="77"/>
        <v>0</v>
      </c>
      <c r="AG227">
        <f t="shared" si="78"/>
        <v>0</v>
      </c>
      <c r="AH227">
        <f t="shared" si="79"/>
        <v>0</v>
      </c>
      <c r="AI227">
        <f t="shared" si="80"/>
        <v>0</v>
      </c>
      <c r="AJ227">
        <f t="shared" si="81"/>
        <v>0</v>
      </c>
      <c r="AK227">
        <f t="shared" si="82"/>
        <v>0</v>
      </c>
      <c r="AL227">
        <f t="shared" si="83"/>
        <v>0</v>
      </c>
      <c r="AM227" s="113">
        <f t="shared" si="84"/>
        <v>0</v>
      </c>
      <c r="AN227">
        <f t="shared" si="85"/>
        <v>0</v>
      </c>
      <c r="AO227">
        <f t="shared" si="86"/>
        <v>0</v>
      </c>
      <c r="AP227">
        <f t="shared" si="87"/>
        <v>0</v>
      </c>
      <c r="AQ227">
        <f t="shared" si="88"/>
        <v>0</v>
      </c>
      <c r="AR227">
        <f t="shared" si="89"/>
        <v>0</v>
      </c>
      <c r="AS227">
        <f t="shared" si="90"/>
        <v>0</v>
      </c>
      <c r="AT227">
        <f t="shared" si="91"/>
        <v>0</v>
      </c>
      <c r="AU227">
        <f t="shared" si="92"/>
        <v>0</v>
      </c>
      <c r="AV227">
        <f t="shared" si="93"/>
        <v>0</v>
      </c>
      <c r="AW227">
        <f t="shared" si="94"/>
        <v>0</v>
      </c>
      <c r="AX227">
        <f t="shared" si="95"/>
        <v>0</v>
      </c>
    </row>
    <row r="228" spans="1:50" x14ac:dyDescent="0.25">
      <c r="A228" s="113">
        <v>225</v>
      </c>
      <c r="B228" s="209" t="s">
        <v>639</v>
      </c>
      <c r="C228" s="113">
        <v>1931</v>
      </c>
      <c r="D228" s="113">
        <v>2013</v>
      </c>
      <c r="E228" s="212" t="s">
        <v>364</v>
      </c>
      <c r="F228" s="213" t="s">
        <v>398</v>
      </c>
      <c r="G228" s="113"/>
      <c r="H228" s="113"/>
      <c r="I228" s="113"/>
      <c r="J228" s="113"/>
      <c r="K228" s="113"/>
      <c r="N228" s="113">
        <f>MATCH(A228,Entrada!$A$53:$A$372,0)</f>
        <v>138</v>
      </c>
      <c r="O228">
        <f>IF(NOT(ISNA($N228)),INDEX(Entrada!$C$53:$N$372,$N228,O$2),0)</f>
        <v>379</v>
      </c>
      <c r="P228">
        <f>IF(NOT(ISNA($N228)),INDEX(Entrada!$C$53:$N$372,$N228,P$2),0)</f>
        <v>470</v>
      </c>
      <c r="Q228">
        <f>IF(NOT(ISNA($N228)),INDEX(Entrada!$C$53:$N$372,$N228,Q$2),0)</f>
        <v>506</v>
      </c>
      <c r="R228">
        <f>IF(NOT(ISNA($N228)),INDEX(Entrada!$C$53:$N$372,$N228,R$2),0)</f>
        <v>370</v>
      </c>
      <c r="S228">
        <f>IF(NOT(ISNA($N228)),INDEX(Entrada!$C$53:$N$372,$N228,S$2),0)</f>
        <v>183</v>
      </c>
      <c r="T228">
        <f>IF(NOT(ISNA($N228)),INDEX(Entrada!$C$53:$N$372,$N228,T$2),0)</f>
        <v>72</v>
      </c>
      <c r="U228">
        <f>IF(NOT(ISNA($N228)),INDEX(Entrada!$C$53:$N$372,$N228,U$2),0)</f>
        <v>39</v>
      </c>
      <c r="V228" s="225">
        <f>IF(NOT(ISNA($N228)),INDEX(Entrada!$C$53:$N$372,$N228,V$2),0)</f>
        <v>25</v>
      </c>
      <c r="W228" s="225">
        <f>IF(NOT(ISNA($N228)),INDEX(Entrada!$C$53:$N$372,$N228,W$2),0)</f>
        <v>20</v>
      </c>
      <c r="X228" s="225">
        <f>IF(NOT(ISNA($N228)),INDEX(Entrada!$C$53:$N$372,$N228,X$2),0)</f>
        <v>31</v>
      </c>
      <c r="Y228" s="225">
        <f>IF(NOT(ISNA($N228)),INDEX(Entrada!$C$53:$N$372,$N228,Y$2),0)</f>
        <v>76</v>
      </c>
      <c r="Z228" s="225">
        <f>IF(NOT(ISNA($N228)),INDEX(Entrada!$C$53:$N$372,$N228,Z$2),0)</f>
        <v>212</v>
      </c>
      <c r="AA228" s="113">
        <f t="shared" si="72"/>
        <v>0</v>
      </c>
      <c r="AB228">
        <f t="shared" si="73"/>
        <v>0</v>
      </c>
      <c r="AC228">
        <f t="shared" si="74"/>
        <v>0</v>
      </c>
      <c r="AD228">
        <f t="shared" si="75"/>
        <v>0</v>
      </c>
      <c r="AE228">
        <f t="shared" si="76"/>
        <v>0</v>
      </c>
      <c r="AF228">
        <f t="shared" si="77"/>
        <v>0</v>
      </c>
      <c r="AG228">
        <f t="shared" si="78"/>
        <v>0</v>
      </c>
      <c r="AH228">
        <f t="shared" si="79"/>
        <v>0</v>
      </c>
      <c r="AI228">
        <f t="shared" si="80"/>
        <v>0</v>
      </c>
      <c r="AJ228">
        <f t="shared" si="81"/>
        <v>0</v>
      </c>
      <c r="AK228">
        <f t="shared" si="82"/>
        <v>0</v>
      </c>
      <c r="AL228">
        <f t="shared" si="83"/>
        <v>0</v>
      </c>
      <c r="AM228" s="113">
        <f t="shared" si="84"/>
        <v>379</v>
      </c>
      <c r="AN228">
        <f t="shared" si="85"/>
        <v>470</v>
      </c>
      <c r="AO228">
        <f t="shared" si="86"/>
        <v>506</v>
      </c>
      <c r="AP228">
        <f t="shared" si="87"/>
        <v>370</v>
      </c>
      <c r="AQ228">
        <f t="shared" si="88"/>
        <v>183</v>
      </c>
      <c r="AR228">
        <f t="shared" si="89"/>
        <v>72</v>
      </c>
      <c r="AS228">
        <f t="shared" si="90"/>
        <v>39</v>
      </c>
      <c r="AT228">
        <f t="shared" si="91"/>
        <v>25</v>
      </c>
      <c r="AU228">
        <f t="shared" si="92"/>
        <v>20</v>
      </c>
      <c r="AV228">
        <f t="shared" si="93"/>
        <v>31</v>
      </c>
      <c r="AW228">
        <f t="shared" si="94"/>
        <v>76</v>
      </c>
      <c r="AX228">
        <f t="shared" si="95"/>
        <v>212</v>
      </c>
    </row>
    <row r="229" spans="1:50" x14ac:dyDescent="0.25">
      <c r="A229" s="113">
        <v>226</v>
      </c>
      <c r="B229" s="209"/>
      <c r="C229" s="113">
        <v>0</v>
      </c>
      <c r="D229" s="113">
        <v>0</v>
      </c>
      <c r="E229" s="113" t="s">
        <v>688</v>
      </c>
      <c r="F229" s="113" t="s">
        <v>688</v>
      </c>
      <c r="G229" s="113"/>
      <c r="H229" s="113"/>
      <c r="I229" s="113"/>
      <c r="J229" s="113"/>
      <c r="K229" s="113"/>
      <c r="N229" s="113" t="e">
        <f>MATCH(A229,Entrada!$A$53:$A$372,0)</f>
        <v>#N/A</v>
      </c>
      <c r="O229">
        <f>IF(NOT(ISNA($N229)),INDEX(Entrada!$C$53:$N$372,$N229,O$2),0)</f>
        <v>0</v>
      </c>
      <c r="P229">
        <f>IF(NOT(ISNA($N229)),INDEX(Entrada!$C$53:$N$372,$N229,P$2),0)</f>
        <v>0</v>
      </c>
      <c r="Q229">
        <f>IF(NOT(ISNA($N229)),INDEX(Entrada!$C$53:$N$372,$N229,Q$2),0)</f>
        <v>0</v>
      </c>
      <c r="R229">
        <f>IF(NOT(ISNA($N229)),INDEX(Entrada!$C$53:$N$372,$N229,R$2),0)</f>
        <v>0</v>
      </c>
      <c r="S229">
        <f>IF(NOT(ISNA($N229)),INDEX(Entrada!$C$53:$N$372,$N229,S$2),0)</f>
        <v>0</v>
      </c>
      <c r="T229">
        <f>IF(NOT(ISNA($N229)),INDEX(Entrada!$C$53:$N$372,$N229,T$2),0)</f>
        <v>0</v>
      </c>
      <c r="U229">
        <f>IF(NOT(ISNA($N229)),INDEX(Entrada!$C$53:$N$372,$N229,U$2),0)</f>
        <v>0</v>
      </c>
      <c r="V229" s="225">
        <f>IF(NOT(ISNA($N229)),INDEX(Entrada!$C$53:$N$372,$N229,V$2),0)</f>
        <v>0</v>
      </c>
      <c r="W229" s="225">
        <f>IF(NOT(ISNA($N229)),INDEX(Entrada!$C$53:$N$372,$N229,W$2),0)</f>
        <v>0</v>
      </c>
      <c r="X229" s="225">
        <f>IF(NOT(ISNA($N229)),INDEX(Entrada!$C$53:$N$372,$N229,X$2),0)</f>
        <v>0</v>
      </c>
      <c r="Y229" s="225">
        <f>IF(NOT(ISNA($N229)),INDEX(Entrada!$C$53:$N$372,$N229,Y$2),0)</f>
        <v>0</v>
      </c>
      <c r="Z229" s="225">
        <f>IF(NOT(ISNA($N229)),INDEX(Entrada!$C$53:$N$372,$N229,Z$2),0)</f>
        <v>0</v>
      </c>
      <c r="AA229" s="113">
        <f t="shared" si="72"/>
        <v>0</v>
      </c>
      <c r="AB229">
        <f t="shared" si="73"/>
        <v>0</v>
      </c>
      <c r="AC229">
        <f t="shared" si="74"/>
        <v>0</v>
      </c>
      <c r="AD229">
        <f t="shared" si="75"/>
        <v>0</v>
      </c>
      <c r="AE229">
        <f t="shared" si="76"/>
        <v>0</v>
      </c>
      <c r="AF229">
        <f t="shared" si="77"/>
        <v>0</v>
      </c>
      <c r="AG229">
        <f t="shared" si="78"/>
        <v>0</v>
      </c>
      <c r="AH229">
        <f t="shared" si="79"/>
        <v>0</v>
      </c>
      <c r="AI229">
        <f t="shared" si="80"/>
        <v>0</v>
      </c>
      <c r="AJ229">
        <f t="shared" si="81"/>
        <v>0</v>
      </c>
      <c r="AK229">
        <f t="shared" si="82"/>
        <v>0</v>
      </c>
      <c r="AL229">
        <f t="shared" si="83"/>
        <v>0</v>
      </c>
      <c r="AM229" s="113">
        <f t="shared" si="84"/>
        <v>0</v>
      </c>
      <c r="AN229">
        <f t="shared" si="85"/>
        <v>0</v>
      </c>
      <c r="AO229">
        <f t="shared" si="86"/>
        <v>0</v>
      </c>
      <c r="AP229">
        <f t="shared" si="87"/>
        <v>0</v>
      </c>
      <c r="AQ229">
        <f t="shared" si="88"/>
        <v>0</v>
      </c>
      <c r="AR229">
        <f t="shared" si="89"/>
        <v>0</v>
      </c>
      <c r="AS229">
        <f t="shared" si="90"/>
        <v>0</v>
      </c>
      <c r="AT229">
        <f t="shared" si="91"/>
        <v>0</v>
      </c>
      <c r="AU229">
        <f t="shared" si="92"/>
        <v>0</v>
      </c>
      <c r="AV229">
        <f t="shared" si="93"/>
        <v>0</v>
      </c>
      <c r="AW229">
        <f t="shared" si="94"/>
        <v>0</v>
      </c>
      <c r="AX229">
        <f t="shared" si="95"/>
        <v>0</v>
      </c>
    </row>
    <row r="230" spans="1:50" x14ac:dyDescent="0.25">
      <c r="A230" s="113">
        <v>227</v>
      </c>
      <c r="B230" s="209" t="s">
        <v>640</v>
      </c>
      <c r="C230" s="113">
        <v>1931</v>
      </c>
      <c r="D230" s="113">
        <v>2013</v>
      </c>
      <c r="E230" s="212" t="s">
        <v>29</v>
      </c>
      <c r="F230" s="213" t="s">
        <v>400</v>
      </c>
      <c r="G230" s="113"/>
      <c r="H230" s="113"/>
      <c r="I230" s="113"/>
      <c r="J230" s="113"/>
      <c r="K230" s="113"/>
      <c r="N230" s="113">
        <f>MATCH(A230,Entrada!$A$53:$A$372,0)</f>
        <v>139</v>
      </c>
      <c r="O230">
        <f>IF(NOT(ISNA($N230)),INDEX(Entrada!$C$53:$N$372,$N230,O$2),0)</f>
        <v>1456</v>
      </c>
      <c r="P230">
        <f>IF(NOT(ISNA($N230)),INDEX(Entrada!$C$53:$N$372,$N230,P$2),0)</f>
        <v>1620</v>
      </c>
      <c r="Q230">
        <f>IF(NOT(ISNA($N230)),INDEX(Entrada!$C$53:$N$372,$N230,Q$2),0)</f>
        <v>1615</v>
      </c>
      <c r="R230">
        <f>IF(NOT(ISNA($N230)),INDEX(Entrada!$C$53:$N$372,$N230,R$2),0)</f>
        <v>1285</v>
      </c>
      <c r="S230">
        <f>IF(NOT(ISNA($N230)),INDEX(Entrada!$C$53:$N$372,$N230,S$2),0)</f>
        <v>883</v>
      </c>
      <c r="T230">
        <f>IF(NOT(ISNA($N230)),INDEX(Entrada!$C$53:$N$372,$N230,T$2),0)</f>
        <v>661</v>
      </c>
      <c r="U230">
        <f>IF(NOT(ISNA($N230)),INDEX(Entrada!$C$53:$N$372,$N230,U$2),0)</f>
        <v>528</v>
      </c>
      <c r="V230" s="225">
        <f>IF(NOT(ISNA($N230)),INDEX(Entrada!$C$53:$N$372,$N230,V$2),0)</f>
        <v>449</v>
      </c>
      <c r="W230" s="225">
        <f>IF(NOT(ISNA($N230)),INDEX(Entrada!$C$53:$N$372,$N230,W$2),0)</f>
        <v>412</v>
      </c>
      <c r="X230" s="225">
        <f>IF(NOT(ISNA($N230)),INDEX(Entrada!$C$53:$N$372,$N230,X$2),0)</f>
        <v>481</v>
      </c>
      <c r="Y230" s="225">
        <f>IF(NOT(ISNA($N230)),INDEX(Entrada!$C$53:$N$372,$N230,Y$2),0)</f>
        <v>708</v>
      </c>
      <c r="Z230" s="225">
        <f>IF(NOT(ISNA($N230)),INDEX(Entrada!$C$53:$N$372,$N230,Z$2),0)</f>
        <v>1096</v>
      </c>
      <c r="AA230" s="113">
        <f t="shared" si="72"/>
        <v>0</v>
      </c>
      <c r="AB230">
        <f t="shared" si="73"/>
        <v>0</v>
      </c>
      <c r="AC230">
        <f t="shared" si="74"/>
        <v>0</v>
      </c>
      <c r="AD230">
        <f t="shared" si="75"/>
        <v>0</v>
      </c>
      <c r="AE230">
        <f t="shared" si="76"/>
        <v>0</v>
      </c>
      <c r="AF230">
        <f t="shared" si="77"/>
        <v>0</v>
      </c>
      <c r="AG230">
        <f t="shared" si="78"/>
        <v>0</v>
      </c>
      <c r="AH230">
        <f t="shared" si="79"/>
        <v>0</v>
      </c>
      <c r="AI230">
        <f t="shared" si="80"/>
        <v>0</v>
      </c>
      <c r="AJ230">
        <f t="shared" si="81"/>
        <v>0</v>
      </c>
      <c r="AK230">
        <f t="shared" si="82"/>
        <v>0</v>
      </c>
      <c r="AL230">
        <f t="shared" si="83"/>
        <v>0</v>
      </c>
      <c r="AM230" s="113">
        <f t="shared" si="84"/>
        <v>1456</v>
      </c>
      <c r="AN230">
        <f t="shared" si="85"/>
        <v>1620</v>
      </c>
      <c r="AO230">
        <f t="shared" si="86"/>
        <v>1615</v>
      </c>
      <c r="AP230">
        <f t="shared" si="87"/>
        <v>1285</v>
      </c>
      <c r="AQ230">
        <f t="shared" si="88"/>
        <v>883</v>
      </c>
      <c r="AR230">
        <f t="shared" si="89"/>
        <v>661</v>
      </c>
      <c r="AS230">
        <f t="shared" si="90"/>
        <v>528</v>
      </c>
      <c r="AT230">
        <f t="shared" si="91"/>
        <v>449</v>
      </c>
      <c r="AU230">
        <f t="shared" si="92"/>
        <v>412</v>
      </c>
      <c r="AV230">
        <f t="shared" si="93"/>
        <v>481</v>
      </c>
      <c r="AW230">
        <f t="shared" si="94"/>
        <v>708</v>
      </c>
      <c r="AX230">
        <f t="shared" si="95"/>
        <v>1096</v>
      </c>
    </row>
    <row r="231" spans="1:50" x14ac:dyDescent="0.25">
      <c r="A231" s="113">
        <v>228</v>
      </c>
      <c r="B231" s="209" t="s">
        <v>641</v>
      </c>
      <c r="C231" s="113">
        <v>1931</v>
      </c>
      <c r="D231" s="113">
        <v>2013</v>
      </c>
      <c r="E231" s="212" t="s">
        <v>29</v>
      </c>
      <c r="F231" s="213" t="s">
        <v>400</v>
      </c>
      <c r="G231" s="113"/>
      <c r="H231" s="113"/>
      <c r="I231" s="113"/>
      <c r="J231" s="113"/>
      <c r="K231" s="113"/>
      <c r="N231" s="113">
        <f>MATCH(A231,Entrada!$A$53:$A$372,0)</f>
        <v>140</v>
      </c>
      <c r="O231">
        <f>IF(NOT(ISNA($N231)),INDEX(Entrada!$C$53:$N$372,$N231,O$2),0)</f>
        <v>1590</v>
      </c>
      <c r="P231">
        <f>IF(NOT(ISNA($N231)),INDEX(Entrada!$C$53:$N$372,$N231,P$2),0)</f>
        <v>1771</v>
      </c>
      <c r="Q231">
        <f>IF(NOT(ISNA($N231)),INDEX(Entrada!$C$53:$N$372,$N231,Q$2),0)</f>
        <v>1763</v>
      </c>
      <c r="R231">
        <f>IF(NOT(ISNA($N231)),INDEX(Entrada!$C$53:$N$372,$N231,R$2),0)</f>
        <v>1403</v>
      </c>
      <c r="S231">
        <f>IF(NOT(ISNA($N231)),INDEX(Entrada!$C$53:$N$372,$N231,S$2),0)</f>
        <v>965</v>
      </c>
      <c r="T231">
        <f>IF(NOT(ISNA($N231)),INDEX(Entrada!$C$53:$N$372,$N231,T$2),0)</f>
        <v>722</v>
      </c>
      <c r="U231">
        <f>IF(NOT(ISNA($N231)),INDEX(Entrada!$C$53:$N$372,$N231,U$2),0)</f>
        <v>577</v>
      </c>
      <c r="V231" s="225">
        <f>IF(NOT(ISNA($N231)),INDEX(Entrada!$C$53:$N$372,$N231,V$2),0)</f>
        <v>490</v>
      </c>
      <c r="W231" s="225">
        <f>IF(NOT(ISNA($N231)),INDEX(Entrada!$C$53:$N$372,$N231,W$2),0)</f>
        <v>451</v>
      </c>
      <c r="X231" s="225">
        <f>IF(NOT(ISNA($N231)),INDEX(Entrada!$C$53:$N$372,$N231,X$2),0)</f>
        <v>527</v>
      </c>
      <c r="Y231" s="225">
        <f>IF(NOT(ISNA($N231)),INDEX(Entrada!$C$53:$N$372,$N231,Y$2),0)</f>
        <v>773</v>
      </c>
      <c r="Z231" s="225">
        <f>IF(NOT(ISNA($N231)),INDEX(Entrada!$C$53:$N$372,$N231,Z$2),0)</f>
        <v>1197</v>
      </c>
      <c r="AA231" s="113">
        <f t="shared" si="72"/>
        <v>0</v>
      </c>
      <c r="AB231">
        <f t="shared" si="73"/>
        <v>0</v>
      </c>
      <c r="AC231">
        <f t="shared" si="74"/>
        <v>0</v>
      </c>
      <c r="AD231">
        <f t="shared" si="75"/>
        <v>0</v>
      </c>
      <c r="AE231">
        <f t="shared" si="76"/>
        <v>0</v>
      </c>
      <c r="AF231">
        <f t="shared" si="77"/>
        <v>0</v>
      </c>
      <c r="AG231">
        <f t="shared" si="78"/>
        <v>0</v>
      </c>
      <c r="AH231">
        <f t="shared" si="79"/>
        <v>0</v>
      </c>
      <c r="AI231">
        <f t="shared" si="80"/>
        <v>0</v>
      </c>
      <c r="AJ231">
        <f t="shared" si="81"/>
        <v>0</v>
      </c>
      <c r="AK231">
        <f t="shared" si="82"/>
        <v>0</v>
      </c>
      <c r="AL231">
        <f t="shared" si="83"/>
        <v>0</v>
      </c>
      <c r="AM231" s="113">
        <f t="shared" si="84"/>
        <v>1590</v>
      </c>
      <c r="AN231">
        <f t="shared" si="85"/>
        <v>1771</v>
      </c>
      <c r="AO231">
        <f t="shared" si="86"/>
        <v>1763</v>
      </c>
      <c r="AP231">
        <f t="shared" si="87"/>
        <v>1403</v>
      </c>
      <c r="AQ231">
        <f t="shared" si="88"/>
        <v>965</v>
      </c>
      <c r="AR231">
        <f t="shared" si="89"/>
        <v>722</v>
      </c>
      <c r="AS231">
        <f t="shared" si="90"/>
        <v>577</v>
      </c>
      <c r="AT231">
        <f t="shared" si="91"/>
        <v>490</v>
      </c>
      <c r="AU231">
        <f t="shared" si="92"/>
        <v>451</v>
      </c>
      <c r="AV231">
        <f t="shared" si="93"/>
        <v>527</v>
      </c>
      <c r="AW231">
        <f t="shared" si="94"/>
        <v>773</v>
      </c>
      <c r="AX231">
        <f t="shared" si="95"/>
        <v>1197</v>
      </c>
    </row>
    <row r="232" spans="1:50" x14ac:dyDescent="0.25">
      <c r="A232" s="113">
        <v>229</v>
      </c>
      <c r="B232" s="209" t="s">
        <v>642</v>
      </c>
      <c r="C232" s="113">
        <v>1931</v>
      </c>
      <c r="D232" s="113">
        <v>2013</v>
      </c>
      <c r="E232" s="210" t="s">
        <v>29</v>
      </c>
      <c r="F232" s="210" t="s">
        <v>400</v>
      </c>
      <c r="G232" s="113"/>
      <c r="H232" s="113"/>
      <c r="I232" s="113"/>
      <c r="J232" s="113"/>
      <c r="K232" s="113"/>
      <c r="N232" s="113">
        <f>MATCH(A232,Entrada!$A$53:$A$372,0)</f>
        <v>141</v>
      </c>
      <c r="O232">
        <f>IF(NOT(ISNA($N232)),INDEX(Entrada!$C$53:$N$372,$N232,O$2),0)</f>
        <v>3700</v>
      </c>
      <c r="P232">
        <f>IF(NOT(ISNA($N232)),INDEX(Entrada!$C$53:$N$372,$N232,P$2),0)</f>
        <v>4305</v>
      </c>
      <c r="Q232">
        <f>IF(NOT(ISNA($N232)),INDEX(Entrada!$C$53:$N$372,$N232,Q$2),0)</f>
        <v>4469</v>
      </c>
      <c r="R232">
        <f>IF(NOT(ISNA($N232)),INDEX(Entrada!$C$53:$N$372,$N232,R$2),0)</f>
        <v>3568</v>
      </c>
      <c r="S232">
        <f>IF(NOT(ISNA($N232)),INDEX(Entrada!$C$53:$N$372,$N232,S$2),0)</f>
        <v>2289</v>
      </c>
      <c r="T232">
        <f>IF(NOT(ISNA($N232)),INDEX(Entrada!$C$53:$N$372,$N232,T$2),0)</f>
        <v>1476</v>
      </c>
      <c r="U232">
        <f>IF(NOT(ISNA($N232)),INDEX(Entrada!$C$53:$N$372,$N232,U$2),0)</f>
        <v>1050</v>
      </c>
      <c r="V232" s="225">
        <f>IF(NOT(ISNA($N232)),INDEX(Entrada!$C$53:$N$372,$N232,V$2),0)</f>
        <v>810</v>
      </c>
      <c r="W232" s="225">
        <f>IF(NOT(ISNA($N232)),INDEX(Entrada!$C$53:$N$372,$N232,W$2),0)</f>
        <v>704</v>
      </c>
      <c r="X232" s="225">
        <f>IF(NOT(ISNA($N232)),INDEX(Entrada!$C$53:$N$372,$N232,X$2),0)</f>
        <v>889</v>
      </c>
      <c r="Y232" s="225">
        <f>IF(NOT(ISNA($N232)),INDEX(Entrada!$C$53:$N$372,$N232,Y$2),0)</f>
        <v>1491</v>
      </c>
      <c r="Z232" s="225">
        <f>IF(NOT(ISNA($N232)),INDEX(Entrada!$C$53:$N$372,$N232,Z$2),0)</f>
        <v>2585</v>
      </c>
      <c r="AA232" s="113">
        <f t="shared" si="72"/>
        <v>0</v>
      </c>
      <c r="AB232">
        <f t="shared" si="73"/>
        <v>0</v>
      </c>
      <c r="AC232">
        <f t="shared" si="74"/>
        <v>0</v>
      </c>
      <c r="AD232">
        <f t="shared" si="75"/>
        <v>0</v>
      </c>
      <c r="AE232">
        <f t="shared" si="76"/>
        <v>0</v>
      </c>
      <c r="AF232">
        <f t="shared" si="77"/>
        <v>0</v>
      </c>
      <c r="AG232">
        <f t="shared" si="78"/>
        <v>0</v>
      </c>
      <c r="AH232">
        <f t="shared" si="79"/>
        <v>0</v>
      </c>
      <c r="AI232">
        <f t="shared" si="80"/>
        <v>0</v>
      </c>
      <c r="AJ232">
        <f t="shared" si="81"/>
        <v>0</v>
      </c>
      <c r="AK232">
        <f t="shared" si="82"/>
        <v>0</v>
      </c>
      <c r="AL232">
        <f t="shared" si="83"/>
        <v>0</v>
      </c>
      <c r="AM232" s="113">
        <f t="shared" si="84"/>
        <v>3700</v>
      </c>
      <c r="AN232">
        <f t="shared" si="85"/>
        <v>4305</v>
      </c>
      <c r="AO232">
        <f t="shared" si="86"/>
        <v>4469</v>
      </c>
      <c r="AP232">
        <f t="shared" si="87"/>
        <v>3568</v>
      </c>
      <c r="AQ232">
        <f t="shared" si="88"/>
        <v>2289</v>
      </c>
      <c r="AR232">
        <f t="shared" si="89"/>
        <v>1476</v>
      </c>
      <c r="AS232">
        <f t="shared" si="90"/>
        <v>1050</v>
      </c>
      <c r="AT232">
        <f t="shared" si="91"/>
        <v>810</v>
      </c>
      <c r="AU232">
        <f t="shared" si="92"/>
        <v>704</v>
      </c>
      <c r="AV232">
        <f t="shared" si="93"/>
        <v>889</v>
      </c>
      <c r="AW232">
        <f t="shared" si="94"/>
        <v>1491</v>
      </c>
      <c r="AX232">
        <f t="shared" si="95"/>
        <v>2585</v>
      </c>
    </row>
    <row r="233" spans="1:50" x14ac:dyDescent="0.25">
      <c r="A233" s="113">
        <v>230</v>
      </c>
      <c r="B233" s="209" t="s">
        <v>643</v>
      </c>
      <c r="C233" s="113">
        <v>1931</v>
      </c>
      <c r="D233" s="113">
        <v>2013</v>
      </c>
      <c r="E233" s="212" t="s">
        <v>29</v>
      </c>
      <c r="F233" s="213" t="s">
        <v>400</v>
      </c>
      <c r="G233" s="113"/>
      <c r="H233" s="113"/>
      <c r="I233" s="113"/>
      <c r="J233" s="113"/>
      <c r="K233" s="113"/>
      <c r="N233" s="113">
        <f>MATCH(A233,Entrada!$A$53:$A$372,0)</f>
        <v>142</v>
      </c>
      <c r="O233">
        <f>IF(NOT(ISNA($N233)),INDEX(Entrada!$C$53:$N$372,$N233,O$2),0)</f>
        <v>3728</v>
      </c>
      <c r="P233">
        <f>IF(NOT(ISNA($N233)),INDEX(Entrada!$C$53:$N$372,$N233,P$2),0)</f>
        <v>4324</v>
      </c>
      <c r="Q233">
        <f>IF(NOT(ISNA($N233)),INDEX(Entrada!$C$53:$N$372,$N233,Q$2),0)</f>
        <v>4500</v>
      </c>
      <c r="R233">
        <f>IF(NOT(ISNA($N233)),INDEX(Entrada!$C$53:$N$372,$N233,R$2),0)</f>
        <v>3582</v>
      </c>
      <c r="S233">
        <f>IF(NOT(ISNA($N233)),INDEX(Entrada!$C$53:$N$372,$N233,S$2),0)</f>
        <v>2297</v>
      </c>
      <c r="T233">
        <f>IF(NOT(ISNA($N233)),INDEX(Entrada!$C$53:$N$372,$N233,T$2),0)</f>
        <v>1482</v>
      </c>
      <c r="U233">
        <f>IF(NOT(ISNA($N233)),INDEX(Entrada!$C$53:$N$372,$N233,U$2),0)</f>
        <v>1057</v>
      </c>
      <c r="V233" s="225">
        <f>IF(NOT(ISNA($N233)),INDEX(Entrada!$C$53:$N$372,$N233,V$2),0)</f>
        <v>816</v>
      </c>
      <c r="W233" s="225">
        <f>IF(NOT(ISNA($N233)),INDEX(Entrada!$C$53:$N$372,$N233,W$2),0)</f>
        <v>709</v>
      </c>
      <c r="X233" s="225">
        <f>IF(NOT(ISNA($N233)),INDEX(Entrada!$C$53:$N$372,$N233,X$2),0)</f>
        <v>895</v>
      </c>
      <c r="Y233" s="225">
        <f>IF(NOT(ISNA($N233)),INDEX(Entrada!$C$53:$N$372,$N233,Y$2),0)</f>
        <v>1495</v>
      </c>
      <c r="Z233" s="225">
        <f>IF(NOT(ISNA($N233)),INDEX(Entrada!$C$53:$N$372,$N233,Z$2),0)</f>
        <v>2602</v>
      </c>
      <c r="AA233" s="113">
        <f t="shared" si="72"/>
        <v>0</v>
      </c>
      <c r="AB233">
        <f t="shared" si="73"/>
        <v>0</v>
      </c>
      <c r="AC233">
        <f t="shared" si="74"/>
        <v>0</v>
      </c>
      <c r="AD233">
        <f t="shared" si="75"/>
        <v>0</v>
      </c>
      <c r="AE233">
        <f t="shared" si="76"/>
        <v>0</v>
      </c>
      <c r="AF233">
        <f t="shared" si="77"/>
        <v>0</v>
      </c>
      <c r="AG233">
        <f t="shared" si="78"/>
        <v>0</v>
      </c>
      <c r="AH233">
        <f t="shared" si="79"/>
        <v>0</v>
      </c>
      <c r="AI233">
        <f t="shared" si="80"/>
        <v>0</v>
      </c>
      <c r="AJ233">
        <f t="shared" si="81"/>
        <v>0</v>
      </c>
      <c r="AK233">
        <f t="shared" si="82"/>
        <v>0</v>
      </c>
      <c r="AL233">
        <f t="shared" si="83"/>
        <v>0</v>
      </c>
      <c r="AM233" s="113">
        <f t="shared" si="84"/>
        <v>3728</v>
      </c>
      <c r="AN233">
        <f t="shared" si="85"/>
        <v>4324</v>
      </c>
      <c r="AO233">
        <f t="shared" si="86"/>
        <v>4500</v>
      </c>
      <c r="AP233">
        <f t="shared" si="87"/>
        <v>3582</v>
      </c>
      <c r="AQ233">
        <f t="shared" si="88"/>
        <v>2297</v>
      </c>
      <c r="AR233">
        <f t="shared" si="89"/>
        <v>1482</v>
      </c>
      <c r="AS233">
        <f t="shared" si="90"/>
        <v>1057</v>
      </c>
      <c r="AT233">
        <f t="shared" si="91"/>
        <v>816</v>
      </c>
      <c r="AU233">
        <f t="shared" si="92"/>
        <v>709</v>
      </c>
      <c r="AV233">
        <f t="shared" si="93"/>
        <v>895</v>
      </c>
      <c r="AW233">
        <f t="shared" si="94"/>
        <v>1495</v>
      </c>
      <c r="AX233">
        <f t="shared" si="95"/>
        <v>2602</v>
      </c>
    </row>
    <row r="234" spans="1:50" x14ac:dyDescent="0.25">
      <c r="A234" s="113">
        <v>231</v>
      </c>
      <c r="B234" s="209"/>
      <c r="C234" s="113">
        <v>0</v>
      </c>
      <c r="D234" s="113">
        <v>0</v>
      </c>
      <c r="E234" s="113" t="s">
        <v>688</v>
      </c>
      <c r="F234" s="113" t="s">
        <v>688</v>
      </c>
      <c r="G234" s="113"/>
      <c r="H234" s="113"/>
      <c r="I234" s="113"/>
      <c r="J234" s="113"/>
      <c r="K234" s="113"/>
      <c r="N234" s="113" t="e">
        <f>MATCH(A234,Entrada!$A$53:$A$372,0)</f>
        <v>#N/A</v>
      </c>
      <c r="O234">
        <f>IF(NOT(ISNA($N234)),INDEX(Entrada!$C$53:$N$372,$N234,O$2),0)</f>
        <v>0</v>
      </c>
      <c r="P234">
        <f>IF(NOT(ISNA($N234)),INDEX(Entrada!$C$53:$N$372,$N234,P$2),0)</f>
        <v>0</v>
      </c>
      <c r="Q234">
        <f>IF(NOT(ISNA($N234)),INDEX(Entrada!$C$53:$N$372,$N234,Q$2),0)</f>
        <v>0</v>
      </c>
      <c r="R234">
        <f>IF(NOT(ISNA($N234)),INDEX(Entrada!$C$53:$N$372,$N234,R$2),0)</f>
        <v>0</v>
      </c>
      <c r="S234">
        <f>IF(NOT(ISNA($N234)),INDEX(Entrada!$C$53:$N$372,$N234,S$2),0)</f>
        <v>0</v>
      </c>
      <c r="T234">
        <f>IF(NOT(ISNA($N234)),INDEX(Entrada!$C$53:$N$372,$N234,T$2),0)</f>
        <v>0</v>
      </c>
      <c r="U234">
        <f>IF(NOT(ISNA($N234)),INDEX(Entrada!$C$53:$N$372,$N234,U$2),0)</f>
        <v>0</v>
      </c>
      <c r="V234" s="225">
        <f>IF(NOT(ISNA($N234)),INDEX(Entrada!$C$53:$N$372,$N234,V$2),0)</f>
        <v>0</v>
      </c>
      <c r="W234" s="225">
        <f>IF(NOT(ISNA($N234)),INDEX(Entrada!$C$53:$N$372,$N234,W$2),0)</f>
        <v>0</v>
      </c>
      <c r="X234" s="225">
        <f>IF(NOT(ISNA($N234)),INDEX(Entrada!$C$53:$N$372,$N234,X$2),0)</f>
        <v>0</v>
      </c>
      <c r="Y234" s="225">
        <f>IF(NOT(ISNA($N234)),INDEX(Entrada!$C$53:$N$372,$N234,Y$2),0)</f>
        <v>0</v>
      </c>
      <c r="Z234" s="225">
        <f>IF(NOT(ISNA($N234)),INDEX(Entrada!$C$53:$N$372,$N234,Z$2),0)</f>
        <v>0</v>
      </c>
      <c r="AA234" s="113">
        <f t="shared" si="72"/>
        <v>0</v>
      </c>
      <c r="AB234">
        <f t="shared" si="73"/>
        <v>0</v>
      </c>
      <c r="AC234">
        <f t="shared" si="74"/>
        <v>0</v>
      </c>
      <c r="AD234">
        <f t="shared" si="75"/>
        <v>0</v>
      </c>
      <c r="AE234">
        <f t="shared" si="76"/>
        <v>0</v>
      </c>
      <c r="AF234">
        <f t="shared" si="77"/>
        <v>0</v>
      </c>
      <c r="AG234">
        <f t="shared" si="78"/>
        <v>0</v>
      </c>
      <c r="AH234">
        <f t="shared" si="79"/>
        <v>0</v>
      </c>
      <c r="AI234">
        <f t="shared" si="80"/>
        <v>0</v>
      </c>
      <c r="AJ234">
        <f t="shared" si="81"/>
        <v>0</v>
      </c>
      <c r="AK234">
        <f t="shared" si="82"/>
        <v>0</v>
      </c>
      <c r="AL234">
        <f t="shared" si="83"/>
        <v>0</v>
      </c>
      <c r="AM234" s="113">
        <f t="shared" si="84"/>
        <v>0</v>
      </c>
      <c r="AN234">
        <f t="shared" si="85"/>
        <v>0</v>
      </c>
      <c r="AO234">
        <f t="shared" si="86"/>
        <v>0</v>
      </c>
      <c r="AP234">
        <f t="shared" si="87"/>
        <v>0</v>
      </c>
      <c r="AQ234">
        <f t="shared" si="88"/>
        <v>0</v>
      </c>
      <c r="AR234">
        <f t="shared" si="89"/>
        <v>0</v>
      </c>
      <c r="AS234">
        <f t="shared" si="90"/>
        <v>0</v>
      </c>
      <c r="AT234">
        <f t="shared" si="91"/>
        <v>0</v>
      </c>
      <c r="AU234">
        <f t="shared" si="92"/>
        <v>0</v>
      </c>
      <c r="AV234">
        <f t="shared" si="93"/>
        <v>0</v>
      </c>
      <c r="AW234">
        <f t="shared" si="94"/>
        <v>0</v>
      </c>
      <c r="AX234">
        <f t="shared" si="95"/>
        <v>0</v>
      </c>
    </row>
    <row r="235" spans="1:50" x14ac:dyDescent="0.25">
      <c r="A235" s="113">
        <v>232</v>
      </c>
      <c r="B235" s="209"/>
      <c r="C235" s="113">
        <v>0</v>
      </c>
      <c r="D235" s="113">
        <v>0</v>
      </c>
      <c r="E235" s="113" t="s">
        <v>688</v>
      </c>
      <c r="F235" s="113" t="s">
        <v>688</v>
      </c>
      <c r="G235" s="113"/>
      <c r="H235" s="113"/>
      <c r="I235" s="113"/>
      <c r="J235" s="113"/>
      <c r="K235" s="113"/>
      <c r="N235" s="113" t="e">
        <f>MATCH(A235,Entrada!$A$53:$A$372,0)</f>
        <v>#N/A</v>
      </c>
      <c r="O235">
        <f>IF(NOT(ISNA($N235)),INDEX(Entrada!$C$53:$N$372,$N235,O$2),0)</f>
        <v>0</v>
      </c>
      <c r="P235">
        <f>IF(NOT(ISNA($N235)),INDEX(Entrada!$C$53:$N$372,$N235,P$2),0)</f>
        <v>0</v>
      </c>
      <c r="Q235">
        <f>IF(NOT(ISNA($N235)),INDEX(Entrada!$C$53:$N$372,$N235,Q$2),0)</f>
        <v>0</v>
      </c>
      <c r="R235">
        <f>IF(NOT(ISNA($N235)),INDEX(Entrada!$C$53:$N$372,$N235,R$2),0)</f>
        <v>0</v>
      </c>
      <c r="S235">
        <f>IF(NOT(ISNA($N235)),INDEX(Entrada!$C$53:$N$372,$N235,S$2),0)</f>
        <v>0</v>
      </c>
      <c r="T235">
        <f>IF(NOT(ISNA($N235)),INDEX(Entrada!$C$53:$N$372,$N235,T$2),0)</f>
        <v>0</v>
      </c>
      <c r="U235">
        <f>IF(NOT(ISNA($N235)),INDEX(Entrada!$C$53:$N$372,$N235,U$2),0)</f>
        <v>0</v>
      </c>
      <c r="V235" s="225">
        <f>IF(NOT(ISNA($N235)),INDEX(Entrada!$C$53:$N$372,$N235,V$2),0)</f>
        <v>0</v>
      </c>
      <c r="W235" s="225">
        <f>IF(NOT(ISNA($N235)),INDEX(Entrada!$C$53:$N$372,$N235,W$2),0)</f>
        <v>0</v>
      </c>
      <c r="X235" s="225">
        <f>IF(NOT(ISNA($N235)),INDEX(Entrada!$C$53:$N$372,$N235,X$2),0)</f>
        <v>0</v>
      </c>
      <c r="Y235" s="225">
        <f>IF(NOT(ISNA($N235)),INDEX(Entrada!$C$53:$N$372,$N235,Y$2),0)</f>
        <v>0</v>
      </c>
      <c r="Z235" s="225">
        <f>IF(NOT(ISNA($N235)),INDEX(Entrada!$C$53:$N$372,$N235,Z$2),0)</f>
        <v>0</v>
      </c>
      <c r="AA235" s="113">
        <f t="shared" si="72"/>
        <v>0</v>
      </c>
      <c r="AB235">
        <f t="shared" si="73"/>
        <v>0</v>
      </c>
      <c r="AC235">
        <f t="shared" si="74"/>
        <v>0</v>
      </c>
      <c r="AD235">
        <f t="shared" si="75"/>
        <v>0</v>
      </c>
      <c r="AE235">
        <f t="shared" si="76"/>
        <v>0</v>
      </c>
      <c r="AF235">
        <f t="shared" si="77"/>
        <v>0</v>
      </c>
      <c r="AG235">
        <f t="shared" si="78"/>
        <v>0</v>
      </c>
      <c r="AH235">
        <f t="shared" si="79"/>
        <v>0</v>
      </c>
      <c r="AI235">
        <f t="shared" si="80"/>
        <v>0</v>
      </c>
      <c r="AJ235">
        <f t="shared" si="81"/>
        <v>0</v>
      </c>
      <c r="AK235">
        <f t="shared" si="82"/>
        <v>0</v>
      </c>
      <c r="AL235">
        <f t="shared" si="83"/>
        <v>0</v>
      </c>
      <c r="AM235" s="113">
        <f t="shared" si="84"/>
        <v>0</v>
      </c>
      <c r="AN235">
        <f t="shared" si="85"/>
        <v>0</v>
      </c>
      <c r="AO235">
        <f t="shared" si="86"/>
        <v>0</v>
      </c>
      <c r="AP235">
        <f t="shared" si="87"/>
        <v>0</v>
      </c>
      <c r="AQ235">
        <f t="shared" si="88"/>
        <v>0</v>
      </c>
      <c r="AR235">
        <f t="shared" si="89"/>
        <v>0</v>
      </c>
      <c r="AS235">
        <f t="shared" si="90"/>
        <v>0</v>
      </c>
      <c r="AT235">
        <f t="shared" si="91"/>
        <v>0</v>
      </c>
      <c r="AU235">
        <f t="shared" si="92"/>
        <v>0</v>
      </c>
      <c r="AV235">
        <f t="shared" si="93"/>
        <v>0</v>
      </c>
      <c r="AW235">
        <f t="shared" si="94"/>
        <v>0</v>
      </c>
      <c r="AX235">
        <f t="shared" si="95"/>
        <v>0</v>
      </c>
    </row>
    <row r="236" spans="1:50" x14ac:dyDescent="0.25">
      <c r="A236" s="113">
        <v>233</v>
      </c>
      <c r="B236" s="209"/>
      <c r="C236" s="113">
        <v>0</v>
      </c>
      <c r="D236" s="113">
        <v>0</v>
      </c>
      <c r="E236" s="113" t="s">
        <v>688</v>
      </c>
      <c r="F236" s="113" t="s">
        <v>688</v>
      </c>
      <c r="G236" s="113"/>
      <c r="H236" s="113"/>
      <c r="I236" s="113"/>
      <c r="J236" s="113"/>
      <c r="K236" s="113"/>
      <c r="N236" s="113" t="e">
        <f>MATCH(A236,Entrada!$A$53:$A$372,0)</f>
        <v>#N/A</v>
      </c>
      <c r="O236">
        <f>IF(NOT(ISNA($N236)),INDEX(Entrada!$C$53:$N$372,$N236,O$2),0)</f>
        <v>0</v>
      </c>
      <c r="P236">
        <f>IF(NOT(ISNA($N236)),INDEX(Entrada!$C$53:$N$372,$N236,P$2),0)</f>
        <v>0</v>
      </c>
      <c r="Q236">
        <f>IF(NOT(ISNA($N236)),INDEX(Entrada!$C$53:$N$372,$N236,Q$2),0)</f>
        <v>0</v>
      </c>
      <c r="R236">
        <f>IF(NOT(ISNA($N236)),INDEX(Entrada!$C$53:$N$372,$N236,R$2),0)</f>
        <v>0</v>
      </c>
      <c r="S236">
        <f>IF(NOT(ISNA($N236)),INDEX(Entrada!$C$53:$N$372,$N236,S$2),0)</f>
        <v>0</v>
      </c>
      <c r="T236">
        <f>IF(NOT(ISNA($N236)),INDEX(Entrada!$C$53:$N$372,$N236,T$2),0)</f>
        <v>0</v>
      </c>
      <c r="U236">
        <f>IF(NOT(ISNA($N236)),INDEX(Entrada!$C$53:$N$372,$N236,U$2),0)</f>
        <v>0</v>
      </c>
      <c r="V236" s="225">
        <f>IF(NOT(ISNA($N236)),INDEX(Entrada!$C$53:$N$372,$N236,V$2),0)</f>
        <v>0</v>
      </c>
      <c r="W236" s="225">
        <f>IF(NOT(ISNA($N236)),INDEX(Entrada!$C$53:$N$372,$N236,W$2),0)</f>
        <v>0</v>
      </c>
      <c r="X236" s="225">
        <f>IF(NOT(ISNA($N236)),INDEX(Entrada!$C$53:$N$372,$N236,X$2),0)</f>
        <v>0</v>
      </c>
      <c r="Y236" s="225">
        <f>IF(NOT(ISNA($N236)),INDEX(Entrada!$C$53:$N$372,$N236,Y$2),0)</f>
        <v>0</v>
      </c>
      <c r="Z236" s="225">
        <f>IF(NOT(ISNA($N236)),INDEX(Entrada!$C$53:$N$372,$N236,Z$2),0)</f>
        <v>0</v>
      </c>
      <c r="AA236" s="113">
        <f t="shared" si="72"/>
        <v>0</v>
      </c>
      <c r="AB236">
        <f t="shared" si="73"/>
        <v>0</v>
      </c>
      <c r="AC236">
        <f t="shared" si="74"/>
        <v>0</v>
      </c>
      <c r="AD236">
        <f t="shared" si="75"/>
        <v>0</v>
      </c>
      <c r="AE236">
        <f t="shared" si="76"/>
        <v>0</v>
      </c>
      <c r="AF236">
        <f t="shared" si="77"/>
        <v>0</v>
      </c>
      <c r="AG236">
        <f t="shared" si="78"/>
        <v>0</v>
      </c>
      <c r="AH236">
        <f t="shared" si="79"/>
        <v>0</v>
      </c>
      <c r="AI236">
        <f t="shared" si="80"/>
        <v>0</v>
      </c>
      <c r="AJ236">
        <f t="shared" si="81"/>
        <v>0</v>
      </c>
      <c r="AK236">
        <f t="shared" si="82"/>
        <v>0</v>
      </c>
      <c r="AL236">
        <f t="shared" si="83"/>
        <v>0</v>
      </c>
      <c r="AM236" s="113">
        <f t="shared" si="84"/>
        <v>0</v>
      </c>
      <c r="AN236">
        <f t="shared" si="85"/>
        <v>0</v>
      </c>
      <c r="AO236">
        <f t="shared" si="86"/>
        <v>0</v>
      </c>
      <c r="AP236">
        <f t="shared" si="87"/>
        <v>0</v>
      </c>
      <c r="AQ236">
        <f t="shared" si="88"/>
        <v>0</v>
      </c>
      <c r="AR236">
        <f t="shared" si="89"/>
        <v>0</v>
      </c>
      <c r="AS236">
        <f t="shared" si="90"/>
        <v>0</v>
      </c>
      <c r="AT236">
        <f t="shared" si="91"/>
        <v>0</v>
      </c>
      <c r="AU236">
        <f t="shared" si="92"/>
        <v>0</v>
      </c>
      <c r="AV236">
        <f t="shared" si="93"/>
        <v>0</v>
      </c>
      <c r="AW236">
        <f t="shared" si="94"/>
        <v>0</v>
      </c>
      <c r="AX236">
        <f t="shared" si="95"/>
        <v>0</v>
      </c>
    </row>
    <row r="237" spans="1:50" x14ac:dyDescent="0.25">
      <c r="A237" s="113">
        <v>234</v>
      </c>
      <c r="B237" s="209"/>
      <c r="C237" s="113">
        <v>0</v>
      </c>
      <c r="D237" s="113">
        <v>0</v>
      </c>
      <c r="E237" s="113" t="s">
        <v>688</v>
      </c>
      <c r="F237" s="113" t="s">
        <v>688</v>
      </c>
      <c r="G237" s="113"/>
      <c r="H237" s="113"/>
      <c r="I237" s="113"/>
      <c r="J237" s="113"/>
      <c r="K237" s="113"/>
      <c r="N237" s="113" t="e">
        <f>MATCH(A237,Entrada!$A$53:$A$372,0)</f>
        <v>#N/A</v>
      </c>
      <c r="O237">
        <f>IF(NOT(ISNA($N237)),INDEX(Entrada!$C$53:$N$372,$N237,O$2),0)</f>
        <v>0</v>
      </c>
      <c r="P237">
        <f>IF(NOT(ISNA($N237)),INDEX(Entrada!$C$53:$N$372,$N237,P$2),0)</f>
        <v>0</v>
      </c>
      <c r="Q237">
        <f>IF(NOT(ISNA($N237)),INDEX(Entrada!$C$53:$N$372,$N237,Q$2),0)</f>
        <v>0</v>
      </c>
      <c r="R237">
        <f>IF(NOT(ISNA($N237)),INDEX(Entrada!$C$53:$N$372,$N237,R$2),0)</f>
        <v>0</v>
      </c>
      <c r="S237">
        <f>IF(NOT(ISNA($N237)),INDEX(Entrada!$C$53:$N$372,$N237,S$2),0)</f>
        <v>0</v>
      </c>
      <c r="T237">
        <f>IF(NOT(ISNA($N237)),INDEX(Entrada!$C$53:$N$372,$N237,T$2),0)</f>
        <v>0</v>
      </c>
      <c r="U237">
        <f>IF(NOT(ISNA($N237)),INDEX(Entrada!$C$53:$N$372,$N237,U$2),0)</f>
        <v>0</v>
      </c>
      <c r="V237" s="225">
        <f>IF(NOT(ISNA($N237)),INDEX(Entrada!$C$53:$N$372,$N237,V$2),0)</f>
        <v>0</v>
      </c>
      <c r="W237" s="225">
        <f>IF(NOT(ISNA($N237)),INDEX(Entrada!$C$53:$N$372,$N237,W$2),0)</f>
        <v>0</v>
      </c>
      <c r="X237" s="225">
        <f>IF(NOT(ISNA($N237)),INDEX(Entrada!$C$53:$N$372,$N237,X$2),0)</f>
        <v>0</v>
      </c>
      <c r="Y237" s="225">
        <f>IF(NOT(ISNA($N237)),INDEX(Entrada!$C$53:$N$372,$N237,Y$2),0)</f>
        <v>0</v>
      </c>
      <c r="Z237" s="225">
        <f>IF(NOT(ISNA($N237)),INDEX(Entrada!$C$53:$N$372,$N237,Z$2),0)</f>
        <v>0</v>
      </c>
      <c r="AA237" s="113">
        <f t="shared" si="72"/>
        <v>0</v>
      </c>
      <c r="AB237">
        <f t="shared" si="73"/>
        <v>0</v>
      </c>
      <c r="AC237">
        <f t="shared" si="74"/>
        <v>0</v>
      </c>
      <c r="AD237">
        <f t="shared" si="75"/>
        <v>0</v>
      </c>
      <c r="AE237">
        <f t="shared" si="76"/>
        <v>0</v>
      </c>
      <c r="AF237">
        <f t="shared" si="77"/>
        <v>0</v>
      </c>
      <c r="AG237">
        <f t="shared" si="78"/>
        <v>0</v>
      </c>
      <c r="AH237">
        <f t="shared" si="79"/>
        <v>0</v>
      </c>
      <c r="AI237">
        <f t="shared" si="80"/>
        <v>0</v>
      </c>
      <c r="AJ237">
        <f t="shared" si="81"/>
        <v>0</v>
      </c>
      <c r="AK237">
        <f t="shared" si="82"/>
        <v>0</v>
      </c>
      <c r="AL237">
        <f t="shared" si="83"/>
        <v>0</v>
      </c>
      <c r="AM237" s="113">
        <f t="shared" si="84"/>
        <v>0</v>
      </c>
      <c r="AN237">
        <f t="shared" si="85"/>
        <v>0</v>
      </c>
      <c r="AO237">
        <f t="shared" si="86"/>
        <v>0</v>
      </c>
      <c r="AP237">
        <f t="shared" si="87"/>
        <v>0</v>
      </c>
      <c r="AQ237">
        <f t="shared" si="88"/>
        <v>0</v>
      </c>
      <c r="AR237">
        <f t="shared" si="89"/>
        <v>0</v>
      </c>
      <c r="AS237">
        <f t="shared" si="90"/>
        <v>0</v>
      </c>
      <c r="AT237">
        <f t="shared" si="91"/>
        <v>0</v>
      </c>
      <c r="AU237">
        <f t="shared" si="92"/>
        <v>0</v>
      </c>
      <c r="AV237">
        <f t="shared" si="93"/>
        <v>0</v>
      </c>
      <c r="AW237">
        <f t="shared" si="94"/>
        <v>0</v>
      </c>
      <c r="AX237">
        <f t="shared" si="95"/>
        <v>0</v>
      </c>
    </row>
    <row r="238" spans="1:50" x14ac:dyDescent="0.25">
      <c r="A238" s="113">
        <v>235</v>
      </c>
      <c r="B238" s="209"/>
      <c r="C238" s="113">
        <v>0</v>
      </c>
      <c r="D238" s="113">
        <v>0</v>
      </c>
      <c r="E238" s="113" t="s">
        <v>688</v>
      </c>
      <c r="F238" s="113" t="s">
        <v>688</v>
      </c>
      <c r="G238" s="113"/>
      <c r="H238" s="113"/>
      <c r="I238" s="113"/>
      <c r="J238" s="113"/>
      <c r="K238" s="113"/>
      <c r="N238" s="113" t="e">
        <f>MATCH(A238,Entrada!$A$53:$A$372,0)</f>
        <v>#N/A</v>
      </c>
      <c r="O238">
        <f>IF(NOT(ISNA($N238)),INDEX(Entrada!$C$53:$N$372,$N238,O$2),0)</f>
        <v>0</v>
      </c>
      <c r="P238">
        <f>IF(NOT(ISNA($N238)),INDEX(Entrada!$C$53:$N$372,$N238,P$2),0)</f>
        <v>0</v>
      </c>
      <c r="Q238">
        <f>IF(NOT(ISNA($N238)),INDEX(Entrada!$C$53:$N$372,$N238,Q$2),0)</f>
        <v>0</v>
      </c>
      <c r="R238">
        <f>IF(NOT(ISNA($N238)),INDEX(Entrada!$C$53:$N$372,$N238,R$2),0)</f>
        <v>0</v>
      </c>
      <c r="S238">
        <f>IF(NOT(ISNA($N238)),INDEX(Entrada!$C$53:$N$372,$N238,S$2),0)</f>
        <v>0</v>
      </c>
      <c r="T238">
        <f>IF(NOT(ISNA($N238)),INDEX(Entrada!$C$53:$N$372,$N238,T$2),0)</f>
        <v>0</v>
      </c>
      <c r="U238">
        <f>IF(NOT(ISNA($N238)),INDEX(Entrada!$C$53:$N$372,$N238,U$2),0)</f>
        <v>0</v>
      </c>
      <c r="V238" s="225">
        <f>IF(NOT(ISNA($N238)),INDEX(Entrada!$C$53:$N$372,$N238,V$2),0)</f>
        <v>0</v>
      </c>
      <c r="W238" s="225">
        <f>IF(NOT(ISNA($N238)),INDEX(Entrada!$C$53:$N$372,$N238,W$2),0)</f>
        <v>0</v>
      </c>
      <c r="X238" s="225">
        <f>IF(NOT(ISNA($N238)),INDEX(Entrada!$C$53:$N$372,$N238,X$2),0)</f>
        <v>0</v>
      </c>
      <c r="Y238" s="225">
        <f>IF(NOT(ISNA($N238)),INDEX(Entrada!$C$53:$N$372,$N238,Y$2),0)</f>
        <v>0</v>
      </c>
      <c r="Z238" s="225">
        <f>IF(NOT(ISNA($N238)),INDEX(Entrada!$C$53:$N$372,$N238,Z$2),0)</f>
        <v>0</v>
      </c>
      <c r="AA238" s="113">
        <f t="shared" si="72"/>
        <v>0</v>
      </c>
      <c r="AB238">
        <f t="shared" si="73"/>
        <v>0</v>
      </c>
      <c r="AC238">
        <f t="shared" si="74"/>
        <v>0</v>
      </c>
      <c r="AD238">
        <f t="shared" si="75"/>
        <v>0</v>
      </c>
      <c r="AE238">
        <f t="shared" si="76"/>
        <v>0</v>
      </c>
      <c r="AF238">
        <f t="shared" si="77"/>
        <v>0</v>
      </c>
      <c r="AG238">
        <f t="shared" si="78"/>
        <v>0</v>
      </c>
      <c r="AH238">
        <f t="shared" si="79"/>
        <v>0</v>
      </c>
      <c r="AI238">
        <f t="shared" si="80"/>
        <v>0</v>
      </c>
      <c r="AJ238">
        <f t="shared" si="81"/>
        <v>0</v>
      </c>
      <c r="AK238">
        <f t="shared" si="82"/>
        <v>0</v>
      </c>
      <c r="AL238">
        <f t="shared" si="83"/>
        <v>0</v>
      </c>
      <c r="AM238" s="113">
        <f t="shared" si="84"/>
        <v>0</v>
      </c>
      <c r="AN238">
        <f t="shared" si="85"/>
        <v>0</v>
      </c>
      <c r="AO238">
        <f t="shared" si="86"/>
        <v>0</v>
      </c>
      <c r="AP238">
        <f t="shared" si="87"/>
        <v>0</v>
      </c>
      <c r="AQ238">
        <f t="shared" si="88"/>
        <v>0</v>
      </c>
      <c r="AR238">
        <f t="shared" si="89"/>
        <v>0</v>
      </c>
      <c r="AS238">
        <f t="shared" si="90"/>
        <v>0</v>
      </c>
      <c r="AT238">
        <f t="shared" si="91"/>
        <v>0</v>
      </c>
      <c r="AU238">
        <f t="shared" si="92"/>
        <v>0</v>
      </c>
      <c r="AV238">
        <f t="shared" si="93"/>
        <v>0</v>
      </c>
      <c r="AW238">
        <f t="shared" si="94"/>
        <v>0</v>
      </c>
      <c r="AX238">
        <f t="shared" si="95"/>
        <v>0</v>
      </c>
    </row>
    <row r="239" spans="1:50" x14ac:dyDescent="0.25">
      <c r="A239" s="113">
        <v>236</v>
      </c>
      <c r="B239" s="209"/>
      <c r="C239" s="113">
        <v>0</v>
      </c>
      <c r="D239" s="113">
        <v>0</v>
      </c>
      <c r="E239" s="113" t="s">
        <v>688</v>
      </c>
      <c r="F239" s="113" t="s">
        <v>688</v>
      </c>
      <c r="G239" s="113"/>
      <c r="H239" s="113"/>
      <c r="I239" s="113"/>
      <c r="J239" s="113"/>
      <c r="K239" s="113"/>
      <c r="N239" s="113" t="e">
        <f>MATCH(A239,Entrada!$A$53:$A$372,0)</f>
        <v>#N/A</v>
      </c>
      <c r="O239">
        <f>IF(NOT(ISNA($N239)),INDEX(Entrada!$C$53:$N$372,$N239,O$2),0)</f>
        <v>0</v>
      </c>
      <c r="P239">
        <f>IF(NOT(ISNA($N239)),INDEX(Entrada!$C$53:$N$372,$N239,P$2),0)</f>
        <v>0</v>
      </c>
      <c r="Q239">
        <f>IF(NOT(ISNA($N239)),INDEX(Entrada!$C$53:$N$372,$N239,Q$2),0)</f>
        <v>0</v>
      </c>
      <c r="R239">
        <f>IF(NOT(ISNA($N239)),INDEX(Entrada!$C$53:$N$372,$N239,R$2),0)</f>
        <v>0</v>
      </c>
      <c r="S239">
        <f>IF(NOT(ISNA($N239)),INDEX(Entrada!$C$53:$N$372,$N239,S$2),0)</f>
        <v>0</v>
      </c>
      <c r="T239">
        <f>IF(NOT(ISNA($N239)),INDEX(Entrada!$C$53:$N$372,$N239,T$2),0)</f>
        <v>0</v>
      </c>
      <c r="U239">
        <f>IF(NOT(ISNA($N239)),INDEX(Entrada!$C$53:$N$372,$N239,U$2),0)</f>
        <v>0</v>
      </c>
      <c r="V239" s="225">
        <f>IF(NOT(ISNA($N239)),INDEX(Entrada!$C$53:$N$372,$N239,V$2),0)</f>
        <v>0</v>
      </c>
      <c r="W239" s="225">
        <f>IF(NOT(ISNA($N239)),INDEX(Entrada!$C$53:$N$372,$N239,W$2),0)</f>
        <v>0</v>
      </c>
      <c r="X239" s="225">
        <f>IF(NOT(ISNA($N239)),INDEX(Entrada!$C$53:$N$372,$N239,X$2),0)</f>
        <v>0</v>
      </c>
      <c r="Y239" s="225">
        <f>IF(NOT(ISNA($N239)),INDEX(Entrada!$C$53:$N$372,$N239,Y$2),0)</f>
        <v>0</v>
      </c>
      <c r="Z239" s="225">
        <f>IF(NOT(ISNA($N239)),INDEX(Entrada!$C$53:$N$372,$N239,Z$2),0)</f>
        <v>0</v>
      </c>
      <c r="AA239" s="113">
        <f t="shared" si="72"/>
        <v>0</v>
      </c>
      <c r="AB239">
        <f t="shared" si="73"/>
        <v>0</v>
      </c>
      <c r="AC239">
        <f t="shared" si="74"/>
        <v>0</v>
      </c>
      <c r="AD239">
        <f t="shared" si="75"/>
        <v>0</v>
      </c>
      <c r="AE239">
        <f t="shared" si="76"/>
        <v>0</v>
      </c>
      <c r="AF239">
        <f t="shared" si="77"/>
        <v>0</v>
      </c>
      <c r="AG239">
        <f t="shared" si="78"/>
        <v>0</v>
      </c>
      <c r="AH239">
        <f t="shared" si="79"/>
        <v>0</v>
      </c>
      <c r="AI239">
        <f t="shared" si="80"/>
        <v>0</v>
      </c>
      <c r="AJ239">
        <f t="shared" si="81"/>
        <v>0</v>
      </c>
      <c r="AK239">
        <f t="shared" si="82"/>
        <v>0</v>
      </c>
      <c r="AL239">
        <f t="shared" si="83"/>
        <v>0</v>
      </c>
      <c r="AM239" s="113">
        <f t="shared" si="84"/>
        <v>0</v>
      </c>
      <c r="AN239">
        <f t="shared" si="85"/>
        <v>0</v>
      </c>
      <c r="AO239">
        <f t="shared" si="86"/>
        <v>0</v>
      </c>
      <c r="AP239">
        <f t="shared" si="87"/>
        <v>0</v>
      </c>
      <c r="AQ239">
        <f t="shared" si="88"/>
        <v>0</v>
      </c>
      <c r="AR239">
        <f t="shared" si="89"/>
        <v>0</v>
      </c>
      <c r="AS239">
        <f t="shared" si="90"/>
        <v>0</v>
      </c>
      <c r="AT239">
        <f t="shared" si="91"/>
        <v>0</v>
      </c>
      <c r="AU239">
        <f t="shared" si="92"/>
        <v>0</v>
      </c>
      <c r="AV239">
        <f t="shared" si="93"/>
        <v>0</v>
      </c>
      <c r="AW239">
        <f t="shared" si="94"/>
        <v>0</v>
      </c>
      <c r="AX239">
        <f t="shared" si="95"/>
        <v>0</v>
      </c>
    </row>
    <row r="240" spans="1:50" x14ac:dyDescent="0.25">
      <c r="A240" s="113">
        <v>237</v>
      </c>
      <c r="B240" s="209" t="s">
        <v>82</v>
      </c>
      <c r="C240" s="113">
        <v>1931</v>
      </c>
      <c r="D240" s="113">
        <v>2013</v>
      </c>
      <c r="E240" s="210" t="s">
        <v>4</v>
      </c>
      <c r="F240" s="210" t="s">
        <v>4</v>
      </c>
      <c r="G240" s="113">
        <v>161</v>
      </c>
      <c r="H240" s="113"/>
      <c r="I240" s="113"/>
      <c r="J240" s="113"/>
      <c r="K240" s="113"/>
      <c r="N240" s="113">
        <f>MATCH(A240,Entrada!$A$53:$A$372,0)</f>
        <v>143</v>
      </c>
      <c r="O240">
        <f>IF(NOT(ISNA($N240)),INDEX(Entrada!$C$53:$N$372,$N240,O$2),0)</f>
        <v>752</v>
      </c>
      <c r="P240">
        <f>IF(NOT(ISNA($N240)),INDEX(Entrada!$C$53:$N$372,$N240,P$2),0)</f>
        <v>794</v>
      </c>
      <c r="Q240">
        <f>IF(NOT(ISNA($N240)),INDEX(Entrada!$C$53:$N$372,$N240,Q$2),0)</f>
        <v>672</v>
      </c>
      <c r="R240">
        <f>IF(NOT(ISNA($N240)),INDEX(Entrada!$C$53:$N$372,$N240,R$2),0)</f>
        <v>445</v>
      </c>
      <c r="S240">
        <f>IF(NOT(ISNA($N240)),INDEX(Entrada!$C$53:$N$372,$N240,S$2),0)</f>
        <v>350</v>
      </c>
      <c r="T240">
        <f>IF(NOT(ISNA($N240)),INDEX(Entrada!$C$53:$N$372,$N240,T$2),0)</f>
        <v>346</v>
      </c>
      <c r="U240">
        <f>IF(NOT(ISNA($N240)),INDEX(Entrada!$C$53:$N$372,$N240,U$2),0)</f>
        <v>276</v>
      </c>
      <c r="V240" s="225">
        <f>IF(NOT(ISNA($N240)),INDEX(Entrada!$C$53:$N$372,$N240,V$2),0)</f>
        <v>233</v>
      </c>
      <c r="W240" s="225">
        <f>IF(NOT(ISNA($N240)),INDEX(Entrada!$C$53:$N$372,$N240,W$2),0)</f>
        <v>256</v>
      </c>
      <c r="X240" s="225">
        <f>IF(NOT(ISNA($N240)),INDEX(Entrada!$C$53:$N$372,$N240,X$2),0)</f>
        <v>316</v>
      </c>
      <c r="Y240" s="225">
        <f>IF(NOT(ISNA($N240)),INDEX(Entrada!$C$53:$N$372,$N240,Y$2),0)</f>
        <v>338</v>
      </c>
      <c r="Z240" s="225">
        <f>IF(NOT(ISNA($N240)),INDEX(Entrada!$C$53:$N$372,$N240,Z$2),0)</f>
        <v>512</v>
      </c>
      <c r="AA240" s="113">
        <f t="shared" si="72"/>
        <v>177</v>
      </c>
      <c r="AB240">
        <f t="shared" si="73"/>
        <v>185</v>
      </c>
      <c r="AC240">
        <f t="shared" si="74"/>
        <v>161</v>
      </c>
      <c r="AD240">
        <f t="shared" si="75"/>
        <v>108</v>
      </c>
      <c r="AE240">
        <f t="shared" si="76"/>
        <v>83</v>
      </c>
      <c r="AF240">
        <f t="shared" si="77"/>
        <v>77</v>
      </c>
      <c r="AG240">
        <f t="shared" si="78"/>
        <v>65</v>
      </c>
      <c r="AH240">
        <f t="shared" si="79"/>
        <v>55</v>
      </c>
      <c r="AI240">
        <f t="shared" si="80"/>
        <v>70</v>
      </c>
      <c r="AJ240">
        <f t="shared" si="81"/>
        <v>91</v>
      </c>
      <c r="AK240">
        <f t="shared" si="82"/>
        <v>98</v>
      </c>
      <c r="AL240">
        <f t="shared" si="83"/>
        <v>130</v>
      </c>
      <c r="AM240" s="113">
        <f t="shared" si="84"/>
        <v>575</v>
      </c>
      <c r="AN240">
        <f t="shared" si="85"/>
        <v>609</v>
      </c>
      <c r="AO240">
        <f t="shared" si="86"/>
        <v>511</v>
      </c>
      <c r="AP240">
        <f t="shared" si="87"/>
        <v>337</v>
      </c>
      <c r="AQ240">
        <f t="shared" si="88"/>
        <v>267</v>
      </c>
      <c r="AR240">
        <f t="shared" si="89"/>
        <v>269</v>
      </c>
      <c r="AS240">
        <f t="shared" si="90"/>
        <v>211</v>
      </c>
      <c r="AT240">
        <f t="shared" si="91"/>
        <v>178</v>
      </c>
      <c r="AU240">
        <f t="shared" si="92"/>
        <v>186</v>
      </c>
      <c r="AV240">
        <f t="shared" si="93"/>
        <v>225</v>
      </c>
      <c r="AW240">
        <f t="shared" si="94"/>
        <v>240</v>
      </c>
      <c r="AX240">
        <f t="shared" si="95"/>
        <v>382</v>
      </c>
    </row>
    <row r="241" spans="1:51" x14ac:dyDescent="0.25">
      <c r="A241" s="113">
        <v>238</v>
      </c>
      <c r="B241" s="209" t="s">
        <v>554</v>
      </c>
      <c r="C241" s="113">
        <v>1931</v>
      </c>
      <c r="D241" s="113">
        <v>2013</v>
      </c>
      <c r="E241" s="210" t="s">
        <v>4</v>
      </c>
      <c r="F241" s="210" t="s">
        <v>4</v>
      </c>
      <c r="G241" s="113">
        <v>237</v>
      </c>
      <c r="H241" s="113"/>
      <c r="I241" s="113"/>
      <c r="J241" s="113"/>
      <c r="K241" s="113"/>
      <c r="N241" s="113">
        <f>MATCH(A241,Entrada!$A$53:$A$372,0)</f>
        <v>144</v>
      </c>
      <c r="O241">
        <f>IF(NOT(ISNA($N241)),INDEX(Entrada!$C$53:$N$372,$N241,O$2),0)</f>
        <v>835</v>
      </c>
      <c r="P241">
        <f>IF(NOT(ISNA($N241)),INDEX(Entrada!$C$53:$N$372,$N241,P$2),0)</f>
        <v>885</v>
      </c>
      <c r="Q241">
        <f>IF(NOT(ISNA($N241)),INDEX(Entrada!$C$53:$N$372,$N241,Q$2),0)</f>
        <v>751</v>
      </c>
      <c r="R241">
        <f>IF(NOT(ISNA($N241)),INDEX(Entrada!$C$53:$N$372,$N241,R$2),0)</f>
        <v>501</v>
      </c>
      <c r="S241">
        <f>IF(NOT(ISNA($N241)),INDEX(Entrada!$C$53:$N$372,$N241,S$2),0)</f>
        <v>395</v>
      </c>
      <c r="T241">
        <f>IF(NOT(ISNA($N241)),INDEX(Entrada!$C$53:$N$372,$N241,T$2),0)</f>
        <v>390</v>
      </c>
      <c r="U241">
        <f>IF(NOT(ISNA($N241)),INDEX(Entrada!$C$53:$N$372,$N241,U$2),0)</f>
        <v>310</v>
      </c>
      <c r="V241" s="225">
        <f>IF(NOT(ISNA($N241)),INDEX(Entrada!$C$53:$N$372,$N241,V$2),0)</f>
        <v>263</v>
      </c>
      <c r="W241" s="225">
        <f>IF(NOT(ISNA($N241)),INDEX(Entrada!$C$53:$N$372,$N241,W$2),0)</f>
        <v>287</v>
      </c>
      <c r="X241" s="225">
        <f>IF(NOT(ISNA($N241)),INDEX(Entrada!$C$53:$N$372,$N241,X$2),0)</f>
        <v>350</v>
      </c>
      <c r="Y241" s="225">
        <f>IF(NOT(ISNA($N241)),INDEX(Entrada!$C$53:$N$372,$N241,Y$2),0)</f>
        <v>376</v>
      </c>
      <c r="Z241" s="225">
        <f>IF(NOT(ISNA($N241)),INDEX(Entrada!$C$53:$N$372,$N241,Z$2),0)</f>
        <v>566</v>
      </c>
      <c r="AA241" s="113">
        <f t="shared" si="72"/>
        <v>752</v>
      </c>
      <c r="AB241">
        <f t="shared" si="73"/>
        <v>794</v>
      </c>
      <c r="AC241">
        <f t="shared" si="74"/>
        <v>672</v>
      </c>
      <c r="AD241">
        <f t="shared" si="75"/>
        <v>445</v>
      </c>
      <c r="AE241">
        <f t="shared" si="76"/>
        <v>350</v>
      </c>
      <c r="AF241">
        <f t="shared" si="77"/>
        <v>346</v>
      </c>
      <c r="AG241">
        <f t="shared" si="78"/>
        <v>276</v>
      </c>
      <c r="AH241">
        <f t="shared" si="79"/>
        <v>233</v>
      </c>
      <c r="AI241">
        <f t="shared" si="80"/>
        <v>256</v>
      </c>
      <c r="AJ241">
        <f t="shared" si="81"/>
        <v>316</v>
      </c>
      <c r="AK241">
        <f t="shared" si="82"/>
        <v>338</v>
      </c>
      <c r="AL241">
        <f t="shared" si="83"/>
        <v>512</v>
      </c>
      <c r="AM241" s="113">
        <f t="shared" si="84"/>
        <v>83</v>
      </c>
      <c r="AN241">
        <f t="shared" si="85"/>
        <v>91</v>
      </c>
      <c r="AO241">
        <f t="shared" si="86"/>
        <v>79</v>
      </c>
      <c r="AP241">
        <f t="shared" si="87"/>
        <v>56</v>
      </c>
      <c r="AQ241">
        <f t="shared" si="88"/>
        <v>45</v>
      </c>
      <c r="AR241">
        <f t="shared" si="89"/>
        <v>44</v>
      </c>
      <c r="AS241">
        <f t="shared" si="90"/>
        <v>34</v>
      </c>
      <c r="AT241">
        <f t="shared" si="91"/>
        <v>30</v>
      </c>
      <c r="AU241">
        <f t="shared" si="92"/>
        <v>31</v>
      </c>
      <c r="AV241">
        <f t="shared" si="93"/>
        <v>34</v>
      </c>
      <c r="AW241">
        <f t="shared" si="94"/>
        <v>38</v>
      </c>
      <c r="AX241">
        <f t="shared" si="95"/>
        <v>54</v>
      </c>
    </row>
    <row r="242" spans="1:51" x14ac:dyDescent="0.25">
      <c r="A242" s="113">
        <v>239</v>
      </c>
      <c r="B242" s="209" t="s">
        <v>555</v>
      </c>
      <c r="C242" s="113">
        <v>1931</v>
      </c>
      <c r="D242" s="113">
        <v>2013</v>
      </c>
      <c r="E242" s="210" t="s">
        <v>4</v>
      </c>
      <c r="F242" s="210" t="s">
        <v>4</v>
      </c>
      <c r="G242" s="113">
        <v>238</v>
      </c>
      <c r="H242" s="113"/>
      <c r="I242" s="113"/>
      <c r="J242" s="113"/>
      <c r="K242" s="113"/>
      <c r="N242" s="113">
        <f>MATCH(A242,Entrada!$A$53:$A$372,0)</f>
        <v>145</v>
      </c>
      <c r="O242">
        <f>IF(NOT(ISNA($N242)),INDEX(Entrada!$C$53:$N$372,$N242,O$2),0)</f>
        <v>922</v>
      </c>
      <c r="P242">
        <f>IF(NOT(ISNA($N242)),INDEX(Entrada!$C$53:$N$372,$N242,P$2),0)</f>
        <v>977</v>
      </c>
      <c r="Q242">
        <f>IF(NOT(ISNA($N242)),INDEX(Entrada!$C$53:$N$372,$N242,Q$2),0)</f>
        <v>834</v>
      </c>
      <c r="R242">
        <f>IF(NOT(ISNA($N242)),INDEX(Entrada!$C$53:$N$372,$N242,R$2),0)</f>
        <v>571</v>
      </c>
      <c r="S242">
        <f>IF(NOT(ISNA($N242)),INDEX(Entrada!$C$53:$N$372,$N242,S$2),0)</f>
        <v>455</v>
      </c>
      <c r="T242">
        <f>IF(NOT(ISNA($N242)),INDEX(Entrada!$C$53:$N$372,$N242,T$2),0)</f>
        <v>448</v>
      </c>
      <c r="U242">
        <f>IF(NOT(ISNA($N242)),INDEX(Entrada!$C$53:$N$372,$N242,U$2),0)</f>
        <v>362</v>
      </c>
      <c r="V242" s="225">
        <f>IF(NOT(ISNA($N242)),INDEX(Entrada!$C$53:$N$372,$N242,V$2),0)</f>
        <v>309</v>
      </c>
      <c r="W242" s="225">
        <f>IF(NOT(ISNA($N242)),INDEX(Entrada!$C$53:$N$372,$N242,W$2),0)</f>
        <v>327</v>
      </c>
      <c r="X242" s="225">
        <f>IF(NOT(ISNA($N242)),INDEX(Entrada!$C$53:$N$372,$N242,X$2),0)</f>
        <v>389</v>
      </c>
      <c r="Y242" s="225">
        <f>IF(NOT(ISNA($N242)),INDEX(Entrada!$C$53:$N$372,$N242,Y$2),0)</f>
        <v>419</v>
      </c>
      <c r="Z242" s="225">
        <f>IF(NOT(ISNA($N242)),INDEX(Entrada!$C$53:$N$372,$N242,Z$2),0)</f>
        <v>631</v>
      </c>
      <c r="AA242" s="113">
        <f t="shared" si="72"/>
        <v>835</v>
      </c>
      <c r="AB242">
        <f t="shared" si="73"/>
        <v>885</v>
      </c>
      <c r="AC242">
        <f t="shared" si="74"/>
        <v>751</v>
      </c>
      <c r="AD242">
        <f t="shared" si="75"/>
        <v>501</v>
      </c>
      <c r="AE242">
        <f t="shared" si="76"/>
        <v>395</v>
      </c>
      <c r="AF242">
        <f t="shared" si="77"/>
        <v>390</v>
      </c>
      <c r="AG242">
        <f t="shared" si="78"/>
        <v>310</v>
      </c>
      <c r="AH242">
        <f t="shared" si="79"/>
        <v>263</v>
      </c>
      <c r="AI242">
        <f t="shared" si="80"/>
        <v>287</v>
      </c>
      <c r="AJ242">
        <f t="shared" si="81"/>
        <v>350</v>
      </c>
      <c r="AK242">
        <f t="shared" si="82"/>
        <v>376</v>
      </c>
      <c r="AL242">
        <f t="shared" si="83"/>
        <v>566</v>
      </c>
      <c r="AM242" s="113">
        <f t="shared" si="84"/>
        <v>87</v>
      </c>
      <c r="AN242">
        <f t="shared" si="85"/>
        <v>92</v>
      </c>
      <c r="AO242">
        <f t="shared" si="86"/>
        <v>83</v>
      </c>
      <c r="AP242">
        <f t="shared" si="87"/>
        <v>70</v>
      </c>
      <c r="AQ242">
        <f t="shared" si="88"/>
        <v>60</v>
      </c>
      <c r="AR242">
        <f t="shared" si="89"/>
        <v>58</v>
      </c>
      <c r="AS242">
        <f t="shared" si="90"/>
        <v>52</v>
      </c>
      <c r="AT242">
        <f t="shared" si="91"/>
        <v>46</v>
      </c>
      <c r="AU242">
        <f t="shared" si="92"/>
        <v>40</v>
      </c>
      <c r="AV242">
        <f t="shared" si="93"/>
        <v>39</v>
      </c>
      <c r="AW242">
        <f t="shared" si="94"/>
        <v>43</v>
      </c>
      <c r="AX242">
        <f t="shared" si="95"/>
        <v>65</v>
      </c>
    </row>
    <row r="243" spans="1:51" x14ac:dyDescent="0.25">
      <c r="A243" s="113">
        <v>240</v>
      </c>
      <c r="B243" s="209" t="s">
        <v>556</v>
      </c>
      <c r="C243" s="113">
        <v>1931</v>
      </c>
      <c r="D243" s="113">
        <v>2013</v>
      </c>
      <c r="E243" s="210" t="s">
        <v>4</v>
      </c>
      <c r="F243" s="210" t="s">
        <v>4</v>
      </c>
      <c r="G243" s="113">
        <v>239</v>
      </c>
      <c r="H243" s="113"/>
      <c r="I243" s="113"/>
      <c r="J243" s="113"/>
      <c r="K243" s="113"/>
      <c r="N243" s="113">
        <f>MATCH(A243,Entrada!$A$53:$A$372,0)</f>
        <v>146</v>
      </c>
      <c r="O243">
        <f>IF(NOT(ISNA($N243)),INDEX(Entrada!$C$53:$N$372,$N243,O$2),0)</f>
        <v>1171</v>
      </c>
      <c r="P243">
        <f>IF(NOT(ISNA($N243)),INDEX(Entrada!$C$53:$N$372,$N243,P$2),0)</f>
        <v>1244</v>
      </c>
      <c r="Q243">
        <f>IF(NOT(ISNA($N243)),INDEX(Entrada!$C$53:$N$372,$N243,Q$2),0)</f>
        <v>1074</v>
      </c>
      <c r="R243">
        <f>IF(NOT(ISNA($N243)),INDEX(Entrada!$C$53:$N$372,$N243,R$2),0)</f>
        <v>733</v>
      </c>
      <c r="S243">
        <f>IF(NOT(ISNA($N243)),INDEX(Entrada!$C$53:$N$372,$N243,S$2),0)</f>
        <v>582</v>
      </c>
      <c r="T243">
        <f>IF(NOT(ISNA($N243)),INDEX(Entrada!$C$53:$N$372,$N243,T$2),0)</f>
        <v>569</v>
      </c>
      <c r="U243">
        <f>IF(NOT(ISNA($N243)),INDEX(Entrada!$C$53:$N$372,$N243,U$2),0)</f>
        <v>466</v>
      </c>
      <c r="V243" s="225">
        <f>IF(NOT(ISNA($N243)),INDEX(Entrada!$C$53:$N$372,$N243,V$2),0)</f>
        <v>403</v>
      </c>
      <c r="W243" s="225">
        <f>IF(NOT(ISNA($N243)),INDEX(Entrada!$C$53:$N$372,$N243,W$2),0)</f>
        <v>430</v>
      </c>
      <c r="X243" s="225">
        <f>IF(NOT(ISNA($N243)),INDEX(Entrada!$C$53:$N$372,$N243,X$2),0)</f>
        <v>506</v>
      </c>
      <c r="Y243" s="225">
        <f>IF(NOT(ISNA($N243)),INDEX(Entrada!$C$53:$N$372,$N243,Y$2),0)</f>
        <v>540</v>
      </c>
      <c r="Z243" s="225">
        <f>IF(NOT(ISNA($N243)),INDEX(Entrada!$C$53:$N$372,$N243,Z$2),0)</f>
        <v>806</v>
      </c>
      <c r="AA243" s="113">
        <f t="shared" si="72"/>
        <v>922</v>
      </c>
      <c r="AB243">
        <f t="shared" si="73"/>
        <v>977</v>
      </c>
      <c r="AC243">
        <f t="shared" si="74"/>
        <v>834</v>
      </c>
      <c r="AD243">
        <f t="shared" si="75"/>
        <v>571</v>
      </c>
      <c r="AE243">
        <f t="shared" si="76"/>
        <v>455</v>
      </c>
      <c r="AF243">
        <f t="shared" si="77"/>
        <v>448</v>
      </c>
      <c r="AG243">
        <f t="shared" si="78"/>
        <v>362</v>
      </c>
      <c r="AH243">
        <f t="shared" si="79"/>
        <v>309</v>
      </c>
      <c r="AI243">
        <f t="shared" si="80"/>
        <v>327</v>
      </c>
      <c r="AJ243">
        <f t="shared" si="81"/>
        <v>389</v>
      </c>
      <c r="AK243">
        <f t="shared" si="82"/>
        <v>419</v>
      </c>
      <c r="AL243">
        <f t="shared" si="83"/>
        <v>631</v>
      </c>
      <c r="AM243" s="113">
        <f t="shared" si="84"/>
        <v>249</v>
      </c>
      <c r="AN243">
        <f t="shared" si="85"/>
        <v>267</v>
      </c>
      <c r="AO243">
        <f t="shared" si="86"/>
        <v>240</v>
      </c>
      <c r="AP243">
        <f t="shared" si="87"/>
        <v>162</v>
      </c>
      <c r="AQ243">
        <f t="shared" si="88"/>
        <v>127</v>
      </c>
      <c r="AR243">
        <f t="shared" si="89"/>
        <v>121</v>
      </c>
      <c r="AS243">
        <f t="shared" si="90"/>
        <v>104</v>
      </c>
      <c r="AT243">
        <f t="shared" si="91"/>
        <v>94</v>
      </c>
      <c r="AU243">
        <f t="shared" si="92"/>
        <v>103</v>
      </c>
      <c r="AV243">
        <f t="shared" si="93"/>
        <v>117</v>
      </c>
      <c r="AW243">
        <f t="shared" si="94"/>
        <v>121</v>
      </c>
      <c r="AX243">
        <f t="shared" si="95"/>
        <v>175</v>
      </c>
    </row>
    <row r="244" spans="1:51" x14ac:dyDescent="0.25">
      <c r="A244" s="113">
        <v>241</v>
      </c>
      <c r="B244" s="209" t="s">
        <v>644</v>
      </c>
      <c r="C244" s="113">
        <v>1931</v>
      </c>
      <c r="D244" s="113">
        <v>2013</v>
      </c>
      <c r="E244" s="210" t="s">
        <v>3</v>
      </c>
      <c r="F244" s="210" t="s">
        <v>405</v>
      </c>
      <c r="G244" s="113">
        <v>294</v>
      </c>
      <c r="H244" s="113"/>
      <c r="I244" s="113"/>
      <c r="J244" s="113"/>
      <c r="K244" s="113"/>
      <c r="N244" s="113">
        <f>MATCH(A244,Entrada!$A$53:$A$372,0)</f>
        <v>147</v>
      </c>
      <c r="O244">
        <f>IF(NOT(ISNA($N244)),INDEX(Entrada!$C$53:$N$372,$N244,O$2),0)</f>
        <v>265</v>
      </c>
      <c r="P244">
        <f>IF(NOT(ISNA($N244)),INDEX(Entrada!$C$53:$N$372,$N244,P$2),0)</f>
        <v>286</v>
      </c>
      <c r="Q244">
        <f>IF(NOT(ISNA($N244)),INDEX(Entrada!$C$53:$N$372,$N244,Q$2),0)</f>
        <v>287</v>
      </c>
      <c r="R244">
        <f>IF(NOT(ISNA($N244)),INDEX(Entrada!$C$53:$N$372,$N244,R$2),0)</f>
        <v>232</v>
      </c>
      <c r="S244">
        <f>IF(NOT(ISNA($N244)),INDEX(Entrada!$C$53:$N$372,$N244,S$2),0)</f>
        <v>180</v>
      </c>
      <c r="T244">
        <f>IF(NOT(ISNA($N244)),INDEX(Entrada!$C$53:$N$372,$N244,T$2),0)</f>
        <v>157</v>
      </c>
      <c r="U244">
        <f>IF(NOT(ISNA($N244)),INDEX(Entrada!$C$53:$N$372,$N244,U$2),0)</f>
        <v>140</v>
      </c>
      <c r="V244" s="225">
        <f>IF(NOT(ISNA($N244)),INDEX(Entrada!$C$53:$N$372,$N244,V$2),0)</f>
        <v>129</v>
      </c>
      <c r="W244" s="225">
        <f>IF(NOT(ISNA($N244)),INDEX(Entrada!$C$53:$N$372,$N244,W$2),0)</f>
        <v>133</v>
      </c>
      <c r="X244" s="225">
        <f>IF(NOT(ISNA($N244)),INDEX(Entrada!$C$53:$N$372,$N244,X$2),0)</f>
        <v>152</v>
      </c>
      <c r="Y244" s="225">
        <f>IF(NOT(ISNA($N244)),INDEX(Entrada!$C$53:$N$372,$N244,Y$2),0)</f>
        <v>180</v>
      </c>
      <c r="Z244" s="225">
        <f>IF(NOT(ISNA($N244)),INDEX(Entrada!$C$53:$N$372,$N244,Z$2),0)</f>
        <v>224</v>
      </c>
      <c r="AA244" s="113">
        <f t="shared" si="72"/>
        <v>243</v>
      </c>
      <c r="AB244">
        <f t="shared" si="73"/>
        <v>263</v>
      </c>
      <c r="AC244">
        <f t="shared" si="74"/>
        <v>264</v>
      </c>
      <c r="AD244">
        <f t="shared" si="75"/>
        <v>212</v>
      </c>
      <c r="AE244">
        <f t="shared" si="76"/>
        <v>165</v>
      </c>
      <c r="AF244">
        <f t="shared" si="77"/>
        <v>144</v>
      </c>
      <c r="AG244">
        <f t="shared" si="78"/>
        <v>128</v>
      </c>
      <c r="AH244">
        <f t="shared" si="79"/>
        <v>119</v>
      </c>
      <c r="AI244">
        <f t="shared" si="80"/>
        <v>122</v>
      </c>
      <c r="AJ244">
        <f t="shared" si="81"/>
        <v>140</v>
      </c>
      <c r="AK244">
        <f t="shared" si="82"/>
        <v>165</v>
      </c>
      <c r="AL244">
        <f t="shared" si="83"/>
        <v>206</v>
      </c>
      <c r="AM244" s="113">
        <f t="shared" si="84"/>
        <v>22</v>
      </c>
      <c r="AN244">
        <f t="shared" si="85"/>
        <v>23</v>
      </c>
      <c r="AO244">
        <f t="shared" si="86"/>
        <v>23</v>
      </c>
      <c r="AP244">
        <f t="shared" si="87"/>
        <v>20</v>
      </c>
      <c r="AQ244">
        <f t="shared" si="88"/>
        <v>15</v>
      </c>
      <c r="AR244">
        <f t="shared" si="89"/>
        <v>13</v>
      </c>
      <c r="AS244">
        <f t="shared" si="90"/>
        <v>12</v>
      </c>
      <c r="AT244">
        <f t="shared" si="91"/>
        <v>10</v>
      </c>
      <c r="AU244">
        <f t="shared" si="92"/>
        <v>11</v>
      </c>
      <c r="AV244">
        <f t="shared" si="93"/>
        <v>12</v>
      </c>
      <c r="AW244">
        <f t="shared" si="94"/>
        <v>15</v>
      </c>
      <c r="AX244">
        <f t="shared" si="95"/>
        <v>18</v>
      </c>
    </row>
    <row r="245" spans="1:51" x14ac:dyDescent="0.25">
      <c r="A245" s="113">
        <v>242</v>
      </c>
      <c r="B245" s="209" t="s">
        <v>260</v>
      </c>
      <c r="C245" s="113">
        <v>1931</v>
      </c>
      <c r="D245" s="113">
        <v>2013</v>
      </c>
      <c r="E245" s="210" t="s">
        <v>4</v>
      </c>
      <c r="F245" s="210" t="s">
        <v>4</v>
      </c>
      <c r="G245" s="113">
        <v>240</v>
      </c>
      <c r="H245" s="113"/>
      <c r="I245" s="113"/>
      <c r="J245" s="113"/>
      <c r="K245" s="113"/>
      <c r="N245" s="113">
        <f>MATCH(A245,Entrada!$A$53:$A$372,0)</f>
        <v>148</v>
      </c>
      <c r="O245">
        <f>IF(NOT(ISNA($N245)),INDEX(Entrada!$C$53:$N$372,$N245,O$2),0)</f>
        <v>1256</v>
      </c>
      <c r="P245">
        <f>IF(NOT(ISNA($N245)),INDEX(Entrada!$C$53:$N$372,$N245,P$2),0)</f>
        <v>1339</v>
      </c>
      <c r="Q245">
        <f>IF(NOT(ISNA($N245)),INDEX(Entrada!$C$53:$N$372,$N245,Q$2),0)</f>
        <v>1152</v>
      </c>
      <c r="R245">
        <f>IF(NOT(ISNA($N245)),INDEX(Entrada!$C$53:$N$372,$N245,R$2),0)</f>
        <v>783</v>
      </c>
      <c r="S245">
        <f>IF(NOT(ISNA($N245)),INDEX(Entrada!$C$53:$N$372,$N245,S$2),0)</f>
        <v>618</v>
      </c>
      <c r="T245">
        <f>IF(NOT(ISNA($N245)),INDEX(Entrada!$C$53:$N$372,$N245,T$2),0)</f>
        <v>606</v>
      </c>
      <c r="U245">
        <f>IF(NOT(ISNA($N245)),INDEX(Entrada!$C$53:$N$372,$N245,U$2),0)</f>
        <v>494</v>
      </c>
      <c r="V245" s="225">
        <f>IF(NOT(ISNA($N245)),INDEX(Entrada!$C$53:$N$372,$N245,V$2),0)</f>
        <v>427</v>
      </c>
      <c r="W245" s="225">
        <f>IF(NOT(ISNA($N245)),INDEX(Entrada!$C$53:$N$372,$N245,W$2),0)</f>
        <v>455</v>
      </c>
      <c r="X245" s="225">
        <f>IF(NOT(ISNA($N245)),INDEX(Entrada!$C$53:$N$372,$N245,X$2),0)</f>
        <v>537</v>
      </c>
      <c r="Y245" s="225">
        <f>IF(NOT(ISNA($N245)),INDEX(Entrada!$C$53:$N$372,$N245,Y$2),0)</f>
        <v>574</v>
      </c>
      <c r="Z245" s="225">
        <f>IF(NOT(ISNA($N245)),INDEX(Entrada!$C$53:$N$372,$N245,Z$2),0)</f>
        <v>859</v>
      </c>
      <c r="AA245" s="113">
        <f t="shared" si="72"/>
        <v>1171</v>
      </c>
      <c r="AB245">
        <f t="shared" si="73"/>
        <v>1244</v>
      </c>
      <c r="AC245">
        <f t="shared" si="74"/>
        <v>1074</v>
      </c>
      <c r="AD245">
        <f t="shared" si="75"/>
        <v>733</v>
      </c>
      <c r="AE245">
        <f t="shared" si="76"/>
        <v>582</v>
      </c>
      <c r="AF245">
        <f t="shared" si="77"/>
        <v>569</v>
      </c>
      <c r="AG245">
        <f t="shared" si="78"/>
        <v>466</v>
      </c>
      <c r="AH245">
        <f t="shared" si="79"/>
        <v>403</v>
      </c>
      <c r="AI245">
        <f t="shared" si="80"/>
        <v>430</v>
      </c>
      <c r="AJ245">
        <f t="shared" si="81"/>
        <v>506</v>
      </c>
      <c r="AK245">
        <f t="shared" si="82"/>
        <v>540</v>
      </c>
      <c r="AL245">
        <f t="shared" si="83"/>
        <v>806</v>
      </c>
      <c r="AM245" s="113">
        <f t="shared" si="84"/>
        <v>85</v>
      </c>
      <c r="AN245">
        <f t="shared" si="85"/>
        <v>95</v>
      </c>
      <c r="AO245">
        <f t="shared" si="86"/>
        <v>78</v>
      </c>
      <c r="AP245">
        <f t="shared" si="87"/>
        <v>50</v>
      </c>
      <c r="AQ245">
        <f t="shared" si="88"/>
        <v>36</v>
      </c>
      <c r="AR245">
        <f t="shared" si="89"/>
        <v>37</v>
      </c>
      <c r="AS245">
        <f t="shared" si="90"/>
        <v>28</v>
      </c>
      <c r="AT245">
        <f t="shared" si="91"/>
        <v>24</v>
      </c>
      <c r="AU245">
        <f t="shared" si="92"/>
        <v>25</v>
      </c>
      <c r="AV245">
        <f t="shared" si="93"/>
        <v>31</v>
      </c>
      <c r="AW245">
        <f t="shared" si="94"/>
        <v>34</v>
      </c>
      <c r="AX245">
        <f t="shared" si="95"/>
        <v>53</v>
      </c>
    </row>
    <row r="246" spans="1:51" x14ac:dyDescent="0.25">
      <c r="A246" s="113">
        <v>243</v>
      </c>
      <c r="B246" s="209" t="s">
        <v>557</v>
      </c>
      <c r="C246" s="113">
        <v>1931</v>
      </c>
      <c r="D246" s="113">
        <v>2013</v>
      </c>
      <c r="E246" s="210" t="s">
        <v>4</v>
      </c>
      <c r="F246" s="210" t="s">
        <v>4</v>
      </c>
      <c r="G246" s="113">
        <v>242</v>
      </c>
      <c r="H246" s="113"/>
      <c r="I246" s="113"/>
      <c r="J246" s="113"/>
      <c r="K246" s="113"/>
      <c r="N246" s="113">
        <f>MATCH(A246,Entrada!$A$53:$A$372,0)</f>
        <v>149</v>
      </c>
      <c r="O246">
        <f>IF(NOT(ISNA($N246)),INDEX(Entrada!$C$53:$N$372,$N246,O$2),0)</f>
        <v>1314</v>
      </c>
      <c r="P246">
        <f>IF(NOT(ISNA($N246)),INDEX(Entrada!$C$53:$N$372,$N246,P$2),0)</f>
        <v>1428</v>
      </c>
      <c r="Q246">
        <f>IF(NOT(ISNA($N246)),INDEX(Entrada!$C$53:$N$372,$N246,Q$2),0)</f>
        <v>1242</v>
      </c>
      <c r="R246">
        <f>IF(NOT(ISNA($N246)),INDEX(Entrada!$C$53:$N$372,$N246,R$2),0)</f>
        <v>856</v>
      </c>
      <c r="S246">
        <f>IF(NOT(ISNA($N246)),INDEX(Entrada!$C$53:$N$372,$N246,S$2),0)</f>
        <v>662</v>
      </c>
      <c r="T246">
        <f>IF(NOT(ISNA($N246)),INDEX(Entrada!$C$53:$N$372,$N246,T$2),0)</f>
        <v>653</v>
      </c>
      <c r="U246">
        <f>IF(NOT(ISNA($N246)),INDEX(Entrada!$C$53:$N$372,$N246,U$2),0)</f>
        <v>533</v>
      </c>
      <c r="V246" s="225">
        <f>IF(NOT(ISNA($N246)),INDEX(Entrada!$C$53:$N$372,$N246,V$2),0)</f>
        <v>462</v>
      </c>
      <c r="W246" s="225">
        <f>IF(NOT(ISNA($N246)),INDEX(Entrada!$C$53:$N$372,$N246,W$2),0)</f>
        <v>484</v>
      </c>
      <c r="X246" s="225">
        <f>IF(NOT(ISNA($N246)),INDEX(Entrada!$C$53:$N$372,$N246,X$2),0)</f>
        <v>571</v>
      </c>
      <c r="Y246" s="225">
        <f>IF(NOT(ISNA($N246)),INDEX(Entrada!$C$53:$N$372,$N246,Y$2),0)</f>
        <v>607</v>
      </c>
      <c r="Z246" s="225">
        <f>IF(NOT(ISNA($N246)),INDEX(Entrada!$C$53:$N$372,$N246,Z$2),0)</f>
        <v>898</v>
      </c>
      <c r="AA246" s="113">
        <f t="shared" si="72"/>
        <v>1256</v>
      </c>
      <c r="AB246">
        <f t="shared" si="73"/>
        <v>1339</v>
      </c>
      <c r="AC246">
        <f t="shared" si="74"/>
        <v>1152</v>
      </c>
      <c r="AD246">
        <f t="shared" si="75"/>
        <v>783</v>
      </c>
      <c r="AE246">
        <f t="shared" si="76"/>
        <v>618</v>
      </c>
      <c r="AF246">
        <f t="shared" si="77"/>
        <v>606</v>
      </c>
      <c r="AG246">
        <f t="shared" si="78"/>
        <v>494</v>
      </c>
      <c r="AH246">
        <f t="shared" si="79"/>
        <v>427</v>
      </c>
      <c r="AI246">
        <f t="shared" si="80"/>
        <v>455</v>
      </c>
      <c r="AJ246">
        <f t="shared" si="81"/>
        <v>537</v>
      </c>
      <c r="AK246">
        <f t="shared" si="82"/>
        <v>574</v>
      </c>
      <c r="AL246">
        <f t="shared" si="83"/>
        <v>859</v>
      </c>
      <c r="AM246" s="113">
        <f t="shared" si="84"/>
        <v>58</v>
      </c>
      <c r="AN246">
        <f t="shared" si="85"/>
        <v>89</v>
      </c>
      <c r="AO246">
        <f t="shared" si="86"/>
        <v>90</v>
      </c>
      <c r="AP246">
        <f t="shared" si="87"/>
        <v>73</v>
      </c>
      <c r="AQ246">
        <f t="shared" si="88"/>
        <v>44</v>
      </c>
      <c r="AR246">
        <f t="shared" si="89"/>
        <v>47</v>
      </c>
      <c r="AS246">
        <f t="shared" si="90"/>
        <v>39</v>
      </c>
      <c r="AT246">
        <f t="shared" si="91"/>
        <v>35</v>
      </c>
      <c r="AU246">
        <f t="shared" si="92"/>
        <v>29</v>
      </c>
      <c r="AV246">
        <f t="shared" si="93"/>
        <v>34</v>
      </c>
      <c r="AW246">
        <f t="shared" si="94"/>
        <v>33</v>
      </c>
      <c r="AX246">
        <f t="shared" si="95"/>
        <v>39</v>
      </c>
    </row>
    <row r="247" spans="1:51" x14ac:dyDescent="0.25">
      <c r="A247" s="113">
        <v>244</v>
      </c>
      <c r="B247" s="209" t="s">
        <v>558</v>
      </c>
      <c r="C247" s="113">
        <v>1931</v>
      </c>
      <c r="D247" s="113">
        <v>2013</v>
      </c>
      <c r="E247" s="210" t="s">
        <v>7</v>
      </c>
      <c r="F247" s="210" t="s">
        <v>302</v>
      </c>
      <c r="G247" s="113"/>
      <c r="H247" s="113"/>
      <c r="I247" s="113"/>
      <c r="J247" s="113"/>
      <c r="K247" s="113"/>
      <c r="N247" s="113">
        <f>MATCH(A247,Entrada!$A$53:$A$372,0)</f>
        <v>150</v>
      </c>
      <c r="O247">
        <f>IF(NOT(ISNA($N247)),INDEX(Entrada!$C$53:$N$372,$N247,O$2),0)</f>
        <v>10278</v>
      </c>
      <c r="P247">
        <f>IF(NOT(ISNA($N247)),INDEX(Entrada!$C$53:$N$372,$N247,P$2),0)</f>
        <v>10851</v>
      </c>
      <c r="Q247">
        <f>IF(NOT(ISNA($N247)),INDEX(Entrada!$C$53:$N$372,$N247,Q$2),0)</f>
        <v>10248</v>
      </c>
      <c r="R247">
        <f>IF(NOT(ISNA($N247)),INDEX(Entrada!$C$53:$N$372,$N247,R$2),0)</f>
        <v>7640</v>
      </c>
      <c r="S247">
        <f>IF(NOT(ISNA($N247)),INDEX(Entrada!$C$53:$N$372,$N247,S$2),0)</f>
        <v>5311</v>
      </c>
      <c r="T247">
        <f>IF(NOT(ISNA($N247)),INDEX(Entrada!$C$53:$N$372,$N247,T$2),0)</f>
        <v>4456</v>
      </c>
      <c r="U247" s="219">
        <f>IF(NOT(ISNA($N247)),INDEX(Entrada!$C$53:$N$372,$N247,U$2),0)</f>
        <v>3645</v>
      </c>
      <c r="V247" s="225">
        <f>IF(NOT(ISNA($N247)),INDEX(Entrada!$C$53:$N$372,$N247,V$2),0)</f>
        <v>3069</v>
      </c>
      <c r="W247" s="225">
        <f>IF(NOT(ISNA($N247)),INDEX(Entrada!$C$53:$N$372,$N247,W$2),0)</f>
        <v>2970</v>
      </c>
      <c r="X247" s="225">
        <f>IF(NOT(ISNA($N247)),INDEX(Entrada!$C$53:$N$372,$N247,X$2),0)</f>
        <v>3447</v>
      </c>
      <c r="Y247" s="225">
        <f>IF(NOT(ISNA($N247)),INDEX(Entrada!$C$53:$N$372,$N247,Y$2),0)</f>
        <v>4525</v>
      </c>
      <c r="Z247" s="225">
        <f>IF(NOT(ISNA($N247)),INDEX(Entrada!$C$53:$N$372,$N247,Z$2),0)</f>
        <v>7180</v>
      </c>
      <c r="AA247" s="113">
        <f t="shared" si="72"/>
        <v>0</v>
      </c>
      <c r="AB247">
        <f t="shared" si="73"/>
        <v>0</v>
      </c>
      <c r="AC247">
        <f t="shared" si="74"/>
        <v>0</v>
      </c>
      <c r="AD247">
        <f t="shared" si="75"/>
        <v>0</v>
      </c>
      <c r="AE247">
        <f t="shared" si="76"/>
        <v>0</v>
      </c>
      <c r="AF247">
        <f t="shared" si="77"/>
        <v>0</v>
      </c>
      <c r="AG247">
        <f t="shared" si="78"/>
        <v>0</v>
      </c>
      <c r="AH247">
        <f t="shared" si="79"/>
        <v>0</v>
      </c>
      <c r="AI247">
        <f t="shared" si="80"/>
        <v>0</v>
      </c>
      <c r="AJ247">
        <f t="shared" si="81"/>
        <v>0</v>
      </c>
      <c r="AK247">
        <f t="shared" si="82"/>
        <v>0</v>
      </c>
      <c r="AL247">
        <f t="shared" si="83"/>
        <v>0</v>
      </c>
      <c r="AM247" s="219">
        <f t="shared" si="84"/>
        <v>10278</v>
      </c>
      <c r="AN247">
        <f t="shared" si="85"/>
        <v>10851</v>
      </c>
      <c r="AO247">
        <f t="shared" si="86"/>
        <v>10248</v>
      </c>
      <c r="AP247">
        <f t="shared" si="87"/>
        <v>7640</v>
      </c>
      <c r="AQ247">
        <f t="shared" si="88"/>
        <v>5311</v>
      </c>
      <c r="AR247">
        <f t="shared" si="89"/>
        <v>4456</v>
      </c>
      <c r="AS247">
        <f t="shared" si="90"/>
        <v>3645</v>
      </c>
      <c r="AT247">
        <f t="shared" si="91"/>
        <v>3069</v>
      </c>
      <c r="AU247">
        <f t="shared" si="92"/>
        <v>2970</v>
      </c>
      <c r="AV247">
        <f t="shared" si="93"/>
        <v>3447</v>
      </c>
      <c r="AW247">
        <f t="shared" si="94"/>
        <v>4525</v>
      </c>
      <c r="AX247">
        <f t="shared" si="95"/>
        <v>7180</v>
      </c>
      <c r="AY247" s="219">
        <f>AS37+AY246</f>
        <v>3112</v>
      </c>
    </row>
    <row r="248" spans="1:51" x14ac:dyDescent="0.25">
      <c r="A248" s="113">
        <v>245</v>
      </c>
      <c r="B248" s="209" t="s">
        <v>559</v>
      </c>
      <c r="C248" s="113">
        <v>1931</v>
      </c>
      <c r="D248" s="113">
        <v>2013</v>
      </c>
      <c r="E248" s="210" t="s">
        <v>7</v>
      </c>
      <c r="F248" s="210" t="s">
        <v>291</v>
      </c>
      <c r="G248" s="113">
        <v>244</v>
      </c>
      <c r="H248" s="113">
        <v>241</v>
      </c>
      <c r="I248" s="113"/>
      <c r="J248" s="113"/>
      <c r="K248" s="113"/>
      <c r="N248" s="113">
        <f>MATCH(A248,Entrada!$A$53:$A$372,0)</f>
        <v>151</v>
      </c>
      <c r="O248">
        <f>IF(NOT(ISNA($N248)),INDEX(Entrada!$C$53:$N$372,$N248,O$2),0)</f>
        <v>10693</v>
      </c>
      <c r="P248">
        <f>IF(NOT(ISNA($N248)),INDEX(Entrada!$C$53:$N$372,$N248,P$2),0)</f>
        <v>11311</v>
      </c>
      <c r="Q248">
        <f>IF(NOT(ISNA($N248)),INDEX(Entrada!$C$53:$N$372,$N248,Q$2),0)</f>
        <v>10676</v>
      </c>
      <c r="R248">
        <f>IF(NOT(ISNA($N248)),INDEX(Entrada!$C$53:$N$372,$N248,R$2),0)</f>
        <v>8004</v>
      </c>
      <c r="S248">
        <f>IF(NOT(ISNA($N248)),INDEX(Entrada!$C$53:$N$372,$N248,S$2),0)</f>
        <v>5621</v>
      </c>
      <c r="T248">
        <f>IF(NOT(ISNA($N248)),INDEX(Entrada!$C$53:$N$372,$N248,T$2),0)</f>
        <v>4754</v>
      </c>
      <c r="U248">
        <f>IF(NOT(ISNA($N248)),INDEX(Entrada!$C$53:$N$372,$N248,U$2),0)</f>
        <v>3925</v>
      </c>
      <c r="V248" s="225">
        <f>IF(NOT(ISNA($N248)),INDEX(Entrada!$C$53:$N$372,$N248,V$2),0)</f>
        <v>3347</v>
      </c>
      <c r="W248" s="225">
        <f>IF(NOT(ISNA($N248)),INDEX(Entrada!$C$53:$N$372,$N248,W$2),0)</f>
        <v>3236</v>
      </c>
      <c r="X248" s="225">
        <f>IF(NOT(ISNA($N248)),INDEX(Entrada!$C$53:$N$372,$N248,X$2),0)</f>
        <v>3720</v>
      </c>
      <c r="Y248" s="225">
        <f>IF(NOT(ISNA($N248)),INDEX(Entrada!$C$53:$N$372,$N248,Y$2),0)</f>
        <v>4816</v>
      </c>
      <c r="Z248" s="225">
        <f>IF(NOT(ISNA($N248)),INDEX(Entrada!$C$53:$N$372,$N248,Z$2),0)</f>
        <v>7509</v>
      </c>
      <c r="AA248" s="113">
        <f t="shared" si="72"/>
        <v>10543</v>
      </c>
      <c r="AB248">
        <f t="shared" si="73"/>
        <v>11137</v>
      </c>
      <c r="AC248">
        <f t="shared" si="74"/>
        <v>10535</v>
      </c>
      <c r="AD248">
        <f t="shared" si="75"/>
        <v>7872</v>
      </c>
      <c r="AE248">
        <f t="shared" si="76"/>
        <v>5491</v>
      </c>
      <c r="AF248">
        <f t="shared" si="77"/>
        <v>4613</v>
      </c>
      <c r="AG248">
        <f t="shared" si="78"/>
        <v>3785</v>
      </c>
      <c r="AH248">
        <f t="shared" si="79"/>
        <v>3198</v>
      </c>
      <c r="AI248">
        <f t="shared" si="80"/>
        <v>3103</v>
      </c>
      <c r="AJ248">
        <f t="shared" si="81"/>
        <v>3599</v>
      </c>
      <c r="AK248">
        <f t="shared" si="82"/>
        <v>4705</v>
      </c>
      <c r="AL248">
        <f t="shared" si="83"/>
        <v>7404</v>
      </c>
      <c r="AM248" s="113">
        <f t="shared" si="84"/>
        <v>150</v>
      </c>
      <c r="AN248">
        <f t="shared" si="85"/>
        <v>174</v>
      </c>
      <c r="AO248">
        <f t="shared" si="86"/>
        <v>141</v>
      </c>
      <c r="AP248">
        <f t="shared" si="87"/>
        <v>132</v>
      </c>
      <c r="AQ248">
        <f t="shared" si="88"/>
        <v>130</v>
      </c>
      <c r="AR248">
        <f t="shared" si="89"/>
        <v>141</v>
      </c>
      <c r="AS248">
        <f t="shared" si="90"/>
        <v>140</v>
      </c>
      <c r="AT248">
        <f t="shared" si="91"/>
        <v>149</v>
      </c>
      <c r="AU248">
        <f t="shared" si="92"/>
        <v>133</v>
      </c>
      <c r="AV248">
        <f t="shared" si="93"/>
        <v>121</v>
      </c>
      <c r="AW248">
        <f t="shared" si="94"/>
        <v>111</v>
      </c>
      <c r="AX248">
        <f t="shared" si="95"/>
        <v>105</v>
      </c>
    </row>
    <row r="249" spans="1:51" x14ac:dyDescent="0.25">
      <c r="A249" s="113">
        <v>246</v>
      </c>
      <c r="B249" s="209" t="s">
        <v>560</v>
      </c>
      <c r="C249" s="113">
        <v>1931</v>
      </c>
      <c r="D249" s="113">
        <v>2013</v>
      </c>
      <c r="E249" s="210" t="s">
        <v>8</v>
      </c>
      <c r="F249" s="210" t="s">
        <v>291</v>
      </c>
      <c r="G249" s="113">
        <v>245</v>
      </c>
      <c r="H249" s="113"/>
      <c r="I249" s="113"/>
      <c r="J249" s="113"/>
      <c r="K249" s="113"/>
      <c r="N249" s="113">
        <f>MATCH(A249,Entrada!$A$53:$A$372,0)</f>
        <v>152</v>
      </c>
      <c r="O249">
        <f>IF(NOT(ISNA($N249)),INDEX(Entrada!$C$53:$N$372,$N249,O$2),0)</f>
        <v>11559</v>
      </c>
      <c r="P249">
        <f>IF(NOT(ISNA($N249)),INDEX(Entrada!$C$53:$N$372,$N249,P$2),0)</f>
        <v>12433</v>
      </c>
      <c r="Q249">
        <f>IF(NOT(ISNA($N249)),INDEX(Entrada!$C$53:$N$372,$N249,Q$2),0)</f>
        <v>11776</v>
      </c>
      <c r="R249">
        <f>IF(NOT(ISNA($N249)),INDEX(Entrada!$C$53:$N$372,$N249,R$2),0)</f>
        <v>9042</v>
      </c>
      <c r="S249">
        <f>IF(NOT(ISNA($N249)),INDEX(Entrada!$C$53:$N$372,$N249,S$2),0)</f>
        <v>6508</v>
      </c>
      <c r="T249">
        <f>IF(NOT(ISNA($N249)),INDEX(Entrada!$C$53:$N$372,$N249,T$2),0)</f>
        <v>5641</v>
      </c>
      <c r="U249">
        <f>IF(NOT(ISNA($N249)),INDEX(Entrada!$C$53:$N$372,$N249,U$2),0)</f>
        <v>4639</v>
      </c>
      <c r="V249" s="225">
        <f>IF(NOT(ISNA($N249)),INDEX(Entrada!$C$53:$N$372,$N249,V$2),0)</f>
        <v>3954</v>
      </c>
      <c r="W249" s="225">
        <f>IF(NOT(ISNA($N249)),INDEX(Entrada!$C$53:$N$372,$N249,W$2),0)</f>
        <v>3842</v>
      </c>
      <c r="X249" s="225">
        <f>IF(NOT(ISNA($N249)),INDEX(Entrada!$C$53:$N$372,$N249,X$2),0)</f>
        <v>4380</v>
      </c>
      <c r="Y249" s="225">
        <f>IF(NOT(ISNA($N249)),INDEX(Entrada!$C$53:$N$372,$N249,Y$2),0)</f>
        <v>5473</v>
      </c>
      <c r="Z249" s="225">
        <f>IF(NOT(ISNA($N249)),INDEX(Entrada!$C$53:$N$372,$N249,Z$2),0)</f>
        <v>8161</v>
      </c>
      <c r="AA249" s="113">
        <f t="shared" si="72"/>
        <v>10693</v>
      </c>
      <c r="AB249">
        <f t="shared" si="73"/>
        <v>11311</v>
      </c>
      <c r="AC249">
        <f t="shared" si="74"/>
        <v>10676</v>
      </c>
      <c r="AD249">
        <f t="shared" si="75"/>
        <v>8004</v>
      </c>
      <c r="AE249">
        <f t="shared" si="76"/>
        <v>5621</v>
      </c>
      <c r="AF249">
        <f t="shared" si="77"/>
        <v>4754</v>
      </c>
      <c r="AG249">
        <f t="shared" si="78"/>
        <v>3925</v>
      </c>
      <c r="AH249">
        <f t="shared" si="79"/>
        <v>3347</v>
      </c>
      <c r="AI249">
        <f t="shared" si="80"/>
        <v>3236</v>
      </c>
      <c r="AJ249">
        <f t="shared" si="81"/>
        <v>3720</v>
      </c>
      <c r="AK249">
        <f t="shared" si="82"/>
        <v>4816</v>
      </c>
      <c r="AL249">
        <f t="shared" si="83"/>
        <v>7509</v>
      </c>
      <c r="AM249" s="113">
        <f t="shared" si="84"/>
        <v>866</v>
      </c>
      <c r="AN249">
        <f t="shared" si="85"/>
        <v>1122</v>
      </c>
      <c r="AO249">
        <f t="shared" si="86"/>
        <v>1100</v>
      </c>
      <c r="AP249">
        <f t="shared" si="87"/>
        <v>1038</v>
      </c>
      <c r="AQ249">
        <f t="shared" si="88"/>
        <v>887</v>
      </c>
      <c r="AR249">
        <f t="shared" si="89"/>
        <v>887</v>
      </c>
      <c r="AS249">
        <f t="shared" si="90"/>
        <v>714</v>
      </c>
      <c r="AT249">
        <f t="shared" si="91"/>
        <v>607</v>
      </c>
      <c r="AU249">
        <f t="shared" si="92"/>
        <v>606</v>
      </c>
      <c r="AV249">
        <f t="shared" si="93"/>
        <v>660</v>
      </c>
      <c r="AW249">
        <f t="shared" si="94"/>
        <v>657</v>
      </c>
      <c r="AX249">
        <f t="shared" si="95"/>
        <v>652</v>
      </c>
    </row>
    <row r="250" spans="1:51" x14ac:dyDescent="0.25">
      <c r="A250" s="113">
        <v>247</v>
      </c>
      <c r="B250" s="209" t="s">
        <v>645</v>
      </c>
      <c r="C250" s="113">
        <v>1931</v>
      </c>
      <c r="D250" s="113">
        <v>2013</v>
      </c>
      <c r="E250" s="210" t="s">
        <v>3</v>
      </c>
      <c r="F250" s="210" t="s">
        <v>408</v>
      </c>
      <c r="G250" s="113"/>
      <c r="H250" s="113"/>
      <c r="I250" s="113"/>
      <c r="J250" s="113"/>
      <c r="K250" s="113"/>
      <c r="N250" s="113">
        <f>MATCH(A250,Entrada!$A$53:$A$372,0)</f>
        <v>153</v>
      </c>
      <c r="O250">
        <f>IF(NOT(ISNA($N250)),INDEX(Entrada!$C$53:$N$372,$N250,O$2),0)</f>
        <v>289</v>
      </c>
      <c r="P250">
        <f>IF(NOT(ISNA($N250)),INDEX(Entrada!$C$53:$N$372,$N250,P$2),0)</f>
        <v>323</v>
      </c>
      <c r="Q250">
        <f>IF(NOT(ISNA($N250)),INDEX(Entrada!$C$53:$N$372,$N250,Q$2),0)</f>
        <v>328</v>
      </c>
      <c r="R250">
        <f>IF(NOT(ISNA($N250)),INDEX(Entrada!$C$53:$N$372,$N250,R$2),0)</f>
        <v>253</v>
      </c>
      <c r="S250">
        <f>IF(NOT(ISNA($N250)),INDEX(Entrada!$C$53:$N$372,$N250,S$2),0)</f>
        <v>177</v>
      </c>
      <c r="T250">
        <f>IF(NOT(ISNA($N250)),INDEX(Entrada!$C$53:$N$372,$N250,T$2),0)</f>
        <v>139</v>
      </c>
      <c r="U250">
        <f>IF(NOT(ISNA($N250)),INDEX(Entrada!$C$53:$N$372,$N250,U$2),0)</f>
        <v>116</v>
      </c>
      <c r="V250" s="225">
        <f>IF(NOT(ISNA($N250)),INDEX(Entrada!$C$53:$N$372,$N250,V$2),0)</f>
        <v>101</v>
      </c>
      <c r="W250" s="225">
        <f>IF(NOT(ISNA($N250)),INDEX(Entrada!$C$53:$N$372,$N250,W$2),0)</f>
        <v>103</v>
      </c>
      <c r="X250" s="225">
        <f>IF(NOT(ISNA($N250)),INDEX(Entrada!$C$53:$N$372,$N250,X$2),0)</f>
        <v>128</v>
      </c>
      <c r="Y250" s="225">
        <f>IF(NOT(ISNA($N250)),INDEX(Entrada!$C$53:$N$372,$N250,Y$2),0)</f>
        <v>166</v>
      </c>
      <c r="Z250" s="225">
        <f>IF(NOT(ISNA($N250)),INDEX(Entrada!$C$53:$N$372,$N250,Z$2),0)</f>
        <v>231</v>
      </c>
      <c r="AA250" s="113">
        <f t="shared" si="72"/>
        <v>0</v>
      </c>
      <c r="AB250">
        <f t="shared" si="73"/>
        <v>0</v>
      </c>
      <c r="AC250">
        <f t="shared" si="74"/>
        <v>0</v>
      </c>
      <c r="AD250">
        <f t="shared" si="75"/>
        <v>0</v>
      </c>
      <c r="AE250">
        <f t="shared" si="76"/>
        <v>0</v>
      </c>
      <c r="AF250">
        <f t="shared" si="77"/>
        <v>0</v>
      </c>
      <c r="AG250">
        <f t="shared" si="78"/>
        <v>0</v>
      </c>
      <c r="AH250">
        <f t="shared" si="79"/>
        <v>0</v>
      </c>
      <c r="AI250">
        <f t="shared" si="80"/>
        <v>0</v>
      </c>
      <c r="AJ250">
        <f t="shared" si="81"/>
        <v>0</v>
      </c>
      <c r="AK250">
        <f t="shared" si="82"/>
        <v>0</v>
      </c>
      <c r="AL250">
        <f t="shared" si="83"/>
        <v>0</v>
      </c>
      <c r="AM250" s="113">
        <f t="shared" si="84"/>
        <v>289</v>
      </c>
      <c r="AN250">
        <f t="shared" si="85"/>
        <v>323</v>
      </c>
      <c r="AO250">
        <f t="shared" si="86"/>
        <v>328</v>
      </c>
      <c r="AP250">
        <f t="shared" si="87"/>
        <v>253</v>
      </c>
      <c r="AQ250">
        <f t="shared" si="88"/>
        <v>177</v>
      </c>
      <c r="AR250">
        <f t="shared" si="89"/>
        <v>139</v>
      </c>
      <c r="AS250">
        <f t="shared" si="90"/>
        <v>116</v>
      </c>
      <c r="AT250">
        <f t="shared" si="91"/>
        <v>101</v>
      </c>
      <c r="AU250">
        <f t="shared" si="92"/>
        <v>103</v>
      </c>
      <c r="AV250">
        <f t="shared" si="93"/>
        <v>128</v>
      </c>
      <c r="AW250">
        <f t="shared" si="94"/>
        <v>166</v>
      </c>
      <c r="AX250">
        <f t="shared" si="95"/>
        <v>231</v>
      </c>
    </row>
    <row r="251" spans="1:51" x14ac:dyDescent="0.25">
      <c r="A251" s="113">
        <v>248</v>
      </c>
      <c r="B251" s="209" t="s">
        <v>646</v>
      </c>
      <c r="C251" s="113">
        <v>1931</v>
      </c>
      <c r="D251" s="113">
        <v>2013</v>
      </c>
      <c r="E251" s="210" t="s">
        <v>3</v>
      </c>
      <c r="F251" s="210" t="s">
        <v>408</v>
      </c>
      <c r="G251" s="113">
        <v>247</v>
      </c>
      <c r="H251" s="113"/>
      <c r="I251" s="113"/>
      <c r="J251" s="113"/>
      <c r="K251" s="113"/>
      <c r="N251" s="113">
        <f>MATCH(A251,Entrada!$A$53:$A$372,0)</f>
        <v>154</v>
      </c>
      <c r="O251">
        <f>IF(NOT(ISNA($N251)),INDEX(Entrada!$C$53:$N$372,$N251,O$2),0)</f>
        <v>301</v>
      </c>
      <c r="P251">
        <f>IF(NOT(ISNA($N251)),INDEX(Entrada!$C$53:$N$372,$N251,P$2),0)</f>
        <v>336</v>
      </c>
      <c r="Q251">
        <f>IF(NOT(ISNA($N251)),INDEX(Entrada!$C$53:$N$372,$N251,Q$2),0)</f>
        <v>341</v>
      </c>
      <c r="R251">
        <f>IF(NOT(ISNA($N251)),INDEX(Entrada!$C$53:$N$372,$N251,R$2),0)</f>
        <v>263</v>
      </c>
      <c r="S251">
        <f>IF(NOT(ISNA($N251)),INDEX(Entrada!$C$53:$N$372,$N251,S$2),0)</f>
        <v>184</v>
      </c>
      <c r="T251">
        <f>IF(NOT(ISNA($N251)),INDEX(Entrada!$C$53:$N$372,$N251,T$2),0)</f>
        <v>145</v>
      </c>
      <c r="U251">
        <f>IF(NOT(ISNA($N251)),INDEX(Entrada!$C$53:$N$372,$N251,U$2),0)</f>
        <v>121</v>
      </c>
      <c r="V251" s="225">
        <f>IF(NOT(ISNA($N251)),INDEX(Entrada!$C$53:$N$372,$N251,V$2),0)</f>
        <v>105</v>
      </c>
      <c r="W251" s="225">
        <f>IF(NOT(ISNA($N251)),INDEX(Entrada!$C$53:$N$372,$N251,W$2),0)</f>
        <v>107</v>
      </c>
      <c r="X251" s="225">
        <f>IF(NOT(ISNA($N251)),INDEX(Entrada!$C$53:$N$372,$N251,X$2),0)</f>
        <v>133</v>
      </c>
      <c r="Y251" s="225">
        <f>IF(NOT(ISNA($N251)),INDEX(Entrada!$C$53:$N$372,$N251,Y$2),0)</f>
        <v>173</v>
      </c>
      <c r="Z251" s="225">
        <f>IF(NOT(ISNA($N251)),INDEX(Entrada!$C$53:$N$372,$N251,Z$2),0)</f>
        <v>241</v>
      </c>
      <c r="AA251" s="113">
        <f t="shared" si="72"/>
        <v>289</v>
      </c>
      <c r="AB251">
        <f t="shared" si="73"/>
        <v>323</v>
      </c>
      <c r="AC251">
        <f t="shared" si="74"/>
        <v>328</v>
      </c>
      <c r="AD251">
        <f t="shared" si="75"/>
        <v>253</v>
      </c>
      <c r="AE251">
        <f t="shared" si="76"/>
        <v>177</v>
      </c>
      <c r="AF251">
        <f t="shared" si="77"/>
        <v>139</v>
      </c>
      <c r="AG251">
        <f t="shared" si="78"/>
        <v>116</v>
      </c>
      <c r="AH251">
        <f t="shared" si="79"/>
        <v>101</v>
      </c>
      <c r="AI251">
        <f t="shared" si="80"/>
        <v>103</v>
      </c>
      <c r="AJ251">
        <f t="shared" si="81"/>
        <v>128</v>
      </c>
      <c r="AK251">
        <f t="shared" si="82"/>
        <v>166</v>
      </c>
      <c r="AL251">
        <f t="shared" si="83"/>
        <v>231</v>
      </c>
      <c r="AM251" s="113">
        <f t="shared" si="84"/>
        <v>12</v>
      </c>
      <c r="AN251">
        <f t="shared" si="85"/>
        <v>13</v>
      </c>
      <c r="AO251">
        <f t="shared" si="86"/>
        <v>13</v>
      </c>
      <c r="AP251">
        <f t="shared" si="87"/>
        <v>10</v>
      </c>
      <c r="AQ251">
        <f t="shared" si="88"/>
        <v>7</v>
      </c>
      <c r="AR251">
        <f t="shared" si="89"/>
        <v>6</v>
      </c>
      <c r="AS251">
        <f t="shared" si="90"/>
        <v>5</v>
      </c>
      <c r="AT251">
        <f t="shared" si="91"/>
        <v>4</v>
      </c>
      <c r="AU251">
        <f t="shared" si="92"/>
        <v>4</v>
      </c>
      <c r="AV251">
        <f t="shared" si="93"/>
        <v>5</v>
      </c>
      <c r="AW251">
        <f t="shared" si="94"/>
        <v>7</v>
      </c>
      <c r="AX251">
        <f t="shared" si="95"/>
        <v>10</v>
      </c>
    </row>
    <row r="252" spans="1:51" x14ac:dyDescent="0.25">
      <c r="A252" s="113">
        <v>249</v>
      </c>
      <c r="B252" s="209" t="s">
        <v>647</v>
      </c>
      <c r="C252" s="113">
        <v>1931</v>
      </c>
      <c r="D252" s="113">
        <v>2013</v>
      </c>
      <c r="E252" s="210" t="s">
        <v>5</v>
      </c>
      <c r="F252" s="210" t="s">
        <v>307</v>
      </c>
      <c r="G252" s="113">
        <v>49</v>
      </c>
      <c r="H252" s="113"/>
      <c r="I252" s="113"/>
      <c r="J252" s="113"/>
      <c r="K252" s="113"/>
      <c r="N252" s="113">
        <f>MATCH(A252,Entrada!$A$53:$A$372,0)</f>
        <v>155</v>
      </c>
      <c r="O252">
        <f>IF(NOT(ISNA($N252)),INDEX(Entrada!$C$53:$N$372,$N252,O$2),0)</f>
        <v>512</v>
      </c>
      <c r="P252">
        <f>IF(NOT(ISNA($N252)),INDEX(Entrada!$C$53:$N$372,$N252,P$2),0)</f>
        <v>553</v>
      </c>
      <c r="Q252">
        <f>IF(NOT(ISNA($N252)),INDEX(Entrada!$C$53:$N$372,$N252,Q$2),0)</f>
        <v>458</v>
      </c>
      <c r="R252">
        <f>IF(NOT(ISNA($N252)),INDEX(Entrada!$C$53:$N$372,$N252,R$2),0)</f>
        <v>331</v>
      </c>
      <c r="S252">
        <f>IF(NOT(ISNA($N252)),INDEX(Entrada!$C$53:$N$372,$N252,S$2),0)</f>
        <v>305</v>
      </c>
      <c r="T252">
        <f>IF(NOT(ISNA($N252)),INDEX(Entrada!$C$53:$N$372,$N252,T$2),0)</f>
        <v>319</v>
      </c>
      <c r="U252">
        <f>IF(NOT(ISNA($N252)),INDEX(Entrada!$C$53:$N$372,$N252,U$2),0)</f>
        <v>281</v>
      </c>
      <c r="V252" s="225">
        <f>IF(NOT(ISNA($N252)),INDEX(Entrada!$C$53:$N$372,$N252,V$2),0)</f>
        <v>232</v>
      </c>
      <c r="W252" s="225">
        <f>IF(NOT(ISNA($N252)),INDEX(Entrada!$C$53:$N$372,$N252,W$2),0)</f>
        <v>258</v>
      </c>
      <c r="X252" s="225">
        <f>IF(NOT(ISNA($N252)),INDEX(Entrada!$C$53:$N$372,$N252,X$2),0)</f>
        <v>309</v>
      </c>
      <c r="Y252" s="225">
        <f>IF(NOT(ISNA($N252)),INDEX(Entrada!$C$53:$N$372,$N252,Y$2),0)</f>
        <v>286</v>
      </c>
      <c r="Z252" s="225">
        <f>IF(NOT(ISNA($N252)),INDEX(Entrada!$C$53:$N$372,$N252,Z$2),0)</f>
        <v>355</v>
      </c>
      <c r="AA252" s="113">
        <f t="shared" si="72"/>
        <v>506</v>
      </c>
      <c r="AB252">
        <f t="shared" si="73"/>
        <v>547</v>
      </c>
      <c r="AC252">
        <f t="shared" si="74"/>
        <v>453</v>
      </c>
      <c r="AD252">
        <f t="shared" si="75"/>
        <v>326</v>
      </c>
      <c r="AE252">
        <f t="shared" si="76"/>
        <v>301</v>
      </c>
      <c r="AF252">
        <f t="shared" si="77"/>
        <v>314</v>
      </c>
      <c r="AG252">
        <f t="shared" si="78"/>
        <v>277</v>
      </c>
      <c r="AH252">
        <f t="shared" si="79"/>
        <v>229</v>
      </c>
      <c r="AI252">
        <f t="shared" si="80"/>
        <v>255</v>
      </c>
      <c r="AJ252">
        <f t="shared" si="81"/>
        <v>305</v>
      </c>
      <c r="AK252">
        <f t="shared" si="82"/>
        <v>282</v>
      </c>
      <c r="AL252">
        <f t="shared" si="83"/>
        <v>351</v>
      </c>
      <c r="AM252" s="113">
        <f t="shared" si="84"/>
        <v>6</v>
      </c>
      <c r="AN252">
        <f t="shared" si="85"/>
        <v>6</v>
      </c>
      <c r="AO252">
        <f t="shared" si="86"/>
        <v>5</v>
      </c>
      <c r="AP252">
        <f t="shared" si="87"/>
        <v>5</v>
      </c>
      <c r="AQ252">
        <f t="shared" si="88"/>
        <v>4</v>
      </c>
      <c r="AR252">
        <f t="shared" si="89"/>
        <v>5</v>
      </c>
      <c r="AS252">
        <f t="shared" si="90"/>
        <v>4</v>
      </c>
      <c r="AT252">
        <f t="shared" si="91"/>
        <v>3</v>
      </c>
      <c r="AU252">
        <f t="shared" si="92"/>
        <v>3</v>
      </c>
      <c r="AV252">
        <f t="shared" si="93"/>
        <v>4</v>
      </c>
      <c r="AW252">
        <f t="shared" si="94"/>
        <v>4</v>
      </c>
      <c r="AX252">
        <f t="shared" si="95"/>
        <v>4</v>
      </c>
    </row>
    <row r="253" spans="1:51" x14ac:dyDescent="0.25">
      <c r="A253" s="113">
        <v>250</v>
      </c>
      <c r="B253" s="209"/>
      <c r="C253" s="113">
        <v>0</v>
      </c>
      <c r="D253" s="113">
        <v>0</v>
      </c>
      <c r="E253" s="113" t="s">
        <v>688</v>
      </c>
      <c r="F253" s="113" t="s">
        <v>688</v>
      </c>
      <c r="G253" s="113"/>
      <c r="H253" s="113"/>
      <c r="I253" s="113"/>
      <c r="J253" s="113"/>
      <c r="K253" s="113"/>
      <c r="N253" s="113" t="e">
        <f>MATCH(A253,Entrada!$A$53:$A$372,0)</f>
        <v>#N/A</v>
      </c>
      <c r="O253">
        <f>IF(NOT(ISNA($N253)),INDEX(Entrada!$C$53:$N$372,$N253,O$2),0)</f>
        <v>0</v>
      </c>
      <c r="P253">
        <f>IF(NOT(ISNA($N253)),INDEX(Entrada!$C$53:$N$372,$N253,P$2),0)</f>
        <v>0</v>
      </c>
      <c r="Q253">
        <f>IF(NOT(ISNA($N253)),INDEX(Entrada!$C$53:$N$372,$N253,Q$2),0)</f>
        <v>0</v>
      </c>
      <c r="R253">
        <f>IF(NOT(ISNA($N253)),INDEX(Entrada!$C$53:$N$372,$N253,R$2),0)</f>
        <v>0</v>
      </c>
      <c r="S253">
        <f>IF(NOT(ISNA($N253)),INDEX(Entrada!$C$53:$N$372,$N253,S$2),0)</f>
        <v>0</v>
      </c>
      <c r="T253">
        <f>IF(NOT(ISNA($N253)),INDEX(Entrada!$C$53:$N$372,$N253,T$2),0)</f>
        <v>0</v>
      </c>
      <c r="U253">
        <f>IF(NOT(ISNA($N253)),INDEX(Entrada!$C$53:$N$372,$N253,U$2),0)</f>
        <v>0</v>
      </c>
      <c r="V253" s="225">
        <f>IF(NOT(ISNA($N253)),INDEX(Entrada!$C$53:$N$372,$N253,V$2),0)</f>
        <v>0</v>
      </c>
      <c r="W253" s="225">
        <f>IF(NOT(ISNA($N253)),INDEX(Entrada!$C$53:$N$372,$N253,W$2),0)</f>
        <v>0</v>
      </c>
      <c r="X253" s="225">
        <f>IF(NOT(ISNA($N253)),INDEX(Entrada!$C$53:$N$372,$N253,X$2),0)</f>
        <v>0</v>
      </c>
      <c r="Y253" s="225">
        <f>IF(NOT(ISNA($N253)),INDEX(Entrada!$C$53:$N$372,$N253,Y$2),0)</f>
        <v>0</v>
      </c>
      <c r="Z253" s="225">
        <f>IF(NOT(ISNA($N253)),INDEX(Entrada!$C$53:$N$372,$N253,Z$2),0)</f>
        <v>0</v>
      </c>
      <c r="AA253" s="113">
        <f t="shared" si="72"/>
        <v>0</v>
      </c>
      <c r="AB253">
        <f t="shared" si="73"/>
        <v>0</v>
      </c>
      <c r="AC253">
        <f t="shared" si="74"/>
        <v>0</v>
      </c>
      <c r="AD253">
        <f t="shared" si="75"/>
        <v>0</v>
      </c>
      <c r="AE253">
        <f t="shared" si="76"/>
        <v>0</v>
      </c>
      <c r="AF253">
        <f t="shared" si="77"/>
        <v>0</v>
      </c>
      <c r="AG253">
        <f t="shared" si="78"/>
        <v>0</v>
      </c>
      <c r="AH253">
        <f t="shared" si="79"/>
        <v>0</v>
      </c>
      <c r="AI253">
        <f t="shared" si="80"/>
        <v>0</v>
      </c>
      <c r="AJ253">
        <f t="shared" si="81"/>
        <v>0</v>
      </c>
      <c r="AK253">
        <f t="shared" si="82"/>
        <v>0</v>
      </c>
      <c r="AL253">
        <f t="shared" si="83"/>
        <v>0</v>
      </c>
      <c r="AM253" s="113">
        <f t="shared" si="84"/>
        <v>0</v>
      </c>
      <c r="AN253">
        <f t="shared" si="85"/>
        <v>0</v>
      </c>
      <c r="AO253">
        <f t="shared" si="86"/>
        <v>0</v>
      </c>
      <c r="AP253">
        <f t="shared" si="87"/>
        <v>0</v>
      </c>
      <c r="AQ253">
        <f t="shared" si="88"/>
        <v>0</v>
      </c>
      <c r="AR253">
        <f t="shared" si="89"/>
        <v>0</v>
      </c>
      <c r="AS253">
        <f t="shared" si="90"/>
        <v>0</v>
      </c>
      <c r="AT253">
        <f t="shared" si="91"/>
        <v>0</v>
      </c>
      <c r="AU253">
        <f t="shared" si="92"/>
        <v>0</v>
      </c>
      <c r="AV253">
        <f t="shared" si="93"/>
        <v>0</v>
      </c>
      <c r="AW253">
        <f t="shared" si="94"/>
        <v>0</v>
      </c>
      <c r="AX253">
        <f t="shared" si="95"/>
        <v>0</v>
      </c>
    </row>
    <row r="254" spans="1:51" x14ac:dyDescent="0.25">
      <c r="A254" s="113">
        <v>251</v>
      </c>
      <c r="B254" s="209" t="s">
        <v>648</v>
      </c>
      <c r="C254" s="113">
        <v>1931</v>
      </c>
      <c r="D254" s="113">
        <v>2013</v>
      </c>
      <c r="E254" s="210" t="s">
        <v>3</v>
      </c>
      <c r="F254" s="210" t="s">
        <v>287</v>
      </c>
      <c r="G254" s="113">
        <v>22</v>
      </c>
      <c r="H254" s="113"/>
      <c r="I254" s="113"/>
      <c r="J254" s="113"/>
      <c r="K254" s="113"/>
      <c r="N254" s="113">
        <f>MATCH(A254,Entrada!$A$53:$A$372,0)</f>
        <v>156</v>
      </c>
      <c r="O254">
        <f>IF(NOT(ISNA($N254)),INDEX(Entrada!$C$53:$N$372,$N254,O$2),0)</f>
        <v>322</v>
      </c>
      <c r="P254">
        <f>IF(NOT(ISNA($N254)),INDEX(Entrada!$C$53:$N$372,$N254,P$2),0)</f>
        <v>322</v>
      </c>
      <c r="Q254">
        <f>IF(NOT(ISNA($N254)),INDEX(Entrada!$C$53:$N$372,$N254,Q$2),0)</f>
        <v>322</v>
      </c>
      <c r="R254">
        <f>IF(NOT(ISNA($N254)),INDEX(Entrada!$C$53:$N$372,$N254,R$2),0)</f>
        <v>241</v>
      </c>
      <c r="S254">
        <f>IF(NOT(ISNA($N254)),INDEX(Entrada!$C$53:$N$372,$N254,S$2),0)</f>
        <v>152</v>
      </c>
      <c r="T254">
        <f>IF(NOT(ISNA($N254)),INDEX(Entrada!$C$53:$N$372,$N254,T$2),0)</f>
        <v>116</v>
      </c>
      <c r="U254">
        <f>IF(NOT(ISNA($N254)),INDEX(Entrada!$C$53:$N$372,$N254,U$2),0)</f>
        <v>91</v>
      </c>
      <c r="V254" s="225">
        <f>IF(NOT(ISNA($N254)),INDEX(Entrada!$C$53:$N$372,$N254,V$2),0)</f>
        <v>72</v>
      </c>
      <c r="W254" s="225">
        <f>IF(NOT(ISNA($N254)),INDEX(Entrada!$C$53:$N$372,$N254,W$2),0)</f>
        <v>61</v>
      </c>
      <c r="X254" s="225">
        <f>IF(NOT(ISNA($N254)),INDEX(Entrada!$C$53:$N$372,$N254,X$2),0)</f>
        <v>74</v>
      </c>
      <c r="Y254" s="225">
        <f>IF(NOT(ISNA($N254)),INDEX(Entrada!$C$53:$N$372,$N254,Y$2),0)</f>
        <v>127</v>
      </c>
      <c r="Z254" s="225">
        <f>IF(NOT(ISNA($N254)),INDEX(Entrada!$C$53:$N$372,$N254,Z$2),0)</f>
        <v>242</v>
      </c>
      <c r="AA254" s="113">
        <f t="shared" si="72"/>
        <v>193</v>
      </c>
      <c r="AB254">
        <f t="shared" si="73"/>
        <v>196</v>
      </c>
      <c r="AC254">
        <f t="shared" si="74"/>
        <v>199</v>
      </c>
      <c r="AD254">
        <f t="shared" si="75"/>
        <v>150</v>
      </c>
      <c r="AE254">
        <f t="shared" si="76"/>
        <v>96</v>
      </c>
      <c r="AF254">
        <f t="shared" si="77"/>
        <v>73</v>
      </c>
      <c r="AG254">
        <f t="shared" si="78"/>
        <v>58</v>
      </c>
      <c r="AH254">
        <f t="shared" si="79"/>
        <v>45</v>
      </c>
      <c r="AI254">
        <f t="shared" si="80"/>
        <v>39</v>
      </c>
      <c r="AJ254">
        <f t="shared" si="81"/>
        <v>46</v>
      </c>
      <c r="AK254">
        <f t="shared" si="82"/>
        <v>78</v>
      </c>
      <c r="AL254">
        <f t="shared" si="83"/>
        <v>146</v>
      </c>
      <c r="AM254" s="113">
        <f t="shared" si="84"/>
        <v>129</v>
      </c>
      <c r="AN254">
        <f t="shared" si="85"/>
        <v>126</v>
      </c>
      <c r="AO254">
        <f t="shared" si="86"/>
        <v>123</v>
      </c>
      <c r="AP254">
        <f t="shared" si="87"/>
        <v>91</v>
      </c>
      <c r="AQ254">
        <f t="shared" si="88"/>
        <v>56</v>
      </c>
      <c r="AR254">
        <f t="shared" si="89"/>
        <v>43</v>
      </c>
      <c r="AS254">
        <f t="shared" si="90"/>
        <v>33</v>
      </c>
      <c r="AT254">
        <f t="shared" si="91"/>
        <v>27</v>
      </c>
      <c r="AU254">
        <f t="shared" si="92"/>
        <v>22</v>
      </c>
      <c r="AV254">
        <f t="shared" si="93"/>
        <v>28</v>
      </c>
      <c r="AW254">
        <f t="shared" si="94"/>
        <v>49</v>
      </c>
      <c r="AX254">
        <f t="shared" si="95"/>
        <v>96</v>
      </c>
    </row>
    <row r="255" spans="1:51" x14ac:dyDescent="0.25">
      <c r="A255" s="113">
        <v>252</v>
      </c>
      <c r="B255" s="209" t="s">
        <v>266</v>
      </c>
      <c r="C255" s="113">
        <v>1931</v>
      </c>
      <c r="D255" s="113">
        <v>2013</v>
      </c>
      <c r="E255" s="210" t="s">
        <v>14</v>
      </c>
      <c r="F255" s="210" t="s">
        <v>413</v>
      </c>
      <c r="G255" s="113">
        <v>259</v>
      </c>
      <c r="H255" s="113"/>
      <c r="I255" s="113"/>
      <c r="J255" s="113"/>
      <c r="K255" s="113"/>
      <c r="N255" s="113">
        <f>MATCH(A255,Entrada!$A$53:$A$372,0)</f>
        <v>157</v>
      </c>
      <c r="O255">
        <f>IF(NOT(ISNA($N255)),INDEX(Entrada!$C$53:$N$372,$N255,O$2),0)</f>
        <v>102</v>
      </c>
      <c r="P255">
        <f>IF(NOT(ISNA($N255)),INDEX(Entrada!$C$53:$N$372,$N255,P$2),0)</f>
        <v>115</v>
      </c>
      <c r="Q255">
        <f>IF(NOT(ISNA($N255)),INDEX(Entrada!$C$53:$N$372,$N255,Q$2),0)</f>
        <v>113</v>
      </c>
      <c r="R255">
        <f>IF(NOT(ISNA($N255)),INDEX(Entrada!$C$53:$N$372,$N255,R$2),0)</f>
        <v>89</v>
      </c>
      <c r="S255">
        <f>IF(NOT(ISNA($N255)),INDEX(Entrada!$C$53:$N$372,$N255,S$2),0)</f>
        <v>66</v>
      </c>
      <c r="T255">
        <f>IF(NOT(ISNA($N255)),INDEX(Entrada!$C$53:$N$372,$N255,T$2),0)</f>
        <v>56</v>
      </c>
      <c r="U255">
        <f>IF(NOT(ISNA($N255)),INDEX(Entrada!$C$53:$N$372,$N255,U$2),0)</f>
        <v>51</v>
      </c>
      <c r="V255" s="225">
        <f>IF(NOT(ISNA($N255)),INDEX(Entrada!$C$53:$N$372,$N255,V$2),0)</f>
        <v>47</v>
      </c>
      <c r="W255" s="225">
        <f>IF(NOT(ISNA($N255)),INDEX(Entrada!$C$53:$N$372,$N255,W$2),0)</f>
        <v>48</v>
      </c>
      <c r="X255" s="225">
        <f>IF(NOT(ISNA($N255)),INDEX(Entrada!$C$53:$N$372,$N255,X$2),0)</f>
        <v>52</v>
      </c>
      <c r="Y255" s="225">
        <f>IF(NOT(ISNA($N255)),INDEX(Entrada!$C$53:$N$372,$N255,Y$2),0)</f>
        <v>61</v>
      </c>
      <c r="Z255" s="225">
        <f>IF(NOT(ISNA($N255)),INDEX(Entrada!$C$53:$N$372,$N255,Z$2),0)</f>
        <v>80</v>
      </c>
      <c r="AA255" s="113">
        <f t="shared" si="72"/>
        <v>102</v>
      </c>
      <c r="AB255">
        <f t="shared" si="73"/>
        <v>115</v>
      </c>
      <c r="AC255">
        <f t="shared" si="74"/>
        <v>113</v>
      </c>
      <c r="AD255">
        <f t="shared" si="75"/>
        <v>89</v>
      </c>
      <c r="AE255">
        <f t="shared" si="76"/>
        <v>66</v>
      </c>
      <c r="AF255">
        <f t="shared" si="77"/>
        <v>56</v>
      </c>
      <c r="AG255">
        <f t="shared" si="78"/>
        <v>51</v>
      </c>
      <c r="AH255">
        <f t="shared" si="79"/>
        <v>47</v>
      </c>
      <c r="AI255">
        <f t="shared" si="80"/>
        <v>48</v>
      </c>
      <c r="AJ255">
        <f t="shared" si="81"/>
        <v>52</v>
      </c>
      <c r="AK255">
        <f t="shared" si="82"/>
        <v>61</v>
      </c>
      <c r="AL255">
        <f t="shared" si="83"/>
        <v>80</v>
      </c>
      <c r="AM255" s="113">
        <f t="shared" si="84"/>
        <v>0</v>
      </c>
      <c r="AN255">
        <f t="shared" si="85"/>
        <v>0</v>
      </c>
      <c r="AO255">
        <f t="shared" si="86"/>
        <v>0</v>
      </c>
      <c r="AP255">
        <f t="shared" si="87"/>
        <v>0</v>
      </c>
      <c r="AQ255">
        <f t="shared" si="88"/>
        <v>0</v>
      </c>
      <c r="AR255">
        <f t="shared" si="89"/>
        <v>0</v>
      </c>
      <c r="AS255">
        <f t="shared" si="90"/>
        <v>0</v>
      </c>
      <c r="AT255">
        <f t="shared" si="91"/>
        <v>0</v>
      </c>
      <c r="AU255">
        <f t="shared" si="92"/>
        <v>0</v>
      </c>
      <c r="AV255">
        <f t="shared" si="93"/>
        <v>0</v>
      </c>
      <c r="AW255">
        <f t="shared" si="94"/>
        <v>0</v>
      </c>
      <c r="AX255">
        <f t="shared" si="95"/>
        <v>0</v>
      </c>
    </row>
    <row r="256" spans="1:51" x14ac:dyDescent="0.25">
      <c r="A256" s="113">
        <v>253</v>
      </c>
      <c r="B256" s="209" t="s">
        <v>231</v>
      </c>
      <c r="C256" s="113">
        <v>1931</v>
      </c>
      <c r="D256" s="113">
        <v>2013</v>
      </c>
      <c r="E256" s="210" t="s">
        <v>26</v>
      </c>
      <c r="F256" s="210" t="s">
        <v>387</v>
      </c>
      <c r="G256" s="113">
        <v>191</v>
      </c>
      <c r="H256" s="113"/>
      <c r="I256" s="113"/>
      <c r="J256" s="113"/>
      <c r="K256" s="113"/>
      <c r="N256" s="113">
        <f>MATCH(A256,Entrada!$A$53:$A$372,0)</f>
        <v>158</v>
      </c>
      <c r="O256">
        <f>IF(NOT(ISNA($N256)),INDEX(Entrada!$C$53:$N$372,$N256,O$2),0)</f>
        <v>1759</v>
      </c>
      <c r="P256">
        <f>IF(NOT(ISNA($N256)),INDEX(Entrada!$C$53:$N$372,$N256,P$2),0)</f>
        <v>1996</v>
      </c>
      <c r="Q256">
        <f>IF(NOT(ISNA($N256)),INDEX(Entrada!$C$53:$N$372,$N256,Q$2),0)</f>
        <v>1864</v>
      </c>
      <c r="R256">
        <f>IF(NOT(ISNA($N256)),INDEX(Entrada!$C$53:$N$372,$N256,R$2),0)</f>
        <v>1343</v>
      </c>
      <c r="S256">
        <f>IF(NOT(ISNA($N256)),INDEX(Entrada!$C$53:$N$372,$N256,S$2),0)</f>
        <v>710</v>
      </c>
      <c r="T256">
        <f>IF(NOT(ISNA($N256)),INDEX(Entrada!$C$53:$N$372,$N256,T$2),0)</f>
        <v>482</v>
      </c>
      <c r="U256">
        <f>IF(NOT(ISNA($N256)),INDEX(Entrada!$C$53:$N$372,$N256,U$2),0)</f>
        <v>365</v>
      </c>
      <c r="V256" s="225">
        <f>IF(NOT(ISNA($N256)),INDEX(Entrada!$C$53:$N$372,$N256,V$2),0)</f>
        <v>285</v>
      </c>
      <c r="W256" s="225">
        <f>IF(NOT(ISNA($N256)),INDEX(Entrada!$C$53:$N$372,$N256,W$2),0)</f>
        <v>269</v>
      </c>
      <c r="X256" s="225">
        <f>IF(NOT(ISNA($N256)),INDEX(Entrada!$C$53:$N$372,$N256,X$2),0)</f>
        <v>386</v>
      </c>
      <c r="Y256" s="225">
        <f>IF(NOT(ISNA($N256)),INDEX(Entrada!$C$53:$N$372,$N256,Y$2),0)</f>
        <v>698</v>
      </c>
      <c r="Z256" s="225">
        <f>IF(NOT(ISNA($N256)),INDEX(Entrada!$C$53:$N$372,$N256,Z$2),0)</f>
        <v>1306</v>
      </c>
      <c r="AA256" s="113">
        <f t="shared" si="72"/>
        <v>1600</v>
      </c>
      <c r="AB256">
        <f t="shared" si="73"/>
        <v>1810</v>
      </c>
      <c r="AC256">
        <f t="shared" si="74"/>
        <v>1675</v>
      </c>
      <c r="AD256">
        <f t="shared" si="75"/>
        <v>1187</v>
      </c>
      <c r="AE256">
        <f t="shared" si="76"/>
        <v>632</v>
      </c>
      <c r="AF256">
        <f t="shared" si="77"/>
        <v>439</v>
      </c>
      <c r="AG256">
        <f t="shared" si="78"/>
        <v>333</v>
      </c>
      <c r="AH256">
        <f t="shared" si="79"/>
        <v>260</v>
      </c>
      <c r="AI256">
        <f t="shared" si="80"/>
        <v>246</v>
      </c>
      <c r="AJ256">
        <f t="shared" si="81"/>
        <v>359</v>
      </c>
      <c r="AK256">
        <f t="shared" si="82"/>
        <v>644</v>
      </c>
      <c r="AL256">
        <f t="shared" si="83"/>
        <v>1186</v>
      </c>
      <c r="AM256" s="113">
        <f t="shared" si="84"/>
        <v>159</v>
      </c>
      <c r="AN256">
        <f t="shared" si="85"/>
        <v>186</v>
      </c>
      <c r="AO256">
        <f t="shared" si="86"/>
        <v>189</v>
      </c>
      <c r="AP256">
        <f t="shared" si="87"/>
        <v>156</v>
      </c>
      <c r="AQ256">
        <f t="shared" si="88"/>
        <v>78</v>
      </c>
      <c r="AR256">
        <f t="shared" si="89"/>
        <v>43</v>
      </c>
      <c r="AS256">
        <f t="shared" si="90"/>
        <v>32</v>
      </c>
      <c r="AT256">
        <f t="shared" si="91"/>
        <v>25</v>
      </c>
      <c r="AU256">
        <f t="shared" si="92"/>
        <v>23</v>
      </c>
      <c r="AV256">
        <f t="shared" si="93"/>
        <v>27</v>
      </c>
      <c r="AW256">
        <f t="shared" si="94"/>
        <v>54</v>
      </c>
      <c r="AX256">
        <f t="shared" si="95"/>
        <v>120</v>
      </c>
    </row>
    <row r="257" spans="1:50" x14ac:dyDescent="0.25">
      <c r="A257" s="113">
        <v>254</v>
      </c>
      <c r="B257" s="209" t="s">
        <v>649</v>
      </c>
      <c r="C257" s="113">
        <v>1931</v>
      </c>
      <c r="D257" s="113">
        <v>2013</v>
      </c>
      <c r="E257" s="210" t="s">
        <v>23</v>
      </c>
      <c r="F257" s="210" t="s">
        <v>23</v>
      </c>
      <c r="G257" s="113"/>
      <c r="H257" s="113"/>
      <c r="I257" s="113"/>
      <c r="J257" s="113"/>
      <c r="K257" s="113"/>
      <c r="N257" s="113">
        <f>MATCH(A257,Entrada!$A$53:$A$372,0)</f>
        <v>159</v>
      </c>
      <c r="O257">
        <f>IF(NOT(ISNA($N257)),INDEX(Entrada!$C$53:$N$372,$N257,O$2),0)</f>
        <v>158</v>
      </c>
      <c r="P257">
        <f>IF(NOT(ISNA($N257)),INDEX(Entrada!$C$53:$N$372,$N257,P$2),0)</f>
        <v>159</v>
      </c>
      <c r="Q257">
        <f>IF(NOT(ISNA($N257)),INDEX(Entrada!$C$53:$N$372,$N257,Q$2),0)</f>
        <v>159</v>
      </c>
      <c r="R257">
        <f>IF(NOT(ISNA($N257)),INDEX(Entrada!$C$53:$N$372,$N257,R$2),0)</f>
        <v>132</v>
      </c>
      <c r="S257">
        <f>IF(NOT(ISNA($N257)),INDEX(Entrada!$C$53:$N$372,$N257,S$2),0)</f>
        <v>80</v>
      </c>
      <c r="T257">
        <f>IF(NOT(ISNA($N257)),INDEX(Entrada!$C$53:$N$372,$N257,T$2),0)</f>
        <v>55</v>
      </c>
      <c r="U257">
        <f>IF(NOT(ISNA($N257)),INDEX(Entrada!$C$53:$N$372,$N257,U$2),0)</f>
        <v>55</v>
      </c>
      <c r="V257" s="225">
        <f>IF(NOT(ISNA($N257)),INDEX(Entrada!$C$53:$N$372,$N257,V$2),0)</f>
        <v>44</v>
      </c>
      <c r="W257" s="225">
        <f>IF(NOT(ISNA($N257)),INDEX(Entrada!$C$53:$N$372,$N257,W$2),0)</f>
        <v>30</v>
      </c>
      <c r="X257" s="225">
        <f>IF(NOT(ISNA($N257)),INDEX(Entrada!$C$53:$N$372,$N257,X$2),0)</f>
        <v>36</v>
      </c>
      <c r="Y257" s="225">
        <f>IF(NOT(ISNA($N257)),INDEX(Entrada!$C$53:$N$372,$N257,Y$2),0)</f>
        <v>96</v>
      </c>
      <c r="Z257" s="225">
        <f>IF(NOT(ISNA($N257)),INDEX(Entrada!$C$53:$N$372,$N257,Z$2),0)</f>
        <v>201</v>
      </c>
      <c r="AA257" s="113">
        <f t="shared" si="72"/>
        <v>0</v>
      </c>
      <c r="AB257">
        <f t="shared" si="73"/>
        <v>0</v>
      </c>
      <c r="AC257">
        <f t="shared" si="74"/>
        <v>0</v>
      </c>
      <c r="AD257">
        <f t="shared" si="75"/>
        <v>0</v>
      </c>
      <c r="AE257">
        <f t="shared" si="76"/>
        <v>0</v>
      </c>
      <c r="AF257">
        <f t="shared" si="77"/>
        <v>0</v>
      </c>
      <c r="AG257">
        <f t="shared" si="78"/>
        <v>0</v>
      </c>
      <c r="AH257">
        <f t="shared" si="79"/>
        <v>0</v>
      </c>
      <c r="AI257">
        <f t="shared" si="80"/>
        <v>0</v>
      </c>
      <c r="AJ257">
        <f t="shared" si="81"/>
        <v>0</v>
      </c>
      <c r="AK257">
        <f t="shared" si="82"/>
        <v>0</v>
      </c>
      <c r="AL257">
        <f t="shared" si="83"/>
        <v>0</v>
      </c>
      <c r="AM257" s="113">
        <f t="shared" si="84"/>
        <v>158</v>
      </c>
      <c r="AN257">
        <f t="shared" si="85"/>
        <v>159</v>
      </c>
      <c r="AO257">
        <f t="shared" si="86"/>
        <v>159</v>
      </c>
      <c r="AP257">
        <f t="shared" si="87"/>
        <v>132</v>
      </c>
      <c r="AQ257">
        <f t="shared" si="88"/>
        <v>80</v>
      </c>
      <c r="AR257">
        <f t="shared" si="89"/>
        <v>55</v>
      </c>
      <c r="AS257">
        <f t="shared" si="90"/>
        <v>55</v>
      </c>
      <c r="AT257">
        <f t="shared" si="91"/>
        <v>44</v>
      </c>
      <c r="AU257">
        <f t="shared" si="92"/>
        <v>30</v>
      </c>
      <c r="AV257">
        <f t="shared" si="93"/>
        <v>36</v>
      </c>
      <c r="AW257">
        <f t="shared" si="94"/>
        <v>96</v>
      </c>
      <c r="AX257">
        <f t="shared" si="95"/>
        <v>201</v>
      </c>
    </row>
    <row r="258" spans="1:50" x14ac:dyDescent="0.25">
      <c r="A258" s="113">
        <v>255</v>
      </c>
      <c r="B258" s="209" t="s">
        <v>650</v>
      </c>
      <c r="C258" s="113">
        <v>1931</v>
      </c>
      <c r="D258" s="113">
        <v>2013</v>
      </c>
      <c r="E258" s="210" t="s">
        <v>24</v>
      </c>
      <c r="F258" s="210" t="s">
        <v>385</v>
      </c>
      <c r="G258" s="113"/>
      <c r="H258" s="113"/>
      <c r="I258" s="113"/>
      <c r="J258" s="113"/>
      <c r="K258" s="113"/>
      <c r="N258" s="113">
        <f>MATCH(A258,Entrada!$A$53:$A$372,0)</f>
        <v>160</v>
      </c>
      <c r="O258">
        <f>IF(NOT(ISNA($N258)),INDEX(Entrada!$C$53:$N$372,$N258,O$2),0)</f>
        <v>347</v>
      </c>
      <c r="P258">
        <f>IF(NOT(ISNA($N258)),INDEX(Entrada!$C$53:$N$372,$N258,P$2),0)</f>
        <v>235</v>
      </c>
      <c r="Q258">
        <f>IF(NOT(ISNA($N258)),INDEX(Entrada!$C$53:$N$372,$N258,Q$2),0)</f>
        <v>213</v>
      </c>
      <c r="R258">
        <f>IF(NOT(ISNA($N258)),INDEX(Entrada!$C$53:$N$372,$N258,R$2),0)</f>
        <v>134</v>
      </c>
      <c r="S258">
        <f>IF(NOT(ISNA($N258)),INDEX(Entrada!$C$53:$N$372,$N258,S$2),0)</f>
        <v>71</v>
      </c>
      <c r="T258">
        <f>IF(NOT(ISNA($N258)),INDEX(Entrada!$C$53:$N$372,$N258,T$2),0)</f>
        <v>53</v>
      </c>
      <c r="U258">
        <f>IF(NOT(ISNA($N258)),INDEX(Entrada!$C$53:$N$372,$N258,U$2),0)</f>
        <v>44</v>
      </c>
      <c r="V258" s="225">
        <f>IF(NOT(ISNA($N258)),INDEX(Entrada!$C$53:$N$372,$N258,V$2),0)</f>
        <v>37</v>
      </c>
      <c r="W258" s="225">
        <f>IF(NOT(ISNA($N258)),INDEX(Entrada!$C$53:$N$372,$N258,W$2),0)</f>
        <v>35</v>
      </c>
      <c r="X258" s="225">
        <f>IF(NOT(ISNA($N258)),INDEX(Entrada!$C$53:$N$372,$N258,X$2),0)</f>
        <v>68</v>
      </c>
      <c r="Y258" s="225">
        <f>IF(NOT(ISNA($N258)),INDEX(Entrada!$C$53:$N$372,$N258,Y$2),0)</f>
        <v>201</v>
      </c>
      <c r="Z258" s="225">
        <f>IF(NOT(ISNA($N258)),INDEX(Entrada!$C$53:$N$372,$N258,Z$2),0)</f>
        <v>360</v>
      </c>
      <c r="AA258" s="113">
        <f t="shared" si="72"/>
        <v>0</v>
      </c>
      <c r="AB258">
        <f t="shared" si="73"/>
        <v>0</v>
      </c>
      <c r="AC258">
        <f t="shared" si="74"/>
        <v>0</v>
      </c>
      <c r="AD258">
        <f t="shared" si="75"/>
        <v>0</v>
      </c>
      <c r="AE258">
        <f t="shared" si="76"/>
        <v>0</v>
      </c>
      <c r="AF258">
        <f t="shared" si="77"/>
        <v>0</v>
      </c>
      <c r="AG258">
        <f t="shared" si="78"/>
        <v>0</v>
      </c>
      <c r="AH258">
        <f t="shared" si="79"/>
        <v>0</v>
      </c>
      <c r="AI258">
        <f t="shared" si="80"/>
        <v>0</v>
      </c>
      <c r="AJ258">
        <f t="shared" si="81"/>
        <v>0</v>
      </c>
      <c r="AK258">
        <f t="shared" si="82"/>
        <v>0</v>
      </c>
      <c r="AL258">
        <f t="shared" si="83"/>
        <v>0</v>
      </c>
      <c r="AM258" s="113">
        <f t="shared" si="84"/>
        <v>347</v>
      </c>
      <c r="AN258">
        <f t="shared" si="85"/>
        <v>235</v>
      </c>
      <c r="AO258">
        <f t="shared" si="86"/>
        <v>213</v>
      </c>
      <c r="AP258">
        <f t="shared" si="87"/>
        <v>134</v>
      </c>
      <c r="AQ258">
        <f t="shared" si="88"/>
        <v>71</v>
      </c>
      <c r="AR258">
        <f t="shared" si="89"/>
        <v>53</v>
      </c>
      <c r="AS258">
        <f t="shared" si="90"/>
        <v>44</v>
      </c>
      <c r="AT258">
        <f t="shared" si="91"/>
        <v>37</v>
      </c>
      <c r="AU258">
        <f t="shared" si="92"/>
        <v>35</v>
      </c>
      <c r="AV258">
        <f t="shared" si="93"/>
        <v>68</v>
      </c>
      <c r="AW258">
        <f t="shared" si="94"/>
        <v>201</v>
      </c>
      <c r="AX258">
        <f t="shared" si="95"/>
        <v>360</v>
      </c>
    </row>
    <row r="259" spans="1:50" x14ac:dyDescent="0.25">
      <c r="A259" s="113">
        <v>256</v>
      </c>
      <c r="B259" s="209"/>
      <c r="C259" s="113">
        <v>0</v>
      </c>
      <c r="D259" s="113">
        <v>0</v>
      </c>
      <c r="E259" s="113" t="s">
        <v>688</v>
      </c>
      <c r="F259" s="113" t="s">
        <v>688</v>
      </c>
      <c r="G259" s="113"/>
      <c r="H259" s="113"/>
      <c r="I259" s="113"/>
      <c r="J259" s="113"/>
      <c r="K259" s="113"/>
      <c r="N259" s="113" t="e">
        <f>MATCH(A259,Entrada!$A$53:$A$372,0)</f>
        <v>#N/A</v>
      </c>
      <c r="O259">
        <f>IF(NOT(ISNA($N259)),INDEX(Entrada!$C$53:$N$372,$N259,O$2),0)</f>
        <v>0</v>
      </c>
      <c r="P259">
        <f>IF(NOT(ISNA($N259)),INDEX(Entrada!$C$53:$N$372,$N259,P$2),0)</f>
        <v>0</v>
      </c>
      <c r="Q259">
        <f>IF(NOT(ISNA($N259)),INDEX(Entrada!$C$53:$N$372,$N259,Q$2),0)</f>
        <v>0</v>
      </c>
      <c r="R259">
        <f>IF(NOT(ISNA($N259)),INDEX(Entrada!$C$53:$N$372,$N259,R$2),0)</f>
        <v>0</v>
      </c>
      <c r="S259">
        <f>IF(NOT(ISNA($N259)),INDEX(Entrada!$C$53:$N$372,$N259,S$2),0)</f>
        <v>0</v>
      </c>
      <c r="T259">
        <f>IF(NOT(ISNA($N259)),INDEX(Entrada!$C$53:$N$372,$N259,T$2),0)</f>
        <v>0</v>
      </c>
      <c r="U259">
        <f>IF(NOT(ISNA($N259)),INDEX(Entrada!$C$53:$N$372,$N259,U$2),0)</f>
        <v>0</v>
      </c>
      <c r="V259" s="225">
        <f>IF(NOT(ISNA($N259)),INDEX(Entrada!$C$53:$N$372,$N259,V$2),0)</f>
        <v>0</v>
      </c>
      <c r="W259" s="225">
        <f>IF(NOT(ISNA($N259)),INDEX(Entrada!$C$53:$N$372,$N259,W$2),0)</f>
        <v>0</v>
      </c>
      <c r="X259" s="225">
        <f>IF(NOT(ISNA($N259)),INDEX(Entrada!$C$53:$N$372,$N259,X$2),0)</f>
        <v>0</v>
      </c>
      <c r="Y259" s="225">
        <f>IF(NOT(ISNA($N259)),INDEX(Entrada!$C$53:$N$372,$N259,Y$2),0)</f>
        <v>0</v>
      </c>
      <c r="Z259" s="225">
        <f>IF(NOT(ISNA($N259)),INDEX(Entrada!$C$53:$N$372,$N259,Z$2),0)</f>
        <v>0</v>
      </c>
      <c r="AA259" s="113">
        <f t="shared" si="72"/>
        <v>0</v>
      </c>
      <c r="AB259">
        <f t="shared" si="73"/>
        <v>0</v>
      </c>
      <c r="AC259">
        <f t="shared" si="74"/>
        <v>0</v>
      </c>
      <c r="AD259">
        <f t="shared" si="75"/>
        <v>0</v>
      </c>
      <c r="AE259">
        <f t="shared" si="76"/>
        <v>0</v>
      </c>
      <c r="AF259">
        <f t="shared" si="77"/>
        <v>0</v>
      </c>
      <c r="AG259">
        <f t="shared" si="78"/>
        <v>0</v>
      </c>
      <c r="AH259">
        <f t="shared" si="79"/>
        <v>0</v>
      </c>
      <c r="AI259">
        <f t="shared" si="80"/>
        <v>0</v>
      </c>
      <c r="AJ259">
        <f t="shared" si="81"/>
        <v>0</v>
      </c>
      <c r="AK259">
        <f t="shared" si="82"/>
        <v>0</v>
      </c>
      <c r="AL259">
        <f t="shared" si="83"/>
        <v>0</v>
      </c>
      <c r="AM259" s="113">
        <f t="shared" si="84"/>
        <v>0</v>
      </c>
      <c r="AN259">
        <f t="shared" si="85"/>
        <v>0</v>
      </c>
      <c r="AO259">
        <f t="shared" si="86"/>
        <v>0</v>
      </c>
      <c r="AP259">
        <f t="shared" si="87"/>
        <v>0</v>
      </c>
      <c r="AQ259">
        <f t="shared" si="88"/>
        <v>0</v>
      </c>
      <c r="AR259">
        <f t="shared" si="89"/>
        <v>0</v>
      </c>
      <c r="AS259">
        <f t="shared" si="90"/>
        <v>0</v>
      </c>
      <c r="AT259">
        <f t="shared" si="91"/>
        <v>0</v>
      </c>
      <c r="AU259">
        <f t="shared" si="92"/>
        <v>0</v>
      </c>
      <c r="AV259">
        <f t="shared" si="93"/>
        <v>0</v>
      </c>
      <c r="AW259">
        <f t="shared" si="94"/>
        <v>0</v>
      </c>
      <c r="AX259">
        <f t="shared" si="95"/>
        <v>0</v>
      </c>
    </row>
    <row r="260" spans="1:50" x14ac:dyDescent="0.25">
      <c r="A260" s="113">
        <v>257</v>
      </c>
      <c r="B260" s="209" t="s">
        <v>651</v>
      </c>
      <c r="C260" s="113">
        <v>1931</v>
      </c>
      <c r="D260" s="113">
        <v>2013</v>
      </c>
      <c r="E260" s="210" t="s">
        <v>26</v>
      </c>
      <c r="F260" s="210" t="s">
        <v>387</v>
      </c>
      <c r="G260" s="113">
        <v>253</v>
      </c>
      <c r="H260" s="113"/>
      <c r="I260" s="113"/>
      <c r="J260" s="113"/>
      <c r="K260" s="113"/>
      <c r="N260" s="113">
        <f>MATCH(A260,Entrada!$A$53:$A$372,0)</f>
        <v>161</v>
      </c>
      <c r="O260">
        <f>IF(NOT(ISNA($N260)),INDEX(Entrada!$C$53:$N$372,$N260,O$2),0)</f>
        <v>3125</v>
      </c>
      <c r="P260">
        <f>IF(NOT(ISNA($N260)),INDEX(Entrada!$C$53:$N$372,$N260,P$2),0)</f>
        <v>3519</v>
      </c>
      <c r="Q260">
        <f>IF(NOT(ISNA($N260)),INDEX(Entrada!$C$53:$N$372,$N260,Q$2),0)</f>
        <v>3369</v>
      </c>
      <c r="R260">
        <f>IF(NOT(ISNA($N260)),INDEX(Entrada!$C$53:$N$372,$N260,R$2),0)</f>
        <v>2386</v>
      </c>
      <c r="S260">
        <f>IF(NOT(ISNA($N260)),INDEX(Entrada!$C$53:$N$372,$N260,S$2),0)</f>
        <v>1189</v>
      </c>
      <c r="T260">
        <f>IF(NOT(ISNA($N260)),INDEX(Entrada!$C$53:$N$372,$N260,T$2),0)</f>
        <v>783</v>
      </c>
      <c r="U260">
        <f>IF(NOT(ISNA($N260)),INDEX(Entrada!$C$53:$N$372,$N260,U$2),0)</f>
        <v>600</v>
      </c>
      <c r="V260" s="225">
        <f>IF(NOT(ISNA($N260)),INDEX(Entrada!$C$53:$N$372,$N260,V$2),0)</f>
        <v>482</v>
      </c>
      <c r="W260" s="225">
        <f>IF(NOT(ISNA($N260)),INDEX(Entrada!$C$53:$N$372,$N260,W$2),0)</f>
        <v>459</v>
      </c>
      <c r="X260" s="225">
        <f>IF(NOT(ISNA($N260)),INDEX(Entrada!$C$53:$N$372,$N260,X$2),0)</f>
        <v>635</v>
      </c>
      <c r="Y260" s="225">
        <f>IF(NOT(ISNA($N260)),INDEX(Entrada!$C$53:$N$372,$N260,Y$2),0)</f>
        <v>1197</v>
      </c>
      <c r="Z260" s="225">
        <f>IF(NOT(ISNA($N260)),INDEX(Entrada!$C$53:$N$372,$N260,Z$2),0)</f>
        <v>2332</v>
      </c>
      <c r="AA260" s="113">
        <f t="shared" ref="AA260:AA323" si="96">IF($G260&gt;0,INDEX($O$4:$Z$323,$G260,O$2),0)+IF($H260&gt;0,INDEX($O$4:$Z$323,$H260,O$2),0)+IF($I260&gt;0,INDEX($O$4:$Z$323,$I260,O$2),0)+IF($J260&gt;0,INDEX($O$4:$Z$323,$J260,O$2),0)+IF($K260&gt;0,INDEX($O$4:$Z$323,$K260,O$2),0)+IF($L260&gt;0,INDEX($O$4:$Z$323,$L260,O$2),0)</f>
        <v>1759</v>
      </c>
      <c r="AB260">
        <f t="shared" ref="AB260:AB323" si="97">IF($G260&gt;0,INDEX($O$4:$Z$323,$G260,P$2),0)+IF($H260&gt;0,INDEX($O$4:$Z$323,$H260,P$2),0)+IF($I260&gt;0,INDEX($O$4:$Z$323,$I260,P$2),0)+IF($J260&gt;0,INDEX($O$4:$Z$323,$J260,P$2),0)+IF($K260&gt;0,INDEX($O$4:$Z$323,$K260,P$2),0)+IF($L260&gt;0,INDEX($O$4:$Z$323,$L260,P$2),0)</f>
        <v>1996</v>
      </c>
      <c r="AC260">
        <f t="shared" ref="AC260:AC323" si="98">IF($G260&gt;0,INDEX($O$4:$Z$323,$G260,Q$2),0)+IF($H260&gt;0,INDEX($O$4:$Z$323,$H260,Q$2),0)+IF($I260&gt;0,INDEX($O$4:$Z$323,$I260,Q$2),0)+IF($J260&gt;0,INDEX($O$4:$Z$323,$J260,Q$2),0)+IF($K260&gt;0,INDEX($O$4:$Z$323,$K260,Q$2),0)+IF($L260&gt;0,INDEX($O$4:$Z$323,$L260,Q$2),0)</f>
        <v>1864</v>
      </c>
      <c r="AD260">
        <f t="shared" ref="AD260:AD323" si="99">IF($G260&gt;0,INDEX($O$4:$Z$323,$G260,R$2),0)+IF($H260&gt;0,INDEX($O$4:$Z$323,$H260,R$2),0)+IF($I260&gt;0,INDEX($O$4:$Z$323,$I260,R$2),0)+IF($J260&gt;0,INDEX($O$4:$Z$323,$J260,R$2),0)+IF($K260&gt;0,INDEX($O$4:$Z$323,$K260,R$2),0)+IF($L260&gt;0,INDEX($O$4:$Z$323,$L260,R$2),0)</f>
        <v>1343</v>
      </c>
      <c r="AE260">
        <f t="shared" ref="AE260:AE323" si="100">IF($G260&gt;0,INDEX($O$4:$Z$323,$G260,S$2),0)+IF($H260&gt;0,INDEX($O$4:$Z$323,$H260,S$2),0)+IF($I260&gt;0,INDEX($O$4:$Z$323,$I260,S$2),0)+IF($J260&gt;0,INDEX($O$4:$Z$323,$J260,S$2),0)+IF($K260&gt;0,INDEX($O$4:$Z$323,$K260,S$2),0)+IF($L260&gt;0,INDEX($O$4:$Z$323,$L260,S$2),0)</f>
        <v>710</v>
      </c>
      <c r="AF260">
        <f t="shared" ref="AF260:AF323" si="101">IF($G260&gt;0,INDEX($O$4:$Z$323,$G260,T$2),0)+IF($H260&gt;0,INDEX($O$4:$Z$323,$H260,T$2),0)+IF($I260&gt;0,INDEX($O$4:$Z$323,$I260,T$2),0)+IF($J260&gt;0,INDEX($O$4:$Z$323,$J260,T$2),0)+IF($K260&gt;0,INDEX($O$4:$Z$323,$K260,T$2),0)+IF($L260&gt;0,INDEX($O$4:$Z$323,$L260,T$2),0)</f>
        <v>482</v>
      </c>
      <c r="AG260">
        <f t="shared" ref="AG260:AG323" si="102">IF($G260&gt;0,INDEX($O$4:$Z$323,$G260,U$2),0)+IF($H260&gt;0,INDEX($O$4:$Z$323,$H260,U$2),0)+IF($I260&gt;0,INDEX($O$4:$Z$323,$I260,U$2),0)+IF($J260&gt;0,INDEX($O$4:$Z$323,$J260,U$2),0)+IF($K260&gt;0,INDEX($O$4:$Z$323,$K260,U$2),0)+IF($L260&gt;0,INDEX($O$4:$Z$323,$L260,U$2),0)</f>
        <v>365</v>
      </c>
      <c r="AH260">
        <f t="shared" ref="AH260:AH323" si="103">IF($G260&gt;0,INDEX($O$4:$Z$323,$G260,V$2),0)+IF($H260&gt;0,INDEX($O$4:$Z$323,$H260,V$2),0)+IF($I260&gt;0,INDEX($O$4:$Z$323,$I260,V$2),0)+IF($J260&gt;0,INDEX($O$4:$Z$323,$J260,V$2),0)+IF($K260&gt;0,INDEX($O$4:$Z$323,$K260,V$2),0)+IF($L260&gt;0,INDEX($O$4:$Z$323,$L260,V$2),0)</f>
        <v>285</v>
      </c>
      <c r="AI260">
        <f t="shared" ref="AI260:AI323" si="104">IF($G260&gt;0,INDEX($O$4:$Z$323,$G260,W$2),0)+IF($H260&gt;0,INDEX($O$4:$Z$323,$H260,W$2),0)+IF($I260&gt;0,INDEX($O$4:$Z$323,$I260,W$2),0)+IF($J260&gt;0,INDEX($O$4:$Z$323,$J260,W$2),0)+IF($K260&gt;0,INDEX($O$4:$Z$323,$K260,W$2),0)+IF($L260&gt;0,INDEX($O$4:$Z$323,$L260,W$2),0)</f>
        <v>269</v>
      </c>
      <c r="AJ260">
        <f t="shared" ref="AJ260:AJ323" si="105">IF($G260&gt;0,INDEX($O$4:$Z$323,$G260,X$2),0)+IF($H260&gt;0,INDEX($O$4:$Z$323,$H260,X$2),0)+IF($I260&gt;0,INDEX($O$4:$Z$323,$I260,X$2),0)+IF($J260&gt;0,INDEX($O$4:$Z$323,$J260,X$2),0)+IF($K260&gt;0,INDEX($O$4:$Z$323,$K260,X$2),0)+IF($L260&gt;0,INDEX($O$4:$Z$323,$L260,X$2),0)</f>
        <v>386</v>
      </c>
      <c r="AK260">
        <f t="shared" ref="AK260:AK323" si="106">IF($G260&gt;0,INDEX($O$4:$Z$323,$G260,Y$2),0)+IF($H260&gt;0,INDEX($O$4:$Z$323,$H260,Y$2),0)+IF($I260&gt;0,INDEX($O$4:$Z$323,$I260,Y$2),0)+IF($J260&gt;0,INDEX($O$4:$Z$323,$J260,Y$2),0)+IF($K260&gt;0,INDEX($O$4:$Z$323,$K260,Y$2),0)+IF($L260&gt;0,INDEX($O$4:$Z$323,$L260,Y$2),0)</f>
        <v>698</v>
      </c>
      <c r="AL260">
        <f t="shared" ref="AL260:AL323" si="107">IF($G260&gt;0,INDEX($O$4:$Z$323,$G260,Z$2),0)+IF($H260&gt;0,INDEX($O$4:$Z$323,$H260,Z$2),0)+IF($I260&gt;0,INDEX($O$4:$Z$323,$I260,Z$2),0)+IF($J260&gt;0,INDEX($O$4:$Z$323,$J260,Z$2),0)+IF($K260&gt;0,INDEX($O$4:$Z$323,$K260,Z$2),0)+IF($L260&gt;0,INDEX($O$4:$Z$323,$L260,Z$2),0)</f>
        <v>1306</v>
      </c>
      <c r="AM260" s="113">
        <f t="shared" ref="AM260:AM323" si="108">O260-AA260</f>
        <v>1366</v>
      </c>
      <c r="AN260">
        <f t="shared" ref="AN260:AN323" si="109">P260-AB260</f>
        <v>1523</v>
      </c>
      <c r="AO260">
        <f t="shared" ref="AO260:AO323" si="110">Q260-AC260</f>
        <v>1505</v>
      </c>
      <c r="AP260">
        <f t="shared" ref="AP260:AP323" si="111">R260-AD260</f>
        <v>1043</v>
      </c>
      <c r="AQ260">
        <f t="shared" ref="AQ260:AQ323" si="112">S260-AE260</f>
        <v>479</v>
      </c>
      <c r="AR260">
        <f t="shared" ref="AR260:AR323" si="113">T260-AF260</f>
        <v>301</v>
      </c>
      <c r="AS260">
        <f t="shared" ref="AS260:AS323" si="114">U260-AG260</f>
        <v>235</v>
      </c>
      <c r="AT260">
        <f t="shared" ref="AT260:AT323" si="115">V260-AH260</f>
        <v>197</v>
      </c>
      <c r="AU260">
        <f t="shared" ref="AU260:AU323" si="116">W260-AI260</f>
        <v>190</v>
      </c>
      <c r="AV260">
        <f t="shared" ref="AV260:AV323" si="117">X260-AJ260</f>
        <v>249</v>
      </c>
      <c r="AW260">
        <f t="shared" ref="AW260:AW323" si="118">Y260-AK260</f>
        <v>499</v>
      </c>
      <c r="AX260">
        <f t="shared" ref="AX260:AX323" si="119">Z260-AL260</f>
        <v>1026</v>
      </c>
    </row>
    <row r="261" spans="1:50" x14ac:dyDescent="0.25">
      <c r="A261" s="113">
        <v>258</v>
      </c>
      <c r="B261" s="209" t="s">
        <v>652</v>
      </c>
      <c r="C261" s="113">
        <v>1931</v>
      </c>
      <c r="D261" s="113">
        <v>2013</v>
      </c>
      <c r="E261" s="212" t="s">
        <v>24</v>
      </c>
      <c r="F261" s="213" t="s">
        <v>385</v>
      </c>
      <c r="G261" s="113"/>
      <c r="H261" s="113"/>
      <c r="I261" s="113"/>
      <c r="J261" s="113"/>
      <c r="K261" s="113"/>
      <c r="N261" s="113">
        <f>MATCH(A261,Entrada!$A$53:$A$372,0)</f>
        <v>162</v>
      </c>
      <c r="O261">
        <f>IF(NOT(ISNA($N261)),INDEX(Entrada!$C$53:$N$372,$N261,O$2),0)</f>
        <v>415</v>
      </c>
      <c r="P261">
        <f>IF(NOT(ISNA($N261)),INDEX(Entrada!$C$53:$N$372,$N261,P$2),0)</f>
        <v>286</v>
      </c>
      <c r="Q261">
        <f>IF(NOT(ISNA($N261)),INDEX(Entrada!$C$53:$N$372,$N261,Q$2),0)</f>
        <v>249</v>
      </c>
      <c r="R261">
        <f>IF(NOT(ISNA($N261)),INDEX(Entrada!$C$53:$N$372,$N261,R$2),0)</f>
        <v>158</v>
      </c>
      <c r="S261">
        <f>IF(NOT(ISNA($N261)),INDEX(Entrada!$C$53:$N$372,$N261,S$2),0)</f>
        <v>84</v>
      </c>
      <c r="T261">
        <f>IF(NOT(ISNA($N261)),INDEX(Entrada!$C$53:$N$372,$N261,T$2),0)</f>
        <v>63</v>
      </c>
      <c r="U261">
        <f>IF(NOT(ISNA($N261)),INDEX(Entrada!$C$53:$N$372,$N261,U$2),0)</f>
        <v>53</v>
      </c>
      <c r="V261" s="225">
        <f>IF(NOT(ISNA($N261)),INDEX(Entrada!$C$53:$N$372,$N261,V$2),0)</f>
        <v>44</v>
      </c>
      <c r="W261" s="225">
        <f>IF(NOT(ISNA($N261)),INDEX(Entrada!$C$53:$N$372,$N261,W$2),0)</f>
        <v>43</v>
      </c>
      <c r="X261" s="225">
        <f>IF(NOT(ISNA($N261)),INDEX(Entrada!$C$53:$N$372,$N261,X$2),0)</f>
        <v>79</v>
      </c>
      <c r="Y261" s="225">
        <f>IF(NOT(ISNA($N261)),INDEX(Entrada!$C$53:$N$372,$N261,Y$2),0)</f>
        <v>236</v>
      </c>
      <c r="Z261" s="225">
        <f>IF(NOT(ISNA($N261)),INDEX(Entrada!$C$53:$N$372,$N261,Z$2),0)</f>
        <v>430</v>
      </c>
      <c r="AA261" s="113">
        <f t="shared" si="96"/>
        <v>0</v>
      </c>
      <c r="AB261">
        <f t="shared" si="97"/>
        <v>0</v>
      </c>
      <c r="AC261">
        <f t="shared" si="98"/>
        <v>0</v>
      </c>
      <c r="AD261">
        <f t="shared" si="99"/>
        <v>0</v>
      </c>
      <c r="AE261">
        <f t="shared" si="100"/>
        <v>0</v>
      </c>
      <c r="AF261">
        <f t="shared" si="101"/>
        <v>0</v>
      </c>
      <c r="AG261">
        <f t="shared" si="102"/>
        <v>0</v>
      </c>
      <c r="AH261">
        <f t="shared" si="103"/>
        <v>0</v>
      </c>
      <c r="AI261">
        <f t="shared" si="104"/>
        <v>0</v>
      </c>
      <c r="AJ261">
        <f t="shared" si="105"/>
        <v>0</v>
      </c>
      <c r="AK261">
        <f t="shared" si="106"/>
        <v>0</v>
      </c>
      <c r="AL261">
        <f t="shared" si="107"/>
        <v>0</v>
      </c>
      <c r="AM261" s="113">
        <f t="shared" si="108"/>
        <v>415</v>
      </c>
      <c r="AN261">
        <f t="shared" si="109"/>
        <v>286</v>
      </c>
      <c r="AO261">
        <f t="shared" si="110"/>
        <v>249</v>
      </c>
      <c r="AP261">
        <f t="shared" si="111"/>
        <v>158</v>
      </c>
      <c r="AQ261">
        <f t="shared" si="112"/>
        <v>84</v>
      </c>
      <c r="AR261">
        <f t="shared" si="113"/>
        <v>63</v>
      </c>
      <c r="AS261">
        <f t="shared" si="114"/>
        <v>53</v>
      </c>
      <c r="AT261">
        <f t="shared" si="115"/>
        <v>44</v>
      </c>
      <c r="AU261">
        <f t="shared" si="116"/>
        <v>43</v>
      </c>
      <c r="AV261">
        <f t="shared" si="117"/>
        <v>79</v>
      </c>
      <c r="AW261">
        <f t="shared" si="118"/>
        <v>236</v>
      </c>
      <c r="AX261">
        <f t="shared" si="119"/>
        <v>430</v>
      </c>
    </row>
    <row r="262" spans="1:50" x14ac:dyDescent="0.25">
      <c r="A262" s="113">
        <v>259</v>
      </c>
      <c r="B262" s="209" t="s">
        <v>653</v>
      </c>
      <c r="C262" s="113">
        <v>1931</v>
      </c>
      <c r="D262" s="113">
        <v>2013</v>
      </c>
      <c r="E262" s="210" t="s">
        <v>14</v>
      </c>
      <c r="F262" s="210" t="s">
        <v>413</v>
      </c>
      <c r="G262" s="113"/>
      <c r="H262" s="113"/>
      <c r="I262" s="113"/>
      <c r="J262" s="113"/>
      <c r="K262" s="113"/>
      <c r="N262" s="113">
        <f>MATCH(A262,Entrada!$A$53:$A$372,0)</f>
        <v>163</v>
      </c>
      <c r="O262">
        <f>IF(NOT(ISNA($N262)),INDEX(Entrada!$C$53:$N$372,$N262,O$2),0)</f>
        <v>102</v>
      </c>
      <c r="P262">
        <f>IF(NOT(ISNA($N262)),INDEX(Entrada!$C$53:$N$372,$N262,P$2),0)</f>
        <v>115</v>
      </c>
      <c r="Q262">
        <f>IF(NOT(ISNA($N262)),INDEX(Entrada!$C$53:$N$372,$N262,Q$2),0)</f>
        <v>113</v>
      </c>
      <c r="R262">
        <f>IF(NOT(ISNA($N262)),INDEX(Entrada!$C$53:$N$372,$N262,R$2),0)</f>
        <v>89</v>
      </c>
      <c r="S262">
        <f>IF(NOT(ISNA($N262)),INDEX(Entrada!$C$53:$N$372,$N262,S$2),0)</f>
        <v>66</v>
      </c>
      <c r="T262">
        <f>IF(NOT(ISNA($N262)),INDEX(Entrada!$C$53:$N$372,$N262,T$2),0)</f>
        <v>56</v>
      </c>
      <c r="U262">
        <f>IF(NOT(ISNA($N262)),INDEX(Entrada!$C$53:$N$372,$N262,U$2),0)</f>
        <v>51</v>
      </c>
      <c r="V262" s="225">
        <f>IF(NOT(ISNA($N262)),INDEX(Entrada!$C$53:$N$372,$N262,V$2),0)</f>
        <v>47</v>
      </c>
      <c r="W262" s="225">
        <f>IF(NOT(ISNA($N262)),INDEX(Entrada!$C$53:$N$372,$N262,W$2),0)</f>
        <v>48</v>
      </c>
      <c r="X262" s="225">
        <f>IF(NOT(ISNA($N262)),INDEX(Entrada!$C$53:$N$372,$N262,X$2),0)</f>
        <v>52</v>
      </c>
      <c r="Y262" s="225">
        <f>IF(NOT(ISNA($N262)),INDEX(Entrada!$C$53:$N$372,$N262,Y$2),0)</f>
        <v>61</v>
      </c>
      <c r="Z262" s="225">
        <f>IF(NOT(ISNA($N262)),INDEX(Entrada!$C$53:$N$372,$N262,Z$2),0)</f>
        <v>80</v>
      </c>
      <c r="AA262" s="113">
        <f t="shared" si="96"/>
        <v>0</v>
      </c>
      <c r="AB262">
        <f t="shared" si="97"/>
        <v>0</v>
      </c>
      <c r="AC262">
        <f t="shared" si="98"/>
        <v>0</v>
      </c>
      <c r="AD262">
        <f t="shared" si="99"/>
        <v>0</v>
      </c>
      <c r="AE262">
        <f t="shared" si="100"/>
        <v>0</v>
      </c>
      <c r="AF262">
        <f t="shared" si="101"/>
        <v>0</v>
      </c>
      <c r="AG262">
        <f t="shared" si="102"/>
        <v>0</v>
      </c>
      <c r="AH262">
        <f t="shared" si="103"/>
        <v>0</v>
      </c>
      <c r="AI262">
        <f t="shared" si="104"/>
        <v>0</v>
      </c>
      <c r="AJ262">
        <f t="shared" si="105"/>
        <v>0</v>
      </c>
      <c r="AK262">
        <f t="shared" si="106"/>
        <v>0</v>
      </c>
      <c r="AL262">
        <f t="shared" si="107"/>
        <v>0</v>
      </c>
      <c r="AM262" s="113">
        <f t="shared" si="108"/>
        <v>102</v>
      </c>
      <c r="AN262">
        <f t="shared" si="109"/>
        <v>115</v>
      </c>
      <c r="AO262">
        <f t="shared" si="110"/>
        <v>113</v>
      </c>
      <c r="AP262">
        <f t="shared" si="111"/>
        <v>89</v>
      </c>
      <c r="AQ262">
        <f t="shared" si="112"/>
        <v>66</v>
      </c>
      <c r="AR262">
        <f t="shared" si="113"/>
        <v>56</v>
      </c>
      <c r="AS262">
        <f t="shared" si="114"/>
        <v>51</v>
      </c>
      <c r="AT262">
        <f t="shared" si="115"/>
        <v>47</v>
      </c>
      <c r="AU262">
        <f t="shared" si="116"/>
        <v>48</v>
      </c>
      <c r="AV262">
        <f t="shared" si="117"/>
        <v>52</v>
      </c>
      <c r="AW262">
        <f t="shared" si="118"/>
        <v>61</v>
      </c>
      <c r="AX262">
        <f t="shared" si="119"/>
        <v>80</v>
      </c>
    </row>
    <row r="263" spans="1:50" x14ac:dyDescent="0.25">
      <c r="A263" s="113">
        <v>260</v>
      </c>
      <c r="B263" s="209"/>
      <c r="C263" s="113">
        <v>0</v>
      </c>
      <c r="D263" s="113">
        <v>0</v>
      </c>
      <c r="E263" s="113" t="s">
        <v>688</v>
      </c>
      <c r="F263" s="113" t="s">
        <v>688</v>
      </c>
      <c r="G263" s="113"/>
      <c r="H263" s="113"/>
      <c r="I263" s="113"/>
      <c r="J263" s="113"/>
      <c r="K263" s="113"/>
      <c r="N263" s="113" t="e">
        <f>MATCH(A263,Entrada!$A$53:$A$372,0)</f>
        <v>#N/A</v>
      </c>
      <c r="O263">
        <f>IF(NOT(ISNA($N263)),INDEX(Entrada!$C$53:$N$372,$N263,O$2),0)</f>
        <v>0</v>
      </c>
      <c r="P263">
        <f>IF(NOT(ISNA($N263)),INDEX(Entrada!$C$53:$N$372,$N263,P$2),0)</f>
        <v>0</v>
      </c>
      <c r="Q263">
        <f>IF(NOT(ISNA($N263)),INDEX(Entrada!$C$53:$N$372,$N263,Q$2),0)</f>
        <v>0</v>
      </c>
      <c r="R263">
        <f>IF(NOT(ISNA($N263)),INDEX(Entrada!$C$53:$N$372,$N263,R$2),0)</f>
        <v>0</v>
      </c>
      <c r="S263">
        <f>IF(NOT(ISNA($N263)),INDEX(Entrada!$C$53:$N$372,$N263,S$2),0)</f>
        <v>0</v>
      </c>
      <c r="T263">
        <f>IF(NOT(ISNA($N263)),INDEX(Entrada!$C$53:$N$372,$N263,T$2),0)</f>
        <v>0</v>
      </c>
      <c r="U263">
        <f>IF(NOT(ISNA($N263)),INDEX(Entrada!$C$53:$N$372,$N263,U$2),0)</f>
        <v>0</v>
      </c>
      <c r="V263" s="225">
        <f>IF(NOT(ISNA($N263)),INDEX(Entrada!$C$53:$N$372,$N263,V$2),0)</f>
        <v>0</v>
      </c>
      <c r="W263" s="225">
        <f>IF(NOT(ISNA($N263)),INDEX(Entrada!$C$53:$N$372,$N263,W$2),0)</f>
        <v>0</v>
      </c>
      <c r="X263" s="225">
        <f>IF(NOT(ISNA($N263)),INDEX(Entrada!$C$53:$N$372,$N263,X$2),0)</f>
        <v>0</v>
      </c>
      <c r="Y263" s="225">
        <f>IF(NOT(ISNA($N263)),INDEX(Entrada!$C$53:$N$372,$N263,Y$2),0)</f>
        <v>0</v>
      </c>
      <c r="Z263" s="225">
        <f>IF(NOT(ISNA($N263)),INDEX(Entrada!$C$53:$N$372,$N263,Z$2),0)</f>
        <v>0</v>
      </c>
      <c r="AA263" s="113">
        <f t="shared" si="96"/>
        <v>0</v>
      </c>
      <c r="AB263">
        <f t="shared" si="97"/>
        <v>0</v>
      </c>
      <c r="AC263">
        <f t="shared" si="98"/>
        <v>0</v>
      </c>
      <c r="AD263">
        <f t="shared" si="99"/>
        <v>0</v>
      </c>
      <c r="AE263">
        <f t="shared" si="100"/>
        <v>0</v>
      </c>
      <c r="AF263">
        <f t="shared" si="101"/>
        <v>0</v>
      </c>
      <c r="AG263">
        <f t="shared" si="102"/>
        <v>0</v>
      </c>
      <c r="AH263">
        <f t="shared" si="103"/>
        <v>0</v>
      </c>
      <c r="AI263">
        <f t="shared" si="104"/>
        <v>0</v>
      </c>
      <c r="AJ263">
        <f t="shared" si="105"/>
        <v>0</v>
      </c>
      <c r="AK263">
        <f t="shared" si="106"/>
        <v>0</v>
      </c>
      <c r="AL263">
        <f t="shared" si="107"/>
        <v>0</v>
      </c>
      <c r="AM263" s="113">
        <f t="shared" si="108"/>
        <v>0</v>
      </c>
      <c r="AN263">
        <f t="shared" si="109"/>
        <v>0</v>
      </c>
      <c r="AO263">
        <f t="shared" si="110"/>
        <v>0</v>
      </c>
      <c r="AP263">
        <f t="shared" si="111"/>
        <v>0</v>
      </c>
      <c r="AQ263">
        <f t="shared" si="112"/>
        <v>0</v>
      </c>
      <c r="AR263">
        <f t="shared" si="113"/>
        <v>0</v>
      </c>
      <c r="AS263">
        <f t="shared" si="114"/>
        <v>0</v>
      </c>
      <c r="AT263">
        <f t="shared" si="115"/>
        <v>0</v>
      </c>
      <c r="AU263">
        <f t="shared" si="116"/>
        <v>0</v>
      </c>
      <c r="AV263">
        <f t="shared" si="117"/>
        <v>0</v>
      </c>
      <c r="AW263">
        <f t="shared" si="118"/>
        <v>0</v>
      </c>
      <c r="AX263">
        <f t="shared" si="119"/>
        <v>0</v>
      </c>
    </row>
    <row r="264" spans="1:50" x14ac:dyDescent="0.25">
      <c r="A264" s="113">
        <v>261</v>
      </c>
      <c r="B264" s="209" t="s">
        <v>654</v>
      </c>
      <c r="C264" s="113">
        <v>1931</v>
      </c>
      <c r="D264" s="113">
        <v>2013</v>
      </c>
      <c r="E264" s="210" t="s">
        <v>3</v>
      </c>
      <c r="F264" s="210" t="s">
        <v>408</v>
      </c>
      <c r="G264" s="113">
        <v>248</v>
      </c>
      <c r="H264" s="113"/>
      <c r="I264" s="113"/>
      <c r="J264" s="113"/>
      <c r="K264" s="113"/>
      <c r="N264" s="113">
        <f>MATCH(A264,Entrada!$A$53:$A$372,0)</f>
        <v>164</v>
      </c>
      <c r="O264">
        <f>IF(NOT(ISNA($N264)),INDEX(Entrada!$C$53:$N$372,$N264,O$2),0)</f>
        <v>322</v>
      </c>
      <c r="P264">
        <f>IF(NOT(ISNA($N264)),INDEX(Entrada!$C$53:$N$372,$N264,P$2),0)</f>
        <v>360</v>
      </c>
      <c r="Q264">
        <f>IF(NOT(ISNA($N264)),INDEX(Entrada!$C$53:$N$372,$N264,Q$2),0)</f>
        <v>365</v>
      </c>
      <c r="R264">
        <f>IF(NOT(ISNA($N264)),INDEX(Entrada!$C$53:$N$372,$N264,R$2),0)</f>
        <v>283</v>
      </c>
      <c r="S264">
        <f>IF(NOT(ISNA($N264)),INDEX(Entrada!$C$53:$N$372,$N264,S$2),0)</f>
        <v>198</v>
      </c>
      <c r="T264">
        <f>IF(NOT(ISNA($N264)),INDEX(Entrada!$C$53:$N$372,$N264,T$2),0)</f>
        <v>156</v>
      </c>
      <c r="U264">
        <f>IF(NOT(ISNA($N264)),INDEX(Entrada!$C$53:$N$372,$N264,U$2),0)</f>
        <v>130</v>
      </c>
      <c r="V264" s="225">
        <f>IF(NOT(ISNA($N264)),INDEX(Entrada!$C$53:$N$372,$N264,V$2),0)</f>
        <v>113</v>
      </c>
      <c r="W264" s="225">
        <f>IF(NOT(ISNA($N264)),INDEX(Entrada!$C$53:$N$372,$N264,W$2),0)</f>
        <v>115</v>
      </c>
      <c r="X264" s="225">
        <f>IF(NOT(ISNA($N264)),INDEX(Entrada!$C$53:$N$372,$N264,X$2),0)</f>
        <v>143</v>
      </c>
      <c r="Y264" s="225">
        <f>IF(NOT(ISNA($N264)),INDEX(Entrada!$C$53:$N$372,$N264,Y$2),0)</f>
        <v>185</v>
      </c>
      <c r="Z264" s="225">
        <f>IF(NOT(ISNA($N264)),INDEX(Entrada!$C$53:$N$372,$N264,Z$2),0)</f>
        <v>257</v>
      </c>
      <c r="AA264" s="113">
        <f t="shared" si="96"/>
        <v>301</v>
      </c>
      <c r="AB264">
        <f t="shared" si="97"/>
        <v>336</v>
      </c>
      <c r="AC264">
        <f t="shared" si="98"/>
        <v>341</v>
      </c>
      <c r="AD264">
        <f t="shared" si="99"/>
        <v>263</v>
      </c>
      <c r="AE264">
        <f t="shared" si="100"/>
        <v>184</v>
      </c>
      <c r="AF264">
        <f t="shared" si="101"/>
        <v>145</v>
      </c>
      <c r="AG264">
        <f t="shared" si="102"/>
        <v>121</v>
      </c>
      <c r="AH264">
        <f t="shared" si="103"/>
        <v>105</v>
      </c>
      <c r="AI264">
        <f t="shared" si="104"/>
        <v>107</v>
      </c>
      <c r="AJ264">
        <f t="shared" si="105"/>
        <v>133</v>
      </c>
      <c r="AK264">
        <f t="shared" si="106"/>
        <v>173</v>
      </c>
      <c r="AL264">
        <f t="shared" si="107"/>
        <v>241</v>
      </c>
      <c r="AM264" s="113">
        <f t="shared" si="108"/>
        <v>21</v>
      </c>
      <c r="AN264">
        <f t="shared" si="109"/>
        <v>24</v>
      </c>
      <c r="AO264">
        <f t="shared" si="110"/>
        <v>24</v>
      </c>
      <c r="AP264">
        <f t="shared" si="111"/>
        <v>20</v>
      </c>
      <c r="AQ264">
        <f t="shared" si="112"/>
        <v>14</v>
      </c>
      <c r="AR264">
        <f t="shared" si="113"/>
        <v>11</v>
      </c>
      <c r="AS264">
        <f t="shared" si="114"/>
        <v>9</v>
      </c>
      <c r="AT264">
        <f t="shared" si="115"/>
        <v>8</v>
      </c>
      <c r="AU264">
        <f t="shared" si="116"/>
        <v>8</v>
      </c>
      <c r="AV264">
        <f t="shared" si="117"/>
        <v>10</v>
      </c>
      <c r="AW264">
        <f t="shared" si="118"/>
        <v>12</v>
      </c>
      <c r="AX264">
        <f t="shared" si="119"/>
        <v>16</v>
      </c>
    </row>
    <row r="265" spans="1:50" x14ac:dyDescent="0.25">
      <c r="A265" s="113">
        <v>262</v>
      </c>
      <c r="B265" s="209" t="s">
        <v>259</v>
      </c>
      <c r="C265" s="113">
        <v>1931</v>
      </c>
      <c r="D265" s="113">
        <v>2013</v>
      </c>
      <c r="E265" s="210" t="s">
        <v>13</v>
      </c>
      <c r="F265" s="210" t="s">
        <v>415</v>
      </c>
      <c r="G265" s="113"/>
      <c r="H265" s="113"/>
      <c r="I265" s="113"/>
      <c r="J265" s="113"/>
      <c r="K265" s="113"/>
      <c r="N265" s="113">
        <f>MATCH(A265,Entrada!$A$53:$A$372,0)</f>
        <v>165</v>
      </c>
      <c r="O265">
        <f>IF(NOT(ISNA($N265)),INDEX(Entrada!$C$53:$N$372,$N265,O$2),0)</f>
        <v>153</v>
      </c>
      <c r="P265">
        <f>IF(NOT(ISNA($N265)),INDEX(Entrada!$C$53:$N$372,$N265,P$2),0)</f>
        <v>117</v>
      </c>
      <c r="Q265">
        <f>IF(NOT(ISNA($N265)),INDEX(Entrada!$C$53:$N$372,$N265,Q$2),0)</f>
        <v>105</v>
      </c>
      <c r="R265">
        <f>IF(NOT(ISNA($N265)),INDEX(Entrada!$C$53:$N$372,$N265,R$2),0)</f>
        <v>76</v>
      </c>
      <c r="S265">
        <f>IF(NOT(ISNA($N265)),INDEX(Entrada!$C$53:$N$372,$N265,S$2),0)</f>
        <v>57</v>
      </c>
      <c r="T265">
        <f>IF(NOT(ISNA($N265)),INDEX(Entrada!$C$53:$N$372,$N265,T$2),0)</f>
        <v>49</v>
      </c>
      <c r="U265">
        <f>IF(NOT(ISNA($N265)),INDEX(Entrada!$C$53:$N$372,$N265,U$2),0)</f>
        <v>43</v>
      </c>
      <c r="V265" s="225">
        <f>IF(NOT(ISNA($N265)),INDEX(Entrada!$C$53:$N$372,$N265,V$2),0)</f>
        <v>38</v>
      </c>
      <c r="W265" s="225">
        <f>IF(NOT(ISNA($N265)),INDEX(Entrada!$C$53:$N$372,$N265,W$2),0)</f>
        <v>38</v>
      </c>
      <c r="X265" s="225">
        <f>IF(NOT(ISNA($N265)),INDEX(Entrada!$C$53:$N$372,$N265,X$2),0)</f>
        <v>48</v>
      </c>
      <c r="Y265" s="225">
        <f>IF(NOT(ISNA($N265)),INDEX(Entrada!$C$53:$N$372,$N265,Y$2),0)</f>
        <v>79</v>
      </c>
      <c r="Z265" s="225">
        <f>IF(NOT(ISNA($N265)),INDEX(Entrada!$C$53:$N$372,$N265,Z$2),0)</f>
        <v>131</v>
      </c>
      <c r="AA265" s="113">
        <f t="shared" si="96"/>
        <v>0</v>
      </c>
      <c r="AB265">
        <f t="shared" si="97"/>
        <v>0</v>
      </c>
      <c r="AC265">
        <f t="shared" si="98"/>
        <v>0</v>
      </c>
      <c r="AD265">
        <f t="shared" si="99"/>
        <v>0</v>
      </c>
      <c r="AE265">
        <f t="shared" si="100"/>
        <v>0</v>
      </c>
      <c r="AF265">
        <f t="shared" si="101"/>
        <v>0</v>
      </c>
      <c r="AG265">
        <f t="shared" si="102"/>
        <v>0</v>
      </c>
      <c r="AH265">
        <f t="shared" si="103"/>
        <v>0</v>
      </c>
      <c r="AI265">
        <f t="shared" si="104"/>
        <v>0</v>
      </c>
      <c r="AJ265">
        <f t="shared" si="105"/>
        <v>0</v>
      </c>
      <c r="AK265">
        <f t="shared" si="106"/>
        <v>0</v>
      </c>
      <c r="AL265">
        <f t="shared" si="107"/>
        <v>0</v>
      </c>
      <c r="AM265" s="113">
        <f t="shared" si="108"/>
        <v>153</v>
      </c>
      <c r="AN265">
        <f t="shared" si="109"/>
        <v>117</v>
      </c>
      <c r="AO265">
        <f t="shared" si="110"/>
        <v>105</v>
      </c>
      <c r="AP265">
        <f t="shared" si="111"/>
        <v>76</v>
      </c>
      <c r="AQ265">
        <f t="shared" si="112"/>
        <v>57</v>
      </c>
      <c r="AR265">
        <f t="shared" si="113"/>
        <v>49</v>
      </c>
      <c r="AS265">
        <f t="shared" si="114"/>
        <v>43</v>
      </c>
      <c r="AT265">
        <f t="shared" si="115"/>
        <v>38</v>
      </c>
      <c r="AU265">
        <f t="shared" si="116"/>
        <v>38</v>
      </c>
      <c r="AV265">
        <f t="shared" si="117"/>
        <v>48</v>
      </c>
      <c r="AW265">
        <f t="shared" si="118"/>
        <v>79</v>
      </c>
      <c r="AX265">
        <f t="shared" si="119"/>
        <v>131</v>
      </c>
    </row>
    <row r="266" spans="1:50" x14ac:dyDescent="0.25">
      <c r="A266" s="113">
        <v>263</v>
      </c>
      <c r="B266" s="209" t="s">
        <v>655</v>
      </c>
      <c r="C266" s="113">
        <v>1931</v>
      </c>
      <c r="D266" s="113">
        <v>2013</v>
      </c>
      <c r="E266" s="210" t="s">
        <v>13</v>
      </c>
      <c r="F266" s="210" t="s">
        <v>416</v>
      </c>
      <c r="G266" s="113">
        <v>134</v>
      </c>
      <c r="H266" s="113"/>
      <c r="I266" s="113"/>
      <c r="J266" s="113"/>
      <c r="K266" s="113"/>
      <c r="N266" s="113">
        <f>MATCH(A266,Entrada!$A$53:$A$372,0)</f>
        <v>166</v>
      </c>
      <c r="O266">
        <f>IF(NOT(ISNA($N266)),INDEX(Entrada!$C$53:$N$372,$N266,O$2),0)</f>
        <v>310</v>
      </c>
      <c r="P266">
        <f>IF(NOT(ISNA($N266)),INDEX(Entrada!$C$53:$N$372,$N266,P$2),0)</f>
        <v>251</v>
      </c>
      <c r="Q266">
        <f>IF(NOT(ISNA($N266)),INDEX(Entrada!$C$53:$N$372,$N266,Q$2),0)</f>
        <v>224</v>
      </c>
      <c r="R266">
        <f>IF(NOT(ISNA($N266)),INDEX(Entrada!$C$53:$N$372,$N266,R$2),0)</f>
        <v>170</v>
      </c>
      <c r="S266">
        <f>IF(NOT(ISNA($N266)),INDEX(Entrada!$C$53:$N$372,$N266,S$2),0)</f>
        <v>122</v>
      </c>
      <c r="T266">
        <f>IF(NOT(ISNA($N266)),INDEX(Entrada!$C$53:$N$372,$N266,T$2),0)</f>
        <v>100</v>
      </c>
      <c r="U266">
        <f>IF(NOT(ISNA($N266)),INDEX(Entrada!$C$53:$N$372,$N266,U$2),0)</f>
        <v>85</v>
      </c>
      <c r="V266" s="225">
        <f>IF(NOT(ISNA($N266)),INDEX(Entrada!$C$53:$N$372,$N266,V$2),0)</f>
        <v>74</v>
      </c>
      <c r="W266" s="225">
        <f>IF(NOT(ISNA($N266)),INDEX(Entrada!$C$53:$N$372,$N266,W$2),0)</f>
        <v>71</v>
      </c>
      <c r="X266" s="225">
        <f>IF(NOT(ISNA($N266)),INDEX(Entrada!$C$53:$N$372,$N266,X$2),0)</f>
        <v>91</v>
      </c>
      <c r="Y266" s="225">
        <f>IF(NOT(ISNA($N266)),INDEX(Entrada!$C$53:$N$372,$N266,Y$2),0)</f>
        <v>169</v>
      </c>
      <c r="Z266" s="225">
        <f>IF(NOT(ISNA($N266)),INDEX(Entrada!$C$53:$N$372,$N266,Z$2),0)</f>
        <v>269</v>
      </c>
      <c r="AA266" s="113">
        <f t="shared" si="96"/>
        <v>297</v>
      </c>
      <c r="AB266">
        <f t="shared" si="97"/>
        <v>240</v>
      </c>
      <c r="AC266">
        <f t="shared" si="98"/>
        <v>215</v>
      </c>
      <c r="AD266">
        <f t="shared" si="99"/>
        <v>163</v>
      </c>
      <c r="AE266">
        <f t="shared" si="100"/>
        <v>117</v>
      </c>
      <c r="AF266">
        <f t="shared" si="101"/>
        <v>96</v>
      </c>
      <c r="AG266">
        <f t="shared" si="102"/>
        <v>82</v>
      </c>
      <c r="AH266">
        <f t="shared" si="103"/>
        <v>71</v>
      </c>
      <c r="AI266">
        <f t="shared" si="104"/>
        <v>68</v>
      </c>
      <c r="AJ266">
        <f t="shared" si="105"/>
        <v>87</v>
      </c>
      <c r="AK266">
        <f t="shared" si="106"/>
        <v>162</v>
      </c>
      <c r="AL266">
        <f t="shared" si="107"/>
        <v>258</v>
      </c>
      <c r="AM266" s="113">
        <f t="shared" si="108"/>
        <v>13</v>
      </c>
      <c r="AN266">
        <f t="shared" si="109"/>
        <v>11</v>
      </c>
      <c r="AO266">
        <f t="shared" si="110"/>
        <v>9</v>
      </c>
      <c r="AP266">
        <f t="shared" si="111"/>
        <v>7</v>
      </c>
      <c r="AQ266">
        <f t="shared" si="112"/>
        <v>5</v>
      </c>
      <c r="AR266">
        <f t="shared" si="113"/>
        <v>4</v>
      </c>
      <c r="AS266">
        <f t="shared" si="114"/>
        <v>3</v>
      </c>
      <c r="AT266">
        <f t="shared" si="115"/>
        <v>3</v>
      </c>
      <c r="AU266">
        <f t="shared" si="116"/>
        <v>3</v>
      </c>
      <c r="AV266">
        <f t="shared" si="117"/>
        <v>4</v>
      </c>
      <c r="AW266">
        <f t="shared" si="118"/>
        <v>7</v>
      </c>
      <c r="AX266">
        <f t="shared" si="119"/>
        <v>11</v>
      </c>
    </row>
    <row r="267" spans="1:50" x14ac:dyDescent="0.25">
      <c r="A267" s="113">
        <v>264</v>
      </c>
      <c r="B267" s="209"/>
      <c r="C267" s="113">
        <v>0</v>
      </c>
      <c r="D267" s="113">
        <v>0</v>
      </c>
      <c r="E267" s="113" t="s">
        <v>688</v>
      </c>
      <c r="F267" s="113" t="s">
        <v>688</v>
      </c>
      <c r="G267" s="113"/>
      <c r="H267" s="113"/>
      <c r="I267" s="113"/>
      <c r="J267" s="113"/>
      <c r="K267" s="113"/>
      <c r="N267" s="113" t="e">
        <f>MATCH(A267,Entrada!$A$53:$A$372,0)</f>
        <v>#N/A</v>
      </c>
      <c r="O267">
        <f>IF(NOT(ISNA($N267)),INDEX(Entrada!$C$53:$N$372,$N267,O$2),0)</f>
        <v>0</v>
      </c>
      <c r="P267">
        <f>IF(NOT(ISNA($N267)),INDEX(Entrada!$C$53:$N$372,$N267,P$2),0)</f>
        <v>0</v>
      </c>
      <c r="Q267">
        <f>IF(NOT(ISNA($N267)),INDEX(Entrada!$C$53:$N$372,$N267,Q$2),0)</f>
        <v>0</v>
      </c>
      <c r="R267">
        <f>IF(NOT(ISNA($N267)),INDEX(Entrada!$C$53:$N$372,$N267,R$2),0)</f>
        <v>0</v>
      </c>
      <c r="S267">
        <f>IF(NOT(ISNA($N267)),INDEX(Entrada!$C$53:$N$372,$N267,S$2),0)</f>
        <v>0</v>
      </c>
      <c r="T267">
        <f>IF(NOT(ISNA($N267)),INDEX(Entrada!$C$53:$N$372,$N267,T$2),0)</f>
        <v>0</v>
      </c>
      <c r="U267">
        <f>IF(NOT(ISNA($N267)),INDEX(Entrada!$C$53:$N$372,$N267,U$2),0)</f>
        <v>0</v>
      </c>
      <c r="V267" s="225">
        <f>IF(NOT(ISNA($N267)),INDEX(Entrada!$C$53:$N$372,$N267,V$2),0)</f>
        <v>0</v>
      </c>
      <c r="W267" s="225">
        <f>IF(NOT(ISNA($N267)),INDEX(Entrada!$C$53:$N$372,$N267,W$2),0)</f>
        <v>0</v>
      </c>
      <c r="X267" s="225">
        <f>IF(NOT(ISNA($N267)),INDEX(Entrada!$C$53:$N$372,$N267,X$2),0)</f>
        <v>0</v>
      </c>
      <c r="Y267" s="225">
        <f>IF(NOT(ISNA($N267)),INDEX(Entrada!$C$53:$N$372,$N267,Y$2),0)</f>
        <v>0</v>
      </c>
      <c r="Z267" s="225">
        <f>IF(NOT(ISNA($N267)),INDEX(Entrada!$C$53:$N$372,$N267,Z$2),0)</f>
        <v>0</v>
      </c>
      <c r="AA267" s="113">
        <f t="shared" si="96"/>
        <v>0</v>
      </c>
      <c r="AB267">
        <f t="shared" si="97"/>
        <v>0</v>
      </c>
      <c r="AC267">
        <f t="shared" si="98"/>
        <v>0</v>
      </c>
      <c r="AD267">
        <f t="shared" si="99"/>
        <v>0</v>
      </c>
      <c r="AE267">
        <f t="shared" si="100"/>
        <v>0</v>
      </c>
      <c r="AF267">
        <f t="shared" si="101"/>
        <v>0</v>
      </c>
      <c r="AG267">
        <f t="shared" si="102"/>
        <v>0</v>
      </c>
      <c r="AH267">
        <f t="shared" si="103"/>
        <v>0</v>
      </c>
      <c r="AI267">
        <f t="shared" si="104"/>
        <v>0</v>
      </c>
      <c r="AJ267">
        <f t="shared" si="105"/>
        <v>0</v>
      </c>
      <c r="AK267">
        <f t="shared" si="106"/>
        <v>0</v>
      </c>
      <c r="AL267">
        <f t="shared" si="107"/>
        <v>0</v>
      </c>
      <c r="AM267" s="113">
        <f t="shared" si="108"/>
        <v>0</v>
      </c>
      <c r="AN267">
        <f t="shared" si="109"/>
        <v>0</v>
      </c>
      <c r="AO267">
        <f t="shared" si="110"/>
        <v>0</v>
      </c>
      <c r="AP267">
        <f t="shared" si="111"/>
        <v>0</v>
      </c>
      <c r="AQ267">
        <f t="shared" si="112"/>
        <v>0</v>
      </c>
      <c r="AR267">
        <f t="shared" si="113"/>
        <v>0</v>
      </c>
      <c r="AS267">
        <f t="shared" si="114"/>
        <v>0</v>
      </c>
      <c r="AT267">
        <f t="shared" si="115"/>
        <v>0</v>
      </c>
      <c r="AU267">
        <f t="shared" si="116"/>
        <v>0</v>
      </c>
      <c r="AV267">
        <f t="shared" si="117"/>
        <v>0</v>
      </c>
      <c r="AW267">
        <f t="shared" si="118"/>
        <v>0</v>
      </c>
      <c r="AX267">
        <f t="shared" si="119"/>
        <v>0</v>
      </c>
    </row>
    <row r="268" spans="1:50" x14ac:dyDescent="0.25">
      <c r="A268" s="113">
        <v>265</v>
      </c>
      <c r="B268" s="209" t="s">
        <v>656</v>
      </c>
      <c r="C268" s="113">
        <v>1931</v>
      </c>
      <c r="D268" s="113">
        <v>2013</v>
      </c>
      <c r="E268" s="210" t="s">
        <v>688</v>
      </c>
      <c r="F268" s="210" t="s">
        <v>688</v>
      </c>
      <c r="G268" s="113"/>
      <c r="H268" s="113"/>
      <c r="I268" s="113"/>
      <c r="J268" s="113"/>
      <c r="K268" s="113"/>
      <c r="N268" s="113">
        <f>MATCH(A268,Entrada!$A$53:$A$372,0)</f>
        <v>167</v>
      </c>
      <c r="O268">
        <f>IF(NOT(ISNA($N268)),INDEX(Entrada!$C$53:$N$372,$N268,O$2),0)</f>
        <v>69</v>
      </c>
      <c r="P268">
        <f>IF(NOT(ISNA($N268)),INDEX(Entrada!$C$53:$N$372,$N268,P$2),0)</f>
        <v>54</v>
      </c>
      <c r="Q268">
        <f>IF(NOT(ISNA($N268)),INDEX(Entrada!$C$53:$N$372,$N268,Q$2),0)</f>
        <v>49</v>
      </c>
      <c r="R268">
        <f>IF(NOT(ISNA($N268)),INDEX(Entrada!$C$53:$N$372,$N268,R$2),0)</f>
        <v>41</v>
      </c>
      <c r="S268">
        <f>IF(NOT(ISNA($N268)),INDEX(Entrada!$C$53:$N$372,$N268,S$2),0)</f>
        <v>31</v>
      </c>
      <c r="T268">
        <f>IF(NOT(ISNA($N268)),INDEX(Entrada!$C$53:$N$372,$N268,T$2),0)</f>
        <v>27</v>
      </c>
      <c r="U268">
        <f>IF(NOT(ISNA($N268)),INDEX(Entrada!$C$53:$N$372,$N268,U$2),0)</f>
        <v>25</v>
      </c>
      <c r="V268" s="225">
        <f>IF(NOT(ISNA($N268)),INDEX(Entrada!$C$53:$N$372,$N268,V$2),0)</f>
        <v>22</v>
      </c>
      <c r="W268" s="225">
        <f>IF(NOT(ISNA($N268)),INDEX(Entrada!$C$53:$N$372,$N268,W$2),0)</f>
        <v>21</v>
      </c>
      <c r="X268" s="225">
        <f>IF(NOT(ISNA($N268)),INDEX(Entrada!$C$53:$N$372,$N268,X$2),0)</f>
        <v>25</v>
      </c>
      <c r="Y268" s="225">
        <f>IF(NOT(ISNA($N268)),INDEX(Entrada!$C$53:$N$372,$N268,Y$2),0)</f>
        <v>40</v>
      </c>
      <c r="Z268" s="225">
        <f>IF(NOT(ISNA($N268)),INDEX(Entrada!$C$53:$N$372,$N268,Z$2),0)</f>
        <v>62</v>
      </c>
      <c r="AA268" s="113">
        <f t="shared" si="96"/>
        <v>0</v>
      </c>
      <c r="AB268">
        <f t="shared" si="97"/>
        <v>0</v>
      </c>
      <c r="AC268">
        <f t="shared" si="98"/>
        <v>0</v>
      </c>
      <c r="AD268">
        <f t="shared" si="99"/>
        <v>0</v>
      </c>
      <c r="AE268">
        <f t="shared" si="100"/>
        <v>0</v>
      </c>
      <c r="AF268">
        <f t="shared" si="101"/>
        <v>0</v>
      </c>
      <c r="AG268">
        <f t="shared" si="102"/>
        <v>0</v>
      </c>
      <c r="AH268">
        <f t="shared" si="103"/>
        <v>0</v>
      </c>
      <c r="AI268">
        <f t="shared" si="104"/>
        <v>0</v>
      </c>
      <c r="AJ268">
        <f t="shared" si="105"/>
        <v>0</v>
      </c>
      <c r="AK268">
        <f t="shared" si="106"/>
        <v>0</v>
      </c>
      <c r="AL268">
        <f t="shared" si="107"/>
        <v>0</v>
      </c>
      <c r="AM268" s="113">
        <f t="shared" si="108"/>
        <v>69</v>
      </c>
      <c r="AN268">
        <f t="shared" si="109"/>
        <v>54</v>
      </c>
      <c r="AO268">
        <f t="shared" si="110"/>
        <v>49</v>
      </c>
      <c r="AP268">
        <f t="shared" si="111"/>
        <v>41</v>
      </c>
      <c r="AQ268">
        <f t="shared" si="112"/>
        <v>31</v>
      </c>
      <c r="AR268">
        <f t="shared" si="113"/>
        <v>27</v>
      </c>
      <c r="AS268">
        <f t="shared" si="114"/>
        <v>25</v>
      </c>
      <c r="AT268">
        <f t="shared" si="115"/>
        <v>22</v>
      </c>
      <c r="AU268">
        <f t="shared" si="116"/>
        <v>21</v>
      </c>
      <c r="AV268">
        <f t="shared" si="117"/>
        <v>25</v>
      </c>
      <c r="AW268">
        <f t="shared" si="118"/>
        <v>40</v>
      </c>
      <c r="AX268">
        <f t="shared" si="119"/>
        <v>62</v>
      </c>
    </row>
    <row r="269" spans="1:50" x14ac:dyDescent="0.25">
      <c r="A269" s="113">
        <v>266</v>
      </c>
      <c r="B269" s="209" t="s">
        <v>573</v>
      </c>
      <c r="C269" s="113">
        <v>1931</v>
      </c>
      <c r="D269" s="113">
        <v>2013</v>
      </c>
      <c r="E269" s="210" t="s">
        <v>8</v>
      </c>
      <c r="F269" s="210" t="s">
        <v>291</v>
      </c>
      <c r="G269" s="113">
        <v>246</v>
      </c>
      <c r="H269" s="113">
        <v>63</v>
      </c>
      <c r="I269" s="113"/>
      <c r="J269" s="113"/>
      <c r="K269" s="113"/>
      <c r="N269" s="113">
        <f>MATCH(A269,Entrada!$A$53:$A$372,0)</f>
        <v>168</v>
      </c>
      <c r="O269">
        <f>IF(NOT(ISNA($N269)),INDEX(Entrada!$C$53:$N$372,$N269,O$2),0)</f>
        <v>14842</v>
      </c>
      <c r="P269">
        <f>IF(NOT(ISNA($N269)),INDEX(Entrada!$C$53:$N$372,$N269,P$2),0)</f>
        <v>16211</v>
      </c>
      <c r="Q269">
        <f>IF(NOT(ISNA($N269)),INDEX(Entrada!$C$53:$N$372,$N269,Q$2),0)</f>
        <v>15079</v>
      </c>
      <c r="R269">
        <f>IF(NOT(ISNA($N269)),INDEX(Entrada!$C$53:$N$372,$N269,R$2),0)</f>
        <v>11975</v>
      </c>
      <c r="S269">
        <f>IF(NOT(ISNA($N269)),INDEX(Entrada!$C$53:$N$372,$N269,S$2),0)</f>
        <v>9577</v>
      </c>
      <c r="T269">
        <f>IF(NOT(ISNA($N269)),INDEX(Entrada!$C$53:$N$372,$N269,T$2),0)</f>
        <v>8867</v>
      </c>
      <c r="U269">
        <f>IF(NOT(ISNA($N269)),INDEX(Entrada!$C$53:$N$372,$N269,U$2),0)</f>
        <v>7506</v>
      </c>
      <c r="V269" s="225">
        <f>IF(NOT(ISNA($N269)),INDEX(Entrada!$C$53:$N$372,$N269,V$2),0)</f>
        <v>6311</v>
      </c>
      <c r="W269" s="225">
        <f>IF(NOT(ISNA($N269)),INDEX(Entrada!$C$53:$N$372,$N269,W$2),0)</f>
        <v>6353</v>
      </c>
      <c r="X269" s="225">
        <f>IF(NOT(ISNA($N269)),INDEX(Entrada!$C$53:$N$372,$N269,X$2),0)</f>
        <v>7630</v>
      </c>
      <c r="Y269" s="225">
        <f>IF(NOT(ISNA($N269)),INDEX(Entrada!$C$53:$N$372,$N269,Y$2),0)</f>
        <v>8377</v>
      </c>
      <c r="Z269" s="225">
        <f>IF(NOT(ISNA($N269)),INDEX(Entrada!$C$53:$N$372,$N269,Z$2),0)</f>
        <v>11034</v>
      </c>
      <c r="AA269" s="113">
        <f t="shared" si="96"/>
        <v>13286</v>
      </c>
      <c r="AB269">
        <f t="shared" si="97"/>
        <v>14263</v>
      </c>
      <c r="AC269">
        <f t="shared" si="98"/>
        <v>13297</v>
      </c>
      <c r="AD269">
        <f t="shared" si="99"/>
        <v>10206</v>
      </c>
      <c r="AE269">
        <f t="shared" si="100"/>
        <v>7668</v>
      </c>
      <c r="AF269">
        <f t="shared" si="101"/>
        <v>6916</v>
      </c>
      <c r="AG269">
        <f t="shared" si="102"/>
        <v>5795</v>
      </c>
      <c r="AH269">
        <f t="shared" si="103"/>
        <v>4915</v>
      </c>
      <c r="AI269">
        <f t="shared" si="104"/>
        <v>4887</v>
      </c>
      <c r="AJ269">
        <f t="shared" si="105"/>
        <v>5683</v>
      </c>
      <c r="AK269">
        <f t="shared" si="106"/>
        <v>6660</v>
      </c>
      <c r="AL269">
        <f t="shared" si="107"/>
        <v>9445</v>
      </c>
      <c r="AM269" s="113">
        <f t="shared" si="108"/>
        <v>1556</v>
      </c>
      <c r="AN269">
        <f t="shared" si="109"/>
        <v>1948</v>
      </c>
      <c r="AO269">
        <f t="shared" si="110"/>
        <v>1782</v>
      </c>
      <c r="AP269">
        <f t="shared" si="111"/>
        <v>1769</v>
      </c>
      <c r="AQ269">
        <f t="shared" si="112"/>
        <v>1909</v>
      </c>
      <c r="AR269">
        <f t="shared" si="113"/>
        <v>1951</v>
      </c>
      <c r="AS269">
        <f t="shared" si="114"/>
        <v>1711</v>
      </c>
      <c r="AT269">
        <f t="shared" si="115"/>
        <v>1396</v>
      </c>
      <c r="AU269">
        <f t="shared" si="116"/>
        <v>1466</v>
      </c>
      <c r="AV269">
        <f t="shared" si="117"/>
        <v>1947</v>
      </c>
      <c r="AW269">
        <f t="shared" si="118"/>
        <v>1717</v>
      </c>
      <c r="AX269">
        <f t="shared" si="119"/>
        <v>1589</v>
      </c>
    </row>
    <row r="270" spans="1:50" x14ac:dyDescent="0.25">
      <c r="A270" s="113">
        <v>267</v>
      </c>
      <c r="B270" s="209" t="s">
        <v>657</v>
      </c>
      <c r="C270" s="113">
        <v>1931</v>
      </c>
      <c r="D270" s="113">
        <v>2013</v>
      </c>
      <c r="E270" s="210" t="s">
        <v>688</v>
      </c>
      <c r="F270" s="210" t="s">
        <v>688</v>
      </c>
      <c r="G270" s="113"/>
      <c r="H270" s="113"/>
      <c r="I270" s="113"/>
      <c r="J270" s="113"/>
      <c r="K270" s="113"/>
      <c r="N270" s="113">
        <f>MATCH(A270,Entrada!$A$53:$A$372,0)</f>
        <v>169</v>
      </c>
      <c r="O270">
        <f>IF(NOT(ISNA($N270)),INDEX(Entrada!$C$53:$N$372,$N270,O$2),0)</f>
        <v>271</v>
      </c>
      <c r="P270">
        <f>IF(NOT(ISNA($N270)),INDEX(Entrada!$C$53:$N$372,$N270,P$2),0)</f>
        <v>230</v>
      </c>
      <c r="Q270">
        <f>IF(NOT(ISNA($N270)),INDEX(Entrada!$C$53:$N$372,$N270,Q$2),0)</f>
        <v>205</v>
      </c>
      <c r="R270">
        <f>IF(NOT(ISNA($N270)),INDEX(Entrada!$C$53:$N$372,$N270,R$2),0)</f>
        <v>159</v>
      </c>
      <c r="S270">
        <f>IF(NOT(ISNA($N270)),INDEX(Entrada!$C$53:$N$372,$N270,S$2),0)</f>
        <v>122</v>
      </c>
      <c r="T270">
        <f>IF(NOT(ISNA($N270)),INDEX(Entrada!$C$53:$N$372,$N270,T$2),0)</f>
        <v>107</v>
      </c>
      <c r="U270">
        <f>IF(NOT(ISNA($N270)),INDEX(Entrada!$C$53:$N$372,$N270,U$2),0)</f>
        <v>95</v>
      </c>
      <c r="V270" s="225">
        <f>IF(NOT(ISNA($N270)),INDEX(Entrada!$C$53:$N$372,$N270,V$2),0)</f>
        <v>85</v>
      </c>
      <c r="W270" s="225">
        <f>IF(NOT(ISNA($N270)),INDEX(Entrada!$C$53:$N$372,$N270,W$2),0)</f>
        <v>85</v>
      </c>
      <c r="X270" s="225">
        <f>IF(NOT(ISNA($N270)),INDEX(Entrada!$C$53:$N$372,$N270,X$2),0)</f>
        <v>100</v>
      </c>
      <c r="Y270" s="225">
        <f>IF(NOT(ISNA($N270)),INDEX(Entrada!$C$53:$N$372,$N270,Y$2),0)</f>
        <v>146</v>
      </c>
      <c r="Z270" s="225">
        <f>IF(NOT(ISNA($N270)),INDEX(Entrada!$C$53:$N$372,$N270,Z$2),0)</f>
        <v>230</v>
      </c>
      <c r="AA270" s="113">
        <f t="shared" si="96"/>
        <v>0</v>
      </c>
      <c r="AB270">
        <f t="shared" si="97"/>
        <v>0</v>
      </c>
      <c r="AC270">
        <f t="shared" si="98"/>
        <v>0</v>
      </c>
      <c r="AD270">
        <f t="shared" si="99"/>
        <v>0</v>
      </c>
      <c r="AE270">
        <f t="shared" si="100"/>
        <v>0</v>
      </c>
      <c r="AF270">
        <f t="shared" si="101"/>
        <v>0</v>
      </c>
      <c r="AG270">
        <f t="shared" si="102"/>
        <v>0</v>
      </c>
      <c r="AH270">
        <f t="shared" si="103"/>
        <v>0</v>
      </c>
      <c r="AI270">
        <f t="shared" si="104"/>
        <v>0</v>
      </c>
      <c r="AJ270">
        <f t="shared" si="105"/>
        <v>0</v>
      </c>
      <c r="AK270">
        <f t="shared" si="106"/>
        <v>0</v>
      </c>
      <c r="AL270">
        <f t="shared" si="107"/>
        <v>0</v>
      </c>
      <c r="AM270" s="113">
        <f t="shared" si="108"/>
        <v>271</v>
      </c>
      <c r="AN270">
        <f t="shared" si="109"/>
        <v>230</v>
      </c>
      <c r="AO270">
        <f t="shared" si="110"/>
        <v>205</v>
      </c>
      <c r="AP270">
        <f t="shared" si="111"/>
        <v>159</v>
      </c>
      <c r="AQ270">
        <f t="shared" si="112"/>
        <v>122</v>
      </c>
      <c r="AR270">
        <f t="shared" si="113"/>
        <v>107</v>
      </c>
      <c r="AS270">
        <f t="shared" si="114"/>
        <v>95</v>
      </c>
      <c r="AT270">
        <f t="shared" si="115"/>
        <v>85</v>
      </c>
      <c r="AU270">
        <f t="shared" si="116"/>
        <v>85</v>
      </c>
      <c r="AV270">
        <f t="shared" si="117"/>
        <v>100</v>
      </c>
      <c r="AW270">
        <f t="shared" si="118"/>
        <v>146</v>
      </c>
      <c r="AX270">
        <f t="shared" si="119"/>
        <v>230</v>
      </c>
    </row>
    <row r="271" spans="1:50" x14ac:dyDescent="0.25">
      <c r="A271" s="113">
        <v>268</v>
      </c>
      <c r="B271" s="209"/>
      <c r="C271" s="113">
        <v>0</v>
      </c>
      <c r="D271" s="113">
        <v>0</v>
      </c>
      <c r="E271" s="113" t="s">
        <v>688</v>
      </c>
      <c r="F271" s="113" t="s">
        <v>688</v>
      </c>
      <c r="G271" s="113"/>
      <c r="H271" s="113"/>
      <c r="I271" s="113"/>
      <c r="J271" s="113"/>
      <c r="K271" s="113"/>
      <c r="N271" s="113" t="e">
        <f>MATCH(A271,Entrada!$A$53:$A$372,0)</f>
        <v>#N/A</v>
      </c>
      <c r="O271">
        <f>IF(NOT(ISNA($N271)),INDEX(Entrada!$C$53:$N$372,$N271,O$2),0)</f>
        <v>0</v>
      </c>
      <c r="P271">
        <f>IF(NOT(ISNA($N271)),INDEX(Entrada!$C$53:$N$372,$N271,P$2),0)</f>
        <v>0</v>
      </c>
      <c r="Q271">
        <f>IF(NOT(ISNA($N271)),INDEX(Entrada!$C$53:$N$372,$N271,Q$2),0)</f>
        <v>0</v>
      </c>
      <c r="R271">
        <f>IF(NOT(ISNA($N271)),INDEX(Entrada!$C$53:$N$372,$N271,R$2),0)</f>
        <v>0</v>
      </c>
      <c r="S271">
        <f>IF(NOT(ISNA($N271)),INDEX(Entrada!$C$53:$N$372,$N271,S$2),0)</f>
        <v>0</v>
      </c>
      <c r="T271">
        <f>IF(NOT(ISNA($N271)),INDEX(Entrada!$C$53:$N$372,$N271,T$2),0)</f>
        <v>0</v>
      </c>
      <c r="U271">
        <f>IF(NOT(ISNA($N271)),INDEX(Entrada!$C$53:$N$372,$N271,U$2),0)</f>
        <v>0</v>
      </c>
      <c r="V271" s="225">
        <f>IF(NOT(ISNA($N271)),INDEX(Entrada!$C$53:$N$372,$N271,V$2),0)</f>
        <v>0</v>
      </c>
      <c r="W271" s="225">
        <f>IF(NOT(ISNA($N271)),INDEX(Entrada!$C$53:$N$372,$N271,W$2),0)</f>
        <v>0</v>
      </c>
      <c r="X271" s="225">
        <f>IF(NOT(ISNA($N271)),INDEX(Entrada!$C$53:$N$372,$N271,X$2),0)</f>
        <v>0</v>
      </c>
      <c r="Y271" s="225">
        <f>IF(NOT(ISNA($N271)),INDEX(Entrada!$C$53:$N$372,$N271,Y$2),0)</f>
        <v>0</v>
      </c>
      <c r="Z271" s="225">
        <f>IF(NOT(ISNA($N271)),INDEX(Entrada!$C$53:$N$372,$N271,Z$2),0)</f>
        <v>0</v>
      </c>
      <c r="AA271" s="113">
        <f t="shared" si="96"/>
        <v>0</v>
      </c>
      <c r="AB271">
        <f t="shared" si="97"/>
        <v>0</v>
      </c>
      <c r="AC271">
        <f t="shared" si="98"/>
        <v>0</v>
      </c>
      <c r="AD271">
        <f t="shared" si="99"/>
        <v>0</v>
      </c>
      <c r="AE271">
        <f t="shared" si="100"/>
        <v>0</v>
      </c>
      <c r="AF271">
        <f t="shared" si="101"/>
        <v>0</v>
      </c>
      <c r="AG271">
        <f t="shared" si="102"/>
        <v>0</v>
      </c>
      <c r="AH271">
        <f t="shared" si="103"/>
        <v>0</v>
      </c>
      <c r="AI271">
        <f t="shared" si="104"/>
        <v>0</v>
      </c>
      <c r="AJ271">
        <f t="shared" si="105"/>
        <v>0</v>
      </c>
      <c r="AK271">
        <f t="shared" si="106"/>
        <v>0</v>
      </c>
      <c r="AL271">
        <f t="shared" si="107"/>
        <v>0</v>
      </c>
      <c r="AM271" s="113">
        <f t="shared" si="108"/>
        <v>0</v>
      </c>
      <c r="AN271">
        <f t="shared" si="109"/>
        <v>0</v>
      </c>
      <c r="AO271">
        <f t="shared" si="110"/>
        <v>0</v>
      </c>
      <c r="AP271">
        <f t="shared" si="111"/>
        <v>0</v>
      </c>
      <c r="AQ271">
        <f t="shared" si="112"/>
        <v>0</v>
      </c>
      <c r="AR271">
        <f t="shared" si="113"/>
        <v>0</v>
      </c>
      <c r="AS271">
        <f t="shared" si="114"/>
        <v>0</v>
      </c>
      <c r="AT271">
        <f t="shared" si="115"/>
        <v>0</v>
      </c>
      <c r="AU271">
        <f t="shared" si="116"/>
        <v>0</v>
      </c>
      <c r="AV271">
        <f t="shared" si="117"/>
        <v>0</v>
      </c>
      <c r="AW271">
        <f t="shared" si="118"/>
        <v>0</v>
      </c>
      <c r="AX271">
        <f t="shared" si="119"/>
        <v>0</v>
      </c>
    </row>
    <row r="272" spans="1:50" x14ac:dyDescent="0.25">
      <c r="A272" s="113">
        <v>269</v>
      </c>
      <c r="B272" s="209" t="s">
        <v>658</v>
      </c>
      <c r="C272" s="113">
        <v>1931</v>
      </c>
      <c r="D272" s="113">
        <v>2013</v>
      </c>
      <c r="E272" s="210" t="s">
        <v>29</v>
      </c>
      <c r="F272" s="210" t="s">
        <v>417</v>
      </c>
      <c r="G272" s="113"/>
      <c r="H272" s="113"/>
      <c r="I272" s="113"/>
      <c r="J272" s="113"/>
      <c r="K272" s="113"/>
      <c r="N272" s="113">
        <f>MATCH(A272,Entrada!$A$53:$A$372,0)</f>
        <v>170</v>
      </c>
      <c r="O272">
        <f>IF(NOT(ISNA($N272)),INDEX(Entrada!$C$53:$N$372,$N272,O$2),0)</f>
        <v>383</v>
      </c>
      <c r="P272">
        <f>IF(NOT(ISNA($N272)),INDEX(Entrada!$C$53:$N$372,$N272,P$2),0)</f>
        <v>584</v>
      </c>
      <c r="Q272">
        <f>IF(NOT(ISNA($N272)),INDEX(Entrada!$C$53:$N$372,$N272,Q$2),0)</f>
        <v>747</v>
      </c>
      <c r="R272">
        <f>IF(NOT(ISNA($N272)),INDEX(Entrada!$C$53:$N$372,$N272,R$2),0)</f>
        <v>1021</v>
      </c>
      <c r="S272">
        <f>IF(NOT(ISNA($N272)),INDEX(Entrada!$C$53:$N$372,$N272,S$2),0)</f>
        <v>1186</v>
      </c>
      <c r="T272">
        <f>IF(NOT(ISNA($N272)),INDEX(Entrada!$C$53:$N$372,$N272,T$2),0)</f>
        <v>1053</v>
      </c>
      <c r="U272">
        <f>IF(NOT(ISNA($N272)),INDEX(Entrada!$C$53:$N$372,$N272,U$2),0)</f>
        <v>670</v>
      </c>
      <c r="V272" s="225">
        <f>IF(NOT(ISNA($N272)),INDEX(Entrada!$C$53:$N$372,$N272,V$2),0)</f>
        <v>422</v>
      </c>
      <c r="W272" s="225">
        <f>IF(NOT(ISNA($N272)),INDEX(Entrada!$C$53:$N$372,$N272,W$2),0)</f>
        <v>315</v>
      </c>
      <c r="X272" s="225">
        <f>IF(NOT(ISNA($N272)),INDEX(Entrada!$C$53:$N$372,$N272,X$2),0)</f>
        <v>266</v>
      </c>
      <c r="Y272" s="225">
        <f>IF(NOT(ISNA($N272)),INDEX(Entrada!$C$53:$N$372,$N272,Y$2),0)</f>
        <v>263</v>
      </c>
      <c r="Z272" s="225">
        <f>IF(NOT(ISNA($N272)),INDEX(Entrada!$C$53:$N$372,$N272,Z$2),0)</f>
        <v>293</v>
      </c>
      <c r="AA272" s="113">
        <f t="shared" si="96"/>
        <v>0</v>
      </c>
      <c r="AB272">
        <f t="shared" si="97"/>
        <v>0</v>
      </c>
      <c r="AC272">
        <f t="shared" si="98"/>
        <v>0</v>
      </c>
      <c r="AD272">
        <f t="shared" si="99"/>
        <v>0</v>
      </c>
      <c r="AE272">
        <f t="shared" si="100"/>
        <v>0</v>
      </c>
      <c r="AF272">
        <f t="shared" si="101"/>
        <v>0</v>
      </c>
      <c r="AG272">
        <f t="shared" si="102"/>
        <v>0</v>
      </c>
      <c r="AH272">
        <f t="shared" si="103"/>
        <v>0</v>
      </c>
      <c r="AI272">
        <f t="shared" si="104"/>
        <v>0</v>
      </c>
      <c r="AJ272">
        <f t="shared" si="105"/>
        <v>0</v>
      </c>
      <c r="AK272">
        <f t="shared" si="106"/>
        <v>0</v>
      </c>
      <c r="AL272">
        <f t="shared" si="107"/>
        <v>0</v>
      </c>
      <c r="AM272" s="113">
        <f t="shared" si="108"/>
        <v>383</v>
      </c>
      <c r="AN272">
        <f t="shared" si="109"/>
        <v>584</v>
      </c>
      <c r="AO272">
        <f t="shared" si="110"/>
        <v>747</v>
      </c>
      <c r="AP272">
        <f t="shared" si="111"/>
        <v>1021</v>
      </c>
      <c r="AQ272">
        <f t="shared" si="112"/>
        <v>1186</v>
      </c>
      <c r="AR272">
        <f t="shared" si="113"/>
        <v>1053</v>
      </c>
      <c r="AS272">
        <f t="shared" si="114"/>
        <v>670</v>
      </c>
      <c r="AT272">
        <f t="shared" si="115"/>
        <v>422</v>
      </c>
      <c r="AU272">
        <f t="shared" si="116"/>
        <v>315</v>
      </c>
      <c r="AV272">
        <f t="shared" si="117"/>
        <v>266</v>
      </c>
      <c r="AW272">
        <f t="shared" si="118"/>
        <v>263</v>
      </c>
      <c r="AX272">
        <f t="shared" si="119"/>
        <v>293</v>
      </c>
    </row>
    <row r="273" spans="1:50" x14ac:dyDescent="0.25">
      <c r="A273" s="113">
        <v>270</v>
      </c>
      <c r="B273" s="209" t="s">
        <v>659</v>
      </c>
      <c r="C273" s="113">
        <v>1931</v>
      </c>
      <c r="D273" s="113">
        <v>2013</v>
      </c>
      <c r="E273" s="210" t="s">
        <v>26</v>
      </c>
      <c r="F273" s="210" t="s">
        <v>387</v>
      </c>
      <c r="G273" s="113"/>
      <c r="H273" s="113"/>
      <c r="I273" s="113"/>
      <c r="J273" s="113"/>
      <c r="K273" s="113"/>
      <c r="N273" s="113">
        <f>MATCH(A273,Entrada!$A$53:$A$372,0)</f>
        <v>171</v>
      </c>
      <c r="O273">
        <f>IF(NOT(ISNA($N273)),INDEX(Entrada!$C$53:$N$372,$N273,O$2),0)</f>
        <v>1435</v>
      </c>
      <c r="P273">
        <f>IF(NOT(ISNA($N273)),INDEX(Entrada!$C$53:$N$372,$N273,P$2),0)</f>
        <v>1626</v>
      </c>
      <c r="Q273">
        <f>IF(NOT(ISNA($N273)),INDEX(Entrada!$C$53:$N$372,$N273,Q$2),0)</f>
        <v>1501</v>
      </c>
      <c r="R273">
        <f>IF(NOT(ISNA($N273)),INDEX(Entrada!$C$53:$N$372,$N273,R$2),0)</f>
        <v>1062</v>
      </c>
      <c r="S273">
        <f>IF(NOT(ISNA($N273)),INDEX(Entrada!$C$53:$N$372,$N273,S$2),0)</f>
        <v>562</v>
      </c>
      <c r="T273">
        <f>IF(NOT(ISNA($N273)),INDEX(Entrada!$C$53:$N$372,$N273,T$2),0)</f>
        <v>390</v>
      </c>
      <c r="U273">
        <f>IF(NOT(ISNA($N273)),INDEX(Entrada!$C$53:$N$372,$N273,U$2),0)</f>
        <v>294</v>
      </c>
      <c r="V273" s="225">
        <f>IF(NOT(ISNA($N273)),INDEX(Entrada!$C$53:$N$372,$N273,V$2),0)</f>
        <v>227</v>
      </c>
      <c r="W273" s="225">
        <f>IF(NOT(ISNA($N273)),INDEX(Entrada!$C$53:$N$372,$N273,W$2),0)</f>
        <v>216</v>
      </c>
      <c r="X273" s="225">
        <f>IF(NOT(ISNA($N273)),INDEX(Entrada!$C$53:$N$372,$N273,X$2),0)</f>
        <v>316</v>
      </c>
      <c r="Y273" s="225">
        <f>IF(NOT(ISNA($N273)),INDEX(Entrada!$C$53:$N$372,$N273,Y$2),0)</f>
        <v>570</v>
      </c>
      <c r="Z273" s="225">
        <f>IF(NOT(ISNA($N273)),INDEX(Entrada!$C$53:$N$372,$N273,Z$2),0)</f>
        <v>1064</v>
      </c>
      <c r="AA273" s="113">
        <f t="shared" si="96"/>
        <v>0</v>
      </c>
      <c r="AB273">
        <f t="shared" si="97"/>
        <v>0</v>
      </c>
      <c r="AC273">
        <f t="shared" si="98"/>
        <v>0</v>
      </c>
      <c r="AD273">
        <f t="shared" si="99"/>
        <v>0</v>
      </c>
      <c r="AE273">
        <f t="shared" si="100"/>
        <v>0</v>
      </c>
      <c r="AF273">
        <f t="shared" si="101"/>
        <v>0</v>
      </c>
      <c r="AG273">
        <f t="shared" si="102"/>
        <v>0</v>
      </c>
      <c r="AH273">
        <f t="shared" si="103"/>
        <v>0</v>
      </c>
      <c r="AI273">
        <f t="shared" si="104"/>
        <v>0</v>
      </c>
      <c r="AJ273">
        <f t="shared" si="105"/>
        <v>0</v>
      </c>
      <c r="AK273">
        <f t="shared" si="106"/>
        <v>0</v>
      </c>
      <c r="AL273">
        <f t="shared" si="107"/>
        <v>0</v>
      </c>
      <c r="AM273" s="113">
        <f t="shared" si="108"/>
        <v>1435</v>
      </c>
      <c r="AN273">
        <f t="shared" si="109"/>
        <v>1626</v>
      </c>
      <c r="AO273">
        <f t="shared" si="110"/>
        <v>1501</v>
      </c>
      <c r="AP273">
        <f t="shared" si="111"/>
        <v>1062</v>
      </c>
      <c r="AQ273">
        <f t="shared" si="112"/>
        <v>562</v>
      </c>
      <c r="AR273">
        <f t="shared" si="113"/>
        <v>390</v>
      </c>
      <c r="AS273">
        <f t="shared" si="114"/>
        <v>294</v>
      </c>
      <c r="AT273">
        <f t="shared" si="115"/>
        <v>227</v>
      </c>
      <c r="AU273">
        <f t="shared" si="116"/>
        <v>216</v>
      </c>
      <c r="AV273">
        <f t="shared" si="117"/>
        <v>316</v>
      </c>
      <c r="AW273">
        <f t="shared" si="118"/>
        <v>570</v>
      </c>
      <c r="AX273">
        <f t="shared" si="119"/>
        <v>1064</v>
      </c>
    </row>
    <row r="274" spans="1:50" x14ac:dyDescent="0.25">
      <c r="A274" s="113">
        <v>271</v>
      </c>
      <c r="B274" s="209" t="s">
        <v>222</v>
      </c>
      <c r="C274" s="113">
        <v>1931</v>
      </c>
      <c r="D274" s="113">
        <v>2013</v>
      </c>
      <c r="E274" s="210" t="s">
        <v>27</v>
      </c>
      <c r="F274" s="210" t="s">
        <v>387</v>
      </c>
      <c r="G274" s="113">
        <v>273</v>
      </c>
      <c r="H274" s="113"/>
      <c r="I274" s="113"/>
      <c r="J274" s="113"/>
      <c r="K274" s="113"/>
      <c r="N274" s="113">
        <f>MATCH(A274,Entrada!$A$53:$A$372,0)</f>
        <v>172</v>
      </c>
      <c r="O274">
        <f>IF(NOT(ISNA($N274)),INDEX(Entrada!$C$53:$N$372,$N274,O$2),0)</f>
        <v>6904</v>
      </c>
      <c r="P274">
        <f>IF(NOT(ISNA($N274)),INDEX(Entrada!$C$53:$N$372,$N274,P$2),0)</f>
        <v>8298</v>
      </c>
      <c r="Q274">
        <f>IF(NOT(ISNA($N274)),INDEX(Entrada!$C$53:$N$372,$N274,Q$2),0)</f>
        <v>8801</v>
      </c>
      <c r="R274">
        <f>IF(NOT(ISNA($N274)),INDEX(Entrada!$C$53:$N$372,$N274,R$2),0)</f>
        <v>7326</v>
      </c>
      <c r="S274">
        <f>IF(NOT(ISNA($N274)),INDEX(Entrada!$C$53:$N$372,$N274,S$2),0)</f>
        <v>4115</v>
      </c>
      <c r="T274">
        <f>IF(NOT(ISNA($N274)),INDEX(Entrada!$C$53:$N$372,$N274,T$2),0)</f>
        <v>2349</v>
      </c>
      <c r="U274">
        <f>IF(NOT(ISNA($N274)),INDEX(Entrada!$C$53:$N$372,$N274,U$2),0)</f>
        <v>1663</v>
      </c>
      <c r="V274" s="225">
        <f>IF(NOT(ISNA($N274)),INDEX(Entrada!$C$53:$N$372,$N274,V$2),0)</f>
        <v>1280</v>
      </c>
      <c r="W274" s="225">
        <f>IF(NOT(ISNA($N274)),INDEX(Entrada!$C$53:$N$372,$N274,W$2),0)</f>
        <v>1155</v>
      </c>
      <c r="X274" s="225">
        <f>IF(NOT(ISNA($N274)),INDEX(Entrada!$C$53:$N$372,$N274,X$2),0)</f>
        <v>1495</v>
      </c>
      <c r="Y274" s="225">
        <f>IF(NOT(ISNA($N274)),INDEX(Entrada!$C$53:$N$372,$N274,Y$2),0)</f>
        <v>2601</v>
      </c>
      <c r="Z274" s="225">
        <f>IF(NOT(ISNA($N274)),INDEX(Entrada!$C$53:$N$372,$N274,Z$2),0)</f>
        <v>4780</v>
      </c>
      <c r="AA274" s="113">
        <f t="shared" si="96"/>
        <v>4457</v>
      </c>
      <c r="AB274">
        <f t="shared" si="97"/>
        <v>5124</v>
      </c>
      <c r="AC274">
        <f t="shared" si="98"/>
        <v>5144</v>
      </c>
      <c r="AD274">
        <f t="shared" si="99"/>
        <v>3833</v>
      </c>
      <c r="AE274">
        <f t="shared" si="100"/>
        <v>1893</v>
      </c>
      <c r="AF274">
        <f t="shared" si="101"/>
        <v>1127</v>
      </c>
      <c r="AG274">
        <f t="shared" si="102"/>
        <v>811</v>
      </c>
      <c r="AH274">
        <f t="shared" si="103"/>
        <v>622</v>
      </c>
      <c r="AI274">
        <f t="shared" si="104"/>
        <v>567</v>
      </c>
      <c r="AJ274">
        <f t="shared" si="105"/>
        <v>794</v>
      </c>
      <c r="AK274">
        <f t="shared" si="106"/>
        <v>1573</v>
      </c>
      <c r="AL274">
        <f t="shared" si="107"/>
        <v>3179</v>
      </c>
      <c r="AM274" s="113">
        <f t="shared" si="108"/>
        <v>2447</v>
      </c>
      <c r="AN274">
        <f t="shared" si="109"/>
        <v>3174</v>
      </c>
      <c r="AO274">
        <f t="shared" si="110"/>
        <v>3657</v>
      </c>
      <c r="AP274">
        <f t="shared" si="111"/>
        <v>3493</v>
      </c>
      <c r="AQ274">
        <f t="shared" si="112"/>
        <v>2222</v>
      </c>
      <c r="AR274">
        <f t="shared" si="113"/>
        <v>1222</v>
      </c>
      <c r="AS274">
        <f t="shared" si="114"/>
        <v>852</v>
      </c>
      <c r="AT274">
        <f t="shared" si="115"/>
        <v>658</v>
      </c>
      <c r="AU274">
        <f t="shared" si="116"/>
        <v>588</v>
      </c>
      <c r="AV274">
        <f t="shared" si="117"/>
        <v>701</v>
      </c>
      <c r="AW274">
        <f t="shared" si="118"/>
        <v>1028</v>
      </c>
      <c r="AX274">
        <f t="shared" si="119"/>
        <v>1601</v>
      </c>
    </row>
    <row r="275" spans="1:50" x14ac:dyDescent="0.25">
      <c r="A275" s="113">
        <v>272</v>
      </c>
      <c r="B275" s="209"/>
      <c r="C275" s="113">
        <v>0</v>
      </c>
      <c r="D275" s="113">
        <v>0</v>
      </c>
      <c r="E275" s="113" t="s">
        <v>688</v>
      </c>
      <c r="F275" s="113" t="s">
        <v>688</v>
      </c>
      <c r="G275" s="113"/>
      <c r="H275" s="113"/>
      <c r="I275" s="113"/>
      <c r="J275" s="113"/>
      <c r="K275" s="113"/>
      <c r="N275" s="113" t="e">
        <f>MATCH(A275,Entrada!$A$53:$A$372,0)</f>
        <v>#N/A</v>
      </c>
      <c r="O275">
        <f>IF(NOT(ISNA($N275)),INDEX(Entrada!$C$53:$N$372,$N275,O$2),0)</f>
        <v>0</v>
      </c>
      <c r="P275">
        <f>IF(NOT(ISNA($N275)),INDEX(Entrada!$C$53:$N$372,$N275,P$2),0)</f>
        <v>0</v>
      </c>
      <c r="Q275">
        <f>IF(NOT(ISNA($N275)),INDEX(Entrada!$C$53:$N$372,$N275,Q$2),0)</f>
        <v>0</v>
      </c>
      <c r="R275">
        <f>IF(NOT(ISNA($N275)),INDEX(Entrada!$C$53:$N$372,$N275,R$2),0)</f>
        <v>0</v>
      </c>
      <c r="S275">
        <f>IF(NOT(ISNA($N275)),INDEX(Entrada!$C$53:$N$372,$N275,S$2),0)</f>
        <v>0</v>
      </c>
      <c r="T275">
        <f>IF(NOT(ISNA($N275)),INDEX(Entrada!$C$53:$N$372,$N275,T$2),0)</f>
        <v>0</v>
      </c>
      <c r="U275">
        <f>IF(NOT(ISNA($N275)),INDEX(Entrada!$C$53:$N$372,$N275,U$2),0)</f>
        <v>0</v>
      </c>
      <c r="V275" s="225">
        <f>IF(NOT(ISNA($N275)),INDEX(Entrada!$C$53:$N$372,$N275,V$2),0)</f>
        <v>0</v>
      </c>
      <c r="W275" s="225">
        <f>IF(NOT(ISNA($N275)),INDEX(Entrada!$C$53:$N$372,$N275,W$2),0)</f>
        <v>0</v>
      </c>
      <c r="X275" s="225">
        <f>IF(NOT(ISNA($N275)),INDEX(Entrada!$C$53:$N$372,$N275,X$2),0)</f>
        <v>0</v>
      </c>
      <c r="Y275" s="225">
        <f>IF(NOT(ISNA($N275)),INDEX(Entrada!$C$53:$N$372,$N275,Y$2),0)</f>
        <v>0</v>
      </c>
      <c r="Z275" s="225">
        <f>IF(NOT(ISNA($N275)),INDEX(Entrada!$C$53:$N$372,$N275,Z$2),0)</f>
        <v>0</v>
      </c>
      <c r="AA275" s="113">
        <f t="shared" si="96"/>
        <v>0</v>
      </c>
      <c r="AB275">
        <f t="shared" si="97"/>
        <v>0</v>
      </c>
      <c r="AC275">
        <f t="shared" si="98"/>
        <v>0</v>
      </c>
      <c r="AD275">
        <f t="shared" si="99"/>
        <v>0</v>
      </c>
      <c r="AE275">
        <f t="shared" si="100"/>
        <v>0</v>
      </c>
      <c r="AF275">
        <f t="shared" si="101"/>
        <v>0</v>
      </c>
      <c r="AG275">
        <f t="shared" si="102"/>
        <v>0</v>
      </c>
      <c r="AH275">
        <f t="shared" si="103"/>
        <v>0</v>
      </c>
      <c r="AI275">
        <f t="shared" si="104"/>
        <v>0</v>
      </c>
      <c r="AJ275">
        <f t="shared" si="105"/>
        <v>0</v>
      </c>
      <c r="AK275">
        <f t="shared" si="106"/>
        <v>0</v>
      </c>
      <c r="AL275">
        <f t="shared" si="107"/>
        <v>0</v>
      </c>
      <c r="AM275" s="113">
        <f t="shared" si="108"/>
        <v>0</v>
      </c>
      <c r="AN275">
        <f t="shared" si="109"/>
        <v>0</v>
      </c>
      <c r="AO275">
        <f t="shared" si="110"/>
        <v>0</v>
      </c>
      <c r="AP275">
        <f t="shared" si="111"/>
        <v>0</v>
      </c>
      <c r="AQ275">
        <f t="shared" si="112"/>
        <v>0</v>
      </c>
      <c r="AR275">
        <f t="shared" si="113"/>
        <v>0</v>
      </c>
      <c r="AS275">
        <f t="shared" si="114"/>
        <v>0</v>
      </c>
      <c r="AT275">
        <f t="shared" si="115"/>
        <v>0</v>
      </c>
      <c r="AU275">
        <f t="shared" si="116"/>
        <v>0</v>
      </c>
      <c r="AV275">
        <f t="shared" si="117"/>
        <v>0</v>
      </c>
      <c r="AW275">
        <f t="shared" si="118"/>
        <v>0</v>
      </c>
      <c r="AX275">
        <f t="shared" si="119"/>
        <v>0</v>
      </c>
    </row>
    <row r="276" spans="1:50" x14ac:dyDescent="0.25">
      <c r="A276" s="113">
        <v>273</v>
      </c>
      <c r="B276" s="209" t="s">
        <v>660</v>
      </c>
      <c r="C276" s="113">
        <v>1931</v>
      </c>
      <c r="D276" s="113">
        <v>2013</v>
      </c>
      <c r="E276" s="210" t="s">
        <v>26</v>
      </c>
      <c r="F276" s="210" t="s">
        <v>387</v>
      </c>
      <c r="G276" s="113">
        <v>257</v>
      </c>
      <c r="H276" s="113"/>
      <c r="I276" s="113"/>
      <c r="J276" s="113"/>
      <c r="K276" s="113"/>
      <c r="N276" s="113">
        <f>MATCH(A276,Entrada!$A$53:$A$372,0)</f>
        <v>173</v>
      </c>
      <c r="O276">
        <f>IF(NOT(ISNA($N276)),INDEX(Entrada!$C$53:$N$372,$N276,O$2),0)</f>
        <v>4457</v>
      </c>
      <c r="P276">
        <f>IF(NOT(ISNA($N276)),INDEX(Entrada!$C$53:$N$372,$N276,P$2),0)</f>
        <v>5124</v>
      </c>
      <c r="Q276">
        <f>IF(NOT(ISNA($N276)),INDEX(Entrada!$C$53:$N$372,$N276,Q$2),0)</f>
        <v>5144</v>
      </c>
      <c r="R276">
        <f>IF(NOT(ISNA($N276)),INDEX(Entrada!$C$53:$N$372,$N276,R$2),0)</f>
        <v>3833</v>
      </c>
      <c r="S276">
        <f>IF(NOT(ISNA($N276)),INDEX(Entrada!$C$53:$N$372,$N276,S$2),0)</f>
        <v>1893</v>
      </c>
      <c r="T276">
        <f>IF(NOT(ISNA($N276)),INDEX(Entrada!$C$53:$N$372,$N276,T$2),0)</f>
        <v>1127</v>
      </c>
      <c r="U276">
        <f>IF(NOT(ISNA($N276)),INDEX(Entrada!$C$53:$N$372,$N276,U$2),0)</f>
        <v>811</v>
      </c>
      <c r="V276" s="225">
        <f>IF(NOT(ISNA($N276)),INDEX(Entrada!$C$53:$N$372,$N276,V$2),0)</f>
        <v>622</v>
      </c>
      <c r="W276" s="225">
        <f>IF(NOT(ISNA($N276)),INDEX(Entrada!$C$53:$N$372,$N276,W$2),0)</f>
        <v>567</v>
      </c>
      <c r="X276" s="225">
        <f>IF(NOT(ISNA($N276)),INDEX(Entrada!$C$53:$N$372,$N276,X$2),0)</f>
        <v>794</v>
      </c>
      <c r="Y276" s="225">
        <f>IF(NOT(ISNA($N276)),INDEX(Entrada!$C$53:$N$372,$N276,Y$2),0)</f>
        <v>1573</v>
      </c>
      <c r="Z276" s="225">
        <f>IF(NOT(ISNA($N276)),INDEX(Entrada!$C$53:$N$372,$N276,Z$2),0)</f>
        <v>3179</v>
      </c>
      <c r="AA276" s="113">
        <f t="shared" si="96"/>
        <v>3125</v>
      </c>
      <c r="AB276">
        <f t="shared" si="97"/>
        <v>3519</v>
      </c>
      <c r="AC276">
        <f t="shared" si="98"/>
        <v>3369</v>
      </c>
      <c r="AD276">
        <f t="shared" si="99"/>
        <v>2386</v>
      </c>
      <c r="AE276">
        <f t="shared" si="100"/>
        <v>1189</v>
      </c>
      <c r="AF276">
        <f t="shared" si="101"/>
        <v>783</v>
      </c>
      <c r="AG276">
        <f t="shared" si="102"/>
        <v>600</v>
      </c>
      <c r="AH276">
        <f t="shared" si="103"/>
        <v>482</v>
      </c>
      <c r="AI276">
        <f t="shared" si="104"/>
        <v>459</v>
      </c>
      <c r="AJ276">
        <f t="shared" si="105"/>
        <v>635</v>
      </c>
      <c r="AK276">
        <f t="shared" si="106"/>
        <v>1197</v>
      </c>
      <c r="AL276">
        <f t="shared" si="107"/>
        <v>2332</v>
      </c>
      <c r="AM276" s="113">
        <f t="shared" si="108"/>
        <v>1332</v>
      </c>
      <c r="AN276">
        <f t="shared" si="109"/>
        <v>1605</v>
      </c>
      <c r="AO276">
        <f t="shared" si="110"/>
        <v>1775</v>
      </c>
      <c r="AP276">
        <f t="shared" si="111"/>
        <v>1447</v>
      </c>
      <c r="AQ276">
        <f t="shared" si="112"/>
        <v>704</v>
      </c>
      <c r="AR276">
        <f t="shared" si="113"/>
        <v>344</v>
      </c>
      <c r="AS276">
        <f t="shared" si="114"/>
        <v>211</v>
      </c>
      <c r="AT276">
        <f t="shared" si="115"/>
        <v>140</v>
      </c>
      <c r="AU276">
        <f t="shared" si="116"/>
        <v>108</v>
      </c>
      <c r="AV276">
        <f t="shared" si="117"/>
        <v>159</v>
      </c>
      <c r="AW276">
        <f t="shared" si="118"/>
        <v>376</v>
      </c>
      <c r="AX276">
        <f t="shared" si="119"/>
        <v>847</v>
      </c>
    </row>
    <row r="277" spans="1:50" x14ac:dyDescent="0.25">
      <c r="A277" s="113">
        <v>274</v>
      </c>
      <c r="B277" s="209" t="s">
        <v>661</v>
      </c>
      <c r="C277" s="113">
        <v>1931</v>
      </c>
      <c r="D277" s="113">
        <v>2013</v>
      </c>
      <c r="E277" s="210" t="s">
        <v>688</v>
      </c>
      <c r="F277" s="210" t="s">
        <v>688</v>
      </c>
      <c r="G277" s="113"/>
      <c r="H277" s="113"/>
      <c r="I277" s="113"/>
      <c r="J277" s="113"/>
      <c r="K277" s="113"/>
      <c r="N277" s="113">
        <f>MATCH(A277,Entrada!$A$53:$A$372,0)</f>
        <v>174</v>
      </c>
      <c r="O277">
        <f>IF(NOT(ISNA($N277)),INDEX(Entrada!$C$53:$N$372,$N277,O$2),0)</f>
        <v>7182</v>
      </c>
      <c r="P277">
        <f>IF(NOT(ISNA($N277)),INDEX(Entrada!$C$53:$N$372,$N277,P$2),0)</f>
        <v>8754</v>
      </c>
      <c r="Q277">
        <f>IF(NOT(ISNA($N277)),INDEX(Entrada!$C$53:$N$372,$N277,Q$2),0)</f>
        <v>9319</v>
      </c>
      <c r="R277">
        <f>IF(NOT(ISNA($N277)),INDEX(Entrada!$C$53:$N$372,$N277,R$2),0)</f>
        <v>8029</v>
      </c>
      <c r="S277">
        <f>IF(NOT(ISNA($N277)),INDEX(Entrada!$C$53:$N$372,$N277,S$2),0)</f>
        <v>4608</v>
      </c>
      <c r="T277">
        <f>IF(NOT(ISNA($N277)),INDEX(Entrada!$C$53:$N$372,$N277,T$2),0)</f>
        <v>2683</v>
      </c>
      <c r="U277">
        <f>IF(NOT(ISNA($N277)),INDEX(Entrada!$C$53:$N$372,$N277,U$2),0)</f>
        <v>1928</v>
      </c>
      <c r="V277" s="225">
        <f>IF(NOT(ISNA($N277)),INDEX(Entrada!$C$53:$N$372,$N277,V$2),0)</f>
        <v>1523</v>
      </c>
      <c r="W277" s="225">
        <f>IF(NOT(ISNA($N277)),INDEX(Entrada!$C$53:$N$372,$N277,W$2),0)</f>
        <v>1385</v>
      </c>
      <c r="X277" s="225">
        <f>IF(NOT(ISNA($N277)),INDEX(Entrada!$C$53:$N$372,$N277,X$2),0)</f>
        <v>1705</v>
      </c>
      <c r="Y277" s="225">
        <f>IF(NOT(ISNA($N277)),INDEX(Entrada!$C$53:$N$372,$N277,Y$2),0)</f>
        <v>2772</v>
      </c>
      <c r="Z277" s="225">
        <f>IF(NOT(ISNA($N277)),INDEX(Entrada!$C$53:$N$372,$N277,Z$2),0)</f>
        <v>4877</v>
      </c>
      <c r="AA277" s="113">
        <f t="shared" si="96"/>
        <v>0</v>
      </c>
      <c r="AB277">
        <f t="shared" si="97"/>
        <v>0</v>
      </c>
      <c r="AC277">
        <f t="shared" si="98"/>
        <v>0</v>
      </c>
      <c r="AD277">
        <f t="shared" si="99"/>
        <v>0</v>
      </c>
      <c r="AE277">
        <f t="shared" si="100"/>
        <v>0</v>
      </c>
      <c r="AF277">
        <f t="shared" si="101"/>
        <v>0</v>
      </c>
      <c r="AG277">
        <f t="shared" si="102"/>
        <v>0</v>
      </c>
      <c r="AH277">
        <f t="shared" si="103"/>
        <v>0</v>
      </c>
      <c r="AI277">
        <f t="shared" si="104"/>
        <v>0</v>
      </c>
      <c r="AJ277">
        <f t="shared" si="105"/>
        <v>0</v>
      </c>
      <c r="AK277">
        <f t="shared" si="106"/>
        <v>0</v>
      </c>
      <c r="AL277">
        <f t="shared" si="107"/>
        <v>0</v>
      </c>
      <c r="AM277" s="113">
        <f t="shared" si="108"/>
        <v>7182</v>
      </c>
      <c r="AN277">
        <f t="shared" si="109"/>
        <v>8754</v>
      </c>
      <c r="AO277">
        <f t="shared" si="110"/>
        <v>9319</v>
      </c>
      <c r="AP277">
        <f t="shared" si="111"/>
        <v>8029</v>
      </c>
      <c r="AQ277">
        <f t="shared" si="112"/>
        <v>4608</v>
      </c>
      <c r="AR277">
        <f t="shared" si="113"/>
        <v>2683</v>
      </c>
      <c r="AS277">
        <f t="shared" si="114"/>
        <v>1928</v>
      </c>
      <c r="AT277">
        <f t="shared" si="115"/>
        <v>1523</v>
      </c>
      <c r="AU277">
        <f t="shared" si="116"/>
        <v>1385</v>
      </c>
      <c r="AV277">
        <f t="shared" si="117"/>
        <v>1705</v>
      </c>
      <c r="AW277">
        <f t="shared" si="118"/>
        <v>2772</v>
      </c>
      <c r="AX277">
        <f t="shared" si="119"/>
        <v>4877</v>
      </c>
    </row>
    <row r="278" spans="1:50" x14ac:dyDescent="0.25">
      <c r="A278" s="113">
        <v>275</v>
      </c>
      <c r="B278" s="209" t="s">
        <v>37</v>
      </c>
      <c r="C278" s="113">
        <v>1931</v>
      </c>
      <c r="D278" s="113">
        <v>2013</v>
      </c>
      <c r="E278" s="210" t="s">
        <v>27</v>
      </c>
      <c r="F278" s="210" t="s">
        <v>387</v>
      </c>
      <c r="G278" s="113">
        <v>271</v>
      </c>
      <c r="H278" s="113"/>
      <c r="I278" s="113"/>
      <c r="J278" s="113"/>
      <c r="K278" s="113"/>
      <c r="N278" s="113">
        <f>MATCH(A278,Entrada!$A$53:$A$372,0)</f>
        <v>175</v>
      </c>
      <c r="O278">
        <f>IF(NOT(ISNA($N278)),INDEX(Entrada!$C$53:$N$372,$N278,O$2),0)</f>
        <v>15155</v>
      </c>
      <c r="P278">
        <f>IF(NOT(ISNA($N278)),INDEX(Entrada!$C$53:$N$372,$N278,P$2),0)</f>
        <v>20528</v>
      </c>
      <c r="Q278">
        <f>IF(NOT(ISNA($N278)),INDEX(Entrada!$C$53:$N$372,$N278,Q$2),0)</f>
        <v>23995</v>
      </c>
      <c r="R278">
        <f>IF(NOT(ISNA($N278)),INDEX(Entrada!$C$53:$N$372,$N278,R$2),0)</f>
        <v>23999</v>
      </c>
      <c r="S278">
        <f>IF(NOT(ISNA($N278)),INDEX(Entrada!$C$53:$N$372,$N278,S$2),0)</f>
        <v>15616</v>
      </c>
      <c r="T278">
        <f>IF(NOT(ISNA($N278)),INDEX(Entrada!$C$53:$N$372,$N278,T$2),0)</f>
        <v>7321</v>
      </c>
      <c r="U278">
        <f>IF(NOT(ISNA($N278)),INDEX(Entrada!$C$53:$N$372,$N278,U$2),0)</f>
        <v>4212</v>
      </c>
      <c r="V278" s="225">
        <f>IF(NOT(ISNA($N278)),INDEX(Entrada!$C$53:$N$372,$N278,V$2),0)</f>
        <v>2957</v>
      </c>
      <c r="W278" s="225">
        <f>IF(NOT(ISNA($N278)),INDEX(Entrada!$C$53:$N$372,$N278,W$2),0)</f>
        <v>2333</v>
      </c>
      <c r="X278" s="225">
        <f>IF(NOT(ISNA($N278)),INDEX(Entrada!$C$53:$N$372,$N278,X$2),0)</f>
        <v>2620</v>
      </c>
      <c r="Y278" s="225">
        <f>IF(NOT(ISNA($N278)),INDEX(Entrada!$C$53:$N$372,$N278,Y$2),0)</f>
        <v>4346</v>
      </c>
      <c r="Z278" s="225">
        <f>IF(NOT(ISNA($N278)),INDEX(Entrada!$C$53:$N$372,$N278,Z$2),0)</f>
        <v>8574</v>
      </c>
      <c r="AA278" s="113">
        <f t="shared" si="96"/>
        <v>6904</v>
      </c>
      <c r="AB278">
        <f t="shared" si="97"/>
        <v>8298</v>
      </c>
      <c r="AC278">
        <f t="shared" si="98"/>
        <v>8801</v>
      </c>
      <c r="AD278">
        <f t="shared" si="99"/>
        <v>7326</v>
      </c>
      <c r="AE278">
        <f t="shared" si="100"/>
        <v>4115</v>
      </c>
      <c r="AF278">
        <f t="shared" si="101"/>
        <v>2349</v>
      </c>
      <c r="AG278">
        <f t="shared" si="102"/>
        <v>1663</v>
      </c>
      <c r="AH278">
        <f t="shared" si="103"/>
        <v>1280</v>
      </c>
      <c r="AI278">
        <f t="shared" si="104"/>
        <v>1155</v>
      </c>
      <c r="AJ278">
        <f t="shared" si="105"/>
        <v>1495</v>
      </c>
      <c r="AK278">
        <f t="shared" si="106"/>
        <v>2601</v>
      </c>
      <c r="AL278">
        <f t="shared" si="107"/>
        <v>4780</v>
      </c>
      <c r="AM278" s="113">
        <f t="shared" si="108"/>
        <v>8251</v>
      </c>
      <c r="AN278">
        <f t="shared" si="109"/>
        <v>12230</v>
      </c>
      <c r="AO278">
        <f t="shared" si="110"/>
        <v>15194</v>
      </c>
      <c r="AP278">
        <f t="shared" si="111"/>
        <v>16673</v>
      </c>
      <c r="AQ278">
        <f t="shared" si="112"/>
        <v>11501</v>
      </c>
      <c r="AR278">
        <f t="shared" si="113"/>
        <v>4972</v>
      </c>
      <c r="AS278">
        <f t="shared" si="114"/>
        <v>2549</v>
      </c>
      <c r="AT278">
        <f t="shared" si="115"/>
        <v>1677</v>
      </c>
      <c r="AU278">
        <f t="shared" si="116"/>
        <v>1178</v>
      </c>
      <c r="AV278">
        <f t="shared" si="117"/>
        <v>1125</v>
      </c>
      <c r="AW278">
        <f t="shared" si="118"/>
        <v>1745</v>
      </c>
      <c r="AX278">
        <f t="shared" si="119"/>
        <v>3794</v>
      </c>
    </row>
    <row r="279" spans="1:50" x14ac:dyDescent="0.25">
      <c r="A279" s="113">
        <v>276</v>
      </c>
      <c r="B279" s="209" t="s">
        <v>662</v>
      </c>
      <c r="C279" s="113">
        <v>1931</v>
      </c>
      <c r="D279" s="113">
        <v>2013</v>
      </c>
      <c r="E279" s="210" t="s">
        <v>688</v>
      </c>
      <c r="F279" s="210" t="s">
        <v>688</v>
      </c>
      <c r="G279" s="113"/>
      <c r="H279" s="113"/>
      <c r="I279" s="113"/>
      <c r="J279" s="113"/>
      <c r="K279" s="113"/>
      <c r="N279" s="113">
        <f>MATCH(A279,Entrada!$A$53:$A$372,0)</f>
        <v>176</v>
      </c>
      <c r="O279">
        <f>IF(NOT(ISNA($N279)),INDEX(Entrada!$C$53:$N$372,$N279,O$2),0)</f>
        <v>6621</v>
      </c>
      <c r="P279">
        <f>IF(NOT(ISNA($N279)),INDEX(Entrada!$C$53:$N$372,$N279,P$2),0)</f>
        <v>10134</v>
      </c>
      <c r="Q279">
        <f>IF(NOT(ISNA($N279)),INDEX(Entrada!$C$53:$N$372,$N279,Q$2),0)</f>
        <v>12568</v>
      </c>
      <c r="R279">
        <f>IF(NOT(ISNA($N279)),INDEX(Entrada!$C$53:$N$372,$N279,R$2),0)</f>
        <v>13240</v>
      </c>
      <c r="S279">
        <f>IF(NOT(ISNA($N279)),INDEX(Entrada!$C$53:$N$372,$N279,S$2),0)</f>
        <v>8842</v>
      </c>
      <c r="T279">
        <f>IF(NOT(ISNA($N279)),INDEX(Entrada!$C$53:$N$372,$N279,T$2),0)</f>
        <v>3664</v>
      </c>
      <c r="U279">
        <f>IF(NOT(ISNA($N279)),INDEX(Entrada!$C$53:$N$372,$N279,U$2),0)</f>
        <v>1797</v>
      </c>
      <c r="V279" s="225">
        <f>IF(NOT(ISNA($N279)),INDEX(Entrada!$C$53:$N$372,$N279,V$2),0)</f>
        <v>1112</v>
      </c>
      <c r="W279" s="225">
        <f>IF(NOT(ISNA($N279)),INDEX(Entrada!$C$53:$N$372,$N279,W$2),0)</f>
        <v>823</v>
      </c>
      <c r="X279" s="225">
        <f>IF(NOT(ISNA($N279)),INDEX(Entrada!$C$53:$N$372,$N279,X$2),0)</f>
        <v>955</v>
      </c>
      <c r="Y279" s="225">
        <f>IF(NOT(ISNA($N279)),INDEX(Entrada!$C$53:$N$372,$N279,Y$2),0)</f>
        <v>1653</v>
      </c>
      <c r="Z279" s="225">
        <f>IF(NOT(ISNA($N279)),INDEX(Entrada!$C$53:$N$372,$N279,Z$2),0)</f>
        <v>3360</v>
      </c>
      <c r="AA279" s="113">
        <f t="shared" si="96"/>
        <v>0</v>
      </c>
      <c r="AB279">
        <f t="shared" si="97"/>
        <v>0</v>
      </c>
      <c r="AC279">
        <f t="shared" si="98"/>
        <v>0</v>
      </c>
      <c r="AD279">
        <f t="shared" si="99"/>
        <v>0</v>
      </c>
      <c r="AE279">
        <f t="shared" si="100"/>
        <v>0</v>
      </c>
      <c r="AF279">
        <f t="shared" si="101"/>
        <v>0</v>
      </c>
      <c r="AG279">
        <f t="shared" si="102"/>
        <v>0</v>
      </c>
      <c r="AH279">
        <f t="shared" si="103"/>
        <v>0</v>
      </c>
      <c r="AI279">
        <f t="shared" si="104"/>
        <v>0</v>
      </c>
      <c r="AJ279">
        <f t="shared" si="105"/>
        <v>0</v>
      </c>
      <c r="AK279">
        <f t="shared" si="106"/>
        <v>0</v>
      </c>
      <c r="AL279">
        <f t="shared" si="107"/>
        <v>0</v>
      </c>
      <c r="AM279" s="113">
        <f t="shared" si="108"/>
        <v>6621</v>
      </c>
      <c r="AN279">
        <f t="shared" si="109"/>
        <v>10134</v>
      </c>
      <c r="AO279">
        <f t="shared" si="110"/>
        <v>12568</v>
      </c>
      <c r="AP279">
        <f t="shared" si="111"/>
        <v>13240</v>
      </c>
      <c r="AQ279">
        <f t="shared" si="112"/>
        <v>8842</v>
      </c>
      <c r="AR279">
        <f t="shared" si="113"/>
        <v>3664</v>
      </c>
      <c r="AS279">
        <f t="shared" si="114"/>
        <v>1797</v>
      </c>
      <c r="AT279">
        <f t="shared" si="115"/>
        <v>1112</v>
      </c>
      <c r="AU279">
        <f t="shared" si="116"/>
        <v>823</v>
      </c>
      <c r="AV279">
        <f t="shared" si="117"/>
        <v>955</v>
      </c>
      <c r="AW279">
        <f t="shared" si="118"/>
        <v>1653</v>
      </c>
      <c r="AX279">
        <f t="shared" si="119"/>
        <v>3360</v>
      </c>
    </row>
    <row r="280" spans="1:50" x14ac:dyDescent="0.25">
      <c r="A280" s="113">
        <v>277</v>
      </c>
      <c r="B280" s="209" t="s">
        <v>224</v>
      </c>
      <c r="C280" s="113">
        <v>1931</v>
      </c>
      <c r="D280" s="113">
        <v>2013</v>
      </c>
      <c r="E280" s="210" t="s">
        <v>29</v>
      </c>
      <c r="F280" s="210" t="s">
        <v>420</v>
      </c>
      <c r="G280" s="113"/>
      <c r="H280" s="113"/>
      <c r="I280" s="113"/>
      <c r="J280" s="113"/>
      <c r="K280" s="113"/>
      <c r="N280" s="113">
        <f>MATCH(A280,Entrada!$A$53:$A$372,0)</f>
        <v>177</v>
      </c>
      <c r="O280">
        <f>IF(NOT(ISNA($N280)),INDEX(Entrada!$C$53:$N$372,$N280,O$2),0)</f>
        <v>143</v>
      </c>
      <c r="P280">
        <f>IF(NOT(ISNA($N280)),INDEX(Entrada!$C$53:$N$372,$N280,P$2),0)</f>
        <v>208</v>
      </c>
      <c r="Q280">
        <f>IF(NOT(ISNA($N280)),INDEX(Entrada!$C$53:$N$372,$N280,Q$2),0)</f>
        <v>320</v>
      </c>
      <c r="R280">
        <f>IF(NOT(ISNA($N280)),INDEX(Entrada!$C$53:$N$372,$N280,R$2),0)</f>
        <v>406</v>
      </c>
      <c r="S280">
        <f>IF(NOT(ISNA($N280)),INDEX(Entrada!$C$53:$N$372,$N280,S$2),0)</f>
        <v>389</v>
      </c>
      <c r="T280">
        <f>IF(NOT(ISNA($N280)),INDEX(Entrada!$C$53:$N$372,$N280,T$2),0)</f>
        <v>267</v>
      </c>
      <c r="U280">
        <f>IF(NOT(ISNA($N280)),INDEX(Entrada!$C$53:$N$372,$N280,U$2),0)</f>
        <v>198</v>
      </c>
      <c r="V280" s="225">
        <f>IF(NOT(ISNA($N280)),INDEX(Entrada!$C$53:$N$372,$N280,V$2),0)</f>
        <v>149</v>
      </c>
      <c r="W280" s="225">
        <f>IF(NOT(ISNA($N280)),INDEX(Entrada!$C$53:$N$372,$N280,W$2),0)</f>
        <v>129</v>
      </c>
      <c r="X280" s="225">
        <f>IF(NOT(ISNA($N280)),INDEX(Entrada!$C$53:$N$372,$N280,X$2),0)</f>
        <v>115</v>
      </c>
      <c r="Y280" s="225">
        <f>IF(NOT(ISNA($N280)),INDEX(Entrada!$C$53:$N$372,$N280,Y$2),0)</f>
        <v>115</v>
      </c>
      <c r="Z280" s="225">
        <f>IF(NOT(ISNA($N280)),INDEX(Entrada!$C$53:$N$372,$N280,Z$2),0)</f>
        <v>119</v>
      </c>
      <c r="AA280" s="113">
        <f t="shared" si="96"/>
        <v>0</v>
      </c>
      <c r="AB280">
        <f t="shared" si="97"/>
        <v>0</v>
      </c>
      <c r="AC280">
        <f t="shared" si="98"/>
        <v>0</v>
      </c>
      <c r="AD280">
        <f t="shared" si="99"/>
        <v>0</v>
      </c>
      <c r="AE280">
        <f t="shared" si="100"/>
        <v>0</v>
      </c>
      <c r="AF280">
        <f t="shared" si="101"/>
        <v>0</v>
      </c>
      <c r="AG280">
        <f t="shared" si="102"/>
        <v>0</v>
      </c>
      <c r="AH280">
        <f t="shared" si="103"/>
        <v>0</v>
      </c>
      <c r="AI280">
        <f t="shared" si="104"/>
        <v>0</v>
      </c>
      <c r="AJ280">
        <f t="shared" si="105"/>
        <v>0</v>
      </c>
      <c r="AK280">
        <f t="shared" si="106"/>
        <v>0</v>
      </c>
      <c r="AL280">
        <f t="shared" si="107"/>
        <v>0</v>
      </c>
      <c r="AM280" s="113">
        <f t="shared" si="108"/>
        <v>143</v>
      </c>
      <c r="AN280">
        <f t="shared" si="109"/>
        <v>208</v>
      </c>
      <c r="AO280">
        <f t="shared" si="110"/>
        <v>320</v>
      </c>
      <c r="AP280">
        <f t="shared" si="111"/>
        <v>406</v>
      </c>
      <c r="AQ280">
        <f t="shared" si="112"/>
        <v>389</v>
      </c>
      <c r="AR280">
        <f t="shared" si="113"/>
        <v>267</v>
      </c>
      <c r="AS280">
        <f t="shared" si="114"/>
        <v>198</v>
      </c>
      <c r="AT280">
        <f t="shared" si="115"/>
        <v>149</v>
      </c>
      <c r="AU280">
        <f t="shared" si="116"/>
        <v>129</v>
      </c>
      <c r="AV280">
        <f t="shared" si="117"/>
        <v>115</v>
      </c>
      <c r="AW280">
        <f t="shared" si="118"/>
        <v>115</v>
      </c>
      <c r="AX280">
        <f t="shared" si="119"/>
        <v>119</v>
      </c>
    </row>
    <row r="281" spans="1:50" x14ac:dyDescent="0.25">
      <c r="A281" s="113">
        <v>278</v>
      </c>
      <c r="B281" s="209" t="s">
        <v>663</v>
      </c>
      <c r="C281" s="113">
        <v>1931</v>
      </c>
      <c r="D281" s="113">
        <v>2013</v>
      </c>
      <c r="E281" s="210" t="s">
        <v>14</v>
      </c>
      <c r="F281" s="210" t="s">
        <v>421</v>
      </c>
      <c r="G281" s="113"/>
      <c r="H281" s="113"/>
      <c r="I281" s="113"/>
      <c r="J281" s="113"/>
      <c r="K281" s="113"/>
      <c r="N281" s="113">
        <f>MATCH(A281,Entrada!$A$53:$A$372,0)</f>
        <v>178</v>
      </c>
      <c r="O281">
        <f>IF(NOT(ISNA($N281)),INDEX(Entrada!$C$53:$N$372,$N281,O$2),0)</f>
        <v>306</v>
      </c>
      <c r="P281">
        <f>IF(NOT(ISNA($N281)),INDEX(Entrada!$C$53:$N$372,$N281,P$2),0)</f>
        <v>345</v>
      </c>
      <c r="Q281">
        <f>IF(NOT(ISNA($N281)),INDEX(Entrada!$C$53:$N$372,$N281,Q$2),0)</f>
        <v>323</v>
      </c>
      <c r="R281">
        <f>IF(NOT(ISNA($N281)),INDEX(Entrada!$C$53:$N$372,$N281,R$2),0)</f>
        <v>216</v>
      </c>
      <c r="S281">
        <f>IF(NOT(ISNA($N281)),INDEX(Entrada!$C$53:$N$372,$N281,S$2),0)</f>
        <v>123</v>
      </c>
      <c r="T281">
        <f>IF(NOT(ISNA($N281)),INDEX(Entrada!$C$53:$N$372,$N281,T$2),0)</f>
        <v>92</v>
      </c>
      <c r="U281">
        <f>IF(NOT(ISNA($N281)),INDEX(Entrada!$C$53:$N$372,$N281,U$2),0)</f>
        <v>78</v>
      </c>
      <c r="V281" s="225">
        <f>IF(NOT(ISNA($N281)),INDEX(Entrada!$C$53:$N$372,$N281,V$2),0)</f>
        <v>69</v>
      </c>
      <c r="W281" s="225">
        <f>IF(NOT(ISNA($N281)),INDEX(Entrada!$C$53:$N$372,$N281,W$2),0)</f>
        <v>70</v>
      </c>
      <c r="X281" s="225">
        <f>IF(NOT(ISNA($N281)),INDEX(Entrada!$C$53:$N$372,$N281,X$2),0)</f>
        <v>94</v>
      </c>
      <c r="Y281" s="225">
        <f>IF(NOT(ISNA($N281)),INDEX(Entrada!$C$53:$N$372,$N281,Y$2),0)</f>
        <v>130</v>
      </c>
      <c r="Z281" s="225">
        <f>IF(NOT(ISNA($N281)),INDEX(Entrada!$C$53:$N$372,$N281,Z$2),0)</f>
        <v>207</v>
      </c>
      <c r="AA281" s="113">
        <f t="shared" si="96"/>
        <v>0</v>
      </c>
      <c r="AB281">
        <f t="shared" si="97"/>
        <v>0</v>
      </c>
      <c r="AC281">
        <f t="shared" si="98"/>
        <v>0</v>
      </c>
      <c r="AD281">
        <f t="shared" si="99"/>
        <v>0</v>
      </c>
      <c r="AE281">
        <f t="shared" si="100"/>
        <v>0</v>
      </c>
      <c r="AF281">
        <f t="shared" si="101"/>
        <v>0</v>
      </c>
      <c r="AG281">
        <f t="shared" si="102"/>
        <v>0</v>
      </c>
      <c r="AH281">
        <f t="shared" si="103"/>
        <v>0</v>
      </c>
      <c r="AI281">
        <f t="shared" si="104"/>
        <v>0</v>
      </c>
      <c r="AJ281">
        <f t="shared" si="105"/>
        <v>0</v>
      </c>
      <c r="AK281">
        <f t="shared" si="106"/>
        <v>0</v>
      </c>
      <c r="AL281">
        <f t="shared" si="107"/>
        <v>0</v>
      </c>
      <c r="AM281" s="113">
        <f t="shared" si="108"/>
        <v>306</v>
      </c>
      <c r="AN281">
        <f t="shared" si="109"/>
        <v>345</v>
      </c>
      <c r="AO281">
        <f t="shared" si="110"/>
        <v>323</v>
      </c>
      <c r="AP281">
        <f t="shared" si="111"/>
        <v>216</v>
      </c>
      <c r="AQ281">
        <f t="shared" si="112"/>
        <v>123</v>
      </c>
      <c r="AR281">
        <f t="shared" si="113"/>
        <v>92</v>
      </c>
      <c r="AS281">
        <f t="shared" si="114"/>
        <v>78</v>
      </c>
      <c r="AT281">
        <f t="shared" si="115"/>
        <v>69</v>
      </c>
      <c r="AU281">
        <f t="shared" si="116"/>
        <v>70</v>
      </c>
      <c r="AV281">
        <f t="shared" si="117"/>
        <v>94</v>
      </c>
      <c r="AW281">
        <f t="shared" si="118"/>
        <v>130</v>
      </c>
      <c r="AX281">
        <f t="shared" si="119"/>
        <v>207</v>
      </c>
    </row>
    <row r="282" spans="1:50" x14ac:dyDescent="0.25">
      <c r="A282" s="113">
        <v>279</v>
      </c>
      <c r="B282" s="209" t="s">
        <v>664</v>
      </c>
      <c r="C282" s="113">
        <v>1931</v>
      </c>
      <c r="D282" s="113">
        <v>2013</v>
      </c>
      <c r="E282" s="210" t="s">
        <v>28</v>
      </c>
      <c r="F282" s="210" t="s">
        <v>422</v>
      </c>
      <c r="G282" s="113"/>
      <c r="H282" s="113"/>
      <c r="I282" s="113"/>
      <c r="J282" s="113"/>
      <c r="K282" s="113"/>
      <c r="N282" s="113">
        <f>MATCH(A282,Entrada!$A$53:$A$372,0)</f>
        <v>179</v>
      </c>
      <c r="O282">
        <f>IF(NOT(ISNA($N282)),INDEX(Entrada!$C$53:$N$372,$N282,O$2),0)</f>
        <v>475</v>
      </c>
      <c r="P282">
        <f>IF(NOT(ISNA($N282)),INDEX(Entrada!$C$53:$N$372,$N282,P$2),0)</f>
        <v>742</v>
      </c>
      <c r="Q282">
        <f>IF(NOT(ISNA($N282)),INDEX(Entrada!$C$53:$N$372,$N282,Q$2),0)</f>
        <v>843</v>
      </c>
      <c r="R282">
        <f>IF(NOT(ISNA($N282)),INDEX(Entrada!$C$53:$N$372,$N282,R$2),0)</f>
        <v>757</v>
      </c>
      <c r="S282">
        <f>IF(NOT(ISNA($N282)),INDEX(Entrada!$C$53:$N$372,$N282,S$2),0)</f>
        <v>462</v>
      </c>
      <c r="T282">
        <f>IF(NOT(ISNA($N282)),INDEX(Entrada!$C$53:$N$372,$N282,T$2),0)</f>
        <v>245</v>
      </c>
      <c r="U282">
        <f>IF(NOT(ISNA($N282)),INDEX(Entrada!$C$53:$N$372,$N282,U$2),0)</f>
        <v>145</v>
      </c>
      <c r="V282" s="225">
        <f>IF(NOT(ISNA($N282)),INDEX(Entrada!$C$53:$N$372,$N282,V$2),0)</f>
        <v>89</v>
      </c>
      <c r="W282" s="225">
        <f>IF(NOT(ISNA($N282)),INDEX(Entrada!$C$53:$N$372,$N282,W$2),0)</f>
        <v>63</v>
      </c>
      <c r="X282" s="225">
        <f>IF(NOT(ISNA($N282)),INDEX(Entrada!$C$53:$N$372,$N282,X$2),0)</f>
        <v>60</v>
      </c>
      <c r="Y282" s="225">
        <f>IF(NOT(ISNA($N282)),INDEX(Entrada!$C$53:$N$372,$N282,Y$2),0)</f>
        <v>117</v>
      </c>
      <c r="Z282" s="225">
        <f>IF(NOT(ISNA($N282)),INDEX(Entrada!$C$53:$N$372,$N282,Z$2),0)</f>
        <v>238</v>
      </c>
      <c r="AA282" s="113">
        <f t="shared" si="96"/>
        <v>0</v>
      </c>
      <c r="AB282">
        <f t="shared" si="97"/>
        <v>0</v>
      </c>
      <c r="AC282">
        <f t="shared" si="98"/>
        <v>0</v>
      </c>
      <c r="AD282">
        <f t="shared" si="99"/>
        <v>0</v>
      </c>
      <c r="AE282">
        <f t="shared" si="100"/>
        <v>0</v>
      </c>
      <c r="AF282">
        <f t="shared" si="101"/>
        <v>0</v>
      </c>
      <c r="AG282">
        <f t="shared" si="102"/>
        <v>0</v>
      </c>
      <c r="AH282">
        <f t="shared" si="103"/>
        <v>0</v>
      </c>
      <c r="AI282">
        <f t="shared" si="104"/>
        <v>0</v>
      </c>
      <c r="AJ282">
        <f t="shared" si="105"/>
        <v>0</v>
      </c>
      <c r="AK282">
        <f t="shared" si="106"/>
        <v>0</v>
      </c>
      <c r="AL282">
        <f t="shared" si="107"/>
        <v>0</v>
      </c>
      <c r="AM282" s="113">
        <f t="shared" si="108"/>
        <v>475</v>
      </c>
      <c r="AN282">
        <f t="shared" si="109"/>
        <v>742</v>
      </c>
      <c r="AO282">
        <f t="shared" si="110"/>
        <v>843</v>
      </c>
      <c r="AP282">
        <f t="shared" si="111"/>
        <v>757</v>
      </c>
      <c r="AQ282">
        <f t="shared" si="112"/>
        <v>462</v>
      </c>
      <c r="AR282">
        <f t="shared" si="113"/>
        <v>245</v>
      </c>
      <c r="AS282">
        <f t="shared" si="114"/>
        <v>145</v>
      </c>
      <c r="AT282">
        <f t="shared" si="115"/>
        <v>89</v>
      </c>
      <c r="AU282">
        <f t="shared" si="116"/>
        <v>63</v>
      </c>
      <c r="AV282">
        <f t="shared" si="117"/>
        <v>60</v>
      </c>
      <c r="AW282">
        <f t="shared" si="118"/>
        <v>117</v>
      </c>
      <c r="AX282">
        <f t="shared" si="119"/>
        <v>238</v>
      </c>
    </row>
    <row r="283" spans="1:50" x14ac:dyDescent="0.25">
      <c r="A283" s="113">
        <v>280</v>
      </c>
      <c r="B283" s="209" t="s">
        <v>665</v>
      </c>
      <c r="C283" s="113">
        <v>1931</v>
      </c>
      <c r="D283" s="113">
        <v>2013</v>
      </c>
      <c r="E283" s="210" t="s">
        <v>289</v>
      </c>
      <c r="F283" s="210" t="s">
        <v>289</v>
      </c>
      <c r="G283" s="113"/>
      <c r="H283" s="113"/>
      <c r="I283" s="113"/>
      <c r="J283" s="113"/>
      <c r="K283" s="113"/>
      <c r="N283" s="113">
        <f>MATCH(A283,Entrada!$A$53:$A$372,0)</f>
        <v>180</v>
      </c>
      <c r="O283">
        <f>IF(NOT(ISNA($N283)),INDEX(Entrada!$C$53:$N$372,$N283,O$2),0)</f>
        <v>529</v>
      </c>
      <c r="P283">
        <f>IF(NOT(ISNA($N283)),INDEX(Entrada!$C$53:$N$372,$N283,P$2),0)</f>
        <v>989</v>
      </c>
      <c r="Q283">
        <f>IF(NOT(ISNA($N283)),INDEX(Entrada!$C$53:$N$372,$N283,Q$2),0)</f>
        <v>1509</v>
      </c>
      <c r="R283">
        <f>IF(NOT(ISNA($N283)),INDEX(Entrada!$C$53:$N$372,$N283,R$2),0)</f>
        <v>1867</v>
      </c>
      <c r="S283">
        <f>IF(NOT(ISNA($N283)),INDEX(Entrada!$C$53:$N$372,$N283,S$2),0)</f>
        <v>1996</v>
      </c>
      <c r="T283">
        <f>IF(NOT(ISNA($N283)),INDEX(Entrada!$C$53:$N$372,$N283,T$2),0)</f>
        <v>1582</v>
      </c>
      <c r="U283">
        <f>IF(NOT(ISNA($N283)),INDEX(Entrada!$C$53:$N$372,$N283,U$2),0)</f>
        <v>1167</v>
      </c>
      <c r="V283" s="225">
        <f>IF(NOT(ISNA($N283)),INDEX(Entrada!$C$53:$N$372,$N283,V$2),0)</f>
        <v>788</v>
      </c>
      <c r="W283" s="225">
        <f>IF(NOT(ISNA($N283)),INDEX(Entrada!$C$53:$N$372,$N283,W$2),0)</f>
        <v>456</v>
      </c>
      <c r="X283" s="225">
        <f>IF(NOT(ISNA($N283)),INDEX(Entrada!$C$53:$N$372,$N283,X$2),0)</f>
        <v>276</v>
      </c>
      <c r="Y283" s="225">
        <f>IF(NOT(ISNA($N283)),INDEX(Entrada!$C$53:$N$372,$N283,Y$2),0)</f>
        <v>198</v>
      </c>
      <c r="Z283" s="225">
        <f>IF(NOT(ISNA($N283)),INDEX(Entrada!$C$53:$N$372,$N283,Z$2),0)</f>
        <v>230</v>
      </c>
      <c r="AA283" s="113">
        <f t="shared" si="96"/>
        <v>0</v>
      </c>
      <c r="AB283">
        <f t="shared" si="97"/>
        <v>0</v>
      </c>
      <c r="AC283">
        <f t="shared" si="98"/>
        <v>0</v>
      </c>
      <c r="AD283">
        <f t="shared" si="99"/>
        <v>0</v>
      </c>
      <c r="AE283">
        <f t="shared" si="100"/>
        <v>0</v>
      </c>
      <c r="AF283">
        <f t="shared" si="101"/>
        <v>0</v>
      </c>
      <c r="AG283">
        <f t="shared" si="102"/>
        <v>0</v>
      </c>
      <c r="AH283">
        <f t="shared" si="103"/>
        <v>0</v>
      </c>
      <c r="AI283">
        <f t="shared" si="104"/>
        <v>0</v>
      </c>
      <c r="AJ283">
        <f t="shared" si="105"/>
        <v>0</v>
      </c>
      <c r="AK283">
        <f t="shared" si="106"/>
        <v>0</v>
      </c>
      <c r="AL283">
        <f t="shared" si="107"/>
        <v>0</v>
      </c>
      <c r="AM283" s="113">
        <f t="shared" si="108"/>
        <v>529</v>
      </c>
      <c r="AN283">
        <f t="shared" si="109"/>
        <v>989</v>
      </c>
      <c r="AO283">
        <f t="shared" si="110"/>
        <v>1509</v>
      </c>
      <c r="AP283">
        <f t="shared" si="111"/>
        <v>1867</v>
      </c>
      <c r="AQ283">
        <f t="shared" si="112"/>
        <v>1996</v>
      </c>
      <c r="AR283">
        <f t="shared" si="113"/>
        <v>1582</v>
      </c>
      <c r="AS283">
        <f t="shared" si="114"/>
        <v>1167</v>
      </c>
      <c r="AT283">
        <f t="shared" si="115"/>
        <v>788</v>
      </c>
      <c r="AU283">
        <f t="shared" si="116"/>
        <v>456</v>
      </c>
      <c r="AV283">
        <f t="shared" si="117"/>
        <v>276</v>
      </c>
      <c r="AW283">
        <f t="shared" si="118"/>
        <v>198</v>
      </c>
      <c r="AX283">
        <f t="shared" si="119"/>
        <v>230</v>
      </c>
    </row>
    <row r="284" spans="1:50" x14ac:dyDescent="0.25">
      <c r="A284" s="113">
        <v>281</v>
      </c>
      <c r="B284" s="209" t="s">
        <v>666</v>
      </c>
      <c r="C284" s="113">
        <v>1931</v>
      </c>
      <c r="D284" s="113">
        <v>2013</v>
      </c>
      <c r="E284" s="210" t="s">
        <v>14</v>
      </c>
      <c r="F284" s="210" t="s">
        <v>424</v>
      </c>
      <c r="G284" s="113"/>
      <c r="H284" s="113"/>
      <c r="I284" s="113"/>
      <c r="J284" s="113"/>
      <c r="K284" s="113"/>
      <c r="N284" s="113">
        <f>MATCH(A284,Entrada!$A$53:$A$372,0)</f>
        <v>181</v>
      </c>
      <c r="O284">
        <f>IF(NOT(ISNA($N284)),INDEX(Entrada!$C$53:$N$372,$N284,O$2),0)</f>
        <v>86</v>
      </c>
      <c r="P284">
        <f>IF(NOT(ISNA($N284)),INDEX(Entrada!$C$53:$N$372,$N284,P$2),0)</f>
        <v>91</v>
      </c>
      <c r="Q284">
        <f>IF(NOT(ISNA($N284)),INDEX(Entrada!$C$53:$N$372,$N284,Q$2),0)</f>
        <v>92</v>
      </c>
      <c r="R284">
        <f>IF(NOT(ISNA($N284)),INDEX(Entrada!$C$53:$N$372,$N284,R$2),0)</f>
        <v>85</v>
      </c>
      <c r="S284">
        <f>IF(NOT(ISNA($N284)),INDEX(Entrada!$C$53:$N$372,$N284,S$2),0)</f>
        <v>77</v>
      </c>
      <c r="T284">
        <f>IF(NOT(ISNA($N284)),INDEX(Entrada!$C$53:$N$372,$N284,T$2),0)</f>
        <v>71</v>
      </c>
      <c r="U284">
        <f>IF(NOT(ISNA($N284)),INDEX(Entrada!$C$53:$N$372,$N284,U$2),0)</f>
        <v>67</v>
      </c>
      <c r="V284" s="225">
        <f>IF(NOT(ISNA($N284)),INDEX(Entrada!$C$53:$N$372,$N284,V$2),0)</f>
        <v>64</v>
      </c>
      <c r="W284" s="225">
        <f>IF(NOT(ISNA($N284)),INDEX(Entrada!$C$53:$N$372,$N284,W$2),0)</f>
        <v>63</v>
      </c>
      <c r="X284" s="225">
        <f>IF(NOT(ISNA($N284)),INDEX(Entrada!$C$53:$N$372,$N284,X$2),0)</f>
        <v>67</v>
      </c>
      <c r="Y284" s="225">
        <f>IF(NOT(ISNA($N284)),INDEX(Entrada!$C$53:$N$372,$N284,Y$2),0)</f>
        <v>72</v>
      </c>
      <c r="Z284" s="225">
        <f>IF(NOT(ISNA($N284)),INDEX(Entrada!$C$53:$N$372,$N284,Z$2),0)</f>
        <v>78</v>
      </c>
      <c r="AA284" s="113">
        <f t="shared" si="96"/>
        <v>0</v>
      </c>
      <c r="AB284">
        <f t="shared" si="97"/>
        <v>0</v>
      </c>
      <c r="AC284">
        <f t="shared" si="98"/>
        <v>0</v>
      </c>
      <c r="AD284">
        <f t="shared" si="99"/>
        <v>0</v>
      </c>
      <c r="AE284">
        <f t="shared" si="100"/>
        <v>0</v>
      </c>
      <c r="AF284">
        <f t="shared" si="101"/>
        <v>0</v>
      </c>
      <c r="AG284">
        <f t="shared" si="102"/>
        <v>0</v>
      </c>
      <c r="AH284">
        <f t="shared" si="103"/>
        <v>0</v>
      </c>
      <c r="AI284">
        <f t="shared" si="104"/>
        <v>0</v>
      </c>
      <c r="AJ284">
        <f t="shared" si="105"/>
        <v>0</v>
      </c>
      <c r="AK284">
        <f t="shared" si="106"/>
        <v>0</v>
      </c>
      <c r="AL284">
        <f t="shared" si="107"/>
        <v>0</v>
      </c>
      <c r="AM284" s="113">
        <f t="shared" si="108"/>
        <v>86</v>
      </c>
      <c r="AN284">
        <f t="shared" si="109"/>
        <v>91</v>
      </c>
      <c r="AO284">
        <f t="shared" si="110"/>
        <v>92</v>
      </c>
      <c r="AP284">
        <f t="shared" si="111"/>
        <v>85</v>
      </c>
      <c r="AQ284">
        <f t="shared" si="112"/>
        <v>77</v>
      </c>
      <c r="AR284">
        <f t="shared" si="113"/>
        <v>71</v>
      </c>
      <c r="AS284">
        <f t="shared" si="114"/>
        <v>67</v>
      </c>
      <c r="AT284">
        <f t="shared" si="115"/>
        <v>64</v>
      </c>
      <c r="AU284">
        <f t="shared" si="116"/>
        <v>63</v>
      </c>
      <c r="AV284">
        <f t="shared" si="117"/>
        <v>67</v>
      </c>
      <c r="AW284">
        <f t="shared" si="118"/>
        <v>72</v>
      </c>
      <c r="AX284">
        <f t="shared" si="119"/>
        <v>78</v>
      </c>
    </row>
    <row r="285" spans="1:50" x14ac:dyDescent="0.25">
      <c r="A285" s="113">
        <v>282</v>
      </c>
      <c r="B285" s="209" t="s">
        <v>667</v>
      </c>
      <c r="C285" s="113">
        <v>1931</v>
      </c>
      <c r="D285" s="113">
        <v>2013</v>
      </c>
      <c r="E285" s="210" t="s">
        <v>688</v>
      </c>
      <c r="F285" s="210" t="s">
        <v>688</v>
      </c>
      <c r="G285" s="113"/>
      <c r="H285" s="113"/>
      <c r="I285" s="113"/>
      <c r="J285" s="113"/>
      <c r="K285" s="113"/>
      <c r="N285" s="113">
        <f>MATCH(A285,Entrada!$A$53:$A$372,0)</f>
        <v>182</v>
      </c>
      <c r="O285">
        <f>IF(NOT(ISNA($N285)),INDEX(Entrada!$C$53:$N$372,$N285,O$2),0)</f>
        <v>100</v>
      </c>
      <c r="P285">
        <f>IF(NOT(ISNA($N285)),INDEX(Entrada!$C$53:$N$372,$N285,P$2),0)</f>
        <v>106</v>
      </c>
      <c r="Q285">
        <f>IF(NOT(ISNA($N285)),INDEX(Entrada!$C$53:$N$372,$N285,Q$2),0)</f>
        <v>106</v>
      </c>
      <c r="R285">
        <f>IF(NOT(ISNA($N285)),INDEX(Entrada!$C$53:$N$372,$N285,R$2),0)</f>
        <v>90</v>
      </c>
      <c r="S285">
        <f>IF(NOT(ISNA($N285)),INDEX(Entrada!$C$53:$N$372,$N285,S$2),0)</f>
        <v>73</v>
      </c>
      <c r="T285">
        <f>IF(NOT(ISNA($N285)),INDEX(Entrada!$C$53:$N$372,$N285,T$2),0)</f>
        <v>65</v>
      </c>
      <c r="U285">
        <f>IF(NOT(ISNA($N285)),INDEX(Entrada!$C$53:$N$372,$N285,U$2),0)</f>
        <v>60</v>
      </c>
      <c r="V285" s="225">
        <f>IF(NOT(ISNA($N285)),INDEX(Entrada!$C$53:$N$372,$N285,V$2),0)</f>
        <v>56</v>
      </c>
      <c r="W285" s="225">
        <f>IF(NOT(ISNA($N285)),INDEX(Entrada!$C$53:$N$372,$N285,W$2),0)</f>
        <v>57</v>
      </c>
      <c r="X285" s="225">
        <f>IF(NOT(ISNA($N285)),INDEX(Entrada!$C$53:$N$372,$N285,X$2),0)</f>
        <v>62</v>
      </c>
      <c r="Y285" s="225">
        <f>IF(NOT(ISNA($N285)),INDEX(Entrada!$C$53:$N$372,$N285,Y$2),0)</f>
        <v>71</v>
      </c>
      <c r="Z285" s="225">
        <f>IF(NOT(ISNA($N285)),INDEX(Entrada!$C$53:$N$372,$N285,Z$2),0)</f>
        <v>86</v>
      </c>
      <c r="AA285" s="113">
        <f t="shared" si="96"/>
        <v>0</v>
      </c>
      <c r="AB285">
        <f t="shared" si="97"/>
        <v>0</v>
      </c>
      <c r="AC285">
        <f t="shared" si="98"/>
        <v>0</v>
      </c>
      <c r="AD285">
        <f t="shared" si="99"/>
        <v>0</v>
      </c>
      <c r="AE285">
        <f t="shared" si="100"/>
        <v>0</v>
      </c>
      <c r="AF285">
        <f t="shared" si="101"/>
        <v>0</v>
      </c>
      <c r="AG285">
        <f t="shared" si="102"/>
        <v>0</v>
      </c>
      <c r="AH285">
        <f t="shared" si="103"/>
        <v>0</v>
      </c>
      <c r="AI285">
        <f t="shared" si="104"/>
        <v>0</v>
      </c>
      <c r="AJ285">
        <f t="shared" si="105"/>
        <v>0</v>
      </c>
      <c r="AK285">
        <f t="shared" si="106"/>
        <v>0</v>
      </c>
      <c r="AL285">
        <f t="shared" si="107"/>
        <v>0</v>
      </c>
      <c r="AM285" s="113">
        <f t="shared" si="108"/>
        <v>100</v>
      </c>
      <c r="AN285">
        <f t="shared" si="109"/>
        <v>106</v>
      </c>
      <c r="AO285">
        <f t="shared" si="110"/>
        <v>106</v>
      </c>
      <c r="AP285">
        <f t="shared" si="111"/>
        <v>90</v>
      </c>
      <c r="AQ285">
        <f t="shared" si="112"/>
        <v>73</v>
      </c>
      <c r="AR285">
        <f t="shared" si="113"/>
        <v>65</v>
      </c>
      <c r="AS285">
        <f t="shared" si="114"/>
        <v>60</v>
      </c>
      <c r="AT285">
        <f t="shared" si="115"/>
        <v>56</v>
      </c>
      <c r="AU285">
        <f t="shared" si="116"/>
        <v>57</v>
      </c>
      <c r="AV285">
        <f t="shared" si="117"/>
        <v>62</v>
      </c>
      <c r="AW285">
        <f t="shared" si="118"/>
        <v>71</v>
      </c>
      <c r="AX285">
        <f t="shared" si="119"/>
        <v>86</v>
      </c>
    </row>
    <row r="286" spans="1:50" x14ac:dyDescent="0.25">
      <c r="A286" s="113">
        <v>283</v>
      </c>
      <c r="B286" s="209" t="s">
        <v>263</v>
      </c>
      <c r="C286" s="113">
        <v>1931</v>
      </c>
      <c r="D286" s="113">
        <v>2013</v>
      </c>
      <c r="E286" s="210" t="s">
        <v>12</v>
      </c>
      <c r="F286" s="210" t="s">
        <v>12</v>
      </c>
      <c r="G286" s="113"/>
      <c r="H286" s="113"/>
      <c r="I286" s="113"/>
      <c r="J286" s="113"/>
      <c r="K286" s="113"/>
      <c r="N286" s="113">
        <f>MATCH(A286,Entrada!$A$53:$A$372,0)</f>
        <v>183</v>
      </c>
      <c r="O286">
        <f>IF(NOT(ISNA($N286)),INDEX(Entrada!$C$53:$N$372,$N286,O$2),0)</f>
        <v>176</v>
      </c>
      <c r="P286">
        <f>IF(NOT(ISNA($N286)),INDEX(Entrada!$C$53:$N$372,$N286,P$2),0)</f>
        <v>124</v>
      </c>
      <c r="Q286">
        <f>IF(NOT(ISNA($N286)),INDEX(Entrada!$C$53:$N$372,$N286,Q$2),0)</f>
        <v>122</v>
      </c>
      <c r="R286">
        <f>IF(NOT(ISNA($N286)),INDEX(Entrada!$C$53:$N$372,$N286,R$2),0)</f>
        <v>108</v>
      </c>
      <c r="S286">
        <f>IF(NOT(ISNA($N286)),INDEX(Entrada!$C$53:$N$372,$N286,S$2),0)</f>
        <v>74</v>
      </c>
      <c r="T286">
        <f>IF(NOT(ISNA($N286)),INDEX(Entrada!$C$53:$N$372,$N286,T$2),0)</f>
        <v>62</v>
      </c>
      <c r="U286">
        <f>IF(NOT(ISNA($N286)),INDEX(Entrada!$C$53:$N$372,$N286,U$2),0)</f>
        <v>61</v>
      </c>
      <c r="V286" s="225">
        <f>IF(NOT(ISNA($N286)),INDEX(Entrada!$C$53:$N$372,$N286,V$2),0)</f>
        <v>51</v>
      </c>
      <c r="W286" s="225">
        <f>IF(NOT(ISNA($N286)),INDEX(Entrada!$C$53:$N$372,$N286,W$2),0)</f>
        <v>45</v>
      </c>
      <c r="X286" s="225">
        <f>IF(NOT(ISNA($N286)),INDEX(Entrada!$C$53:$N$372,$N286,X$2),0)</f>
        <v>62</v>
      </c>
      <c r="Y286" s="225">
        <f>IF(NOT(ISNA($N286)),INDEX(Entrada!$C$53:$N$372,$N286,Y$2),0)</f>
        <v>123</v>
      </c>
      <c r="Z286" s="225">
        <f>IF(NOT(ISNA($N286)),INDEX(Entrada!$C$53:$N$372,$N286,Z$2),0)</f>
        <v>185</v>
      </c>
      <c r="AA286" s="113">
        <f t="shared" si="96"/>
        <v>0</v>
      </c>
      <c r="AB286">
        <f t="shared" si="97"/>
        <v>0</v>
      </c>
      <c r="AC286">
        <f t="shared" si="98"/>
        <v>0</v>
      </c>
      <c r="AD286">
        <f t="shared" si="99"/>
        <v>0</v>
      </c>
      <c r="AE286">
        <f t="shared" si="100"/>
        <v>0</v>
      </c>
      <c r="AF286">
        <f t="shared" si="101"/>
        <v>0</v>
      </c>
      <c r="AG286">
        <f t="shared" si="102"/>
        <v>0</v>
      </c>
      <c r="AH286">
        <f t="shared" si="103"/>
        <v>0</v>
      </c>
      <c r="AI286">
        <f t="shared" si="104"/>
        <v>0</v>
      </c>
      <c r="AJ286">
        <f t="shared" si="105"/>
        <v>0</v>
      </c>
      <c r="AK286">
        <f t="shared" si="106"/>
        <v>0</v>
      </c>
      <c r="AL286">
        <f t="shared" si="107"/>
        <v>0</v>
      </c>
      <c r="AM286" s="113">
        <f t="shared" si="108"/>
        <v>176</v>
      </c>
      <c r="AN286">
        <f t="shared" si="109"/>
        <v>124</v>
      </c>
      <c r="AO286">
        <f t="shared" si="110"/>
        <v>122</v>
      </c>
      <c r="AP286">
        <f t="shared" si="111"/>
        <v>108</v>
      </c>
      <c r="AQ286">
        <f t="shared" si="112"/>
        <v>74</v>
      </c>
      <c r="AR286">
        <f t="shared" si="113"/>
        <v>62</v>
      </c>
      <c r="AS286">
        <f t="shared" si="114"/>
        <v>61</v>
      </c>
      <c r="AT286">
        <f t="shared" si="115"/>
        <v>51</v>
      </c>
      <c r="AU286">
        <f t="shared" si="116"/>
        <v>45</v>
      </c>
      <c r="AV286">
        <f t="shared" si="117"/>
        <v>62</v>
      </c>
      <c r="AW286">
        <f t="shared" si="118"/>
        <v>123</v>
      </c>
      <c r="AX286">
        <f t="shared" si="119"/>
        <v>185</v>
      </c>
    </row>
    <row r="287" spans="1:50" x14ac:dyDescent="0.25">
      <c r="A287" s="113">
        <v>284</v>
      </c>
      <c r="B287" s="209" t="s">
        <v>668</v>
      </c>
      <c r="C287" s="113">
        <v>1931</v>
      </c>
      <c r="D287" s="113">
        <v>2013</v>
      </c>
      <c r="E287" s="210" t="s">
        <v>16</v>
      </c>
      <c r="F287" s="210" t="s">
        <v>426</v>
      </c>
      <c r="G287" s="113">
        <v>97</v>
      </c>
      <c r="H287" s="113"/>
      <c r="I287" s="113"/>
      <c r="J287" s="113"/>
      <c r="K287" s="113"/>
      <c r="N287" s="113">
        <f>MATCH(A287,Entrada!$A$53:$A$372,0)</f>
        <v>184</v>
      </c>
      <c r="O287">
        <f>IF(NOT(ISNA($N287)),INDEX(Entrada!$C$53:$N$372,$N287,O$2),0)</f>
        <v>166</v>
      </c>
      <c r="P287">
        <f>IF(NOT(ISNA($N287)),INDEX(Entrada!$C$53:$N$372,$N287,P$2),0)</f>
        <v>211</v>
      </c>
      <c r="Q287">
        <f>IF(NOT(ISNA($N287)),INDEX(Entrada!$C$53:$N$372,$N287,Q$2),0)</f>
        <v>161</v>
      </c>
      <c r="R287">
        <f>IF(NOT(ISNA($N287)),INDEX(Entrada!$C$53:$N$372,$N287,R$2),0)</f>
        <v>179</v>
      </c>
      <c r="S287">
        <f>IF(NOT(ISNA($N287)),INDEX(Entrada!$C$53:$N$372,$N287,S$2),0)</f>
        <v>249</v>
      </c>
      <c r="T287">
        <f>IF(NOT(ISNA($N287)),INDEX(Entrada!$C$53:$N$372,$N287,T$2),0)</f>
        <v>324</v>
      </c>
      <c r="U287">
        <f>IF(NOT(ISNA($N287)),INDEX(Entrada!$C$53:$N$372,$N287,U$2),0)</f>
        <v>420</v>
      </c>
      <c r="V287" s="225">
        <f>IF(NOT(ISNA($N287)),INDEX(Entrada!$C$53:$N$372,$N287,V$2),0)</f>
        <v>438</v>
      </c>
      <c r="W287" s="225">
        <f>IF(NOT(ISNA($N287)),INDEX(Entrada!$C$53:$N$372,$N287,W$2),0)</f>
        <v>487</v>
      </c>
      <c r="X287" s="225">
        <f>IF(NOT(ISNA($N287)),INDEX(Entrada!$C$53:$N$372,$N287,X$2),0)</f>
        <v>400</v>
      </c>
      <c r="Y287" s="225">
        <f>IF(NOT(ISNA($N287)),INDEX(Entrada!$C$53:$N$372,$N287,Y$2),0)</f>
        <v>235</v>
      </c>
      <c r="Z287" s="225">
        <f>IF(NOT(ISNA($N287)),INDEX(Entrada!$C$53:$N$372,$N287,Z$2),0)</f>
        <v>187</v>
      </c>
      <c r="AA287" s="113">
        <f t="shared" si="96"/>
        <v>160</v>
      </c>
      <c r="AB287">
        <f t="shared" si="97"/>
        <v>205</v>
      </c>
      <c r="AC287">
        <f t="shared" si="98"/>
        <v>155</v>
      </c>
      <c r="AD287">
        <f t="shared" si="99"/>
        <v>174</v>
      </c>
      <c r="AE287">
        <f t="shared" si="100"/>
        <v>241</v>
      </c>
      <c r="AF287">
        <f t="shared" si="101"/>
        <v>314</v>
      </c>
      <c r="AG287">
        <f t="shared" si="102"/>
        <v>406</v>
      </c>
      <c r="AH287">
        <f t="shared" si="103"/>
        <v>424</v>
      </c>
      <c r="AI287">
        <f t="shared" si="104"/>
        <v>471</v>
      </c>
      <c r="AJ287">
        <f t="shared" si="105"/>
        <v>387</v>
      </c>
      <c r="AK287">
        <f t="shared" si="106"/>
        <v>227</v>
      </c>
      <c r="AL287">
        <f t="shared" si="107"/>
        <v>181</v>
      </c>
      <c r="AM287" s="113">
        <f t="shared" si="108"/>
        <v>6</v>
      </c>
      <c r="AN287">
        <f t="shared" si="109"/>
        <v>6</v>
      </c>
      <c r="AO287">
        <f t="shared" si="110"/>
        <v>6</v>
      </c>
      <c r="AP287">
        <f t="shared" si="111"/>
        <v>5</v>
      </c>
      <c r="AQ287">
        <f t="shared" si="112"/>
        <v>8</v>
      </c>
      <c r="AR287">
        <f t="shared" si="113"/>
        <v>10</v>
      </c>
      <c r="AS287">
        <f t="shared" si="114"/>
        <v>14</v>
      </c>
      <c r="AT287">
        <f t="shared" si="115"/>
        <v>14</v>
      </c>
      <c r="AU287">
        <f t="shared" si="116"/>
        <v>16</v>
      </c>
      <c r="AV287">
        <f t="shared" si="117"/>
        <v>13</v>
      </c>
      <c r="AW287">
        <f t="shared" si="118"/>
        <v>8</v>
      </c>
      <c r="AX287">
        <f t="shared" si="119"/>
        <v>6</v>
      </c>
    </row>
    <row r="288" spans="1:50" x14ac:dyDescent="0.25">
      <c r="A288" s="113">
        <v>285</v>
      </c>
      <c r="B288" s="209" t="s">
        <v>669</v>
      </c>
      <c r="C288" s="113">
        <v>1931</v>
      </c>
      <c r="D288" s="113">
        <v>2013</v>
      </c>
      <c r="E288" s="210" t="s">
        <v>28</v>
      </c>
      <c r="F288" s="210" t="s">
        <v>427</v>
      </c>
      <c r="G288" s="113">
        <v>296</v>
      </c>
      <c r="H288" s="113"/>
      <c r="I288" s="113"/>
      <c r="J288" s="113"/>
      <c r="K288" s="113"/>
      <c r="N288" s="113">
        <f>MATCH(A288,Entrada!$A$53:$A$372,0)</f>
        <v>185</v>
      </c>
      <c r="O288">
        <f>IF(NOT(ISNA($N288)),INDEX(Entrada!$C$53:$N$372,$N288,O$2),0)</f>
        <v>23475</v>
      </c>
      <c r="P288">
        <f>IF(NOT(ISNA($N288)),INDEX(Entrada!$C$53:$N$372,$N288,P$2),0)</f>
        <v>30153</v>
      </c>
      <c r="Q288">
        <f>IF(NOT(ISNA($N288)),INDEX(Entrada!$C$53:$N$372,$N288,Q$2),0)</f>
        <v>34783</v>
      </c>
      <c r="R288">
        <f>IF(NOT(ISNA($N288)),INDEX(Entrada!$C$53:$N$372,$N288,R$2),0)</f>
        <v>33793</v>
      </c>
      <c r="S288">
        <f>IF(NOT(ISNA($N288)),INDEX(Entrada!$C$53:$N$372,$N288,S$2),0)</f>
        <v>25953</v>
      </c>
      <c r="T288">
        <f>IF(NOT(ISNA($N288)),INDEX(Entrada!$C$53:$N$372,$N288,T$2),0)</f>
        <v>18042</v>
      </c>
      <c r="U288">
        <f>IF(NOT(ISNA($N288)),INDEX(Entrada!$C$53:$N$372,$N288,U$2),0)</f>
        <v>11536</v>
      </c>
      <c r="V288" s="225">
        <f>IF(NOT(ISNA($N288)),INDEX(Entrada!$C$53:$N$372,$N288,V$2),0)</f>
        <v>7115</v>
      </c>
      <c r="W288" s="225">
        <f>IF(NOT(ISNA($N288)),INDEX(Entrada!$C$53:$N$372,$N288,W$2),0)</f>
        <v>5318</v>
      </c>
      <c r="X288" s="225">
        <f>IF(NOT(ISNA($N288)),INDEX(Entrada!$C$53:$N$372,$N288,X$2),0)</f>
        <v>6424</v>
      </c>
      <c r="Y288" s="225">
        <f>IF(NOT(ISNA($N288)),INDEX(Entrada!$C$53:$N$372,$N288,Y$2),0)</f>
        <v>10145</v>
      </c>
      <c r="Z288" s="225">
        <f>IF(NOT(ISNA($N288)),INDEX(Entrada!$C$53:$N$372,$N288,Z$2),0)</f>
        <v>16181</v>
      </c>
      <c r="AA288" s="113">
        <f t="shared" si="96"/>
        <v>35</v>
      </c>
      <c r="AB288">
        <f t="shared" si="97"/>
        <v>37</v>
      </c>
      <c r="AC288">
        <f t="shared" si="98"/>
        <v>39</v>
      </c>
      <c r="AD288">
        <f t="shared" si="99"/>
        <v>37</v>
      </c>
      <c r="AE288">
        <f t="shared" si="100"/>
        <v>34</v>
      </c>
      <c r="AF288">
        <f t="shared" si="101"/>
        <v>32</v>
      </c>
      <c r="AG288">
        <f t="shared" si="102"/>
        <v>30</v>
      </c>
      <c r="AH288">
        <f t="shared" si="103"/>
        <v>29</v>
      </c>
      <c r="AI288">
        <f t="shared" si="104"/>
        <v>29</v>
      </c>
      <c r="AJ288">
        <f t="shared" si="105"/>
        <v>30</v>
      </c>
      <c r="AK288">
        <f t="shared" si="106"/>
        <v>31</v>
      </c>
      <c r="AL288">
        <f t="shared" si="107"/>
        <v>33</v>
      </c>
      <c r="AM288" s="113">
        <f t="shared" si="108"/>
        <v>23440</v>
      </c>
      <c r="AN288">
        <f t="shared" si="109"/>
        <v>30116</v>
      </c>
      <c r="AO288">
        <f t="shared" si="110"/>
        <v>34744</v>
      </c>
      <c r="AP288">
        <f t="shared" si="111"/>
        <v>33756</v>
      </c>
      <c r="AQ288">
        <f t="shared" si="112"/>
        <v>25919</v>
      </c>
      <c r="AR288">
        <f t="shared" si="113"/>
        <v>18010</v>
      </c>
      <c r="AS288">
        <f t="shared" si="114"/>
        <v>11506</v>
      </c>
      <c r="AT288">
        <f t="shared" si="115"/>
        <v>7086</v>
      </c>
      <c r="AU288">
        <f t="shared" si="116"/>
        <v>5289</v>
      </c>
      <c r="AV288">
        <f t="shared" si="117"/>
        <v>6394</v>
      </c>
      <c r="AW288">
        <f t="shared" si="118"/>
        <v>10114</v>
      </c>
      <c r="AX288">
        <f t="shared" si="119"/>
        <v>16148</v>
      </c>
    </row>
    <row r="289" spans="1:51" x14ac:dyDescent="0.25">
      <c r="A289" s="113">
        <v>286</v>
      </c>
      <c r="B289" s="209" t="s">
        <v>237</v>
      </c>
      <c r="C289" s="113">
        <v>1931</v>
      </c>
      <c r="D289" s="113">
        <v>2013</v>
      </c>
      <c r="E289" s="210" t="s">
        <v>17</v>
      </c>
      <c r="F289" s="210" t="s">
        <v>429</v>
      </c>
      <c r="G289" s="113"/>
      <c r="H289" s="113"/>
      <c r="I289" s="113"/>
      <c r="J289" s="113"/>
      <c r="K289" s="113"/>
      <c r="N289" s="113">
        <f>MATCH(A289,Entrada!$A$53:$A$372,0)</f>
        <v>186</v>
      </c>
      <c r="O289">
        <f>IF(NOT(ISNA($N289)),INDEX(Entrada!$C$53:$N$372,$N289,O$2),0)</f>
        <v>56</v>
      </c>
      <c r="P289">
        <f>IF(NOT(ISNA($N289)),INDEX(Entrada!$C$53:$N$372,$N289,P$2),0)</f>
        <v>66</v>
      </c>
      <c r="Q289">
        <f>IF(NOT(ISNA($N289)),INDEX(Entrada!$C$53:$N$372,$N289,Q$2),0)</f>
        <v>56</v>
      </c>
      <c r="R289">
        <f>IF(NOT(ISNA($N289)),INDEX(Entrada!$C$53:$N$372,$N289,R$2),0)</f>
        <v>58</v>
      </c>
      <c r="S289">
        <f>IF(NOT(ISNA($N289)),INDEX(Entrada!$C$53:$N$372,$N289,S$2),0)</f>
        <v>82</v>
      </c>
      <c r="T289">
        <f>IF(NOT(ISNA($N289)),INDEX(Entrada!$C$53:$N$372,$N289,T$2),0)</f>
        <v>93</v>
      </c>
      <c r="U289">
        <f>IF(NOT(ISNA($N289)),INDEX(Entrada!$C$53:$N$372,$N289,U$2),0)</f>
        <v>91</v>
      </c>
      <c r="V289" s="225">
        <f>IF(NOT(ISNA($N289)),INDEX(Entrada!$C$53:$N$372,$N289,V$2),0)</f>
        <v>88</v>
      </c>
      <c r="W289" s="225">
        <f>IF(NOT(ISNA($N289)),INDEX(Entrada!$C$53:$N$372,$N289,W$2),0)</f>
        <v>99</v>
      </c>
      <c r="X289" s="225">
        <f>IF(NOT(ISNA($N289)),INDEX(Entrada!$C$53:$N$372,$N289,X$2),0)</f>
        <v>121</v>
      </c>
      <c r="Y289" s="225">
        <f>IF(NOT(ISNA($N289)),INDEX(Entrada!$C$53:$N$372,$N289,Y$2),0)</f>
        <v>83</v>
      </c>
      <c r="Z289" s="225">
        <f>IF(NOT(ISNA($N289)),INDEX(Entrada!$C$53:$N$372,$N289,Z$2),0)</f>
        <v>62</v>
      </c>
      <c r="AA289" s="113">
        <f t="shared" si="96"/>
        <v>0</v>
      </c>
      <c r="AB289">
        <f t="shared" si="97"/>
        <v>0</v>
      </c>
      <c r="AC289">
        <f t="shared" si="98"/>
        <v>0</v>
      </c>
      <c r="AD289">
        <f t="shared" si="99"/>
        <v>0</v>
      </c>
      <c r="AE289">
        <f t="shared" si="100"/>
        <v>0</v>
      </c>
      <c r="AF289">
        <f t="shared" si="101"/>
        <v>0</v>
      </c>
      <c r="AG289">
        <f t="shared" si="102"/>
        <v>0</v>
      </c>
      <c r="AH289">
        <f t="shared" si="103"/>
        <v>0</v>
      </c>
      <c r="AI289">
        <f t="shared" si="104"/>
        <v>0</v>
      </c>
      <c r="AJ289">
        <f t="shared" si="105"/>
        <v>0</v>
      </c>
      <c r="AK289">
        <f t="shared" si="106"/>
        <v>0</v>
      </c>
      <c r="AL289">
        <f t="shared" si="107"/>
        <v>0</v>
      </c>
      <c r="AM289" s="113">
        <f t="shared" si="108"/>
        <v>56</v>
      </c>
      <c r="AN289">
        <f t="shared" si="109"/>
        <v>66</v>
      </c>
      <c r="AO289">
        <f t="shared" si="110"/>
        <v>56</v>
      </c>
      <c r="AP289">
        <f t="shared" si="111"/>
        <v>58</v>
      </c>
      <c r="AQ289">
        <f t="shared" si="112"/>
        <v>82</v>
      </c>
      <c r="AR289">
        <f t="shared" si="113"/>
        <v>93</v>
      </c>
      <c r="AS289">
        <f t="shared" si="114"/>
        <v>91</v>
      </c>
      <c r="AT289">
        <f t="shared" si="115"/>
        <v>88</v>
      </c>
      <c r="AU289">
        <f t="shared" si="116"/>
        <v>99</v>
      </c>
      <c r="AV289">
        <f t="shared" si="117"/>
        <v>121</v>
      </c>
      <c r="AW289">
        <f t="shared" si="118"/>
        <v>83</v>
      </c>
      <c r="AX289">
        <f t="shared" si="119"/>
        <v>62</v>
      </c>
    </row>
    <row r="290" spans="1:51" x14ac:dyDescent="0.25">
      <c r="A290" s="113">
        <v>287</v>
      </c>
      <c r="B290" s="209" t="s">
        <v>670</v>
      </c>
      <c r="C290" s="113">
        <v>1931</v>
      </c>
      <c r="D290" s="113">
        <v>2013</v>
      </c>
      <c r="E290" s="210" t="s">
        <v>28</v>
      </c>
      <c r="F290" s="210" t="s">
        <v>427</v>
      </c>
      <c r="G290" s="113">
        <v>285</v>
      </c>
      <c r="H290" s="113"/>
      <c r="I290" s="113"/>
      <c r="J290" s="113"/>
      <c r="K290" s="113"/>
      <c r="N290" s="113">
        <f>MATCH(A290,Entrada!$A$53:$A$372,0)</f>
        <v>187</v>
      </c>
      <c r="O290">
        <f>IF(NOT(ISNA($N290)),INDEX(Entrada!$C$53:$N$372,$N290,O$2),0)</f>
        <v>23831</v>
      </c>
      <c r="P290">
        <f>IF(NOT(ISNA($N290)),INDEX(Entrada!$C$53:$N$372,$N290,P$2),0)</f>
        <v>30604</v>
      </c>
      <c r="Q290">
        <f>IF(NOT(ISNA($N290)),INDEX(Entrada!$C$53:$N$372,$N290,Q$2),0)</f>
        <v>35308</v>
      </c>
      <c r="R290">
        <f>IF(NOT(ISNA($N290)),INDEX(Entrada!$C$53:$N$372,$N290,R$2),0)</f>
        <v>34309</v>
      </c>
      <c r="S290">
        <f>IF(NOT(ISNA($N290)),INDEX(Entrada!$C$53:$N$372,$N290,S$2),0)</f>
        <v>26349</v>
      </c>
      <c r="T290">
        <f>IF(NOT(ISNA($N290)),INDEX(Entrada!$C$53:$N$372,$N290,T$2),0)</f>
        <v>18318</v>
      </c>
      <c r="U290">
        <f>IF(NOT(ISNA($N290)),INDEX(Entrada!$C$53:$N$372,$N290,U$2),0)</f>
        <v>11713</v>
      </c>
      <c r="V290" s="225">
        <f>IF(NOT(ISNA($N290)),INDEX(Entrada!$C$53:$N$372,$N290,V$2),0)</f>
        <v>7223</v>
      </c>
      <c r="W290" s="225">
        <f>IF(NOT(ISNA($N290)),INDEX(Entrada!$C$53:$N$372,$N290,W$2),0)</f>
        <v>5400</v>
      </c>
      <c r="X290" s="225">
        <f>IF(NOT(ISNA($N290)),INDEX(Entrada!$C$53:$N$372,$N290,X$2),0)</f>
        <v>6518</v>
      </c>
      <c r="Y290" s="225">
        <f>IF(NOT(ISNA($N290)),INDEX(Entrada!$C$53:$N$372,$N290,Y$2),0)</f>
        <v>10298</v>
      </c>
      <c r="Z290" s="225">
        <f>IF(NOT(ISNA($N290)),INDEX(Entrada!$C$53:$N$372,$N290,Z$2),0)</f>
        <v>16424</v>
      </c>
      <c r="AA290" s="113">
        <f t="shared" si="96"/>
        <v>23475</v>
      </c>
      <c r="AB290">
        <f t="shared" si="97"/>
        <v>30153</v>
      </c>
      <c r="AC290">
        <f t="shared" si="98"/>
        <v>34783</v>
      </c>
      <c r="AD290">
        <f t="shared" si="99"/>
        <v>33793</v>
      </c>
      <c r="AE290">
        <f t="shared" si="100"/>
        <v>25953</v>
      </c>
      <c r="AF290">
        <f t="shared" si="101"/>
        <v>18042</v>
      </c>
      <c r="AG290">
        <f t="shared" si="102"/>
        <v>11536</v>
      </c>
      <c r="AH290">
        <f t="shared" si="103"/>
        <v>7115</v>
      </c>
      <c r="AI290">
        <f t="shared" si="104"/>
        <v>5318</v>
      </c>
      <c r="AJ290">
        <f t="shared" si="105"/>
        <v>6424</v>
      </c>
      <c r="AK290">
        <f t="shared" si="106"/>
        <v>10145</v>
      </c>
      <c r="AL290">
        <f t="shared" si="107"/>
        <v>16181</v>
      </c>
      <c r="AM290" s="113">
        <f t="shared" si="108"/>
        <v>356</v>
      </c>
      <c r="AN290">
        <f t="shared" si="109"/>
        <v>451</v>
      </c>
      <c r="AO290">
        <f t="shared" si="110"/>
        <v>525</v>
      </c>
      <c r="AP290">
        <f t="shared" si="111"/>
        <v>516</v>
      </c>
      <c r="AQ290">
        <f t="shared" si="112"/>
        <v>396</v>
      </c>
      <c r="AR290">
        <f t="shared" si="113"/>
        <v>276</v>
      </c>
      <c r="AS290">
        <f t="shared" si="114"/>
        <v>177</v>
      </c>
      <c r="AT290">
        <f t="shared" si="115"/>
        <v>108</v>
      </c>
      <c r="AU290">
        <f t="shared" si="116"/>
        <v>82</v>
      </c>
      <c r="AV290">
        <f t="shared" si="117"/>
        <v>94</v>
      </c>
      <c r="AW290">
        <f t="shared" si="118"/>
        <v>153</v>
      </c>
      <c r="AX290">
        <f t="shared" si="119"/>
        <v>243</v>
      </c>
    </row>
    <row r="291" spans="1:51" x14ac:dyDescent="0.25">
      <c r="A291" s="93">
        <v>288</v>
      </c>
      <c r="B291" s="216" t="s">
        <v>671</v>
      </c>
      <c r="C291" s="93">
        <v>1931</v>
      </c>
      <c r="D291" s="93">
        <v>2013</v>
      </c>
      <c r="E291" s="217" t="s">
        <v>29</v>
      </c>
      <c r="F291" s="217" t="s">
        <v>431</v>
      </c>
      <c r="G291" s="113"/>
      <c r="H291" s="113"/>
      <c r="I291" s="113"/>
      <c r="J291" s="113"/>
      <c r="K291" s="113"/>
      <c r="N291" s="113">
        <f>MATCH(A291,Entrada!$A$53:$A$372,0)</f>
        <v>188</v>
      </c>
      <c r="O291">
        <f>IF(NOT(ISNA($N291)),INDEX(Entrada!$C$53:$N$372,$N291,O$2),0)</f>
        <v>8125</v>
      </c>
      <c r="P291">
        <f>IF(NOT(ISNA($N291)),INDEX(Entrada!$C$53:$N$372,$N291,P$2),0)</f>
        <v>13406</v>
      </c>
      <c r="Q291">
        <f>IF(NOT(ISNA($N291)),INDEX(Entrada!$C$53:$N$372,$N291,Q$2),0)</f>
        <v>18188</v>
      </c>
      <c r="R291">
        <f>IF(NOT(ISNA($N291)),INDEX(Entrada!$C$53:$N$372,$N291,R$2),0)</f>
        <v>21466</v>
      </c>
      <c r="S291">
        <f>IF(NOT(ISNA($N291)),INDEX(Entrada!$C$53:$N$372,$N291,S$2),0)</f>
        <v>15553</v>
      </c>
      <c r="T291">
        <f>IF(NOT(ISNA($N291)),INDEX(Entrada!$C$53:$N$372,$N291,T$2),0)</f>
        <v>7399</v>
      </c>
      <c r="U291">
        <f>IF(NOT(ISNA($N291)),INDEX(Entrada!$C$53:$N$372,$N291,U$2),0)</f>
        <v>2952</v>
      </c>
      <c r="V291" s="225">
        <f>IF(NOT(ISNA($N291)),INDEX(Entrada!$C$53:$N$372,$N291,V$2),0)</f>
        <v>1594</v>
      </c>
      <c r="W291" s="225">
        <f>IF(NOT(ISNA($N291)),INDEX(Entrada!$C$53:$N$372,$N291,W$2),0)</f>
        <v>1089</v>
      </c>
      <c r="X291" s="225">
        <f>IF(NOT(ISNA($N291)),INDEX(Entrada!$C$53:$N$372,$N291,X$2),0)</f>
        <v>1115</v>
      </c>
      <c r="Y291" s="225">
        <f>IF(NOT(ISNA($N291)),INDEX(Entrada!$C$53:$N$372,$N291,Y$2),0)</f>
        <v>1908</v>
      </c>
      <c r="Z291" s="225">
        <f>IF(NOT(ISNA($N291)),INDEX(Entrada!$C$53:$N$372,$N291,Z$2),0)</f>
        <v>3893</v>
      </c>
      <c r="AA291" s="113">
        <f t="shared" si="96"/>
        <v>0</v>
      </c>
      <c r="AB291">
        <f t="shared" si="97"/>
        <v>0</v>
      </c>
      <c r="AC291">
        <f t="shared" si="98"/>
        <v>0</v>
      </c>
      <c r="AD291">
        <f t="shared" si="99"/>
        <v>0</v>
      </c>
      <c r="AE291">
        <f t="shared" si="100"/>
        <v>0</v>
      </c>
      <c r="AF291">
        <f t="shared" si="101"/>
        <v>0</v>
      </c>
      <c r="AG291">
        <f t="shared" si="102"/>
        <v>0</v>
      </c>
      <c r="AH291">
        <f t="shared" si="103"/>
        <v>0</v>
      </c>
      <c r="AI291">
        <f t="shared" si="104"/>
        <v>0</v>
      </c>
      <c r="AJ291">
        <f t="shared" si="105"/>
        <v>0</v>
      </c>
      <c r="AK291">
        <f t="shared" si="106"/>
        <v>0</v>
      </c>
      <c r="AL291">
        <f t="shared" si="107"/>
        <v>0</v>
      </c>
      <c r="AM291" s="113">
        <f t="shared" si="108"/>
        <v>8125</v>
      </c>
      <c r="AN291">
        <f t="shared" si="109"/>
        <v>13406</v>
      </c>
      <c r="AO291">
        <f t="shared" si="110"/>
        <v>18188</v>
      </c>
      <c r="AP291">
        <f t="shared" si="111"/>
        <v>21466</v>
      </c>
      <c r="AQ291">
        <f t="shared" si="112"/>
        <v>15553</v>
      </c>
      <c r="AR291">
        <f t="shared" si="113"/>
        <v>7399</v>
      </c>
      <c r="AS291">
        <f t="shared" si="114"/>
        <v>2952</v>
      </c>
      <c r="AT291">
        <f t="shared" si="115"/>
        <v>1594</v>
      </c>
      <c r="AU291">
        <f t="shared" si="116"/>
        <v>1089</v>
      </c>
      <c r="AV291">
        <f t="shared" si="117"/>
        <v>1115</v>
      </c>
      <c r="AW291">
        <f t="shared" si="118"/>
        <v>1908</v>
      </c>
      <c r="AX291">
        <f t="shared" si="119"/>
        <v>3893</v>
      </c>
    </row>
    <row r="292" spans="1:51" x14ac:dyDescent="0.25">
      <c r="A292" s="113">
        <v>289</v>
      </c>
      <c r="B292" s="209" t="s">
        <v>672</v>
      </c>
      <c r="C292" s="113">
        <v>1931</v>
      </c>
      <c r="D292" s="113">
        <v>2013</v>
      </c>
      <c r="E292" s="210" t="s">
        <v>688</v>
      </c>
      <c r="F292" s="210" t="s">
        <v>688</v>
      </c>
      <c r="G292" s="113"/>
      <c r="H292" s="113"/>
      <c r="I292" s="113"/>
      <c r="J292" s="113"/>
      <c r="K292" s="113"/>
      <c r="N292" s="113">
        <f>MATCH(A292,Entrada!$A$53:$A$372,0)</f>
        <v>189</v>
      </c>
      <c r="O292">
        <f>IF(NOT(ISNA($N292)),INDEX(Entrada!$C$53:$N$372,$N292,O$2),0)</f>
        <v>65</v>
      </c>
      <c r="P292">
        <f>IF(NOT(ISNA($N292)),INDEX(Entrada!$C$53:$N$372,$N292,P$2),0)</f>
        <v>68</v>
      </c>
      <c r="Q292">
        <f>IF(NOT(ISNA($N292)),INDEX(Entrada!$C$53:$N$372,$N292,Q$2),0)</f>
        <v>69</v>
      </c>
      <c r="R292">
        <f>IF(NOT(ISNA($N292)),INDEX(Entrada!$C$53:$N$372,$N292,R$2),0)</f>
        <v>59</v>
      </c>
      <c r="S292">
        <f>IF(NOT(ISNA($N292)),INDEX(Entrada!$C$53:$N$372,$N292,S$2),0)</f>
        <v>49</v>
      </c>
      <c r="T292">
        <f>IF(NOT(ISNA($N292)),INDEX(Entrada!$C$53:$N$372,$N292,T$2),0)</f>
        <v>44</v>
      </c>
      <c r="U292">
        <f>IF(NOT(ISNA($N292)),INDEX(Entrada!$C$53:$N$372,$N292,U$2),0)</f>
        <v>40</v>
      </c>
      <c r="V292" s="225">
        <f>IF(NOT(ISNA($N292)),INDEX(Entrada!$C$53:$N$372,$N292,V$2),0)</f>
        <v>38</v>
      </c>
      <c r="W292" s="225">
        <f>IF(NOT(ISNA($N292)),INDEX(Entrada!$C$53:$N$372,$N292,W$2),0)</f>
        <v>38</v>
      </c>
      <c r="X292" s="225">
        <f>IF(NOT(ISNA($N292)),INDEX(Entrada!$C$53:$N$372,$N292,X$2),0)</f>
        <v>42</v>
      </c>
      <c r="Y292" s="225">
        <f>IF(NOT(ISNA($N292)),INDEX(Entrada!$C$53:$N$372,$N292,Y$2),0)</f>
        <v>47</v>
      </c>
      <c r="Z292" s="225">
        <f>IF(NOT(ISNA($N292)),INDEX(Entrada!$C$53:$N$372,$N292,Z$2),0)</f>
        <v>56</v>
      </c>
      <c r="AA292" s="113">
        <f t="shared" si="96"/>
        <v>0</v>
      </c>
      <c r="AB292">
        <f t="shared" si="97"/>
        <v>0</v>
      </c>
      <c r="AC292">
        <f t="shared" si="98"/>
        <v>0</v>
      </c>
      <c r="AD292">
        <f t="shared" si="99"/>
        <v>0</v>
      </c>
      <c r="AE292">
        <f t="shared" si="100"/>
        <v>0</v>
      </c>
      <c r="AF292">
        <f t="shared" si="101"/>
        <v>0</v>
      </c>
      <c r="AG292">
        <f t="shared" si="102"/>
        <v>0</v>
      </c>
      <c r="AH292">
        <f t="shared" si="103"/>
        <v>0</v>
      </c>
      <c r="AI292">
        <f t="shared" si="104"/>
        <v>0</v>
      </c>
      <c r="AJ292">
        <f t="shared" si="105"/>
        <v>0</v>
      </c>
      <c r="AK292">
        <f t="shared" si="106"/>
        <v>0</v>
      </c>
      <c r="AL292">
        <f t="shared" si="107"/>
        <v>0</v>
      </c>
      <c r="AM292" s="113">
        <f t="shared" si="108"/>
        <v>65</v>
      </c>
      <c r="AN292">
        <f t="shared" si="109"/>
        <v>68</v>
      </c>
      <c r="AO292">
        <f t="shared" si="110"/>
        <v>69</v>
      </c>
      <c r="AP292">
        <f t="shared" si="111"/>
        <v>59</v>
      </c>
      <c r="AQ292">
        <f t="shared" si="112"/>
        <v>49</v>
      </c>
      <c r="AR292">
        <f t="shared" si="113"/>
        <v>44</v>
      </c>
      <c r="AS292">
        <f t="shared" si="114"/>
        <v>40</v>
      </c>
      <c r="AT292">
        <f t="shared" si="115"/>
        <v>38</v>
      </c>
      <c r="AU292">
        <f t="shared" si="116"/>
        <v>38</v>
      </c>
      <c r="AV292">
        <f t="shared" si="117"/>
        <v>42</v>
      </c>
      <c r="AW292">
        <f t="shared" si="118"/>
        <v>47</v>
      </c>
      <c r="AX292">
        <f t="shared" si="119"/>
        <v>56</v>
      </c>
    </row>
    <row r="293" spans="1:51" x14ac:dyDescent="0.25">
      <c r="A293" s="113">
        <v>290</v>
      </c>
      <c r="B293" s="209" t="s">
        <v>673</v>
      </c>
      <c r="C293" s="113">
        <v>1931</v>
      </c>
      <c r="D293" s="113">
        <v>2013</v>
      </c>
      <c r="E293" s="210" t="s">
        <v>28</v>
      </c>
      <c r="F293" s="210" t="s">
        <v>433</v>
      </c>
      <c r="G293" s="113"/>
      <c r="H293" s="113"/>
      <c r="I293" s="113"/>
      <c r="J293" s="113"/>
      <c r="K293" s="113"/>
      <c r="N293" s="113">
        <f>MATCH(A293,Entrada!$A$53:$A$372,0)</f>
        <v>190</v>
      </c>
      <c r="O293">
        <f>IF(NOT(ISNA($N293)),INDEX(Entrada!$C$53:$N$372,$N293,O$2),0)</f>
        <v>693</v>
      </c>
      <c r="P293">
        <f>IF(NOT(ISNA($N293)),INDEX(Entrada!$C$53:$N$372,$N293,P$2),0)</f>
        <v>1074</v>
      </c>
      <c r="Q293">
        <f>IF(NOT(ISNA($N293)),INDEX(Entrada!$C$53:$N$372,$N293,Q$2),0)</f>
        <v>1361</v>
      </c>
      <c r="R293">
        <f>IF(NOT(ISNA($N293)),INDEX(Entrada!$C$53:$N$372,$N293,R$2),0)</f>
        <v>1810</v>
      </c>
      <c r="S293">
        <f>IF(NOT(ISNA($N293)),INDEX(Entrada!$C$53:$N$372,$N293,S$2),0)</f>
        <v>2113</v>
      </c>
      <c r="T293">
        <f>IF(NOT(ISNA($N293)),INDEX(Entrada!$C$53:$N$372,$N293,T$2),0)</f>
        <v>2082</v>
      </c>
      <c r="U293">
        <f>IF(NOT(ISNA($N293)),INDEX(Entrada!$C$53:$N$372,$N293,U$2),0)</f>
        <v>1453</v>
      </c>
      <c r="V293" s="225">
        <f>IF(NOT(ISNA($N293)),INDEX(Entrada!$C$53:$N$372,$N293,V$2),0)</f>
        <v>964</v>
      </c>
      <c r="W293" s="225">
        <f>IF(NOT(ISNA($N293)),INDEX(Entrada!$C$53:$N$372,$N293,W$2),0)</f>
        <v>599</v>
      </c>
      <c r="X293" s="225">
        <f>IF(NOT(ISNA($N293)),INDEX(Entrada!$C$53:$N$372,$N293,X$2),0)</f>
        <v>342</v>
      </c>
      <c r="Y293" s="225">
        <f>IF(NOT(ISNA($N293)),INDEX(Entrada!$C$53:$N$372,$N293,Y$2),0)</f>
        <v>250</v>
      </c>
      <c r="Z293" s="225">
        <f>IF(NOT(ISNA($N293)),INDEX(Entrada!$C$53:$N$372,$N293,Z$2),0)</f>
        <v>352</v>
      </c>
      <c r="AA293" s="113">
        <f t="shared" si="96"/>
        <v>0</v>
      </c>
      <c r="AB293">
        <f t="shared" si="97"/>
        <v>0</v>
      </c>
      <c r="AC293">
        <f t="shared" si="98"/>
        <v>0</v>
      </c>
      <c r="AD293">
        <f t="shared" si="99"/>
        <v>0</v>
      </c>
      <c r="AE293">
        <f t="shared" si="100"/>
        <v>0</v>
      </c>
      <c r="AF293">
        <f t="shared" si="101"/>
        <v>0</v>
      </c>
      <c r="AG293">
        <f t="shared" si="102"/>
        <v>0</v>
      </c>
      <c r="AH293">
        <f t="shared" si="103"/>
        <v>0</v>
      </c>
      <c r="AI293">
        <f t="shared" si="104"/>
        <v>0</v>
      </c>
      <c r="AJ293">
        <f t="shared" si="105"/>
        <v>0</v>
      </c>
      <c r="AK293">
        <f t="shared" si="106"/>
        <v>0</v>
      </c>
      <c r="AL293">
        <f t="shared" si="107"/>
        <v>0</v>
      </c>
      <c r="AM293" s="113">
        <f t="shared" si="108"/>
        <v>693</v>
      </c>
      <c r="AN293">
        <f t="shared" si="109"/>
        <v>1074</v>
      </c>
      <c r="AO293">
        <f t="shared" si="110"/>
        <v>1361</v>
      </c>
      <c r="AP293">
        <f t="shared" si="111"/>
        <v>1810</v>
      </c>
      <c r="AQ293">
        <f t="shared" si="112"/>
        <v>2113</v>
      </c>
      <c r="AR293">
        <f t="shared" si="113"/>
        <v>2082</v>
      </c>
      <c r="AS293">
        <f t="shared" si="114"/>
        <v>1453</v>
      </c>
      <c r="AT293">
        <f t="shared" si="115"/>
        <v>964</v>
      </c>
      <c r="AU293">
        <f t="shared" si="116"/>
        <v>599</v>
      </c>
      <c r="AV293">
        <f t="shared" si="117"/>
        <v>342</v>
      </c>
      <c r="AW293">
        <f t="shared" si="118"/>
        <v>250</v>
      </c>
      <c r="AX293">
        <f t="shared" si="119"/>
        <v>352</v>
      </c>
    </row>
    <row r="294" spans="1:51" x14ac:dyDescent="0.25">
      <c r="A294" s="113">
        <v>291</v>
      </c>
      <c r="B294" s="209" t="s">
        <v>674</v>
      </c>
      <c r="C294" s="113">
        <v>1931</v>
      </c>
      <c r="D294" s="113">
        <v>2013</v>
      </c>
      <c r="E294" s="210" t="s">
        <v>28</v>
      </c>
      <c r="F294" s="210" t="s">
        <v>434</v>
      </c>
      <c r="G294" s="113"/>
      <c r="H294" s="113"/>
      <c r="I294" s="113"/>
      <c r="J294" s="113"/>
      <c r="K294" s="113"/>
      <c r="N294" s="113">
        <f>MATCH(A294,Entrada!$A$53:$A$372,0)</f>
        <v>191</v>
      </c>
      <c r="O294">
        <f>IF(NOT(ISNA($N294)),INDEX(Entrada!$C$53:$N$372,$N294,O$2),0)</f>
        <v>505</v>
      </c>
      <c r="P294">
        <f>IF(NOT(ISNA($N294)),INDEX(Entrada!$C$53:$N$372,$N294,P$2),0)</f>
        <v>747</v>
      </c>
      <c r="Q294">
        <f>IF(NOT(ISNA($N294)),INDEX(Entrada!$C$53:$N$372,$N294,Q$2),0)</f>
        <v>834</v>
      </c>
      <c r="R294">
        <f>IF(NOT(ISNA($N294)),INDEX(Entrada!$C$53:$N$372,$N294,R$2),0)</f>
        <v>729</v>
      </c>
      <c r="S294">
        <f>IF(NOT(ISNA($N294)),INDEX(Entrada!$C$53:$N$372,$N294,S$2),0)</f>
        <v>463</v>
      </c>
      <c r="T294">
        <f>IF(NOT(ISNA($N294)),INDEX(Entrada!$C$53:$N$372,$N294,T$2),0)</f>
        <v>216</v>
      </c>
      <c r="U294">
        <f>IF(NOT(ISNA($N294)),INDEX(Entrada!$C$53:$N$372,$N294,U$2),0)</f>
        <v>99</v>
      </c>
      <c r="V294" s="225">
        <f>IF(NOT(ISNA($N294)),INDEX(Entrada!$C$53:$N$372,$N294,V$2),0)</f>
        <v>57</v>
      </c>
      <c r="W294" s="225">
        <f>IF(NOT(ISNA($N294)),INDEX(Entrada!$C$53:$N$372,$N294,W$2),0)</f>
        <v>47</v>
      </c>
      <c r="X294" s="225">
        <f>IF(NOT(ISNA($N294)),INDEX(Entrada!$C$53:$N$372,$N294,X$2),0)</f>
        <v>54</v>
      </c>
      <c r="Y294" s="225">
        <f>IF(NOT(ISNA($N294)),INDEX(Entrada!$C$53:$N$372,$N294,Y$2),0)</f>
        <v>94</v>
      </c>
      <c r="Z294" s="225">
        <f>IF(NOT(ISNA($N294)),INDEX(Entrada!$C$53:$N$372,$N294,Z$2),0)</f>
        <v>229</v>
      </c>
      <c r="AA294" s="113">
        <f t="shared" si="96"/>
        <v>0</v>
      </c>
      <c r="AB294">
        <f t="shared" si="97"/>
        <v>0</v>
      </c>
      <c r="AC294">
        <f t="shared" si="98"/>
        <v>0</v>
      </c>
      <c r="AD294">
        <f t="shared" si="99"/>
        <v>0</v>
      </c>
      <c r="AE294">
        <f t="shared" si="100"/>
        <v>0</v>
      </c>
      <c r="AF294">
        <f t="shared" si="101"/>
        <v>0</v>
      </c>
      <c r="AG294">
        <f t="shared" si="102"/>
        <v>0</v>
      </c>
      <c r="AH294">
        <f t="shared" si="103"/>
        <v>0</v>
      </c>
      <c r="AI294">
        <f t="shared" si="104"/>
        <v>0</v>
      </c>
      <c r="AJ294">
        <f t="shared" si="105"/>
        <v>0</v>
      </c>
      <c r="AK294">
        <f t="shared" si="106"/>
        <v>0</v>
      </c>
      <c r="AL294">
        <f t="shared" si="107"/>
        <v>0</v>
      </c>
      <c r="AM294" s="113">
        <f t="shared" si="108"/>
        <v>505</v>
      </c>
      <c r="AN294">
        <f t="shared" si="109"/>
        <v>747</v>
      </c>
      <c r="AO294">
        <f t="shared" si="110"/>
        <v>834</v>
      </c>
      <c r="AP294">
        <f t="shared" si="111"/>
        <v>729</v>
      </c>
      <c r="AQ294">
        <f t="shared" si="112"/>
        <v>463</v>
      </c>
      <c r="AR294">
        <f t="shared" si="113"/>
        <v>216</v>
      </c>
      <c r="AS294">
        <f t="shared" si="114"/>
        <v>99</v>
      </c>
      <c r="AT294">
        <f t="shared" si="115"/>
        <v>57</v>
      </c>
      <c r="AU294">
        <f t="shared" si="116"/>
        <v>47</v>
      </c>
      <c r="AV294">
        <f t="shared" si="117"/>
        <v>54</v>
      </c>
      <c r="AW294">
        <f t="shared" si="118"/>
        <v>94</v>
      </c>
      <c r="AX294">
        <f t="shared" si="119"/>
        <v>229</v>
      </c>
    </row>
    <row r="295" spans="1:51" x14ac:dyDescent="0.25">
      <c r="A295" s="93">
        <v>292</v>
      </c>
      <c r="B295" s="216" t="s">
        <v>675</v>
      </c>
      <c r="C295" s="93">
        <v>1931</v>
      </c>
      <c r="D295" s="93">
        <v>2013</v>
      </c>
      <c r="E295" s="217" t="s">
        <v>29</v>
      </c>
      <c r="F295" s="217" t="s">
        <v>431</v>
      </c>
      <c r="G295" s="220">
        <v>288</v>
      </c>
      <c r="H295" s="220"/>
      <c r="I295" s="220"/>
      <c r="J295" s="220"/>
      <c r="K295" s="220"/>
      <c r="N295" s="113">
        <f>MATCH(A295,Entrada!$A$53:$A$372,0)</f>
        <v>192</v>
      </c>
      <c r="O295">
        <f>IF(NOT(ISNA($N295)),INDEX(Entrada!$C$53:$N$372,$N295,O$2),0)</f>
        <v>7025</v>
      </c>
      <c r="P295">
        <f>IF(NOT(ISNA($N295)),INDEX(Entrada!$C$53:$N$372,$N295,P$2),0)</f>
        <v>11806</v>
      </c>
      <c r="Q295">
        <f>IF(NOT(ISNA($N295)),INDEX(Entrada!$C$53:$N$372,$N295,Q$2),0)</f>
        <v>14929</v>
      </c>
      <c r="R295">
        <f>IF(NOT(ISNA($N295)),INDEX(Entrada!$C$53:$N$372,$N295,R$2),0)</f>
        <v>15442</v>
      </c>
      <c r="S295">
        <f>IF(NOT(ISNA($N295)),INDEX(Entrada!$C$53:$N$372,$N295,S$2),0)</f>
        <v>12640</v>
      </c>
      <c r="T295">
        <f>IF(NOT(ISNA($N295)),INDEX(Entrada!$C$53:$N$372,$N295,T$2),0)</f>
        <v>5794</v>
      </c>
      <c r="U295">
        <f>IF(NOT(ISNA($N295)),INDEX(Entrada!$C$53:$N$372,$N295,U$2),0)</f>
        <v>1850</v>
      </c>
      <c r="V295" s="225">
        <f>IF(NOT(ISNA($N295)),INDEX(Entrada!$C$53:$N$372,$N295,V$2),0)</f>
        <v>694</v>
      </c>
      <c r="W295" s="225">
        <f>IF(NOT(ISNA($N295)),INDEX(Entrada!$C$53:$N$372,$N295,W$2),0)</f>
        <v>346</v>
      </c>
      <c r="X295" s="225">
        <f>IF(NOT(ISNA($N295)),INDEX(Entrada!$C$53:$N$372,$N295,X$2),0)</f>
        <v>428</v>
      </c>
      <c r="Y295" s="225">
        <f>IF(NOT(ISNA($N295)),INDEX(Entrada!$C$53:$N$372,$N295,Y$2),0)</f>
        <v>1111</v>
      </c>
      <c r="Z295" s="225">
        <f>IF(NOT(ISNA($N295)),INDEX(Entrada!$C$53:$N$372,$N295,Z$2),0)</f>
        <v>2993</v>
      </c>
      <c r="AA295" s="113">
        <f t="shared" si="96"/>
        <v>8125</v>
      </c>
      <c r="AB295">
        <f t="shared" si="97"/>
        <v>13406</v>
      </c>
      <c r="AC295">
        <f t="shared" si="98"/>
        <v>18188</v>
      </c>
      <c r="AD295">
        <f t="shared" si="99"/>
        <v>21466</v>
      </c>
      <c r="AE295">
        <f t="shared" si="100"/>
        <v>15553</v>
      </c>
      <c r="AF295">
        <f t="shared" si="101"/>
        <v>7399</v>
      </c>
      <c r="AG295">
        <f t="shared" si="102"/>
        <v>2952</v>
      </c>
      <c r="AH295">
        <f t="shared" si="103"/>
        <v>1594</v>
      </c>
      <c r="AI295">
        <f t="shared" si="104"/>
        <v>1089</v>
      </c>
      <c r="AJ295">
        <f t="shared" si="105"/>
        <v>1115</v>
      </c>
      <c r="AK295">
        <f t="shared" si="106"/>
        <v>1908</v>
      </c>
      <c r="AL295">
        <f t="shared" si="107"/>
        <v>3893</v>
      </c>
      <c r="AM295" s="113">
        <f t="shared" si="108"/>
        <v>-1100</v>
      </c>
      <c r="AN295">
        <f t="shared" si="109"/>
        <v>-1600</v>
      </c>
      <c r="AO295">
        <f t="shared" si="110"/>
        <v>-3259</v>
      </c>
      <c r="AP295">
        <f t="shared" si="111"/>
        <v>-6024</v>
      </c>
      <c r="AQ295">
        <f t="shared" si="112"/>
        <v>-2913</v>
      </c>
      <c r="AR295">
        <f t="shared" si="113"/>
        <v>-1605</v>
      </c>
      <c r="AS295">
        <f t="shared" si="114"/>
        <v>-1102</v>
      </c>
      <c r="AT295">
        <f t="shared" si="115"/>
        <v>-900</v>
      </c>
      <c r="AU295">
        <f t="shared" si="116"/>
        <v>-743</v>
      </c>
      <c r="AV295">
        <f t="shared" si="117"/>
        <v>-687</v>
      </c>
      <c r="AW295">
        <f t="shared" si="118"/>
        <v>-797</v>
      </c>
      <c r="AX295">
        <f t="shared" si="119"/>
        <v>-900</v>
      </c>
    </row>
    <row r="296" spans="1:51" x14ac:dyDescent="0.25">
      <c r="A296" s="93">
        <v>293</v>
      </c>
      <c r="B296" s="216" t="s">
        <v>676</v>
      </c>
      <c r="C296" s="93">
        <v>1931</v>
      </c>
      <c r="D296" s="93">
        <v>2013</v>
      </c>
      <c r="E296" s="217" t="s">
        <v>29</v>
      </c>
      <c r="F296" s="217" t="s">
        <v>431</v>
      </c>
      <c r="G296" s="113"/>
      <c r="H296" s="113"/>
      <c r="I296" s="113"/>
      <c r="J296" s="113"/>
      <c r="K296" s="113"/>
      <c r="N296" s="113">
        <f>MATCH(A296,Entrada!$A$53:$A$372,0)</f>
        <v>193</v>
      </c>
      <c r="O296">
        <f>IF(NOT(ISNA($N296)),INDEX(Entrada!$C$53:$N$372,$N296,O$2),0)</f>
        <v>1669</v>
      </c>
      <c r="P296">
        <f>IF(NOT(ISNA($N296)),INDEX(Entrada!$C$53:$N$372,$N296,P$2),0)</f>
        <v>2538</v>
      </c>
      <c r="Q296">
        <f>IF(NOT(ISNA($N296)),INDEX(Entrada!$C$53:$N$372,$N296,Q$2),0)</f>
        <v>4532</v>
      </c>
      <c r="R296">
        <f>IF(NOT(ISNA($N296)),INDEX(Entrada!$C$53:$N$372,$N296,R$2),0)</f>
        <v>7527</v>
      </c>
      <c r="S296">
        <f>IF(NOT(ISNA($N296)),INDEX(Entrada!$C$53:$N$372,$N296,S$2),0)</f>
        <v>4002</v>
      </c>
      <c r="T296">
        <f>IF(NOT(ISNA($N296)),INDEX(Entrada!$C$53:$N$372,$N296,T$2),0)</f>
        <v>2123</v>
      </c>
      <c r="U296" s="219">
        <f>IF(NOT(ISNA($N296)),INDEX(Entrada!$C$53:$N$372,$N296,U$2),0)</f>
        <v>1308</v>
      </c>
      <c r="V296" s="225">
        <f>IF(NOT(ISNA($N296)),INDEX(Entrada!$C$53:$N$372,$N296,V$2),0)</f>
        <v>1012</v>
      </c>
      <c r="W296" s="225">
        <f>IF(NOT(ISNA($N296)),INDEX(Entrada!$C$53:$N$372,$N296,W$2),0)</f>
        <v>820</v>
      </c>
      <c r="X296" s="225">
        <f>IF(NOT(ISNA($N296)),INDEX(Entrada!$C$53:$N$372,$N296,X$2),0)</f>
        <v>765</v>
      </c>
      <c r="Y296" s="225">
        <f>IF(NOT(ISNA($N296)),INDEX(Entrada!$C$53:$N$372,$N296,Y$2),0)</f>
        <v>931</v>
      </c>
      <c r="Z296" s="225">
        <f>IF(NOT(ISNA($N296)),INDEX(Entrada!$C$53:$N$372,$N296,Z$2),0)</f>
        <v>1173</v>
      </c>
      <c r="AA296" s="113">
        <f t="shared" si="96"/>
        <v>0</v>
      </c>
      <c r="AB296">
        <f t="shared" si="97"/>
        <v>0</v>
      </c>
      <c r="AC296">
        <f t="shared" si="98"/>
        <v>0</v>
      </c>
      <c r="AD296">
        <f t="shared" si="99"/>
        <v>0</v>
      </c>
      <c r="AE296">
        <f t="shared" si="100"/>
        <v>0</v>
      </c>
      <c r="AF296">
        <f t="shared" si="101"/>
        <v>0</v>
      </c>
      <c r="AG296">
        <f t="shared" si="102"/>
        <v>0</v>
      </c>
      <c r="AH296">
        <f t="shared" si="103"/>
        <v>0</v>
      </c>
      <c r="AI296">
        <f t="shared" si="104"/>
        <v>0</v>
      </c>
      <c r="AJ296">
        <f t="shared" si="105"/>
        <v>0</v>
      </c>
      <c r="AK296">
        <f t="shared" si="106"/>
        <v>0</v>
      </c>
      <c r="AL296">
        <f t="shared" si="107"/>
        <v>0</v>
      </c>
      <c r="AM296" s="219">
        <f t="shared" si="108"/>
        <v>1669</v>
      </c>
      <c r="AN296">
        <f t="shared" si="109"/>
        <v>2538</v>
      </c>
      <c r="AO296">
        <f t="shared" si="110"/>
        <v>4532</v>
      </c>
      <c r="AP296">
        <f t="shared" si="111"/>
        <v>7527</v>
      </c>
      <c r="AQ296">
        <f t="shared" si="112"/>
        <v>4002</v>
      </c>
      <c r="AR296">
        <f t="shared" si="113"/>
        <v>2123</v>
      </c>
      <c r="AS296">
        <f t="shared" si="114"/>
        <v>1308</v>
      </c>
      <c r="AT296">
        <f t="shared" si="115"/>
        <v>1012</v>
      </c>
      <c r="AU296">
        <f t="shared" si="116"/>
        <v>820</v>
      </c>
      <c r="AV296">
        <f t="shared" si="117"/>
        <v>765</v>
      </c>
      <c r="AW296">
        <f t="shared" si="118"/>
        <v>931</v>
      </c>
      <c r="AX296">
        <f t="shared" si="119"/>
        <v>1173</v>
      </c>
      <c r="AY296" s="219">
        <f>1.07*AY291-AY295</f>
        <v>0</v>
      </c>
    </row>
    <row r="297" spans="1:51" x14ac:dyDescent="0.25">
      <c r="A297" s="113">
        <v>294</v>
      </c>
      <c r="B297" s="209" t="s">
        <v>677</v>
      </c>
      <c r="C297" s="113">
        <v>1931</v>
      </c>
      <c r="D297" s="113">
        <v>2013</v>
      </c>
      <c r="E297" s="210" t="s">
        <v>3</v>
      </c>
      <c r="F297" s="210" t="s">
        <v>405</v>
      </c>
      <c r="G297" s="113"/>
      <c r="H297" s="113"/>
      <c r="I297" s="113"/>
      <c r="J297" s="113"/>
      <c r="K297" s="113"/>
      <c r="N297" s="113">
        <f>MATCH(A297,Entrada!$A$53:$A$372,0)</f>
        <v>194</v>
      </c>
      <c r="O297">
        <f>IF(NOT(ISNA($N297)),INDEX(Entrada!$C$53:$N$372,$N297,O$2),0)</f>
        <v>243</v>
      </c>
      <c r="P297">
        <f>IF(NOT(ISNA($N297)),INDEX(Entrada!$C$53:$N$372,$N297,P$2),0)</f>
        <v>263</v>
      </c>
      <c r="Q297">
        <f>IF(NOT(ISNA($N297)),INDEX(Entrada!$C$53:$N$372,$N297,Q$2),0)</f>
        <v>264</v>
      </c>
      <c r="R297">
        <f>IF(NOT(ISNA($N297)),INDEX(Entrada!$C$53:$N$372,$N297,R$2),0)</f>
        <v>212</v>
      </c>
      <c r="S297">
        <f>IF(NOT(ISNA($N297)),INDEX(Entrada!$C$53:$N$372,$N297,S$2),0)</f>
        <v>165</v>
      </c>
      <c r="T297">
        <f>IF(NOT(ISNA($N297)),INDEX(Entrada!$C$53:$N$372,$N297,T$2),0)</f>
        <v>144</v>
      </c>
      <c r="U297">
        <f>IF(NOT(ISNA($N297)),INDEX(Entrada!$C$53:$N$372,$N297,U$2),0)</f>
        <v>128</v>
      </c>
      <c r="V297" s="225">
        <f>IF(NOT(ISNA($N297)),INDEX(Entrada!$C$53:$N$372,$N297,V$2),0)</f>
        <v>119</v>
      </c>
      <c r="W297" s="225">
        <f>IF(NOT(ISNA($N297)),INDEX(Entrada!$C$53:$N$372,$N297,W$2),0)</f>
        <v>122</v>
      </c>
      <c r="X297" s="225">
        <f>IF(NOT(ISNA($N297)),INDEX(Entrada!$C$53:$N$372,$N297,X$2),0)</f>
        <v>140</v>
      </c>
      <c r="Y297" s="225">
        <f>IF(NOT(ISNA($N297)),INDEX(Entrada!$C$53:$N$372,$N297,Y$2),0)</f>
        <v>165</v>
      </c>
      <c r="Z297" s="225">
        <f>IF(NOT(ISNA($N297)),INDEX(Entrada!$C$53:$N$372,$N297,Z$2),0)</f>
        <v>206</v>
      </c>
      <c r="AA297" s="113">
        <f t="shared" si="96"/>
        <v>0</v>
      </c>
      <c r="AB297">
        <f t="shared" si="97"/>
        <v>0</v>
      </c>
      <c r="AC297">
        <f t="shared" si="98"/>
        <v>0</v>
      </c>
      <c r="AD297">
        <f t="shared" si="99"/>
        <v>0</v>
      </c>
      <c r="AE297">
        <f t="shared" si="100"/>
        <v>0</v>
      </c>
      <c r="AF297">
        <f t="shared" si="101"/>
        <v>0</v>
      </c>
      <c r="AG297">
        <f t="shared" si="102"/>
        <v>0</v>
      </c>
      <c r="AH297">
        <f t="shared" si="103"/>
        <v>0</v>
      </c>
      <c r="AI297">
        <f t="shared" si="104"/>
        <v>0</v>
      </c>
      <c r="AJ297">
        <f t="shared" si="105"/>
        <v>0</v>
      </c>
      <c r="AK297">
        <f t="shared" si="106"/>
        <v>0</v>
      </c>
      <c r="AL297">
        <f t="shared" si="107"/>
        <v>0</v>
      </c>
      <c r="AM297" s="113">
        <f t="shared" si="108"/>
        <v>243</v>
      </c>
      <c r="AN297">
        <f t="shared" si="109"/>
        <v>263</v>
      </c>
      <c r="AO297">
        <f t="shared" si="110"/>
        <v>264</v>
      </c>
      <c r="AP297">
        <f t="shared" si="111"/>
        <v>212</v>
      </c>
      <c r="AQ297">
        <f t="shared" si="112"/>
        <v>165</v>
      </c>
      <c r="AR297">
        <f t="shared" si="113"/>
        <v>144</v>
      </c>
      <c r="AS297">
        <f t="shared" si="114"/>
        <v>128</v>
      </c>
      <c r="AT297">
        <f t="shared" si="115"/>
        <v>119</v>
      </c>
      <c r="AU297">
        <f t="shared" si="116"/>
        <v>122</v>
      </c>
      <c r="AV297">
        <f t="shared" si="117"/>
        <v>140</v>
      </c>
      <c r="AW297">
        <f t="shared" si="118"/>
        <v>165</v>
      </c>
      <c r="AX297">
        <f t="shared" si="119"/>
        <v>206</v>
      </c>
    </row>
    <row r="298" spans="1:51" x14ac:dyDescent="0.25">
      <c r="A298" s="113">
        <v>295</v>
      </c>
      <c r="B298" s="209" t="s">
        <v>678</v>
      </c>
      <c r="C298" s="113">
        <v>1931</v>
      </c>
      <c r="D298" s="113">
        <v>2013</v>
      </c>
      <c r="E298" s="210" t="s">
        <v>14</v>
      </c>
      <c r="F298" s="210" t="s">
        <v>439</v>
      </c>
      <c r="G298" s="113"/>
      <c r="H298" s="113"/>
      <c r="I298" s="113"/>
      <c r="J298" s="113"/>
      <c r="K298" s="113"/>
      <c r="N298" s="113">
        <f>MATCH(A298,Entrada!$A$53:$A$372,0)</f>
        <v>195</v>
      </c>
      <c r="O298">
        <f>IF(NOT(ISNA($N298)),INDEX(Entrada!$C$53:$N$372,$N298,O$2),0)</f>
        <v>98</v>
      </c>
      <c r="P298">
        <f>IF(NOT(ISNA($N298)),INDEX(Entrada!$C$53:$N$372,$N298,P$2),0)</f>
        <v>102</v>
      </c>
      <c r="Q298">
        <f>IF(NOT(ISNA($N298)),INDEX(Entrada!$C$53:$N$372,$N298,Q$2),0)</f>
        <v>110</v>
      </c>
      <c r="R298">
        <f>IF(NOT(ISNA($N298)),INDEX(Entrada!$C$53:$N$372,$N298,R$2),0)</f>
        <v>96</v>
      </c>
      <c r="S298">
        <f>IF(NOT(ISNA($N298)),INDEX(Entrada!$C$53:$N$372,$N298,S$2),0)</f>
        <v>84</v>
      </c>
      <c r="T298">
        <f>IF(NOT(ISNA($N298)),INDEX(Entrada!$C$53:$N$372,$N298,T$2),0)</f>
        <v>79</v>
      </c>
      <c r="U298">
        <f>IF(NOT(ISNA($N298)),INDEX(Entrada!$C$53:$N$372,$N298,U$2),0)</f>
        <v>76</v>
      </c>
      <c r="V298" s="225">
        <f>IF(NOT(ISNA($N298)),INDEX(Entrada!$C$53:$N$372,$N298,V$2),0)</f>
        <v>72</v>
      </c>
      <c r="W298" s="225">
        <f>IF(NOT(ISNA($N298)),INDEX(Entrada!$C$53:$N$372,$N298,W$2),0)</f>
        <v>71</v>
      </c>
      <c r="X298" s="225">
        <f>IF(NOT(ISNA($N298)),INDEX(Entrada!$C$53:$N$372,$N298,X$2),0)</f>
        <v>75</v>
      </c>
      <c r="Y298" s="225">
        <f>IF(NOT(ISNA($N298)),INDEX(Entrada!$C$53:$N$372,$N298,Y$2),0)</f>
        <v>79</v>
      </c>
      <c r="Z298" s="225">
        <f>IF(NOT(ISNA($N298)),INDEX(Entrada!$C$53:$N$372,$N298,Z$2),0)</f>
        <v>88</v>
      </c>
      <c r="AA298" s="113">
        <f t="shared" si="96"/>
        <v>0</v>
      </c>
      <c r="AB298">
        <f t="shared" si="97"/>
        <v>0</v>
      </c>
      <c r="AC298">
        <f t="shared" si="98"/>
        <v>0</v>
      </c>
      <c r="AD298">
        <f t="shared" si="99"/>
        <v>0</v>
      </c>
      <c r="AE298">
        <f t="shared" si="100"/>
        <v>0</v>
      </c>
      <c r="AF298">
        <f t="shared" si="101"/>
        <v>0</v>
      </c>
      <c r="AG298">
        <f t="shared" si="102"/>
        <v>0</v>
      </c>
      <c r="AH298">
        <f t="shared" si="103"/>
        <v>0</v>
      </c>
      <c r="AI298">
        <f t="shared" si="104"/>
        <v>0</v>
      </c>
      <c r="AJ298">
        <f t="shared" si="105"/>
        <v>0</v>
      </c>
      <c r="AK298">
        <f t="shared" si="106"/>
        <v>0</v>
      </c>
      <c r="AL298">
        <f t="shared" si="107"/>
        <v>0</v>
      </c>
      <c r="AM298" s="113">
        <f t="shared" si="108"/>
        <v>98</v>
      </c>
      <c r="AN298">
        <f t="shared" si="109"/>
        <v>102</v>
      </c>
      <c r="AO298">
        <f t="shared" si="110"/>
        <v>110</v>
      </c>
      <c r="AP298">
        <f t="shared" si="111"/>
        <v>96</v>
      </c>
      <c r="AQ298">
        <f t="shared" si="112"/>
        <v>84</v>
      </c>
      <c r="AR298">
        <f t="shared" si="113"/>
        <v>79</v>
      </c>
      <c r="AS298">
        <f t="shared" si="114"/>
        <v>76</v>
      </c>
      <c r="AT298">
        <f t="shared" si="115"/>
        <v>72</v>
      </c>
      <c r="AU298">
        <f t="shared" si="116"/>
        <v>71</v>
      </c>
      <c r="AV298">
        <f t="shared" si="117"/>
        <v>75</v>
      </c>
      <c r="AW298">
        <f t="shared" si="118"/>
        <v>79</v>
      </c>
      <c r="AX298">
        <f t="shared" si="119"/>
        <v>88</v>
      </c>
    </row>
    <row r="299" spans="1:51" x14ac:dyDescent="0.25">
      <c r="A299" s="113">
        <v>296</v>
      </c>
      <c r="B299" s="209" t="s">
        <v>679</v>
      </c>
      <c r="C299" s="113">
        <v>1931</v>
      </c>
      <c r="D299" s="113">
        <v>2013</v>
      </c>
      <c r="E299" s="210" t="s">
        <v>28</v>
      </c>
      <c r="F299" s="210" t="s">
        <v>440</v>
      </c>
      <c r="G299" s="113"/>
      <c r="H299" s="113"/>
      <c r="I299" s="113"/>
      <c r="J299" s="113"/>
      <c r="K299" s="113"/>
      <c r="N299" s="113">
        <f>MATCH(A299,Entrada!$A$53:$A$372,0)</f>
        <v>196</v>
      </c>
      <c r="O299">
        <f>IF(NOT(ISNA($N299)),INDEX(Entrada!$C$53:$N$372,$N299,O$2),0)</f>
        <v>35</v>
      </c>
      <c r="P299">
        <f>IF(NOT(ISNA($N299)),INDEX(Entrada!$C$53:$N$372,$N299,P$2),0)</f>
        <v>37</v>
      </c>
      <c r="Q299">
        <f>IF(NOT(ISNA($N299)),INDEX(Entrada!$C$53:$N$372,$N299,Q$2),0)</f>
        <v>39</v>
      </c>
      <c r="R299">
        <f>IF(NOT(ISNA($N299)),INDEX(Entrada!$C$53:$N$372,$N299,R$2),0)</f>
        <v>37</v>
      </c>
      <c r="S299">
        <f>IF(NOT(ISNA($N299)),INDEX(Entrada!$C$53:$N$372,$N299,S$2),0)</f>
        <v>34</v>
      </c>
      <c r="T299">
        <f>IF(NOT(ISNA($N299)),INDEX(Entrada!$C$53:$N$372,$N299,T$2),0)</f>
        <v>32</v>
      </c>
      <c r="U299">
        <f>IF(NOT(ISNA($N299)),INDEX(Entrada!$C$53:$N$372,$N299,U$2),0)</f>
        <v>30</v>
      </c>
      <c r="V299" s="225">
        <f>IF(NOT(ISNA($N299)),INDEX(Entrada!$C$53:$N$372,$N299,V$2),0)</f>
        <v>29</v>
      </c>
      <c r="W299" s="225">
        <f>IF(NOT(ISNA($N299)),INDEX(Entrada!$C$53:$N$372,$N299,W$2),0)</f>
        <v>29</v>
      </c>
      <c r="X299" s="225">
        <f>IF(NOT(ISNA($N299)),INDEX(Entrada!$C$53:$N$372,$N299,X$2),0)</f>
        <v>30</v>
      </c>
      <c r="Y299" s="225">
        <f>IF(NOT(ISNA($N299)),INDEX(Entrada!$C$53:$N$372,$N299,Y$2),0)</f>
        <v>31</v>
      </c>
      <c r="Z299" s="225">
        <f>IF(NOT(ISNA($N299)),INDEX(Entrada!$C$53:$N$372,$N299,Z$2),0)</f>
        <v>33</v>
      </c>
      <c r="AA299" s="113">
        <f t="shared" si="96"/>
        <v>0</v>
      </c>
      <c r="AB299">
        <f t="shared" si="97"/>
        <v>0</v>
      </c>
      <c r="AC299">
        <f t="shared" si="98"/>
        <v>0</v>
      </c>
      <c r="AD299">
        <f t="shared" si="99"/>
        <v>0</v>
      </c>
      <c r="AE299">
        <f t="shared" si="100"/>
        <v>0</v>
      </c>
      <c r="AF299">
        <f t="shared" si="101"/>
        <v>0</v>
      </c>
      <c r="AG299">
        <f t="shared" si="102"/>
        <v>0</v>
      </c>
      <c r="AH299">
        <f t="shared" si="103"/>
        <v>0</v>
      </c>
      <c r="AI299">
        <f t="shared" si="104"/>
        <v>0</v>
      </c>
      <c r="AJ299">
        <f t="shared" si="105"/>
        <v>0</v>
      </c>
      <c r="AK299">
        <f t="shared" si="106"/>
        <v>0</v>
      </c>
      <c r="AL299">
        <f t="shared" si="107"/>
        <v>0</v>
      </c>
      <c r="AM299" s="113">
        <f t="shared" si="108"/>
        <v>35</v>
      </c>
      <c r="AN299">
        <f t="shared" si="109"/>
        <v>37</v>
      </c>
      <c r="AO299">
        <f t="shared" si="110"/>
        <v>39</v>
      </c>
      <c r="AP299">
        <f t="shared" si="111"/>
        <v>37</v>
      </c>
      <c r="AQ299">
        <f t="shared" si="112"/>
        <v>34</v>
      </c>
      <c r="AR299">
        <f t="shared" si="113"/>
        <v>32</v>
      </c>
      <c r="AS299">
        <f t="shared" si="114"/>
        <v>30</v>
      </c>
      <c r="AT299">
        <f t="shared" si="115"/>
        <v>29</v>
      </c>
      <c r="AU299">
        <f t="shared" si="116"/>
        <v>29</v>
      </c>
      <c r="AV299">
        <f t="shared" si="117"/>
        <v>30</v>
      </c>
      <c r="AW299">
        <f t="shared" si="118"/>
        <v>31</v>
      </c>
      <c r="AX299">
        <f t="shared" si="119"/>
        <v>33</v>
      </c>
    </row>
    <row r="300" spans="1:51" x14ac:dyDescent="0.25">
      <c r="A300" s="113">
        <v>297</v>
      </c>
      <c r="B300" s="209" t="s">
        <v>680</v>
      </c>
      <c r="C300" s="113">
        <v>1931</v>
      </c>
      <c r="D300" s="113">
        <v>2013</v>
      </c>
      <c r="E300" s="210" t="s">
        <v>289</v>
      </c>
      <c r="F300" s="210" t="s">
        <v>289</v>
      </c>
      <c r="G300" s="113">
        <v>280</v>
      </c>
      <c r="H300" s="113"/>
      <c r="I300" s="113"/>
      <c r="J300" s="113"/>
      <c r="K300" s="113"/>
      <c r="N300" s="113">
        <f>MATCH(A300,Entrada!$A$53:$A$372,0)</f>
        <v>197</v>
      </c>
      <c r="O300">
        <f>IF(NOT(ISNA($N300)),INDEX(Entrada!$C$53:$N$372,$N300,O$2),0)</f>
        <v>534</v>
      </c>
      <c r="P300">
        <f>IF(NOT(ISNA($N300)),INDEX(Entrada!$C$53:$N$372,$N300,P$2),0)</f>
        <v>998</v>
      </c>
      <c r="Q300">
        <f>IF(NOT(ISNA($N300)),INDEX(Entrada!$C$53:$N$372,$N300,Q$2),0)</f>
        <v>1522</v>
      </c>
      <c r="R300">
        <f>IF(NOT(ISNA($N300)),INDEX(Entrada!$C$53:$N$372,$N300,R$2),0)</f>
        <v>1884</v>
      </c>
      <c r="S300">
        <f>IF(NOT(ISNA($N300)),INDEX(Entrada!$C$53:$N$372,$N300,S$2),0)</f>
        <v>2014</v>
      </c>
      <c r="T300">
        <f>IF(NOT(ISNA($N300)),INDEX(Entrada!$C$53:$N$372,$N300,T$2),0)</f>
        <v>1596</v>
      </c>
      <c r="U300">
        <f>IF(NOT(ISNA($N300)),INDEX(Entrada!$C$53:$N$372,$N300,U$2),0)</f>
        <v>1178</v>
      </c>
      <c r="V300" s="225">
        <f>IF(NOT(ISNA($N300)),INDEX(Entrada!$C$53:$N$372,$N300,V$2),0)</f>
        <v>795</v>
      </c>
      <c r="W300" s="225">
        <f>IF(NOT(ISNA($N300)),INDEX(Entrada!$C$53:$N$372,$N300,W$2),0)</f>
        <v>460</v>
      </c>
      <c r="X300" s="225">
        <f>IF(NOT(ISNA($N300)),INDEX(Entrada!$C$53:$N$372,$N300,X$2),0)</f>
        <v>279</v>
      </c>
      <c r="Y300" s="225">
        <f>IF(NOT(ISNA($N300)),INDEX(Entrada!$C$53:$N$372,$N300,Y$2),0)</f>
        <v>200</v>
      </c>
      <c r="Z300" s="225">
        <f>IF(NOT(ISNA($N300)),INDEX(Entrada!$C$53:$N$372,$N300,Z$2),0)</f>
        <v>232</v>
      </c>
      <c r="AA300" s="113">
        <f t="shared" si="96"/>
        <v>529</v>
      </c>
      <c r="AB300">
        <f t="shared" si="97"/>
        <v>989</v>
      </c>
      <c r="AC300">
        <f t="shared" si="98"/>
        <v>1509</v>
      </c>
      <c r="AD300">
        <f t="shared" si="99"/>
        <v>1867</v>
      </c>
      <c r="AE300">
        <f t="shared" si="100"/>
        <v>1996</v>
      </c>
      <c r="AF300">
        <f t="shared" si="101"/>
        <v>1582</v>
      </c>
      <c r="AG300">
        <f t="shared" si="102"/>
        <v>1167</v>
      </c>
      <c r="AH300">
        <f t="shared" si="103"/>
        <v>788</v>
      </c>
      <c r="AI300">
        <f t="shared" si="104"/>
        <v>456</v>
      </c>
      <c r="AJ300">
        <f t="shared" si="105"/>
        <v>276</v>
      </c>
      <c r="AK300">
        <f t="shared" si="106"/>
        <v>198</v>
      </c>
      <c r="AL300">
        <f t="shared" si="107"/>
        <v>230</v>
      </c>
      <c r="AM300" s="113">
        <f t="shared" si="108"/>
        <v>5</v>
      </c>
      <c r="AN300">
        <f t="shared" si="109"/>
        <v>9</v>
      </c>
      <c r="AO300">
        <f t="shared" si="110"/>
        <v>13</v>
      </c>
      <c r="AP300">
        <f t="shared" si="111"/>
        <v>17</v>
      </c>
      <c r="AQ300">
        <f t="shared" si="112"/>
        <v>18</v>
      </c>
      <c r="AR300">
        <f t="shared" si="113"/>
        <v>14</v>
      </c>
      <c r="AS300">
        <f t="shared" si="114"/>
        <v>11</v>
      </c>
      <c r="AT300">
        <f t="shared" si="115"/>
        <v>7</v>
      </c>
      <c r="AU300">
        <f t="shared" si="116"/>
        <v>4</v>
      </c>
      <c r="AV300">
        <f t="shared" si="117"/>
        <v>3</v>
      </c>
      <c r="AW300">
        <f t="shared" si="118"/>
        <v>2</v>
      </c>
      <c r="AX300">
        <f t="shared" si="119"/>
        <v>2</v>
      </c>
    </row>
    <row r="301" spans="1:51" x14ac:dyDescent="0.25">
      <c r="A301" s="113">
        <v>298</v>
      </c>
      <c r="B301" s="209" t="s">
        <v>262</v>
      </c>
      <c r="C301" s="113">
        <v>1931</v>
      </c>
      <c r="D301" s="113">
        <v>2013</v>
      </c>
      <c r="E301" s="212" t="s">
        <v>10</v>
      </c>
      <c r="F301" s="213" t="s">
        <v>10</v>
      </c>
      <c r="G301" s="113"/>
      <c r="H301" s="113"/>
      <c r="I301" s="113"/>
      <c r="J301" s="113"/>
      <c r="K301" s="113"/>
      <c r="N301" s="113">
        <f>MATCH(A301,Entrada!$A$53:$A$372,0)</f>
        <v>198</v>
      </c>
      <c r="O301">
        <f>IF(NOT(ISNA($N301)),INDEX(Entrada!$C$53:$N$372,$N301,O$2),0)</f>
        <v>159</v>
      </c>
      <c r="P301">
        <f>IF(NOT(ISNA($N301)),INDEX(Entrada!$C$53:$N$372,$N301,P$2),0)</f>
        <v>158</v>
      </c>
      <c r="Q301">
        <f>IF(NOT(ISNA($N301)),INDEX(Entrada!$C$53:$N$372,$N301,Q$2),0)</f>
        <v>159</v>
      </c>
      <c r="R301">
        <f>IF(NOT(ISNA($N301)),INDEX(Entrada!$C$53:$N$372,$N301,R$2),0)</f>
        <v>156</v>
      </c>
      <c r="S301">
        <f>IF(NOT(ISNA($N301)),INDEX(Entrada!$C$53:$N$372,$N301,S$2),0)</f>
        <v>140</v>
      </c>
      <c r="T301">
        <f>IF(NOT(ISNA($N301)),INDEX(Entrada!$C$53:$N$372,$N301,T$2),0)</f>
        <v>121</v>
      </c>
      <c r="U301" s="219">
        <f>IF(NOT(ISNA($N301)),INDEX(Entrada!$C$53:$N$372,$N301,U$2),0)</f>
        <v>106</v>
      </c>
      <c r="V301" s="225">
        <f>IF(NOT(ISNA($N301)),INDEX(Entrada!$C$53:$N$372,$N301,V$2),0)</f>
        <v>93</v>
      </c>
      <c r="W301" s="225">
        <f>IF(NOT(ISNA($N301)),INDEX(Entrada!$C$53:$N$372,$N301,W$2),0)</f>
        <v>93</v>
      </c>
      <c r="X301" s="225">
        <f>IF(NOT(ISNA($N301)),INDEX(Entrada!$C$53:$N$372,$N301,X$2),0)</f>
        <v>111</v>
      </c>
      <c r="Y301" s="225">
        <f>IF(NOT(ISNA($N301)),INDEX(Entrada!$C$53:$N$372,$N301,Y$2),0)</f>
        <v>135</v>
      </c>
      <c r="Z301" s="225">
        <f>IF(NOT(ISNA($N301)),INDEX(Entrada!$C$53:$N$372,$N301,Z$2),0)</f>
        <v>155</v>
      </c>
      <c r="AA301" s="113">
        <f t="shared" si="96"/>
        <v>0</v>
      </c>
      <c r="AB301">
        <f t="shared" si="97"/>
        <v>0</v>
      </c>
      <c r="AC301">
        <f t="shared" si="98"/>
        <v>0</v>
      </c>
      <c r="AD301">
        <f t="shared" si="99"/>
        <v>0</v>
      </c>
      <c r="AE301">
        <f t="shared" si="100"/>
        <v>0</v>
      </c>
      <c r="AF301">
        <f t="shared" si="101"/>
        <v>0</v>
      </c>
      <c r="AG301">
        <f t="shared" si="102"/>
        <v>0</v>
      </c>
      <c r="AH301">
        <f t="shared" si="103"/>
        <v>0</v>
      </c>
      <c r="AI301">
        <f t="shared" si="104"/>
        <v>0</v>
      </c>
      <c r="AJ301">
        <f t="shared" si="105"/>
        <v>0</v>
      </c>
      <c r="AK301">
        <f t="shared" si="106"/>
        <v>0</v>
      </c>
      <c r="AL301">
        <f t="shared" si="107"/>
        <v>0</v>
      </c>
      <c r="AM301" s="219">
        <f t="shared" si="108"/>
        <v>159</v>
      </c>
      <c r="AN301">
        <f t="shared" si="109"/>
        <v>158</v>
      </c>
      <c r="AO301">
        <f t="shared" si="110"/>
        <v>159</v>
      </c>
      <c r="AP301">
        <f t="shared" si="111"/>
        <v>156</v>
      </c>
      <c r="AQ301">
        <f t="shared" si="112"/>
        <v>140</v>
      </c>
      <c r="AR301">
        <f t="shared" si="113"/>
        <v>121</v>
      </c>
      <c r="AS301">
        <f t="shared" si="114"/>
        <v>106</v>
      </c>
      <c r="AT301">
        <f t="shared" si="115"/>
        <v>93</v>
      </c>
      <c r="AU301">
        <f t="shared" si="116"/>
        <v>93</v>
      </c>
      <c r="AV301">
        <f t="shared" si="117"/>
        <v>111</v>
      </c>
      <c r="AW301">
        <f t="shared" si="118"/>
        <v>135</v>
      </c>
      <c r="AX301">
        <f t="shared" si="119"/>
        <v>155</v>
      </c>
      <c r="AY301" s="219">
        <f>IF(AY128&gt;250,160,IF(AY128&gt;=209,AY128-90,IF(AY128&gt;=190,119,AY128*119/190)))</f>
        <v>0</v>
      </c>
    </row>
    <row r="302" spans="1:51" x14ac:dyDescent="0.25">
      <c r="A302" s="113">
        <v>299</v>
      </c>
      <c r="B302" s="209" t="s">
        <v>605</v>
      </c>
      <c r="C302" s="113">
        <v>1931</v>
      </c>
      <c r="D302" s="113">
        <v>2013</v>
      </c>
      <c r="E302" s="212" t="s">
        <v>10</v>
      </c>
      <c r="F302" s="213" t="s">
        <v>10</v>
      </c>
      <c r="G302" s="113"/>
      <c r="H302" s="113"/>
      <c r="I302" s="113"/>
      <c r="J302" s="113"/>
      <c r="K302" s="113"/>
      <c r="N302" s="113">
        <f>MATCH(A302,Entrada!$A$53:$A$372,0)</f>
        <v>199</v>
      </c>
      <c r="O302">
        <f>IF(NOT(ISNA($N302)),INDEX(Entrada!$C$53:$N$372,$N302,O$2),0)</f>
        <v>889</v>
      </c>
      <c r="P302">
        <f>IF(NOT(ISNA($N302)),INDEX(Entrada!$C$53:$N$372,$N302,P$2),0)</f>
        <v>892</v>
      </c>
      <c r="Q302">
        <f>IF(NOT(ISNA($N302)),INDEX(Entrada!$C$53:$N$372,$N302,Q$2),0)</f>
        <v>822</v>
      </c>
      <c r="R302">
        <f>IF(NOT(ISNA($N302)),INDEX(Entrada!$C$53:$N$372,$N302,R$2),0)</f>
        <v>551</v>
      </c>
      <c r="S302">
        <f>IF(NOT(ISNA($N302)),INDEX(Entrada!$C$53:$N$372,$N302,S$2),0)</f>
        <v>362</v>
      </c>
      <c r="T302">
        <f>IF(NOT(ISNA($N302)),INDEX(Entrada!$C$53:$N$372,$N302,T$2),0)</f>
        <v>301</v>
      </c>
      <c r="U302" s="219">
        <f>IF(NOT(ISNA($N302)),INDEX(Entrada!$C$53:$N$372,$N302,U$2),0)</f>
        <v>250</v>
      </c>
      <c r="V302" s="225">
        <f>IF(NOT(ISNA($N302)),INDEX(Entrada!$C$53:$N$372,$N302,V$2),0)</f>
        <v>212</v>
      </c>
      <c r="W302" s="225">
        <f>IF(NOT(ISNA($N302)),INDEX(Entrada!$C$53:$N$372,$N302,W$2),0)</f>
        <v>217</v>
      </c>
      <c r="X302" s="225">
        <f>IF(NOT(ISNA($N302)),INDEX(Entrada!$C$53:$N$372,$N302,X$2),0)</f>
        <v>259</v>
      </c>
      <c r="Y302" s="225">
        <f>IF(NOT(ISNA($N302)),INDEX(Entrada!$C$53:$N$372,$N302,Y$2),0)</f>
        <v>367</v>
      </c>
      <c r="Z302" s="225">
        <f>IF(NOT(ISNA($N302)),INDEX(Entrada!$C$53:$N$372,$N302,Z$2),0)</f>
        <v>602</v>
      </c>
      <c r="AA302" s="113">
        <f t="shared" si="96"/>
        <v>0</v>
      </c>
      <c r="AB302">
        <f t="shared" si="97"/>
        <v>0</v>
      </c>
      <c r="AC302">
        <f t="shared" si="98"/>
        <v>0</v>
      </c>
      <c r="AD302">
        <f t="shared" si="99"/>
        <v>0</v>
      </c>
      <c r="AE302">
        <f t="shared" si="100"/>
        <v>0</v>
      </c>
      <c r="AF302">
        <f t="shared" si="101"/>
        <v>0</v>
      </c>
      <c r="AG302">
        <f t="shared" si="102"/>
        <v>0</v>
      </c>
      <c r="AH302">
        <f t="shared" si="103"/>
        <v>0</v>
      </c>
      <c r="AI302">
        <f t="shared" si="104"/>
        <v>0</v>
      </c>
      <c r="AJ302">
        <f t="shared" si="105"/>
        <v>0</v>
      </c>
      <c r="AK302">
        <f t="shared" si="106"/>
        <v>0</v>
      </c>
      <c r="AL302">
        <f t="shared" si="107"/>
        <v>0</v>
      </c>
      <c r="AM302" s="219">
        <f t="shared" si="108"/>
        <v>889</v>
      </c>
      <c r="AN302">
        <f t="shared" si="109"/>
        <v>892</v>
      </c>
      <c r="AO302">
        <f t="shared" si="110"/>
        <v>822</v>
      </c>
      <c r="AP302">
        <f t="shared" si="111"/>
        <v>551</v>
      </c>
      <c r="AQ302">
        <f t="shared" si="112"/>
        <v>362</v>
      </c>
      <c r="AR302">
        <f t="shared" si="113"/>
        <v>301</v>
      </c>
      <c r="AS302">
        <f t="shared" si="114"/>
        <v>250</v>
      </c>
      <c r="AT302">
        <f t="shared" si="115"/>
        <v>212</v>
      </c>
      <c r="AU302">
        <f t="shared" si="116"/>
        <v>217</v>
      </c>
      <c r="AV302">
        <f t="shared" si="117"/>
        <v>259</v>
      </c>
      <c r="AW302">
        <f t="shared" si="118"/>
        <v>367</v>
      </c>
      <c r="AX302">
        <f t="shared" si="119"/>
        <v>602</v>
      </c>
      <c r="AY302" s="219">
        <f>AY133-AY301-AY206+AY307</f>
        <v>0</v>
      </c>
    </row>
    <row r="303" spans="1:51" x14ac:dyDescent="0.25">
      <c r="A303" s="113">
        <v>300</v>
      </c>
      <c r="B303" s="209" t="s">
        <v>681</v>
      </c>
      <c r="C303" s="113">
        <v>1931</v>
      </c>
      <c r="D303" s="113">
        <v>2013</v>
      </c>
      <c r="E303" s="212" t="s">
        <v>358</v>
      </c>
      <c r="F303" s="213" t="s">
        <v>358</v>
      </c>
      <c r="G303" s="113"/>
      <c r="H303" s="113"/>
      <c r="I303" s="113"/>
      <c r="J303" s="113"/>
      <c r="K303" s="113"/>
      <c r="N303" s="113">
        <f>MATCH(A303,Entrada!$A$53:$A$372,0)</f>
        <v>200</v>
      </c>
      <c r="O303">
        <f>IF(NOT(ISNA($N303)),INDEX(Entrada!$C$53:$N$372,$N303,O$2),0)</f>
        <v>0</v>
      </c>
      <c r="P303">
        <f>IF(NOT(ISNA($N303)),INDEX(Entrada!$C$53:$N$372,$N303,P$2),0)</f>
        <v>0</v>
      </c>
      <c r="Q303">
        <f>IF(NOT(ISNA($N303)),INDEX(Entrada!$C$53:$N$372,$N303,Q$2),0)</f>
        <v>0</v>
      </c>
      <c r="R303">
        <f>IF(NOT(ISNA($N303)),INDEX(Entrada!$C$53:$N$372,$N303,R$2),0)</f>
        <v>0</v>
      </c>
      <c r="S303">
        <f>IF(NOT(ISNA($N303)),INDEX(Entrada!$C$53:$N$372,$N303,S$2),0)</f>
        <v>0</v>
      </c>
      <c r="T303">
        <f>IF(NOT(ISNA($N303)),INDEX(Entrada!$C$53:$N$372,$N303,T$2),0)</f>
        <v>0</v>
      </c>
      <c r="U303" s="219">
        <f>IF(NOT(ISNA($N303)),INDEX(Entrada!$C$53:$N$372,$N303,U$2),0)</f>
        <v>0</v>
      </c>
      <c r="V303" s="225">
        <f>IF(NOT(ISNA($N303)),INDEX(Entrada!$C$53:$N$372,$N303,V$2),0)</f>
        <v>0</v>
      </c>
      <c r="W303" s="225">
        <f>IF(NOT(ISNA($N303)),INDEX(Entrada!$C$53:$N$372,$N303,W$2),0)</f>
        <v>0</v>
      </c>
      <c r="X303" s="225">
        <f>IF(NOT(ISNA($N303)),INDEX(Entrada!$C$53:$N$372,$N303,X$2),0)</f>
        <v>0</v>
      </c>
      <c r="Y303" s="225">
        <f>IF(NOT(ISNA($N303)),INDEX(Entrada!$C$53:$N$372,$N303,Y$2),0)</f>
        <v>0</v>
      </c>
      <c r="Z303" s="225">
        <f>IF(NOT(ISNA($N303)),INDEX(Entrada!$C$53:$N$372,$N303,Z$2),0)</f>
        <v>0</v>
      </c>
      <c r="AA303" s="113">
        <f t="shared" si="96"/>
        <v>0</v>
      </c>
      <c r="AB303">
        <f t="shared" si="97"/>
        <v>0</v>
      </c>
      <c r="AC303">
        <f t="shared" si="98"/>
        <v>0</v>
      </c>
      <c r="AD303">
        <f t="shared" si="99"/>
        <v>0</v>
      </c>
      <c r="AE303">
        <f t="shared" si="100"/>
        <v>0</v>
      </c>
      <c r="AF303">
        <f t="shared" si="101"/>
        <v>0</v>
      </c>
      <c r="AG303">
        <f t="shared" si="102"/>
        <v>0</v>
      </c>
      <c r="AH303">
        <f t="shared" si="103"/>
        <v>0</v>
      </c>
      <c r="AI303">
        <f t="shared" si="104"/>
        <v>0</v>
      </c>
      <c r="AJ303">
        <f t="shared" si="105"/>
        <v>0</v>
      </c>
      <c r="AK303">
        <f t="shared" si="106"/>
        <v>0</v>
      </c>
      <c r="AL303">
        <f t="shared" si="107"/>
        <v>0</v>
      </c>
      <c r="AM303" s="219">
        <f t="shared" si="108"/>
        <v>0</v>
      </c>
      <c r="AN303">
        <f t="shared" si="109"/>
        <v>0</v>
      </c>
      <c r="AO303">
        <f t="shared" si="110"/>
        <v>0</v>
      </c>
      <c r="AP303">
        <f t="shared" si="111"/>
        <v>0</v>
      </c>
      <c r="AQ303">
        <f t="shared" si="112"/>
        <v>0</v>
      </c>
      <c r="AR303">
        <f t="shared" si="113"/>
        <v>0</v>
      </c>
      <c r="AS303">
        <f t="shared" si="114"/>
        <v>0</v>
      </c>
      <c r="AT303">
        <f t="shared" si="115"/>
        <v>0</v>
      </c>
      <c r="AU303">
        <f t="shared" si="116"/>
        <v>0</v>
      </c>
      <c r="AV303">
        <f t="shared" si="117"/>
        <v>0</v>
      </c>
      <c r="AW303">
        <f t="shared" si="118"/>
        <v>0</v>
      </c>
      <c r="AX303">
        <f t="shared" si="119"/>
        <v>0</v>
      </c>
      <c r="AY303" s="219">
        <f>0</f>
        <v>0</v>
      </c>
    </row>
    <row r="304" spans="1:51" x14ac:dyDescent="0.25">
      <c r="A304" s="113">
        <v>301</v>
      </c>
      <c r="B304" s="209" t="s">
        <v>682</v>
      </c>
      <c r="C304" s="113">
        <v>1931</v>
      </c>
      <c r="D304" s="113">
        <v>2013</v>
      </c>
      <c r="E304" s="210" t="s">
        <v>9</v>
      </c>
      <c r="F304" s="210" t="s">
        <v>4</v>
      </c>
      <c r="G304" s="113">
        <v>118</v>
      </c>
      <c r="H304" s="113"/>
      <c r="I304" s="113"/>
      <c r="J304" s="113"/>
      <c r="K304" s="113"/>
      <c r="N304" s="113">
        <f>MATCH(A304,Entrada!$A$53:$A$372,0)</f>
        <v>201</v>
      </c>
      <c r="O304">
        <f>IF(NOT(ISNA($N304)),INDEX(Entrada!$C$53:$N$372,$N304,O$2),0)</f>
        <v>30</v>
      </c>
      <c r="P304">
        <f>IF(NOT(ISNA($N304)),INDEX(Entrada!$C$53:$N$372,$N304,P$2),0)</f>
        <v>30</v>
      </c>
      <c r="Q304">
        <f>IF(NOT(ISNA($N304)),INDEX(Entrada!$C$53:$N$372,$N304,Q$2),0)</f>
        <v>27</v>
      </c>
      <c r="R304">
        <f>IF(NOT(ISNA($N304)),INDEX(Entrada!$C$53:$N$372,$N304,R$2),0)</f>
        <v>18</v>
      </c>
      <c r="S304">
        <f>IF(NOT(ISNA($N304)),INDEX(Entrada!$C$53:$N$372,$N304,S$2),0)</f>
        <v>13</v>
      </c>
      <c r="T304">
        <f>IF(NOT(ISNA($N304)),INDEX(Entrada!$C$53:$N$372,$N304,T$2),0)</f>
        <v>11</v>
      </c>
      <c r="U304">
        <f>IF(NOT(ISNA($N304)),INDEX(Entrada!$C$53:$N$372,$N304,U$2),0)</f>
        <v>10</v>
      </c>
      <c r="V304" s="225">
        <f>IF(NOT(ISNA($N304)),INDEX(Entrada!$C$53:$N$372,$N304,V$2),0)</f>
        <v>9</v>
      </c>
      <c r="W304" s="225">
        <f>IF(NOT(ISNA($N304)),INDEX(Entrada!$C$53:$N$372,$N304,W$2),0)</f>
        <v>14</v>
      </c>
      <c r="X304" s="225">
        <f>IF(NOT(ISNA($N304)),INDEX(Entrada!$C$53:$N$372,$N304,X$2),0)</f>
        <v>18</v>
      </c>
      <c r="Y304" s="225">
        <f>IF(NOT(ISNA($N304)),INDEX(Entrada!$C$53:$N$372,$N304,Y$2),0)</f>
        <v>18</v>
      </c>
      <c r="Z304" s="225">
        <f>IF(NOT(ISNA($N304)),INDEX(Entrada!$C$53:$N$372,$N304,Z$2),0)</f>
        <v>24</v>
      </c>
      <c r="AA304" s="113">
        <f t="shared" si="96"/>
        <v>26</v>
      </c>
      <c r="AB304">
        <f t="shared" si="97"/>
        <v>26</v>
      </c>
      <c r="AC304">
        <f t="shared" si="98"/>
        <v>23</v>
      </c>
      <c r="AD304">
        <f t="shared" si="99"/>
        <v>17</v>
      </c>
      <c r="AE304">
        <f t="shared" si="100"/>
        <v>12</v>
      </c>
      <c r="AF304">
        <f t="shared" si="101"/>
        <v>11</v>
      </c>
      <c r="AG304">
        <f t="shared" si="102"/>
        <v>9</v>
      </c>
      <c r="AH304">
        <f t="shared" si="103"/>
        <v>8</v>
      </c>
      <c r="AI304">
        <f t="shared" si="104"/>
        <v>12</v>
      </c>
      <c r="AJ304">
        <f t="shared" si="105"/>
        <v>15</v>
      </c>
      <c r="AK304">
        <f t="shared" si="106"/>
        <v>15</v>
      </c>
      <c r="AL304">
        <f t="shared" si="107"/>
        <v>21</v>
      </c>
      <c r="AM304" s="113">
        <f t="shared" si="108"/>
        <v>4</v>
      </c>
      <c r="AN304">
        <f t="shared" si="109"/>
        <v>4</v>
      </c>
      <c r="AO304">
        <f t="shared" si="110"/>
        <v>4</v>
      </c>
      <c r="AP304">
        <f t="shared" si="111"/>
        <v>1</v>
      </c>
      <c r="AQ304">
        <f t="shared" si="112"/>
        <v>1</v>
      </c>
      <c r="AR304">
        <f t="shared" si="113"/>
        <v>0</v>
      </c>
      <c r="AS304">
        <f t="shared" si="114"/>
        <v>1</v>
      </c>
      <c r="AT304">
        <f t="shared" si="115"/>
        <v>1</v>
      </c>
      <c r="AU304">
        <f t="shared" si="116"/>
        <v>2</v>
      </c>
      <c r="AV304">
        <f t="shared" si="117"/>
        <v>3</v>
      </c>
      <c r="AW304">
        <f t="shared" si="118"/>
        <v>3</v>
      </c>
      <c r="AX304">
        <f t="shared" si="119"/>
        <v>3</v>
      </c>
    </row>
    <row r="305" spans="1:51" x14ac:dyDescent="0.25">
      <c r="A305" s="113">
        <v>302</v>
      </c>
      <c r="B305" s="209" t="s">
        <v>683</v>
      </c>
      <c r="C305" s="113">
        <v>1931</v>
      </c>
      <c r="D305" s="113">
        <v>2013</v>
      </c>
      <c r="E305" s="212" t="s">
        <v>29</v>
      </c>
      <c r="F305" s="213" t="s">
        <v>431</v>
      </c>
      <c r="G305" s="220">
        <v>288</v>
      </c>
      <c r="H305" s="220"/>
      <c r="I305" s="220"/>
      <c r="J305" s="220"/>
      <c r="K305" s="220"/>
      <c r="N305" s="113">
        <f>MATCH(A305,Entrada!$A$53:$A$372,0)</f>
        <v>202</v>
      </c>
      <c r="O305">
        <f>IF(NOT(ISNA($N305)),INDEX(Entrada!$C$53:$N$372,$N305,O$2),0)</f>
        <v>1232</v>
      </c>
      <c r="P305">
        <f>IF(NOT(ISNA($N305)),INDEX(Entrada!$C$53:$N$372,$N305,P$2),0)</f>
        <v>2641</v>
      </c>
      <c r="Q305">
        <f>IF(NOT(ISNA($N305)),INDEX(Entrada!$C$53:$N$372,$N305,Q$2),0)</f>
        <v>6228</v>
      </c>
      <c r="R305">
        <f>IF(NOT(ISNA($N305)),INDEX(Entrada!$C$53:$N$372,$N305,R$2),0)</f>
        <v>10039</v>
      </c>
      <c r="S305">
        <f>IF(NOT(ISNA($N305)),INDEX(Entrada!$C$53:$N$372,$N305,S$2),0)</f>
        <v>4806</v>
      </c>
      <c r="T305">
        <f>IF(NOT(ISNA($N305)),INDEX(Entrada!$C$53:$N$372,$N305,T$2),0)</f>
        <v>1605</v>
      </c>
      <c r="U305">
        <f>IF(NOT(ISNA($N305)),INDEX(Entrada!$C$53:$N$372,$N305,U$2),0)</f>
        <v>1101</v>
      </c>
      <c r="V305" s="225">
        <f>IF(NOT(ISNA($N305)),INDEX(Entrada!$C$53:$N$372,$N305,V$2),0)</f>
        <v>900</v>
      </c>
      <c r="W305" s="225">
        <f>IF(NOT(ISNA($N305)),INDEX(Entrada!$C$53:$N$372,$N305,W$2),0)</f>
        <v>743</v>
      </c>
      <c r="X305" s="225">
        <f>IF(NOT(ISNA($N305)),INDEX(Entrada!$C$53:$N$372,$N305,X$2),0)</f>
        <v>687</v>
      </c>
      <c r="Y305" s="225">
        <f>IF(NOT(ISNA($N305)),INDEX(Entrada!$C$53:$N$372,$N305,Y$2),0)</f>
        <v>797</v>
      </c>
      <c r="Z305" s="225">
        <f>IF(NOT(ISNA($N305)),INDEX(Entrada!$C$53:$N$372,$N305,Z$2),0)</f>
        <v>900</v>
      </c>
      <c r="AA305" s="113">
        <f t="shared" si="96"/>
        <v>8125</v>
      </c>
      <c r="AB305">
        <f t="shared" si="97"/>
        <v>13406</v>
      </c>
      <c r="AC305">
        <f t="shared" si="98"/>
        <v>18188</v>
      </c>
      <c r="AD305">
        <f t="shared" si="99"/>
        <v>21466</v>
      </c>
      <c r="AE305">
        <f t="shared" si="100"/>
        <v>15553</v>
      </c>
      <c r="AF305">
        <f t="shared" si="101"/>
        <v>7399</v>
      </c>
      <c r="AG305">
        <f t="shared" si="102"/>
        <v>2952</v>
      </c>
      <c r="AH305">
        <f t="shared" si="103"/>
        <v>1594</v>
      </c>
      <c r="AI305">
        <f t="shared" si="104"/>
        <v>1089</v>
      </c>
      <c r="AJ305">
        <f t="shared" si="105"/>
        <v>1115</v>
      </c>
      <c r="AK305">
        <f t="shared" si="106"/>
        <v>1908</v>
      </c>
      <c r="AL305">
        <f t="shared" si="107"/>
        <v>3893</v>
      </c>
      <c r="AM305" s="113">
        <f t="shared" si="108"/>
        <v>-6893</v>
      </c>
      <c r="AN305">
        <f t="shared" si="109"/>
        <v>-10765</v>
      </c>
      <c r="AO305">
        <f t="shared" si="110"/>
        <v>-11960</v>
      </c>
      <c r="AP305">
        <f t="shared" si="111"/>
        <v>-11427</v>
      </c>
      <c r="AQ305">
        <f t="shared" si="112"/>
        <v>-10747</v>
      </c>
      <c r="AR305">
        <f t="shared" si="113"/>
        <v>-5794</v>
      </c>
      <c r="AS305">
        <f t="shared" si="114"/>
        <v>-1851</v>
      </c>
      <c r="AT305">
        <f t="shared" si="115"/>
        <v>-694</v>
      </c>
      <c r="AU305">
        <f t="shared" si="116"/>
        <v>-346</v>
      </c>
      <c r="AV305">
        <f t="shared" si="117"/>
        <v>-428</v>
      </c>
      <c r="AW305">
        <f t="shared" si="118"/>
        <v>-1111</v>
      </c>
      <c r="AX305">
        <f t="shared" si="119"/>
        <v>-2993</v>
      </c>
    </row>
    <row r="306" spans="1:51" x14ac:dyDescent="0.25">
      <c r="A306" s="113">
        <v>303</v>
      </c>
      <c r="B306" s="209" t="s">
        <v>684</v>
      </c>
      <c r="C306" s="113">
        <v>1931</v>
      </c>
      <c r="D306" s="113">
        <v>2013</v>
      </c>
      <c r="E306" s="212" t="s">
        <v>10</v>
      </c>
      <c r="F306" s="213" t="s">
        <v>361</v>
      </c>
      <c r="G306" s="113"/>
      <c r="H306" s="113"/>
      <c r="I306" s="113"/>
      <c r="J306" s="113"/>
      <c r="K306" s="113"/>
      <c r="N306" s="113">
        <f>MATCH(A306,Entrada!$A$53:$A$372,0)</f>
        <v>203</v>
      </c>
      <c r="O306">
        <f>IF(NOT(ISNA($N306)),INDEX(Entrada!$C$53:$N$372,$N306,O$2),0)</f>
        <v>46</v>
      </c>
      <c r="P306">
        <f>IF(NOT(ISNA($N306)),INDEX(Entrada!$C$53:$N$372,$N306,P$2),0)</f>
        <v>46</v>
      </c>
      <c r="Q306">
        <f>IF(NOT(ISNA($N306)),INDEX(Entrada!$C$53:$N$372,$N306,Q$2),0)</f>
        <v>46</v>
      </c>
      <c r="R306">
        <f>IF(NOT(ISNA($N306)),INDEX(Entrada!$C$53:$N$372,$N306,R$2),0)</f>
        <v>41</v>
      </c>
      <c r="S306">
        <f>IF(NOT(ISNA($N306)),INDEX(Entrada!$C$53:$N$372,$N306,S$2),0)</f>
        <v>28</v>
      </c>
      <c r="T306">
        <f>IF(NOT(ISNA($N306)),INDEX(Entrada!$C$53:$N$372,$N306,T$2),0)</f>
        <v>18</v>
      </c>
      <c r="U306" s="219">
        <f>IF(NOT(ISNA($N306)),INDEX(Entrada!$C$53:$N$372,$N306,U$2),0)</f>
        <v>12</v>
      </c>
      <c r="V306" s="225">
        <f>IF(NOT(ISNA($N306)),INDEX(Entrada!$C$53:$N$372,$N306,V$2),0)</f>
        <v>9</v>
      </c>
      <c r="W306" s="225">
        <f>IF(NOT(ISNA($N306)),INDEX(Entrada!$C$53:$N$372,$N306,W$2),0)</f>
        <v>10</v>
      </c>
      <c r="X306" s="225">
        <f>IF(NOT(ISNA($N306)),INDEX(Entrada!$C$53:$N$372,$N306,X$2),0)</f>
        <v>15</v>
      </c>
      <c r="Y306" s="225">
        <f>IF(NOT(ISNA($N306)),INDEX(Entrada!$C$53:$N$372,$N306,Y$2),0)</f>
        <v>26</v>
      </c>
      <c r="Z306" s="225">
        <f>IF(NOT(ISNA($N306)),INDEX(Entrada!$C$53:$N$372,$N306,Z$2),0)</f>
        <v>41</v>
      </c>
      <c r="AA306" s="113">
        <f t="shared" si="96"/>
        <v>0</v>
      </c>
      <c r="AB306">
        <f t="shared" si="97"/>
        <v>0</v>
      </c>
      <c r="AC306">
        <f t="shared" si="98"/>
        <v>0</v>
      </c>
      <c r="AD306">
        <f t="shared" si="99"/>
        <v>0</v>
      </c>
      <c r="AE306">
        <f t="shared" si="100"/>
        <v>0</v>
      </c>
      <c r="AF306">
        <f t="shared" si="101"/>
        <v>0</v>
      </c>
      <c r="AG306">
        <f t="shared" si="102"/>
        <v>0</v>
      </c>
      <c r="AH306">
        <f t="shared" si="103"/>
        <v>0</v>
      </c>
      <c r="AI306">
        <f t="shared" si="104"/>
        <v>0</v>
      </c>
      <c r="AJ306">
        <f t="shared" si="105"/>
        <v>0</v>
      </c>
      <c r="AK306">
        <f t="shared" si="106"/>
        <v>0</v>
      </c>
      <c r="AL306">
        <f t="shared" si="107"/>
        <v>0</v>
      </c>
      <c r="AM306" s="219">
        <f t="shared" si="108"/>
        <v>46</v>
      </c>
      <c r="AN306">
        <f t="shared" si="109"/>
        <v>46</v>
      </c>
      <c r="AO306">
        <f t="shared" si="110"/>
        <v>46</v>
      </c>
      <c r="AP306">
        <f t="shared" si="111"/>
        <v>41</v>
      </c>
      <c r="AQ306">
        <f t="shared" si="112"/>
        <v>28</v>
      </c>
      <c r="AR306">
        <f t="shared" si="113"/>
        <v>18</v>
      </c>
      <c r="AS306">
        <f t="shared" si="114"/>
        <v>12</v>
      </c>
      <c r="AT306">
        <f t="shared" si="115"/>
        <v>9</v>
      </c>
      <c r="AU306">
        <f t="shared" si="116"/>
        <v>10</v>
      </c>
      <c r="AV306">
        <f t="shared" si="117"/>
        <v>15</v>
      </c>
      <c r="AW306">
        <f t="shared" si="118"/>
        <v>26</v>
      </c>
      <c r="AX306">
        <f t="shared" si="119"/>
        <v>41</v>
      </c>
      <c r="AY306" s="219">
        <f>AY135+MIN(AY319-AY134,51)</f>
        <v>25</v>
      </c>
    </row>
    <row r="307" spans="1:51" x14ac:dyDescent="0.25">
      <c r="A307" s="113">
        <v>304</v>
      </c>
      <c r="B307" s="209" t="s">
        <v>632</v>
      </c>
      <c r="C307" s="113">
        <v>1931</v>
      </c>
      <c r="D307" s="113">
        <v>2013</v>
      </c>
      <c r="E307" s="212" t="s">
        <v>10</v>
      </c>
      <c r="F307" s="213" t="s">
        <v>391</v>
      </c>
      <c r="G307" s="113"/>
      <c r="H307" s="113"/>
      <c r="I307" s="113"/>
      <c r="J307" s="113"/>
      <c r="K307" s="113"/>
      <c r="N307" s="113">
        <f>MATCH(A307,Entrada!$A$53:$A$372,0)</f>
        <v>204</v>
      </c>
      <c r="O307">
        <f>IF(NOT(ISNA($N307)),INDEX(Entrada!$C$53:$N$372,$N307,O$2),0)</f>
        <v>3</v>
      </c>
      <c r="P307">
        <f>IF(NOT(ISNA($N307)),INDEX(Entrada!$C$53:$N$372,$N307,P$2),0)</f>
        <v>4</v>
      </c>
      <c r="Q307">
        <f>IF(NOT(ISNA($N307)),INDEX(Entrada!$C$53:$N$372,$N307,Q$2),0)</f>
        <v>2</v>
      </c>
      <c r="R307">
        <f>IF(NOT(ISNA($N307)),INDEX(Entrada!$C$53:$N$372,$N307,R$2),0)</f>
        <v>0</v>
      </c>
      <c r="S307">
        <f>IF(NOT(ISNA($N307)),INDEX(Entrada!$C$53:$N$372,$N307,S$2),0)</f>
        <v>0</v>
      </c>
      <c r="T307">
        <f>IF(NOT(ISNA($N307)),INDEX(Entrada!$C$53:$N$372,$N307,T$2),0)</f>
        <v>0</v>
      </c>
      <c r="U307" s="219">
        <f>IF(NOT(ISNA($N307)),INDEX(Entrada!$C$53:$N$372,$N307,U$2),0)</f>
        <v>0</v>
      </c>
      <c r="V307" s="225">
        <f>IF(NOT(ISNA($N307)),INDEX(Entrada!$C$53:$N$372,$N307,V$2),0)</f>
        <v>0</v>
      </c>
      <c r="W307" s="225">
        <f>IF(NOT(ISNA($N307)),INDEX(Entrada!$C$53:$N$372,$N307,W$2),0)</f>
        <v>0</v>
      </c>
      <c r="X307" s="225">
        <f>IF(NOT(ISNA($N307)),INDEX(Entrada!$C$53:$N$372,$N307,X$2),0)</f>
        <v>0</v>
      </c>
      <c r="Y307" s="225">
        <f>IF(NOT(ISNA($N307)),INDEX(Entrada!$C$53:$N$372,$N307,Y$2),0)</f>
        <v>0</v>
      </c>
      <c r="Z307" s="225">
        <f>IF(NOT(ISNA($N307)),INDEX(Entrada!$C$53:$N$372,$N307,Z$2),0)</f>
        <v>1</v>
      </c>
      <c r="AA307" s="113">
        <f t="shared" si="96"/>
        <v>0</v>
      </c>
      <c r="AB307">
        <f t="shared" si="97"/>
        <v>0</v>
      </c>
      <c r="AC307">
        <f t="shared" si="98"/>
        <v>0</v>
      </c>
      <c r="AD307">
        <f t="shared" si="99"/>
        <v>0</v>
      </c>
      <c r="AE307">
        <f t="shared" si="100"/>
        <v>0</v>
      </c>
      <c r="AF307">
        <f t="shared" si="101"/>
        <v>0</v>
      </c>
      <c r="AG307">
        <f t="shared" si="102"/>
        <v>0</v>
      </c>
      <c r="AH307">
        <f t="shared" si="103"/>
        <v>0</v>
      </c>
      <c r="AI307">
        <f t="shared" si="104"/>
        <v>0</v>
      </c>
      <c r="AJ307">
        <f t="shared" si="105"/>
        <v>0</v>
      </c>
      <c r="AK307">
        <f t="shared" si="106"/>
        <v>0</v>
      </c>
      <c r="AL307">
        <f t="shared" si="107"/>
        <v>0</v>
      </c>
      <c r="AM307" s="219">
        <f t="shared" si="108"/>
        <v>3</v>
      </c>
      <c r="AN307">
        <f t="shared" si="109"/>
        <v>4</v>
      </c>
      <c r="AO307">
        <f t="shared" si="110"/>
        <v>2</v>
      </c>
      <c r="AP307">
        <f t="shared" si="111"/>
        <v>0</v>
      </c>
      <c r="AQ307">
        <f t="shared" si="112"/>
        <v>0</v>
      </c>
      <c r="AR307">
        <f t="shared" si="113"/>
        <v>0</v>
      </c>
      <c r="AS307">
        <f t="shared" si="114"/>
        <v>0</v>
      </c>
      <c r="AT307">
        <f t="shared" si="115"/>
        <v>0</v>
      </c>
      <c r="AU307">
        <f t="shared" si="116"/>
        <v>0</v>
      </c>
      <c r="AV307">
        <f t="shared" si="117"/>
        <v>0</v>
      </c>
      <c r="AW307">
        <f t="shared" si="118"/>
        <v>0</v>
      </c>
      <c r="AX307">
        <f t="shared" si="119"/>
        <v>1</v>
      </c>
      <c r="AY307" s="219">
        <f>AY318-AY319</f>
        <v>0</v>
      </c>
    </row>
    <row r="308" spans="1:51" x14ac:dyDescent="0.25">
      <c r="A308" s="113">
        <v>305</v>
      </c>
      <c r="B308" s="209"/>
      <c r="C308" s="113">
        <v>0</v>
      </c>
      <c r="D308" s="113">
        <v>0</v>
      </c>
      <c r="E308" s="113" t="s">
        <v>688</v>
      </c>
      <c r="F308" s="113" t="s">
        <v>688</v>
      </c>
      <c r="G308" s="113"/>
      <c r="H308" s="113"/>
      <c r="I308" s="113"/>
      <c r="J308" s="113"/>
      <c r="K308" s="113"/>
      <c r="N308" s="113" t="e">
        <f>MATCH(A308,Entrada!$A$53:$A$372,0)</f>
        <v>#N/A</v>
      </c>
      <c r="O308">
        <f>IF(NOT(ISNA($N308)),INDEX(Entrada!$C$53:$N$372,$N308,O$2),0)</f>
        <v>0</v>
      </c>
      <c r="P308">
        <f>IF(NOT(ISNA($N308)),INDEX(Entrada!$C$53:$N$372,$N308,P$2),0)</f>
        <v>0</v>
      </c>
      <c r="Q308">
        <f>IF(NOT(ISNA($N308)),INDEX(Entrada!$C$53:$N$372,$N308,Q$2),0)</f>
        <v>0</v>
      </c>
      <c r="R308">
        <f>IF(NOT(ISNA($N308)),INDEX(Entrada!$C$53:$N$372,$N308,R$2),0)</f>
        <v>0</v>
      </c>
      <c r="S308">
        <f>IF(NOT(ISNA($N308)),INDEX(Entrada!$C$53:$N$372,$N308,S$2),0)</f>
        <v>0</v>
      </c>
      <c r="T308">
        <f>IF(NOT(ISNA($N308)),INDEX(Entrada!$C$53:$N$372,$N308,T$2),0)</f>
        <v>0</v>
      </c>
      <c r="U308">
        <f>IF(NOT(ISNA($N308)),INDEX(Entrada!$C$53:$N$372,$N308,U$2),0)</f>
        <v>0</v>
      </c>
      <c r="V308" s="225">
        <f>IF(NOT(ISNA($N308)),INDEX(Entrada!$C$53:$N$372,$N308,V$2),0)</f>
        <v>0</v>
      </c>
      <c r="W308" s="225">
        <f>IF(NOT(ISNA($N308)),INDEX(Entrada!$C$53:$N$372,$N308,W$2),0)</f>
        <v>0</v>
      </c>
      <c r="X308" s="225">
        <f>IF(NOT(ISNA($N308)),INDEX(Entrada!$C$53:$N$372,$N308,X$2),0)</f>
        <v>0</v>
      </c>
      <c r="Y308" s="225">
        <f>IF(NOT(ISNA($N308)),INDEX(Entrada!$C$53:$N$372,$N308,Y$2),0)</f>
        <v>0</v>
      </c>
      <c r="Z308" s="225">
        <f>IF(NOT(ISNA($N308)),INDEX(Entrada!$C$53:$N$372,$N308,Z$2),0)</f>
        <v>0</v>
      </c>
      <c r="AA308" s="113">
        <f t="shared" si="96"/>
        <v>0</v>
      </c>
      <c r="AB308">
        <f t="shared" si="97"/>
        <v>0</v>
      </c>
      <c r="AC308">
        <f t="shared" si="98"/>
        <v>0</v>
      </c>
      <c r="AD308">
        <f t="shared" si="99"/>
        <v>0</v>
      </c>
      <c r="AE308">
        <f t="shared" si="100"/>
        <v>0</v>
      </c>
      <c r="AF308">
        <f t="shared" si="101"/>
        <v>0</v>
      </c>
      <c r="AG308">
        <f t="shared" si="102"/>
        <v>0</v>
      </c>
      <c r="AH308">
        <f t="shared" si="103"/>
        <v>0</v>
      </c>
      <c r="AI308">
        <f t="shared" si="104"/>
        <v>0</v>
      </c>
      <c r="AJ308">
        <f t="shared" si="105"/>
        <v>0</v>
      </c>
      <c r="AK308">
        <f t="shared" si="106"/>
        <v>0</v>
      </c>
      <c r="AL308">
        <f t="shared" si="107"/>
        <v>0</v>
      </c>
      <c r="AM308" s="113">
        <f t="shared" si="108"/>
        <v>0</v>
      </c>
      <c r="AN308">
        <f t="shared" si="109"/>
        <v>0</v>
      </c>
      <c r="AO308">
        <f t="shared" si="110"/>
        <v>0</v>
      </c>
      <c r="AP308">
        <f t="shared" si="111"/>
        <v>0</v>
      </c>
      <c r="AQ308">
        <f t="shared" si="112"/>
        <v>0</v>
      </c>
      <c r="AR308">
        <f t="shared" si="113"/>
        <v>0</v>
      </c>
      <c r="AS308">
        <f t="shared" si="114"/>
        <v>0</v>
      </c>
      <c r="AT308">
        <f t="shared" si="115"/>
        <v>0</v>
      </c>
      <c r="AU308">
        <f t="shared" si="116"/>
        <v>0</v>
      </c>
      <c r="AV308">
        <f t="shared" si="117"/>
        <v>0</v>
      </c>
      <c r="AW308">
        <f t="shared" si="118"/>
        <v>0</v>
      </c>
      <c r="AX308">
        <f t="shared" si="119"/>
        <v>0</v>
      </c>
    </row>
    <row r="309" spans="1:51" x14ac:dyDescent="0.25">
      <c r="A309" s="113">
        <v>306</v>
      </c>
      <c r="B309" s="209" t="s">
        <v>270</v>
      </c>
      <c r="C309" s="113">
        <v>1931</v>
      </c>
      <c r="D309" s="113">
        <v>2013</v>
      </c>
      <c r="E309" s="210" t="s">
        <v>688</v>
      </c>
      <c r="F309" s="210" t="s">
        <v>688</v>
      </c>
      <c r="G309" s="113"/>
      <c r="H309" s="113"/>
      <c r="I309" s="113"/>
      <c r="J309" s="113"/>
      <c r="K309" s="113"/>
      <c r="N309" s="113">
        <f>MATCH(A309,Entrada!$A$53:$A$372,0)</f>
        <v>205</v>
      </c>
      <c r="O309">
        <f>IF(NOT(ISNA($N309)),INDEX(Entrada!$C$53:$N$372,$N309,O$2),0)</f>
        <v>190</v>
      </c>
      <c r="P309">
        <f>IF(NOT(ISNA($N309)),INDEX(Entrada!$C$53:$N$372,$N309,P$2),0)</f>
        <v>189</v>
      </c>
      <c r="Q309">
        <f>IF(NOT(ISNA($N309)),INDEX(Entrada!$C$53:$N$372,$N309,Q$2),0)</f>
        <v>190</v>
      </c>
      <c r="R309">
        <f>IF(NOT(ISNA($N309)),INDEX(Entrada!$C$53:$N$372,$N309,R$2),0)</f>
        <v>184</v>
      </c>
      <c r="S309">
        <f>IF(NOT(ISNA($N309)),INDEX(Entrada!$C$53:$N$372,$N309,S$2),0)</f>
        <v>163</v>
      </c>
      <c r="T309">
        <f>IF(NOT(ISNA($N309)),INDEX(Entrada!$C$53:$N$372,$N309,T$2),0)</f>
        <v>140</v>
      </c>
      <c r="U309" s="219">
        <f>IF(NOT(ISNA($N309)),INDEX(Entrada!$C$53:$N$372,$N309,U$2),0)</f>
        <v>122</v>
      </c>
      <c r="V309" s="225">
        <f>IF(NOT(ISNA($N309)),INDEX(Entrada!$C$53:$N$372,$N309,V$2),0)</f>
        <v>106</v>
      </c>
      <c r="W309" s="225">
        <f>IF(NOT(ISNA($N309)),INDEX(Entrada!$C$53:$N$372,$N309,W$2),0)</f>
        <v>107</v>
      </c>
      <c r="X309" s="225">
        <f>IF(NOT(ISNA($N309)),INDEX(Entrada!$C$53:$N$372,$N309,X$2),0)</f>
        <v>127</v>
      </c>
      <c r="Y309" s="225">
        <f>IF(NOT(ISNA($N309)),INDEX(Entrada!$C$53:$N$372,$N309,Y$2),0)</f>
        <v>157</v>
      </c>
      <c r="Z309" s="225">
        <f>IF(NOT(ISNA($N309)),INDEX(Entrada!$C$53:$N$372,$N309,Z$2),0)</f>
        <v>183</v>
      </c>
      <c r="AA309" s="113">
        <f t="shared" si="96"/>
        <v>0</v>
      </c>
      <c r="AB309">
        <f t="shared" si="97"/>
        <v>0</v>
      </c>
      <c r="AC309">
        <f t="shared" si="98"/>
        <v>0</v>
      </c>
      <c r="AD309">
        <f t="shared" si="99"/>
        <v>0</v>
      </c>
      <c r="AE309">
        <f t="shared" si="100"/>
        <v>0</v>
      </c>
      <c r="AF309">
        <f t="shared" si="101"/>
        <v>0</v>
      </c>
      <c r="AG309">
        <f t="shared" si="102"/>
        <v>0</v>
      </c>
      <c r="AH309">
        <f t="shared" si="103"/>
        <v>0</v>
      </c>
      <c r="AI309">
        <f t="shared" si="104"/>
        <v>0</v>
      </c>
      <c r="AJ309">
        <f t="shared" si="105"/>
        <v>0</v>
      </c>
      <c r="AK309">
        <f t="shared" si="106"/>
        <v>0</v>
      </c>
      <c r="AL309">
        <f t="shared" si="107"/>
        <v>0</v>
      </c>
      <c r="AM309" s="219">
        <f t="shared" si="108"/>
        <v>190</v>
      </c>
      <c r="AN309">
        <f t="shared" si="109"/>
        <v>189</v>
      </c>
      <c r="AO309">
        <f t="shared" si="110"/>
        <v>190</v>
      </c>
      <c r="AP309">
        <f t="shared" si="111"/>
        <v>184</v>
      </c>
      <c r="AQ309">
        <f t="shared" si="112"/>
        <v>163</v>
      </c>
      <c r="AR309">
        <f t="shared" si="113"/>
        <v>140</v>
      </c>
      <c r="AS309">
        <f t="shared" si="114"/>
        <v>122</v>
      </c>
      <c r="AT309">
        <f t="shared" si="115"/>
        <v>106</v>
      </c>
      <c r="AU309">
        <f t="shared" si="116"/>
        <v>107</v>
      </c>
      <c r="AV309">
        <f t="shared" si="117"/>
        <v>127</v>
      </c>
      <c r="AW309">
        <f t="shared" si="118"/>
        <v>157</v>
      </c>
      <c r="AX309">
        <f t="shared" si="119"/>
        <v>183</v>
      </c>
      <c r="AY309" s="219">
        <f>AY306+AY134</f>
        <v>25</v>
      </c>
    </row>
    <row r="310" spans="1:51" x14ac:dyDescent="0.25">
      <c r="A310" s="113">
        <v>307</v>
      </c>
      <c r="B310" s="209"/>
      <c r="C310" s="113">
        <v>0</v>
      </c>
      <c r="D310" s="113">
        <v>0</v>
      </c>
      <c r="E310" s="113" t="s">
        <v>688</v>
      </c>
      <c r="F310" s="113" t="s">
        <v>688</v>
      </c>
      <c r="G310" s="113"/>
      <c r="H310" s="113"/>
      <c r="I310" s="113"/>
      <c r="J310" s="113"/>
      <c r="K310" s="113"/>
      <c r="N310" s="113" t="e">
        <f>MATCH(A310,Entrada!$A$53:$A$372,0)</f>
        <v>#N/A</v>
      </c>
      <c r="O310">
        <f>IF(NOT(ISNA($N310)),INDEX(Entrada!$C$53:$N$372,$N310,O$2),0)</f>
        <v>0</v>
      </c>
      <c r="P310">
        <f>IF(NOT(ISNA($N310)),INDEX(Entrada!$C$53:$N$372,$N310,P$2),0)</f>
        <v>0</v>
      </c>
      <c r="Q310">
        <f>IF(NOT(ISNA($N310)),INDEX(Entrada!$C$53:$N$372,$N310,Q$2),0)</f>
        <v>0</v>
      </c>
      <c r="R310">
        <f>IF(NOT(ISNA($N310)),INDEX(Entrada!$C$53:$N$372,$N310,R$2),0)</f>
        <v>0</v>
      </c>
      <c r="S310">
        <f>IF(NOT(ISNA($N310)),INDEX(Entrada!$C$53:$N$372,$N310,S$2),0)</f>
        <v>0</v>
      </c>
      <c r="T310">
        <f>IF(NOT(ISNA($N310)),INDEX(Entrada!$C$53:$N$372,$N310,T$2),0)</f>
        <v>0</v>
      </c>
      <c r="U310">
        <f>IF(NOT(ISNA($N310)),INDEX(Entrada!$C$53:$N$372,$N310,U$2),0)</f>
        <v>0</v>
      </c>
      <c r="V310" s="225">
        <f>IF(NOT(ISNA($N310)),INDEX(Entrada!$C$53:$N$372,$N310,V$2),0)</f>
        <v>0</v>
      </c>
      <c r="W310" s="225">
        <f>IF(NOT(ISNA($N310)),INDEX(Entrada!$C$53:$N$372,$N310,W$2),0)</f>
        <v>0</v>
      </c>
      <c r="X310" s="225">
        <f>IF(NOT(ISNA($N310)),INDEX(Entrada!$C$53:$N$372,$N310,X$2),0)</f>
        <v>0</v>
      </c>
      <c r="Y310" s="225">
        <f>IF(NOT(ISNA($N310)),INDEX(Entrada!$C$53:$N$372,$N310,Y$2),0)</f>
        <v>0</v>
      </c>
      <c r="Z310" s="225">
        <f>IF(NOT(ISNA($N310)),INDEX(Entrada!$C$53:$N$372,$N310,Z$2),0)</f>
        <v>0</v>
      </c>
      <c r="AA310" s="113">
        <f t="shared" si="96"/>
        <v>0</v>
      </c>
      <c r="AB310">
        <f t="shared" si="97"/>
        <v>0</v>
      </c>
      <c r="AC310">
        <f t="shared" si="98"/>
        <v>0</v>
      </c>
      <c r="AD310">
        <f t="shared" si="99"/>
        <v>0</v>
      </c>
      <c r="AE310">
        <f t="shared" si="100"/>
        <v>0</v>
      </c>
      <c r="AF310">
        <f t="shared" si="101"/>
        <v>0</v>
      </c>
      <c r="AG310">
        <f t="shared" si="102"/>
        <v>0</v>
      </c>
      <c r="AH310">
        <f t="shared" si="103"/>
        <v>0</v>
      </c>
      <c r="AI310">
        <f t="shared" si="104"/>
        <v>0</v>
      </c>
      <c r="AJ310">
        <f t="shared" si="105"/>
        <v>0</v>
      </c>
      <c r="AK310">
        <f t="shared" si="106"/>
        <v>0</v>
      </c>
      <c r="AL310">
        <f t="shared" si="107"/>
        <v>0</v>
      </c>
      <c r="AM310" s="113">
        <f t="shared" si="108"/>
        <v>0</v>
      </c>
      <c r="AN310">
        <f t="shared" si="109"/>
        <v>0</v>
      </c>
      <c r="AO310">
        <f t="shared" si="110"/>
        <v>0</v>
      </c>
      <c r="AP310">
        <f t="shared" si="111"/>
        <v>0</v>
      </c>
      <c r="AQ310">
        <f t="shared" si="112"/>
        <v>0</v>
      </c>
      <c r="AR310">
        <f t="shared" si="113"/>
        <v>0</v>
      </c>
      <c r="AS310">
        <f t="shared" si="114"/>
        <v>0</v>
      </c>
      <c r="AT310">
        <f t="shared" si="115"/>
        <v>0</v>
      </c>
      <c r="AU310">
        <f t="shared" si="116"/>
        <v>0</v>
      </c>
      <c r="AV310">
        <f t="shared" si="117"/>
        <v>0</v>
      </c>
      <c r="AW310">
        <f t="shared" si="118"/>
        <v>0</v>
      </c>
      <c r="AX310">
        <f t="shared" si="119"/>
        <v>0</v>
      </c>
    </row>
    <row r="311" spans="1:51" x14ac:dyDescent="0.25">
      <c r="A311" s="113">
        <v>308</v>
      </c>
      <c r="B311" s="209"/>
      <c r="C311" s="113">
        <v>0</v>
      </c>
      <c r="D311" s="113">
        <v>0</v>
      </c>
      <c r="E311" s="113" t="s">
        <v>688</v>
      </c>
      <c r="F311" s="113" t="s">
        <v>688</v>
      </c>
      <c r="G311" s="113"/>
      <c r="H311" s="113"/>
      <c r="I311" s="113"/>
      <c r="J311" s="113"/>
      <c r="K311" s="113"/>
      <c r="N311" s="113" t="e">
        <f>MATCH(A311,Entrada!$A$53:$A$372,0)</f>
        <v>#N/A</v>
      </c>
      <c r="O311">
        <f>IF(NOT(ISNA($N311)),INDEX(Entrada!$C$53:$N$372,$N311,O$2),0)</f>
        <v>0</v>
      </c>
      <c r="P311">
        <f>IF(NOT(ISNA($N311)),INDEX(Entrada!$C$53:$N$372,$N311,P$2),0)</f>
        <v>0</v>
      </c>
      <c r="Q311">
        <f>IF(NOT(ISNA($N311)),INDEX(Entrada!$C$53:$N$372,$N311,Q$2),0)</f>
        <v>0</v>
      </c>
      <c r="R311">
        <f>IF(NOT(ISNA($N311)),INDEX(Entrada!$C$53:$N$372,$N311,R$2),0)</f>
        <v>0</v>
      </c>
      <c r="S311">
        <f>IF(NOT(ISNA($N311)),INDEX(Entrada!$C$53:$N$372,$N311,S$2),0)</f>
        <v>0</v>
      </c>
      <c r="T311">
        <f>IF(NOT(ISNA($N311)),INDEX(Entrada!$C$53:$N$372,$N311,T$2),0)</f>
        <v>0</v>
      </c>
      <c r="U311">
        <f>IF(NOT(ISNA($N311)),INDEX(Entrada!$C$53:$N$372,$N311,U$2),0)</f>
        <v>0</v>
      </c>
      <c r="V311" s="225">
        <f>IF(NOT(ISNA($N311)),INDEX(Entrada!$C$53:$N$372,$N311,V$2),0)</f>
        <v>0</v>
      </c>
      <c r="W311" s="225">
        <f>IF(NOT(ISNA($N311)),INDEX(Entrada!$C$53:$N$372,$N311,W$2),0)</f>
        <v>0</v>
      </c>
      <c r="X311" s="225">
        <f>IF(NOT(ISNA($N311)),INDEX(Entrada!$C$53:$N$372,$N311,X$2),0)</f>
        <v>0</v>
      </c>
      <c r="Y311" s="225">
        <f>IF(NOT(ISNA($N311)),INDEX(Entrada!$C$53:$N$372,$N311,Y$2),0)</f>
        <v>0</v>
      </c>
      <c r="Z311" s="225">
        <f>IF(NOT(ISNA($N311)),INDEX(Entrada!$C$53:$N$372,$N311,Z$2),0)</f>
        <v>0</v>
      </c>
      <c r="AA311" s="113">
        <f t="shared" si="96"/>
        <v>0</v>
      </c>
      <c r="AB311">
        <f t="shared" si="97"/>
        <v>0</v>
      </c>
      <c r="AC311">
        <f t="shared" si="98"/>
        <v>0</v>
      </c>
      <c r="AD311">
        <f t="shared" si="99"/>
        <v>0</v>
      </c>
      <c r="AE311">
        <f t="shared" si="100"/>
        <v>0</v>
      </c>
      <c r="AF311">
        <f t="shared" si="101"/>
        <v>0</v>
      </c>
      <c r="AG311">
        <f t="shared" si="102"/>
        <v>0</v>
      </c>
      <c r="AH311">
        <f t="shared" si="103"/>
        <v>0</v>
      </c>
      <c r="AI311">
        <f t="shared" si="104"/>
        <v>0</v>
      </c>
      <c r="AJ311">
        <f t="shared" si="105"/>
        <v>0</v>
      </c>
      <c r="AK311">
        <f t="shared" si="106"/>
        <v>0</v>
      </c>
      <c r="AL311">
        <f t="shared" si="107"/>
        <v>0</v>
      </c>
      <c r="AM311" s="113">
        <f t="shared" si="108"/>
        <v>0</v>
      </c>
      <c r="AN311">
        <f t="shared" si="109"/>
        <v>0</v>
      </c>
      <c r="AO311">
        <f t="shared" si="110"/>
        <v>0</v>
      </c>
      <c r="AP311">
        <f t="shared" si="111"/>
        <v>0</v>
      </c>
      <c r="AQ311">
        <f t="shared" si="112"/>
        <v>0</v>
      </c>
      <c r="AR311">
        <f t="shared" si="113"/>
        <v>0</v>
      </c>
      <c r="AS311">
        <f t="shared" si="114"/>
        <v>0</v>
      </c>
      <c r="AT311">
        <f t="shared" si="115"/>
        <v>0</v>
      </c>
      <c r="AU311">
        <f t="shared" si="116"/>
        <v>0</v>
      </c>
      <c r="AV311">
        <f t="shared" si="117"/>
        <v>0</v>
      </c>
      <c r="AW311">
        <f t="shared" si="118"/>
        <v>0</v>
      </c>
      <c r="AX311">
        <f t="shared" si="119"/>
        <v>0</v>
      </c>
    </row>
    <row r="312" spans="1:51" x14ac:dyDescent="0.25">
      <c r="A312" s="113">
        <v>309</v>
      </c>
      <c r="B312" s="209"/>
      <c r="C312" s="113">
        <v>0</v>
      </c>
      <c r="D312" s="113">
        <v>0</v>
      </c>
      <c r="E312" s="113" t="s">
        <v>688</v>
      </c>
      <c r="F312" s="113" t="s">
        <v>688</v>
      </c>
      <c r="G312" s="113"/>
      <c r="H312" s="113"/>
      <c r="I312" s="113"/>
      <c r="J312" s="113"/>
      <c r="K312" s="113"/>
      <c r="N312" s="113" t="e">
        <f>MATCH(A312,Entrada!$A$53:$A$372,0)</f>
        <v>#N/A</v>
      </c>
      <c r="O312">
        <f>IF(NOT(ISNA($N312)),INDEX(Entrada!$C$53:$N$372,$N312,O$2),0)</f>
        <v>0</v>
      </c>
      <c r="P312">
        <f>IF(NOT(ISNA($N312)),INDEX(Entrada!$C$53:$N$372,$N312,P$2),0)</f>
        <v>0</v>
      </c>
      <c r="Q312">
        <f>IF(NOT(ISNA($N312)),INDEX(Entrada!$C$53:$N$372,$N312,Q$2),0)</f>
        <v>0</v>
      </c>
      <c r="R312">
        <f>IF(NOT(ISNA($N312)),INDEX(Entrada!$C$53:$N$372,$N312,R$2),0)</f>
        <v>0</v>
      </c>
      <c r="S312">
        <f>IF(NOT(ISNA($N312)),INDEX(Entrada!$C$53:$N$372,$N312,S$2),0)</f>
        <v>0</v>
      </c>
      <c r="T312">
        <f>IF(NOT(ISNA($N312)),INDEX(Entrada!$C$53:$N$372,$N312,T$2),0)</f>
        <v>0</v>
      </c>
      <c r="U312">
        <f>IF(NOT(ISNA($N312)),INDEX(Entrada!$C$53:$N$372,$N312,U$2),0)</f>
        <v>0</v>
      </c>
      <c r="V312" s="225">
        <f>IF(NOT(ISNA($N312)),INDEX(Entrada!$C$53:$N$372,$N312,V$2),0)</f>
        <v>0</v>
      </c>
      <c r="W312" s="225">
        <f>IF(NOT(ISNA($N312)),INDEX(Entrada!$C$53:$N$372,$N312,W$2),0)</f>
        <v>0</v>
      </c>
      <c r="X312" s="225">
        <f>IF(NOT(ISNA($N312)),INDEX(Entrada!$C$53:$N$372,$N312,X$2),0)</f>
        <v>0</v>
      </c>
      <c r="Y312" s="225">
        <f>IF(NOT(ISNA($N312)),INDEX(Entrada!$C$53:$N$372,$N312,Y$2),0)</f>
        <v>0</v>
      </c>
      <c r="Z312" s="225">
        <f>IF(NOT(ISNA($N312)),INDEX(Entrada!$C$53:$N$372,$N312,Z$2),0)</f>
        <v>0</v>
      </c>
      <c r="AA312" s="113">
        <f t="shared" si="96"/>
        <v>0</v>
      </c>
      <c r="AB312">
        <f t="shared" si="97"/>
        <v>0</v>
      </c>
      <c r="AC312">
        <f t="shared" si="98"/>
        <v>0</v>
      </c>
      <c r="AD312">
        <f t="shared" si="99"/>
        <v>0</v>
      </c>
      <c r="AE312">
        <f t="shared" si="100"/>
        <v>0</v>
      </c>
      <c r="AF312">
        <f t="shared" si="101"/>
        <v>0</v>
      </c>
      <c r="AG312">
        <f t="shared" si="102"/>
        <v>0</v>
      </c>
      <c r="AH312">
        <f t="shared" si="103"/>
        <v>0</v>
      </c>
      <c r="AI312">
        <f t="shared" si="104"/>
        <v>0</v>
      </c>
      <c r="AJ312">
        <f t="shared" si="105"/>
        <v>0</v>
      </c>
      <c r="AK312">
        <f t="shared" si="106"/>
        <v>0</v>
      </c>
      <c r="AL312">
        <f t="shared" si="107"/>
        <v>0</v>
      </c>
      <c r="AM312" s="113">
        <f t="shared" si="108"/>
        <v>0</v>
      </c>
      <c r="AN312">
        <f t="shared" si="109"/>
        <v>0</v>
      </c>
      <c r="AO312">
        <f t="shared" si="110"/>
        <v>0</v>
      </c>
      <c r="AP312">
        <f t="shared" si="111"/>
        <v>0</v>
      </c>
      <c r="AQ312">
        <f t="shared" si="112"/>
        <v>0</v>
      </c>
      <c r="AR312">
        <f t="shared" si="113"/>
        <v>0</v>
      </c>
      <c r="AS312">
        <f t="shared" si="114"/>
        <v>0</v>
      </c>
      <c r="AT312">
        <f t="shared" si="115"/>
        <v>0</v>
      </c>
      <c r="AU312">
        <f t="shared" si="116"/>
        <v>0</v>
      </c>
      <c r="AV312">
        <f t="shared" si="117"/>
        <v>0</v>
      </c>
      <c r="AW312">
        <f t="shared" si="118"/>
        <v>0</v>
      </c>
      <c r="AX312">
        <f t="shared" si="119"/>
        <v>0</v>
      </c>
    </row>
    <row r="313" spans="1:51" x14ac:dyDescent="0.25">
      <c r="A313" s="113">
        <v>310</v>
      </c>
      <c r="B313" s="209"/>
      <c r="C313" s="113">
        <v>0</v>
      </c>
      <c r="D313" s="113">
        <v>0</v>
      </c>
      <c r="E313" s="113" t="s">
        <v>688</v>
      </c>
      <c r="F313" s="113" t="s">
        <v>688</v>
      </c>
      <c r="G313" s="113"/>
      <c r="H313" s="113"/>
      <c r="I313" s="113"/>
      <c r="J313" s="113"/>
      <c r="K313" s="113"/>
      <c r="N313" s="113" t="e">
        <f>MATCH(A313,Entrada!$A$53:$A$372,0)</f>
        <v>#N/A</v>
      </c>
      <c r="O313">
        <f>IF(NOT(ISNA($N313)),INDEX(Entrada!$C$53:$N$372,$N313,O$2),0)</f>
        <v>0</v>
      </c>
      <c r="P313">
        <f>IF(NOT(ISNA($N313)),INDEX(Entrada!$C$53:$N$372,$N313,P$2),0)</f>
        <v>0</v>
      </c>
      <c r="Q313">
        <f>IF(NOT(ISNA($N313)),INDEX(Entrada!$C$53:$N$372,$N313,Q$2),0)</f>
        <v>0</v>
      </c>
      <c r="R313">
        <f>IF(NOT(ISNA($N313)),INDEX(Entrada!$C$53:$N$372,$N313,R$2),0)</f>
        <v>0</v>
      </c>
      <c r="S313">
        <f>IF(NOT(ISNA($N313)),INDEX(Entrada!$C$53:$N$372,$N313,S$2),0)</f>
        <v>0</v>
      </c>
      <c r="T313">
        <f>IF(NOT(ISNA($N313)),INDEX(Entrada!$C$53:$N$372,$N313,T$2),0)</f>
        <v>0</v>
      </c>
      <c r="U313">
        <f>IF(NOT(ISNA($N313)),INDEX(Entrada!$C$53:$N$372,$N313,U$2),0)</f>
        <v>0</v>
      </c>
      <c r="V313" s="225">
        <f>IF(NOT(ISNA($N313)),INDEX(Entrada!$C$53:$N$372,$N313,V$2),0)</f>
        <v>0</v>
      </c>
      <c r="W313" s="225">
        <f>IF(NOT(ISNA($N313)),INDEX(Entrada!$C$53:$N$372,$N313,W$2),0)</f>
        <v>0</v>
      </c>
      <c r="X313" s="225">
        <f>IF(NOT(ISNA($N313)),INDEX(Entrada!$C$53:$N$372,$N313,X$2),0)</f>
        <v>0</v>
      </c>
      <c r="Y313" s="225">
        <f>IF(NOT(ISNA($N313)),INDEX(Entrada!$C$53:$N$372,$N313,Y$2),0)</f>
        <v>0</v>
      </c>
      <c r="Z313" s="225">
        <f>IF(NOT(ISNA($N313)),INDEX(Entrada!$C$53:$N$372,$N313,Z$2),0)</f>
        <v>0</v>
      </c>
      <c r="AA313" s="113">
        <f t="shared" si="96"/>
        <v>0</v>
      </c>
      <c r="AB313">
        <f t="shared" si="97"/>
        <v>0</v>
      </c>
      <c r="AC313">
        <f t="shared" si="98"/>
        <v>0</v>
      </c>
      <c r="AD313">
        <f t="shared" si="99"/>
        <v>0</v>
      </c>
      <c r="AE313">
        <f t="shared" si="100"/>
        <v>0</v>
      </c>
      <c r="AF313">
        <f t="shared" si="101"/>
        <v>0</v>
      </c>
      <c r="AG313">
        <f t="shared" si="102"/>
        <v>0</v>
      </c>
      <c r="AH313">
        <f t="shared" si="103"/>
        <v>0</v>
      </c>
      <c r="AI313">
        <f t="shared" si="104"/>
        <v>0</v>
      </c>
      <c r="AJ313">
        <f t="shared" si="105"/>
        <v>0</v>
      </c>
      <c r="AK313">
        <f t="shared" si="106"/>
        <v>0</v>
      </c>
      <c r="AL313">
        <f t="shared" si="107"/>
        <v>0</v>
      </c>
      <c r="AM313" s="113">
        <f t="shared" si="108"/>
        <v>0</v>
      </c>
      <c r="AN313">
        <f t="shared" si="109"/>
        <v>0</v>
      </c>
      <c r="AO313">
        <f t="shared" si="110"/>
        <v>0</v>
      </c>
      <c r="AP313">
        <f t="shared" si="111"/>
        <v>0</v>
      </c>
      <c r="AQ313">
        <f t="shared" si="112"/>
        <v>0</v>
      </c>
      <c r="AR313">
        <f t="shared" si="113"/>
        <v>0</v>
      </c>
      <c r="AS313">
        <f t="shared" si="114"/>
        <v>0</v>
      </c>
      <c r="AT313">
        <f t="shared" si="115"/>
        <v>0</v>
      </c>
      <c r="AU313">
        <f t="shared" si="116"/>
        <v>0</v>
      </c>
      <c r="AV313">
        <f t="shared" si="117"/>
        <v>0</v>
      </c>
      <c r="AW313">
        <f t="shared" si="118"/>
        <v>0</v>
      </c>
      <c r="AX313">
        <f t="shared" si="119"/>
        <v>0</v>
      </c>
    </row>
    <row r="314" spans="1:51" x14ac:dyDescent="0.25">
      <c r="A314" s="113">
        <v>311</v>
      </c>
      <c r="B314" s="209"/>
      <c r="C314" s="113">
        <v>0</v>
      </c>
      <c r="D314" s="113">
        <v>0</v>
      </c>
      <c r="E314" s="113" t="s">
        <v>688</v>
      </c>
      <c r="F314" s="113" t="s">
        <v>688</v>
      </c>
      <c r="G314" s="113"/>
      <c r="H314" s="113"/>
      <c r="I314" s="113"/>
      <c r="J314" s="113"/>
      <c r="K314" s="113"/>
      <c r="N314" s="113" t="e">
        <f>MATCH(A314,Entrada!$A$53:$A$372,0)</f>
        <v>#N/A</v>
      </c>
      <c r="O314">
        <f>IF(NOT(ISNA($N314)),INDEX(Entrada!$C$53:$N$372,$N314,O$2),0)</f>
        <v>0</v>
      </c>
      <c r="P314">
        <f>IF(NOT(ISNA($N314)),INDEX(Entrada!$C$53:$N$372,$N314,P$2),0)</f>
        <v>0</v>
      </c>
      <c r="Q314">
        <f>IF(NOT(ISNA($N314)),INDEX(Entrada!$C$53:$N$372,$N314,Q$2),0)</f>
        <v>0</v>
      </c>
      <c r="R314">
        <f>IF(NOT(ISNA($N314)),INDEX(Entrada!$C$53:$N$372,$N314,R$2),0)</f>
        <v>0</v>
      </c>
      <c r="S314">
        <f>IF(NOT(ISNA($N314)),INDEX(Entrada!$C$53:$N$372,$N314,S$2),0)</f>
        <v>0</v>
      </c>
      <c r="T314">
        <f>IF(NOT(ISNA($N314)),INDEX(Entrada!$C$53:$N$372,$N314,T$2),0)</f>
        <v>0</v>
      </c>
      <c r="U314">
        <f>IF(NOT(ISNA($N314)),INDEX(Entrada!$C$53:$N$372,$N314,U$2),0)</f>
        <v>0</v>
      </c>
      <c r="V314" s="225">
        <f>IF(NOT(ISNA($N314)),INDEX(Entrada!$C$53:$N$372,$N314,V$2),0)</f>
        <v>0</v>
      </c>
      <c r="W314" s="225">
        <f>IF(NOT(ISNA($N314)),INDEX(Entrada!$C$53:$N$372,$N314,W$2),0)</f>
        <v>0</v>
      </c>
      <c r="X314" s="225">
        <f>IF(NOT(ISNA($N314)),INDEX(Entrada!$C$53:$N$372,$N314,X$2),0)</f>
        <v>0</v>
      </c>
      <c r="Y314" s="225">
        <f>IF(NOT(ISNA($N314)),INDEX(Entrada!$C$53:$N$372,$N314,Y$2),0)</f>
        <v>0</v>
      </c>
      <c r="Z314" s="225">
        <f>IF(NOT(ISNA($N314)),INDEX(Entrada!$C$53:$N$372,$N314,Z$2),0)</f>
        <v>0</v>
      </c>
      <c r="AA314" s="113">
        <f t="shared" si="96"/>
        <v>0</v>
      </c>
      <c r="AB314">
        <f t="shared" si="97"/>
        <v>0</v>
      </c>
      <c r="AC314">
        <f t="shared" si="98"/>
        <v>0</v>
      </c>
      <c r="AD314">
        <f t="shared" si="99"/>
        <v>0</v>
      </c>
      <c r="AE314">
        <f t="shared" si="100"/>
        <v>0</v>
      </c>
      <c r="AF314">
        <f t="shared" si="101"/>
        <v>0</v>
      </c>
      <c r="AG314">
        <f t="shared" si="102"/>
        <v>0</v>
      </c>
      <c r="AH314">
        <f t="shared" si="103"/>
        <v>0</v>
      </c>
      <c r="AI314">
        <f t="shared" si="104"/>
        <v>0</v>
      </c>
      <c r="AJ314">
        <f t="shared" si="105"/>
        <v>0</v>
      </c>
      <c r="AK314">
        <f t="shared" si="106"/>
        <v>0</v>
      </c>
      <c r="AL314">
        <f t="shared" si="107"/>
        <v>0</v>
      </c>
      <c r="AM314" s="113">
        <f t="shared" si="108"/>
        <v>0</v>
      </c>
      <c r="AN314">
        <f t="shared" si="109"/>
        <v>0</v>
      </c>
      <c r="AO314">
        <f t="shared" si="110"/>
        <v>0</v>
      </c>
      <c r="AP314">
        <f t="shared" si="111"/>
        <v>0</v>
      </c>
      <c r="AQ314">
        <f t="shared" si="112"/>
        <v>0</v>
      </c>
      <c r="AR314">
        <f t="shared" si="113"/>
        <v>0</v>
      </c>
      <c r="AS314">
        <f t="shared" si="114"/>
        <v>0</v>
      </c>
      <c r="AT314">
        <f t="shared" si="115"/>
        <v>0</v>
      </c>
      <c r="AU314">
        <f t="shared" si="116"/>
        <v>0</v>
      </c>
      <c r="AV314">
        <f t="shared" si="117"/>
        <v>0</v>
      </c>
      <c r="AW314">
        <f t="shared" si="118"/>
        <v>0</v>
      </c>
      <c r="AX314">
        <f t="shared" si="119"/>
        <v>0</v>
      </c>
    </row>
    <row r="315" spans="1:51" x14ac:dyDescent="0.25">
      <c r="A315" s="113">
        <v>312</v>
      </c>
      <c r="B315" s="209"/>
      <c r="C315" s="113">
        <v>0</v>
      </c>
      <c r="D315" s="113">
        <v>0</v>
      </c>
      <c r="E315" s="113" t="s">
        <v>688</v>
      </c>
      <c r="F315" s="113" t="s">
        <v>688</v>
      </c>
      <c r="G315" s="113"/>
      <c r="H315" s="113"/>
      <c r="I315" s="113"/>
      <c r="J315" s="113"/>
      <c r="K315" s="113"/>
      <c r="N315" s="113" t="e">
        <f>MATCH(A315,Entrada!$A$53:$A$372,0)</f>
        <v>#N/A</v>
      </c>
      <c r="O315">
        <f>IF(NOT(ISNA($N315)),INDEX(Entrada!$C$53:$N$372,$N315,O$2),0)</f>
        <v>0</v>
      </c>
      <c r="P315">
        <f>IF(NOT(ISNA($N315)),INDEX(Entrada!$C$53:$N$372,$N315,P$2),0)</f>
        <v>0</v>
      </c>
      <c r="Q315">
        <f>IF(NOT(ISNA($N315)),INDEX(Entrada!$C$53:$N$372,$N315,Q$2),0)</f>
        <v>0</v>
      </c>
      <c r="R315">
        <f>IF(NOT(ISNA($N315)),INDEX(Entrada!$C$53:$N$372,$N315,R$2),0)</f>
        <v>0</v>
      </c>
      <c r="S315">
        <f>IF(NOT(ISNA($N315)),INDEX(Entrada!$C$53:$N$372,$N315,S$2),0)</f>
        <v>0</v>
      </c>
      <c r="T315">
        <f>IF(NOT(ISNA($N315)),INDEX(Entrada!$C$53:$N$372,$N315,T$2),0)</f>
        <v>0</v>
      </c>
      <c r="U315">
        <f>IF(NOT(ISNA($N315)),INDEX(Entrada!$C$53:$N$372,$N315,U$2),0)</f>
        <v>0</v>
      </c>
      <c r="V315" s="225">
        <f>IF(NOT(ISNA($N315)),INDEX(Entrada!$C$53:$N$372,$N315,V$2),0)</f>
        <v>0</v>
      </c>
      <c r="W315" s="225">
        <f>IF(NOT(ISNA($N315)),INDEX(Entrada!$C$53:$N$372,$N315,W$2),0)</f>
        <v>0</v>
      </c>
      <c r="X315" s="225">
        <f>IF(NOT(ISNA($N315)),INDEX(Entrada!$C$53:$N$372,$N315,X$2),0)</f>
        <v>0</v>
      </c>
      <c r="Y315" s="225">
        <f>IF(NOT(ISNA($N315)),INDEX(Entrada!$C$53:$N$372,$N315,Y$2),0)</f>
        <v>0</v>
      </c>
      <c r="Z315" s="225">
        <f>IF(NOT(ISNA($N315)),INDEX(Entrada!$C$53:$N$372,$N315,Z$2),0)</f>
        <v>0</v>
      </c>
      <c r="AA315" s="113">
        <f t="shared" si="96"/>
        <v>0</v>
      </c>
      <c r="AB315">
        <f t="shared" si="97"/>
        <v>0</v>
      </c>
      <c r="AC315">
        <f t="shared" si="98"/>
        <v>0</v>
      </c>
      <c r="AD315">
        <f t="shared" si="99"/>
        <v>0</v>
      </c>
      <c r="AE315">
        <f t="shared" si="100"/>
        <v>0</v>
      </c>
      <c r="AF315">
        <f t="shared" si="101"/>
        <v>0</v>
      </c>
      <c r="AG315">
        <f t="shared" si="102"/>
        <v>0</v>
      </c>
      <c r="AH315">
        <f t="shared" si="103"/>
        <v>0</v>
      </c>
      <c r="AI315">
        <f t="shared" si="104"/>
        <v>0</v>
      </c>
      <c r="AJ315">
        <f t="shared" si="105"/>
        <v>0</v>
      </c>
      <c r="AK315">
        <f t="shared" si="106"/>
        <v>0</v>
      </c>
      <c r="AL315">
        <f t="shared" si="107"/>
        <v>0</v>
      </c>
      <c r="AM315" s="113">
        <f t="shared" si="108"/>
        <v>0</v>
      </c>
      <c r="AN315">
        <f t="shared" si="109"/>
        <v>0</v>
      </c>
      <c r="AO315">
        <f t="shared" si="110"/>
        <v>0</v>
      </c>
      <c r="AP315">
        <f t="shared" si="111"/>
        <v>0</v>
      </c>
      <c r="AQ315">
        <f t="shared" si="112"/>
        <v>0</v>
      </c>
      <c r="AR315">
        <f t="shared" si="113"/>
        <v>0</v>
      </c>
      <c r="AS315">
        <f t="shared" si="114"/>
        <v>0</v>
      </c>
      <c r="AT315">
        <f t="shared" si="115"/>
        <v>0</v>
      </c>
      <c r="AU315">
        <f t="shared" si="116"/>
        <v>0</v>
      </c>
      <c r="AV315">
        <f t="shared" si="117"/>
        <v>0</v>
      </c>
      <c r="AW315">
        <f t="shared" si="118"/>
        <v>0</v>
      </c>
      <c r="AX315">
        <f t="shared" si="119"/>
        <v>0</v>
      </c>
    </row>
    <row r="316" spans="1:51" x14ac:dyDescent="0.25">
      <c r="A316" s="113">
        <v>313</v>
      </c>
      <c r="B316" s="209" t="s">
        <v>685</v>
      </c>
      <c r="C316" s="113">
        <v>1931</v>
      </c>
      <c r="D316" s="113">
        <v>2013</v>
      </c>
      <c r="E316" s="212" t="s">
        <v>10</v>
      </c>
      <c r="F316" s="213" t="s">
        <v>361</v>
      </c>
      <c r="G316" s="113">
        <v>315</v>
      </c>
      <c r="H316" s="222"/>
      <c r="I316" s="222"/>
      <c r="J316" s="222"/>
      <c r="K316" s="222"/>
      <c r="L316" s="222"/>
      <c r="M316" s="222"/>
      <c r="N316" s="113">
        <f>MATCH(A316,Entrada!$A$53:$A$372,0)</f>
        <v>206</v>
      </c>
      <c r="O316">
        <f>IF(NOT(ISNA($N316)),INDEX(Entrada!$C$53:$N$372,$N316,O$2),0)</f>
        <v>320</v>
      </c>
      <c r="P316">
        <f>IF(NOT(ISNA($N316)),INDEX(Entrada!$C$53:$N$372,$N316,P$2),0)</f>
        <v>358</v>
      </c>
      <c r="Q316">
        <f>IF(NOT(ISNA($N316)),INDEX(Entrada!$C$53:$N$372,$N316,Q$2),0)</f>
        <v>362</v>
      </c>
      <c r="R316">
        <f>IF(NOT(ISNA($N316)),INDEX(Entrada!$C$53:$N$372,$N316,R$2),0)</f>
        <v>280</v>
      </c>
      <c r="S316">
        <f>IF(NOT(ISNA($N316)),INDEX(Entrada!$C$53:$N$372,$N316,S$2),0)</f>
        <v>196</v>
      </c>
      <c r="T316">
        <f>IF(NOT(ISNA($N316)),INDEX(Entrada!$C$53:$N$372,$N316,T$2),0)</f>
        <v>154</v>
      </c>
      <c r="U316" s="221">
        <f>IF(NOT(ISNA($N316)),INDEX(Entrada!$C$53:$N$372,$N316,U$2),0)</f>
        <v>129</v>
      </c>
      <c r="V316" s="225">
        <f>IF(NOT(ISNA($N316)),INDEX(Entrada!$C$53:$N$372,$N316,V$2),0)</f>
        <v>112</v>
      </c>
      <c r="W316" s="225">
        <f>IF(NOT(ISNA($N316)),INDEX(Entrada!$C$53:$N$372,$N316,W$2),0)</f>
        <v>115</v>
      </c>
      <c r="X316" s="225">
        <f>IF(NOT(ISNA($N316)),INDEX(Entrada!$C$53:$N$372,$N316,X$2),0)</f>
        <v>142</v>
      </c>
      <c r="Y316" s="225">
        <f>IF(NOT(ISNA($N316)),INDEX(Entrada!$C$53:$N$372,$N316,Y$2),0)</f>
        <v>184</v>
      </c>
      <c r="Z316" s="225">
        <f>IF(NOT(ISNA($N316)),INDEX(Entrada!$C$53:$N$372,$N316,Z$2),0)</f>
        <v>258</v>
      </c>
      <c r="AA316" s="113">
        <f t="shared" si="96"/>
        <v>180</v>
      </c>
      <c r="AB316">
        <f t="shared" si="97"/>
        <v>180</v>
      </c>
      <c r="AC316">
        <f t="shared" si="98"/>
        <v>178</v>
      </c>
      <c r="AD316">
        <f t="shared" si="99"/>
        <v>169</v>
      </c>
      <c r="AE316">
        <f t="shared" si="100"/>
        <v>148</v>
      </c>
      <c r="AF316">
        <f t="shared" si="101"/>
        <v>127</v>
      </c>
      <c r="AG316">
        <f t="shared" si="102"/>
        <v>112</v>
      </c>
      <c r="AH316">
        <f t="shared" si="103"/>
        <v>97</v>
      </c>
      <c r="AI316">
        <f t="shared" si="104"/>
        <v>98</v>
      </c>
      <c r="AJ316">
        <f t="shared" si="105"/>
        <v>116</v>
      </c>
      <c r="AK316">
        <f t="shared" si="106"/>
        <v>143</v>
      </c>
      <c r="AL316">
        <f t="shared" si="107"/>
        <v>169</v>
      </c>
      <c r="AM316" s="221">
        <f t="shared" si="108"/>
        <v>140</v>
      </c>
      <c r="AN316">
        <f t="shared" si="109"/>
        <v>178</v>
      </c>
      <c r="AO316">
        <f t="shared" si="110"/>
        <v>184</v>
      </c>
      <c r="AP316">
        <f t="shared" si="111"/>
        <v>111</v>
      </c>
      <c r="AQ316">
        <f t="shared" si="112"/>
        <v>48</v>
      </c>
      <c r="AR316">
        <f t="shared" si="113"/>
        <v>27</v>
      </c>
      <c r="AS316">
        <f t="shared" si="114"/>
        <v>17</v>
      </c>
      <c r="AT316">
        <f t="shared" si="115"/>
        <v>15</v>
      </c>
      <c r="AU316">
        <f t="shared" si="116"/>
        <v>17</v>
      </c>
      <c r="AV316">
        <f t="shared" si="117"/>
        <v>26</v>
      </c>
      <c r="AW316">
        <f t="shared" si="118"/>
        <v>41</v>
      </c>
      <c r="AX316">
        <f t="shared" si="119"/>
        <v>89</v>
      </c>
      <c r="AY316" s="221"/>
    </row>
    <row r="317" spans="1:51" x14ac:dyDescent="0.25">
      <c r="A317" s="113">
        <v>314</v>
      </c>
      <c r="B317" s="209" t="s">
        <v>630</v>
      </c>
      <c r="C317" s="113">
        <v>1931</v>
      </c>
      <c r="D317" s="113">
        <v>2013</v>
      </c>
      <c r="E317" s="212" t="s">
        <v>10</v>
      </c>
      <c r="F317" s="213" t="s">
        <v>10</v>
      </c>
      <c r="G317" s="113"/>
      <c r="H317" s="113"/>
      <c r="I317" s="113"/>
      <c r="J317" s="113"/>
      <c r="K317" s="113"/>
      <c r="N317" s="113">
        <f>MATCH(A317,Entrada!$A$53:$A$372,0)</f>
        <v>207</v>
      </c>
      <c r="O317">
        <f>IF(NOT(ISNA($N317)),INDEX(Entrada!$C$53:$N$372,$N317,O$2),0)</f>
        <v>942</v>
      </c>
      <c r="P317">
        <f>IF(NOT(ISNA($N317)),INDEX(Entrada!$C$53:$N$372,$N317,P$2),0)</f>
        <v>948</v>
      </c>
      <c r="Q317">
        <f>IF(NOT(ISNA($N317)),INDEX(Entrada!$C$53:$N$372,$N317,Q$2),0)</f>
        <v>877</v>
      </c>
      <c r="R317">
        <f>IF(NOT(ISNA($N317)),INDEX(Entrada!$C$53:$N$372,$N317,R$2),0)</f>
        <v>594</v>
      </c>
      <c r="S317">
        <f>IF(NOT(ISNA($N317)),INDEX(Entrada!$C$53:$N$372,$N317,S$2),0)</f>
        <v>390</v>
      </c>
      <c r="T317">
        <f>IF(NOT(ISNA($N317)),INDEX(Entrada!$C$53:$N$372,$N317,T$2),0)</f>
        <v>325</v>
      </c>
      <c r="U317" s="219">
        <f>IF(NOT(ISNA($N317)),INDEX(Entrada!$C$53:$N$372,$N317,U$2),0)</f>
        <v>270</v>
      </c>
      <c r="V317" s="225">
        <f>IF(NOT(ISNA($N317)),INDEX(Entrada!$C$53:$N$372,$N317,V$2),0)</f>
        <v>229</v>
      </c>
      <c r="W317" s="225">
        <f>IF(NOT(ISNA($N317)),INDEX(Entrada!$C$53:$N$372,$N317,W$2),0)</f>
        <v>233</v>
      </c>
      <c r="X317" s="225">
        <f>IF(NOT(ISNA($N317)),INDEX(Entrada!$C$53:$N$372,$N317,X$2),0)</f>
        <v>277</v>
      </c>
      <c r="Y317" s="225">
        <f>IF(NOT(ISNA($N317)),INDEX(Entrada!$C$53:$N$372,$N317,Y$2),0)</f>
        <v>391</v>
      </c>
      <c r="Z317" s="225">
        <f>IF(NOT(ISNA($N317)),INDEX(Entrada!$C$53:$N$372,$N317,Z$2),0)</f>
        <v>637</v>
      </c>
      <c r="AA317" s="113">
        <f t="shared" si="96"/>
        <v>0</v>
      </c>
      <c r="AB317">
        <f t="shared" si="97"/>
        <v>0</v>
      </c>
      <c r="AC317">
        <f t="shared" si="98"/>
        <v>0</v>
      </c>
      <c r="AD317">
        <f t="shared" si="99"/>
        <v>0</v>
      </c>
      <c r="AE317">
        <f t="shared" si="100"/>
        <v>0</v>
      </c>
      <c r="AF317">
        <f t="shared" si="101"/>
        <v>0</v>
      </c>
      <c r="AG317">
        <f t="shared" si="102"/>
        <v>0</v>
      </c>
      <c r="AH317">
        <f t="shared" si="103"/>
        <v>0</v>
      </c>
      <c r="AI317">
        <f t="shared" si="104"/>
        <v>0</v>
      </c>
      <c r="AJ317">
        <f t="shared" si="105"/>
        <v>0</v>
      </c>
      <c r="AK317">
        <f t="shared" si="106"/>
        <v>0</v>
      </c>
      <c r="AL317">
        <f t="shared" si="107"/>
        <v>0</v>
      </c>
      <c r="AM317" s="219">
        <f t="shared" si="108"/>
        <v>942</v>
      </c>
      <c r="AN317">
        <f t="shared" si="109"/>
        <v>948</v>
      </c>
      <c r="AO317">
        <f t="shared" si="110"/>
        <v>877</v>
      </c>
      <c r="AP317">
        <f t="shared" si="111"/>
        <v>594</v>
      </c>
      <c r="AQ317">
        <f t="shared" si="112"/>
        <v>390</v>
      </c>
      <c r="AR317">
        <f t="shared" si="113"/>
        <v>325</v>
      </c>
      <c r="AS317">
        <f t="shared" si="114"/>
        <v>270</v>
      </c>
      <c r="AT317">
        <f t="shared" si="115"/>
        <v>229</v>
      </c>
      <c r="AU317">
        <f t="shared" si="116"/>
        <v>233</v>
      </c>
      <c r="AV317">
        <f t="shared" si="117"/>
        <v>277</v>
      </c>
      <c r="AW317">
        <f t="shared" si="118"/>
        <v>391</v>
      </c>
      <c r="AX317">
        <f t="shared" si="119"/>
        <v>637</v>
      </c>
      <c r="AY317" s="219">
        <f>AY202-AY301-AY206+AY307</f>
        <v>0</v>
      </c>
    </row>
    <row r="318" spans="1:51" x14ac:dyDescent="0.25">
      <c r="A318" s="113">
        <v>315</v>
      </c>
      <c r="B318" s="209" t="s">
        <v>632</v>
      </c>
      <c r="C318" s="113">
        <v>1931</v>
      </c>
      <c r="D318" s="113">
        <v>2013</v>
      </c>
      <c r="E318" s="212" t="s">
        <v>10</v>
      </c>
      <c r="F318" s="213" t="s">
        <v>361</v>
      </c>
      <c r="G318" s="113"/>
      <c r="H318" s="113"/>
      <c r="I318" s="113"/>
      <c r="J318" s="113"/>
      <c r="K318" s="113"/>
      <c r="N318" s="113">
        <f>MATCH(A318,Entrada!$A$53:$A$372,0)</f>
        <v>208</v>
      </c>
      <c r="O318">
        <f>IF(NOT(ISNA($N318)),INDEX(Entrada!$C$53:$N$372,$N318,O$2),0)</f>
        <v>180</v>
      </c>
      <c r="P318">
        <f>IF(NOT(ISNA($N318)),INDEX(Entrada!$C$53:$N$372,$N318,P$2),0)</f>
        <v>180</v>
      </c>
      <c r="Q318">
        <f>IF(NOT(ISNA($N318)),INDEX(Entrada!$C$53:$N$372,$N318,Q$2),0)</f>
        <v>178</v>
      </c>
      <c r="R318">
        <f>IF(NOT(ISNA($N318)),INDEX(Entrada!$C$53:$N$372,$N318,R$2),0)</f>
        <v>169</v>
      </c>
      <c r="S318">
        <f>IF(NOT(ISNA($N318)),INDEX(Entrada!$C$53:$N$372,$N318,S$2),0)</f>
        <v>148</v>
      </c>
      <c r="T318">
        <f>IF(NOT(ISNA($N318)),INDEX(Entrada!$C$53:$N$372,$N318,T$2),0)</f>
        <v>127</v>
      </c>
      <c r="U318" s="219">
        <f>IF(NOT(ISNA($N318)),INDEX(Entrada!$C$53:$N$372,$N318,U$2),0)</f>
        <v>112</v>
      </c>
      <c r="V318" s="225">
        <f>IF(NOT(ISNA($N318)),INDEX(Entrada!$C$53:$N$372,$N318,V$2),0)</f>
        <v>97</v>
      </c>
      <c r="W318" s="225">
        <f>IF(NOT(ISNA($N318)),INDEX(Entrada!$C$53:$N$372,$N318,W$2),0)</f>
        <v>98</v>
      </c>
      <c r="X318" s="225">
        <f>IF(NOT(ISNA($N318)),INDEX(Entrada!$C$53:$N$372,$N318,X$2),0)</f>
        <v>116</v>
      </c>
      <c r="Y318" s="225">
        <f>IF(NOT(ISNA($N318)),INDEX(Entrada!$C$53:$N$372,$N318,Y$2),0)</f>
        <v>143</v>
      </c>
      <c r="Z318" s="225">
        <f>IF(NOT(ISNA($N318)),INDEX(Entrada!$C$53:$N$372,$N318,Z$2),0)</f>
        <v>169</v>
      </c>
      <c r="AA318" s="113">
        <f t="shared" si="96"/>
        <v>0</v>
      </c>
      <c r="AB318">
        <f t="shared" si="97"/>
        <v>0</v>
      </c>
      <c r="AC318">
        <f t="shared" si="98"/>
        <v>0</v>
      </c>
      <c r="AD318">
        <f t="shared" si="99"/>
        <v>0</v>
      </c>
      <c r="AE318">
        <f t="shared" si="100"/>
        <v>0</v>
      </c>
      <c r="AF318">
        <f t="shared" si="101"/>
        <v>0</v>
      </c>
      <c r="AG318">
        <f t="shared" si="102"/>
        <v>0</v>
      </c>
      <c r="AH318">
        <f t="shared" si="103"/>
        <v>0</v>
      </c>
      <c r="AI318">
        <f t="shared" si="104"/>
        <v>0</v>
      </c>
      <c r="AJ318">
        <f t="shared" si="105"/>
        <v>0</v>
      </c>
      <c r="AK318">
        <f t="shared" si="106"/>
        <v>0</v>
      </c>
      <c r="AL318">
        <f t="shared" si="107"/>
        <v>0</v>
      </c>
      <c r="AM318" s="219">
        <f t="shared" si="108"/>
        <v>180</v>
      </c>
      <c r="AN318">
        <f t="shared" si="109"/>
        <v>180</v>
      </c>
      <c r="AO318">
        <f t="shared" si="110"/>
        <v>178</v>
      </c>
      <c r="AP318">
        <f t="shared" si="111"/>
        <v>169</v>
      </c>
      <c r="AQ318">
        <f t="shared" si="112"/>
        <v>148</v>
      </c>
      <c r="AR318">
        <f t="shared" si="113"/>
        <v>127</v>
      </c>
      <c r="AS318">
        <f t="shared" si="114"/>
        <v>112</v>
      </c>
      <c r="AT318">
        <f t="shared" si="115"/>
        <v>97</v>
      </c>
      <c r="AU318">
        <f t="shared" si="116"/>
        <v>98</v>
      </c>
      <c r="AV318">
        <f t="shared" si="117"/>
        <v>116</v>
      </c>
      <c r="AW318">
        <f t="shared" si="118"/>
        <v>143</v>
      </c>
      <c r="AX318">
        <f t="shared" si="119"/>
        <v>169</v>
      </c>
      <c r="AY318" s="219">
        <f>AY206-AY204+AY320+AY301</f>
        <v>0</v>
      </c>
    </row>
    <row r="319" spans="1:51" x14ac:dyDescent="0.25">
      <c r="A319" s="113">
        <v>316</v>
      </c>
      <c r="B319" s="209" t="s">
        <v>686</v>
      </c>
      <c r="C319" s="113">
        <v>1931</v>
      </c>
      <c r="D319" s="113">
        <v>2013</v>
      </c>
      <c r="E319" s="212" t="s">
        <v>10</v>
      </c>
      <c r="F319" s="213" t="s">
        <v>361</v>
      </c>
      <c r="G319" s="113"/>
      <c r="H319" s="113"/>
      <c r="I319" s="113"/>
      <c r="J319" s="113"/>
      <c r="K319" s="113"/>
      <c r="N319" s="113">
        <f>MATCH(A319,Entrada!$A$53:$A$372,0)</f>
        <v>209</v>
      </c>
      <c r="O319">
        <f>IF(NOT(ISNA($N319)),INDEX(Entrada!$C$53:$N$372,$N319,O$2),0)</f>
        <v>176</v>
      </c>
      <c r="P319">
        <f>IF(NOT(ISNA($N319)),INDEX(Entrada!$C$53:$N$372,$N319,P$2),0)</f>
        <v>176</v>
      </c>
      <c r="Q319">
        <f>IF(NOT(ISNA($N319)),INDEX(Entrada!$C$53:$N$372,$N319,Q$2),0)</f>
        <v>176</v>
      </c>
      <c r="R319">
        <f>IF(NOT(ISNA($N319)),INDEX(Entrada!$C$53:$N$372,$N319,R$2),0)</f>
        <v>169</v>
      </c>
      <c r="S319">
        <f>IF(NOT(ISNA($N319)),INDEX(Entrada!$C$53:$N$372,$N319,S$2),0)</f>
        <v>148</v>
      </c>
      <c r="T319">
        <f>IF(NOT(ISNA($N319)),INDEX(Entrada!$C$53:$N$372,$N319,T$2),0)</f>
        <v>127</v>
      </c>
      <c r="U319" s="219">
        <f>IF(NOT(ISNA($N319)),INDEX(Entrada!$C$53:$N$372,$N319,U$2),0)</f>
        <v>112</v>
      </c>
      <c r="V319" s="225">
        <f>IF(NOT(ISNA($N319)),INDEX(Entrada!$C$53:$N$372,$N319,V$2),0)</f>
        <v>97</v>
      </c>
      <c r="W319" s="225">
        <f>IF(NOT(ISNA($N319)),INDEX(Entrada!$C$53:$N$372,$N319,W$2),0)</f>
        <v>98</v>
      </c>
      <c r="X319" s="225">
        <f>IF(NOT(ISNA($N319)),INDEX(Entrada!$C$53:$N$372,$N319,X$2),0)</f>
        <v>116</v>
      </c>
      <c r="Y319" s="225">
        <f>IF(NOT(ISNA($N319)),INDEX(Entrada!$C$53:$N$372,$N319,Y$2),0)</f>
        <v>143</v>
      </c>
      <c r="Z319" s="225">
        <f>IF(NOT(ISNA($N319)),INDEX(Entrada!$C$53:$N$372,$N319,Z$2),0)</f>
        <v>168</v>
      </c>
      <c r="AA319" s="113">
        <f t="shared" si="96"/>
        <v>0</v>
      </c>
      <c r="AB319">
        <f t="shared" si="97"/>
        <v>0</v>
      </c>
      <c r="AC319">
        <f t="shared" si="98"/>
        <v>0</v>
      </c>
      <c r="AD319">
        <f t="shared" si="99"/>
        <v>0</v>
      </c>
      <c r="AE319">
        <f t="shared" si="100"/>
        <v>0</v>
      </c>
      <c r="AF319">
        <f t="shared" si="101"/>
        <v>0</v>
      </c>
      <c r="AG319">
        <f t="shared" si="102"/>
        <v>0</v>
      </c>
      <c r="AH319">
        <f t="shared" si="103"/>
        <v>0</v>
      </c>
      <c r="AI319">
        <f t="shared" si="104"/>
        <v>0</v>
      </c>
      <c r="AJ319">
        <f t="shared" si="105"/>
        <v>0</v>
      </c>
      <c r="AK319">
        <f t="shared" si="106"/>
        <v>0</v>
      </c>
      <c r="AL319">
        <f t="shared" si="107"/>
        <v>0</v>
      </c>
      <c r="AM319" s="219">
        <f t="shared" si="108"/>
        <v>176</v>
      </c>
      <c r="AN319">
        <f t="shared" si="109"/>
        <v>176</v>
      </c>
      <c r="AO319">
        <f t="shared" si="110"/>
        <v>176</v>
      </c>
      <c r="AP319">
        <f t="shared" si="111"/>
        <v>169</v>
      </c>
      <c r="AQ319">
        <f t="shared" si="112"/>
        <v>148</v>
      </c>
      <c r="AR319">
        <f t="shared" si="113"/>
        <v>127</v>
      </c>
      <c r="AS319">
        <f t="shared" si="114"/>
        <v>112</v>
      </c>
      <c r="AT319">
        <f t="shared" si="115"/>
        <v>97</v>
      </c>
      <c r="AU319">
        <f t="shared" si="116"/>
        <v>98</v>
      </c>
      <c r="AV319">
        <f t="shared" si="117"/>
        <v>116</v>
      </c>
      <c r="AW319">
        <f t="shared" si="118"/>
        <v>143</v>
      </c>
      <c r="AX319">
        <f t="shared" si="119"/>
        <v>168</v>
      </c>
      <c r="AY319" s="219">
        <f>MIN(AY318,190)</f>
        <v>0</v>
      </c>
    </row>
    <row r="320" spans="1:51" x14ac:dyDescent="0.25">
      <c r="A320" s="113">
        <v>317</v>
      </c>
      <c r="B320" s="209" t="s">
        <v>631</v>
      </c>
      <c r="C320" s="113">
        <v>1931</v>
      </c>
      <c r="D320" s="113">
        <v>2013</v>
      </c>
      <c r="E320" s="212" t="s">
        <v>10</v>
      </c>
      <c r="F320" s="213" t="s">
        <v>391</v>
      </c>
      <c r="G320" s="113"/>
      <c r="H320" s="113"/>
      <c r="I320" s="113"/>
      <c r="J320" s="113"/>
      <c r="K320" s="113"/>
      <c r="N320" s="113">
        <f>MATCH(A320,Entrada!$A$53:$A$372,0)</f>
        <v>210</v>
      </c>
      <c r="O320">
        <f>IF(NOT(ISNA($N320)),INDEX(Entrada!$C$53:$N$372,$N320,O$2),0)</f>
        <v>4</v>
      </c>
      <c r="P320">
        <f>IF(NOT(ISNA($N320)),INDEX(Entrada!$C$53:$N$372,$N320,P$2),0)</f>
        <v>5</v>
      </c>
      <c r="Q320">
        <f>IF(NOT(ISNA($N320)),INDEX(Entrada!$C$53:$N$372,$N320,Q$2),0)</f>
        <v>3</v>
      </c>
      <c r="R320">
        <f>IF(NOT(ISNA($N320)),INDEX(Entrada!$C$53:$N$372,$N320,R$2),0)</f>
        <v>1</v>
      </c>
      <c r="S320">
        <f>IF(NOT(ISNA($N320)),INDEX(Entrada!$C$53:$N$372,$N320,S$2),0)</f>
        <v>0</v>
      </c>
      <c r="T320">
        <f>IF(NOT(ISNA($N320)),INDEX(Entrada!$C$53:$N$372,$N320,T$2),0)</f>
        <v>0</v>
      </c>
      <c r="U320" s="219">
        <f>IF(NOT(ISNA($N320)),INDEX(Entrada!$C$53:$N$372,$N320,U$2),0)</f>
        <v>0</v>
      </c>
      <c r="V320" s="225">
        <f>IF(NOT(ISNA($N320)),INDEX(Entrada!$C$53:$N$372,$N320,V$2),0)</f>
        <v>0</v>
      </c>
      <c r="W320" s="225">
        <f>IF(NOT(ISNA($N320)),INDEX(Entrada!$C$53:$N$372,$N320,W$2),0)</f>
        <v>0</v>
      </c>
      <c r="X320" s="225">
        <f>IF(NOT(ISNA($N320)),INDEX(Entrada!$C$53:$N$372,$N320,X$2),0)</f>
        <v>0</v>
      </c>
      <c r="Y320" s="225">
        <f>IF(NOT(ISNA($N320)),INDEX(Entrada!$C$53:$N$372,$N320,Y$2),0)</f>
        <v>0</v>
      </c>
      <c r="Z320" s="225">
        <f>IF(NOT(ISNA($N320)),INDEX(Entrada!$C$53:$N$372,$N320,Z$2),0)</f>
        <v>1</v>
      </c>
      <c r="AA320" s="113">
        <f t="shared" si="96"/>
        <v>0</v>
      </c>
      <c r="AB320">
        <f t="shared" si="97"/>
        <v>0</v>
      </c>
      <c r="AC320">
        <f t="shared" si="98"/>
        <v>0</v>
      </c>
      <c r="AD320">
        <f t="shared" si="99"/>
        <v>0</v>
      </c>
      <c r="AE320">
        <f t="shared" si="100"/>
        <v>0</v>
      </c>
      <c r="AF320">
        <f t="shared" si="101"/>
        <v>0</v>
      </c>
      <c r="AG320">
        <f t="shared" si="102"/>
        <v>0</v>
      </c>
      <c r="AH320">
        <f t="shared" si="103"/>
        <v>0</v>
      </c>
      <c r="AI320">
        <f t="shared" si="104"/>
        <v>0</v>
      </c>
      <c r="AJ320">
        <f t="shared" si="105"/>
        <v>0</v>
      </c>
      <c r="AK320">
        <f t="shared" si="106"/>
        <v>0</v>
      </c>
      <c r="AL320">
        <f t="shared" si="107"/>
        <v>0</v>
      </c>
      <c r="AM320" s="219">
        <f t="shared" si="108"/>
        <v>4</v>
      </c>
      <c r="AN320">
        <f t="shared" si="109"/>
        <v>5</v>
      </c>
      <c r="AO320">
        <f t="shared" si="110"/>
        <v>3</v>
      </c>
      <c r="AP320">
        <f t="shared" si="111"/>
        <v>1</v>
      </c>
      <c r="AQ320">
        <f t="shared" si="112"/>
        <v>0</v>
      </c>
      <c r="AR320">
        <f t="shared" si="113"/>
        <v>0</v>
      </c>
      <c r="AS320">
        <f t="shared" si="114"/>
        <v>0</v>
      </c>
      <c r="AT320">
        <f t="shared" si="115"/>
        <v>0</v>
      </c>
      <c r="AU320">
        <f t="shared" si="116"/>
        <v>0</v>
      </c>
      <c r="AV320">
        <f t="shared" si="117"/>
        <v>0</v>
      </c>
      <c r="AW320">
        <f t="shared" si="118"/>
        <v>0</v>
      </c>
      <c r="AX320">
        <f t="shared" si="119"/>
        <v>1</v>
      </c>
      <c r="AY320" s="219">
        <f>MAX(0,AY204-25)</f>
        <v>0</v>
      </c>
    </row>
    <row r="321" spans="1:51" x14ac:dyDescent="0.25">
      <c r="A321" s="113">
        <v>318</v>
      </c>
      <c r="B321" s="209" t="s">
        <v>596</v>
      </c>
      <c r="C321" s="113">
        <v>1931</v>
      </c>
      <c r="D321" s="113">
        <v>2013</v>
      </c>
      <c r="E321" s="212" t="s">
        <v>9</v>
      </c>
      <c r="F321" s="213" t="s">
        <v>341</v>
      </c>
      <c r="G321" s="113"/>
      <c r="H321" s="113"/>
      <c r="I321" s="113"/>
      <c r="J321" s="113"/>
      <c r="K321" s="113"/>
      <c r="N321" s="113">
        <f>MATCH(A321,Entrada!$A$53:$A$372,0)</f>
        <v>211</v>
      </c>
      <c r="O321">
        <f>IF(NOT(ISNA($N321)),INDEX(Entrada!$C$53:$N$372,$N321,O$2),0)</f>
        <v>64</v>
      </c>
      <c r="P321">
        <f>IF(NOT(ISNA($N321)),INDEX(Entrada!$C$53:$N$372,$N321,P$2),0)</f>
        <v>66</v>
      </c>
      <c r="Q321">
        <f>IF(NOT(ISNA($N321)),INDEX(Entrada!$C$53:$N$372,$N321,Q$2),0)</f>
        <v>58</v>
      </c>
      <c r="R321">
        <f>IF(NOT(ISNA($N321)),INDEX(Entrada!$C$53:$N$372,$N321,R$2),0)</f>
        <v>41</v>
      </c>
      <c r="S321">
        <f>IF(NOT(ISNA($N321)),INDEX(Entrada!$C$53:$N$372,$N321,S$2),0)</f>
        <v>31</v>
      </c>
      <c r="T321">
        <f>IF(NOT(ISNA($N321)),INDEX(Entrada!$C$53:$N$372,$N321,T$2),0)</f>
        <v>29</v>
      </c>
      <c r="U321" s="219">
        <f>IF(NOT(ISNA($N321)),INDEX(Entrada!$C$53:$N$372,$N321,U$2),0)</f>
        <v>24</v>
      </c>
      <c r="V321" s="225">
        <f>IF(NOT(ISNA($N321)),INDEX(Entrada!$C$53:$N$372,$N321,V$2),0)</f>
        <v>21</v>
      </c>
      <c r="W321" s="225">
        <f>IF(NOT(ISNA($N321)),INDEX(Entrada!$C$53:$N$372,$N321,W$2),0)</f>
        <v>29</v>
      </c>
      <c r="X321" s="225">
        <f>IF(NOT(ISNA($N321)),INDEX(Entrada!$C$53:$N$372,$N321,X$2),0)</f>
        <v>36</v>
      </c>
      <c r="Y321" s="225">
        <f>IF(NOT(ISNA($N321)),INDEX(Entrada!$C$53:$N$372,$N321,Y$2),0)</f>
        <v>37</v>
      </c>
      <c r="Z321" s="225">
        <f>IF(NOT(ISNA($N321)),INDEX(Entrada!$C$53:$N$372,$N321,Z$2),0)</f>
        <v>49</v>
      </c>
      <c r="AA321" s="113">
        <f t="shared" si="96"/>
        <v>0</v>
      </c>
      <c r="AB321">
        <f t="shared" si="97"/>
        <v>0</v>
      </c>
      <c r="AC321">
        <f t="shared" si="98"/>
        <v>0</v>
      </c>
      <c r="AD321">
        <f t="shared" si="99"/>
        <v>0</v>
      </c>
      <c r="AE321">
        <f t="shared" si="100"/>
        <v>0</v>
      </c>
      <c r="AF321">
        <f t="shared" si="101"/>
        <v>0</v>
      </c>
      <c r="AG321">
        <f t="shared" si="102"/>
        <v>0</v>
      </c>
      <c r="AH321">
        <f t="shared" si="103"/>
        <v>0</v>
      </c>
      <c r="AI321">
        <f t="shared" si="104"/>
        <v>0</v>
      </c>
      <c r="AJ321">
        <f t="shared" si="105"/>
        <v>0</v>
      </c>
      <c r="AK321">
        <f t="shared" si="106"/>
        <v>0</v>
      </c>
      <c r="AL321">
        <f t="shared" si="107"/>
        <v>0</v>
      </c>
      <c r="AM321" s="219">
        <f t="shared" si="108"/>
        <v>64</v>
      </c>
      <c r="AN321">
        <f t="shared" si="109"/>
        <v>66</v>
      </c>
      <c r="AO321">
        <f t="shared" si="110"/>
        <v>58</v>
      </c>
      <c r="AP321">
        <f t="shared" si="111"/>
        <v>41</v>
      </c>
      <c r="AQ321">
        <f t="shared" si="112"/>
        <v>31</v>
      </c>
      <c r="AR321">
        <f t="shared" si="113"/>
        <v>29</v>
      </c>
      <c r="AS321">
        <f t="shared" si="114"/>
        <v>24</v>
      </c>
      <c r="AT321">
        <f t="shared" si="115"/>
        <v>21</v>
      </c>
      <c r="AU321">
        <f t="shared" si="116"/>
        <v>29</v>
      </c>
      <c r="AV321">
        <f t="shared" si="117"/>
        <v>36</v>
      </c>
      <c r="AW321">
        <f t="shared" si="118"/>
        <v>37</v>
      </c>
      <c r="AX321">
        <f t="shared" si="119"/>
        <v>49</v>
      </c>
      <c r="AY321" s="219">
        <f>AY119+AY120+AY121+0.1*(AY164-AY120-AY121)</f>
        <v>-0.22831050228310501</v>
      </c>
    </row>
    <row r="322" spans="1:51" x14ac:dyDescent="0.25">
      <c r="A322" s="113">
        <v>319</v>
      </c>
      <c r="B322" s="209" t="s">
        <v>597</v>
      </c>
      <c r="C322" s="113">
        <v>1931</v>
      </c>
      <c r="D322" s="113">
        <v>2013</v>
      </c>
      <c r="E322" s="212" t="s">
        <v>9</v>
      </c>
      <c r="F322" s="213" t="s">
        <v>332</v>
      </c>
      <c r="G322" s="113"/>
      <c r="H322" s="113"/>
      <c r="I322" s="113"/>
      <c r="J322" s="113"/>
      <c r="K322" s="113"/>
      <c r="N322" s="113">
        <f>MATCH(A322,Entrada!$A$53:$A$372,0)</f>
        <v>212</v>
      </c>
      <c r="O322">
        <f>IF(NOT(ISNA($N322)),INDEX(Entrada!$C$53:$N$372,$N322,O$2),0)</f>
        <v>58</v>
      </c>
      <c r="P322">
        <f>IF(NOT(ISNA($N322)),INDEX(Entrada!$C$53:$N$372,$N322,P$2),0)</f>
        <v>60</v>
      </c>
      <c r="Q322">
        <f>IF(NOT(ISNA($N322)),INDEX(Entrada!$C$53:$N$372,$N322,Q$2),0)</f>
        <v>53</v>
      </c>
      <c r="R322">
        <f>IF(NOT(ISNA($N322)),INDEX(Entrada!$C$53:$N$372,$N322,R$2),0)</f>
        <v>37</v>
      </c>
      <c r="S322">
        <f>IF(NOT(ISNA($N322)),INDEX(Entrada!$C$53:$N$372,$N322,S$2),0)</f>
        <v>29</v>
      </c>
      <c r="T322">
        <f>IF(NOT(ISNA($N322)),INDEX(Entrada!$C$53:$N$372,$N322,T$2),0)</f>
        <v>26</v>
      </c>
      <c r="U322" s="219">
        <f>IF(NOT(ISNA($N322)),INDEX(Entrada!$C$53:$N$372,$N322,U$2),0)</f>
        <v>22</v>
      </c>
      <c r="V322" s="225">
        <f>IF(NOT(ISNA($N322)),INDEX(Entrada!$C$53:$N$372,$N322,V$2),0)</f>
        <v>20</v>
      </c>
      <c r="W322" s="225">
        <f>IF(NOT(ISNA($N322)),INDEX(Entrada!$C$53:$N$372,$N322,W$2),0)</f>
        <v>26</v>
      </c>
      <c r="X322" s="225">
        <f>IF(NOT(ISNA($N322)),INDEX(Entrada!$C$53:$N$372,$N322,X$2),0)</f>
        <v>33</v>
      </c>
      <c r="Y322" s="225">
        <f>IF(NOT(ISNA($N322)),INDEX(Entrada!$C$53:$N$372,$N322,Y$2),0)</f>
        <v>34</v>
      </c>
      <c r="Z322" s="225">
        <f>IF(NOT(ISNA($N322)),INDEX(Entrada!$C$53:$N$372,$N322,Z$2),0)</f>
        <v>45</v>
      </c>
      <c r="AA322" s="113">
        <f t="shared" si="96"/>
        <v>0</v>
      </c>
      <c r="AB322">
        <f t="shared" si="97"/>
        <v>0</v>
      </c>
      <c r="AC322">
        <f t="shared" si="98"/>
        <v>0</v>
      </c>
      <c r="AD322">
        <f t="shared" si="99"/>
        <v>0</v>
      </c>
      <c r="AE322">
        <f t="shared" si="100"/>
        <v>0</v>
      </c>
      <c r="AF322">
        <f t="shared" si="101"/>
        <v>0</v>
      </c>
      <c r="AG322">
        <f t="shared" si="102"/>
        <v>0</v>
      </c>
      <c r="AH322">
        <f t="shared" si="103"/>
        <v>0</v>
      </c>
      <c r="AI322">
        <f t="shared" si="104"/>
        <v>0</v>
      </c>
      <c r="AJ322">
        <f t="shared" si="105"/>
        <v>0</v>
      </c>
      <c r="AK322">
        <f t="shared" si="106"/>
        <v>0</v>
      </c>
      <c r="AL322">
        <f t="shared" si="107"/>
        <v>0</v>
      </c>
      <c r="AM322" s="219">
        <f t="shared" si="108"/>
        <v>58</v>
      </c>
      <c r="AN322">
        <f t="shared" si="109"/>
        <v>60</v>
      </c>
      <c r="AO322">
        <f t="shared" si="110"/>
        <v>53</v>
      </c>
      <c r="AP322">
        <f t="shared" si="111"/>
        <v>37</v>
      </c>
      <c r="AQ322">
        <f t="shared" si="112"/>
        <v>29</v>
      </c>
      <c r="AR322">
        <f t="shared" si="113"/>
        <v>26</v>
      </c>
      <c r="AS322">
        <f t="shared" si="114"/>
        <v>22</v>
      </c>
      <c r="AT322">
        <f t="shared" si="115"/>
        <v>20</v>
      </c>
      <c r="AU322">
        <f t="shared" si="116"/>
        <v>26</v>
      </c>
      <c r="AV322">
        <f t="shared" si="117"/>
        <v>33</v>
      </c>
      <c r="AW322">
        <f t="shared" si="118"/>
        <v>34</v>
      </c>
      <c r="AX322">
        <f t="shared" si="119"/>
        <v>45</v>
      </c>
      <c r="AY322" s="219">
        <f>AY120+AY121+0.1*(AY164-AY120-AY121)</f>
        <v>0</v>
      </c>
    </row>
    <row r="323" spans="1:51" x14ac:dyDescent="0.25">
      <c r="A323" s="113">
        <v>320</v>
      </c>
      <c r="B323" s="209" t="s">
        <v>598</v>
      </c>
      <c r="C323" s="113">
        <v>1931</v>
      </c>
      <c r="D323" s="113">
        <v>2013</v>
      </c>
      <c r="E323" s="210" t="s">
        <v>9</v>
      </c>
      <c r="F323" s="210" t="s">
        <v>347</v>
      </c>
      <c r="G323" s="113">
        <v>119</v>
      </c>
      <c r="H323" s="113"/>
      <c r="I323" s="113"/>
      <c r="J323" s="113"/>
      <c r="K323" s="113"/>
      <c r="N323" s="113">
        <f>MATCH(A323,Entrada!$A$53:$A$372,0)</f>
        <v>213</v>
      </c>
      <c r="O323">
        <f>IF(NOT(ISNA($N323)),INDEX(Entrada!$C$53:$N$372,$N323,O$2),0)</f>
        <v>31</v>
      </c>
      <c r="P323">
        <f>IF(NOT(ISNA($N323)),INDEX(Entrada!$C$53:$N$372,$N323,P$2),0)</f>
        <v>31</v>
      </c>
      <c r="Q323">
        <f>IF(NOT(ISNA($N323)),INDEX(Entrada!$C$53:$N$372,$N323,Q$2),0)</f>
        <v>27</v>
      </c>
      <c r="R323">
        <f>IF(NOT(ISNA($N323)),INDEX(Entrada!$C$53:$N$372,$N323,R$2),0)</f>
        <v>19</v>
      </c>
      <c r="S323">
        <f>IF(NOT(ISNA($N323)),INDEX(Entrada!$C$53:$N$372,$N323,S$2),0)</f>
        <v>13</v>
      </c>
      <c r="T323">
        <f>IF(NOT(ISNA($N323)),INDEX(Entrada!$C$53:$N$372,$N323,T$2),0)</f>
        <v>11</v>
      </c>
      <c r="U323" s="219">
        <f>IF(NOT(ISNA($N323)),INDEX(Entrada!$C$53:$N$372,$N323,U$2),0)</f>
        <v>10</v>
      </c>
      <c r="V323" s="225">
        <f>IF(NOT(ISNA($N323)),INDEX(Entrada!$C$53:$N$372,$N323,V$2),0)</f>
        <v>9</v>
      </c>
      <c r="W323" s="225">
        <f>IF(NOT(ISNA($N323)),INDEX(Entrada!$C$53:$N$372,$N323,W$2),0)</f>
        <v>14</v>
      </c>
      <c r="X323" s="225">
        <f>IF(NOT(ISNA($N323)),INDEX(Entrada!$C$53:$N$372,$N323,X$2),0)</f>
        <v>19</v>
      </c>
      <c r="Y323" s="225">
        <f>IF(NOT(ISNA($N323)),INDEX(Entrada!$C$53:$N$372,$N323,Y$2),0)</f>
        <v>18</v>
      </c>
      <c r="Z323" s="225">
        <f>IF(NOT(ISNA($N323)),INDEX(Entrada!$C$53:$N$372,$N323,Z$2),0)</f>
        <v>24</v>
      </c>
      <c r="AA323" s="113">
        <f t="shared" si="96"/>
        <v>32</v>
      </c>
      <c r="AB323">
        <f t="shared" si="97"/>
        <v>31</v>
      </c>
      <c r="AC323">
        <f t="shared" si="98"/>
        <v>28</v>
      </c>
      <c r="AD323">
        <f t="shared" si="99"/>
        <v>20</v>
      </c>
      <c r="AE323">
        <f t="shared" si="100"/>
        <v>15</v>
      </c>
      <c r="AF323">
        <f t="shared" si="101"/>
        <v>13</v>
      </c>
      <c r="AG323">
        <f t="shared" si="102"/>
        <v>11</v>
      </c>
      <c r="AH323">
        <f t="shared" si="103"/>
        <v>10</v>
      </c>
      <c r="AI323">
        <f t="shared" si="104"/>
        <v>15</v>
      </c>
      <c r="AJ323">
        <f t="shared" si="105"/>
        <v>19</v>
      </c>
      <c r="AK323">
        <f t="shared" si="106"/>
        <v>19</v>
      </c>
      <c r="AL323">
        <f t="shared" si="107"/>
        <v>25</v>
      </c>
      <c r="AM323" s="219">
        <f t="shared" si="108"/>
        <v>-1</v>
      </c>
      <c r="AN323">
        <f t="shared" si="109"/>
        <v>0</v>
      </c>
      <c r="AO323">
        <f t="shared" si="110"/>
        <v>-1</v>
      </c>
      <c r="AP323">
        <f t="shared" si="111"/>
        <v>-1</v>
      </c>
      <c r="AQ323">
        <f t="shared" si="112"/>
        <v>-2</v>
      </c>
      <c r="AR323">
        <f t="shared" si="113"/>
        <v>-2</v>
      </c>
      <c r="AS323">
        <f t="shared" si="114"/>
        <v>-1</v>
      </c>
      <c r="AT323">
        <f t="shared" si="115"/>
        <v>-1</v>
      </c>
      <c r="AU323">
        <f t="shared" si="116"/>
        <v>-1</v>
      </c>
      <c r="AV323">
        <f t="shared" si="117"/>
        <v>0</v>
      </c>
      <c r="AW323">
        <f t="shared" si="118"/>
        <v>-1</v>
      </c>
      <c r="AX323">
        <f t="shared" si="119"/>
        <v>-1</v>
      </c>
      <c r="AY323" s="219">
        <f>AY122</f>
        <v>-0.22831050228310501</v>
      </c>
    </row>
  </sheetData>
  <mergeCells count="1">
    <mergeCell ref="G2:L2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BO323"/>
  <sheetViews>
    <sheetView tabSelected="1" workbookViewId="0">
      <pane xSplit="1" topLeftCell="B1" activePane="topRight" state="frozen"/>
      <selection activeCell="A28" sqref="A28"/>
      <selection pane="topRight" activeCell="B1" sqref="B1"/>
    </sheetView>
  </sheetViews>
  <sheetFormatPr defaultRowHeight="15" x14ac:dyDescent="0.25"/>
  <cols>
    <col min="1" max="1" width="4.42578125" style="113" bestFit="1" customWidth="1"/>
    <col min="2" max="2" width="17" style="113" bestFit="1" customWidth="1"/>
    <col min="4" max="13" width="0" style="113" hidden="1" customWidth="1"/>
    <col min="14" max="14" width="9.140625" style="113"/>
    <col min="16" max="25" width="0" hidden="1" customWidth="1"/>
    <col min="28" max="37" width="0" hidden="1" customWidth="1"/>
    <col min="39" max="39" width="12.7109375" bestFit="1" customWidth="1"/>
    <col min="40" max="49" width="9.140625" hidden="1" customWidth="1"/>
    <col min="55" max="55" width="16.42578125" bestFit="1" customWidth="1"/>
  </cols>
  <sheetData>
    <row r="1" spans="1:67" x14ac:dyDescent="0.25">
      <c r="BC1">
        <v>1</v>
      </c>
    </row>
    <row r="2" spans="1:67" ht="15.75" thickBot="1" x14ac:dyDescent="0.3">
      <c r="C2" s="113">
        <v>1</v>
      </c>
      <c r="D2" s="113">
        <v>2</v>
      </c>
      <c r="E2" s="113">
        <v>3</v>
      </c>
      <c r="F2" s="113">
        <v>4</v>
      </c>
      <c r="G2" s="113">
        <v>5</v>
      </c>
      <c r="H2" s="113">
        <v>6</v>
      </c>
      <c r="I2" s="113">
        <v>7</v>
      </c>
      <c r="J2" s="113">
        <v>8</v>
      </c>
      <c r="K2" s="113">
        <v>9</v>
      </c>
      <c r="L2" s="113">
        <v>10</v>
      </c>
      <c r="M2" s="113">
        <v>11</v>
      </c>
      <c r="N2" s="113">
        <v>12</v>
      </c>
      <c r="O2">
        <v>1</v>
      </c>
      <c r="P2">
        <v>2</v>
      </c>
      <c r="Q2">
        <v>3</v>
      </c>
      <c r="R2">
        <v>4</v>
      </c>
      <c r="S2">
        <v>5</v>
      </c>
      <c r="T2">
        <v>6</v>
      </c>
      <c r="U2">
        <v>7</v>
      </c>
      <c r="V2">
        <v>8</v>
      </c>
      <c r="W2">
        <v>9</v>
      </c>
      <c r="X2">
        <v>10</v>
      </c>
      <c r="Y2">
        <v>11</v>
      </c>
      <c r="Z2">
        <v>12</v>
      </c>
      <c r="AA2" s="113">
        <v>1</v>
      </c>
      <c r="AB2" s="113">
        <v>2</v>
      </c>
      <c r="AC2" s="113">
        <v>3</v>
      </c>
      <c r="AD2" s="113">
        <v>4</v>
      </c>
      <c r="AE2" s="113">
        <v>5</v>
      </c>
      <c r="AF2" s="113">
        <v>6</v>
      </c>
      <c r="AG2" s="113">
        <v>7</v>
      </c>
      <c r="AH2" s="113">
        <v>8</v>
      </c>
      <c r="AI2" s="113">
        <v>9</v>
      </c>
      <c r="AJ2" s="113">
        <v>10</v>
      </c>
      <c r="AK2" s="113">
        <v>11</v>
      </c>
      <c r="AL2" s="113">
        <v>12</v>
      </c>
      <c r="AM2" s="113">
        <v>1</v>
      </c>
      <c r="AN2" s="113">
        <v>2</v>
      </c>
      <c r="AO2" s="113">
        <v>3</v>
      </c>
      <c r="AP2" s="113">
        <v>4</v>
      </c>
      <c r="AQ2" s="113">
        <v>5</v>
      </c>
      <c r="AR2" s="113">
        <v>6</v>
      </c>
      <c r="AS2" s="113">
        <v>7</v>
      </c>
      <c r="AT2" s="113">
        <v>8</v>
      </c>
      <c r="AU2" s="113">
        <v>9</v>
      </c>
      <c r="AV2" s="113">
        <v>10</v>
      </c>
      <c r="AW2" s="113">
        <v>11</v>
      </c>
      <c r="AX2" s="113">
        <v>12</v>
      </c>
    </row>
    <row r="3" spans="1:67" x14ac:dyDescent="0.25">
      <c r="A3" s="116" t="s">
        <v>533</v>
      </c>
      <c r="B3" s="116" t="s">
        <v>38</v>
      </c>
      <c r="C3" s="227" t="s">
        <v>693</v>
      </c>
      <c r="D3" s="227" t="s">
        <v>693</v>
      </c>
      <c r="E3" s="227" t="s">
        <v>693</v>
      </c>
      <c r="F3" s="227" t="s">
        <v>693</v>
      </c>
      <c r="G3" s="227" t="s">
        <v>693</v>
      </c>
      <c r="H3" s="227" t="s">
        <v>693</v>
      </c>
      <c r="I3" s="227" t="s">
        <v>693</v>
      </c>
      <c r="J3" s="227" t="s">
        <v>693</v>
      </c>
      <c r="K3" s="227" t="s">
        <v>693</v>
      </c>
      <c r="L3" s="227" t="s">
        <v>693</v>
      </c>
      <c r="M3" s="227" t="s">
        <v>693</v>
      </c>
      <c r="N3" s="227" t="s">
        <v>693</v>
      </c>
      <c r="O3" s="226" t="s">
        <v>272</v>
      </c>
      <c r="P3" s="226" t="s">
        <v>272</v>
      </c>
      <c r="Q3" s="226" t="s">
        <v>272</v>
      </c>
      <c r="R3" s="226" t="s">
        <v>272</v>
      </c>
      <c r="S3" s="226" t="s">
        <v>272</v>
      </c>
      <c r="T3" s="226" t="s">
        <v>272</v>
      </c>
      <c r="U3" s="226" t="s">
        <v>272</v>
      </c>
      <c r="V3" s="226" t="s">
        <v>272</v>
      </c>
      <c r="W3" s="226" t="s">
        <v>272</v>
      </c>
      <c r="X3" s="226" t="s">
        <v>272</v>
      </c>
      <c r="Y3" s="226" t="s">
        <v>272</v>
      </c>
      <c r="Z3" s="226" t="s">
        <v>272</v>
      </c>
      <c r="AA3" s="226" t="s">
        <v>690</v>
      </c>
      <c r="AB3" s="226" t="s">
        <v>690</v>
      </c>
      <c r="AC3" s="226" t="s">
        <v>690</v>
      </c>
      <c r="AD3" s="226" t="s">
        <v>690</v>
      </c>
      <c r="AE3" s="226" t="s">
        <v>690</v>
      </c>
      <c r="AF3" s="226" t="s">
        <v>690</v>
      </c>
      <c r="AG3" s="226" t="s">
        <v>690</v>
      </c>
      <c r="AH3" s="226" t="s">
        <v>690</v>
      </c>
      <c r="AI3" s="226" t="s">
        <v>690</v>
      </c>
      <c r="AJ3" s="226" t="s">
        <v>690</v>
      </c>
      <c r="AK3" s="226" t="s">
        <v>690</v>
      </c>
      <c r="AL3" s="226" t="s">
        <v>690</v>
      </c>
      <c r="AM3" s="226" t="s">
        <v>694</v>
      </c>
      <c r="AN3" s="226" t="s">
        <v>694</v>
      </c>
      <c r="AO3" s="226" t="s">
        <v>694</v>
      </c>
      <c r="AP3" s="226" t="s">
        <v>694</v>
      </c>
      <c r="AQ3" s="226" t="s">
        <v>694</v>
      </c>
      <c r="AR3" s="226" t="s">
        <v>694</v>
      </c>
      <c r="AS3" s="226" t="s">
        <v>694</v>
      </c>
      <c r="AT3" s="226" t="s">
        <v>694</v>
      </c>
      <c r="AU3" s="226" t="s">
        <v>694</v>
      </c>
      <c r="AV3" s="226" t="s">
        <v>694</v>
      </c>
      <c r="AW3" s="226" t="s">
        <v>694</v>
      </c>
      <c r="AX3" s="226" t="s">
        <v>694</v>
      </c>
      <c r="BC3" s="120" t="s">
        <v>502</v>
      </c>
    </row>
    <row r="4" spans="1:67" x14ac:dyDescent="0.25">
      <c r="A4" s="113">
        <v>1</v>
      </c>
      <c r="B4" s="209" t="s">
        <v>536</v>
      </c>
      <c r="C4">
        <f>IFERROR(INDEX($BD$7:$BO$35,MATCH(Ajustes!$E$4:$E$323,$BC$7:$BC$35,0),$C$2:$N$2),1)</f>
        <v>1</v>
      </c>
      <c r="D4" s="113">
        <f>IFERROR(INDEX($BD$7:$BO$35,MATCH(Ajustes!$E$4:$E$323,$BC$7:$BC$35,0),$C$2:$N$2),1)</f>
        <v>1</v>
      </c>
      <c r="E4" s="113">
        <f>IFERROR(INDEX($BD$7:$BO$35,MATCH(Ajustes!$E$4:$E$323,$BC$7:$BC$35,0),$C$2:$N$2),1)</f>
        <v>1</v>
      </c>
      <c r="F4" s="113">
        <f>IFERROR(INDEX($BD$7:$BO$35,MATCH(Ajustes!$E$4:$E$323,$BC$7:$BC$35,0),$C$2:$N$2),1)</f>
        <v>1</v>
      </c>
      <c r="G4" s="113">
        <f>IFERROR(INDEX($BD$7:$BO$35,MATCH(Ajustes!$E$4:$E$323,$BC$7:$BC$35,0),$C$2:$N$2),1)</f>
        <v>1</v>
      </c>
      <c r="H4" s="113">
        <f>IFERROR(INDEX($BD$7:$BO$35,MATCH(Ajustes!$E$4:$E$323,$BC$7:$BC$35,0),$C$2:$N$2),1)</f>
        <v>1</v>
      </c>
      <c r="I4" s="113">
        <f>IFERROR(INDEX($BD$7:$BO$35,MATCH(Ajustes!$E$4:$E$323,$BC$7:$BC$35,0),$C$2:$N$2),1)</f>
        <v>1</v>
      </c>
      <c r="J4" s="113">
        <f>IFERROR(INDEX($BD$7:$BO$35,MATCH(Ajustes!$E$4:$E$323,$BC$7:$BC$35,0),$C$2:$N$2),1)</f>
        <v>1</v>
      </c>
      <c r="K4" s="113">
        <f>IFERROR(INDEX($BD$7:$BO$35,MATCH(Ajustes!$E$4:$E$323,$BC$7:$BC$35,0),$C$2:$N$2),1)</f>
        <v>1</v>
      </c>
      <c r="L4" s="113">
        <f>IFERROR(INDEX($BD$7:$BO$35,MATCH(Ajustes!$E$4:$E$323,$BC$7:$BC$35,0),$C$2:$N$2),1)</f>
        <v>1</v>
      </c>
      <c r="M4" s="113">
        <f>IFERROR(INDEX($BD$7:$BO$35,MATCH(Ajustes!$E$4:$E$323,$BC$7:$BC$35,0),$C$2:$N$2),1)</f>
        <v>1</v>
      </c>
      <c r="N4" s="113">
        <f>IFERROR(INDEX($BD$7:$BO$35,MATCH(Ajustes!$E$4:$E$323,$BC$7:$BC$35,0),$C$2:$N$2),1)</f>
        <v>1</v>
      </c>
      <c r="O4" s="114">
        <f>C4*Ajustes!AM4</f>
        <v>254</v>
      </c>
      <c r="P4">
        <f>D4*Ajustes!AN4</f>
        <v>230</v>
      </c>
      <c r="Q4">
        <f>E4*Ajustes!AO4</f>
        <v>204</v>
      </c>
      <c r="R4">
        <f>F4*Ajustes!AP4</f>
        <v>139</v>
      </c>
      <c r="S4">
        <f>G4*Ajustes!AQ4</f>
        <v>105</v>
      </c>
      <c r="T4">
        <f>H4*Ajustes!AR4</f>
        <v>89</v>
      </c>
      <c r="U4">
        <f>I4*Ajustes!AS4</f>
        <v>74</v>
      </c>
      <c r="V4">
        <f>J4*Ajustes!AT4</f>
        <v>64</v>
      </c>
      <c r="W4">
        <f>K4*Ajustes!AU4</f>
        <v>67</v>
      </c>
      <c r="X4">
        <f>L4*Ajustes!AV4</f>
        <v>79</v>
      </c>
      <c r="Y4">
        <f>M4*Ajustes!AW4</f>
        <v>111</v>
      </c>
      <c r="Z4">
        <f>N4*Ajustes!AX4</f>
        <v>182</v>
      </c>
      <c r="AA4" s="114">
        <f>IF(Ajustes!$G4&gt;0,INDEX($AA$4:$AL$323,Ajustes!$G4,O$2),0)+IF(Ajustes!$H4&gt;0,INDEX($AA$4:$AL$323,Ajustes!$H4,O$2),0)+IF(Ajustes!$I4&gt;0,INDEX($AA$4:$AL$323,Ajustes!$I4,O$2),0)+IF(Ajustes!$J4&gt;0,INDEX($AA$4:$AL$323,Ajustes!$J4,O$2),0)+IF(Ajustes!$K4&gt;0,INDEX($AA$5:$AL$324,Ajustes!$K4,O$2),0)+IF(Ajustes!$L4&gt;0,INDEX($AA$4:$AL$323,Ajustes!$L4,O$2),0) + O4</f>
        <v>254</v>
      </c>
      <c r="AB4">
        <f>IF(Ajustes!$G4&gt;0,INDEX($AA$4:$AL$323,Ajustes!$G4,P$2),0)+IF(Ajustes!$H4&gt;0,INDEX($AA$4:$AL$323,Ajustes!$H4,P$2),0)+IF(Ajustes!$I4&gt;0,INDEX($AA$4:$AL$323,Ajustes!$I4,P$2),0)+IF(Ajustes!$J4&gt;0,INDEX($AA$4:$AL$323,Ajustes!$J4,P$2),0)+IF(Ajustes!$K4&gt;0,INDEX($AA$5:$AL$324,Ajustes!$K4,P$2),0)+IF(Ajustes!$L4&gt;0,INDEX($AA$4:$AL$323,Ajustes!$L4,P$2),0) + P4</f>
        <v>230</v>
      </c>
      <c r="AC4">
        <f>IF(Ajustes!$G4&gt;0,INDEX($AA$4:$AL$323,Ajustes!$G4,Q$2),0)+IF(Ajustes!$H4&gt;0,INDEX($AA$4:$AL$323,Ajustes!$H4,Q$2),0)+IF(Ajustes!$I4&gt;0,INDEX($AA$4:$AL$323,Ajustes!$I4,Q$2),0)+IF(Ajustes!$J4&gt;0,INDEX($AA$4:$AL$323,Ajustes!$J4,Q$2),0)+IF(Ajustes!$K4&gt;0,INDEX($AA$5:$AL$324,Ajustes!$K4,Q$2),0)+IF(Ajustes!$L4&gt;0,INDEX($AA$4:$AL$323,Ajustes!$L4,Q$2),0) + Q4</f>
        <v>204</v>
      </c>
      <c r="AD4">
        <f>IF(Ajustes!$G4&gt;0,INDEX($AA$4:$AL$323,Ajustes!$G4,R$2),0)+IF(Ajustes!$H4&gt;0,INDEX($AA$4:$AL$323,Ajustes!$H4,R$2),0)+IF(Ajustes!$I4&gt;0,INDEX($AA$4:$AL$323,Ajustes!$I4,R$2),0)+IF(Ajustes!$J4&gt;0,INDEX($AA$4:$AL$323,Ajustes!$J4,R$2),0)+IF(Ajustes!$K4&gt;0,INDEX($AA$5:$AL$324,Ajustes!$K4,R$2),0)+IF(Ajustes!$L4&gt;0,INDEX($AA$4:$AL$323,Ajustes!$L4,R$2),0) + R4</f>
        <v>139</v>
      </c>
      <c r="AE4">
        <f>IF(Ajustes!$G4&gt;0,INDEX($AA$4:$AL$323,Ajustes!$G4,S$2),0)+IF(Ajustes!$H4&gt;0,INDEX($AA$4:$AL$323,Ajustes!$H4,S$2),0)+IF(Ajustes!$I4&gt;0,INDEX($AA$4:$AL$323,Ajustes!$I4,S$2),0)+IF(Ajustes!$J4&gt;0,INDEX($AA$4:$AL$323,Ajustes!$J4,S$2),0)+IF(Ajustes!$K4&gt;0,INDEX($AA$5:$AL$324,Ajustes!$K4,S$2),0)+IF(Ajustes!$L4&gt;0,INDEX($AA$4:$AL$323,Ajustes!$L4,S$2),0) + S4</f>
        <v>105</v>
      </c>
      <c r="AF4">
        <f>IF(Ajustes!$G4&gt;0,INDEX($AA$4:$AL$323,Ajustes!$G4,T$2),0)+IF(Ajustes!$H4&gt;0,INDEX($AA$4:$AL$323,Ajustes!$H4,T$2),0)+IF(Ajustes!$I4&gt;0,INDEX($AA$4:$AL$323,Ajustes!$I4,T$2),0)+IF(Ajustes!$J4&gt;0,INDEX($AA$4:$AL$323,Ajustes!$J4,T$2),0)+IF(Ajustes!$K4&gt;0,INDEX($AA$5:$AL$324,Ajustes!$K4,T$2),0)+IF(Ajustes!$L4&gt;0,INDEX($AA$4:$AL$323,Ajustes!$L4,T$2),0) + T4</f>
        <v>89</v>
      </c>
      <c r="AG4">
        <f>IF(Ajustes!$G4&gt;0,INDEX($AA$4:$AL$323,Ajustes!$G4,U$2),0)+IF(Ajustes!$H4&gt;0,INDEX($AA$4:$AL$323,Ajustes!$H4,U$2),0)+IF(Ajustes!$I4&gt;0,INDEX($AA$4:$AL$323,Ajustes!$I4,U$2),0)+IF(Ajustes!$J4&gt;0,INDEX($AA$4:$AL$323,Ajustes!$J4,U$2),0)+IF(Ajustes!$K4&gt;0,INDEX($AA$5:$AL$324,Ajustes!$K4,U$2),0)+IF(Ajustes!$L4&gt;0,INDEX($AA$4:$AL$323,Ajustes!$L4,U$2),0) + U4</f>
        <v>74</v>
      </c>
      <c r="AH4">
        <f>IF(Ajustes!$G4&gt;0,INDEX($AA$4:$AL$323,Ajustes!$G4,V$2),0)+IF(Ajustes!$H4&gt;0,INDEX($AA$4:$AL$323,Ajustes!$H4,V$2),0)+IF(Ajustes!$I4&gt;0,INDEX($AA$4:$AL$323,Ajustes!$I4,V$2),0)+IF(Ajustes!$J4&gt;0,INDEX($AA$4:$AL$323,Ajustes!$J4,V$2),0)+IF(Ajustes!$K4&gt;0,INDEX($AA$5:$AL$324,Ajustes!$K4,V$2),0)+IF(Ajustes!$L4&gt;0,INDEX($AA$4:$AL$323,Ajustes!$L4,V$2),0) + V4</f>
        <v>64</v>
      </c>
      <c r="AI4">
        <f>IF(Ajustes!$G4&gt;0,INDEX($AA$4:$AL$323,Ajustes!$G4,W$2),0)+IF(Ajustes!$H4&gt;0,INDEX($AA$4:$AL$323,Ajustes!$H4,W$2),0)+IF(Ajustes!$I4&gt;0,INDEX($AA$4:$AL$323,Ajustes!$I4,W$2),0)+IF(Ajustes!$J4&gt;0,INDEX($AA$4:$AL$323,Ajustes!$J4,W$2),0)+IF(Ajustes!$K4&gt;0,INDEX($AA$5:$AL$324,Ajustes!$K4,W$2),0)+IF(Ajustes!$L4&gt;0,INDEX($AA$4:$AL$323,Ajustes!$L4,W$2),0) + W4</f>
        <v>67</v>
      </c>
      <c r="AJ4">
        <f>IF(Ajustes!$G4&gt;0,INDEX($AA$4:$AL$323,Ajustes!$G4,X$2),0)+IF(Ajustes!$H4&gt;0,INDEX($AA$4:$AL$323,Ajustes!$H4,X$2),0)+IF(Ajustes!$I4&gt;0,INDEX($AA$4:$AL$323,Ajustes!$I4,X$2),0)+IF(Ajustes!$J4&gt;0,INDEX($AA$4:$AL$323,Ajustes!$J4,X$2),0)+IF(Ajustes!$K4&gt;0,INDEX($AA$5:$AL$324,Ajustes!$K4,X$2),0)+IF(Ajustes!$L4&gt;0,INDEX($AA$4:$AL$323,Ajustes!$L4,X$2),0) + X4</f>
        <v>79</v>
      </c>
      <c r="AK4">
        <f>IF(Ajustes!$G4&gt;0,INDEX($AA$4:$AL$323,Ajustes!$G4,Y$2),0)+IF(Ajustes!$H4&gt;0,INDEX($AA$4:$AL$323,Ajustes!$H4,Y$2),0)+IF(Ajustes!$I4&gt;0,INDEX($AA$4:$AL$323,Ajustes!$I4,Y$2),0)+IF(Ajustes!$J4&gt;0,INDEX($AA$4:$AL$323,Ajustes!$J4,Y$2),0)+IF(Ajustes!$K4&gt;0,INDEX($AA$5:$AL$324,Ajustes!$K4,Y$2),0)+IF(Ajustes!$L4&gt;0,INDEX($AA$4:$AL$323,Ajustes!$L4,Y$2),0) + Y4</f>
        <v>111</v>
      </c>
      <c r="AL4">
        <f>IF(Ajustes!$G4&gt;0,INDEX($AA$4:$AL$323,Ajustes!$G4,Z$2),0)+IF(Ajustes!$H4&gt;0,INDEX($AA$4:$AL$323,Ajustes!$H4,Z$2),0)+IF(Ajustes!$I4&gt;0,INDEX($AA$4:$AL$323,Ajustes!$I4,Z$2),0)+IF(Ajustes!$J4&gt;0,INDEX($AA$4:$AL$323,Ajustes!$J4,Z$2),0)+IF(Ajustes!$K4&gt;0,INDEX($AA$5:$AL$324,Ajustes!$K4,Z$2),0)+IF(Ajustes!$L4&gt;0,INDEX($AA$4:$AL$323,Ajustes!$L4,Z$2),0) + Z4</f>
        <v>182</v>
      </c>
      <c r="AM4" s="113">
        <f t="shared" ref="AM4" si="0">AA4</f>
        <v>254</v>
      </c>
      <c r="AN4" s="113">
        <f t="shared" ref="AN4:AW4" si="1">ROUND(AB4,0)</f>
        <v>230</v>
      </c>
      <c r="AO4" s="113">
        <f t="shared" si="1"/>
        <v>204</v>
      </c>
      <c r="AP4" s="113">
        <f t="shared" si="1"/>
        <v>139</v>
      </c>
      <c r="AQ4" s="113">
        <f t="shared" si="1"/>
        <v>105</v>
      </c>
      <c r="AR4" s="113">
        <f t="shared" si="1"/>
        <v>89</v>
      </c>
      <c r="AS4" s="113">
        <f t="shared" si="1"/>
        <v>74</v>
      </c>
      <c r="AT4" s="113">
        <f t="shared" si="1"/>
        <v>64</v>
      </c>
      <c r="AU4" s="113">
        <f t="shared" si="1"/>
        <v>67</v>
      </c>
      <c r="AV4" s="113">
        <f t="shared" si="1"/>
        <v>79</v>
      </c>
      <c r="AW4" s="113">
        <f t="shared" si="1"/>
        <v>111</v>
      </c>
      <c r="AX4" s="113">
        <f t="shared" ref="AX4" si="2">AL4</f>
        <v>182</v>
      </c>
      <c r="BC4" s="121" t="s">
        <v>499</v>
      </c>
    </row>
    <row r="5" spans="1:67" x14ac:dyDescent="0.25">
      <c r="A5" s="113">
        <v>2</v>
      </c>
      <c r="B5" s="209" t="s">
        <v>537</v>
      </c>
      <c r="C5">
        <f>IFERROR(INDEX($BD$7:$BO$35,MATCH(Ajustes!$E$4:$E$323,$BC$7:$BC$35,0),$C$2:$N$2),1)</f>
        <v>1</v>
      </c>
      <c r="D5" s="113">
        <f>IFERROR(INDEX($BD$7:$BO$35,MATCH(Ajustes!$E$4:$E$323,$BC$7:$BC$35,0),$C$2:$N$2),1)</f>
        <v>1</v>
      </c>
      <c r="E5" s="113">
        <f>IFERROR(INDEX($BD$7:$BO$35,MATCH(Ajustes!$E$4:$E$323,$BC$7:$BC$35,0),$C$2:$N$2),1)</f>
        <v>1</v>
      </c>
      <c r="F5" s="113">
        <f>IFERROR(INDEX($BD$7:$BO$35,MATCH(Ajustes!$E$4:$E$323,$BC$7:$BC$35,0),$C$2:$N$2),1)</f>
        <v>1</v>
      </c>
      <c r="G5" s="113">
        <f>IFERROR(INDEX($BD$7:$BO$35,MATCH(Ajustes!$E$4:$E$323,$BC$7:$BC$35,0),$C$2:$N$2),1)</f>
        <v>1</v>
      </c>
      <c r="H5" s="113">
        <f>IFERROR(INDEX($BD$7:$BO$35,MATCH(Ajustes!$E$4:$E$323,$BC$7:$BC$35,0),$C$2:$N$2),1)</f>
        <v>1</v>
      </c>
      <c r="I5" s="113">
        <f>IFERROR(INDEX($BD$7:$BO$35,MATCH(Ajustes!$E$4:$E$323,$BC$7:$BC$35,0),$C$2:$N$2),1)</f>
        <v>1</v>
      </c>
      <c r="J5" s="113">
        <f>IFERROR(INDEX($BD$7:$BO$35,MATCH(Ajustes!$E$4:$E$323,$BC$7:$BC$35,0),$C$2:$N$2),1)</f>
        <v>1</v>
      </c>
      <c r="K5" s="113">
        <f>IFERROR(INDEX($BD$7:$BO$35,MATCH(Ajustes!$E$4:$E$323,$BC$7:$BC$35,0),$C$2:$N$2),1)</f>
        <v>1</v>
      </c>
      <c r="L5" s="113">
        <f>IFERROR(INDEX($BD$7:$BO$35,MATCH(Ajustes!$E$4:$E$323,$BC$7:$BC$35,0),$C$2:$N$2),1)</f>
        <v>1</v>
      </c>
      <c r="M5" s="113">
        <f>IFERROR(INDEX($BD$7:$BO$35,MATCH(Ajustes!$E$4:$E$323,$BC$7:$BC$35,0),$C$2:$N$2),1)</f>
        <v>1</v>
      </c>
      <c r="N5" s="113">
        <f>IFERROR(INDEX($BD$7:$BO$35,MATCH(Ajustes!$E$4:$E$323,$BC$7:$BC$35,0),$C$2:$N$2),1)</f>
        <v>1</v>
      </c>
      <c r="O5">
        <f>C5*Ajustes!AM5</f>
        <v>0</v>
      </c>
      <c r="P5">
        <f>D5*Ajustes!AN5</f>
        <v>0</v>
      </c>
      <c r="Q5">
        <f>E5*Ajustes!AO5</f>
        <v>0</v>
      </c>
      <c r="R5">
        <f>F5*Ajustes!AP5</f>
        <v>0</v>
      </c>
      <c r="S5">
        <f>G5*Ajustes!AQ5</f>
        <v>0</v>
      </c>
      <c r="T5">
        <f>H5*Ajustes!AR5</f>
        <v>0</v>
      </c>
      <c r="U5">
        <f>I5*Ajustes!AS5</f>
        <v>0</v>
      </c>
      <c r="V5">
        <f>J5*Ajustes!AT5</f>
        <v>0</v>
      </c>
      <c r="W5">
        <f>K5*Ajustes!AU5</f>
        <v>0</v>
      </c>
      <c r="X5">
        <f>L5*Ajustes!AV5</f>
        <v>0</v>
      </c>
      <c r="Y5">
        <f>M5*Ajustes!AW5</f>
        <v>0</v>
      </c>
      <c r="Z5">
        <f>N5*Ajustes!AX5</f>
        <v>0</v>
      </c>
      <c r="AA5">
        <f>IF(Ajustes!$G5&gt;0,INDEX($AA$4:$AL$323,Ajustes!$G5,O$2),0)+IF(Ajustes!$H5&gt;0,INDEX($AA$4:$AL$323,Ajustes!$H5,O$2),0)+IF(Ajustes!$I5&gt;0,INDEX($AA$4:$AL$323,Ajustes!$I5,O$2),0)+IF(Ajustes!$J5&gt;0,INDEX($AA$4:$AL$323,Ajustes!$J5,O$2),0)+IF(Ajustes!$K5&gt;0,INDEX($AA$5:$AL$324,Ajustes!$K5,O$2),0)+IF(Ajustes!$L5&gt;0,INDEX($AA$4:$AL$323,Ajustes!$L5,O$2),0) + O5</f>
        <v>254</v>
      </c>
      <c r="AB5">
        <f>IF(Ajustes!$G5&gt;0,INDEX($AA$4:$AL$323,Ajustes!$G5,P$2),0)+IF(Ajustes!$H5&gt;0,INDEX($AA$4:$AL$323,Ajustes!$H5,P$2),0)+IF(Ajustes!$I5&gt;0,INDEX($AA$4:$AL$323,Ajustes!$I5,P$2),0)+IF(Ajustes!$J5&gt;0,INDEX($AA$4:$AL$323,Ajustes!$J5,P$2),0)+IF(Ajustes!$K5&gt;0,INDEX($AA$5:$AL$324,Ajustes!$K5,P$2),0)+IF(Ajustes!$L5&gt;0,INDEX($AA$4:$AL$323,Ajustes!$L5,P$2),0) + P5</f>
        <v>230</v>
      </c>
      <c r="AC5">
        <f>IF(Ajustes!$G5&gt;0,INDEX($AA$4:$AL$323,Ajustes!$G5,Q$2),0)+IF(Ajustes!$H5&gt;0,INDEX($AA$4:$AL$323,Ajustes!$H5,Q$2),0)+IF(Ajustes!$I5&gt;0,INDEX($AA$4:$AL$323,Ajustes!$I5,Q$2),0)+IF(Ajustes!$J5&gt;0,INDEX($AA$4:$AL$323,Ajustes!$J5,Q$2),0)+IF(Ajustes!$K5&gt;0,INDEX($AA$5:$AL$324,Ajustes!$K5,Q$2),0)+IF(Ajustes!$L5&gt;0,INDEX($AA$4:$AL$323,Ajustes!$L5,Q$2),0) + Q5</f>
        <v>204</v>
      </c>
      <c r="AD5">
        <f>IF(Ajustes!$G5&gt;0,INDEX($AA$4:$AL$323,Ajustes!$G5,R$2),0)+IF(Ajustes!$H5&gt;0,INDEX($AA$4:$AL$323,Ajustes!$H5,R$2),0)+IF(Ajustes!$I5&gt;0,INDEX($AA$4:$AL$323,Ajustes!$I5,R$2),0)+IF(Ajustes!$J5&gt;0,INDEX($AA$4:$AL$323,Ajustes!$J5,R$2),0)+IF(Ajustes!$K5&gt;0,INDEX($AA$5:$AL$324,Ajustes!$K5,R$2),0)+IF(Ajustes!$L5&gt;0,INDEX($AA$4:$AL$323,Ajustes!$L5,R$2),0) + R5</f>
        <v>139</v>
      </c>
      <c r="AE5">
        <f>IF(Ajustes!$G5&gt;0,INDEX($AA$4:$AL$323,Ajustes!$G5,S$2),0)+IF(Ajustes!$H5&gt;0,INDEX($AA$4:$AL$323,Ajustes!$H5,S$2),0)+IF(Ajustes!$I5&gt;0,INDEX($AA$4:$AL$323,Ajustes!$I5,S$2),0)+IF(Ajustes!$J5&gt;0,INDEX($AA$4:$AL$323,Ajustes!$J5,S$2),0)+IF(Ajustes!$K5&gt;0,INDEX($AA$5:$AL$324,Ajustes!$K5,S$2),0)+IF(Ajustes!$L5&gt;0,INDEX($AA$4:$AL$323,Ajustes!$L5,S$2),0) + S5</f>
        <v>105</v>
      </c>
      <c r="AF5">
        <f>IF(Ajustes!$G5&gt;0,INDEX($AA$4:$AL$323,Ajustes!$G5,T$2),0)+IF(Ajustes!$H5&gt;0,INDEX($AA$4:$AL$323,Ajustes!$H5,T$2),0)+IF(Ajustes!$I5&gt;0,INDEX($AA$4:$AL$323,Ajustes!$I5,T$2),0)+IF(Ajustes!$J5&gt;0,INDEX($AA$4:$AL$323,Ajustes!$J5,T$2),0)+IF(Ajustes!$K5&gt;0,INDEX($AA$5:$AL$324,Ajustes!$K5,T$2),0)+IF(Ajustes!$L5&gt;0,INDEX($AA$4:$AL$323,Ajustes!$L5,T$2),0) + T5</f>
        <v>89</v>
      </c>
      <c r="AG5">
        <f>IF(Ajustes!$G5&gt;0,INDEX($AA$4:$AL$323,Ajustes!$G5,U$2),0)+IF(Ajustes!$H5&gt;0,INDEX($AA$4:$AL$323,Ajustes!$H5,U$2),0)+IF(Ajustes!$I5&gt;0,INDEX($AA$4:$AL$323,Ajustes!$I5,U$2),0)+IF(Ajustes!$J5&gt;0,INDEX($AA$4:$AL$323,Ajustes!$J5,U$2),0)+IF(Ajustes!$K5&gt;0,INDEX($AA$5:$AL$324,Ajustes!$K5,U$2),0)+IF(Ajustes!$L5&gt;0,INDEX($AA$4:$AL$323,Ajustes!$L5,U$2),0) + U5</f>
        <v>74</v>
      </c>
      <c r="AH5">
        <f>IF(Ajustes!$G5&gt;0,INDEX($AA$4:$AL$323,Ajustes!$G5,V$2),0)+IF(Ajustes!$H5&gt;0,INDEX($AA$4:$AL$323,Ajustes!$H5,V$2),0)+IF(Ajustes!$I5&gt;0,INDEX($AA$4:$AL$323,Ajustes!$I5,V$2),0)+IF(Ajustes!$J5&gt;0,INDEX($AA$4:$AL$323,Ajustes!$J5,V$2),0)+IF(Ajustes!$K5&gt;0,INDEX($AA$5:$AL$324,Ajustes!$K5,V$2),0)+IF(Ajustes!$L5&gt;0,INDEX($AA$4:$AL$323,Ajustes!$L5,V$2),0) + V5</f>
        <v>64</v>
      </c>
      <c r="AI5">
        <f>IF(Ajustes!$G5&gt;0,INDEX($AA$4:$AL$323,Ajustes!$G5,W$2),0)+IF(Ajustes!$H5&gt;0,INDEX($AA$4:$AL$323,Ajustes!$H5,W$2),0)+IF(Ajustes!$I5&gt;0,INDEX($AA$4:$AL$323,Ajustes!$I5,W$2),0)+IF(Ajustes!$J5&gt;0,INDEX($AA$4:$AL$323,Ajustes!$J5,W$2),0)+IF(Ajustes!$K5&gt;0,INDEX($AA$5:$AL$324,Ajustes!$K5,W$2),0)+IF(Ajustes!$L5&gt;0,INDEX($AA$4:$AL$323,Ajustes!$L5,W$2),0) + W5</f>
        <v>67</v>
      </c>
      <c r="AJ5">
        <f>IF(Ajustes!$G5&gt;0,INDEX($AA$4:$AL$323,Ajustes!$G5,X$2),0)+IF(Ajustes!$H5&gt;0,INDEX($AA$4:$AL$323,Ajustes!$H5,X$2),0)+IF(Ajustes!$I5&gt;0,INDEX($AA$4:$AL$323,Ajustes!$I5,X$2),0)+IF(Ajustes!$J5&gt;0,INDEX($AA$4:$AL$323,Ajustes!$J5,X$2),0)+IF(Ajustes!$K5&gt;0,INDEX($AA$5:$AL$324,Ajustes!$K5,X$2),0)+IF(Ajustes!$L5&gt;0,INDEX($AA$4:$AL$323,Ajustes!$L5,X$2),0) + X5</f>
        <v>79</v>
      </c>
      <c r="AK5">
        <f>IF(Ajustes!$G5&gt;0,INDEX($AA$4:$AL$323,Ajustes!$G5,Y$2),0)+IF(Ajustes!$H5&gt;0,INDEX($AA$4:$AL$323,Ajustes!$H5,Y$2),0)+IF(Ajustes!$I5&gt;0,INDEX($AA$4:$AL$323,Ajustes!$I5,Y$2),0)+IF(Ajustes!$J5&gt;0,INDEX($AA$4:$AL$323,Ajustes!$J5,Y$2),0)+IF(Ajustes!$K5&gt;0,INDEX($AA$5:$AL$324,Ajustes!$K5,Y$2),0)+IF(Ajustes!$L5&gt;0,INDEX($AA$4:$AL$323,Ajustes!$L5,Y$2),0) + Y5</f>
        <v>111</v>
      </c>
      <c r="AL5">
        <f>IF(Ajustes!$G5&gt;0,INDEX($AA$4:$AL$323,Ajustes!$G5,Z$2),0)+IF(Ajustes!$H5&gt;0,INDEX($AA$4:$AL$323,Ajustes!$H5,Z$2),0)+IF(Ajustes!$I5&gt;0,INDEX($AA$4:$AL$323,Ajustes!$I5,Z$2),0)+IF(Ajustes!$J5&gt;0,INDEX($AA$4:$AL$323,Ajustes!$J5,Z$2),0)+IF(Ajustes!$K5&gt;0,INDEX($AA$5:$AL$324,Ajustes!$K5,Z$2),0)+IF(Ajustes!$L5&gt;0,INDEX($AA$4:$AL$323,Ajustes!$L5,Z$2),0) + Z5</f>
        <v>182</v>
      </c>
      <c r="AM5" s="113">
        <f t="shared" ref="AM5:AT39" si="3">AA5</f>
        <v>254</v>
      </c>
      <c r="AN5" s="113">
        <f t="shared" si="3"/>
        <v>230</v>
      </c>
      <c r="AO5" s="113">
        <f t="shared" si="3"/>
        <v>204</v>
      </c>
      <c r="AP5" s="113">
        <f t="shared" si="3"/>
        <v>139</v>
      </c>
      <c r="AQ5" s="113">
        <f t="shared" si="3"/>
        <v>105</v>
      </c>
      <c r="AR5" s="113">
        <f t="shared" si="3"/>
        <v>89</v>
      </c>
      <c r="AS5" s="113">
        <f t="shared" si="3"/>
        <v>74</v>
      </c>
      <c r="AT5" s="113">
        <f t="shared" si="3"/>
        <v>64</v>
      </c>
      <c r="AU5" s="113">
        <f t="shared" ref="AU5:AX39" si="4">AI5</f>
        <v>67</v>
      </c>
      <c r="AV5" s="113">
        <f t="shared" si="4"/>
        <v>79</v>
      </c>
      <c r="AW5" s="113">
        <f t="shared" si="4"/>
        <v>111</v>
      </c>
      <c r="AX5" s="113">
        <f t="shared" si="4"/>
        <v>182</v>
      </c>
      <c r="BC5" s="122" t="s">
        <v>500</v>
      </c>
    </row>
    <row r="6" spans="1:67" ht="15.75" thickBot="1" x14ac:dyDescent="0.3">
      <c r="A6" s="113">
        <v>3</v>
      </c>
      <c r="B6" s="209"/>
      <c r="C6">
        <f>IFERROR(INDEX($BD$7:$BO$35,MATCH(Ajustes!$E$4:$E$323,$BC$7:$BC$35,0),$C$2:$N$2),1)</f>
        <v>1</v>
      </c>
      <c r="D6" s="113">
        <f>IFERROR(INDEX($BD$7:$BO$35,MATCH(Ajustes!$E$4:$E$323,$BC$7:$BC$35,0),$C$2:$N$2),1)</f>
        <v>1</v>
      </c>
      <c r="E6" s="113">
        <f>IFERROR(INDEX($BD$7:$BO$35,MATCH(Ajustes!$E$4:$E$323,$BC$7:$BC$35,0),$C$2:$N$2),1)</f>
        <v>1</v>
      </c>
      <c r="F6" s="113">
        <f>IFERROR(INDEX($BD$7:$BO$35,MATCH(Ajustes!$E$4:$E$323,$BC$7:$BC$35,0),$C$2:$N$2),1)</f>
        <v>1</v>
      </c>
      <c r="G6" s="113">
        <f>IFERROR(INDEX($BD$7:$BO$35,MATCH(Ajustes!$E$4:$E$323,$BC$7:$BC$35,0),$C$2:$N$2),1)</f>
        <v>1</v>
      </c>
      <c r="H6" s="113">
        <f>IFERROR(INDEX($BD$7:$BO$35,MATCH(Ajustes!$E$4:$E$323,$BC$7:$BC$35,0),$C$2:$N$2),1)</f>
        <v>1</v>
      </c>
      <c r="I6" s="113">
        <f>IFERROR(INDEX($BD$7:$BO$35,MATCH(Ajustes!$E$4:$E$323,$BC$7:$BC$35,0),$C$2:$N$2),1)</f>
        <v>1</v>
      </c>
      <c r="J6" s="113">
        <f>IFERROR(INDEX($BD$7:$BO$35,MATCH(Ajustes!$E$4:$E$323,$BC$7:$BC$35,0),$C$2:$N$2),1)</f>
        <v>1</v>
      </c>
      <c r="K6" s="113">
        <f>IFERROR(INDEX($BD$7:$BO$35,MATCH(Ajustes!$E$4:$E$323,$BC$7:$BC$35,0),$C$2:$N$2),1)</f>
        <v>1</v>
      </c>
      <c r="L6" s="113">
        <f>IFERROR(INDEX($BD$7:$BO$35,MATCH(Ajustes!$E$4:$E$323,$BC$7:$BC$35,0),$C$2:$N$2),1)</f>
        <v>1</v>
      </c>
      <c r="M6" s="113">
        <f>IFERROR(INDEX($BD$7:$BO$35,MATCH(Ajustes!$E$4:$E$323,$BC$7:$BC$35,0),$C$2:$N$2),1)</f>
        <v>1</v>
      </c>
      <c r="N6" s="113">
        <f>IFERROR(INDEX($BD$7:$BO$35,MATCH(Ajustes!$E$4:$E$323,$BC$7:$BC$35,0),$C$2:$N$2),1)</f>
        <v>1</v>
      </c>
      <c r="O6">
        <f>C6*Ajustes!AM6</f>
        <v>0</v>
      </c>
      <c r="P6">
        <f>D6*Ajustes!AN6</f>
        <v>0</v>
      </c>
      <c r="Q6">
        <f>E6*Ajustes!AO6</f>
        <v>0</v>
      </c>
      <c r="R6">
        <f>F6*Ajustes!AP6</f>
        <v>0</v>
      </c>
      <c r="S6">
        <f>G6*Ajustes!AQ6</f>
        <v>0</v>
      </c>
      <c r="T6">
        <f>H6*Ajustes!AR6</f>
        <v>0</v>
      </c>
      <c r="U6">
        <f>I6*Ajustes!AS6</f>
        <v>0</v>
      </c>
      <c r="V6">
        <f>J6*Ajustes!AT6</f>
        <v>0</v>
      </c>
      <c r="W6">
        <f>K6*Ajustes!AU6</f>
        <v>0</v>
      </c>
      <c r="X6">
        <f>L6*Ajustes!AV6</f>
        <v>0</v>
      </c>
      <c r="Y6">
        <f>M6*Ajustes!AW6</f>
        <v>0</v>
      </c>
      <c r="Z6">
        <f>N6*Ajustes!AX6</f>
        <v>0</v>
      </c>
      <c r="AA6">
        <f>IF(Ajustes!$G6&gt;0,INDEX($AA$4:$AL$323,Ajustes!$G6,O$2),0)+IF(Ajustes!$H6&gt;0,INDEX($AA$4:$AL$323,Ajustes!$H6,O$2),0)+IF(Ajustes!$I6&gt;0,INDEX($AA$4:$AL$323,Ajustes!$I6,O$2),0)+IF(Ajustes!$J6&gt;0,INDEX($AA$4:$AL$323,Ajustes!$J6,O$2),0)+IF(Ajustes!$K6&gt;0,INDEX($AA$5:$AL$324,Ajustes!$K6,O$2),0)+IF(Ajustes!$L6&gt;0,INDEX($AA$4:$AL$323,Ajustes!$L6,O$2),0) + O6</f>
        <v>0</v>
      </c>
      <c r="AB6">
        <f>IF(Ajustes!$G6&gt;0,INDEX($AA$4:$AL$323,Ajustes!$G6,P$2),0)+IF(Ajustes!$H6&gt;0,INDEX($AA$4:$AL$323,Ajustes!$H6,P$2),0)+IF(Ajustes!$I6&gt;0,INDEX($AA$4:$AL$323,Ajustes!$I6,P$2),0)+IF(Ajustes!$J6&gt;0,INDEX($AA$4:$AL$323,Ajustes!$J6,P$2),0)+IF(Ajustes!$K6&gt;0,INDEX($AA$5:$AL$324,Ajustes!$K6,P$2),0)+IF(Ajustes!$L6&gt;0,INDEX($AA$4:$AL$323,Ajustes!$L6,P$2),0) + P6</f>
        <v>0</v>
      </c>
      <c r="AC6">
        <f>IF(Ajustes!$G6&gt;0,INDEX($AA$4:$AL$323,Ajustes!$G6,Q$2),0)+IF(Ajustes!$H6&gt;0,INDEX($AA$4:$AL$323,Ajustes!$H6,Q$2),0)+IF(Ajustes!$I6&gt;0,INDEX($AA$4:$AL$323,Ajustes!$I6,Q$2),0)+IF(Ajustes!$J6&gt;0,INDEX($AA$4:$AL$323,Ajustes!$J6,Q$2),0)+IF(Ajustes!$K6&gt;0,INDEX($AA$5:$AL$324,Ajustes!$K6,Q$2),0)+IF(Ajustes!$L6&gt;0,INDEX($AA$4:$AL$323,Ajustes!$L6,Q$2),0) + Q6</f>
        <v>0</v>
      </c>
      <c r="AD6">
        <f>IF(Ajustes!$G6&gt;0,INDEX($AA$4:$AL$323,Ajustes!$G6,R$2),0)+IF(Ajustes!$H6&gt;0,INDEX($AA$4:$AL$323,Ajustes!$H6,R$2),0)+IF(Ajustes!$I6&gt;0,INDEX($AA$4:$AL$323,Ajustes!$I6,R$2),0)+IF(Ajustes!$J6&gt;0,INDEX($AA$4:$AL$323,Ajustes!$J6,R$2),0)+IF(Ajustes!$K6&gt;0,INDEX($AA$5:$AL$324,Ajustes!$K6,R$2),0)+IF(Ajustes!$L6&gt;0,INDEX($AA$4:$AL$323,Ajustes!$L6,R$2),0) + R6</f>
        <v>0</v>
      </c>
      <c r="AE6">
        <f>IF(Ajustes!$G6&gt;0,INDEX($AA$4:$AL$323,Ajustes!$G6,S$2),0)+IF(Ajustes!$H6&gt;0,INDEX($AA$4:$AL$323,Ajustes!$H6,S$2),0)+IF(Ajustes!$I6&gt;0,INDEX($AA$4:$AL$323,Ajustes!$I6,S$2),0)+IF(Ajustes!$J6&gt;0,INDEX($AA$4:$AL$323,Ajustes!$J6,S$2),0)+IF(Ajustes!$K6&gt;0,INDEX($AA$5:$AL$324,Ajustes!$K6,S$2),0)+IF(Ajustes!$L6&gt;0,INDEX($AA$4:$AL$323,Ajustes!$L6,S$2),0) + S6</f>
        <v>0</v>
      </c>
      <c r="AF6">
        <f>IF(Ajustes!$G6&gt;0,INDEX($AA$4:$AL$323,Ajustes!$G6,T$2),0)+IF(Ajustes!$H6&gt;0,INDEX($AA$4:$AL$323,Ajustes!$H6,T$2),0)+IF(Ajustes!$I6&gt;0,INDEX($AA$4:$AL$323,Ajustes!$I6,T$2),0)+IF(Ajustes!$J6&gt;0,INDEX($AA$4:$AL$323,Ajustes!$J6,T$2),0)+IF(Ajustes!$K6&gt;0,INDEX($AA$5:$AL$324,Ajustes!$K6,T$2),0)+IF(Ajustes!$L6&gt;0,INDEX($AA$4:$AL$323,Ajustes!$L6,T$2),0) + T6</f>
        <v>0</v>
      </c>
      <c r="AG6">
        <f>IF(Ajustes!$G6&gt;0,INDEX($AA$4:$AL$323,Ajustes!$G6,U$2),0)+IF(Ajustes!$H6&gt;0,INDEX($AA$4:$AL$323,Ajustes!$H6,U$2),0)+IF(Ajustes!$I6&gt;0,INDEX($AA$4:$AL$323,Ajustes!$I6,U$2),0)+IF(Ajustes!$J6&gt;0,INDEX($AA$4:$AL$323,Ajustes!$J6,U$2),0)+IF(Ajustes!$K6&gt;0,INDEX($AA$5:$AL$324,Ajustes!$K6,U$2),0)+IF(Ajustes!$L6&gt;0,INDEX($AA$4:$AL$323,Ajustes!$L6,U$2),0) + U6</f>
        <v>0</v>
      </c>
      <c r="AH6">
        <f>IF(Ajustes!$G6&gt;0,INDEX($AA$4:$AL$323,Ajustes!$G6,V$2),0)+IF(Ajustes!$H6&gt;0,INDEX($AA$4:$AL$323,Ajustes!$H6,V$2),0)+IF(Ajustes!$I6&gt;0,INDEX($AA$4:$AL$323,Ajustes!$I6,V$2),0)+IF(Ajustes!$J6&gt;0,INDEX($AA$4:$AL$323,Ajustes!$J6,V$2),0)+IF(Ajustes!$K6&gt;0,INDEX($AA$5:$AL$324,Ajustes!$K6,V$2),0)+IF(Ajustes!$L6&gt;0,INDEX($AA$4:$AL$323,Ajustes!$L6,V$2),0) + V6</f>
        <v>0</v>
      </c>
      <c r="AI6">
        <f>IF(Ajustes!$G6&gt;0,INDEX($AA$4:$AL$323,Ajustes!$G6,W$2),0)+IF(Ajustes!$H6&gt;0,INDEX($AA$4:$AL$323,Ajustes!$H6,W$2),0)+IF(Ajustes!$I6&gt;0,INDEX($AA$4:$AL$323,Ajustes!$I6,W$2),0)+IF(Ajustes!$J6&gt;0,INDEX($AA$4:$AL$323,Ajustes!$J6,W$2),0)+IF(Ajustes!$K6&gt;0,INDEX($AA$5:$AL$324,Ajustes!$K6,W$2),0)+IF(Ajustes!$L6&gt;0,INDEX($AA$4:$AL$323,Ajustes!$L6,W$2),0) + W6</f>
        <v>0</v>
      </c>
      <c r="AJ6">
        <f>IF(Ajustes!$G6&gt;0,INDEX($AA$4:$AL$323,Ajustes!$G6,X$2),0)+IF(Ajustes!$H6&gt;0,INDEX($AA$4:$AL$323,Ajustes!$H6,X$2),0)+IF(Ajustes!$I6&gt;0,INDEX($AA$4:$AL$323,Ajustes!$I6,X$2),0)+IF(Ajustes!$J6&gt;0,INDEX($AA$4:$AL$323,Ajustes!$J6,X$2),0)+IF(Ajustes!$K6&gt;0,INDEX($AA$5:$AL$324,Ajustes!$K6,X$2),0)+IF(Ajustes!$L6&gt;0,INDEX($AA$4:$AL$323,Ajustes!$L6,X$2),0) + X6</f>
        <v>0</v>
      </c>
      <c r="AK6">
        <f>IF(Ajustes!$G6&gt;0,INDEX($AA$4:$AL$323,Ajustes!$G6,Y$2),0)+IF(Ajustes!$H6&gt;0,INDEX($AA$4:$AL$323,Ajustes!$H6,Y$2),0)+IF(Ajustes!$I6&gt;0,INDEX($AA$4:$AL$323,Ajustes!$I6,Y$2),0)+IF(Ajustes!$J6&gt;0,INDEX($AA$4:$AL$323,Ajustes!$J6,Y$2),0)+IF(Ajustes!$K6&gt;0,INDEX($AA$5:$AL$324,Ajustes!$K6,Y$2),0)+IF(Ajustes!$L6&gt;0,INDEX($AA$4:$AL$323,Ajustes!$L6,Y$2),0) + Y6</f>
        <v>0</v>
      </c>
      <c r="AL6">
        <f>IF(Ajustes!$G6&gt;0,INDEX($AA$4:$AL$323,Ajustes!$G6,Z$2),0)+IF(Ajustes!$H6&gt;0,INDEX($AA$4:$AL$323,Ajustes!$H6,Z$2),0)+IF(Ajustes!$I6&gt;0,INDEX($AA$4:$AL$323,Ajustes!$I6,Z$2),0)+IF(Ajustes!$J6&gt;0,INDEX($AA$4:$AL$323,Ajustes!$J6,Z$2),0)+IF(Ajustes!$K6&gt;0,INDEX($AA$5:$AL$324,Ajustes!$K6,Z$2),0)+IF(Ajustes!$L6&gt;0,INDEX($AA$4:$AL$323,Ajustes!$L6,Z$2),0) + Z6</f>
        <v>0</v>
      </c>
      <c r="AM6" s="113">
        <f t="shared" si="3"/>
        <v>0</v>
      </c>
      <c r="AN6" s="113">
        <f t="shared" si="3"/>
        <v>0</v>
      </c>
      <c r="AO6" s="113">
        <f t="shared" si="3"/>
        <v>0</v>
      </c>
      <c r="AP6" s="113">
        <f t="shared" si="3"/>
        <v>0</v>
      </c>
      <c r="AQ6" s="113">
        <f t="shared" si="3"/>
        <v>0</v>
      </c>
      <c r="AR6" s="113">
        <f t="shared" si="3"/>
        <v>0</v>
      </c>
      <c r="AS6" s="113">
        <f t="shared" si="3"/>
        <v>0</v>
      </c>
      <c r="AT6" s="113">
        <f t="shared" si="3"/>
        <v>0</v>
      </c>
      <c r="AU6" s="113">
        <f t="shared" si="4"/>
        <v>0</v>
      </c>
      <c r="AV6" s="113">
        <f t="shared" si="4"/>
        <v>0</v>
      </c>
      <c r="AW6" s="113">
        <f t="shared" si="4"/>
        <v>0</v>
      </c>
      <c r="AX6" s="113">
        <f t="shared" si="4"/>
        <v>0</v>
      </c>
      <c r="BC6" s="125" t="s">
        <v>501</v>
      </c>
      <c r="BD6">
        <v>1</v>
      </c>
      <c r="BE6">
        <v>2</v>
      </c>
      <c r="BF6">
        <v>3</v>
      </c>
      <c r="BG6">
        <v>4</v>
      </c>
      <c r="BH6">
        <v>5</v>
      </c>
      <c r="BI6">
        <v>6</v>
      </c>
      <c r="BJ6">
        <v>7</v>
      </c>
      <c r="BK6">
        <v>8</v>
      </c>
      <c r="BL6">
        <v>9</v>
      </c>
      <c r="BM6">
        <v>10</v>
      </c>
      <c r="BN6">
        <v>11</v>
      </c>
      <c r="BO6">
        <v>12</v>
      </c>
    </row>
    <row r="7" spans="1:67" x14ac:dyDescent="0.25">
      <c r="A7" s="113">
        <v>4</v>
      </c>
      <c r="B7" s="209"/>
      <c r="C7">
        <f>IFERROR(INDEX($BD$7:$BO$35,MATCH(Ajustes!$E$4:$E$323,$BC$7:$BC$35,0),$C$2:$N$2),1)</f>
        <v>1</v>
      </c>
      <c r="D7" s="113">
        <f>IFERROR(INDEX($BD$7:$BO$35,MATCH(Ajustes!$E$4:$E$323,$BC$7:$BC$35,0),$C$2:$N$2),1)</f>
        <v>1</v>
      </c>
      <c r="E7" s="113">
        <f>IFERROR(INDEX($BD$7:$BO$35,MATCH(Ajustes!$E$4:$E$323,$BC$7:$BC$35,0),$C$2:$N$2),1)</f>
        <v>1</v>
      </c>
      <c r="F7" s="113">
        <f>IFERROR(INDEX($BD$7:$BO$35,MATCH(Ajustes!$E$4:$E$323,$BC$7:$BC$35,0),$C$2:$N$2),1)</f>
        <v>1</v>
      </c>
      <c r="G7" s="113">
        <f>IFERROR(INDEX($BD$7:$BO$35,MATCH(Ajustes!$E$4:$E$323,$BC$7:$BC$35,0),$C$2:$N$2),1)</f>
        <v>1</v>
      </c>
      <c r="H7" s="113">
        <f>IFERROR(INDEX($BD$7:$BO$35,MATCH(Ajustes!$E$4:$E$323,$BC$7:$BC$35,0),$C$2:$N$2),1)</f>
        <v>1</v>
      </c>
      <c r="I7" s="113">
        <f>IFERROR(INDEX($BD$7:$BO$35,MATCH(Ajustes!$E$4:$E$323,$BC$7:$BC$35,0),$C$2:$N$2),1)</f>
        <v>1</v>
      </c>
      <c r="J7" s="113">
        <f>IFERROR(INDEX($BD$7:$BO$35,MATCH(Ajustes!$E$4:$E$323,$BC$7:$BC$35,0),$C$2:$N$2),1)</f>
        <v>1</v>
      </c>
      <c r="K7" s="113">
        <f>IFERROR(INDEX($BD$7:$BO$35,MATCH(Ajustes!$E$4:$E$323,$BC$7:$BC$35,0),$C$2:$N$2),1)</f>
        <v>1</v>
      </c>
      <c r="L7" s="113">
        <f>IFERROR(INDEX($BD$7:$BO$35,MATCH(Ajustes!$E$4:$E$323,$BC$7:$BC$35,0),$C$2:$N$2),1)</f>
        <v>1</v>
      </c>
      <c r="M7" s="113">
        <f>IFERROR(INDEX($BD$7:$BO$35,MATCH(Ajustes!$E$4:$E$323,$BC$7:$BC$35,0),$C$2:$N$2),1)</f>
        <v>1</v>
      </c>
      <c r="N7" s="113">
        <f>IFERROR(INDEX($BD$7:$BO$35,MATCH(Ajustes!$E$4:$E$323,$BC$7:$BC$35,0),$C$2:$N$2),1)</f>
        <v>1</v>
      </c>
      <c r="O7">
        <f>C7*Ajustes!AM7</f>
        <v>0</v>
      </c>
      <c r="P7">
        <f>D7*Ajustes!AN7</f>
        <v>0</v>
      </c>
      <c r="Q7">
        <f>E7*Ajustes!AO7</f>
        <v>0</v>
      </c>
      <c r="R7">
        <f>F7*Ajustes!AP7</f>
        <v>0</v>
      </c>
      <c r="S7">
        <f>G7*Ajustes!AQ7</f>
        <v>0</v>
      </c>
      <c r="T7">
        <f>H7*Ajustes!AR7</f>
        <v>0</v>
      </c>
      <c r="U7">
        <f>I7*Ajustes!AS7</f>
        <v>0</v>
      </c>
      <c r="V7">
        <f>J7*Ajustes!AT7</f>
        <v>0</v>
      </c>
      <c r="W7">
        <f>K7*Ajustes!AU7</f>
        <v>0</v>
      </c>
      <c r="X7">
        <f>L7*Ajustes!AV7</f>
        <v>0</v>
      </c>
      <c r="Y7">
        <f>M7*Ajustes!AW7</f>
        <v>0</v>
      </c>
      <c r="Z7">
        <f>N7*Ajustes!AX7</f>
        <v>0</v>
      </c>
      <c r="AA7">
        <f>IF(Ajustes!$G7&gt;0,INDEX($AA$4:$AL$323,Ajustes!$G7,O$2),0)+IF(Ajustes!$H7&gt;0,INDEX($AA$4:$AL$323,Ajustes!$H7,O$2),0)+IF(Ajustes!$I7&gt;0,INDEX($AA$4:$AL$323,Ajustes!$I7,O$2),0)+IF(Ajustes!$J7&gt;0,INDEX($AA$4:$AL$323,Ajustes!$J7,O$2),0)+IF(Ajustes!$K7&gt;0,INDEX($AA$5:$AL$324,Ajustes!$K7,O$2),0)+IF(Ajustes!$L7&gt;0,INDEX($AA$4:$AL$323,Ajustes!$L7,O$2),0) + O7</f>
        <v>0</v>
      </c>
      <c r="AB7">
        <f>IF(Ajustes!$G7&gt;0,INDEX($AA$4:$AL$323,Ajustes!$G7,P$2),0)+IF(Ajustes!$H7&gt;0,INDEX($AA$4:$AL$323,Ajustes!$H7,P$2),0)+IF(Ajustes!$I7&gt;0,INDEX($AA$4:$AL$323,Ajustes!$I7,P$2),0)+IF(Ajustes!$J7&gt;0,INDEX($AA$4:$AL$323,Ajustes!$J7,P$2),0)+IF(Ajustes!$K7&gt;0,INDEX($AA$5:$AL$324,Ajustes!$K7,P$2),0)+IF(Ajustes!$L7&gt;0,INDEX($AA$4:$AL$323,Ajustes!$L7,P$2),0) + P7</f>
        <v>0</v>
      </c>
      <c r="AC7">
        <f>IF(Ajustes!$G7&gt;0,INDEX($AA$4:$AL$323,Ajustes!$G7,Q$2),0)+IF(Ajustes!$H7&gt;0,INDEX($AA$4:$AL$323,Ajustes!$H7,Q$2),0)+IF(Ajustes!$I7&gt;0,INDEX($AA$4:$AL$323,Ajustes!$I7,Q$2),0)+IF(Ajustes!$J7&gt;0,INDEX($AA$4:$AL$323,Ajustes!$J7,Q$2),0)+IF(Ajustes!$K7&gt;0,INDEX($AA$5:$AL$324,Ajustes!$K7,Q$2),0)+IF(Ajustes!$L7&gt;0,INDEX($AA$4:$AL$323,Ajustes!$L7,Q$2),0) + Q7</f>
        <v>0</v>
      </c>
      <c r="AD7">
        <f>IF(Ajustes!$G7&gt;0,INDEX($AA$4:$AL$323,Ajustes!$G7,R$2),0)+IF(Ajustes!$H7&gt;0,INDEX($AA$4:$AL$323,Ajustes!$H7,R$2),0)+IF(Ajustes!$I7&gt;0,INDEX($AA$4:$AL$323,Ajustes!$I7,R$2),0)+IF(Ajustes!$J7&gt;0,INDEX($AA$4:$AL$323,Ajustes!$J7,R$2),0)+IF(Ajustes!$K7&gt;0,INDEX($AA$5:$AL$324,Ajustes!$K7,R$2),0)+IF(Ajustes!$L7&gt;0,INDEX($AA$4:$AL$323,Ajustes!$L7,R$2),0) + R7</f>
        <v>0</v>
      </c>
      <c r="AE7">
        <f>IF(Ajustes!$G7&gt;0,INDEX($AA$4:$AL$323,Ajustes!$G7,S$2),0)+IF(Ajustes!$H7&gt;0,INDEX($AA$4:$AL$323,Ajustes!$H7,S$2),0)+IF(Ajustes!$I7&gt;0,INDEX($AA$4:$AL$323,Ajustes!$I7,S$2),0)+IF(Ajustes!$J7&gt;0,INDEX($AA$4:$AL$323,Ajustes!$J7,S$2),0)+IF(Ajustes!$K7&gt;0,INDEX($AA$5:$AL$324,Ajustes!$K7,S$2),0)+IF(Ajustes!$L7&gt;0,INDEX($AA$4:$AL$323,Ajustes!$L7,S$2),0) + S7</f>
        <v>0</v>
      </c>
      <c r="AF7">
        <f>IF(Ajustes!$G7&gt;0,INDEX($AA$4:$AL$323,Ajustes!$G7,T$2),0)+IF(Ajustes!$H7&gt;0,INDEX($AA$4:$AL$323,Ajustes!$H7,T$2),0)+IF(Ajustes!$I7&gt;0,INDEX($AA$4:$AL$323,Ajustes!$I7,T$2),0)+IF(Ajustes!$J7&gt;0,INDEX($AA$4:$AL$323,Ajustes!$J7,T$2),0)+IF(Ajustes!$K7&gt;0,INDEX($AA$5:$AL$324,Ajustes!$K7,T$2),0)+IF(Ajustes!$L7&gt;0,INDEX($AA$4:$AL$323,Ajustes!$L7,T$2),0) + T7</f>
        <v>0</v>
      </c>
      <c r="AG7">
        <f>IF(Ajustes!$G7&gt;0,INDEX($AA$4:$AL$323,Ajustes!$G7,U$2),0)+IF(Ajustes!$H7&gt;0,INDEX($AA$4:$AL$323,Ajustes!$H7,U$2),0)+IF(Ajustes!$I7&gt;0,INDEX($AA$4:$AL$323,Ajustes!$I7,U$2),0)+IF(Ajustes!$J7&gt;0,INDEX($AA$4:$AL$323,Ajustes!$J7,U$2),0)+IF(Ajustes!$K7&gt;0,INDEX($AA$5:$AL$324,Ajustes!$K7,U$2),0)+IF(Ajustes!$L7&gt;0,INDEX($AA$4:$AL$323,Ajustes!$L7,U$2),0) + U7</f>
        <v>0</v>
      </c>
      <c r="AH7">
        <f>IF(Ajustes!$G7&gt;0,INDEX($AA$4:$AL$323,Ajustes!$G7,V$2),0)+IF(Ajustes!$H7&gt;0,INDEX($AA$4:$AL$323,Ajustes!$H7,V$2),0)+IF(Ajustes!$I7&gt;0,INDEX($AA$4:$AL$323,Ajustes!$I7,V$2),0)+IF(Ajustes!$J7&gt;0,INDEX($AA$4:$AL$323,Ajustes!$J7,V$2),0)+IF(Ajustes!$K7&gt;0,INDEX($AA$5:$AL$324,Ajustes!$K7,V$2),0)+IF(Ajustes!$L7&gt;0,INDEX($AA$4:$AL$323,Ajustes!$L7,V$2),0) + V7</f>
        <v>0</v>
      </c>
      <c r="AI7">
        <f>IF(Ajustes!$G7&gt;0,INDEX($AA$4:$AL$323,Ajustes!$G7,W$2),0)+IF(Ajustes!$H7&gt;0,INDEX($AA$4:$AL$323,Ajustes!$H7,W$2),0)+IF(Ajustes!$I7&gt;0,INDEX($AA$4:$AL$323,Ajustes!$I7,W$2),0)+IF(Ajustes!$J7&gt;0,INDEX($AA$4:$AL$323,Ajustes!$J7,W$2),0)+IF(Ajustes!$K7&gt;0,INDEX($AA$5:$AL$324,Ajustes!$K7,W$2),0)+IF(Ajustes!$L7&gt;0,INDEX($AA$4:$AL$323,Ajustes!$L7,W$2),0) + W7</f>
        <v>0</v>
      </c>
      <c r="AJ7">
        <f>IF(Ajustes!$G7&gt;0,INDEX($AA$4:$AL$323,Ajustes!$G7,X$2),0)+IF(Ajustes!$H7&gt;0,INDEX($AA$4:$AL$323,Ajustes!$H7,X$2),0)+IF(Ajustes!$I7&gt;0,INDEX($AA$4:$AL$323,Ajustes!$I7,X$2),0)+IF(Ajustes!$J7&gt;0,INDEX($AA$4:$AL$323,Ajustes!$J7,X$2),0)+IF(Ajustes!$K7&gt;0,INDEX($AA$5:$AL$324,Ajustes!$K7,X$2),0)+IF(Ajustes!$L7&gt;0,INDEX($AA$4:$AL$323,Ajustes!$L7,X$2),0) + X7</f>
        <v>0</v>
      </c>
      <c r="AK7">
        <f>IF(Ajustes!$G7&gt;0,INDEX($AA$4:$AL$323,Ajustes!$G7,Y$2),0)+IF(Ajustes!$H7&gt;0,INDEX($AA$4:$AL$323,Ajustes!$H7,Y$2),0)+IF(Ajustes!$I7&gt;0,INDEX($AA$4:$AL$323,Ajustes!$I7,Y$2),0)+IF(Ajustes!$J7&gt;0,INDEX($AA$4:$AL$323,Ajustes!$J7,Y$2),0)+IF(Ajustes!$K7&gt;0,INDEX($AA$5:$AL$324,Ajustes!$K7,Y$2),0)+IF(Ajustes!$L7&gt;0,INDEX($AA$4:$AL$323,Ajustes!$L7,Y$2),0) + Y7</f>
        <v>0</v>
      </c>
      <c r="AL7">
        <f>IF(Ajustes!$G7&gt;0,INDEX($AA$4:$AL$323,Ajustes!$G7,Z$2),0)+IF(Ajustes!$H7&gt;0,INDEX($AA$4:$AL$323,Ajustes!$H7,Z$2),0)+IF(Ajustes!$I7&gt;0,INDEX($AA$4:$AL$323,Ajustes!$I7,Z$2),0)+IF(Ajustes!$J7&gt;0,INDEX($AA$4:$AL$323,Ajustes!$J7,Z$2),0)+IF(Ajustes!$K7&gt;0,INDEX($AA$5:$AL$324,Ajustes!$K7,Z$2),0)+IF(Ajustes!$L7&gt;0,INDEX($AA$4:$AL$323,Ajustes!$L7,Z$2),0) + Z7</f>
        <v>0</v>
      </c>
      <c r="AM7" s="113">
        <f t="shared" si="3"/>
        <v>0</v>
      </c>
      <c r="AN7" s="113">
        <f t="shared" si="3"/>
        <v>0</v>
      </c>
      <c r="AO7" s="113">
        <f t="shared" si="3"/>
        <v>0</v>
      </c>
      <c r="AP7" s="113">
        <f t="shared" si="3"/>
        <v>0</v>
      </c>
      <c r="AQ7" s="113">
        <f t="shared" si="3"/>
        <v>0</v>
      </c>
      <c r="AR7" s="113">
        <f t="shared" si="3"/>
        <v>0</v>
      </c>
      <c r="AS7" s="113">
        <f t="shared" si="3"/>
        <v>0</v>
      </c>
      <c r="AT7" s="113">
        <f t="shared" si="3"/>
        <v>0</v>
      </c>
      <c r="AU7" s="113">
        <f t="shared" si="4"/>
        <v>0</v>
      </c>
      <c r="AV7" s="113">
        <f t="shared" si="4"/>
        <v>0</v>
      </c>
      <c r="AW7" s="113">
        <f t="shared" si="4"/>
        <v>0</v>
      </c>
      <c r="AX7" s="113">
        <f t="shared" si="4"/>
        <v>0</v>
      </c>
      <c r="BB7">
        <f>ROW()</f>
        <v>7</v>
      </c>
      <c r="BC7" s="283" t="s">
        <v>2</v>
      </c>
      <c r="BD7" s="284">
        <v>1</v>
      </c>
      <c r="BE7" s="116">
        <v>1</v>
      </c>
      <c r="BF7" s="116">
        <v>1</v>
      </c>
      <c r="BG7" s="116">
        <v>1</v>
      </c>
      <c r="BH7" s="116">
        <v>1</v>
      </c>
      <c r="BI7" s="116">
        <v>1</v>
      </c>
      <c r="BJ7" s="116">
        <v>1</v>
      </c>
      <c r="BK7" s="116">
        <v>1</v>
      </c>
      <c r="BL7" s="116">
        <v>1</v>
      </c>
      <c r="BM7" s="116">
        <v>1</v>
      </c>
      <c r="BN7" s="116">
        <v>1</v>
      </c>
      <c r="BO7" s="285">
        <v>1</v>
      </c>
    </row>
    <row r="8" spans="1:67" x14ac:dyDescent="0.25">
      <c r="A8" s="113">
        <v>5</v>
      </c>
      <c r="B8" s="209"/>
      <c r="C8">
        <f>IFERROR(INDEX($BD$7:$BO$35,MATCH(Ajustes!$E$4:$E$323,$BC$7:$BC$35,0),$C$2:$N$2),1)</f>
        <v>1</v>
      </c>
      <c r="D8" s="113">
        <f>IFERROR(INDEX($BD$7:$BO$35,MATCH(Ajustes!$E$4:$E$323,$BC$7:$BC$35,0),$C$2:$N$2),1)</f>
        <v>1</v>
      </c>
      <c r="E8" s="113">
        <f>IFERROR(INDEX($BD$7:$BO$35,MATCH(Ajustes!$E$4:$E$323,$BC$7:$BC$35,0),$C$2:$N$2),1)</f>
        <v>1</v>
      </c>
      <c r="F8" s="113">
        <f>IFERROR(INDEX($BD$7:$BO$35,MATCH(Ajustes!$E$4:$E$323,$BC$7:$BC$35,0),$C$2:$N$2),1)</f>
        <v>1</v>
      </c>
      <c r="G8" s="113">
        <f>IFERROR(INDEX($BD$7:$BO$35,MATCH(Ajustes!$E$4:$E$323,$BC$7:$BC$35,0),$C$2:$N$2),1)</f>
        <v>1</v>
      </c>
      <c r="H8" s="113">
        <f>IFERROR(INDEX($BD$7:$BO$35,MATCH(Ajustes!$E$4:$E$323,$BC$7:$BC$35,0),$C$2:$N$2),1)</f>
        <v>1</v>
      </c>
      <c r="I8" s="113">
        <f>IFERROR(INDEX($BD$7:$BO$35,MATCH(Ajustes!$E$4:$E$323,$BC$7:$BC$35,0),$C$2:$N$2),1)</f>
        <v>1</v>
      </c>
      <c r="J8" s="113">
        <f>IFERROR(INDEX($BD$7:$BO$35,MATCH(Ajustes!$E$4:$E$323,$BC$7:$BC$35,0),$C$2:$N$2),1)</f>
        <v>1</v>
      </c>
      <c r="K8" s="113">
        <f>IFERROR(INDEX($BD$7:$BO$35,MATCH(Ajustes!$E$4:$E$323,$BC$7:$BC$35,0),$C$2:$N$2),1)</f>
        <v>1</v>
      </c>
      <c r="L8" s="113">
        <f>IFERROR(INDEX($BD$7:$BO$35,MATCH(Ajustes!$E$4:$E$323,$BC$7:$BC$35,0),$C$2:$N$2),1)</f>
        <v>1</v>
      </c>
      <c r="M8" s="113">
        <f>IFERROR(INDEX($BD$7:$BO$35,MATCH(Ajustes!$E$4:$E$323,$BC$7:$BC$35,0),$C$2:$N$2),1)</f>
        <v>1</v>
      </c>
      <c r="N8" s="113">
        <f>IFERROR(INDEX($BD$7:$BO$35,MATCH(Ajustes!$E$4:$E$323,$BC$7:$BC$35,0),$C$2:$N$2),1)</f>
        <v>1</v>
      </c>
      <c r="O8">
        <f>C8*Ajustes!AM8</f>
        <v>0</v>
      </c>
      <c r="P8">
        <f>D8*Ajustes!AN8</f>
        <v>0</v>
      </c>
      <c r="Q8">
        <f>E8*Ajustes!AO8</f>
        <v>0</v>
      </c>
      <c r="R8">
        <f>F8*Ajustes!AP8</f>
        <v>0</v>
      </c>
      <c r="S8">
        <f>G8*Ajustes!AQ8</f>
        <v>0</v>
      </c>
      <c r="T8">
        <f>H8*Ajustes!AR8</f>
        <v>0</v>
      </c>
      <c r="U8">
        <f>I8*Ajustes!AS8</f>
        <v>0</v>
      </c>
      <c r="V8">
        <f>J8*Ajustes!AT8</f>
        <v>0</v>
      </c>
      <c r="W8">
        <f>K8*Ajustes!AU8</f>
        <v>0</v>
      </c>
      <c r="X8">
        <f>L8*Ajustes!AV8</f>
        <v>0</v>
      </c>
      <c r="Y8">
        <f>M8*Ajustes!AW8</f>
        <v>0</v>
      </c>
      <c r="Z8">
        <f>N8*Ajustes!AX8</f>
        <v>0</v>
      </c>
      <c r="AA8">
        <f>IF(Ajustes!$G8&gt;0,INDEX($AA$4:$AL$323,Ajustes!$G8,O$2),0)+IF(Ajustes!$H8&gt;0,INDEX($AA$4:$AL$323,Ajustes!$H8,O$2),0)+IF(Ajustes!$I8&gt;0,INDEX($AA$4:$AL$323,Ajustes!$I8,O$2),0)+IF(Ajustes!$J8&gt;0,INDEX($AA$4:$AL$323,Ajustes!$J8,O$2),0)+IF(Ajustes!$K8&gt;0,INDEX($AA$5:$AL$324,Ajustes!$K8,O$2),0)+IF(Ajustes!$L8&gt;0,INDEX($AA$4:$AL$323,Ajustes!$L8,O$2),0) + O8</f>
        <v>0</v>
      </c>
      <c r="AB8">
        <f>IF(Ajustes!$G8&gt;0,INDEX($AA$4:$AL$323,Ajustes!$G8,P$2),0)+IF(Ajustes!$H8&gt;0,INDEX($AA$4:$AL$323,Ajustes!$H8,P$2),0)+IF(Ajustes!$I8&gt;0,INDEX($AA$4:$AL$323,Ajustes!$I8,P$2),0)+IF(Ajustes!$J8&gt;0,INDEX($AA$4:$AL$323,Ajustes!$J8,P$2),0)+IF(Ajustes!$K8&gt;0,INDEX($AA$5:$AL$324,Ajustes!$K8,P$2),0)+IF(Ajustes!$L8&gt;0,INDEX($AA$4:$AL$323,Ajustes!$L8,P$2),0) + P8</f>
        <v>0</v>
      </c>
      <c r="AC8">
        <f>IF(Ajustes!$G8&gt;0,INDEX($AA$4:$AL$323,Ajustes!$G8,Q$2),0)+IF(Ajustes!$H8&gt;0,INDEX($AA$4:$AL$323,Ajustes!$H8,Q$2),0)+IF(Ajustes!$I8&gt;0,INDEX($AA$4:$AL$323,Ajustes!$I8,Q$2),0)+IF(Ajustes!$J8&gt;0,INDEX($AA$4:$AL$323,Ajustes!$J8,Q$2),0)+IF(Ajustes!$K8&gt;0,INDEX($AA$5:$AL$324,Ajustes!$K8,Q$2),0)+IF(Ajustes!$L8&gt;0,INDEX($AA$4:$AL$323,Ajustes!$L8,Q$2),0) + Q8</f>
        <v>0</v>
      </c>
      <c r="AD8">
        <f>IF(Ajustes!$G8&gt;0,INDEX($AA$4:$AL$323,Ajustes!$G8,R$2),0)+IF(Ajustes!$H8&gt;0,INDEX($AA$4:$AL$323,Ajustes!$H8,R$2),0)+IF(Ajustes!$I8&gt;0,INDEX($AA$4:$AL$323,Ajustes!$I8,R$2),0)+IF(Ajustes!$J8&gt;0,INDEX($AA$4:$AL$323,Ajustes!$J8,R$2),0)+IF(Ajustes!$K8&gt;0,INDEX($AA$5:$AL$324,Ajustes!$K8,R$2),0)+IF(Ajustes!$L8&gt;0,INDEX($AA$4:$AL$323,Ajustes!$L8,R$2),0) + R8</f>
        <v>0</v>
      </c>
      <c r="AE8">
        <f>IF(Ajustes!$G8&gt;0,INDEX($AA$4:$AL$323,Ajustes!$G8,S$2),0)+IF(Ajustes!$H8&gt;0,INDEX($AA$4:$AL$323,Ajustes!$H8,S$2),0)+IF(Ajustes!$I8&gt;0,INDEX($AA$4:$AL$323,Ajustes!$I8,S$2),0)+IF(Ajustes!$J8&gt;0,INDEX($AA$4:$AL$323,Ajustes!$J8,S$2),0)+IF(Ajustes!$K8&gt;0,INDEX($AA$5:$AL$324,Ajustes!$K8,S$2),0)+IF(Ajustes!$L8&gt;0,INDEX($AA$4:$AL$323,Ajustes!$L8,S$2),0) + S8</f>
        <v>0</v>
      </c>
      <c r="AF8">
        <f>IF(Ajustes!$G8&gt;0,INDEX($AA$4:$AL$323,Ajustes!$G8,T$2),0)+IF(Ajustes!$H8&gt;0,INDEX($AA$4:$AL$323,Ajustes!$H8,T$2),0)+IF(Ajustes!$I8&gt;0,INDEX($AA$4:$AL$323,Ajustes!$I8,T$2),0)+IF(Ajustes!$J8&gt;0,INDEX($AA$4:$AL$323,Ajustes!$J8,T$2),0)+IF(Ajustes!$K8&gt;0,INDEX($AA$5:$AL$324,Ajustes!$K8,T$2),0)+IF(Ajustes!$L8&gt;0,INDEX($AA$4:$AL$323,Ajustes!$L8,T$2),0) + T8</f>
        <v>0</v>
      </c>
      <c r="AG8">
        <f>IF(Ajustes!$G8&gt;0,INDEX($AA$4:$AL$323,Ajustes!$G8,U$2),0)+IF(Ajustes!$H8&gt;0,INDEX($AA$4:$AL$323,Ajustes!$H8,U$2),0)+IF(Ajustes!$I8&gt;0,INDEX($AA$4:$AL$323,Ajustes!$I8,U$2),0)+IF(Ajustes!$J8&gt;0,INDEX($AA$4:$AL$323,Ajustes!$J8,U$2),0)+IF(Ajustes!$K8&gt;0,INDEX($AA$5:$AL$324,Ajustes!$K8,U$2),0)+IF(Ajustes!$L8&gt;0,INDEX($AA$4:$AL$323,Ajustes!$L8,U$2),0) + U8</f>
        <v>0</v>
      </c>
      <c r="AH8">
        <f>IF(Ajustes!$G8&gt;0,INDEX($AA$4:$AL$323,Ajustes!$G8,V$2),0)+IF(Ajustes!$H8&gt;0,INDEX($AA$4:$AL$323,Ajustes!$H8,V$2),0)+IF(Ajustes!$I8&gt;0,INDEX($AA$4:$AL$323,Ajustes!$I8,V$2),0)+IF(Ajustes!$J8&gt;0,INDEX($AA$4:$AL$323,Ajustes!$J8,V$2),0)+IF(Ajustes!$K8&gt;0,INDEX($AA$5:$AL$324,Ajustes!$K8,V$2),0)+IF(Ajustes!$L8&gt;0,INDEX($AA$4:$AL$323,Ajustes!$L8,V$2),0) + V8</f>
        <v>0</v>
      </c>
      <c r="AI8">
        <f>IF(Ajustes!$G8&gt;0,INDEX($AA$4:$AL$323,Ajustes!$G8,W$2),0)+IF(Ajustes!$H8&gt;0,INDEX($AA$4:$AL$323,Ajustes!$H8,W$2),0)+IF(Ajustes!$I8&gt;0,INDEX($AA$4:$AL$323,Ajustes!$I8,W$2),0)+IF(Ajustes!$J8&gt;0,INDEX($AA$4:$AL$323,Ajustes!$J8,W$2),0)+IF(Ajustes!$K8&gt;0,INDEX($AA$5:$AL$324,Ajustes!$K8,W$2),0)+IF(Ajustes!$L8&gt;0,INDEX($AA$4:$AL$323,Ajustes!$L8,W$2),0) + W8</f>
        <v>0</v>
      </c>
      <c r="AJ8">
        <f>IF(Ajustes!$G8&gt;0,INDEX($AA$4:$AL$323,Ajustes!$G8,X$2),0)+IF(Ajustes!$H8&gt;0,INDEX($AA$4:$AL$323,Ajustes!$H8,X$2),0)+IF(Ajustes!$I8&gt;0,INDEX($AA$4:$AL$323,Ajustes!$I8,X$2),0)+IF(Ajustes!$J8&gt;0,INDEX($AA$4:$AL$323,Ajustes!$J8,X$2),0)+IF(Ajustes!$K8&gt;0,INDEX($AA$5:$AL$324,Ajustes!$K8,X$2),0)+IF(Ajustes!$L8&gt;0,INDEX($AA$4:$AL$323,Ajustes!$L8,X$2),0) + X8</f>
        <v>0</v>
      </c>
      <c r="AK8">
        <f>IF(Ajustes!$G8&gt;0,INDEX($AA$4:$AL$323,Ajustes!$G8,Y$2),0)+IF(Ajustes!$H8&gt;0,INDEX($AA$4:$AL$323,Ajustes!$H8,Y$2),0)+IF(Ajustes!$I8&gt;0,INDEX($AA$4:$AL$323,Ajustes!$I8,Y$2),0)+IF(Ajustes!$J8&gt;0,INDEX($AA$4:$AL$323,Ajustes!$J8,Y$2),0)+IF(Ajustes!$K8&gt;0,INDEX($AA$5:$AL$324,Ajustes!$K8,Y$2),0)+IF(Ajustes!$L8&gt;0,INDEX($AA$4:$AL$323,Ajustes!$L8,Y$2),0) + Y8</f>
        <v>0</v>
      </c>
      <c r="AL8">
        <f>IF(Ajustes!$G8&gt;0,INDEX($AA$4:$AL$323,Ajustes!$G8,Z$2),0)+IF(Ajustes!$H8&gt;0,INDEX($AA$4:$AL$323,Ajustes!$H8,Z$2),0)+IF(Ajustes!$I8&gt;0,INDEX($AA$4:$AL$323,Ajustes!$I8,Z$2),0)+IF(Ajustes!$J8&gt;0,INDEX($AA$4:$AL$323,Ajustes!$J8,Z$2),0)+IF(Ajustes!$K8&gt;0,INDEX($AA$5:$AL$324,Ajustes!$K8,Z$2),0)+IF(Ajustes!$L8&gt;0,INDEX($AA$4:$AL$323,Ajustes!$L8,Z$2),0) + Z8</f>
        <v>0</v>
      </c>
      <c r="AM8" s="113">
        <f t="shared" si="3"/>
        <v>0</v>
      </c>
      <c r="AN8" s="113">
        <f t="shared" si="3"/>
        <v>0</v>
      </c>
      <c r="AO8" s="113">
        <f t="shared" si="3"/>
        <v>0</v>
      </c>
      <c r="AP8" s="113">
        <f t="shared" si="3"/>
        <v>0</v>
      </c>
      <c r="AQ8" s="113">
        <f t="shared" si="3"/>
        <v>0</v>
      </c>
      <c r="AR8" s="113">
        <f t="shared" si="3"/>
        <v>0</v>
      </c>
      <c r="AS8" s="113">
        <f t="shared" si="3"/>
        <v>0</v>
      </c>
      <c r="AT8" s="113">
        <f t="shared" si="3"/>
        <v>0</v>
      </c>
      <c r="AU8" s="113">
        <f t="shared" si="4"/>
        <v>0</v>
      </c>
      <c r="AV8" s="113">
        <f t="shared" si="4"/>
        <v>0</v>
      </c>
      <c r="AW8" s="113">
        <f t="shared" si="4"/>
        <v>0</v>
      </c>
      <c r="AX8" s="113">
        <f t="shared" si="4"/>
        <v>0</v>
      </c>
      <c r="BB8">
        <f>ROW()</f>
        <v>8</v>
      </c>
      <c r="BC8" s="286" t="s">
        <v>3</v>
      </c>
      <c r="BD8" s="115">
        <v>1</v>
      </c>
      <c r="BE8" s="115">
        <v>1</v>
      </c>
      <c r="BF8" s="115">
        <v>1</v>
      </c>
      <c r="BG8" s="115">
        <v>1</v>
      </c>
      <c r="BH8" s="115">
        <v>1</v>
      </c>
      <c r="BI8" s="115">
        <v>1</v>
      </c>
      <c r="BJ8" s="115">
        <v>1</v>
      </c>
      <c r="BK8" s="115">
        <v>1</v>
      </c>
      <c r="BL8" s="115">
        <v>1</v>
      </c>
      <c r="BM8" s="115">
        <v>1</v>
      </c>
      <c r="BN8" s="115">
        <v>1</v>
      </c>
      <c r="BO8" s="287">
        <v>1</v>
      </c>
    </row>
    <row r="9" spans="1:67" x14ac:dyDescent="0.25">
      <c r="A9" s="113">
        <v>6</v>
      </c>
      <c r="B9" s="209" t="s">
        <v>538</v>
      </c>
      <c r="C9">
        <f>IFERROR(INDEX($BD$7:$BO$35,MATCH(Ajustes!$E$4:$E$323,$BC$7:$BC$35,0),$C$2:$N$2),1)</f>
        <v>1</v>
      </c>
      <c r="D9" s="113">
        <f>IFERROR(INDEX($BD$7:$BO$35,MATCH(Ajustes!$E$4:$E$323,$BC$7:$BC$35,0),$C$2:$N$2),1)</f>
        <v>1</v>
      </c>
      <c r="E9" s="113">
        <f>IFERROR(INDEX($BD$7:$BO$35,MATCH(Ajustes!$E$4:$E$323,$BC$7:$BC$35,0),$C$2:$N$2),1)</f>
        <v>1</v>
      </c>
      <c r="F9" s="113">
        <f>IFERROR(INDEX($BD$7:$BO$35,MATCH(Ajustes!$E$4:$E$323,$BC$7:$BC$35,0),$C$2:$N$2),1)</f>
        <v>1</v>
      </c>
      <c r="G9" s="113">
        <f>IFERROR(INDEX($BD$7:$BO$35,MATCH(Ajustes!$E$4:$E$323,$BC$7:$BC$35,0),$C$2:$N$2),1)</f>
        <v>1</v>
      </c>
      <c r="H9" s="113">
        <f>IFERROR(INDEX($BD$7:$BO$35,MATCH(Ajustes!$E$4:$E$323,$BC$7:$BC$35,0),$C$2:$N$2),1)</f>
        <v>1</v>
      </c>
      <c r="I9" s="113">
        <f>IFERROR(INDEX($BD$7:$BO$35,MATCH(Ajustes!$E$4:$E$323,$BC$7:$BC$35,0),$C$2:$N$2),1)</f>
        <v>1</v>
      </c>
      <c r="J9" s="113">
        <f>IFERROR(INDEX($BD$7:$BO$35,MATCH(Ajustes!$E$4:$E$323,$BC$7:$BC$35,0),$C$2:$N$2),1)</f>
        <v>1</v>
      </c>
      <c r="K9" s="113">
        <f>IFERROR(INDEX($BD$7:$BO$35,MATCH(Ajustes!$E$4:$E$323,$BC$7:$BC$35,0),$C$2:$N$2),1)</f>
        <v>1</v>
      </c>
      <c r="L9" s="113">
        <f>IFERROR(INDEX($BD$7:$BO$35,MATCH(Ajustes!$E$4:$E$323,$BC$7:$BC$35,0),$C$2:$N$2),1)</f>
        <v>1</v>
      </c>
      <c r="M9" s="113">
        <f>IFERROR(INDEX($BD$7:$BO$35,MATCH(Ajustes!$E$4:$E$323,$BC$7:$BC$35,0),$C$2:$N$2),1)</f>
        <v>1</v>
      </c>
      <c r="N9" s="113">
        <f>IFERROR(INDEX($BD$7:$BO$35,MATCH(Ajustes!$E$4:$E$323,$BC$7:$BC$35,0),$C$2:$N$2),1)</f>
        <v>1</v>
      </c>
      <c r="O9">
        <f>C9*Ajustes!AM9</f>
        <v>1187</v>
      </c>
      <c r="P9">
        <f>D9*Ajustes!AN9</f>
        <v>1126</v>
      </c>
      <c r="Q9">
        <f>E9*Ajustes!AO9</f>
        <v>1004</v>
      </c>
      <c r="R9">
        <f>F9*Ajustes!AP9</f>
        <v>688</v>
      </c>
      <c r="S9">
        <f>G9*Ajustes!AQ9</f>
        <v>501</v>
      </c>
      <c r="T9">
        <f>H9*Ajustes!AR9</f>
        <v>418</v>
      </c>
      <c r="U9">
        <f>I9*Ajustes!AS9</f>
        <v>339</v>
      </c>
      <c r="V9">
        <f>J9*Ajustes!AT9</f>
        <v>274</v>
      </c>
      <c r="W9">
        <f>K9*Ajustes!AU9</f>
        <v>288</v>
      </c>
      <c r="X9">
        <f>L9*Ajustes!AV9</f>
        <v>337</v>
      </c>
      <c r="Y9">
        <f>M9*Ajustes!AW9</f>
        <v>467</v>
      </c>
      <c r="Z9">
        <f>N9*Ajustes!AX9</f>
        <v>812</v>
      </c>
      <c r="AA9">
        <f>IF(Ajustes!$G9&gt;0,INDEX($AA$4:$AL$323,Ajustes!$G9,O$2),0)+IF(Ajustes!$H9&gt;0,INDEX($AA$4:$AL$323,Ajustes!$H9,O$2),0)+IF(Ajustes!$I9&gt;0,INDEX($AA$4:$AL$323,Ajustes!$I9,O$2),0)+IF(Ajustes!$J9&gt;0,INDEX($AA$4:$AL$323,Ajustes!$J9,O$2),0)+IF(Ajustes!$K9&gt;0,INDEX($AA$5:$AL$324,Ajustes!$K9,O$2),0)+IF(Ajustes!$L9&gt;0,INDEX($AA$4:$AL$323,Ajustes!$L9,O$2),0) + O9</f>
        <v>1782</v>
      </c>
      <c r="AB9">
        <f>IF(Ajustes!$G9&gt;0,INDEX($AA$4:$AL$323,Ajustes!$G9,P$2),0)+IF(Ajustes!$H9&gt;0,INDEX($AA$4:$AL$323,Ajustes!$H9,P$2),0)+IF(Ajustes!$I9&gt;0,INDEX($AA$4:$AL$323,Ajustes!$I9,P$2),0)+IF(Ajustes!$J9&gt;0,INDEX($AA$4:$AL$323,Ajustes!$J9,P$2),0)+IF(Ajustes!$K9&gt;0,INDEX($AA$5:$AL$324,Ajustes!$K9,P$2),0)+IF(Ajustes!$L9&gt;0,INDEX($AA$4:$AL$323,Ajustes!$L9,P$2),0) + P9</f>
        <v>1653</v>
      </c>
      <c r="AC9">
        <f>IF(Ajustes!$G9&gt;0,INDEX($AA$4:$AL$323,Ajustes!$G9,Q$2),0)+IF(Ajustes!$H9&gt;0,INDEX($AA$4:$AL$323,Ajustes!$H9,Q$2),0)+IF(Ajustes!$I9&gt;0,INDEX($AA$4:$AL$323,Ajustes!$I9,Q$2),0)+IF(Ajustes!$J9&gt;0,INDEX($AA$4:$AL$323,Ajustes!$J9,Q$2),0)+IF(Ajustes!$K9&gt;0,INDEX($AA$5:$AL$324,Ajustes!$K9,Q$2),0)+IF(Ajustes!$L9&gt;0,INDEX($AA$4:$AL$323,Ajustes!$L9,Q$2),0) + Q9</f>
        <v>1470</v>
      </c>
      <c r="AD9">
        <f>IF(Ajustes!$G9&gt;0,INDEX($AA$4:$AL$323,Ajustes!$G9,R$2),0)+IF(Ajustes!$H9&gt;0,INDEX($AA$4:$AL$323,Ajustes!$H9,R$2),0)+IF(Ajustes!$I9&gt;0,INDEX($AA$4:$AL$323,Ajustes!$I9,R$2),0)+IF(Ajustes!$J9&gt;0,INDEX($AA$4:$AL$323,Ajustes!$J9,R$2),0)+IF(Ajustes!$K9&gt;0,INDEX($AA$5:$AL$324,Ajustes!$K9,R$2),0)+IF(Ajustes!$L9&gt;0,INDEX($AA$4:$AL$323,Ajustes!$L9,R$2),0) + R9</f>
        <v>1010</v>
      </c>
      <c r="AE9">
        <f>IF(Ajustes!$G9&gt;0,INDEX($AA$4:$AL$323,Ajustes!$G9,S$2),0)+IF(Ajustes!$H9&gt;0,INDEX($AA$4:$AL$323,Ajustes!$H9,S$2),0)+IF(Ajustes!$I9&gt;0,INDEX($AA$4:$AL$323,Ajustes!$I9,S$2),0)+IF(Ajustes!$J9&gt;0,INDEX($AA$4:$AL$323,Ajustes!$J9,S$2),0)+IF(Ajustes!$K9&gt;0,INDEX($AA$5:$AL$324,Ajustes!$K9,S$2),0)+IF(Ajustes!$L9&gt;0,INDEX($AA$4:$AL$323,Ajustes!$L9,S$2),0) + S9</f>
        <v>738</v>
      </c>
      <c r="AF9">
        <f>IF(Ajustes!$G9&gt;0,INDEX($AA$4:$AL$323,Ajustes!$G9,T$2),0)+IF(Ajustes!$H9&gt;0,INDEX($AA$4:$AL$323,Ajustes!$H9,T$2),0)+IF(Ajustes!$I9&gt;0,INDEX($AA$4:$AL$323,Ajustes!$I9,T$2),0)+IF(Ajustes!$J9&gt;0,INDEX($AA$4:$AL$323,Ajustes!$J9,T$2),0)+IF(Ajustes!$K9&gt;0,INDEX($AA$5:$AL$324,Ajustes!$K9,T$2),0)+IF(Ajustes!$L9&gt;0,INDEX($AA$4:$AL$323,Ajustes!$L9,T$2),0) + T9</f>
        <v>616</v>
      </c>
      <c r="AG9">
        <f>IF(Ajustes!$G9&gt;0,INDEX($AA$4:$AL$323,Ajustes!$G9,U$2),0)+IF(Ajustes!$H9&gt;0,INDEX($AA$4:$AL$323,Ajustes!$H9,U$2),0)+IF(Ajustes!$I9&gt;0,INDEX($AA$4:$AL$323,Ajustes!$I9,U$2),0)+IF(Ajustes!$J9&gt;0,INDEX($AA$4:$AL$323,Ajustes!$J9,U$2),0)+IF(Ajustes!$K9&gt;0,INDEX($AA$5:$AL$324,Ajustes!$K9,U$2),0)+IF(Ajustes!$L9&gt;0,INDEX($AA$4:$AL$323,Ajustes!$L9,U$2),0) + U9</f>
        <v>506</v>
      </c>
      <c r="AH9">
        <f>IF(Ajustes!$G9&gt;0,INDEX($AA$4:$AL$323,Ajustes!$G9,V$2),0)+IF(Ajustes!$H9&gt;0,INDEX($AA$4:$AL$323,Ajustes!$H9,V$2),0)+IF(Ajustes!$I9&gt;0,INDEX($AA$4:$AL$323,Ajustes!$I9,V$2),0)+IF(Ajustes!$J9&gt;0,INDEX($AA$4:$AL$323,Ajustes!$J9,V$2),0)+IF(Ajustes!$K9&gt;0,INDEX($AA$5:$AL$324,Ajustes!$K9,V$2),0)+IF(Ajustes!$L9&gt;0,INDEX($AA$4:$AL$323,Ajustes!$L9,V$2),0) + V9</f>
        <v>416</v>
      </c>
      <c r="AI9">
        <f>IF(Ajustes!$G9&gt;0,INDEX($AA$4:$AL$323,Ajustes!$G9,W$2),0)+IF(Ajustes!$H9&gt;0,INDEX($AA$4:$AL$323,Ajustes!$H9,W$2),0)+IF(Ajustes!$I9&gt;0,INDEX($AA$4:$AL$323,Ajustes!$I9,W$2),0)+IF(Ajustes!$J9&gt;0,INDEX($AA$4:$AL$323,Ajustes!$J9,W$2),0)+IF(Ajustes!$K9&gt;0,INDEX($AA$5:$AL$324,Ajustes!$K9,W$2),0)+IF(Ajustes!$L9&gt;0,INDEX($AA$4:$AL$323,Ajustes!$L9,W$2),0) + W9</f>
        <v>433</v>
      </c>
      <c r="AJ9">
        <f>IF(Ajustes!$G9&gt;0,INDEX($AA$4:$AL$323,Ajustes!$G9,X$2),0)+IF(Ajustes!$H9&gt;0,INDEX($AA$4:$AL$323,Ajustes!$H9,X$2),0)+IF(Ajustes!$I9&gt;0,INDEX($AA$4:$AL$323,Ajustes!$I9,X$2),0)+IF(Ajustes!$J9&gt;0,INDEX($AA$4:$AL$323,Ajustes!$J9,X$2),0)+IF(Ajustes!$K9&gt;0,INDEX($AA$5:$AL$324,Ajustes!$K9,X$2),0)+IF(Ajustes!$L9&gt;0,INDEX($AA$4:$AL$323,Ajustes!$L9,X$2),0) + X9</f>
        <v>511</v>
      </c>
      <c r="AK9">
        <f>IF(Ajustes!$G9&gt;0,INDEX($AA$4:$AL$323,Ajustes!$G9,Y$2),0)+IF(Ajustes!$H9&gt;0,INDEX($AA$4:$AL$323,Ajustes!$H9,Y$2),0)+IF(Ajustes!$I9&gt;0,INDEX($AA$4:$AL$323,Ajustes!$I9,Y$2),0)+IF(Ajustes!$J9&gt;0,INDEX($AA$4:$AL$323,Ajustes!$J9,Y$2),0)+IF(Ajustes!$K9&gt;0,INDEX($AA$5:$AL$324,Ajustes!$K9,Y$2),0)+IF(Ajustes!$L9&gt;0,INDEX($AA$4:$AL$323,Ajustes!$L9,Y$2),0) + Y9</f>
        <v>722</v>
      </c>
      <c r="AL9">
        <f>IF(Ajustes!$G9&gt;0,INDEX($AA$4:$AL$323,Ajustes!$G9,Z$2),0)+IF(Ajustes!$H9&gt;0,INDEX($AA$4:$AL$323,Ajustes!$H9,Z$2),0)+IF(Ajustes!$I9&gt;0,INDEX($AA$4:$AL$323,Ajustes!$I9,Z$2),0)+IF(Ajustes!$J9&gt;0,INDEX($AA$4:$AL$323,Ajustes!$J9,Z$2),0)+IF(Ajustes!$K9&gt;0,INDEX($AA$5:$AL$324,Ajustes!$K9,Z$2),0)+IF(Ajustes!$L9&gt;0,INDEX($AA$4:$AL$323,Ajustes!$L9,Z$2),0) + Z9</f>
        <v>1244</v>
      </c>
      <c r="AM9" s="113">
        <f t="shared" si="3"/>
        <v>1782</v>
      </c>
      <c r="AN9" s="113">
        <f t="shared" si="3"/>
        <v>1653</v>
      </c>
      <c r="AO9" s="113">
        <f t="shared" si="3"/>
        <v>1470</v>
      </c>
      <c r="AP9" s="113">
        <f t="shared" si="3"/>
        <v>1010</v>
      </c>
      <c r="AQ9" s="113">
        <f t="shared" si="3"/>
        <v>738</v>
      </c>
      <c r="AR9" s="113">
        <f t="shared" si="3"/>
        <v>616</v>
      </c>
      <c r="AS9" s="113">
        <f t="shared" si="3"/>
        <v>506</v>
      </c>
      <c r="AT9" s="113">
        <f t="shared" si="3"/>
        <v>416</v>
      </c>
      <c r="AU9" s="113">
        <f t="shared" si="4"/>
        <v>433</v>
      </c>
      <c r="AV9" s="113">
        <f t="shared" si="4"/>
        <v>511</v>
      </c>
      <c r="AW9" s="113">
        <f t="shared" si="4"/>
        <v>722</v>
      </c>
      <c r="AX9" s="113">
        <f t="shared" si="4"/>
        <v>1244</v>
      </c>
      <c r="BB9">
        <f>ROW()</f>
        <v>9</v>
      </c>
      <c r="BC9" s="286" t="s">
        <v>9</v>
      </c>
      <c r="BD9" s="115">
        <v>1</v>
      </c>
      <c r="BE9" s="115">
        <v>1</v>
      </c>
      <c r="BF9" s="115">
        <v>1</v>
      </c>
      <c r="BG9" s="115">
        <v>1</v>
      </c>
      <c r="BH9" s="115">
        <v>1</v>
      </c>
      <c r="BI9" s="115">
        <v>1</v>
      </c>
      <c r="BJ9" s="115">
        <v>1</v>
      </c>
      <c r="BK9" s="115">
        <v>1</v>
      </c>
      <c r="BL9" s="115">
        <v>1</v>
      </c>
      <c r="BM9" s="115">
        <v>1</v>
      </c>
      <c r="BN9" s="115">
        <v>1</v>
      </c>
      <c r="BO9" s="287">
        <v>1</v>
      </c>
    </row>
    <row r="10" spans="1:67" x14ac:dyDescent="0.25">
      <c r="A10" s="113">
        <v>7</v>
      </c>
      <c r="B10" s="209" t="s">
        <v>268</v>
      </c>
      <c r="C10">
        <f>IFERROR(INDEX($BD$7:$BO$35,MATCH(Ajustes!$E$4:$E$323,$BC$7:$BC$35,0),$C$2:$N$2),1)</f>
        <v>1</v>
      </c>
      <c r="D10" s="113">
        <f>IFERROR(INDEX($BD$7:$BO$35,MATCH(Ajustes!$E$4:$E$323,$BC$7:$BC$35,0),$C$2:$N$2),1)</f>
        <v>1</v>
      </c>
      <c r="E10" s="113">
        <f>IFERROR(INDEX($BD$7:$BO$35,MATCH(Ajustes!$E$4:$E$323,$BC$7:$BC$35,0),$C$2:$N$2),1)</f>
        <v>1</v>
      </c>
      <c r="F10" s="113">
        <f>IFERROR(INDEX($BD$7:$BO$35,MATCH(Ajustes!$E$4:$E$323,$BC$7:$BC$35,0),$C$2:$N$2),1)</f>
        <v>1</v>
      </c>
      <c r="G10" s="113">
        <f>IFERROR(INDEX($BD$7:$BO$35,MATCH(Ajustes!$E$4:$E$323,$BC$7:$BC$35,0),$C$2:$N$2),1)</f>
        <v>1</v>
      </c>
      <c r="H10" s="113">
        <f>IFERROR(INDEX($BD$7:$BO$35,MATCH(Ajustes!$E$4:$E$323,$BC$7:$BC$35,0),$C$2:$N$2),1)</f>
        <v>1</v>
      </c>
      <c r="I10" s="113">
        <f>IFERROR(INDEX($BD$7:$BO$35,MATCH(Ajustes!$E$4:$E$323,$BC$7:$BC$35,0),$C$2:$N$2),1)</f>
        <v>1</v>
      </c>
      <c r="J10" s="113">
        <f>IFERROR(INDEX($BD$7:$BO$35,MATCH(Ajustes!$E$4:$E$323,$BC$7:$BC$35,0),$C$2:$N$2),1)</f>
        <v>1</v>
      </c>
      <c r="K10" s="113">
        <f>IFERROR(INDEX($BD$7:$BO$35,MATCH(Ajustes!$E$4:$E$323,$BC$7:$BC$35,0),$C$2:$N$2),1)</f>
        <v>1</v>
      </c>
      <c r="L10" s="113">
        <f>IFERROR(INDEX($BD$7:$BO$35,MATCH(Ajustes!$E$4:$E$323,$BC$7:$BC$35,0),$C$2:$N$2),1)</f>
        <v>1</v>
      </c>
      <c r="M10" s="113">
        <f>IFERROR(INDEX($BD$7:$BO$35,MATCH(Ajustes!$E$4:$E$323,$BC$7:$BC$35,0),$C$2:$N$2),1)</f>
        <v>1</v>
      </c>
      <c r="N10" s="113">
        <f>IFERROR(INDEX($BD$7:$BO$35,MATCH(Ajustes!$E$4:$E$323,$BC$7:$BC$35,0),$C$2:$N$2),1)</f>
        <v>1</v>
      </c>
      <c r="O10">
        <f>C10*Ajustes!AM10</f>
        <v>204</v>
      </c>
      <c r="P10">
        <f>D10*Ajustes!AN10</f>
        <v>207</v>
      </c>
      <c r="Q10">
        <f>E10*Ajustes!AO10</f>
        <v>186</v>
      </c>
      <c r="R10">
        <f>F10*Ajustes!AP10</f>
        <v>129</v>
      </c>
      <c r="S10">
        <f>G10*Ajustes!AQ10</f>
        <v>92</v>
      </c>
      <c r="T10">
        <f>H10*Ajustes!AR10</f>
        <v>72</v>
      </c>
      <c r="U10">
        <f>I10*Ajustes!AS10</f>
        <v>59</v>
      </c>
      <c r="V10">
        <f>J10*Ajustes!AT10</f>
        <v>48</v>
      </c>
      <c r="W10">
        <f>K10*Ajustes!AU10</f>
        <v>47</v>
      </c>
      <c r="X10">
        <f>L10*Ajustes!AV10</f>
        <v>56</v>
      </c>
      <c r="Y10">
        <f>M10*Ajustes!AW10</f>
        <v>74</v>
      </c>
      <c r="Z10">
        <f>N10*Ajustes!AX10</f>
        <v>126</v>
      </c>
      <c r="AA10">
        <f>IF(Ajustes!$G10&gt;0,INDEX($AA$4:$AL$323,Ajustes!$G10,O$2),0)+IF(Ajustes!$H10&gt;0,INDEX($AA$4:$AL$323,Ajustes!$H10,O$2),0)+IF(Ajustes!$I10&gt;0,INDEX($AA$4:$AL$323,Ajustes!$I10,O$2),0)+IF(Ajustes!$J10&gt;0,INDEX($AA$4:$AL$323,Ajustes!$J10,O$2),0)+IF(Ajustes!$K10&gt;0,INDEX($AA$5:$AL$324,Ajustes!$K10,O$2),0)+IF(Ajustes!$L10&gt;0,INDEX($AA$4:$AL$323,Ajustes!$L10,O$2),0) + O10</f>
        <v>1986</v>
      </c>
      <c r="AB10">
        <f>IF(Ajustes!$G10&gt;0,INDEX($AA$4:$AL$323,Ajustes!$G10,P$2),0)+IF(Ajustes!$H10&gt;0,INDEX($AA$4:$AL$323,Ajustes!$H10,P$2),0)+IF(Ajustes!$I10&gt;0,INDEX($AA$4:$AL$323,Ajustes!$I10,P$2),0)+IF(Ajustes!$J10&gt;0,INDEX($AA$4:$AL$323,Ajustes!$J10,P$2),0)+IF(Ajustes!$K10&gt;0,INDEX($AA$5:$AL$324,Ajustes!$K10,P$2),0)+IF(Ajustes!$L10&gt;0,INDEX($AA$4:$AL$323,Ajustes!$L10,P$2),0) + P10</f>
        <v>1860</v>
      </c>
      <c r="AC10">
        <f>IF(Ajustes!$G10&gt;0,INDEX($AA$4:$AL$323,Ajustes!$G10,Q$2),0)+IF(Ajustes!$H10&gt;0,INDEX($AA$4:$AL$323,Ajustes!$H10,Q$2),0)+IF(Ajustes!$I10&gt;0,INDEX($AA$4:$AL$323,Ajustes!$I10,Q$2),0)+IF(Ajustes!$J10&gt;0,INDEX($AA$4:$AL$323,Ajustes!$J10,Q$2),0)+IF(Ajustes!$K10&gt;0,INDEX($AA$5:$AL$324,Ajustes!$K10,Q$2),0)+IF(Ajustes!$L10&gt;0,INDEX($AA$4:$AL$323,Ajustes!$L10,Q$2),0) + Q10</f>
        <v>1656</v>
      </c>
      <c r="AD10">
        <f>IF(Ajustes!$G10&gt;0,INDEX($AA$4:$AL$323,Ajustes!$G10,R$2),0)+IF(Ajustes!$H10&gt;0,INDEX($AA$4:$AL$323,Ajustes!$H10,R$2),0)+IF(Ajustes!$I10&gt;0,INDEX($AA$4:$AL$323,Ajustes!$I10,R$2),0)+IF(Ajustes!$J10&gt;0,INDEX($AA$4:$AL$323,Ajustes!$J10,R$2),0)+IF(Ajustes!$K10&gt;0,INDEX($AA$5:$AL$324,Ajustes!$K10,R$2),0)+IF(Ajustes!$L10&gt;0,INDEX($AA$4:$AL$323,Ajustes!$L10,R$2),0) + R10</f>
        <v>1139</v>
      </c>
      <c r="AE10">
        <f>IF(Ajustes!$G10&gt;0,INDEX($AA$4:$AL$323,Ajustes!$G10,S$2),0)+IF(Ajustes!$H10&gt;0,INDEX($AA$4:$AL$323,Ajustes!$H10,S$2),0)+IF(Ajustes!$I10&gt;0,INDEX($AA$4:$AL$323,Ajustes!$I10,S$2),0)+IF(Ajustes!$J10&gt;0,INDEX($AA$4:$AL$323,Ajustes!$J10,S$2),0)+IF(Ajustes!$K10&gt;0,INDEX($AA$5:$AL$324,Ajustes!$K10,S$2),0)+IF(Ajustes!$L10&gt;0,INDEX($AA$4:$AL$323,Ajustes!$L10,S$2),0) + S10</f>
        <v>830</v>
      </c>
      <c r="AF10">
        <f>IF(Ajustes!$G10&gt;0,INDEX($AA$4:$AL$323,Ajustes!$G10,T$2),0)+IF(Ajustes!$H10&gt;0,INDEX($AA$4:$AL$323,Ajustes!$H10,T$2),0)+IF(Ajustes!$I10&gt;0,INDEX($AA$4:$AL$323,Ajustes!$I10,T$2),0)+IF(Ajustes!$J10&gt;0,INDEX($AA$4:$AL$323,Ajustes!$J10,T$2),0)+IF(Ajustes!$K10&gt;0,INDEX($AA$5:$AL$324,Ajustes!$K10,T$2),0)+IF(Ajustes!$L10&gt;0,INDEX($AA$4:$AL$323,Ajustes!$L10,T$2),0) + T10</f>
        <v>688</v>
      </c>
      <c r="AG10">
        <f>IF(Ajustes!$G10&gt;0,INDEX($AA$4:$AL$323,Ajustes!$G10,U$2),0)+IF(Ajustes!$H10&gt;0,INDEX($AA$4:$AL$323,Ajustes!$H10,U$2),0)+IF(Ajustes!$I10&gt;0,INDEX($AA$4:$AL$323,Ajustes!$I10,U$2),0)+IF(Ajustes!$J10&gt;0,INDEX($AA$4:$AL$323,Ajustes!$J10,U$2),0)+IF(Ajustes!$K10&gt;0,INDEX($AA$5:$AL$324,Ajustes!$K10,U$2),0)+IF(Ajustes!$L10&gt;0,INDEX($AA$4:$AL$323,Ajustes!$L10,U$2),0) + U10</f>
        <v>565</v>
      </c>
      <c r="AH10">
        <f>IF(Ajustes!$G10&gt;0,INDEX($AA$4:$AL$323,Ajustes!$G10,V$2),0)+IF(Ajustes!$H10&gt;0,INDEX($AA$4:$AL$323,Ajustes!$H10,V$2),0)+IF(Ajustes!$I10&gt;0,INDEX($AA$4:$AL$323,Ajustes!$I10,V$2),0)+IF(Ajustes!$J10&gt;0,INDEX($AA$4:$AL$323,Ajustes!$J10,V$2),0)+IF(Ajustes!$K10&gt;0,INDEX($AA$5:$AL$324,Ajustes!$K10,V$2),0)+IF(Ajustes!$L10&gt;0,INDEX($AA$4:$AL$323,Ajustes!$L10,V$2),0) + V10</f>
        <v>464</v>
      </c>
      <c r="AI10">
        <f>IF(Ajustes!$G10&gt;0,INDEX($AA$4:$AL$323,Ajustes!$G10,W$2),0)+IF(Ajustes!$H10&gt;0,INDEX($AA$4:$AL$323,Ajustes!$H10,W$2),0)+IF(Ajustes!$I10&gt;0,INDEX($AA$4:$AL$323,Ajustes!$I10,W$2),0)+IF(Ajustes!$J10&gt;0,INDEX($AA$4:$AL$323,Ajustes!$J10,W$2),0)+IF(Ajustes!$K10&gt;0,INDEX($AA$5:$AL$324,Ajustes!$K10,W$2),0)+IF(Ajustes!$L10&gt;0,INDEX($AA$4:$AL$323,Ajustes!$L10,W$2),0) + W10</f>
        <v>480</v>
      </c>
      <c r="AJ10">
        <f>IF(Ajustes!$G10&gt;0,INDEX($AA$4:$AL$323,Ajustes!$G10,X$2),0)+IF(Ajustes!$H10&gt;0,INDEX($AA$4:$AL$323,Ajustes!$H10,X$2),0)+IF(Ajustes!$I10&gt;0,INDEX($AA$4:$AL$323,Ajustes!$I10,X$2),0)+IF(Ajustes!$J10&gt;0,INDEX($AA$4:$AL$323,Ajustes!$J10,X$2),0)+IF(Ajustes!$K10&gt;0,INDEX($AA$5:$AL$324,Ajustes!$K10,X$2),0)+IF(Ajustes!$L10&gt;0,INDEX($AA$4:$AL$323,Ajustes!$L10,X$2),0) + X10</f>
        <v>567</v>
      </c>
      <c r="AK10">
        <f>IF(Ajustes!$G10&gt;0,INDEX($AA$4:$AL$323,Ajustes!$G10,Y$2),0)+IF(Ajustes!$H10&gt;0,INDEX($AA$4:$AL$323,Ajustes!$H10,Y$2),0)+IF(Ajustes!$I10&gt;0,INDEX($AA$4:$AL$323,Ajustes!$I10,Y$2),0)+IF(Ajustes!$J10&gt;0,INDEX($AA$4:$AL$323,Ajustes!$J10,Y$2),0)+IF(Ajustes!$K10&gt;0,INDEX($AA$5:$AL$324,Ajustes!$K10,Y$2),0)+IF(Ajustes!$L10&gt;0,INDEX($AA$4:$AL$323,Ajustes!$L10,Y$2),0) + Y10</f>
        <v>796</v>
      </c>
      <c r="AL10">
        <f>IF(Ajustes!$G10&gt;0,INDEX($AA$4:$AL$323,Ajustes!$G10,Z$2),0)+IF(Ajustes!$H10&gt;0,INDEX($AA$4:$AL$323,Ajustes!$H10,Z$2),0)+IF(Ajustes!$I10&gt;0,INDEX($AA$4:$AL$323,Ajustes!$I10,Z$2),0)+IF(Ajustes!$J10&gt;0,INDEX($AA$4:$AL$323,Ajustes!$J10,Z$2),0)+IF(Ajustes!$K10&gt;0,INDEX($AA$5:$AL$324,Ajustes!$K10,Z$2),0)+IF(Ajustes!$L10&gt;0,INDEX($AA$4:$AL$323,Ajustes!$L10,Z$2),0) + Z10</f>
        <v>1370</v>
      </c>
      <c r="AM10" s="113">
        <f t="shared" si="3"/>
        <v>1986</v>
      </c>
      <c r="AN10" s="113">
        <f t="shared" si="3"/>
        <v>1860</v>
      </c>
      <c r="AO10" s="113">
        <f t="shared" si="3"/>
        <v>1656</v>
      </c>
      <c r="AP10" s="113">
        <f t="shared" si="3"/>
        <v>1139</v>
      </c>
      <c r="AQ10" s="113">
        <f t="shared" si="3"/>
        <v>830</v>
      </c>
      <c r="AR10" s="113">
        <f t="shared" si="3"/>
        <v>688</v>
      </c>
      <c r="AS10" s="113">
        <f t="shared" si="3"/>
        <v>565</v>
      </c>
      <c r="AT10" s="113">
        <f t="shared" si="3"/>
        <v>464</v>
      </c>
      <c r="AU10" s="113">
        <f t="shared" si="4"/>
        <v>480</v>
      </c>
      <c r="AV10" s="113">
        <f t="shared" si="4"/>
        <v>567</v>
      </c>
      <c r="AW10" s="113">
        <f t="shared" si="4"/>
        <v>796</v>
      </c>
      <c r="AX10" s="113">
        <f t="shared" si="4"/>
        <v>1370</v>
      </c>
      <c r="BB10">
        <f>ROW()</f>
        <v>10</v>
      </c>
      <c r="BC10" s="286" t="s">
        <v>4</v>
      </c>
      <c r="BD10" s="115">
        <v>1</v>
      </c>
      <c r="BE10" s="115">
        <v>1</v>
      </c>
      <c r="BF10" s="115">
        <v>1</v>
      </c>
      <c r="BG10" s="115">
        <v>1</v>
      </c>
      <c r="BH10" s="115">
        <v>1</v>
      </c>
      <c r="BI10" s="115">
        <v>1</v>
      </c>
      <c r="BJ10" s="115">
        <v>1</v>
      </c>
      <c r="BK10" s="115">
        <v>1</v>
      </c>
      <c r="BL10" s="115">
        <v>1</v>
      </c>
      <c r="BM10" s="115">
        <v>1</v>
      </c>
      <c r="BN10" s="115">
        <v>1</v>
      </c>
      <c r="BO10" s="287">
        <v>1</v>
      </c>
    </row>
    <row r="11" spans="1:67" x14ac:dyDescent="0.25">
      <c r="A11" s="113">
        <v>8</v>
      </c>
      <c r="B11" s="209" t="s">
        <v>539</v>
      </c>
      <c r="C11">
        <f>IFERROR(INDEX($BD$7:$BO$35,MATCH(Ajustes!$E$4:$E$323,$BC$7:$BC$35,0),$C$2:$N$2),1)</f>
        <v>1</v>
      </c>
      <c r="D11" s="113">
        <f>IFERROR(INDEX($BD$7:$BO$35,MATCH(Ajustes!$E$4:$E$323,$BC$7:$BC$35,0),$C$2:$N$2),1)</f>
        <v>1</v>
      </c>
      <c r="E11" s="113">
        <f>IFERROR(INDEX($BD$7:$BO$35,MATCH(Ajustes!$E$4:$E$323,$BC$7:$BC$35,0),$C$2:$N$2),1)</f>
        <v>1</v>
      </c>
      <c r="F11" s="113">
        <f>IFERROR(INDEX($BD$7:$BO$35,MATCH(Ajustes!$E$4:$E$323,$BC$7:$BC$35,0),$C$2:$N$2),1)</f>
        <v>1</v>
      </c>
      <c r="G11" s="113">
        <f>IFERROR(INDEX($BD$7:$BO$35,MATCH(Ajustes!$E$4:$E$323,$BC$7:$BC$35,0),$C$2:$N$2),1)</f>
        <v>1</v>
      </c>
      <c r="H11" s="113">
        <f>IFERROR(INDEX($BD$7:$BO$35,MATCH(Ajustes!$E$4:$E$323,$BC$7:$BC$35,0),$C$2:$N$2),1)</f>
        <v>1</v>
      </c>
      <c r="I11" s="113">
        <f>IFERROR(INDEX($BD$7:$BO$35,MATCH(Ajustes!$E$4:$E$323,$BC$7:$BC$35,0),$C$2:$N$2),1)</f>
        <v>1</v>
      </c>
      <c r="J11" s="113">
        <f>IFERROR(INDEX($BD$7:$BO$35,MATCH(Ajustes!$E$4:$E$323,$BC$7:$BC$35,0),$C$2:$N$2),1)</f>
        <v>1</v>
      </c>
      <c r="K11" s="113">
        <f>IFERROR(INDEX($BD$7:$BO$35,MATCH(Ajustes!$E$4:$E$323,$BC$7:$BC$35,0),$C$2:$N$2),1)</f>
        <v>1</v>
      </c>
      <c r="L11" s="113">
        <f>IFERROR(INDEX($BD$7:$BO$35,MATCH(Ajustes!$E$4:$E$323,$BC$7:$BC$35,0),$C$2:$N$2),1)</f>
        <v>1</v>
      </c>
      <c r="M11" s="113">
        <f>IFERROR(INDEX($BD$7:$BO$35,MATCH(Ajustes!$E$4:$E$323,$BC$7:$BC$35,0),$C$2:$N$2),1)</f>
        <v>1</v>
      </c>
      <c r="N11" s="113">
        <f>IFERROR(INDEX($BD$7:$BO$35,MATCH(Ajustes!$E$4:$E$323,$BC$7:$BC$35,0),$C$2:$N$2),1)</f>
        <v>1</v>
      </c>
      <c r="O11">
        <f>C11*Ajustes!AM11</f>
        <v>43</v>
      </c>
      <c r="P11">
        <f>D11*Ajustes!AN11</f>
        <v>50</v>
      </c>
      <c r="Q11">
        <f>E11*Ajustes!AO11</f>
        <v>46</v>
      </c>
      <c r="R11">
        <f>F11*Ajustes!AP11</f>
        <v>36</v>
      </c>
      <c r="S11">
        <f>G11*Ajustes!AQ11</f>
        <v>24</v>
      </c>
      <c r="T11">
        <f>H11*Ajustes!AR11</f>
        <v>19</v>
      </c>
      <c r="U11">
        <f>I11*Ajustes!AS11</f>
        <v>15</v>
      </c>
      <c r="V11">
        <f>J11*Ajustes!AT11</f>
        <v>11</v>
      </c>
      <c r="W11">
        <f>K11*Ajustes!AU11</f>
        <v>10</v>
      </c>
      <c r="X11">
        <f>L11*Ajustes!AV11</f>
        <v>11</v>
      </c>
      <c r="Y11">
        <f>M11*Ajustes!AW11</f>
        <v>15</v>
      </c>
      <c r="Z11">
        <f>N11*Ajustes!AX11</f>
        <v>22</v>
      </c>
      <c r="AA11">
        <f>IF(Ajustes!$G11&gt;0,INDEX($AA$4:$AL$323,Ajustes!$G11,O$2),0)+IF(Ajustes!$H11&gt;0,INDEX($AA$4:$AL$323,Ajustes!$H11,O$2),0)+IF(Ajustes!$I11&gt;0,INDEX($AA$4:$AL$323,Ajustes!$I11,O$2),0)+IF(Ajustes!$J11&gt;0,INDEX($AA$4:$AL$323,Ajustes!$J11,O$2),0)+IF(Ajustes!$K11&gt;0,INDEX($AA$5:$AL$324,Ajustes!$K11,O$2),0)+IF(Ajustes!$L11&gt;0,INDEX($AA$4:$AL$323,Ajustes!$L11,O$2),0) + O11</f>
        <v>2029</v>
      </c>
      <c r="AB11">
        <f>IF(Ajustes!$G11&gt;0,INDEX($AA$4:$AL$323,Ajustes!$G11,P$2),0)+IF(Ajustes!$H11&gt;0,INDEX($AA$4:$AL$323,Ajustes!$H11,P$2),0)+IF(Ajustes!$I11&gt;0,INDEX($AA$4:$AL$323,Ajustes!$I11,P$2),0)+IF(Ajustes!$J11&gt;0,INDEX($AA$4:$AL$323,Ajustes!$J11,P$2),0)+IF(Ajustes!$K11&gt;0,INDEX($AA$5:$AL$324,Ajustes!$K11,P$2),0)+IF(Ajustes!$L11&gt;0,INDEX($AA$4:$AL$323,Ajustes!$L11,P$2),0) + P11</f>
        <v>1910</v>
      </c>
      <c r="AC11">
        <f>IF(Ajustes!$G11&gt;0,INDEX($AA$4:$AL$323,Ajustes!$G11,Q$2),0)+IF(Ajustes!$H11&gt;0,INDEX($AA$4:$AL$323,Ajustes!$H11,Q$2),0)+IF(Ajustes!$I11&gt;0,INDEX($AA$4:$AL$323,Ajustes!$I11,Q$2),0)+IF(Ajustes!$J11&gt;0,INDEX($AA$4:$AL$323,Ajustes!$J11,Q$2),0)+IF(Ajustes!$K11&gt;0,INDEX($AA$5:$AL$324,Ajustes!$K11,Q$2),0)+IF(Ajustes!$L11&gt;0,INDEX($AA$4:$AL$323,Ajustes!$L11,Q$2),0) + Q11</f>
        <v>1702</v>
      </c>
      <c r="AD11">
        <f>IF(Ajustes!$G11&gt;0,INDEX($AA$4:$AL$323,Ajustes!$G11,R$2),0)+IF(Ajustes!$H11&gt;0,INDEX($AA$4:$AL$323,Ajustes!$H11,R$2),0)+IF(Ajustes!$I11&gt;0,INDEX($AA$4:$AL$323,Ajustes!$I11,R$2),0)+IF(Ajustes!$J11&gt;0,INDEX($AA$4:$AL$323,Ajustes!$J11,R$2),0)+IF(Ajustes!$K11&gt;0,INDEX($AA$5:$AL$324,Ajustes!$K11,R$2),0)+IF(Ajustes!$L11&gt;0,INDEX($AA$4:$AL$323,Ajustes!$L11,R$2),0) + R11</f>
        <v>1175</v>
      </c>
      <c r="AE11">
        <f>IF(Ajustes!$G11&gt;0,INDEX($AA$4:$AL$323,Ajustes!$G11,S$2),0)+IF(Ajustes!$H11&gt;0,INDEX($AA$4:$AL$323,Ajustes!$H11,S$2),0)+IF(Ajustes!$I11&gt;0,INDEX($AA$4:$AL$323,Ajustes!$I11,S$2),0)+IF(Ajustes!$J11&gt;0,INDEX($AA$4:$AL$323,Ajustes!$J11,S$2),0)+IF(Ajustes!$K11&gt;0,INDEX($AA$5:$AL$324,Ajustes!$K11,S$2),0)+IF(Ajustes!$L11&gt;0,INDEX($AA$4:$AL$323,Ajustes!$L11,S$2),0) + S11</f>
        <v>854</v>
      </c>
      <c r="AF11">
        <f>IF(Ajustes!$G11&gt;0,INDEX($AA$4:$AL$323,Ajustes!$G11,T$2),0)+IF(Ajustes!$H11&gt;0,INDEX($AA$4:$AL$323,Ajustes!$H11,T$2),0)+IF(Ajustes!$I11&gt;0,INDEX($AA$4:$AL$323,Ajustes!$I11,T$2),0)+IF(Ajustes!$J11&gt;0,INDEX($AA$4:$AL$323,Ajustes!$J11,T$2),0)+IF(Ajustes!$K11&gt;0,INDEX($AA$5:$AL$324,Ajustes!$K11,T$2),0)+IF(Ajustes!$L11&gt;0,INDEX($AA$4:$AL$323,Ajustes!$L11,T$2),0) + T11</f>
        <v>707</v>
      </c>
      <c r="AG11">
        <f>IF(Ajustes!$G11&gt;0,INDEX($AA$4:$AL$323,Ajustes!$G11,U$2),0)+IF(Ajustes!$H11&gt;0,INDEX($AA$4:$AL$323,Ajustes!$H11,U$2),0)+IF(Ajustes!$I11&gt;0,INDEX($AA$4:$AL$323,Ajustes!$I11,U$2),0)+IF(Ajustes!$J11&gt;0,INDEX($AA$4:$AL$323,Ajustes!$J11,U$2),0)+IF(Ajustes!$K11&gt;0,INDEX($AA$5:$AL$324,Ajustes!$K11,U$2),0)+IF(Ajustes!$L11&gt;0,INDEX($AA$4:$AL$323,Ajustes!$L11,U$2),0) + U11</f>
        <v>580</v>
      </c>
      <c r="AH11">
        <f>IF(Ajustes!$G11&gt;0,INDEX($AA$4:$AL$323,Ajustes!$G11,V$2),0)+IF(Ajustes!$H11&gt;0,INDEX($AA$4:$AL$323,Ajustes!$H11,V$2),0)+IF(Ajustes!$I11&gt;0,INDEX($AA$4:$AL$323,Ajustes!$I11,V$2),0)+IF(Ajustes!$J11&gt;0,INDEX($AA$4:$AL$323,Ajustes!$J11,V$2),0)+IF(Ajustes!$K11&gt;0,INDEX($AA$5:$AL$324,Ajustes!$K11,V$2),0)+IF(Ajustes!$L11&gt;0,INDEX($AA$4:$AL$323,Ajustes!$L11,V$2),0) + V11</f>
        <v>475</v>
      </c>
      <c r="AI11">
        <f>IF(Ajustes!$G11&gt;0,INDEX($AA$4:$AL$323,Ajustes!$G11,W$2),0)+IF(Ajustes!$H11&gt;0,INDEX($AA$4:$AL$323,Ajustes!$H11,W$2),0)+IF(Ajustes!$I11&gt;0,INDEX($AA$4:$AL$323,Ajustes!$I11,W$2),0)+IF(Ajustes!$J11&gt;0,INDEX($AA$4:$AL$323,Ajustes!$J11,W$2),0)+IF(Ajustes!$K11&gt;0,INDEX($AA$5:$AL$324,Ajustes!$K11,W$2),0)+IF(Ajustes!$L11&gt;0,INDEX($AA$4:$AL$323,Ajustes!$L11,W$2),0) + W11</f>
        <v>490</v>
      </c>
      <c r="AJ11">
        <f>IF(Ajustes!$G11&gt;0,INDEX($AA$4:$AL$323,Ajustes!$G11,X$2),0)+IF(Ajustes!$H11&gt;0,INDEX($AA$4:$AL$323,Ajustes!$H11,X$2),0)+IF(Ajustes!$I11&gt;0,INDEX($AA$4:$AL$323,Ajustes!$I11,X$2),0)+IF(Ajustes!$J11&gt;0,INDEX($AA$4:$AL$323,Ajustes!$J11,X$2),0)+IF(Ajustes!$K11&gt;0,INDEX($AA$5:$AL$324,Ajustes!$K11,X$2),0)+IF(Ajustes!$L11&gt;0,INDEX($AA$4:$AL$323,Ajustes!$L11,X$2),0) + X11</f>
        <v>578</v>
      </c>
      <c r="AK11">
        <f>IF(Ajustes!$G11&gt;0,INDEX($AA$4:$AL$323,Ajustes!$G11,Y$2),0)+IF(Ajustes!$H11&gt;0,INDEX($AA$4:$AL$323,Ajustes!$H11,Y$2),0)+IF(Ajustes!$I11&gt;0,INDEX($AA$4:$AL$323,Ajustes!$I11,Y$2),0)+IF(Ajustes!$J11&gt;0,INDEX($AA$4:$AL$323,Ajustes!$J11,Y$2),0)+IF(Ajustes!$K11&gt;0,INDEX($AA$5:$AL$324,Ajustes!$K11,Y$2),0)+IF(Ajustes!$L11&gt;0,INDEX($AA$4:$AL$323,Ajustes!$L11,Y$2),0) + Y11</f>
        <v>811</v>
      </c>
      <c r="AL11">
        <f>IF(Ajustes!$G11&gt;0,INDEX($AA$4:$AL$323,Ajustes!$G11,Z$2),0)+IF(Ajustes!$H11&gt;0,INDEX($AA$4:$AL$323,Ajustes!$H11,Z$2),0)+IF(Ajustes!$I11&gt;0,INDEX($AA$4:$AL$323,Ajustes!$I11,Z$2),0)+IF(Ajustes!$J11&gt;0,INDEX($AA$4:$AL$323,Ajustes!$J11,Z$2),0)+IF(Ajustes!$K11&gt;0,INDEX($AA$5:$AL$324,Ajustes!$K11,Z$2),0)+IF(Ajustes!$L11&gt;0,INDEX($AA$4:$AL$323,Ajustes!$L11,Z$2),0) + Z11</f>
        <v>1392</v>
      </c>
      <c r="AM11" s="113">
        <f t="shared" si="3"/>
        <v>2029</v>
      </c>
      <c r="AN11" s="113">
        <f t="shared" si="3"/>
        <v>1910</v>
      </c>
      <c r="AO11" s="113">
        <f t="shared" si="3"/>
        <v>1702</v>
      </c>
      <c r="AP11" s="113">
        <f t="shared" si="3"/>
        <v>1175</v>
      </c>
      <c r="AQ11" s="113">
        <f t="shared" si="3"/>
        <v>854</v>
      </c>
      <c r="AR11" s="113">
        <f t="shared" si="3"/>
        <v>707</v>
      </c>
      <c r="AS11" s="113">
        <f t="shared" si="3"/>
        <v>580</v>
      </c>
      <c r="AT11" s="113">
        <f t="shared" si="3"/>
        <v>475</v>
      </c>
      <c r="AU11" s="113">
        <f t="shared" si="4"/>
        <v>490</v>
      </c>
      <c r="AV11" s="113">
        <f t="shared" si="4"/>
        <v>578</v>
      </c>
      <c r="AW11" s="113">
        <f t="shared" si="4"/>
        <v>811</v>
      </c>
      <c r="AX11" s="113">
        <f t="shared" si="4"/>
        <v>1392</v>
      </c>
      <c r="BB11">
        <f>ROW()</f>
        <v>11</v>
      </c>
      <c r="BC11" s="286" t="s">
        <v>5</v>
      </c>
      <c r="BD11" s="115">
        <v>1</v>
      </c>
      <c r="BE11" s="115">
        <v>1</v>
      </c>
      <c r="BF11" s="115">
        <v>1</v>
      </c>
      <c r="BG11" s="115">
        <v>1</v>
      </c>
      <c r="BH11" s="115">
        <v>1</v>
      </c>
      <c r="BI11" s="115">
        <v>1</v>
      </c>
      <c r="BJ11" s="115">
        <v>1</v>
      </c>
      <c r="BK11" s="115">
        <v>1</v>
      </c>
      <c r="BL11" s="115">
        <v>1</v>
      </c>
      <c r="BM11" s="115">
        <v>1</v>
      </c>
      <c r="BN11" s="115">
        <v>1</v>
      </c>
      <c r="BO11" s="287">
        <v>1</v>
      </c>
    </row>
    <row r="12" spans="1:67" x14ac:dyDescent="0.25">
      <c r="A12" s="113">
        <v>9</v>
      </c>
      <c r="B12" s="209" t="s">
        <v>540</v>
      </c>
      <c r="C12">
        <f>IFERROR(INDEX($BD$7:$BO$35,MATCH(Ajustes!$E$4:$E$323,$BC$7:$BC$35,0),$C$2:$N$2),1)</f>
        <v>1</v>
      </c>
      <c r="D12" s="113">
        <f>IFERROR(INDEX($BD$7:$BO$35,MATCH(Ajustes!$E$4:$E$323,$BC$7:$BC$35,0),$C$2:$N$2),1)</f>
        <v>1</v>
      </c>
      <c r="E12" s="113">
        <f>IFERROR(INDEX($BD$7:$BO$35,MATCH(Ajustes!$E$4:$E$323,$BC$7:$BC$35,0),$C$2:$N$2),1)</f>
        <v>1</v>
      </c>
      <c r="F12" s="113">
        <f>IFERROR(INDEX($BD$7:$BO$35,MATCH(Ajustes!$E$4:$E$323,$BC$7:$BC$35,0),$C$2:$N$2),1)</f>
        <v>1</v>
      </c>
      <c r="G12" s="113">
        <f>IFERROR(INDEX($BD$7:$BO$35,MATCH(Ajustes!$E$4:$E$323,$BC$7:$BC$35,0),$C$2:$N$2),1)</f>
        <v>1</v>
      </c>
      <c r="H12" s="113">
        <f>IFERROR(INDEX($BD$7:$BO$35,MATCH(Ajustes!$E$4:$E$323,$BC$7:$BC$35,0),$C$2:$N$2),1)</f>
        <v>1</v>
      </c>
      <c r="I12" s="113">
        <f>IFERROR(INDEX($BD$7:$BO$35,MATCH(Ajustes!$E$4:$E$323,$BC$7:$BC$35,0),$C$2:$N$2),1)</f>
        <v>1</v>
      </c>
      <c r="J12" s="113">
        <f>IFERROR(INDEX($BD$7:$BO$35,MATCH(Ajustes!$E$4:$E$323,$BC$7:$BC$35,0),$C$2:$N$2),1)</f>
        <v>1</v>
      </c>
      <c r="K12" s="113">
        <f>IFERROR(INDEX($BD$7:$BO$35,MATCH(Ajustes!$E$4:$E$323,$BC$7:$BC$35,0),$C$2:$N$2),1)</f>
        <v>1</v>
      </c>
      <c r="L12" s="113">
        <f>IFERROR(INDEX($BD$7:$BO$35,MATCH(Ajustes!$E$4:$E$323,$BC$7:$BC$35,0),$C$2:$N$2),1)</f>
        <v>1</v>
      </c>
      <c r="M12" s="113">
        <f>IFERROR(INDEX($BD$7:$BO$35,MATCH(Ajustes!$E$4:$E$323,$BC$7:$BC$35,0),$C$2:$N$2),1)</f>
        <v>1</v>
      </c>
      <c r="N12" s="113">
        <f>IFERROR(INDEX($BD$7:$BO$35,MATCH(Ajustes!$E$4:$E$323,$BC$7:$BC$35,0),$C$2:$N$2),1)</f>
        <v>1</v>
      </c>
      <c r="O12">
        <f>C12*Ajustes!AM12</f>
        <v>17</v>
      </c>
      <c r="P12">
        <f>D12*Ajustes!AN12</f>
        <v>22</v>
      </c>
      <c r="Q12">
        <f>E12*Ajustes!AO12</f>
        <v>20</v>
      </c>
      <c r="R12">
        <f>F12*Ajustes!AP12</f>
        <v>17</v>
      </c>
      <c r="S12">
        <f>G12*Ajustes!AQ12</f>
        <v>10</v>
      </c>
      <c r="T12">
        <f>H12*Ajustes!AR12</f>
        <v>8</v>
      </c>
      <c r="U12">
        <f>I12*Ajustes!AS12</f>
        <v>6</v>
      </c>
      <c r="V12">
        <f>J12*Ajustes!AT12</f>
        <v>5</v>
      </c>
      <c r="W12">
        <f>K12*Ajustes!AU12</f>
        <v>4</v>
      </c>
      <c r="X12">
        <f>L12*Ajustes!AV12</f>
        <v>5</v>
      </c>
      <c r="Y12">
        <f>M12*Ajustes!AW12</f>
        <v>5</v>
      </c>
      <c r="Z12">
        <f>N12*Ajustes!AX12</f>
        <v>7</v>
      </c>
      <c r="AA12">
        <f>IF(Ajustes!$G12&gt;0,INDEX($AA$4:$AL$323,Ajustes!$G12,O$2),0)+IF(Ajustes!$H12&gt;0,INDEX($AA$4:$AL$323,Ajustes!$H12,O$2),0)+IF(Ajustes!$I12&gt;0,INDEX($AA$4:$AL$323,Ajustes!$I12,O$2),0)+IF(Ajustes!$J12&gt;0,INDEX($AA$4:$AL$323,Ajustes!$J12,O$2),0)+IF(Ajustes!$K12&gt;0,INDEX($AA$5:$AL$324,Ajustes!$K12,O$2),0)+IF(Ajustes!$L12&gt;0,INDEX($AA$4:$AL$323,Ajustes!$L12,O$2),0) + O12</f>
        <v>2046</v>
      </c>
      <c r="AB12">
        <f>IF(Ajustes!$G12&gt;0,INDEX($AA$4:$AL$323,Ajustes!$G12,P$2),0)+IF(Ajustes!$H12&gt;0,INDEX($AA$4:$AL$323,Ajustes!$H12,P$2),0)+IF(Ajustes!$I12&gt;0,INDEX($AA$4:$AL$323,Ajustes!$I12,P$2),0)+IF(Ajustes!$J12&gt;0,INDEX($AA$4:$AL$323,Ajustes!$J12,P$2),0)+IF(Ajustes!$K12&gt;0,INDEX($AA$5:$AL$324,Ajustes!$K12,P$2),0)+IF(Ajustes!$L12&gt;0,INDEX($AA$4:$AL$323,Ajustes!$L12,P$2),0) + P12</f>
        <v>1932</v>
      </c>
      <c r="AC12">
        <f>IF(Ajustes!$G12&gt;0,INDEX($AA$4:$AL$323,Ajustes!$G12,Q$2),0)+IF(Ajustes!$H12&gt;0,INDEX($AA$4:$AL$323,Ajustes!$H12,Q$2),0)+IF(Ajustes!$I12&gt;0,INDEX($AA$4:$AL$323,Ajustes!$I12,Q$2),0)+IF(Ajustes!$J12&gt;0,INDEX($AA$4:$AL$323,Ajustes!$J12,Q$2),0)+IF(Ajustes!$K12&gt;0,INDEX($AA$5:$AL$324,Ajustes!$K12,Q$2),0)+IF(Ajustes!$L12&gt;0,INDEX($AA$4:$AL$323,Ajustes!$L12,Q$2),0) + Q12</f>
        <v>1722</v>
      </c>
      <c r="AD12">
        <f>IF(Ajustes!$G12&gt;0,INDEX($AA$4:$AL$323,Ajustes!$G12,R$2),0)+IF(Ajustes!$H12&gt;0,INDEX($AA$4:$AL$323,Ajustes!$H12,R$2),0)+IF(Ajustes!$I12&gt;0,INDEX($AA$4:$AL$323,Ajustes!$I12,R$2),0)+IF(Ajustes!$J12&gt;0,INDEX($AA$4:$AL$323,Ajustes!$J12,R$2),0)+IF(Ajustes!$K12&gt;0,INDEX($AA$5:$AL$324,Ajustes!$K12,R$2),0)+IF(Ajustes!$L12&gt;0,INDEX($AA$4:$AL$323,Ajustes!$L12,R$2),0) + R12</f>
        <v>1192</v>
      </c>
      <c r="AE12">
        <f>IF(Ajustes!$G12&gt;0,INDEX($AA$4:$AL$323,Ajustes!$G12,S$2),0)+IF(Ajustes!$H12&gt;0,INDEX($AA$4:$AL$323,Ajustes!$H12,S$2),0)+IF(Ajustes!$I12&gt;0,INDEX($AA$4:$AL$323,Ajustes!$I12,S$2),0)+IF(Ajustes!$J12&gt;0,INDEX($AA$4:$AL$323,Ajustes!$J12,S$2),0)+IF(Ajustes!$K12&gt;0,INDEX($AA$5:$AL$324,Ajustes!$K12,S$2),0)+IF(Ajustes!$L12&gt;0,INDEX($AA$4:$AL$323,Ajustes!$L12,S$2),0) + S12</f>
        <v>864</v>
      </c>
      <c r="AF12">
        <f>IF(Ajustes!$G12&gt;0,INDEX($AA$4:$AL$323,Ajustes!$G12,T$2),0)+IF(Ajustes!$H12&gt;0,INDEX($AA$4:$AL$323,Ajustes!$H12,T$2),0)+IF(Ajustes!$I12&gt;0,INDEX($AA$4:$AL$323,Ajustes!$I12,T$2),0)+IF(Ajustes!$J12&gt;0,INDEX($AA$4:$AL$323,Ajustes!$J12,T$2),0)+IF(Ajustes!$K12&gt;0,INDEX($AA$5:$AL$324,Ajustes!$K12,T$2),0)+IF(Ajustes!$L12&gt;0,INDEX($AA$4:$AL$323,Ajustes!$L12,T$2),0) + T12</f>
        <v>715</v>
      </c>
      <c r="AG12">
        <f>IF(Ajustes!$G12&gt;0,INDEX($AA$4:$AL$323,Ajustes!$G12,U$2),0)+IF(Ajustes!$H12&gt;0,INDEX($AA$4:$AL$323,Ajustes!$H12,U$2),0)+IF(Ajustes!$I12&gt;0,INDEX($AA$4:$AL$323,Ajustes!$I12,U$2),0)+IF(Ajustes!$J12&gt;0,INDEX($AA$4:$AL$323,Ajustes!$J12,U$2),0)+IF(Ajustes!$K12&gt;0,INDEX($AA$5:$AL$324,Ajustes!$K12,U$2),0)+IF(Ajustes!$L12&gt;0,INDEX($AA$4:$AL$323,Ajustes!$L12,U$2),0) + U12</f>
        <v>586</v>
      </c>
      <c r="AH12">
        <f>IF(Ajustes!$G12&gt;0,INDEX($AA$4:$AL$323,Ajustes!$G12,V$2),0)+IF(Ajustes!$H12&gt;0,INDEX($AA$4:$AL$323,Ajustes!$H12,V$2),0)+IF(Ajustes!$I12&gt;0,INDEX($AA$4:$AL$323,Ajustes!$I12,V$2),0)+IF(Ajustes!$J12&gt;0,INDEX($AA$4:$AL$323,Ajustes!$J12,V$2),0)+IF(Ajustes!$K12&gt;0,INDEX($AA$5:$AL$324,Ajustes!$K12,V$2),0)+IF(Ajustes!$L12&gt;0,INDEX($AA$4:$AL$323,Ajustes!$L12,V$2),0) + V12</f>
        <v>480</v>
      </c>
      <c r="AI12">
        <f>IF(Ajustes!$G12&gt;0,INDEX($AA$4:$AL$323,Ajustes!$G12,W$2),0)+IF(Ajustes!$H12&gt;0,INDEX($AA$4:$AL$323,Ajustes!$H12,W$2),0)+IF(Ajustes!$I12&gt;0,INDEX($AA$4:$AL$323,Ajustes!$I12,W$2),0)+IF(Ajustes!$J12&gt;0,INDEX($AA$4:$AL$323,Ajustes!$J12,W$2),0)+IF(Ajustes!$K12&gt;0,INDEX($AA$5:$AL$324,Ajustes!$K12,W$2),0)+IF(Ajustes!$L12&gt;0,INDEX($AA$4:$AL$323,Ajustes!$L12,W$2),0) + W12</f>
        <v>494</v>
      </c>
      <c r="AJ12">
        <f>IF(Ajustes!$G12&gt;0,INDEX($AA$4:$AL$323,Ajustes!$G12,X$2),0)+IF(Ajustes!$H12&gt;0,INDEX($AA$4:$AL$323,Ajustes!$H12,X$2),0)+IF(Ajustes!$I12&gt;0,INDEX($AA$4:$AL$323,Ajustes!$I12,X$2),0)+IF(Ajustes!$J12&gt;0,INDEX($AA$4:$AL$323,Ajustes!$J12,X$2),0)+IF(Ajustes!$K12&gt;0,INDEX($AA$5:$AL$324,Ajustes!$K12,X$2),0)+IF(Ajustes!$L12&gt;0,INDEX($AA$4:$AL$323,Ajustes!$L12,X$2),0) + X12</f>
        <v>583</v>
      </c>
      <c r="AK12">
        <f>IF(Ajustes!$G12&gt;0,INDEX($AA$4:$AL$323,Ajustes!$G12,Y$2),0)+IF(Ajustes!$H12&gt;0,INDEX($AA$4:$AL$323,Ajustes!$H12,Y$2),0)+IF(Ajustes!$I12&gt;0,INDEX($AA$4:$AL$323,Ajustes!$I12,Y$2),0)+IF(Ajustes!$J12&gt;0,INDEX($AA$4:$AL$323,Ajustes!$J12,Y$2),0)+IF(Ajustes!$K12&gt;0,INDEX($AA$5:$AL$324,Ajustes!$K12,Y$2),0)+IF(Ajustes!$L12&gt;0,INDEX($AA$4:$AL$323,Ajustes!$L12,Y$2),0) + Y12</f>
        <v>816</v>
      </c>
      <c r="AL12">
        <f>IF(Ajustes!$G12&gt;0,INDEX($AA$4:$AL$323,Ajustes!$G12,Z$2),0)+IF(Ajustes!$H12&gt;0,INDEX($AA$4:$AL$323,Ajustes!$H12,Z$2),0)+IF(Ajustes!$I12&gt;0,INDEX($AA$4:$AL$323,Ajustes!$I12,Z$2),0)+IF(Ajustes!$J12&gt;0,INDEX($AA$4:$AL$323,Ajustes!$J12,Z$2),0)+IF(Ajustes!$K12&gt;0,INDEX($AA$5:$AL$324,Ajustes!$K12,Z$2),0)+IF(Ajustes!$L12&gt;0,INDEX($AA$4:$AL$323,Ajustes!$L12,Z$2),0) + Z12</f>
        <v>1399</v>
      </c>
      <c r="AM12" s="113">
        <f t="shared" si="3"/>
        <v>2046</v>
      </c>
      <c r="AN12" s="113">
        <f t="shared" si="3"/>
        <v>1932</v>
      </c>
      <c r="AO12" s="113">
        <f t="shared" si="3"/>
        <v>1722</v>
      </c>
      <c r="AP12" s="113">
        <f t="shared" si="3"/>
        <v>1192</v>
      </c>
      <c r="AQ12" s="113">
        <f t="shared" si="3"/>
        <v>864</v>
      </c>
      <c r="AR12" s="113">
        <f t="shared" si="3"/>
        <v>715</v>
      </c>
      <c r="AS12" s="113">
        <f t="shared" si="3"/>
        <v>586</v>
      </c>
      <c r="AT12" s="113">
        <f t="shared" si="3"/>
        <v>480</v>
      </c>
      <c r="AU12" s="113">
        <f t="shared" si="4"/>
        <v>494</v>
      </c>
      <c r="AV12" s="113">
        <f t="shared" si="4"/>
        <v>583</v>
      </c>
      <c r="AW12" s="113">
        <f t="shared" si="4"/>
        <v>816</v>
      </c>
      <c r="AX12" s="113">
        <f t="shared" si="4"/>
        <v>1399</v>
      </c>
      <c r="BB12">
        <f>ROW()</f>
        <v>12</v>
      </c>
      <c r="BC12" s="286" t="s">
        <v>7</v>
      </c>
      <c r="BD12" s="115">
        <v>1</v>
      </c>
      <c r="BE12" s="115">
        <v>1</v>
      </c>
      <c r="BF12" s="115">
        <v>1</v>
      </c>
      <c r="BG12" s="115">
        <v>1</v>
      </c>
      <c r="BH12" s="115">
        <v>1</v>
      </c>
      <c r="BI12" s="115">
        <v>1</v>
      </c>
      <c r="BJ12" s="115">
        <v>1</v>
      </c>
      <c r="BK12" s="115">
        <v>1</v>
      </c>
      <c r="BL12" s="115">
        <v>1</v>
      </c>
      <c r="BM12" s="115">
        <v>1</v>
      </c>
      <c r="BN12" s="115">
        <v>1</v>
      </c>
      <c r="BO12" s="287">
        <v>1</v>
      </c>
    </row>
    <row r="13" spans="1:67" x14ac:dyDescent="0.25">
      <c r="A13" s="113">
        <v>10</v>
      </c>
      <c r="B13" s="209" t="s">
        <v>541</v>
      </c>
      <c r="C13">
        <f>IFERROR(INDEX($BD$7:$BO$35,MATCH(Ajustes!$E$4:$E$323,$BC$7:$BC$35,0),$C$2:$N$2),1)</f>
        <v>1</v>
      </c>
      <c r="D13" s="113">
        <f>IFERROR(INDEX($BD$7:$BO$35,MATCH(Ajustes!$E$4:$E$323,$BC$7:$BC$35,0),$C$2:$N$2),1)</f>
        <v>1</v>
      </c>
      <c r="E13" s="113">
        <f>IFERROR(INDEX($BD$7:$BO$35,MATCH(Ajustes!$E$4:$E$323,$BC$7:$BC$35,0),$C$2:$N$2),1)</f>
        <v>1</v>
      </c>
      <c r="F13" s="113">
        <f>IFERROR(INDEX($BD$7:$BO$35,MATCH(Ajustes!$E$4:$E$323,$BC$7:$BC$35,0),$C$2:$N$2),1)</f>
        <v>1</v>
      </c>
      <c r="G13" s="113">
        <f>IFERROR(INDEX($BD$7:$BO$35,MATCH(Ajustes!$E$4:$E$323,$BC$7:$BC$35,0),$C$2:$N$2),1)</f>
        <v>1</v>
      </c>
      <c r="H13" s="113">
        <f>IFERROR(INDEX($BD$7:$BO$35,MATCH(Ajustes!$E$4:$E$323,$BC$7:$BC$35,0),$C$2:$N$2),1)</f>
        <v>1</v>
      </c>
      <c r="I13" s="113">
        <f>IFERROR(INDEX($BD$7:$BO$35,MATCH(Ajustes!$E$4:$E$323,$BC$7:$BC$35,0),$C$2:$N$2),1)</f>
        <v>1</v>
      </c>
      <c r="J13" s="113">
        <f>IFERROR(INDEX($BD$7:$BO$35,MATCH(Ajustes!$E$4:$E$323,$BC$7:$BC$35,0),$C$2:$N$2),1)</f>
        <v>1</v>
      </c>
      <c r="K13" s="113">
        <f>IFERROR(INDEX($BD$7:$BO$35,MATCH(Ajustes!$E$4:$E$323,$BC$7:$BC$35,0),$C$2:$N$2),1)</f>
        <v>1</v>
      </c>
      <c r="L13" s="113">
        <f>IFERROR(INDEX($BD$7:$BO$35,MATCH(Ajustes!$E$4:$E$323,$BC$7:$BC$35,0),$C$2:$N$2),1)</f>
        <v>1</v>
      </c>
      <c r="M13" s="113">
        <f>IFERROR(INDEX($BD$7:$BO$35,MATCH(Ajustes!$E$4:$E$323,$BC$7:$BC$35,0),$C$2:$N$2),1)</f>
        <v>1</v>
      </c>
      <c r="N13" s="113">
        <f>IFERROR(INDEX($BD$7:$BO$35,MATCH(Ajustes!$E$4:$E$323,$BC$7:$BC$35,0),$C$2:$N$2),1)</f>
        <v>1</v>
      </c>
      <c r="O13">
        <f>C13*Ajustes!AM13</f>
        <v>50</v>
      </c>
      <c r="P13">
        <f>D13*Ajustes!AN13</f>
        <v>62</v>
      </c>
      <c r="Q13">
        <f>E13*Ajustes!AO13</f>
        <v>55</v>
      </c>
      <c r="R13">
        <f>F13*Ajustes!AP13</f>
        <v>44</v>
      </c>
      <c r="S13">
        <f>G13*Ajustes!AQ13</f>
        <v>27</v>
      </c>
      <c r="T13">
        <f>H13*Ajustes!AR13</f>
        <v>21</v>
      </c>
      <c r="U13">
        <f>I13*Ajustes!AS13</f>
        <v>17</v>
      </c>
      <c r="V13">
        <f>J13*Ajustes!AT13</f>
        <v>14</v>
      </c>
      <c r="W13">
        <f>K13*Ajustes!AU13</f>
        <v>12</v>
      </c>
      <c r="X13">
        <f>L13*Ajustes!AV13</f>
        <v>13</v>
      </c>
      <c r="Y13">
        <f>M13*Ajustes!AW13</f>
        <v>16</v>
      </c>
      <c r="Z13">
        <f>N13*Ajustes!AX13</f>
        <v>24</v>
      </c>
      <c r="AA13">
        <f>IF(Ajustes!$G13&gt;0,INDEX($AA$4:$AL$323,Ajustes!$G13,O$2),0)+IF(Ajustes!$H13&gt;0,INDEX($AA$4:$AL$323,Ajustes!$H13,O$2),0)+IF(Ajustes!$I13&gt;0,INDEX($AA$4:$AL$323,Ajustes!$I13,O$2),0)+IF(Ajustes!$J13&gt;0,INDEX($AA$4:$AL$323,Ajustes!$J13,O$2),0)+IF(Ajustes!$K13&gt;0,INDEX($AA$5:$AL$324,Ajustes!$K13,O$2),0)+IF(Ajustes!$L13&gt;0,INDEX($AA$4:$AL$323,Ajustes!$L13,O$2),0) + O13</f>
        <v>2096</v>
      </c>
      <c r="AB13">
        <f>IF(Ajustes!$G13&gt;0,INDEX($AA$4:$AL$323,Ajustes!$G13,P$2),0)+IF(Ajustes!$H13&gt;0,INDEX($AA$4:$AL$323,Ajustes!$H13,P$2),0)+IF(Ajustes!$I13&gt;0,INDEX($AA$4:$AL$323,Ajustes!$I13,P$2),0)+IF(Ajustes!$J13&gt;0,INDEX($AA$4:$AL$323,Ajustes!$J13,P$2),0)+IF(Ajustes!$K13&gt;0,INDEX($AA$5:$AL$324,Ajustes!$K13,P$2),0)+IF(Ajustes!$L13&gt;0,INDEX($AA$4:$AL$323,Ajustes!$L13,P$2),0) + P13</f>
        <v>1994</v>
      </c>
      <c r="AC13">
        <f>IF(Ajustes!$G13&gt;0,INDEX($AA$4:$AL$323,Ajustes!$G13,Q$2),0)+IF(Ajustes!$H13&gt;0,INDEX($AA$4:$AL$323,Ajustes!$H13,Q$2),0)+IF(Ajustes!$I13&gt;0,INDEX($AA$4:$AL$323,Ajustes!$I13,Q$2),0)+IF(Ajustes!$J13&gt;0,INDEX($AA$4:$AL$323,Ajustes!$J13,Q$2),0)+IF(Ajustes!$K13&gt;0,INDEX($AA$5:$AL$324,Ajustes!$K13,Q$2),0)+IF(Ajustes!$L13&gt;0,INDEX($AA$4:$AL$323,Ajustes!$L13,Q$2),0) + Q13</f>
        <v>1777</v>
      </c>
      <c r="AD13">
        <f>IF(Ajustes!$G13&gt;0,INDEX($AA$4:$AL$323,Ajustes!$G13,R$2),0)+IF(Ajustes!$H13&gt;0,INDEX($AA$4:$AL$323,Ajustes!$H13,R$2),0)+IF(Ajustes!$I13&gt;0,INDEX($AA$4:$AL$323,Ajustes!$I13,R$2),0)+IF(Ajustes!$J13&gt;0,INDEX($AA$4:$AL$323,Ajustes!$J13,R$2),0)+IF(Ajustes!$K13&gt;0,INDEX($AA$5:$AL$324,Ajustes!$K13,R$2),0)+IF(Ajustes!$L13&gt;0,INDEX($AA$4:$AL$323,Ajustes!$L13,R$2),0) + R13</f>
        <v>1236</v>
      </c>
      <c r="AE13">
        <f>IF(Ajustes!$G13&gt;0,INDEX($AA$4:$AL$323,Ajustes!$G13,S$2),0)+IF(Ajustes!$H13&gt;0,INDEX($AA$4:$AL$323,Ajustes!$H13,S$2),0)+IF(Ajustes!$I13&gt;0,INDEX($AA$4:$AL$323,Ajustes!$I13,S$2),0)+IF(Ajustes!$J13&gt;0,INDEX($AA$4:$AL$323,Ajustes!$J13,S$2),0)+IF(Ajustes!$K13&gt;0,INDEX($AA$5:$AL$324,Ajustes!$K13,S$2),0)+IF(Ajustes!$L13&gt;0,INDEX($AA$4:$AL$323,Ajustes!$L13,S$2),0) + S13</f>
        <v>891</v>
      </c>
      <c r="AF13">
        <f>IF(Ajustes!$G13&gt;0,INDEX($AA$4:$AL$323,Ajustes!$G13,T$2),0)+IF(Ajustes!$H13&gt;0,INDEX($AA$4:$AL$323,Ajustes!$H13,T$2),0)+IF(Ajustes!$I13&gt;0,INDEX($AA$4:$AL$323,Ajustes!$I13,T$2),0)+IF(Ajustes!$J13&gt;0,INDEX($AA$4:$AL$323,Ajustes!$J13,T$2),0)+IF(Ajustes!$K13&gt;0,INDEX($AA$5:$AL$324,Ajustes!$K13,T$2),0)+IF(Ajustes!$L13&gt;0,INDEX($AA$4:$AL$323,Ajustes!$L13,T$2),0) + T13</f>
        <v>736</v>
      </c>
      <c r="AG13">
        <f>IF(Ajustes!$G13&gt;0,INDEX($AA$4:$AL$323,Ajustes!$G13,U$2),0)+IF(Ajustes!$H13&gt;0,INDEX($AA$4:$AL$323,Ajustes!$H13,U$2),0)+IF(Ajustes!$I13&gt;0,INDEX($AA$4:$AL$323,Ajustes!$I13,U$2),0)+IF(Ajustes!$J13&gt;0,INDEX($AA$4:$AL$323,Ajustes!$J13,U$2),0)+IF(Ajustes!$K13&gt;0,INDEX($AA$5:$AL$324,Ajustes!$K13,U$2),0)+IF(Ajustes!$L13&gt;0,INDEX($AA$4:$AL$323,Ajustes!$L13,U$2),0) + U13</f>
        <v>603</v>
      </c>
      <c r="AH13">
        <f>IF(Ajustes!$G13&gt;0,INDEX($AA$4:$AL$323,Ajustes!$G13,V$2),0)+IF(Ajustes!$H13&gt;0,INDEX($AA$4:$AL$323,Ajustes!$H13,V$2),0)+IF(Ajustes!$I13&gt;0,INDEX($AA$4:$AL$323,Ajustes!$I13,V$2),0)+IF(Ajustes!$J13&gt;0,INDEX($AA$4:$AL$323,Ajustes!$J13,V$2),0)+IF(Ajustes!$K13&gt;0,INDEX($AA$5:$AL$324,Ajustes!$K13,V$2),0)+IF(Ajustes!$L13&gt;0,INDEX($AA$4:$AL$323,Ajustes!$L13,V$2),0) + V13</f>
        <v>494</v>
      </c>
      <c r="AI13">
        <f>IF(Ajustes!$G13&gt;0,INDEX($AA$4:$AL$323,Ajustes!$G13,W$2),0)+IF(Ajustes!$H13&gt;0,INDEX($AA$4:$AL$323,Ajustes!$H13,W$2),0)+IF(Ajustes!$I13&gt;0,INDEX($AA$4:$AL$323,Ajustes!$I13,W$2),0)+IF(Ajustes!$J13&gt;0,INDEX($AA$4:$AL$323,Ajustes!$J13,W$2),0)+IF(Ajustes!$K13&gt;0,INDEX($AA$5:$AL$324,Ajustes!$K13,W$2),0)+IF(Ajustes!$L13&gt;0,INDEX($AA$4:$AL$323,Ajustes!$L13,W$2),0) + W13</f>
        <v>506</v>
      </c>
      <c r="AJ13">
        <f>IF(Ajustes!$G13&gt;0,INDEX($AA$4:$AL$323,Ajustes!$G13,X$2),0)+IF(Ajustes!$H13&gt;0,INDEX($AA$4:$AL$323,Ajustes!$H13,X$2),0)+IF(Ajustes!$I13&gt;0,INDEX($AA$4:$AL$323,Ajustes!$I13,X$2),0)+IF(Ajustes!$J13&gt;0,INDEX($AA$4:$AL$323,Ajustes!$J13,X$2),0)+IF(Ajustes!$K13&gt;0,INDEX($AA$5:$AL$324,Ajustes!$K13,X$2),0)+IF(Ajustes!$L13&gt;0,INDEX($AA$4:$AL$323,Ajustes!$L13,X$2),0) + X13</f>
        <v>596</v>
      </c>
      <c r="AK13">
        <f>IF(Ajustes!$G13&gt;0,INDEX($AA$4:$AL$323,Ajustes!$G13,Y$2),0)+IF(Ajustes!$H13&gt;0,INDEX($AA$4:$AL$323,Ajustes!$H13,Y$2),0)+IF(Ajustes!$I13&gt;0,INDEX($AA$4:$AL$323,Ajustes!$I13,Y$2),0)+IF(Ajustes!$J13&gt;0,INDEX($AA$4:$AL$323,Ajustes!$J13,Y$2),0)+IF(Ajustes!$K13&gt;0,INDEX($AA$5:$AL$324,Ajustes!$K13,Y$2),0)+IF(Ajustes!$L13&gt;0,INDEX($AA$4:$AL$323,Ajustes!$L13,Y$2),0) + Y13</f>
        <v>832</v>
      </c>
      <c r="AL13">
        <f>IF(Ajustes!$G13&gt;0,INDEX($AA$4:$AL$323,Ajustes!$G13,Z$2),0)+IF(Ajustes!$H13&gt;0,INDEX($AA$4:$AL$323,Ajustes!$H13,Z$2),0)+IF(Ajustes!$I13&gt;0,INDEX($AA$4:$AL$323,Ajustes!$I13,Z$2),0)+IF(Ajustes!$J13&gt;0,INDEX($AA$4:$AL$323,Ajustes!$J13,Z$2),0)+IF(Ajustes!$K13&gt;0,INDEX($AA$5:$AL$324,Ajustes!$K13,Z$2),0)+IF(Ajustes!$L13&gt;0,INDEX($AA$4:$AL$323,Ajustes!$L13,Z$2),0) + Z13</f>
        <v>1423</v>
      </c>
      <c r="AM13" s="113">
        <f t="shared" si="3"/>
        <v>2096</v>
      </c>
      <c r="AN13" s="113">
        <f t="shared" si="3"/>
        <v>1994</v>
      </c>
      <c r="AO13" s="113">
        <f t="shared" si="3"/>
        <v>1777</v>
      </c>
      <c r="AP13" s="113">
        <f t="shared" si="3"/>
        <v>1236</v>
      </c>
      <c r="AQ13" s="113">
        <f t="shared" si="3"/>
        <v>891</v>
      </c>
      <c r="AR13" s="113">
        <f t="shared" si="3"/>
        <v>736</v>
      </c>
      <c r="AS13" s="113">
        <f t="shared" si="3"/>
        <v>603</v>
      </c>
      <c r="AT13" s="113">
        <f t="shared" si="3"/>
        <v>494</v>
      </c>
      <c r="AU13" s="113">
        <f t="shared" si="4"/>
        <v>506</v>
      </c>
      <c r="AV13" s="113">
        <f t="shared" si="4"/>
        <v>596</v>
      </c>
      <c r="AW13" s="113">
        <f t="shared" si="4"/>
        <v>832</v>
      </c>
      <c r="AX13" s="113">
        <f t="shared" si="4"/>
        <v>1423</v>
      </c>
      <c r="BB13">
        <f>ROW()</f>
        <v>13</v>
      </c>
      <c r="BC13" s="286" t="s">
        <v>8</v>
      </c>
      <c r="BD13" s="115">
        <v>1</v>
      </c>
      <c r="BE13" s="115">
        <v>1</v>
      </c>
      <c r="BF13" s="115">
        <v>1</v>
      </c>
      <c r="BG13" s="115">
        <v>1</v>
      </c>
      <c r="BH13" s="115">
        <v>1</v>
      </c>
      <c r="BI13" s="115">
        <v>1</v>
      </c>
      <c r="BJ13" s="115">
        <v>1</v>
      </c>
      <c r="BK13" s="115">
        <v>1</v>
      </c>
      <c r="BL13" s="115">
        <v>1</v>
      </c>
      <c r="BM13" s="115">
        <v>1</v>
      </c>
      <c r="BN13" s="115">
        <v>1</v>
      </c>
      <c r="BO13" s="287">
        <v>1</v>
      </c>
    </row>
    <row r="14" spans="1:67" x14ac:dyDescent="0.25">
      <c r="A14" s="113">
        <v>11</v>
      </c>
      <c r="B14" s="209" t="s">
        <v>49</v>
      </c>
      <c r="C14">
        <f>IFERROR(INDEX($BD$7:$BO$35,MATCH(Ajustes!$E$4:$E$323,$BC$7:$BC$35,0),$C$2:$N$2),1)</f>
        <v>1</v>
      </c>
      <c r="D14" s="113">
        <f>IFERROR(INDEX($BD$7:$BO$35,MATCH(Ajustes!$E$4:$E$323,$BC$7:$BC$35,0),$C$2:$N$2),1)</f>
        <v>1</v>
      </c>
      <c r="E14" s="113">
        <f>IFERROR(INDEX($BD$7:$BO$35,MATCH(Ajustes!$E$4:$E$323,$BC$7:$BC$35,0),$C$2:$N$2),1)</f>
        <v>1</v>
      </c>
      <c r="F14" s="113">
        <f>IFERROR(INDEX($BD$7:$BO$35,MATCH(Ajustes!$E$4:$E$323,$BC$7:$BC$35,0),$C$2:$N$2),1)</f>
        <v>1</v>
      </c>
      <c r="G14" s="113">
        <f>IFERROR(INDEX($BD$7:$BO$35,MATCH(Ajustes!$E$4:$E$323,$BC$7:$BC$35,0),$C$2:$N$2),1)</f>
        <v>1</v>
      </c>
      <c r="H14" s="113">
        <f>IFERROR(INDEX($BD$7:$BO$35,MATCH(Ajustes!$E$4:$E$323,$BC$7:$BC$35,0),$C$2:$N$2),1)</f>
        <v>1</v>
      </c>
      <c r="I14" s="113">
        <f>IFERROR(INDEX($BD$7:$BO$35,MATCH(Ajustes!$E$4:$E$323,$BC$7:$BC$35,0),$C$2:$N$2),1)</f>
        <v>1</v>
      </c>
      <c r="J14" s="113">
        <f>IFERROR(INDEX($BD$7:$BO$35,MATCH(Ajustes!$E$4:$E$323,$BC$7:$BC$35,0),$C$2:$N$2),1)</f>
        <v>1</v>
      </c>
      <c r="K14" s="113">
        <f>IFERROR(INDEX($BD$7:$BO$35,MATCH(Ajustes!$E$4:$E$323,$BC$7:$BC$35,0),$C$2:$N$2),1)</f>
        <v>1</v>
      </c>
      <c r="L14" s="113">
        <f>IFERROR(INDEX($BD$7:$BO$35,MATCH(Ajustes!$E$4:$E$323,$BC$7:$BC$35,0),$C$2:$N$2),1)</f>
        <v>1</v>
      </c>
      <c r="M14" s="113">
        <f>IFERROR(INDEX($BD$7:$BO$35,MATCH(Ajustes!$E$4:$E$323,$BC$7:$BC$35,0),$C$2:$N$2),1)</f>
        <v>1</v>
      </c>
      <c r="N14" s="113">
        <f>IFERROR(INDEX($BD$7:$BO$35,MATCH(Ajustes!$E$4:$E$323,$BC$7:$BC$35,0),$C$2:$N$2),1)</f>
        <v>1</v>
      </c>
      <c r="O14">
        <f>C14*Ajustes!AM14</f>
        <v>114</v>
      </c>
      <c r="P14">
        <f>D14*Ajustes!AN14</f>
        <v>129</v>
      </c>
      <c r="Q14">
        <f>E14*Ajustes!AO14</f>
        <v>118</v>
      </c>
      <c r="R14">
        <f>F14*Ajustes!AP14</f>
        <v>92</v>
      </c>
      <c r="S14">
        <f>G14*Ajustes!AQ14</f>
        <v>61</v>
      </c>
      <c r="T14">
        <f>H14*Ajustes!AR14</f>
        <v>49</v>
      </c>
      <c r="U14">
        <f>I14*Ajustes!AS14</f>
        <v>38</v>
      </c>
      <c r="V14">
        <f>J14*Ajustes!AT14</f>
        <v>30</v>
      </c>
      <c r="W14">
        <f>K14*Ajustes!AU14</f>
        <v>27</v>
      </c>
      <c r="X14">
        <f>L14*Ajustes!AV14</f>
        <v>31</v>
      </c>
      <c r="Y14">
        <f>M14*Ajustes!AW14</f>
        <v>41</v>
      </c>
      <c r="Z14">
        <f>N14*Ajustes!AX14</f>
        <v>64</v>
      </c>
      <c r="AA14">
        <f>IF(Ajustes!$G14&gt;0,INDEX($AA$4:$AL$323,Ajustes!$G14,O$2),0)+IF(Ajustes!$H14&gt;0,INDEX($AA$4:$AL$323,Ajustes!$H14,O$2),0)+IF(Ajustes!$I14&gt;0,INDEX($AA$4:$AL$323,Ajustes!$I14,O$2),0)+IF(Ajustes!$J14&gt;0,INDEX($AA$4:$AL$323,Ajustes!$J14,O$2),0)+IF(Ajustes!$K14&gt;0,INDEX($AA$5:$AL$324,Ajustes!$K14,O$2),0)+IF(Ajustes!$L14&gt;0,INDEX($AA$4:$AL$323,Ajustes!$L14,O$2),0) + O14</f>
        <v>2210</v>
      </c>
      <c r="AB14">
        <f>IF(Ajustes!$G14&gt;0,INDEX($AA$4:$AL$323,Ajustes!$G14,P$2),0)+IF(Ajustes!$H14&gt;0,INDEX($AA$4:$AL$323,Ajustes!$H14,P$2),0)+IF(Ajustes!$I14&gt;0,INDEX($AA$4:$AL$323,Ajustes!$I14,P$2),0)+IF(Ajustes!$J14&gt;0,INDEX($AA$4:$AL$323,Ajustes!$J14,P$2),0)+IF(Ajustes!$K14&gt;0,INDEX($AA$5:$AL$324,Ajustes!$K14,P$2),0)+IF(Ajustes!$L14&gt;0,INDEX($AA$4:$AL$323,Ajustes!$L14,P$2),0) + P14</f>
        <v>2123</v>
      </c>
      <c r="AC14">
        <f>IF(Ajustes!$G14&gt;0,INDEX($AA$4:$AL$323,Ajustes!$G14,Q$2),0)+IF(Ajustes!$H14&gt;0,INDEX($AA$4:$AL$323,Ajustes!$H14,Q$2),0)+IF(Ajustes!$I14&gt;0,INDEX($AA$4:$AL$323,Ajustes!$I14,Q$2),0)+IF(Ajustes!$J14&gt;0,INDEX($AA$4:$AL$323,Ajustes!$J14,Q$2),0)+IF(Ajustes!$K14&gt;0,INDEX($AA$5:$AL$324,Ajustes!$K14,Q$2),0)+IF(Ajustes!$L14&gt;0,INDEX($AA$4:$AL$323,Ajustes!$L14,Q$2),0) + Q14</f>
        <v>1895</v>
      </c>
      <c r="AD14">
        <f>IF(Ajustes!$G14&gt;0,INDEX($AA$4:$AL$323,Ajustes!$G14,R$2),0)+IF(Ajustes!$H14&gt;0,INDEX($AA$4:$AL$323,Ajustes!$H14,R$2),0)+IF(Ajustes!$I14&gt;0,INDEX($AA$4:$AL$323,Ajustes!$I14,R$2),0)+IF(Ajustes!$J14&gt;0,INDEX($AA$4:$AL$323,Ajustes!$J14,R$2),0)+IF(Ajustes!$K14&gt;0,INDEX($AA$5:$AL$324,Ajustes!$K14,R$2),0)+IF(Ajustes!$L14&gt;0,INDEX($AA$4:$AL$323,Ajustes!$L14,R$2),0) + R14</f>
        <v>1328</v>
      </c>
      <c r="AE14">
        <f>IF(Ajustes!$G14&gt;0,INDEX($AA$4:$AL$323,Ajustes!$G14,S$2),0)+IF(Ajustes!$H14&gt;0,INDEX($AA$4:$AL$323,Ajustes!$H14,S$2),0)+IF(Ajustes!$I14&gt;0,INDEX($AA$4:$AL$323,Ajustes!$I14,S$2),0)+IF(Ajustes!$J14&gt;0,INDEX($AA$4:$AL$323,Ajustes!$J14,S$2),0)+IF(Ajustes!$K14&gt;0,INDEX($AA$5:$AL$324,Ajustes!$K14,S$2),0)+IF(Ajustes!$L14&gt;0,INDEX($AA$4:$AL$323,Ajustes!$L14,S$2),0) + S14</f>
        <v>952</v>
      </c>
      <c r="AF14">
        <f>IF(Ajustes!$G14&gt;0,INDEX($AA$4:$AL$323,Ajustes!$G14,T$2),0)+IF(Ajustes!$H14&gt;0,INDEX($AA$4:$AL$323,Ajustes!$H14,T$2),0)+IF(Ajustes!$I14&gt;0,INDEX($AA$4:$AL$323,Ajustes!$I14,T$2),0)+IF(Ajustes!$J14&gt;0,INDEX($AA$4:$AL$323,Ajustes!$J14,T$2),0)+IF(Ajustes!$K14&gt;0,INDEX($AA$5:$AL$324,Ajustes!$K14,T$2),0)+IF(Ajustes!$L14&gt;0,INDEX($AA$4:$AL$323,Ajustes!$L14,T$2),0) + T14</f>
        <v>785</v>
      </c>
      <c r="AG14">
        <f>IF(Ajustes!$G14&gt;0,INDEX($AA$4:$AL$323,Ajustes!$G14,U$2),0)+IF(Ajustes!$H14&gt;0,INDEX($AA$4:$AL$323,Ajustes!$H14,U$2),0)+IF(Ajustes!$I14&gt;0,INDEX($AA$4:$AL$323,Ajustes!$I14,U$2),0)+IF(Ajustes!$J14&gt;0,INDEX($AA$4:$AL$323,Ajustes!$J14,U$2),0)+IF(Ajustes!$K14&gt;0,INDEX($AA$5:$AL$324,Ajustes!$K14,U$2),0)+IF(Ajustes!$L14&gt;0,INDEX($AA$4:$AL$323,Ajustes!$L14,U$2),0) + U14</f>
        <v>641</v>
      </c>
      <c r="AH14">
        <f>IF(Ajustes!$G14&gt;0,INDEX($AA$4:$AL$323,Ajustes!$G14,V$2),0)+IF(Ajustes!$H14&gt;0,INDEX($AA$4:$AL$323,Ajustes!$H14,V$2),0)+IF(Ajustes!$I14&gt;0,INDEX($AA$4:$AL$323,Ajustes!$I14,V$2),0)+IF(Ajustes!$J14&gt;0,INDEX($AA$4:$AL$323,Ajustes!$J14,V$2),0)+IF(Ajustes!$K14&gt;0,INDEX($AA$5:$AL$324,Ajustes!$K14,V$2),0)+IF(Ajustes!$L14&gt;0,INDEX($AA$4:$AL$323,Ajustes!$L14,V$2),0) + V14</f>
        <v>524</v>
      </c>
      <c r="AI14">
        <f>IF(Ajustes!$G14&gt;0,INDEX($AA$4:$AL$323,Ajustes!$G14,W$2),0)+IF(Ajustes!$H14&gt;0,INDEX($AA$4:$AL$323,Ajustes!$H14,W$2),0)+IF(Ajustes!$I14&gt;0,INDEX($AA$4:$AL$323,Ajustes!$I14,W$2),0)+IF(Ajustes!$J14&gt;0,INDEX($AA$4:$AL$323,Ajustes!$J14,W$2),0)+IF(Ajustes!$K14&gt;0,INDEX($AA$5:$AL$324,Ajustes!$K14,W$2),0)+IF(Ajustes!$L14&gt;0,INDEX($AA$4:$AL$323,Ajustes!$L14,W$2),0) + W14</f>
        <v>533</v>
      </c>
      <c r="AJ14">
        <f>IF(Ajustes!$G14&gt;0,INDEX($AA$4:$AL$323,Ajustes!$G14,X$2),0)+IF(Ajustes!$H14&gt;0,INDEX($AA$4:$AL$323,Ajustes!$H14,X$2),0)+IF(Ajustes!$I14&gt;0,INDEX($AA$4:$AL$323,Ajustes!$I14,X$2),0)+IF(Ajustes!$J14&gt;0,INDEX($AA$4:$AL$323,Ajustes!$J14,X$2),0)+IF(Ajustes!$K14&gt;0,INDEX($AA$5:$AL$324,Ajustes!$K14,X$2),0)+IF(Ajustes!$L14&gt;0,INDEX($AA$4:$AL$323,Ajustes!$L14,X$2),0) + X14</f>
        <v>627</v>
      </c>
      <c r="AK14">
        <f>IF(Ajustes!$G14&gt;0,INDEX($AA$4:$AL$323,Ajustes!$G14,Y$2),0)+IF(Ajustes!$H14&gt;0,INDEX($AA$4:$AL$323,Ajustes!$H14,Y$2),0)+IF(Ajustes!$I14&gt;0,INDEX($AA$4:$AL$323,Ajustes!$I14,Y$2),0)+IF(Ajustes!$J14&gt;0,INDEX($AA$4:$AL$323,Ajustes!$J14,Y$2),0)+IF(Ajustes!$K14&gt;0,INDEX($AA$5:$AL$324,Ajustes!$K14,Y$2),0)+IF(Ajustes!$L14&gt;0,INDEX($AA$4:$AL$323,Ajustes!$L14,Y$2),0) + Y14</f>
        <v>873</v>
      </c>
      <c r="AL14">
        <f>IF(Ajustes!$G14&gt;0,INDEX($AA$4:$AL$323,Ajustes!$G14,Z$2),0)+IF(Ajustes!$H14&gt;0,INDEX($AA$4:$AL$323,Ajustes!$H14,Z$2),0)+IF(Ajustes!$I14&gt;0,INDEX($AA$4:$AL$323,Ajustes!$I14,Z$2),0)+IF(Ajustes!$J14&gt;0,INDEX($AA$4:$AL$323,Ajustes!$J14,Z$2),0)+IF(Ajustes!$K14&gt;0,INDEX($AA$5:$AL$324,Ajustes!$K14,Z$2),0)+IF(Ajustes!$L14&gt;0,INDEX($AA$4:$AL$323,Ajustes!$L14,Z$2),0) + Z14</f>
        <v>1487</v>
      </c>
      <c r="AM14" s="113">
        <f t="shared" si="3"/>
        <v>2210</v>
      </c>
      <c r="AN14" s="113">
        <f t="shared" si="3"/>
        <v>2123</v>
      </c>
      <c r="AO14" s="113">
        <f t="shared" si="3"/>
        <v>1895</v>
      </c>
      <c r="AP14" s="113">
        <f t="shared" si="3"/>
        <v>1328</v>
      </c>
      <c r="AQ14" s="113">
        <f t="shared" si="3"/>
        <v>952</v>
      </c>
      <c r="AR14" s="113">
        <f t="shared" si="3"/>
        <v>785</v>
      </c>
      <c r="AS14" s="113">
        <f t="shared" si="3"/>
        <v>641</v>
      </c>
      <c r="AT14" s="113">
        <f t="shared" si="3"/>
        <v>524</v>
      </c>
      <c r="AU14" s="113">
        <f t="shared" si="4"/>
        <v>533</v>
      </c>
      <c r="AV14" s="113">
        <f t="shared" si="4"/>
        <v>627</v>
      </c>
      <c r="AW14" s="113">
        <f t="shared" si="4"/>
        <v>873</v>
      </c>
      <c r="AX14" s="113">
        <f t="shared" si="4"/>
        <v>1487</v>
      </c>
      <c r="BB14">
        <f>ROW()</f>
        <v>14</v>
      </c>
      <c r="BC14" s="286" t="s">
        <v>10</v>
      </c>
      <c r="BD14" s="115">
        <v>1</v>
      </c>
      <c r="BE14" s="115">
        <v>1</v>
      </c>
      <c r="BF14" s="115">
        <v>1</v>
      </c>
      <c r="BG14" s="115">
        <v>1</v>
      </c>
      <c r="BH14" s="115">
        <v>1</v>
      </c>
      <c r="BI14" s="115">
        <v>1</v>
      </c>
      <c r="BJ14" s="115">
        <v>1</v>
      </c>
      <c r="BK14" s="115">
        <v>1</v>
      </c>
      <c r="BL14" s="115">
        <v>1</v>
      </c>
      <c r="BM14" s="115">
        <v>1</v>
      </c>
      <c r="BN14" s="115">
        <v>1</v>
      </c>
      <c r="BO14" s="287">
        <v>1</v>
      </c>
    </row>
    <row r="15" spans="1:67" x14ac:dyDescent="0.25">
      <c r="A15" s="113">
        <v>12</v>
      </c>
      <c r="B15" s="209" t="s">
        <v>542</v>
      </c>
      <c r="C15">
        <f>IFERROR(INDEX($BD$7:$BO$35,MATCH(Ajustes!$E$4:$E$323,$BC$7:$BC$35,0),$C$2:$N$2),1)</f>
        <v>1</v>
      </c>
      <c r="D15" s="113">
        <f>IFERROR(INDEX($BD$7:$BO$35,MATCH(Ajustes!$E$4:$E$323,$BC$7:$BC$35,0),$C$2:$N$2),1)</f>
        <v>1</v>
      </c>
      <c r="E15" s="113">
        <f>IFERROR(INDEX($BD$7:$BO$35,MATCH(Ajustes!$E$4:$E$323,$BC$7:$BC$35,0),$C$2:$N$2),1)</f>
        <v>1</v>
      </c>
      <c r="F15" s="113">
        <f>IFERROR(INDEX($BD$7:$BO$35,MATCH(Ajustes!$E$4:$E$323,$BC$7:$BC$35,0),$C$2:$N$2),1)</f>
        <v>1</v>
      </c>
      <c r="G15" s="113">
        <f>IFERROR(INDEX($BD$7:$BO$35,MATCH(Ajustes!$E$4:$E$323,$BC$7:$BC$35,0),$C$2:$N$2),1)</f>
        <v>1</v>
      </c>
      <c r="H15" s="113">
        <f>IFERROR(INDEX($BD$7:$BO$35,MATCH(Ajustes!$E$4:$E$323,$BC$7:$BC$35,0),$C$2:$N$2),1)</f>
        <v>1</v>
      </c>
      <c r="I15" s="113">
        <f>IFERROR(INDEX($BD$7:$BO$35,MATCH(Ajustes!$E$4:$E$323,$BC$7:$BC$35,0),$C$2:$N$2),1)</f>
        <v>1</v>
      </c>
      <c r="J15" s="113">
        <f>IFERROR(INDEX($BD$7:$BO$35,MATCH(Ajustes!$E$4:$E$323,$BC$7:$BC$35,0),$C$2:$N$2),1)</f>
        <v>1</v>
      </c>
      <c r="K15" s="113">
        <f>IFERROR(INDEX($BD$7:$BO$35,MATCH(Ajustes!$E$4:$E$323,$BC$7:$BC$35,0),$C$2:$N$2),1)</f>
        <v>1</v>
      </c>
      <c r="L15" s="113">
        <f>IFERROR(INDEX($BD$7:$BO$35,MATCH(Ajustes!$E$4:$E$323,$BC$7:$BC$35,0),$C$2:$N$2),1)</f>
        <v>1</v>
      </c>
      <c r="M15" s="113">
        <f>IFERROR(INDEX($BD$7:$BO$35,MATCH(Ajustes!$E$4:$E$323,$BC$7:$BC$35,0),$C$2:$N$2),1)</f>
        <v>1</v>
      </c>
      <c r="N15" s="113">
        <f>IFERROR(INDEX($BD$7:$BO$35,MATCH(Ajustes!$E$4:$E$323,$BC$7:$BC$35,0),$C$2:$N$2),1)</f>
        <v>1</v>
      </c>
      <c r="O15">
        <f>C15*Ajustes!AM15</f>
        <v>284</v>
      </c>
      <c r="P15">
        <f>D15*Ajustes!AN15</f>
        <v>302</v>
      </c>
      <c r="Q15">
        <f>E15*Ajustes!AO15</f>
        <v>277</v>
      </c>
      <c r="R15">
        <f>F15*Ajustes!AP15</f>
        <v>206</v>
      </c>
      <c r="S15">
        <f>G15*Ajustes!AQ15</f>
        <v>142</v>
      </c>
      <c r="T15">
        <f>H15*Ajustes!AR15</f>
        <v>111</v>
      </c>
      <c r="U15">
        <f>I15*Ajustes!AS15</f>
        <v>87</v>
      </c>
      <c r="V15">
        <f>J15*Ajustes!AT15</f>
        <v>70</v>
      </c>
      <c r="W15">
        <f>K15*Ajustes!AU15</f>
        <v>65</v>
      </c>
      <c r="X15">
        <f>L15*Ajustes!AV15</f>
        <v>78</v>
      </c>
      <c r="Y15">
        <f>M15*Ajustes!AW15</f>
        <v>106</v>
      </c>
      <c r="Z15">
        <f>N15*Ajustes!AX15</f>
        <v>175</v>
      </c>
      <c r="AA15">
        <f>IF(Ajustes!$G15&gt;0,INDEX($AA$4:$AL$323,Ajustes!$G15,O$2),0)+IF(Ajustes!$H15&gt;0,INDEX($AA$4:$AL$323,Ajustes!$H15,O$2),0)+IF(Ajustes!$I15&gt;0,INDEX($AA$4:$AL$323,Ajustes!$I15,O$2),0)+IF(Ajustes!$J15&gt;0,INDEX($AA$4:$AL$323,Ajustes!$J15,O$2),0)+IF(Ajustes!$K15&gt;0,INDEX($AA$5:$AL$324,Ajustes!$K15,O$2),0)+IF(Ajustes!$L15&gt;0,INDEX($AA$4:$AL$323,Ajustes!$L15,O$2),0) + O15</f>
        <v>2494</v>
      </c>
      <c r="AB15">
        <f>IF(Ajustes!$G15&gt;0,INDEX($AA$4:$AL$323,Ajustes!$G15,P$2),0)+IF(Ajustes!$H15&gt;0,INDEX($AA$4:$AL$323,Ajustes!$H15,P$2),0)+IF(Ajustes!$I15&gt;0,INDEX($AA$4:$AL$323,Ajustes!$I15,P$2),0)+IF(Ajustes!$J15&gt;0,INDEX($AA$4:$AL$323,Ajustes!$J15,P$2),0)+IF(Ajustes!$K15&gt;0,INDEX($AA$5:$AL$324,Ajustes!$K15,P$2),0)+IF(Ajustes!$L15&gt;0,INDEX($AA$4:$AL$323,Ajustes!$L15,P$2),0) + P15</f>
        <v>2425</v>
      </c>
      <c r="AC15">
        <f>IF(Ajustes!$G15&gt;0,INDEX($AA$4:$AL$323,Ajustes!$G15,Q$2),0)+IF(Ajustes!$H15&gt;0,INDEX($AA$4:$AL$323,Ajustes!$H15,Q$2),0)+IF(Ajustes!$I15&gt;0,INDEX($AA$4:$AL$323,Ajustes!$I15,Q$2),0)+IF(Ajustes!$J15&gt;0,INDEX($AA$4:$AL$323,Ajustes!$J15,Q$2),0)+IF(Ajustes!$K15&gt;0,INDEX($AA$5:$AL$324,Ajustes!$K15,Q$2),0)+IF(Ajustes!$L15&gt;0,INDEX($AA$4:$AL$323,Ajustes!$L15,Q$2),0) + Q15</f>
        <v>2172</v>
      </c>
      <c r="AD15">
        <f>IF(Ajustes!$G15&gt;0,INDEX($AA$4:$AL$323,Ajustes!$G15,R$2),0)+IF(Ajustes!$H15&gt;0,INDEX($AA$4:$AL$323,Ajustes!$H15,R$2),0)+IF(Ajustes!$I15&gt;0,INDEX($AA$4:$AL$323,Ajustes!$I15,R$2),0)+IF(Ajustes!$J15&gt;0,INDEX($AA$4:$AL$323,Ajustes!$J15,R$2),0)+IF(Ajustes!$K15&gt;0,INDEX($AA$5:$AL$324,Ajustes!$K15,R$2),0)+IF(Ajustes!$L15&gt;0,INDEX($AA$4:$AL$323,Ajustes!$L15,R$2),0) + R15</f>
        <v>1534</v>
      </c>
      <c r="AE15">
        <f>IF(Ajustes!$G15&gt;0,INDEX($AA$4:$AL$323,Ajustes!$G15,S$2),0)+IF(Ajustes!$H15&gt;0,INDEX($AA$4:$AL$323,Ajustes!$H15,S$2),0)+IF(Ajustes!$I15&gt;0,INDEX($AA$4:$AL$323,Ajustes!$I15,S$2),0)+IF(Ajustes!$J15&gt;0,INDEX($AA$4:$AL$323,Ajustes!$J15,S$2),0)+IF(Ajustes!$K15&gt;0,INDEX($AA$5:$AL$324,Ajustes!$K15,S$2),0)+IF(Ajustes!$L15&gt;0,INDEX($AA$4:$AL$323,Ajustes!$L15,S$2),0) + S15</f>
        <v>1094</v>
      </c>
      <c r="AF15">
        <f>IF(Ajustes!$G15&gt;0,INDEX($AA$4:$AL$323,Ajustes!$G15,T$2),0)+IF(Ajustes!$H15&gt;0,INDEX($AA$4:$AL$323,Ajustes!$H15,T$2),0)+IF(Ajustes!$I15&gt;0,INDEX($AA$4:$AL$323,Ajustes!$I15,T$2),0)+IF(Ajustes!$J15&gt;0,INDEX($AA$4:$AL$323,Ajustes!$J15,T$2),0)+IF(Ajustes!$K15&gt;0,INDEX($AA$5:$AL$324,Ajustes!$K15,T$2),0)+IF(Ajustes!$L15&gt;0,INDEX($AA$4:$AL$323,Ajustes!$L15,T$2),0) + T15</f>
        <v>896</v>
      </c>
      <c r="AG15">
        <f>IF(Ajustes!$G15&gt;0,INDEX($AA$4:$AL$323,Ajustes!$G15,U$2),0)+IF(Ajustes!$H15&gt;0,INDEX($AA$4:$AL$323,Ajustes!$H15,U$2),0)+IF(Ajustes!$I15&gt;0,INDEX($AA$4:$AL$323,Ajustes!$I15,U$2),0)+IF(Ajustes!$J15&gt;0,INDEX($AA$4:$AL$323,Ajustes!$J15,U$2),0)+IF(Ajustes!$K15&gt;0,INDEX($AA$5:$AL$324,Ajustes!$K15,U$2),0)+IF(Ajustes!$L15&gt;0,INDEX($AA$4:$AL$323,Ajustes!$L15,U$2),0) + U15</f>
        <v>728</v>
      </c>
      <c r="AH15">
        <f>IF(Ajustes!$G15&gt;0,INDEX($AA$4:$AL$323,Ajustes!$G15,V$2),0)+IF(Ajustes!$H15&gt;0,INDEX($AA$4:$AL$323,Ajustes!$H15,V$2),0)+IF(Ajustes!$I15&gt;0,INDEX($AA$4:$AL$323,Ajustes!$I15,V$2),0)+IF(Ajustes!$J15&gt;0,INDEX($AA$4:$AL$323,Ajustes!$J15,V$2),0)+IF(Ajustes!$K15&gt;0,INDEX($AA$5:$AL$324,Ajustes!$K15,V$2),0)+IF(Ajustes!$L15&gt;0,INDEX($AA$4:$AL$323,Ajustes!$L15,V$2),0) + V15</f>
        <v>594</v>
      </c>
      <c r="AI15">
        <f>IF(Ajustes!$G15&gt;0,INDEX($AA$4:$AL$323,Ajustes!$G15,W$2),0)+IF(Ajustes!$H15&gt;0,INDEX($AA$4:$AL$323,Ajustes!$H15,W$2),0)+IF(Ajustes!$I15&gt;0,INDEX($AA$4:$AL$323,Ajustes!$I15,W$2),0)+IF(Ajustes!$J15&gt;0,INDEX($AA$4:$AL$323,Ajustes!$J15,W$2),0)+IF(Ajustes!$K15&gt;0,INDEX($AA$5:$AL$324,Ajustes!$K15,W$2),0)+IF(Ajustes!$L15&gt;0,INDEX($AA$4:$AL$323,Ajustes!$L15,W$2),0) + W15</f>
        <v>598</v>
      </c>
      <c r="AJ15">
        <f>IF(Ajustes!$G15&gt;0,INDEX($AA$4:$AL$323,Ajustes!$G15,X$2),0)+IF(Ajustes!$H15&gt;0,INDEX($AA$4:$AL$323,Ajustes!$H15,X$2),0)+IF(Ajustes!$I15&gt;0,INDEX($AA$4:$AL$323,Ajustes!$I15,X$2),0)+IF(Ajustes!$J15&gt;0,INDEX($AA$4:$AL$323,Ajustes!$J15,X$2),0)+IF(Ajustes!$K15&gt;0,INDEX($AA$5:$AL$324,Ajustes!$K15,X$2),0)+IF(Ajustes!$L15&gt;0,INDEX($AA$4:$AL$323,Ajustes!$L15,X$2),0) + X15</f>
        <v>705</v>
      </c>
      <c r="AK15">
        <f>IF(Ajustes!$G15&gt;0,INDEX($AA$4:$AL$323,Ajustes!$G15,Y$2),0)+IF(Ajustes!$H15&gt;0,INDEX($AA$4:$AL$323,Ajustes!$H15,Y$2),0)+IF(Ajustes!$I15&gt;0,INDEX($AA$4:$AL$323,Ajustes!$I15,Y$2),0)+IF(Ajustes!$J15&gt;0,INDEX($AA$4:$AL$323,Ajustes!$J15,Y$2),0)+IF(Ajustes!$K15&gt;0,INDEX($AA$5:$AL$324,Ajustes!$K15,Y$2),0)+IF(Ajustes!$L15&gt;0,INDEX($AA$4:$AL$323,Ajustes!$L15,Y$2),0) + Y15</f>
        <v>979</v>
      </c>
      <c r="AL15">
        <f>IF(Ajustes!$G15&gt;0,INDEX($AA$4:$AL$323,Ajustes!$G15,Z$2),0)+IF(Ajustes!$H15&gt;0,INDEX($AA$4:$AL$323,Ajustes!$H15,Z$2),0)+IF(Ajustes!$I15&gt;0,INDEX($AA$4:$AL$323,Ajustes!$I15,Z$2),0)+IF(Ajustes!$J15&gt;0,INDEX($AA$4:$AL$323,Ajustes!$J15,Z$2),0)+IF(Ajustes!$K15&gt;0,INDEX($AA$5:$AL$324,Ajustes!$K15,Z$2),0)+IF(Ajustes!$L15&gt;0,INDEX($AA$4:$AL$323,Ajustes!$L15,Z$2),0) + Z15</f>
        <v>1662</v>
      </c>
      <c r="AM15" s="113">
        <f t="shared" si="3"/>
        <v>2494</v>
      </c>
      <c r="AN15" s="113">
        <f t="shared" si="3"/>
        <v>2425</v>
      </c>
      <c r="AO15" s="113">
        <f t="shared" si="3"/>
        <v>2172</v>
      </c>
      <c r="AP15" s="113">
        <f t="shared" si="3"/>
        <v>1534</v>
      </c>
      <c r="AQ15" s="113">
        <f t="shared" si="3"/>
        <v>1094</v>
      </c>
      <c r="AR15" s="113">
        <f t="shared" si="3"/>
        <v>896</v>
      </c>
      <c r="AS15" s="113">
        <f t="shared" si="3"/>
        <v>728</v>
      </c>
      <c r="AT15" s="113">
        <f t="shared" ref="AT15:AT39" si="5">AH15</f>
        <v>594</v>
      </c>
      <c r="AU15" s="113">
        <f t="shared" si="4"/>
        <v>598</v>
      </c>
      <c r="AV15" s="113">
        <f t="shared" si="4"/>
        <v>705</v>
      </c>
      <c r="AW15" s="113">
        <f t="shared" si="4"/>
        <v>979</v>
      </c>
      <c r="AX15" s="113">
        <f t="shared" si="4"/>
        <v>1662</v>
      </c>
      <c r="BB15">
        <f>ROW()</f>
        <v>15</v>
      </c>
      <c r="BC15" s="286" t="s">
        <v>11</v>
      </c>
      <c r="BD15" s="115">
        <v>1</v>
      </c>
      <c r="BE15" s="115">
        <v>1</v>
      </c>
      <c r="BF15" s="115">
        <v>1</v>
      </c>
      <c r="BG15" s="115">
        <v>1</v>
      </c>
      <c r="BH15" s="115">
        <v>1</v>
      </c>
      <c r="BI15" s="115">
        <v>1</v>
      </c>
      <c r="BJ15" s="115">
        <v>1</v>
      </c>
      <c r="BK15" s="115">
        <v>1</v>
      </c>
      <c r="BL15" s="115">
        <v>1</v>
      </c>
      <c r="BM15" s="115">
        <v>1</v>
      </c>
      <c r="BN15" s="115">
        <v>1</v>
      </c>
      <c r="BO15" s="287">
        <v>1</v>
      </c>
    </row>
    <row r="16" spans="1:67" x14ac:dyDescent="0.25">
      <c r="A16" s="113">
        <v>13</v>
      </c>
      <c r="B16" s="209"/>
      <c r="C16">
        <f>IFERROR(INDEX($BD$7:$BO$35,MATCH(Ajustes!$E$4:$E$323,$BC$7:$BC$35,0),$C$2:$N$2),1)</f>
        <v>1</v>
      </c>
      <c r="D16" s="113">
        <f>IFERROR(INDEX($BD$7:$BO$35,MATCH(Ajustes!$E$4:$E$323,$BC$7:$BC$35,0),$C$2:$N$2),1)</f>
        <v>1</v>
      </c>
      <c r="E16" s="113">
        <f>IFERROR(INDEX($BD$7:$BO$35,MATCH(Ajustes!$E$4:$E$323,$BC$7:$BC$35,0),$C$2:$N$2),1)</f>
        <v>1</v>
      </c>
      <c r="F16" s="113">
        <f>IFERROR(INDEX($BD$7:$BO$35,MATCH(Ajustes!$E$4:$E$323,$BC$7:$BC$35,0),$C$2:$N$2),1)</f>
        <v>1</v>
      </c>
      <c r="G16" s="113">
        <f>IFERROR(INDEX($BD$7:$BO$35,MATCH(Ajustes!$E$4:$E$323,$BC$7:$BC$35,0),$C$2:$N$2),1)</f>
        <v>1</v>
      </c>
      <c r="H16" s="113">
        <f>IFERROR(INDEX($BD$7:$BO$35,MATCH(Ajustes!$E$4:$E$323,$BC$7:$BC$35,0),$C$2:$N$2),1)</f>
        <v>1</v>
      </c>
      <c r="I16" s="113">
        <f>IFERROR(INDEX($BD$7:$BO$35,MATCH(Ajustes!$E$4:$E$323,$BC$7:$BC$35,0),$C$2:$N$2),1)</f>
        <v>1</v>
      </c>
      <c r="J16" s="113">
        <f>IFERROR(INDEX($BD$7:$BO$35,MATCH(Ajustes!$E$4:$E$323,$BC$7:$BC$35,0),$C$2:$N$2),1)</f>
        <v>1</v>
      </c>
      <c r="K16" s="113">
        <f>IFERROR(INDEX($BD$7:$BO$35,MATCH(Ajustes!$E$4:$E$323,$BC$7:$BC$35,0),$C$2:$N$2),1)</f>
        <v>1</v>
      </c>
      <c r="L16" s="113">
        <f>IFERROR(INDEX($BD$7:$BO$35,MATCH(Ajustes!$E$4:$E$323,$BC$7:$BC$35,0),$C$2:$N$2),1)</f>
        <v>1</v>
      </c>
      <c r="M16" s="113">
        <f>IFERROR(INDEX($BD$7:$BO$35,MATCH(Ajustes!$E$4:$E$323,$BC$7:$BC$35,0),$C$2:$N$2),1)</f>
        <v>1</v>
      </c>
      <c r="N16" s="113">
        <f>IFERROR(INDEX($BD$7:$BO$35,MATCH(Ajustes!$E$4:$E$323,$BC$7:$BC$35,0),$C$2:$N$2),1)</f>
        <v>1</v>
      </c>
      <c r="O16">
        <f>C16*Ajustes!AM16</f>
        <v>0</v>
      </c>
      <c r="P16">
        <f>D16*Ajustes!AN16</f>
        <v>0</v>
      </c>
      <c r="Q16">
        <f>E16*Ajustes!AO16</f>
        <v>0</v>
      </c>
      <c r="R16">
        <f>F16*Ajustes!AP16</f>
        <v>0</v>
      </c>
      <c r="S16">
        <f>G16*Ajustes!AQ16</f>
        <v>0</v>
      </c>
      <c r="T16">
        <f>H16*Ajustes!AR16</f>
        <v>0</v>
      </c>
      <c r="U16">
        <f>I16*Ajustes!AS16</f>
        <v>0</v>
      </c>
      <c r="V16">
        <f>J16*Ajustes!AT16</f>
        <v>0</v>
      </c>
      <c r="W16">
        <f>K16*Ajustes!AU16</f>
        <v>0</v>
      </c>
      <c r="X16">
        <f>L16*Ajustes!AV16</f>
        <v>0</v>
      </c>
      <c r="Y16">
        <f>M16*Ajustes!AW16</f>
        <v>0</v>
      </c>
      <c r="Z16">
        <f>N16*Ajustes!AX16</f>
        <v>0</v>
      </c>
      <c r="AA16">
        <f>IF(Ajustes!$G16&gt;0,INDEX($AA$4:$AL$323,Ajustes!$G16,O$2),0)+IF(Ajustes!$H16&gt;0,INDEX($AA$4:$AL$323,Ajustes!$H16,O$2),0)+IF(Ajustes!$I16&gt;0,INDEX($AA$4:$AL$323,Ajustes!$I16,O$2),0)+IF(Ajustes!$J16&gt;0,INDEX($AA$4:$AL$323,Ajustes!$J16,O$2),0)+IF(Ajustes!$K16&gt;0,INDEX($AA$5:$AL$324,Ajustes!$K16,O$2),0)+IF(Ajustes!$L16&gt;0,INDEX($AA$4:$AL$323,Ajustes!$L16,O$2),0) + O16</f>
        <v>0</v>
      </c>
      <c r="AB16">
        <f>IF(Ajustes!$G16&gt;0,INDEX($AA$4:$AL$323,Ajustes!$G16,P$2),0)+IF(Ajustes!$H16&gt;0,INDEX($AA$4:$AL$323,Ajustes!$H16,P$2),0)+IF(Ajustes!$I16&gt;0,INDEX($AA$4:$AL$323,Ajustes!$I16,P$2),0)+IF(Ajustes!$J16&gt;0,INDEX($AA$4:$AL$323,Ajustes!$J16,P$2),0)+IF(Ajustes!$K16&gt;0,INDEX($AA$5:$AL$324,Ajustes!$K16,P$2),0)+IF(Ajustes!$L16&gt;0,INDEX($AA$4:$AL$323,Ajustes!$L16,P$2),0) + P16</f>
        <v>0</v>
      </c>
      <c r="AC16">
        <f>IF(Ajustes!$G16&gt;0,INDEX($AA$4:$AL$323,Ajustes!$G16,Q$2),0)+IF(Ajustes!$H16&gt;0,INDEX($AA$4:$AL$323,Ajustes!$H16,Q$2),0)+IF(Ajustes!$I16&gt;0,INDEX($AA$4:$AL$323,Ajustes!$I16,Q$2),0)+IF(Ajustes!$J16&gt;0,INDEX($AA$4:$AL$323,Ajustes!$J16,Q$2),0)+IF(Ajustes!$K16&gt;0,INDEX($AA$5:$AL$324,Ajustes!$K16,Q$2),0)+IF(Ajustes!$L16&gt;0,INDEX($AA$4:$AL$323,Ajustes!$L16,Q$2),0) + Q16</f>
        <v>0</v>
      </c>
      <c r="AD16">
        <f>IF(Ajustes!$G16&gt;0,INDEX($AA$4:$AL$323,Ajustes!$G16,R$2),0)+IF(Ajustes!$H16&gt;0,INDEX($AA$4:$AL$323,Ajustes!$H16,R$2),0)+IF(Ajustes!$I16&gt;0,INDEX($AA$4:$AL$323,Ajustes!$I16,R$2),0)+IF(Ajustes!$J16&gt;0,INDEX($AA$4:$AL$323,Ajustes!$J16,R$2),0)+IF(Ajustes!$K16&gt;0,INDEX($AA$5:$AL$324,Ajustes!$K16,R$2),0)+IF(Ajustes!$L16&gt;0,INDEX($AA$4:$AL$323,Ajustes!$L16,R$2),0) + R16</f>
        <v>0</v>
      </c>
      <c r="AE16">
        <f>IF(Ajustes!$G16&gt;0,INDEX($AA$4:$AL$323,Ajustes!$G16,S$2),0)+IF(Ajustes!$H16&gt;0,INDEX($AA$4:$AL$323,Ajustes!$H16,S$2),0)+IF(Ajustes!$I16&gt;0,INDEX($AA$4:$AL$323,Ajustes!$I16,S$2),0)+IF(Ajustes!$J16&gt;0,INDEX($AA$4:$AL$323,Ajustes!$J16,S$2),0)+IF(Ajustes!$K16&gt;0,INDEX($AA$5:$AL$324,Ajustes!$K16,S$2),0)+IF(Ajustes!$L16&gt;0,INDEX($AA$4:$AL$323,Ajustes!$L16,S$2),0) + S16</f>
        <v>0</v>
      </c>
      <c r="AF16">
        <f>IF(Ajustes!$G16&gt;0,INDEX($AA$4:$AL$323,Ajustes!$G16,T$2),0)+IF(Ajustes!$H16&gt;0,INDEX($AA$4:$AL$323,Ajustes!$H16,T$2),0)+IF(Ajustes!$I16&gt;0,INDEX($AA$4:$AL$323,Ajustes!$I16,T$2),0)+IF(Ajustes!$J16&gt;0,INDEX($AA$4:$AL$323,Ajustes!$J16,T$2),0)+IF(Ajustes!$K16&gt;0,INDEX($AA$5:$AL$324,Ajustes!$K16,T$2),0)+IF(Ajustes!$L16&gt;0,INDEX($AA$4:$AL$323,Ajustes!$L16,T$2),0) + T16</f>
        <v>0</v>
      </c>
      <c r="AG16">
        <f>IF(Ajustes!$G16&gt;0,INDEX($AA$4:$AL$323,Ajustes!$G16,U$2),0)+IF(Ajustes!$H16&gt;0,INDEX($AA$4:$AL$323,Ajustes!$H16,U$2),0)+IF(Ajustes!$I16&gt;0,INDEX($AA$4:$AL$323,Ajustes!$I16,U$2),0)+IF(Ajustes!$J16&gt;0,INDEX($AA$4:$AL$323,Ajustes!$J16,U$2),0)+IF(Ajustes!$K16&gt;0,INDEX($AA$5:$AL$324,Ajustes!$K16,U$2),0)+IF(Ajustes!$L16&gt;0,INDEX($AA$4:$AL$323,Ajustes!$L16,U$2),0) + U16</f>
        <v>0</v>
      </c>
      <c r="AH16">
        <f>IF(Ajustes!$G16&gt;0,INDEX($AA$4:$AL$323,Ajustes!$G16,V$2),0)+IF(Ajustes!$H16&gt;0,INDEX($AA$4:$AL$323,Ajustes!$H16,V$2),0)+IF(Ajustes!$I16&gt;0,INDEX($AA$4:$AL$323,Ajustes!$I16,V$2),0)+IF(Ajustes!$J16&gt;0,INDEX($AA$4:$AL$323,Ajustes!$J16,V$2),0)+IF(Ajustes!$K16&gt;0,INDEX($AA$5:$AL$324,Ajustes!$K16,V$2),0)+IF(Ajustes!$L16&gt;0,INDEX($AA$4:$AL$323,Ajustes!$L16,V$2),0) + V16</f>
        <v>0</v>
      </c>
      <c r="AI16">
        <f>IF(Ajustes!$G16&gt;0,INDEX($AA$4:$AL$323,Ajustes!$G16,W$2),0)+IF(Ajustes!$H16&gt;0,INDEX($AA$4:$AL$323,Ajustes!$H16,W$2),0)+IF(Ajustes!$I16&gt;0,INDEX($AA$4:$AL$323,Ajustes!$I16,W$2),0)+IF(Ajustes!$J16&gt;0,INDEX($AA$4:$AL$323,Ajustes!$J16,W$2),0)+IF(Ajustes!$K16&gt;0,INDEX($AA$5:$AL$324,Ajustes!$K16,W$2),0)+IF(Ajustes!$L16&gt;0,INDEX($AA$4:$AL$323,Ajustes!$L16,W$2),0) + W16</f>
        <v>0</v>
      </c>
      <c r="AJ16">
        <f>IF(Ajustes!$G16&gt;0,INDEX($AA$4:$AL$323,Ajustes!$G16,X$2),0)+IF(Ajustes!$H16&gt;0,INDEX($AA$4:$AL$323,Ajustes!$H16,X$2),0)+IF(Ajustes!$I16&gt;0,INDEX($AA$4:$AL$323,Ajustes!$I16,X$2),0)+IF(Ajustes!$J16&gt;0,INDEX($AA$4:$AL$323,Ajustes!$J16,X$2),0)+IF(Ajustes!$K16&gt;0,INDEX($AA$5:$AL$324,Ajustes!$K16,X$2),0)+IF(Ajustes!$L16&gt;0,INDEX($AA$4:$AL$323,Ajustes!$L16,X$2),0) + X16</f>
        <v>0</v>
      </c>
      <c r="AK16">
        <f>IF(Ajustes!$G16&gt;0,INDEX($AA$4:$AL$323,Ajustes!$G16,Y$2),0)+IF(Ajustes!$H16&gt;0,INDEX($AA$4:$AL$323,Ajustes!$H16,Y$2),0)+IF(Ajustes!$I16&gt;0,INDEX($AA$4:$AL$323,Ajustes!$I16,Y$2),0)+IF(Ajustes!$J16&gt;0,INDEX($AA$4:$AL$323,Ajustes!$J16,Y$2),0)+IF(Ajustes!$K16&gt;0,INDEX($AA$5:$AL$324,Ajustes!$K16,Y$2),0)+IF(Ajustes!$L16&gt;0,INDEX($AA$4:$AL$323,Ajustes!$L16,Y$2),0) + Y16</f>
        <v>0</v>
      </c>
      <c r="AL16">
        <f>IF(Ajustes!$G16&gt;0,INDEX($AA$4:$AL$323,Ajustes!$G16,Z$2),0)+IF(Ajustes!$H16&gt;0,INDEX($AA$4:$AL$323,Ajustes!$H16,Z$2),0)+IF(Ajustes!$I16&gt;0,INDEX($AA$4:$AL$323,Ajustes!$I16,Z$2),0)+IF(Ajustes!$J16&gt;0,INDEX($AA$4:$AL$323,Ajustes!$J16,Z$2),0)+IF(Ajustes!$K16&gt;0,INDEX($AA$5:$AL$324,Ajustes!$K16,Z$2),0)+IF(Ajustes!$L16&gt;0,INDEX($AA$4:$AL$323,Ajustes!$L16,Z$2),0) + Z16</f>
        <v>0</v>
      </c>
      <c r="AM16" s="113">
        <f t="shared" si="3"/>
        <v>0</v>
      </c>
      <c r="AN16" s="113">
        <f t="shared" si="3"/>
        <v>0</v>
      </c>
      <c r="AO16" s="113">
        <f t="shared" si="3"/>
        <v>0</v>
      </c>
      <c r="AP16" s="113">
        <f t="shared" si="3"/>
        <v>0</v>
      </c>
      <c r="AQ16" s="113">
        <f t="shared" si="3"/>
        <v>0</v>
      </c>
      <c r="AR16" s="113">
        <f t="shared" si="3"/>
        <v>0</v>
      </c>
      <c r="AS16" s="113">
        <f t="shared" si="3"/>
        <v>0</v>
      </c>
      <c r="AT16" s="113">
        <f t="shared" si="5"/>
        <v>0</v>
      </c>
      <c r="AU16" s="113">
        <f t="shared" si="4"/>
        <v>0</v>
      </c>
      <c r="AV16" s="113">
        <f t="shared" si="4"/>
        <v>0</v>
      </c>
      <c r="AW16" s="113">
        <f t="shared" si="4"/>
        <v>0</v>
      </c>
      <c r="AX16" s="113">
        <f t="shared" si="4"/>
        <v>0</v>
      </c>
      <c r="BB16">
        <f>ROW()</f>
        <v>16</v>
      </c>
      <c r="BC16" s="286" t="s">
        <v>12</v>
      </c>
      <c r="BD16" s="115">
        <v>1</v>
      </c>
      <c r="BE16" s="115">
        <v>1</v>
      </c>
      <c r="BF16" s="115">
        <v>1</v>
      </c>
      <c r="BG16" s="115">
        <v>1</v>
      </c>
      <c r="BH16" s="115">
        <v>1</v>
      </c>
      <c r="BI16" s="115">
        <v>1</v>
      </c>
      <c r="BJ16" s="115">
        <v>1</v>
      </c>
      <c r="BK16" s="115">
        <v>1</v>
      </c>
      <c r="BL16" s="115">
        <v>1</v>
      </c>
      <c r="BM16" s="115">
        <v>1</v>
      </c>
      <c r="BN16" s="115">
        <v>1</v>
      </c>
      <c r="BO16" s="287">
        <v>1</v>
      </c>
    </row>
    <row r="17" spans="1:67" x14ac:dyDescent="0.25">
      <c r="A17" s="113">
        <v>14</v>
      </c>
      <c r="B17" s="209" t="s">
        <v>543</v>
      </c>
      <c r="C17">
        <f>IFERROR(INDEX($BD$7:$BO$35,MATCH(Ajustes!$E$4:$E$323,$BC$7:$BC$35,0),$C$2:$N$2),1)</f>
        <v>1</v>
      </c>
      <c r="D17" s="113">
        <f>IFERROR(INDEX($BD$7:$BO$35,MATCH(Ajustes!$E$4:$E$323,$BC$7:$BC$35,0),$C$2:$N$2),1)</f>
        <v>1</v>
      </c>
      <c r="E17" s="113">
        <f>IFERROR(INDEX($BD$7:$BO$35,MATCH(Ajustes!$E$4:$E$323,$BC$7:$BC$35,0),$C$2:$N$2),1)</f>
        <v>1</v>
      </c>
      <c r="F17" s="113">
        <f>IFERROR(INDEX($BD$7:$BO$35,MATCH(Ajustes!$E$4:$E$323,$BC$7:$BC$35,0),$C$2:$N$2),1)</f>
        <v>1</v>
      </c>
      <c r="G17" s="113">
        <f>IFERROR(INDEX($BD$7:$BO$35,MATCH(Ajustes!$E$4:$E$323,$BC$7:$BC$35,0),$C$2:$N$2),1)</f>
        <v>1</v>
      </c>
      <c r="H17" s="113">
        <f>IFERROR(INDEX($BD$7:$BO$35,MATCH(Ajustes!$E$4:$E$323,$BC$7:$BC$35,0),$C$2:$N$2),1)</f>
        <v>1</v>
      </c>
      <c r="I17" s="113">
        <f>IFERROR(INDEX($BD$7:$BO$35,MATCH(Ajustes!$E$4:$E$323,$BC$7:$BC$35,0),$C$2:$N$2),1)</f>
        <v>1</v>
      </c>
      <c r="J17" s="113">
        <f>IFERROR(INDEX($BD$7:$BO$35,MATCH(Ajustes!$E$4:$E$323,$BC$7:$BC$35,0),$C$2:$N$2),1)</f>
        <v>1</v>
      </c>
      <c r="K17" s="113">
        <f>IFERROR(INDEX($BD$7:$BO$35,MATCH(Ajustes!$E$4:$E$323,$BC$7:$BC$35,0),$C$2:$N$2),1)</f>
        <v>1</v>
      </c>
      <c r="L17" s="113">
        <f>IFERROR(INDEX($BD$7:$BO$35,MATCH(Ajustes!$E$4:$E$323,$BC$7:$BC$35,0),$C$2:$N$2),1)</f>
        <v>1</v>
      </c>
      <c r="M17" s="113">
        <f>IFERROR(INDEX($BD$7:$BO$35,MATCH(Ajustes!$E$4:$E$323,$BC$7:$BC$35,0),$C$2:$N$2),1)</f>
        <v>1</v>
      </c>
      <c r="N17" s="113">
        <f>IFERROR(INDEX($BD$7:$BO$35,MATCH(Ajustes!$E$4:$E$323,$BC$7:$BC$35,0),$C$2:$N$2),1)</f>
        <v>1</v>
      </c>
      <c r="O17">
        <f>C17*Ajustes!AM17</f>
        <v>98</v>
      </c>
      <c r="P17">
        <f>D17*Ajustes!AN17</f>
        <v>100</v>
      </c>
      <c r="Q17">
        <f>E17*Ajustes!AO17</f>
        <v>87</v>
      </c>
      <c r="R17">
        <f>F17*Ajustes!AP17</f>
        <v>60</v>
      </c>
      <c r="S17">
        <f>G17*Ajustes!AQ17</f>
        <v>44</v>
      </c>
      <c r="T17">
        <f>H17*Ajustes!AR17</f>
        <v>36</v>
      </c>
      <c r="U17">
        <f>I17*Ajustes!AS17</f>
        <v>29</v>
      </c>
      <c r="V17">
        <f>J17*Ajustes!AT17</f>
        <v>25</v>
      </c>
      <c r="W17">
        <f>K17*Ajustes!AU17</f>
        <v>25</v>
      </c>
      <c r="X17">
        <f>L17*Ajustes!AV17</f>
        <v>31</v>
      </c>
      <c r="Y17">
        <f>M17*Ajustes!AW17</f>
        <v>40</v>
      </c>
      <c r="Z17">
        <f>N17*Ajustes!AX17</f>
        <v>70</v>
      </c>
      <c r="AA17">
        <f>IF(Ajustes!$G17&gt;0,INDEX($AA$4:$AL$323,Ajustes!$G17,O$2),0)+IF(Ajustes!$H17&gt;0,INDEX($AA$4:$AL$323,Ajustes!$H17,O$2),0)+IF(Ajustes!$I17&gt;0,INDEX($AA$4:$AL$323,Ajustes!$I17,O$2),0)+IF(Ajustes!$J17&gt;0,INDEX($AA$4:$AL$323,Ajustes!$J17,O$2),0)+IF(Ajustes!$K17&gt;0,INDEX($AA$5:$AL$324,Ajustes!$K17,O$2),0)+IF(Ajustes!$L17&gt;0,INDEX($AA$4:$AL$323,Ajustes!$L17,O$2),0) + O17</f>
        <v>98</v>
      </c>
      <c r="AB17">
        <f>IF(Ajustes!$G17&gt;0,INDEX($AA$4:$AL$323,Ajustes!$G17,P$2),0)+IF(Ajustes!$H17&gt;0,INDEX($AA$4:$AL$323,Ajustes!$H17,P$2),0)+IF(Ajustes!$I17&gt;0,INDEX($AA$4:$AL$323,Ajustes!$I17,P$2),0)+IF(Ajustes!$J17&gt;0,INDEX($AA$4:$AL$323,Ajustes!$J17,P$2),0)+IF(Ajustes!$K17&gt;0,INDEX($AA$5:$AL$324,Ajustes!$K17,P$2),0)+IF(Ajustes!$L17&gt;0,INDEX($AA$4:$AL$323,Ajustes!$L17,P$2),0) + P17</f>
        <v>100</v>
      </c>
      <c r="AC17">
        <f>IF(Ajustes!$G17&gt;0,INDEX($AA$4:$AL$323,Ajustes!$G17,Q$2),0)+IF(Ajustes!$H17&gt;0,INDEX($AA$4:$AL$323,Ajustes!$H17,Q$2),0)+IF(Ajustes!$I17&gt;0,INDEX($AA$4:$AL$323,Ajustes!$I17,Q$2),0)+IF(Ajustes!$J17&gt;0,INDEX($AA$4:$AL$323,Ajustes!$J17,Q$2),0)+IF(Ajustes!$K17&gt;0,INDEX($AA$5:$AL$324,Ajustes!$K17,Q$2),0)+IF(Ajustes!$L17&gt;0,INDEX($AA$4:$AL$323,Ajustes!$L17,Q$2),0) + Q17</f>
        <v>87</v>
      </c>
      <c r="AD17">
        <f>IF(Ajustes!$G17&gt;0,INDEX($AA$4:$AL$323,Ajustes!$G17,R$2),0)+IF(Ajustes!$H17&gt;0,INDEX($AA$4:$AL$323,Ajustes!$H17,R$2),0)+IF(Ajustes!$I17&gt;0,INDEX($AA$4:$AL$323,Ajustes!$I17,R$2),0)+IF(Ajustes!$J17&gt;0,INDEX($AA$4:$AL$323,Ajustes!$J17,R$2),0)+IF(Ajustes!$K17&gt;0,INDEX($AA$5:$AL$324,Ajustes!$K17,R$2),0)+IF(Ajustes!$L17&gt;0,INDEX($AA$4:$AL$323,Ajustes!$L17,R$2),0) + R17</f>
        <v>60</v>
      </c>
      <c r="AE17">
        <f>IF(Ajustes!$G17&gt;0,INDEX($AA$4:$AL$323,Ajustes!$G17,S$2),0)+IF(Ajustes!$H17&gt;0,INDEX($AA$4:$AL$323,Ajustes!$H17,S$2),0)+IF(Ajustes!$I17&gt;0,INDEX($AA$4:$AL$323,Ajustes!$I17,S$2),0)+IF(Ajustes!$J17&gt;0,INDEX($AA$4:$AL$323,Ajustes!$J17,S$2),0)+IF(Ajustes!$K17&gt;0,INDEX($AA$5:$AL$324,Ajustes!$K17,S$2),0)+IF(Ajustes!$L17&gt;0,INDEX($AA$4:$AL$323,Ajustes!$L17,S$2),0) + S17</f>
        <v>44</v>
      </c>
      <c r="AF17">
        <f>IF(Ajustes!$G17&gt;0,INDEX($AA$4:$AL$323,Ajustes!$G17,T$2),0)+IF(Ajustes!$H17&gt;0,INDEX($AA$4:$AL$323,Ajustes!$H17,T$2),0)+IF(Ajustes!$I17&gt;0,INDEX($AA$4:$AL$323,Ajustes!$I17,T$2),0)+IF(Ajustes!$J17&gt;0,INDEX($AA$4:$AL$323,Ajustes!$J17,T$2),0)+IF(Ajustes!$K17&gt;0,INDEX($AA$5:$AL$324,Ajustes!$K17,T$2),0)+IF(Ajustes!$L17&gt;0,INDEX($AA$4:$AL$323,Ajustes!$L17,T$2),0) + T17</f>
        <v>36</v>
      </c>
      <c r="AG17">
        <f>IF(Ajustes!$G17&gt;0,INDEX($AA$4:$AL$323,Ajustes!$G17,U$2),0)+IF(Ajustes!$H17&gt;0,INDEX($AA$4:$AL$323,Ajustes!$H17,U$2),0)+IF(Ajustes!$I17&gt;0,INDEX($AA$4:$AL$323,Ajustes!$I17,U$2),0)+IF(Ajustes!$J17&gt;0,INDEX($AA$4:$AL$323,Ajustes!$J17,U$2),0)+IF(Ajustes!$K17&gt;0,INDEX($AA$5:$AL$324,Ajustes!$K17,U$2),0)+IF(Ajustes!$L17&gt;0,INDEX($AA$4:$AL$323,Ajustes!$L17,U$2),0) + U17</f>
        <v>29</v>
      </c>
      <c r="AH17">
        <f>IF(Ajustes!$G17&gt;0,INDEX($AA$4:$AL$323,Ajustes!$G17,V$2),0)+IF(Ajustes!$H17&gt;0,INDEX($AA$4:$AL$323,Ajustes!$H17,V$2),0)+IF(Ajustes!$I17&gt;0,INDEX($AA$4:$AL$323,Ajustes!$I17,V$2),0)+IF(Ajustes!$J17&gt;0,INDEX($AA$4:$AL$323,Ajustes!$J17,V$2),0)+IF(Ajustes!$K17&gt;0,INDEX($AA$5:$AL$324,Ajustes!$K17,V$2),0)+IF(Ajustes!$L17&gt;0,INDEX($AA$4:$AL$323,Ajustes!$L17,V$2),0) + V17</f>
        <v>25</v>
      </c>
      <c r="AI17">
        <f>IF(Ajustes!$G17&gt;0,INDEX($AA$4:$AL$323,Ajustes!$G17,W$2),0)+IF(Ajustes!$H17&gt;0,INDEX($AA$4:$AL$323,Ajustes!$H17,W$2),0)+IF(Ajustes!$I17&gt;0,INDEX($AA$4:$AL$323,Ajustes!$I17,W$2),0)+IF(Ajustes!$J17&gt;0,INDEX($AA$4:$AL$323,Ajustes!$J17,W$2),0)+IF(Ajustes!$K17&gt;0,INDEX($AA$5:$AL$324,Ajustes!$K17,W$2),0)+IF(Ajustes!$L17&gt;0,INDEX($AA$4:$AL$323,Ajustes!$L17,W$2),0) + W17</f>
        <v>25</v>
      </c>
      <c r="AJ17">
        <f>IF(Ajustes!$G17&gt;0,INDEX($AA$4:$AL$323,Ajustes!$G17,X$2),0)+IF(Ajustes!$H17&gt;0,INDEX($AA$4:$AL$323,Ajustes!$H17,X$2),0)+IF(Ajustes!$I17&gt;0,INDEX($AA$4:$AL$323,Ajustes!$I17,X$2),0)+IF(Ajustes!$J17&gt;0,INDEX($AA$4:$AL$323,Ajustes!$J17,X$2),0)+IF(Ajustes!$K17&gt;0,INDEX($AA$5:$AL$324,Ajustes!$K17,X$2),0)+IF(Ajustes!$L17&gt;0,INDEX($AA$4:$AL$323,Ajustes!$L17,X$2),0) + X17</f>
        <v>31</v>
      </c>
      <c r="AK17">
        <f>IF(Ajustes!$G17&gt;0,INDEX($AA$4:$AL$323,Ajustes!$G17,Y$2),0)+IF(Ajustes!$H17&gt;0,INDEX($AA$4:$AL$323,Ajustes!$H17,Y$2),0)+IF(Ajustes!$I17&gt;0,INDEX($AA$4:$AL$323,Ajustes!$I17,Y$2),0)+IF(Ajustes!$J17&gt;0,INDEX($AA$4:$AL$323,Ajustes!$J17,Y$2),0)+IF(Ajustes!$K17&gt;0,INDEX($AA$5:$AL$324,Ajustes!$K17,Y$2),0)+IF(Ajustes!$L17&gt;0,INDEX($AA$4:$AL$323,Ajustes!$L17,Y$2),0) + Y17</f>
        <v>40</v>
      </c>
      <c r="AL17">
        <f>IF(Ajustes!$G17&gt;0,INDEX($AA$4:$AL$323,Ajustes!$G17,Z$2),0)+IF(Ajustes!$H17&gt;0,INDEX($AA$4:$AL$323,Ajustes!$H17,Z$2),0)+IF(Ajustes!$I17&gt;0,INDEX($AA$4:$AL$323,Ajustes!$I17,Z$2),0)+IF(Ajustes!$J17&gt;0,INDEX($AA$4:$AL$323,Ajustes!$J17,Z$2),0)+IF(Ajustes!$K17&gt;0,INDEX($AA$5:$AL$324,Ajustes!$K17,Z$2),0)+IF(Ajustes!$L17&gt;0,INDEX($AA$4:$AL$323,Ajustes!$L17,Z$2),0) + Z17</f>
        <v>70</v>
      </c>
      <c r="AM17" s="113">
        <f t="shared" si="3"/>
        <v>98</v>
      </c>
      <c r="AN17" s="113">
        <f t="shared" si="3"/>
        <v>100</v>
      </c>
      <c r="AO17" s="113">
        <f t="shared" si="3"/>
        <v>87</v>
      </c>
      <c r="AP17" s="113">
        <f t="shared" si="3"/>
        <v>60</v>
      </c>
      <c r="AQ17" s="113">
        <f t="shared" si="3"/>
        <v>44</v>
      </c>
      <c r="AR17" s="113">
        <f t="shared" si="3"/>
        <v>36</v>
      </c>
      <c r="AS17" s="113">
        <f t="shared" si="3"/>
        <v>29</v>
      </c>
      <c r="AT17" s="113">
        <f t="shared" si="5"/>
        <v>25</v>
      </c>
      <c r="AU17" s="113">
        <f t="shared" si="4"/>
        <v>25</v>
      </c>
      <c r="AV17" s="113">
        <f t="shared" si="4"/>
        <v>31</v>
      </c>
      <c r="AW17" s="113">
        <f t="shared" si="4"/>
        <v>40</v>
      </c>
      <c r="AX17" s="113">
        <f t="shared" si="4"/>
        <v>70</v>
      </c>
      <c r="BB17">
        <f>ROW()</f>
        <v>17</v>
      </c>
      <c r="BC17" s="286" t="s">
        <v>13</v>
      </c>
      <c r="BD17" s="115">
        <v>1</v>
      </c>
      <c r="BE17" s="115">
        <v>1</v>
      </c>
      <c r="BF17" s="115">
        <v>1</v>
      </c>
      <c r="BG17" s="115">
        <v>1</v>
      </c>
      <c r="BH17" s="115">
        <v>1</v>
      </c>
      <c r="BI17" s="115">
        <v>1</v>
      </c>
      <c r="BJ17" s="115">
        <v>1</v>
      </c>
      <c r="BK17" s="115">
        <v>1</v>
      </c>
      <c r="BL17" s="115">
        <v>1</v>
      </c>
      <c r="BM17" s="115">
        <v>1</v>
      </c>
      <c r="BN17" s="115">
        <v>1</v>
      </c>
      <c r="BO17" s="287">
        <v>1</v>
      </c>
    </row>
    <row r="18" spans="1:67" x14ac:dyDescent="0.25">
      <c r="A18" s="113">
        <v>15</v>
      </c>
      <c r="B18" s="209" t="s">
        <v>544</v>
      </c>
      <c r="C18">
        <f>IFERROR(INDEX($BD$7:$BO$35,MATCH(Ajustes!$E$4:$E$323,$BC$7:$BC$35,0),$C$2:$N$2),1)</f>
        <v>1</v>
      </c>
      <c r="D18" s="113">
        <f>IFERROR(INDEX($BD$7:$BO$35,MATCH(Ajustes!$E$4:$E$323,$BC$7:$BC$35,0),$C$2:$N$2),1)</f>
        <v>1</v>
      </c>
      <c r="E18" s="113">
        <f>IFERROR(INDEX($BD$7:$BO$35,MATCH(Ajustes!$E$4:$E$323,$BC$7:$BC$35,0),$C$2:$N$2),1)</f>
        <v>1</v>
      </c>
      <c r="F18" s="113">
        <f>IFERROR(INDEX($BD$7:$BO$35,MATCH(Ajustes!$E$4:$E$323,$BC$7:$BC$35,0),$C$2:$N$2),1)</f>
        <v>1</v>
      </c>
      <c r="G18" s="113">
        <f>IFERROR(INDEX($BD$7:$BO$35,MATCH(Ajustes!$E$4:$E$323,$BC$7:$BC$35,0),$C$2:$N$2),1)</f>
        <v>1</v>
      </c>
      <c r="H18" s="113">
        <f>IFERROR(INDEX($BD$7:$BO$35,MATCH(Ajustes!$E$4:$E$323,$BC$7:$BC$35,0),$C$2:$N$2),1)</f>
        <v>1</v>
      </c>
      <c r="I18" s="113">
        <f>IFERROR(INDEX($BD$7:$BO$35,MATCH(Ajustes!$E$4:$E$323,$BC$7:$BC$35,0),$C$2:$N$2),1)</f>
        <v>1</v>
      </c>
      <c r="J18" s="113">
        <f>IFERROR(INDEX($BD$7:$BO$35,MATCH(Ajustes!$E$4:$E$323,$BC$7:$BC$35,0),$C$2:$N$2),1)</f>
        <v>1</v>
      </c>
      <c r="K18" s="113">
        <f>IFERROR(INDEX($BD$7:$BO$35,MATCH(Ajustes!$E$4:$E$323,$BC$7:$BC$35,0),$C$2:$N$2),1)</f>
        <v>1</v>
      </c>
      <c r="L18" s="113">
        <f>IFERROR(INDEX($BD$7:$BO$35,MATCH(Ajustes!$E$4:$E$323,$BC$7:$BC$35,0),$C$2:$N$2),1)</f>
        <v>1</v>
      </c>
      <c r="M18" s="113">
        <f>IFERROR(INDEX($BD$7:$BO$35,MATCH(Ajustes!$E$4:$E$323,$BC$7:$BC$35,0),$C$2:$N$2),1)</f>
        <v>1</v>
      </c>
      <c r="N18" s="113">
        <f>IFERROR(INDEX($BD$7:$BO$35,MATCH(Ajustes!$E$4:$E$323,$BC$7:$BC$35,0),$C$2:$N$2),1)</f>
        <v>1</v>
      </c>
      <c r="O18">
        <f>C18*Ajustes!AM18</f>
        <v>62</v>
      </c>
      <c r="P18">
        <f>D18*Ajustes!AN18</f>
        <v>64</v>
      </c>
      <c r="Q18">
        <f>E18*Ajustes!AO18</f>
        <v>55</v>
      </c>
      <c r="R18">
        <f>F18*Ajustes!AP18</f>
        <v>37</v>
      </c>
      <c r="S18">
        <f>G18*Ajustes!AQ18</f>
        <v>27</v>
      </c>
      <c r="T18">
        <f>H18*Ajustes!AR18</f>
        <v>23</v>
      </c>
      <c r="U18">
        <f>I18*Ajustes!AS18</f>
        <v>20</v>
      </c>
      <c r="V18">
        <f>J18*Ajustes!AT18</f>
        <v>16</v>
      </c>
      <c r="W18">
        <f>K18*Ajustes!AU18</f>
        <v>17</v>
      </c>
      <c r="X18">
        <f>L18*Ajustes!AV18</f>
        <v>20</v>
      </c>
      <c r="Y18">
        <f>M18*Ajustes!AW18</f>
        <v>24</v>
      </c>
      <c r="Z18">
        <f>N18*Ajustes!AX18</f>
        <v>44</v>
      </c>
      <c r="AA18">
        <f>IF(Ajustes!$G18&gt;0,INDEX($AA$4:$AL$323,Ajustes!$G18,O$2),0)+IF(Ajustes!$H18&gt;0,INDEX($AA$4:$AL$323,Ajustes!$H18,O$2),0)+IF(Ajustes!$I18&gt;0,INDEX($AA$4:$AL$323,Ajustes!$I18,O$2),0)+IF(Ajustes!$J18&gt;0,INDEX($AA$4:$AL$323,Ajustes!$J18,O$2),0)+IF(Ajustes!$K18&gt;0,INDEX($AA$5:$AL$324,Ajustes!$K18,O$2),0)+IF(Ajustes!$L18&gt;0,INDEX($AA$4:$AL$323,Ajustes!$L18,O$2),0) + O18</f>
        <v>160</v>
      </c>
      <c r="AB18">
        <f>IF(Ajustes!$G18&gt;0,INDEX($AA$4:$AL$323,Ajustes!$G18,P$2),0)+IF(Ajustes!$H18&gt;0,INDEX($AA$4:$AL$323,Ajustes!$H18,P$2),0)+IF(Ajustes!$I18&gt;0,INDEX($AA$4:$AL$323,Ajustes!$I18,P$2),0)+IF(Ajustes!$J18&gt;0,INDEX($AA$4:$AL$323,Ajustes!$J18,P$2),0)+IF(Ajustes!$K18&gt;0,INDEX($AA$5:$AL$324,Ajustes!$K18,P$2),0)+IF(Ajustes!$L18&gt;0,INDEX($AA$4:$AL$323,Ajustes!$L18,P$2),0) + P18</f>
        <v>164</v>
      </c>
      <c r="AC18">
        <f>IF(Ajustes!$G18&gt;0,INDEX($AA$4:$AL$323,Ajustes!$G18,Q$2),0)+IF(Ajustes!$H18&gt;0,INDEX($AA$4:$AL$323,Ajustes!$H18,Q$2),0)+IF(Ajustes!$I18&gt;0,INDEX($AA$4:$AL$323,Ajustes!$I18,Q$2),0)+IF(Ajustes!$J18&gt;0,INDEX($AA$4:$AL$323,Ajustes!$J18,Q$2),0)+IF(Ajustes!$K18&gt;0,INDEX($AA$5:$AL$324,Ajustes!$K18,Q$2),0)+IF(Ajustes!$L18&gt;0,INDEX($AA$4:$AL$323,Ajustes!$L18,Q$2),0) + Q18</f>
        <v>142</v>
      </c>
      <c r="AD18">
        <f>IF(Ajustes!$G18&gt;0,INDEX($AA$4:$AL$323,Ajustes!$G18,R$2),0)+IF(Ajustes!$H18&gt;0,INDEX($AA$4:$AL$323,Ajustes!$H18,R$2),0)+IF(Ajustes!$I18&gt;0,INDEX($AA$4:$AL$323,Ajustes!$I18,R$2),0)+IF(Ajustes!$J18&gt;0,INDEX($AA$4:$AL$323,Ajustes!$J18,R$2),0)+IF(Ajustes!$K18&gt;0,INDEX($AA$5:$AL$324,Ajustes!$K18,R$2),0)+IF(Ajustes!$L18&gt;0,INDEX($AA$4:$AL$323,Ajustes!$L18,R$2),0) + R18</f>
        <v>97</v>
      </c>
      <c r="AE18">
        <f>IF(Ajustes!$G18&gt;0,INDEX($AA$4:$AL$323,Ajustes!$G18,S$2),0)+IF(Ajustes!$H18&gt;0,INDEX($AA$4:$AL$323,Ajustes!$H18,S$2),0)+IF(Ajustes!$I18&gt;0,INDEX($AA$4:$AL$323,Ajustes!$I18,S$2),0)+IF(Ajustes!$J18&gt;0,INDEX($AA$4:$AL$323,Ajustes!$J18,S$2),0)+IF(Ajustes!$K18&gt;0,INDEX($AA$5:$AL$324,Ajustes!$K18,S$2),0)+IF(Ajustes!$L18&gt;0,INDEX($AA$4:$AL$323,Ajustes!$L18,S$2),0) + S18</f>
        <v>71</v>
      </c>
      <c r="AF18">
        <f>IF(Ajustes!$G18&gt;0,INDEX($AA$4:$AL$323,Ajustes!$G18,T$2),0)+IF(Ajustes!$H18&gt;0,INDEX($AA$4:$AL$323,Ajustes!$H18,T$2),0)+IF(Ajustes!$I18&gt;0,INDEX($AA$4:$AL$323,Ajustes!$I18,T$2),0)+IF(Ajustes!$J18&gt;0,INDEX($AA$4:$AL$323,Ajustes!$J18,T$2),0)+IF(Ajustes!$K18&gt;0,INDEX($AA$5:$AL$324,Ajustes!$K18,T$2),0)+IF(Ajustes!$L18&gt;0,INDEX($AA$4:$AL$323,Ajustes!$L18,T$2),0) + T18</f>
        <v>59</v>
      </c>
      <c r="AG18">
        <f>IF(Ajustes!$G18&gt;0,INDEX($AA$4:$AL$323,Ajustes!$G18,U$2),0)+IF(Ajustes!$H18&gt;0,INDEX($AA$4:$AL$323,Ajustes!$H18,U$2),0)+IF(Ajustes!$I18&gt;0,INDEX($AA$4:$AL$323,Ajustes!$I18,U$2),0)+IF(Ajustes!$J18&gt;0,INDEX($AA$4:$AL$323,Ajustes!$J18,U$2),0)+IF(Ajustes!$K18&gt;0,INDEX($AA$5:$AL$324,Ajustes!$K18,U$2),0)+IF(Ajustes!$L18&gt;0,INDEX($AA$4:$AL$323,Ajustes!$L18,U$2),0) + U18</f>
        <v>49</v>
      </c>
      <c r="AH18">
        <f>IF(Ajustes!$G18&gt;0,INDEX($AA$4:$AL$323,Ajustes!$G18,V$2),0)+IF(Ajustes!$H18&gt;0,INDEX($AA$4:$AL$323,Ajustes!$H18,V$2),0)+IF(Ajustes!$I18&gt;0,INDEX($AA$4:$AL$323,Ajustes!$I18,V$2),0)+IF(Ajustes!$J18&gt;0,INDEX($AA$4:$AL$323,Ajustes!$J18,V$2),0)+IF(Ajustes!$K18&gt;0,INDEX($AA$5:$AL$324,Ajustes!$K18,V$2),0)+IF(Ajustes!$L18&gt;0,INDEX($AA$4:$AL$323,Ajustes!$L18,V$2),0) + V18</f>
        <v>41</v>
      </c>
      <c r="AI18">
        <f>IF(Ajustes!$G18&gt;0,INDEX($AA$4:$AL$323,Ajustes!$G18,W$2),0)+IF(Ajustes!$H18&gt;0,INDEX($AA$4:$AL$323,Ajustes!$H18,W$2),0)+IF(Ajustes!$I18&gt;0,INDEX($AA$4:$AL$323,Ajustes!$I18,W$2),0)+IF(Ajustes!$J18&gt;0,INDEX($AA$4:$AL$323,Ajustes!$J18,W$2),0)+IF(Ajustes!$K18&gt;0,INDEX($AA$5:$AL$324,Ajustes!$K18,W$2),0)+IF(Ajustes!$L18&gt;0,INDEX($AA$4:$AL$323,Ajustes!$L18,W$2),0) + W18</f>
        <v>42</v>
      </c>
      <c r="AJ18">
        <f>IF(Ajustes!$G18&gt;0,INDEX($AA$4:$AL$323,Ajustes!$G18,X$2),0)+IF(Ajustes!$H18&gt;0,INDEX($AA$4:$AL$323,Ajustes!$H18,X$2),0)+IF(Ajustes!$I18&gt;0,INDEX($AA$4:$AL$323,Ajustes!$I18,X$2),0)+IF(Ajustes!$J18&gt;0,INDEX($AA$4:$AL$323,Ajustes!$J18,X$2),0)+IF(Ajustes!$K18&gt;0,INDEX($AA$5:$AL$324,Ajustes!$K18,X$2),0)+IF(Ajustes!$L18&gt;0,INDEX($AA$4:$AL$323,Ajustes!$L18,X$2),0) + X18</f>
        <v>51</v>
      </c>
      <c r="AK18">
        <f>IF(Ajustes!$G18&gt;0,INDEX($AA$4:$AL$323,Ajustes!$G18,Y$2),0)+IF(Ajustes!$H18&gt;0,INDEX($AA$4:$AL$323,Ajustes!$H18,Y$2),0)+IF(Ajustes!$I18&gt;0,INDEX($AA$4:$AL$323,Ajustes!$I18,Y$2),0)+IF(Ajustes!$J18&gt;0,INDEX($AA$4:$AL$323,Ajustes!$J18,Y$2),0)+IF(Ajustes!$K18&gt;0,INDEX($AA$5:$AL$324,Ajustes!$K18,Y$2),0)+IF(Ajustes!$L18&gt;0,INDEX($AA$4:$AL$323,Ajustes!$L18,Y$2),0) + Y18</f>
        <v>64</v>
      </c>
      <c r="AL18">
        <f>IF(Ajustes!$G18&gt;0,INDEX($AA$4:$AL$323,Ajustes!$G18,Z$2),0)+IF(Ajustes!$H18&gt;0,INDEX($AA$4:$AL$323,Ajustes!$H18,Z$2),0)+IF(Ajustes!$I18&gt;0,INDEX($AA$4:$AL$323,Ajustes!$I18,Z$2),0)+IF(Ajustes!$J18&gt;0,INDEX($AA$4:$AL$323,Ajustes!$J18,Z$2),0)+IF(Ajustes!$K18&gt;0,INDEX($AA$5:$AL$324,Ajustes!$K18,Z$2),0)+IF(Ajustes!$L18&gt;0,INDEX($AA$4:$AL$323,Ajustes!$L18,Z$2),0) + Z18</f>
        <v>114</v>
      </c>
      <c r="AM18" s="113">
        <f t="shared" si="3"/>
        <v>160</v>
      </c>
      <c r="AN18" s="113">
        <f t="shared" si="3"/>
        <v>164</v>
      </c>
      <c r="AO18" s="113">
        <f t="shared" si="3"/>
        <v>142</v>
      </c>
      <c r="AP18" s="113">
        <f t="shared" si="3"/>
        <v>97</v>
      </c>
      <c r="AQ18" s="113">
        <f t="shared" si="3"/>
        <v>71</v>
      </c>
      <c r="AR18" s="113">
        <f t="shared" si="3"/>
        <v>59</v>
      </c>
      <c r="AS18" s="113">
        <f t="shared" si="3"/>
        <v>49</v>
      </c>
      <c r="AT18" s="113">
        <f t="shared" si="5"/>
        <v>41</v>
      </c>
      <c r="AU18" s="113">
        <f t="shared" si="4"/>
        <v>42</v>
      </c>
      <c r="AV18" s="113">
        <f t="shared" si="4"/>
        <v>51</v>
      </c>
      <c r="AW18" s="113">
        <f t="shared" si="4"/>
        <v>64</v>
      </c>
      <c r="AX18" s="113">
        <f t="shared" si="4"/>
        <v>114</v>
      </c>
      <c r="BB18">
        <f>ROW()</f>
        <v>18</v>
      </c>
      <c r="BC18" s="286" t="s">
        <v>14</v>
      </c>
      <c r="BD18" s="115">
        <v>1</v>
      </c>
      <c r="BE18" s="115">
        <v>1</v>
      </c>
      <c r="BF18" s="115">
        <v>1</v>
      </c>
      <c r="BG18" s="115">
        <v>1</v>
      </c>
      <c r="BH18" s="115">
        <v>1</v>
      </c>
      <c r="BI18" s="115">
        <v>1</v>
      </c>
      <c r="BJ18" s="115">
        <v>1</v>
      </c>
      <c r="BK18" s="115">
        <v>1</v>
      </c>
      <c r="BL18" s="115">
        <v>1</v>
      </c>
      <c r="BM18" s="115">
        <v>1</v>
      </c>
      <c r="BN18" s="115">
        <v>1</v>
      </c>
      <c r="BO18" s="287">
        <v>1</v>
      </c>
    </row>
    <row r="19" spans="1:67" x14ac:dyDescent="0.25">
      <c r="A19" s="113">
        <v>16</v>
      </c>
      <c r="B19" s="209" t="s">
        <v>267</v>
      </c>
      <c r="C19">
        <f>IFERROR(INDEX($BD$7:$BO$35,MATCH(Ajustes!$E$4:$E$323,$BC$7:$BC$35,0),$C$2:$N$2),1)</f>
        <v>1</v>
      </c>
      <c r="D19" s="113">
        <f>IFERROR(INDEX($BD$7:$BO$35,MATCH(Ajustes!$E$4:$E$323,$BC$7:$BC$35,0),$C$2:$N$2),1)</f>
        <v>1</v>
      </c>
      <c r="E19" s="113">
        <f>IFERROR(INDEX($BD$7:$BO$35,MATCH(Ajustes!$E$4:$E$323,$BC$7:$BC$35,0),$C$2:$N$2),1)</f>
        <v>1</v>
      </c>
      <c r="F19" s="113">
        <f>IFERROR(INDEX($BD$7:$BO$35,MATCH(Ajustes!$E$4:$E$323,$BC$7:$BC$35,0),$C$2:$N$2),1)</f>
        <v>1</v>
      </c>
      <c r="G19" s="113">
        <f>IFERROR(INDEX($BD$7:$BO$35,MATCH(Ajustes!$E$4:$E$323,$BC$7:$BC$35,0),$C$2:$N$2),1)</f>
        <v>1</v>
      </c>
      <c r="H19" s="113">
        <f>IFERROR(INDEX($BD$7:$BO$35,MATCH(Ajustes!$E$4:$E$323,$BC$7:$BC$35,0),$C$2:$N$2),1)</f>
        <v>1</v>
      </c>
      <c r="I19" s="113">
        <f>IFERROR(INDEX($BD$7:$BO$35,MATCH(Ajustes!$E$4:$E$323,$BC$7:$BC$35,0),$C$2:$N$2),1)</f>
        <v>1</v>
      </c>
      <c r="J19" s="113">
        <f>IFERROR(INDEX($BD$7:$BO$35,MATCH(Ajustes!$E$4:$E$323,$BC$7:$BC$35,0),$C$2:$N$2),1)</f>
        <v>1</v>
      </c>
      <c r="K19" s="113">
        <f>IFERROR(INDEX($BD$7:$BO$35,MATCH(Ajustes!$E$4:$E$323,$BC$7:$BC$35,0),$C$2:$N$2),1)</f>
        <v>1</v>
      </c>
      <c r="L19" s="113">
        <f>IFERROR(INDEX($BD$7:$BO$35,MATCH(Ajustes!$E$4:$E$323,$BC$7:$BC$35,0),$C$2:$N$2),1)</f>
        <v>1</v>
      </c>
      <c r="M19" s="113">
        <f>IFERROR(INDEX($BD$7:$BO$35,MATCH(Ajustes!$E$4:$E$323,$BC$7:$BC$35,0),$C$2:$N$2),1)</f>
        <v>1</v>
      </c>
      <c r="N19" s="113">
        <f>IFERROR(INDEX($BD$7:$BO$35,MATCH(Ajustes!$E$4:$E$323,$BC$7:$BC$35,0),$C$2:$N$2),1)</f>
        <v>1</v>
      </c>
      <c r="O19">
        <f>C19*Ajustes!AM19</f>
        <v>2</v>
      </c>
      <c r="P19">
        <f>D19*Ajustes!AN19</f>
        <v>3</v>
      </c>
      <c r="Q19">
        <f>E19*Ajustes!AO19</f>
        <v>3</v>
      </c>
      <c r="R19">
        <f>F19*Ajustes!AP19</f>
        <v>2</v>
      </c>
      <c r="S19">
        <f>G19*Ajustes!AQ19</f>
        <v>1</v>
      </c>
      <c r="T19">
        <f>H19*Ajustes!AR19</f>
        <v>1</v>
      </c>
      <c r="U19">
        <f>I19*Ajustes!AS19</f>
        <v>0</v>
      </c>
      <c r="V19">
        <f>J19*Ajustes!AT19</f>
        <v>1</v>
      </c>
      <c r="W19">
        <f>K19*Ajustes!AU19</f>
        <v>1</v>
      </c>
      <c r="X19">
        <f>L19*Ajustes!AV19</f>
        <v>1</v>
      </c>
      <c r="Y19">
        <f>M19*Ajustes!AW19</f>
        <v>1</v>
      </c>
      <c r="Z19">
        <f>N19*Ajustes!AX19</f>
        <v>2</v>
      </c>
      <c r="AA19">
        <f>IF(Ajustes!$G19&gt;0,INDEX($AA$4:$AL$323,Ajustes!$G19,O$2),0)+IF(Ajustes!$H19&gt;0,INDEX($AA$4:$AL$323,Ajustes!$H19,O$2),0)+IF(Ajustes!$I19&gt;0,INDEX($AA$4:$AL$323,Ajustes!$I19,O$2),0)+IF(Ajustes!$J19&gt;0,INDEX($AA$4:$AL$323,Ajustes!$J19,O$2),0)+IF(Ajustes!$K19&gt;0,INDEX($AA$5:$AL$324,Ajustes!$K19,O$2),0)+IF(Ajustes!$L19&gt;0,INDEX($AA$4:$AL$323,Ajustes!$L19,O$2),0) + O19</f>
        <v>162</v>
      </c>
      <c r="AB19">
        <f>IF(Ajustes!$G19&gt;0,INDEX($AA$4:$AL$323,Ajustes!$G19,P$2),0)+IF(Ajustes!$H19&gt;0,INDEX($AA$4:$AL$323,Ajustes!$H19,P$2),0)+IF(Ajustes!$I19&gt;0,INDEX($AA$4:$AL$323,Ajustes!$I19,P$2),0)+IF(Ajustes!$J19&gt;0,INDEX($AA$4:$AL$323,Ajustes!$J19,P$2),0)+IF(Ajustes!$K19&gt;0,INDEX($AA$5:$AL$324,Ajustes!$K19,P$2),0)+IF(Ajustes!$L19&gt;0,INDEX($AA$4:$AL$323,Ajustes!$L19,P$2),0) + P19</f>
        <v>167</v>
      </c>
      <c r="AC19">
        <f>IF(Ajustes!$G19&gt;0,INDEX($AA$4:$AL$323,Ajustes!$G19,Q$2),0)+IF(Ajustes!$H19&gt;0,INDEX($AA$4:$AL$323,Ajustes!$H19,Q$2),0)+IF(Ajustes!$I19&gt;0,INDEX($AA$4:$AL$323,Ajustes!$I19,Q$2),0)+IF(Ajustes!$J19&gt;0,INDEX($AA$4:$AL$323,Ajustes!$J19,Q$2),0)+IF(Ajustes!$K19&gt;0,INDEX($AA$5:$AL$324,Ajustes!$K19,Q$2),0)+IF(Ajustes!$L19&gt;0,INDEX($AA$4:$AL$323,Ajustes!$L19,Q$2),0) + Q19</f>
        <v>145</v>
      </c>
      <c r="AD19">
        <f>IF(Ajustes!$G19&gt;0,INDEX($AA$4:$AL$323,Ajustes!$G19,R$2),0)+IF(Ajustes!$H19&gt;0,INDEX($AA$4:$AL$323,Ajustes!$H19,R$2),0)+IF(Ajustes!$I19&gt;0,INDEX($AA$4:$AL$323,Ajustes!$I19,R$2),0)+IF(Ajustes!$J19&gt;0,INDEX($AA$4:$AL$323,Ajustes!$J19,R$2),0)+IF(Ajustes!$K19&gt;0,INDEX($AA$5:$AL$324,Ajustes!$K19,R$2),0)+IF(Ajustes!$L19&gt;0,INDEX($AA$4:$AL$323,Ajustes!$L19,R$2),0) + R19</f>
        <v>99</v>
      </c>
      <c r="AE19">
        <f>IF(Ajustes!$G19&gt;0,INDEX($AA$4:$AL$323,Ajustes!$G19,S$2),0)+IF(Ajustes!$H19&gt;0,INDEX($AA$4:$AL$323,Ajustes!$H19,S$2),0)+IF(Ajustes!$I19&gt;0,INDEX($AA$4:$AL$323,Ajustes!$I19,S$2),0)+IF(Ajustes!$J19&gt;0,INDEX($AA$4:$AL$323,Ajustes!$J19,S$2),0)+IF(Ajustes!$K19&gt;0,INDEX($AA$5:$AL$324,Ajustes!$K19,S$2),0)+IF(Ajustes!$L19&gt;0,INDEX($AA$4:$AL$323,Ajustes!$L19,S$2),0) + S19</f>
        <v>72</v>
      </c>
      <c r="AF19">
        <f>IF(Ajustes!$G19&gt;0,INDEX($AA$4:$AL$323,Ajustes!$G19,T$2),0)+IF(Ajustes!$H19&gt;0,INDEX($AA$4:$AL$323,Ajustes!$H19,T$2),0)+IF(Ajustes!$I19&gt;0,INDEX($AA$4:$AL$323,Ajustes!$I19,T$2),0)+IF(Ajustes!$J19&gt;0,INDEX($AA$4:$AL$323,Ajustes!$J19,T$2),0)+IF(Ajustes!$K19&gt;0,INDEX($AA$5:$AL$324,Ajustes!$K19,T$2),0)+IF(Ajustes!$L19&gt;0,INDEX($AA$4:$AL$323,Ajustes!$L19,T$2),0) + T19</f>
        <v>60</v>
      </c>
      <c r="AG19">
        <f>IF(Ajustes!$G19&gt;0,INDEX($AA$4:$AL$323,Ajustes!$G19,U$2),0)+IF(Ajustes!$H19&gt;0,INDEX($AA$4:$AL$323,Ajustes!$H19,U$2),0)+IF(Ajustes!$I19&gt;0,INDEX($AA$4:$AL$323,Ajustes!$I19,U$2),0)+IF(Ajustes!$J19&gt;0,INDEX($AA$4:$AL$323,Ajustes!$J19,U$2),0)+IF(Ajustes!$K19&gt;0,INDEX($AA$5:$AL$324,Ajustes!$K19,U$2),0)+IF(Ajustes!$L19&gt;0,INDEX($AA$4:$AL$323,Ajustes!$L19,U$2),0) + U19</f>
        <v>49</v>
      </c>
      <c r="AH19">
        <f>IF(Ajustes!$G19&gt;0,INDEX($AA$4:$AL$323,Ajustes!$G19,V$2),0)+IF(Ajustes!$H19&gt;0,INDEX($AA$4:$AL$323,Ajustes!$H19,V$2),0)+IF(Ajustes!$I19&gt;0,INDEX($AA$4:$AL$323,Ajustes!$I19,V$2),0)+IF(Ajustes!$J19&gt;0,INDEX($AA$4:$AL$323,Ajustes!$J19,V$2),0)+IF(Ajustes!$K19&gt;0,INDEX($AA$5:$AL$324,Ajustes!$K19,V$2),0)+IF(Ajustes!$L19&gt;0,INDEX($AA$4:$AL$323,Ajustes!$L19,V$2),0) + V19</f>
        <v>42</v>
      </c>
      <c r="AI19">
        <f>IF(Ajustes!$G19&gt;0,INDEX($AA$4:$AL$323,Ajustes!$G19,W$2),0)+IF(Ajustes!$H19&gt;0,INDEX($AA$4:$AL$323,Ajustes!$H19,W$2),0)+IF(Ajustes!$I19&gt;0,INDEX($AA$4:$AL$323,Ajustes!$I19,W$2),0)+IF(Ajustes!$J19&gt;0,INDEX($AA$4:$AL$323,Ajustes!$J19,W$2),0)+IF(Ajustes!$K19&gt;0,INDEX($AA$5:$AL$324,Ajustes!$K19,W$2),0)+IF(Ajustes!$L19&gt;0,INDEX($AA$4:$AL$323,Ajustes!$L19,W$2),0) + W19</f>
        <v>43</v>
      </c>
      <c r="AJ19">
        <f>IF(Ajustes!$G19&gt;0,INDEX($AA$4:$AL$323,Ajustes!$G19,X$2),0)+IF(Ajustes!$H19&gt;0,INDEX($AA$4:$AL$323,Ajustes!$H19,X$2),0)+IF(Ajustes!$I19&gt;0,INDEX($AA$4:$AL$323,Ajustes!$I19,X$2),0)+IF(Ajustes!$J19&gt;0,INDEX($AA$4:$AL$323,Ajustes!$J19,X$2),0)+IF(Ajustes!$K19&gt;0,INDEX($AA$5:$AL$324,Ajustes!$K19,X$2),0)+IF(Ajustes!$L19&gt;0,INDEX($AA$4:$AL$323,Ajustes!$L19,X$2),0) + X19</f>
        <v>52</v>
      </c>
      <c r="AK19">
        <f>IF(Ajustes!$G19&gt;0,INDEX($AA$4:$AL$323,Ajustes!$G19,Y$2),0)+IF(Ajustes!$H19&gt;0,INDEX($AA$4:$AL$323,Ajustes!$H19,Y$2),0)+IF(Ajustes!$I19&gt;0,INDEX($AA$4:$AL$323,Ajustes!$I19,Y$2),0)+IF(Ajustes!$J19&gt;0,INDEX($AA$4:$AL$323,Ajustes!$J19,Y$2),0)+IF(Ajustes!$K19&gt;0,INDEX($AA$5:$AL$324,Ajustes!$K19,Y$2),0)+IF(Ajustes!$L19&gt;0,INDEX($AA$4:$AL$323,Ajustes!$L19,Y$2),0) + Y19</f>
        <v>65</v>
      </c>
      <c r="AL19">
        <f>IF(Ajustes!$G19&gt;0,INDEX($AA$4:$AL$323,Ajustes!$G19,Z$2),0)+IF(Ajustes!$H19&gt;0,INDEX($AA$4:$AL$323,Ajustes!$H19,Z$2),0)+IF(Ajustes!$I19&gt;0,INDEX($AA$4:$AL$323,Ajustes!$I19,Z$2),0)+IF(Ajustes!$J19&gt;0,INDEX($AA$4:$AL$323,Ajustes!$J19,Z$2),0)+IF(Ajustes!$K19&gt;0,INDEX($AA$5:$AL$324,Ajustes!$K19,Z$2),0)+IF(Ajustes!$L19&gt;0,INDEX($AA$4:$AL$323,Ajustes!$L19,Z$2),0) + Z19</f>
        <v>116</v>
      </c>
      <c r="AM19" s="113">
        <f t="shared" si="3"/>
        <v>162</v>
      </c>
      <c r="AN19" s="113">
        <f t="shared" si="3"/>
        <v>167</v>
      </c>
      <c r="AO19" s="113">
        <f t="shared" si="3"/>
        <v>145</v>
      </c>
      <c r="AP19" s="113">
        <f t="shared" si="3"/>
        <v>99</v>
      </c>
      <c r="AQ19" s="113">
        <f t="shared" si="3"/>
        <v>72</v>
      </c>
      <c r="AR19" s="113">
        <f t="shared" si="3"/>
        <v>60</v>
      </c>
      <c r="AS19" s="113">
        <f t="shared" si="3"/>
        <v>49</v>
      </c>
      <c r="AT19" s="113">
        <f t="shared" si="5"/>
        <v>42</v>
      </c>
      <c r="AU19" s="113">
        <f t="shared" si="4"/>
        <v>43</v>
      </c>
      <c r="AV19" s="113">
        <f t="shared" si="4"/>
        <v>52</v>
      </c>
      <c r="AW19" s="113">
        <f t="shared" si="4"/>
        <v>65</v>
      </c>
      <c r="AX19" s="113">
        <f t="shared" si="4"/>
        <v>116</v>
      </c>
      <c r="BB19">
        <f>ROW()</f>
        <v>19</v>
      </c>
      <c r="BC19" s="286" t="s">
        <v>24</v>
      </c>
      <c r="BD19" s="115">
        <v>1</v>
      </c>
      <c r="BE19" s="115">
        <v>1</v>
      </c>
      <c r="BF19" s="115">
        <v>1</v>
      </c>
      <c r="BG19" s="115">
        <v>1</v>
      </c>
      <c r="BH19" s="115">
        <v>1</v>
      </c>
      <c r="BI19" s="115">
        <v>1</v>
      </c>
      <c r="BJ19" s="115">
        <v>1</v>
      </c>
      <c r="BK19" s="115">
        <v>1</v>
      </c>
      <c r="BL19" s="115">
        <v>1</v>
      </c>
      <c r="BM19" s="115">
        <v>1</v>
      </c>
      <c r="BN19" s="115">
        <v>1</v>
      </c>
      <c r="BO19" s="287">
        <v>1</v>
      </c>
    </row>
    <row r="20" spans="1:67" x14ac:dyDescent="0.25">
      <c r="A20" s="113">
        <v>17</v>
      </c>
      <c r="B20" s="209" t="s">
        <v>545</v>
      </c>
      <c r="C20">
        <f>IFERROR(INDEX($BD$7:$BO$35,MATCH(Ajustes!$E$4:$E$323,$BC$7:$BC$35,0),$C$2:$N$2),1)</f>
        <v>1</v>
      </c>
      <c r="D20" s="113">
        <f>IFERROR(INDEX($BD$7:$BO$35,MATCH(Ajustes!$E$4:$E$323,$BC$7:$BC$35,0),$C$2:$N$2),1)</f>
        <v>1</v>
      </c>
      <c r="E20" s="113">
        <f>IFERROR(INDEX($BD$7:$BO$35,MATCH(Ajustes!$E$4:$E$323,$BC$7:$BC$35,0),$C$2:$N$2),1)</f>
        <v>1</v>
      </c>
      <c r="F20" s="113">
        <f>IFERROR(INDEX($BD$7:$BO$35,MATCH(Ajustes!$E$4:$E$323,$BC$7:$BC$35,0),$C$2:$N$2),1)</f>
        <v>1</v>
      </c>
      <c r="G20" s="113">
        <f>IFERROR(INDEX($BD$7:$BO$35,MATCH(Ajustes!$E$4:$E$323,$BC$7:$BC$35,0),$C$2:$N$2),1)</f>
        <v>1</v>
      </c>
      <c r="H20" s="113">
        <f>IFERROR(INDEX($BD$7:$BO$35,MATCH(Ajustes!$E$4:$E$323,$BC$7:$BC$35,0),$C$2:$N$2),1)</f>
        <v>1</v>
      </c>
      <c r="I20" s="113">
        <f>IFERROR(INDEX($BD$7:$BO$35,MATCH(Ajustes!$E$4:$E$323,$BC$7:$BC$35,0),$C$2:$N$2),1)</f>
        <v>1</v>
      </c>
      <c r="J20" s="113">
        <f>IFERROR(INDEX($BD$7:$BO$35,MATCH(Ajustes!$E$4:$E$323,$BC$7:$BC$35,0),$C$2:$N$2),1)</f>
        <v>1</v>
      </c>
      <c r="K20" s="113">
        <f>IFERROR(INDEX($BD$7:$BO$35,MATCH(Ajustes!$E$4:$E$323,$BC$7:$BC$35,0),$C$2:$N$2),1)</f>
        <v>1</v>
      </c>
      <c r="L20" s="113">
        <f>IFERROR(INDEX($BD$7:$BO$35,MATCH(Ajustes!$E$4:$E$323,$BC$7:$BC$35,0),$C$2:$N$2),1)</f>
        <v>1</v>
      </c>
      <c r="M20" s="113">
        <f>IFERROR(INDEX($BD$7:$BO$35,MATCH(Ajustes!$E$4:$E$323,$BC$7:$BC$35,0),$C$2:$N$2),1)</f>
        <v>1</v>
      </c>
      <c r="N20" s="113">
        <f>IFERROR(INDEX($BD$7:$BO$35,MATCH(Ajustes!$E$4:$E$323,$BC$7:$BC$35,0),$C$2:$N$2),1)</f>
        <v>1</v>
      </c>
      <c r="O20">
        <f>C20*Ajustes!AM20</f>
        <v>655</v>
      </c>
      <c r="P20">
        <f>D20*Ajustes!AN20</f>
        <v>799</v>
      </c>
      <c r="Q20">
        <f>E20*Ajustes!AO20</f>
        <v>720</v>
      </c>
      <c r="R20">
        <f>F20*Ajustes!AP20</f>
        <v>562</v>
      </c>
      <c r="S20">
        <f>G20*Ajustes!AQ20</f>
        <v>408</v>
      </c>
      <c r="T20">
        <f>H20*Ajustes!AR20</f>
        <v>358</v>
      </c>
      <c r="U20">
        <f>I20*Ajustes!AS20</f>
        <v>297</v>
      </c>
      <c r="V20">
        <f>J20*Ajustes!AT20</f>
        <v>255</v>
      </c>
      <c r="W20">
        <f>K20*Ajustes!AU20</f>
        <v>241</v>
      </c>
      <c r="X20">
        <f>L20*Ajustes!AV20</f>
        <v>257</v>
      </c>
      <c r="Y20">
        <f>M20*Ajustes!AW20</f>
        <v>308</v>
      </c>
      <c r="Z20">
        <f>N20*Ajustes!AX20</f>
        <v>455</v>
      </c>
      <c r="AA20">
        <f>IF(Ajustes!$G20&gt;0,INDEX($AA$4:$AL$323,Ajustes!$G20,O$2),0)+IF(Ajustes!$H20&gt;0,INDEX($AA$4:$AL$323,Ajustes!$H20,O$2),0)+IF(Ajustes!$I20&gt;0,INDEX($AA$4:$AL$323,Ajustes!$I20,O$2),0)+IF(Ajustes!$J20&gt;0,INDEX($AA$4:$AL$323,Ajustes!$J20,O$2),0)+IF(Ajustes!$K20&gt;0,INDEX($AA$5:$AL$324,Ajustes!$K20,O$2),0)+IF(Ajustes!$L20&gt;0,INDEX($AA$4:$AL$323,Ajustes!$L20,O$2),0) + O20</f>
        <v>3311</v>
      </c>
      <c r="AB20">
        <f>IF(Ajustes!$G20&gt;0,INDEX($AA$4:$AL$323,Ajustes!$G20,P$2),0)+IF(Ajustes!$H20&gt;0,INDEX($AA$4:$AL$323,Ajustes!$H20,P$2),0)+IF(Ajustes!$I20&gt;0,INDEX($AA$4:$AL$323,Ajustes!$I20,P$2),0)+IF(Ajustes!$J20&gt;0,INDEX($AA$4:$AL$323,Ajustes!$J20,P$2),0)+IF(Ajustes!$K20&gt;0,INDEX($AA$5:$AL$324,Ajustes!$K20,P$2),0)+IF(Ajustes!$L20&gt;0,INDEX($AA$4:$AL$323,Ajustes!$L20,P$2),0) + P20</f>
        <v>3391</v>
      </c>
      <c r="AC20">
        <f>IF(Ajustes!$G20&gt;0,INDEX($AA$4:$AL$323,Ajustes!$G20,Q$2),0)+IF(Ajustes!$H20&gt;0,INDEX($AA$4:$AL$323,Ajustes!$H20,Q$2),0)+IF(Ajustes!$I20&gt;0,INDEX($AA$4:$AL$323,Ajustes!$I20,Q$2),0)+IF(Ajustes!$J20&gt;0,INDEX($AA$4:$AL$323,Ajustes!$J20,Q$2),0)+IF(Ajustes!$K20&gt;0,INDEX($AA$5:$AL$324,Ajustes!$K20,Q$2),0)+IF(Ajustes!$L20&gt;0,INDEX($AA$4:$AL$323,Ajustes!$L20,Q$2),0) + Q20</f>
        <v>3037</v>
      </c>
      <c r="AD20">
        <f>IF(Ajustes!$G20&gt;0,INDEX($AA$4:$AL$323,Ajustes!$G20,R$2),0)+IF(Ajustes!$H20&gt;0,INDEX($AA$4:$AL$323,Ajustes!$H20,R$2),0)+IF(Ajustes!$I20&gt;0,INDEX($AA$4:$AL$323,Ajustes!$I20,R$2),0)+IF(Ajustes!$J20&gt;0,INDEX($AA$4:$AL$323,Ajustes!$J20,R$2),0)+IF(Ajustes!$K20&gt;0,INDEX($AA$5:$AL$324,Ajustes!$K20,R$2),0)+IF(Ajustes!$L20&gt;0,INDEX($AA$4:$AL$323,Ajustes!$L20,R$2),0) + R20</f>
        <v>2195</v>
      </c>
      <c r="AE20">
        <f>IF(Ajustes!$G20&gt;0,INDEX($AA$4:$AL$323,Ajustes!$G20,S$2),0)+IF(Ajustes!$H20&gt;0,INDEX($AA$4:$AL$323,Ajustes!$H20,S$2),0)+IF(Ajustes!$I20&gt;0,INDEX($AA$4:$AL$323,Ajustes!$I20,S$2),0)+IF(Ajustes!$J20&gt;0,INDEX($AA$4:$AL$323,Ajustes!$J20,S$2),0)+IF(Ajustes!$K20&gt;0,INDEX($AA$5:$AL$324,Ajustes!$K20,S$2),0)+IF(Ajustes!$L20&gt;0,INDEX($AA$4:$AL$323,Ajustes!$L20,S$2),0) + S20</f>
        <v>1574</v>
      </c>
      <c r="AF20">
        <f>IF(Ajustes!$G20&gt;0,INDEX($AA$4:$AL$323,Ajustes!$G20,T$2),0)+IF(Ajustes!$H20&gt;0,INDEX($AA$4:$AL$323,Ajustes!$H20,T$2),0)+IF(Ajustes!$I20&gt;0,INDEX($AA$4:$AL$323,Ajustes!$I20,T$2),0)+IF(Ajustes!$J20&gt;0,INDEX($AA$4:$AL$323,Ajustes!$J20,T$2),0)+IF(Ajustes!$K20&gt;0,INDEX($AA$5:$AL$324,Ajustes!$K20,T$2),0)+IF(Ajustes!$L20&gt;0,INDEX($AA$4:$AL$323,Ajustes!$L20,T$2),0) + T20</f>
        <v>1314</v>
      </c>
      <c r="AG20">
        <f>IF(Ajustes!$G20&gt;0,INDEX($AA$4:$AL$323,Ajustes!$G20,U$2),0)+IF(Ajustes!$H20&gt;0,INDEX($AA$4:$AL$323,Ajustes!$H20,U$2),0)+IF(Ajustes!$I20&gt;0,INDEX($AA$4:$AL$323,Ajustes!$I20,U$2),0)+IF(Ajustes!$J20&gt;0,INDEX($AA$4:$AL$323,Ajustes!$J20,U$2),0)+IF(Ajustes!$K20&gt;0,INDEX($AA$5:$AL$324,Ajustes!$K20,U$2),0)+IF(Ajustes!$L20&gt;0,INDEX($AA$4:$AL$323,Ajustes!$L20,U$2),0) + U20</f>
        <v>1074</v>
      </c>
      <c r="AH20">
        <f>IF(Ajustes!$G20&gt;0,INDEX($AA$4:$AL$323,Ajustes!$G20,V$2),0)+IF(Ajustes!$H20&gt;0,INDEX($AA$4:$AL$323,Ajustes!$H20,V$2),0)+IF(Ajustes!$I20&gt;0,INDEX($AA$4:$AL$323,Ajustes!$I20,V$2),0)+IF(Ajustes!$J20&gt;0,INDEX($AA$4:$AL$323,Ajustes!$J20,V$2),0)+IF(Ajustes!$K20&gt;0,INDEX($AA$5:$AL$324,Ajustes!$K20,V$2),0)+IF(Ajustes!$L20&gt;0,INDEX($AA$4:$AL$323,Ajustes!$L20,V$2),0) + V20</f>
        <v>891</v>
      </c>
      <c r="AI20">
        <f>IF(Ajustes!$G20&gt;0,INDEX($AA$4:$AL$323,Ajustes!$G20,W$2),0)+IF(Ajustes!$H20&gt;0,INDEX($AA$4:$AL$323,Ajustes!$H20,W$2),0)+IF(Ajustes!$I20&gt;0,INDEX($AA$4:$AL$323,Ajustes!$I20,W$2),0)+IF(Ajustes!$J20&gt;0,INDEX($AA$4:$AL$323,Ajustes!$J20,W$2),0)+IF(Ajustes!$K20&gt;0,INDEX($AA$5:$AL$324,Ajustes!$K20,W$2),0)+IF(Ajustes!$L20&gt;0,INDEX($AA$4:$AL$323,Ajustes!$L20,W$2),0) + W20</f>
        <v>882</v>
      </c>
      <c r="AJ20">
        <f>IF(Ajustes!$G20&gt;0,INDEX($AA$4:$AL$323,Ajustes!$G20,X$2),0)+IF(Ajustes!$H20&gt;0,INDEX($AA$4:$AL$323,Ajustes!$H20,X$2),0)+IF(Ajustes!$I20&gt;0,INDEX($AA$4:$AL$323,Ajustes!$I20,X$2),0)+IF(Ajustes!$J20&gt;0,INDEX($AA$4:$AL$323,Ajustes!$J20,X$2),0)+IF(Ajustes!$K20&gt;0,INDEX($AA$5:$AL$324,Ajustes!$K20,X$2),0)+IF(Ajustes!$L20&gt;0,INDEX($AA$4:$AL$323,Ajustes!$L20,X$2),0) + X20</f>
        <v>1014</v>
      </c>
      <c r="AK20">
        <f>IF(Ajustes!$G20&gt;0,INDEX($AA$4:$AL$323,Ajustes!$G20,Y$2),0)+IF(Ajustes!$H20&gt;0,INDEX($AA$4:$AL$323,Ajustes!$H20,Y$2),0)+IF(Ajustes!$I20&gt;0,INDEX($AA$4:$AL$323,Ajustes!$I20,Y$2),0)+IF(Ajustes!$J20&gt;0,INDEX($AA$4:$AL$323,Ajustes!$J20,Y$2),0)+IF(Ajustes!$K20&gt;0,INDEX($AA$5:$AL$324,Ajustes!$K20,Y$2),0)+IF(Ajustes!$L20&gt;0,INDEX($AA$4:$AL$323,Ajustes!$L20,Y$2),0) + Y20</f>
        <v>1352</v>
      </c>
      <c r="AL20">
        <f>IF(Ajustes!$G20&gt;0,INDEX($AA$4:$AL$323,Ajustes!$G20,Z$2),0)+IF(Ajustes!$H20&gt;0,INDEX($AA$4:$AL$323,Ajustes!$H20,Z$2),0)+IF(Ajustes!$I20&gt;0,INDEX($AA$4:$AL$323,Ajustes!$I20,Z$2),0)+IF(Ajustes!$J20&gt;0,INDEX($AA$4:$AL$323,Ajustes!$J20,Z$2),0)+IF(Ajustes!$K20&gt;0,INDEX($AA$5:$AL$324,Ajustes!$K20,Z$2),0)+IF(Ajustes!$L20&gt;0,INDEX($AA$4:$AL$323,Ajustes!$L20,Z$2),0) + Z20</f>
        <v>2233</v>
      </c>
      <c r="AM20" s="113">
        <f t="shared" si="3"/>
        <v>3311</v>
      </c>
      <c r="AN20" s="113">
        <f t="shared" si="3"/>
        <v>3391</v>
      </c>
      <c r="AO20" s="113">
        <f t="shared" si="3"/>
        <v>3037</v>
      </c>
      <c r="AP20" s="113">
        <f t="shared" si="3"/>
        <v>2195</v>
      </c>
      <c r="AQ20" s="113">
        <f t="shared" si="3"/>
        <v>1574</v>
      </c>
      <c r="AR20" s="113">
        <f t="shared" si="3"/>
        <v>1314</v>
      </c>
      <c r="AS20" s="113">
        <f t="shared" si="3"/>
        <v>1074</v>
      </c>
      <c r="AT20" s="113">
        <f t="shared" si="5"/>
        <v>891</v>
      </c>
      <c r="AU20" s="113">
        <f t="shared" si="4"/>
        <v>882</v>
      </c>
      <c r="AV20" s="113">
        <f t="shared" si="4"/>
        <v>1014</v>
      </c>
      <c r="AW20" s="113">
        <f t="shared" si="4"/>
        <v>1352</v>
      </c>
      <c r="AX20" s="113">
        <f t="shared" si="4"/>
        <v>2233</v>
      </c>
      <c r="BB20">
        <f>ROW()</f>
        <v>20</v>
      </c>
      <c r="BC20" s="286" t="s">
        <v>28</v>
      </c>
      <c r="BD20" s="115">
        <v>1</v>
      </c>
      <c r="BE20" s="115">
        <v>1</v>
      </c>
      <c r="BF20" s="115">
        <v>1</v>
      </c>
      <c r="BG20" s="115">
        <v>1</v>
      </c>
      <c r="BH20" s="115">
        <v>1</v>
      </c>
      <c r="BI20" s="115">
        <v>1</v>
      </c>
      <c r="BJ20" s="115">
        <v>1</v>
      </c>
      <c r="BK20" s="115">
        <v>1</v>
      </c>
      <c r="BL20" s="115">
        <v>1</v>
      </c>
      <c r="BM20" s="115">
        <v>1</v>
      </c>
      <c r="BN20" s="115">
        <v>1</v>
      </c>
      <c r="BO20" s="287">
        <v>1</v>
      </c>
    </row>
    <row r="21" spans="1:67" x14ac:dyDescent="0.25">
      <c r="A21" s="113">
        <v>18</v>
      </c>
      <c r="B21" s="209" t="s">
        <v>546</v>
      </c>
      <c r="C21">
        <f>IFERROR(INDEX($BD$7:$BO$35,MATCH(Ajustes!$E$4:$E$323,$BC$7:$BC$35,0),$C$2:$N$2),1)</f>
        <v>1</v>
      </c>
      <c r="D21" s="113">
        <f>IFERROR(INDEX($BD$7:$BO$35,MATCH(Ajustes!$E$4:$E$323,$BC$7:$BC$35,0),$C$2:$N$2),1)</f>
        <v>1</v>
      </c>
      <c r="E21" s="113">
        <f>IFERROR(INDEX($BD$7:$BO$35,MATCH(Ajustes!$E$4:$E$323,$BC$7:$BC$35,0),$C$2:$N$2),1)</f>
        <v>1</v>
      </c>
      <c r="F21" s="113">
        <f>IFERROR(INDEX($BD$7:$BO$35,MATCH(Ajustes!$E$4:$E$323,$BC$7:$BC$35,0),$C$2:$N$2),1)</f>
        <v>1</v>
      </c>
      <c r="G21" s="113">
        <f>IFERROR(INDEX($BD$7:$BO$35,MATCH(Ajustes!$E$4:$E$323,$BC$7:$BC$35,0),$C$2:$N$2),1)</f>
        <v>1</v>
      </c>
      <c r="H21" s="113">
        <f>IFERROR(INDEX($BD$7:$BO$35,MATCH(Ajustes!$E$4:$E$323,$BC$7:$BC$35,0),$C$2:$N$2),1)</f>
        <v>1</v>
      </c>
      <c r="I21" s="113">
        <f>IFERROR(INDEX($BD$7:$BO$35,MATCH(Ajustes!$E$4:$E$323,$BC$7:$BC$35,0),$C$2:$N$2),1)</f>
        <v>1</v>
      </c>
      <c r="J21" s="113">
        <f>IFERROR(INDEX($BD$7:$BO$35,MATCH(Ajustes!$E$4:$E$323,$BC$7:$BC$35,0),$C$2:$N$2),1)</f>
        <v>1</v>
      </c>
      <c r="K21" s="113">
        <f>IFERROR(INDEX($BD$7:$BO$35,MATCH(Ajustes!$E$4:$E$323,$BC$7:$BC$35,0),$C$2:$N$2),1)</f>
        <v>1</v>
      </c>
      <c r="L21" s="113">
        <f>IFERROR(INDEX($BD$7:$BO$35,MATCH(Ajustes!$E$4:$E$323,$BC$7:$BC$35,0),$C$2:$N$2),1)</f>
        <v>1</v>
      </c>
      <c r="M21" s="113">
        <f>IFERROR(INDEX($BD$7:$BO$35,MATCH(Ajustes!$E$4:$E$323,$BC$7:$BC$35,0),$C$2:$N$2),1)</f>
        <v>1</v>
      </c>
      <c r="N21" s="113">
        <f>IFERROR(INDEX($BD$7:$BO$35,MATCH(Ajustes!$E$4:$E$323,$BC$7:$BC$35,0),$C$2:$N$2),1)</f>
        <v>1</v>
      </c>
      <c r="O21">
        <f>C21*Ajustes!AM21</f>
        <v>377</v>
      </c>
      <c r="P21">
        <f>D21*Ajustes!AN21</f>
        <v>449</v>
      </c>
      <c r="Q21">
        <f>E21*Ajustes!AO21</f>
        <v>421</v>
      </c>
      <c r="R21">
        <f>F21*Ajustes!AP21</f>
        <v>323</v>
      </c>
      <c r="S21">
        <f>G21*Ajustes!AQ21</f>
        <v>223</v>
      </c>
      <c r="T21">
        <f>H21*Ajustes!AR21</f>
        <v>192</v>
      </c>
      <c r="U21">
        <f>I21*Ajustes!AS21</f>
        <v>159</v>
      </c>
      <c r="V21">
        <f>J21*Ajustes!AT21</f>
        <v>137</v>
      </c>
      <c r="W21">
        <f>K21*Ajustes!AU21</f>
        <v>129</v>
      </c>
      <c r="X21">
        <f>L21*Ajustes!AV21</f>
        <v>149</v>
      </c>
      <c r="Y21">
        <f>M21*Ajustes!AW21</f>
        <v>168</v>
      </c>
      <c r="Z21">
        <f>N21*Ajustes!AX21</f>
        <v>233</v>
      </c>
      <c r="AA21">
        <f>IF(Ajustes!$G21&gt;0,INDEX($AA$4:$AL$323,Ajustes!$G21,O$2),0)+IF(Ajustes!$H21&gt;0,INDEX($AA$4:$AL$323,Ajustes!$H21,O$2),0)+IF(Ajustes!$I21&gt;0,INDEX($AA$4:$AL$323,Ajustes!$I21,O$2),0)+IF(Ajustes!$J21&gt;0,INDEX($AA$4:$AL$323,Ajustes!$J21,O$2),0)+IF(Ajustes!$K21&gt;0,INDEX($AA$5:$AL$324,Ajustes!$K21,O$2),0)+IF(Ajustes!$L21&gt;0,INDEX($AA$4:$AL$323,Ajustes!$L21,O$2),0) + O21</f>
        <v>3688</v>
      </c>
      <c r="AB21">
        <f>IF(Ajustes!$G21&gt;0,INDEX($AA$4:$AL$323,Ajustes!$G21,P$2),0)+IF(Ajustes!$H21&gt;0,INDEX($AA$4:$AL$323,Ajustes!$H21,P$2),0)+IF(Ajustes!$I21&gt;0,INDEX($AA$4:$AL$323,Ajustes!$I21,P$2),0)+IF(Ajustes!$J21&gt;0,INDEX($AA$4:$AL$323,Ajustes!$J21,P$2),0)+IF(Ajustes!$K21&gt;0,INDEX($AA$5:$AL$324,Ajustes!$K21,P$2),0)+IF(Ajustes!$L21&gt;0,INDEX($AA$4:$AL$323,Ajustes!$L21,P$2),0) + P21</f>
        <v>3840</v>
      </c>
      <c r="AC21">
        <f>IF(Ajustes!$G21&gt;0,INDEX($AA$4:$AL$323,Ajustes!$G21,Q$2),0)+IF(Ajustes!$H21&gt;0,INDEX($AA$4:$AL$323,Ajustes!$H21,Q$2),0)+IF(Ajustes!$I21&gt;0,INDEX($AA$4:$AL$323,Ajustes!$I21,Q$2),0)+IF(Ajustes!$J21&gt;0,INDEX($AA$4:$AL$323,Ajustes!$J21,Q$2),0)+IF(Ajustes!$K21&gt;0,INDEX($AA$5:$AL$324,Ajustes!$K21,Q$2),0)+IF(Ajustes!$L21&gt;0,INDEX($AA$4:$AL$323,Ajustes!$L21,Q$2),0) + Q21</f>
        <v>3458</v>
      </c>
      <c r="AD21">
        <f>IF(Ajustes!$G21&gt;0,INDEX($AA$4:$AL$323,Ajustes!$G21,R$2),0)+IF(Ajustes!$H21&gt;0,INDEX($AA$4:$AL$323,Ajustes!$H21,R$2),0)+IF(Ajustes!$I21&gt;0,INDEX($AA$4:$AL$323,Ajustes!$I21,R$2),0)+IF(Ajustes!$J21&gt;0,INDEX($AA$4:$AL$323,Ajustes!$J21,R$2),0)+IF(Ajustes!$K21&gt;0,INDEX($AA$5:$AL$324,Ajustes!$K21,R$2),0)+IF(Ajustes!$L21&gt;0,INDEX($AA$4:$AL$323,Ajustes!$L21,R$2),0) + R21</f>
        <v>2518</v>
      </c>
      <c r="AE21">
        <f>IF(Ajustes!$G21&gt;0,INDEX($AA$4:$AL$323,Ajustes!$G21,S$2),0)+IF(Ajustes!$H21&gt;0,INDEX($AA$4:$AL$323,Ajustes!$H21,S$2),0)+IF(Ajustes!$I21&gt;0,INDEX($AA$4:$AL$323,Ajustes!$I21,S$2),0)+IF(Ajustes!$J21&gt;0,INDEX($AA$4:$AL$323,Ajustes!$J21,S$2),0)+IF(Ajustes!$K21&gt;0,INDEX($AA$5:$AL$324,Ajustes!$K21,S$2),0)+IF(Ajustes!$L21&gt;0,INDEX($AA$4:$AL$323,Ajustes!$L21,S$2),0) + S21</f>
        <v>1797</v>
      </c>
      <c r="AF21">
        <f>IF(Ajustes!$G21&gt;0,INDEX($AA$4:$AL$323,Ajustes!$G21,T$2),0)+IF(Ajustes!$H21&gt;0,INDEX($AA$4:$AL$323,Ajustes!$H21,T$2),0)+IF(Ajustes!$I21&gt;0,INDEX($AA$4:$AL$323,Ajustes!$I21,T$2),0)+IF(Ajustes!$J21&gt;0,INDEX($AA$4:$AL$323,Ajustes!$J21,T$2),0)+IF(Ajustes!$K21&gt;0,INDEX($AA$5:$AL$324,Ajustes!$K21,T$2),0)+IF(Ajustes!$L21&gt;0,INDEX($AA$4:$AL$323,Ajustes!$L21,T$2),0) + T21</f>
        <v>1506</v>
      </c>
      <c r="AG21">
        <f>IF(Ajustes!$G21&gt;0,INDEX($AA$4:$AL$323,Ajustes!$G21,U$2),0)+IF(Ajustes!$H21&gt;0,INDEX($AA$4:$AL$323,Ajustes!$H21,U$2),0)+IF(Ajustes!$I21&gt;0,INDEX($AA$4:$AL$323,Ajustes!$I21,U$2),0)+IF(Ajustes!$J21&gt;0,INDEX($AA$4:$AL$323,Ajustes!$J21,U$2),0)+IF(Ajustes!$K21&gt;0,INDEX($AA$5:$AL$324,Ajustes!$K21,U$2),0)+IF(Ajustes!$L21&gt;0,INDEX($AA$4:$AL$323,Ajustes!$L21,U$2),0) + U21</f>
        <v>1233</v>
      </c>
      <c r="AH21">
        <f>IF(Ajustes!$G21&gt;0,INDEX($AA$4:$AL$323,Ajustes!$G21,V$2),0)+IF(Ajustes!$H21&gt;0,INDEX($AA$4:$AL$323,Ajustes!$H21,V$2),0)+IF(Ajustes!$I21&gt;0,INDEX($AA$4:$AL$323,Ajustes!$I21,V$2),0)+IF(Ajustes!$J21&gt;0,INDEX($AA$4:$AL$323,Ajustes!$J21,V$2),0)+IF(Ajustes!$K21&gt;0,INDEX($AA$5:$AL$324,Ajustes!$K21,V$2),0)+IF(Ajustes!$L21&gt;0,INDEX($AA$4:$AL$323,Ajustes!$L21,V$2),0) + V21</f>
        <v>1028</v>
      </c>
      <c r="AI21">
        <f>IF(Ajustes!$G21&gt;0,INDEX($AA$4:$AL$323,Ajustes!$G21,W$2),0)+IF(Ajustes!$H21&gt;0,INDEX($AA$4:$AL$323,Ajustes!$H21,W$2),0)+IF(Ajustes!$I21&gt;0,INDEX($AA$4:$AL$323,Ajustes!$I21,W$2),0)+IF(Ajustes!$J21&gt;0,INDEX($AA$4:$AL$323,Ajustes!$J21,W$2),0)+IF(Ajustes!$K21&gt;0,INDEX($AA$5:$AL$324,Ajustes!$K21,W$2),0)+IF(Ajustes!$L21&gt;0,INDEX($AA$4:$AL$323,Ajustes!$L21,W$2),0) + W21</f>
        <v>1011</v>
      </c>
      <c r="AJ21">
        <f>IF(Ajustes!$G21&gt;0,INDEX($AA$4:$AL$323,Ajustes!$G21,X$2),0)+IF(Ajustes!$H21&gt;0,INDEX($AA$4:$AL$323,Ajustes!$H21,X$2),0)+IF(Ajustes!$I21&gt;0,INDEX($AA$4:$AL$323,Ajustes!$I21,X$2),0)+IF(Ajustes!$J21&gt;0,INDEX($AA$4:$AL$323,Ajustes!$J21,X$2),0)+IF(Ajustes!$K21&gt;0,INDEX($AA$5:$AL$324,Ajustes!$K21,X$2),0)+IF(Ajustes!$L21&gt;0,INDEX($AA$4:$AL$323,Ajustes!$L21,X$2),0) + X21</f>
        <v>1163</v>
      </c>
      <c r="AK21">
        <f>IF(Ajustes!$G21&gt;0,INDEX($AA$4:$AL$323,Ajustes!$G21,Y$2),0)+IF(Ajustes!$H21&gt;0,INDEX($AA$4:$AL$323,Ajustes!$H21,Y$2),0)+IF(Ajustes!$I21&gt;0,INDEX($AA$4:$AL$323,Ajustes!$I21,Y$2),0)+IF(Ajustes!$J21&gt;0,INDEX($AA$4:$AL$323,Ajustes!$J21,Y$2),0)+IF(Ajustes!$K21&gt;0,INDEX($AA$5:$AL$324,Ajustes!$K21,Y$2),0)+IF(Ajustes!$L21&gt;0,INDEX($AA$4:$AL$323,Ajustes!$L21,Y$2),0) + Y21</f>
        <v>1520</v>
      </c>
      <c r="AL21">
        <f>IF(Ajustes!$G21&gt;0,INDEX($AA$4:$AL$323,Ajustes!$G21,Z$2),0)+IF(Ajustes!$H21&gt;0,INDEX($AA$4:$AL$323,Ajustes!$H21,Z$2),0)+IF(Ajustes!$I21&gt;0,INDEX($AA$4:$AL$323,Ajustes!$I21,Z$2),0)+IF(Ajustes!$J21&gt;0,INDEX($AA$4:$AL$323,Ajustes!$J21,Z$2),0)+IF(Ajustes!$K21&gt;0,INDEX($AA$5:$AL$324,Ajustes!$K21,Z$2),0)+IF(Ajustes!$L21&gt;0,INDEX($AA$4:$AL$323,Ajustes!$L21,Z$2),0) + Z21</f>
        <v>2466</v>
      </c>
      <c r="AM21" s="113">
        <f t="shared" si="3"/>
        <v>3688</v>
      </c>
      <c r="AN21" s="113">
        <f t="shared" si="3"/>
        <v>3840</v>
      </c>
      <c r="AO21" s="113">
        <f t="shared" si="3"/>
        <v>3458</v>
      </c>
      <c r="AP21" s="113">
        <f t="shared" si="3"/>
        <v>2518</v>
      </c>
      <c r="AQ21" s="113">
        <f t="shared" si="3"/>
        <v>1797</v>
      </c>
      <c r="AR21" s="113">
        <f t="shared" si="3"/>
        <v>1506</v>
      </c>
      <c r="AS21" s="113">
        <f t="shared" si="3"/>
        <v>1233</v>
      </c>
      <c r="AT21" s="113">
        <f t="shared" si="5"/>
        <v>1028</v>
      </c>
      <c r="AU21" s="113">
        <f t="shared" si="4"/>
        <v>1011</v>
      </c>
      <c r="AV21" s="113">
        <f t="shared" si="4"/>
        <v>1163</v>
      </c>
      <c r="AW21" s="113">
        <f t="shared" si="4"/>
        <v>1520</v>
      </c>
      <c r="AX21" s="113">
        <f t="shared" si="4"/>
        <v>2466</v>
      </c>
      <c r="BB21">
        <f>ROW()</f>
        <v>21</v>
      </c>
      <c r="BC21" s="286" t="s">
        <v>20</v>
      </c>
      <c r="BD21" s="115">
        <v>1</v>
      </c>
      <c r="BE21" s="115">
        <v>1</v>
      </c>
      <c r="BF21" s="115">
        <v>1</v>
      </c>
      <c r="BG21" s="115">
        <v>1</v>
      </c>
      <c r="BH21" s="115">
        <v>1</v>
      </c>
      <c r="BI21" s="115">
        <v>1</v>
      </c>
      <c r="BJ21" s="115">
        <v>1</v>
      </c>
      <c r="BK21" s="115">
        <v>1</v>
      </c>
      <c r="BL21" s="115">
        <v>1</v>
      </c>
      <c r="BM21" s="115">
        <v>1</v>
      </c>
      <c r="BN21" s="115">
        <v>1</v>
      </c>
      <c r="BO21" s="287">
        <v>1</v>
      </c>
    </row>
    <row r="22" spans="1:67" x14ac:dyDescent="0.25">
      <c r="A22" s="113">
        <v>19</v>
      </c>
      <c r="B22" s="209"/>
      <c r="C22">
        <f>IFERROR(INDEX($BD$7:$BO$35,MATCH(Ajustes!$E$4:$E$323,$BC$7:$BC$35,0),$C$2:$N$2),1)</f>
        <v>1</v>
      </c>
      <c r="D22" s="113">
        <f>IFERROR(INDEX($BD$7:$BO$35,MATCH(Ajustes!$E$4:$E$323,$BC$7:$BC$35,0),$C$2:$N$2),1)</f>
        <v>1</v>
      </c>
      <c r="E22" s="113">
        <f>IFERROR(INDEX($BD$7:$BO$35,MATCH(Ajustes!$E$4:$E$323,$BC$7:$BC$35,0),$C$2:$N$2),1)</f>
        <v>1</v>
      </c>
      <c r="F22" s="113">
        <f>IFERROR(INDEX($BD$7:$BO$35,MATCH(Ajustes!$E$4:$E$323,$BC$7:$BC$35,0),$C$2:$N$2),1)</f>
        <v>1</v>
      </c>
      <c r="G22" s="113">
        <f>IFERROR(INDEX($BD$7:$BO$35,MATCH(Ajustes!$E$4:$E$323,$BC$7:$BC$35,0),$C$2:$N$2),1)</f>
        <v>1</v>
      </c>
      <c r="H22" s="113">
        <f>IFERROR(INDEX($BD$7:$BO$35,MATCH(Ajustes!$E$4:$E$323,$BC$7:$BC$35,0),$C$2:$N$2),1)</f>
        <v>1</v>
      </c>
      <c r="I22" s="113">
        <f>IFERROR(INDEX($BD$7:$BO$35,MATCH(Ajustes!$E$4:$E$323,$BC$7:$BC$35,0),$C$2:$N$2),1)</f>
        <v>1</v>
      </c>
      <c r="J22" s="113">
        <f>IFERROR(INDEX($BD$7:$BO$35,MATCH(Ajustes!$E$4:$E$323,$BC$7:$BC$35,0),$C$2:$N$2),1)</f>
        <v>1</v>
      </c>
      <c r="K22" s="113">
        <f>IFERROR(INDEX($BD$7:$BO$35,MATCH(Ajustes!$E$4:$E$323,$BC$7:$BC$35,0),$C$2:$N$2),1)</f>
        <v>1</v>
      </c>
      <c r="L22" s="113">
        <f>IFERROR(INDEX($BD$7:$BO$35,MATCH(Ajustes!$E$4:$E$323,$BC$7:$BC$35,0),$C$2:$N$2),1)</f>
        <v>1</v>
      </c>
      <c r="M22" s="113">
        <f>IFERROR(INDEX($BD$7:$BO$35,MATCH(Ajustes!$E$4:$E$323,$BC$7:$BC$35,0),$C$2:$N$2),1)</f>
        <v>1</v>
      </c>
      <c r="N22" s="113">
        <f>IFERROR(INDEX($BD$7:$BO$35,MATCH(Ajustes!$E$4:$E$323,$BC$7:$BC$35,0),$C$2:$N$2),1)</f>
        <v>1</v>
      </c>
      <c r="O22">
        <f>C22*Ajustes!AM22</f>
        <v>0</v>
      </c>
      <c r="P22">
        <f>D22*Ajustes!AN22</f>
        <v>0</v>
      </c>
      <c r="Q22">
        <f>E22*Ajustes!AO22</f>
        <v>0</v>
      </c>
      <c r="R22">
        <f>F22*Ajustes!AP22</f>
        <v>0</v>
      </c>
      <c r="S22">
        <f>G22*Ajustes!AQ22</f>
        <v>0</v>
      </c>
      <c r="T22">
        <f>H22*Ajustes!AR22</f>
        <v>0</v>
      </c>
      <c r="U22">
        <f>I22*Ajustes!AS22</f>
        <v>0</v>
      </c>
      <c r="V22">
        <f>J22*Ajustes!AT22</f>
        <v>0</v>
      </c>
      <c r="W22">
        <f>K22*Ajustes!AU22</f>
        <v>0</v>
      </c>
      <c r="X22">
        <f>L22*Ajustes!AV22</f>
        <v>0</v>
      </c>
      <c r="Y22">
        <f>M22*Ajustes!AW22</f>
        <v>0</v>
      </c>
      <c r="Z22">
        <f>N22*Ajustes!AX22</f>
        <v>0</v>
      </c>
      <c r="AA22">
        <f>IF(Ajustes!$G22&gt;0,INDEX($AA$4:$AL$323,Ajustes!$G22,O$2),0)+IF(Ajustes!$H22&gt;0,INDEX($AA$4:$AL$323,Ajustes!$H22,O$2),0)+IF(Ajustes!$I22&gt;0,INDEX($AA$4:$AL$323,Ajustes!$I22,O$2),0)+IF(Ajustes!$J22&gt;0,INDEX($AA$4:$AL$323,Ajustes!$J22,O$2),0)+IF(Ajustes!$K22&gt;0,INDEX($AA$5:$AL$324,Ajustes!$K22,O$2),0)+IF(Ajustes!$L22&gt;0,INDEX($AA$4:$AL$323,Ajustes!$L22,O$2),0) + O22</f>
        <v>0</v>
      </c>
      <c r="AB22">
        <f>IF(Ajustes!$G22&gt;0,INDEX($AA$4:$AL$323,Ajustes!$G22,P$2),0)+IF(Ajustes!$H22&gt;0,INDEX($AA$4:$AL$323,Ajustes!$H22,P$2),0)+IF(Ajustes!$I22&gt;0,INDEX($AA$4:$AL$323,Ajustes!$I22,P$2),0)+IF(Ajustes!$J22&gt;0,INDEX($AA$4:$AL$323,Ajustes!$J22,P$2),0)+IF(Ajustes!$K22&gt;0,INDEX($AA$5:$AL$324,Ajustes!$K22,P$2),0)+IF(Ajustes!$L22&gt;0,INDEX($AA$4:$AL$323,Ajustes!$L22,P$2),0) + P22</f>
        <v>0</v>
      </c>
      <c r="AC22">
        <f>IF(Ajustes!$G22&gt;0,INDEX($AA$4:$AL$323,Ajustes!$G22,Q$2),0)+IF(Ajustes!$H22&gt;0,INDEX($AA$4:$AL$323,Ajustes!$H22,Q$2),0)+IF(Ajustes!$I22&gt;0,INDEX($AA$4:$AL$323,Ajustes!$I22,Q$2),0)+IF(Ajustes!$J22&gt;0,INDEX($AA$4:$AL$323,Ajustes!$J22,Q$2),0)+IF(Ajustes!$K22&gt;0,INDEX($AA$5:$AL$324,Ajustes!$K22,Q$2),0)+IF(Ajustes!$L22&gt;0,INDEX($AA$4:$AL$323,Ajustes!$L22,Q$2),0) + Q22</f>
        <v>0</v>
      </c>
      <c r="AD22">
        <f>IF(Ajustes!$G22&gt;0,INDEX($AA$4:$AL$323,Ajustes!$G22,R$2),0)+IF(Ajustes!$H22&gt;0,INDEX($AA$4:$AL$323,Ajustes!$H22,R$2),0)+IF(Ajustes!$I22&gt;0,INDEX($AA$4:$AL$323,Ajustes!$I22,R$2),0)+IF(Ajustes!$J22&gt;0,INDEX($AA$4:$AL$323,Ajustes!$J22,R$2),0)+IF(Ajustes!$K22&gt;0,INDEX($AA$5:$AL$324,Ajustes!$K22,R$2),0)+IF(Ajustes!$L22&gt;0,INDEX($AA$4:$AL$323,Ajustes!$L22,R$2),0) + R22</f>
        <v>0</v>
      </c>
      <c r="AE22">
        <f>IF(Ajustes!$G22&gt;0,INDEX($AA$4:$AL$323,Ajustes!$G22,S$2),0)+IF(Ajustes!$H22&gt;0,INDEX($AA$4:$AL$323,Ajustes!$H22,S$2),0)+IF(Ajustes!$I22&gt;0,INDEX($AA$4:$AL$323,Ajustes!$I22,S$2),0)+IF(Ajustes!$J22&gt;0,INDEX($AA$4:$AL$323,Ajustes!$J22,S$2),0)+IF(Ajustes!$K22&gt;0,INDEX($AA$5:$AL$324,Ajustes!$K22,S$2),0)+IF(Ajustes!$L22&gt;0,INDEX($AA$4:$AL$323,Ajustes!$L22,S$2),0) + S22</f>
        <v>0</v>
      </c>
      <c r="AF22">
        <f>IF(Ajustes!$G22&gt;0,INDEX($AA$4:$AL$323,Ajustes!$G22,T$2),0)+IF(Ajustes!$H22&gt;0,INDEX($AA$4:$AL$323,Ajustes!$H22,T$2),0)+IF(Ajustes!$I22&gt;0,INDEX($AA$4:$AL$323,Ajustes!$I22,T$2),0)+IF(Ajustes!$J22&gt;0,INDEX($AA$4:$AL$323,Ajustes!$J22,T$2),0)+IF(Ajustes!$K22&gt;0,INDEX($AA$5:$AL$324,Ajustes!$K22,T$2),0)+IF(Ajustes!$L22&gt;0,INDEX($AA$4:$AL$323,Ajustes!$L22,T$2),0) + T22</f>
        <v>0</v>
      </c>
      <c r="AG22">
        <f>IF(Ajustes!$G22&gt;0,INDEX($AA$4:$AL$323,Ajustes!$G22,U$2),0)+IF(Ajustes!$H22&gt;0,INDEX($AA$4:$AL$323,Ajustes!$H22,U$2),0)+IF(Ajustes!$I22&gt;0,INDEX($AA$4:$AL$323,Ajustes!$I22,U$2),0)+IF(Ajustes!$J22&gt;0,INDEX($AA$4:$AL$323,Ajustes!$J22,U$2),0)+IF(Ajustes!$K22&gt;0,INDEX($AA$5:$AL$324,Ajustes!$K22,U$2),0)+IF(Ajustes!$L22&gt;0,INDEX($AA$4:$AL$323,Ajustes!$L22,U$2),0) + U22</f>
        <v>0</v>
      </c>
      <c r="AH22">
        <f>IF(Ajustes!$G22&gt;0,INDEX($AA$4:$AL$323,Ajustes!$G22,V$2),0)+IF(Ajustes!$H22&gt;0,INDEX($AA$4:$AL$323,Ajustes!$H22,V$2),0)+IF(Ajustes!$I22&gt;0,INDEX($AA$4:$AL$323,Ajustes!$I22,V$2),0)+IF(Ajustes!$J22&gt;0,INDEX($AA$4:$AL$323,Ajustes!$J22,V$2),0)+IF(Ajustes!$K22&gt;0,INDEX($AA$5:$AL$324,Ajustes!$K22,V$2),0)+IF(Ajustes!$L22&gt;0,INDEX($AA$4:$AL$323,Ajustes!$L22,V$2),0) + V22</f>
        <v>0</v>
      </c>
      <c r="AI22">
        <f>IF(Ajustes!$G22&gt;0,INDEX($AA$4:$AL$323,Ajustes!$G22,W$2),0)+IF(Ajustes!$H22&gt;0,INDEX($AA$4:$AL$323,Ajustes!$H22,W$2),0)+IF(Ajustes!$I22&gt;0,INDEX($AA$4:$AL$323,Ajustes!$I22,W$2),0)+IF(Ajustes!$J22&gt;0,INDEX($AA$4:$AL$323,Ajustes!$J22,W$2),0)+IF(Ajustes!$K22&gt;0,INDEX($AA$5:$AL$324,Ajustes!$K22,W$2),0)+IF(Ajustes!$L22&gt;0,INDEX($AA$4:$AL$323,Ajustes!$L22,W$2),0) + W22</f>
        <v>0</v>
      </c>
      <c r="AJ22">
        <f>IF(Ajustes!$G22&gt;0,INDEX($AA$4:$AL$323,Ajustes!$G22,X$2),0)+IF(Ajustes!$H22&gt;0,INDEX($AA$4:$AL$323,Ajustes!$H22,X$2),0)+IF(Ajustes!$I22&gt;0,INDEX($AA$4:$AL$323,Ajustes!$I22,X$2),0)+IF(Ajustes!$J22&gt;0,INDEX($AA$4:$AL$323,Ajustes!$J22,X$2),0)+IF(Ajustes!$K22&gt;0,INDEX($AA$5:$AL$324,Ajustes!$K22,X$2),0)+IF(Ajustes!$L22&gt;0,INDEX($AA$4:$AL$323,Ajustes!$L22,X$2),0) + X22</f>
        <v>0</v>
      </c>
      <c r="AK22">
        <f>IF(Ajustes!$G22&gt;0,INDEX($AA$4:$AL$323,Ajustes!$G22,Y$2),0)+IF(Ajustes!$H22&gt;0,INDEX($AA$4:$AL$323,Ajustes!$H22,Y$2),0)+IF(Ajustes!$I22&gt;0,INDEX($AA$4:$AL$323,Ajustes!$I22,Y$2),0)+IF(Ajustes!$J22&gt;0,INDEX($AA$4:$AL$323,Ajustes!$J22,Y$2),0)+IF(Ajustes!$K22&gt;0,INDEX($AA$5:$AL$324,Ajustes!$K22,Y$2),0)+IF(Ajustes!$L22&gt;0,INDEX($AA$4:$AL$323,Ajustes!$L22,Y$2),0) + Y22</f>
        <v>0</v>
      </c>
      <c r="AL22">
        <f>IF(Ajustes!$G22&gt;0,INDEX($AA$4:$AL$323,Ajustes!$G22,Z$2),0)+IF(Ajustes!$H22&gt;0,INDEX($AA$4:$AL$323,Ajustes!$H22,Z$2),0)+IF(Ajustes!$I22&gt;0,INDEX($AA$4:$AL$323,Ajustes!$I22,Z$2),0)+IF(Ajustes!$J22&gt;0,INDEX($AA$4:$AL$323,Ajustes!$J22,Z$2),0)+IF(Ajustes!$K22&gt;0,INDEX($AA$5:$AL$324,Ajustes!$K22,Z$2),0)+IF(Ajustes!$L22&gt;0,INDEX($AA$4:$AL$323,Ajustes!$L22,Z$2),0) + Z22</f>
        <v>0</v>
      </c>
      <c r="AM22" s="113">
        <f t="shared" si="3"/>
        <v>0</v>
      </c>
      <c r="AN22" s="113">
        <f t="shared" si="3"/>
        <v>0</v>
      </c>
      <c r="AO22" s="113">
        <f t="shared" si="3"/>
        <v>0</v>
      </c>
      <c r="AP22" s="113">
        <f t="shared" si="3"/>
        <v>0</v>
      </c>
      <c r="AQ22" s="113">
        <f t="shared" si="3"/>
        <v>0</v>
      </c>
      <c r="AR22" s="113">
        <f t="shared" si="3"/>
        <v>0</v>
      </c>
      <c r="AS22" s="113">
        <f t="shared" si="3"/>
        <v>0</v>
      </c>
      <c r="AT22" s="113">
        <f t="shared" si="5"/>
        <v>0</v>
      </c>
      <c r="AU22" s="113">
        <f t="shared" si="4"/>
        <v>0</v>
      </c>
      <c r="AV22" s="113">
        <f t="shared" si="4"/>
        <v>0</v>
      </c>
      <c r="AW22" s="113">
        <f t="shared" si="4"/>
        <v>0</v>
      </c>
      <c r="AX22" s="113">
        <f t="shared" si="4"/>
        <v>0</v>
      </c>
      <c r="BB22">
        <f>ROW()</f>
        <v>22</v>
      </c>
      <c r="BC22" s="286" t="s">
        <v>26</v>
      </c>
      <c r="BD22" s="115">
        <v>1</v>
      </c>
      <c r="BE22" s="115">
        <v>1</v>
      </c>
      <c r="BF22" s="115">
        <v>1</v>
      </c>
      <c r="BG22" s="115">
        <v>1</v>
      </c>
      <c r="BH22" s="115">
        <v>1</v>
      </c>
      <c r="BI22" s="115">
        <v>1</v>
      </c>
      <c r="BJ22" s="115">
        <v>1</v>
      </c>
      <c r="BK22" s="115">
        <v>1</v>
      </c>
      <c r="BL22" s="115">
        <v>1</v>
      </c>
      <c r="BM22" s="115">
        <v>1</v>
      </c>
      <c r="BN22" s="115">
        <v>1</v>
      </c>
      <c r="BO22" s="287">
        <v>1</v>
      </c>
    </row>
    <row r="23" spans="1:67" x14ac:dyDescent="0.25">
      <c r="A23" s="113">
        <v>20</v>
      </c>
      <c r="B23" s="209" t="s">
        <v>547</v>
      </c>
      <c r="C23">
        <f>IFERROR(INDEX($BD$7:$BO$35,MATCH(Ajustes!$E$4:$E$323,$BC$7:$BC$35,0),$C$2:$N$2),1)</f>
        <v>1</v>
      </c>
      <c r="D23" s="113">
        <f>IFERROR(INDEX($BD$7:$BO$35,MATCH(Ajustes!$E$4:$E$323,$BC$7:$BC$35,0),$C$2:$N$2),1)</f>
        <v>1</v>
      </c>
      <c r="E23" s="113">
        <f>IFERROR(INDEX($BD$7:$BO$35,MATCH(Ajustes!$E$4:$E$323,$BC$7:$BC$35,0),$C$2:$N$2),1)</f>
        <v>1</v>
      </c>
      <c r="F23" s="113">
        <f>IFERROR(INDEX($BD$7:$BO$35,MATCH(Ajustes!$E$4:$E$323,$BC$7:$BC$35,0),$C$2:$N$2),1)</f>
        <v>1</v>
      </c>
      <c r="G23" s="113">
        <f>IFERROR(INDEX($BD$7:$BO$35,MATCH(Ajustes!$E$4:$E$323,$BC$7:$BC$35,0),$C$2:$N$2),1)</f>
        <v>1</v>
      </c>
      <c r="H23" s="113">
        <f>IFERROR(INDEX($BD$7:$BO$35,MATCH(Ajustes!$E$4:$E$323,$BC$7:$BC$35,0),$C$2:$N$2),1)</f>
        <v>1</v>
      </c>
      <c r="I23" s="113">
        <f>IFERROR(INDEX($BD$7:$BO$35,MATCH(Ajustes!$E$4:$E$323,$BC$7:$BC$35,0),$C$2:$N$2),1)</f>
        <v>1</v>
      </c>
      <c r="J23" s="113">
        <f>IFERROR(INDEX($BD$7:$BO$35,MATCH(Ajustes!$E$4:$E$323,$BC$7:$BC$35,0),$C$2:$N$2),1)</f>
        <v>1</v>
      </c>
      <c r="K23" s="113">
        <f>IFERROR(INDEX($BD$7:$BO$35,MATCH(Ajustes!$E$4:$E$323,$BC$7:$BC$35,0),$C$2:$N$2),1)</f>
        <v>1</v>
      </c>
      <c r="L23" s="113">
        <f>IFERROR(INDEX($BD$7:$BO$35,MATCH(Ajustes!$E$4:$E$323,$BC$7:$BC$35,0),$C$2:$N$2),1)</f>
        <v>1</v>
      </c>
      <c r="M23" s="113">
        <f>IFERROR(INDEX($BD$7:$BO$35,MATCH(Ajustes!$E$4:$E$323,$BC$7:$BC$35,0),$C$2:$N$2),1)</f>
        <v>1</v>
      </c>
      <c r="N23" s="113">
        <f>IFERROR(INDEX($BD$7:$BO$35,MATCH(Ajustes!$E$4:$E$323,$BC$7:$BC$35,0),$C$2:$N$2),1)</f>
        <v>1</v>
      </c>
      <c r="O23">
        <f>C23*Ajustes!AM23</f>
        <v>331</v>
      </c>
      <c r="P23">
        <f>D23*Ajustes!AN23</f>
        <v>332</v>
      </c>
      <c r="Q23">
        <f>E23*Ajustes!AO23</f>
        <v>301</v>
      </c>
      <c r="R23">
        <f>F23*Ajustes!AP23</f>
        <v>215</v>
      </c>
      <c r="S23">
        <f>G23*Ajustes!AQ23</f>
        <v>136</v>
      </c>
      <c r="T23">
        <f>H23*Ajustes!AR23</f>
        <v>104</v>
      </c>
      <c r="U23">
        <f>I23*Ajustes!AS23</f>
        <v>82</v>
      </c>
      <c r="V23">
        <f>J23*Ajustes!AT23</f>
        <v>65</v>
      </c>
      <c r="W23">
        <f>K23*Ajustes!AU23</f>
        <v>56</v>
      </c>
      <c r="X23">
        <f>L23*Ajustes!AV23</f>
        <v>70</v>
      </c>
      <c r="Y23">
        <f>M23*Ajustes!AW23</f>
        <v>122</v>
      </c>
      <c r="Z23">
        <f>N23*Ajustes!AX23</f>
        <v>236</v>
      </c>
      <c r="AA23">
        <f>IF(Ajustes!$G23&gt;0,INDEX($AA$4:$AL$323,Ajustes!$G23,O$2),0)+IF(Ajustes!$H23&gt;0,INDEX($AA$4:$AL$323,Ajustes!$H23,O$2),0)+IF(Ajustes!$I23&gt;0,INDEX($AA$4:$AL$323,Ajustes!$I23,O$2),0)+IF(Ajustes!$J23&gt;0,INDEX($AA$4:$AL$323,Ajustes!$J23,O$2),0)+IF(Ajustes!$K23&gt;0,INDEX($AA$5:$AL$324,Ajustes!$K23,O$2),0)+IF(Ajustes!$L23&gt;0,INDEX($AA$4:$AL$323,Ajustes!$L23,O$2),0) + O23</f>
        <v>331</v>
      </c>
      <c r="AB23">
        <f>IF(Ajustes!$G23&gt;0,INDEX($AA$4:$AL$323,Ajustes!$G23,P$2),0)+IF(Ajustes!$H23&gt;0,INDEX($AA$4:$AL$323,Ajustes!$H23,P$2),0)+IF(Ajustes!$I23&gt;0,INDEX($AA$4:$AL$323,Ajustes!$I23,P$2),0)+IF(Ajustes!$J23&gt;0,INDEX($AA$4:$AL$323,Ajustes!$J23,P$2),0)+IF(Ajustes!$K23&gt;0,INDEX($AA$5:$AL$324,Ajustes!$K23,P$2),0)+IF(Ajustes!$L23&gt;0,INDEX($AA$4:$AL$323,Ajustes!$L23,P$2),0) + P23</f>
        <v>332</v>
      </c>
      <c r="AC23">
        <f>IF(Ajustes!$G23&gt;0,INDEX($AA$4:$AL$323,Ajustes!$G23,Q$2),0)+IF(Ajustes!$H23&gt;0,INDEX($AA$4:$AL$323,Ajustes!$H23,Q$2),0)+IF(Ajustes!$I23&gt;0,INDEX($AA$4:$AL$323,Ajustes!$I23,Q$2),0)+IF(Ajustes!$J23&gt;0,INDEX($AA$4:$AL$323,Ajustes!$J23,Q$2),0)+IF(Ajustes!$K23&gt;0,INDEX($AA$5:$AL$324,Ajustes!$K23,Q$2),0)+IF(Ajustes!$L23&gt;0,INDEX($AA$4:$AL$323,Ajustes!$L23,Q$2),0) + Q23</f>
        <v>301</v>
      </c>
      <c r="AD23">
        <f>IF(Ajustes!$G23&gt;0,INDEX($AA$4:$AL$323,Ajustes!$G23,R$2),0)+IF(Ajustes!$H23&gt;0,INDEX($AA$4:$AL$323,Ajustes!$H23,R$2),0)+IF(Ajustes!$I23&gt;0,INDEX($AA$4:$AL$323,Ajustes!$I23,R$2),0)+IF(Ajustes!$J23&gt;0,INDEX($AA$4:$AL$323,Ajustes!$J23,R$2),0)+IF(Ajustes!$K23&gt;0,INDEX($AA$5:$AL$324,Ajustes!$K23,R$2),0)+IF(Ajustes!$L23&gt;0,INDEX($AA$4:$AL$323,Ajustes!$L23,R$2),0) + R23</f>
        <v>215</v>
      </c>
      <c r="AE23">
        <f>IF(Ajustes!$G23&gt;0,INDEX($AA$4:$AL$323,Ajustes!$G23,S$2),0)+IF(Ajustes!$H23&gt;0,INDEX($AA$4:$AL$323,Ajustes!$H23,S$2),0)+IF(Ajustes!$I23&gt;0,INDEX($AA$4:$AL$323,Ajustes!$I23,S$2),0)+IF(Ajustes!$J23&gt;0,INDEX($AA$4:$AL$323,Ajustes!$J23,S$2),0)+IF(Ajustes!$K23&gt;0,INDEX($AA$5:$AL$324,Ajustes!$K23,S$2),0)+IF(Ajustes!$L23&gt;0,INDEX($AA$4:$AL$323,Ajustes!$L23,S$2),0) + S23</f>
        <v>136</v>
      </c>
      <c r="AF23">
        <f>IF(Ajustes!$G23&gt;0,INDEX($AA$4:$AL$323,Ajustes!$G23,T$2),0)+IF(Ajustes!$H23&gt;0,INDEX($AA$4:$AL$323,Ajustes!$H23,T$2),0)+IF(Ajustes!$I23&gt;0,INDEX($AA$4:$AL$323,Ajustes!$I23,T$2),0)+IF(Ajustes!$J23&gt;0,INDEX($AA$4:$AL$323,Ajustes!$J23,T$2),0)+IF(Ajustes!$K23&gt;0,INDEX($AA$5:$AL$324,Ajustes!$K23,T$2),0)+IF(Ajustes!$L23&gt;0,INDEX($AA$4:$AL$323,Ajustes!$L23,T$2),0) + T23</f>
        <v>104</v>
      </c>
      <c r="AG23">
        <f>IF(Ajustes!$G23&gt;0,INDEX($AA$4:$AL$323,Ajustes!$G23,U$2),0)+IF(Ajustes!$H23&gt;0,INDEX($AA$4:$AL$323,Ajustes!$H23,U$2),0)+IF(Ajustes!$I23&gt;0,INDEX($AA$4:$AL$323,Ajustes!$I23,U$2),0)+IF(Ajustes!$J23&gt;0,INDEX($AA$4:$AL$323,Ajustes!$J23,U$2),0)+IF(Ajustes!$K23&gt;0,INDEX($AA$5:$AL$324,Ajustes!$K23,U$2),0)+IF(Ajustes!$L23&gt;0,INDEX($AA$4:$AL$323,Ajustes!$L23,U$2),0) + U23</f>
        <v>82</v>
      </c>
      <c r="AH23">
        <f>IF(Ajustes!$G23&gt;0,INDEX($AA$4:$AL$323,Ajustes!$G23,V$2),0)+IF(Ajustes!$H23&gt;0,INDEX($AA$4:$AL$323,Ajustes!$H23,V$2),0)+IF(Ajustes!$I23&gt;0,INDEX($AA$4:$AL$323,Ajustes!$I23,V$2),0)+IF(Ajustes!$J23&gt;0,INDEX($AA$4:$AL$323,Ajustes!$J23,V$2),0)+IF(Ajustes!$K23&gt;0,INDEX($AA$5:$AL$324,Ajustes!$K23,V$2),0)+IF(Ajustes!$L23&gt;0,INDEX($AA$4:$AL$323,Ajustes!$L23,V$2),0) + V23</f>
        <v>65</v>
      </c>
      <c r="AI23">
        <f>IF(Ajustes!$G23&gt;0,INDEX($AA$4:$AL$323,Ajustes!$G23,W$2),0)+IF(Ajustes!$H23&gt;0,INDEX($AA$4:$AL$323,Ajustes!$H23,W$2),0)+IF(Ajustes!$I23&gt;0,INDEX($AA$4:$AL$323,Ajustes!$I23,W$2),0)+IF(Ajustes!$J23&gt;0,INDEX($AA$4:$AL$323,Ajustes!$J23,W$2),0)+IF(Ajustes!$K23&gt;0,INDEX($AA$5:$AL$324,Ajustes!$K23,W$2),0)+IF(Ajustes!$L23&gt;0,INDEX($AA$4:$AL$323,Ajustes!$L23,W$2),0) + W23</f>
        <v>56</v>
      </c>
      <c r="AJ23">
        <f>IF(Ajustes!$G23&gt;0,INDEX($AA$4:$AL$323,Ajustes!$G23,X$2),0)+IF(Ajustes!$H23&gt;0,INDEX($AA$4:$AL$323,Ajustes!$H23,X$2),0)+IF(Ajustes!$I23&gt;0,INDEX($AA$4:$AL$323,Ajustes!$I23,X$2),0)+IF(Ajustes!$J23&gt;0,INDEX($AA$4:$AL$323,Ajustes!$J23,X$2),0)+IF(Ajustes!$K23&gt;0,INDEX($AA$5:$AL$324,Ajustes!$K23,X$2),0)+IF(Ajustes!$L23&gt;0,INDEX($AA$4:$AL$323,Ajustes!$L23,X$2),0) + X23</f>
        <v>70</v>
      </c>
      <c r="AK23">
        <f>IF(Ajustes!$G23&gt;0,INDEX($AA$4:$AL$323,Ajustes!$G23,Y$2),0)+IF(Ajustes!$H23&gt;0,INDEX($AA$4:$AL$323,Ajustes!$H23,Y$2),0)+IF(Ajustes!$I23&gt;0,INDEX($AA$4:$AL$323,Ajustes!$I23,Y$2),0)+IF(Ajustes!$J23&gt;0,INDEX($AA$4:$AL$323,Ajustes!$J23,Y$2),0)+IF(Ajustes!$K23&gt;0,INDEX($AA$5:$AL$324,Ajustes!$K23,Y$2),0)+IF(Ajustes!$L23&gt;0,INDEX($AA$4:$AL$323,Ajustes!$L23,Y$2),0) + Y23</f>
        <v>122</v>
      </c>
      <c r="AL23">
        <f>IF(Ajustes!$G23&gt;0,INDEX($AA$4:$AL$323,Ajustes!$G23,Z$2),0)+IF(Ajustes!$H23&gt;0,INDEX($AA$4:$AL$323,Ajustes!$H23,Z$2),0)+IF(Ajustes!$I23&gt;0,INDEX($AA$4:$AL$323,Ajustes!$I23,Z$2),0)+IF(Ajustes!$J23&gt;0,INDEX($AA$4:$AL$323,Ajustes!$J23,Z$2),0)+IF(Ajustes!$K23&gt;0,INDEX($AA$5:$AL$324,Ajustes!$K23,Z$2),0)+IF(Ajustes!$L23&gt;0,INDEX($AA$4:$AL$323,Ajustes!$L23,Z$2),0) + Z23</f>
        <v>236</v>
      </c>
      <c r="AM23" s="113">
        <f t="shared" si="3"/>
        <v>331</v>
      </c>
      <c r="AN23" s="113">
        <f t="shared" si="3"/>
        <v>332</v>
      </c>
      <c r="AO23" s="113">
        <f t="shared" si="3"/>
        <v>301</v>
      </c>
      <c r="AP23" s="113">
        <f t="shared" si="3"/>
        <v>215</v>
      </c>
      <c r="AQ23" s="113">
        <f t="shared" si="3"/>
        <v>136</v>
      </c>
      <c r="AR23" s="113">
        <f t="shared" si="3"/>
        <v>104</v>
      </c>
      <c r="AS23" s="113">
        <f t="shared" si="3"/>
        <v>82</v>
      </c>
      <c r="AT23" s="113">
        <f t="shared" si="5"/>
        <v>65</v>
      </c>
      <c r="AU23" s="113">
        <f t="shared" si="4"/>
        <v>56</v>
      </c>
      <c r="AV23" s="113">
        <f t="shared" si="4"/>
        <v>70</v>
      </c>
      <c r="AW23" s="113">
        <f t="shared" si="4"/>
        <v>122</v>
      </c>
      <c r="AX23" s="113">
        <f t="shared" si="4"/>
        <v>236</v>
      </c>
      <c r="BB23">
        <f>ROW()</f>
        <v>23</v>
      </c>
      <c r="BC23" s="288" t="s">
        <v>15</v>
      </c>
      <c r="BD23" s="115">
        <v>1</v>
      </c>
      <c r="BE23" s="115">
        <v>1</v>
      </c>
      <c r="BF23" s="115">
        <v>1</v>
      </c>
      <c r="BG23" s="115">
        <v>1</v>
      </c>
      <c r="BH23" s="115">
        <v>1</v>
      </c>
      <c r="BI23" s="115">
        <v>1</v>
      </c>
      <c r="BJ23" s="115">
        <v>1</v>
      </c>
      <c r="BK23" s="115">
        <v>1</v>
      </c>
      <c r="BL23" s="115">
        <v>1</v>
      </c>
      <c r="BM23" s="115">
        <v>1</v>
      </c>
      <c r="BN23" s="115">
        <v>1</v>
      </c>
      <c r="BO23" s="287">
        <v>1</v>
      </c>
    </row>
    <row r="24" spans="1:67" x14ac:dyDescent="0.25">
      <c r="A24" s="113">
        <v>21</v>
      </c>
      <c r="B24" s="209"/>
      <c r="C24">
        <f>IFERROR(INDEX($BD$7:$BO$35,MATCH(Ajustes!$E$4:$E$323,$BC$7:$BC$35,0),$C$2:$N$2),1)</f>
        <v>1</v>
      </c>
      <c r="D24" s="113">
        <f>IFERROR(INDEX($BD$7:$BO$35,MATCH(Ajustes!$E$4:$E$323,$BC$7:$BC$35,0),$C$2:$N$2),1)</f>
        <v>1</v>
      </c>
      <c r="E24" s="113">
        <f>IFERROR(INDEX($BD$7:$BO$35,MATCH(Ajustes!$E$4:$E$323,$BC$7:$BC$35,0),$C$2:$N$2),1)</f>
        <v>1</v>
      </c>
      <c r="F24" s="113">
        <f>IFERROR(INDEX($BD$7:$BO$35,MATCH(Ajustes!$E$4:$E$323,$BC$7:$BC$35,0),$C$2:$N$2),1)</f>
        <v>1</v>
      </c>
      <c r="G24" s="113">
        <f>IFERROR(INDEX($BD$7:$BO$35,MATCH(Ajustes!$E$4:$E$323,$BC$7:$BC$35,0),$C$2:$N$2),1)</f>
        <v>1</v>
      </c>
      <c r="H24" s="113">
        <f>IFERROR(INDEX($BD$7:$BO$35,MATCH(Ajustes!$E$4:$E$323,$BC$7:$BC$35,0),$C$2:$N$2),1)</f>
        <v>1</v>
      </c>
      <c r="I24" s="113">
        <f>IFERROR(INDEX($BD$7:$BO$35,MATCH(Ajustes!$E$4:$E$323,$BC$7:$BC$35,0),$C$2:$N$2),1)</f>
        <v>1</v>
      </c>
      <c r="J24" s="113">
        <f>IFERROR(INDEX($BD$7:$BO$35,MATCH(Ajustes!$E$4:$E$323,$BC$7:$BC$35,0),$C$2:$N$2),1)</f>
        <v>1</v>
      </c>
      <c r="K24" s="113">
        <f>IFERROR(INDEX($BD$7:$BO$35,MATCH(Ajustes!$E$4:$E$323,$BC$7:$BC$35,0),$C$2:$N$2),1)</f>
        <v>1</v>
      </c>
      <c r="L24" s="113">
        <f>IFERROR(INDEX($BD$7:$BO$35,MATCH(Ajustes!$E$4:$E$323,$BC$7:$BC$35,0),$C$2:$N$2),1)</f>
        <v>1</v>
      </c>
      <c r="M24" s="113">
        <f>IFERROR(INDEX($BD$7:$BO$35,MATCH(Ajustes!$E$4:$E$323,$BC$7:$BC$35,0),$C$2:$N$2),1)</f>
        <v>1</v>
      </c>
      <c r="N24" s="113">
        <f>IFERROR(INDEX($BD$7:$BO$35,MATCH(Ajustes!$E$4:$E$323,$BC$7:$BC$35,0),$C$2:$N$2),1)</f>
        <v>1</v>
      </c>
      <c r="O24">
        <f>C24*Ajustes!AM24</f>
        <v>0</v>
      </c>
      <c r="P24">
        <f>D24*Ajustes!AN24</f>
        <v>0</v>
      </c>
      <c r="Q24">
        <f>E24*Ajustes!AO24</f>
        <v>0</v>
      </c>
      <c r="R24">
        <f>F24*Ajustes!AP24</f>
        <v>0</v>
      </c>
      <c r="S24">
        <f>G24*Ajustes!AQ24</f>
        <v>0</v>
      </c>
      <c r="T24">
        <f>H24*Ajustes!AR24</f>
        <v>0</v>
      </c>
      <c r="U24">
        <f>I24*Ajustes!AS24</f>
        <v>0</v>
      </c>
      <c r="V24">
        <f>J24*Ajustes!AT24</f>
        <v>0</v>
      </c>
      <c r="W24">
        <f>K24*Ajustes!AU24</f>
        <v>0</v>
      </c>
      <c r="X24">
        <f>L24*Ajustes!AV24</f>
        <v>0</v>
      </c>
      <c r="Y24">
        <f>M24*Ajustes!AW24</f>
        <v>0</v>
      </c>
      <c r="Z24">
        <f>N24*Ajustes!AX24</f>
        <v>0</v>
      </c>
      <c r="AA24">
        <f>IF(Ajustes!$G24&gt;0,INDEX($AA$4:$AL$323,Ajustes!$G24,O$2),0)+IF(Ajustes!$H24&gt;0,INDEX($AA$4:$AL$323,Ajustes!$H24,O$2),0)+IF(Ajustes!$I24&gt;0,INDEX($AA$4:$AL$323,Ajustes!$I24,O$2),0)+IF(Ajustes!$J24&gt;0,INDEX($AA$4:$AL$323,Ajustes!$J24,O$2),0)+IF(Ajustes!$K24&gt;0,INDEX($AA$5:$AL$324,Ajustes!$K24,O$2),0)+IF(Ajustes!$L24&gt;0,INDEX($AA$4:$AL$323,Ajustes!$L24,O$2),0) + O24</f>
        <v>0</v>
      </c>
      <c r="AB24">
        <f>IF(Ajustes!$G24&gt;0,INDEX($AA$4:$AL$323,Ajustes!$G24,P$2),0)+IF(Ajustes!$H24&gt;0,INDEX($AA$4:$AL$323,Ajustes!$H24,P$2),0)+IF(Ajustes!$I24&gt;0,INDEX($AA$4:$AL$323,Ajustes!$I24,P$2),0)+IF(Ajustes!$J24&gt;0,INDEX($AA$4:$AL$323,Ajustes!$J24,P$2),0)+IF(Ajustes!$K24&gt;0,INDEX($AA$5:$AL$324,Ajustes!$K24,P$2),0)+IF(Ajustes!$L24&gt;0,INDEX($AA$4:$AL$323,Ajustes!$L24,P$2),0) + P24</f>
        <v>0</v>
      </c>
      <c r="AC24">
        <f>IF(Ajustes!$G24&gt;0,INDEX($AA$4:$AL$323,Ajustes!$G24,Q$2),0)+IF(Ajustes!$H24&gt;0,INDEX($AA$4:$AL$323,Ajustes!$H24,Q$2),0)+IF(Ajustes!$I24&gt;0,INDEX($AA$4:$AL$323,Ajustes!$I24,Q$2),0)+IF(Ajustes!$J24&gt;0,INDEX($AA$4:$AL$323,Ajustes!$J24,Q$2),0)+IF(Ajustes!$K24&gt;0,INDEX($AA$5:$AL$324,Ajustes!$K24,Q$2),0)+IF(Ajustes!$L24&gt;0,INDEX($AA$4:$AL$323,Ajustes!$L24,Q$2),0) + Q24</f>
        <v>0</v>
      </c>
      <c r="AD24">
        <f>IF(Ajustes!$G24&gt;0,INDEX($AA$4:$AL$323,Ajustes!$G24,R$2),0)+IF(Ajustes!$H24&gt;0,INDEX($AA$4:$AL$323,Ajustes!$H24,R$2),0)+IF(Ajustes!$I24&gt;0,INDEX($AA$4:$AL$323,Ajustes!$I24,R$2),0)+IF(Ajustes!$J24&gt;0,INDEX($AA$4:$AL$323,Ajustes!$J24,R$2),0)+IF(Ajustes!$K24&gt;0,INDEX($AA$5:$AL$324,Ajustes!$K24,R$2),0)+IF(Ajustes!$L24&gt;0,INDEX($AA$4:$AL$323,Ajustes!$L24,R$2),0) + R24</f>
        <v>0</v>
      </c>
      <c r="AE24">
        <f>IF(Ajustes!$G24&gt;0,INDEX($AA$4:$AL$323,Ajustes!$G24,S$2),0)+IF(Ajustes!$H24&gt;0,INDEX($AA$4:$AL$323,Ajustes!$H24,S$2),0)+IF(Ajustes!$I24&gt;0,INDEX($AA$4:$AL$323,Ajustes!$I24,S$2),0)+IF(Ajustes!$J24&gt;0,INDEX($AA$4:$AL$323,Ajustes!$J24,S$2),0)+IF(Ajustes!$K24&gt;0,INDEX($AA$5:$AL$324,Ajustes!$K24,S$2),0)+IF(Ajustes!$L24&gt;0,INDEX($AA$4:$AL$323,Ajustes!$L24,S$2),0) + S24</f>
        <v>0</v>
      </c>
      <c r="AF24">
        <f>IF(Ajustes!$G24&gt;0,INDEX($AA$4:$AL$323,Ajustes!$G24,T$2),0)+IF(Ajustes!$H24&gt;0,INDEX($AA$4:$AL$323,Ajustes!$H24,T$2),0)+IF(Ajustes!$I24&gt;0,INDEX($AA$4:$AL$323,Ajustes!$I24,T$2),0)+IF(Ajustes!$J24&gt;0,INDEX($AA$4:$AL$323,Ajustes!$J24,T$2),0)+IF(Ajustes!$K24&gt;0,INDEX($AA$5:$AL$324,Ajustes!$K24,T$2),0)+IF(Ajustes!$L24&gt;0,INDEX($AA$4:$AL$323,Ajustes!$L24,T$2),0) + T24</f>
        <v>0</v>
      </c>
      <c r="AG24">
        <f>IF(Ajustes!$G24&gt;0,INDEX($AA$4:$AL$323,Ajustes!$G24,U$2),0)+IF(Ajustes!$H24&gt;0,INDEX($AA$4:$AL$323,Ajustes!$H24,U$2),0)+IF(Ajustes!$I24&gt;0,INDEX($AA$4:$AL$323,Ajustes!$I24,U$2),0)+IF(Ajustes!$J24&gt;0,INDEX($AA$4:$AL$323,Ajustes!$J24,U$2),0)+IF(Ajustes!$K24&gt;0,INDEX($AA$5:$AL$324,Ajustes!$K24,U$2),0)+IF(Ajustes!$L24&gt;0,INDEX($AA$4:$AL$323,Ajustes!$L24,U$2),0) + U24</f>
        <v>0</v>
      </c>
      <c r="AH24">
        <f>IF(Ajustes!$G24&gt;0,INDEX($AA$4:$AL$323,Ajustes!$G24,V$2),0)+IF(Ajustes!$H24&gt;0,INDEX($AA$4:$AL$323,Ajustes!$H24,V$2),0)+IF(Ajustes!$I24&gt;0,INDEX($AA$4:$AL$323,Ajustes!$I24,V$2),0)+IF(Ajustes!$J24&gt;0,INDEX($AA$4:$AL$323,Ajustes!$J24,V$2),0)+IF(Ajustes!$K24&gt;0,INDEX($AA$5:$AL$324,Ajustes!$K24,V$2),0)+IF(Ajustes!$L24&gt;0,INDEX($AA$4:$AL$323,Ajustes!$L24,V$2),0) + V24</f>
        <v>0</v>
      </c>
      <c r="AI24">
        <f>IF(Ajustes!$G24&gt;0,INDEX($AA$4:$AL$323,Ajustes!$G24,W$2),0)+IF(Ajustes!$H24&gt;0,INDEX($AA$4:$AL$323,Ajustes!$H24,W$2),0)+IF(Ajustes!$I24&gt;0,INDEX($AA$4:$AL$323,Ajustes!$I24,W$2),0)+IF(Ajustes!$J24&gt;0,INDEX($AA$4:$AL$323,Ajustes!$J24,W$2),0)+IF(Ajustes!$K24&gt;0,INDEX($AA$5:$AL$324,Ajustes!$K24,W$2),0)+IF(Ajustes!$L24&gt;0,INDEX($AA$4:$AL$323,Ajustes!$L24,W$2),0) + W24</f>
        <v>0</v>
      </c>
      <c r="AJ24">
        <f>IF(Ajustes!$G24&gt;0,INDEX($AA$4:$AL$323,Ajustes!$G24,X$2),0)+IF(Ajustes!$H24&gt;0,INDEX($AA$4:$AL$323,Ajustes!$H24,X$2),0)+IF(Ajustes!$I24&gt;0,INDEX($AA$4:$AL$323,Ajustes!$I24,X$2),0)+IF(Ajustes!$J24&gt;0,INDEX($AA$4:$AL$323,Ajustes!$J24,X$2),0)+IF(Ajustes!$K24&gt;0,INDEX($AA$5:$AL$324,Ajustes!$K24,X$2),0)+IF(Ajustes!$L24&gt;0,INDEX($AA$4:$AL$323,Ajustes!$L24,X$2),0) + X24</f>
        <v>0</v>
      </c>
      <c r="AK24">
        <f>IF(Ajustes!$G24&gt;0,INDEX($AA$4:$AL$323,Ajustes!$G24,Y$2),0)+IF(Ajustes!$H24&gt;0,INDEX($AA$4:$AL$323,Ajustes!$H24,Y$2),0)+IF(Ajustes!$I24&gt;0,INDEX($AA$4:$AL$323,Ajustes!$I24,Y$2),0)+IF(Ajustes!$J24&gt;0,INDEX($AA$4:$AL$323,Ajustes!$J24,Y$2),0)+IF(Ajustes!$K24&gt;0,INDEX($AA$5:$AL$324,Ajustes!$K24,Y$2),0)+IF(Ajustes!$L24&gt;0,INDEX($AA$4:$AL$323,Ajustes!$L24,Y$2),0) + Y24</f>
        <v>0</v>
      </c>
      <c r="AL24">
        <f>IF(Ajustes!$G24&gt;0,INDEX($AA$4:$AL$323,Ajustes!$G24,Z$2),0)+IF(Ajustes!$H24&gt;0,INDEX($AA$4:$AL$323,Ajustes!$H24,Z$2),0)+IF(Ajustes!$I24&gt;0,INDEX($AA$4:$AL$323,Ajustes!$I24,Z$2),0)+IF(Ajustes!$J24&gt;0,INDEX($AA$4:$AL$323,Ajustes!$J24,Z$2),0)+IF(Ajustes!$K24&gt;0,INDEX($AA$5:$AL$324,Ajustes!$K24,Z$2),0)+IF(Ajustes!$L24&gt;0,INDEX($AA$4:$AL$323,Ajustes!$L24,Z$2),0) + Z24</f>
        <v>0</v>
      </c>
      <c r="AM24" s="113">
        <f t="shared" si="3"/>
        <v>0</v>
      </c>
      <c r="AN24" s="113">
        <f t="shared" si="3"/>
        <v>0</v>
      </c>
      <c r="AO24" s="113">
        <f t="shared" si="3"/>
        <v>0</v>
      </c>
      <c r="AP24" s="113">
        <f t="shared" si="3"/>
        <v>0</v>
      </c>
      <c r="AQ24" s="113">
        <f t="shared" si="3"/>
        <v>0</v>
      </c>
      <c r="AR24" s="113">
        <f t="shared" si="3"/>
        <v>0</v>
      </c>
      <c r="AS24" s="113">
        <f t="shared" si="3"/>
        <v>0</v>
      </c>
      <c r="AT24" s="113">
        <f t="shared" si="5"/>
        <v>0</v>
      </c>
      <c r="AU24" s="113">
        <f t="shared" si="4"/>
        <v>0</v>
      </c>
      <c r="AV24" s="113">
        <f t="shared" si="4"/>
        <v>0</v>
      </c>
      <c r="AW24" s="113">
        <f t="shared" si="4"/>
        <v>0</v>
      </c>
      <c r="AX24" s="113">
        <f t="shared" si="4"/>
        <v>0</v>
      </c>
      <c r="BB24">
        <f>ROW()</f>
        <v>24</v>
      </c>
      <c r="BC24" s="288" t="s">
        <v>16</v>
      </c>
      <c r="BD24" s="115">
        <v>1</v>
      </c>
      <c r="BE24" s="115">
        <v>1</v>
      </c>
      <c r="BF24" s="115">
        <v>1</v>
      </c>
      <c r="BG24" s="115">
        <v>1</v>
      </c>
      <c r="BH24" s="115">
        <v>1</v>
      </c>
      <c r="BI24" s="115">
        <v>1</v>
      </c>
      <c r="BJ24" s="115">
        <v>1</v>
      </c>
      <c r="BK24" s="115">
        <v>1</v>
      </c>
      <c r="BL24" s="115">
        <v>1</v>
      </c>
      <c r="BM24" s="115">
        <v>1</v>
      </c>
      <c r="BN24" s="115">
        <v>1</v>
      </c>
      <c r="BO24" s="287">
        <v>1</v>
      </c>
    </row>
    <row r="25" spans="1:67" x14ac:dyDescent="0.25">
      <c r="A25" s="113">
        <v>22</v>
      </c>
      <c r="B25" s="209" t="s">
        <v>548</v>
      </c>
      <c r="C25">
        <f>IFERROR(INDEX($BD$7:$BO$35,MATCH(Ajustes!$E$4:$E$323,$BC$7:$BC$35,0),$C$2:$N$2),1)</f>
        <v>1</v>
      </c>
      <c r="D25" s="113">
        <f>IFERROR(INDEX($BD$7:$BO$35,MATCH(Ajustes!$E$4:$E$323,$BC$7:$BC$35,0),$C$2:$N$2),1)</f>
        <v>1</v>
      </c>
      <c r="E25" s="113">
        <f>IFERROR(INDEX($BD$7:$BO$35,MATCH(Ajustes!$E$4:$E$323,$BC$7:$BC$35,0),$C$2:$N$2),1)</f>
        <v>1</v>
      </c>
      <c r="F25" s="113">
        <f>IFERROR(INDEX($BD$7:$BO$35,MATCH(Ajustes!$E$4:$E$323,$BC$7:$BC$35,0),$C$2:$N$2),1)</f>
        <v>1</v>
      </c>
      <c r="G25" s="113">
        <f>IFERROR(INDEX($BD$7:$BO$35,MATCH(Ajustes!$E$4:$E$323,$BC$7:$BC$35,0),$C$2:$N$2),1)</f>
        <v>1</v>
      </c>
      <c r="H25" s="113">
        <f>IFERROR(INDEX($BD$7:$BO$35,MATCH(Ajustes!$E$4:$E$323,$BC$7:$BC$35,0),$C$2:$N$2),1)</f>
        <v>1</v>
      </c>
      <c r="I25" s="113">
        <f>IFERROR(INDEX($BD$7:$BO$35,MATCH(Ajustes!$E$4:$E$323,$BC$7:$BC$35,0),$C$2:$N$2),1)</f>
        <v>1</v>
      </c>
      <c r="J25" s="113">
        <f>IFERROR(INDEX($BD$7:$BO$35,MATCH(Ajustes!$E$4:$E$323,$BC$7:$BC$35,0),$C$2:$N$2),1)</f>
        <v>1</v>
      </c>
      <c r="K25" s="113">
        <f>IFERROR(INDEX($BD$7:$BO$35,MATCH(Ajustes!$E$4:$E$323,$BC$7:$BC$35,0),$C$2:$N$2),1)</f>
        <v>1</v>
      </c>
      <c r="L25" s="113">
        <f>IFERROR(INDEX($BD$7:$BO$35,MATCH(Ajustes!$E$4:$E$323,$BC$7:$BC$35,0),$C$2:$N$2),1)</f>
        <v>1</v>
      </c>
      <c r="M25" s="113">
        <f>IFERROR(INDEX($BD$7:$BO$35,MATCH(Ajustes!$E$4:$E$323,$BC$7:$BC$35,0),$C$2:$N$2),1)</f>
        <v>1</v>
      </c>
      <c r="N25" s="113">
        <f>IFERROR(INDEX($BD$7:$BO$35,MATCH(Ajustes!$E$4:$E$323,$BC$7:$BC$35,0),$C$2:$N$2),1)</f>
        <v>1</v>
      </c>
      <c r="O25">
        <f>C25*Ajustes!AM25</f>
        <v>193</v>
      </c>
      <c r="P25">
        <f>D25*Ajustes!AN25</f>
        <v>196</v>
      </c>
      <c r="Q25">
        <f>E25*Ajustes!AO25</f>
        <v>199</v>
      </c>
      <c r="R25">
        <f>F25*Ajustes!AP25</f>
        <v>150</v>
      </c>
      <c r="S25">
        <f>G25*Ajustes!AQ25</f>
        <v>96</v>
      </c>
      <c r="T25">
        <f>H25*Ajustes!AR25</f>
        <v>73</v>
      </c>
      <c r="U25">
        <f>I25*Ajustes!AS25</f>
        <v>58</v>
      </c>
      <c r="V25">
        <f>J25*Ajustes!AT25</f>
        <v>45</v>
      </c>
      <c r="W25">
        <f>K25*Ajustes!AU25</f>
        <v>39</v>
      </c>
      <c r="X25">
        <f>L25*Ajustes!AV25</f>
        <v>46</v>
      </c>
      <c r="Y25">
        <f>M25*Ajustes!AW25</f>
        <v>78</v>
      </c>
      <c r="Z25">
        <f>N25*Ajustes!AX25</f>
        <v>146</v>
      </c>
      <c r="AA25">
        <f>IF(Ajustes!$G25&gt;0,INDEX($AA$4:$AL$323,Ajustes!$G25,O$2),0)+IF(Ajustes!$H25&gt;0,INDEX($AA$4:$AL$323,Ajustes!$H25,O$2),0)+IF(Ajustes!$I25&gt;0,INDEX($AA$4:$AL$323,Ajustes!$I25,O$2),0)+IF(Ajustes!$J25&gt;0,INDEX($AA$4:$AL$323,Ajustes!$J25,O$2),0)+IF(Ajustes!$K25&gt;0,INDEX($AA$5:$AL$324,Ajustes!$K25,O$2),0)+IF(Ajustes!$L25&gt;0,INDEX($AA$4:$AL$323,Ajustes!$L25,O$2),0) + O25</f>
        <v>193</v>
      </c>
      <c r="AB25">
        <f>IF(Ajustes!$G25&gt;0,INDEX($AA$4:$AL$323,Ajustes!$G25,P$2),0)+IF(Ajustes!$H25&gt;0,INDEX($AA$4:$AL$323,Ajustes!$H25,P$2),0)+IF(Ajustes!$I25&gt;0,INDEX($AA$4:$AL$323,Ajustes!$I25,P$2),0)+IF(Ajustes!$J25&gt;0,INDEX($AA$4:$AL$323,Ajustes!$J25,P$2),0)+IF(Ajustes!$K25&gt;0,INDEX($AA$5:$AL$324,Ajustes!$K25,P$2),0)+IF(Ajustes!$L25&gt;0,INDEX($AA$4:$AL$323,Ajustes!$L25,P$2),0) + P25</f>
        <v>196</v>
      </c>
      <c r="AC25">
        <f>IF(Ajustes!$G25&gt;0,INDEX($AA$4:$AL$323,Ajustes!$G25,Q$2),0)+IF(Ajustes!$H25&gt;0,INDEX($AA$4:$AL$323,Ajustes!$H25,Q$2),0)+IF(Ajustes!$I25&gt;0,INDEX($AA$4:$AL$323,Ajustes!$I25,Q$2),0)+IF(Ajustes!$J25&gt;0,INDEX($AA$4:$AL$323,Ajustes!$J25,Q$2),0)+IF(Ajustes!$K25&gt;0,INDEX($AA$5:$AL$324,Ajustes!$K25,Q$2),0)+IF(Ajustes!$L25&gt;0,INDEX($AA$4:$AL$323,Ajustes!$L25,Q$2),0) + Q25</f>
        <v>199</v>
      </c>
      <c r="AD25">
        <f>IF(Ajustes!$G25&gt;0,INDEX($AA$4:$AL$323,Ajustes!$G25,R$2),0)+IF(Ajustes!$H25&gt;0,INDEX($AA$4:$AL$323,Ajustes!$H25,R$2),0)+IF(Ajustes!$I25&gt;0,INDEX($AA$4:$AL$323,Ajustes!$I25,R$2),0)+IF(Ajustes!$J25&gt;0,INDEX($AA$4:$AL$323,Ajustes!$J25,R$2),0)+IF(Ajustes!$K25&gt;0,INDEX($AA$5:$AL$324,Ajustes!$K25,R$2),0)+IF(Ajustes!$L25&gt;0,INDEX($AA$4:$AL$323,Ajustes!$L25,R$2),0) + R25</f>
        <v>150</v>
      </c>
      <c r="AE25">
        <f>IF(Ajustes!$G25&gt;0,INDEX($AA$4:$AL$323,Ajustes!$G25,S$2),0)+IF(Ajustes!$H25&gt;0,INDEX($AA$4:$AL$323,Ajustes!$H25,S$2),0)+IF(Ajustes!$I25&gt;0,INDEX($AA$4:$AL$323,Ajustes!$I25,S$2),0)+IF(Ajustes!$J25&gt;0,INDEX($AA$4:$AL$323,Ajustes!$J25,S$2),0)+IF(Ajustes!$K25&gt;0,INDEX($AA$5:$AL$324,Ajustes!$K25,S$2),0)+IF(Ajustes!$L25&gt;0,INDEX($AA$4:$AL$323,Ajustes!$L25,S$2),0) + S25</f>
        <v>96</v>
      </c>
      <c r="AF25">
        <f>IF(Ajustes!$G25&gt;0,INDEX($AA$4:$AL$323,Ajustes!$G25,T$2),0)+IF(Ajustes!$H25&gt;0,INDEX($AA$4:$AL$323,Ajustes!$H25,T$2),0)+IF(Ajustes!$I25&gt;0,INDEX($AA$4:$AL$323,Ajustes!$I25,T$2),0)+IF(Ajustes!$J25&gt;0,INDEX($AA$4:$AL$323,Ajustes!$J25,T$2),0)+IF(Ajustes!$K25&gt;0,INDEX($AA$5:$AL$324,Ajustes!$K25,T$2),0)+IF(Ajustes!$L25&gt;0,INDEX($AA$4:$AL$323,Ajustes!$L25,T$2),0) + T25</f>
        <v>73</v>
      </c>
      <c r="AG25">
        <f>IF(Ajustes!$G25&gt;0,INDEX($AA$4:$AL$323,Ajustes!$G25,U$2),0)+IF(Ajustes!$H25&gt;0,INDEX($AA$4:$AL$323,Ajustes!$H25,U$2),0)+IF(Ajustes!$I25&gt;0,INDEX($AA$4:$AL$323,Ajustes!$I25,U$2),0)+IF(Ajustes!$J25&gt;0,INDEX($AA$4:$AL$323,Ajustes!$J25,U$2),0)+IF(Ajustes!$K25&gt;0,INDEX($AA$5:$AL$324,Ajustes!$K25,U$2),0)+IF(Ajustes!$L25&gt;0,INDEX($AA$4:$AL$323,Ajustes!$L25,U$2),0) + U25</f>
        <v>58</v>
      </c>
      <c r="AH25">
        <f>IF(Ajustes!$G25&gt;0,INDEX($AA$4:$AL$323,Ajustes!$G25,V$2),0)+IF(Ajustes!$H25&gt;0,INDEX($AA$4:$AL$323,Ajustes!$H25,V$2),0)+IF(Ajustes!$I25&gt;0,INDEX($AA$4:$AL$323,Ajustes!$I25,V$2),0)+IF(Ajustes!$J25&gt;0,INDEX($AA$4:$AL$323,Ajustes!$J25,V$2),0)+IF(Ajustes!$K25&gt;0,INDEX($AA$5:$AL$324,Ajustes!$K25,V$2),0)+IF(Ajustes!$L25&gt;0,INDEX($AA$4:$AL$323,Ajustes!$L25,V$2),0) + V25</f>
        <v>45</v>
      </c>
      <c r="AI25">
        <f>IF(Ajustes!$G25&gt;0,INDEX($AA$4:$AL$323,Ajustes!$G25,W$2),0)+IF(Ajustes!$H25&gt;0,INDEX($AA$4:$AL$323,Ajustes!$H25,W$2),0)+IF(Ajustes!$I25&gt;0,INDEX($AA$4:$AL$323,Ajustes!$I25,W$2),0)+IF(Ajustes!$J25&gt;0,INDEX($AA$4:$AL$323,Ajustes!$J25,W$2),0)+IF(Ajustes!$K25&gt;0,INDEX($AA$5:$AL$324,Ajustes!$K25,W$2),0)+IF(Ajustes!$L25&gt;0,INDEX($AA$4:$AL$323,Ajustes!$L25,W$2),0) + W25</f>
        <v>39</v>
      </c>
      <c r="AJ25">
        <f>IF(Ajustes!$G25&gt;0,INDEX($AA$4:$AL$323,Ajustes!$G25,X$2),0)+IF(Ajustes!$H25&gt;0,INDEX($AA$4:$AL$323,Ajustes!$H25,X$2),0)+IF(Ajustes!$I25&gt;0,INDEX($AA$4:$AL$323,Ajustes!$I25,X$2),0)+IF(Ajustes!$J25&gt;0,INDEX($AA$4:$AL$323,Ajustes!$J25,X$2),0)+IF(Ajustes!$K25&gt;0,INDEX($AA$5:$AL$324,Ajustes!$K25,X$2),0)+IF(Ajustes!$L25&gt;0,INDEX($AA$4:$AL$323,Ajustes!$L25,X$2),0) + X25</f>
        <v>46</v>
      </c>
      <c r="AK25">
        <f>IF(Ajustes!$G25&gt;0,INDEX($AA$4:$AL$323,Ajustes!$G25,Y$2),0)+IF(Ajustes!$H25&gt;0,INDEX($AA$4:$AL$323,Ajustes!$H25,Y$2),0)+IF(Ajustes!$I25&gt;0,INDEX($AA$4:$AL$323,Ajustes!$I25,Y$2),0)+IF(Ajustes!$J25&gt;0,INDEX($AA$4:$AL$323,Ajustes!$J25,Y$2),0)+IF(Ajustes!$K25&gt;0,INDEX($AA$5:$AL$324,Ajustes!$K25,Y$2),0)+IF(Ajustes!$L25&gt;0,INDEX($AA$4:$AL$323,Ajustes!$L25,Y$2),0) + Y25</f>
        <v>78</v>
      </c>
      <c r="AL25">
        <f>IF(Ajustes!$G25&gt;0,INDEX($AA$4:$AL$323,Ajustes!$G25,Z$2),0)+IF(Ajustes!$H25&gt;0,INDEX($AA$4:$AL$323,Ajustes!$H25,Z$2),0)+IF(Ajustes!$I25&gt;0,INDEX($AA$4:$AL$323,Ajustes!$I25,Z$2),0)+IF(Ajustes!$J25&gt;0,INDEX($AA$4:$AL$323,Ajustes!$J25,Z$2),0)+IF(Ajustes!$K25&gt;0,INDEX($AA$5:$AL$324,Ajustes!$K25,Z$2),0)+IF(Ajustes!$L25&gt;0,INDEX($AA$4:$AL$323,Ajustes!$L25,Z$2),0) + Z25</f>
        <v>146</v>
      </c>
      <c r="AM25" s="113">
        <f t="shared" si="3"/>
        <v>193</v>
      </c>
      <c r="AN25" s="113">
        <f t="shared" si="3"/>
        <v>196</v>
      </c>
      <c r="AO25" s="113">
        <f t="shared" si="3"/>
        <v>199</v>
      </c>
      <c r="AP25" s="113">
        <f t="shared" si="3"/>
        <v>150</v>
      </c>
      <c r="AQ25" s="113">
        <f t="shared" si="3"/>
        <v>96</v>
      </c>
      <c r="AR25" s="113">
        <f t="shared" si="3"/>
        <v>73</v>
      </c>
      <c r="AS25" s="113">
        <f t="shared" si="3"/>
        <v>58</v>
      </c>
      <c r="AT25" s="113">
        <f t="shared" si="5"/>
        <v>45</v>
      </c>
      <c r="AU25" s="113">
        <f t="shared" si="4"/>
        <v>39</v>
      </c>
      <c r="AV25" s="113">
        <f t="shared" si="4"/>
        <v>46</v>
      </c>
      <c r="AW25" s="113">
        <f t="shared" si="4"/>
        <v>78</v>
      </c>
      <c r="AX25" s="113">
        <f t="shared" si="4"/>
        <v>146</v>
      </c>
      <c r="BB25">
        <f>ROW()</f>
        <v>25</v>
      </c>
      <c r="BC25" s="288" t="s">
        <v>17</v>
      </c>
      <c r="BD25" s="115">
        <v>1</v>
      </c>
      <c r="BE25" s="115">
        <v>1</v>
      </c>
      <c r="BF25" s="115">
        <v>1</v>
      </c>
      <c r="BG25" s="115">
        <v>1</v>
      </c>
      <c r="BH25" s="115">
        <v>1</v>
      </c>
      <c r="BI25" s="115">
        <v>1</v>
      </c>
      <c r="BJ25" s="115">
        <v>1</v>
      </c>
      <c r="BK25" s="115">
        <v>1</v>
      </c>
      <c r="BL25" s="115">
        <v>1</v>
      </c>
      <c r="BM25" s="115">
        <v>1</v>
      </c>
      <c r="BN25" s="115">
        <v>1</v>
      </c>
      <c r="BO25" s="287">
        <v>1</v>
      </c>
    </row>
    <row r="26" spans="1:67" x14ac:dyDescent="0.25">
      <c r="A26" s="113">
        <v>23</v>
      </c>
      <c r="B26" s="209" t="s">
        <v>265</v>
      </c>
      <c r="C26">
        <f>IFERROR(INDEX($BD$7:$BO$35,MATCH(Ajustes!$E$4:$E$323,$BC$7:$BC$35,0),$C$2:$N$2),1)</f>
        <v>1</v>
      </c>
      <c r="D26" s="113">
        <f>IFERROR(INDEX($BD$7:$BO$35,MATCH(Ajustes!$E$4:$E$323,$BC$7:$BC$35,0),$C$2:$N$2),1)</f>
        <v>1</v>
      </c>
      <c r="E26" s="113">
        <f>IFERROR(INDEX($BD$7:$BO$35,MATCH(Ajustes!$E$4:$E$323,$BC$7:$BC$35,0),$C$2:$N$2),1)</f>
        <v>1</v>
      </c>
      <c r="F26" s="113">
        <f>IFERROR(INDEX($BD$7:$BO$35,MATCH(Ajustes!$E$4:$E$323,$BC$7:$BC$35,0),$C$2:$N$2),1)</f>
        <v>1</v>
      </c>
      <c r="G26" s="113">
        <f>IFERROR(INDEX($BD$7:$BO$35,MATCH(Ajustes!$E$4:$E$323,$BC$7:$BC$35,0),$C$2:$N$2),1)</f>
        <v>1</v>
      </c>
      <c r="H26" s="113">
        <f>IFERROR(INDEX($BD$7:$BO$35,MATCH(Ajustes!$E$4:$E$323,$BC$7:$BC$35,0),$C$2:$N$2),1)</f>
        <v>1</v>
      </c>
      <c r="I26" s="113">
        <f>IFERROR(INDEX($BD$7:$BO$35,MATCH(Ajustes!$E$4:$E$323,$BC$7:$BC$35,0),$C$2:$N$2),1)</f>
        <v>1</v>
      </c>
      <c r="J26" s="113">
        <f>IFERROR(INDEX($BD$7:$BO$35,MATCH(Ajustes!$E$4:$E$323,$BC$7:$BC$35,0),$C$2:$N$2),1)</f>
        <v>1</v>
      </c>
      <c r="K26" s="113">
        <f>IFERROR(INDEX($BD$7:$BO$35,MATCH(Ajustes!$E$4:$E$323,$BC$7:$BC$35,0),$C$2:$N$2),1)</f>
        <v>1</v>
      </c>
      <c r="L26" s="113">
        <f>IFERROR(INDEX($BD$7:$BO$35,MATCH(Ajustes!$E$4:$E$323,$BC$7:$BC$35,0),$C$2:$N$2),1)</f>
        <v>1</v>
      </c>
      <c r="M26" s="113">
        <f>IFERROR(INDEX($BD$7:$BO$35,MATCH(Ajustes!$E$4:$E$323,$BC$7:$BC$35,0),$C$2:$N$2),1)</f>
        <v>1</v>
      </c>
      <c r="N26" s="113">
        <f>IFERROR(INDEX($BD$7:$BO$35,MATCH(Ajustes!$E$4:$E$323,$BC$7:$BC$35,0),$C$2:$N$2),1)</f>
        <v>1</v>
      </c>
      <c r="O26">
        <f>C26*Ajustes!AM26</f>
        <v>54</v>
      </c>
      <c r="P26">
        <f>D26*Ajustes!AN26</f>
        <v>58</v>
      </c>
      <c r="Q26">
        <f>E26*Ajustes!AO26</f>
        <v>60</v>
      </c>
      <c r="R26">
        <f>F26*Ajustes!AP26</f>
        <v>44</v>
      </c>
      <c r="S26">
        <f>G26*Ajustes!AQ26</f>
        <v>29</v>
      </c>
      <c r="T26">
        <f>H26*Ajustes!AR26</f>
        <v>22</v>
      </c>
      <c r="U26">
        <f>I26*Ajustes!AS26</f>
        <v>17</v>
      </c>
      <c r="V26">
        <f>J26*Ajustes!AT26</f>
        <v>13</v>
      </c>
      <c r="W26">
        <f>K26*Ajustes!AU26</f>
        <v>11</v>
      </c>
      <c r="X26">
        <f>L26*Ajustes!AV26</f>
        <v>15</v>
      </c>
      <c r="Y26">
        <f>M26*Ajustes!AW26</f>
        <v>25</v>
      </c>
      <c r="Z26">
        <f>N26*Ajustes!AX26</f>
        <v>40</v>
      </c>
      <c r="AA26">
        <f>IF(Ajustes!$G26&gt;0,INDEX($AA$4:$AL$323,Ajustes!$G26,O$2),0)+IF(Ajustes!$H26&gt;0,INDEX($AA$4:$AL$323,Ajustes!$H26,O$2),0)+IF(Ajustes!$I26&gt;0,INDEX($AA$4:$AL$323,Ajustes!$I26,O$2),0)+IF(Ajustes!$J26&gt;0,INDEX($AA$4:$AL$323,Ajustes!$J26,O$2),0)+IF(Ajustes!$K26&gt;0,INDEX($AA$5:$AL$324,Ajustes!$K26,O$2),0)+IF(Ajustes!$L26&gt;0,INDEX($AA$4:$AL$323,Ajustes!$L26,O$2),0) + O26</f>
        <v>273</v>
      </c>
      <c r="AB26">
        <f>IF(Ajustes!$G26&gt;0,INDEX($AA$4:$AL$323,Ajustes!$G26,P$2),0)+IF(Ajustes!$H26&gt;0,INDEX($AA$4:$AL$323,Ajustes!$H26,P$2),0)+IF(Ajustes!$I26&gt;0,INDEX($AA$4:$AL$323,Ajustes!$I26,P$2),0)+IF(Ajustes!$J26&gt;0,INDEX($AA$4:$AL$323,Ajustes!$J26,P$2),0)+IF(Ajustes!$K26&gt;0,INDEX($AA$5:$AL$324,Ajustes!$K26,P$2),0)+IF(Ajustes!$L26&gt;0,INDEX($AA$4:$AL$323,Ajustes!$L26,P$2),0) + P26</f>
        <v>299</v>
      </c>
      <c r="AC26">
        <f>IF(Ajustes!$G26&gt;0,INDEX($AA$4:$AL$323,Ajustes!$G26,Q$2),0)+IF(Ajustes!$H26&gt;0,INDEX($AA$4:$AL$323,Ajustes!$H26,Q$2),0)+IF(Ajustes!$I26&gt;0,INDEX($AA$4:$AL$323,Ajustes!$I26,Q$2),0)+IF(Ajustes!$J26&gt;0,INDEX($AA$4:$AL$323,Ajustes!$J26,Q$2),0)+IF(Ajustes!$K26&gt;0,INDEX($AA$5:$AL$324,Ajustes!$K26,Q$2),0)+IF(Ajustes!$L26&gt;0,INDEX($AA$4:$AL$323,Ajustes!$L26,Q$2),0) + Q26</f>
        <v>299</v>
      </c>
      <c r="AD26">
        <f>IF(Ajustes!$G26&gt;0,INDEX($AA$4:$AL$323,Ajustes!$G26,R$2),0)+IF(Ajustes!$H26&gt;0,INDEX($AA$4:$AL$323,Ajustes!$H26,R$2),0)+IF(Ajustes!$I26&gt;0,INDEX($AA$4:$AL$323,Ajustes!$I26,R$2),0)+IF(Ajustes!$J26&gt;0,INDEX($AA$4:$AL$323,Ajustes!$J26,R$2),0)+IF(Ajustes!$K26&gt;0,INDEX($AA$5:$AL$324,Ajustes!$K26,R$2),0)+IF(Ajustes!$L26&gt;0,INDEX($AA$4:$AL$323,Ajustes!$L26,R$2),0) + R26</f>
        <v>234</v>
      </c>
      <c r="AE26">
        <f>IF(Ajustes!$G26&gt;0,INDEX($AA$4:$AL$323,Ajustes!$G26,S$2),0)+IF(Ajustes!$H26&gt;0,INDEX($AA$4:$AL$323,Ajustes!$H26,S$2),0)+IF(Ajustes!$I26&gt;0,INDEX($AA$4:$AL$323,Ajustes!$I26,S$2),0)+IF(Ajustes!$J26&gt;0,INDEX($AA$4:$AL$323,Ajustes!$J26,S$2),0)+IF(Ajustes!$K26&gt;0,INDEX($AA$5:$AL$324,Ajustes!$K26,S$2),0)+IF(Ajustes!$L26&gt;0,INDEX($AA$4:$AL$323,Ajustes!$L26,S$2),0) + S26</f>
        <v>148</v>
      </c>
      <c r="AF26">
        <f>IF(Ajustes!$G26&gt;0,INDEX($AA$4:$AL$323,Ajustes!$G26,T$2),0)+IF(Ajustes!$H26&gt;0,INDEX($AA$4:$AL$323,Ajustes!$H26,T$2),0)+IF(Ajustes!$I26&gt;0,INDEX($AA$4:$AL$323,Ajustes!$I26,T$2),0)+IF(Ajustes!$J26&gt;0,INDEX($AA$4:$AL$323,Ajustes!$J26,T$2),0)+IF(Ajustes!$K26&gt;0,INDEX($AA$5:$AL$324,Ajustes!$K26,T$2),0)+IF(Ajustes!$L26&gt;0,INDEX($AA$4:$AL$323,Ajustes!$L26,T$2),0) + T26</f>
        <v>109</v>
      </c>
      <c r="AG26">
        <f>IF(Ajustes!$G26&gt;0,INDEX($AA$4:$AL$323,Ajustes!$G26,U$2),0)+IF(Ajustes!$H26&gt;0,INDEX($AA$4:$AL$323,Ajustes!$H26,U$2),0)+IF(Ajustes!$I26&gt;0,INDEX($AA$4:$AL$323,Ajustes!$I26,U$2),0)+IF(Ajustes!$J26&gt;0,INDEX($AA$4:$AL$323,Ajustes!$J26,U$2),0)+IF(Ajustes!$K26&gt;0,INDEX($AA$5:$AL$324,Ajustes!$K26,U$2),0)+IF(Ajustes!$L26&gt;0,INDEX($AA$4:$AL$323,Ajustes!$L26,U$2),0) + U26</f>
        <v>85</v>
      </c>
      <c r="AH26">
        <f>IF(Ajustes!$G26&gt;0,INDEX($AA$4:$AL$323,Ajustes!$G26,V$2),0)+IF(Ajustes!$H26&gt;0,INDEX($AA$4:$AL$323,Ajustes!$H26,V$2),0)+IF(Ajustes!$I26&gt;0,INDEX($AA$4:$AL$323,Ajustes!$I26,V$2),0)+IF(Ajustes!$J26&gt;0,INDEX($AA$4:$AL$323,Ajustes!$J26,V$2),0)+IF(Ajustes!$K26&gt;0,INDEX($AA$5:$AL$324,Ajustes!$K26,V$2),0)+IF(Ajustes!$L26&gt;0,INDEX($AA$4:$AL$323,Ajustes!$L26,V$2),0) + V26</f>
        <v>67</v>
      </c>
      <c r="AI26">
        <f>IF(Ajustes!$G26&gt;0,INDEX($AA$4:$AL$323,Ajustes!$G26,W$2),0)+IF(Ajustes!$H26&gt;0,INDEX($AA$4:$AL$323,Ajustes!$H26,W$2),0)+IF(Ajustes!$I26&gt;0,INDEX($AA$4:$AL$323,Ajustes!$I26,W$2),0)+IF(Ajustes!$J26&gt;0,INDEX($AA$4:$AL$323,Ajustes!$J26,W$2),0)+IF(Ajustes!$K26&gt;0,INDEX($AA$5:$AL$324,Ajustes!$K26,W$2),0)+IF(Ajustes!$L26&gt;0,INDEX($AA$4:$AL$323,Ajustes!$L26,W$2),0) + W26</f>
        <v>58</v>
      </c>
      <c r="AJ26">
        <f>IF(Ajustes!$G26&gt;0,INDEX($AA$4:$AL$323,Ajustes!$G26,X$2),0)+IF(Ajustes!$H26&gt;0,INDEX($AA$4:$AL$323,Ajustes!$H26,X$2),0)+IF(Ajustes!$I26&gt;0,INDEX($AA$4:$AL$323,Ajustes!$I26,X$2),0)+IF(Ajustes!$J26&gt;0,INDEX($AA$4:$AL$323,Ajustes!$J26,X$2),0)+IF(Ajustes!$K26&gt;0,INDEX($AA$5:$AL$324,Ajustes!$K26,X$2),0)+IF(Ajustes!$L26&gt;0,INDEX($AA$4:$AL$323,Ajustes!$L26,X$2),0) + X26</f>
        <v>76</v>
      </c>
      <c r="AK26">
        <f>IF(Ajustes!$G26&gt;0,INDEX($AA$4:$AL$323,Ajustes!$G26,Y$2),0)+IF(Ajustes!$H26&gt;0,INDEX($AA$4:$AL$323,Ajustes!$H26,Y$2),0)+IF(Ajustes!$I26&gt;0,INDEX($AA$4:$AL$323,Ajustes!$I26,Y$2),0)+IF(Ajustes!$J26&gt;0,INDEX($AA$4:$AL$323,Ajustes!$J26,Y$2),0)+IF(Ajustes!$K26&gt;0,INDEX($AA$5:$AL$324,Ajustes!$K26,Y$2),0)+IF(Ajustes!$L26&gt;0,INDEX($AA$4:$AL$323,Ajustes!$L26,Y$2),0) + Y26</f>
        <v>125</v>
      </c>
      <c r="AL26">
        <f>IF(Ajustes!$G26&gt;0,INDEX($AA$4:$AL$323,Ajustes!$G26,Z$2),0)+IF(Ajustes!$H26&gt;0,INDEX($AA$4:$AL$323,Ajustes!$H26,Z$2),0)+IF(Ajustes!$I26&gt;0,INDEX($AA$4:$AL$323,Ajustes!$I26,Z$2),0)+IF(Ajustes!$J26&gt;0,INDEX($AA$4:$AL$323,Ajustes!$J26,Z$2),0)+IF(Ajustes!$K26&gt;0,INDEX($AA$5:$AL$324,Ajustes!$K26,Z$2),0)+IF(Ajustes!$L26&gt;0,INDEX($AA$4:$AL$323,Ajustes!$L26,Z$2),0) + Z26</f>
        <v>201</v>
      </c>
      <c r="AM26" s="113">
        <f t="shared" si="3"/>
        <v>273</v>
      </c>
      <c r="AN26" s="113">
        <f t="shared" si="3"/>
        <v>299</v>
      </c>
      <c r="AO26" s="113">
        <f t="shared" si="3"/>
        <v>299</v>
      </c>
      <c r="AP26" s="113">
        <f t="shared" si="3"/>
        <v>234</v>
      </c>
      <c r="AQ26" s="113">
        <f t="shared" si="3"/>
        <v>148</v>
      </c>
      <c r="AR26" s="113">
        <f t="shared" si="3"/>
        <v>109</v>
      </c>
      <c r="AS26" s="113">
        <f t="shared" si="3"/>
        <v>85</v>
      </c>
      <c r="AT26" s="113">
        <f t="shared" si="5"/>
        <v>67</v>
      </c>
      <c r="AU26" s="113">
        <f t="shared" si="4"/>
        <v>58</v>
      </c>
      <c r="AV26" s="113">
        <f t="shared" si="4"/>
        <v>76</v>
      </c>
      <c r="AW26" s="113">
        <f t="shared" si="4"/>
        <v>125</v>
      </c>
      <c r="AX26" s="113">
        <f t="shared" si="4"/>
        <v>201</v>
      </c>
      <c r="BB26">
        <f>ROW()</f>
        <v>26</v>
      </c>
      <c r="BC26" s="288" t="s">
        <v>18</v>
      </c>
      <c r="BD26" s="115">
        <v>1</v>
      </c>
      <c r="BE26" s="115">
        <v>1</v>
      </c>
      <c r="BF26" s="115">
        <v>1</v>
      </c>
      <c r="BG26" s="115">
        <v>1</v>
      </c>
      <c r="BH26" s="115">
        <v>1</v>
      </c>
      <c r="BI26" s="115">
        <v>1</v>
      </c>
      <c r="BJ26" s="115">
        <v>1</v>
      </c>
      <c r="BK26" s="115">
        <v>1</v>
      </c>
      <c r="BL26" s="115">
        <v>1</v>
      </c>
      <c r="BM26" s="115">
        <v>1</v>
      </c>
      <c r="BN26" s="115">
        <v>1</v>
      </c>
      <c r="BO26" s="287">
        <v>1</v>
      </c>
    </row>
    <row r="27" spans="1:67" x14ac:dyDescent="0.25">
      <c r="A27" s="113">
        <v>24</v>
      </c>
      <c r="B27" s="209" t="s">
        <v>549</v>
      </c>
      <c r="C27">
        <f>IFERROR(INDEX($BD$7:$BO$35,MATCH(Ajustes!$E$4:$E$323,$BC$7:$BC$35,0),$C$2:$N$2),1)</f>
        <v>1</v>
      </c>
      <c r="D27" s="113">
        <f>IFERROR(INDEX($BD$7:$BO$35,MATCH(Ajustes!$E$4:$E$323,$BC$7:$BC$35,0),$C$2:$N$2),1)</f>
        <v>1</v>
      </c>
      <c r="E27" s="113">
        <f>IFERROR(INDEX($BD$7:$BO$35,MATCH(Ajustes!$E$4:$E$323,$BC$7:$BC$35,0),$C$2:$N$2),1)</f>
        <v>1</v>
      </c>
      <c r="F27" s="113">
        <f>IFERROR(INDEX($BD$7:$BO$35,MATCH(Ajustes!$E$4:$E$323,$BC$7:$BC$35,0),$C$2:$N$2),1)</f>
        <v>1</v>
      </c>
      <c r="G27" s="113">
        <f>IFERROR(INDEX($BD$7:$BO$35,MATCH(Ajustes!$E$4:$E$323,$BC$7:$BC$35,0),$C$2:$N$2),1)</f>
        <v>1</v>
      </c>
      <c r="H27" s="113">
        <f>IFERROR(INDEX($BD$7:$BO$35,MATCH(Ajustes!$E$4:$E$323,$BC$7:$BC$35,0),$C$2:$N$2),1)</f>
        <v>1</v>
      </c>
      <c r="I27" s="113">
        <f>IFERROR(INDEX($BD$7:$BO$35,MATCH(Ajustes!$E$4:$E$323,$BC$7:$BC$35,0),$C$2:$N$2),1)</f>
        <v>1</v>
      </c>
      <c r="J27" s="113">
        <f>IFERROR(INDEX($BD$7:$BO$35,MATCH(Ajustes!$E$4:$E$323,$BC$7:$BC$35,0),$C$2:$N$2),1)</f>
        <v>1</v>
      </c>
      <c r="K27" s="113">
        <f>IFERROR(INDEX($BD$7:$BO$35,MATCH(Ajustes!$E$4:$E$323,$BC$7:$BC$35,0),$C$2:$N$2),1)</f>
        <v>1</v>
      </c>
      <c r="L27" s="113">
        <f>IFERROR(INDEX($BD$7:$BO$35,MATCH(Ajustes!$E$4:$E$323,$BC$7:$BC$35,0),$C$2:$N$2),1)</f>
        <v>1</v>
      </c>
      <c r="M27" s="113">
        <f>IFERROR(INDEX($BD$7:$BO$35,MATCH(Ajustes!$E$4:$E$323,$BC$7:$BC$35,0),$C$2:$N$2),1)</f>
        <v>1</v>
      </c>
      <c r="N27" s="113">
        <f>IFERROR(INDEX($BD$7:$BO$35,MATCH(Ajustes!$E$4:$E$323,$BC$7:$BC$35,0),$C$2:$N$2),1)</f>
        <v>1</v>
      </c>
      <c r="O27">
        <f>C27*Ajustes!AM27</f>
        <v>581</v>
      </c>
      <c r="P27">
        <f>D27*Ajustes!AN27</f>
        <v>577</v>
      </c>
      <c r="Q27">
        <f>E27*Ajustes!AO27</f>
        <v>538</v>
      </c>
      <c r="R27">
        <f>F27*Ajustes!AP27</f>
        <v>385</v>
      </c>
      <c r="S27">
        <f>G27*Ajustes!AQ27</f>
        <v>245</v>
      </c>
      <c r="T27">
        <f>H27*Ajustes!AR27</f>
        <v>190</v>
      </c>
      <c r="U27">
        <f>I27*Ajustes!AS27</f>
        <v>154</v>
      </c>
      <c r="V27">
        <f>J27*Ajustes!AT27</f>
        <v>124</v>
      </c>
      <c r="W27">
        <f>K27*Ajustes!AU27</f>
        <v>112</v>
      </c>
      <c r="X27">
        <f>L27*Ajustes!AV27</f>
        <v>133</v>
      </c>
      <c r="Y27">
        <f>M27*Ajustes!AW27</f>
        <v>226</v>
      </c>
      <c r="Z27">
        <f>N27*Ajustes!AX27</f>
        <v>416</v>
      </c>
      <c r="AA27">
        <f>IF(Ajustes!$G27&gt;0,INDEX($AA$4:$AL$323,Ajustes!$G27,O$2),0)+IF(Ajustes!$H27&gt;0,INDEX($AA$4:$AL$323,Ajustes!$H27,O$2),0)+IF(Ajustes!$I27&gt;0,INDEX($AA$4:$AL$323,Ajustes!$I27,O$2),0)+IF(Ajustes!$J27&gt;0,INDEX($AA$4:$AL$323,Ajustes!$J27,O$2),0)+IF(Ajustes!$K27&gt;0,INDEX($AA$5:$AL$324,Ajustes!$K27,O$2),0)+IF(Ajustes!$L27&gt;0,INDEX($AA$4:$AL$323,Ajustes!$L27,O$2),0) + O27</f>
        <v>903</v>
      </c>
      <c r="AB27">
        <f>IF(Ajustes!$G27&gt;0,INDEX($AA$4:$AL$323,Ajustes!$G27,P$2),0)+IF(Ajustes!$H27&gt;0,INDEX($AA$4:$AL$323,Ajustes!$H27,P$2),0)+IF(Ajustes!$I27&gt;0,INDEX($AA$4:$AL$323,Ajustes!$I27,P$2),0)+IF(Ajustes!$J27&gt;0,INDEX($AA$4:$AL$323,Ajustes!$J27,P$2),0)+IF(Ajustes!$K27&gt;0,INDEX($AA$5:$AL$324,Ajustes!$K27,P$2),0)+IF(Ajustes!$L27&gt;0,INDEX($AA$4:$AL$323,Ajustes!$L27,P$2),0) + P27</f>
        <v>899</v>
      </c>
      <c r="AC27">
        <f>IF(Ajustes!$G27&gt;0,INDEX($AA$4:$AL$323,Ajustes!$G27,Q$2),0)+IF(Ajustes!$H27&gt;0,INDEX($AA$4:$AL$323,Ajustes!$H27,Q$2),0)+IF(Ajustes!$I27&gt;0,INDEX($AA$4:$AL$323,Ajustes!$I27,Q$2),0)+IF(Ajustes!$J27&gt;0,INDEX($AA$4:$AL$323,Ajustes!$J27,Q$2),0)+IF(Ajustes!$K27&gt;0,INDEX($AA$5:$AL$324,Ajustes!$K27,Q$2),0)+IF(Ajustes!$L27&gt;0,INDEX($AA$4:$AL$323,Ajustes!$L27,Q$2),0) + Q27</f>
        <v>860</v>
      </c>
      <c r="AD27">
        <f>IF(Ajustes!$G27&gt;0,INDEX($AA$4:$AL$323,Ajustes!$G27,R$2),0)+IF(Ajustes!$H27&gt;0,INDEX($AA$4:$AL$323,Ajustes!$H27,R$2),0)+IF(Ajustes!$I27&gt;0,INDEX($AA$4:$AL$323,Ajustes!$I27,R$2),0)+IF(Ajustes!$J27&gt;0,INDEX($AA$4:$AL$323,Ajustes!$J27,R$2),0)+IF(Ajustes!$K27&gt;0,INDEX($AA$5:$AL$324,Ajustes!$K27,R$2),0)+IF(Ajustes!$L27&gt;0,INDEX($AA$4:$AL$323,Ajustes!$L27,R$2),0) + R27</f>
        <v>626</v>
      </c>
      <c r="AE27">
        <f>IF(Ajustes!$G27&gt;0,INDEX($AA$4:$AL$323,Ajustes!$G27,S$2),0)+IF(Ajustes!$H27&gt;0,INDEX($AA$4:$AL$323,Ajustes!$H27,S$2),0)+IF(Ajustes!$I27&gt;0,INDEX($AA$4:$AL$323,Ajustes!$I27,S$2),0)+IF(Ajustes!$J27&gt;0,INDEX($AA$4:$AL$323,Ajustes!$J27,S$2),0)+IF(Ajustes!$K27&gt;0,INDEX($AA$5:$AL$324,Ajustes!$K27,S$2),0)+IF(Ajustes!$L27&gt;0,INDEX($AA$4:$AL$323,Ajustes!$L27,S$2),0) + S27</f>
        <v>397</v>
      </c>
      <c r="AF27">
        <f>IF(Ajustes!$G27&gt;0,INDEX($AA$4:$AL$323,Ajustes!$G27,T$2),0)+IF(Ajustes!$H27&gt;0,INDEX($AA$4:$AL$323,Ajustes!$H27,T$2),0)+IF(Ajustes!$I27&gt;0,INDEX($AA$4:$AL$323,Ajustes!$I27,T$2),0)+IF(Ajustes!$J27&gt;0,INDEX($AA$4:$AL$323,Ajustes!$J27,T$2),0)+IF(Ajustes!$K27&gt;0,INDEX($AA$5:$AL$324,Ajustes!$K27,T$2),0)+IF(Ajustes!$L27&gt;0,INDEX($AA$4:$AL$323,Ajustes!$L27,T$2),0) + T27</f>
        <v>306</v>
      </c>
      <c r="AG27">
        <f>IF(Ajustes!$G27&gt;0,INDEX($AA$4:$AL$323,Ajustes!$G27,U$2),0)+IF(Ajustes!$H27&gt;0,INDEX($AA$4:$AL$323,Ajustes!$H27,U$2),0)+IF(Ajustes!$I27&gt;0,INDEX($AA$4:$AL$323,Ajustes!$I27,U$2),0)+IF(Ajustes!$J27&gt;0,INDEX($AA$4:$AL$323,Ajustes!$J27,U$2),0)+IF(Ajustes!$K27&gt;0,INDEX($AA$5:$AL$324,Ajustes!$K27,U$2),0)+IF(Ajustes!$L27&gt;0,INDEX($AA$4:$AL$323,Ajustes!$L27,U$2),0) + U27</f>
        <v>245</v>
      </c>
      <c r="AH27">
        <f>IF(Ajustes!$G27&gt;0,INDEX($AA$4:$AL$323,Ajustes!$G27,V$2),0)+IF(Ajustes!$H27&gt;0,INDEX($AA$4:$AL$323,Ajustes!$H27,V$2),0)+IF(Ajustes!$I27&gt;0,INDEX($AA$4:$AL$323,Ajustes!$I27,V$2),0)+IF(Ajustes!$J27&gt;0,INDEX($AA$4:$AL$323,Ajustes!$J27,V$2),0)+IF(Ajustes!$K27&gt;0,INDEX($AA$5:$AL$324,Ajustes!$K27,V$2),0)+IF(Ajustes!$L27&gt;0,INDEX($AA$4:$AL$323,Ajustes!$L27,V$2),0) + V27</f>
        <v>196</v>
      </c>
      <c r="AI27">
        <f>IF(Ajustes!$G27&gt;0,INDEX($AA$4:$AL$323,Ajustes!$G27,W$2),0)+IF(Ajustes!$H27&gt;0,INDEX($AA$4:$AL$323,Ajustes!$H27,W$2),0)+IF(Ajustes!$I27&gt;0,INDEX($AA$4:$AL$323,Ajustes!$I27,W$2),0)+IF(Ajustes!$J27&gt;0,INDEX($AA$4:$AL$323,Ajustes!$J27,W$2),0)+IF(Ajustes!$K27&gt;0,INDEX($AA$5:$AL$324,Ajustes!$K27,W$2),0)+IF(Ajustes!$L27&gt;0,INDEX($AA$4:$AL$323,Ajustes!$L27,W$2),0) + W27</f>
        <v>173</v>
      </c>
      <c r="AJ27">
        <f>IF(Ajustes!$G27&gt;0,INDEX($AA$4:$AL$323,Ajustes!$G27,X$2),0)+IF(Ajustes!$H27&gt;0,INDEX($AA$4:$AL$323,Ajustes!$H27,X$2),0)+IF(Ajustes!$I27&gt;0,INDEX($AA$4:$AL$323,Ajustes!$I27,X$2),0)+IF(Ajustes!$J27&gt;0,INDEX($AA$4:$AL$323,Ajustes!$J27,X$2),0)+IF(Ajustes!$K27&gt;0,INDEX($AA$5:$AL$324,Ajustes!$K27,X$2),0)+IF(Ajustes!$L27&gt;0,INDEX($AA$4:$AL$323,Ajustes!$L27,X$2),0) + X27</f>
        <v>207</v>
      </c>
      <c r="AK27">
        <f>IF(Ajustes!$G27&gt;0,INDEX($AA$4:$AL$323,Ajustes!$G27,Y$2),0)+IF(Ajustes!$H27&gt;0,INDEX($AA$4:$AL$323,Ajustes!$H27,Y$2),0)+IF(Ajustes!$I27&gt;0,INDEX($AA$4:$AL$323,Ajustes!$I27,Y$2),0)+IF(Ajustes!$J27&gt;0,INDEX($AA$4:$AL$323,Ajustes!$J27,Y$2),0)+IF(Ajustes!$K27&gt;0,INDEX($AA$5:$AL$324,Ajustes!$K27,Y$2),0)+IF(Ajustes!$L27&gt;0,INDEX($AA$4:$AL$323,Ajustes!$L27,Y$2),0) + Y27</f>
        <v>353</v>
      </c>
      <c r="AL27">
        <f>IF(Ajustes!$G27&gt;0,INDEX($AA$4:$AL$323,Ajustes!$G27,Z$2),0)+IF(Ajustes!$H27&gt;0,INDEX($AA$4:$AL$323,Ajustes!$H27,Z$2),0)+IF(Ajustes!$I27&gt;0,INDEX($AA$4:$AL$323,Ajustes!$I27,Z$2),0)+IF(Ajustes!$J27&gt;0,INDEX($AA$4:$AL$323,Ajustes!$J27,Z$2),0)+IF(Ajustes!$K27&gt;0,INDEX($AA$5:$AL$324,Ajustes!$K27,Z$2),0)+IF(Ajustes!$L27&gt;0,INDEX($AA$4:$AL$323,Ajustes!$L27,Z$2),0) + Z27</f>
        <v>658</v>
      </c>
      <c r="AM27" s="113">
        <f t="shared" si="3"/>
        <v>903</v>
      </c>
      <c r="AN27" s="113">
        <f t="shared" si="3"/>
        <v>899</v>
      </c>
      <c r="AO27" s="113">
        <f t="shared" si="3"/>
        <v>860</v>
      </c>
      <c r="AP27" s="113">
        <f t="shared" si="3"/>
        <v>626</v>
      </c>
      <c r="AQ27" s="113">
        <f t="shared" si="3"/>
        <v>397</v>
      </c>
      <c r="AR27" s="113">
        <f t="shared" si="3"/>
        <v>306</v>
      </c>
      <c r="AS27" s="113">
        <f t="shared" si="3"/>
        <v>245</v>
      </c>
      <c r="AT27" s="113">
        <f t="shared" si="5"/>
        <v>196</v>
      </c>
      <c r="AU27" s="113">
        <f t="shared" si="4"/>
        <v>173</v>
      </c>
      <c r="AV27" s="113">
        <f t="shared" si="4"/>
        <v>207</v>
      </c>
      <c r="AW27" s="113">
        <f t="shared" si="4"/>
        <v>353</v>
      </c>
      <c r="AX27" s="113">
        <f t="shared" si="4"/>
        <v>658</v>
      </c>
      <c r="BB27">
        <f>ROW()</f>
        <v>27</v>
      </c>
      <c r="BC27" s="288" t="s">
        <v>19</v>
      </c>
      <c r="BD27" s="115">
        <v>1</v>
      </c>
      <c r="BE27" s="115">
        <v>1</v>
      </c>
      <c r="BF27" s="115">
        <v>1</v>
      </c>
      <c r="BG27" s="115">
        <v>1</v>
      </c>
      <c r="BH27" s="115">
        <v>1</v>
      </c>
      <c r="BI27" s="115">
        <v>1</v>
      </c>
      <c r="BJ27" s="115">
        <v>1</v>
      </c>
      <c r="BK27" s="115">
        <v>1</v>
      </c>
      <c r="BL27" s="115">
        <v>1</v>
      </c>
      <c r="BM27" s="115">
        <v>1</v>
      </c>
      <c r="BN27" s="115">
        <v>1</v>
      </c>
      <c r="BO27" s="287">
        <v>1</v>
      </c>
    </row>
    <row r="28" spans="1:67" x14ac:dyDescent="0.25">
      <c r="A28" s="113">
        <v>25</v>
      </c>
      <c r="B28" s="209" t="s">
        <v>550</v>
      </c>
      <c r="C28">
        <f>IFERROR(INDEX($BD$7:$BO$35,MATCH(Ajustes!$E$4:$E$323,$BC$7:$BC$35,0),$C$2:$N$2),1)</f>
        <v>1</v>
      </c>
      <c r="D28" s="113">
        <f>IFERROR(INDEX($BD$7:$BO$35,MATCH(Ajustes!$E$4:$E$323,$BC$7:$BC$35,0),$C$2:$N$2),1)</f>
        <v>1</v>
      </c>
      <c r="E28" s="113">
        <f>IFERROR(INDEX($BD$7:$BO$35,MATCH(Ajustes!$E$4:$E$323,$BC$7:$BC$35,0),$C$2:$N$2),1)</f>
        <v>1</v>
      </c>
      <c r="F28" s="113">
        <f>IFERROR(INDEX($BD$7:$BO$35,MATCH(Ajustes!$E$4:$E$323,$BC$7:$BC$35,0),$C$2:$N$2),1)</f>
        <v>1</v>
      </c>
      <c r="G28" s="113">
        <f>IFERROR(INDEX($BD$7:$BO$35,MATCH(Ajustes!$E$4:$E$323,$BC$7:$BC$35,0),$C$2:$N$2),1)</f>
        <v>1</v>
      </c>
      <c r="H28" s="113">
        <f>IFERROR(INDEX($BD$7:$BO$35,MATCH(Ajustes!$E$4:$E$323,$BC$7:$BC$35,0),$C$2:$N$2),1)</f>
        <v>1</v>
      </c>
      <c r="I28" s="113">
        <f>IFERROR(INDEX($BD$7:$BO$35,MATCH(Ajustes!$E$4:$E$323,$BC$7:$BC$35,0),$C$2:$N$2),1)</f>
        <v>1</v>
      </c>
      <c r="J28" s="113">
        <f>IFERROR(INDEX($BD$7:$BO$35,MATCH(Ajustes!$E$4:$E$323,$BC$7:$BC$35,0),$C$2:$N$2),1)</f>
        <v>1</v>
      </c>
      <c r="K28" s="113">
        <f>IFERROR(INDEX($BD$7:$BO$35,MATCH(Ajustes!$E$4:$E$323,$BC$7:$BC$35,0),$C$2:$N$2),1)</f>
        <v>1</v>
      </c>
      <c r="L28" s="113">
        <f>IFERROR(INDEX($BD$7:$BO$35,MATCH(Ajustes!$E$4:$E$323,$BC$7:$BC$35,0),$C$2:$N$2),1)</f>
        <v>1</v>
      </c>
      <c r="M28" s="113">
        <f>IFERROR(INDEX($BD$7:$BO$35,MATCH(Ajustes!$E$4:$E$323,$BC$7:$BC$35,0),$C$2:$N$2),1)</f>
        <v>1</v>
      </c>
      <c r="N28" s="113">
        <f>IFERROR(INDEX($BD$7:$BO$35,MATCH(Ajustes!$E$4:$E$323,$BC$7:$BC$35,0),$C$2:$N$2),1)</f>
        <v>1</v>
      </c>
      <c r="O28">
        <f>C28*Ajustes!AM28</f>
        <v>530</v>
      </c>
      <c r="P28">
        <f>D28*Ajustes!AN28</f>
        <v>532</v>
      </c>
      <c r="Q28">
        <f>E28*Ajustes!AO28</f>
        <v>499</v>
      </c>
      <c r="R28">
        <f>F28*Ajustes!AP28</f>
        <v>375</v>
      </c>
      <c r="S28">
        <f>G28*Ajustes!AQ28</f>
        <v>257</v>
      </c>
      <c r="T28">
        <f>H28*Ajustes!AR28</f>
        <v>201</v>
      </c>
      <c r="U28">
        <f>I28*Ajustes!AS28</f>
        <v>166</v>
      </c>
      <c r="V28">
        <f>J28*Ajustes!AT28</f>
        <v>135</v>
      </c>
      <c r="W28">
        <f>K28*Ajustes!AU28</f>
        <v>123</v>
      </c>
      <c r="X28">
        <f>L28*Ajustes!AV28</f>
        <v>152</v>
      </c>
      <c r="Y28">
        <f>M28*Ajustes!AW28</f>
        <v>224</v>
      </c>
      <c r="Z28">
        <f>N28*Ajustes!AX28</f>
        <v>376</v>
      </c>
      <c r="AA28">
        <f>IF(Ajustes!$G28&gt;0,INDEX($AA$4:$AL$323,Ajustes!$G28,O$2),0)+IF(Ajustes!$H28&gt;0,INDEX($AA$4:$AL$323,Ajustes!$H28,O$2),0)+IF(Ajustes!$I28&gt;0,INDEX($AA$4:$AL$323,Ajustes!$I28,O$2),0)+IF(Ajustes!$J28&gt;0,INDEX($AA$4:$AL$323,Ajustes!$J28,O$2),0)+IF(Ajustes!$K28&gt;0,INDEX($AA$5:$AL$324,Ajustes!$K28,O$2),0)+IF(Ajustes!$L28&gt;0,INDEX($AA$4:$AL$323,Ajustes!$L28,O$2),0) + O28</f>
        <v>530</v>
      </c>
      <c r="AB28">
        <f>IF(Ajustes!$G28&gt;0,INDEX($AA$4:$AL$323,Ajustes!$G28,P$2),0)+IF(Ajustes!$H28&gt;0,INDEX($AA$4:$AL$323,Ajustes!$H28,P$2),0)+IF(Ajustes!$I28&gt;0,INDEX($AA$4:$AL$323,Ajustes!$I28,P$2),0)+IF(Ajustes!$J28&gt;0,INDEX($AA$4:$AL$323,Ajustes!$J28,P$2),0)+IF(Ajustes!$K28&gt;0,INDEX($AA$5:$AL$324,Ajustes!$K28,P$2),0)+IF(Ajustes!$L28&gt;0,INDEX($AA$4:$AL$323,Ajustes!$L28,P$2),0) + P28</f>
        <v>532</v>
      </c>
      <c r="AC28">
        <f>IF(Ajustes!$G28&gt;0,INDEX($AA$4:$AL$323,Ajustes!$G28,Q$2),0)+IF(Ajustes!$H28&gt;0,INDEX($AA$4:$AL$323,Ajustes!$H28,Q$2),0)+IF(Ajustes!$I28&gt;0,INDEX($AA$4:$AL$323,Ajustes!$I28,Q$2),0)+IF(Ajustes!$J28&gt;0,INDEX($AA$4:$AL$323,Ajustes!$J28,Q$2),0)+IF(Ajustes!$K28&gt;0,INDEX($AA$5:$AL$324,Ajustes!$K28,Q$2),0)+IF(Ajustes!$L28&gt;0,INDEX($AA$4:$AL$323,Ajustes!$L28,Q$2),0) + Q28</f>
        <v>499</v>
      </c>
      <c r="AD28">
        <f>IF(Ajustes!$G28&gt;0,INDEX($AA$4:$AL$323,Ajustes!$G28,R$2),0)+IF(Ajustes!$H28&gt;0,INDEX($AA$4:$AL$323,Ajustes!$H28,R$2),0)+IF(Ajustes!$I28&gt;0,INDEX($AA$4:$AL$323,Ajustes!$I28,R$2),0)+IF(Ajustes!$J28&gt;0,INDEX($AA$4:$AL$323,Ajustes!$J28,R$2),0)+IF(Ajustes!$K28&gt;0,INDEX($AA$5:$AL$324,Ajustes!$K28,R$2),0)+IF(Ajustes!$L28&gt;0,INDEX($AA$4:$AL$323,Ajustes!$L28,R$2),0) + R28</f>
        <v>375</v>
      </c>
      <c r="AE28">
        <f>IF(Ajustes!$G28&gt;0,INDEX($AA$4:$AL$323,Ajustes!$G28,S$2),0)+IF(Ajustes!$H28&gt;0,INDEX($AA$4:$AL$323,Ajustes!$H28,S$2),0)+IF(Ajustes!$I28&gt;0,INDEX($AA$4:$AL$323,Ajustes!$I28,S$2),0)+IF(Ajustes!$J28&gt;0,INDEX($AA$4:$AL$323,Ajustes!$J28,S$2),0)+IF(Ajustes!$K28&gt;0,INDEX($AA$5:$AL$324,Ajustes!$K28,S$2),0)+IF(Ajustes!$L28&gt;0,INDEX($AA$4:$AL$323,Ajustes!$L28,S$2),0) + S28</f>
        <v>257</v>
      </c>
      <c r="AF28">
        <f>IF(Ajustes!$G28&gt;0,INDEX($AA$4:$AL$323,Ajustes!$G28,T$2),0)+IF(Ajustes!$H28&gt;0,INDEX($AA$4:$AL$323,Ajustes!$H28,T$2),0)+IF(Ajustes!$I28&gt;0,INDEX($AA$4:$AL$323,Ajustes!$I28,T$2),0)+IF(Ajustes!$J28&gt;0,INDEX($AA$4:$AL$323,Ajustes!$J28,T$2),0)+IF(Ajustes!$K28&gt;0,INDEX($AA$5:$AL$324,Ajustes!$K28,T$2),0)+IF(Ajustes!$L28&gt;0,INDEX($AA$4:$AL$323,Ajustes!$L28,T$2),0) + T28</f>
        <v>201</v>
      </c>
      <c r="AG28">
        <f>IF(Ajustes!$G28&gt;0,INDEX($AA$4:$AL$323,Ajustes!$G28,U$2),0)+IF(Ajustes!$H28&gt;0,INDEX($AA$4:$AL$323,Ajustes!$H28,U$2),0)+IF(Ajustes!$I28&gt;0,INDEX($AA$4:$AL$323,Ajustes!$I28,U$2),0)+IF(Ajustes!$J28&gt;0,INDEX($AA$4:$AL$323,Ajustes!$J28,U$2),0)+IF(Ajustes!$K28&gt;0,INDEX($AA$5:$AL$324,Ajustes!$K28,U$2),0)+IF(Ajustes!$L28&gt;0,INDEX($AA$4:$AL$323,Ajustes!$L28,U$2),0) + U28</f>
        <v>166</v>
      </c>
      <c r="AH28">
        <f>IF(Ajustes!$G28&gt;0,INDEX($AA$4:$AL$323,Ajustes!$G28,V$2),0)+IF(Ajustes!$H28&gt;0,INDEX($AA$4:$AL$323,Ajustes!$H28,V$2),0)+IF(Ajustes!$I28&gt;0,INDEX($AA$4:$AL$323,Ajustes!$I28,V$2),0)+IF(Ajustes!$J28&gt;0,INDEX($AA$4:$AL$323,Ajustes!$J28,V$2),0)+IF(Ajustes!$K28&gt;0,INDEX($AA$5:$AL$324,Ajustes!$K28,V$2),0)+IF(Ajustes!$L28&gt;0,INDEX($AA$4:$AL$323,Ajustes!$L28,V$2),0) + V28</f>
        <v>135</v>
      </c>
      <c r="AI28">
        <f>IF(Ajustes!$G28&gt;0,INDEX($AA$4:$AL$323,Ajustes!$G28,W$2),0)+IF(Ajustes!$H28&gt;0,INDEX($AA$4:$AL$323,Ajustes!$H28,W$2),0)+IF(Ajustes!$I28&gt;0,INDEX($AA$4:$AL$323,Ajustes!$I28,W$2),0)+IF(Ajustes!$J28&gt;0,INDEX($AA$4:$AL$323,Ajustes!$J28,W$2),0)+IF(Ajustes!$K28&gt;0,INDEX($AA$5:$AL$324,Ajustes!$K28,W$2),0)+IF(Ajustes!$L28&gt;0,INDEX($AA$4:$AL$323,Ajustes!$L28,W$2),0) + W28</f>
        <v>123</v>
      </c>
      <c r="AJ28">
        <f>IF(Ajustes!$G28&gt;0,INDEX($AA$4:$AL$323,Ajustes!$G28,X$2),0)+IF(Ajustes!$H28&gt;0,INDEX($AA$4:$AL$323,Ajustes!$H28,X$2),0)+IF(Ajustes!$I28&gt;0,INDEX($AA$4:$AL$323,Ajustes!$I28,X$2),0)+IF(Ajustes!$J28&gt;0,INDEX($AA$4:$AL$323,Ajustes!$J28,X$2),0)+IF(Ajustes!$K28&gt;0,INDEX($AA$5:$AL$324,Ajustes!$K28,X$2),0)+IF(Ajustes!$L28&gt;0,INDEX($AA$4:$AL$323,Ajustes!$L28,X$2),0) + X28</f>
        <v>152</v>
      </c>
      <c r="AK28">
        <f>IF(Ajustes!$G28&gt;0,INDEX($AA$4:$AL$323,Ajustes!$G28,Y$2),0)+IF(Ajustes!$H28&gt;0,INDEX($AA$4:$AL$323,Ajustes!$H28,Y$2),0)+IF(Ajustes!$I28&gt;0,INDEX($AA$4:$AL$323,Ajustes!$I28,Y$2),0)+IF(Ajustes!$J28&gt;0,INDEX($AA$4:$AL$323,Ajustes!$J28,Y$2),0)+IF(Ajustes!$K28&gt;0,INDEX($AA$5:$AL$324,Ajustes!$K28,Y$2),0)+IF(Ajustes!$L28&gt;0,INDEX($AA$4:$AL$323,Ajustes!$L28,Y$2),0) + Y28</f>
        <v>224</v>
      </c>
      <c r="AL28">
        <f>IF(Ajustes!$G28&gt;0,INDEX($AA$4:$AL$323,Ajustes!$G28,Z$2),0)+IF(Ajustes!$H28&gt;0,INDEX($AA$4:$AL$323,Ajustes!$H28,Z$2),0)+IF(Ajustes!$I28&gt;0,INDEX($AA$4:$AL$323,Ajustes!$I28,Z$2),0)+IF(Ajustes!$J28&gt;0,INDEX($AA$4:$AL$323,Ajustes!$J28,Z$2),0)+IF(Ajustes!$K28&gt;0,INDEX($AA$5:$AL$324,Ajustes!$K28,Z$2),0)+IF(Ajustes!$L28&gt;0,INDEX($AA$4:$AL$323,Ajustes!$L28,Z$2),0) + Z28</f>
        <v>376</v>
      </c>
      <c r="AM28" s="113">
        <f t="shared" si="3"/>
        <v>530</v>
      </c>
      <c r="AN28" s="113">
        <f t="shared" si="3"/>
        <v>532</v>
      </c>
      <c r="AO28" s="113">
        <f t="shared" si="3"/>
        <v>499</v>
      </c>
      <c r="AP28" s="113">
        <f t="shared" si="3"/>
        <v>375</v>
      </c>
      <c r="AQ28" s="113">
        <f t="shared" si="3"/>
        <v>257</v>
      </c>
      <c r="AR28" s="113">
        <f t="shared" si="3"/>
        <v>201</v>
      </c>
      <c r="AS28" s="113">
        <f t="shared" si="3"/>
        <v>166</v>
      </c>
      <c r="AT28" s="113">
        <f t="shared" si="5"/>
        <v>135</v>
      </c>
      <c r="AU28" s="113">
        <f t="shared" si="4"/>
        <v>123</v>
      </c>
      <c r="AV28" s="113">
        <f t="shared" si="4"/>
        <v>152</v>
      </c>
      <c r="AW28" s="113">
        <f t="shared" si="4"/>
        <v>224</v>
      </c>
      <c r="AX28" s="113">
        <f t="shared" si="4"/>
        <v>376</v>
      </c>
      <c r="BB28">
        <f>ROW()</f>
        <v>28</v>
      </c>
      <c r="BC28" s="288" t="s">
        <v>6</v>
      </c>
      <c r="BD28" s="115">
        <v>1</v>
      </c>
      <c r="BE28" s="115">
        <v>1</v>
      </c>
      <c r="BF28" s="115">
        <v>1</v>
      </c>
      <c r="BG28" s="115">
        <v>1</v>
      </c>
      <c r="BH28" s="115">
        <v>1</v>
      </c>
      <c r="BI28" s="115">
        <v>1</v>
      </c>
      <c r="BJ28" s="115">
        <v>1</v>
      </c>
      <c r="BK28" s="115">
        <v>1</v>
      </c>
      <c r="BL28" s="115">
        <v>1</v>
      </c>
      <c r="BM28" s="115">
        <v>1</v>
      </c>
      <c r="BN28" s="115">
        <v>1</v>
      </c>
      <c r="BO28" s="287">
        <v>1</v>
      </c>
    </row>
    <row r="29" spans="1:67" x14ac:dyDescent="0.25">
      <c r="A29" s="113">
        <v>26</v>
      </c>
      <c r="B29" s="209"/>
      <c r="C29">
        <f>IFERROR(INDEX($BD$7:$BO$35,MATCH(Ajustes!$E$4:$E$323,$BC$7:$BC$35,0),$C$2:$N$2),1)</f>
        <v>1</v>
      </c>
      <c r="D29" s="113">
        <f>IFERROR(INDEX($BD$7:$BO$35,MATCH(Ajustes!$E$4:$E$323,$BC$7:$BC$35,0),$C$2:$N$2),1)</f>
        <v>1</v>
      </c>
      <c r="E29" s="113">
        <f>IFERROR(INDEX($BD$7:$BO$35,MATCH(Ajustes!$E$4:$E$323,$BC$7:$BC$35,0),$C$2:$N$2),1)</f>
        <v>1</v>
      </c>
      <c r="F29" s="113">
        <f>IFERROR(INDEX($BD$7:$BO$35,MATCH(Ajustes!$E$4:$E$323,$BC$7:$BC$35,0),$C$2:$N$2),1)</f>
        <v>1</v>
      </c>
      <c r="G29" s="113">
        <f>IFERROR(INDEX($BD$7:$BO$35,MATCH(Ajustes!$E$4:$E$323,$BC$7:$BC$35,0),$C$2:$N$2),1)</f>
        <v>1</v>
      </c>
      <c r="H29" s="113">
        <f>IFERROR(INDEX($BD$7:$BO$35,MATCH(Ajustes!$E$4:$E$323,$BC$7:$BC$35,0),$C$2:$N$2),1)</f>
        <v>1</v>
      </c>
      <c r="I29" s="113">
        <f>IFERROR(INDEX($BD$7:$BO$35,MATCH(Ajustes!$E$4:$E$323,$BC$7:$BC$35,0),$C$2:$N$2),1)</f>
        <v>1</v>
      </c>
      <c r="J29" s="113">
        <f>IFERROR(INDEX($BD$7:$BO$35,MATCH(Ajustes!$E$4:$E$323,$BC$7:$BC$35,0),$C$2:$N$2),1)</f>
        <v>1</v>
      </c>
      <c r="K29" s="113">
        <f>IFERROR(INDEX($BD$7:$BO$35,MATCH(Ajustes!$E$4:$E$323,$BC$7:$BC$35,0),$C$2:$N$2),1)</f>
        <v>1</v>
      </c>
      <c r="L29" s="113">
        <f>IFERROR(INDEX($BD$7:$BO$35,MATCH(Ajustes!$E$4:$E$323,$BC$7:$BC$35,0),$C$2:$N$2),1)</f>
        <v>1</v>
      </c>
      <c r="M29" s="113">
        <f>IFERROR(INDEX($BD$7:$BO$35,MATCH(Ajustes!$E$4:$E$323,$BC$7:$BC$35,0),$C$2:$N$2),1)</f>
        <v>1</v>
      </c>
      <c r="N29" s="113">
        <f>IFERROR(INDEX($BD$7:$BO$35,MATCH(Ajustes!$E$4:$E$323,$BC$7:$BC$35,0),$C$2:$N$2),1)</f>
        <v>1</v>
      </c>
      <c r="O29">
        <f>C29*Ajustes!AM29</f>
        <v>0</v>
      </c>
      <c r="P29">
        <f>D29*Ajustes!AN29</f>
        <v>0</v>
      </c>
      <c r="Q29">
        <f>E29*Ajustes!AO29</f>
        <v>0</v>
      </c>
      <c r="R29">
        <f>F29*Ajustes!AP29</f>
        <v>0</v>
      </c>
      <c r="S29">
        <f>G29*Ajustes!AQ29</f>
        <v>0</v>
      </c>
      <c r="T29">
        <f>H29*Ajustes!AR29</f>
        <v>0</v>
      </c>
      <c r="U29">
        <f>I29*Ajustes!AS29</f>
        <v>0</v>
      </c>
      <c r="V29">
        <f>J29*Ajustes!AT29</f>
        <v>0</v>
      </c>
      <c r="W29">
        <f>K29*Ajustes!AU29</f>
        <v>0</v>
      </c>
      <c r="X29">
        <f>L29*Ajustes!AV29</f>
        <v>0</v>
      </c>
      <c r="Y29">
        <f>M29*Ajustes!AW29</f>
        <v>0</v>
      </c>
      <c r="Z29">
        <f>N29*Ajustes!AX29</f>
        <v>0</v>
      </c>
      <c r="AA29">
        <f>IF(Ajustes!$G29&gt;0,INDEX($AA$4:$AL$323,Ajustes!$G29,O$2),0)+IF(Ajustes!$H29&gt;0,INDEX($AA$4:$AL$323,Ajustes!$H29,O$2),0)+IF(Ajustes!$I29&gt;0,INDEX($AA$4:$AL$323,Ajustes!$I29,O$2),0)+IF(Ajustes!$J29&gt;0,INDEX($AA$4:$AL$323,Ajustes!$J29,O$2),0)+IF(Ajustes!$K29&gt;0,INDEX($AA$5:$AL$324,Ajustes!$K29,O$2),0)+IF(Ajustes!$L29&gt;0,INDEX($AA$4:$AL$323,Ajustes!$L29,O$2),0) + O29</f>
        <v>0</v>
      </c>
      <c r="AB29">
        <f>IF(Ajustes!$G29&gt;0,INDEX($AA$4:$AL$323,Ajustes!$G29,P$2),0)+IF(Ajustes!$H29&gt;0,INDEX($AA$4:$AL$323,Ajustes!$H29,P$2),0)+IF(Ajustes!$I29&gt;0,INDEX($AA$4:$AL$323,Ajustes!$I29,P$2),0)+IF(Ajustes!$J29&gt;0,INDEX($AA$4:$AL$323,Ajustes!$J29,P$2),0)+IF(Ajustes!$K29&gt;0,INDEX($AA$5:$AL$324,Ajustes!$K29,P$2),0)+IF(Ajustes!$L29&gt;0,INDEX($AA$4:$AL$323,Ajustes!$L29,P$2),0) + P29</f>
        <v>0</v>
      </c>
      <c r="AC29">
        <f>IF(Ajustes!$G29&gt;0,INDEX($AA$4:$AL$323,Ajustes!$G29,Q$2),0)+IF(Ajustes!$H29&gt;0,INDEX($AA$4:$AL$323,Ajustes!$H29,Q$2),0)+IF(Ajustes!$I29&gt;0,INDEX($AA$4:$AL$323,Ajustes!$I29,Q$2),0)+IF(Ajustes!$J29&gt;0,INDEX($AA$4:$AL$323,Ajustes!$J29,Q$2),0)+IF(Ajustes!$K29&gt;0,INDEX($AA$5:$AL$324,Ajustes!$K29,Q$2),0)+IF(Ajustes!$L29&gt;0,INDEX($AA$4:$AL$323,Ajustes!$L29,Q$2),0) + Q29</f>
        <v>0</v>
      </c>
      <c r="AD29">
        <f>IF(Ajustes!$G29&gt;0,INDEX($AA$4:$AL$323,Ajustes!$G29,R$2),0)+IF(Ajustes!$H29&gt;0,INDEX($AA$4:$AL$323,Ajustes!$H29,R$2),0)+IF(Ajustes!$I29&gt;0,INDEX($AA$4:$AL$323,Ajustes!$I29,R$2),0)+IF(Ajustes!$J29&gt;0,INDEX($AA$4:$AL$323,Ajustes!$J29,R$2),0)+IF(Ajustes!$K29&gt;0,INDEX($AA$5:$AL$324,Ajustes!$K29,R$2),0)+IF(Ajustes!$L29&gt;0,INDEX($AA$4:$AL$323,Ajustes!$L29,R$2),0) + R29</f>
        <v>0</v>
      </c>
      <c r="AE29">
        <f>IF(Ajustes!$G29&gt;0,INDEX($AA$4:$AL$323,Ajustes!$G29,S$2),0)+IF(Ajustes!$H29&gt;0,INDEX($AA$4:$AL$323,Ajustes!$H29,S$2),0)+IF(Ajustes!$I29&gt;0,INDEX($AA$4:$AL$323,Ajustes!$I29,S$2),0)+IF(Ajustes!$J29&gt;0,INDEX($AA$4:$AL$323,Ajustes!$J29,S$2),0)+IF(Ajustes!$K29&gt;0,INDEX($AA$5:$AL$324,Ajustes!$K29,S$2),0)+IF(Ajustes!$L29&gt;0,INDEX($AA$4:$AL$323,Ajustes!$L29,S$2),0) + S29</f>
        <v>0</v>
      </c>
      <c r="AF29">
        <f>IF(Ajustes!$G29&gt;0,INDEX($AA$4:$AL$323,Ajustes!$G29,T$2),0)+IF(Ajustes!$H29&gt;0,INDEX($AA$4:$AL$323,Ajustes!$H29,T$2),0)+IF(Ajustes!$I29&gt;0,INDEX($AA$4:$AL$323,Ajustes!$I29,T$2),0)+IF(Ajustes!$J29&gt;0,INDEX($AA$4:$AL$323,Ajustes!$J29,T$2),0)+IF(Ajustes!$K29&gt;0,INDEX($AA$5:$AL$324,Ajustes!$K29,T$2),0)+IF(Ajustes!$L29&gt;0,INDEX($AA$4:$AL$323,Ajustes!$L29,T$2),0) + T29</f>
        <v>0</v>
      </c>
      <c r="AG29">
        <f>IF(Ajustes!$G29&gt;0,INDEX($AA$4:$AL$323,Ajustes!$G29,U$2),0)+IF(Ajustes!$H29&gt;0,INDEX($AA$4:$AL$323,Ajustes!$H29,U$2),0)+IF(Ajustes!$I29&gt;0,INDEX($AA$4:$AL$323,Ajustes!$I29,U$2),0)+IF(Ajustes!$J29&gt;0,INDEX($AA$4:$AL$323,Ajustes!$J29,U$2),0)+IF(Ajustes!$K29&gt;0,INDEX($AA$5:$AL$324,Ajustes!$K29,U$2),0)+IF(Ajustes!$L29&gt;0,INDEX($AA$4:$AL$323,Ajustes!$L29,U$2),0) + U29</f>
        <v>0</v>
      </c>
      <c r="AH29">
        <f>IF(Ajustes!$G29&gt;0,INDEX($AA$4:$AL$323,Ajustes!$G29,V$2),0)+IF(Ajustes!$H29&gt;0,INDEX($AA$4:$AL$323,Ajustes!$H29,V$2),0)+IF(Ajustes!$I29&gt;0,INDEX($AA$4:$AL$323,Ajustes!$I29,V$2),0)+IF(Ajustes!$J29&gt;0,INDEX($AA$4:$AL$323,Ajustes!$J29,V$2),0)+IF(Ajustes!$K29&gt;0,INDEX($AA$5:$AL$324,Ajustes!$K29,V$2),0)+IF(Ajustes!$L29&gt;0,INDEX($AA$4:$AL$323,Ajustes!$L29,V$2),0) + V29</f>
        <v>0</v>
      </c>
      <c r="AI29">
        <f>IF(Ajustes!$G29&gt;0,INDEX($AA$4:$AL$323,Ajustes!$G29,W$2),0)+IF(Ajustes!$H29&gt;0,INDEX($AA$4:$AL$323,Ajustes!$H29,W$2),0)+IF(Ajustes!$I29&gt;0,INDEX($AA$4:$AL$323,Ajustes!$I29,W$2),0)+IF(Ajustes!$J29&gt;0,INDEX($AA$4:$AL$323,Ajustes!$J29,W$2),0)+IF(Ajustes!$K29&gt;0,INDEX($AA$5:$AL$324,Ajustes!$K29,W$2),0)+IF(Ajustes!$L29&gt;0,INDEX($AA$4:$AL$323,Ajustes!$L29,W$2),0) + W29</f>
        <v>0</v>
      </c>
      <c r="AJ29">
        <f>IF(Ajustes!$G29&gt;0,INDEX($AA$4:$AL$323,Ajustes!$G29,X$2),0)+IF(Ajustes!$H29&gt;0,INDEX($AA$4:$AL$323,Ajustes!$H29,X$2),0)+IF(Ajustes!$I29&gt;0,INDEX($AA$4:$AL$323,Ajustes!$I29,X$2),0)+IF(Ajustes!$J29&gt;0,INDEX($AA$4:$AL$323,Ajustes!$J29,X$2),0)+IF(Ajustes!$K29&gt;0,INDEX($AA$5:$AL$324,Ajustes!$K29,X$2),0)+IF(Ajustes!$L29&gt;0,INDEX($AA$4:$AL$323,Ajustes!$L29,X$2),0) + X29</f>
        <v>0</v>
      </c>
      <c r="AK29">
        <f>IF(Ajustes!$G29&gt;0,INDEX($AA$4:$AL$323,Ajustes!$G29,Y$2),0)+IF(Ajustes!$H29&gt;0,INDEX($AA$4:$AL$323,Ajustes!$H29,Y$2),0)+IF(Ajustes!$I29&gt;0,INDEX($AA$4:$AL$323,Ajustes!$I29,Y$2),0)+IF(Ajustes!$J29&gt;0,INDEX($AA$4:$AL$323,Ajustes!$J29,Y$2),0)+IF(Ajustes!$K29&gt;0,INDEX($AA$5:$AL$324,Ajustes!$K29,Y$2),0)+IF(Ajustes!$L29&gt;0,INDEX($AA$4:$AL$323,Ajustes!$L29,Y$2),0) + Y29</f>
        <v>0</v>
      </c>
      <c r="AL29">
        <f>IF(Ajustes!$G29&gt;0,INDEX($AA$4:$AL$323,Ajustes!$G29,Z$2),0)+IF(Ajustes!$H29&gt;0,INDEX($AA$4:$AL$323,Ajustes!$H29,Z$2),0)+IF(Ajustes!$I29&gt;0,INDEX($AA$4:$AL$323,Ajustes!$I29,Z$2),0)+IF(Ajustes!$J29&gt;0,INDEX($AA$4:$AL$323,Ajustes!$J29,Z$2),0)+IF(Ajustes!$K29&gt;0,INDEX($AA$5:$AL$324,Ajustes!$K29,Z$2),0)+IF(Ajustes!$L29&gt;0,INDEX($AA$4:$AL$323,Ajustes!$L29,Z$2),0) + Z29</f>
        <v>0</v>
      </c>
      <c r="AM29" s="113">
        <f t="shared" si="3"/>
        <v>0</v>
      </c>
      <c r="AN29" s="113">
        <f t="shared" si="3"/>
        <v>0</v>
      </c>
      <c r="AO29" s="113">
        <f t="shared" si="3"/>
        <v>0</v>
      </c>
      <c r="AP29" s="113">
        <f t="shared" si="3"/>
        <v>0</v>
      </c>
      <c r="AQ29" s="113">
        <f t="shared" si="3"/>
        <v>0</v>
      </c>
      <c r="AR29" s="113">
        <f t="shared" si="3"/>
        <v>0</v>
      </c>
      <c r="AS29" s="113">
        <f t="shared" si="3"/>
        <v>0</v>
      </c>
      <c r="AT29" s="113">
        <f t="shared" si="5"/>
        <v>0</v>
      </c>
      <c r="AU29" s="113">
        <f t="shared" si="4"/>
        <v>0</v>
      </c>
      <c r="AV29" s="113">
        <f t="shared" si="4"/>
        <v>0</v>
      </c>
      <c r="AW29" s="113">
        <f t="shared" si="4"/>
        <v>0</v>
      </c>
      <c r="AX29" s="113">
        <f t="shared" si="4"/>
        <v>0</v>
      </c>
      <c r="BB29">
        <f>ROW()</f>
        <v>29</v>
      </c>
      <c r="BC29" s="289" t="s">
        <v>21</v>
      </c>
      <c r="BD29" s="115">
        <v>1</v>
      </c>
      <c r="BE29" s="115">
        <v>1</v>
      </c>
      <c r="BF29" s="115">
        <v>1</v>
      </c>
      <c r="BG29" s="115">
        <v>1</v>
      </c>
      <c r="BH29" s="115">
        <v>1</v>
      </c>
      <c r="BI29" s="115">
        <v>1</v>
      </c>
      <c r="BJ29" s="115">
        <v>1</v>
      </c>
      <c r="BK29" s="115">
        <v>1</v>
      </c>
      <c r="BL29" s="115">
        <v>1</v>
      </c>
      <c r="BM29" s="115">
        <v>1</v>
      </c>
      <c r="BN29" s="115">
        <v>1</v>
      </c>
      <c r="BO29" s="287">
        <v>1</v>
      </c>
    </row>
    <row r="30" spans="1:67" x14ac:dyDescent="0.25">
      <c r="A30" s="113">
        <v>27</v>
      </c>
      <c r="B30" s="209"/>
      <c r="C30">
        <f>IFERROR(INDEX($BD$7:$BO$35,MATCH(Ajustes!$E$4:$E$323,$BC$7:$BC$35,0),$C$2:$N$2),1)</f>
        <v>1</v>
      </c>
      <c r="D30" s="113">
        <f>IFERROR(INDEX($BD$7:$BO$35,MATCH(Ajustes!$E$4:$E$323,$BC$7:$BC$35,0),$C$2:$N$2),1)</f>
        <v>1</v>
      </c>
      <c r="E30" s="113">
        <f>IFERROR(INDEX($BD$7:$BO$35,MATCH(Ajustes!$E$4:$E$323,$BC$7:$BC$35,0),$C$2:$N$2),1)</f>
        <v>1</v>
      </c>
      <c r="F30" s="113">
        <f>IFERROR(INDEX($BD$7:$BO$35,MATCH(Ajustes!$E$4:$E$323,$BC$7:$BC$35,0),$C$2:$N$2),1)</f>
        <v>1</v>
      </c>
      <c r="G30" s="113">
        <f>IFERROR(INDEX($BD$7:$BO$35,MATCH(Ajustes!$E$4:$E$323,$BC$7:$BC$35,0),$C$2:$N$2),1)</f>
        <v>1</v>
      </c>
      <c r="H30" s="113">
        <f>IFERROR(INDEX($BD$7:$BO$35,MATCH(Ajustes!$E$4:$E$323,$BC$7:$BC$35,0),$C$2:$N$2),1)</f>
        <v>1</v>
      </c>
      <c r="I30" s="113">
        <f>IFERROR(INDEX($BD$7:$BO$35,MATCH(Ajustes!$E$4:$E$323,$BC$7:$BC$35,0),$C$2:$N$2),1)</f>
        <v>1</v>
      </c>
      <c r="J30" s="113">
        <f>IFERROR(INDEX($BD$7:$BO$35,MATCH(Ajustes!$E$4:$E$323,$BC$7:$BC$35,0),$C$2:$N$2),1)</f>
        <v>1</v>
      </c>
      <c r="K30" s="113">
        <f>IFERROR(INDEX($BD$7:$BO$35,MATCH(Ajustes!$E$4:$E$323,$BC$7:$BC$35,0),$C$2:$N$2),1)</f>
        <v>1</v>
      </c>
      <c r="L30" s="113">
        <f>IFERROR(INDEX($BD$7:$BO$35,MATCH(Ajustes!$E$4:$E$323,$BC$7:$BC$35,0),$C$2:$N$2),1)</f>
        <v>1</v>
      </c>
      <c r="M30" s="113">
        <f>IFERROR(INDEX($BD$7:$BO$35,MATCH(Ajustes!$E$4:$E$323,$BC$7:$BC$35,0),$C$2:$N$2),1)</f>
        <v>1</v>
      </c>
      <c r="N30" s="113">
        <f>IFERROR(INDEX($BD$7:$BO$35,MATCH(Ajustes!$E$4:$E$323,$BC$7:$BC$35,0),$C$2:$N$2),1)</f>
        <v>1</v>
      </c>
      <c r="O30">
        <f>C30*Ajustes!AM30</f>
        <v>0</v>
      </c>
      <c r="P30">
        <f>D30*Ajustes!AN30</f>
        <v>0</v>
      </c>
      <c r="Q30">
        <f>E30*Ajustes!AO30</f>
        <v>0</v>
      </c>
      <c r="R30">
        <f>F30*Ajustes!AP30</f>
        <v>0</v>
      </c>
      <c r="S30">
        <f>G30*Ajustes!AQ30</f>
        <v>0</v>
      </c>
      <c r="T30">
        <f>H30*Ajustes!AR30</f>
        <v>0</v>
      </c>
      <c r="U30">
        <f>I30*Ajustes!AS30</f>
        <v>0</v>
      </c>
      <c r="V30">
        <f>J30*Ajustes!AT30</f>
        <v>0</v>
      </c>
      <c r="W30">
        <f>K30*Ajustes!AU30</f>
        <v>0</v>
      </c>
      <c r="X30">
        <f>L30*Ajustes!AV30</f>
        <v>0</v>
      </c>
      <c r="Y30">
        <f>M30*Ajustes!AW30</f>
        <v>0</v>
      </c>
      <c r="Z30">
        <f>N30*Ajustes!AX30</f>
        <v>0</v>
      </c>
      <c r="AA30">
        <f>IF(Ajustes!$G30&gt;0,INDEX($AA$4:$AL$323,Ajustes!$G30,O$2),0)+IF(Ajustes!$H30&gt;0,INDEX($AA$4:$AL$323,Ajustes!$H30,O$2),0)+IF(Ajustes!$I30&gt;0,INDEX($AA$4:$AL$323,Ajustes!$I30,O$2),0)+IF(Ajustes!$J30&gt;0,INDEX($AA$4:$AL$323,Ajustes!$J30,O$2),0)+IF(Ajustes!$K30&gt;0,INDEX($AA$5:$AL$324,Ajustes!$K30,O$2),0)+IF(Ajustes!$L30&gt;0,INDEX($AA$4:$AL$323,Ajustes!$L30,O$2),0) + O30</f>
        <v>0</v>
      </c>
      <c r="AB30">
        <f>IF(Ajustes!$G30&gt;0,INDEX($AA$4:$AL$323,Ajustes!$G30,P$2),0)+IF(Ajustes!$H30&gt;0,INDEX($AA$4:$AL$323,Ajustes!$H30,P$2),0)+IF(Ajustes!$I30&gt;0,INDEX($AA$4:$AL$323,Ajustes!$I30,P$2),0)+IF(Ajustes!$J30&gt;0,INDEX($AA$4:$AL$323,Ajustes!$J30,P$2),0)+IF(Ajustes!$K30&gt;0,INDEX($AA$5:$AL$324,Ajustes!$K30,P$2),0)+IF(Ajustes!$L30&gt;0,INDEX($AA$4:$AL$323,Ajustes!$L30,P$2),0) + P30</f>
        <v>0</v>
      </c>
      <c r="AC30">
        <f>IF(Ajustes!$G30&gt;0,INDEX($AA$4:$AL$323,Ajustes!$G30,Q$2),0)+IF(Ajustes!$H30&gt;0,INDEX($AA$4:$AL$323,Ajustes!$H30,Q$2),0)+IF(Ajustes!$I30&gt;0,INDEX($AA$4:$AL$323,Ajustes!$I30,Q$2),0)+IF(Ajustes!$J30&gt;0,INDEX($AA$4:$AL$323,Ajustes!$J30,Q$2),0)+IF(Ajustes!$K30&gt;0,INDEX($AA$5:$AL$324,Ajustes!$K30,Q$2),0)+IF(Ajustes!$L30&gt;0,INDEX($AA$4:$AL$323,Ajustes!$L30,Q$2),0) + Q30</f>
        <v>0</v>
      </c>
      <c r="AD30">
        <f>IF(Ajustes!$G30&gt;0,INDEX($AA$4:$AL$323,Ajustes!$G30,R$2),0)+IF(Ajustes!$H30&gt;0,INDEX($AA$4:$AL$323,Ajustes!$H30,R$2),0)+IF(Ajustes!$I30&gt;0,INDEX($AA$4:$AL$323,Ajustes!$I30,R$2),0)+IF(Ajustes!$J30&gt;0,INDEX($AA$4:$AL$323,Ajustes!$J30,R$2),0)+IF(Ajustes!$K30&gt;0,INDEX($AA$5:$AL$324,Ajustes!$K30,R$2),0)+IF(Ajustes!$L30&gt;0,INDEX($AA$4:$AL$323,Ajustes!$L30,R$2),0) + R30</f>
        <v>0</v>
      </c>
      <c r="AE30">
        <f>IF(Ajustes!$G30&gt;0,INDEX($AA$4:$AL$323,Ajustes!$G30,S$2),0)+IF(Ajustes!$H30&gt;0,INDEX($AA$4:$AL$323,Ajustes!$H30,S$2),0)+IF(Ajustes!$I30&gt;0,INDEX($AA$4:$AL$323,Ajustes!$I30,S$2),0)+IF(Ajustes!$J30&gt;0,INDEX($AA$4:$AL$323,Ajustes!$J30,S$2),0)+IF(Ajustes!$K30&gt;0,INDEX($AA$5:$AL$324,Ajustes!$K30,S$2),0)+IF(Ajustes!$L30&gt;0,INDEX($AA$4:$AL$323,Ajustes!$L30,S$2),0) + S30</f>
        <v>0</v>
      </c>
      <c r="AF30">
        <f>IF(Ajustes!$G30&gt;0,INDEX($AA$4:$AL$323,Ajustes!$G30,T$2),0)+IF(Ajustes!$H30&gt;0,INDEX($AA$4:$AL$323,Ajustes!$H30,T$2),0)+IF(Ajustes!$I30&gt;0,INDEX($AA$4:$AL$323,Ajustes!$I30,T$2),0)+IF(Ajustes!$J30&gt;0,INDEX($AA$4:$AL$323,Ajustes!$J30,T$2),0)+IF(Ajustes!$K30&gt;0,INDEX($AA$5:$AL$324,Ajustes!$K30,T$2),0)+IF(Ajustes!$L30&gt;0,INDEX($AA$4:$AL$323,Ajustes!$L30,T$2),0) + T30</f>
        <v>0</v>
      </c>
      <c r="AG30">
        <f>IF(Ajustes!$G30&gt;0,INDEX($AA$4:$AL$323,Ajustes!$G30,U$2),0)+IF(Ajustes!$H30&gt;0,INDEX($AA$4:$AL$323,Ajustes!$H30,U$2),0)+IF(Ajustes!$I30&gt;0,INDEX($AA$4:$AL$323,Ajustes!$I30,U$2),0)+IF(Ajustes!$J30&gt;0,INDEX($AA$4:$AL$323,Ajustes!$J30,U$2),0)+IF(Ajustes!$K30&gt;0,INDEX($AA$5:$AL$324,Ajustes!$K30,U$2),0)+IF(Ajustes!$L30&gt;0,INDEX($AA$4:$AL$323,Ajustes!$L30,U$2),0) + U30</f>
        <v>0</v>
      </c>
      <c r="AH30">
        <f>IF(Ajustes!$G30&gt;0,INDEX($AA$4:$AL$323,Ajustes!$G30,V$2),0)+IF(Ajustes!$H30&gt;0,INDEX($AA$4:$AL$323,Ajustes!$H30,V$2),0)+IF(Ajustes!$I30&gt;0,INDEX($AA$4:$AL$323,Ajustes!$I30,V$2),0)+IF(Ajustes!$J30&gt;0,INDEX($AA$4:$AL$323,Ajustes!$J30,V$2),0)+IF(Ajustes!$K30&gt;0,INDEX($AA$5:$AL$324,Ajustes!$K30,V$2),0)+IF(Ajustes!$L30&gt;0,INDEX($AA$4:$AL$323,Ajustes!$L30,V$2),0) + V30</f>
        <v>0</v>
      </c>
      <c r="AI30">
        <f>IF(Ajustes!$G30&gt;0,INDEX($AA$4:$AL$323,Ajustes!$G30,W$2),0)+IF(Ajustes!$H30&gt;0,INDEX($AA$4:$AL$323,Ajustes!$H30,W$2),0)+IF(Ajustes!$I30&gt;0,INDEX($AA$4:$AL$323,Ajustes!$I30,W$2),0)+IF(Ajustes!$J30&gt;0,INDEX($AA$4:$AL$323,Ajustes!$J30,W$2),0)+IF(Ajustes!$K30&gt;0,INDEX($AA$5:$AL$324,Ajustes!$K30,W$2),0)+IF(Ajustes!$L30&gt;0,INDEX($AA$4:$AL$323,Ajustes!$L30,W$2),0) + W30</f>
        <v>0</v>
      </c>
      <c r="AJ30">
        <f>IF(Ajustes!$G30&gt;0,INDEX($AA$4:$AL$323,Ajustes!$G30,X$2),0)+IF(Ajustes!$H30&gt;0,INDEX($AA$4:$AL$323,Ajustes!$H30,X$2),0)+IF(Ajustes!$I30&gt;0,INDEX($AA$4:$AL$323,Ajustes!$I30,X$2),0)+IF(Ajustes!$J30&gt;0,INDEX($AA$4:$AL$323,Ajustes!$J30,X$2),0)+IF(Ajustes!$K30&gt;0,INDEX($AA$5:$AL$324,Ajustes!$K30,X$2),0)+IF(Ajustes!$L30&gt;0,INDEX($AA$4:$AL$323,Ajustes!$L30,X$2),0) + X30</f>
        <v>0</v>
      </c>
      <c r="AK30">
        <f>IF(Ajustes!$G30&gt;0,INDEX($AA$4:$AL$323,Ajustes!$G30,Y$2),0)+IF(Ajustes!$H30&gt;0,INDEX($AA$4:$AL$323,Ajustes!$H30,Y$2),0)+IF(Ajustes!$I30&gt;0,INDEX($AA$4:$AL$323,Ajustes!$I30,Y$2),0)+IF(Ajustes!$J30&gt;0,INDEX($AA$4:$AL$323,Ajustes!$J30,Y$2),0)+IF(Ajustes!$K30&gt;0,INDEX($AA$5:$AL$324,Ajustes!$K30,Y$2),0)+IF(Ajustes!$L30&gt;0,INDEX($AA$4:$AL$323,Ajustes!$L30,Y$2),0) + Y30</f>
        <v>0</v>
      </c>
      <c r="AL30">
        <f>IF(Ajustes!$G30&gt;0,INDEX($AA$4:$AL$323,Ajustes!$G30,Z$2),0)+IF(Ajustes!$H30&gt;0,INDEX($AA$4:$AL$323,Ajustes!$H30,Z$2),0)+IF(Ajustes!$I30&gt;0,INDEX($AA$4:$AL$323,Ajustes!$I30,Z$2),0)+IF(Ajustes!$J30&gt;0,INDEX($AA$4:$AL$323,Ajustes!$J30,Z$2),0)+IF(Ajustes!$K30&gt;0,INDEX($AA$5:$AL$324,Ajustes!$K30,Z$2),0)+IF(Ajustes!$L30&gt;0,INDEX($AA$4:$AL$323,Ajustes!$L30,Z$2),0) + Z30</f>
        <v>0</v>
      </c>
      <c r="AM30" s="113">
        <f t="shared" si="3"/>
        <v>0</v>
      </c>
      <c r="AN30" s="113">
        <f t="shared" si="3"/>
        <v>0</v>
      </c>
      <c r="AO30" s="113">
        <f t="shared" si="3"/>
        <v>0</v>
      </c>
      <c r="AP30" s="113">
        <f t="shared" si="3"/>
        <v>0</v>
      </c>
      <c r="AQ30" s="113">
        <f t="shared" si="3"/>
        <v>0</v>
      </c>
      <c r="AR30" s="113">
        <f t="shared" si="3"/>
        <v>0</v>
      </c>
      <c r="AS30" s="113">
        <f t="shared" si="3"/>
        <v>0</v>
      </c>
      <c r="AT30" s="113">
        <f t="shared" si="5"/>
        <v>0</v>
      </c>
      <c r="AU30" s="113">
        <f t="shared" si="4"/>
        <v>0</v>
      </c>
      <c r="AV30" s="113">
        <f t="shared" si="4"/>
        <v>0</v>
      </c>
      <c r="AW30" s="113">
        <f t="shared" si="4"/>
        <v>0</v>
      </c>
      <c r="AX30" s="113">
        <f t="shared" si="4"/>
        <v>0</v>
      </c>
      <c r="BB30">
        <f>ROW()</f>
        <v>30</v>
      </c>
      <c r="BC30" s="289" t="s">
        <v>25</v>
      </c>
      <c r="BD30" s="115">
        <v>1</v>
      </c>
      <c r="BE30" s="115">
        <v>1</v>
      </c>
      <c r="BF30" s="115">
        <v>1</v>
      </c>
      <c r="BG30" s="115">
        <v>1</v>
      </c>
      <c r="BH30" s="115">
        <v>1</v>
      </c>
      <c r="BI30" s="115">
        <v>1</v>
      </c>
      <c r="BJ30" s="115">
        <v>1</v>
      </c>
      <c r="BK30" s="115">
        <v>1</v>
      </c>
      <c r="BL30" s="115">
        <v>1</v>
      </c>
      <c r="BM30" s="115">
        <v>1</v>
      </c>
      <c r="BN30" s="115">
        <v>1</v>
      </c>
      <c r="BO30" s="287">
        <v>1</v>
      </c>
    </row>
    <row r="31" spans="1:67" x14ac:dyDescent="0.25">
      <c r="A31" s="113">
        <v>28</v>
      </c>
      <c r="B31" s="209" t="s">
        <v>257</v>
      </c>
      <c r="C31">
        <f>IFERROR(INDEX($BD$7:$BO$35,MATCH(Ajustes!$E$4:$E$323,$BC$7:$BC$35,0),$C$2:$N$2),1)</f>
        <v>1</v>
      </c>
      <c r="D31" s="113">
        <f>IFERROR(INDEX($BD$7:$BO$35,MATCH(Ajustes!$E$4:$E$323,$BC$7:$BC$35,0),$C$2:$N$2),1)</f>
        <v>1</v>
      </c>
      <c r="E31" s="113">
        <f>IFERROR(INDEX($BD$7:$BO$35,MATCH(Ajustes!$E$4:$E$323,$BC$7:$BC$35,0),$C$2:$N$2),1)</f>
        <v>1</v>
      </c>
      <c r="F31" s="113">
        <f>IFERROR(INDEX($BD$7:$BO$35,MATCH(Ajustes!$E$4:$E$323,$BC$7:$BC$35,0),$C$2:$N$2),1)</f>
        <v>1</v>
      </c>
      <c r="G31" s="113">
        <f>IFERROR(INDEX($BD$7:$BO$35,MATCH(Ajustes!$E$4:$E$323,$BC$7:$BC$35,0),$C$2:$N$2),1)</f>
        <v>1</v>
      </c>
      <c r="H31" s="113">
        <f>IFERROR(INDEX($BD$7:$BO$35,MATCH(Ajustes!$E$4:$E$323,$BC$7:$BC$35,0),$C$2:$N$2),1)</f>
        <v>1</v>
      </c>
      <c r="I31" s="113">
        <f>IFERROR(INDEX($BD$7:$BO$35,MATCH(Ajustes!$E$4:$E$323,$BC$7:$BC$35,0),$C$2:$N$2),1)</f>
        <v>1</v>
      </c>
      <c r="J31" s="113">
        <f>IFERROR(INDEX($BD$7:$BO$35,MATCH(Ajustes!$E$4:$E$323,$BC$7:$BC$35,0),$C$2:$N$2),1)</f>
        <v>1</v>
      </c>
      <c r="K31" s="113">
        <f>IFERROR(INDEX($BD$7:$BO$35,MATCH(Ajustes!$E$4:$E$323,$BC$7:$BC$35,0),$C$2:$N$2),1)</f>
        <v>1</v>
      </c>
      <c r="L31" s="113">
        <f>IFERROR(INDEX($BD$7:$BO$35,MATCH(Ajustes!$E$4:$E$323,$BC$7:$BC$35,0),$C$2:$N$2),1)</f>
        <v>1</v>
      </c>
      <c r="M31" s="113">
        <f>IFERROR(INDEX($BD$7:$BO$35,MATCH(Ajustes!$E$4:$E$323,$BC$7:$BC$35,0),$C$2:$N$2),1)</f>
        <v>1</v>
      </c>
      <c r="N31" s="113">
        <f>IFERROR(INDEX($BD$7:$BO$35,MATCH(Ajustes!$E$4:$E$323,$BC$7:$BC$35,0),$C$2:$N$2),1)</f>
        <v>1</v>
      </c>
      <c r="O31">
        <f>C31*Ajustes!AM31</f>
        <v>24</v>
      </c>
      <c r="P31">
        <f>D31*Ajustes!AN31</f>
        <v>27</v>
      </c>
      <c r="Q31">
        <f>E31*Ajustes!AO31</f>
        <v>25</v>
      </c>
      <c r="R31">
        <f>F31*Ajustes!AP31</f>
        <v>21</v>
      </c>
      <c r="S31">
        <f>G31*Ajustes!AQ31</f>
        <v>14</v>
      </c>
      <c r="T31">
        <f>H31*Ajustes!AR31</f>
        <v>11</v>
      </c>
      <c r="U31">
        <f>I31*Ajustes!AS31</f>
        <v>9</v>
      </c>
      <c r="V31">
        <f>J31*Ajustes!AT31</f>
        <v>9</v>
      </c>
      <c r="W31">
        <f>K31*Ajustes!AU31</f>
        <v>8</v>
      </c>
      <c r="X31">
        <f>L31*Ajustes!AV31</f>
        <v>8</v>
      </c>
      <c r="Y31">
        <f>M31*Ajustes!AW31</f>
        <v>11</v>
      </c>
      <c r="Z31">
        <f>N31*Ajustes!AX31</f>
        <v>17</v>
      </c>
      <c r="AA31">
        <f>IF(Ajustes!$G31&gt;0,INDEX($AA$4:$AL$323,Ajustes!$G31,O$2),0)+IF(Ajustes!$H31&gt;0,INDEX($AA$4:$AL$323,Ajustes!$H31,O$2),0)+IF(Ajustes!$I31&gt;0,INDEX($AA$4:$AL$323,Ajustes!$I31,O$2),0)+IF(Ajustes!$J31&gt;0,INDEX($AA$4:$AL$323,Ajustes!$J31,O$2),0)+IF(Ajustes!$K31&gt;0,INDEX($AA$5:$AL$324,Ajustes!$K31,O$2),0)+IF(Ajustes!$L31&gt;0,INDEX($AA$4:$AL$323,Ajustes!$L31,O$2),0) + O31</f>
        <v>644</v>
      </c>
      <c r="AB31">
        <f>IF(Ajustes!$G31&gt;0,INDEX($AA$4:$AL$323,Ajustes!$G31,P$2),0)+IF(Ajustes!$H31&gt;0,INDEX($AA$4:$AL$323,Ajustes!$H31,P$2),0)+IF(Ajustes!$I31&gt;0,INDEX($AA$4:$AL$323,Ajustes!$I31,P$2),0)+IF(Ajustes!$J31&gt;0,INDEX($AA$4:$AL$323,Ajustes!$J31,P$2),0)+IF(Ajustes!$K31&gt;0,INDEX($AA$5:$AL$324,Ajustes!$K31,P$2),0)+IF(Ajustes!$L31&gt;0,INDEX($AA$4:$AL$323,Ajustes!$L31,P$2),0) + P31</f>
        <v>653</v>
      </c>
      <c r="AC31">
        <f>IF(Ajustes!$G31&gt;0,INDEX($AA$4:$AL$323,Ajustes!$G31,Q$2),0)+IF(Ajustes!$H31&gt;0,INDEX($AA$4:$AL$323,Ajustes!$H31,Q$2),0)+IF(Ajustes!$I31&gt;0,INDEX($AA$4:$AL$323,Ajustes!$I31,Q$2),0)+IF(Ajustes!$J31&gt;0,INDEX($AA$4:$AL$323,Ajustes!$J31,Q$2),0)+IF(Ajustes!$K31&gt;0,INDEX($AA$5:$AL$324,Ajustes!$K31,Q$2),0)+IF(Ajustes!$L31&gt;0,INDEX($AA$4:$AL$323,Ajustes!$L31,Q$2),0) + Q31</f>
        <v>614</v>
      </c>
      <c r="AD31">
        <f>IF(Ajustes!$G31&gt;0,INDEX($AA$4:$AL$323,Ajustes!$G31,R$2),0)+IF(Ajustes!$H31&gt;0,INDEX($AA$4:$AL$323,Ajustes!$H31,R$2),0)+IF(Ajustes!$I31&gt;0,INDEX($AA$4:$AL$323,Ajustes!$I31,R$2),0)+IF(Ajustes!$J31&gt;0,INDEX($AA$4:$AL$323,Ajustes!$J31,R$2),0)+IF(Ajustes!$K31&gt;0,INDEX($AA$5:$AL$324,Ajustes!$K31,R$2),0)+IF(Ajustes!$L31&gt;0,INDEX($AA$4:$AL$323,Ajustes!$L31,R$2),0) + R31</f>
        <v>469</v>
      </c>
      <c r="AE31">
        <f>IF(Ajustes!$G31&gt;0,INDEX($AA$4:$AL$323,Ajustes!$G31,S$2),0)+IF(Ajustes!$H31&gt;0,INDEX($AA$4:$AL$323,Ajustes!$H31,S$2),0)+IF(Ajustes!$I31&gt;0,INDEX($AA$4:$AL$323,Ajustes!$I31,S$2),0)+IF(Ajustes!$J31&gt;0,INDEX($AA$4:$AL$323,Ajustes!$J31,S$2),0)+IF(Ajustes!$K31&gt;0,INDEX($AA$5:$AL$324,Ajustes!$K31,S$2),0)+IF(Ajustes!$L31&gt;0,INDEX($AA$4:$AL$323,Ajustes!$L31,S$2),0) + S31</f>
        <v>321</v>
      </c>
      <c r="AF31">
        <f>IF(Ajustes!$G31&gt;0,INDEX($AA$4:$AL$323,Ajustes!$G31,T$2),0)+IF(Ajustes!$H31&gt;0,INDEX($AA$4:$AL$323,Ajustes!$H31,T$2),0)+IF(Ajustes!$I31&gt;0,INDEX($AA$4:$AL$323,Ajustes!$I31,T$2),0)+IF(Ajustes!$J31&gt;0,INDEX($AA$4:$AL$323,Ajustes!$J31,T$2),0)+IF(Ajustes!$K31&gt;0,INDEX($AA$5:$AL$324,Ajustes!$K31,T$2),0)+IF(Ajustes!$L31&gt;0,INDEX($AA$4:$AL$323,Ajustes!$L31,T$2),0) + T31</f>
        <v>251</v>
      </c>
      <c r="AG31">
        <f>IF(Ajustes!$G31&gt;0,INDEX($AA$4:$AL$323,Ajustes!$G31,U$2),0)+IF(Ajustes!$H31&gt;0,INDEX($AA$4:$AL$323,Ajustes!$H31,U$2),0)+IF(Ajustes!$I31&gt;0,INDEX($AA$4:$AL$323,Ajustes!$I31,U$2),0)+IF(Ajustes!$J31&gt;0,INDEX($AA$4:$AL$323,Ajustes!$J31,U$2),0)+IF(Ajustes!$K31&gt;0,INDEX($AA$5:$AL$324,Ajustes!$K31,U$2),0)+IF(Ajustes!$L31&gt;0,INDEX($AA$4:$AL$323,Ajustes!$L31,U$2),0) + U31</f>
        <v>208</v>
      </c>
      <c r="AH31">
        <f>IF(Ajustes!$G31&gt;0,INDEX($AA$4:$AL$323,Ajustes!$G31,V$2),0)+IF(Ajustes!$H31&gt;0,INDEX($AA$4:$AL$323,Ajustes!$H31,V$2),0)+IF(Ajustes!$I31&gt;0,INDEX($AA$4:$AL$323,Ajustes!$I31,V$2),0)+IF(Ajustes!$J31&gt;0,INDEX($AA$4:$AL$323,Ajustes!$J31,V$2),0)+IF(Ajustes!$K31&gt;0,INDEX($AA$5:$AL$324,Ajustes!$K31,V$2),0)+IF(Ajustes!$L31&gt;0,INDEX($AA$4:$AL$323,Ajustes!$L31,V$2),0) + V31</f>
        <v>173</v>
      </c>
      <c r="AI31">
        <f>IF(Ajustes!$G31&gt;0,INDEX($AA$4:$AL$323,Ajustes!$G31,W$2),0)+IF(Ajustes!$H31&gt;0,INDEX($AA$4:$AL$323,Ajustes!$H31,W$2),0)+IF(Ajustes!$I31&gt;0,INDEX($AA$4:$AL$323,Ajustes!$I31,W$2),0)+IF(Ajustes!$J31&gt;0,INDEX($AA$4:$AL$323,Ajustes!$J31,W$2),0)+IF(Ajustes!$K31&gt;0,INDEX($AA$5:$AL$324,Ajustes!$K31,W$2),0)+IF(Ajustes!$L31&gt;0,INDEX($AA$4:$AL$323,Ajustes!$L31,W$2),0) + W31</f>
        <v>159</v>
      </c>
      <c r="AJ31">
        <f>IF(Ajustes!$G31&gt;0,INDEX($AA$4:$AL$323,Ajustes!$G31,X$2),0)+IF(Ajustes!$H31&gt;0,INDEX($AA$4:$AL$323,Ajustes!$H31,X$2),0)+IF(Ajustes!$I31&gt;0,INDEX($AA$4:$AL$323,Ajustes!$I31,X$2),0)+IF(Ajustes!$J31&gt;0,INDEX($AA$4:$AL$323,Ajustes!$J31,X$2),0)+IF(Ajustes!$K31&gt;0,INDEX($AA$5:$AL$324,Ajustes!$K31,X$2),0)+IF(Ajustes!$L31&gt;0,INDEX($AA$4:$AL$323,Ajustes!$L31,X$2),0) + X31</f>
        <v>191</v>
      </c>
      <c r="AK31">
        <f>IF(Ajustes!$G31&gt;0,INDEX($AA$4:$AL$323,Ajustes!$G31,Y$2),0)+IF(Ajustes!$H31&gt;0,INDEX($AA$4:$AL$323,Ajustes!$H31,Y$2),0)+IF(Ajustes!$I31&gt;0,INDEX($AA$4:$AL$323,Ajustes!$I31,Y$2),0)+IF(Ajustes!$J31&gt;0,INDEX($AA$4:$AL$323,Ajustes!$J31,Y$2),0)+IF(Ajustes!$K31&gt;0,INDEX($AA$5:$AL$324,Ajustes!$K31,Y$2),0)+IF(Ajustes!$L31&gt;0,INDEX($AA$4:$AL$323,Ajustes!$L31,Y$2),0) + Y31</f>
        <v>279</v>
      </c>
      <c r="AL31">
        <f>IF(Ajustes!$G31&gt;0,INDEX($AA$4:$AL$323,Ajustes!$G31,Z$2),0)+IF(Ajustes!$H31&gt;0,INDEX($AA$4:$AL$323,Ajustes!$H31,Z$2),0)+IF(Ajustes!$I31&gt;0,INDEX($AA$4:$AL$323,Ajustes!$I31,Z$2),0)+IF(Ajustes!$J31&gt;0,INDEX($AA$4:$AL$323,Ajustes!$J31,Z$2),0)+IF(Ajustes!$K31&gt;0,INDEX($AA$5:$AL$324,Ajustes!$K31,Z$2),0)+IF(Ajustes!$L31&gt;0,INDEX($AA$4:$AL$323,Ajustes!$L31,Z$2),0) + Z31</f>
        <v>458</v>
      </c>
      <c r="AM31" s="113">
        <f t="shared" si="3"/>
        <v>644</v>
      </c>
      <c r="AN31" s="113">
        <f t="shared" si="3"/>
        <v>653</v>
      </c>
      <c r="AO31" s="113">
        <f t="shared" si="3"/>
        <v>614</v>
      </c>
      <c r="AP31" s="113">
        <f t="shared" si="3"/>
        <v>469</v>
      </c>
      <c r="AQ31" s="113">
        <f t="shared" si="3"/>
        <v>321</v>
      </c>
      <c r="AR31" s="113">
        <f t="shared" si="3"/>
        <v>251</v>
      </c>
      <c r="AS31" s="113">
        <f t="shared" si="3"/>
        <v>208</v>
      </c>
      <c r="AT31" s="113">
        <f t="shared" si="5"/>
        <v>173</v>
      </c>
      <c r="AU31" s="113">
        <f t="shared" si="4"/>
        <v>159</v>
      </c>
      <c r="AV31" s="113">
        <f t="shared" si="4"/>
        <v>191</v>
      </c>
      <c r="AW31" s="113">
        <f t="shared" si="4"/>
        <v>279</v>
      </c>
      <c r="AX31" s="113">
        <f t="shared" si="4"/>
        <v>458</v>
      </c>
      <c r="BB31">
        <f>ROW()</f>
        <v>31</v>
      </c>
      <c r="BC31" s="289" t="s">
        <v>22</v>
      </c>
      <c r="BD31" s="115">
        <v>1</v>
      </c>
      <c r="BE31" s="115">
        <v>1</v>
      </c>
      <c r="BF31" s="115">
        <v>1</v>
      </c>
      <c r="BG31" s="115">
        <v>1</v>
      </c>
      <c r="BH31" s="115">
        <v>1</v>
      </c>
      <c r="BI31" s="115">
        <v>1</v>
      </c>
      <c r="BJ31" s="115">
        <v>1</v>
      </c>
      <c r="BK31" s="115">
        <v>1</v>
      </c>
      <c r="BL31" s="115">
        <v>1</v>
      </c>
      <c r="BM31" s="115">
        <v>1</v>
      </c>
      <c r="BN31" s="115">
        <v>1</v>
      </c>
      <c r="BO31" s="287">
        <v>1</v>
      </c>
    </row>
    <row r="32" spans="1:67" x14ac:dyDescent="0.25">
      <c r="A32" s="113">
        <v>29</v>
      </c>
      <c r="B32" s="209"/>
      <c r="C32">
        <f>IFERROR(INDEX($BD$7:$BO$35,MATCH(Ajustes!$E$4:$E$323,$BC$7:$BC$35,0),$C$2:$N$2),1)</f>
        <v>1</v>
      </c>
      <c r="D32" s="113">
        <f>IFERROR(INDEX($BD$7:$BO$35,MATCH(Ajustes!$E$4:$E$323,$BC$7:$BC$35,0),$C$2:$N$2),1)</f>
        <v>1</v>
      </c>
      <c r="E32" s="113">
        <f>IFERROR(INDEX($BD$7:$BO$35,MATCH(Ajustes!$E$4:$E$323,$BC$7:$BC$35,0),$C$2:$N$2),1)</f>
        <v>1</v>
      </c>
      <c r="F32" s="113">
        <f>IFERROR(INDEX($BD$7:$BO$35,MATCH(Ajustes!$E$4:$E$323,$BC$7:$BC$35,0),$C$2:$N$2),1)</f>
        <v>1</v>
      </c>
      <c r="G32" s="113">
        <f>IFERROR(INDEX($BD$7:$BO$35,MATCH(Ajustes!$E$4:$E$323,$BC$7:$BC$35,0),$C$2:$N$2),1)</f>
        <v>1</v>
      </c>
      <c r="H32" s="113">
        <f>IFERROR(INDEX($BD$7:$BO$35,MATCH(Ajustes!$E$4:$E$323,$BC$7:$BC$35,0),$C$2:$N$2),1)</f>
        <v>1</v>
      </c>
      <c r="I32" s="113">
        <f>IFERROR(INDEX($BD$7:$BO$35,MATCH(Ajustes!$E$4:$E$323,$BC$7:$BC$35,0),$C$2:$N$2),1)</f>
        <v>1</v>
      </c>
      <c r="J32" s="113">
        <f>IFERROR(INDEX($BD$7:$BO$35,MATCH(Ajustes!$E$4:$E$323,$BC$7:$BC$35,0),$C$2:$N$2),1)</f>
        <v>1</v>
      </c>
      <c r="K32" s="113">
        <f>IFERROR(INDEX($BD$7:$BO$35,MATCH(Ajustes!$E$4:$E$323,$BC$7:$BC$35,0),$C$2:$N$2),1)</f>
        <v>1</v>
      </c>
      <c r="L32" s="113">
        <f>IFERROR(INDEX($BD$7:$BO$35,MATCH(Ajustes!$E$4:$E$323,$BC$7:$BC$35,0),$C$2:$N$2),1)</f>
        <v>1</v>
      </c>
      <c r="M32" s="113">
        <f>IFERROR(INDEX($BD$7:$BO$35,MATCH(Ajustes!$E$4:$E$323,$BC$7:$BC$35,0),$C$2:$N$2),1)</f>
        <v>1</v>
      </c>
      <c r="N32" s="113">
        <f>IFERROR(INDEX($BD$7:$BO$35,MATCH(Ajustes!$E$4:$E$323,$BC$7:$BC$35,0),$C$2:$N$2),1)</f>
        <v>1</v>
      </c>
      <c r="O32">
        <f>C32*Ajustes!AM32</f>
        <v>0</v>
      </c>
      <c r="P32">
        <f>D32*Ajustes!AN32</f>
        <v>0</v>
      </c>
      <c r="Q32">
        <f>E32*Ajustes!AO32</f>
        <v>0</v>
      </c>
      <c r="R32">
        <f>F32*Ajustes!AP32</f>
        <v>0</v>
      </c>
      <c r="S32">
        <f>G32*Ajustes!AQ32</f>
        <v>0</v>
      </c>
      <c r="T32">
        <f>H32*Ajustes!AR32</f>
        <v>0</v>
      </c>
      <c r="U32">
        <f>I32*Ajustes!AS32</f>
        <v>0</v>
      </c>
      <c r="V32">
        <f>J32*Ajustes!AT32</f>
        <v>0</v>
      </c>
      <c r="W32">
        <f>K32*Ajustes!AU32</f>
        <v>0</v>
      </c>
      <c r="X32">
        <f>L32*Ajustes!AV32</f>
        <v>0</v>
      </c>
      <c r="Y32">
        <f>M32*Ajustes!AW32</f>
        <v>0</v>
      </c>
      <c r="Z32">
        <f>N32*Ajustes!AX32</f>
        <v>0</v>
      </c>
      <c r="AA32">
        <f>IF(Ajustes!$G32&gt;0,INDEX($AA$4:$AL$323,Ajustes!$G32,O$2),0)+IF(Ajustes!$H32&gt;0,INDEX($AA$4:$AL$323,Ajustes!$H32,O$2),0)+IF(Ajustes!$I32&gt;0,INDEX($AA$4:$AL$323,Ajustes!$I32,O$2),0)+IF(Ajustes!$J32&gt;0,INDEX($AA$4:$AL$323,Ajustes!$J32,O$2),0)+IF(Ajustes!$K32&gt;0,INDEX($AA$5:$AL$324,Ajustes!$K32,O$2),0)+IF(Ajustes!$L32&gt;0,INDEX($AA$4:$AL$323,Ajustes!$L32,O$2),0) + O32</f>
        <v>0</v>
      </c>
      <c r="AB32">
        <f>IF(Ajustes!$G32&gt;0,INDEX($AA$4:$AL$323,Ajustes!$G32,P$2),0)+IF(Ajustes!$H32&gt;0,INDEX($AA$4:$AL$323,Ajustes!$H32,P$2),0)+IF(Ajustes!$I32&gt;0,INDEX($AA$4:$AL$323,Ajustes!$I32,P$2),0)+IF(Ajustes!$J32&gt;0,INDEX($AA$4:$AL$323,Ajustes!$J32,P$2),0)+IF(Ajustes!$K32&gt;0,INDEX($AA$5:$AL$324,Ajustes!$K32,P$2),0)+IF(Ajustes!$L32&gt;0,INDEX($AA$4:$AL$323,Ajustes!$L32,P$2),0) + P32</f>
        <v>0</v>
      </c>
      <c r="AC32">
        <f>IF(Ajustes!$G32&gt;0,INDEX($AA$4:$AL$323,Ajustes!$G32,Q$2),0)+IF(Ajustes!$H32&gt;0,INDEX($AA$4:$AL$323,Ajustes!$H32,Q$2),0)+IF(Ajustes!$I32&gt;0,INDEX($AA$4:$AL$323,Ajustes!$I32,Q$2),0)+IF(Ajustes!$J32&gt;0,INDEX($AA$4:$AL$323,Ajustes!$J32,Q$2),0)+IF(Ajustes!$K32&gt;0,INDEX($AA$5:$AL$324,Ajustes!$K32,Q$2),0)+IF(Ajustes!$L32&gt;0,INDEX($AA$4:$AL$323,Ajustes!$L32,Q$2),0) + Q32</f>
        <v>0</v>
      </c>
      <c r="AD32">
        <f>IF(Ajustes!$G32&gt;0,INDEX($AA$4:$AL$323,Ajustes!$G32,R$2),0)+IF(Ajustes!$H32&gt;0,INDEX($AA$4:$AL$323,Ajustes!$H32,R$2),0)+IF(Ajustes!$I32&gt;0,INDEX($AA$4:$AL$323,Ajustes!$I32,R$2),0)+IF(Ajustes!$J32&gt;0,INDEX($AA$4:$AL$323,Ajustes!$J32,R$2),0)+IF(Ajustes!$K32&gt;0,INDEX($AA$5:$AL$324,Ajustes!$K32,R$2),0)+IF(Ajustes!$L32&gt;0,INDEX($AA$4:$AL$323,Ajustes!$L32,R$2),0) + R32</f>
        <v>0</v>
      </c>
      <c r="AE32">
        <f>IF(Ajustes!$G32&gt;0,INDEX($AA$4:$AL$323,Ajustes!$G32,S$2),0)+IF(Ajustes!$H32&gt;0,INDEX($AA$4:$AL$323,Ajustes!$H32,S$2),0)+IF(Ajustes!$I32&gt;0,INDEX($AA$4:$AL$323,Ajustes!$I32,S$2),0)+IF(Ajustes!$J32&gt;0,INDEX($AA$4:$AL$323,Ajustes!$J32,S$2),0)+IF(Ajustes!$K32&gt;0,INDEX($AA$5:$AL$324,Ajustes!$K32,S$2),0)+IF(Ajustes!$L32&gt;0,INDEX($AA$4:$AL$323,Ajustes!$L32,S$2),0) + S32</f>
        <v>0</v>
      </c>
      <c r="AF32">
        <f>IF(Ajustes!$G32&gt;0,INDEX($AA$4:$AL$323,Ajustes!$G32,T$2),0)+IF(Ajustes!$H32&gt;0,INDEX($AA$4:$AL$323,Ajustes!$H32,T$2),0)+IF(Ajustes!$I32&gt;0,INDEX($AA$4:$AL$323,Ajustes!$I32,T$2),0)+IF(Ajustes!$J32&gt;0,INDEX($AA$4:$AL$323,Ajustes!$J32,T$2),0)+IF(Ajustes!$K32&gt;0,INDEX($AA$5:$AL$324,Ajustes!$K32,T$2),0)+IF(Ajustes!$L32&gt;0,INDEX($AA$4:$AL$323,Ajustes!$L32,T$2),0) + T32</f>
        <v>0</v>
      </c>
      <c r="AG32">
        <f>IF(Ajustes!$G32&gt;0,INDEX($AA$4:$AL$323,Ajustes!$G32,U$2),0)+IF(Ajustes!$H32&gt;0,INDEX($AA$4:$AL$323,Ajustes!$H32,U$2),0)+IF(Ajustes!$I32&gt;0,INDEX($AA$4:$AL$323,Ajustes!$I32,U$2),0)+IF(Ajustes!$J32&gt;0,INDEX($AA$4:$AL$323,Ajustes!$J32,U$2),0)+IF(Ajustes!$K32&gt;0,INDEX($AA$5:$AL$324,Ajustes!$K32,U$2),0)+IF(Ajustes!$L32&gt;0,INDEX($AA$4:$AL$323,Ajustes!$L32,U$2),0) + U32</f>
        <v>0</v>
      </c>
      <c r="AH32">
        <f>IF(Ajustes!$G32&gt;0,INDEX($AA$4:$AL$323,Ajustes!$G32,V$2),0)+IF(Ajustes!$H32&gt;0,INDEX($AA$4:$AL$323,Ajustes!$H32,V$2),0)+IF(Ajustes!$I32&gt;0,INDEX($AA$4:$AL$323,Ajustes!$I32,V$2),0)+IF(Ajustes!$J32&gt;0,INDEX($AA$4:$AL$323,Ajustes!$J32,V$2),0)+IF(Ajustes!$K32&gt;0,INDEX($AA$5:$AL$324,Ajustes!$K32,V$2),0)+IF(Ajustes!$L32&gt;0,INDEX($AA$4:$AL$323,Ajustes!$L32,V$2),0) + V32</f>
        <v>0</v>
      </c>
      <c r="AI32">
        <f>IF(Ajustes!$G32&gt;0,INDEX($AA$4:$AL$323,Ajustes!$G32,W$2),0)+IF(Ajustes!$H32&gt;0,INDEX($AA$4:$AL$323,Ajustes!$H32,W$2),0)+IF(Ajustes!$I32&gt;0,INDEX($AA$4:$AL$323,Ajustes!$I32,W$2),0)+IF(Ajustes!$J32&gt;0,INDEX($AA$4:$AL$323,Ajustes!$J32,W$2),0)+IF(Ajustes!$K32&gt;0,INDEX($AA$5:$AL$324,Ajustes!$K32,W$2),0)+IF(Ajustes!$L32&gt;0,INDEX($AA$4:$AL$323,Ajustes!$L32,W$2),0) + W32</f>
        <v>0</v>
      </c>
      <c r="AJ32">
        <f>IF(Ajustes!$G32&gt;0,INDEX($AA$4:$AL$323,Ajustes!$G32,X$2),0)+IF(Ajustes!$H32&gt;0,INDEX($AA$4:$AL$323,Ajustes!$H32,X$2),0)+IF(Ajustes!$I32&gt;0,INDEX($AA$4:$AL$323,Ajustes!$I32,X$2),0)+IF(Ajustes!$J32&gt;0,INDEX($AA$4:$AL$323,Ajustes!$J32,X$2),0)+IF(Ajustes!$K32&gt;0,INDEX($AA$5:$AL$324,Ajustes!$K32,X$2),0)+IF(Ajustes!$L32&gt;0,INDEX($AA$4:$AL$323,Ajustes!$L32,X$2),0) + X32</f>
        <v>0</v>
      </c>
      <c r="AK32">
        <f>IF(Ajustes!$G32&gt;0,INDEX($AA$4:$AL$323,Ajustes!$G32,Y$2),0)+IF(Ajustes!$H32&gt;0,INDEX($AA$4:$AL$323,Ajustes!$H32,Y$2),0)+IF(Ajustes!$I32&gt;0,INDEX($AA$4:$AL$323,Ajustes!$I32,Y$2),0)+IF(Ajustes!$J32&gt;0,INDEX($AA$4:$AL$323,Ajustes!$J32,Y$2),0)+IF(Ajustes!$K32&gt;0,INDEX($AA$5:$AL$324,Ajustes!$K32,Y$2),0)+IF(Ajustes!$L32&gt;0,INDEX($AA$4:$AL$323,Ajustes!$L32,Y$2),0) + Y32</f>
        <v>0</v>
      </c>
      <c r="AL32">
        <f>IF(Ajustes!$G32&gt;0,INDEX($AA$4:$AL$323,Ajustes!$G32,Z$2),0)+IF(Ajustes!$H32&gt;0,INDEX($AA$4:$AL$323,Ajustes!$H32,Z$2),0)+IF(Ajustes!$I32&gt;0,INDEX($AA$4:$AL$323,Ajustes!$I32,Z$2),0)+IF(Ajustes!$J32&gt;0,INDEX($AA$4:$AL$323,Ajustes!$J32,Z$2),0)+IF(Ajustes!$K32&gt;0,INDEX($AA$5:$AL$324,Ajustes!$K32,Z$2),0)+IF(Ajustes!$L32&gt;0,INDEX($AA$4:$AL$323,Ajustes!$L32,Z$2),0) + Z32</f>
        <v>0</v>
      </c>
      <c r="AM32" s="113">
        <f t="shared" si="3"/>
        <v>0</v>
      </c>
      <c r="AN32" s="113">
        <f t="shared" si="3"/>
        <v>0</v>
      </c>
      <c r="AO32" s="113">
        <f t="shared" si="3"/>
        <v>0</v>
      </c>
      <c r="AP32" s="113">
        <f t="shared" si="3"/>
        <v>0</v>
      </c>
      <c r="AQ32" s="113">
        <f t="shared" si="3"/>
        <v>0</v>
      </c>
      <c r="AR32" s="113">
        <f t="shared" si="3"/>
        <v>0</v>
      </c>
      <c r="AS32" s="113">
        <f t="shared" si="3"/>
        <v>0</v>
      </c>
      <c r="AT32" s="113">
        <f t="shared" si="5"/>
        <v>0</v>
      </c>
      <c r="AU32" s="113">
        <f t="shared" si="4"/>
        <v>0</v>
      </c>
      <c r="AV32" s="113">
        <f t="shared" si="4"/>
        <v>0</v>
      </c>
      <c r="AW32" s="113">
        <f t="shared" si="4"/>
        <v>0</v>
      </c>
      <c r="AX32" s="113">
        <f t="shared" si="4"/>
        <v>0</v>
      </c>
      <c r="BB32">
        <f>ROW()</f>
        <v>32</v>
      </c>
      <c r="BC32" s="289" t="s">
        <v>23</v>
      </c>
      <c r="BD32" s="115">
        <v>1</v>
      </c>
      <c r="BE32" s="115">
        <v>1</v>
      </c>
      <c r="BF32" s="115">
        <v>1</v>
      </c>
      <c r="BG32" s="115">
        <v>1</v>
      </c>
      <c r="BH32" s="115">
        <v>1</v>
      </c>
      <c r="BI32" s="115">
        <v>1</v>
      </c>
      <c r="BJ32" s="115">
        <v>1</v>
      </c>
      <c r="BK32" s="115">
        <v>1</v>
      </c>
      <c r="BL32" s="115">
        <v>1</v>
      </c>
      <c r="BM32" s="115">
        <v>1</v>
      </c>
      <c r="BN32" s="115">
        <v>1</v>
      </c>
      <c r="BO32" s="287">
        <v>1</v>
      </c>
    </row>
    <row r="33" spans="1:67" x14ac:dyDescent="0.25">
      <c r="A33" s="113">
        <v>30</v>
      </c>
      <c r="B33" s="209"/>
      <c r="C33">
        <f>IFERROR(INDEX($BD$7:$BO$35,MATCH(Ajustes!$E$4:$E$323,$BC$7:$BC$35,0),$C$2:$N$2),1)</f>
        <v>1</v>
      </c>
      <c r="D33" s="113">
        <f>IFERROR(INDEX($BD$7:$BO$35,MATCH(Ajustes!$E$4:$E$323,$BC$7:$BC$35,0),$C$2:$N$2),1)</f>
        <v>1</v>
      </c>
      <c r="E33" s="113">
        <f>IFERROR(INDEX($BD$7:$BO$35,MATCH(Ajustes!$E$4:$E$323,$BC$7:$BC$35,0),$C$2:$N$2),1)</f>
        <v>1</v>
      </c>
      <c r="F33" s="113">
        <f>IFERROR(INDEX($BD$7:$BO$35,MATCH(Ajustes!$E$4:$E$323,$BC$7:$BC$35,0),$C$2:$N$2),1)</f>
        <v>1</v>
      </c>
      <c r="G33" s="113">
        <f>IFERROR(INDEX($BD$7:$BO$35,MATCH(Ajustes!$E$4:$E$323,$BC$7:$BC$35,0),$C$2:$N$2),1)</f>
        <v>1</v>
      </c>
      <c r="H33" s="113">
        <f>IFERROR(INDEX($BD$7:$BO$35,MATCH(Ajustes!$E$4:$E$323,$BC$7:$BC$35,0),$C$2:$N$2),1)</f>
        <v>1</v>
      </c>
      <c r="I33" s="113">
        <f>IFERROR(INDEX($BD$7:$BO$35,MATCH(Ajustes!$E$4:$E$323,$BC$7:$BC$35,0),$C$2:$N$2),1)</f>
        <v>1</v>
      </c>
      <c r="J33" s="113">
        <f>IFERROR(INDEX($BD$7:$BO$35,MATCH(Ajustes!$E$4:$E$323,$BC$7:$BC$35,0),$C$2:$N$2),1)</f>
        <v>1</v>
      </c>
      <c r="K33" s="113">
        <f>IFERROR(INDEX($BD$7:$BO$35,MATCH(Ajustes!$E$4:$E$323,$BC$7:$BC$35,0),$C$2:$N$2),1)</f>
        <v>1</v>
      </c>
      <c r="L33" s="113">
        <f>IFERROR(INDEX($BD$7:$BO$35,MATCH(Ajustes!$E$4:$E$323,$BC$7:$BC$35,0),$C$2:$N$2),1)</f>
        <v>1</v>
      </c>
      <c r="M33" s="113">
        <f>IFERROR(INDEX($BD$7:$BO$35,MATCH(Ajustes!$E$4:$E$323,$BC$7:$BC$35,0),$C$2:$N$2),1)</f>
        <v>1</v>
      </c>
      <c r="N33" s="113">
        <f>IFERROR(INDEX($BD$7:$BO$35,MATCH(Ajustes!$E$4:$E$323,$BC$7:$BC$35,0),$C$2:$N$2),1)</f>
        <v>1</v>
      </c>
      <c r="O33">
        <f>C33*Ajustes!AM33</f>
        <v>0</v>
      </c>
      <c r="P33">
        <f>D33*Ajustes!AN33</f>
        <v>0</v>
      </c>
      <c r="Q33">
        <f>E33*Ajustes!AO33</f>
        <v>0</v>
      </c>
      <c r="R33">
        <f>F33*Ajustes!AP33</f>
        <v>0</v>
      </c>
      <c r="S33">
        <f>G33*Ajustes!AQ33</f>
        <v>0</v>
      </c>
      <c r="T33">
        <f>H33*Ajustes!AR33</f>
        <v>0</v>
      </c>
      <c r="U33">
        <f>I33*Ajustes!AS33</f>
        <v>0</v>
      </c>
      <c r="V33">
        <f>J33*Ajustes!AT33</f>
        <v>0</v>
      </c>
      <c r="W33">
        <f>K33*Ajustes!AU33</f>
        <v>0</v>
      </c>
      <c r="X33">
        <f>L33*Ajustes!AV33</f>
        <v>0</v>
      </c>
      <c r="Y33">
        <f>M33*Ajustes!AW33</f>
        <v>0</v>
      </c>
      <c r="Z33">
        <f>N33*Ajustes!AX33</f>
        <v>0</v>
      </c>
      <c r="AA33">
        <f>IF(Ajustes!$G33&gt;0,INDEX($AA$4:$AL$323,Ajustes!$G33,O$2),0)+IF(Ajustes!$H33&gt;0,INDEX($AA$4:$AL$323,Ajustes!$H33,O$2),0)+IF(Ajustes!$I33&gt;0,INDEX($AA$4:$AL$323,Ajustes!$I33,O$2),0)+IF(Ajustes!$J33&gt;0,INDEX($AA$4:$AL$323,Ajustes!$J33,O$2),0)+IF(Ajustes!$K33&gt;0,INDEX($AA$5:$AL$324,Ajustes!$K33,O$2),0)+IF(Ajustes!$L33&gt;0,INDEX($AA$4:$AL$323,Ajustes!$L33,O$2),0) + O33</f>
        <v>0</v>
      </c>
      <c r="AB33">
        <f>IF(Ajustes!$G33&gt;0,INDEX($AA$4:$AL$323,Ajustes!$G33,P$2),0)+IF(Ajustes!$H33&gt;0,INDEX($AA$4:$AL$323,Ajustes!$H33,P$2),0)+IF(Ajustes!$I33&gt;0,INDEX($AA$4:$AL$323,Ajustes!$I33,P$2),0)+IF(Ajustes!$J33&gt;0,INDEX($AA$4:$AL$323,Ajustes!$J33,P$2),0)+IF(Ajustes!$K33&gt;0,INDEX($AA$5:$AL$324,Ajustes!$K33,P$2),0)+IF(Ajustes!$L33&gt;0,INDEX($AA$4:$AL$323,Ajustes!$L33,P$2),0) + P33</f>
        <v>0</v>
      </c>
      <c r="AC33">
        <f>IF(Ajustes!$G33&gt;0,INDEX($AA$4:$AL$323,Ajustes!$G33,Q$2),0)+IF(Ajustes!$H33&gt;0,INDEX($AA$4:$AL$323,Ajustes!$H33,Q$2),0)+IF(Ajustes!$I33&gt;0,INDEX($AA$4:$AL$323,Ajustes!$I33,Q$2),0)+IF(Ajustes!$J33&gt;0,INDEX($AA$4:$AL$323,Ajustes!$J33,Q$2),0)+IF(Ajustes!$K33&gt;0,INDEX($AA$5:$AL$324,Ajustes!$K33,Q$2),0)+IF(Ajustes!$L33&gt;0,INDEX($AA$4:$AL$323,Ajustes!$L33,Q$2),0) + Q33</f>
        <v>0</v>
      </c>
      <c r="AD33">
        <f>IF(Ajustes!$G33&gt;0,INDEX($AA$4:$AL$323,Ajustes!$G33,R$2),0)+IF(Ajustes!$H33&gt;0,INDEX($AA$4:$AL$323,Ajustes!$H33,R$2),0)+IF(Ajustes!$I33&gt;0,INDEX($AA$4:$AL$323,Ajustes!$I33,R$2),0)+IF(Ajustes!$J33&gt;0,INDEX($AA$4:$AL$323,Ajustes!$J33,R$2),0)+IF(Ajustes!$K33&gt;0,INDEX($AA$5:$AL$324,Ajustes!$K33,R$2),0)+IF(Ajustes!$L33&gt;0,INDEX($AA$4:$AL$323,Ajustes!$L33,R$2),0) + R33</f>
        <v>0</v>
      </c>
      <c r="AE33">
        <f>IF(Ajustes!$G33&gt;0,INDEX($AA$4:$AL$323,Ajustes!$G33,S$2),0)+IF(Ajustes!$H33&gt;0,INDEX($AA$4:$AL$323,Ajustes!$H33,S$2),0)+IF(Ajustes!$I33&gt;0,INDEX($AA$4:$AL$323,Ajustes!$I33,S$2),0)+IF(Ajustes!$J33&gt;0,INDEX($AA$4:$AL$323,Ajustes!$J33,S$2),0)+IF(Ajustes!$K33&gt;0,INDEX($AA$5:$AL$324,Ajustes!$K33,S$2),0)+IF(Ajustes!$L33&gt;0,INDEX($AA$4:$AL$323,Ajustes!$L33,S$2),0) + S33</f>
        <v>0</v>
      </c>
      <c r="AF33">
        <f>IF(Ajustes!$G33&gt;0,INDEX($AA$4:$AL$323,Ajustes!$G33,T$2),0)+IF(Ajustes!$H33&gt;0,INDEX($AA$4:$AL$323,Ajustes!$H33,T$2),0)+IF(Ajustes!$I33&gt;0,INDEX($AA$4:$AL$323,Ajustes!$I33,T$2),0)+IF(Ajustes!$J33&gt;0,INDEX($AA$4:$AL$323,Ajustes!$J33,T$2),0)+IF(Ajustes!$K33&gt;0,INDEX($AA$5:$AL$324,Ajustes!$K33,T$2),0)+IF(Ajustes!$L33&gt;0,INDEX($AA$4:$AL$323,Ajustes!$L33,T$2),0) + T33</f>
        <v>0</v>
      </c>
      <c r="AG33">
        <f>IF(Ajustes!$G33&gt;0,INDEX($AA$4:$AL$323,Ajustes!$G33,U$2),0)+IF(Ajustes!$H33&gt;0,INDEX($AA$4:$AL$323,Ajustes!$H33,U$2),0)+IF(Ajustes!$I33&gt;0,INDEX($AA$4:$AL$323,Ajustes!$I33,U$2),0)+IF(Ajustes!$J33&gt;0,INDEX($AA$4:$AL$323,Ajustes!$J33,U$2),0)+IF(Ajustes!$K33&gt;0,INDEX($AA$5:$AL$324,Ajustes!$K33,U$2),0)+IF(Ajustes!$L33&gt;0,INDEX($AA$4:$AL$323,Ajustes!$L33,U$2),0) + U33</f>
        <v>0</v>
      </c>
      <c r="AH33">
        <f>IF(Ajustes!$G33&gt;0,INDEX($AA$4:$AL$323,Ajustes!$G33,V$2),0)+IF(Ajustes!$H33&gt;0,INDEX($AA$4:$AL$323,Ajustes!$H33,V$2),0)+IF(Ajustes!$I33&gt;0,INDEX($AA$4:$AL$323,Ajustes!$I33,V$2),0)+IF(Ajustes!$J33&gt;0,INDEX($AA$4:$AL$323,Ajustes!$J33,V$2),0)+IF(Ajustes!$K33&gt;0,INDEX($AA$5:$AL$324,Ajustes!$K33,V$2),0)+IF(Ajustes!$L33&gt;0,INDEX($AA$4:$AL$323,Ajustes!$L33,V$2),0) + V33</f>
        <v>0</v>
      </c>
      <c r="AI33">
        <f>IF(Ajustes!$G33&gt;0,INDEX($AA$4:$AL$323,Ajustes!$G33,W$2),0)+IF(Ajustes!$H33&gt;0,INDEX($AA$4:$AL$323,Ajustes!$H33,W$2),0)+IF(Ajustes!$I33&gt;0,INDEX($AA$4:$AL$323,Ajustes!$I33,W$2),0)+IF(Ajustes!$J33&gt;0,INDEX($AA$4:$AL$323,Ajustes!$J33,W$2),0)+IF(Ajustes!$K33&gt;0,INDEX($AA$5:$AL$324,Ajustes!$K33,W$2),0)+IF(Ajustes!$L33&gt;0,INDEX($AA$4:$AL$323,Ajustes!$L33,W$2),0) + W33</f>
        <v>0</v>
      </c>
      <c r="AJ33">
        <f>IF(Ajustes!$G33&gt;0,INDEX($AA$4:$AL$323,Ajustes!$G33,X$2),0)+IF(Ajustes!$H33&gt;0,INDEX($AA$4:$AL$323,Ajustes!$H33,X$2),0)+IF(Ajustes!$I33&gt;0,INDEX($AA$4:$AL$323,Ajustes!$I33,X$2),0)+IF(Ajustes!$J33&gt;0,INDEX($AA$4:$AL$323,Ajustes!$J33,X$2),0)+IF(Ajustes!$K33&gt;0,INDEX($AA$5:$AL$324,Ajustes!$K33,X$2),0)+IF(Ajustes!$L33&gt;0,INDEX($AA$4:$AL$323,Ajustes!$L33,X$2),0) + X33</f>
        <v>0</v>
      </c>
      <c r="AK33">
        <f>IF(Ajustes!$G33&gt;0,INDEX($AA$4:$AL$323,Ajustes!$G33,Y$2),0)+IF(Ajustes!$H33&gt;0,INDEX($AA$4:$AL$323,Ajustes!$H33,Y$2),0)+IF(Ajustes!$I33&gt;0,INDEX($AA$4:$AL$323,Ajustes!$I33,Y$2),0)+IF(Ajustes!$J33&gt;0,INDEX($AA$4:$AL$323,Ajustes!$J33,Y$2),0)+IF(Ajustes!$K33&gt;0,INDEX($AA$5:$AL$324,Ajustes!$K33,Y$2),0)+IF(Ajustes!$L33&gt;0,INDEX($AA$4:$AL$323,Ajustes!$L33,Y$2),0) + Y33</f>
        <v>0</v>
      </c>
      <c r="AL33">
        <f>IF(Ajustes!$G33&gt;0,INDEX($AA$4:$AL$323,Ajustes!$G33,Z$2),0)+IF(Ajustes!$H33&gt;0,INDEX($AA$4:$AL$323,Ajustes!$H33,Z$2),0)+IF(Ajustes!$I33&gt;0,INDEX($AA$4:$AL$323,Ajustes!$I33,Z$2),0)+IF(Ajustes!$J33&gt;0,INDEX($AA$4:$AL$323,Ajustes!$J33,Z$2),0)+IF(Ajustes!$K33&gt;0,INDEX($AA$5:$AL$324,Ajustes!$K33,Z$2),0)+IF(Ajustes!$L33&gt;0,INDEX($AA$4:$AL$323,Ajustes!$L33,Z$2),0) + Z33</f>
        <v>0</v>
      </c>
      <c r="AM33" s="113">
        <f t="shared" si="3"/>
        <v>0</v>
      </c>
      <c r="AN33" s="113">
        <f t="shared" si="3"/>
        <v>0</v>
      </c>
      <c r="AO33" s="113">
        <f t="shared" si="3"/>
        <v>0</v>
      </c>
      <c r="AP33" s="113">
        <f t="shared" si="3"/>
        <v>0</v>
      </c>
      <c r="AQ33" s="113">
        <f t="shared" si="3"/>
        <v>0</v>
      </c>
      <c r="AR33" s="113">
        <f t="shared" si="3"/>
        <v>0</v>
      </c>
      <c r="AS33" s="113">
        <f t="shared" si="3"/>
        <v>0</v>
      </c>
      <c r="AT33" s="113">
        <f t="shared" si="5"/>
        <v>0</v>
      </c>
      <c r="AU33" s="113">
        <f t="shared" si="4"/>
        <v>0</v>
      </c>
      <c r="AV33" s="113">
        <f t="shared" si="4"/>
        <v>0</v>
      </c>
      <c r="AW33" s="113">
        <f t="shared" si="4"/>
        <v>0</v>
      </c>
      <c r="AX33" s="113">
        <f t="shared" si="4"/>
        <v>0</v>
      </c>
      <c r="BB33">
        <f>ROW()</f>
        <v>33</v>
      </c>
      <c r="BC33" s="290" t="s">
        <v>27</v>
      </c>
      <c r="BD33" s="115">
        <v>1</v>
      </c>
      <c r="BE33" s="115">
        <v>1</v>
      </c>
      <c r="BF33" s="115">
        <v>1</v>
      </c>
      <c r="BG33" s="115">
        <v>1</v>
      </c>
      <c r="BH33" s="115">
        <v>1</v>
      </c>
      <c r="BI33" s="115">
        <v>1</v>
      </c>
      <c r="BJ33" s="115">
        <v>1</v>
      </c>
      <c r="BK33" s="115">
        <v>1</v>
      </c>
      <c r="BL33" s="115">
        <v>1</v>
      </c>
      <c r="BM33" s="115">
        <v>1</v>
      </c>
      <c r="BN33" s="115">
        <v>1</v>
      </c>
      <c r="BO33" s="287">
        <v>1</v>
      </c>
    </row>
    <row r="34" spans="1:67" x14ac:dyDescent="0.25">
      <c r="A34" s="113">
        <v>31</v>
      </c>
      <c r="B34" s="209" t="s">
        <v>551</v>
      </c>
      <c r="C34">
        <f>IFERROR(INDEX($BD$7:$BO$35,MATCH(Ajustes!$E$4:$E$323,$BC$7:$BC$35,0),$C$2:$N$2),1)</f>
        <v>1</v>
      </c>
      <c r="D34" s="113">
        <f>IFERROR(INDEX($BD$7:$BO$35,MATCH(Ajustes!$E$4:$E$323,$BC$7:$BC$35,0),$C$2:$N$2),1)</f>
        <v>1</v>
      </c>
      <c r="E34" s="113">
        <f>IFERROR(INDEX($BD$7:$BO$35,MATCH(Ajustes!$E$4:$E$323,$BC$7:$BC$35,0),$C$2:$N$2),1)</f>
        <v>1</v>
      </c>
      <c r="F34" s="113">
        <f>IFERROR(INDEX($BD$7:$BO$35,MATCH(Ajustes!$E$4:$E$323,$BC$7:$BC$35,0),$C$2:$N$2),1)</f>
        <v>1</v>
      </c>
      <c r="G34" s="113">
        <f>IFERROR(INDEX($BD$7:$BO$35,MATCH(Ajustes!$E$4:$E$323,$BC$7:$BC$35,0),$C$2:$N$2),1)</f>
        <v>1</v>
      </c>
      <c r="H34" s="113">
        <f>IFERROR(INDEX($BD$7:$BO$35,MATCH(Ajustes!$E$4:$E$323,$BC$7:$BC$35,0),$C$2:$N$2),1)</f>
        <v>1</v>
      </c>
      <c r="I34" s="113">
        <f>IFERROR(INDEX($BD$7:$BO$35,MATCH(Ajustes!$E$4:$E$323,$BC$7:$BC$35,0),$C$2:$N$2),1)</f>
        <v>1</v>
      </c>
      <c r="J34" s="113">
        <f>IFERROR(INDEX($BD$7:$BO$35,MATCH(Ajustes!$E$4:$E$323,$BC$7:$BC$35,0),$C$2:$N$2),1)</f>
        <v>1</v>
      </c>
      <c r="K34" s="113">
        <f>IFERROR(INDEX($BD$7:$BO$35,MATCH(Ajustes!$E$4:$E$323,$BC$7:$BC$35,0),$C$2:$N$2),1)</f>
        <v>1</v>
      </c>
      <c r="L34" s="113">
        <f>IFERROR(INDEX($BD$7:$BO$35,MATCH(Ajustes!$E$4:$E$323,$BC$7:$BC$35,0),$C$2:$N$2),1)</f>
        <v>1</v>
      </c>
      <c r="M34" s="113">
        <f>IFERROR(INDEX($BD$7:$BO$35,MATCH(Ajustes!$E$4:$E$323,$BC$7:$BC$35,0),$C$2:$N$2),1)</f>
        <v>1</v>
      </c>
      <c r="N34" s="113">
        <f>IFERROR(INDEX($BD$7:$BO$35,MATCH(Ajustes!$E$4:$E$323,$BC$7:$BC$35,0),$C$2:$N$2),1)</f>
        <v>1</v>
      </c>
      <c r="O34">
        <f>C34*Ajustes!AM34</f>
        <v>438</v>
      </c>
      <c r="P34">
        <f>D34*Ajustes!AN34</f>
        <v>449</v>
      </c>
      <c r="Q34">
        <f>E34*Ajustes!AO34</f>
        <v>450</v>
      </c>
      <c r="R34">
        <f>F34*Ajustes!AP34</f>
        <v>322</v>
      </c>
      <c r="S34">
        <f>G34*Ajustes!AQ34</f>
        <v>207</v>
      </c>
      <c r="T34">
        <f>H34*Ajustes!AR34</f>
        <v>170</v>
      </c>
      <c r="U34">
        <f>I34*Ajustes!AS34</f>
        <v>128</v>
      </c>
      <c r="V34">
        <f>J34*Ajustes!AT34</f>
        <v>100</v>
      </c>
      <c r="W34">
        <f>K34*Ajustes!AU34</f>
        <v>88</v>
      </c>
      <c r="X34">
        <f>L34*Ajustes!AV34</f>
        <v>105</v>
      </c>
      <c r="Y34">
        <f>M34*Ajustes!AW34</f>
        <v>167</v>
      </c>
      <c r="Z34">
        <f>N34*Ajustes!AX34</f>
        <v>302</v>
      </c>
      <c r="AA34">
        <f>IF(Ajustes!$G34&gt;0,INDEX($AA$4:$AL$323,Ajustes!$G34,O$2),0)+IF(Ajustes!$H34&gt;0,INDEX($AA$4:$AL$323,Ajustes!$H34,O$2),0)+IF(Ajustes!$I34&gt;0,INDEX($AA$4:$AL$323,Ajustes!$I34,O$2),0)+IF(Ajustes!$J34&gt;0,INDEX($AA$4:$AL$323,Ajustes!$J34,O$2),0)+IF(Ajustes!$K34&gt;0,INDEX($AA$5:$AL$324,Ajustes!$K34,O$2),0)+IF(Ajustes!$L34&gt;0,INDEX($AA$4:$AL$323,Ajustes!$L34,O$2),0) + O34</f>
        <v>2741</v>
      </c>
      <c r="AB34">
        <f>IF(Ajustes!$G34&gt;0,INDEX($AA$4:$AL$323,Ajustes!$G34,P$2),0)+IF(Ajustes!$H34&gt;0,INDEX($AA$4:$AL$323,Ajustes!$H34,P$2),0)+IF(Ajustes!$I34&gt;0,INDEX($AA$4:$AL$323,Ajustes!$I34,P$2),0)+IF(Ajustes!$J34&gt;0,INDEX($AA$4:$AL$323,Ajustes!$J34,P$2),0)+IF(Ajustes!$K34&gt;0,INDEX($AA$5:$AL$324,Ajustes!$K34,P$2),0)+IF(Ajustes!$L34&gt;0,INDEX($AA$4:$AL$323,Ajustes!$L34,P$2),0) + P34</f>
        <v>2834</v>
      </c>
      <c r="AC34">
        <f>IF(Ajustes!$G34&gt;0,INDEX($AA$4:$AL$323,Ajustes!$G34,Q$2),0)+IF(Ajustes!$H34&gt;0,INDEX($AA$4:$AL$323,Ajustes!$H34,Q$2),0)+IF(Ajustes!$I34&gt;0,INDEX($AA$4:$AL$323,Ajustes!$I34,Q$2),0)+IF(Ajustes!$J34&gt;0,INDEX($AA$4:$AL$323,Ajustes!$J34,Q$2),0)+IF(Ajustes!$K34&gt;0,INDEX($AA$5:$AL$324,Ajustes!$K34,Q$2),0)+IF(Ajustes!$L34&gt;0,INDEX($AA$4:$AL$323,Ajustes!$L34,Q$2),0) + Q34</f>
        <v>2757</v>
      </c>
      <c r="AD34">
        <f>IF(Ajustes!$G34&gt;0,INDEX($AA$4:$AL$323,Ajustes!$G34,R$2),0)+IF(Ajustes!$H34&gt;0,INDEX($AA$4:$AL$323,Ajustes!$H34,R$2),0)+IF(Ajustes!$I34&gt;0,INDEX($AA$4:$AL$323,Ajustes!$I34,R$2),0)+IF(Ajustes!$J34&gt;0,INDEX($AA$4:$AL$323,Ajustes!$J34,R$2),0)+IF(Ajustes!$K34&gt;0,INDEX($AA$5:$AL$324,Ajustes!$K34,R$2),0)+IF(Ajustes!$L34&gt;0,INDEX($AA$4:$AL$323,Ajustes!$L34,R$2),0) + R34</f>
        <v>2060</v>
      </c>
      <c r="AE34">
        <f>IF(Ajustes!$G34&gt;0,INDEX($AA$4:$AL$323,Ajustes!$G34,S$2),0)+IF(Ajustes!$H34&gt;0,INDEX($AA$4:$AL$323,Ajustes!$H34,S$2),0)+IF(Ajustes!$I34&gt;0,INDEX($AA$4:$AL$323,Ajustes!$I34,S$2),0)+IF(Ajustes!$J34&gt;0,INDEX($AA$4:$AL$323,Ajustes!$J34,S$2),0)+IF(Ajustes!$K34&gt;0,INDEX($AA$5:$AL$324,Ajustes!$K34,S$2),0)+IF(Ajustes!$L34&gt;0,INDEX($AA$4:$AL$323,Ajustes!$L34,S$2),0) + S34</f>
        <v>1331</v>
      </c>
      <c r="AF34">
        <f>IF(Ajustes!$G34&gt;0,INDEX($AA$4:$AL$323,Ajustes!$G34,T$2),0)+IF(Ajustes!$H34&gt;0,INDEX($AA$4:$AL$323,Ajustes!$H34,T$2),0)+IF(Ajustes!$I34&gt;0,INDEX($AA$4:$AL$323,Ajustes!$I34,T$2),0)+IF(Ajustes!$J34&gt;0,INDEX($AA$4:$AL$323,Ajustes!$J34,T$2),0)+IF(Ajustes!$K34&gt;0,INDEX($AA$5:$AL$324,Ajustes!$K34,T$2),0)+IF(Ajustes!$L34&gt;0,INDEX($AA$4:$AL$323,Ajustes!$L34,T$2),0) + T34</f>
        <v>1029</v>
      </c>
      <c r="AG34">
        <f>IF(Ajustes!$G34&gt;0,INDEX($AA$4:$AL$323,Ajustes!$G34,U$2),0)+IF(Ajustes!$H34&gt;0,INDEX($AA$4:$AL$323,Ajustes!$H34,U$2),0)+IF(Ajustes!$I34&gt;0,INDEX($AA$4:$AL$323,Ajustes!$I34,U$2),0)+IF(Ajustes!$J34&gt;0,INDEX($AA$4:$AL$323,Ajustes!$J34,U$2),0)+IF(Ajustes!$K34&gt;0,INDEX($AA$5:$AL$324,Ajustes!$K34,U$2),0)+IF(Ajustes!$L34&gt;0,INDEX($AA$4:$AL$323,Ajustes!$L34,U$2),0) + U34</f>
        <v>818</v>
      </c>
      <c r="AH34">
        <f>IF(Ajustes!$G34&gt;0,INDEX($AA$4:$AL$323,Ajustes!$G34,V$2),0)+IF(Ajustes!$H34&gt;0,INDEX($AA$4:$AL$323,Ajustes!$H34,V$2),0)+IF(Ajustes!$I34&gt;0,INDEX($AA$4:$AL$323,Ajustes!$I34,V$2),0)+IF(Ajustes!$J34&gt;0,INDEX($AA$4:$AL$323,Ajustes!$J34,V$2),0)+IF(Ajustes!$K34&gt;0,INDEX($AA$5:$AL$324,Ajustes!$K34,V$2),0)+IF(Ajustes!$L34&gt;0,INDEX($AA$4:$AL$323,Ajustes!$L34,V$2),0) + V34</f>
        <v>656</v>
      </c>
      <c r="AI34">
        <f>IF(Ajustes!$G34&gt;0,INDEX($AA$4:$AL$323,Ajustes!$G34,W$2),0)+IF(Ajustes!$H34&gt;0,INDEX($AA$4:$AL$323,Ajustes!$H34,W$2),0)+IF(Ajustes!$I34&gt;0,INDEX($AA$4:$AL$323,Ajustes!$I34,W$2),0)+IF(Ajustes!$J34&gt;0,INDEX($AA$4:$AL$323,Ajustes!$J34,W$2),0)+IF(Ajustes!$K34&gt;0,INDEX($AA$5:$AL$324,Ajustes!$K34,W$2),0)+IF(Ajustes!$L34&gt;0,INDEX($AA$4:$AL$323,Ajustes!$L34,W$2),0) + W34</f>
        <v>582</v>
      </c>
      <c r="AJ34">
        <f>IF(Ajustes!$G34&gt;0,INDEX($AA$4:$AL$323,Ajustes!$G34,X$2),0)+IF(Ajustes!$H34&gt;0,INDEX($AA$4:$AL$323,Ajustes!$H34,X$2),0)+IF(Ajustes!$I34&gt;0,INDEX($AA$4:$AL$323,Ajustes!$I34,X$2),0)+IF(Ajustes!$J34&gt;0,INDEX($AA$4:$AL$323,Ajustes!$J34,X$2),0)+IF(Ajustes!$K34&gt;0,INDEX($AA$5:$AL$324,Ajustes!$K34,X$2),0)+IF(Ajustes!$L34&gt;0,INDEX($AA$4:$AL$323,Ajustes!$L34,X$2),0) + X34</f>
        <v>707</v>
      </c>
      <c r="AK34">
        <f>IF(Ajustes!$G34&gt;0,INDEX($AA$4:$AL$323,Ajustes!$G34,Y$2),0)+IF(Ajustes!$H34&gt;0,INDEX($AA$4:$AL$323,Ajustes!$H34,Y$2),0)+IF(Ajustes!$I34&gt;0,INDEX($AA$4:$AL$323,Ajustes!$I34,Y$2),0)+IF(Ajustes!$J34&gt;0,INDEX($AA$4:$AL$323,Ajustes!$J34,Y$2),0)+IF(Ajustes!$K34&gt;0,INDEX($AA$5:$AL$324,Ajustes!$K34,Y$2),0)+IF(Ajustes!$L34&gt;0,INDEX($AA$4:$AL$323,Ajustes!$L34,Y$2),0) + Y34</f>
        <v>1138</v>
      </c>
      <c r="AL34">
        <f>IF(Ajustes!$G34&gt;0,INDEX($AA$4:$AL$323,Ajustes!$G34,Z$2),0)+IF(Ajustes!$H34&gt;0,INDEX($AA$4:$AL$323,Ajustes!$H34,Z$2),0)+IF(Ajustes!$I34&gt;0,INDEX($AA$4:$AL$323,Ajustes!$I34,Z$2),0)+IF(Ajustes!$J34&gt;0,INDEX($AA$4:$AL$323,Ajustes!$J34,Z$2),0)+IF(Ajustes!$K34&gt;0,INDEX($AA$5:$AL$324,Ajustes!$K34,Z$2),0)+IF(Ajustes!$L34&gt;0,INDEX($AA$4:$AL$323,Ajustes!$L34,Z$2),0) + Z34</f>
        <v>1973</v>
      </c>
      <c r="AM34" s="113">
        <f t="shared" si="3"/>
        <v>2741</v>
      </c>
      <c r="AN34" s="113">
        <f t="shared" si="3"/>
        <v>2834</v>
      </c>
      <c r="AO34" s="113">
        <f t="shared" si="3"/>
        <v>2757</v>
      </c>
      <c r="AP34" s="113">
        <f t="shared" si="3"/>
        <v>2060</v>
      </c>
      <c r="AQ34" s="113">
        <f t="shared" si="3"/>
        <v>1331</v>
      </c>
      <c r="AR34" s="113">
        <f t="shared" si="3"/>
        <v>1029</v>
      </c>
      <c r="AS34" s="113">
        <f t="shared" si="3"/>
        <v>818</v>
      </c>
      <c r="AT34" s="113">
        <f t="shared" si="5"/>
        <v>656</v>
      </c>
      <c r="AU34" s="113">
        <f t="shared" si="4"/>
        <v>582</v>
      </c>
      <c r="AV34" s="113">
        <f t="shared" si="4"/>
        <v>707</v>
      </c>
      <c r="AW34" s="113">
        <f t="shared" si="4"/>
        <v>1138</v>
      </c>
      <c r="AX34" s="113">
        <f t="shared" si="4"/>
        <v>1973</v>
      </c>
      <c r="BB34">
        <f>ROW()</f>
        <v>34</v>
      </c>
      <c r="BC34" s="290" t="s">
        <v>29</v>
      </c>
      <c r="BD34" s="115">
        <v>1</v>
      </c>
      <c r="BE34" s="115">
        <v>1</v>
      </c>
      <c r="BF34" s="115">
        <v>1</v>
      </c>
      <c r="BG34" s="115">
        <v>1</v>
      </c>
      <c r="BH34" s="115">
        <v>1</v>
      </c>
      <c r="BI34" s="115">
        <v>1</v>
      </c>
      <c r="BJ34" s="115">
        <v>1</v>
      </c>
      <c r="BK34" s="115">
        <v>1</v>
      </c>
      <c r="BL34" s="115">
        <v>1</v>
      </c>
      <c r="BM34" s="115">
        <v>1</v>
      </c>
      <c r="BN34" s="115">
        <v>1</v>
      </c>
      <c r="BO34" s="287">
        <v>1</v>
      </c>
    </row>
    <row r="35" spans="1:67" ht="15.75" thickBot="1" x14ac:dyDescent="0.3">
      <c r="A35" s="113">
        <v>32</v>
      </c>
      <c r="B35" s="209" t="s">
        <v>269</v>
      </c>
      <c r="C35">
        <f>IFERROR(INDEX($BD$7:$BO$35,MATCH(Ajustes!$E$4:$E$323,$BC$7:$BC$35,0),$C$2:$N$2),1)</f>
        <v>1</v>
      </c>
      <c r="D35" s="113">
        <f>IFERROR(INDEX($BD$7:$BO$35,MATCH(Ajustes!$E$4:$E$323,$BC$7:$BC$35,0),$C$2:$N$2),1)</f>
        <v>1</v>
      </c>
      <c r="E35" s="113">
        <f>IFERROR(INDEX($BD$7:$BO$35,MATCH(Ajustes!$E$4:$E$323,$BC$7:$BC$35,0),$C$2:$N$2),1)</f>
        <v>1</v>
      </c>
      <c r="F35" s="113">
        <f>IFERROR(INDEX($BD$7:$BO$35,MATCH(Ajustes!$E$4:$E$323,$BC$7:$BC$35,0),$C$2:$N$2),1)</f>
        <v>1</v>
      </c>
      <c r="G35" s="113">
        <f>IFERROR(INDEX($BD$7:$BO$35,MATCH(Ajustes!$E$4:$E$323,$BC$7:$BC$35,0),$C$2:$N$2),1)</f>
        <v>1</v>
      </c>
      <c r="H35" s="113">
        <f>IFERROR(INDEX($BD$7:$BO$35,MATCH(Ajustes!$E$4:$E$323,$BC$7:$BC$35,0),$C$2:$N$2),1)</f>
        <v>1</v>
      </c>
      <c r="I35" s="113">
        <f>IFERROR(INDEX($BD$7:$BO$35,MATCH(Ajustes!$E$4:$E$323,$BC$7:$BC$35,0),$C$2:$N$2),1)</f>
        <v>1</v>
      </c>
      <c r="J35" s="113">
        <f>IFERROR(INDEX($BD$7:$BO$35,MATCH(Ajustes!$E$4:$E$323,$BC$7:$BC$35,0),$C$2:$N$2),1)</f>
        <v>1</v>
      </c>
      <c r="K35" s="113">
        <f>IFERROR(INDEX($BD$7:$BO$35,MATCH(Ajustes!$E$4:$E$323,$BC$7:$BC$35,0),$C$2:$N$2),1)</f>
        <v>1</v>
      </c>
      <c r="L35" s="113">
        <f>IFERROR(INDEX($BD$7:$BO$35,MATCH(Ajustes!$E$4:$E$323,$BC$7:$BC$35,0),$C$2:$N$2),1)</f>
        <v>1</v>
      </c>
      <c r="M35" s="113">
        <f>IFERROR(INDEX($BD$7:$BO$35,MATCH(Ajustes!$E$4:$E$323,$BC$7:$BC$35,0),$C$2:$N$2),1)</f>
        <v>1</v>
      </c>
      <c r="N35" s="113">
        <f>IFERROR(INDEX($BD$7:$BO$35,MATCH(Ajustes!$E$4:$E$323,$BC$7:$BC$35,0),$C$2:$N$2),1)</f>
        <v>1</v>
      </c>
      <c r="O35">
        <f>C35*Ajustes!AM35</f>
        <v>127</v>
      </c>
      <c r="P35">
        <f>D35*Ajustes!AN35</f>
        <v>141</v>
      </c>
      <c r="Q35">
        <f>E35*Ajustes!AO35</f>
        <v>137</v>
      </c>
      <c r="R35">
        <f>F35*Ajustes!AP35</f>
        <v>109</v>
      </c>
      <c r="S35">
        <f>G35*Ajustes!AQ35</f>
        <v>72</v>
      </c>
      <c r="T35">
        <f>H35*Ajustes!AR35</f>
        <v>57</v>
      </c>
      <c r="U35">
        <f>I35*Ajustes!AS35</f>
        <v>48</v>
      </c>
      <c r="V35">
        <f>J35*Ajustes!AT35</f>
        <v>39</v>
      </c>
      <c r="W35">
        <f>K35*Ajustes!AU35</f>
        <v>36</v>
      </c>
      <c r="X35">
        <f>L35*Ajustes!AV35</f>
        <v>38</v>
      </c>
      <c r="Y35">
        <f>M35*Ajustes!AW35</f>
        <v>55</v>
      </c>
      <c r="Z35">
        <f>N35*Ajustes!AX35</f>
        <v>91</v>
      </c>
      <c r="AA35">
        <f>IF(Ajustes!$G35&gt;0,INDEX($AA$4:$AL$323,Ajustes!$G35,O$2),0)+IF(Ajustes!$H35&gt;0,INDEX($AA$4:$AL$323,Ajustes!$H35,O$2),0)+IF(Ajustes!$I35&gt;0,INDEX($AA$4:$AL$323,Ajustes!$I35,O$2),0)+IF(Ajustes!$J35&gt;0,INDEX($AA$4:$AL$323,Ajustes!$J35,O$2),0)+IF(Ajustes!$K35&gt;0,INDEX($AA$5:$AL$324,Ajustes!$K35,O$2),0)+IF(Ajustes!$L35&gt;0,INDEX($AA$4:$AL$323,Ajustes!$L35,O$2),0) + O35</f>
        <v>2868</v>
      </c>
      <c r="AB35">
        <f>IF(Ajustes!$G35&gt;0,INDEX($AA$4:$AL$323,Ajustes!$G35,P$2),0)+IF(Ajustes!$H35&gt;0,INDEX($AA$4:$AL$323,Ajustes!$H35,P$2),0)+IF(Ajustes!$I35&gt;0,INDEX($AA$4:$AL$323,Ajustes!$I35,P$2),0)+IF(Ajustes!$J35&gt;0,INDEX($AA$4:$AL$323,Ajustes!$J35,P$2),0)+IF(Ajustes!$K35&gt;0,INDEX($AA$5:$AL$324,Ajustes!$K35,P$2),0)+IF(Ajustes!$L35&gt;0,INDEX($AA$4:$AL$323,Ajustes!$L35,P$2),0) + P35</f>
        <v>2975</v>
      </c>
      <c r="AC35">
        <f>IF(Ajustes!$G35&gt;0,INDEX($AA$4:$AL$323,Ajustes!$G35,Q$2),0)+IF(Ajustes!$H35&gt;0,INDEX($AA$4:$AL$323,Ajustes!$H35,Q$2),0)+IF(Ajustes!$I35&gt;0,INDEX($AA$4:$AL$323,Ajustes!$I35,Q$2),0)+IF(Ajustes!$J35&gt;0,INDEX($AA$4:$AL$323,Ajustes!$J35,Q$2),0)+IF(Ajustes!$K35&gt;0,INDEX($AA$5:$AL$324,Ajustes!$K35,Q$2),0)+IF(Ajustes!$L35&gt;0,INDEX($AA$4:$AL$323,Ajustes!$L35,Q$2),0) + Q35</f>
        <v>2894</v>
      </c>
      <c r="AD35">
        <f>IF(Ajustes!$G35&gt;0,INDEX($AA$4:$AL$323,Ajustes!$G35,R$2),0)+IF(Ajustes!$H35&gt;0,INDEX($AA$4:$AL$323,Ajustes!$H35,R$2),0)+IF(Ajustes!$I35&gt;0,INDEX($AA$4:$AL$323,Ajustes!$I35,R$2),0)+IF(Ajustes!$J35&gt;0,INDEX($AA$4:$AL$323,Ajustes!$J35,R$2),0)+IF(Ajustes!$K35&gt;0,INDEX($AA$5:$AL$324,Ajustes!$K35,R$2),0)+IF(Ajustes!$L35&gt;0,INDEX($AA$4:$AL$323,Ajustes!$L35,R$2),0) + R35</f>
        <v>2169</v>
      </c>
      <c r="AE35">
        <f>IF(Ajustes!$G35&gt;0,INDEX($AA$4:$AL$323,Ajustes!$G35,S$2),0)+IF(Ajustes!$H35&gt;0,INDEX($AA$4:$AL$323,Ajustes!$H35,S$2),0)+IF(Ajustes!$I35&gt;0,INDEX($AA$4:$AL$323,Ajustes!$I35,S$2),0)+IF(Ajustes!$J35&gt;0,INDEX($AA$4:$AL$323,Ajustes!$J35,S$2),0)+IF(Ajustes!$K35&gt;0,INDEX($AA$5:$AL$324,Ajustes!$K35,S$2),0)+IF(Ajustes!$L35&gt;0,INDEX($AA$4:$AL$323,Ajustes!$L35,S$2),0) + S35</f>
        <v>1403</v>
      </c>
      <c r="AF35">
        <f>IF(Ajustes!$G35&gt;0,INDEX($AA$4:$AL$323,Ajustes!$G35,T$2),0)+IF(Ajustes!$H35&gt;0,INDEX($AA$4:$AL$323,Ajustes!$H35,T$2),0)+IF(Ajustes!$I35&gt;0,INDEX($AA$4:$AL$323,Ajustes!$I35,T$2),0)+IF(Ajustes!$J35&gt;0,INDEX($AA$4:$AL$323,Ajustes!$J35,T$2),0)+IF(Ajustes!$K35&gt;0,INDEX($AA$5:$AL$324,Ajustes!$K35,T$2),0)+IF(Ajustes!$L35&gt;0,INDEX($AA$4:$AL$323,Ajustes!$L35,T$2),0) + T35</f>
        <v>1086</v>
      </c>
      <c r="AG35">
        <f>IF(Ajustes!$G35&gt;0,INDEX($AA$4:$AL$323,Ajustes!$G35,U$2),0)+IF(Ajustes!$H35&gt;0,INDEX($AA$4:$AL$323,Ajustes!$H35,U$2),0)+IF(Ajustes!$I35&gt;0,INDEX($AA$4:$AL$323,Ajustes!$I35,U$2),0)+IF(Ajustes!$J35&gt;0,INDEX($AA$4:$AL$323,Ajustes!$J35,U$2),0)+IF(Ajustes!$K35&gt;0,INDEX($AA$5:$AL$324,Ajustes!$K35,U$2),0)+IF(Ajustes!$L35&gt;0,INDEX($AA$4:$AL$323,Ajustes!$L35,U$2),0) + U35</f>
        <v>866</v>
      </c>
      <c r="AH35">
        <f>IF(Ajustes!$G35&gt;0,INDEX($AA$4:$AL$323,Ajustes!$G35,V$2),0)+IF(Ajustes!$H35&gt;0,INDEX($AA$4:$AL$323,Ajustes!$H35,V$2),0)+IF(Ajustes!$I35&gt;0,INDEX($AA$4:$AL$323,Ajustes!$I35,V$2),0)+IF(Ajustes!$J35&gt;0,INDEX($AA$4:$AL$323,Ajustes!$J35,V$2),0)+IF(Ajustes!$K35&gt;0,INDEX($AA$5:$AL$324,Ajustes!$K35,V$2),0)+IF(Ajustes!$L35&gt;0,INDEX($AA$4:$AL$323,Ajustes!$L35,V$2),0) + V35</f>
        <v>695</v>
      </c>
      <c r="AI35">
        <f>IF(Ajustes!$G35&gt;0,INDEX($AA$4:$AL$323,Ajustes!$G35,W$2),0)+IF(Ajustes!$H35&gt;0,INDEX($AA$4:$AL$323,Ajustes!$H35,W$2),0)+IF(Ajustes!$I35&gt;0,INDEX($AA$4:$AL$323,Ajustes!$I35,W$2),0)+IF(Ajustes!$J35&gt;0,INDEX($AA$4:$AL$323,Ajustes!$J35,W$2),0)+IF(Ajustes!$K35&gt;0,INDEX($AA$5:$AL$324,Ajustes!$K35,W$2),0)+IF(Ajustes!$L35&gt;0,INDEX($AA$4:$AL$323,Ajustes!$L35,W$2),0) + W35</f>
        <v>618</v>
      </c>
      <c r="AJ35">
        <f>IF(Ajustes!$G35&gt;0,INDEX($AA$4:$AL$323,Ajustes!$G35,X$2),0)+IF(Ajustes!$H35&gt;0,INDEX($AA$4:$AL$323,Ajustes!$H35,X$2),0)+IF(Ajustes!$I35&gt;0,INDEX($AA$4:$AL$323,Ajustes!$I35,X$2),0)+IF(Ajustes!$J35&gt;0,INDEX($AA$4:$AL$323,Ajustes!$J35,X$2),0)+IF(Ajustes!$K35&gt;0,INDEX($AA$5:$AL$324,Ajustes!$K35,X$2),0)+IF(Ajustes!$L35&gt;0,INDEX($AA$4:$AL$323,Ajustes!$L35,X$2),0) + X35</f>
        <v>745</v>
      </c>
      <c r="AK35">
        <f>IF(Ajustes!$G35&gt;0,INDEX($AA$4:$AL$323,Ajustes!$G35,Y$2),0)+IF(Ajustes!$H35&gt;0,INDEX($AA$4:$AL$323,Ajustes!$H35,Y$2),0)+IF(Ajustes!$I35&gt;0,INDEX($AA$4:$AL$323,Ajustes!$I35,Y$2),0)+IF(Ajustes!$J35&gt;0,INDEX($AA$4:$AL$323,Ajustes!$J35,Y$2),0)+IF(Ajustes!$K35&gt;0,INDEX($AA$5:$AL$324,Ajustes!$K35,Y$2),0)+IF(Ajustes!$L35&gt;0,INDEX($AA$4:$AL$323,Ajustes!$L35,Y$2),0) + Y35</f>
        <v>1193</v>
      </c>
      <c r="AL35">
        <f>IF(Ajustes!$G35&gt;0,INDEX($AA$4:$AL$323,Ajustes!$G35,Z$2),0)+IF(Ajustes!$H35&gt;0,INDEX($AA$4:$AL$323,Ajustes!$H35,Z$2),0)+IF(Ajustes!$I35&gt;0,INDEX($AA$4:$AL$323,Ajustes!$I35,Z$2),0)+IF(Ajustes!$J35&gt;0,INDEX($AA$4:$AL$323,Ajustes!$J35,Z$2),0)+IF(Ajustes!$K35&gt;0,INDEX($AA$5:$AL$324,Ajustes!$K35,Z$2),0)+IF(Ajustes!$L35&gt;0,INDEX($AA$4:$AL$323,Ajustes!$L35,Z$2),0) + Z35</f>
        <v>2064</v>
      </c>
      <c r="AM35" s="113">
        <f t="shared" si="3"/>
        <v>2868</v>
      </c>
      <c r="AN35" s="113">
        <f t="shared" si="3"/>
        <v>2975</v>
      </c>
      <c r="AO35" s="113">
        <f t="shared" si="3"/>
        <v>2894</v>
      </c>
      <c r="AP35" s="113">
        <f t="shared" si="3"/>
        <v>2169</v>
      </c>
      <c r="AQ35" s="113">
        <f t="shared" si="3"/>
        <v>1403</v>
      </c>
      <c r="AR35" s="113">
        <f t="shared" si="3"/>
        <v>1086</v>
      </c>
      <c r="AS35" s="113">
        <f t="shared" si="3"/>
        <v>866</v>
      </c>
      <c r="AT35" s="113">
        <f t="shared" si="5"/>
        <v>695</v>
      </c>
      <c r="AU35" s="113">
        <f t="shared" si="4"/>
        <v>618</v>
      </c>
      <c r="AV35" s="113">
        <f t="shared" si="4"/>
        <v>745</v>
      </c>
      <c r="AW35" s="113">
        <f t="shared" si="4"/>
        <v>1193</v>
      </c>
      <c r="AX35" s="113">
        <f t="shared" si="4"/>
        <v>2064</v>
      </c>
      <c r="BB35">
        <f>ROW()</f>
        <v>35</v>
      </c>
      <c r="BC35" s="291" t="s">
        <v>289</v>
      </c>
      <c r="BD35" s="292">
        <v>1</v>
      </c>
      <c r="BE35" s="292">
        <v>1</v>
      </c>
      <c r="BF35" s="292">
        <v>1</v>
      </c>
      <c r="BG35" s="292">
        <v>1</v>
      </c>
      <c r="BH35" s="292">
        <v>1</v>
      </c>
      <c r="BI35" s="292">
        <v>1</v>
      </c>
      <c r="BJ35" s="292">
        <v>1</v>
      </c>
      <c r="BK35" s="292">
        <v>1</v>
      </c>
      <c r="BL35" s="292">
        <v>1</v>
      </c>
      <c r="BM35" s="292">
        <v>1</v>
      </c>
      <c r="BN35" s="292">
        <v>1</v>
      </c>
      <c r="BO35" s="293">
        <v>1</v>
      </c>
    </row>
    <row r="36" spans="1:67" x14ac:dyDescent="0.25">
      <c r="A36" s="113">
        <v>33</v>
      </c>
      <c r="B36" s="209" t="s">
        <v>552</v>
      </c>
      <c r="C36">
        <f>IFERROR(INDEX($BD$7:$BO$35,MATCH(Ajustes!$E$4:$E$323,$BC$7:$BC$35,0),$C$2:$N$2),1)</f>
        <v>1</v>
      </c>
      <c r="D36" s="113">
        <f>IFERROR(INDEX($BD$7:$BO$35,MATCH(Ajustes!$E$4:$E$323,$BC$7:$BC$35,0),$C$2:$N$2),1)</f>
        <v>1</v>
      </c>
      <c r="E36" s="113">
        <f>IFERROR(INDEX($BD$7:$BO$35,MATCH(Ajustes!$E$4:$E$323,$BC$7:$BC$35,0),$C$2:$N$2),1)</f>
        <v>1</v>
      </c>
      <c r="F36" s="113">
        <f>IFERROR(INDEX($BD$7:$BO$35,MATCH(Ajustes!$E$4:$E$323,$BC$7:$BC$35,0),$C$2:$N$2),1)</f>
        <v>1</v>
      </c>
      <c r="G36" s="113">
        <f>IFERROR(INDEX($BD$7:$BO$35,MATCH(Ajustes!$E$4:$E$323,$BC$7:$BC$35,0),$C$2:$N$2),1)</f>
        <v>1</v>
      </c>
      <c r="H36" s="113">
        <f>IFERROR(INDEX($BD$7:$BO$35,MATCH(Ajustes!$E$4:$E$323,$BC$7:$BC$35,0),$C$2:$N$2),1)</f>
        <v>1</v>
      </c>
      <c r="I36" s="113">
        <f>IFERROR(INDEX($BD$7:$BO$35,MATCH(Ajustes!$E$4:$E$323,$BC$7:$BC$35,0),$C$2:$N$2),1)</f>
        <v>1</v>
      </c>
      <c r="J36" s="113">
        <f>IFERROR(INDEX($BD$7:$BO$35,MATCH(Ajustes!$E$4:$E$323,$BC$7:$BC$35,0),$C$2:$N$2),1)</f>
        <v>1</v>
      </c>
      <c r="K36" s="113">
        <f>IFERROR(INDEX($BD$7:$BO$35,MATCH(Ajustes!$E$4:$E$323,$BC$7:$BC$35,0),$C$2:$N$2),1)</f>
        <v>1</v>
      </c>
      <c r="L36" s="113">
        <f>IFERROR(INDEX($BD$7:$BO$35,MATCH(Ajustes!$E$4:$E$323,$BC$7:$BC$35,0),$C$2:$N$2),1)</f>
        <v>1</v>
      </c>
      <c r="M36" s="113">
        <f>IFERROR(INDEX($BD$7:$BO$35,MATCH(Ajustes!$E$4:$E$323,$BC$7:$BC$35,0),$C$2:$N$2),1)</f>
        <v>1</v>
      </c>
      <c r="N36" s="113">
        <f>IFERROR(INDEX($BD$7:$BO$35,MATCH(Ajustes!$E$4:$E$323,$BC$7:$BC$35,0),$C$2:$N$2),1)</f>
        <v>1</v>
      </c>
      <c r="O36">
        <f>C36*Ajustes!AM36</f>
        <v>1238</v>
      </c>
      <c r="P36">
        <f>D36*Ajustes!AN36</f>
        <v>1305</v>
      </c>
      <c r="Q36">
        <f>E36*Ajustes!AO36</f>
        <v>1335</v>
      </c>
      <c r="R36">
        <f>F36*Ajustes!AP36</f>
        <v>1060</v>
      </c>
      <c r="S36">
        <f>G36*Ajustes!AQ36</f>
        <v>707</v>
      </c>
      <c r="T36">
        <f>H36*Ajustes!AR36</f>
        <v>565</v>
      </c>
      <c r="U36">
        <f>I36*Ajustes!AS36</f>
        <v>461</v>
      </c>
      <c r="V36">
        <f>J36*Ajustes!AT36</f>
        <v>387</v>
      </c>
      <c r="W36">
        <f>K36*Ajustes!AU36</f>
        <v>363</v>
      </c>
      <c r="X36">
        <f>L36*Ajustes!AV36</f>
        <v>419</v>
      </c>
      <c r="Y36">
        <f>M36*Ajustes!AW36</f>
        <v>577</v>
      </c>
      <c r="Z36">
        <f>N36*Ajustes!AX36</f>
        <v>916</v>
      </c>
      <c r="AA36">
        <f>IF(Ajustes!$G36&gt;0,INDEX($AA$4:$AL$323,Ajustes!$G36,O$2),0)+IF(Ajustes!$H36&gt;0,INDEX($AA$4:$AL$323,Ajustes!$H36,O$2),0)+IF(Ajustes!$I36&gt;0,INDEX($AA$4:$AL$323,Ajustes!$I36,O$2),0)+IF(Ajustes!$J36&gt;0,INDEX($AA$4:$AL$323,Ajustes!$J36,O$2),0)+IF(Ajustes!$K36&gt;0,INDEX($AA$5:$AL$324,Ajustes!$K36,O$2),0)+IF(Ajustes!$L36&gt;0,INDEX($AA$4:$AL$323,Ajustes!$L36,O$2),0) + O36</f>
        <v>4106</v>
      </c>
      <c r="AB36">
        <f>IF(Ajustes!$G36&gt;0,INDEX($AA$4:$AL$323,Ajustes!$G36,P$2),0)+IF(Ajustes!$H36&gt;0,INDEX($AA$4:$AL$323,Ajustes!$H36,P$2),0)+IF(Ajustes!$I36&gt;0,INDEX($AA$4:$AL$323,Ajustes!$I36,P$2),0)+IF(Ajustes!$J36&gt;0,INDEX($AA$4:$AL$323,Ajustes!$J36,P$2),0)+IF(Ajustes!$K36&gt;0,INDEX($AA$5:$AL$324,Ajustes!$K36,P$2),0)+IF(Ajustes!$L36&gt;0,INDEX($AA$4:$AL$323,Ajustes!$L36,P$2),0) + P36</f>
        <v>4280</v>
      </c>
      <c r="AC36">
        <f>IF(Ajustes!$G36&gt;0,INDEX($AA$4:$AL$323,Ajustes!$G36,Q$2),0)+IF(Ajustes!$H36&gt;0,INDEX($AA$4:$AL$323,Ajustes!$H36,Q$2),0)+IF(Ajustes!$I36&gt;0,INDEX($AA$4:$AL$323,Ajustes!$I36,Q$2),0)+IF(Ajustes!$J36&gt;0,INDEX($AA$4:$AL$323,Ajustes!$J36,Q$2),0)+IF(Ajustes!$K36&gt;0,INDEX($AA$5:$AL$324,Ajustes!$K36,Q$2),0)+IF(Ajustes!$L36&gt;0,INDEX($AA$4:$AL$323,Ajustes!$L36,Q$2),0) + Q36</f>
        <v>4229</v>
      </c>
      <c r="AD36">
        <f>IF(Ajustes!$G36&gt;0,INDEX($AA$4:$AL$323,Ajustes!$G36,R$2),0)+IF(Ajustes!$H36&gt;0,INDEX($AA$4:$AL$323,Ajustes!$H36,R$2),0)+IF(Ajustes!$I36&gt;0,INDEX($AA$4:$AL$323,Ajustes!$I36,R$2),0)+IF(Ajustes!$J36&gt;0,INDEX($AA$4:$AL$323,Ajustes!$J36,R$2),0)+IF(Ajustes!$K36&gt;0,INDEX($AA$5:$AL$324,Ajustes!$K36,R$2),0)+IF(Ajustes!$L36&gt;0,INDEX($AA$4:$AL$323,Ajustes!$L36,R$2),0) + R36</f>
        <v>3229</v>
      </c>
      <c r="AE36">
        <f>IF(Ajustes!$G36&gt;0,INDEX($AA$4:$AL$323,Ajustes!$G36,S$2),0)+IF(Ajustes!$H36&gt;0,INDEX($AA$4:$AL$323,Ajustes!$H36,S$2),0)+IF(Ajustes!$I36&gt;0,INDEX($AA$4:$AL$323,Ajustes!$I36,S$2),0)+IF(Ajustes!$J36&gt;0,INDEX($AA$4:$AL$323,Ajustes!$J36,S$2),0)+IF(Ajustes!$K36&gt;0,INDEX($AA$5:$AL$324,Ajustes!$K36,S$2),0)+IF(Ajustes!$L36&gt;0,INDEX($AA$4:$AL$323,Ajustes!$L36,S$2),0) + S36</f>
        <v>2110</v>
      </c>
      <c r="AF36">
        <f>IF(Ajustes!$G36&gt;0,INDEX($AA$4:$AL$323,Ajustes!$G36,T$2),0)+IF(Ajustes!$H36&gt;0,INDEX($AA$4:$AL$323,Ajustes!$H36,T$2),0)+IF(Ajustes!$I36&gt;0,INDEX($AA$4:$AL$323,Ajustes!$I36,T$2),0)+IF(Ajustes!$J36&gt;0,INDEX($AA$4:$AL$323,Ajustes!$J36,T$2),0)+IF(Ajustes!$K36&gt;0,INDEX($AA$5:$AL$324,Ajustes!$K36,T$2),0)+IF(Ajustes!$L36&gt;0,INDEX($AA$4:$AL$323,Ajustes!$L36,T$2),0) + T36</f>
        <v>1651</v>
      </c>
      <c r="AG36">
        <f>IF(Ajustes!$G36&gt;0,INDEX($AA$4:$AL$323,Ajustes!$G36,U$2),0)+IF(Ajustes!$H36&gt;0,INDEX($AA$4:$AL$323,Ajustes!$H36,U$2),0)+IF(Ajustes!$I36&gt;0,INDEX($AA$4:$AL$323,Ajustes!$I36,U$2),0)+IF(Ajustes!$J36&gt;0,INDEX($AA$4:$AL$323,Ajustes!$J36,U$2),0)+IF(Ajustes!$K36&gt;0,INDEX($AA$5:$AL$324,Ajustes!$K36,U$2),0)+IF(Ajustes!$L36&gt;0,INDEX($AA$4:$AL$323,Ajustes!$L36,U$2),0) + U36</f>
        <v>1327</v>
      </c>
      <c r="AH36">
        <f>IF(Ajustes!$G36&gt;0,INDEX($AA$4:$AL$323,Ajustes!$G36,V$2),0)+IF(Ajustes!$H36&gt;0,INDEX($AA$4:$AL$323,Ajustes!$H36,V$2),0)+IF(Ajustes!$I36&gt;0,INDEX($AA$4:$AL$323,Ajustes!$I36,V$2),0)+IF(Ajustes!$J36&gt;0,INDEX($AA$4:$AL$323,Ajustes!$J36,V$2),0)+IF(Ajustes!$K36&gt;0,INDEX($AA$5:$AL$324,Ajustes!$K36,V$2),0)+IF(Ajustes!$L36&gt;0,INDEX($AA$4:$AL$323,Ajustes!$L36,V$2),0) + V36</f>
        <v>1082</v>
      </c>
      <c r="AI36">
        <f>IF(Ajustes!$G36&gt;0,INDEX($AA$4:$AL$323,Ajustes!$G36,W$2),0)+IF(Ajustes!$H36&gt;0,INDEX($AA$4:$AL$323,Ajustes!$H36,W$2),0)+IF(Ajustes!$I36&gt;0,INDEX($AA$4:$AL$323,Ajustes!$I36,W$2),0)+IF(Ajustes!$J36&gt;0,INDEX($AA$4:$AL$323,Ajustes!$J36,W$2),0)+IF(Ajustes!$K36&gt;0,INDEX($AA$5:$AL$324,Ajustes!$K36,W$2),0)+IF(Ajustes!$L36&gt;0,INDEX($AA$4:$AL$323,Ajustes!$L36,W$2),0) + W36</f>
        <v>981</v>
      </c>
      <c r="AJ36">
        <f>IF(Ajustes!$G36&gt;0,INDEX($AA$4:$AL$323,Ajustes!$G36,X$2),0)+IF(Ajustes!$H36&gt;0,INDEX($AA$4:$AL$323,Ajustes!$H36,X$2),0)+IF(Ajustes!$I36&gt;0,INDEX($AA$4:$AL$323,Ajustes!$I36,X$2),0)+IF(Ajustes!$J36&gt;0,INDEX($AA$4:$AL$323,Ajustes!$J36,X$2),0)+IF(Ajustes!$K36&gt;0,INDEX($AA$5:$AL$324,Ajustes!$K36,X$2),0)+IF(Ajustes!$L36&gt;0,INDEX($AA$4:$AL$323,Ajustes!$L36,X$2),0) + X36</f>
        <v>1164</v>
      </c>
      <c r="AK36">
        <f>IF(Ajustes!$G36&gt;0,INDEX($AA$4:$AL$323,Ajustes!$G36,Y$2),0)+IF(Ajustes!$H36&gt;0,INDEX($AA$4:$AL$323,Ajustes!$H36,Y$2),0)+IF(Ajustes!$I36&gt;0,INDEX($AA$4:$AL$323,Ajustes!$I36,Y$2),0)+IF(Ajustes!$J36&gt;0,INDEX($AA$4:$AL$323,Ajustes!$J36,Y$2),0)+IF(Ajustes!$K36&gt;0,INDEX($AA$5:$AL$324,Ajustes!$K36,Y$2),0)+IF(Ajustes!$L36&gt;0,INDEX($AA$4:$AL$323,Ajustes!$L36,Y$2),0) + Y36</f>
        <v>1770</v>
      </c>
      <c r="AL36">
        <f>IF(Ajustes!$G36&gt;0,INDEX($AA$4:$AL$323,Ajustes!$G36,Z$2),0)+IF(Ajustes!$H36&gt;0,INDEX($AA$4:$AL$323,Ajustes!$H36,Z$2),0)+IF(Ajustes!$I36&gt;0,INDEX($AA$4:$AL$323,Ajustes!$I36,Z$2),0)+IF(Ajustes!$J36&gt;0,INDEX($AA$4:$AL$323,Ajustes!$J36,Z$2),0)+IF(Ajustes!$K36&gt;0,INDEX($AA$5:$AL$324,Ajustes!$K36,Z$2),0)+IF(Ajustes!$L36&gt;0,INDEX($AA$4:$AL$323,Ajustes!$L36,Z$2),0) + Z36</f>
        <v>2980</v>
      </c>
      <c r="AM36" s="113">
        <f t="shared" si="3"/>
        <v>4106</v>
      </c>
      <c r="AN36" s="113">
        <f t="shared" si="3"/>
        <v>4280</v>
      </c>
      <c r="AO36" s="113">
        <f t="shared" si="3"/>
        <v>4229</v>
      </c>
      <c r="AP36" s="113">
        <f t="shared" si="3"/>
        <v>3229</v>
      </c>
      <c r="AQ36" s="113">
        <f t="shared" si="3"/>
        <v>2110</v>
      </c>
      <c r="AR36" s="113">
        <f t="shared" si="3"/>
        <v>1651</v>
      </c>
      <c r="AS36" s="113">
        <f t="shared" si="3"/>
        <v>1327</v>
      </c>
      <c r="AT36" s="113">
        <f t="shared" si="5"/>
        <v>1082</v>
      </c>
      <c r="AU36" s="113">
        <f t="shared" si="4"/>
        <v>981</v>
      </c>
      <c r="AV36" s="113">
        <f t="shared" si="4"/>
        <v>1164</v>
      </c>
      <c r="AW36" s="113">
        <f t="shared" si="4"/>
        <v>1770</v>
      </c>
      <c r="AX36" s="113">
        <f t="shared" si="4"/>
        <v>2980</v>
      </c>
    </row>
    <row r="37" spans="1:67" x14ac:dyDescent="0.25">
      <c r="A37" s="113">
        <v>34</v>
      </c>
      <c r="B37" s="209" t="s">
        <v>553</v>
      </c>
      <c r="C37">
        <f>IFERROR(INDEX($BD$7:$BO$35,MATCH(Ajustes!$E$4:$E$323,$BC$7:$BC$35,0),$C$2:$N$2),1)</f>
        <v>1</v>
      </c>
      <c r="D37" s="113">
        <f>IFERROR(INDEX($BD$7:$BO$35,MATCH(Ajustes!$E$4:$E$323,$BC$7:$BC$35,0),$C$2:$N$2),1)</f>
        <v>1</v>
      </c>
      <c r="E37" s="113">
        <f>IFERROR(INDEX($BD$7:$BO$35,MATCH(Ajustes!$E$4:$E$323,$BC$7:$BC$35,0),$C$2:$N$2),1)</f>
        <v>1</v>
      </c>
      <c r="F37" s="113">
        <f>IFERROR(INDEX($BD$7:$BO$35,MATCH(Ajustes!$E$4:$E$323,$BC$7:$BC$35,0),$C$2:$N$2),1)</f>
        <v>1</v>
      </c>
      <c r="G37" s="113">
        <f>IFERROR(INDEX($BD$7:$BO$35,MATCH(Ajustes!$E$4:$E$323,$BC$7:$BC$35,0),$C$2:$N$2),1)</f>
        <v>1</v>
      </c>
      <c r="H37" s="113">
        <f>IFERROR(INDEX($BD$7:$BO$35,MATCH(Ajustes!$E$4:$E$323,$BC$7:$BC$35,0),$C$2:$N$2),1)</f>
        <v>1</v>
      </c>
      <c r="I37" s="113">
        <f>IFERROR(INDEX($BD$7:$BO$35,MATCH(Ajustes!$E$4:$E$323,$BC$7:$BC$35,0),$C$2:$N$2),1)</f>
        <v>1</v>
      </c>
      <c r="J37" s="113">
        <f>IFERROR(INDEX($BD$7:$BO$35,MATCH(Ajustes!$E$4:$E$323,$BC$7:$BC$35,0),$C$2:$N$2),1)</f>
        <v>1</v>
      </c>
      <c r="K37" s="113">
        <f>IFERROR(INDEX($BD$7:$BO$35,MATCH(Ajustes!$E$4:$E$323,$BC$7:$BC$35,0),$C$2:$N$2),1)</f>
        <v>1</v>
      </c>
      <c r="L37" s="113">
        <f>IFERROR(INDEX($BD$7:$BO$35,MATCH(Ajustes!$E$4:$E$323,$BC$7:$BC$35,0),$C$2:$N$2),1)</f>
        <v>1</v>
      </c>
      <c r="M37" s="113">
        <f>IFERROR(INDEX($BD$7:$BO$35,MATCH(Ajustes!$E$4:$E$323,$BC$7:$BC$35,0),$C$2:$N$2),1)</f>
        <v>1</v>
      </c>
      <c r="N37" s="113">
        <f>IFERROR(INDEX($BD$7:$BO$35,MATCH(Ajustes!$E$4:$E$323,$BC$7:$BC$35,0),$C$2:$N$2),1)</f>
        <v>1</v>
      </c>
      <c r="O37">
        <f>C37*Ajustes!AM37</f>
        <v>8964</v>
      </c>
      <c r="P37">
        <f>D37*Ajustes!AN37</f>
        <v>9424</v>
      </c>
      <c r="Q37">
        <f>E37*Ajustes!AO37</f>
        <v>9006</v>
      </c>
      <c r="R37">
        <f>F37*Ajustes!AP37</f>
        <v>6785</v>
      </c>
      <c r="S37">
        <f>G37*Ajustes!AQ37</f>
        <v>4648</v>
      </c>
      <c r="T37">
        <f>H37*Ajustes!AR37</f>
        <v>3802</v>
      </c>
      <c r="U37">
        <f>I37*Ajustes!AS37</f>
        <v>3112</v>
      </c>
      <c r="V37">
        <f>J37*Ajustes!AT37</f>
        <v>2608</v>
      </c>
      <c r="W37">
        <f>K37*Ajustes!AU37</f>
        <v>2486</v>
      </c>
      <c r="X37">
        <f>L37*Ajustes!AV37</f>
        <v>2876</v>
      </c>
      <c r="Y37">
        <f>M37*Ajustes!AW37</f>
        <v>3917</v>
      </c>
      <c r="Z37">
        <f>N37*Ajustes!AX37</f>
        <v>6283</v>
      </c>
      <c r="AA37">
        <f>IF(Ajustes!$G37&gt;0,INDEX($AA$4:$AL$323,Ajustes!$G37,O$2),0)+IF(Ajustes!$H37&gt;0,INDEX($AA$4:$AL$323,Ajustes!$H37,O$2),0)+IF(Ajustes!$I37&gt;0,INDEX($AA$4:$AL$323,Ajustes!$I37,O$2),0)+IF(Ajustes!$J37&gt;0,INDEX($AA$4:$AL$323,Ajustes!$J37,O$2),0)+IF(Ajustes!$K37&gt;0,INDEX($AA$5:$AL$324,Ajustes!$K37,O$2),0)+IF(Ajustes!$L37&gt;0,INDEX($AA$4:$AL$323,Ajustes!$L37,O$2),0) + O37</f>
        <v>8964</v>
      </c>
      <c r="AB37">
        <f>IF(Ajustes!$G37&gt;0,INDEX($AA$4:$AL$323,Ajustes!$G37,P$2),0)+IF(Ajustes!$H37&gt;0,INDEX($AA$4:$AL$323,Ajustes!$H37,P$2),0)+IF(Ajustes!$I37&gt;0,INDEX($AA$4:$AL$323,Ajustes!$I37,P$2),0)+IF(Ajustes!$J37&gt;0,INDEX($AA$4:$AL$323,Ajustes!$J37,P$2),0)+IF(Ajustes!$K37&gt;0,INDEX($AA$5:$AL$324,Ajustes!$K37,P$2),0)+IF(Ajustes!$L37&gt;0,INDEX($AA$4:$AL$323,Ajustes!$L37,P$2),0) + P37</f>
        <v>9424</v>
      </c>
      <c r="AC37">
        <f>IF(Ajustes!$G37&gt;0,INDEX($AA$4:$AL$323,Ajustes!$G37,Q$2),0)+IF(Ajustes!$H37&gt;0,INDEX($AA$4:$AL$323,Ajustes!$H37,Q$2),0)+IF(Ajustes!$I37&gt;0,INDEX($AA$4:$AL$323,Ajustes!$I37,Q$2),0)+IF(Ajustes!$J37&gt;0,INDEX($AA$4:$AL$323,Ajustes!$J37,Q$2),0)+IF(Ajustes!$K37&gt;0,INDEX($AA$5:$AL$324,Ajustes!$K37,Q$2),0)+IF(Ajustes!$L37&gt;0,INDEX($AA$4:$AL$323,Ajustes!$L37,Q$2),0) + Q37</f>
        <v>9006</v>
      </c>
      <c r="AD37">
        <f>IF(Ajustes!$G37&gt;0,INDEX($AA$4:$AL$323,Ajustes!$G37,R$2),0)+IF(Ajustes!$H37&gt;0,INDEX($AA$4:$AL$323,Ajustes!$H37,R$2),0)+IF(Ajustes!$I37&gt;0,INDEX($AA$4:$AL$323,Ajustes!$I37,R$2),0)+IF(Ajustes!$J37&gt;0,INDEX($AA$4:$AL$323,Ajustes!$J37,R$2),0)+IF(Ajustes!$K37&gt;0,INDEX($AA$5:$AL$324,Ajustes!$K37,R$2),0)+IF(Ajustes!$L37&gt;0,INDEX($AA$4:$AL$323,Ajustes!$L37,R$2),0) + R37</f>
        <v>6785</v>
      </c>
      <c r="AE37">
        <f>IF(Ajustes!$G37&gt;0,INDEX($AA$4:$AL$323,Ajustes!$G37,S$2),0)+IF(Ajustes!$H37&gt;0,INDEX($AA$4:$AL$323,Ajustes!$H37,S$2),0)+IF(Ajustes!$I37&gt;0,INDEX($AA$4:$AL$323,Ajustes!$I37,S$2),0)+IF(Ajustes!$J37&gt;0,INDEX($AA$4:$AL$323,Ajustes!$J37,S$2),0)+IF(Ajustes!$K37&gt;0,INDEX($AA$5:$AL$324,Ajustes!$K37,S$2),0)+IF(Ajustes!$L37&gt;0,INDEX($AA$4:$AL$323,Ajustes!$L37,S$2),0) + S37</f>
        <v>4648</v>
      </c>
      <c r="AF37">
        <f>IF(Ajustes!$G37&gt;0,INDEX($AA$4:$AL$323,Ajustes!$G37,T$2),0)+IF(Ajustes!$H37&gt;0,INDEX($AA$4:$AL$323,Ajustes!$H37,T$2),0)+IF(Ajustes!$I37&gt;0,INDEX($AA$4:$AL$323,Ajustes!$I37,T$2),0)+IF(Ajustes!$J37&gt;0,INDEX($AA$4:$AL$323,Ajustes!$J37,T$2),0)+IF(Ajustes!$K37&gt;0,INDEX($AA$5:$AL$324,Ajustes!$K37,T$2),0)+IF(Ajustes!$L37&gt;0,INDEX($AA$4:$AL$323,Ajustes!$L37,T$2),0) + T37</f>
        <v>3802</v>
      </c>
      <c r="AG37">
        <f>IF(Ajustes!$G37&gt;0,INDEX($AA$4:$AL$323,Ajustes!$G37,U$2),0)+IF(Ajustes!$H37&gt;0,INDEX($AA$4:$AL$323,Ajustes!$H37,U$2),0)+IF(Ajustes!$I37&gt;0,INDEX($AA$4:$AL$323,Ajustes!$I37,U$2),0)+IF(Ajustes!$J37&gt;0,INDEX($AA$4:$AL$323,Ajustes!$J37,U$2),0)+IF(Ajustes!$K37&gt;0,INDEX($AA$5:$AL$324,Ajustes!$K37,U$2),0)+IF(Ajustes!$L37&gt;0,INDEX($AA$4:$AL$323,Ajustes!$L37,U$2),0) + U37</f>
        <v>3112</v>
      </c>
      <c r="AH37">
        <f>IF(Ajustes!$G37&gt;0,INDEX($AA$4:$AL$323,Ajustes!$G37,V$2),0)+IF(Ajustes!$H37&gt;0,INDEX($AA$4:$AL$323,Ajustes!$H37,V$2),0)+IF(Ajustes!$I37&gt;0,INDEX($AA$4:$AL$323,Ajustes!$I37,V$2),0)+IF(Ajustes!$J37&gt;0,INDEX($AA$4:$AL$323,Ajustes!$J37,V$2),0)+IF(Ajustes!$K37&gt;0,INDEX($AA$5:$AL$324,Ajustes!$K37,V$2),0)+IF(Ajustes!$L37&gt;0,INDEX($AA$4:$AL$323,Ajustes!$L37,V$2),0) + V37</f>
        <v>2608</v>
      </c>
      <c r="AI37">
        <f>IF(Ajustes!$G37&gt;0,INDEX($AA$4:$AL$323,Ajustes!$G37,W$2),0)+IF(Ajustes!$H37&gt;0,INDEX($AA$4:$AL$323,Ajustes!$H37,W$2),0)+IF(Ajustes!$I37&gt;0,INDEX($AA$4:$AL$323,Ajustes!$I37,W$2),0)+IF(Ajustes!$J37&gt;0,INDEX($AA$4:$AL$323,Ajustes!$J37,W$2),0)+IF(Ajustes!$K37&gt;0,INDEX($AA$5:$AL$324,Ajustes!$K37,W$2),0)+IF(Ajustes!$L37&gt;0,INDEX($AA$4:$AL$323,Ajustes!$L37,W$2),0) + W37</f>
        <v>2486</v>
      </c>
      <c r="AJ37">
        <f>IF(Ajustes!$G37&gt;0,INDEX($AA$4:$AL$323,Ajustes!$G37,X$2),0)+IF(Ajustes!$H37&gt;0,INDEX($AA$4:$AL$323,Ajustes!$H37,X$2),0)+IF(Ajustes!$I37&gt;0,INDEX($AA$4:$AL$323,Ajustes!$I37,X$2),0)+IF(Ajustes!$J37&gt;0,INDEX($AA$4:$AL$323,Ajustes!$J37,X$2),0)+IF(Ajustes!$K37&gt;0,INDEX($AA$5:$AL$324,Ajustes!$K37,X$2),0)+IF(Ajustes!$L37&gt;0,INDEX($AA$4:$AL$323,Ajustes!$L37,X$2),0) + X37</f>
        <v>2876</v>
      </c>
      <c r="AK37">
        <f>IF(Ajustes!$G37&gt;0,INDEX($AA$4:$AL$323,Ajustes!$G37,Y$2),0)+IF(Ajustes!$H37&gt;0,INDEX($AA$4:$AL$323,Ajustes!$H37,Y$2),0)+IF(Ajustes!$I37&gt;0,INDEX($AA$4:$AL$323,Ajustes!$I37,Y$2),0)+IF(Ajustes!$J37&gt;0,INDEX($AA$4:$AL$323,Ajustes!$J37,Y$2),0)+IF(Ajustes!$K37&gt;0,INDEX($AA$5:$AL$324,Ajustes!$K37,Y$2),0)+IF(Ajustes!$L37&gt;0,INDEX($AA$4:$AL$323,Ajustes!$L37,Y$2),0) + Y37</f>
        <v>3917</v>
      </c>
      <c r="AL37">
        <f>IF(Ajustes!$G37&gt;0,INDEX($AA$4:$AL$323,Ajustes!$G37,Z$2),0)+IF(Ajustes!$H37&gt;0,INDEX($AA$4:$AL$323,Ajustes!$H37,Z$2),0)+IF(Ajustes!$I37&gt;0,INDEX($AA$4:$AL$323,Ajustes!$I37,Z$2),0)+IF(Ajustes!$J37&gt;0,INDEX($AA$4:$AL$323,Ajustes!$J37,Z$2),0)+IF(Ajustes!$K37&gt;0,INDEX($AA$5:$AL$324,Ajustes!$K37,Z$2),0)+IF(Ajustes!$L37&gt;0,INDEX($AA$4:$AL$323,Ajustes!$L37,Z$2),0) + Z37</f>
        <v>6283</v>
      </c>
      <c r="AM37" s="113">
        <f t="shared" si="3"/>
        <v>8964</v>
      </c>
      <c r="AN37" s="113">
        <f t="shared" si="3"/>
        <v>9424</v>
      </c>
      <c r="AO37" s="113">
        <f t="shared" si="3"/>
        <v>9006</v>
      </c>
      <c r="AP37" s="113">
        <f t="shared" si="3"/>
        <v>6785</v>
      </c>
      <c r="AQ37" s="113">
        <f t="shared" si="3"/>
        <v>4648</v>
      </c>
      <c r="AR37" s="113">
        <f t="shared" si="3"/>
        <v>3802</v>
      </c>
      <c r="AS37" s="113">
        <f t="shared" si="3"/>
        <v>3112</v>
      </c>
      <c r="AT37" s="113">
        <f t="shared" si="5"/>
        <v>2608</v>
      </c>
      <c r="AU37" s="113">
        <f t="shared" si="4"/>
        <v>2486</v>
      </c>
      <c r="AV37" s="113">
        <f t="shared" si="4"/>
        <v>2876</v>
      </c>
      <c r="AW37" s="113">
        <f t="shared" si="4"/>
        <v>3917</v>
      </c>
      <c r="AX37" s="113">
        <f t="shared" si="4"/>
        <v>6283</v>
      </c>
    </row>
    <row r="38" spans="1:67" x14ac:dyDescent="0.25">
      <c r="A38" s="113">
        <v>35</v>
      </c>
      <c r="B38" s="209"/>
      <c r="C38">
        <f>IFERROR(INDEX($BD$7:$BO$35,MATCH(Ajustes!$E$4:$E$323,$BC$7:$BC$35,0),$C$2:$N$2),1)</f>
        <v>1</v>
      </c>
      <c r="D38" s="113">
        <f>IFERROR(INDEX($BD$7:$BO$35,MATCH(Ajustes!$E$4:$E$323,$BC$7:$BC$35,0),$C$2:$N$2),1)</f>
        <v>1</v>
      </c>
      <c r="E38" s="113">
        <f>IFERROR(INDEX($BD$7:$BO$35,MATCH(Ajustes!$E$4:$E$323,$BC$7:$BC$35,0),$C$2:$N$2),1)</f>
        <v>1</v>
      </c>
      <c r="F38" s="113">
        <f>IFERROR(INDEX($BD$7:$BO$35,MATCH(Ajustes!$E$4:$E$323,$BC$7:$BC$35,0),$C$2:$N$2),1)</f>
        <v>1</v>
      </c>
      <c r="G38" s="113">
        <f>IFERROR(INDEX($BD$7:$BO$35,MATCH(Ajustes!$E$4:$E$323,$BC$7:$BC$35,0),$C$2:$N$2),1)</f>
        <v>1</v>
      </c>
      <c r="H38" s="113">
        <f>IFERROR(INDEX($BD$7:$BO$35,MATCH(Ajustes!$E$4:$E$323,$BC$7:$BC$35,0),$C$2:$N$2),1)</f>
        <v>1</v>
      </c>
      <c r="I38" s="113">
        <f>IFERROR(INDEX($BD$7:$BO$35,MATCH(Ajustes!$E$4:$E$323,$BC$7:$BC$35,0),$C$2:$N$2),1)</f>
        <v>1</v>
      </c>
      <c r="J38" s="113">
        <f>IFERROR(INDEX($BD$7:$BO$35,MATCH(Ajustes!$E$4:$E$323,$BC$7:$BC$35,0),$C$2:$N$2),1)</f>
        <v>1</v>
      </c>
      <c r="K38" s="113">
        <f>IFERROR(INDEX($BD$7:$BO$35,MATCH(Ajustes!$E$4:$E$323,$BC$7:$BC$35,0),$C$2:$N$2),1)</f>
        <v>1</v>
      </c>
      <c r="L38" s="113">
        <f>IFERROR(INDEX($BD$7:$BO$35,MATCH(Ajustes!$E$4:$E$323,$BC$7:$BC$35,0),$C$2:$N$2),1)</f>
        <v>1</v>
      </c>
      <c r="M38" s="113">
        <f>IFERROR(INDEX($BD$7:$BO$35,MATCH(Ajustes!$E$4:$E$323,$BC$7:$BC$35,0),$C$2:$N$2),1)</f>
        <v>1</v>
      </c>
      <c r="N38" s="113">
        <f>IFERROR(INDEX($BD$7:$BO$35,MATCH(Ajustes!$E$4:$E$323,$BC$7:$BC$35,0),$C$2:$N$2),1)</f>
        <v>1</v>
      </c>
      <c r="O38">
        <f>C38*Ajustes!AM38</f>
        <v>0</v>
      </c>
      <c r="P38">
        <f>D38*Ajustes!AN38</f>
        <v>0</v>
      </c>
      <c r="Q38">
        <f>E38*Ajustes!AO38</f>
        <v>0</v>
      </c>
      <c r="R38">
        <f>F38*Ajustes!AP38</f>
        <v>0</v>
      </c>
      <c r="S38">
        <f>G38*Ajustes!AQ38</f>
        <v>0</v>
      </c>
      <c r="T38">
        <f>H38*Ajustes!AR38</f>
        <v>0</v>
      </c>
      <c r="U38">
        <f>I38*Ajustes!AS38</f>
        <v>0</v>
      </c>
      <c r="V38">
        <f>J38*Ajustes!AT38</f>
        <v>0</v>
      </c>
      <c r="W38">
        <f>K38*Ajustes!AU38</f>
        <v>0</v>
      </c>
      <c r="X38">
        <f>L38*Ajustes!AV38</f>
        <v>0</v>
      </c>
      <c r="Y38">
        <f>M38*Ajustes!AW38</f>
        <v>0</v>
      </c>
      <c r="Z38">
        <f>N38*Ajustes!AX38</f>
        <v>0</v>
      </c>
      <c r="AA38">
        <f>IF(Ajustes!$G38&gt;0,INDEX($AA$4:$AL$323,Ajustes!$G38,O$2),0)+IF(Ajustes!$H38&gt;0,INDEX($AA$4:$AL$323,Ajustes!$H38,O$2),0)+IF(Ajustes!$I38&gt;0,INDEX($AA$4:$AL$323,Ajustes!$I38,O$2),0)+IF(Ajustes!$J38&gt;0,INDEX($AA$4:$AL$323,Ajustes!$J38,O$2),0)+IF(Ajustes!$K38&gt;0,INDEX($AA$5:$AL$324,Ajustes!$K38,O$2),0)+IF(Ajustes!$L38&gt;0,INDEX($AA$4:$AL$323,Ajustes!$L38,O$2),0) + O38</f>
        <v>0</v>
      </c>
      <c r="AB38">
        <f>IF(Ajustes!$G38&gt;0,INDEX($AA$4:$AL$323,Ajustes!$G38,P$2),0)+IF(Ajustes!$H38&gt;0,INDEX($AA$4:$AL$323,Ajustes!$H38,P$2),0)+IF(Ajustes!$I38&gt;0,INDEX($AA$4:$AL$323,Ajustes!$I38,P$2),0)+IF(Ajustes!$J38&gt;0,INDEX($AA$4:$AL$323,Ajustes!$J38,P$2),0)+IF(Ajustes!$K38&gt;0,INDEX($AA$5:$AL$324,Ajustes!$K38,P$2),0)+IF(Ajustes!$L38&gt;0,INDEX($AA$4:$AL$323,Ajustes!$L38,P$2),0) + P38</f>
        <v>0</v>
      </c>
      <c r="AC38">
        <f>IF(Ajustes!$G38&gt;0,INDEX($AA$4:$AL$323,Ajustes!$G38,Q$2),0)+IF(Ajustes!$H38&gt;0,INDEX($AA$4:$AL$323,Ajustes!$H38,Q$2),0)+IF(Ajustes!$I38&gt;0,INDEX($AA$4:$AL$323,Ajustes!$I38,Q$2),0)+IF(Ajustes!$J38&gt;0,INDEX($AA$4:$AL$323,Ajustes!$J38,Q$2),0)+IF(Ajustes!$K38&gt;0,INDEX($AA$5:$AL$324,Ajustes!$K38,Q$2),0)+IF(Ajustes!$L38&gt;0,INDEX($AA$4:$AL$323,Ajustes!$L38,Q$2),0) + Q38</f>
        <v>0</v>
      </c>
      <c r="AD38">
        <f>IF(Ajustes!$G38&gt;0,INDEX($AA$4:$AL$323,Ajustes!$G38,R$2),0)+IF(Ajustes!$H38&gt;0,INDEX($AA$4:$AL$323,Ajustes!$H38,R$2),0)+IF(Ajustes!$I38&gt;0,INDEX($AA$4:$AL$323,Ajustes!$I38,R$2),0)+IF(Ajustes!$J38&gt;0,INDEX($AA$4:$AL$323,Ajustes!$J38,R$2),0)+IF(Ajustes!$K38&gt;0,INDEX($AA$5:$AL$324,Ajustes!$K38,R$2),0)+IF(Ajustes!$L38&gt;0,INDEX($AA$4:$AL$323,Ajustes!$L38,R$2),0) + R38</f>
        <v>0</v>
      </c>
      <c r="AE38">
        <f>IF(Ajustes!$G38&gt;0,INDEX($AA$4:$AL$323,Ajustes!$G38,S$2),0)+IF(Ajustes!$H38&gt;0,INDEX($AA$4:$AL$323,Ajustes!$H38,S$2),0)+IF(Ajustes!$I38&gt;0,INDEX($AA$4:$AL$323,Ajustes!$I38,S$2),0)+IF(Ajustes!$J38&gt;0,INDEX($AA$4:$AL$323,Ajustes!$J38,S$2),0)+IF(Ajustes!$K38&gt;0,INDEX($AA$5:$AL$324,Ajustes!$K38,S$2),0)+IF(Ajustes!$L38&gt;0,INDEX($AA$4:$AL$323,Ajustes!$L38,S$2),0) + S38</f>
        <v>0</v>
      </c>
      <c r="AF38">
        <f>IF(Ajustes!$G38&gt;0,INDEX($AA$4:$AL$323,Ajustes!$G38,T$2),0)+IF(Ajustes!$H38&gt;0,INDEX($AA$4:$AL$323,Ajustes!$H38,T$2),0)+IF(Ajustes!$I38&gt;0,INDEX($AA$4:$AL$323,Ajustes!$I38,T$2),0)+IF(Ajustes!$J38&gt;0,INDEX($AA$4:$AL$323,Ajustes!$J38,T$2),0)+IF(Ajustes!$K38&gt;0,INDEX($AA$5:$AL$324,Ajustes!$K38,T$2),0)+IF(Ajustes!$L38&gt;0,INDEX($AA$4:$AL$323,Ajustes!$L38,T$2),0) + T38</f>
        <v>0</v>
      </c>
      <c r="AG38">
        <f>IF(Ajustes!$G38&gt;0,INDEX($AA$4:$AL$323,Ajustes!$G38,U$2),0)+IF(Ajustes!$H38&gt;0,INDEX($AA$4:$AL$323,Ajustes!$H38,U$2),0)+IF(Ajustes!$I38&gt;0,INDEX($AA$4:$AL$323,Ajustes!$I38,U$2),0)+IF(Ajustes!$J38&gt;0,INDEX($AA$4:$AL$323,Ajustes!$J38,U$2),0)+IF(Ajustes!$K38&gt;0,INDEX($AA$5:$AL$324,Ajustes!$K38,U$2),0)+IF(Ajustes!$L38&gt;0,INDEX($AA$4:$AL$323,Ajustes!$L38,U$2),0) + U38</f>
        <v>0</v>
      </c>
      <c r="AH38">
        <f>IF(Ajustes!$G38&gt;0,INDEX($AA$4:$AL$323,Ajustes!$G38,V$2),0)+IF(Ajustes!$H38&gt;0,INDEX($AA$4:$AL$323,Ajustes!$H38,V$2),0)+IF(Ajustes!$I38&gt;0,INDEX($AA$4:$AL$323,Ajustes!$I38,V$2),0)+IF(Ajustes!$J38&gt;0,INDEX($AA$4:$AL$323,Ajustes!$J38,V$2),0)+IF(Ajustes!$K38&gt;0,INDEX($AA$5:$AL$324,Ajustes!$K38,V$2),0)+IF(Ajustes!$L38&gt;0,INDEX($AA$4:$AL$323,Ajustes!$L38,V$2),0) + V38</f>
        <v>0</v>
      </c>
      <c r="AI38">
        <f>IF(Ajustes!$G38&gt;0,INDEX($AA$4:$AL$323,Ajustes!$G38,W$2),0)+IF(Ajustes!$H38&gt;0,INDEX($AA$4:$AL$323,Ajustes!$H38,W$2),0)+IF(Ajustes!$I38&gt;0,INDEX($AA$4:$AL$323,Ajustes!$I38,W$2),0)+IF(Ajustes!$J38&gt;0,INDEX($AA$4:$AL$323,Ajustes!$J38,W$2),0)+IF(Ajustes!$K38&gt;0,INDEX($AA$5:$AL$324,Ajustes!$K38,W$2),0)+IF(Ajustes!$L38&gt;0,INDEX($AA$4:$AL$323,Ajustes!$L38,W$2),0) + W38</f>
        <v>0</v>
      </c>
      <c r="AJ38">
        <f>IF(Ajustes!$G38&gt;0,INDEX($AA$4:$AL$323,Ajustes!$G38,X$2),0)+IF(Ajustes!$H38&gt;0,INDEX($AA$4:$AL$323,Ajustes!$H38,X$2),0)+IF(Ajustes!$I38&gt;0,INDEX($AA$4:$AL$323,Ajustes!$I38,X$2),0)+IF(Ajustes!$J38&gt;0,INDEX($AA$4:$AL$323,Ajustes!$J38,X$2),0)+IF(Ajustes!$K38&gt;0,INDEX($AA$5:$AL$324,Ajustes!$K38,X$2),0)+IF(Ajustes!$L38&gt;0,INDEX($AA$4:$AL$323,Ajustes!$L38,X$2),0) + X38</f>
        <v>0</v>
      </c>
      <c r="AK38">
        <f>IF(Ajustes!$G38&gt;0,INDEX($AA$4:$AL$323,Ajustes!$G38,Y$2),0)+IF(Ajustes!$H38&gt;0,INDEX($AA$4:$AL$323,Ajustes!$H38,Y$2),0)+IF(Ajustes!$I38&gt;0,INDEX($AA$4:$AL$323,Ajustes!$I38,Y$2),0)+IF(Ajustes!$J38&gt;0,INDEX($AA$4:$AL$323,Ajustes!$J38,Y$2),0)+IF(Ajustes!$K38&gt;0,INDEX($AA$5:$AL$324,Ajustes!$K38,Y$2),0)+IF(Ajustes!$L38&gt;0,INDEX($AA$4:$AL$323,Ajustes!$L38,Y$2),0) + Y38</f>
        <v>0</v>
      </c>
      <c r="AL38">
        <f>IF(Ajustes!$G38&gt;0,INDEX($AA$4:$AL$323,Ajustes!$G38,Z$2),0)+IF(Ajustes!$H38&gt;0,INDEX($AA$4:$AL$323,Ajustes!$H38,Z$2),0)+IF(Ajustes!$I38&gt;0,INDEX($AA$4:$AL$323,Ajustes!$I38,Z$2),0)+IF(Ajustes!$J38&gt;0,INDEX($AA$4:$AL$323,Ajustes!$J38,Z$2),0)+IF(Ajustes!$K38&gt;0,INDEX($AA$5:$AL$324,Ajustes!$K38,Z$2),0)+IF(Ajustes!$L38&gt;0,INDEX($AA$4:$AL$323,Ajustes!$L38,Z$2),0) + Z38</f>
        <v>0</v>
      </c>
      <c r="AM38" s="113">
        <f t="shared" si="3"/>
        <v>0</v>
      </c>
      <c r="AN38" s="113">
        <f t="shared" si="3"/>
        <v>0</v>
      </c>
      <c r="AO38" s="113">
        <f t="shared" si="3"/>
        <v>0</v>
      </c>
      <c r="AP38" s="113">
        <f t="shared" si="3"/>
        <v>0</v>
      </c>
      <c r="AQ38" s="113">
        <f t="shared" si="3"/>
        <v>0</v>
      </c>
      <c r="AR38" s="113">
        <f t="shared" si="3"/>
        <v>0</v>
      </c>
      <c r="AS38" s="113">
        <f t="shared" si="3"/>
        <v>0</v>
      </c>
      <c r="AT38" s="113">
        <f t="shared" si="5"/>
        <v>0</v>
      </c>
      <c r="AU38" s="113">
        <f t="shared" si="4"/>
        <v>0</v>
      </c>
      <c r="AV38" s="113">
        <f t="shared" si="4"/>
        <v>0</v>
      </c>
      <c r="AW38" s="113">
        <f t="shared" si="4"/>
        <v>0</v>
      </c>
      <c r="AX38" s="113">
        <f t="shared" si="4"/>
        <v>0</v>
      </c>
    </row>
    <row r="39" spans="1:67" x14ac:dyDescent="0.25">
      <c r="A39" s="113">
        <v>36</v>
      </c>
      <c r="B39" s="209"/>
      <c r="C39">
        <f>IFERROR(INDEX($BD$7:$BO$35,MATCH(Ajustes!$E$4:$E$323,$BC$7:$BC$35,0),$C$2:$N$2),1)</f>
        <v>1</v>
      </c>
      <c r="D39" s="113">
        <f>IFERROR(INDEX($BD$7:$BO$35,MATCH(Ajustes!$E$4:$E$323,$BC$7:$BC$35,0),$C$2:$N$2),1)</f>
        <v>1</v>
      </c>
      <c r="E39" s="113">
        <f>IFERROR(INDEX($BD$7:$BO$35,MATCH(Ajustes!$E$4:$E$323,$BC$7:$BC$35,0),$C$2:$N$2),1)</f>
        <v>1</v>
      </c>
      <c r="F39" s="113">
        <f>IFERROR(INDEX($BD$7:$BO$35,MATCH(Ajustes!$E$4:$E$323,$BC$7:$BC$35,0),$C$2:$N$2),1)</f>
        <v>1</v>
      </c>
      <c r="G39" s="113">
        <f>IFERROR(INDEX($BD$7:$BO$35,MATCH(Ajustes!$E$4:$E$323,$BC$7:$BC$35,0),$C$2:$N$2),1)</f>
        <v>1</v>
      </c>
      <c r="H39" s="113">
        <f>IFERROR(INDEX($BD$7:$BO$35,MATCH(Ajustes!$E$4:$E$323,$BC$7:$BC$35,0),$C$2:$N$2),1)</f>
        <v>1</v>
      </c>
      <c r="I39" s="113">
        <f>IFERROR(INDEX($BD$7:$BO$35,MATCH(Ajustes!$E$4:$E$323,$BC$7:$BC$35,0),$C$2:$N$2),1)</f>
        <v>1</v>
      </c>
      <c r="J39" s="113">
        <f>IFERROR(INDEX($BD$7:$BO$35,MATCH(Ajustes!$E$4:$E$323,$BC$7:$BC$35,0),$C$2:$N$2),1)</f>
        <v>1</v>
      </c>
      <c r="K39" s="113">
        <f>IFERROR(INDEX($BD$7:$BO$35,MATCH(Ajustes!$E$4:$E$323,$BC$7:$BC$35,0),$C$2:$N$2),1)</f>
        <v>1</v>
      </c>
      <c r="L39" s="113">
        <f>IFERROR(INDEX($BD$7:$BO$35,MATCH(Ajustes!$E$4:$E$323,$BC$7:$BC$35,0),$C$2:$N$2),1)</f>
        <v>1</v>
      </c>
      <c r="M39" s="113">
        <f>IFERROR(INDEX($BD$7:$BO$35,MATCH(Ajustes!$E$4:$E$323,$BC$7:$BC$35,0),$C$2:$N$2),1)</f>
        <v>1</v>
      </c>
      <c r="N39" s="113">
        <f>IFERROR(INDEX($BD$7:$BO$35,MATCH(Ajustes!$E$4:$E$323,$BC$7:$BC$35,0),$C$2:$N$2),1)</f>
        <v>1</v>
      </c>
      <c r="O39">
        <f>C39*Ajustes!AM39</f>
        <v>0</v>
      </c>
      <c r="P39">
        <f>D39*Ajustes!AN39</f>
        <v>0</v>
      </c>
      <c r="Q39">
        <f>E39*Ajustes!AO39</f>
        <v>0</v>
      </c>
      <c r="R39">
        <f>F39*Ajustes!AP39</f>
        <v>0</v>
      </c>
      <c r="S39">
        <f>G39*Ajustes!AQ39</f>
        <v>0</v>
      </c>
      <c r="T39">
        <f>H39*Ajustes!AR39</f>
        <v>0</v>
      </c>
      <c r="U39">
        <f>I39*Ajustes!AS39</f>
        <v>0</v>
      </c>
      <c r="V39">
        <f>J39*Ajustes!AT39</f>
        <v>0</v>
      </c>
      <c r="W39">
        <f>K39*Ajustes!AU39</f>
        <v>0</v>
      </c>
      <c r="X39">
        <f>L39*Ajustes!AV39</f>
        <v>0</v>
      </c>
      <c r="Y39">
        <f>M39*Ajustes!AW39</f>
        <v>0</v>
      </c>
      <c r="Z39">
        <f>N39*Ajustes!AX39</f>
        <v>0</v>
      </c>
      <c r="AA39">
        <f>IF(Ajustes!$G39&gt;0,INDEX($AA$4:$AL$323,Ajustes!$G39,O$2),0)+IF(Ajustes!$H39&gt;0,INDEX($AA$4:$AL$323,Ajustes!$H39,O$2),0)+IF(Ajustes!$I39&gt;0,INDEX($AA$4:$AL$323,Ajustes!$I39,O$2),0)+IF(Ajustes!$J39&gt;0,INDEX($AA$4:$AL$323,Ajustes!$J39,O$2),0)+IF(Ajustes!$K39&gt;0,INDEX($AA$5:$AL$324,Ajustes!$K39,O$2),0)+IF(Ajustes!$L39&gt;0,INDEX($AA$4:$AL$323,Ajustes!$L39,O$2),0) + O39</f>
        <v>0</v>
      </c>
      <c r="AB39">
        <f>IF(Ajustes!$G39&gt;0,INDEX($AA$4:$AL$323,Ajustes!$G39,P$2),0)+IF(Ajustes!$H39&gt;0,INDEX($AA$4:$AL$323,Ajustes!$H39,P$2),0)+IF(Ajustes!$I39&gt;0,INDEX($AA$4:$AL$323,Ajustes!$I39,P$2),0)+IF(Ajustes!$J39&gt;0,INDEX($AA$4:$AL$323,Ajustes!$J39,P$2),0)+IF(Ajustes!$K39&gt;0,INDEX($AA$5:$AL$324,Ajustes!$K39,P$2),0)+IF(Ajustes!$L39&gt;0,INDEX($AA$4:$AL$323,Ajustes!$L39,P$2),0) + P39</f>
        <v>0</v>
      </c>
      <c r="AC39">
        <f>IF(Ajustes!$G39&gt;0,INDEX($AA$4:$AL$323,Ajustes!$G39,Q$2),0)+IF(Ajustes!$H39&gt;0,INDEX($AA$4:$AL$323,Ajustes!$H39,Q$2),0)+IF(Ajustes!$I39&gt;0,INDEX($AA$4:$AL$323,Ajustes!$I39,Q$2),0)+IF(Ajustes!$J39&gt;0,INDEX($AA$4:$AL$323,Ajustes!$J39,Q$2),0)+IF(Ajustes!$K39&gt;0,INDEX($AA$5:$AL$324,Ajustes!$K39,Q$2),0)+IF(Ajustes!$L39&gt;0,INDEX($AA$4:$AL$323,Ajustes!$L39,Q$2),0) + Q39</f>
        <v>0</v>
      </c>
      <c r="AD39">
        <f>IF(Ajustes!$G39&gt;0,INDEX($AA$4:$AL$323,Ajustes!$G39,R$2),0)+IF(Ajustes!$H39&gt;0,INDEX($AA$4:$AL$323,Ajustes!$H39,R$2),0)+IF(Ajustes!$I39&gt;0,INDEX($AA$4:$AL$323,Ajustes!$I39,R$2),0)+IF(Ajustes!$J39&gt;0,INDEX($AA$4:$AL$323,Ajustes!$J39,R$2),0)+IF(Ajustes!$K39&gt;0,INDEX($AA$5:$AL$324,Ajustes!$K39,R$2),0)+IF(Ajustes!$L39&gt;0,INDEX($AA$4:$AL$323,Ajustes!$L39,R$2),0) + R39</f>
        <v>0</v>
      </c>
      <c r="AE39">
        <f>IF(Ajustes!$G39&gt;0,INDEX($AA$4:$AL$323,Ajustes!$G39,S$2),0)+IF(Ajustes!$H39&gt;0,INDEX($AA$4:$AL$323,Ajustes!$H39,S$2),0)+IF(Ajustes!$I39&gt;0,INDEX($AA$4:$AL$323,Ajustes!$I39,S$2),0)+IF(Ajustes!$J39&gt;0,INDEX($AA$4:$AL$323,Ajustes!$J39,S$2),0)+IF(Ajustes!$K39&gt;0,INDEX($AA$5:$AL$324,Ajustes!$K39,S$2),0)+IF(Ajustes!$L39&gt;0,INDEX($AA$4:$AL$323,Ajustes!$L39,S$2),0) + S39</f>
        <v>0</v>
      </c>
      <c r="AF39">
        <f>IF(Ajustes!$G39&gt;0,INDEX($AA$4:$AL$323,Ajustes!$G39,T$2),0)+IF(Ajustes!$H39&gt;0,INDEX($AA$4:$AL$323,Ajustes!$H39,T$2),0)+IF(Ajustes!$I39&gt;0,INDEX($AA$4:$AL$323,Ajustes!$I39,T$2),0)+IF(Ajustes!$J39&gt;0,INDEX($AA$4:$AL$323,Ajustes!$J39,T$2),0)+IF(Ajustes!$K39&gt;0,INDEX($AA$5:$AL$324,Ajustes!$K39,T$2),0)+IF(Ajustes!$L39&gt;0,INDEX($AA$4:$AL$323,Ajustes!$L39,T$2),0) + T39</f>
        <v>0</v>
      </c>
      <c r="AG39">
        <f>IF(Ajustes!$G39&gt;0,INDEX($AA$4:$AL$323,Ajustes!$G39,U$2),0)+IF(Ajustes!$H39&gt;0,INDEX($AA$4:$AL$323,Ajustes!$H39,U$2),0)+IF(Ajustes!$I39&gt;0,INDEX($AA$4:$AL$323,Ajustes!$I39,U$2),0)+IF(Ajustes!$J39&gt;0,INDEX($AA$4:$AL$323,Ajustes!$J39,U$2),0)+IF(Ajustes!$K39&gt;0,INDEX($AA$5:$AL$324,Ajustes!$K39,U$2),0)+IF(Ajustes!$L39&gt;0,INDEX($AA$4:$AL$323,Ajustes!$L39,U$2),0) + U39</f>
        <v>0</v>
      </c>
      <c r="AH39">
        <f>IF(Ajustes!$G39&gt;0,INDEX($AA$4:$AL$323,Ajustes!$G39,V$2),0)+IF(Ajustes!$H39&gt;0,INDEX($AA$4:$AL$323,Ajustes!$H39,V$2),0)+IF(Ajustes!$I39&gt;0,INDEX($AA$4:$AL$323,Ajustes!$I39,V$2),0)+IF(Ajustes!$J39&gt;0,INDEX($AA$4:$AL$323,Ajustes!$J39,V$2),0)+IF(Ajustes!$K39&gt;0,INDEX($AA$5:$AL$324,Ajustes!$K39,V$2),0)+IF(Ajustes!$L39&gt;0,INDEX($AA$4:$AL$323,Ajustes!$L39,V$2),0) + V39</f>
        <v>0</v>
      </c>
      <c r="AI39">
        <f>IF(Ajustes!$G39&gt;0,INDEX($AA$4:$AL$323,Ajustes!$G39,W$2),0)+IF(Ajustes!$H39&gt;0,INDEX($AA$4:$AL$323,Ajustes!$H39,W$2),0)+IF(Ajustes!$I39&gt;0,INDEX($AA$4:$AL$323,Ajustes!$I39,W$2),0)+IF(Ajustes!$J39&gt;0,INDEX($AA$4:$AL$323,Ajustes!$J39,W$2),0)+IF(Ajustes!$K39&gt;0,INDEX($AA$5:$AL$324,Ajustes!$K39,W$2),0)+IF(Ajustes!$L39&gt;0,INDEX($AA$4:$AL$323,Ajustes!$L39,W$2),0) + W39</f>
        <v>0</v>
      </c>
      <c r="AJ39">
        <f>IF(Ajustes!$G39&gt;0,INDEX($AA$4:$AL$323,Ajustes!$G39,X$2),0)+IF(Ajustes!$H39&gt;0,INDEX($AA$4:$AL$323,Ajustes!$H39,X$2),0)+IF(Ajustes!$I39&gt;0,INDEX($AA$4:$AL$323,Ajustes!$I39,X$2),0)+IF(Ajustes!$J39&gt;0,INDEX($AA$4:$AL$323,Ajustes!$J39,X$2),0)+IF(Ajustes!$K39&gt;0,INDEX($AA$5:$AL$324,Ajustes!$K39,X$2),0)+IF(Ajustes!$L39&gt;0,INDEX($AA$4:$AL$323,Ajustes!$L39,X$2),0) + X39</f>
        <v>0</v>
      </c>
      <c r="AK39">
        <f>IF(Ajustes!$G39&gt;0,INDEX($AA$4:$AL$323,Ajustes!$G39,Y$2),0)+IF(Ajustes!$H39&gt;0,INDEX($AA$4:$AL$323,Ajustes!$H39,Y$2),0)+IF(Ajustes!$I39&gt;0,INDEX($AA$4:$AL$323,Ajustes!$I39,Y$2),0)+IF(Ajustes!$J39&gt;0,INDEX($AA$4:$AL$323,Ajustes!$J39,Y$2),0)+IF(Ajustes!$K39&gt;0,INDEX($AA$5:$AL$324,Ajustes!$K39,Y$2),0)+IF(Ajustes!$L39&gt;0,INDEX($AA$4:$AL$323,Ajustes!$L39,Y$2),0) + Y39</f>
        <v>0</v>
      </c>
      <c r="AL39">
        <f>IF(Ajustes!$G39&gt;0,INDEX($AA$4:$AL$323,Ajustes!$G39,Z$2),0)+IF(Ajustes!$H39&gt;0,INDEX($AA$4:$AL$323,Ajustes!$H39,Z$2),0)+IF(Ajustes!$I39&gt;0,INDEX($AA$4:$AL$323,Ajustes!$I39,Z$2),0)+IF(Ajustes!$J39&gt;0,INDEX($AA$4:$AL$323,Ajustes!$J39,Z$2),0)+IF(Ajustes!$K39&gt;0,INDEX($AA$5:$AL$324,Ajustes!$K39,Z$2),0)+IF(Ajustes!$L39&gt;0,INDEX($AA$4:$AL$323,Ajustes!$L39,Z$2),0) + Z39</f>
        <v>0</v>
      </c>
      <c r="AM39" s="113">
        <f t="shared" si="3"/>
        <v>0</v>
      </c>
      <c r="AN39" s="113">
        <f t="shared" si="3"/>
        <v>0</v>
      </c>
      <c r="AO39" s="113">
        <f t="shared" si="3"/>
        <v>0</v>
      </c>
      <c r="AP39" s="113">
        <f t="shared" si="3"/>
        <v>0</v>
      </c>
      <c r="AQ39" s="113">
        <f t="shared" si="3"/>
        <v>0</v>
      </c>
      <c r="AR39" s="113">
        <f t="shared" si="3"/>
        <v>0</v>
      </c>
      <c r="AS39" s="113">
        <f t="shared" si="3"/>
        <v>0</v>
      </c>
      <c r="AT39" s="113">
        <f t="shared" si="5"/>
        <v>0</v>
      </c>
      <c r="AU39" s="113">
        <f t="shared" si="4"/>
        <v>0</v>
      </c>
      <c r="AV39" s="113">
        <f t="shared" si="4"/>
        <v>0</v>
      </c>
      <c r="AW39" s="113">
        <f t="shared" si="4"/>
        <v>0</v>
      </c>
      <c r="AX39" s="113">
        <f t="shared" si="4"/>
        <v>0</v>
      </c>
    </row>
    <row r="40" spans="1:67" x14ac:dyDescent="0.25">
      <c r="A40" s="113">
        <v>37</v>
      </c>
      <c r="B40" s="209" t="s">
        <v>82</v>
      </c>
      <c r="C40">
        <f>IFERROR(INDEX($BD$7:$BO$35,MATCH(Ajustes!$E$4:$E$323,$BC$7:$BC$35,0),$C$2:$N$2),1)</f>
        <v>1</v>
      </c>
      <c r="D40" s="113">
        <f>IFERROR(INDEX($BD$7:$BO$35,MATCH(Ajustes!$E$4:$E$323,$BC$7:$BC$35,0),$C$2:$N$2),1)</f>
        <v>1</v>
      </c>
      <c r="E40" s="113">
        <f>IFERROR(INDEX($BD$7:$BO$35,MATCH(Ajustes!$E$4:$E$323,$BC$7:$BC$35,0),$C$2:$N$2),1)</f>
        <v>1</v>
      </c>
      <c r="F40" s="113">
        <f>IFERROR(INDEX($BD$7:$BO$35,MATCH(Ajustes!$E$4:$E$323,$BC$7:$BC$35,0),$C$2:$N$2),1)</f>
        <v>1</v>
      </c>
      <c r="G40" s="113">
        <f>IFERROR(INDEX($BD$7:$BO$35,MATCH(Ajustes!$E$4:$E$323,$BC$7:$BC$35,0),$C$2:$N$2),1)</f>
        <v>1</v>
      </c>
      <c r="H40" s="113">
        <f>IFERROR(INDEX($BD$7:$BO$35,MATCH(Ajustes!$E$4:$E$323,$BC$7:$BC$35,0),$C$2:$N$2),1)</f>
        <v>1</v>
      </c>
      <c r="I40" s="113">
        <f>IFERROR(INDEX($BD$7:$BO$35,MATCH(Ajustes!$E$4:$E$323,$BC$7:$BC$35,0),$C$2:$N$2),1)</f>
        <v>1</v>
      </c>
      <c r="J40" s="113">
        <f>IFERROR(INDEX($BD$7:$BO$35,MATCH(Ajustes!$E$4:$E$323,$BC$7:$BC$35,0),$C$2:$N$2),1)</f>
        <v>1</v>
      </c>
      <c r="K40" s="113">
        <f>IFERROR(INDEX($BD$7:$BO$35,MATCH(Ajustes!$E$4:$E$323,$BC$7:$BC$35,0),$C$2:$N$2),1)</f>
        <v>1</v>
      </c>
      <c r="L40" s="113">
        <f>IFERROR(INDEX($BD$7:$BO$35,MATCH(Ajustes!$E$4:$E$323,$BC$7:$BC$35,0),$C$2:$N$2),1)</f>
        <v>1</v>
      </c>
      <c r="M40" s="113">
        <f>IFERROR(INDEX($BD$7:$BO$35,MATCH(Ajustes!$E$4:$E$323,$BC$7:$BC$35,0),$C$2:$N$2),1)</f>
        <v>1</v>
      </c>
      <c r="N40" s="113">
        <f>IFERROR(INDEX($BD$7:$BO$35,MATCH(Ajustes!$E$4:$E$323,$BC$7:$BC$35,0),$C$2:$N$2),1)</f>
        <v>1</v>
      </c>
      <c r="O40">
        <f>C40*Ajustes!AM40</f>
        <v>694</v>
      </c>
      <c r="P40">
        <f>D40*Ajustes!AN40</f>
        <v>734</v>
      </c>
      <c r="Q40">
        <f>E40*Ajustes!AO40</f>
        <v>619</v>
      </c>
      <c r="R40">
        <f>F40*Ajustes!AP40</f>
        <v>408</v>
      </c>
      <c r="S40">
        <f>G40*Ajustes!AQ40</f>
        <v>322</v>
      </c>
      <c r="T40">
        <f>H40*Ajustes!AR40</f>
        <v>319</v>
      </c>
      <c r="U40">
        <f>I40*Ajustes!AS40</f>
        <v>254</v>
      </c>
      <c r="V40">
        <f>J40*Ajustes!AT40</f>
        <v>213</v>
      </c>
      <c r="W40">
        <f>K40*Ajustes!AU40</f>
        <v>230</v>
      </c>
      <c r="X40">
        <f>L40*Ajustes!AV40</f>
        <v>283</v>
      </c>
      <c r="Y40">
        <f>M40*Ajustes!AW40</f>
        <v>305</v>
      </c>
      <c r="Z40">
        <f>N40*Ajustes!AX40</f>
        <v>468</v>
      </c>
      <c r="AA40">
        <f>IF(Ajustes!$G40&gt;0,INDEX($AA$4:$AL$323,Ajustes!$G40,O$2),0)+IF(Ajustes!$H40&gt;0,INDEX($AA$4:$AL$323,Ajustes!$H40,O$2),0)+IF(Ajustes!$I40&gt;0,INDEX($AA$4:$AL$323,Ajustes!$I40,O$2),0)+IF(Ajustes!$J40&gt;0,INDEX($AA$4:$AL$323,Ajustes!$J40,O$2),0)+IF(Ajustes!$K40&gt;0,INDEX($AA$5:$AL$324,Ajustes!$K40,O$2),0)+IF(Ajustes!$L40&gt;0,INDEX($AA$4:$AL$323,Ajustes!$L40,O$2),0) + O40</f>
        <v>694</v>
      </c>
      <c r="AB40">
        <f>IF(Ajustes!$G40&gt;0,INDEX($AA$4:$AL$323,Ajustes!$G40,P$2),0)+IF(Ajustes!$H40&gt;0,INDEX($AA$4:$AL$323,Ajustes!$H40,P$2),0)+IF(Ajustes!$I40&gt;0,INDEX($AA$4:$AL$323,Ajustes!$I40,P$2),0)+IF(Ajustes!$J40&gt;0,INDEX($AA$4:$AL$323,Ajustes!$J40,P$2),0)+IF(Ajustes!$K40&gt;0,INDEX($AA$5:$AL$324,Ajustes!$K40,P$2),0)+IF(Ajustes!$L40&gt;0,INDEX($AA$4:$AL$323,Ajustes!$L40,P$2),0) + P40</f>
        <v>734</v>
      </c>
      <c r="AC40">
        <f>IF(Ajustes!$G40&gt;0,INDEX($AA$4:$AL$323,Ajustes!$G40,Q$2),0)+IF(Ajustes!$H40&gt;0,INDEX($AA$4:$AL$323,Ajustes!$H40,Q$2),0)+IF(Ajustes!$I40&gt;0,INDEX($AA$4:$AL$323,Ajustes!$I40,Q$2),0)+IF(Ajustes!$J40&gt;0,INDEX($AA$4:$AL$323,Ajustes!$J40,Q$2),0)+IF(Ajustes!$K40&gt;0,INDEX($AA$5:$AL$324,Ajustes!$K40,Q$2),0)+IF(Ajustes!$L40&gt;0,INDEX($AA$4:$AL$323,Ajustes!$L40,Q$2),0) + Q40</f>
        <v>619</v>
      </c>
      <c r="AD40">
        <f>IF(Ajustes!$G40&gt;0,INDEX($AA$4:$AL$323,Ajustes!$G40,R$2),0)+IF(Ajustes!$H40&gt;0,INDEX($AA$4:$AL$323,Ajustes!$H40,R$2),0)+IF(Ajustes!$I40&gt;0,INDEX($AA$4:$AL$323,Ajustes!$I40,R$2),0)+IF(Ajustes!$J40&gt;0,INDEX($AA$4:$AL$323,Ajustes!$J40,R$2),0)+IF(Ajustes!$K40&gt;0,INDEX($AA$5:$AL$324,Ajustes!$K40,R$2),0)+IF(Ajustes!$L40&gt;0,INDEX($AA$4:$AL$323,Ajustes!$L40,R$2),0) + R40</f>
        <v>408</v>
      </c>
      <c r="AE40">
        <f>IF(Ajustes!$G40&gt;0,INDEX($AA$4:$AL$323,Ajustes!$G40,S$2),0)+IF(Ajustes!$H40&gt;0,INDEX($AA$4:$AL$323,Ajustes!$H40,S$2),0)+IF(Ajustes!$I40&gt;0,INDEX($AA$4:$AL$323,Ajustes!$I40,S$2),0)+IF(Ajustes!$J40&gt;0,INDEX($AA$4:$AL$323,Ajustes!$J40,S$2),0)+IF(Ajustes!$K40&gt;0,INDEX($AA$5:$AL$324,Ajustes!$K40,S$2),0)+IF(Ajustes!$L40&gt;0,INDEX($AA$4:$AL$323,Ajustes!$L40,S$2),0) + S40</f>
        <v>322</v>
      </c>
      <c r="AF40">
        <f>IF(Ajustes!$G40&gt;0,INDEX($AA$4:$AL$323,Ajustes!$G40,T$2),0)+IF(Ajustes!$H40&gt;0,INDEX($AA$4:$AL$323,Ajustes!$H40,T$2),0)+IF(Ajustes!$I40&gt;0,INDEX($AA$4:$AL$323,Ajustes!$I40,T$2),0)+IF(Ajustes!$J40&gt;0,INDEX($AA$4:$AL$323,Ajustes!$J40,T$2),0)+IF(Ajustes!$K40&gt;0,INDEX($AA$5:$AL$324,Ajustes!$K40,T$2),0)+IF(Ajustes!$L40&gt;0,INDEX($AA$4:$AL$323,Ajustes!$L40,T$2),0) + T40</f>
        <v>319</v>
      </c>
      <c r="AG40">
        <f>IF(Ajustes!$G40&gt;0,INDEX($AA$4:$AL$323,Ajustes!$G40,U$2),0)+IF(Ajustes!$H40&gt;0,INDEX($AA$4:$AL$323,Ajustes!$H40,U$2),0)+IF(Ajustes!$I40&gt;0,INDEX($AA$4:$AL$323,Ajustes!$I40,U$2),0)+IF(Ajustes!$J40&gt;0,INDEX($AA$4:$AL$323,Ajustes!$J40,U$2),0)+IF(Ajustes!$K40&gt;0,INDEX($AA$5:$AL$324,Ajustes!$K40,U$2),0)+IF(Ajustes!$L40&gt;0,INDEX($AA$4:$AL$323,Ajustes!$L40,U$2),0) + U40</f>
        <v>254</v>
      </c>
      <c r="AH40">
        <f>IF(Ajustes!$G40&gt;0,INDEX($AA$4:$AL$323,Ajustes!$G40,V$2),0)+IF(Ajustes!$H40&gt;0,INDEX($AA$4:$AL$323,Ajustes!$H40,V$2),0)+IF(Ajustes!$I40&gt;0,INDEX($AA$4:$AL$323,Ajustes!$I40,V$2),0)+IF(Ajustes!$J40&gt;0,INDEX($AA$4:$AL$323,Ajustes!$J40,V$2),0)+IF(Ajustes!$K40&gt;0,INDEX($AA$5:$AL$324,Ajustes!$K40,V$2),0)+IF(Ajustes!$L40&gt;0,INDEX($AA$4:$AL$323,Ajustes!$L40,V$2),0) + V40</f>
        <v>213</v>
      </c>
      <c r="AI40">
        <f>IF(Ajustes!$G40&gt;0,INDEX($AA$4:$AL$323,Ajustes!$G40,W$2),0)+IF(Ajustes!$H40&gt;0,INDEX($AA$4:$AL$323,Ajustes!$H40,W$2),0)+IF(Ajustes!$I40&gt;0,INDEX($AA$4:$AL$323,Ajustes!$I40,W$2),0)+IF(Ajustes!$J40&gt;0,INDEX($AA$4:$AL$323,Ajustes!$J40,W$2),0)+IF(Ajustes!$K40&gt;0,INDEX($AA$5:$AL$324,Ajustes!$K40,W$2),0)+IF(Ajustes!$L40&gt;0,INDEX($AA$4:$AL$323,Ajustes!$L40,W$2),0) + W40</f>
        <v>230</v>
      </c>
      <c r="AJ40">
        <f>IF(Ajustes!$G40&gt;0,INDEX($AA$4:$AL$323,Ajustes!$G40,X$2),0)+IF(Ajustes!$H40&gt;0,INDEX($AA$4:$AL$323,Ajustes!$H40,X$2),0)+IF(Ajustes!$I40&gt;0,INDEX($AA$4:$AL$323,Ajustes!$I40,X$2),0)+IF(Ajustes!$J40&gt;0,INDEX($AA$4:$AL$323,Ajustes!$J40,X$2),0)+IF(Ajustes!$K40&gt;0,INDEX($AA$5:$AL$324,Ajustes!$K40,X$2),0)+IF(Ajustes!$L40&gt;0,INDEX($AA$4:$AL$323,Ajustes!$L40,X$2),0) + X40</f>
        <v>283</v>
      </c>
      <c r="AK40">
        <f>IF(Ajustes!$G40&gt;0,INDEX($AA$4:$AL$323,Ajustes!$G40,Y$2),0)+IF(Ajustes!$H40&gt;0,INDEX($AA$4:$AL$323,Ajustes!$H40,Y$2),0)+IF(Ajustes!$I40&gt;0,INDEX($AA$4:$AL$323,Ajustes!$I40,Y$2),0)+IF(Ajustes!$J40&gt;0,INDEX($AA$4:$AL$323,Ajustes!$J40,Y$2),0)+IF(Ajustes!$K40&gt;0,INDEX($AA$5:$AL$324,Ajustes!$K40,Y$2),0)+IF(Ajustes!$L40&gt;0,INDEX($AA$4:$AL$323,Ajustes!$L40,Y$2),0) + Y40</f>
        <v>305</v>
      </c>
      <c r="AL40">
        <f>IF(Ajustes!$G40&gt;0,INDEX($AA$4:$AL$323,Ajustes!$G40,Z$2),0)+IF(Ajustes!$H40&gt;0,INDEX($AA$4:$AL$323,Ajustes!$H40,Z$2),0)+IF(Ajustes!$I40&gt;0,INDEX($AA$4:$AL$323,Ajustes!$I40,Z$2),0)+IF(Ajustes!$J40&gt;0,INDEX($AA$4:$AL$323,Ajustes!$J40,Z$2),0)+IF(Ajustes!$K40&gt;0,INDEX($AA$5:$AL$324,Ajustes!$K40,Z$2),0)+IF(Ajustes!$L40&gt;0,INDEX($AA$4:$AL$323,Ajustes!$L40,Z$2),0) + Z40</f>
        <v>468</v>
      </c>
      <c r="AM40" s="219">
        <f t="shared" ref="AM40:AX43" si="6">ROUND(AM240-0.1*(AM$164-AM$120-AM$121)-AM$120-AM$121,0)</f>
        <v>694</v>
      </c>
      <c r="AN40" s="219">
        <f t="shared" si="6"/>
        <v>734</v>
      </c>
      <c r="AO40" s="219">
        <f t="shared" si="6"/>
        <v>619</v>
      </c>
      <c r="AP40" s="219">
        <f t="shared" si="6"/>
        <v>407</v>
      </c>
      <c r="AQ40" s="219">
        <f t="shared" si="6"/>
        <v>322</v>
      </c>
      <c r="AR40" s="219">
        <f t="shared" si="6"/>
        <v>319</v>
      </c>
      <c r="AS40" s="219">
        <f t="shared" si="6"/>
        <v>254</v>
      </c>
      <c r="AT40" s="219">
        <f t="shared" si="6"/>
        <v>214</v>
      </c>
      <c r="AU40" s="219">
        <f t="shared" si="6"/>
        <v>230</v>
      </c>
      <c r="AV40" s="219">
        <f t="shared" si="6"/>
        <v>284</v>
      </c>
      <c r="AW40" s="219">
        <f t="shared" si="6"/>
        <v>305</v>
      </c>
      <c r="AX40" s="219">
        <f t="shared" si="6"/>
        <v>468</v>
      </c>
    </row>
    <row r="41" spans="1:67" x14ac:dyDescent="0.25">
      <c r="A41" s="113">
        <v>38</v>
      </c>
      <c r="B41" s="209" t="s">
        <v>554</v>
      </c>
      <c r="C41">
        <f>IFERROR(INDEX($BD$7:$BO$35,MATCH(Ajustes!$E$4:$E$323,$BC$7:$BC$35,0),$C$2:$N$2),1)</f>
        <v>1</v>
      </c>
      <c r="D41" s="113">
        <f>IFERROR(INDEX($BD$7:$BO$35,MATCH(Ajustes!$E$4:$E$323,$BC$7:$BC$35,0),$C$2:$N$2),1)</f>
        <v>1</v>
      </c>
      <c r="E41" s="113">
        <f>IFERROR(INDEX($BD$7:$BO$35,MATCH(Ajustes!$E$4:$E$323,$BC$7:$BC$35,0),$C$2:$N$2),1)</f>
        <v>1</v>
      </c>
      <c r="F41" s="113">
        <f>IFERROR(INDEX($BD$7:$BO$35,MATCH(Ajustes!$E$4:$E$323,$BC$7:$BC$35,0),$C$2:$N$2),1)</f>
        <v>1</v>
      </c>
      <c r="G41" s="113">
        <f>IFERROR(INDEX($BD$7:$BO$35,MATCH(Ajustes!$E$4:$E$323,$BC$7:$BC$35,0),$C$2:$N$2),1)</f>
        <v>1</v>
      </c>
      <c r="H41" s="113">
        <f>IFERROR(INDEX($BD$7:$BO$35,MATCH(Ajustes!$E$4:$E$323,$BC$7:$BC$35,0),$C$2:$N$2),1)</f>
        <v>1</v>
      </c>
      <c r="I41" s="113">
        <f>IFERROR(INDEX($BD$7:$BO$35,MATCH(Ajustes!$E$4:$E$323,$BC$7:$BC$35,0),$C$2:$N$2),1)</f>
        <v>1</v>
      </c>
      <c r="J41" s="113">
        <f>IFERROR(INDEX($BD$7:$BO$35,MATCH(Ajustes!$E$4:$E$323,$BC$7:$BC$35,0),$C$2:$N$2),1)</f>
        <v>1</v>
      </c>
      <c r="K41" s="113">
        <f>IFERROR(INDEX($BD$7:$BO$35,MATCH(Ajustes!$E$4:$E$323,$BC$7:$BC$35,0),$C$2:$N$2),1)</f>
        <v>1</v>
      </c>
      <c r="L41" s="113">
        <f>IFERROR(INDEX($BD$7:$BO$35,MATCH(Ajustes!$E$4:$E$323,$BC$7:$BC$35,0),$C$2:$N$2),1)</f>
        <v>1</v>
      </c>
      <c r="M41" s="113">
        <f>IFERROR(INDEX($BD$7:$BO$35,MATCH(Ajustes!$E$4:$E$323,$BC$7:$BC$35,0),$C$2:$N$2),1)</f>
        <v>1</v>
      </c>
      <c r="N41" s="113">
        <f>IFERROR(INDEX($BD$7:$BO$35,MATCH(Ajustes!$E$4:$E$323,$BC$7:$BC$35,0),$C$2:$N$2),1)</f>
        <v>1</v>
      </c>
      <c r="O41">
        <f>C41*Ajustes!AM41</f>
        <v>777</v>
      </c>
      <c r="P41">
        <f>D41*Ajustes!AN41</f>
        <v>825</v>
      </c>
      <c r="Q41">
        <f>E41*Ajustes!AO41</f>
        <v>698</v>
      </c>
      <c r="R41">
        <f>F41*Ajustes!AP41</f>
        <v>464</v>
      </c>
      <c r="S41">
        <f>G41*Ajustes!AQ41</f>
        <v>367</v>
      </c>
      <c r="T41">
        <f>H41*Ajustes!AR41</f>
        <v>364</v>
      </c>
      <c r="U41">
        <f>I41*Ajustes!AS41</f>
        <v>288</v>
      </c>
      <c r="V41">
        <f>J41*Ajustes!AT41</f>
        <v>244</v>
      </c>
      <c r="W41">
        <f>K41*Ajustes!AU41</f>
        <v>261</v>
      </c>
      <c r="X41">
        <f>L41*Ajustes!AV41</f>
        <v>317</v>
      </c>
      <c r="Y41">
        <f>M41*Ajustes!AW41</f>
        <v>343</v>
      </c>
      <c r="Z41">
        <f>N41*Ajustes!AX41</f>
        <v>522</v>
      </c>
      <c r="AA41">
        <f>IF(Ajustes!$G41&gt;0,INDEX($AA$4:$AL$323,Ajustes!$G41,O$2),0)+IF(Ajustes!$H41&gt;0,INDEX($AA$4:$AL$323,Ajustes!$H41,O$2),0)+IF(Ajustes!$I41&gt;0,INDEX($AA$4:$AL$323,Ajustes!$I41,O$2),0)+IF(Ajustes!$J41&gt;0,INDEX($AA$4:$AL$323,Ajustes!$J41,O$2),0)+IF(Ajustes!$K41&gt;0,INDEX($AA$5:$AL$324,Ajustes!$K41,O$2),0)+IF(Ajustes!$L41&gt;0,INDEX($AA$4:$AL$323,Ajustes!$L41,O$2),0) + O41</f>
        <v>777</v>
      </c>
      <c r="AB41">
        <f>IF(Ajustes!$G41&gt;0,INDEX($AA$4:$AL$323,Ajustes!$G41,P$2),0)+IF(Ajustes!$H41&gt;0,INDEX($AA$4:$AL$323,Ajustes!$H41,P$2),0)+IF(Ajustes!$I41&gt;0,INDEX($AA$4:$AL$323,Ajustes!$I41,P$2),0)+IF(Ajustes!$J41&gt;0,INDEX($AA$4:$AL$323,Ajustes!$J41,P$2),0)+IF(Ajustes!$K41&gt;0,INDEX($AA$5:$AL$324,Ajustes!$K41,P$2),0)+IF(Ajustes!$L41&gt;0,INDEX($AA$4:$AL$323,Ajustes!$L41,P$2),0) + P41</f>
        <v>825</v>
      </c>
      <c r="AC41">
        <f>IF(Ajustes!$G41&gt;0,INDEX($AA$4:$AL$323,Ajustes!$G41,Q$2),0)+IF(Ajustes!$H41&gt;0,INDEX($AA$4:$AL$323,Ajustes!$H41,Q$2),0)+IF(Ajustes!$I41&gt;0,INDEX($AA$4:$AL$323,Ajustes!$I41,Q$2),0)+IF(Ajustes!$J41&gt;0,INDEX($AA$4:$AL$323,Ajustes!$J41,Q$2),0)+IF(Ajustes!$K41&gt;0,INDEX($AA$5:$AL$324,Ajustes!$K41,Q$2),0)+IF(Ajustes!$L41&gt;0,INDEX($AA$4:$AL$323,Ajustes!$L41,Q$2),0) + Q41</f>
        <v>698</v>
      </c>
      <c r="AD41">
        <f>IF(Ajustes!$G41&gt;0,INDEX($AA$4:$AL$323,Ajustes!$G41,R$2),0)+IF(Ajustes!$H41&gt;0,INDEX($AA$4:$AL$323,Ajustes!$H41,R$2),0)+IF(Ajustes!$I41&gt;0,INDEX($AA$4:$AL$323,Ajustes!$I41,R$2),0)+IF(Ajustes!$J41&gt;0,INDEX($AA$4:$AL$323,Ajustes!$J41,R$2),0)+IF(Ajustes!$K41&gt;0,INDEX($AA$5:$AL$324,Ajustes!$K41,R$2),0)+IF(Ajustes!$L41&gt;0,INDEX($AA$4:$AL$323,Ajustes!$L41,R$2),0) + R41</f>
        <v>464</v>
      </c>
      <c r="AE41">
        <f>IF(Ajustes!$G41&gt;0,INDEX($AA$4:$AL$323,Ajustes!$G41,S$2),0)+IF(Ajustes!$H41&gt;0,INDEX($AA$4:$AL$323,Ajustes!$H41,S$2),0)+IF(Ajustes!$I41&gt;0,INDEX($AA$4:$AL$323,Ajustes!$I41,S$2),0)+IF(Ajustes!$J41&gt;0,INDEX($AA$4:$AL$323,Ajustes!$J41,S$2),0)+IF(Ajustes!$K41&gt;0,INDEX($AA$5:$AL$324,Ajustes!$K41,S$2),0)+IF(Ajustes!$L41&gt;0,INDEX($AA$4:$AL$323,Ajustes!$L41,S$2),0) + S41</f>
        <v>367</v>
      </c>
      <c r="AF41">
        <f>IF(Ajustes!$G41&gt;0,INDEX($AA$4:$AL$323,Ajustes!$G41,T$2),0)+IF(Ajustes!$H41&gt;0,INDEX($AA$4:$AL$323,Ajustes!$H41,T$2),0)+IF(Ajustes!$I41&gt;0,INDEX($AA$4:$AL$323,Ajustes!$I41,T$2),0)+IF(Ajustes!$J41&gt;0,INDEX($AA$4:$AL$323,Ajustes!$J41,T$2),0)+IF(Ajustes!$K41&gt;0,INDEX($AA$5:$AL$324,Ajustes!$K41,T$2),0)+IF(Ajustes!$L41&gt;0,INDEX($AA$4:$AL$323,Ajustes!$L41,T$2),0) + T41</f>
        <v>364</v>
      </c>
      <c r="AG41">
        <f>IF(Ajustes!$G41&gt;0,INDEX($AA$4:$AL$323,Ajustes!$G41,U$2),0)+IF(Ajustes!$H41&gt;0,INDEX($AA$4:$AL$323,Ajustes!$H41,U$2),0)+IF(Ajustes!$I41&gt;0,INDEX($AA$4:$AL$323,Ajustes!$I41,U$2),0)+IF(Ajustes!$J41&gt;0,INDEX($AA$4:$AL$323,Ajustes!$J41,U$2),0)+IF(Ajustes!$K41&gt;0,INDEX($AA$5:$AL$324,Ajustes!$K41,U$2),0)+IF(Ajustes!$L41&gt;0,INDEX($AA$4:$AL$323,Ajustes!$L41,U$2),0) + U41</f>
        <v>288</v>
      </c>
      <c r="AH41">
        <f>IF(Ajustes!$G41&gt;0,INDEX($AA$4:$AL$323,Ajustes!$G41,V$2),0)+IF(Ajustes!$H41&gt;0,INDEX($AA$4:$AL$323,Ajustes!$H41,V$2),0)+IF(Ajustes!$I41&gt;0,INDEX($AA$4:$AL$323,Ajustes!$I41,V$2),0)+IF(Ajustes!$J41&gt;0,INDEX($AA$4:$AL$323,Ajustes!$J41,V$2),0)+IF(Ajustes!$K41&gt;0,INDEX($AA$5:$AL$324,Ajustes!$K41,V$2),0)+IF(Ajustes!$L41&gt;0,INDEX($AA$4:$AL$323,Ajustes!$L41,V$2),0) + V41</f>
        <v>244</v>
      </c>
      <c r="AI41">
        <f>IF(Ajustes!$G41&gt;0,INDEX($AA$4:$AL$323,Ajustes!$G41,W$2),0)+IF(Ajustes!$H41&gt;0,INDEX($AA$4:$AL$323,Ajustes!$H41,W$2),0)+IF(Ajustes!$I41&gt;0,INDEX($AA$4:$AL$323,Ajustes!$I41,W$2),0)+IF(Ajustes!$J41&gt;0,INDEX($AA$4:$AL$323,Ajustes!$J41,W$2),0)+IF(Ajustes!$K41&gt;0,INDEX($AA$5:$AL$324,Ajustes!$K41,W$2),0)+IF(Ajustes!$L41&gt;0,INDEX($AA$4:$AL$323,Ajustes!$L41,W$2),0) + W41</f>
        <v>261</v>
      </c>
      <c r="AJ41">
        <f>IF(Ajustes!$G41&gt;0,INDEX($AA$4:$AL$323,Ajustes!$G41,X$2),0)+IF(Ajustes!$H41&gt;0,INDEX($AA$4:$AL$323,Ajustes!$H41,X$2),0)+IF(Ajustes!$I41&gt;0,INDEX($AA$4:$AL$323,Ajustes!$I41,X$2),0)+IF(Ajustes!$J41&gt;0,INDEX($AA$4:$AL$323,Ajustes!$J41,X$2),0)+IF(Ajustes!$K41&gt;0,INDEX($AA$5:$AL$324,Ajustes!$K41,X$2),0)+IF(Ajustes!$L41&gt;0,INDEX($AA$4:$AL$323,Ajustes!$L41,X$2),0) + X41</f>
        <v>317</v>
      </c>
      <c r="AK41">
        <f>IF(Ajustes!$G41&gt;0,INDEX($AA$4:$AL$323,Ajustes!$G41,Y$2),0)+IF(Ajustes!$H41&gt;0,INDEX($AA$4:$AL$323,Ajustes!$H41,Y$2),0)+IF(Ajustes!$I41&gt;0,INDEX($AA$4:$AL$323,Ajustes!$I41,Y$2),0)+IF(Ajustes!$J41&gt;0,INDEX($AA$4:$AL$323,Ajustes!$J41,Y$2),0)+IF(Ajustes!$K41&gt;0,INDEX($AA$5:$AL$324,Ajustes!$K41,Y$2),0)+IF(Ajustes!$L41&gt;0,INDEX($AA$4:$AL$323,Ajustes!$L41,Y$2),0) + Y41</f>
        <v>343</v>
      </c>
      <c r="AL41">
        <f>IF(Ajustes!$G41&gt;0,INDEX($AA$4:$AL$323,Ajustes!$G41,Z$2),0)+IF(Ajustes!$H41&gt;0,INDEX($AA$4:$AL$323,Ajustes!$H41,Z$2),0)+IF(Ajustes!$I41&gt;0,INDEX($AA$4:$AL$323,Ajustes!$I41,Z$2),0)+IF(Ajustes!$J41&gt;0,INDEX($AA$4:$AL$323,Ajustes!$J41,Z$2),0)+IF(Ajustes!$K41&gt;0,INDEX($AA$5:$AL$324,Ajustes!$K41,Z$2),0)+IF(Ajustes!$L41&gt;0,INDEX($AA$4:$AL$323,Ajustes!$L41,Z$2),0) + Z41</f>
        <v>522</v>
      </c>
      <c r="AM41" s="219">
        <f t="shared" si="6"/>
        <v>777</v>
      </c>
      <c r="AN41" s="219">
        <f t="shared" si="6"/>
        <v>825</v>
      </c>
      <c r="AO41" s="219">
        <f t="shared" si="6"/>
        <v>698</v>
      </c>
      <c r="AP41" s="219">
        <f t="shared" si="6"/>
        <v>463</v>
      </c>
      <c r="AQ41" s="219">
        <f t="shared" si="6"/>
        <v>367</v>
      </c>
      <c r="AR41" s="219">
        <f t="shared" si="6"/>
        <v>363</v>
      </c>
      <c r="AS41" s="219">
        <f t="shared" si="6"/>
        <v>288</v>
      </c>
      <c r="AT41" s="219">
        <f t="shared" si="6"/>
        <v>244</v>
      </c>
      <c r="AU41" s="219">
        <f t="shared" si="6"/>
        <v>261</v>
      </c>
      <c r="AV41" s="219">
        <f t="shared" si="6"/>
        <v>318</v>
      </c>
      <c r="AW41" s="219">
        <f t="shared" si="6"/>
        <v>343</v>
      </c>
      <c r="AX41" s="219">
        <f t="shared" si="6"/>
        <v>522</v>
      </c>
    </row>
    <row r="42" spans="1:67" x14ac:dyDescent="0.25">
      <c r="A42" s="113">
        <v>39</v>
      </c>
      <c r="B42" s="209" t="s">
        <v>555</v>
      </c>
      <c r="C42">
        <f>IFERROR(INDEX($BD$7:$BO$35,MATCH(Ajustes!$E$4:$E$323,$BC$7:$BC$35,0),$C$2:$N$2),1)</f>
        <v>1</v>
      </c>
      <c r="D42" s="113">
        <f>IFERROR(INDEX($BD$7:$BO$35,MATCH(Ajustes!$E$4:$E$323,$BC$7:$BC$35,0),$C$2:$N$2),1)</f>
        <v>1</v>
      </c>
      <c r="E42" s="113">
        <f>IFERROR(INDEX($BD$7:$BO$35,MATCH(Ajustes!$E$4:$E$323,$BC$7:$BC$35,0),$C$2:$N$2),1)</f>
        <v>1</v>
      </c>
      <c r="F42" s="113">
        <f>IFERROR(INDEX($BD$7:$BO$35,MATCH(Ajustes!$E$4:$E$323,$BC$7:$BC$35,0),$C$2:$N$2),1)</f>
        <v>1</v>
      </c>
      <c r="G42" s="113">
        <f>IFERROR(INDEX($BD$7:$BO$35,MATCH(Ajustes!$E$4:$E$323,$BC$7:$BC$35,0),$C$2:$N$2),1)</f>
        <v>1</v>
      </c>
      <c r="H42" s="113">
        <f>IFERROR(INDEX($BD$7:$BO$35,MATCH(Ajustes!$E$4:$E$323,$BC$7:$BC$35,0),$C$2:$N$2),1)</f>
        <v>1</v>
      </c>
      <c r="I42" s="113">
        <f>IFERROR(INDEX($BD$7:$BO$35,MATCH(Ajustes!$E$4:$E$323,$BC$7:$BC$35,0),$C$2:$N$2),1)</f>
        <v>1</v>
      </c>
      <c r="J42" s="113">
        <f>IFERROR(INDEX($BD$7:$BO$35,MATCH(Ajustes!$E$4:$E$323,$BC$7:$BC$35,0),$C$2:$N$2),1)</f>
        <v>1</v>
      </c>
      <c r="K42" s="113">
        <f>IFERROR(INDEX($BD$7:$BO$35,MATCH(Ajustes!$E$4:$E$323,$BC$7:$BC$35,0),$C$2:$N$2),1)</f>
        <v>1</v>
      </c>
      <c r="L42" s="113">
        <f>IFERROR(INDEX($BD$7:$BO$35,MATCH(Ajustes!$E$4:$E$323,$BC$7:$BC$35,0),$C$2:$N$2),1)</f>
        <v>1</v>
      </c>
      <c r="M42" s="113">
        <f>IFERROR(INDEX($BD$7:$BO$35,MATCH(Ajustes!$E$4:$E$323,$BC$7:$BC$35,0),$C$2:$N$2),1)</f>
        <v>1</v>
      </c>
      <c r="N42" s="113">
        <f>IFERROR(INDEX($BD$7:$BO$35,MATCH(Ajustes!$E$4:$E$323,$BC$7:$BC$35,0),$C$2:$N$2),1)</f>
        <v>1</v>
      </c>
      <c r="O42">
        <f>C42*Ajustes!AM42</f>
        <v>980</v>
      </c>
      <c r="P42">
        <f>D42*Ajustes!AN42</f>
        <v>1037</v>
      </c>
      <c r="Q42">
        <f>E42*Ajustes!AO42</f>
        <v>887</v>
      </c>
      <c r="R42">
        <f>F42*Ajustes!AP42</f>
        <v>609</v>
      </c>
      <c r="S42">
        <f>G42*Ajustes!AQ42</f>
        <v>483</v>
      </c>
      <c r="T42">
        <f>H42*Ajustes!AR42</f>
        <v>475</v>
      </c>
      <c r="U42">
        <f>I42*Ajustes!AS42</f>
        <v>384</v>
      </c>
      <c r="V42">
        <f>J42*Ajustes!AT42</f>
        <v>329</v>
      </c>
      <c r="W42">
        <f>K42*Ajustes!AU42</f>
        <v>353</v>
      </c>
      <c r="X42">
        <f>L42*Ajustes!AV42</f>
        <v>422</v>
      </c>
      <c r="Y42">
        <f>M42*Ajustes!AW42</f>
        <v>452</v>
      </c>
      <c r="Z42">
        <f>N42*Ajustes!AX42</f>
        <v>675</v>
      </c>
      <c r="AA42">
        <f>IF(Ajustes!$G42&gt;0,INDEX($AA$4:$AL$323,Ajustes!$G42,O$2),0)+IF(Ajustes!$H42&gt;0,INDEX($AA$4:$AL$323,Ajustes!$H42,O$2),0)+IF(Ajustes!$I42&gt;0,INDEX($AA$4:$AL$323,Ajustes!$I42,O$2),0)+IF(Ajustes!$J42&gt;0,INDEX($AA$4:$AL$323,Ajustes!$J42,O$2),0)+IF(Ajustes!$K42&gt;0,INDEX($AA$5:$AL$324,Ajustes!$K42,O$2),0)+IF(Ajustes!$L42&gt;0,INDEX($AA$4:$AL$323,Ajustes!$L42,O$2),0) + O42</f>
        <v>980</v>
      </c>
      <c r="AB42">
        <f>IF(Ajustes!$G42&gt;0,INDEX($AA$4:$AL$323,Ajustes!$G42,P$2),0)+IF(Ajustes!$H42&gt;0,INDEX($AA$4:$AL$323,Ajustes!$H42,P$2),0)+IF(Ajustes!$I42&gt;0,INDEX($AA$4:$AL$323,Ajustes!$I42,P$2),0)+IF(Ajustes!$J42&gt;0,INDEX($AA$4:$AL$323,Ajustes!$J42,P$2),0)+IF(Ajustes!$K42&gt;0,INDEX($AA$5:$AL$324,Ajustes!$K42,P$2),0)+IF(Ajustes!$L42&gt;0,INDEX($AA$4:$AL$323,Ajustes!$L42,P$2),0) + P42</f>
        <v>1037</v>
      </c>
      <c r="AC42">
        <f>IF(Ajustes!$G42&gt;0,INDEX($AA$4:$AL$323,Ajustes!$G42,Q$2),0)+IF(Ajustes!$H42&gt;0,INDEX($AA$4:$AL$323,Ajustes!$H42,Q$2),0)+IF(Ajustes!$I42&gt;0,INDEX($AA$4:$AL$323,Ajustes!$I42,Q$2),0)+IF(Ajustes!$J42&gt;0,INDEX($AA$4:$AL$323,Ajustes!$J42,Q$2),0)+IF(Ajustes!$K42&gt;0,INDEX($AA$5:$AL$324,Ajustes!$K42,Q$2),0)+IF(Ajustes!$L42&gt;0,INDEX($AA$4:$AL$323,Ajustes!$L42,Q$2),0) + Q42</f>
        <v>887</v>
      </c>
      <c r="AD42">
        <f>IF(Ajustes!$G42&gt;0,INDEX($AA$4:$AL$323,Ajustes!$G42,R$2),0)+IF(Ajustes!$H42&gt;0,INDEX($AA$4:$AL$323,Ajustes!$H42,R$2),0)+IF(Ajustes!$I42&gt;0,INDEX($AA$4:$AL$323,Ajustes!$I42,R$2),0)+IF(Ajustes!$J42&gt;0,INDEX($AA$4:$AL$323,Ajustes!$J42,R$2),0)+IF(Ajustes!$K42&gt;0,INDEX($AA$5:$AL$324,Ajustes!$K42,R$2),0)+IF(Ajustes!$L42&gt;0,INDEX($AA$4:$AL$323,Ajustes!$L42,R$2),0) + R42</f>
        <v>609</v>
      </c>
      <c r="AE42">
        <f>IF(Ajustes!$G42&gt;0,INDEX($AA$4:$AL$323,Ajustes!$G42,S$2),0)+IF(Ajustes!$H42&gt;0,INDEX($AA$4:$AL$323,Ajustes!$H42,S$2),0)+IF(Ajustes!$I42&gt;0,INDEX($AA$4:$AL$323,Ajustes!$I42,S$2),0)+IF(Ajustes!$J42&gt;0,INDEX($AA$4:$AL$323,Ajustes!$J42,S$2),0)+IF(Ajustes!$K42&gt;0,INDEX($AA$5:$AL$324,Ajustes!$K42,S$2),0)+IF(Ajustes!$L42&gt;0,INDEX($AA$4:$AL$323,Ajustes!$L42,S$2),0) + S42</f>
        <v>483</v>
      </c>
      <c r="AF42">
        <f>IF(Ajustes!$G42&gt;0,INDEX($AA$4:$AL$323,Ajustes!$G42,T$2),0)+IF(Ajustes!$H42&gt;0,INDEX($AA$4:$AL$323,Ajustes!$H42,T$2),0)+IF(Ajustes!$I42&gt;0,INDEX($AA$4:$AL$323,Ajustes!$I42,T$2),0)+IF(Ajustes!$J42&gt;0,INDEX($AA$4:$AL$323,Ajustes!$J42,T$2),0)+IF(Ajustes!$K42&gt;0,INDEX($AA$5:$AL$324,Ajustes!$K42,T$2),0)+IF(Ajustes!$L42&gt;0,INDEX($AA$4:$AL$323,Ajustes!$L42,T$2),0) + T42</f>
        <v>475</v>
      </c>
      <c r="AG42">
        <f>IF(Ajustes!$G42&gt;0,INDEX($AA$4:$AL$323,Ajustes!$G42,U$2),0)+IF(Ajustes!$H42&gt;0,INDEX($AA$4:$AL$323,Ajustes!$H42,U$2),0)+IF(Ajustes!$I42&gt;0,INDEX($AA$4:$AL$323,Ajustes!$I42,U$2),0)+IF(Ajustes!$J42&gt;0,INDEX($AA$4:$AL$323,Ajustes!$J42,U$2),0)+IF(Ajustes!$K42&gt;0,INDEX($AA$5:$AL$324,Ajustes!$K42,U$2),0)+IF(Ajustes!$L42&gt;0,INDEX($AA$4:$AL$323,Ajustes!$L42,U$2),0) + U42</f>
        <v>384</v>
      </c>
      <c r="AH42">
        <f>IF(Ajustes!$G42&gt;0,INDEX($AA$4:$AL$323,Ajustes!$G42,V$2),0)+IF(Ajustes!$H42&gt;0,INDEX($AA$4:$AL$323,Ajustes!$H42,V$2),0)+IF(Ajustes!$I42&gt;0,INDEX($AA$4:$AL$323,Ajustes!$I42,V$2),0)+IF(Ajustes!$J42&gt;0,INDEX($AA$4:$AL$323,Ajustes!$J42,V$2),0)+IF(Ajustes!$K42&gt;0,INDEX($AA$5:$AL$324,Ajustes!$K42,V$2),0)+IF(Ajustes!$L42&gt;0,INDEX($AA$4:$AL$323,Ajustes!$L42,V$2),0) + V42</f>
        <v>329</v>
      </c>
      <c r="AI42">
        <f>IF(Ajustes!$G42&gt;0,INDEX($AA$4:$AL$323,Ajustes!$G42,W$2),0)+IF(Ajustes!$H42&gt;0,INDEX($AA$4:$AL$323,Ajustes!$H42,W$2),0)+IF(Ajustes!$I42&gt;0,INDEX($AA$4:$AL$323,Ajustes!$I42,W$2),0)+IF(Ajustes!$J42&gt;0,INDEX($AA$4:$AL$323,Ajustes!$J42,W$2),0)+IF(Ajustes!$K42&gt;0,INDEX($AA$5:$AL$324,Ajustes!$K42,W$2),0)+IF(Ajustes!$L42&gt;0,INDEX($AA$4:$AL$323,Ajustes!$L42,W$2),0) + W42</f>
        <v>353</v>
      </c>
      <c r="AJ42">
        <f>IF(Ajustes!$G42&gt;0,INDEX($AA$4:$AL$323,Ajustes!$G42,X$2),0)+IF(Ajustes!$H42&gt;0,INDEX($AA$4:$AL$323,Ajustes!$H42,X$2),0)+IF(Ajustes!$I42&gt;0,INDEX($AA$4:$AL$323,Ajustes!$I42,X$2),0)+IF(Ajustes!$J42&gt;0,INDEX($AA$4:$AL$323,Ajustes!$J42,X$2),0)+IF(Ajustes!$K42&gt;0,INDEX($AA$5:$AL$324,Ajustes!$K42,X$2),0)+IF(Ajustes!$L42&gt;0,INDEX($AA$4:$AL$323,Ajustes!$L42,X$2),0) + X42</f>
        <v>422</v>
      </c>
      <c r="AK42">
        <f>IF(Ajustes!$G42&gt;0,INDEX($AA$4:$AL$323,Ajustes!$G42,Y$2),0)+IF(Ajustes!$H42&gt;0,INDEX($AA$4:$AL$323,Ajustes!$H42,Y$2),0)+IF(Ajustes!$I42&gt;0,INDEX($AA$4:$AL$323,Ajustes!$I42,Y$2),0)+IF(Ajustes!$J42&gt;0,INDEX($AA$4:$AL$323,Ajustes!$J42,Y$2),0)+IF(Ajustes!$K42&gt;0,INDEX($AA$5:$AL$324,Ajustes!$K42,Y$2),0)+IF(Ajustes!$L42&gt;0,INDEX($AA$4:$AL$323,Ajustes!$L42,Y$2),0) + Y42</f>
        <v>452</v>
      </c>
      <c r="AL42">
        <f>IF(Ajustes!$G42&gt;0,INDEX($AA$4:$AL$323,Ajustes!$G42,Z$2),0)+IF(Ajustes!$H42&gt;0,INDEX($AA$4:$AL$323,Ajustes!$H42,Z$2),0)+IF(Ajustes!$I42&gt;0,INDEX($AA$4:$AL$323,Ajustes!$I42,Z$2),0)+IF(Ajustes!$J42&gt;0,INDEX($AA$4:$AL$323,Ajustes!$J42,Z$2),0)+IF(Ajustes!$K42&gt;0,INDEX($AA$5:$AL$324,Ajustes!$K42,Z$2),0)+IF(Ajustes!$L42&gt;0,INDEX($AA$4:$AL$323,Ajustes!$L42,Z$2),0) + Z42</f>
        <v>675</v>
      </c>
      <c r="AM42" s="219">
        <f t="shared" si="6"/>
        <v>864</v>
      </c>
      <c r="AN42" s="219">
        <f t="shared" si="6"/>
        <v>917</v>
      </c>
      <c r="AO42" s="219">
        <f t="shared" si="6"/>
        <v>781</v>
      </c>
      <c r="AP42" s="219">
        <f t="shared" si="6"/>
        <v>533</v>
      </c>
      <c r="AQ42" s="219">
        <f t="shared" si="6"/>
        <v>427</v>
      </c>
      <c r="AR42" s="219">
        <f t="shared" si="6"/>
        <v>421</v>
      </c>
      <c r="AS42" s="219">
        <f t="shared" si="6"/>
        <v>340</v>
      </c>
      <c r="AT42" s="219">
        <f t="shared" si="6"/>
        <v>290</v>
      </c>
      <c r="AU42" s="219">
        <f t="shared" si="6"/>
        <v>301</v>
      </c>
      <c r="AV42" s="219">
        <f t="shared" si="6"/>
        <v>357</v>
      </c>
      <c r="AW42" s="219">
        <f t="shared" si="6"/>
        <v>386</v>
      </c>
      <c r="AX42" s="219">
        <f t="shared" si="6"/>
        <v>587</v>
      </c>
    </row>
    <row r="43" spans="1:67" x14ac:dyDescent="0.25">
      <c r="A43" s="113">
        <v>40</v>
      </c>
      <c r="B43" s="209" t="s">
        <v>556</v>
      </c>
      <c r="C43">
        <f>IFERROR(INDEX($BD$7:$BO$35,MATCH(Ajustes!$E$4:$E$323,$BC$7:$BC$35,0),$C$2:$N$2),1)</f>
        <v>1</v>
      </c>
      <c r="D43" s="113">
        <f>IFERROR(INDEX($BD$7:$BO$35,MATCH(Ajustes!$E$4:$E$323,$BC$7:$BC$35,0),$C$2:$N$2),1)</f>
        <v>1</v>
      </c>
      <c r="E43" s="113">
        <f>IFERROR(INDEX($BD$7:$BO$35,MATCH(Ajustes!$E$4:$E$323,$BC$7:$BC$35,0),$C$2:$N$2),1)</f>
        <v>1</v>
      </c>
      <c r="F43" s="113">
        <f>IFERROR(INDEX($BD$7:$BO$35,MATCH(Ajustes!$E$4:$E$323,$BC$7:$BC$35,0),$C$2:$N$2),1)</f>
        <v>1</v>
      </c>
      <c r="G43" s="113">
        <f>IFERROR(INDEX($BD$7:$BO$35,MATCH(Ajustes!$E$4:$E$323,$BC$7:$BC$35,0),$C$2:$N$2),1)</f>
        <v>1</v>
      </c>
      <c r="H43" s="113">
        <f>IFERROR(INDEX($BD$7:$BO$35,MATCH(Ajustes!$E$4:$E$323,$BC$7:$BC$35,0),$C$2:$N$2),1)</f>
        <v>1</v>
      </c>
      <c r="I43" s="113">
        <f>IFERROR(INDEX($BD$7:$BO$35,MATCH(Ajustes!$E$4:$E$323,$BC$7:$BC$35,0),$C$2:$N$2),1)</f>
        <v>1</v>
      </c>
      <c r="J43" s="113">
        <f>IFERROR(INDEX($BD$7:$BO$35,MATCH(Ajustes!$E$4:$E$323,$BC$7:$BC$35,0),$C$2:$N$2),1)</f>
        <v>1</v>
      </c>
      <c r="K43" s="113">
        <f>IFERROR(INDEX($BD$7:$BO$35,MATCH(Ajustes!$E$4:$E$323,$BC$7:$BC$35,0),$C$2:$N$2),1)</f>
        <v>1</v>
      </c>
      <c r="L43" s="113">
        <f>IFERROR(INDEX($BD$7:$BO$35,MATCH(Ajustes!$E$4:$E$323,$BC$7:$BC$35,0),$C$2:$N$2),1)</f>
        <v>1</v>
      </c>
      <c r="M43" s="113">
        <f>IFERROR(INDEX($BD$7:$BO$35,MATCH(Ajustes!$E$4:$E$323,$BC$7:$BC$35,0),$C$2:$N$2),1)</f>
        <v>1</v>
      </c>
      <c r="N43" s="113">
        <f>IFERROR(INDEX($BD$7:$BO$35,MATCH(Ajustes!$E$4:$E$323,$BC$7:$BC$35,0),$C$2:$N$2),1)</f>
        <v>1</v>
      </c>
      <c r="O43">
        <f>C43*Ajustes!AM43</f>
        <v>1113</v>
      </c>
      <c r="P43">
        <f>D43*Ajustes!AN43</f>
        <v>1185</v>
      </c>
      <c r="Q43">
        <f>E43*Ajustes!AO43</f>
        <v>1021</v>
      </c>
      <c r="R43">
        <f>F43*Ajustes!AP43</f>
        <v>695</v>
      </c>
      <c r="S43">
        <f>G43*Ajustes!AQ43</f>
        <v>554</v>
      </c>
      <c r="T43">
        <f>H43*Ajustes!AR43</f>
        <v>543</v>
      </c>
      <c r="U43">
        <f>I43*Ajustes!AS43</f>
        <v>443</v>
      </c>
      <c r="V43">
        <f>J43*Ajustes!AT43</f>
        <v>384</v>
      </c>
      <c r="W43">
        <f>K43*Ajustes!AU43</f>
        <v>404</v>
      </c>
      <c r="X43">
        <f>L43*Ajustes!AV43</f>
        <v>473</v>
      </c>
      <c r="Y43">
        <f>M43*Ajustes!AW43</f>
        <v>506</v>
      </c>
      <c r="Z43">
        <f>N43*Ajustes!AX43</f>
        <v>761</v>
      </c>
      <c r="AA43">
        <f>IF(Ajustes!$G43&gt;0,INDEX($AA$4:$AL$323,Ajustes!$G43,O$2),0)+IF(Ajustes!$H43&gt;0,INDEX($AA$4:$AL$323,Ajustes!$H43,O$2),0)+IF(Ajustes!$I43&gt;0,INDEX($AA$4:$AL$323,Ajustes!$I43,O$2),0)+IF(Ajustes!$J43&gt;0,INDEX($AA$4:$AL$323,Ajustes!$J43,O$2),0)+IF(Ajustes!$K43&gt;0,INDEX($AA$5:$AL$324,Ajustes!$K43,O$2),0)+IF(Ajustes!$L43&gt;0,INDEX($AA$4:$AL$323,Ajustes!$L43,O$2),0) + O43</f>
        <v>1113</v>
      </c>
      <c r="AB43">
        <f>IF(Ajustes!$G43&gt;0,INDEX($AA$4:$AL$323,Ajustes!$G43,P$2),0)+IF(Ajustes!$H43&gt;0,INDEX($AA$4:$AL$323,Ajustes!$H43,P$2),0)+IF(Ajustes!$I43&gt;0,INDEX($AA$4:$AL$323,Ajustes!$I43,P$2),0)+IF(Ajustes!$J43&gt;0,INDEX($AA$4:$AL$323,Ajustes!$J43,P$2),0)+IF(Ajustes!$K43&gt;0,INDEX($AA$5:$AL$324,Ajustes!$K43,P$2),0)+IF(Ajustes!$L43&gt;0,INDEX($AA$4:$AL$323,Ajustes!$L43,P$2),0) + P43</f>
        <v>1185</v>
      </c>
      <c r="AC43">
        <f>IF(Ajustes!$G43&gt;0,INDEX($AA$4:$AL$323,Ajustes!$G43,Q$2),0)+IF(Ajustes!$H43&gt;0,INDEX($AA$4:$AL$323,Ajustes!$H43,Q$2),0)+IF(Ajustes!$I43&gt;0,INDEX($AA$4:$AL$323,Ajustes!$I43,Q$2),0)+IF(Ajustes!$J43&gt;0,INDEX($AA$4:$AL$323,Ajustes!$J43,Q$2),0)+IF(Ajustes!$K43&gt;0,INDEX($AA$5:$AL$324,Ajustes!$K43,Q$2),0)+IF(Ajustes!$L43&gt;0,INDEX($AA$4:$AL$323,Ajustes!$L43,Q$2),0) + Q43</f>
        <v>1021</v>
      </c>
      <c r="AD43">
        <f>IF(Ajustes!$G43&gt;0,INDEX($AA$4:$AL$323,Ajustes!$G43,R$2),0)+IF(Ajustes!$H43&gt;0,INDEX($AA$4:$AL$323,Ajustes!$H43,R$2),0)+IF(Ajustes!$I43&gt;0,INDEX($AA$4:$AL$323,Ajustes!$I43,R$2),0)+IF(Ajustes!$J43&gt;0,INDEX($AA$4:$AL$323,Ajustes!$J43,R$2),0)+IF(Ajustes!$K43&gt;0,INDEX($AA$5:$AL$324,Ajustes!$K43,R$2),0)+IF(Ajustes!$L43&gt;0,INDEX($AA$4:$AL$323,Ajustes!$L43,R$2),0) + R43</f>
        <v>695</v>
      </c>
      <c r="AE43">
        <f>IF(Ajustes!$G43&gt;0,INDEX($AA$4:$AL$323,Ajustes!$G43,S$2),0)+IF(Ajustes!$H43&gt;0,INDEX($AA$4:$AL$323,Ajustes!$H43,S$2),0)+IF(Ajustes!$I43&gt;0,INDEX($AA$4:$AL$323,Ajustes!$I43,S$2),0)+IF(Ajustes!$J43&gt;0,INDEX($AA$4:$AL$323,Ajustes!$J43,S$2),0)+IF(Ajustes!$K43&gt;0,INDEX($AA$5:$AL$324,Ajustes!$K43,S$2),0)+IF(Ajustes!$L43&gt;0,INDEX($AA$4:$AL$323,Ajustes!$L43,S$2),0) + S43</f>
        <v>554</v>
      </c>
      <c r="AF43">
        <f>IF(Ajustes!$G43&gt;0,INDEX($AA$4:$AL$323,Ajustes!$G43,T$2),0)+IF(Ajustes!$H43&gt;0,INDEX($AA$4:$AL$323,Ajustes!$H43,T$2),0)+IF(Ajustes!$I43&gt;0,INDEX($AA$4:$AL$323,Ajustes!$I43,T$2),0)+IF(Ajustes!$J43&gt;0,INDEX($AA$4:$AL$323,Ajustes!$J43,T$2),0)+IF(Ajustes!$K43&gt;0,INDEX($AA$5:$AL$324,Ajustes!$K43,T$2),0)+IF(Ajustes!$L43&gt;0,INDEX($AA$4:$AL$323,Ajustes!$L43,T$2),0) + T43</f>
        <v>543</v>
      </c>
      <c r="AG43">
        <f>IF(Ajustes!$G43&gt;0,INDEX($AA$4:$AL$323,Ajustes!$G43,U$2),0)+IF(Ajustes!$H43&gt;0,INDEX($AA$4:$AL$323,Ajustes!$H43,U$2),0)+IF(Ajustes!$I43&gt;0,INDEX($AA$4:$AL$323,Ajustes!$I43,U$2),0)+IF(Ajustes!$J43&gt;0,INDEX($AA$4:$AL$323,Ajustes!$J43,U$2),0)+IF(Ajustes!$K43&gt;0,INDEX($AA$5:$AL$324,Ajustes!$K43,U$2),0)+IF(Ajustes!$L43&gt;0,INDEX($AA$4:$AL$323,Ajustes!$L43,U$2),0) + U43</f>
        <v>443</v>
      </c>
      <c r="AH43">
        <f>IF(Ajustes!$G43&gt;0,INDEX($AA$4:$AL$323,Ajustes!$G43,V$2),0)+IF(Ajustes!$H43&gt;0,INDEX($AA$4:$AL$323,Ajustes!$H43,V$2),0)+IF(Ajustes!$I43&gt;0,INDEX($AA$4:$AL$323,Ajustes!$I43,V$2),0)+IF(Ajustes!$J43&gt;0,INDEX($AA$4:$AL$323,Ajustes!$J43,V$2),0)+IF(Ajustes!$K43&gt;0,INDEX($AA$5:$AL$324,Ajustes!$K43,V$2),0)+IF(Ajustes!$L43&gt;0,INDEX($AA$4:$AL$323,Ajustes!$L43,V$2),0) + V43</f>
        <v>384</v>
      </c>
      <c r="AI43">
        <f>IF(Ajustes!$G43&gt;0,INDEX($AA$4:$AL$323,Ajustes!$G43,W$2),0)+IF(Ajustes!$H43&gt;0,INDEX($AA$4:$AL$323,Ajustes!$H43,W$2),0)+IF(Ajustes!$I43&gt;0,INDEX($AA$4:$AL$323,Ajustes!$I43,W$2),0)+IF(Ajustes!$J43&gt;0,INDEX($AA$4:$AL$323,Ajustes!$J43,W$2),0)+IF(Ajustes!$K43&gt;0,INDEX($AA$5:$AL$324,Ajustes!$K43,W$2),0)+IF(Ajustes!$L43&gt;0,INDEX($AA$4:$AL$323,Ajustes!$L43,W$2),0) + W43</f>
        <v>404</v>
      </c>
      <c r="AJ43">
        <f>IF(Ajustes!$G43&gt;0,INDEX($AA$4:$AL$323,Ajustes!$G43,X$2),0)+IF(Ajustes!$H43&gt;0,INDEX($AA$4:$AL$323,Ajustes!$H43,X$2),0)+IF(Ajustes!$I43&gt;0,INDEX($AA$4:$AL$323,Ajustes!$I43,X$2),0)+IF(Ajustes!$J43&gt;0,INDEX($AA$4:$AL$323,Ajustes!$J43,X$2),0)+IF(Ajustes!$K43&gt;0,INDEX($AA$5:$AL$324,Ajustes!$K43,X$2),0)+IF(Ajustes!$L43&gt;0,INDEX($AA$4:$AL$323,Ajustes!$L43,X$2),0) + X43</f>
        <v>473</v>
      </c>
      <c r="AK43">
        <f>IF(Ajustes!$G43&gt;0,INDEX($AA$4:$AL$323,Ajustes!$G43,Y$2),0)+IF(Ajustes!$H43&gt;0,INDEX($AA$4:$AL$323,Ajustes!$H43,Y$2),0)+IF(Ajustes!$I43&gt;0,INDEX($AA$4:$AL$323,Ajustes!$I43,Y$2),0)+IF(Ajustes!$J43&gt;0,INDEX($AA$4:$AL$323,Ajustes!$J43,Y$2),0)+IF(Ajustes!$K43&gt;0,INDEX($AA$5:$AL$324,Ajustes!$K43,Y$2),0)+IF(Ajustes!$L43&gt;0,INDEX($AA$4:$AL$323,Ajustes!$L43,Y$2),0) + Y43</f>
        <v>506</v>
      </c>
      <c r="AL43">
        <f>IF(Ajustes!$G43&gt;0,INDEX($AA$4:$AL$323,Ajustes!$G43,Z$2),0)+IF(Ajustes!$H43&gt;0,INDEX($AA$4:$AL$323,Ajustes!$H43,Z$2),0)+IF(Ajustes!$I43&gt;0,INDEX($AA$4:$AL$323,Ajustes!$I43,Z$2),0)+IF(Ajustes!$J43&gt;0,INDEX($AA$4:$AL$323,Ajustes!$J43,Z$2),0)+IF(Ajustes!$K43&gt;0,INDEX($AA$5:$AL$324,Ajustes!$K43,Z$2),0)+IF(Ajustes!$L43&gt;0,INDEX($AA$4:$AL$323,Ajustes!$L43,Z$2),0) + Z43</f>
        <v>761</v>
      </c>
      <c r="AM43" s="219">
        <f t="shared" si="6"/>
        <v>1113</v>
      </c>
      <c r="AN43" s="219">
        <f t="shared" si="6"/>
        <v>1184</v>
      </c>
      <c r="AO43" s="219">
        <f t="shared" si="6"/>
        <v>1021</v>
      </c>
      <c r="AP43" s="219">
        <f t="shared" si="6"/>
        <v>695</v>
      </c>
      <c r="AQ43" s="219">
        <f t="shared" si="6"/>
        <v>554</v>
      </c>
      <c r="AR43" s="219">
        <f t="shared" si="6"/>
        <v>542</v>
      </c>
      <c r="AS43" s="219">
        <f t="shared" si="6"/>
        <v>444</v>
      </c>
      <c r="AT43" s="219">
        <f t="shared" si="6"/>
        <v>384</v>
      </c>
      <c r="AU43" s="219">
        <f t="shared" si="6"/>
        <v>404</v>
      </c>
      <c r="AV43" s="219">
        <f t="shared" si="6"/>
        <v>474</v>
      </c>
      <c r="AW43" s="219">
        <f t="shared" si="6"/>
        <v>507</v>
      </c>
      <c r="AX43" s="219">
        <f t="shared" si="6"/>
        <v>762</v>
      </c>
    </row>
    <row r="44" spans="1:67" x14ac:dyDescent="0.25">
      <c r="A44" s="113">
        <v>41</v>
      </c>
      <c r="B44" s="209"/>
      <c r="C44">
        <f>IFERROR(INDEX($BD$7:$BO$35,MATCH(Ajustes!$E$4:$E$323,$BC$7:$BC$35,0),$C$2:$N$2),1)</f>
        <v>1</v>
      </c>
      <c r="D44" s="113">
        <f>IFERROR(INDEX($BD$7:$BO$35,MATCH(Ajustes!$E$4:$E$323,$BC$7:$BC$35,0),$C$2:$N$2),1)</f>
        <v>1</v>
      </c>
      <c r="E44" s="113">
        <f>IFERROR(INDEX($BD$7:$BO$35,MATCH(Ajustes!$E$4:$E$323,$BC$7:$BC$35,0),$C$2:$N$2),1)</f>
        <v>1</v>
      </c>
      <c r="F44" s="113">
        <f>IFERROR(INDEX($BD$7:$BO$35,MATCH(Ajustes!$E$4:$E$323,$BC$7:$BC$35,0),$C$2:$N$2),1)</f>
        <v>1</v>
      </c>
      <c r="G44" s="113">
        <f>IFERROR(INDEX($BD$7:$BO$35,MATCH(Ajustes!$E$4:$E$323,$BC$7:$BC$35,0),$C$2:$N$2),1)</f>
        <v>1</v>
      </c>
      <c r="H44" s="113">
        <f>IFERROR(INDEX($BD$7:$BO$35,MATCH(Ajustes!$E$4:$E$323,$BC$7:$BC$35,0),$C$2:$N$2),1)</f>
        <v>1</v>
      </c>
      <c r="I44" s="113">
        <f>IFERROR(INDEX($BD$7:$BO$35,MATCH(Ajustes!$E$4:$E$323,$BC$7:$BC$35,0),$C$2:$N$2),1)</f>
        <v>1</v>
      </c>
      <c r="J44" s="113">
        <f>IFERROR(INDEX($BD$7:$BO$35,MATCH(Ajustes!$E$4:$E$323,$BC$7:$BC$35,0),$C$2:$N$2),1)</f>
        <v>1</v>
      </c>
      <c r="K44" s="113">
        <f>IFERROR(INDEX($BD$7:$BO$35,MATCH(Ajustes!$E$4:$E$323,$BC$7:$BC$35,0),$C$2:$N$2),1)</f>
        <v>1</v>
      </c>
      <c r="L44" s="113">
        <f>IFERROR(INDEX($BD$7:$BO$35,MATCH(Ajustes!$E$4:$E$323,$BC$7:$BC$35,0),$C$2:$N$2),1)</f>
        <v>1</v>
      </c>
      <c r="M44" s="113">
        <f>IFERROR(INDEX($BD$7:$BO$35,MATCH(Ajustes!$E$4:$E$323,$BC$7:$BC$35,0),$C$2:$N$2),1)</f>
        <v>1</v>
      </c>
      <c r="N44" s="113">
        <f>IFERROR(INDEX($BD$7:$BO$35,MATCH(Ajustes!$E$4:$E$323,$BC$7:$BC$35,0),$C$2:$N$2),1)</f>
        <v>1</v>
      </c>
      <c r="O44">
        <f>C44*Ajustes!AM44</f>
        <v>0</v>
      </c>
      <c r="P44">
        <f>D44*Ajustes!AN44</f>
        <v>0</v>
      </c>
      <c r="Q44">
        <f>E44*Ajustes!AO44</f>
        <v>0</v>
      </c>
      <c r="R44">
        <f>F44*Ajustes!AP44</f>
        <v>0</v>
      </c>
      <c r="S44">
        <f>G44*Ajustes!AQ44</f>
        <v>0</v>
      </c>
      <c r="T44">
        <f>H44*Ajustes!AR44</f>
        <v>0</v>
      </c>
      <c r="U44">
        <f>I44*Ajustes!AS44</f>
        <v>0</v>
      </c>
      <c r="V44">
        <f>J44*Ajustes!AT44</f>
        <v>0</v>
      </c>
      <c r="W44">
        <f>K44*Ajustes!AU44</f>
        <v>0</v>
      </c>
      <c r="X44">
        <f>L44*Ajustes!AV44</f>
        <v>0</v>
      </c>
      <c r="Y44">
        <f>M44*Ajustes!AW44</f>
        <v>0</v>
      </c>
      <c r="Z44">
        <f>N44*Ajustes!AX44</f>
        <v>0</v>
      </c>
      <c r="AA44">
        <f>IF(Ajustes!$G44&gt;0,INDEX($AA$4:$AL$323,Ajustes!$G44,O$2),0)+IF(Ajustes!$H44&gt;0,INDEX($AA$4:$AL$323,Ajustes!$H44,O$2),0)+IF(Ajustes!$I44&gt;0,INDEX($AA$4:$AL$323,Ajustes!$I44,O$2),0)+IF(Ajustes!$J44&gt;0,INDEX($AA$4:$AL$323,Ajustes!$J44,O$2),0)+IF(Ajustes!$K44&gt;0,INDEX($AA$5:$AL$324,Ajustes!$K44,O$2),0)+IF(Ajustes!$L44&gt;0,INDEX($AA$4:$AL$323,Ajustes!$L44,O$2),0) + O44</f>
        <v>0</v>
      </c>
      <c r="AB44">
        <f>IF(Ajustes!$G44&gt;0,INDEX($AA$4:$AL$323,Ajustes!$G44,P$2),0)+IF(Ajustes!$H44&gt;0,INDEX($AA$4:$AL$323,Ajustes!$H44,P$2),0)+IF(Ajustes!$I44&gt;0,INDEX($AA$4:$AL$323,Ajustes!$I44,P$2),0)+IF(Ajustes!$J44&gt;0,INDEX($AA$4:$AL$323,Ajustes!$J44,P$2),0)+IF(Ajustes!$K44&gt;0,INDEX($AA$5:$AL$324,Ajustes!$K44,P$2),0)+IF(Ajustes!$L44&gt;0,INDEX($AA$4:$AL$323,Ajustes!$L44,P$2),0) + P44</f>
        <v>0</v>
      </c>
      <c r="AC44">
        <f>IF(Ajustes!$G44&gt;0,INDEX($AA$4:$AL$323,Ajustes!$G44,Q$2),0)+IF(Ajustes!$H44&gt;0,INDEX($AA$4:$AL$323,Ajustes!$H44,Q$2),0)+IF(Ajustes!$I44&gt;0,INDEX($AA$4:$AL$323,Ajustes!$I44,Q$2),0)+IF(Ajustes!$J44&gt;0,INDEX($AA$4:$AL$323,Ajustes!$J44,Q$2),0)+IF(Ajustes!$K44&gt;0,INDEX($AA$5:$AL$324,Ajustes!$K44,Q$2),0)+IF(Ajustes!$L44&gt;0,INDEX($AA$4:$AL$323,Ajustes!$L44,Q$2),0) + Q44</f>
        <v>0</v>
      </c>
      <c r="AD44">
        <f>IF(Ajustes!$G44&gt;0,INDEX($AA$4:$AL$323,Ajustes!$G44,R$2),0)+IF(Ajustes!$H44&gt;0,INDEX($AA$4:$AL$323,Ajustes!$H44,R$2),0)+IF(Ajustes!$I44&gt;0,INDEX($AA$4:$AL$323,Ajustes!$I44,R$2),0)+IF(Ajustes!$J44&gt;0,INDEX($AA$4:$AL$323,Ajustes!$J44,R$2),0)+IF(Ajustes!$K44&gt;0,INDEX($AA$5:$AL$324,Ajustes!$K44,R$2),0)+IF(Ajustes!$L44&gt;0,INDEX($AA$4:$AL$323,Ajustes!$L44,R$2),0) + R44</f>
        <v>0</v>
      </c>
      <c r="AE44">
        <f>IF(Ajustes!$G44&gt;0,INDEX($AA$4:$AL$323,Ajustes!$G44,S$2),0)+IF(Ajustes!$H44&gt;0,INDEX($AA$4:$AL$323,Ajustes!$H44,S$2),0)+IF(Ajustes!$I44&gt;0,INDEX($AA$4:$AL$323,Ajustes!$I44,S$2),0)+IF(Ajustes!$J44&gt;0,INDEX($AA$4:$AL$323,Ajustes!$J44,S$2),0)+IF(Ajustes!$K44&gt;0,INDEX($AA$5:$AL$324,Ajustes!$K44,S$2),0)+IF(Ajustes!$L44&gt;0,INDEX($AA$4:$AL$323,Ajustes!$L44,S$2),0) + S44</f>
        <v>0</v>
      </c>
      <c r="AF44">
        <f>IF(Ajustes!$G44&gt;0,INDEX($AA$4:$AL$323,Ajustes!$G44,T$2),0)+IF(Ajustes!$H44&gt;0,INDEX($AA$4:$AL$323,Ajustes!$H44,T$2),0)+IF(Ajustes!$I44&gt;0,INDEX($AA$4:$AL$323,Ajustes!$I44,T$2),0)+IF(Ajustes!$J44&gt;0,INDEX($AA$4:$AL$323,Ajustes!$J44,T$2),0)+IF(Ajustes!$K44&gt;0,INDEX($AA$5:$AL$324,Ajustes!$K44,T$2),0)+IF(Ajustes!$L44&gt;0,INDEX($AA$4:$AL$323,Ajustes!$L44,T$2),0) + T44</f>
        <v>0</v>
      </c>
      <c r="AG44">
        <f>IF(Ajustes!$G44&gt;0,INDEX($AA$4:$AL$323,Ajustes!$G44,U$2),0)+IF(Ajustes!$H44&gt;0,INDEX($AA$4:$AL$323,Ajustes!$H44,U$2),0)+IF(Ajustes!$I44&gt;0,INDEX($AA$4:$AL$323,Ajustes!$I44,U$2),0)+IF(Ajustes!$J44&gt;0,INDEX($AA$4:$AL$323,Ajustes!$J44,U$2),0)+IF(Ajustes!$K44&gt;0,INDEX($AA$5:$AL$324,Ajustes!$K44,U$2),0)+IF(Ajustes!$L44&gt;0,INDEX($AA$4:$AL$323,Ajustes!$L44,U$2),0) + U44</f>
        <v>0</v>
      </c>
      <c r="AH44">
        <f>IF(Ajustes!$G44&gt;0,INDEX($AA$4:$AL$323,Ajustes!$G44,V$2),0)+IF(Ajustes!$H44&gt;0,INDEX($AA$4:$AL$323,Ajustes!$H44,V$2),0)+IF(Ajustes!$I44&gt;0,INDEX($AA$4:$AL$323,Ajustes!$I44,V$2),0)+IF(Ajustes!$J44&gt;0,INDEX($AA$4:$AL$323,Ajustes!$J44,V$2),0)+IF(Ajustes!$K44&gt;0,INDEX($AA$5:$AL$324,Ajustes!$K44,V$2),0)+IF(Ajustes!$L44&gt;0,INDEX($AA$4:$AL$323,Ajustes!$L44,V$2),0) + V44</f>
        <v>0</v>
      </c>
      <c r="AI44">
        <f>IF(Ajustes!$G44&gt;0,INDEX($AA$4:$AL$323,Ajustes!$G44,W$2),0)+IF(Ajustes!$H44&gt;0,INDEX($AA$4:$AL$323,Ajustes!$H44,W$2),0)+IF(Ajustes!$I44&gt;0,INDEX($AA$4:$AL$323,Ajustes!$I44,W$2),0)+IF(Ajustes!$J44&gt;0,INDEX($AA$4:$AL$323,Ajustes!$J44,W$2),0)+IF(Ajustes!$K44&gt;0,INDEX($AA$5:$AL$324,Ajustes!$K44,W$2),0)+IF(Ajustes!$L44&gt;0,INDEX($AA$4:$AL$323,Ajustes!$L44,W$2),0) + W44</f>
        <v>0</v>
      </c>
      <c r="AJ44">
        <f>IF(Ajustes!$G44&gt;0,INDEX($AA$4:$AL$323,Ajustes!$G44,X$2),0)+IF(Ajustes!$H44&gt;0,INDEX($AA$4:$AL$323,Ajustes!$H44,X$2),0)+IF(Ajustes!$I44&gt;0,INDEX($AA$4:$AL$323,Ajustes!$I44,X$2),0)+IF(Ajustes!$J44&gt;0,INDEX($AA$4:$AL$323,Ajustes!$J44,X$2),0)+IF(Ajustes!$K44&gt;0,INDEX($AA$5:$AL$324,Ajustes!$K44,X$2),0)+IF(Ajustes!$L44&gt;0,INDEX($AA$4:$AL$323,Ajustes!$L44,X$2),0) + X44</f>
        <v>0</v>
      </c>
      <c r="AK44">
        <f>IF(Ajustes!$G44&gt;0,INDEX($AA$4:$AL$323,Ajustes!$G44,Y$2),0)+IF(Ajustes!$H44&gt;0,INDEX($AA$4:$AL$323,Ajustes!$H44,Y$2),0)+IF(Ajustes!$I44&gt;0,INDEX($AA$4:$AL$323,Ajustes!$I44,Y$2),0)+IF(Ajustes!$J44&gt;0,INDEX($AA$4:$AL$323,Ajustes!$J44,Y$2),0)+IF(Ajustes!$K44&gt;0,INDEX($AA$5:$AL$324,Ajustes!$K44,Y$2),0)+IF(Ajustes!$L44&gt;0,INDEX($AA$4:$AL$323,Ajustes!$L44,Y$2),0) + Y44</f>
        <v>0</v>
      </c>
      <c r="AL44">
        <f>IF(Ajustes!$G44&gt;0,INDEX($AA$4:$AL$323,Ajustes!$G44,Z$2),0)+IF(Ajustes!$H44&gt;0,INDEX($AA$4:$AL$323,Ajustes!$H44,Z$2),0)+IF(Ajustes!$I44&gt;0,INDEX($AA$4:$AL$323,Ajustes!$I44,Z$2),0)+IF(Ajustes!$J44&gt;0,INDEX($AA$4:$AL$323,Ajustes!$J44,Z$2),0)+IF(Ajustes!$K44&gt;0,INDEX($AA$5:$AL$324,Ajustes!$K44,Z$2),0)+IF(Ajustes!$L44&gt;0,INDEX($AA$4:$AL$323,Ajustes!$L44,Z$2),0) + Z44</f>
        <v>0</v>
      </c>
      <c r="AM44" s="113">
        <f t="shared" ref="AM44" si="7">AA44</f>
        <v>0</v>
      </c>
      <c r="AN44" s="113">
        <f t="shared" ref="AN44" si="8">AB44</f>
        <v>0</v>
      </c>
      <c r="AO44" s="113">
        <f t="shared" ref="AO44" si="9">AC44</f>
        <v>0</v>
      </c>
      <c r="AP44" s="113">
        <f t="shared" ref="AP44" si="10">AD44</f>
        <v>0</v>
      </c>
      <c r="AQ44" s="113">
        <f t="shared" ref="AQ44" si="11">AE44</f>
        <v>0</v>
      </c>
      <c r="AR44" s="113">
        <f t="shared" ref="AR44" si="12">AF44</f>
        <v>0</v>
      </c>
      <c r="AS44" s="113">
        <f t="shared" ref="AS44" si="13">AG44</f>
        <v>0</v>
      </c>
      <c r="AT44" s="113">
        <f t="shared" ref="AT44" si="14">AH44</f>
        <v>0</v>
      </c>
      <c r="AU44" s="113">
        <f t="shared" ref="AU44" si="15">AI44</f>
        <v>0</v>
      </c>
      <c r="AV44" s="113">
        <f t="shared" ref="AV44" si="16">AJ44</f>
        <v>0</v>
      </c>
      <c r="AW44" s="113">
        <f t="shared" ref="AW44" si="17">AK44</f>
        <v>0</v>
      </c>
      <c r="AX44" s="113">
        <f t="shared" ref="AX44" si="18">AL44</f>
        <v>0</v>
      </c>
    </row>
    <row r="45" spans="1:67" x14ac:dyDescent="0.25">
      <c r="A45" s="113">
        <v>42</v>
      </c>
      <c r="B45" s="209" t="s">
        <v>260</v>
      </c>
      <c r="C45">
        <f>IFERROR(INDEX($BD$7:$BO$35,MATCH(Ajustes!$E$4:$E$323,$BC$7:$BC$35,0),$C$2:$N$2),1)</f>
        <v>1</v>
      </c>
      <c r="D45" s="113">
        <f>IFERROR(INDEX($BD$7:$BO$35,MATCH(Ajustes!$E$4:$E$323,$BC$7:$BC$35,0),$C$2:$N$2),1)</f>
        <v>1</v>
      </c>
      <c r="E45" s="113">
        <f>IFERROR(INDEX($BD$7:$BO$35,MATCH(Ajustes!$E$4:$E$323,$BC$7:$BC$35,0),$C$2:$N$2),1)</f>
        <v>1</v>
      </c>
      <c r="F45" s="113">
        <f>IFERROR(INDEX($BD$7:$BO$35,MATCH(Ajustes!$E$4:$E$323,$BC$7:$BC$35,0),$C$2:$N$2),1)</f>
        <v>1</v>
      </c>
      <c r="G45" s="113">
        <f>IFERROR(INDEX($BD$7:$BO$35,MATCH(Ajustes!$E$4:$E$323,$BC$7:$BC$35,0),$C$2:$N$2),1)</f>
        <v>1</v>
      </c>
      <c r="H45" s="113">
        <f>IFERROR(INDEX($BD$7:$BO$35,MATCH(Ajustes!$E$4:$E$323,$BC$7:$BC$35,0),$C$2:$N$2),1)</f>
        <v>1</v>
      </c>
      <c r="I45" s="113">
        <f>IFERROR(INDEX($BD$7:$BO$35,MATCH(Ajustes!$E$4:$E$323,$BC$7:$BC$35,0),$C$2:$N$2),1)</f>
        <v>1</v>
      </c>
      <c r="J45" s="113">
        <f>IFERROR(INDEX($BD$7:$BO$35,MATCH(Ajustes!$E$4:$E$323,$BC$7:$BC$35,0),$C$2:$N$2),1)</f>
        <v>1</v>
      </c>
      <c r="K45" s="113">
        <f>IFERROR(INDEX($BD$7:$BO$35,MATCH(Ajustes!$E$4:$E$323,$BC$7:$BC$35,0),$C$2:$N$2),1)</f>
        <v>1</v>
      </c>
      <c r="L45" s="113">
        <f>IFERROR(INDEX($BD$7:$BO$35,MATCH(Ajustes!$E$4:$E$323,$BC$7:$BC$35,0),$C$2:$N$2),1)</f>
        <v>1</v>
      </c>
      <c r="M45" s="113">
        <f>IFERROR(INDEX($BD$7:$BO$35,MATCH(Ajustes!$E$4:$E$323,$BC$7:$BC$35,0),$C$2:$N$2),1)</f>
        <v>1</v>
      </c>
      <c r="N45" s="113">
        <f>IFERROR(INDEX($BD$7:$BO$35,MATCH(Ajustes!$E$4:$E$323,$BC$7:$BC$35,0),$C$2:$N$2),1)</f>
        <v>1</v>
      </c>
      <c r="O45">
        <f>C45*Ajustes!AM45</f>
        <v>1198</v>
      </c>
      <c r="P45">
        <f>D45*Ajustes!AN45</f>
        <v>1279</v>
      </c>
      <c r="Q45">
        <f>E45*Ajustes!AO45</f>
        <v>1099</v>
      </c>
      <c r="R45">
        <f>F45*Ajustes!AP45</f>
        <v>746</v>
      </c>
      <c r="S45">
        <f>G45*Ajustes!AQ45</f>
        <v>590</v>
      </c>
      <c r="T45">
        <f>H45*Ajustes!AR45</f>
        <v>580</v>
      </c>
      <c r="U45">
        <f>I45*Ajustes!AS45</f>
        <v>472</v>
      </c>
      <c r="V45">
        <f>J45*Ajustes!AT45</f>
        <v>407</v>
      </c>
      <c r="W45">
        <f>K45*Ajustes!AU45</f>
        <v>429</v>
      </c>
      <c r="X45">
        <f>L45*Ajustes!AV45</f>
        <v>505</v>
      </c>
      <c r="Y45">
        <f>M45*Ajustes!AW45</f>
        <v>541</v>
      </c>
      <c r="Z45">
        <f>N45*Ajustes!AX45</f>
        <v>814</v>
      </c>
      <c r="AA45">
        <f>IF(Ajustes!$G45&gt;0,INDEX($AA$4:$AL$323,Ajustes!$G45,O$2),0)+IF(Ajustes!$H45&gt;0,INDEX($AA$4:$AL$323,Ajustes!$H45,O$2),0)+IF(Ajustes!$I45&gt;0,INDEX($AA$4:$AL$323,Ajustes!$I45,O$2),0)+IF(Ajustes!$J45&gt;0,INDEX($AA$4:$AL$323,Ajustes!$J45,O$2),0)+IF(Ajustes!$K45&gt;0,INDEX($AA$5:$AL$324,Ajustes!$K45,O$2),0)+IF(Ajustes!$L45&gt;0,INDEX($AA$4:$AL$323,Ajustes!$L45,O$2),0) + O45</f>
        <v>1198</v>
      </c>
      <c r="AB45">
        <f>IF(Ajustes!$G45&gt;0,INDEX($AA$4:$AL$323,Ajustes!$G45,P$2),0)+IF(Ajustes!$H45&gt;0,INDEX($AA$4:$AL$323,Ajustes!$H45,P$2),0)+IF(Ajustes!$I45&gt;0,INDEX($AA$4:$AL$323,Ajustes!$I45,P$2),0)+IF(Ajustes!$J45&gt;0,INDEX($AA$4:$AL$323,Ajustes!$J45,P$2),0)+IF(Ajustes!$K45&gt;0,INDEX($AA$5:$AL$324,Ajustes!$K45,P$2),0)+IF(Ajustes!$L45&gt;0,INDEX($AA$4:$AL$323,Ajustes!$L45,P$2),0) + P45</f>
        <v>1279</v>
      </c>
      <c r="AC45">
        <f>IF(Ajustes!$G45&gt;0,INDEX($AA$4:$AL$323,Ajustes!$G45,Q$2),0)+IF(Ajustes!$H45&gt;0,INDEX($AA$4:$AL$323,Ajustes!$H45,Q$2),0)+IF(Ajustes!$I45&gt;0,INDEX($AA$4:$AL$323,Ajustes!$I45,Q$2),0)+IF(Ajustes!$J45&gt;0,INDEX($AA$4:$AL$323,Ajustes!$J45,Q$2),0)+IF(Ajustes!$K45&gt;0,INDEX($AA$5:$AL$324,Ajustes!$K45,Q$2),0)+IF(Ajustes!$L45&gt;0,INDEX($AA$4:$AL$323,Ajustes!$L45,Q$2),0) + Q45</f>
        <v>1099</v>
      </c>
      <c r="AD45">
        <f>IF(Ajustes!$G45&gt;0,INDEX($AA$4:$AL$323,Ajustes!$G45,R$2),0)+IF(Ajustes!$H45&gt;0,INDEX($AA$4:$AL$323,Ajustes!$H45,R$2),0)+IF(Ajustes!$I45&gt;0,INDEX($AA$4:$AL$323,Ajustes!$I45,R$2),0)+IF(Ajustes!$J45&gt;0,INDEX($AA$4:$AL$323,Ajustes!$J45,R$2),0)+IF(Ajustes!$K45&gt;0,INDEX($AA$5:$AL$324,Ajustes!$K45,R$2),0)+IF(Ajustes!$L45&gt;0,INDEX($AA$4:$AL$323,Ajustes!$L45,R$2),0) + R45</f>
        <v>746</v>
      </c>
      <c r="AE45">
        <f>IF(Ajustes!$G45&gt;0,INDEX($AA$4:$AL$323,Ajustes!$G45,S$2),0)+IF(Ajustes!$H45&gt;0,INDEX($AA$4:$AL$323,Ajustes!$H45,S$2),0)+IF(Ajustes!$I45&gt;0,INDEX($AA$4:$AL$323,Ajustes!$I45,S$2),0)+IF(Ajustes!$J45&gt;0,INDEX($AA$4:$AL$323,Ajustes!$J45,S$2),0)+IF(Ajustes!$K45&gt;0,INDEX($AA$5:$AL$324,Ajustes!$K45,S$2),0)+IF(Ajustes!$L45&gt;0,INDEX($AA$4:$AL$323,Ajustes!$L45,S$2),0) + S45</f>
        <v>590</v>
      </c>
      <c r="AF45">
        <f>IF(Ajustes!$G45&gt;0,INDEX($AA$4:$AL$323,Ajustes!$G45,T$2),0)+IF(Ajustes!$H45&gt;0,INDEX($AA$4:$AL$323,Ajustes!$H45,T$2),0)+IF(Ajustes!$I45&gt;0,INDEX($AA$4:$AL$323,Ajustes!$I45,T$2),0)+IF(Ajustes!$J45&gt;0,INDEX($AA$4:$AL$323,Ajustes!$J45,T$2),0)+IF(Ajustes!$K45&gt;0,INDEX($AA$5:$AL$324,Ajustes!$K45,T$2),0)+IF(Ajustes!$L45&gt;0,INDEX($AA$4:$AL$323,Ajustes!$L45,T$2),0) + T45</f>
        <v>580</v>
      </c>
      <c r="AG45">
        <f>IF(Ajustes!$G45&gt;0,INDEX($AA$4:$AL$323,Ajustes!$G45,U$2),0)+IF(Ajustes!$H45&gt;0,INDEX($AA$4:$AL$323,Ajustes!$H45,U$2),0)+IF(Ajustes!$I45&gt;0,INDEX($AA$4:$AL$323,Ajustes!$I45,U$2),0)+IF(Ajustes!$J45&gt;0,INDEX($AA$4:$AL$323,Ajustes!$J45,U$2),0)+IF(Ajustes!$K45&gt;0,INDEX($AA$5:$AL$324,Ajustes!$K45,U$2),0)+IF(Ajustes!$L45&gt;0,INDEX($AA$4:$AL$323,Ajustes!$L45,U$2),0) + U45</f>
        <v>472</v>
      </c>
      <c r="AH45">
        <f>IF(Ajustes!$G45&gt;0,INDEX($AA$4:$AL$323,Ajustes!$G45,V$2),0)+IF(Ajustes!$H45&gt;0,INDEX($AA$4:$AL$323,Ajustes!$H45,V$2),0)+IF(Ajustes!$I45&gt;0,INDEX($AA$4:$AL$323,Ajustes!$I45,V$2),0)+IF(Ajustes!$J45&gt;0,INDEX($AA$4:$AL$323,Ajustes!$J45,V$2),0)+IF(Ajustes!$K45&gt;0,INDEX($AA$5:$AL$324,Ajustes!$K45,V$2),0)+IF(Ajustes!$L45&gt;0,INDEX($AA$4:$AL$323,Ajustes!$L45,V$2),0) + V45</f>
        <v>407</v>
      </c>
      <c r="AI45">
        <f>IF(Ajustes!$G45&gt;0,INDEX($AA$4:$AL$323,Ajustes!$G45,W$2),0)+IF(Ajustes!$H45&gt;0,INDEX($AA$4:$AL$323,Ajustes!$H45,W$2),0)+IF(Ajustes!$I45&gt;0,INDEX($AA$4:$AL$323,Ajustes!$I45,W$2),0)+IF(Ajustes!$J45&gt;0,INDEX($AA$4:$AL$323,Ajustes!$J45,W$2),0)+IF(Ajustes!$K45&gt;0,INDEX($AA$5:$AL$324,Ajustes!$K45,W$2),0)+IF(Ajustes!$L45&gt;0,INDEX($AA$4:$AL$323,Ajustes!$L45,W$2),0) + W45</f>
        <v>429</v>
      </c>
      <c r="AJ45">
        <f>IF(Ajustes!$G45&gt;0,INDEX($AA$4:$AL$323,Ajustes!$G45,X$2),0)+IF(Ajustes!$H45&gt;0,INDEX($AA$4:$AL$323,Ajustes!$H45,X$2),0)+IF(Ajustes!$I45&gt;0,INDEX($AA$4:$AL$323,Ajustes!$I45,X$2),0)+IF(Ajustes!$J45&gt;0,INDEX($AA$4:$AL$323,Ajustes!$J45,X$2),0)+IF(Ajustes!$K45&gt;0,INDEX($AA$5:$AL$324,Ajustes!$K45,X$2),0)+IF(Ajustes!$L45&gt;0,INDEX($AA$4:$AL$323,Ajustes!$L45,X$2),0) + X45</f>
        <v>505</v>
      </c>
      <c r="AK45">
        <f>IF(Ajustes!$G45&gt;0,INDEX($AA$4:$AL$323,Ajustes!$G45,Y$2),0)+IF(Ajustes!$H45&gt;0,INDEX($AA$4:$AL$323,Ajustes!$H45,Y$2),0)+IF(Ajustes!$I45&gt;0,INDEX($AA$4:$AL$323,Ajustes!$I45,Y$2),0)+IF(Ajustes!$J45&gt;0,INDEX($AA$4:$AL$323,Ajustes!$J45,Y$2),0)+IF(Ajustes!$K45&gt;0,INDEX($AA$5:$AL$324,Ajustes!$K45,Y$2),0)+IF(Ajustes!$L45&gt;0,INDEX($AA$4:$AL$323,Ajustes!$L45,Y$2),0) + Y45</f>
        <v>541</v>
      </c>
      <c r="AL45">
        <f>IF(Ajustes!$G45&gt;0,INDEX($AA$4:$AL$323,Ajustes!$G45,Z$2),0)+IF(Ajustes!$H45&gt;0,INDEX($AA$4:$AL$323,Ajustes!$H45,Z$2),0)+IF(Ajustes!$I45&gt;0,INDEX($AA$4:$AL$323,Ajustes!$I45,Z$2),0)+IF(Ajustes!$J45&gt;0,INDEX($AA$4:$AL$323,Ajustes!$J45,Z$2),0)+IF(Ajustes!$K45&gt;0,INDEX($AA$5:$AL$324,Ajustes!$K45,Z$2),0)+IF(Ajustes!$L45&gt;0,INDEX($AA$4:$AL$323,Ajustes!$L45,Z$2),0) + Z45</f>
        <v>814</v>
      </c>
      <c r="AM45" s="219">
        <f t="shared" ref="AM45:AX49" si="19">ROUND(AM245-0.1*(AM$164-AM$120-AM$121)-AM$120-AM$121,0)</f>
        <v>1198</v>
      </c>
      <c r="AN45" s="219">
        <f t="shared" si="19"/>
        <v>1279</v>
      </c>
      <c r="AO45" s="219">
        <f t="shared" si="19"/>
        <v>1099</v>
      </c>
      <c r="AP45" s="219">
        <f t="shared" si="19"/>
        <v>745</v>
      </c>
      <c r="AQ45" s="219">
        <f t="shared" si="19"/>
        <v>590</v>
      </c>
      <c r="AR45" s="219">
        <f t="shared" si="19"/>
        <v>579</v>
      </c>
      <c r="AS45" s="219">
        <f t="shared" si="19"/>
        <v>472</v>
      </c>
      <c r="AT45" s="219">
        <f t="shared" si="19"/>
        <v>408</v>
      </c>
      <c r="AU45" s="219">
        <f t="shared" si="19"/>
        <v>429</v>
      </c>
      <c r="AV45" s="219">
        <f t="shared" si="19"/>
        <v>505</v>
      </c>
      <c r="AW45" s="219">
        <f t="shared" si="19"/>
        <v>541</v>
      </c>
      <c r="AX45" s="219">
        <f t="shared" si="19"/>
        <v>815</v>
      </c>
    </row>
    <row r="46" spans="1:67" x14ac:dyDescent="0.25">
      <c r="A46" s="113">
        <v>43</v>
      </c>
      <c r="B46" s="209" t="s">
        <v>557</v>
      </c>
      <c r="C46">
        <f>IFERROR(INDEX($BD$7:$BO$35,MATCH(Ajustes!$E$4:$E$323,$BC$7:$BC$35,0),$C$2:$N$2),1)</f>
        <v>1</v>
      </c>
      <c r="D46" s="113">
        <f>IFERROR(INDEX($BD$7:$BO$35,MATCH(Ajustes!$E$4:$E$323,$BC$7:$BC$35,0),$C$2:$N$2),1)</f>
        <v>1</v>
      </c>
      <c r="E46" s="113">
        <f>IFERROR(INDEX($BD$7:$BO$35,MATCH(Ajustes!$E$4:$E$323,$BC$7:$BC$35,0),$C$2:$N$2),1)</f>
        <v>1</v>
      </c>
      <c r="F46" s="113">
        <f>IFERROR(INDEX($BD$7:$BO$35,MATCH(Ajustes!$E$4:$E$323,$BC$7:$BC$35,0),$C$2:$N$2),1)</f>
        <v>1</v>
      </c>
      <c r="G46" s="113">
        <f>IFERROR(INDEX($BD$7:$BO$35,MATCH(Ajustes!$E$4:$E$323,$BC$7:$BC$35,0),$C$2:$N$2),1)</f>
        <v>1</v>
      </c>
      <c r="H46" s="113">
        <f>IFERROR(INDEX($BD$7:$BO$35,MATCH(Ajustes!$E$4:$E$323,$BC$7:$BC$35,0),$C$2:$N$2),1)</f>
        <v>1</v>
      </c>
      <c r="I46" s="113">
        <f>IFERROR(INDEX($BD$7:$BO$35,MATCH(Ajustes!$E$4:$E$323,$BC$7:$BC$35,0),$C$2:$N$2),1)</f>
        <v>1</v>
      </c>
      <c r="J46" s="113">
        <f>IFERROR(INDEX($BD$7:$BO$35,MATCH(Ajustes!$E$4:$E$323,$BC$7:$BC$35,0),$C$2:$N$2),1)</f>
        <v>1</v>
      </c>
      <c r="K46" s="113">
        <f>IFERROR(INDEX($BD$7:$BO$35,MATCH(Ajustes!$E$4:$E$323,$BC$7:$BC$35,0),$C$2:$N$2),1)</f>
        <v>1</v>
      </c>
      <c r="L46" s="113">
        <f>IFERROR(INDEX($BD$7:$BO$35,MATCH(Ajustes!$E$4:$E$323,$BC$7:$BC$35,0),$C$2:$N$2),1)</f>
        <v>1</v>
      </c>
      <c r="M46" s="113">
        <f>IFERROR(INDEX($BD$7:$BO$35,MATCH(Ajustes!$E$4:$E$323,$BC$7:$BC$35,0),$C$2:$N$2),1)</f>
        <v>1</v>
      </c>
      <c r="N46" s="113">
        <f>IFERROR(INDEX($BD$7:$BO$35,MATCH(Ajustes!$E$4:$E$323,$BC$7:$BC$35,0),$C$2:$N$2),1)</f>
        <v>1</v>
      </c>
      <c r="O46">
        <f>C46*Ajustes!AM46</f>
        <v>1256</v>
      </c>
      <c r="P46">
        <f>D46*Ajustes!AN46</f>
        <v>1368</v>
      </c>
      <c r="Q46">
        <f>E46*Ajustes!AO46</f>
        <v>1189</v>
      </c>
      <c r="R46">
        <f>F46*Ajustes!AP46</f>
        <v>818</v>
      </c>
      <c r="S46">
        <f>G46*Ajustes!AQ46</f>
        <v>634</v>
      </c>
      <c r="T46">
        <f>H46*Ajustes!AR46</f>
        <v>627</v>
      </c>
      <c r="U46">
        <f>I46*Ajustes!AS46</f>
        <v>510</v>
      </c>
      <c r="V46">
        <f>J46*Ajustes!AT46</f>
        <v>442</v>
      </c>
      <c r="W46">
        <f>K46*Ajustes!AU46</f>
        <v>458</v>
      </c>
      <c r="X46">
        <f>L46*Ajustes!AV46</f>
        <v>538</v>
      </c>
      <c r="Y46">
        <f>M46*Ajustes!AW46</f>
        <v>574</v>
      </c>
      <c r="Z46">
        <f>N46*Ajustes!AX46</f>
        <v>853</v>
      </c>
      <c r="AA46">
        <f>IF(Ajustes!$G46&gt;0,INDEX($AA$4:$AL$323,Ajustes!$G46,O$2),0)+IF(Ajustes!$H46&gt;0,INDEX($AA$4:$AL$323,Ajustes!$H46,O$2),0)+IF(Ajustes!$I46&gt;0,INDEX($AA$4:$AL$323,Ajustes!$I46,O$2),0)+IF(Ajustes!$J46&gt;0,INDEX($AA$4:$AL$323,Ajustes!$J46,O$2),0)+IF(Ajustes!$K46&gt;0,INDEX($AA$5:$AL$324,Ajustes!$K46,O$2),0)+IF(Ajustes!$L46&gt;0,INDEX($AA$4:$AL$323,Ajustes!$L46,O$2),0) + O46</f>
        <v>1256</v>
      </c>
      <c r="AB46">
        <f>IF(Ajustes!$G46&gt;0,INDEX($AA$4:$AL$323,Ajustes!$G46,P$2),0)+IF(Ajustes!$H46&gt;0,INDEX($AA$4:$AL$323,Ajustes!$H46,P$2),0)+IF(Ajustes!$I46&gt;0,INDEX($AA$4:$AL$323,Ajustes!$I46,P$2),0)+IF(Ajustes!$J46&gt;0,INDEX($AA$4:$AL$323,Ajustes!$J46,P$2),0)+IF(Ajustes!$K46&gt;0,INDEX($AA$5:$AL$324,Ajustes!$K46,P$2),0)+IF(Ajustes!$L46&gt;0,INDEX($AA$4:$AL$323,Ajustes!$L46,P$2),0) + P46</f>
        <v>1368</v>
      </c>
      <c r="AC46">
        <f>IF(Ajustes!$G46&gt;0,INDEX($AA$4:$AL$323,Ajustes!$G46,Q$2),0)+IF(Ajustes!$H46&gt;0,INDEX($AA$4:$AL$323,Ajustes!$H46,Q$2),0)+IF(Ajustes!$I46&gt;0,INDEX($AA$4:$AL$323,Ajustes!$I46,Q$2),0)+IF(Ajustes!$J46&gt;0,INDEX($AA$4:$AL$323,Ajustes!$J46,Q$2),0)+IF(Ajustes!$K46&gt;0,INDEX($AA$5:$AL$324,Ajustes!$K46,Q$2),0)+IF(Ajustes!$L46&gt;0,INDEX($AA$4:$AL$323,Ajustes!$L46,Q$2),0) + Q46</f>
        <v>1189</v>
      </c>
      <c r="AD46">
        <f>IF(Ajustes!$G46&gt;0,INDEX($AA$4:$AL$323,Ajustes!$G46,R$2),0)+IF(Ajustes!$H46&gt;0,INDEX($AA$4:$AL$323,Ajustes!$H46,R$2),0)+IF(Ajustes!$I46&gt;0,INDEX($AA$4:$AL$323,Ajustes!$I46,R$2),0)+IF(Ajustes!$J46&gt;0,INDEX($AA$4:$AL$323,Ajustes!$J46,R$2),0)+IF(Ajustes!$K46&gt;0,INDEX($AA$5:$AL$324,Ajustes!$K46,R$2),0)+IF(Ajustes!$L46&gt;0,INDEX($AA$4:$AL$323,Ajustes!$L46,R$2),0) + R46</f>
        <v>818</v>
      </c>
      <c r="AE46">
        <f>IF(Ajustes!$G46&gt;0,INDEX($AA$4:$AL$323,Ajustes!$G46,S$2),0)+IF(Ajustes!$H46&gt;0,INDEX($AA$4:$AL$323,Ajustes!$H46,S$2),0)+IF(Ajustes!$I46&gt;0,INDEX($AA$4:$AL$323,Ajustes!$I46,S$2),0)+IF(Ajustes!$J46&gt;0,INDEX($AA$4:$AL$323,Ajustes!$J46,S$2),0)+IF(Ajustes!$K46&gt;0,INDEX($AA$5:$AL$324,Ajustes!$K46,S$2),0)+IF(Ajustes!$L46&gt;0,INDEX($AA$4:$AL$323,Ajustes!$L46,S$2),0) + S46</f>
        <v>634</v>
      </c>
      <c r="AF46">
        <f>IF(Ajustes!$G46&gt;0,INDEX($AA$4:$AL$323,Ajustes!$G46,T$2),0)+IF(Ajustes!$H46&gt;0,INDEX($AA$4:$AL$323,Ajustes!$H46,T$2),0)+IF(Ajustes!$I46&gt;0,INDEX($AA$4:$AL$323,Ajustes!$I46,T$2),0)+IF(Ajustes!$J46&gt;0,INDEX($AA$4:$AL$323,Ajustes!$J46,T$2),0)+IF(Ajustes!$K46&gt;0,INDEX($AA$5:$AL$324,Ajustes!$K46,T$2),0)+IF(Ajustes!$L46&gt;0,INDEX($AA$4:$AL$323,Ajustes!$L46,T$2),0) + T46</f>
        <v>627</v>
      </c>
      <c r="AG46">
        <f>IF(Ajustes!$G46&gt;0,INDEX($AA$4:$AL$323,Ajustes!$G46,U$2),0)+IF(Ajustes!$H46&gt;0,INDEX($AA$4:$AL$323,Ajustes!$H46,U$2),0)+IF(Ajustes!$I46&gt;0,INDEX($AA$4:$AL$323,Ajustes!$I46,U$2),0)+IF(Ajustes!$J46&gt;0,INDEX($AA$4:$AL$323,Ajustes!$J46,U$2),0)+IF(Ajustes!$K46&gt;0,INDEX($AA$5:$AL$324,Ajustes!$K46,U$2),0)+IF(Ajustes!$L46&gt;0,INDEX($AA$4:$AL$323,Ajustes!$L46,U$2),0) + U46</f>
        <v>510</v>
      </c>
      <c r="AH46">
        <f>IF(Ajustes!$G46&gt;0,INDEX($AA$4:$AL$323,Ajustes!$G46,V$2),0)+IF(Ajustes!$H46&gt;0,INDEX($AA$4:$AL$323,Ajustes!$H46,V$2),0)+IF(Ajustes!$I46&gt;0,INDEX($AA$4:$AL$323,Ajustes!$I46,V$2),0)+IF(Ajustes!$J46&gt;0,INDEX($AA$4:$AL$323,Ajustes!$J46,V$2),0)+IF(Ajustes!$K46&gt;0,INDEX($AA$5:$AL$324,Ajustes!$K46,V$2),0)+IF(Ajustes!$L46&gt;0,INDEX($AA$4:$AL$323,Ajustes!$L46,V$2),0) + V46</f>
        <v>442</v>
      </c>
      <c r="AI46">
        <f>IF(Ajustes!$G46&gt;0,INDEX($AA$4:$AL$323,Ajustes!$G46,W$2),0)+IF(Ajustes!$H46&gt;0,INDEX($AA$4:$AL$323,Ajustes!$H46,W$2),0)+IF(Ajustes!$I46&gt;0,INDEX($AA$4:$AL$323,Ajustes!$I46,W$2),0)+IF(Ajustes!$J46&gt;0,INDEX($AA$4:$AL$323,Ajustes!$J46,W$2),0)+IF(Ajustes!$K46&gt;0,INDEX($AA$5:$AL$324,Ajustes!$K46,W$2),0)+IF(Ajustes!$L46&gt;0,INDEX($AA$4:$AL$323,Ajustes!$L46,W$2),0) + W46</f>
        <v>458</v>
      </c>
      <c r="AJ46">
        <f>IF(Ajustes!$G46&gt;0,INDEX($AA$4:$AL$323,Ajustes!$G46,X$2),0)+IF(Ajustes!$H46&gt;0,INDEX($AA$4:$AL$323,Ajustes!$H46,X$2),0)+IF(Ajustes!$I46&gt;0,INDEX($AA$4:$AL$323,Ajustes!$I46,X$2),0)+IF(Ajustes!$J46&gt;0,INDEX($AA$4:$AL$323,Ajustes!$J46,X$2),0)+IF(Ajustes!$K46&gt;0,INDEX($AA$5:$AL$324,Ajustes!$K46,X$2),0)+IF(Ajustes!$L46&gt;0,INDEX($AA$4:$AL$323,Ajustes!$L46,X$2),0) + X46</f>
        <v>538</v>
      </c>
      <c r="AK46">
        <f>IF(Ajustes!$G46&gt;0,INDEX($AA$4:$AL$323,Ajustes!$G46,Y$2),0)+IF(Ajustes!$H46&gt;0,INDEX($AA$4:$AL$323,Ajustes!$H46,Y$2),0)+IF(Ajustes!$I46&gt;0,INDEX($AA$4:$AL$323,Ajustes!$I46,Y$2),0)+IF(Ajustes!$J46&gt;0,INDEX($AA$4:$AL$323,Ajustes!$J46,Y$2),0)+IF(Ajustes!$K46&gt;0,INDEX($AA$5:$AL$324,Ajustes!$K46,Y$2),0)+IF(Ajustes!$L46&gt;0,INDEX($AA$4:$AL$323,Ajustes!$L46,Y$2),0) + Y46</f>
        <v>574</v>
      </c>
      <c r="AL46">
        <f>IF(Ajustes!$G46&gt;0,INDEX($AA$4:$AL$323,Ajustes!$G46,Z$2),0)+IF(Ajustes!$H46&gt;0,INDEX($AA$4:$AL$323,Ajustes!$H46,Z$2),0)+IF(Ajustes!$I46&gt;0,INDEX($AA$4:$AL$323,Ajustes!$I46,Z$2),0)+IF(Ajustes!$J46&gt;0,INDEX($AA$4:$AL$323,Ajustes!$J46,Z$2),0)+IF(Ajustes!$K46&gt;0,INDEX($AA$5:$AL$324,Ajustes!$K46,Z$2),0)+IF(Ajustes!$L46&gt;0,INDEX($AA$4:$AL$323,Ajustes!$L46,Z$2),0) + Z46</f>
        <v>853</v>
      </c>
      <c r="AM46" s="219">
        <f t="shared" si="19"/>
        <v>1256</v>
      </c>
      <c r="AN46" s="219">
        <f t="shared" si="19"/>
        <v>1368</v>
      </c>
      <c r="AO46" s="219">
        <f t="shared" si="19"/>
        <v>1189</v>
      </c>
      <c r="AP46" s="219">
        <f t="shared" si="19"/>
        <v>818</v>
      </c>
      <c r="AQ46" s="219">
        <f t="shared" si="19"/>
        <v>634</v>
      </c>
      <c r="AR46" s="219">
        <f t="shared" si="19"/>
        <v>626</v>
      </c>
      <c r="AS46" s="219">
        <f t="shared" si="19"/>
        <v>511</v>
      </c>
      <c r="AT46" s="219">
        <f t="shared" si="19"/>
        <v>443</v>
      </c>
      <c r="AU46" s="219">
        <f t="shared" si="19"/>
        <v>458</v>
      </c>
      <c r="AV46" s="219">
        <f t="shared" si="19"/>
        <v>539</v>
      </c>
      <c r="AW46" s="219">
        <f t="shared" si="19"/>
        <v>574</v>
      </c>
      <c r="AX46" s="219">
        <f t="shared" si="19"/>
        <v>854</v>
      </c>
    </row>
    <row r="47" spans="1:67" x14ac:dyDescent="0.25">
      <c r="A47" s="113">
        <v>44</v>
      </c>
      <c r="B47" s="209" t="s">
        <v>558</v>
      </c>
      <c r="C47">
        <f>IFERROR(INDEX($BD$7:$BO$35,MATCH(Ajustes!$E$4:$E$323,$BC$7:$BC$35,0),$C$2:$N$2),1)</f>
        <v>1</v>
      </c>
      <c r="D47" s="113">
        <f>IFERROR(INDEX($BD$7:$BO$35,MATCH(Ajustes!$E$4:$E$323,$BC$7:$BC$35,0),$C$2:$N$2),1)</f>
        <v>1</v>
      </c>
      <c r="E47" s="113">
        <f>IFERROR(INDEX($BD$7:$BO$35,MATCH(Ajustes!$E$4:$E$323,$BC$7:$BC$35,0),$C$2:$N$2),1)</f>
        <v>1</v>
      </c>
      <c r="F47" s="113">
        <f>IFERROR(INDEX($BD$7:$BO$35,MATCH(Ajustes!$E$4:$E$323,$BC$7:$BC$35,0),$C$2:$N$2),1)</f>
        <v>1</v>
      </c>
      <c r="G47" s="113">
        <f>IFERROR(INDEX($BD$7:$BO$35,MATCH(Ajustes!$E$4:$E$323,$BC$7:$BC$35,0),$C$2:$N$2),1)</f>
        <v>1</v>
      </c>
      <c r="H47" s="113">
        <f>IFERROR(INDEX($BD$7:$BO$35,MATCH(Ajustes!$E$4:$E$323,$BC$7:$BC$35,0),$C$2:$N$2),1)</f>
        <v>1</v>
      </c>
      <c r="I47" s="113">
        <f>IFERROR(INDEX($BD$7:$BO$35,MATCH(Ajustes!$E$4:$E$323,$BC$7:$BC$35,0),$C$2:$N$2),1)</f>
        <v>1</v>
      </c>
      <c r="J47" s="113">
        <f>IFERROR(INDEX($BD$7:$BO$35,MATCH(Ajustes!$E$4:$E$323,$BC$7:$BC$35,0),$C$2:$N$2),1)</f>
        <v>1</v>
      </c>
      <c r="K47" s="113">
        <f>IFERROR(INDEX($BD$7:$BO$35,MATCH(Ajustes!$E$4:$E$323,$BC$7:$BC$35,0),$C$2:$N$2),1)</f>
        <v>1</v>
      </c>
      <c r="L47" s="113">
        <f>IFERROR(INDEX($BD$7:$BO$35,MATCH(Ajustes!$E$4:$E$323,$BC$7:$BC$35,0),$C$2:$N$2),1)</f>
        <v>1</v>
      </c>
      <c r="M47" s="113">
        <f>IFERROR(INDEX($BD$7:$BO$35,MATCH(Ajustes!$E$4:$E$323,$BC$7:$BC$35,0),$C$2:$N$2),1)</f>
        <v>1</v>
      </c>
      <c r="N47" s="113">
        <f>IFERROR(INDEX($BD$7:$BO$35,MATCH(Ajustes!$E$4:$E$323,$BC$7:$BC$35,0),$C$2:$N$2),1)</f>
        <v>1</v>
      </c>
      <c r="O47">
        <f>C47*Ajustes!AM47</f>
        <v>10220</v>
      </c>
      <c r="P47">
        <f>D47*Ajustes!AN47</f>
        <v>10792</v>
      </c>
      <c r="Q47">
        <f>E47*Ajustes!AO47</f>
        <v>10195</v>
      </c>
      <c r="R47">
        <f>F47*Ajustes!AP47</f>
        <v>7603</v>
      </c>
      <c r="S47">
        <f>G47*Ajustes!AQ47</f>
        <v>5282</v>
      </c>
      <c r="T47">
        <f>H47*Ajustes!AR47</f>
        <v>4429</v>
      </c>
      <c r="U47">
        <f>I47*Ajustes!AS47</f>
        <v>3623</v>
      </c>
      <c r="V47">
        <f>J47*Ajustes!AT47</f>
        <v>3050</v>
      </c>
      <c r="W47">
        <f>K47*Ajustes!AU47</f>
        <v>2944</v>
      </c>
      <c r="X47">
        <f>L47*Ajustes!AV47</f>
        <v>3414</v>
      </c>
      <c r="Y47">
        <f>M47*Ajustes!AW47</f>
        <v>4491</v>
      </c>
      <c r="Z47">
        <f>N47*Ajustes!AX47</f>
        <v>7136</v>
      </c>
      <c r="AA47">
        <f>IF(Ajustes!$G47&gt;0,INDEX($AA$4:$AL$323,Ajustes!$G47,O$2),0)+IF(Ajustes!$H47&gt;0,INDEX($AA$4:$AL$323,Ajustes!$H47,O$2),0)+IF(Ajustes!$I47&gt;0,INDEX($AA$4:$AL$323,Ajustes!$I47,O$2),0)+IF(Ajustes!$J47&gt;0,INDEX($AA$4:$AL$323,Ajustes!$J47,O$2),0)+IF(Ajustes!$K47&gt;0,INDEX($AA$5:$AL$324,Ajustes!$K47,O$2),0)+IF(Ajustes!$L47&gt;0,INDEX($AA$4:$AL$323,Ajustes!$L47,O$2),0) + O47</f>
        <v>10220</v>
      </c>
      <c r="AB47">
        <f>IF(Ajustes!$G47&gt;0,INDEX($AA$4:$AL$323,Ajustes!$G47,P$2),0)+IF(Ajustes!$H47&gt;0,INDEX($AA$4:$AL$323,Ajustes!$H47,P$2),0)+IF(Ajustes!$I47&gt;0,INDEX($AA$4:$AL$323,Ajustes!$I47,P$2),0)+IF(Ajustes!$J47&gt;0,INDEX($AA$4:$AL$323,Ajustes!$J47,P$2),0)+IF(Ajustes!$K47&gt;0,INDEX($AA$5:$AL$324,Ajustes!$K47,P$2),0)+IF(Ajustes!$L47&gt;0,INDEX($AA$4:$AL$323,Ajustes!$L47,P$2),0) + P47</f>
        <v>10792</v>
      </c>
      <c r="AC47">
        <f>IF(Ajustes!$G47&gt;0,INDEX($AA$4:$AL$323,Ajustes!$G47,Q$2),0)+IF(Ajustes!$H47&gt;0,INDEX($AA$4:$AL$323,Ajustes!$H47,Q$2),0)+IF(Ajustes!$I47&gt;0,INDEX($AA$4:$AL$323,Ajustes!$I47,Q$2),0)+IF(Ajustes!$J47&gt;0,INDEX($AA$4:$AL$323,Ajustes!$J47,Q$2),0)+IF(Ajustes!$K47&gt;0,INDEX($AA$5:$AL$324,Ajustes!$K47,Q$2),0)+IF(Ajustes!$L47&gt;0,INDEX($AA$4:$AL$323,Ajustes!$L47,Q$2),0) + Q47</f>
        <v>10195</v>
      </c>
      <c r="AD47">
        <f>IF(Ajustes!$G47&gt;0,INDEX($AA$4:$AL$323,Ajustes!$G47,R$2),0)+IF(Ajustes!$H47&gt;0,INDEX($AA$4:$AL$323,Ajustes!$H47,R$2),0)+IF(Ajustes!$I47&gt;0,INDEX($AA$4:$AL$323,Ajustes!$I47,R$2),0)+IF(Ajustes!$J47&gt;0,INDEX($AA$4:$AL$323,Ajustes!$J47,R$2),0)+IF(Ajustes!$K47&gt;0,INDEX($AA$5:$AL$324,Ajustes!$K47,R$2),0)+IF(Ajustes!$L47&gt;0,INDEX($AA$4:$AL$323,Ajustes!$L47,R$2),0) + R47</f>
        <v>7603</v>
      </c>
      <c r="AE47">
        <f>IF(Ajustes!$G47&gt;0,INDEX($AA$4:$AL$323,Ajustes!$G47,S$2),0)+IF(Ajustes!$H47&gt;0,INDEX($AA$4:$AL$323,Ajustes!$H47,S$2),0)+IF(Ajustes!$I47&gt;0,INDEX($AA$4:$AL$323,Ajustes!$I47,S$2),0)+IF(Ajustes!$J47&gt;0,INDEX($AA$4:$AL$323,Ajustes!$J47,S$2),0)+IF(Ajustes!$K47&gt;0,INDEX($AA$5:$AL$324,Ajustes!$K47,S$2),0)+IF(Ajustes!$L47&gt;0,INDEX($AA$4:$AL$323,Ajustes!$L47,S$2),0) + S47</f>
        <v>5282</v>
      </c>
      <c r="AF47">
        <f>IF(Ajustes!$G47&gt;0,INDEX($AA$4:$AL$323,Ajustes!$G47,T$2),0)+IF(Ajustes!$H47&gt;0,INDEX($AA$4:$AL$323,Ajustes!$H47,T$2),0)+IF(Ajustes!$I47&gt;0,INDEX($AA$4:$AL$323,Ajustes!$I47,T$2),0)+IF(Ajustes!$J47&gt;0,INDEX($AA$4:$AL$323,Ajustes!$J47,T$2),0)+IF(Ajustes!$K47&gt;0,INDEX($AA$5:$AL$324,Ajustes!$K47,T$2),0)+IF(Ajustes!$L47&gt;0,INDEX($AA$4:$AL$323,Ajustes!$L47,T$2),0) + T47</f>
        <v>4429</v>
      </c>
      <c r="AG47">
        <f>IF(Ajustes!$G47&gt;0,INDEX($AA$4:$AL$323,Ajustes!$G47,U$2),0)+IF(Ajustes!$H47&gt;0,INDEX($AA$4:$AL$323,Ajustes!$H47,U$2),0)+IF(Ajustes!$I47&gt;0,INDEX($AA$4:$AL$323,Ajustes!$I47,U$2),0)+IF(Ajustes!$J47&gt;0,INDEX($AA$4:$AL$323,Ajustes!$J47,U$2),0)+IF(Ajustes!$K47&gt;0,INDEX($AA$5:$AL$324,Ajustes!$K47,U$2),0)+IF(Ajustes!$L47&gt;0,INDEX($AA$4:$AL$323,Ajustes!$L47,U$2),0) + U47</f>
        <v>3623</v>
      </c>
      <c r="AH47">
        <f>IF(Ajustes!$G47&gt;0,INDEX($AA$4:$AL$323,Ajustes!$G47,V$2),0)+IF(Ajustes!$H47&gt;0,INDEX($AA$4:$AL$323,Ajustes!$H47,V$2),0)+IF(Ajustes!$I47&gt;0,INDEX($AA$4:$AL$323,Ajustes!$I47,V$2),0)+IF(Ajustes!$J47&gt;0,INDEX($AA$4:$AL$323,Ajustes!$J47,V$2),0)+IF(Ajustes!$K47&gt;0,INDEX($AA$5:$AL$324,Ajustes!$K47,V$2),0)+IF(Ajustes!$L47&gt;0,INDEX($AA$4:$AL$323,Ajustes!$L47,V$2),0) + V47</f>
        <v>3050</v>
      </c>
      <c r="AI47">
        <f>IF(Ajustes!$G47&gt;0,INDEX($AA$4:$AL$323,Ajustes!$G47,W$2),0)+IF(Ajustes!$H47&gt;0,INDEX($AA$4:$AL$323,Ajustes!$H47,W$2),0)+IF(Ajustes!$I47&gt;0,INDEX($AA$4:$AL$323,Ajustes!$I47,W$2),0)+IF(Ajustes!$J47&gt;0,INDEX($AA$4:$AL$323,Ajustes!$J47,W$2),0)+IF(Ajustes!$K47&gt;0,INDEX($AA$5:$AL$324,Ajustes!$K47,W$2),0)+IF(Ajustes!$L47&gt;0,INDEX($AA$4:$AL$323,Ajustes!$L47,W$2),0) + W47</f>
        <v>2944</v>
      </c>
      <c r="AJ47">
        <f>IF(Ajustes!$G47&gt;0,INDEX($AA$4:$AL$323,Ajustes!$G47,X$2),0)+IF(Ajustes!$H47&gt;0,INDEX($AA$4:$AL$323,Ajustes!$H47,X$2),0)+IF(Ajustes!$I47&gt;0,INDEX($AA$4:$AL$323,Ajustes!$I47,X$2),0)+IF(Ajustes!$J47&gt;0,INDEX($AA$4:$AL$323,Ajustes!$J47,X$2),0)+IF(Ajustes!$K47&gt;0,INDEX($AA$5:$AL$324,Ajustes!$K47,X$2),0)+IF(Ajustes!$L47&gt;0,INDEX($AA$4:$AL$323,Ajustes!$L47,X$2),0) + X47</f>
        <v>3414</v>
      </c>
      <c r="AK47">
        <f>IF(Ajustes!$G47&gt;0,INDEX($AA$4:$AL$323,Ajustes!$G47,Y$2),0)+IF(Ajustes!$H47&gt;0,INDEX($AA$4:$AL$323,Ajustes!$H47,Y$2),0)+IF(Ajustes!$I47&gt;0,INDEX($AA$4:$AL$323,Ajustes!$I47,Y$2),0)+IF(Ajustes!$J47&gt;0,INDEX($AA$4:$AL$323,Ajustes!$J47,Y$2),0)+IF(Ajustes!$K47&gt;0,INDEX($AA$5:$AL$324,Ajustes!$K47,Y$2),0)+IF(Ajustes!$L47&gt;0,INDEX($AA$4:$AL$323,Ajustes!$L47,Y$2),0) + Y47</f>
        <v>4491</v>
      </c>
      <c r="AL47">
        <f>IF(Ajustes!$G47&gt;0,INDEX($AA$4:$AL$323,Ajustes!$G47,Z$2),0)+IF(Ajustes!$H47&gt;0,INDEX($AA$4:$AL$323,Ajustes!$H47,Z$2),0)+IF(Ajustes!$I47&gt;0,INDEX($AA$4:$AL$323,Ajustes!$I47,Z$2),0)+IF(Ajustes!$J47&gt;0,INDEX($AA$4:$AL$323,Ajustes!$J47,Z$2),0)+IF(Ajustes!$K47&gt;0,INDEX($AA$5:$AL$324,Ajustes!$K47,Z$2),0)+IF(Ajustes!$L47&gt;0,INDEX($AA$4:$AL$323,Ajustes!$L47,Z$2),0) + Z47</f>
        <v>7136</v>
      </c>
      <c r="AM47" s="219">
        <f t="shared" si="19"/>
        <v>10220</v>
      </c>
      <c r="AN47" s="219">
        <f t="shared" si="19"/>
        <v>10792</v>
      </c>
      <c r="AO47" s="219">
        <f t="shared" si="19"/>
        <v>10195</v>
      </c>
      <c r="AP47" s="219">
        <f t="shared" si="19"/>
        <v>7603</v>
      </c>
      <c r="AQ47" s="219">
        <f t="shared" si="19"/>
        <v>5282</v>
      </c>
      <c r="AR47" s="219">
        <f t="shared" si="19"/>
        <v>4428</v>
      </c>
      <c r="AS47" s="219">
        <f t="shared" si="19"/>
        <v>3623</v>
      </c>
      <c r="AT47" s="219">
        <f t="shared" si="19"/>
        <v>3051</v>
      </c>
      <c r="AU47" s="219">
        <f t="shared" si="19"/>
        <v>2944</v>
      </c>
      <c r="AV47" s="219">
        <f t="shared" si="19"/>
        <v>3415</v>
      </c>
      <c r="AW47" s="219">
        <f t="shared" si="19"/>
        <v>4491</v>
      </c>
      <c r="AX47" s="219">
        <f t="shared" si="19"/>
        <v>7137</v>
      </c>
    </row>
    <row r="48" spans="1:67" x14ac:dyDescent="0.25">
      <c r="A48" s="113">
        <v>45</v>
      </c>
      <c r="B48" s="209" t="s">
        <v>559</v>
      </c>
      <c r="C48">
        <f>IFERROR(INDEX($BD$7:$BO$35,MATCH(Ajustes!$E$4:$E$323,$BC$7:$BC$35,0),$C$2:$N$2),1)</f>
        <v>1</v>
      </c>
      <c r="D48" s="113">
        <f>IFERROR(INDEX($BD$7:$BO$35,MATCH(Ajustes!$E$4:$E$323,$BC$7:$BC$35,0),$C$2:$N$2),1)</f>
        <v>1</v>
      </c>
      <c r="E48" s="113">
        <f>IFERROR(INDEX($BD$7:$BO$35,MATCH(Ajustes!$E$4:$E$323,$BC$7:$BC$35,0),$C$2:$N$2),1)</f>
        <v>1</v>
      </c>
      <c r="F48" s="113">
        <f>IFERROR(INDEX($BD$7:$BO$35,MATCH(Ajustes!$E$4:$E$323,$BC$7:$BC$35,0),$C$2:$N$2),1)</f>
        <v>1</v>
      </c>
      <c r="G48" s="113">
        <f>IFERROR(INDEX($BD$7:$BO$35,MATCH(Ajustes!$E$4:$E$323,$BC$7:$BC$35,0),$C$2:$N$2),1)</f>
        <v>1</v>
      </c>
      <c r="H48" s="113">
        <f>IFERROR(INDEX($BD$7:$BO$35,MATCH(Ajustes!$E$4:$E$323,$BC$7:$BC$35,0),$C$2:$N$2),1)</f>
        <v>1</v>
      </c>
      <c r="I48" s="113">
        <f>IFERROR(INDEX($BD$7:$BO$35,MATCH(Ajustes!$E$4:$E$323,$BC$7:$BC$35,0),$C$2:$N$2),1)</f>
        <v>1</v>
      </c>
      <c r="J48" s="113">
        <f>IFERROR(INDEX($BD$7:$BO$35,MATCH(Ajustes!$E$4:$E$323,$BC$7:$BC$35,0),$C$2:$N$2),1)</f>
        <v>1</v>
      </c>
      <c r="K48" s="113">
        <f>IFERROR(INDEX($BD$7:$BO$35,MATCH(Ajustes!$E$4:$E$323,$BC$7:$BC$35,0),$C$2:$N$2),1)</f>
        <v>1</v>
      </c>
      <c r="L48" s="113">
        <f>IFERROR(INDEX($BD$7:$BO$35,MATCH(Ajustes!$E$4:$E$323,$BC$7:$BC$35,0),$C$2:$N$2),1)</f>
        <v>1</v>
      </c>
      <c r="M48" s="113">
        <f>IFERROR(INDEX($BD$7:$BO$35,MATCH(Ajustes!$E$4:$E$323,$BC$7:$BC$35,0),$C$2:$N$2),1)</f>
        <v>1</v>
      </c>
      <c r="N48" s="113">
        <f>IFERROR(INDEX($BD$7:$BO$35,MATCH(Ajustes!$E$4:$E$323,$BC$7:$BC$35,0),$C$2:$N$2),1)</f>
        <v>1</v>
      </c>
      <c r="O48">
        <f>C48*Ajustes!AM48</f>
        <v>10635</v>
      </c>
      <c r="P48">
        <f>D48*Ajustes!AN48</f>
        <v>11252</v>
      </c>
      <c r="Q48">
        <f>E48*Ajustes!AO48</f>
        <v>10623</v>
      </c>
      <c r="R48">
        <f>F48*Ajustes!AP48</f>
        <v>7967</v>
      </c>
      <c r="S48">
        <f>G48*Ajustes!AQ48</f>
        <v>5592</v>
      </c>
      <c r="T48">
        <f>H48*Ajustes!AR48</f>
        <v>4728</v>
      </c>
      <c r="U48">
        <f>I48*Ajustes!AS48</f>
        <v>3902</v>
      </c>
      <c r="V48">
        <f>J48*Ajustes!AT48</f>
        <v>3327</v>
      </c>
      <c r="W48">
        <f>K48*Ajustes!AU48</f>
        <v>3210</v>
      </c>
      <c r="X48">
        <f>L48*Ajustes!AV48</f>
        <v>3687</v>
      </c>
      <c r="Y48">
        <f>M48*Ajustes!AW48</f>
        <v>4782</v>
      </c>
      <c r="Z48">
        <f>N48*Ajustes!AX48</f>
        <v>7465</v>
      </c>
      <c r="AA48">
        <f>IF(Ajustes!$G48&gt;0,INDEX($AA$4:$AL$323,Ajustes!$G48,O$2),0)+IF(Ajustes!$H48&gt;0,INDEX($AA$4:$AL$323,Ajustes!$H48,O$2),0)+IF(Ajustes!$I48&gt;0,INDEX($AA$4:$AL$323,Ajustes!$I48,O$2),0)+IF(Ajustes!$J48&gt;0,INDEX($AA$4:$AL$323,Ajustes!$J48,O$2),0)+IF(Ajustes!$K48&gt;0,INDEX($AA$5:$AL$324,Ajustes!$K48,O$2),0)+IF(Ajustes!$L48&gt;0,INDEX($AA$4:$AL$323,Ajustes!$L48,O$2),0) + O48</f>
        <v>10635</v>
      </c>
      <c r="AB48">
        <f>IF(Ajustes!$G48&gt;0,INDEX($AA$4:$AL$323,Ajustes!$G48,P$2),0)+IF(Ajustes!$H48&gt;0,INDEX($AA$4:$AL$323,Ajustes!$H48,P$2),0)+IF(Ajustes!$I48&gt;0,INDEX($AA$4:$AL$323,Ajustes!$I48,P$2),0)+IF(Ajustes!$J48&gt;0,INDEX($AA$4:$AL$323,Ajustes!$J48,P$2),0)+IF(Ajustes!$K48&gt;0,INDEX($AA$5:$AL$324,Ajustes!$K48,P$2),0)+IF(Ajustes!$L48&gt;0,INDEX($AA$4:$AL$323,Ajustes!$L48,P$2),0) + P48</f>
        <v>11252</v>
      </c>
      <c r="AC48">
        <f>IF(Ajustes!$G48&gt;0,INDEX($AA$4:$AL$323,Ajustes!$G48,Q$2),0)+IF(Ajustes!$H48&gt;0,INDEX($AA$4:$AL$323,Ajustes!$H48,Q$2),0)+IF(Ajustes!$I48&gt;0,INDEX($AA$4:$AL$323,Ajustes!$I48,Q$2),0)+IF(Ajustes!$J48&gt;0,INDEX($AA$4:$AL$323,Ajustes!$J48,Q$2),0)+IF(Ajustes!$K48&gt;0,INDEX($AA$5:$AL$324,Ajustes!$K48,Q$2),0)+IF(Ajustes!$L48&gt;0,INDEX($AA$4:$AL$323,Ajustes!$L48,Q$2),0) + Q48</f>
        <v>10623</v>
      </c>
      <c r="AD48">
        <f>IF(Ajustes!$G48&gt;0,INDEX($AA$4:$AL$323,Ajustes!$G48,R$2),0)+IF(Ajustes!$H48&gt;0,INDEX($AA$4:$AL$323,Ajustes!$H48,R$2),0)+IF(Ajustes!$I48&gt;0,INDEX($AA$4:$AL$323,Ajustes!$I48,R$2),0)+IF(Ajustes!$J48&gt;0,INDEX($AA$4:$AL$323,Ajustes!$J48,R$2),0)+IF(Ajustes!$K48&gt;0,INDEX($AA$5:$AL$324,Ajustes!$K48,R$2),0)+IF(Ajustes!$L48&gt;0,INDEX($AA$4:$AL$323,Ajustes!$L48,R$2),0) + R48</f>
        <v>7967</v>
      </c>
      <c r="AE48">
        <f>IF(Ajustes!$G48&gt;0,INDEX($AA$4:$AL$323,Ajustes!$G48,S$2),0)+IF(Ajustes!$H48&gt;0,INDEX($AA$4:$AL$323,Ajustes!$H48,S$2),0)+IF(Ajustes!$I48&gt;0,INDEX($AA$4:$AL$323,Ajustes!$I48,S$2),0)+IF(Ajustes!$J48&gt;0,INDEX($AA$4:$AL$323,Ajustes!$J48,S$2),0)+IF(Ajustes!$K48&gt;0,INDEX($AA$5:$AL$324,Ajustes!$K48,S$2),0)+IF(Ajustes!$L48&gt;0,INDEX($AA$4:$AL$323,Ajustes!$L48,S$2),0) + S48</f>
        <v>5592</v>
      </c>
      <c r="AF48">
        <f>IF(Ajustes!$G48&gt;0,INDEX($AA$4:$AL$323,Ajustes!$G48,T$2),0)+IF(Ajustes!$H48&gt;0,INDEX($AA$4:$AL$323,Ajustes!$H48,T$2),0)+IF(Ajustes!$I48&gt;0,INDEX($AA$4:$AL$323,Ajustes!$I48,T$2),0)+IF(Ajustes!$J48&gt;0,INDEX($AA$4:$AL$323,Ajustes!$J48,T$2),0)+IF(Ajustes!$K48&gt;0,INDEX($AA$5:$AL$324,Ajustes!$K48,T$2),0)+IF(Ajustes!$L48&gt;0,INDEX($AA$4:$AL$323,Ajustes!$L48,T$2),0) + T48</f>
        <v>4728</v>
      </c>
      <c r="AG48">
        <f>IF(Ajustes!$G48&gt;0,INDEX($AA$4:$AL$323,Ajustes!$G48,U$2),0)+IF(Ajustes!$H48&gt;0,INDEX($AA$4:$AL$323,Ajustes!$H48,U$2),0)+IF(Ajustes!$I48&gt;0,INDEX($AA$4:$AL$323,Ajustes!$I48,U$2),0)+IF(Ajustes!$J48&gt;0,INDEX($AA$4:$AL$323,Ajustes!$J48,U$2),0)+IF(Ajustes!$K48&gt;0,INDEX($AA$5:$AL$324,Ajustes!$K48,U$2),0)+IF(Ajustes!$L48&gt;0,INDEX($AA$4:$AL$323,Ajustes!$L48,U$2),0) + U48</f>
        <v>3902</v>
      </c>
      <c r="AH48">
        <f>IF(Ajustes!$G48&gt;0,INDEX($AA$4:$AL$323,Ajustes!$G48,V$2),0)+IF(Ajustes!$H48&gt;0,INDEX($AA$4:$AL$323,Ajustes!$H48,V$2),0)+IF(Ajustes!$I48&gt;0,INDEX($AA$4:$AL$323,Ajustes!$I48,V$2),0)+IF(Ajustes!$J48&gt;0,INDEX($AA$4:$AL$323,Ajustes!$J48,V$2),0)+IF(Ajustes!$K48&gt;0,INDEX($AA$5:$AL$324,Ajustes!$K48,V$2),0)+IF(Ajustes!$L48&gt;0,INDEX($AA$4:$AL$323,Ajustes!$L48,V$2),0) + V48</f>
        <v>3327</v>
      </c>
      <c r="AI48">
        <f>IF(Ajustes!$G48&gt;0,INDEX($AA$4:$AL$323,Ajustes!$G48,W$2),0)+IF(Ajustes!$H48&gt;0,INDEX($AA$4:$AL$323,Ajustes!$H48,W$2),0)+IF(Ajustes!$I48&gt;0,INDEX($AA$4:$AL$323,Ajustes!$I48,W$2),0)+IF(Ajustes!$J48&gt;0,INDEX($AA$4:$AL$323,Ajustes!$J48,W$2),0)+IF(Ajustes!$K48&gt;0,INDEX($AA$5:$AL$324,Ajustes!$K48,W$2),0)+IF(Ajustes!$L48&gt;0,INDEX($AA$4:$AL$323,Ajustes!$L48,W$2),0) + W48</f>
        <v>3210</v>
      </c>
      <c r="AJ48">
        <f>IF(Ajustes!$G48&gt;0,INDEX($AA$4:$AL$323,Ajustes!$G48,X$2),0)+IF(Ajustes!$H48&gt;0,INDEX($AA$4:$AL$323,Ajustes!$H48,X$2),0)+IF(Ajustes!$I48&gt;0,INDEX($AA$4:$AL$323,Ajustes!$I48,X$2),0)+IF(Ajustes!$J48&gt;0,INDEX($AA$4:$AL$323,Ajustes!$J48,X$2),0)+IF(Ajustes!$K48&gt;0,INDEX($AA$5:$AL$324,Ajustes!$K48,X$2),0)+IF(Ajustes!$L48&gt;0,INDEX($AA$4:$AL$323,Ajustes!$L48,X$2),0) + X48</f>
        <v>3687</v>
      </c>
      <c r="AK48">
        <f>IF(Ajustes!$G48&gt;0,INDEX($AA$4:$AL$323,Ajustes!$G48,Y$2),0)+IF(Ajustes!$H48&gt;0,INDEX($AA$4:$AL$323,Ajustes!$H48,Y$2),0)+IF(Ajustes!$I48&gt;0,INDEX($AA$4:$AL$323,Ajustes!$I48,Y$2),0)+IF(Ajustes!$J48&gt;0,INDEX($AA$4:$AL$323,Ajustes!$J48,Y$2),0)+IF(Ajustes!$K48&gt;0,INDEX($AA$5:$AL$324,Ajustes!$K48,Y$2),0)+IF(Ajustes!$L48&gt;0,INDEX($AA$4:$AL$323,Ajustes!$L48,Y$2),0) + Y48</f>
        <v>4782</v>
      </c>
      <c r="AL48">
        <f>IF(Ajustes!$G48&gt;0,INDEX($AA$4:$AL$323,Ajustes!$G48,Z$2),0)+IF(Ajustes!$H48&gt;0,INDEX($AA$4:$AL$323,Ajustes!$H48,Z$2),0)+IF(Ajustes!$I48&gt;0,INDEX($AA$4:$AL$323,Ajustes!$I48,Z$2),0)+IF(Ajustes!$J48&gt;0,INDEX($AA$4:$AL$323,Ajustes!$J48,Z$2),0)+IF(Ajustes!$K48&gt;0,INDEX($AA$5:$AL$324,Ajustes!$K48,Z$2),0)+IF(Ajustes!$L48&gt;0,INDEX($AA$4:$AL$323,Ajustes!$L48,Z$2),0) + Z48</f>
        <v>7465</v>
      </c>
      <c r="AM48" s="219">
        <f t="shared" si="19"/>
        <v>10635</v>
      </c>
      <c r="AN48" s="219">
        <f t="shared" si="19"/>
        <v>11251</v>
      </c>
      <c r="AO48" s="219">
        <f t="shared" si="19"/>
        <v>10623</v>
      </c>
      <c r="AP48" s="219">
        <f t="shared" si="19"/>
        <v>7966</v>
      </c>
      <c r="AQ48" s="219">
        <f t="shared" si="19"/>
        <v>5593</v>
      </c>
      <c r="AR48" s="219">
        <f t="shared" si="19"/>
        <v>4727</v>
      </c>
      <c r="AS48" s="219">
        <f t="shared" si="19"/>
        <v>3903</v>
      </c>
      <c r="AT48" s="219">
        <f t="shared" si="19"/>
        <v>3328</v>
      </c>
      <c r="AU48" s="219">
        <f t="shared" si="19"/>
        <v>3210</v>
      </c>
      <c r="AV48" s="219">
        <f t="shared" si="19"/>
        <v>3688</v>
      </c>
      <c r="AW48" s="219">
        <f t="shared" si="19"/>
        <v>4783</v>
      </c>
      <c r="AX48" s="219">
        <f t="shared" si="19"/>
        <v>7465</v>
      </c>
    </row>
    <row r="49" spans="1:50" x14ac:dyDescent="0.25">
      <c r="A49" s="113">
        <v>46</v>
      </c>
      <c r="B49" s="209" t="s">
        <v>560</v>
      </c>
      <c r="C49">
        <f>IFERROR(INDEX($BD$7:$BO$35,MATCH(Ajustes!$E$4:$E$323,$BC$7:$BC$35,0),$C$2:$N$2),1)</f>
        <v>1</v>
      </c>
      <c r="D49" s="113">
        <f>IFERROR(INDEX($BD$7:$BO$35,MATCH(Ajustes!$E$4:$E$323,$BC$7:$BC$35,0),$C$2:$N$2),1)</f>
        <v>1</v>
      </c>
      <c r="E49" s="113">
        <f>IFERROR(INDEX($BD$7:$BO$35,MATCH(Ajustes!$E$4:$E$323,$BC$7:$BC$35,0),$C$2:$N$2),1)</f>
        <v>1</v>
      </c>
      <c r="F49" s="113">
        <f>IFERROR(INDEX($BD$7:$BO$35,MATCH(Ajustes!$E$4:$E$323,$BC$7:$BC$35,0),$C$2:$N$2),1)</f>
        <v>1</v>
      </c>
      <c r="G49" s="113">
        <f>IFERROR(INDEX($BD$7:$BO$35,MATCH(Ajustes!$E$4:$E$323,$BC$7:$BC$35,0),$C$2:$N$2),1)</f>
        <v>1</v>
      </c>
      <c r="H49" s="113">
        <f>IFERROR(INDEX($BD$7:$BO$35,MATCH(Ajustes!$E$4:$E$323,$BC$7:$BC$35,0),$C$2:$N$2),1)</f>
        <v>1</v>
      </c>
      <c r="I49" s="113">
        <f>IFERROR(INDEX($BD$7:$BO$35,MATCH(Ajustes!$E$4:$E$323,$BC$7:$BC$35,0),$C$2:$N$2),1)</f>
        <v>1</v>
      </c>
      <c r="J49" s="113">
        <f>IFERROR(INDEX($BD$7:$BO$35,MATCH(Ajustes!$E$4:$E$323,$BC$7:$BC$35,0),$C$2:$N$2),1)</f>
        <v>1</v>
      </c>
      <c r="K49" s="113">
        <f>IFERROR(INDEX($BD$7:$BO$35,MATCH(Ajustes!$E$4:$E$323,$BC$7:$BC$35,0),$C$2:$N$2),1)</f>
        <v>1</v>
      </c>
      <c r="L49" s="113">
        <f>IFERROR(INDEX($BD$7:$BO$35,MATCH(Ajustes!$E$4:$E$323,$BC$7:$BC$35,0),$C$2:$N$2),1)</f>
        <v>1</v>
      </c>
      <c r="M49" s="113">
        <f>IFERROR(INDEX($BD$7:$BO$35,MATCH(Ajustes!$E$4:$E$323,$BC$7:$BC$35,0),$C$2:$N$2),1)</f>
        <v>1</v>
      </c>
      <c r="N49" s="113">
        <f>IFERROR(INDEX($BD$7:$BO$35,MATCH(Ajustes!$E$4:$E$323,$BC$7:$BC$35,0),$C$2:$N$2),1)</f>
        <v>1</v>
      </c>
      <c r="O49">
        <f>C49*Ajustes!AM49</f>
        <v>11501</v>
      </c>
      <c r="P49">
        <f>D49*Ajustes!AN49</f>
        <v>12373</v>
      </c>
      <c r="Q49">
        <f>E49*Ajustes!AO49</f>
        <v>11723</v>
      </c>
      <c r="R49">
        <f>F49*Ajustes!AP49</f>
        <v>9005</v>
      </c>
      <c r="S49">
        <f>G49*Ajustes!AQ49</f>
        <v>6480</v>
      </c>
      <c r="T49">
        <f>H49*Ajustes!AR49</f>
        <v>5615</v>
      </c>
      <c r="U49">
        <f>I49*Ajustes!AS49</f>
        <v>4616</v>
      </c>
      <c r="V49">
        <f>J49*Ajustes!AT49</f>
        <v>3934</v>
      </c>
      <c r="W49">
        <f>K49*Ajustes!AU49</f>
        <v>3816</v>
      </c>
      <c r="X49">
        <f>L49*Ajustes!AV49</f>
        <v>4347</v>
      </c>
      <c r="Y49">
        <f>M49*Ajustes!AW49</f>
        <v>5440</v>
      </c>
      <c r="Z49">
        <f>N49*Ajustes!AX49</f>
        <v>8117</v>
      </c>
      <c r="AA49">
        <f>IF(Ajustes!$G49&gt;0,INDEX($AA$4:$AL$323,Ajustes!$G49,O$2),0)+IF(Ajustes!$H49&gt;0,INDEX($AA$4:$AL$323,Ajustes!$H49,O$2),0)+IF(Ajustes!$I49&gt;0,INDEX($AA$4:$AL$323,Ajustes!$I49,O$2),0)+IF(Ajustes!$J49&gt;0,INDEX($AA$4:$AL$323,Ajustes!$J49,O$2),0)+IF(Ajustes!$K49&gt;0,INDEX($AA$5:$AL$324,Ajustes!$K49,O$2),0)+IF(Ajustes!$L49&gt;0,INDEX($AA$4:$AL$323,Ajustes!$L49,O$2),0) + O49</f>
        <v>11501</v>
      </c>
      <c r="AB49">
        <f>IF(Ajustes!$G49&gt;0,INDEX($AA$4:$AL$323,Ajustes!$G49,P$2),0)+IF(Ajustes!$H49&gt;0,INDEX($AA$4:$AL$323,Ajustes!$H49,P$2),0)+IF(Ajustes!$I49&gt;0,INDEX($AA$4:$AL$323,Ajustes!$I49,P$2),0)+IF(Ajustes!$J49&gt;0,INDEX($AA$4:$AL$323,Ajustes!$J49,P$2),0)+IF(Ajustes!$K49&gt;0,INDEX($AA$5:$AL$324,Ajustes!$K49,P$2),0)+IF(Ajustes!$L49&gt;0,INDEX($AA$4:$AL$323,Ajustes!$L49,P$2),0) + P49</f>
        <v>12373</v>
      </c>
      <c r="AC49">
        <f>IF(Ajustes!$G49&gt;0,INDEX($AA$4:$AL$323,Ajustes!$G49,Q$2),0)+IF(Ajustes!$H49&gt;0,INDEX($AA$4:$AL$323,Ajustes!$H49,Q$2),0)+IF(Ajustes!$I49&gt;0,INDEX($AA$4:$AL$323,Ajustes!$I49,Q$2),0)+IF(Ajustes!$J49&gt;0,INDEX($AA$4:$AL$323,Ajustes!$J49,Q$2),0)+IF(Ajustes!$K49&gt;0,INDEX($AA$5:$AL$324,Ajustes!$K49,Q$2),0)+IF(Ajustes!$L49&gt;0,INDEX($AA$4:$AL$323,Ajustes!$L49,Q$2),0) + Q49</f>
        <v>11723</v>
      </c>
      <c r="AD49">
        <f>IF(Ajustes!$G49&gt;0,INDEX($AA$4:$AL$323,Ajustes!$G49,R$2),0)+IF(Ajustes!$H49&gt;0,INDEX($AA$4:$AL$323,Ajustes!$H49,R$2),0)+IF(Ajustes!$I49&gt;0,INDEX($AA$4:$AL$323,Ajustes!$I49,R$2),0)+IF(Ajustes!$J49&gt;0,INDEX($AA$4:$AL$323,Ajustes!$J49,R$2),0)+IF(Ajustes!$K49&gt;0,INDEX($AA$5:$AL$324,Ajustes!$K49,R$2),0)+IF(Ajustes!$L49&gt;0,INDEX($AA$4:$AL$323,Ajustes!$L49,R$2),0) + R49</f>
        <v>9005</v>
      </c>
      <c r="AE49">
        <f>IF(Ajustes!$G49&gt;0,INDEX($AA$4:$AL$323,Ajustes!$G49,S$2),0)+IF(Ajustes!$H49&gt;0,INDEX($AA$4:$AL$323,Ajustes!$H49,S$2),0)+IF(Ajustes!$I49&gt;0,INDEX($AA$4:$AL$323,Ajustes!$I49,S$2),0)+IF(Ajustes!$J49&gt;0,INDEX($AA$4:$AL$323,Ajustes!$J49,S$2),0)+IF(Ajustes!$K49&gt;0,INDEX($AA$5:$AL$324,Ajustes!$K49,S$2),0)+IF(Ajustes!$L49&gt;0,INDEX($AA$4:$AL$323,Ajustes!$L49,S$2),0) + S49</f>
        <v>6480</v>
      </c>
      <c r="AF49">
        <f>IF(Ajustes!$G49&gt;0,INDEX($AA$4:$AL$323,Ajustes!$G49,T$2),0)+IF(Ajustes!$H49&gt;0,INDEX($AA$4:$AL$323,Ajustes!$H49,T$2),0)+IF(Ajustes!$I49&gt;0,INDEX($AA$4:$AL$323,Ajustes!$I49,T$2),0)+IF(Ajustes!$J49&gt;0,INDEX($AA$4:$AL$323,Ajustes!$J49,T$2),0)+IF(Ajustes!$K49&gt;0,INDEX($AA$5:$AL$324,Ajustes!$K49,T$2),0)+IF(Ajustes!$L49&gt;0,INDEX($AA$4:$AL$323,Ajustes!$L49,T$2),0) + T49</f>
        <v>5615</v>
      </c>
      <c r="AG49">
        <f>IF(Ajustes!$G49&gt;0,INDEX($AA$4:$AL$323,Ajustes!$G49,U$2),0)+IF(Ajustes!$H49&gt;0,INDEX($AA$4:$AL$323,Ajustes!$H49,U$2),0)+IF(Ajustes!$I49&gt;0,INDEX($AA$4:$AL$323,Ajustes!$I49,U$2),0)+IF(Ajustes!$J49&gt;0,INDEX($AA$4:$AL$323,Ajustes!$J49,U$2),0)+IF(Ajustes!$K49&gt;0,INDEX($AA$5:$AL$324,Ajustes!$K49,U$2),0)+IF(Ajustes!$L49&gt;0,INDEX($AA$4:$AL$323,Ajustes!$L49,U$2),0) + U49</f>
        <v>4616</v>
      </c>
      <c r="AH49">
        <f>IF(Ajustes!$G49&gt;0,INDEX($AA$4:$AL$323,Ajustes!$G49,V$2),0)+IF(Ajustes!$H49&gt;0,INDEX($AA$4:$AL$323,Ajustes!$H49,V$2),0)+IF(Ajustes!$I49&gt;0,INDEX($AA$4:$AL$323,Ajustes!$I49,V$2),0)+IF(Ajustes!$J49&gt;0,INDEX($AA$4:$AL$323,Ajustes!$J49,V$2),0)+IF(Ajustes!$K49&gt;0,INDEX($AA$5:$AL$324,Ajustes!$K49,V$2),0)+IF(Ajustes!$L49&gt;0,INDEX($AA$4:$AL$323,Ajustes!$L49,V$2),0) + V49</f>
        <v>3934</v>
      </c>
      <c r="AI49">
        <f>IF(Ajustes!$G49&gt;0,INDEX($AA$4:$AL$323,Ajustes!$G49,W$2),0)+IF(Ajustes!$H49&gt;0,INDEX($AA$4:$AL$323,Ajustes!$H49,W$2),0)+IF(Ajustes!$I49&gt;0,INDEX($AA$4:$AL$323,Ajustes!$I49,W$2),0)+IF(Ajustes!$J49&gt;0,INDEX($AA$4:$AL$323,Ajustes!$J49,W$2),0)+IF(Ajustes!$K49&gt;0,INDEX($AA$5:$AL$324,Ajustes!$K49,W$2),0)+IF(Ajustes!$L49&gt;0,INDEX($AA$4:$AL$323,Ajustes!$L49,W$2),0) + W49</f>
        <v>3816</v>
      </c>
      <c r="AJ49">
        <f>IF(Ajustes!$G49&gt;0,INDEX($AA$4:$AL$323,Ajustes!$G49,X$2),0)+IF(Ajustes!$H49&gt;0,INDEX($AA$4:$AL$323,Ajustes!$H49,X$2),0)+IF(Ajustes!$I49&gt;0,INDEX($AA$4:$AL$323,Ajustes!$I49,X$2),0)+IF(Ajustes!$J49&gt;0,INDEX($AA$4:$AL$323,Ajustes!$J49,X$2),0)+IF(Ajustes!$K49&gt;0,INDEX($AA$5:$AL$324,Ajustes!$K49,X$2),0)+IF(Ajustes!$L49&gt;0,INDEX($AA$4:$AL$323,Ajustes!$L49,X$2),0) + X49</f>
        <v>4347</v>
      </c>
      <c r="AK49">
        <f>IF(Ajustes!$G49&gt;0,INDEX($AA$4:$AL$323,Ajustes!$G49,Y$2),0)+IF(Ajustes!$H49&gt;0,INDEX($AA$4:$AL$323,Ajustes!$H49,Y$2),0)+IF(Ajustes!$I49&gt;0,INDEX($AA$4:$AL$323,Ajustes!$I49,Y$2),0)+IF(Ajustes!$J49&gt;0,INDEX($AA$4:$AL$323,Ajustes!$J49,Y$2),0)+IF(Ajustes!$K49&gt;0,INDEX($AA$5:$AL$324,Ajustes!$K49,Y$2),0)+IF(Ajustes!$L49&gt;0,INDEX($AA$4:$AL$323,Ajustes!$L49,Y$2),0) + Y49</f>
        <v>5440</v>
      </c>
      <c r="AL49">
        <f>IF(Ajustes!$G49&gt;0,INDEX($AA$4:$AL$323,Ajustes!$G49,Z$2),0)+IF(Ajustes!$H49&gt;0,INDEX($AA$4:$AL$323,Ajustes!$H49,Z$2),0)+IF(Ajustes!$I49&gt;0,INDEX($AA$4:$AL$323,Ajustes!$I49,Z$2),0)+IF(Ajustes!$J49&gt;0,INDEX($AA$4:$AL$323,Ajustes!$J49,Z$2),0)+IF(Ajustes!$K49&gt;0,INDEX($AA$5:$AL$324,Ajustes!$K49,Z$2),0)+IF(Ajustes!$L49&gt;0,INDEX($AA$4:$AL$323,Ajustes!$L49,Z$2),0) + Z49</f>
        <v>8117</v>
      </c>
      <c r="AM49" s="219">
        <f t="shared" si="19"/>
        <v>11501</v>
      </c>
      <c r="AN49" s="219">
        <f t="shared" si="19"/>
        <v>12373</v>
      </c>
      <c r="AO49" s="219">
        <f t="shared" si="19"/>
        <v>11723</v>
      </c>
      <c r="AP49" s="219">
        <f t="shared" si="19"/>
        <v>9004</v>
      </c>
      <c r="AQ49" s="219">
        <f t="shared" si="19"/>
        <v>6480</v>
      </c>
      <c r="AR49" s="219">
        <f t="shared" si="19"/>
        <v>5614</v>
      </c>
      <c r="AS49" s="219">
        <f t="shared" si="19"/>
        <v>4617</v>
      </c>
      <c r="AT49" s="219">
        <f t="shared" si="19"/>
        <v>3935</v>
      </c>
      <c r="AU49" s="219">
        <f t="shared" si="19"/>
        <v>3816</v>
      </c>
      <c r="AV49" s="219">
        <f t="shared" si="19"/>
        <v>4348</v>
      </c>
      <c r="AW49" s="219">
        <f t="shared" si="19"/>
        <v>5440</v>
      </c>
      <c r="AX49" s="219">
        <f t="shared" si="19"/>
        <v>8117</v>
      </c>
    </row>
    <row r="50" spans="1:50" x14ac:dyDescent="0.25">
      <c r="A50" s="113">
        <v>47</v>
      </c>
      <c r="B50" s="209" t="s">
        <v>561</v>
      </c>
      <c r="C50">
        <f>IFERROR(INDEX($BD$7:$BO$35,MATCH(Ajustes!$E$4:$E$323,$BC$7:$BC$35,0),$C$2:$N$2),1)</f>
        <v>1</v>
      </c>
      <c r="D50" s="113">
        <f>IFERROR(INDEX($BD$7:$BO$35,MATCH(Ajustes!$E$4:$E$323,$BC$7:$BC$35,0),$C$2:$N$2),1)</f>
        <v>1</v>
      </c>
      <c r="E50" s="113">
        <f>IFERROR(INDEX($BD$7:$BO$35,MATCH(Ajustes!$E$4:$E$323,$BC$7:$BC$35,0),$C$2:$N$2),1)</f>
        <v>1</v>
      </c>
      <c r="F50" s="113">
        <f>IFERROR(INDEX($BD$7:$BO$35,MATCH(Ajustes!$E$4:$E$323,$BC$7:$BC$35,0),$C$2:$N$2),1)</f>
        <v>1</v>
      </c>
      <c r="G50" s="113">
        <f>IFERROR(INDEX($BD$7:$BO$35,MATCH(Ajustes!$E$4:$E$323,$BC$7:$BC$35,0),$C$2:$N$2),1)</f>
        <v>1</v>
      </c>
      <c r="H50" s="113">
        <f>IFERROR(INDEX($BD$7:$BO$35,MATCH(Ajustes!$E$4:$E$323,$BC$7:$BC$35,0),$C$2:$N$2),1)</f>
        <v>1</v>
      </c>
      <c r="I50" s="113">
        <f>IFERROR(INDEX($BD$7:$BO$35,MATCH(Ajustes!$E$4:$E$323,$BC$7:$BC$35,0),$C$2:$N$2),1)</f>
        <v>1</v>
      </c>
      <c r="J50" s="113">
        <f>IFERROR(INDEX($BD$7:$BO$35,MATCH(Ajustes!$E$4:$E$323,$BC$7:$BC$35,0),$C$2:$N$2),1)</f>
        <v>1</v>
      </c>
      <c r="K50" s="113">
        <f>IFERROR(INDEX($BD$7:$BO$35,MATCH(Ajustes!$E$4:$E$323,$BC$7:$BC$35,0),$C$2:$N$2),1)</f>
        <v>1</v>
      </c>
      <c r="L50" s="113">
        <f>IFERROR(INDEX($BD$7:$BO$35,MATCH(Ajustes!$E$4:$E$323,$BC$7:$BC$35,0),$C$2:$N$2),1)</f>
        <v>1</v>
      </c>
      <c r="M50" s="113">
        <f>IFERROR(INDEX($BD$7:$BO$35,MATCH(Ajustes!$E$4:$E$323,$BC$7:$BC$35,0),$C$2:$N$2),1)</f>
        <v>1</v>
      </c>
      <c r="N50" s="113">
        <f>IFERROR(INDEX($BD$7:$BO$35,MATCH(Ajustes!$E$4:$E$323,$BC$7:$BC$35,0),$C$2:$N$2),1)</f>
        <v>1</v>
      </c>
      <c r="O50">
        <f>C50*Ajustes!AM50</f>
        <v>327</v>
      </c>
      <c r="P50">
        <f>D50*Ajustes!AN50</f>
        <v>368</v>
      </c>
      <c r="Q50">
        <f>E50*Ajustes!AO50</f>
        <v>312</v>
      </c>
      <c r="R50">
        <f>F50*Ajustes!AP50</f>
        <v>220</v>
      </c>
      <c r="S50">
        <f>G50*Ajustes!AQ50</f>
        <v>193</v>
      </c>
      <c r="T50">
        <f>H50*Ajustes!AR50</f>
        <v>201</v>
      </c>
      <c r="U50">
        <f>I50*Ajustes!AS50</f>
        <v>177</v>
      </c>
      <c r="V50">
        <f>J50*Ajustes!AT50</f>
        <v>148</v>
      </c>
      <c r="W50">
        <f>K50*Ajustes!AU50</f>
        <v>159</v>
      </c>
      <c r="X50">
        <f>L50*Ajustes!AV50</f>
        <v>191</v>
      </c>
      <c r="Y50">
        <f>M50*Ajustes!AW50</f>
        <v>181</v>
      </c>
      <c r="Z50">
        <f>N50*Ajustes!AX50</f>
        <v>233</v>
      </c>
      <c r="AA50">
        <f>IF(Ajustes!$G50&gt;0,INDEX($AA$4:$AL$323,Ajustes!$G50,O$2),0)+IF(Ajustes!$H50&gt;0,INDEX($AA$4:$AL$323,Ajustes!$H50,O$2),0)+IF(Ajustes!$I50&gt;0,INDEX($AA$4:$AL$323,Ajustes!$I50,O$2),0)+IF(Ajustes!$J50&gt;0,INDEX($AA$4:$AL$323,Ajustes!$J50,O$2),0)+IF(Ajustes!$K50&gt;0,INDEX($AA$5:$AL$324,Ajustes!$K50,O$2),0)+IF(Ajustes!$L50&gt;0,INDEX($AA$4:$AL$323,Ajustes!$L50,O$2),0) + O50</f>
        <v>327</v>
      </c>
      <c r="AB50">
        <f>IF(Ajustes!$G50&gt;0,INDEX($AA$4:$AL$323,Ajustes!$G50,P$2),0)+IF(Ajustes!$H50&gt;0,INDEX($AA$4:$AL$323,Ajustes!$H50,P$2),0)+IF(Ajustes!$I50&gt;0,INDEX($AA$4:$AL$323,Ajustes!$I50,P$2),0)+IF(Ajustes!$J50&gt;0,INDEX($AA$4:$AL$323,Ajustes!$J50,P$2),0)+IF(Ajustes!$K50&gt;0,INDEX($AA$5:$AL$324,Ajustes!$K50,P$2),0)+IF(Ajustes!$L50&gt;0,INDEX($AA$4:$AL$323,Ajustes!$L50,P$2),0) + P50</f>
        <v>368</v>
      </c>
      <c r="AC50">
        <f>IF(Ajustes!$G50&gt;0,INDEX($AA$4:$AL$323,Ajustes!$G50,Q$2),0)+IF(Ajustes!$H50&gt;0,INDEX($AA$4:$AL$323,Ajustes!$H50,Q$2),0)+IF(Ajustes!$I50&gt;0,INDEX($AA$4:$AL$323,Ajustes!$I50,Q$2),0)+IF(Ajustes!$J50&gt;0,INDEX($AA$4:$AL$323,Ajustes!$J50,Q$2),0)+IF(Ajustes!$K50&gt;0,INDEX($AA$5:$AL$324,Ajustes!$K50,Q$2),0)+IF(Ajustes!$L50&gt;0,INDEX($AA$4:$AL$323,Ajustes!$L50,Q$2),0) + Q50</f>
        <v>312</v>
      </c>
      <c r="AD50">
        <f>IF(Ajustes!$G50&gt;0,INDEX($AA$4:$AL$323,Ajustes!$G50,R$2),0)+IF(Ajustes!$H50&gt;0,INDEX($AA$4:$AL$323,Ajustes!$H50,R$2),0)+IF(Ajustes!$I50&gt;0,INDEX($AA$4:$AL$323,Ajustes!$I50,R$2),0)+IF(Ajustes!$J50&gt;0,INDEX($AA$4:$AL$323,Ajustes!$J50,R$2),0)+IF(Ajustes!$K50&gt;0,INDEX($AA$5:$AL$324,Ajustes!$K50,R$2),0)+IF(Ajustes!$L50&gt;0,INDEX($AA$4:$AL$323,Ajustes!$L50,R$2),0) + R50</f>
        <v>220</v>
      </c>
      <c r="AE50">
        <f>IF(Ajustes!$G50&gt;0,INDEX($AA$4:$AL$323,Ajustes!$G50,S$2),0)+IF(Ajustes!$H50&gt;0,INDEX($AA$4:$AL$323,Ajustes!$H50,S$2),0)+IF(Ajustes!$I50&gt;0,INDEX($AA$4:$AL$323,Ajustes!$I50,S$2),0)+IF(Ajustes!$J50&gt;0,INDEX($AA$4:$AL$323,Ajustes!$J50,S$2),0)+IF(Ajustes!$K50&gt;0,INDEX($AA$5:$AL$324,Ajustes!$K50,S$2),0)+IF(Ajustes!$L50&gt;0,INDEX($AA$4:$AL$323,Ajustes!$L50,S$2),0) + S50</f>
        <v>193</v>
      </c>
      <c r="AF50">
        <f>IF(Ajustes!$G50&gt;0,INDEX($AA$4:$AL$323,Ajustes!$G50,T$2),0)+IF(Ajustes!$H50&gt;0,INDEX($AA$4:$AL$323,Ajustes!$H50,T$2),0)+IF(Ajustes!$I50&gt;0,INDEX($AA$4:$AL$323,Ajustes!$I50,T$2),0)+IF(Ajustes!$J50&gt;0,INDEX($AA$4:$AL$323,Ajustes!$J50,T$2),0)+IF(Ajustes!$K50&gt;0,INDEX($AA$5:$AL$324,Ajustes!$K50,T$2),0)+IF(Ajustes!$L50&gt;0,INDEX($AA$4:$AL$323,Ajustes!$L50,T$2),0) + T50</f>
        <v>201</v>
      </c>
      <c r="AG50">
        <f>IF(Ajustes!$G50&gt;0,INDEX($AA$4:$AL$323,Ajustes!$G50,U$2),0)+IF(Ajustes!$H50&gt;0,INDEX($AA$4:$AL$323,Ajustes!$H50,U$2),0)+IF(Ajustes!$I50&gt;0,INDEX($AA$4:$AL$323,Ajustes!$I50,U$2),0)+IF(Ajustes!$J50&gt;0,INDEX($AA$4:$AL$323,Ajustes!$J50,U$2),0)+IF(Ajustes!$K50&gt;0,INDEX($AA$5:$AL$324,Ajustes!$K50,U$2),0)+IF(Ajustes!$L50&gt;0,INDEX($AA$4:$AL$323,Ajustes!$L50,U$2),0) + U50</f>
        <v>177</v>
      </c>
      <c r="AH50">
        <f>IF(Ajustes!$G50&gt;0,INDEX($AA$4:$AL$323,Ajustes!$G50,V$2),0)+IF(Ajustes!$H50&gt;0,INDEX($AA$4:$AL$323,Ajustes!$H50,V$2),0)+IF(Ajustes!$I50&gt;0,INDEX($AA$4:$AL$323,Ajustes!$I50,V$2),0)+IF(Ajustes!$J50&gt;0,INDEX($AA$4:$AL$323,Ajustes!$J50,V$2),0)+IF(Ajustes!$K50&gt;0,INDEX($AA$5:$AL$324,Ajustes!$K50,V$2),0)+IF(Ajustes!$L50&gt;0,INDEX($AA$4:$AL$323,Ajustes!$L50,V$2),0) + V50</f>
        <v>148</v>
      </c>
      <c r="AI50">
        <f>IF(Ajustes!$G50&gt;0,INDEX($AA$4:$AL$323,Ajustes!$G50,W$2),0)+IF(Ajustes!$H50&gt;0,INDEX($AA$4:$AL$323,Ajustes!$H50,W$2),0)+IF(Ajustes!$I50&gt;0,INDEX($AA$4:$AL$323,Ajustes!$I50,W$2),0)+IF(Ajustes!$J50&gt;0,INDEX($AA$4:$AL$323,Ajustes!$J50,W$2),0)+IF(Ajustes!$K50&gt;0,INDEX($AA$5:$AL$324,Ajustes!$K50,W$2),0)+IF(Ajustes!$L50&gt;0,INDEX($AA$4:$AL$323,Ajustes!$L50,W$2),0) + W50</f>
        <v>159</v>
      </c>
      <c r="AJ50">
        <f>IF(Ajustes!$G50&gt;0,INDEX($AA$4:$AL$323,Ajustes!$G50,X$2),0)+IF(Ajustes!$H50&gt;0,INDEX($AA$4:$AL$323,Ajustes!$H50,X$2),0)+IF(Ajustes!$I50&gt;0,INDEX($AA$4:$AL$323,Ajustes!$I50,X$2),0)+IF(Ajustes!$J50&gt;0,INDEX($AA$4:$AL$323,Ajustes!$J50,X$2),0)+IF(Ajustes!$K50&gt;0,INDEX($AA$5:$AL$324,Ajustes!$K50,X$2),0)+IF(Ajustes!$L50&gt;0,INDEX($AA$4:$AL$323,Ajustes!$L50,X$2),0) + X50</f>
        <v>191</v>
      </c>
      <c r="AK50">
        <f>IF(Ajustes!$G50&gt;0,INDEX($AA$4:$AL$323,Ajustes!$G50,Y$2),0)+IF(Ajustes!$H50&gt;0,INDEX($AA$4:$AL$323,Ajustes!$H50,Y$2),0)+IF(Ajustes!$I50&gt;0,INDEX($AA$4:$AL$323,Ajustes!$I50,Y$2),0)+IF(Ajustes!$J50&gt;0,INDEX($AA$4:$AL$323,Ajustes!$J50,Y$2),0)+IF(Ajustes!$K50&gt;0,INDEX($AA$5:$AL$324,Ajustes!$K50,Y$2),0)+IF(Ajustes!$L50&gt;0,INDEX($AA$4:$AL$323,Ajustes!$L50,Y$2),0) + Y50</f>
        <v>181</v>
      </c>
      <c r="AL50">
        <f>IF(Ajustes!$G50&gt;0,INDEX($AA$4:$AL$323,Ajustes!$G50,Z$2),0)+IF(Ajustes!$H50&gt;0,INDEX($AA$4:$AL$323,Ajustes!$H50,Z$2),0)+IF(Ajustes!$I50&gt;0,INDEX($AA$4:$AL$323,Ajustes!$I50,Z$2),0)+IF(Ajustes!$J50&gt;0,INDEX($AA$4:$AL$323,Ajustes!$J50,Z$2),0)+IF(Ajustes!$K50&gt;0,INDEX($AA$5:$AL$324,Ajustes!$K50,Z$2),0)+IF(Ajustes!$L50&gt;0,INDEX($AA$4:$AL$323,Ajustes!$L50,Z$2),0) + Z50</f>
        <v>233</v>
      </c>
      <c r="AM50" s="113">
        <f t="shared" ref="AM50:AV77" si="20">AA50</f>
        <v>327</v>
      </c>
      <c r="AN50" s="113">
        <f t="shared" si="20"/>
        <v>368</v>
      </c>
      <c r="AO50" s="113">
        <f t="shared" si="20"/>
        <v>312</v>
      </c>
      <c r="AP50" s="113">
        <f t="shared" si="20"/>
        <v>220</v>
      </c>
      <c r="AQ50" s="113">
        <f t="shared" si="20"/>
        <v>193</v>
      </c>
      <c r="AR50" s="113">
        <f t="shared" si="20"/>
        <v>201</v>
      </c>
      <c r="AS50" s="113">
        <f t="shared" si="20"/>
        <v>177</v>
      </c>
      <c r="AT50" s="113">
        <f t="shared" si="20"/>
        <v>148</v>
      </c>
      <c r="AU50" s="113">
        <f t="shared" si="20"/>
        <v>159</v>
      </c>
      <c r="AV50" s="113">
        <f t="shared" si="20"/>
        <v>191</v>
      </c>
      <c r="AW50" s="113">
        <f t="shared" ref="AW50:AX77" si="21">AK50</f>
        <v>181</v>
      </c>
      <c r="AX50" s="113">
        <f t="shared" si="21"/>
        <v>233</v>
      </c>
    </row>
    <row r="51" spans="1:50" x14ac:dyDescent="0.25">
      <c r="A51" s="113">
        <v>48</v>
      </c>
      <c r="B51" s="209" t="s">
        <v>562</v>
      </c>
      <c r="C51">
        <f>IFERROR(INDEX($BD$7:$BO$35,MATCH(Ajustes!$E$4:$E$323,$BC$7:$BC$35,0),$C$2:$N$2),1)</f>
        <v>1</v>
      </c>
      <c r="D51" s="113">
        <f>IFERROR(INDEX($BD$7:$BO$35,MATCH(Ajustes!$E$4:$E$323,$BC$7:$BC$35,0),$C$2:$N$2),1)</f>
        <v>1</v>
      </c>
      <c r="E51" s="113">
        <f>IFERROR(INDEX($BD$7:$BO$35,MATCH(Ajustes!$E$4:$E$323,$BC$7:$BC$35,0),$C$2:$N$2),1)</f>
        <v>1</v>
      </c>
      <c r="F51" s="113">
        <f>IFERROR(INDEX($BD$7:$BO$35,MATCH(Ajustes!$E$4:$E$323,$BC$7:$BC$35,0),$C$2:$N$2),1)</f>
        <v>1</v>
      </c>
      <c r="G51" s="113">
        <f>IFERROR(INDEX($BD$7:$BO$35,MATCH(Ajustes!$E$4:$E$323,$BC$7:$BC$35,0),$C$2:$N$2),1)</f>
        <v>1</v>
      </c>
      <c r="H51" s="113">
        <f>IFERROR(INDEX($BD$7:$BO$35,MATCH(Ajustes!$E$4:$E$323,$BC$7:$BC$35,0),$C$2:$N$2),1)</f>
        <v>1</v>
      </c>
      <c r="I51" s="113">
        <f>IFERROR(INDEX($BD$7:$BO$35,MATCH(Ajustes!$E$4:$E$323,$BC$7:$BC$35,0),$C$2:$N$2),1)</f>
        <v>1</v>
      </c>
      <c r="J51" s="113">
        <f>IFERROR(INDEX($BD$7:$BO$35,MATCH(Ajustes!$E$4:$E$323,$BC$7:$BC$35,0),$C$2:$N$2),1)</f>
        <v>1</v>
      </c>
      <c r="K51" s="113">
        <f>IFERROR(INDEX($BD$7:$BO$35,MATCH(Ajustes!$E$4:$E$323,$BC$7:$BC$35,0),$C$2:$N$2),1)</f>
        <v>1</v>
      </c>
      <c r="L51" s="113">
        <f>IFERROR(INDEX($BD$7:$BO$35,MATCH(Ajustes!$E$4:$E$323,$BC$7:$BC$35,0),$C$2:$N$2),1)</f>
        <v>1</v>
      </c>
      <c r="M51" s="113">
        <f>IFERROR(INDEX($BD$7:$BO$35,MATCH(Ajustes!$E$4:$E$323,$BC$7:$BC$35,0),$C$2:$N$2),1)</f>
        <v>1</v>
      </c>
      <c r="N51" s="113">
        <f>IFERROR(INDEX($BD$7:$BO$35,MATCH(Ajustes!$E$4:$E$323,$BC$7:$BC$35,0),$C$2:$N$2),1)</f>
        <v>1</v>
      </c>
      <c r="O51">
        <f>C51*Ajustes!AM51</f>
        <v>7</v>
      </c>
      <c r="P51">
        <f>D51*Ajustes!AN51</f>
        <v>9</v>
      </c>
      <c r="Q51">
        <f>E51*Ajustes!AO51</f>
        <v>8</v>
      </c>
      <c r="R51">
        <f>F51*Ajustes!AP51</f>
        <v>6</v>
      </c>
      <c r="S51">
        <f>G51*Ajustes!AQ51</f>
        <v>4</v>
      </c>
      <c r="T51">
        <f>H51*Ajustes!AR51</f>
        <v>6</v>
      </c>
      <c r="U51">
        <f>I51*Ajustes!AS51</f>
        <v>4</v>
      </c>
      <c r="V51">
        <f>J51*Ajustes!AT51</f>
        <v>3</v>
      </c>
      <c r="W51">
        <f>K51*Ajustes!AU51</f>
        <v>4</v>
      </c>
      <c r="X51">
        <f>L51*Ajustes!AV51</f>
        <v>5</v>
      </c>
      <c r="Y51">
        <f>M51*Ajustes!AW51</f>
        <v>5</v>
      </c>
      <c r="Z51">
        <f>N51*Ajustes!AX51</f>
        <v>5</v>
      </c>
      <c r="AA51">
        <f>IF(Ajustes!$G51&gt;0,INDEX($AA$4:$AL$323,Ajustes!$G51,O$2),0)+IF(Ajustes!$H51&gt;0,INDEX($AA$4:$AL$323,Ajustes!$H51,O$2),0)+IF(Ajustes!$I51&gt;0,INDEX($AA$4:$AL$323,Ajustes!$I51,O$2),0)+IF(Ajustes!$J51&gt;0,INDEX($AA$4:$AL$323,Ajustes!$J51,O$2),0)+IF(Ajustes!$K51&gt;0,INDEX($AA$5:$AL$324,Ajustes!$K51,O$2),0)+IF(Ajustes!$L51&gt;0,INDEX($AA$4:$AL$323,Ajustes!$L51,O$2),0) + O51</f>
        <v>334</v>
      </c>
      <c r="AB51">
        <f>IF(Ajustes!$G51&gt;0,INDEX($AA$4:$AL$323,Ajustes!$G51,P$2),0)+IF(Ajustes!$H51&gt;0,INDEX($AA$4:$AL$323,Ajustes!$H51,P$2),0)+IF(Ajustes!$I51&gt;0,INDEX($AA$4:$AL$323,Ajustes!$I51,P$2),0)+IF(Ajustes!$J51&gt;0,INDEX($AA$4:$AL$323,Ajustes!$J51,P$2),0)+IF(Ajustes!$K51&gt;0,INDEX($AA$5:$AL$324,Ajustes!$K51,P$2),0)+IF(Ajustes!$L51&gt;0,INDEX($AA$4:$AL$323,Ajustes!$L51,P$2),0) + P51</f>
        <v>377</v>
      </c>
      <c r="AC51">
        <f>IF(Ajustes!$G51&gt;0,INDEX($AA$4:$AL$323,Ajustes!$G51,Q$2),0)+IF(Ajustes!$H51&gt;0,INDEX($AA$4:$AL$323,Ajustes!$H51,Q$2),0)+IF(Ajustes!$I51&gt;0,INDEX($AA$4:$AL$323,Ajustes!$I51,Q$2),0)+IF(Ajustes!$J51&gt;0,INDEX($AA$4:$AL$323,Ajustes!$J51,Q$2),0)+IF(Ajustes!$K51&gt;0,INDEX($AA$5:$AL$324,Ajustes!$K51,Q$2),0)+IF(Ajustes!$L51&gt;0,INDEX($AA$4:$AL$323,Ajustes!$L51,Q$2),0) + Q51</f>
        <v>320</v>
      </c>
      <c r="AD51">
        <f>IF(Ajustes!$G51&gt;0,INDEX($AA$4:$AL$323,Ajustes!$G51,R$2),0)+IF(Ajustes!$H51&gt;0,INDEX($AA$4:$AL$323,Ajustes!$H51,R$2),0)+IF(Ajustes!$I51&gt;0,INDEX($AA$4:$AL$323,Ajustes!$I51,R$2),0)+IF(Ajustes!$J51&gt;0,INDEX($AA$4:$AL$323,Ajustes!$J51,R$2),0)+IF(Ajustes!$K51&gt;0,INDEX($AA$5:$AL$324,Ajustes!$K51,R$2),0)+IF(Ajustes!$L51&gt;0,INDEX($AA$4:$AL$323,Ajustes!$L51,R$2),0) + R51</f>
        <v>226</v>
      </c>
      <c r="AE51">
        <f>IF(Ajustes!$G51&gt;0,INDEX($AA$4:$AL$323,Ajustes!$G51,S$2),0)+IF(Ajustes!$H51&gt;0,INDEX($AA$4:$AL$323,Ajustes!$H51,S$2),0)+IF(Ajustes!$I51&gt;0,INDEX($AA$4:$AL$323,Ajustes!$I51,S$2),0)+IF(Ajustes!$J51&gt;0,INDEX($AA$4:$AL$323,Ajustes!$J51,S$2),0)+IF(Ajustes!$K51&gt;0,INDEX($AA$5:$AL$324,Ajustes!$K51,S$2),0)+IF(Ajustes!$L51&gt;0,INDEX($AA$4:$AL$323,Ajustes!$L51,S$2),0) + S51</f>
        <v>197</v>
      </c>
      <c r="AF51">
        <f>IF(Ajustes!$G51&gt;0,INDEX($AA$4:$AL$323,Ajustes!$G51,T$2),0)+IF(Ajustes!$H51&gt;0,INDEX($AA$4:$AL$323,Ajustes!$H51,T$2),0)+IF(Ajustes!$I51&gt;0,INDEX($AA$4:$AL$323,Ajustes!$I51,T$2),0)+IF(Ajustes!$J51&gt;0,INDEX($AA$4:$AL$323,Ajustes!$J51,T$2),0)+IF(Ajustes!$K51&gt;0,INDEX($AA$5:$AL$324,Ajustes!$K51,T$2),0)+IF(Ajustes!$L51&gt;0,INDEX($AA$4:$AL$323,Ajustes!$L51,T$2),0) + T51</f>
        <v>207</v>
      </c>
      <c r="AG51">
        <f>IF(Ajustes!$G51&gt;0,INDEX($AA$4:$AL$323,Ajustes!$G51,U$2),0)+IF(Ajustes!$H51&gt;0,INDEX($AA$4:$AL$323,Ajustes!$H51,U$2),0)+IF(Ajustes!$I51&gt;0,INDEX($AA$4:$AL$323,Ajustes!$I51,U$2),0)+IF(Ajustes!$J51&gt;0,INDEX($AA$4:$AL$323,Ajustes!$J51,U$2),0)+IF(Ajustes!$K51&gt;0,INDEX($AA$5:$AL$324,Ajustes!$K51,U$2),0)+IF(Ajustes!$L51&gt;0,INDEX($AA$4:$AL$323,Ajustes!$L51,U$2),0) + U51</f>
        <v>181</v>
      </c>
      <c r="AH51">
        <f>IF(Ajustes!$G51&gt;0,INDEX($AA$4:$AL$323,Ajustes!$G51,V$2),0)+IF(Ajustes!$H51&gt;0,INDEX($AA$4:$AL$323,Ajustes!$H51,V$2),0)+IF(Ajustes!$I51&gt;0,INDEX($AA$4:$AL$323,Ajustes!$I51,V$2),0)+IF(Ajustes!$J51&gt;0,INDEX($AA$4:$AL$323,Ajustes!$J51,V$2),0)+IF(Ajustes!$K51&gt;0,INDEX($AA$5:$AL$324,Ajustes!$K51,V$2),0)+IF(Ajustes!$L51&gt;0,INDEX($AA$4:$AL$323,Ajustes!$L51,V$2),0) + V51</f>
        <v>151</v>
      </c>
      <c r="AI51">
        <f>IF(Ajustes!$G51&gt;0,INDEX($AA$4:$AL$323,Ajustes!$G51,W$2),0)+IF(Ajustes!$H51&gt;0,INDEX($AA$4:$AL$323,Ajustes!$H51,W$2),0)+IF(Ajustes!$I51&gt;0,INDEX($AA$4:$AL$323,Ajustes!$I51,W$2),0)+IF(Ajustes!$J51&gt;0,INDEX($AA$4:$AL$323,Ajustes!$J51,W$2),0)+IF(Ajustes!$K51&gt;0,INDEX($AA$5:$AL$324,Ajustes!$K51,W$2),0)+IF(Ajustes!$L51&gt;0,INDEX($AA$4:$AL$323,Ajustes!$L51,W$2),0) + W51</f>
        <v>163</v>
      </c>
      <c r="AJ51">
        <f>IF(Ajustes!$G51&gt;0,INDEX($AA$4:$AL$323,Ajustes!$G51,X$2),0)+IF(Ajustes!$H51&gt;0,INDEX($AA$4:$AL$323,Ajustes!$H51,X$2),0)+IF(Ajustes!$I51&gt;0,INDEX($AA$4:$AL$323,Ajustes!$I51,X$2),0)+IF(Ajustes!$J51&gt;0,INDEX($AA$4:$AL$323,Ajustes!$J51,X$2),0)+IF(Ajustes!$K51&gt;0,INDEX($AA$5:$AL$324,Ajustes!$K51,X$2),0)+IF(Ajustes!$L51&gt;0,INDEX($AA$4:$AL$323,Ajustes!$L51,X$2),0) + X51</f>
        <v>196</v>
      </c>
      <c r="AK51">
        <f>IF(Ajustes!$G51&gt;0,INDEX($AA$4:$AL$323,Ajustes!$G51,Y$2),0)+IF(Ajustes!$H51&gt;0,INDEX($AA$4:$AL$323,Ajustes!$H51,Y$2),0)+IF(Ajustes!$I51&gt;0,INDEX($AA$4:$AL$323,Ajustes!$I51,Y$2),0)+IF(Ajustes!$J51&gt;0,INDEX($AA$4:$AL$323,Ajustes!$J51,Y$2),0)+IF(Ajustes!$K51&gt;0,INDEX($AA$5:$AL$324,Ajustes!$K51,Y$2),0)+IF(Ajustes!$L51&gt;0,INDEX($AA$4:$AL$323,Ajustes!$L51,Y$2),0) + Y51</f>
        <v>186</v>
      </c>
      <c r="AL51">
        <f>IF(Ajustes!$G51&gt;0,INDEX($AA$4:$AL$323,Ajustes!$G51,Z$2),0)+IF(Ajustes!$H51&gt;0,INDEX($AA$4:$AL$323,Ajustes!$H51,Z$2),0)+IF(Ajustes!$I51&gt;0,INDEX($AA$4:$AL$323,Ajustes!$I51,Z$2),0)+IF(Ajustes!$J51&gt;0,INDEX($AA$4:$AL$323,Ajustes!$J51,Z$2),0)+IF(Ajustes!$K51&gt;0,INDEX($AA$5:$AL$324,Ajustes!$K51,Z$2),0)+IF(Ajustes!$L51&gt;0,INDEX($AA$4:$AL$323,Ajustes!$L51,Z$2),0) + Z51</f>
        <v>238</v>
      </c>
      <c r="AM51" s="113">
        <f t="shared" si="20"/>
        <v>334</v>
      </c>
      <c r="AN51" s="113">
        <f t="shared" si="20"/>
        <v>377</v>
      </c>
      <c r="AO51" s="113">
        <f t="shared" si="20"/>
        <v>320</v>
      </c>
      <c r="AP51" s="113">
        <f t="shared" si="20"/>
        <v>226</v>
      </c>
      <c r="AQ51" s="113">
        <f t="shared" si="20"/>
        <v>197</v>
      </c>
      <c r="AR51" s="113">
        <f t="shared" si="20"/>
        <v>207</v>
      </c>
      <c r="AS51" s="113">
        <f t="shared" si="20"/>
        <v>181</v>
      </c>
      <c r="AT51" s="113">
        <f t="shared" si="20"/>
        <v>151</v>
      </c>
      <c r="AU51" s="113">
        <f t="shared" si="20"/>
        <v>163</v>
      </c>
      <c r="AV51" s="113">
        <f t="shared" si="20"/>
        <v>196</v>
      </c>
      <c r="AW51" s="113">
        <f t="shared" si="21"/>
        <v>186</v>
      </c>
      <c r="AX51" s="113">
        <f t="shared" si="21"/>
        <v>238</v>
      </c>
    </row>
    <row r="52" spans="1:50" x14ac:dyDescent="0.25">
      <c r="A52" s="113">
        <v>49</v>
      </c>
      <c r="B52" s="209" t="s">
        <v>563</v>
      </c>
      <c r="C52">
        <f>IFERROR(INDEX($BD$7:$BO$35,MATCH(Ajustes!$E$4:$E$323,$BC$7:$BC$35,0),$C$2:$N$2),1)</f>
        <v>1</v>
      </c>
      <c r="D52" s="113">
        <f>IFERROR(INDEX($BD$7:$BO$35,MATCH(Ajustes!$E$4:$E$323,$BC$7:$BC$35,0),$C$2:$N$2),1)</f>
        <v>1</v>
      </c>
      <c r="E52" s="113">
        <f>IFERROR(INDEX($BD$7:$BO$35,MATCH(Ajustes!$E$4:$E$323,$BC$7:$BC$35,0),$C$2:$N$2),1)</f>
        <v>1</v>
      </c>
      <c r="F52" s="113">
        <f>IFERROR(INDEX($BD$7:$BO$35,MATCH(Ajustes!$E$4:$E$323,$BC$7:$BC$35,0),$C$2:$N$2),1)</f>
        <v>1</v>
      </c>
      <c r="G52" s="113">
        <f>IFERROR(INDEX($BD$7:$BO$35,MATCH(Ajustes!$E$4:$E$323,$BC$7:$BC$35,0),$C$2:$N$2),1)</f>
        <v>1</v>
      </c>
      <c r="H52" s="113">
        <f>IFERROR(INDEX($BD$7:$BO$35,MATCH(Ajustes!$E$4:$E$323,$BC$7:$BC$35,0),$C$2:$N$2),1)</f>
        <v>1</v>
      </c>
      <c r="I52" s="113">
        <f>IFERROR(INDEX($BD$7:$BO$35,MATCH(Ajustes!$E$4:$E$323,$BC$7:$BC$35,0),$C$2:$N$2),1)</f>
        <v>1</v>
      </c>
      <c r="J52" s="113">
        <f>IFERROR(INDEX($BD$7:$BO$35,MATCH(Ajustes!$E$4:$E$323,$BC$7:$BC$35,0),$C$2:$N$2),1)</f>
        <v>1</v>
      </c>
      <c r="K52" s="113">
        <f>IFERROR(INDEX($BD$7:$BO$35,MATCH(Ajustes!$E$4:$E$323,$BC$7:$BC$35,0),$C$2:$N$2),1)</f>
        <v>1</v>
      </c>
      <c r="L52" s="113">
        <f>IFERROR(INDEX($BD$7:$BO$35,MATCH(Ajustes!$E$4:$E$323,$BC$7:$BC$35,0),$C$2:$N$2),1)</f>
        <v>1</v>
      </c>
      <c r="M52" s="113">
        <f>IFERROR(INDEX($BD$7:$BO$35,MATCH(Ajustes!$E$4:$E$323,$BC$7:$BC$35,0),$C$2:$N$2),1)</f>
        <v>1</v>
      </c>
      <c r="N52" s="113">
        <f>IFERROR(INDEX($BD$7:$BO$35,MATCH(Ajustes!$E$4:$E$323,$BC$7:$BC$35,0),$C$2:$N$2),1)</f>
        <v>1</v>
      </c>
      <c r="O52">
        <f>C52*Ajustes!AM52</f>
        <v>172</v>
      </c>
      <c r="P52">
        <f>D52*Ajustes!AN52</f>
        <v>170</v>
      </c>
      <c r="Q52">
        <f>E52*Ajustes!AO52</f>
        <v>133</v>
      </c>
      <c r="R52">
        <f>F52*Ajustes!AP52</f>
        <v>100</v>
      </c>
      <c r="S52">
        <f>G52*Ajustes!AQ52</f>
        <v>104</v>
      </c>
      <c r="T52">
        <f>H52*Ajustes!AR52</f>
        <v>107</v>
      </c>
      <c r="U52">
        <f>I52*Ajustes!AS52</f>
        <v>96</v>
      </c>
      <c r="V52">
        <f>J52*Ajustes!AT52</f>
        <v>78</v>
      </c>
      <c r="W52">
        <f>K52*Ajustes!AU52</f>
        <v>92</v>
      </c>
      <c r="X52">
        <f>L52*Ajustes!AV52</f>
        <v>109</v>
      </c>
      <c r="Y52">
        <f>M52*Ajustes!AW52</f>
        <v>96</v>
      </c>
      <c r="Z52">
        <f>N52*Ajustes!AX52</f>
        <v>113</v>
      </c>
      <c r="AA52">
        <f>IF(Ajustes!$G52&gt;0,INDEX($AA$4:$AL$323,Ajustes!$G52,O$2),0)+IF(Ajustes!$H52&gt;0,INDEX($AA$4:$AL$323,Ajustes!$H52,O$2),0)+IF(Ajustes!$I52&gt;0,INDEX($AA$4:$AL$323,Ajustes!$I52,O$2),0)+IF(Ajustes!$J52&gt;0,INDEX($AA$4:$AL$323,Ajustes!$J52,O$2),0)+IF(Ajustes!$K52&gt;0,INDEX($AA$5:$AL$324,Ajustes!$K52,O$2),0)+IF(Ajustes!$L52&gt;0,INDEX($AA$4:$AL$323,Ajustes!$L52,O$2),0) + O52</f>
        <v>506</v>
      </c>
      <c r="AB52">
        <f>IF(Ajustes!$G52&gt;0,INDEX($AA$4:$AL$323,Ajustes!$G52,P$2),0)+IF(Ajustes!$H52&gt;0,INDEX($AA$4:$AL$323,Ajustes!$H52,P$2),0)+IF(Ajustes!$I52&gt;0,INDEX($AA$4:$AL$323,Ajustes!$I52,P$2),0)+IF(Ajustes!$J52&gt;0,INDEX($AA$4:$AL$323,Ajustes!$J52,P$2),0)+IF(Ajustes!$K52&gt;0,INDEX($AA$5:$AL$324,Ajustes!$K52,P$2),0)+IF(Ajustes!$L52&gt;0,INDEX($AA$4:$AL$323,Ajustes!$L52,P$2),0) + P52</f>
        <v>547</v>
      </c>
      <c r="AC52">
        <f>IF(Ajustes!$G52&gt;0,INDEX($AA$4:$AL$323,Ajustes!$G52,Q$2),0)+IF(Ajustes!$H52&gt;0,INDEX($AA$4:$AL$323,Ajustes!$H52,Q$2),0)+IF(Ajustes!$I52&gt;0,INDEX($AA$4:$AL$323,Ajustes!$I52,Q$2),0)+IF(Ajustes!$J52&gt;0,INDEX($AA$4:$AL$323,Ajustes!$J52,Q$2),0)+IF(Ajustes!$K52&gt;0,INDEX($AA$5:$AL$324,Ajustes!$K52,Q$2),0)+IF(Ajustes!$L52&gt;0,INDEX($AA$4:$AL$323,Ajustes!$L52,Q$2),0) + Q52</f>
        <v>453</v>
      </c>
      <c r="AD52">
        <f>IF(Ajustes!$G52&gt;0,INDEX($AA$4:$AL$323,Ajustes!$G52,R$2),0)+IF(Ajustes!$H52&gt;0,INDEX($AA$4:$AL$323,Ajustes!$H52,R$2),0)+IF(Ajustes!$I52&gt;0,INDEX($AA$4:$AL$323,Ajustes!$I52,R$2),0)+IF(Ajustes!$J52&gt;0,INDEX($AA$4:$AL$323,Ajustes!$J52,R$2),0)+IF(Ajustes!$K52&gt;0,INDEX($AA$5:$AL$324,Ajustes!$K52,R$2),0)+IF(Ajustes!$L52&gt;0,INDEX($AA$4:$AL$323,Ajustes!$L52,R$2),0) + R52</f>
        <v>326</v>
      </c>
      <c r="AE52">
        <f>IF(Ajustes!$G52&gt;0,INDEX($AA$4:$AL$323,Ajustes!$G52,S$2),0)+IF(Ajustes!$H52&gt;0,INDEX($AA$4:$AL$323,Ajustes!$H52,S$2),0)+IF(Ajustes!$I52&gt;0,INDEX($AA$4:$AL$323,Ajustes!$I52,S$2),0)+IF(Ajustes!$J52&gt;0,INDEX($AA$4:$AL$323,Ajustes!$J52,S$2),0)+IF(Ajustes!$K52&gt;0,INDEX($AA$5:$AL$324,Ajustes!$K52,S$2),0)+IF(Ajustes!$L52&gt;0,INDEX($AA$4:$AL$323,Ajustes!$L52,S$2),0) + S52</f>
        <v>301</v>
      </c>
      <c r="AF52">
        <f>IF(Ajustes!$G52&gt;0,INDEX($AA$4:$AL$323,Ajustes!$G52,T$2),0)+IF(Ajustes!$H52&gt;0,INDEX($AA$4:$AL$323,Ajustes!$H52,T$2),0)+IF(Ajustes!$I52&gt;0,INDEX($AA$4:$AL$323,Ajustes!$I52,T$2),0)+IF(Ajustes!$J52&gt;0,INDEX($AA$4:$AL$323,Ajustes!$J52,T$2),0)+IF(Ajustes!$K52&gt;0,INDEX($AA$5:$AL$324,Ajustes!$K52,T$2),0)+IF(Ajustes!$L52&gt;0,INDEX($AA$4:$AL$323,Ajustes!$L52,T$2),0) + T52</f>
        <v>314</v>
      </c>
      <c r="AG52">
        <f>IF(Ajustes!$G52&gt;0,INDEX($AA$4:$AL$323,Ajustes!$G52,U$2),0)+IF(Ajustes!$H52&gt;0,INDEX($AA$4:$AL$323,Ajustes!$H52,U$2),0)+IF(Ajustes!$I52&gt;0,INDEX($AA$4:$AL$323,Ajustes!$I52,U$2),0)+IF(Ajustes!$J52&gt;0,INDEX($AA$4:$AL$323,Ajustes!$J52,U$2),0)+IF(Ajustes!$K52&gt;0,INDEX($AA$5:$AL$324,Ajustes!$K52,U$2),0)+IF(Ajustes!$L52&gt;0,INDEX($AA$4:$AL$323,Ajustes!$L52,U$2),0) + U52</f>
        <v>277</v>
      </c>
      <c r="AH52">
        <f>IF(Ajustes!$G52&gt;0,INDEX($AA$4:$AL$323,Ajustes!$G52,V$2),0)+IF(Ajustes!$H52&gt;0,INDEX($AA$4:$AL$323,Ajustes!$H52,V$2),0)+IF(Ajustes!$I52&gt;0,INDEX($AA$4:$AL$323,Ajustes!$I52,V$2),0)+IF(Ajustes!$J52&gt;0,INDEX($AA$4:$AL$323,Ajustes!$J52,V$2),0)+IF(Ajustes!$K52&gt;0,INDEX($AA$5:$AL$324,Ajustes!$K52,V$2),0)+IF(Ajustes!$L52&gt;0,INDEX($AA$4:$AL$323,Ajustes!$L52,V$2),0) + V52</f>
        <v>229</v>
      </c>
      <c r="AI52">
        <f>IF(Ajustes!$G52&gt;0,INDEX($AA$4:$AL$323,Ajustes!$G52,W$2),0)+IF(Ajustes!$H52&gt;0,INDEX($AA$4:$AL$323,Ajustes!$H52,W$2),0)+IF(Ajustes!$I52&gt;0,INDEX($AA$4:$AL$323,Ajustes!$I52,W$2),0)+IF(Ajustes!$J52&gt;0,INDEX($AA$4:$AL$323,Ajustes!$J52,W$2),0)+IF(Ajustes!$K52&gt;0,INDEX($AA$5:$AL$324,Ajustes!$K52,W$2),0)+IF(Ajustes!$L52&gt;0,INDEX($AA$4:$AL$323,Ajustes!$L52,W$2),0) + W52</f>
        <v>255</v>
      </c>
      <c r="AJ52">
        <f>IF(Ajustes!$G52&gt;0,INDEX($AA$4:$AL$323,Ajustes!$G52,X$2),0)+IF(Ajustes!$H52&gt;0,INDEX($AA$4:$AL$323,Ajustes!$H52,X$2),0)+IF(Ajustes!$I52&gt;0,INDEX($AA$4:$AL$323,Ajustes!$I52,X$2),0)+IF(Ajustes!$J52&gt;0,INDEX($AA$4:$AL$323,Ajustes!$J52,X$2),0)+IF(Ajustes!$K52&gt;0,INDEX($AA$5:$AL$324,Ajustes!$K52,X$2),0)+IF(Ajustes!$L52&gt;0,INDEX($AA$4:$AL$323,Ajustes!$L52,X$2),0) + X52</f>
        <v>305</v>
      </c>
      <c r="AK52">
        <f>IF(Ajustes!$G52&gt;0,INDEX($AA$4:$AL$323,Ajustes!$G52,Y$2),0)+IF(Ajustes!$H52&gt;0,INDEX($AA$4:$AL$323,Ajustes!$H52,Y$2),0)+IF(Ajustes!$I52&gt;0,INDEX($AA$4:$AL$323,Ajustes!$I52,Y$2),0)+IF(Ajustes!$J52&gt;0,INDEX($AA$4:$AL$323,Ajustes!$J52,Y$2),0)+IF(Ajustes!$K52&gt;0,INDEX($AA$5:$AL$324,Ajustes!$K52,Y$2),0)+IF(Ajustes!$L52&gt;0,INDEX($AA$4:$AL$323,Ajustes!$L52,Y$2),0) + Y52</f>
        <v>282</v>
      </c>
      <c r="AL52">
        <f>IF(Ajustes!$G52&gt;0,INDEX($AA$4:$AL$323,Ajustes!$G52,Z$2),0)+IF(Ajustes!$H52&gt;0,INDEX($AA$4:$AL$323,Ajustes!$H52,Z$2),0)+IF(Ajustes!$I52&gt;0,INDEX($AA$4:$AL$323,Ajustes!$I52,Z$2),0)+IF(Ajustes!$J52&gt;0,INDEX($AA$4:$AL$323,Ajustes!$J52,Z$2),0)+IF(Ajustes!$K52&gt;0,INDEX($AA$5:$AL$324,Ajustes!$K52,Z$2),0)+IF(Ajustes!$L52&gt;0,INDEX($AA$4:$AL$323,Ajustes!$L52,Z$2),0) + Z52</f>
        <v>351</v>
      </c>
      <c r="AM52" s="113">
        <f t="shared" si="20"/>
        <v>506</v>
      </c>
      <c r="AN52" s="113">
        <f t="shared" si="20"/>
        <v>547</v>
      </c>
      <c r="AO52" s="113">
        <f t="shared" si="20"/>
        <v>453</v>
      </c>
      <c r="AP52" s="113">
        <f t="shared" si="20"/>
        <v>326</v>
      </c>
      <c r="AQ52" s="113">
        <f t="shared" si="20"/>
        <v>301</v>
      </c>
      <c r="AR52" s="113">
        <f t="shared" si="20"/>
        <v>314</v>
      </c>
      <c r="AS52" s="113">
        <f t="shared" si="20"/>
        <v>277</v>
      </c>
      <c r="AT52" s="113">
        <f t="shared" si="20"/>
        <v>229</v>
      </c>
      <c r="AU52" s="113">
        <f t="shared" si="20"/>
        <v>255</v>
      </c>
      <c r="AV52" s="113">
        <f t="shared" si="20"/>
        <v>305</v>
      </c>
      <c r="AW52" s="113">
        <f t="shared" si="21"/>
        <v>282</v>
      </c>
      <c r="AX52" s="113">
        <f t="shared" si="21"/>
        <v>351</v>
      </c>
    </row>
    <row r="53" spans="1:50" x14ac:dyDescent="0.25">
      <c r="A53" s="113">
        <v>50</v>
      </c>
      <c r="B53" s="209" t="s">
        <v>564</v>
      </c>
      <c r="C53">
        <f>IFERROR(INDEX($BD$7:$BO$35,MATCH(Ajustes!$E$4:$E$323,$BC$7:$BC$35,0),$C$2:$N$2),1)</f>
        <v>1</v>
      </c>
      <c r="D53" s="113">
        <f>IFERROR(INDEX($BD$7:$BO$35,MATCH(Ajustes!$E$4:$E$323,$BC$7:$BC$35,0),$C$2:$N$2),1)</f>
        <v>1</v>
      </c>
      <c r="E53" s="113">
        <f>IFERROR(INDEX($BD$7:$BO$35,MATCH(Ajustes!$E$4:$E$323,$BC$7:$BC$35,0),$C$2:$N$2),1)</f>
        <v>1</v>
      </c>
      <c r="F53" s="113">
        <f>IFERROR(INDEX($BD$7:$BO$35,MATCH(Ajustes!$E$4:$E$323,$BC$7:$BC$35,0),$C$2:$N$2),1)</f>
        <v>1</v>
      </c>
      <c r="G53" s="113">
        <f>IFERROR(INDEX($BD$7:$BO$35,MATCH(Ajustes!$E$4:$E$323,$BC$7:$BC$35,0),$C$2:$N$2),1)</f>
        <v>1</v>
      </c>
      <c r="H53" s="113">
        <f>IFERROR(INDEX($BD$7:$BO$35,MATCH(Ajustes!$E$4:$E$323,$BC$7:$BC$35,0),$C$2:$N$2),1)</f>
        <v>1</v>
      </c>
      <c r="I53" s="113">
        <f>IFERROR(INDEX($BD$7:$BO$35,MATCH(Ajustes!$E$4:$E$323,$BC$7:$BC$35,0),$C$2:$N$2),1)</f>
        <v>1</v>
      </c>
      <c r="J53" s="113">
        <f>IFERROR(INDEX($BD$7:$BO$35,MATCH(Ajustes!$E$4:$E$323,$BC$7:$BC$35,0),$C$2:$N$2),1)</f>
        <v>1</v>
      </c>
      <c r="K53" s="113">
        <f>IFERROR(INDEX($BD$7:$BO$35,MATCH(Ajustes!$E$4:$E$323,$BC$7:$BC$35,0),$C$2:$N$2),1)</f>
        <v>1</v>
      </c>
      <c r="L53" s="113">
        <f>IFERROR(INDEX($BD$7:$BO$35,MATCH(Ajustes!$E$4:$E$323,$BC$7:$BC$35,0),$C$2:$N$2),1)</f>
        <v>1</v>
      </c>
      <c r="M53" s="113">
        <f>IFERROR(INDEX($BD$7:$BO$35,MATCH(Ajustes!$E$4:$E$323,$BC$7:$BC$35,0),$C$2:$N$2),1)</f>
        <v>1</v>
      </c>
      <c r="N53" s="113">
        <f>IFERROR(INDEX($BD$7:$BO$35,MATCH(Ajustes!$E$4:$E$323,$BC$7:$BC$35,0),$C$2:$N$2),1)</f>
        <v>1</v>
      </c>
      <c r="O53">
        <f>C53*Ajustes!AM53</f>
        <v>143</v>
      </c>
      <c r="P53">
        <f>D53*Ajustes!AN53</f>
        <v>163</v>
      </c>
      <c r="Q53">
        <f>E53*Ajustes!AO53</f>
        <v>148</v>
      </c>
      <c r="R53">
        <f>F53*Ajustes!AP53</f>
        <v>117</v>
      </c>
      <c r="S53">
        <f>G53*Ajustes!AQ53</f>
        <v>104</v>
      </c>
      <c r="T53">
        <f>H53*Ajustes!AR53</f>
        <v>106</v>
      </c>
      <c r="U53">
        <f>I53*Ajustes!AS53</f>
        <v>89</v>
      </c>
      <c r="V53">
        <f>J53*Ajustes!AT53</f>
        <v>78</v>
      </c>
      <c r="W53">
        <f>K53*Ajustes!AU53</f>
        <v>80</v>
      </c>
      <c r="X53">
        <f>L53*Ajustes!AV53</f>
        <v>90</v>
      </c>
      <c r="Y53">
        <f>M53*Ajustes!AW53</f>
        <v>89</v>
      </c>
      <c r="Z53">
        <f>N53*Ajustes!AX53</f>
        <v>109</v>
      </c>
      <c r="AA53">
        <f>IF(Ajustes!$G53&gt;0,INDEX($AA$4:$AL$323,Ajustes!$G53,O$2),0)+IF(Ajustes!$H53&gt;0,INDEX($AA$4:$AL$323,Ajustes!$H53,O$2),0)+IF(Ajustes!$I53&gt;0,INDEX($AA$4:$AL$323,Ajustes!$I53,O$2),0)+IF(Ajustes!$J53&gt;0,INDEX($AA$4:$AL$323,Ajustes!$J53,O$2),0)+IF(Ajustes!$K53&gt;0,INDEX($AA$5:$AL$324,Ajustes!$K53,O$2),0)+IF(Ajustes!$L53&gt;0,INDEX($AA$4:$AL$323,Ajustes!$L53,O$2),0) + O53</f>
        <v>655</v>
      </c>
      <c r="AB53">
        <f>IF(Ajustes!$G53&gt;0,INDEX($AA$4:$AL$323,Ajustes!$G53,P$2),0)+IF(Ajustes!$H53&gt;0,INDEX($AA$4:$AL$323,Ajustes!$H53,P$2),0)+IF(Ajustes!$I53&gt;0,INDEX($AA$4:$AL$323,Ajustes!$I53,P$2),0)+IF(Ajustes!$J53&gt;0,INDEX($AA$4:$AL$323,Ajustes!$J53,P$2),0)+IF(Ajustes!$K53&gt;0,INDEX($AA$5:$AL$324,Ajustes!$K53,P$2),0)+IF(Ajustes!$L53&gt;0,INDEX($AA$4:$AL$323,Ajustes!$L53,P$2),0) + P53</f>
        <v>716</v>
      </c>
      <c r="AC53">
        <f>IF(Ajustes!$G53&gt;0,INDEX($AA$4:$AL$323,Ajustes!$G53,Q$2),0)+IF(Ajustes!$H53&gt;0,INDEX($AA$4:$AL$323,Ajustes!$H53,Q$2),0)+IF(Ajustes!$I53&gt;0,INDEX($AA$4:$AL$323,Ajustes!$I53,Q$2),0)+IF(Ajustes!$J53&gt;0,INDEX($AA$4:$AL$323,Ajustes!$J53,Q$2),0)+IF(Ajustes!$K53&gt;0,INDEX($AA$5:$AL$324,Ajustes!$K53,Q$2),0)+IF(Ajustes!$L53&gt;0,INDEX($AA$4:$AL$323,Ajustes!$L53,Q$2),0) + Q53</f>
        <v>606</v>
      </c>
      <c r="AD53">
        <f>IF(Ajustes!$G53&gt;0,INDEX($AA$4:$AL$323,Ajustes!$G53,R$2),0)+IF(Ajustes!$H53&gt;0,INDEX($AA$4:$AL$323,Ajustes!$H53,R$2),0)+IF(Ajustes!$I53&gt;0,INDEX($AA$4:$AL$323,Ajustes!$I53,R$2),0)+IF(Ajustes!$J53&gt;0,INDEX($AA$4:$AL$323,Ajustes!$J53,R$2),0)+IF(Ajustes!$K53&gt;0,INDEX($AA$5:$AL$324,Ajustes!$K53,R$2),0)+IF(Ajustes!$L53&gt;0,INDEX($AA$4:$AL$323,Ajustes!$L53,R$2),0) + R53</f>
        <v>448</v>
      </c>
      <c r="AE53">
        <f>IF(Ajustes!$G53&gt;0,INDEX($AA$4:$AL$323,Ajustes!$G53,S$2),0)+IF(Ajustes!$H53&gt;0,INDEX($AA$4:$AL$323,Ajustes!$H53,S$2),0)+IF(Ajustes!$I53&gt;0,INDEX($AA$4:$AL$323,Ajustes!$I53,S$2),0)+IF(Ajustes!$J53&gt;0,INDEX($AA$4:$AL$323,Ajustes!$J53,S$2),0)+IF(Ajustes!$K53&gt;0,INDEX($AA$5:$AL$324,Ajustes!$K53,S$2),0)+IF(Ajustes!$L53&gt;0,INDEX($AA$4:$AL$323,Ajustes!$L53,S$2),0) + S53</f>
        <v>409</v>
      </c>
      <c r="AF53">
        <f>IF(Ajustes!$G53&gt;0,INDEX($AA$4:$AL$323,Ajustes!$G53,T$2),0)+IF(Ajustes!$H53&gt;0,INDEX($AA$4:$AL$323,Ajustes!$H53,T$2),0)+IF(Ajustes!$I53&gt;0,INDEX($AA$4:$AL$323,Ajustes!$I53,T$2),0)+IF(Ajustes!$J53&gt;0,INDEX($AA$4:$AL$323,Ajustes!$J53,T$2),0)+IF(Ajustes!$K53&gt;0,INDEX($AA$5:$AL$324,Ajustes!$K53,T$2),0)+IF(Ajustes!$L53&gt;0,INDEX($AA$4:$AL$323,Ajustes!$L53,T$2),0) + T53</f>
        <v>425</v>
      </c>
      <c r="AG53">
        <f>IF(Ajustes!$G53&gt;0,INDEX($AA$4:$AL$323,Ajustes!$G53,U$2),0)+IF(Ajustes!$H53&gt;0,INDEX($AA$4:$AL$323,Ajustes!$H53,U$2),0)+IF(Ajustes!$I53&gt;0,INDEX($AA$4:$AL$323,Ajustes!$I53,U$2),0)+IF(Ajustes!$J53&gt;0,INDEX($AA$4:$AL$323,Ajustes!$J53,U$2),0)+IF(Ajustes!$K53&gt;0,INDEX($AA$5:$AL$324,Ajustes!$K53,U$2),0)+IF(Ajustes!$L53&gt;0,INDEX($AA$4:$AL$323,Ajustes!$L53,U$2),0) + U53</f>
        <v>370</v>
      </c>
      <c r="AH53">
        <f>IF(Ajustes!$G53&gt;0,INDEX($AA$4:$AL$323,Ajustes!$G53,V$2),0)+IF(Ajustes!$H53&gt;0,INDEX($AA$4:$AL$323,Ajustes!$H53,V$2),0)+IF(Ajustes!$I53&gt;0,INDEX($AA$4:$AL$323,Ajustes!$I53,V$2),0)+IF(Ajustes!$J53&gt;0,INDEX($AA$4:$AL$323,Ajustes!$J53,V$2),0)+IF(Ajustes!$K53&gt;0,INDEX($AA$5:$AL$324,Ajustes!$K53,V$2),0)+IF(Ajustes!$L53&gt;0,INDEX($AA$4:$AL$323,Ajustes!$L53,V$2),0) + V53</f>
        <v>310</v>
      </c>
      <c r="AI53">
        <f>IF(Ajustes!$G53&gt;0,INDEX($AA$4:$AL$323,Ajustes!$G53,W$2),0)+IF(Ajustes!$H53&gt;0,INDEX($AA$4:$AL$323,Ajustes!$H53,W$2),0)+IF(Ajustes!$I53&gt;0,INDEX($AA$4:$AL$323,Ajustes!$I53,W$2),0)+IF(Ajustes!$J53&gt;0,INDEX($AA$4:$AL$323,Ajustes!$J53,W$2),0)+IF(Ajustes!$K53&gt;0,INDEX($AA$5:$AL$324,Ajustes!$K53,W$2),0)+IF(Ajustes!$L53&gt;0,INDEX($AA$4:$AL$323,Ajustes!$L53,W$2),0) + W53</f>
        <v>338</v>
      </c>
      <c r="AJ53">
        <f>IF(Ajustes!$G53&gt;0,INDEX($AA$4:$AL$323,Ajustes!$G53,X$2),0)+IF(Ajustes!$H53&gt;0,INDEX($AA$4:$AL$323,Ajustes!$H53,X$2),0)+IF(Ajustes!$I53&gt;0,INDEX($AA$4:$AL$323,Ajustes!$I53,X$2),0)+IF(Ajustes!$J53&gt;0,INDEX($AA$4:$AL$323,Ajustes!$J53,X$2),0)+IF(Ajustes!$K53&gt;0,INDEX($AA$5:$AL$324,Ajustes!$K53,X$2),0)+IF(Ajustes!$L53&gt;0,INDEX($AA$4:$AL$323,Ajustes!$L53,X$2),0) + X53</f>
        <v>399</v>
      </c>
      <c r="AK53">
        <f>IF(Ajustes!$G53&gt;0,INDEX($AA$4:$AL$323,Ajustes!$G53,Y$2),0)+IF(Ajustes!$H53&gt;0,INDEX($AA$4:$AL$323,Ajustes!$H53,Y$2),0)+IF(Ajustes!$I53&gt;0,INDEX($AA$4:$AL$323,Ajustes!$I53,Y$2),0)+IF(Ajustes!$J53&gt;0,INDEX($AA$4:$AL$323,Ajustes!$J53,Y$2),0)+IF(Ajustes!$K53&gt;0,INDEX($AA$5:$AL$324,Ajustes!$K53,Y$2),0)+IF(Ajustes!$L53&gt;0,INDEX($AA$4:$AL$323,Ajustes!$L53,Y$2),0) + Y53</f>
        <v>375</v>
      </c>
      <c r="AL53">
        <f>IF(Ajustes!$G53&gt;0,INDEX($AA$4:$AL$323,Ajustes!$G53,Z$2),0)+IF(Ajustes!$H53&gt;0,INDEX($AA$4:$AL$323,Ajustes!$H53,Z$2),0)+IF(Ajustes!$I53&gt;0,INDEX($AA$4:$AL$323,Ajustes!$I53,Z$2),0)+IF(Ajustes!$J53&gt;0,INDEX($AA$4:$AL$323,Ajustes!$J53,Z$2),0)+IF(Ajustes!$K53&gt;0,INDEX($AA$5:$AL$324,Ajustes!$K53,Z$2),0)+IF(Ajustes!$L53&gt;0,INDEX($AA$4:$AL$323,Ajustes!$L53,Z$2),0) + Z53</f>
        <v>464</v>
      </c>
      <c r="AM53" s="113">
        <f t="shared" si="20"/>
        <v>655</v>
      </c>
      <c r="AN53" s="113">
        <f t="shared" si="20"/>
        <v>716</v>
      </c>
      <c r="AO53" s="113">
        <f t="shared" si="20"/>
        <v>606</v>
      </c>
      <c r="AP53" s="113">
        <f t="shared" si="20"/>
        <v>448</v>
      </c>
      <c r="AQ53" s="113">
        <f t="shared" si="20"/>
        <v>409</v>
      </c>
      <c r="AR53" s="113">
        <f t="shared" si="20"/>
        <v>425</v>
      </c>
      <c r="AS53" s="113">
        <f t="shared" si="20"/>
        <v>370</v>
      </c>
      <c r="AT53" s="113">
        <f t="shared" si="20"/>
        <v>310</v>
      </c>
      <c r="AU53" s="113">
        <f t="shared" si="20"/>
        <v>338</v>
      </c>
      <c r="AV53" s="113">
        <f t="shared" si="20"/>
        <v>399</v>
      </c>
      <c r="AW53" s="113">
        <f t="shared" si="21"/>
        <v>375</v>
      </c>
      <c r="AX53" s="113">
        <f t="shared" si="21"/>
        <v>464</v>
      </c>
    </row>
    <row r="54" spans="1:50" x14ac:dyDescent="0.25">
      <c r="A54" s="113">
        <v>51</v>
      </c>
      <c r="B54" s="209" t="s">
        <v>565</v>
      </c>
      <c r="C54">
        <f>IFERROR(INDEX($BD$7:$BO$35,MATCH(Ajustes!$E$4:$E$323,$BC$7:$BC$35,0),$C$2:$N$2),1)</f>
        <v>1</v>
      </c>
      <c r="D54" s="113">
        <f>IFERROR(INDEX($BD$7:$BO$35,MATCH(Ajustes!$E$4:$E$323,$BC$7:$BC$35,0),$C$2:$N$2),1)</f>
        <v>1</v>
      </c>
      <c r="E54" s="113">
        <f>IFERROR(INDEX($BD$7:$BO$35,MATCH(Ajustes!$E$4:$E$323,$BC$7:$BC$35,0),$C$2:$N$2),1)</f>
        <v>1</v>
      </c>
      <c r="F54" s="113">
        <f>IFERROR(INDEX($BD$7:$BO$35,MATCH(Ajustes!$E$4:$E$323,$BC$7:$BC$35,0),$C$2:$N$2),1)</f>
        <v>1</v>
      </c>
      <c r="G54" s="113">
        <f>IFERROR(INDEX($BD$7:$BO$35,MATCH(Ajustes!$E$4:$E$323,$BC$7:$BC$35,0),$C$2:$N$2),1)</f>
        <v>1</v>
      </c>
      <c r="H54" s="113">
        <f>IFERROR(INDEX($BD$7:$BO$35,MATCH(Ajustes!$E$4:$E$323,$BC$7:$BC$35,0),$C$2:$N$2),1)</f>
        <v>1</v>
      </c>
      <c r="I54" s="113">
        <f>IFERROR(INDEX($BD$7:$BO$35,MATCH(Ajustes!$E$4:$E$323,$BC$7:$BC$35,0),$C$2:$N$2),1)</f>
        <v>1</v>
      </c>
      <c r="J54" s="113">
        <f>IFERROR(INDEX($BD$7:$BO$35,MATCH(Ajustes!$E$4:$E$323,$BC$7:$BC$35,0),$C$2:$N$2),1)</f>
        <v>1</v>
      </c>
      <c r="K54" s="113">
        <f>IFERROR(INDEX($BD$7:$BO$35,MATCH(Ajustes!$E$4:$E$323,$BC$7:$BC$35,0),$C$2:$N$2),1)</f>
        <v>1</v>
      </c>
      <c r="L54" s="113">
        <f>IFERROR(INDEX($BD$7:$BO$35,MATCH(Ajustes!$E$4:$E$323,$BC$7:$BC$35,0),$C$2:$N$2),1)</f>
        <v>1</v>
      </c>
      <c r="M54" s="113">
        <f>IFERROR(INDEX($BD$7:$BO$35,MATCH(Ajustes!$E$4:$E$323,$BC$7:$BC$35,0),$C$2:$N$2),1)</f>
        <v>1</v>
      </c>
      <c r="N54" s="113">
        <f>IFERROR(INDEX($BD$7:$BO$35,MATCH(Ajustes!$E$4:$E$323,$BC$7:$BC$35,0),$C$2:$N$2),1)</f>
        <v>1</v>
      </c>
      <c r="O54">
        <f>C54*Ajustes!AM54</f>
        <v>10</v>
      </c>
      <c r="P54">
        <f>D54*Ajustes!AN54</f>
        <v>13</v>
      </c>
      <c r="Q54">
        <f>E54*Ajustes!AO54</f>
        <v>12</v>
      </c>
      <c r="R54">
        <f>F54*Ajustes!AP54</f>
        <v>9</v>
      </c>
      <c r="S54">
        <f>G54*Ajustes!AQ54</f>
        <v>8</v>
      </c>
      <c r="T54">
        <f>H54*Ajustes!AR54</f>
        <v>9</v>
      </c>
      <c r="U54">
        <f>I54*Ajustes!AS54</f>
        <v>7</v>
      </c>
      <c r="V54">
        <f>J54*Ajustes!AT54</f>
        <v>6</v>
      </c>
      <c r="W54">
        <f>K54*Ajustes!AU54</f>
        <v>7</v>
      </c>
      <c r="X54">
        <f>L54*Ajustes!AV54</f>
        <v>8</v>
      </c>
      <c r="Y54">
        <f>M54*Ajustes!AW54</f>
        <v>8</v>
      </c>
      <c r="Z54">
        <f>N54*Ajustes!AX54</f>
        <v>8</v>
      </c>
      <c r="AA54">
        <f>IF(Ajustes!$G54&gt;0,INDEX($AA$4:$AL$323,Ajustes!$G54,O$2),0)+IF(Ajustes!$H54&gt;0,INDEX($AA$4:$AL$323,Ajustes!$H54,O$2),0)+IF(Ajustes!$I54&gt;0,INDEX($AA$4:$AL$323,Ajustes!$I54,O$2),0)+IF(Ajustes!$J54&gt;0,INDEX($AA$4:$AL$323,Ajustes!$J54,O$2),0)+IF(Ajustes!$K54&gt;0,INDEX($AA$5:$AL$324,Ajustes!$K54,O$2),0)+IF(Ajustes!$L54&gt;0,INDEX($AA$4:$AL$323,Ajustes!$L54,O$2),0) + O54</f>
        <v>665</v>
      </c>
      <c r="AB54">
        <f>IF(Ajustes!$G54&gt;0,INDEX($AA$4:$AL$323,Ajustes!$G54,P$2),0)+IF(Ajustes!$H54&gt;0,INDEX($AA$4:$AL$323,Ajustes!$H54,P$2),0)+IF(Ajustes!$I54&gt;0,INDEX($AA$4:$AL$323,Ajustes!$I54,P$2),0)+IF(Ajustes!$J54&gt;0,INDEX($AA$4:$AL$323,Ajustes!$J54,P$2),0)+IF(Ajustes!$K54&gt;0,INDEX($AA$5:$AL$324,Ajustes!$K54,P$2),0)+IF(Ajustes!$L54&gt;0,INDEX($AA$4:$AL$323,Ajustes!$L54,P$2),0) + P54</f>
        <v>729</v>
      </c>
      <c r="AC54">
        <f>IF(Ajustes!$G54&gt;0,INDEX($AA$4:$AL$323,Ajustes!$G54,Q$2),0)+IF(Ajustes!$H54&gt;0,INDEX($AA$4:$AL$323,Ajustes!$H54,Q$2),0)+IF(Ajustes!$I54&gt;0,INDEX($AA$4:$AL$323,Ajustes!$I54,Q$2),0)+IF(Ajustes!$J54&gt;0,INDEX($AA$4:$AL$323,Ajustes!$J54,Q$2),0)+IF(Ajustes!$K54&gt;0,INDEX($AA$5:$AL$324,Ajustes!$K54,Q$2),0)+IF(Ajustes!$L54&gt;0,INDEX($AA$4:$AL$323,Ajustes!$L54,Q$2),0) + Q54</f>
        <v>618</v>
      </c>
      <c r="AD54">
        <f>IF(Ajustes!$G54&gt;0,INDEX($AA$4:$AL$323,Ajustes!$G54,R$2),0)+IF(Ajustes!$H54&gt;0,INDEX($AA$4:$AL$323,Ajustes!$H54,R$2),0)+IF(Ajustes!$I54&gt;0,INDEX($AA$4:$AL$323,Ajustes!$I54,R$2),0)+IF(Ajustes!$J54&gt;0,INDEX($AA$4:$AL$323,Ajustes!$J54,R$2),0)+IF(Ajustes!$K54&gt;0,INDEX($AA$5:$AL$324,Ajustes!$K54,R$2),0)+IF(Ajustes!$L54&gt;0,INDEX($AA$4:$AL$323,Ajustes!$L54,R$2),0) + R54</f>
        <v>457</v>
      </c>
      <c r="AE54">
        <f>IF(Ajustes!$G54&gt;0,INDEX($AA$4:$AL$323,Ajustes!$G54,S$2),0)+IF(Ajustes!$H54&gt;0,INDEX($AA$4:$AL$323,Ajustes!$H54,S$2),0)+IF(Ajustes!$I54&gt;0,INDEX($AA$4:$AL$323,Ajustes!$I54,S$2),0)+IF(Ajustes!$J54&gt;0,INDEX($AA$4:$AL$323,Ajustes!$J54,S$2),0)+IF(Ajustes!$K54&gt;0,INDEX($AA$5:$AL$324,Ajustes!$K54,S$2),0)+IF(Ajustes!$L54&gt;0,INDEX($AA$4:$AL$323,Ajustes!$L54,S$2),0) + S54</f>
        <v>417</v>
      </c>
      <c r="AF54">
        <f>IF(Ajustes!$G54&gt;0,INDEX($AA$4:$AL$323,Ajustes!$G54,T$2),0)+IF(Ajustes!$H54&gt;0,INDEX($AA$4:$AL$323,Ajustes!$H54,T$2),0)+IF(Ajustes!$I54&gt;0,INDEX($AA$4:$AL$323,Ajustes!$I54,T$2),0)+IF(Ajustes!$J54&gt;0,INDEX($AA$4:$AL$323,Ajustes!$J54,T$2),0)+IF(Ajustes!$K54&gt;0,INDEX($AA$5:$AL$324,Ajustes!$K54,T$2),0)+IF(Ajustes!$L54&gt;0,INDEX($AA$4:$AL$323,Ajustes!$L54,T$2),0) + T54</f>
        <v>434</v>
      </c>
      <c r="AG54">
        <f>IF(Ajustes!$G54&gt;0,INDEX($AA$4:$AL$323,Ajustes!$G54,U$2),0)+IF(Ajustes!$H54&gt;0,INDEX($AA$4:$AL$323,Ajustes!$H54,U$2),0)+IF(Ajustes!$I54&gt;0,INDEX($AA$4:$AL$323,Ajustes!$I54,U$2),0)+IF(Ajustes!$J54&gt;0,INDEX($AA$4:$AL$323,Ajustes!$J54,U$2),0)+IF(Ajustes!$K54&gt;0,INDEX($AA$5:$AL$324,Ajustes!$K54,U$2),0)+IF(Ajustes!$L54&gt;0,INDEX($AA$4:$AL$323,Ajustes!$L54,U$2),0) + U54</f>
        <v>377</v>
      </c>
      <c r="AH54">
        <f>IF(Ajustes!$G54&gt;0,INDEX($AA$4:$AL$323,Ajustes!$G54,V$2),0)+IF(Ajustes!$H54&gt;0,INDEX($AA$4:$AL$323,Ajustes!$H54,V$2),0)+IF(Ajustes!$I54&gt;0,INDEX($AA$4:$AL$323,Ajustes!$I54,V$2),0)+IF(Ajustes!$J54&gt;0,INDEX($AA$4:$AL$323,Ajustes!$J54,V$2),0)+IF(Ajustes!$K54&gt;0,INDEX($AA$5:$AL$324,Ajustes!$K54,V$2),0)+IF(Ajustes!$L54&gt;0,INDEX($AA$4:$AL$323,Ajustes!$L54,V$2),0) + V54</f>
        <v>316</v>
      </c>
      <c r="AI54">
        <f>IF(Ajustes!$G54&gt;0,INDEX($AA$4:$AL$323,Ajustes!$G54,W$2),0)+IF(Ajustes!$H54&gt;0,INDEX($AA$4:$AL$323,Ajustes!$H54,W$2),0)+IF(Ajustes!$I54&gt;0,INDEX($AA$4:$AL$323,Ajustes!$I54,W$2),0)+IF(Ajustes!$J54&gt;0,INDEX($AA$4:$AL$323,Ajustes!$J54,W$2),0)+IF(Ajustes!$K54&gt;0,INDEX($AA$5:$AL$324,Ajustes!$K54,W$2),0)+IF(Ajustes!$L54&gt;0,INDEX($AA$4:$AL$323,Ajustes!$L54,W$2),0) + W54</f>
        <v>345</v>
      </c>
      <c r="AJ54">
        <f>IF(Ajustes!$G54&gt;0,INDEX($AA$4:$AL$323,Ajustes!$G54,X$2),0)+IF(Ajustes!$H54&gt;0,INDEX($AA$4:$AL$323,Ajustes!$H54,X$2),0)+IF(Ajustes!$I54&gt;0,INDEX($AA$4:$AL$323,Ajustes!$I54,X$2),0)+IF(Ajustes!$J54&gt;0,INDEX($AA$4:$AL$323,Ajustes!$J54,X$2),0)+IF(Ajustes!$K54&gt;0,INDEX($AA$5:$AL$324,Ajustes!$K54,X$2),0)+IF(Ajustes!$L54&gt;0,INDEX($AA$4:$AL$323,Ajustes!$L54,X$2),0) + X54</f>
        <v>407</v>
      </c>
      <c r="AK54">
        <f>IF(Ajustes!$G54&gt;0,INDEX($AA$4:$AL$323,Ajustes!$G54,Y$2),0)+IF(Ajustes!$H54&gt;0,INDEX($AA$4:$AL$323,Ajustes!$H54,Y$2),0)+IF(Ajustes!$I54&gt;0,INDEX($AA$4:$AL$323,Ajustes!$I54,Y$2),0)+IF(Ajustes!$J54&gt;0,INDEX($AA$4:$AL$323,Ajustes!$J54,Y$2),0)+IF(Ajustes!$K54&gt;0,INDEX($AA$5:$AL$324,Ajustes!$K54,Y$2),0)+IF(Ajustes!$L54&gt;0,INDEX($AA$4:$AL$323,Ajustes!$L54,Y$2),0) + Y54</f>
        <v>383</v>
      </c>
      <c r="AL54">
        <f>IF(Ajustes!$G54&gt;0,INDEX($AA$4:$AL$323,Ajustes!$G54,Z$2),0)+IF(Ajustes!$H54&gt;0,INDEX($AA$4:$AL$323,Ajustes!$H54,Z$2),0)+IF(Ajustes!$I54&gt;0,INDEX($AA$4:$AL$323,Ajustes!$I54,Z$2),0)+IF(Ajustes!$J54&gt;0,INDEX($AA$4:$AL$323,Ajustes!$J54,Z$2),0)+IF(Ajustes!$K54&gt;0,INDEX($AA$5:$AL$324,Ajustes!$K54,Z$2),0)+IF(Ajustes!$L54&gt;0,INDEX($AA$4:$AL$323,Ajustes!$L54,Z$2),0) + Z54</f>
        <v>472</v>
      </c>
      <c r="AM54" s="113">
        <f t="shared" si="20"/>
        <v>665</v>
      </c>
      <c r="AN54" s="113">
        <f t="shared" si="20"/>
        <v>729</v>
      </c>
      <c r="AO54" s="113">
        <f t="shared" si="20"/>
        <v>618</v>
      </c>
      <c r="AP54" s="113">
        <f t="shared" si="20"/>
        <v>457</v>
      </c>
      <c r="AQ54" s="113">
        <f t="shared" si="20"/>
        <v>417</v>
      </c>
      <c r="AR54" s="113">
        <f t="shared" si="20"/>
        <v>434</v>
      </c>
      <c r="AS54" s="113">
        <f t="shared" si="20"/>
        <v>377</v>
      </c>
      <c r="AT54" s="113">
        <f t="shared" si="20"/>
        <v>316</v>
      </c>
      <c r="AU54" s="113">
        <f t="shared" si="20"/>
        <v>345</v>
      </c>
      <c r="AV54" s="113">
        <f t="shared" si="20"/>
        <v>407</v>
      </c>
      <c r="AW54" s="113">
        <f t="shared" si="21"/>
        <v>383</v>
      </c>
      <c r="AX54" s="113">
        <f t="shared" si="21"/>
        <v>472</v>
      </c>
    </row>
    <row r="55" spans="1:50" x14ac:dyDescent="0.25">
      <c r="A55" s="113">
        <v>52</v>
      </c>
      <c r="B55" s="209" t="s">
        <v>566</v>
      </c>
      <c r="C55">
        <f>IFERROR(INDEX($BD$7:$BO$35,MATCH(Ajustes!$E$4:$E$323,$BC$7:$BC$35,0),$C$2:$N$2),1)</f>
        <v>1</v>
      </c>
      <c r="D55" s="113">
        <f>IFERROR(INDEX($BD$7:$BO$35,MATCH(Ajustes!$E$4:$E$323,$BC$7:$BC$35,0),$C$2:$N$2),1)</f>
        <v>1</v>
      </c>
      <c r="E55" s="113">
        <f>IFERROR(INDEX($BD$7:$BO$35,MATCH(Ajustes!$E$4:$E$323,$BC$7:$BC$35,0),$C$2:$N$2),1)</f>
        <v>1</v>
      </c>
      <c r="F55" s="113">
        <f>IFERROR(INDEX($BD$7:$BO$35,MATCH(Ajustes!$E$4:$E$323,$BC$7:$BC$35,0),$C$2:$N$2),1)</f>
        <v>1</v>
      </c>
      <c r="G55" s="113">
        <f>IFERROR(INDEX($BD$7:$BO$35,MATCH(Ajustes!$E$4:$E$323,$BC$7:$BC$35,0),$C$2:$N$2),1)</f>
        <v>1</v>
      </c>
      <c r="H55" s="113">
        <f>IFERROR(INDEX($BD$7:$BO$35,MATCH(Ajustes!$E$4:$E$323,$BC$7:$BC$35,0),$C$2:$N$2),1)</f>
        <v>1</v>
      </c>
      <c r="I55" s="113">
        <f>IFERROR(INDEX($BD$7:$BO$35,MATCH(Ajustes!$E$4:$E$323,$BC$7:$BC$35,0),$C$2:$N$2),1)</f>
        <v>1</v>
      </c>
      <c r="J55" s="113">
        <f>IFERROR(INDEX($BD$7:$BO$35,MATCH(Ajustes!$E$4:$E$323,$BC$7:$BC$35,0),$C$2:$N$2),1)</f>
        <v>1</v>
      </c>
      <c r="K55" s="113">
        <f>IFERROR(INDEX($BD$7:$BO$35,MATCH(Ajustes!$E$4:$E$323,$BC$7:$BC$35,0),$C$2:$N$2),1)</f>
        <v>1</v>
      </c>
      <c r="L55" s="113">
        <f>IFERROR(INDEX($BD$7:$BO$35,MATCH(Ajustes!$E$4:$E$323,$BC$7:$BC$35,0),$C$2:$N$2),1)</f>
        <v>1</v>
      </c>
      <c r="M55" s="113">
        <f>IFERROR(INDEX($BD$7:$BO$35,MATCH(Ajustes!$E$4:$E$323,$BC$7:$BC$35,0),$C$2:$N$2),1)</f>
        <v>1</v>
      </c>
      <c r="N55" s="113">
        <f>IFERROR(INDEX($BD$7:$BO$35,MATCH(Ajustes!$E$4:$E$323,$BC$7:$BC$35,0),$C$2:$N$2),1)</f>
        <v>1</v>
      </c>
      <c r="O55">
        <f>C55*Ajustes!AM55</f>
        <v>23</v>
      </c>
      <c r="P55">
        <f>D55*Ajustes!AN55</f>
        <v>27</v>
      </c>
      <c r="Q55">
        <f>E55*Ajustes!AO55</f>
        <v>24</v>
      </c>
      <c r="R55">
        <f>F55*Ajustes!AP55</f>
        <v>20</v>
      </c>
      <c r="S55">
        <f>G55*Ajustes!AQ55</f>
        <v>17</v>
      </c>
      <c r="T55">
        <f>H55*Ajustes!AR55</f>
        <v>18</v>
      </c>
      <c r="U55">
        <f>I55*Ajustes!AS55</f>
        <v>15</v>
      </c>
      <c r="V55">
        <f>J55*Ajustes!AT55</f>
        <v>13</v>
      </c>
      <c r="W55">
        <f>K55*Ajustes!AU55</f>
        <v>13</v>
      </c>
      <c r="X55">
        <f>L55*Ajustes!AV55</f>
        <v>15</v>
      </c>
      <c r="Y55">
        <f>M55*Ajustes!AW55</f>
        <v>15</v>
      </c>
      <c r="Z55">
        <f>N55*Ajustes!AX55</f>
        <v>18</v>
      </c>
      <c r="AA55">
        <f>IF(Ajustes!$G55&gt;0,INDEX($AA$4:$AL$323,Ajustes!$G55,O$2),0)+IF(Ajustes!$H55&gt;0,INDEX($AA$4:$AL$323,Ajustes!$H55,O$2),0)+IF(Ajustes!$I55&gt;0,INDEX($AA$4:$AL$323,Ajustes!$I55,O$2),0)+IF(Ajustes!$J55&gt;0,INDEX($AA$4:$AL$323,Ajustes!$J55,O$2),0)+IF(Ajustes!$K55&gt;0,INDEX($AA$5:$AL$324,Ajustes!$K55,O$2),0)+IF(Ajustes!$L55&gt;0,INDEX($AA$4:$AL$323,Ajustes!$L55,O$2),0) + O55</f>
        <v>688</v>
      </c>
      <c r="AB55">
        <f>IF(Ajustes!$G55&gt;0,INDEX($AA$4:$AL$323,Ajustes!$G55,P$2),0)+IF(Ajustes!$H55&gt;0,INDEX($AA$4:$AL$323,Ajustes!$H55,P$2),0)+IF(Ajustes!$I55&gt;0,INDEX($AA$4:$AL$323,Ajustes!$I55,P$2),0)+IF(Ajustes!$J55&gt;0,INDEX($AA$4:$AL$323,Ajustes!$J55,P$2),0)+IF(Ajustes!$K55&gt;0,INDEX($AA$5:$AL$324,Ajustes!$K55,P$2),0)+IF(Ajustes!$L55&gt;0,INDEX($AA$4:$AL$323,Ajustes!$L55,P$2),0) + P55</f>
        <v>756</v>
      </c>
      <c r="AC55">
        <f>IF(Ajustes!$G55&gt;0,INDEX($AA$4:$AL$323,Ajustes!$G55,Q$2),0)+IF(Ajustes!$H55&gt;0,INDEX($AA$4:$AL$323,Ajustes!$H55,Q$2),0)+IF(Ajustes!$I55&gt;0,INDEX($AA$4:$AL$323,Ajustes!$I55,Q$2),0)+IF(Ajustes!$J55&gt;0,INDEX($AA$4:$AL$323,Ajustes!$J55,Q$2),0)+IF(Ajustes!$K55&gt;0,INDEX($AA$5:$AL$324,Ajustes!$K55,Q$2),0)+IF(Ajustes!$L55&gt;0,INDEX($AA$4:$AL$323,Ajustes!$L55,Q$2),0) + Q55</f>
        <v>642</v>
      </c>
      <c r="AD55">
        <f>IF(Ajustes!$G55&gt;0,INDEX($AA$4:$AL$323,Ajustes!$G55,R$2),0)+IF(Ajustes!$H55&gt;0,INDEX($AA$4:$AL$323,Ajustes!$H55,R$2),0)+IF(Ajustes!$I55&gt;0,INDEX($AA$4:$AL$323,Ajustes!$I55,R$2),0)+IF(Ajustes!$J55&gt;0,INDEX($AA$4:$AL$323,Ajustes!$J55,R$2),0)+IF(Ajustes!$K55&gt;0,INDEX($AA$5:$AL$324,Ajustes!$K55,R$2),0)+IF(Ajustes!$L55&gt;0,INDEX($AA$4:$AL$323,Ajustes!$L55,R$2),0) + R55</f>
        <v>477</v>
      </c>
      <c r="AE55">
        <f>IF(Ajustes!$G55&gt;0,INDEX($AA$4:$AL$323,Ajustes!$G55,S$2),0)+IF(Ajustes!$H55&gt;0,INDEX($AA$4:$AL$323,Ajustes!$H55,S$2),0)+IF(Ajustes!$I55&gt;0,INDEX($AA$4:$AL$323,Ajustes!$I55,S$2),0)+IF(Ajustes!$J55&gt;0,INDEX($AA$4:$AL$323,Ajustes!$J55,S$2),0)+IF(Ajustes!$K55&gt;0,INDEX($AA$5:$AL$324,Ajustes!$K55,S$2),0)+IF(Ajustes!$L55&gt;0,INDEX($AA$4:$AL$323,Ajustes!$L55,S$2),0) + S55</f>
        <v>434</v>
      </c>
      <c r="AF55">
        <f>IF(Ajustes!$G55&gt;0,INDEX($AA$4:$AL$323,Ajustes!$G55,T$2),0)+IF(Ajustes!$H55&gt;0,INDEX($AA$4:$AL$323,Ajustes!$H55,T$2),0)+IF(Ajustes!$I55&gt;0,INDEX($AA$4:$AL$323,Ajustes!$I55,T$2),0)+IF(Ajustes!$J55&gt;0,INDEX($AA$4:$AL$323,Ajustes!$J55,T$2),0)+IF(Ajustes!$K55&gt;0,INDEX($AA$5:$AL$324,Ajustes!$K55,T$2),0)+IF(Ajustes!$L55&gt;0,INDEX($AA$4:$AL$323,Ajustes!$L55,T$2),0) + T55</f>
        <v>452</v>
      </c>
      <c r="AG55">
        <f>IF(Ajustes!$G55&gt;0,INDEX($AA$4:$AL$323,Ajustes!$G55,U$2),0)+IF(Ajustes!$H55&gt;0,INDEX($AA$4:$AL$323,Ajustes!$H55,U$2),0)+IF(Ajustes!$I55&gt;0,INDEX($AA$4:$AL$323,Ajustes!$I55,U$2),0)+IF(Ajustes!$J55&gt;0,INDEX($AA$4:$AL$323,Ajustes!$J55,U$2),0)+IF(Ajustes!$K55&gt;0,INDEX($AA$5:$AL$324,Ajustes!$K55,U$2),0)+IF(Ajustes!$L55&gt;0,INDEX($AA$4:$AL$323,Ajustes!$L55,U$2),0) + U55</f>
        <v>392</v>
      </c>
      <c r="AH55">
        <f>IF(Ajustes!$G55&gt;0,INDEX($AA$4:$AL$323,Ajustes!$G55,V$2),0)+IF(Ajustes!$H55&gt;0,INDEX($AA$4:$AL$323,Ajustes!$H55,V$2),0)+IF(Ajustes!$I55&gt;0,INDEX($AA$4:$AL$323,Ajustes!$I55,V$2),0)+IF(Ajustes!$J55&gt;0,INDEX($AA$4:$AL$323,Ajustes!$J55,V$2),0)+IF(Ajustes!$K55&gt;0,INDEX($AA$5:$AL$324,Ajustes!$K55,V$2),0)+IF(Ajustes!$L55&gt;0,INDEX($AA$4:$AL$323,Ajustes!$L55,V$2),0) + V55</f>
        <v>329</v>
      </c>
      <c r="AI55">
        <f>IF(Ajustes!$G55&gt;0,INDEX($AA$4:$AL$323,Ajustes!$G55,W$2),0)+IF(Ajustes!$H55&gt;0,INDEX($AA$4:$AL$323,Ajustes!$H55,W$2),0)+IF(Ajustes!$I55&gt;0,INDEX($AA$4:$AL$323,Ajustes!$I55,W$2),0)+IF(Ajustes!$J55&gt;0,INDEX($AA$4:$AL$323,Ajustes!$J55,W$2),0)+IF(Ajustes!$K55&gt;0,INDEX($AA$5:$AL$324,Ajustes!$K55,W$2),0)+IF(Ajustes!$L55&gt;0,INDEX($AA$4:$AL$323,Ajustes!$L55,W$2),0) + W55</f>
        <v>358</v>
      </c>
      <c r="AJ55">
        <f>IF(Ajustes!$G55&gt;0,INDEX($AA$4:$AL$323,Ajustes!$G55,X$2),0)+IF(Ajustes!$H55&gt;0,INDEX($AA$4:$AL$323,Ajustes!$H55,X$2),0)+IF(Ajustes!$I55&gt;0,INDEX($AA$4:$AL$323,Ajustes!$I55,X$2),0)+IF(Ajustes!$J55&gt;0,INDEX($AA$4:$AL$323,Ajustes!$J55,X$2),0)+IF(Ajustes!$K55&gt;0,INDEX($AA$5:$AL$324,Ajustes!$K55,X$2),0)+IF(Ajustes!$L55&gt;0,INDEX($AA$4:$AL$323,Ajustes!$L55,X$2),0) + X55</f>
        <v>422</v>
      </c>
      <c r="AK55">
        <f>IF(Ajustes!$G55&gt;0,INDEX($AA$4:$AL$323,Ajustes!$G55,Y$2),0)+IF(Ajustes!$H55&gt;0,INDEX($AA$4:$AL$323,Ajustes!$H55,Y$2),0)+IF(Ajustes!$I55&gt;0,INDEX($AA$4:$AL$323,Ajustes!$I55,Y$2),0)+IF(Ajustes!$J55&gt;0,INDEX($AA$4:$AL$323,Ajustes!$J55,Y$2),0)+IF(Ajustes!$K55&gt;0,INDEX($AA$5:$AL$324,Ajustes!$K55,Y$2),0)+IF(Ajustes!$L55&gt;0,INDEX($AA$4:$AL$323,Ajustes!$L55,Y$2),0) + Y55</f>
        <v>398</v>
      </c>
      <c r="AL55">
        <f>IF(Ajustes!$G55&gt;0,INDEX($AA$4:$AL$323,Ajustes!$G55,Z$2),0)+IF(Ajustes!$H55&gt;0,INDEX($AA$4:$AL$323,Ajustes!$H55,Z$2),0)+IF(Ajustes!$I55&gt;0,INDEX($AA$4:$AL$323,Ajustes!$I55,Z$2),0)+IF(Ajustes!$J55&gt;0,INDEX($AA$4:$AL$323,Ajustes!$J55,Z$2),0)+IF(Ajustes!$K55&gt;0,INDEX($AA$5:$AL$324,Ajustes!$K55,Z$2),0)+IF(Ajustes!$L55&gt;0,INDEX($AA$4:$AL$323,Ajustes!$L55,Z$2),0) + Z55</f>
        <v>490</v>
      </c>
      <c r="AM55" s="113">
        <f t="shared" si="20"/>
        <v>688</v>
      </c>
      <c r="AN55" s="113">
        <f t="shared" si="20"/>
        <v>756</v>
      </c>
      <c r="AO55" s="113">
        <f t="shared" si="20"/>
        <v>642</v>
      </c>
      <c r="AP55" s="113">
        <f t="shared" si="20"/>
        <v>477</v>
      </c>
      <c r="AQ55" s="113">
        <f t="shared" si="20"/>
        <v>434</v>
      </c>
      <c r="AR55" s="113">
        <f t="shared" si="20"/>
        <v>452</v>
      </c>
      <c r="AS55" s="113">
        <f t="shared" si="20"/>
        <v>392</v>
      </c>
      <c r="AT55" s="113">
        <f t="shared" si="20"/>
        <v>329</v>
      </c>
      <c r="AU55" s="113">
        <f t="shared" si="20"/>
        <v>358</v>
      </c>
      <c r="AV55" s="113">
        <f t="shared" si="20"/>
        <v>422</v>
      </c>
      <c r="AW55" s="113">
        <f t="shared" si="21"/>
        <v>398</v>
      </c>
      <c r="AX55" s="113">
        <f t="shared" si="21"/>
        <v>490</v>
      </c>
    </row>
    <row r="56" spans="1:50" x14ac:dyDescent="0.25">
      <c r="A56" s="113">
        <v>53</v>
      </c>
      <c r="B56" s="209"/>
      <c r="C56">
        <f>IFERROR(INDEX($BD$7:$BO$35,MATCH(Ajustes!$E$4:$E$323,$BC$7:$BC$35,0),$C$2:$N$2),1)</f>
        <v>1</v>
      </c>
      <c r="D56" s="113">
        <f>IFERROR(INDEX($BD$7:$BO$35,MATCH(Ajustes!$E$4:$E$323,$BC$7:$BC$35,0),$C$2:$N$2),1)</f>
        <v>1</v>
      </c>
      <c r="E56" s="113">
        <f>IFERROR(INDEX($BD$7:$BO$35,MATCH(Ajustes!$E$4:$E$323,$BC$7:$BC$35,0),$C$2:$N$2),1)</f>
        <v>1</v>
      </c>
      <c r="F56" s="113">
        <f>IFERROR(INDEX($BD$7:$BO$35,MATCH(Ajustes!$E$4:$E$323,$BC$7:$BC$35,0),$C$2:$N$2),1)</f>
        <v>1</v>
      </c>
      <c r="G56" s="113">
        <f>IFERROR(INDEX($BD$7:$BO$35,MATCH(Ajustes!$E$4:$E$323,$BC$7:$BC$35,0),$C$2:$N$2),1)</f>
        <v>1</v>
      </c>
      <c r="H56" s="113">
        <f>IFERROR(INDEX($BD$7:$BO$35,MATCH(Ajustes!$E$4:$E$323,$BC$7:$BC$35,0),$C$2:$N$2),1)</f>
        <v>1</v>
      </c>
      <c r="I56" s="113">
        <f>IFERROR(INDEX($BD$7:$BO$35,MATCH(Ajustes!$E$4:$E$323,$BC$7:$BC$35,0),$C$2:$N$2),1)</f>
        <v>1</v>
      </c>
      <c r="J56" s="113">
        <f>IFERROR(INDEX($BD$7:$BO$35,MATCH(Ajustes!$E$4:$E$323,$BC$7:$BC$35,0),$C$2:$N$2),1)</f>
        <v>1</v>
      </c>
      <c r="K56" s="113">
        <f>IFERROR(INDEX($BD$7:$BO$35,MATCH(Ajustes!$E$4:$E$323,$BC$7:$BC$35,0),$C$2:$N$2),1)</f>
        <v>1</v>
      </c>
      <c r="L56" s="113">
        <f>IFERROR(INDEX($BD$7:$BO$35,MATCH(Ajustes!$E$4:$E$323,$BC$7:$BC$35,0),$C$2:$N$2),1)</f>
        <v>1</v>
      </c>
      <c r="M56" s="113">
        <f>IFERROR(INDEX($BD$7:$BO$35,MATCH(Ajustes!$E$4:$E$323,$BC$7:$BC$35,0),$C$2:$N$2),1)</f>
        <v>1</v>
      </c>
      <c r="N56" s="113">
        <f>IFERROR(INDEX($BD$7:$BO$35,MATCH(Ajustes!$E$4:$E$323,$BC$7:$BC$35,0),$C$2:$N$2),1)</f>
        <v>1</v>
      </c>
      <c r="O56">
        <f>C56*Ajustes!AM56</f>
        <v>0</v>
      </c>
      <c r="P56">
        <f>D56*Ajustes!AN56</f>
        <v>0</v>
      </c>
      <c r="Q56">
        <f>E56*Ajustes!AO56</f>
        <v>0</v>
      </c>
      <c r="R56">
        <f>F56*Ajustes!AP56</f>
        <v>0</v>
      </c>
      <c r="S56">
        <f>G56*Ajustes!AQ56</f>
        <v>0</v>
      </c>
      <c r="T56">
        <f>H56*Ajustes!AR56</f>
        <v>0</v>
      </c>
      <c r="U56">
        <f>I56*Ajustes!AS56</f>
        <v>0</v>
      </c>
      <c r="V56">
        <f>J56*Ajustes!AT56</f>
        <v>0</v>
      </c>
      <c r="W56">
        <f>K56*Ajustes!AU56</f>
        <v>0</v>
      </c>
      <c r="X56">
        <f>L56*Ajustes!AV56</f>
        <v>0</v>
      </c>
      <c r="Y56">
        <f>M56*Ajustes!AW56</f>
        <v>0</v>
      </c>
      <c r="Z56">
        <f>N56*Ajustes!AX56</f>
        <v>0</v>
      </c>
      <c r="AA56">
        <f>IF(Ajustes!$G56&gt;0,INDEX($AA$4:$AL$323,Ajustes!$G56,O$2),0)+IF(Ajustes!$H56&gt;0,INDEX($AA$4:$AL$323,Ajustes!$H56,O$2),0)+IF(Ajustes!$I56&gt;0,INDEX($AA$4:$AL$323,Ajustes!$I56,O$2),0)+IF(Ajustes!$J56&gt;0,INDEX($AA$4:$AL$323,Ajustes!$J56,O$2),0)+IF(Ajustes!$K56&gt;0,INDEX($AA$5:$AL$324,Ajustes!$K56,O$2),0)+IF(Ajustes!$L56&gt;0,INDEX($AA$4:$AL$323,Ajustes!$L56,O$2),0) + O56</f>
        <v>0</v>
      </c>
      <c r="AB56">
        <f>IF(Ajustes!$G56&gt;0,INDEX($AA$4:$AL$323,Ajustes!$G56,P$2),0)+IF(Ajustes!$H56&gt;0,INDEX($AA$4:$AL$323,Ajustes!$H56,P$2),0)+IF(Ajustes!$I56&gt;0,INDEX($AA$4:$AL$323,Ajustes!$I56,P$2),0)+IF(Ajustes!$J56&gt;0,INDEX($AA$4:$AL$323,Ajustes!$J56,P$2),0)+IF(Ajustes!$K56&gt;0,INDEX($AA$5:$AL$324,Ajustes!$K56,P$2),0)+IF(Ajustes!$L56&gt;0,INDEX($AA$4:$AL$323,Ajustes!$L56,P$2),0) + P56</f>
        <v>0</v>
      </c>
      <c r="AC56">
        <f>IF(Ajustes!$G56&gt;0,INDEX($AA$4:$AL$323,Ajustes!$G56,Q$2),0)+IF(Ajustes!$H56&gt;0,INDEX($AA$4:$AL$323,Ajustes!$H56,Q$2),0)+IF(Ajustes!$I56&gt;0,INDEX($AA$4:$AL$323,Ajustes!$I56,Q$2),0)+IF(Ajustes!$J56&gt;0,INDEX($AA$4:$AL$323,Ajustes!$J56,Q$2),0)+IF(Ajustes!$K56&gt;0,INDEX($AA$5:$AL$324,Ajustes!$K56,Q$2),0)+IF(Ajustes!$L56&gt;0,INDEX($AA$4:$AL$323,Ajustes!$L56,Q$2),0) + Q56</f>
        <v>0</v>
      </c>
      <c r="AD56">
        <f>IF(Ajustes!$G56&gt;0,INDEX($AA$4:$AL$323,Ajustes!$G56,R$2),0)+IF(Ajustes!$H56&gt;0,INDEX($AA$4:$AL$323,Ajustes!$H56,R$2),0)+IF(Ajustes!$I56&gt;0,INDEX($AA$4:$AL$323,Ajustes!$I56,R$2),0)+IF(Ajustes!$J56&gt;0,INDEX($AA$4:$AL$323,Ajustes!$J56,R$2),0)+IF(Ajustes!$K56&gt;0,INDEX($AA$5:$AL$324,Ajustes!$K56,R$2),0)+IF(Ajustes!$L56&gt;0,INDEX($AA$4:$AL$323,Ajustes!$L56,R$2),0) + R56</f>
        <v>0</v>
      </c>
      <c r="AE56">
        <f>IF(Ajustes!$G56&gt;0,INDEX($AA$4:$AL$323,Ajustes!$G56,S$2),0)+IF(Ajustes!$H56&gt;0,INDEX($AA$4:$AL$323,Ajustes!$H56,S$2),0)+IF(Ajustes!$I56&gt;0,INDEX($AA$4:$AL$323,Ajustes!$I56,S$2),0)+IF(Ajustes!$J56&gt;0,INDEX($AA$4:$AL$323,Ajustes!$J56,S$2),0)+IF(Ajustes!$K56&gt;0,INDEX($AA$5:$AL$324,Ajustes!$K56,S$2),0)+IF(Ajustes!$L56&gt;0,INDEX($AA$4:$AL$323,Ajustes!$L56,S$2),0) + S56</f>
        <v>0</v>
      </c>
      <c r="AF56">
        <f>IF(Ajustes!$G56&gt;0,INDEX($AA$4:$AL$323,Ajustes!$G56,T$2),0)+IF(Ajustes!$H56&gt;0,INDEX($AA$4:$AL$323,Ajustes!$H56,T$2),0)+IF(Ajustes!$I56&gt;0,INDEX($AA$4:$AL$323,Ajustes!$I56,T$2),0)+IF(Ajustes!$J56&gt;0,INDEX($AA$4:$AL$323,Ajustes!$J56,T$2),0)+IF(Ajustes!$K56&gt;0,INDEX($AA$5:$AL$324,Ajustes!$K56,T$2),0)+IF(Ajustes!$L56&gt;0,INDEX($AA$4:$AL$323,Ajustes!$L56,T$2),0) + T56</f>
        <v>0</v>
      </c>
      <c r="AG56">
        <f>IF(Ajustes!$G56&gt;0,INDEX($AA$4:$AL$323,Ajustes!$G56,U$2),0)+IF(Ajustes!$H56&gt;0,INDEX($AA$4:$AL$323,Ajustes!$H56,U$2),0)+IF(Ajustes!$I56&gt;0,INDEX($AA$4:$AL$323,Ajustes!$I56,U$2),0)+IF(Ajustes!$J56&gt;0,INDEX($AA$4:$AL$323,Ajustes!$J56,U$2),0)+IF(Ajustes!$K56&gt;0,INDEX($AA$5:$AL$324,Ajustes!$K56,U$2),0)+IF(Ajustes!$L56&gt;0,INDEX($AA$4:$AL$323,Ajustes!$L56,U$2),0) + U56</f>
        <v>0</v>
      </c>
      <c r="AH56">
        <f>IF(Ajustes!$G56&gt;0,INDEX($AA$4:$AL$323,Ajustes!$G56,V$2),0)+IF(Ajustes!$H56&gt;0,INDEX($AA$4:$AL$323,Ajustes!$H56,V$2),0)+IF(Ajustes!$I56&gt;0,INDEX($AA$4:$AL$323,Ajustes!$I56,V$2),0)+IF(Ajustes!$J56&gt;0,INDEX($AA$4:$AL$323,Ajustes!$J56,V$2),0)+IF(Ajustes!$K56&gt;0,INDEX($AA$5:$AL$324,Ajustes!$K56,V$2),0)+IF(Ajustes!$L56&gt;0,INDEX($AA$4:$AL$323,Ajustes!$L56,V$2),0) + V56</f>
        <v>0</v>
      </c>
      <c r="AI56">
        <f>IF(Ajustes!$G56&gt;0,INDEX($AA$4:$AL$323,Ajustes!$G56,W$2),0)+IF(Ajustes!$H56&gt;0,INDEX($AA$4:$AL$323,Ajustes!$H56,W$2),0)+IF(Ajustes!$I56&gt;0,INDEX($AA$4:$AL$323,Ajustes!$I56,W$2),0)+IF(Ajustes!$J56&gt;0,INDEX($AA$4:$AL$323,Ajustes!$J56,W$2),0)+IF(Ajustes!$K56&gt;0,INDEX($AA$5:$AL$324,Ajustes!$K56,W$2),0)+IF(Ajustes!$L56&gt;0,INDEX($AA$4:$AL$323,Ajustes!$L56,W$2),0) + W56</f>
        <v>0</v>
      </c>
      <c r="AJ56">
        <f>IF(Ajustes!$G56&gt;0,INDEX($AA$4:$AL$323,Ajustes!$G56,X$2),0)+IF(Ajustes!$H56&gt;0,INDEX($AA$4:$AL$323,Ajustes!$H56,X$2),0)+IF(Ajustes!$I56&gt;0,INDEX($AA$4:$AL$323,Ajustes!$I56,X$2),0)+IF(Ajustes!$J56&gt;0,INDEX($AA$4:$AL$323,Ajustes!$J56,X$2),0)+IF(Ajustes!$K56&gt;0,INDEX($AA$5:$AL$324,Ajustes!$K56,X$2),0)+IF(Ajustes!$L56&gt;0,INDEX($AA$4:$AL$323,Ajustes!$L56,X$2),0) + X56</f>
        <v>0</v>
      </c>
      <c r="AK56">
        <f>IF(Ajustes!$G56&gt;0,INDEX($AA$4:$AL$323,Ajustes!$G56,Y$2),0)+IF(Ajustes!$H56&gt;0,INDEX($AA$4:$AL$323,Ajustes!$H56,Y$2),0)+IF(Ajustes!$I56&gt;0,INDEX($AA$4:$AL$323,Ajustes!$I56,Y$2),0)+IF(Ajustes!$J56&gt;0,INDEX($AA$4:$AL$323,Ajustes!$J56,Y$2),0)+IF(Ajustes!$K56&gt;0,INDEX($AA$5:$AL$324,Ajustes!$K56,Y$2),0)+IF(Ajustes!$L56&gt;0,INDEX($AA$4:$AL$323,Ajustes!$L56,Y$2),0) + Y56</f>
        <v>0</v>
      </c>
      <c r="AL56">
        <f>IF(Ajustes!$G56&gt;0,INDEX($AA$4:$AL$323,Ajustes!$G56,Z$2),0)+IF(Ajustes!$H56&gt;0,INDEX($AA$4:$AL$323,Ajustes!$H56,Z$2),0)+IF(Ajustes!$I56&gt;0,INDEX($AA$4:$AL$323,Ajustes!$I56,Z$2),0)+IF(Ajustes!$J56&gt;0,INDEX($AA$4:$AL$323,Ajustes!$J56,Z$2),0)+IF(Ajustes!$K56&gt;0,INDEX($AA$5:$AL$324,Ajustes!$K56,Z$2),0)+IF(Ajustes!$L56&gt;0,INDEX($AA$4:$AL$323,Ajustes!$L56,Z$2),0) + Z56</f>
        <v>0</v>
      </c>
      <c r="AM56" s="113">
        <f t="shared" si="20"/>
        <v>0</v>
      </c>
      <c r="AN56" s="113">
        <f t="shared" si="20"/>
        <v>0</v>
      </c>
      <c r="AO56" s="113">
        <f t="shared" si="20"/>
        <v>0</v>
      </c>
      <c r="AP56" s="113">
        <f t="shared" si="20"/>
        <v>0</v>
      </c>
      <c r="AQ56" s="113">
        <f t="shared" si="20"/>
        <v>0</v>
      </c>
      <c r="AR56" s="113">
        <f t="shared" si="20"/>
        <v>0</v>
      </c>
      <c r="AS56" s="113">
        <f t="shared" si="20"/>
        <v>0</v>
      </c>
      <c r="AT56" s="113">
        <f t="shared" si="20"/>
        <v>0</v>
      </c>
      <c r="AU56" s="113">
        <f t="shared" si="20"/>
        <v>0</v>
      </c>
      <c r="AV56" s="113">
        <f t="shared" si="20"/>
        <v>0</v>
      </c>
      <c r="AW56" s="113">
        <f t="shared" si="21"/>
        <v>0</v>
      </c>
      <c r="AX56" s="113">
        <f t="shared" si="21"/>
        <v>0</v>
      </c>
    </row>
    <row r="57" spans="1:50" x14ac:dyDescent="0.25">
      <c r="A57" s="113">
        <v>54</v>
      </c>
      <c r="B57" s="209"/>
      <c r="C57">
        <f>IFERROR(INDEX($BD$7:$BO$35,MATCH(Ajustes!$E$4:$E$323,$BC$7:$BC$35,0),$C$2:$N$2),1)</f>
        <v>1</v>
      </c>
      <c r="D57" s="113">
        <f>IFERROR(INDEX($BD$7:$BO$35,MATCH(Ajustes!$E$4:$E$323,$BC$7:$BC$35,0),$C$2:$N$2),1)</f>
        <v>1</v>
      </c>
      <c r="E57" s="113">
        <f>IFERROR(INDEX($BD$7:$BO$35,MATCH(Ajustes!$E$4:$E$323,$BC$7:$BC$35,0),$C$2:$N$2),1)</f>
        <v>1</v>
      </c>
      <c r="F57" s="113">
        <f>IFERROR(INDEX($BD$7:$BO$35,MATCH(Ajustes!$E$4:$E$323,$BC$7:$BC$35,0),$C$2:$N$2),1)</f>
        <v>1</v>
      </c>
      <c r="G57" s="113">
        <f>IFERROR(INDEX($BD$7:$BO$35,MATCH(Ajustes!$E$4:$E$323,$BC$7:$BC$35,0),$C$2:$N$2),1)</f>
        <v>1</v>
      </c>
      <c r="H57" s="113">
        <f>IFERROR(INDEX($BD$7:$BO$35,MATCH(Ajustes!$E$4:$E$323,$BC$7:$BC$35,0),$C$2:$N$2),1)</f>
        <v>1</v>
      </c>
      <c r="I57" s="113">
        <f>IFERROR(INDEX($BD$7:$BO$35,MATCH(Ajustes!$E$4:$E$323,$BC$7:$BC$35,0),$C$2:$N$2),1)</f>
        <v>1</v>
      </c>
      <c r="J57" s="113">
        <f>IFERROR(INDEX($BD$7:$BO$35,MATCH(Ajustes!$E$4:$E$323,$BC$7:$BC$35,0),$C$2:$N$2),1)</f>
        <v>1</v>
      </c>
      <c r="K57" s="113">
        <f>IFERROR(INDEX($BD$7:$BO$35,MATCH(Ajustes!$E$4:$E$323,$BC$7:$BC$35,0),$C$2:$N$2),1)</f>
        <v>1</v>
      </c>
      <c r="L57" s="113">
        <f>IFERROR(INDEX($BD$7:$BO$35,MATCH(Ajustes!$E$4:$E$323,$BC$7:$BC$35,0),$C$2:$N$2),1)</f>
        <v>1</v>
      </c>
      <c r="M57" s="113">
        <f>IFERROR(INDEX($BD$7:$BO$35,MATCH(Ajustes!$E$4:$E$323,$BC$7:$BC$35,0),$C$2:$N$2),1)</f>
        <v>1</v>
      </c>
      <c r="N57" s="113">
        <f>IFERROR(INDEX($BD$7:$BO$35,MATCH(Ajustes!$E$4:$E$323,$BC$7:$BC$35,0),$C$2:$N$2),1)</f>
        <v>1</v>
      </c>
      <c r="O57">
        <f>C57*Ajustes!AM57</f>
        <v>0</v>
      </c>
      <c r="P57">
        <f>D57*Ajustes!AN57</f>
        <v>0</v>
      </c>
      <c r="Q57">
        <f>E57*Ajustes!AO57</f>
        <v>0</v>
      </c>
      <c r="R57">
        <f>F57*Ajustes!AP57</f>
        <v>0</v>
      </c>
      <c r="S57">
        <f>G57*Ajustes!AQ57</f>
        <v>0</v>
      </c>
      <c r="T57">
        <f>H57*Ajustes!AR57</f>
        <v>0</v>
      </c>
      <c r="U57">
        <f>I57*Ajustes!AS57</f>
        <v>0</v>
      </c>
      <c r="V57">
        <f>J57*Ajustes!AT57</f>
        <v>0</v>
      </c>
      <c r="W57">
        <f>K57*Ajustes!AU57</f>
        <v>0</v>
      </c>
      <c r="X57">
        <f>L57*Ajustes!AV57</f>
        <v>0</v>
      </c>
      <c r="Y57">
        <f>M57*Ajustes!AW57</f>
        <v>0</v>
      </c>
      <c r="Z57">
        <f>N57*Ajustes!AX57</f>
        <v>0</v>
      </c>
      <c r="AA57">
        <f>IF(Ajustes!$G57&gt;0,INDEX($AA$4:$AL$323,Ajustes!$G57,O$2),0)+IF(Ajustes!$H57&gt;0,INDEX($AA$4:$AL$323,Ajustes!$H57,O$2),0)+IF(Ajustes!$I57&gt;0,INDEX($AA$4:$AL$323,Ajustes!$I57,O$2),0)+IF(Ajustes!$J57&gt;0,INDEX($AA$4:$AL$323,Ajustes!$J57,O$2),0)+IF(Ajustes!$K57&gt;0,INDEX($AA$5:$AL$324,Ajustes!$K57,O$2),0)+IF(Ajustes!$L57&gt;0,INDEX($AA$4:$AL$323,Ajustes!$L57,O$2),0) + O57</f>
        <v>0</v>
      </c>
      <c r="AB57">
        <f>IF(Ajustes!$G57&gt;0,INDEX($AA$4:$AL$323,Ajustes!$G57,P$2),0)+IF(Ajustes!$H57&gt;0,INDEX($AA$4:$AL$323,Ajustes!$H57,P$2),0)+IF(Ajustes!$I57&gt;0,INDEX($AA$4:$AL$323,Ajustes!$I57,P$2),0)+IF(Ajustes!$J57&gt;0,INDEX($AA$4:$AL$323,Ajustes!$J57,P$2),0)+IF(Ajustes!$K57&gt;0,INDEX($AA$5:$AL$324,Ajustes!$K57,P$2),0)+IF(Ajustes!$L57&gt;0,INDEX($AA$4:$AL$323,Ajustes!$L57,P$2),0) + P57</f>
        <v>0</v>
      </c>
      <c r="AC57">
        <f>IF(Ajustes!$G57&gt;0,INDEX($AA$4:$AL$323,Ajustes!$G57,Q$2),0)+IF(Ajustes!$H57&gt;0,INDEX($AA$4:$AL$323,Ajustes!$H57,Q$2),0)+IF(Ajustes!$I57&gt;0,INDEX($AA$4:$AL$323,Ajustes!$I57,Q$2),0)+IF(Ajustes!$J57&gt;0,INDEX($AA$4:$AL$323,Ajustes!$J57,Q$2),0)+IF(Ajustes!$K57&gt;0,INDEX($AA$5:$AL$324,Ajustes!$K57,Q$2),0)+IF(Ajustes!$L57&gt;0,INDEX($AA$4:$AL$323,Ajustes!$L57,Q$2),0) + Q57</f>
        <v>0</v>
      </c>
      <c r="AD57">
        <f>IF(Ajustes!$G57&gt;0,INDEX($AA$4:$AL$323,Ajustes!$G57,R$2),0)+IF(Ajustes!$H57&gt;0,INDEX($AA$4:$AL$323,Ajustes!$H57,R$2),0)+IF(Ajustes!$I57&gt;0,INDEX($AA$4:$AL$323,Ajustes!$I57,R$2),0)+IF(Ajustes!$J57&gt;0,INDEX($AA$4:$AL$323,Ajustes!$J57,R$2),0)+IF(Ajustes!$K57&gt;0,INDEX($AA$5:$AL$324,Ajustes!$K57,R$2),0)+IF(Ajustes!$L57&gt;0,INDEX($AA$4:$AL$323,Ajustes!$L57,R$2),0) + R57</f>
        <v>0</v>
      </c>
      <c r="AE57">
        <f>IF(Ajustes!$G57&gt;0,INDEX($AA$4:$AL$323,Ajustes!$G57,S$2),0)+IF(Ajustes!$H57&gt;0,INDEX($AA$4:$AL$323,Ajustes!$H57,S$2),0)+IF(Ajustes!$I57&gt;0,INDEX($AA$4:$AL$323,Ajustes!$I57,S$2),0)+IF(Ajustes!$J57&gt;0,INDEX($AA$4:$AL$323,Ajustes!$J57,S$2),0)+IF(Ajustes!$K57&gt;0,INDEX($AA$5:$AL$324,Ajustes!$K57,S$2),0)+IF(Ajustes!$L57&gt;0,INDEX($AA$4:$AL$323,Ajustes!$L57,S$2),0) + S57</f>
        <v>0</v>
      </c>
      <c r="AF57">
        <f>IF(Ajustes!$G57&gt;0,INDEX($AA$4:$AL$323,Ajustes!$G57,T$2),0)+IF(Ajustes!$H57&gt;0,INDEX($AA$4:$AL$323,Ajustes!$H57,T$2),0)+IF(Ajustes!$I57&gt;0,INDEX($AA$4:$AL$323,Ajustes!$I57,T$2),0)+IF(Ajustes!$J57&gt;0,INDEX($AA$4:$AL$323,Ajustes!$J57,T$2),0)+IF(Ajustes!$K57&gt;0,INDEX($AA$5:$AL$324,Ajustes!$K57,T$2),0)+IF(Ajustes!$L57&gt;0,INDEX($AA$4:$AL$323,Ajustes!$L57,T$2),0) + T57</f>
        <v>0</v>
      </c>
      <c r="AG57">
        <f>IF(Ajustes!$G57&gt;0,INDEX($AA$4:$AL$323,Ajustes!$G57,U$2),0)+IF(Ajustes!$H57&gt;0,INDEX($AA$4:$AL$323,Ajustes!$H57,U$2),0)+IF(Ajustes!$I57&gt;0,INDEX($AA$4:$AL$323,Ajustes!$I57,U$2),0)+IF(Ajustes!$J57&gt;0,INDEX($AA$4:$AL$323,Ajustes!$J57,U$2),0)+IF(Ajustes!$K57&gt;0,INDEX($AA$5:$AL$324,Ajustes!$K57,U$2),0)+IF(Ajustes!$L57&gt;0,INDEX($AA$4:$AL$323,Ajustes!$L57,U$2),0) + U57</f>
        <v>0</v>
      </c>
      <c r="AH57">
        <f>IF(Ajustes!$G57&gt;0,INDEX($AA$4:$AL$323,Ajustes!$G57,V$2),0)+IF(Ajustes!$H57&gt;0,INDEX($AA$4:$AL$323,Ajustes!$H57,V$2),0)+IF(Ajustes!$I57&gt;0,INDEX($AA$4:$AL$323,Ajustes!$I57,V$2),0)+IF(Ajustes!$J57&gt;0,INDEX($AA$4:$AL$323,Ajustes!$J57,V$2),0)+IF(Ajustes!$K57&gt;0,INDEX($AA$5:$AL$324,Ajustes!$K57,V$2),0)+IF(Ajustes!$L57&gt;0,INDEX($AA$4:$AL$323,Ajustes!$L57,V$2),0) + V57</f>
        <v>0</v>
      </c>
      <c r="AI57">
        <f>IF(Ajustes!$G57&gt;0,INDEX($AA$4:$AL$323,Ajustes!$G57,W$2),0)+IF(Ajustes!$H57&gt;0,INDEX($AA$4:$AL$323,Ajustes!$H57,W$2),0)+IF(Ajustes!$I57&gt;0,INDEX($AA$4:$AL$323,Ajustes!$I57,W$2),0)+IF(Ajustes!$J57&gt;0,INDEX($AA$4:$AL$323,Ajustes!$J57,W$2),0)+IF(Ajustes!$K57&gt;0,INDEX($AA$5:$AL$324,Ajustes!$K57,W$2),0)+IF(Ajustes!$L57&gt;0,INDEX($AA$4:$AL$323,Ajustes!$L57,W$2),0) + W57</f>
        <v>0</v>
      </c>
      <c r="AJ57">
        <f>IF(Ajustes!$G57&gt;0,INDEX($AA$4:$AL$323,Ajustes!$G57,X$2),0)+IF(Ajustes!$H57&gt;0,INDEX($AA$4:$AL$323,Ajustes!$H57,X$2),0)+IF(Ajustes!$I57&gt;0,INDEX($AA$4:$AL$323,Ajustes!$I57,X$2),0)+IF(Ajustes!$J57&gt;0,INDEX($AA$4:$AL$323,Ajustes!$J57,X$2),0)+IF(Ajustes!$K57&gt;0,INDEX($AA$5:$AL$324,Ajustes!$K57,X$2),0)+IF(Ajustes!$L57&gt;0,INDEX($AA$4:$AL$323,Ajustes!$L57,X$2),0) + X57</f>
        <v>0</v>
      </c>
      <c r="AK57">
        <f>IF(Ajustes!$G57&gt;0,INDEX($AA$4:$AL$323,Ajustes!$G57,Y$2),0)+IF(Ajustes!$H57&gt;0,INDEX($AA$4:$AL$323,Ajustes!$H57,Y$2),0)+IF(Ajustes!$I57&gt;0,INDEX($AA$4:$AL$323,Ajustes!$I57,Y$2),0)+IF(Ajustes!$J57&gt;0,INDEX($AA$4:$AL$323,Ajustes!$J57,Y$2),0)+IF(Ajustes!$K57&gt;0,INDEX($AA$5:$AL$324,Ajustes!$K57,Y$2),0)+IF(Ajustes!$L57&gt;0,INDEX($AA$4:$AL$323,Ajustes!$L57,Y$2),0) + Y57</f>
        <v>0</v>
      </c>
      <c r="AL57">
        <f>IF(Ajustes!$G57&gt;0,INDEX($AA$4:$AL$323,Ajustes!$G57,Z$2),0)+IF(Ajustes!$H57&gt;0,INDEX($AA$4:$AL$323,Ajustes!$H57,Z$2),0)+IF(Ajustes!$I57&gt;0,INDEX($AA$4:$AL$323,Ajustes!$I57,Z$2),0)+IF(Ajustes!$J57&gt;0,INDEX($AA$4:$AL$323,Ajustes!$J57,Z$2),0)+IF(Ajustes!$K57&gt;0,INDEX($AA$5:$AL$324,Ajustes!$K57,Z$2),0)+IF(Ajustes!$L57&gt;0,INDEX($AA$4:$AL$323,Ajustes!$L57,Z$2),0) + Z57</f>
        <v>0</v>
      </c>
      <c r="AM57" s="113">
        <f t="shared" si="20"/>
        <v>0</v>
      </c>
      <c r="AN57" s="113">
        <f t="shared" si="20"/>
        <v>0</v>
      </c>
      <c r="AO57" s="113">
        <f t="shared" si="20"/>
        <v>0</v>
      </c>
      <c r="AP57" s="113">
        <f t="shared" si="20"/>
        <v>0</v>
      </c>
      <c r="AQ57" s="113">
        <f t="shared" si="20"/>
        <v>0</v>
      </c>
      <c r="AR57" s="113">
        <f t="shared" si="20"/>
        <v>0</v>
      </c>
      <c r="AS57" s="113">
        <f t="shared" si="20"/>
        <v>0</v>
      </c>
      <c r="AT57" s="113">
        <f t="shared" si="20"/>
        <v>0</v>
      </c>
      <c r="AU57" s="113">
        <f t="shared" si="20"/>
        <v>0</v>
      </c>
      <c r="AV57" s="113">
        <f t="shared" si="20"/>
        <v>0</v>
      </c>
      <c r="AW57" s="113">
        <f t="shared" si="21"/>
        <v>0</v>
      </c>
      <c r="AX57" s="113">
        <f t="shared" si="21"/>
        <v>0</v>
      </c>
    </row>
    <row r="58" spans="1:50" x14ac:dyDescent="0.25">
      <c r="A58" s="113">
        <v>55</v>
      </c>
      <c r="B58" s="209"/>
      <c r="C58">
        <f>IFERROR(INDEX($BD$7:$BO$35,MATCH(Ajustes!$E$4:$E$323,$BC$7:$BC$35,0),$C$2:$N$2),1)</f>
        <v>1</v>
      </c>
      <c r="D58" s="113">
        <f>IFERROR(INDEX($BD$7:$BO$35,MATCH(Ajustes!$E$4:$E$323,$BC$7:$BC$35,0),$C$2:$N$2),1)</f>
        <v>1</v>
      </c>
      <c r="E58" s="113">
        <f>IFERROR(INDEX($BD$7:$BO$35,MATCH(Ajustes!$E$4:$E$323,$BC$7:$BC$35,0),$C$2:$N$2),1)</f>
        <v>1</v>
      </c>
      <c r="F58" s="113">
        <f>IFERROR(INDEX($BD$7:$BO$35,MATCH(Ajustes!$E$4:$E$323,$BC$7:$BC$35,0),$C$2:$N$2),1)</f>
        <v>1</v>
      </c>
      <c r="G58" s="113">
        <f>IFERROR(INDEX($BD$7:$BO$35,MATCH(Ajustes!$E$4:$E$323,$BC$7:$BC$35,0),$C$2:$N$2),1)</f>
        <v>1</v>
      </c>
      <c r="H58" s="113">
        <f>IFERROR(INDEX($BD$7:$BO$35,MATCH(Ajustes!$E$4:$E$323,$BC$7:$BC$35,0),$C$2:$N$2),1)</f>
        <v>1</v>
      </c>
      <c r="I58" s="113">
        <f>IFERROR(INDEX($BD$7:$BO$35,MATCH(Ajustes!$E$4:$E$323,$BC$7:$BC$35,0),$C$2:$N$2),1)</f>
        <v>1</v>
      </c>
      <c r="J58" s="113">
        <f>IFERROR(INDEX($BD$7:$BO$35,MATCH(Ajustes!$E$4:$E$323,$BC$7:$BC$35,0),$C$2:$N$2),1)</f>
        <v>1</v>
      </c>
      <c r="K58" s="113">
        <f>IFERROR(INDEX($BD$7:$BO$35,MATCH(Ajustes!$E$4:$E$323,$BC$7:$BC$35,0),$C$2:$N$2),1)</f>
        <v>1</v>
      </c>
      <c r="L58" s="113">
        <f>IFERROR(INDEX($BD$7:$BO$35,MATCH(Ajustes!$E$4:$E$323,$BC$7:$BC$35,0),$C$2:$N$2),1)</f>
        <v>1</v>
      </c>
      <c r="M58" s="113">
        <f>IFERROR(INDEX($BD$7:$BO$35,MATCH(Ajustes!$E$4:$E$323,$BC$7:$BC$35,0),$C$2:$N$2),1)</f>
        <v>1</v>
      </c>
      <c r="N58" s="113">
        <f>IFERROR(INDEX($BD$7:$BO$35,MATCH(Ajustes!$E$4:$E$323,$BC$7:$BC$35,0),$C$2:$N$2),1)</f>
        <v>1</v>
      </c>
      <c r="O58">
        <f>C58*Ajustes!AM58</f>
        <v>0</v>
      </c>
      <c r="P58">
        <f>D58*Ajustes!AN58</f>
        <v>0</v>
      </c>
      <c r="Q58">
        <f>E58*Ajustes!AO58</f>
        <v>0</v>
      </c>
      <c r="R58">
        <f>F58*Ajustes!AP58</f>
        <v>0</v>
      </c>
      <c r="S58">
        <f>G58*Ajustes!AQ58</f>
        <v>0</v>
      </c>
      <c r="T58">
        <f>H58*Ajustes!AR58</f>
        <v>0</v>
      </c>
      <c r="U58">
        <f>I58*Ajustes!AS58</f>
        <v>0</v>
      </c>
      <c r="V58">
        <f>J58*Ajustes!AT58</f>
        <v>0</v>
      </c>
      <c r="W58">
        <f>K58*Ajustes!AU58</f>
        <v>0</v>
      </c>
      <c r="X58">
        <f>L58*Ajustes!AV58</f>
        <v>0</v>
      </c>
      <c r="Y58">
        <f>M58*Ajustes!AW58</f>
        <v>0</v>
      </c>
      <c r="Z58">
        <f>N58*Ajustes!AX58</f>
        <v>0</v>
      </c>
      <c r="AA58">
        <f>IF(Ajustes!$G58&gt;0,INDEX($AA$4:$AL$323,Ajustes!$G58,O$2),0)+IF(Ajustes!$H58&gt;0,INDEX($AA$4:$AL$323,Ajustes!$H58,O$2),0)+IF(Ajustes!$I58&gt;0,INDEX($AA$4:$AL$323,Ajustes!$I58,O$2),0)+IF(Ajustes!$J58&gt;0,INDEX($AA$4:$AL$323,Ajustes!$J58,O$2),0)+IF(Ajustes!$K58&gt;0,INDEX($AA$5:$AL$324,Ajustes!$K58,O$2),0)+IF(Ajustes!$L58&gt;0,INDEX($AA$4:$AL$323,Ajustes!$L58,O$2),0) + O58</f>
        <v>0</v>
      </c>
      <c r="AB58">
        <f>IF(Ajustes!$G58&gt;0,INDEX($AA$4:$AL$323,Ajustes!$G58,P$2),0)+IF(Ajustes!$H58&gt;0,INDEX($AA$4:$AL$323,Ajustes!$H58,P$2),0)+IF(Ajustes!$I58&gt;0,INDEX($AA$4:$AL$323,Ajustes!$I58,P$2),0)+IF(Ajustes!$J58&gt;0,INDEX($AA$4:$AL$323,Ajustes!$J58,P$2),0)+IF(Ajustes!$K58&gt;0,INDEX($AA$5:$AL$324,Ajustes!$K58,P$2),0)+IF(Ajustes!$L58&gt;0,INDEX($AA$4:$AL$323,Ajustes!$L58,P$2),0) + P58</f>
        <v>0</v>
      </c>
      <c r="AC58">
        <f>IF(Ajustes!$G58&gt;0,INDEX($AA$4:$AL$323,Ajustes!$G58,Q$2),0)+IF(Ajustes!$H58&gt;0,INDEX($AA$4:$AL$323,Ajustes!$H58,Q$2),0)+IF(Ajustes!$I58&gt;0,INDEX($AA$4:$AL$323,Ajustes!$I58,Q$2),0)+IF(Ajustes!$J58&gt;0,INDEX($AA$4:$AL$323,Ajustes!$J58,Q$2),0)+IF(Ajustes!$K58&gt;0,INDEX($AA$5:$AL$324,Ajustes!$K58,Q$2),0)+IF(Ajustes!$L58&gt;0,INDEX($AA$4:$AL$323,Ajustes!$L58,Q$2),0) + Q58</f>
        <v>0</v>
      </c>
      <c r="AD58">
        <f>IF(Ajustes!$G58&gt;0,INDEX($AA$4:$AL$323,Ajustes!$G58,R$2),0)+IF(Ajustes!$H58&gt;0,INDEX($AA$4:$AL$323,Ajustes!$H58,R$2),0)+IF(Ajustes!$I58&gt;0,INDEX($AA$4:$AL$323,Ajustes!$I58,R$2),0)+IF(Ajustes!$J58&gt;0,INDEX($AA$4:$AL$323,Ajustes!$J58,R$2),0)+IF(Ajustes!$K58&gt;0,INDEX($AA$5:$AL$324,Ajustes!$K58,R$2),0)+IF(Ajustes!$L58&gt;0,INDEX($AA$4:$AL$323,Ajustes!$L58,R$2),0) + R58</f>
        <v>0</v>
      </c>
      <c r="AE58">
        <f>IF(Ajustes!$G58&gt;0,INDEX($AA$4:$AL$323,Ajustes!$G58,S$2),0)+IF(Ajustes!$H58&gt;0,INDEX($AA$4:$AL$323,Ajustes!$H58,S$2),0)+IF(Ajustes!$I58&gt;0,INDEX($AA$4:$AL$323,Ajustes!$I58,S$2),0)+IF(Ajustes!$J58&gt;0,INDEX($AA$4:$AL$323,Ajustes!$J58,S$2),0)+IF(Ajustes!$K58&gt;0,INDEX($AA$5:$AL$324,Ajustes!$K58,S$2),0)+IF(Ajustes!$L58&gt;0,INDEX($AA$4:$AL$323,Ajustes!$L58,S$2),0) + S58</f>
        <v>0</v>
      </c>
      <c r="AF58">
        <f>IF(Ajustes!$G58&gt;0,INDEX($AA$4:$AL$323,Ajustes!$G58,T$2),0)+IF(Ajustes!$H58&gt;0,INDEX($AA$4:$AL$323,Ajustes!$H58,T$2),0)+IF(Ajustes!$I58&gt;0,INDEX($AA$4:$AL$323,Ajustes!$I58,T$2),0)+IF(Ajustes!$J58&gt;0,INDEX($AA$4:$AL$323,Ajustes!$J58,T$2),0)+IF(Ajustes!$K58&gt;0,INDEX($AA$5:$AL$324,Ajustes!$K58,T$2),0)+IF(Ajustes!$L58&gt;0,INDEX($AA$4:$AL$323,Ajustes!$L58,T$2),0) + T58</f>
        <v>0</v>
      </c>
      <c r="AG58">
        <f>IF(Ajustes!$G58&gt;0,INDEX($AA$4:$AL$323,Ajustes!$G58,U$2),0)+IF(Ajustes!$H58&gt;0,INDEX($AA$4:$AL$323,Ajustes!$H58,U$2),0)+IF(Ajustes!$I58&gt;0,INDEX($AA$4:$AL$323,Ajustes!$I58,U$2),0)+IF(Ajustes!$J58&gt;0,INDEX($AA$4:$AL$323,Ajustes!$J58,U$2),0)+IF(Ajustes!$K58&gt;0,INDEX($AA$5:$AL$324,Ajustes!$K58,U$2),0)+IF(Ajustes!$L58&gt;0,INDEX($AA$4:$AL$323,Ajustes!$L58,U$2),0) + U58</f>
        <v>0</v>
      </c>
      <c r="AH58">
        <f>IF(Ajustes!$G58&gt;0,INDEX($AA$4:$AL$323,Ajustes!$G58,V$2),0)+IF(Ajustes!$H58&gt;0,INDEX($AA$4:$AL$323,Ajustes!$H58,V$2),0)+IF(Ajustes!$I58&gt;0,INDEX($AA$4:$AL$323,Ajustes!$I58,V$2),0)+IF(Ajustes!$J58&gt;0,INDEX($AA$4:$AL$323,Ajustes!$J58,V$2),0)+IF(Ajustes!$K58&gt;0,INDEX($AA$5:$AL$324,Ajustes!$K58,V$2),0)+IF(Ajustes!$L58&gt;0,INDEX($AA$4:$AL$323,Ajustes!$L58,V$2),0) + V58</f>
        <v>0</v>
      </c>
      <c r="AI58">
        <f>IF(Ajustes!$G58&gt;0,INDEX($AA$4:$AL$323,Ajustes!$G58,W$2),0)+IF(Ajustes!$H58&gt;0,INDEX($AA$4:$AL$323,Ajustes!$H58,W$2),0)+IF(Ajustes!$I58&gt;0,INDEX($AA$4:$AL$323,Ajustes!$I58,W$2),0)+IF(Ajustes!$J58&gt;0,INDEX($AA$4:$AL$323,Ajustes!$J58,W$2),0)+IF(Ajustes!$K58&gt;0,INDEX($AA$5:$AL$324,Ajustes!$K58,W$2),0)+IF(Ajustes!$L58&gt;0,INDEX($AA$4:$AL$323,Ajustes!$L58,W$2),0) + W58</f>
        <v>0</v>
      </c>
      <c r="AJ58">
        <f>IF(Ajustes!$G58&gt;0,INDEX($AA$4:$AL$323,Ajustes!$G58,X$2),0)+IF(Ajustes!$H58&gt;0,INDEX($AA$4:$AL$323,Ajustes!$H58,X$2),0)+IF(Ajustes!$I58&gt;0,INDEX($AA$4:$AL$323,Ajustes!$I58,X$2),0)+IF(Ajustes!$J58&gt;0,INDEX($AA$4:$AL$323,Ajustes!$J58,X$2),0)+IF(Ajustes!$K58&gt;0,INDEX($AA$5:$AL$324,Ajustes!$K58,X$2),0)+IF(Ajustes!$L58&gt;0,INDEX($AA$4:$AL$323,Ajustes!$L58,X$2),0) + X58</f>
        <v>0</v>
      </c>
      <c r="AK58">
        <f>IF(Ajustes!$G58&gt;0,INDEX($AA$4:$AL$323,Ajustes!$G58,Y$2),0)+IF(Ajustes!$H58&gt;0,INDEX($AA$4:$AL$323,Ajustes!$H58,Y$2),0)+IF(Ajustes!$I58&gt;0,INDEX($AA$4:$AL$323,Ajustes!$I58,Y$2),0)+IF(Ajustes!$J58&gt;0,INDEX($AA$4:$AL$323,Ajustes!$J58,Y$2),0)+IF(Ajustes!$K58&gt;0,INDEX($AA$5:$AL$324,Ajustes!$K58,Y$2),0)+IF(Ajustes!$L58&gt;0,INDEX($AA$4:$AL$323,Ajustes!$L58,Y$2),0) + Y58</f>
        <v>0</v>
      </c>
      <c r="AL58">
        <f>IF(Ajustes!$G58&gt;0,INDEX($AA$4:$AL$323,Ajustes!$G58,Z$2),0)+IF(Ajustes!$H58&gt;0,INDEX($AA$4:$AL$323,Ajustes!$H58,Z$2),0)+IF(Ajustes!$I58&gt;0,INDEX($AA$4:$AL$323,Ajustes!$I58,Z$2),0)+IF(Ajustes!$J58&gt;0,INDEX($AA$4:$AL$323,Ajustes!$J58,Z$2),0)+IF(Ajustes!$K58&gt;0,INDEX($AA$5:$AL$324,Ajustes!$K58,Z$2),0)+IF(Ajustes!$L58&gt;0,INDEX($AA$4:$AL$323,Ajustes!$L58,Z$2),0) + Z58</f>
        <v>0</v>
      </c>
      <c r="AM58" s="113">
        <f t="shared" si="20"/>
        <v>0</v>
      </c>
      <c r="AN58" s="113">
        <f t="shared" si="20"/>
        <v>0</v>
      </c>
      <c r="AO58" s="113">
        <f t="shared" si="20"/>
        <v>0</v>
      </c>
      <c r="AP58" s="113">
        <f t="shared" si="20"/>
        <v>0</v>
      </c>
      <c r="AQ58" s="113">
        <f t="shared" si="20"/>
        <v>0</v>
      </c>
      <c r="AR58" s="113">
        <f t="shared" si="20"/>
        <v>0</v>
      </c>
      <c r="AS58" s="113">
        <f t="shared" si="20"/>
        <v>0</v>
      </c>
      <c r="AT58" s="113">
        <f t="shared" si="20"/>
        <v>0</v>
      </c>
      <c r="AU58" s="113">
        <f t="shared" si="20"/>
        <v>0</v>
      </c>
      <c r="AV58" s="113">
        <f t="shared" si="20"/>
        <v>0</v>
      </c>
      <c r="AW58" s="113">
        <f t="shared" si="21"/>
        <v>0</v>
      </c>
      <c r="AX58" s="113">
        <f t="shared" si="21"/>
        <v>0</v>
      </c>
    </row>
    <row r="59" spans="1:50" x14ac:dyDescent="0.25">
      <c r="A59" s="113">
        <v>56</v>
      </c>
      <c r="B59" s="209"/>
      <c r="C59">
        <f>IFERROR(INDEX($BD$7:$BO$35,MATCH(Ajustes!$E$4:$E$323,$BC$7:$BC$35,0),$C$2:$N$2),1)</f>
        <v>1</v>
      </c>
      <c r="D59" s="113">
        <f>IFERROR(INDEX($BD$7:$BO$35,MATCH(Ajustes!$E$4:$E$323,$BC$7:$BC$35,0),$C$2:$N$2),1)</f>
        <v>1</v>
      </c>
      <c r="E59" s="113">
        <f>IFERROR(INDEX($BD$7:$BO$35,MATCH(Ajustes!$E$4:$E$323,$BC$7:$BC$35,0),$C$2:$N$2),1)</f>
        <v>1</v>
      </c>
      <c r="F59" s="113">
        <f>IFERROR(INDEX($BD$7:$BO$35,MATCH(Ajustes!$E$4:$E$323,$BC$7:$BC$35,0),$C$2:$N$2),1)</f>
        <v>1</v>
      </c>
      <c r="G59" s="113">
        <f>IFERROR(INDEX($BD$7:$BO$35,MATCH(Ajustes!$E$4:$E$323,$BC$7:$BC$35,0),$C$2:$N$2),1)</f>
        <v>1</v>
      </c>
      <c r="H59" s="113">
        <f>IFERROR(INDEX($BD$7:$BO$35,MATCH(Ajustes!$E$4:$E$323,$BC$7:$BC$35,0),$C$2:$N$2),1)</f>
        <v>1</v>
      </c>
      <c r="I59" s="113">
        <f>IFERROR(INDEX($BD$7:$BO$35,MATCH(Ajustes!$E$4:$E$323,$BC$7:$BC$35,0),$C$2:$N$2),1)</f>
        <v>1</v>
      </c>
      <c r="J59" s="113">
        <f>IFERROR(INDEX($BD$7:$BO$35,MATCH(Ajustes!$E$4:$E$323,$BC$7:$BC$35,0),$C$2:$N$2),1)</f>
        <v>1</v>
      </c>
      <c r="K59" s="113">
        <f>IFERROR(INDEX($BD$7:$BO$35,MATCH(Ajustes!$E$4:$E$323,$BC$7:$BC$35,0),$C$2:$N$2),1)</f>
        <v>1</v>
      </c>
      <c r="L59" s="113">
        <f>IFERROR(INDEX($BD$7:$BO$35,MATCH(Ajustes!$E$4:$E$323,$BC$7:$BC$35,0),$C$2:$N$2),1)</f>
        <v>1</v>
      </c>
      <c r="M59" s="113">
        <f>IFERROR(INDEX($BD$7:$BO$35,MATCH(Ajustes!$E$4:$E$323,$BC$7:$BC$35,0),$C$2:$N$2),1)</f>
        <v>1</v>
      </c>
      <c r="N59" s="113">
        <f>IFERROR(INDEX($BD$7:$BO$35,MATCH(Ajustes!$E$4:$E$323,$BC$7:$BC$35,0),$C$2:$N$2),1)</f>
        <v>1</v>
      </c>
      <c r="O59">
        <f>C59*Ajustes!AM59</f>
        <v>0</v>
      </c>
      <c r="P59">
        <f>D59*Ajustes!AN59</f>
        <v>0</v>
      </c>
      <c r="Q59">
        <f>E59*Ajustes!AO59</f>
        <v>0</v>
      </c>
      <c r="R59">
        <f>F59*Ajustes!AP59</f>
        <v>0</v>
      </c>
      <c r="S59">
        <f>G59*Ajustes!AQ59</f>
        <v>0</v>
      </c>
      <c r="T59">
        <f>H59*Ajustes!AR59</f>
        <v>0</v>
      </c>
      <c r="U59">
        <f>I59*Ajustes!AS59</f>
        <v>0</v>
      </c>
      <c r="V59">
        <f>J59*Ajustes!AT59</f>
        <v>0</v>
      </c>
      <c r="W59">
        <f>K59*Ajustes!AU59</f>
        <v>0</v>
      </c>
      <c r="X59">
        <f>L59*Ajustes!AV59</f>
        <v>0</v>
      </c>
      <c r="Y59">
        <f>M59*Ajustes!AW59</f>
        <v>0</v>
      </c>
      <c r="Z59">
        <f>N59*Ajustes!AX59</f>
        <v>0</v>
      </c>
      <c r="AA59">
        <f>IF(Ajustes!$G59&gt;0,INDEX($AA$4:$AL$323,Ajustes!$G59,O$2),0)+IF(Ajustes!$H59&gt;0,INDEX($AA$4:$AL$323,Ajustes!$H59,O$2),0)+IF(Ajustes!$I59&gt;0,INDEX($AA$4:$AL$323,Ajustes!$I59,O$2),0)+IF(Ajustes!$J59&gt;0,INDEX($AA$4:$AL$323,Ajustes!$J59,O$2),0)+IF(Ajustes!$K59&gt;0,INDEX($AA$5:$AL$324,Ajustes!$K59,O$2),0)+IF(Ajustes!$L59&gt;0,INDEX($AA$4:$AL$323,Ajustes!$L59,O$2),0) + O59</f>
        <v>0</v>
      </c>
      <c r="AB59">
        <f>IF(Ajustes!$G59&gt;0,INDEX($AA$4:$AL$323,Ajustes!$G59,P$2),0)+IF(Ajustes!$H59&gt;0,INDEX($AA$4:$AL$323,Ajustes!$H59,P$2),0)+IF(Ajustes!$I59&gt;0,INDEX($AA$4:$AL$323,Ajustes!$I59,P$2),0)+IF(Ajustes!$J59&gt;0,INDEX($AA$4:$AL$323,Ajustes!$J59,P$2),0)+IF(Ajustes!$K59&gt;0,INDEX($AA$5:$AL$324,Ajustes!$K59,P$2),0)+IF(Ajustes!$L59&gt;0,INDEX($AA$4:$AL$323,Ajustes!$L59,P$2),0) + P59</f>
        <v>0</v>
      </c>
      <c r="AC59">
        <f>IF(Ajustes!$G59&gt;0,INDEX($AA$4:$AL$323,Ajustes!$G59,Q$2),0)+IF(Ajustes!$H59&gt;0,INDEX($AA$4:$AL$323,Ajustes!$H59,Q$2),0)+IF(Ajustes!$I59&gt;0,INDEX($AA$4:$AL$323,Ajustes!$I59,Q$2),0)+IF(Ajustes!$J59&gt;0,INDEX($AA$4:$AL$323,Ajustes!$J59,Q$2),0)+IF(Ajustes!$K59&gt;0,INDEX($AA$5:$AL$324,Ajustes!$K59,Q$2),0)+IF(Ajustes!$L59&gt;0,INDEX($AA$4:$AL$323,Ajustes!$L59,Q$2),0) + Q59</f>
        <v>0</v>
      </c>
      <c r="AD59">
        <f>IF(Ajustes!$G59&gt;0,INDEX($AA$4:$AL$323,Ajustes!$G59,R$2),0)+IF(Ajustes!$H59&gt;0,INDEX($AA$4:$AL$323,Ajustes!$H59,R$2),0)+IF(Ajustes!$I59&gt;0,INDEX($AA$4:$AL$323,Ajustes!$I59,R$2),0)+IF(Ajustes!$J59&gt;0,INDEX($AA$4:$AL$323,Ajustes!$J59,R$2),0)+IF(Ajustes!$K59&gt;0,INDEX($AA$5:$AL$324,Ajustes!$K59,R$2),0)+IF(Ajustes!$L59&gt;0,INDEX($AA$4:$AL$323,Ajustes!$L59,R$2),0) + R59</f>
        <v>0</v>
      </c>
      <c r="AE59">
        <f>IF(Ajustes!$G59&gt;0,INDEX($AA$4:$AL$323,Ajustes!$G59,S$2),0)+IF(Ajustes!$H59&gt;0,INDEX($AA$4:$AL$323,Ajustes!$H59,S$2),0)+IF(Ajustes!$I59&gt;0,INDEX($AA$4:$AL$323,Ajustes!$I59,S$2),0)+IF(Ajustes!$J59&gt;0,INDEX($AA$4:$AL$323,Ajustes!$J59,S$2),0)+IF(Ajustes!$K59&gt;0,INDEX($AA$5:$AL$324,Ajustes!$K59,S$2),0)+IF(Ajustes!$L59&gt;0,INDEX($AA$4:$AL$323,Ajustes!$L59,S$2),0) + S59</f>
        <v>0</v>
      </c>
      <c r="AF59">
        <f>IF(Ajustes!$G59&gt;0,INDEX($AA$4:$AL$323,Ajustes!$G59,T$2),0)+IF(Ajustes!$H59&gt;0,INDEX($AA$4:$AL$323,Ajustes!$H59,T$2),0)+IF(Ajustes!$I59&gt;0,INDEX($AA$4:$AL$323,Ajustes!$I59,T$2),0)+IF(Ajustes!$J59&gt;0,INDEX($AA$4:$AL$323,Ajustes!$J59,T$2),0)+IF(Ajustes!$K59&gt;0,INDEX($AA$5:$AL$324,Ajustes!$K59,T$2),0)+IF(Ajustes!$L59&gt;0,INDEX($AA$4:$AL$323,Ajustes!$L59,T$2),0) + T59</f>
        <v>0</v>
      </c>
      <c r="AG59">
        <f>IF(Ajustes!$G59&gt;0,INDEX($AA$4:$AL$323,Ajustes!$G59,U$2),0)+IF(Ajustes!$H59&gt;0,INDEX($AA$4:$AL$323,Ajustes!$H59,U$2),0)+IF(Ajustes!$I59&gt;0,INDEX($AA$4:$AL$323,Ajustes!$I59,U$2),0)+IF(Ajustes!$J59&gt;0,INDEX($AA$4:$AL$323,Ajustes!$J59,U$2),0)+IF(Ajustes!$K59&gt;0,INDEX($AA$5:$AL$324,Ajustes!$K59,U$2),0)+IF(Ajustes!$L59&gt;0,INDEX($AA$4:$AL$323,Ajustes!$L59,U$2),0) + U59</f>
        <v>0</v>
      </c>
      <c r="AH59">
        <f>IF(Ajustes!$G59&gt;0,INDEX($AA$4:$AL$323,Ajustes!$G59,V$2),0)+IF(Ajustes!$H59&gt;0,INDEX($AA$4:$AL$323,Ajustes!$H59,V$2),0)+IF(Ajustes!$I59&gt;0,INDEX($AA$4:$AL$323,Ajustes!$I59,V$2),0)+IF(Ajustes!$J59&gt;0,INDEX($AA$4:$AL$323,Ajustes!$J59,V$2),0)+IF(Ajustes!$K59&gt;0,INDEX($AA$5:$AL$324,Ajustes!$K59,V$2),0)+IF(Ajustes!$L59&gt;0,INDEX($AA$4:$AL$323,Ajustes!$L59,V$2),0) + V59</f>
        <v>0</v>
      </c>
      <c r="AI59">
        <f>IF(Ajustes!$G59&gt;0,INDEX($AA$4:$AL$323,Ajustes!$G59,W$2),0)+IF(Ajustes!$H59&gt;0,INDEX($AA$4:$AL$323,Ajustes!$H59,W$2),0)+IF(Ajustes!$I59&gt;0,INDEX($AA$4:$AL$323,Ajustes!$I59,W$2),0)+IF(Ajustes!$J59&gt;0,INDEX($AA$4:$AL$323,Ajustes!$J59,W$2),0)+IF(Ajustes!$K59&gt;0,INDEX($AA$5:$AL$324,Ajustes!$K59,W$2),0)+IF(Ajustes!$L59&gt;0,INDEX($AA$4:$AL$323,Ajustes!$L59,W$2),0) + W59</f>
        <v>0</v>
      </c>
      <c r="AJ59">
        <f>IF(Ajustes!$G59&gt;0,INDEX($AA$4:$AL$323,Ajustes!$G59,X$2),0)+IF(Ajustes!$H59&gt;0,INDEX($AA$4:$AL$323,Ajustes!$H59,X$2),0)+IF(Ajustes!$I59&gt;0,INDEX($AA$4:$AL$323,Ajustes!$I59,X$2),0)+IF(Ajustes!$J59&gt;0,INDEX($AA$4:$AL$323,Ajustes!$J59,X$2),0)+IF(Ajustes!$K59&gt;0,INDEX($AA$5:$AL$324,Ajustes!$K59,X$2),0)+IF(Ajustes!$L59&gt;0,INDEX($AA$4:$AL$323,Ajustes!$L59,X$2),0) + X59</f>
        <v>0</v>
      </c>
      <c r="AK59">
        <f>IF(Ajustes!$G59&gt;0,INDEX($AA$4:$AL$323,Ajustes!$G59,Y$2),0)+IF(Ajustes!$H59&gt;0,INDEX($AA$4:$AL$323,Ajustes!$H59,Y$2),0)+IF(Ajustes!$I59&gt;0,INDEX($AA$4:$AL$323,Ajustes!$I59,Y$2),0)+IF(Ajustes!$J59&gt;0,INDEX($AA$4:$AL$323,Ajustes!$J59,Y$2),0)+IF(Ajustes!$K59&gt;0,INDEX($AA$5:$AL$324,Ajustes!$K59,Y$2),0)+IF(Ajustes!$L59&gt;0,INDEX($AA$4:$AL$323,Ajustes!$L59,Y$2),0) + Y59</f>
        <v>0</v>
      </c>
      <c r="AL59">
        <f>IF(Ajustes!$G59&gt;0,INDEX($AA$4:$AL$323,Ajustes!$G59,Z$2),0)+IF(Ajustes!$H59&gt;0,INDEX($AA$4:$AL$323,Ajustes!$H59,Z$2),0)+IF(Ajustes!$I59&gt;0,INDEX($AA$4:$AL$323,Ajustes!$I59,Z$2),0)+IF(Ajustes!$J59&gt;0,INDEX($AA$4:$AL$323,Ajustes!$J59,Z$2),0)+IF(Ajustes!$K59&gt;0,INDEX($AA$5:$AL$324,Ajustes!$K59,Z$2),0)+IF(Ajustes!$L59&gt;0,INDEX($AA$4:$AL$323,Ajustes!$L59,Z$2),0) + Z59</f>
        <v>0</v>
      </c>
      <c r="AM59" s="113">
        <f t="shared" si="20"/>
        <v>0</v>
      </c>
      <c r="AN59" s="113">
        <f t="shared" si="20"/>
        <v>0</v>
      </c>
      <c r="AO59" s="113">
        <f t="shared" si="20"/>
        <v>0</v>
      </c>
      <c r="AP59" s="113">
        <f t="shared" si="20"/>
        <v>0</v>
      </c>
      <c r="AQ59" s="113">
        <f t="shared" si="20"/>
        <v>0</v>
      </c>
      <c r="AR59" s="113">
        <f t="shared" si="20"/>
        <v>0</v>
      </c>
      <c r="AS59" s="113">
        <f t="shared" si="20"/>
        <v>0</v>
      </c>
      <c r="AT59" s="113">
        <f t="shared" si="20"/>
        <v>0</v>
      </c>
      <c r="AU59" s="113">
        <f t="shared" si="20"/>
        <v>0</v>
      </c>
      <c r="AV59" s="113">
        <f t="shared" si="20"/>
        <v>0</v>
      </c>
      <c r="AW59" s="113">
        <f t="shared" si="21"/>
        <v>0</v>
      </c>
      <c r="AX59" s="113">
        <f t="shared" si="21"/>
        <v>0</v>
      </c>
    </row>
    <row r="60" spans="1:50" x14ac:dyDescent="0.25">
      <c r="A60" s="113">
        <v>57</v>
      </c>
      <c r="B60" s="209" t="s">
        <v>567</v>
      </c>
      <c r="C60">
        <f>IFERROR(INDEX($BD$7:$BO$35,MATCH(Ajustes!$E$4:$E$323,$BC$7:$BC$35,0),$C$2:$N$2),1)</f>
        <v>1</v>
      </c>
      <c r="D60" s="113">
        <f>IFERROR(INDEX($BD$7:$BO$35,MATCH(Ajustes!$E$4:$E$323,$BC$7:$BC$35,0),$C$2:$N$2),1)</f>
        <v>1</v>
      </c>
      <c r="E60" s="113">
        <f>IFERROR(INDEX($BD$7:$BO$35,MATCH(Ajustes!$E$4:$E$323,$BC$7:$BC$35,0),$C$2:$N$2),1)</f>
        <v>1</v>
      </c>
      <c r="F60" s="113">
        <f>IFERROR(INDEX($BD$7:$BO$35,MATCH(Ajustes!$E$4:$E$323,$BC$7:$BC$35,0),$C$2:$N$2),1)</f>
        <v>1</v>
      </c>
      <c r="G60" s="113">
        <f>IFERROR(INDEX($BD$7:$BO$35,MATCH(Ajustes!$E$4:$E$323,$BC$7:$BC$35,0),$C$2:$N$2),1)</f>
        <v>1</v>
      </c>
      <c r="H60" s="113">
        <f>IFERROR(INDEX($BD$7:$BO$35,MATCH(Ajustes!$E$4:$E$323,$BC$7:$BC$35,0),$C$2:$N$2),1)</f>
        <v>1</v>
      </c>
      <c r="I60" s="113">
        <f>IFERROR(INDEX($BD$7:$BO$35,MATCH(Ajustes!$E$4:$E$323,$BC$7:$BC$35,0),$C$2:$N$2),1)</f>
        <v>1</v>
      </c>
      <c r="J60" s="113">
        <f>IFERROR(INDEX($BD$7:$BO$35,MATCH(Ajustes!$E$4:$E$323,$BC$7:$BC$35,0),$C$2:$N$2),1)</f>
        <v>1</v>
      </c>
      <c r="K60" s="113">
        <f>IFERROR(INDEX($BD$7:$BO$35,MATCH(Ajustes!$E$4:$E$323,$BC$7:$BC$35,0),$C$2:$N$2),1)</f>
        <v>1</v>
      </c>
      <c r="L60" s="113">
        <f>IFERROR(INDEX($BD$7:$BO$35,MATCH(Ajustes!$E$4:$E$323,$BC$7:$BC$35,0),$C$2:$N$2),1)</f>
        <v>1</v>
      </c>
      <c r="M60" s="113">
        <f>IFERROR(INDEX($BD$7:$BO$35,MATCH(Ajustes!$E$4:$E$323,$BC$7:$BC$35,0),$C$2:$N$2),1)</f>
        <v>1</v>
      </c>
      <c r="N60" s="113">
        <f>IFERROR(INDEX($BD$7:$BO$35,MATCH(Ajustes!$E$4:$E$323,$BC$7:$BC$35,0),$C$2:$N$2),1)</f>
        <v>1</v>
      </c>
      <c r="O60">
        <f>C60*Ajustes!AM60</f>
        <v>301</v>
      </c>
      <c r="P60">
        <f>D60*Ajustes!AN60</f>
        <v>313</v>
      </c>
      <c r="Q60">
        <f>E60*Ajustes!AO60</f>
        <v>256</v>
      </c>
      <c r="R60">
        <f>F60*Ajustes!AP60</f>
        <v>192</v>
      </c>
      <c r="S60">
        <f>G60*Ajustes!AQ60</f>
        <v>234</v>
      </c>
      <c r="T60">
        <f>H60*Ajustes!AR60</f>
        <v>276</v>
      </c>
      <c r="U60">
        <f>I60*Ajustes!AS60</f>
        <v>283</v>
      </c>
      <c r="V60">
        <f>J60*Ajustes!AT60</f>
        <v>228</v>
      </c>
      <c r="W60">
        <f>K60*Ajustes!AU60</f>
        <v>262</v>
      </c>
      <c r="X60">
        <f>L60*Ajustes!AV60</f>
        <v>341</v>
      </c>
      <c r="Y60">
        <f>M60*Ajustes!AW60</f>
        <v>279</v>
      </c>
      <c r="Z60">
        <f>N60*Ajustes!AX60</f>
        <v>251</v>
      </c>
      <c r="AA60">
        <f>IF(Ajustes!$G60&gt;0,INDEX($AA$4:$AL$323,Ajustes!$G60,O$2),0)+IF(Ajustes!$H60&gt;0,INDEX($AA$4:$AL$323,Ajustes!$H60,O$2),0)+IF(Ajustes!$I60&gt;0,INDEX($AA$4:$AL$323,Ajustes!$I60,O$2),0)+IF(Ajustes!$J60&gt;0,INDEX($AA$4:$AL$323,Ajustes!$J60,O$2),0)+IF(Ajustes!$K60&gt;0,INDEX($AA$5:$AL$324,Ajustes!$K60,O$2),0)+IF(Ajustes!$L60&gt;0,INDEX($AA$4:$AL$323,Ajustes!$L60,O$2),0) + O60</f>
        <v>301</v>
      </c>
      <c r="AB60">
        <f>IF(Ajustes!$G60&gt;0,INDEX($AA$4:$AL$323,Ajustes!$G60,P$2),0)+IF(Ajustes!$H60&gt;0,INDEX($AA$4:$AL$323,Ajustes!$H60,P$2),0)+IF(Ajustes!$I60&gt;0,INDEX($AA$4:$AL$323,Ajustes!$I60,P$2),0)+IF(Ajustes!$J60&gt;0,INDEX($AA$4:$AL$323,Ajustes!$J60,P$2),0)+IF(Ajustes!$K60&gt;0,INDEX($AA$5:$AL$324,Ajustes!$K60,P$2),0)+IF(Ajustes!$L60&gt;0,INDEX($AA$4:$AL$323,Ajustes!$L60,P$2),0) + P60</f>
        <v>313</v>
      </c>
      <c r="AC60">
        <f>IF(Ajustes!$G60&gt;0,INDEX($AA$4:$AL$323,Ajustes!$G60,Q$2),0)+IF(Ajustes!$H60&gt;0,INDEX($AA$4:$AL$323,Ajustes!$H60,Q$2),0)+IF(Ajustes!$I60&gt;0,INDEX($AA$4:$AL$323,Ajustes!$I60,Q$2),0)+IF(Ajustes!$J60&gt;0,INDEX($AA$4:$AL$323,Ajustes!$J60,Q$2),0)+IF(Ajustes!$K60&gt;0,INDEX($AA$5:$AL$324,Ajustes!$K60,Q$2),0)+IF(Ajustes!$L60&gt;0,INDEX($AA$4:$AL$323,Ajustes!$L60,Q$2),0) + Q60</f>
        <v>256</v>
      </c>
      <c r="AD60">
        <f>IF(Ajustes!$G60&gt;0,INDEX($AA$4:$AL$323,Ajustes!$G60,R$2),0)+IF(Ajustes!$H60&gt;0,INDEX($AA$4:$AL$323,Ajustes!$H60,R$2),0)+IF(Ajustes!$I60&gt;0,INDEX($AA$4:$AL$323,Ajustes!$I60,R$2),0)+IF(Ajustes!$J60&gt;0,INDEX($AA$4:$AL$323,Ajustes!$J60,R$2),0)+IF(Ajustes!$K60&gt;0,INDEX($AA$5:$AL$324,Ajustes!$K60,R$2),0)+IF(Ajustes!$L60&gt;0,INDEX($AA$4:$AL$323,Ajustes!$L60,R$2),0) + R60</f>
        <v>192</v>
      </c>
      <c r="AE60">
        <f>IF(Ajustes!$G60&gt;0,INDEX($AA$4:$AL$323,Ajustes!$G60,S$2),0)+IF(Ajustes!$H60&gt;0,INDEX($AA$4:$AL$323,Ajustes!$H60,S$2),0)+IF(Ajustes!$I60&gt;0,INDEX($AA$4:$AL$323,Ajustes!$I60,S$2),0)+IF(Ajustes!$J60&gt;0,INDEX($AA$4:$AL$323,Ajustes!$J60,S$2),0)+IF(Ajustes!$K60&gt;0,INDEX($AA$5:$AL$324,Ajustes!$K60,S$2),0)+IF(Ajustes!$L60&gt;0,INDEX($AA$4:$AL$323,Ajustes!$L60,S$2),0) + S60</f>
        <v>234</v>
      </c>
      <c r="AF60">
        <f>IF(Ajustes!$G60&gt;0,INDEX($AA$4:$AL$323,Ajustes!$G60,T$2),0)+IF(Ajustes!$H60&gt;0,INDEX($AA$4:$AL$323,Ajustes!$H60,T$2),0)+IF(Ajustes!$I60&gt;0,INDEX($AA$4:$AL$323,Ajustes!$I60,T$2),0)+IF(Ajustes!$J60&gt;0,INDEX($AA$4:$AL$323,Ajustes!$J60,T$2),0)+IF(Ajustes!$K60&gt;0,INDEX($AA$5:$AL$324,Ajustes!$K60,T$2),0)+IF(Ajustes!$L60&gt;0,INDEX($AA$4:$AL$323,Ajustes!$L60,T$2),0) + T60</f>
        <v>276</v>
      </c>
      <c r="AG60">
        <f>IF(Ajustes!$G60&gt;0,INDEX($AA$4:$AL$323,Ajustes!$G60,U$2),0)+IF(Ajustes!$H60&gt;0,INDEX($AA$4:$AL$323,Ajustes!$H60,U$2),0)+IF(Ajustes!$I60&gt;0,INDEX($AA$4:$AL$323,Ajustes!$I60,U$2),0)+IF(Ajustes!$J60&gt;0,INDEX($AA$4:$AL$323,Ajustes!$J60,U$2),0)+IF(Ajustes!$K60&gt;0,INDEX($AA$5:$AL$324,Ajustes!$K60,U$2),0)+IF(Ajustes!$L60&gt;0,INDEX($AA$4:$AL$323,Ajustes!$L60,U$2),0) + U60</f>
        <v>283</v>
      </c>
      <c r="AH60">
        <f>IF(Ajustes!$G60&gt;0,INDEX($AA$4:$AL$323,Ajustes!$G60,V$2),0)+IF(Ajustes!$H60&gt;0,INDEX($AA$4:$AL$323,Ajustes!$H60,V$2),0)+IF(Ajustes!$I60&gt;0,INDEX($AA$4:$AL$323,Ajustes!$I60,V$2),0)+IF(Ajustes!$J60&gt;0,INDEX($AA$4:$AL$323,Ajustes!$J60,V$2),0)+IF(Ajustes!$K60&gt;0,INDEX($AA$5:$AL$324,Ajustes!$K60,V$2),0)+IF(Ajustes!$L60&gt;0,INDEX($AA$4:$AL$323,Ajustes!$L60,V$2),0) + V60</f>
        <v>228</v>
      </c>
      <c r="AI60">
        <f>IF(Ajustes!$G60&gt;0,INDEX($AA$4:$AL$323,Ajustes!$G60,W$2),0)+IF(Ajustes!$H60&gt;0,INDEX($AA$4:$AL$323,Ajustes!$H60,W$2),0)+IF(Ajustes!$I60&gt;0,INDEX($AA$4:$AL$323,Ajustes!$I60,W$2),0)+IF(Ajustes!$J60&gt;0,INDEX($AA$4:$AL$323,Ajustes!$J60,W$2),0)+IF(Ajustes!$K60&gt;0,INDEX($AA$5:$AL$324,Ajustes!$K60,W$2),0)+IF(Ajustes!$L60&gt;0,INDEX($AA$4:$AL$323,Ajustes!$L60,W$2),0) + W60</f>
        <v>262</v>
      </c>
      <c r="AJ60">
        <f>IF(Ajustes!$G60&gt;0,INDEX($AA$4:$AL$323,Ajustes!$G60,X$2),0)+IF(Ajustes!$H60&gt;0,INDEX($AA$4:$AL$323,Ajustes!$H60,X$2),0)+IF(Ajustes!$I60&gt;0,INDEX($AA$4:$AL$323,Ajustes!$I60,X$2),0)+IF(Ajustes!$J60&gt;0,INDEX($AA$4:$AL$323,Ajustes!$J60,X$2),0)+IF(Ajustes!$K60&gt;0,INDEX($AA$5:$AL$324,Ajustes!$K60,X$2),0)+IF(Ajustes!$L60&gt;0,INDEX($AA$4:$AL$323,Ajustes!$L60,X$2),0) + X60</f>
        <v>341</v>
      </c>
      <c r="AK60">
        <f>IF(Ajustes!$G60&gt;0,INDEX($AA$4:$AL$323,Ajustes!$G60,Y$2),0)+IF(Ajustes!$H60&gt;0,INDEX($AA$4:$AL$323,Ajustes!$H60,Y$2),0)+IF(Ajustes!$I60&gt;0,INDEX($AA$4:$AL$323,Ajustes!$I60,Y$2),0)+IF(Ajustes!$J60&gt;0,INDEX($AA$4:$AL$323,Ajustes!$J60,Y$2),0)+IF(Ajustes!$K60&gt;0,INDEX($AA$5:$AL$324,Ajustes!$K60,Y$2),0)+IF(Ajustes!$L60&gt;0,INDEX($AA$4:$AL$323,Ajustes!$L60,Y$2),0) + Y60</f>
        <v>279</v>
      </c>
      <c r="AL60">
        <f>IF(Ajustes!$G60&gt;0,INDEX($AA$4:$AL$323,Ajustes!$G60,Z$2),0)+IF(Ajustes!$H60&gt;0,INDEX($AA$4:$AL$323,Ajustes!$H60,Z$2),0)+IF(Ajustes!$I60&gt;0,INDEX($AA$4:$AL$323,Ajustes!$I60,Z$2),0)+IF(Ajustes!$J60&gt;0,INDEX($AA$4:$AL$323,Ajustes!$J60,Z$2),0)+IF(Ajustes!$K60&gt;0,INDEX($AA$5:$AL$324,Ajustes!$K60,Z$2),0)+IF(Ajustes!$L60&gt;0,INDEX($AA$4:$AL$323,Ajustes!$L60,Z$2),0) + Z60</f>
        <v>251</v>
      </c>
      <c r="AM60" s="113">
        <f t="shared" si="20"/>
        <v>301</v>
      </c>
      <c r="AN60" s="113">
        <f t="shared" si="20"/>
        <v>313</v>
      </c>
      <c r="AO60" s="113">
        <f t="shared" si="20"/>
        <v>256</v>
      </c>
      <c r="AP60" s="113">
        <f t="shared" si="20"/>
        <v>192</v>
      </c>
      <c r="AQ60" s="113">
        <f t="shared" si="20"/>
        <v>234</v>
      </c>
      <c r="AR60" s="113">
        <f t="shared" si="20"/>
        <v>276</v>
      </c>
      <c r="AS60" s="113">
        <f t="shared" si="20"/>
        <v>283</v>
      </c>
      <c r="AT60" s="113">
        <f t="shared" si="20"/>
        <v>228</v>
      </c>
      <c r="AU60" s="113">
        <f t="shared" si="20"/>
        <v>262</v>
      </c>
      <c r="AV60" s="113">
        <f t="shared" si="20"/>
        <v>341</v>
      </c>
      <c r="AW60" s="113">
        <f t="shared" si="21"/>
        <v>279</v>
      </c>
      <c r="AX60" s="113">
        <f t="shared" si="21"/>
        <v>251</v>
      </c>
    </row>
    <row r="61" spans="1:50" x14ac:dyDescent="0.25">
      <c r="A61" s="113">
        <v>58</v>
      </c>
      <c r="B61" s="209" t="s">
        <v>568</v>
      </c>
      <c r="C61">
        <f>IFERROR(INDEX($BD$7:$BO$35,MATCH(Ajustes!$E$4:$E$323,$BC$7:$BC$35,0),$C$2:$N$2),1)</f>
        <v>1</v>
      </c>
      <c r="D61" s="113">
        <f>IFERROR(INDEX($BD$7:$BO$35,MATCH(Ajustes!$E$4:$E$323,$BC$7:$BC$35,0),$C$2:$N$2),1)</f>
        <v>1</v>
      </c>
      <c r="E61" s="113">
        <f>IFERROR(INDEX($BD$7:$BO$35,MATCH(Ajustes!$E$4:$E$323,$BC$7:$BC$35,0),$C$2:$N$2),1)</f>
        <v>1</v>
      </c>
      <c r="F61" s="113">
        <f>IFERROR(INDEX($BD$7:$BO$35,MATCH(Ajustes!$E$4:$E$323,$BC$7:$BC$35,0),$C$2:$N$2),1)</f>
        <v>1</v>
      </c>
      <c r="G61" s="113">
        <f>IFERROR(INDEX($BD$7:$BO$35,MATCH(Ajustes!$E$4:$E$323,$BC$7:$BC$35,0),$C$2:$N$2),1)</f>
        <v>1</v>
      </c>
      <c r="H61" s="113">
        <f>IFERROR(INDEX($BD$7:$BO$35,MATCH(Ajustes!$E$4:$E$323,$BC$7:$BC$35,0),$C$2:$N$2),1)</f>
        <v>1</v>
      </c>
      <c r="I61" s="113">
        <f>IFERROR(INDEX($BD$7:$BO$35,MATCH(Ajustes!$E$4:$E$323,$BC$7:$BC$35,0),$C$2:$N$2),1)</f>
        <v>1</v>
      </c>
      <c r="J61" s="113">
        <f>IFERROR(INDEX($BD$7:$BO$35,MATCH(Ajustes!$E$4:$E$323,$BC$7:$BC$35,0),$C$2:$N$2),1)</f>
        <v>1</v>
      </c>
      <c r="K61" s="113">
        <f>IFERROR(INDEX($BD$7:$BO$35,MATCH(Ajustes!$E$4:$E$323,$BC$7:$BC$35,0),$C$2:$N$2),1)</f>
        <v>1</v>
      </c>
      <c r="L61" s="113">
        <f>IFERROR(INDEX($BD$7:$BO$35,MATCH(Ajustes!$E$4:$E$323,$BC$7:$BC$35,0),$C$2:$N$2),1)</f>
        <v>1</v>
      </c>
      <c r="M61" s="113">
        <f>IFERROR(INDEX($BD$7:$BO$35,MATCH(Ajustes!$E$4:$E$323,$BC$7:$BC$35,0),$C$2:$N$2),1)</f>
        <v>1</v>
      </c>
      <c r="N61" s="113">
        <f>IFERROR(INDEX($BD$7:$BO$35,MATCH(Ajustes!$E$4:$E$323,$BC$7:$BC$35,0),$C$2:$N$2),1)</f>
        <v>1</v>
      </c>
      <c r="O61">
        <f>C61*Ajustes!AM61</f>
        <v>363</v>
      </c>
      <c r="P61">
        <f>D61*Ajustes!AN61</f>
        <v>378</v>
      </c>
      <c r="Q61">
        <f>E61*Ajustes!AO61</f>
        <v>305</v>
      </c>
      <c r="R61">
        <f>F61*Ajustes!AP61</f>
        <v>231</v>
      </c>
      <c r="S61">
        <f>G61*Ajustes!AQ61</f>
        <v>275</v>
      </c>
      <c r="T61">
        <f>H61*Ajustes!AR61</f>
        <v>320</v>
      </c>
      <c r="U61">
        <f>I61*Ajustes!AS61</f>
        <v>321</v>
      </c>
      <c r="V61">
        <f>J61*Ajustes!AT61</f>
        <v>261</v>
      </c>
      <c r="W61">
        <f>K61*Ajustes!AU61</f>
        <v>302</v>
      </c>
      <c r="X61">
        <f>L61*Ajustes!AV61</f>
        <v>392</v>
      </c>
      <c r="Y61">
        <f>M61*Ajustes!AW61</f>
        <v>324</v>
      </c>
      <c r="Z61">
        <f>N61*Ajustes!AX61</f>
        <v>301</v>
      </c>
      <c r="AA61">
        <f>IF(Ajustes!$G61&gt;0,INDEX($AA$4:$AL$323,Ajustes!$G61,O$2),0)+IF(Ajustes!$H61&gt;0,INDEX($AA$4:$AL$323,Ajustes!$H61,O$2),0)+IF(Ajustes!$I61&gt;0,INDEX($AA$4:$AL$323,Ajustes!$I61,O$2),0)+IF(Ajustes!$J61&gt;0,INDEX($AA$4:$AL$323,Ajustes!$J61,O$2),0)+IF(Ajustes!$K61&gt;0,INDEX($AA$5:$AL$324,Ajustes!$K61,O$2),0)+IF(Ajustes!$L61&gt;0,INDEX($AA$4:$AL$323,Ajustes!$L61,O$2),0) + O61</f>
        <v>363</v>
      </c>
      <c r="AB61">
        <f>IF(Ajustes!$G61&gt;0,INDEX($AA$4:$AL$323,Ajustes!$G61,P$2),0)+IF(Ajustes!$H61&gt;0,INDEX($AA$4:$AL$323,Ajustes!$H61,P$2),0)+IF(Ajustes!$I61&gt;0,INDEX($AA$4:$AL$323,Ajustes!$I61,P$2),0)+IF(Ajustes!$J61&gt;0,INDEX($AA$4:$AL$323,Ajustes!$J61,P$2),0)+IF(Ajustes!$K61&gt;0,INDEX($AA$5:$AL$324,Ajustes!$K61,P$2),0)+IF(Ajustes!$L61&gt;0,INDEX($AA$4:$AL$323,Ajustes!$L61,P$2),0) + P61</f>
        <v>378</v>
      </c>
      <c r="AC61">
        <f>IF(Ajustes!$G61&gt;0,INDEX($AA$4:$AL$323,Ajustes!$G61,Q$2),0)+IF(Ajustes!$H61&gt;0,INDEX($AA$4:$AL$323,Ajustes!$H61,Q$2),0)+IF(Ajustes!$I61&gt;0,INDEX($AA$4:$AL$323,Ajustes!$I61,Q$2),0)+IF(Ajustes!$J61&gt;0,INDEX($AA$4:$AL$323,Ajustes!$J61,Q$2),0)+IF(Ajustes!$K61&gt;0,INDEX($AA$5:$AL$324,Ajustes!$K61,Q$2),0)+IF(Ajustes!$L61&gt;0,INDEX($AA$4:$AL$323,Ajustes!$L61,Q$2),0) + Q61</f>
        <v>305</v>
      </c>
      <c r="AD61">
        <f>IF(Ajustes!$G61&gt;0,INDEX($AA$4:$AL$323,Ajustes!$G61,R$2),0)+IF(Ajustes!$H61&gt;0,INDEX($AA$4:$AL$323,Ajustes!$H61,R$2),0)+IF(Ajustes!$I61&gt;0,INDEX($AA$4:$AL$323,Ajustes!$I61,R$2),0)+IF(Ajustes!$J61&gt;0,INDEX($AA$4:$AL$323,Ajustes!$J61,R$2),0)+IF(Ajustes!$K61&gt;0,INDEX($AA$5:$AL$324,Ajustes!$K61,R$2),0)+IF(Ajustes!$L61&gt;0,INDEX($AA$4:$AL$323,Ajustes!$L61,R$2),0) + R61</f>
        <v>231</v>
      </c>
      <c r="AE61">
        <f>IF(Ajustes!$G61&gt;0,INDEX($AA$4:$AL$323,Ajustes!$G61,S$2),0)+IF(Ajustes!$H61&gt;0,INDEX($AA$4:$AL$323,Ajustes!$H61,S$2),0)+IF(Ajustes!$I61&gt;0,INDEX($AA$4:$AL$323,Ajustes!$I61,S$2),0)+IF(Ajustes!$J61&gt;0,INDEX($AA$4:$AL$323,Ajustes!$J61,S$2),0)+IF(Ajustes!$K61&gt;0,INDEX($AA$5:$AL$324,Ajustes!$K61,S$2),0)+IF(Ajustes!$L61&gt;0,INDEX($AA$4:$AL$323,Ajustes!$L61,S$2),0) + S61</f>
        <v>275</v>
      </c>
      <c r="AF61">
        <f>IF(Ajustes!$G61&gt;0,INDEX($AA$4:$AL$323,Ajustes!$G61,T$2),0)+IF(Ajustes!$H61&gt;0,INDEX($AA$4:$AL$323,Ajustes!$H61,T$2),0)+IF(Ajustes!$I61&gt;0,INDEX($AA$4:$AL$323,Ajustes!$I61,T$2),0)+IF(Ajustes!$J61&gt;0,INDEX($AA$4:$AL$323,Ajustes!$J61,T$2),0)+IF(Ajustes!$K61&gt;0,INDEX($AA$5:$AL$324,Ajustes!$K61,T$2),0)+IF(Ajustes!$L61&gt;0,INDEX($AA$4:$AL$323,Ajustes!$L61,T$2),0) + T61</f>
        <v>320</v>
      </c>
      <c r="AG61">
        <f>IF(Ajustes!$G61&gt;0,INDEX($AA$4:$AL$323,Ajustes!$G61,U$2),0)+IF(Ajustes!$H61&gt;0,INDEX($AA$4:$AL$323,Ajustes!$H61,U$2),0)+IF(Ajustes!$I61&gt;0,INDEX($AA$4:$AL$323,Ajustes!$I61,U$2),0)+IF(Ajustes!$J61&gt;0,INDEX($AA$4:$AL$323,Ajustes!$J61,U$2),0)+IF(Ajustes!$K61&gt;0,INDEX($AA$5:$AL$324,Ajustes!$K61,U$2),0)+IF(Ajustes!$L61&gt;0,INDEX($AA$4:$AL$323,Ajustes!$L61,U$2),0) + U61</f>
        <v>321</v>
      </c>
      <c r="AH61">
        <f>IF(Ajustes!$G61&gt;0,INDEX($AA$4:$AL$323,Ajustes!$G61,V$2),0)+IF(Ajustes!$H61&gt;0,INDEX($AA$4:$AL$323,Ajustes!$H61,V$2),0)+IF(Ajustes!$I61&gt;0,INDEX($AA$4:$AL$323,Ajustes!$I61,V$2),0)+IF(Ajustes!$J61&gt;0,INDEX($AA$4:$AL$323,Ajustes!$J61,V$2),0)+IF(Ajustes!$K61&gt;0,INDEX($AA$5:$AL$324,Ajustes!$K61,V$2),0)+IF(Ajustes!$L61&gt;0,INDEX($AA$4:$AL$323,Ajustes!$L61,V$2),0) + V61</f>
        <v>261</v>
      </c>
      <c r="AI61">
        <f>IF(Ajustes!$G61&gt;0,INDEX($AA$4:$AL$323,Ajustes!$G61,W$2),0)+IF(Ajustes!$H61&gt;0,INDEX($AA$4:$AL$323,Ajustes!$H61,W$2),0)+IF(Ajustes!$I61&gt;0,INDEX($AA$4:$AL$323,Ajustes!$I61,W$2),0)+IF(Ajustes!$J61&gt;0,INDEX($AA$4:$AL$323,Ajustes!$J61,W$2),0)+IF(Ajustes!$K61&gt;0,INDEX($AA$5:$AL$324,Ajustes!$K61,W$2),0)+IF(Ajustes!$L61&gt;0,INDEX($AA$4:$AL$323,Ajustes!$L61,W$2),0) + W61</f>
        <v>302</v>
      </c>
      <c r="AJ61">
        <f>IF(Ajustes!$G61&gt;0,INDEX($AA$4:$AL$323,Ajustes!$G61,X$2),0)+IF(Ajustes!$H61&gt;0,INDEX($AA$4:$AL$323,Ajustes!$H61,X$2),0)+IF(Ajustes!$I61&gt;0,INDEX($AA$4:$AL$323,Ajustes!$I61,X$2),0)+IF(Ajustes!$J61&gt;0,INDEX($AA$4:$AL$323,Ajustes!$J61,X$2),0)+IF(Ajustes!$K61&gt;0,INDEX($AA$5:$AL$324,Ajustes!$K61,X$2),0)+IF(Ajustes!$L61&gt;0,INDEX($AA$4:$AL$323,Ajustes!$L61,X$2),0) + X61</f>
        <v>392</v>
      </c>
      <c r="AK61">
        <f>IF(Ajustes!$G61&gt;0,INDEX($AA$4:$AL$323,Ajustes!$G61,Y$2),0)+IF(Ajustes!$H61&gt;0,INDEX($AA$4:$AL$323,Ajustes!$H61,Y$2),0)+IF(Ajustes!$I61&gt;0,INDEX($AA$4:$AL$323,Ajustes!$I61,Y$2),0)+IF(Ajustes!$J61&gt;0,INDEX($AA$4:$AL$323,Ajustes!$J61,Y$2),0)+IF(Ajustes!$K61&gt;0,INDEX($AA$5:$AL$324,Ajustes!$K61,Y$2),0)+IF(Ajustes!$L61&gt;0,INDEX($AA$4:$AL$323,Ajustes!$L61,Y$2),0) + Y61</f>
        <v>324</v>
      </c>
      <c r="AL61">
        <f>IF(Ajustes!$G61&gt;0,INDEX($AA$4:$AL$323,Ajustes!$G61,Z$2),0)+IF(Ajustes!$H61&gt;0,INDEX($AA$4:$AL$323,Ajustes!$H61,Z$2),0)+IF(Ajustes!$I61&gt;0,INDEX($AA$4:$AL$323,Ajustes!$I61,Z$2),0)+IF(Ajustes!$J61&gt;0,INDEX($AA$4:$AL$323,Ajustes!$J61,Z$2),0)+IF(Ajustes!$K61&gt;0,INDEX($AA$5:$AL$324,Ajustes!$K61,Z$2),0)+IF(Ajustes!$L61&gt;0,INDEX($AA$4:$AL$323,Ajustes!$L61,Z$2),0) + Z61</f>
        <v>301</v>
      </c>
      <c r="AM61" s="113">
        <f t="shared" si="20"/>
        <v>363</v>
      </c>
      <c r="AN61" s="113">
        <f t="shared" si="20"/>
        <v>378</v>
      </c>
      <c r="AO61" s="113">
        <f t="shared" si="20"/>
        <v>305</v>
      </c>
      <c r="AP61" s="113">
        <f t="shared" si="20"/>
        <v>231</v>
      </c>
      <c r="AQ61" s="113">
        <f t="shared" si="20"/>
        <v>275</v>
      </c>
      <c r="AR61" s="113">
        <f t="shared" si="20"/>
        <v>320</v>
      </c>
      <c r="AS61" s="113">
        <f t="shared" si="20"/>
        <v>321</v>
      </c>
      <c r="AT61" s="113">
        <f t="shared" si="20"/>
        <v>261</v>
      </c>
      <c r="AU61" s="113">
        <f t="shared" si="20"/>
        <v>302</v>
      </c>
      <c r="AV61" s="113">
        <f t="shared" si="20"/>
        <v>392</v>
      </c>
      <c r="AW61" s="113">
        <f t="shared" si="21"/>
        <v>324</v>
      </c>
      <c r="AX61" s="113">
        <f t="shared" si="21"/>
        <v>301</v>
      </c>
    </row>
    <row r="62" spans="1:50" x14ac:dyDescent="0.25">
      <c r="A62" s="113">
        <v>59</v>
      </c>
      <c r="B62" s="209"/>
      <c r="C62">
        <f>IFERROR(INDEX($BD$7:$BO$35,MATCH(Ajustes!$E$4:$E$323,$BC$7:$BC$35,0),$C$2:$N$2),1)</f>
        <v>1</v>
      </c>
      <c r="D62" s="113">
        <f>IFERROR(INDEX($BD$7:$BO$35,MATCH(Ajustes!$E$4:$E$323,$BC$7:$BC$35,0),$C$2:$N$2),1)</f>
        <v>1</v>
      </c>
      <c r="E62" s="113">
        <f>IFERROR(INDEX($BD$7:$BO$35,MATCH(Ajustes!$E$4:$E$323,$BC$7:$BC$35,0),$C$2:$N$2),1)</f>
        <v>1</v>
      </c>
      <c r="F62" s="113">
        <f>IFERROR(INDEX($BD$7:$BO$35,MATCH(Ajustes!$E$4:$E$323,$BC$7:$BC$35,0),$C$2:$N$2),1)</f>
        <v>1</v>
      </c>
      <c r="G62" s="113">
        <f>IFERROR(INDEX($BD$7:$BO$35,MATCH(Ajustes!$E$4:$E$323,$BC$7:$BC$35,0),$C$2:$N$2),1)</f>
        <v>1</v>
      </c>
      <c r="H62" s="113">
        <f>IFERROR(INDEX($BD$7:$BO$35,MATCH(Ajustes!$E$4:$E$323,$BC$7:$BC$35,0),$C$2:$N$2),1)</f>
        <v>1</v>
      </c>
      <c r="I62" s="113">
        <f>IFERROR(INDEX($BD$7:$BO$35,MATCH(Ajustes!$E$4:$E$323,$BC$7:$BC$35,0),$C$2:$N$2),1)</f>
        <v>1</v>
      </c>
      <c r="J62" s="113">
        <f>IFERROR(INDEX($BD$7:$BO$35,MATCH(Ajustes!$E$4:$E$323,$BC$7:$BC$35,0),$C$2:$N$2),1)</f>
        <v>1</v>
      </c>
      <c r="K62" s="113">
        <f>IFERROR(INDEX($BD$7:$BO$35,MATCH(Ajustes!$E$4:$E$323,$BC$7:$BC$35,0),$C$2:$N$2),1)</f>
        <v>1</v>
      </c>
      <c r="L62" s="113">
        <f>IFERROR(INDEX($BD$7:$BO$35,MATCH(Ajustes!$E$4:$E$323,$BC$7:$BC$35,0),$C$2:$N$2),1)</f>
        <v>1</v>
      </c>
      <c r="M62" s="113">
        <f>IFERROR(INDEX($BD$7:$BO$35,MATCH(Ajustes!$E$4:$E$323,$BC$7:$BC$35,0),$C$2:$N$2),1)</f>
        <v>1</v>
      </c>
      <c r="N62" s="113">
        <f>IFERROR(INDEX($BD$7:$BO$35,MATCH(Ajustes!$E$4:$E$323,$BC$7:$BC$35,0),$C$2:$N$2),1)</f>
        <v>1</v>
      </c>
      <c r="O62">
        <f>C62*Ajustes!AM62</f>
        <v>0</v>
      </c>
      <c r="P62">
        <f>D62*Ajustes!AN62</f>
        <v>0</v>
      </c>
      <c r="Q62">
        <f>E62*Ajustes!AO62</f>
        <v>0</v>
      </c>
      <c r="R62">
        <f>F62*Ajustes!AP62</f>
        <v>0</v>
      </c>
      <c r="S62">
        <f>G62*Ajustes!AQ62</f>
        <v>0</v>
      </c>
      <c r="T62">
        <f>H62*Ajustes!AR62</f>
        <v>0</v>
      </c>
      <c r="U62">
        <f>I62*Ajustes!AS62</f>
        <v>0</v>
      </c>
      <c r="V62">
        <f>J62*Ajustes!AT62</f>
        <v>0</v>
      </c>
      <c r="W62">
        <f>K62*Ajustes!AU62</f>
        <v>0</v>
      </c>
      <c r="X62">
        <f>L62*Ajustes!AV62</f>
        <v>0</v>
      </c>
      <c r="Y62">
        <f>M62*Ajustes!AW62</f>
        <v>0</v>
      </c>
      <c r="Z62">
        <f>N62*Ajustes!AX62</f>
        <v>0</v>
      </c>
      <c r="AA62">
        <f>IF(Ajustes!$G62&gt;0,INDEX($AA$4:$AL$323,Ajustes!$G62,O$2),0)+IF(Ajustes!$H62&gt;0,INDEX($AA$4:$AL$323,Ajustes!$H62,O$2),0)+IF(Ajustes!$I62&gt;0,INDEX($AA$4:$AL$323,Ajustes!$I62,O$2),0)+IF(Ajustes!$J62&gt;0,INDEX($AA$4:$AL$323,Ajustes!$J62,O$2),0)+IF(Ajustes!$K62&gt;0,INDEX($AA$5:$AL$324,Ajustes!$K62,O$2),0)+IF(Ajustes!$L62&gt;0,INDEX($AA$4:$AL$323,Ajustes!$L62,O$2),0) + O62</f>
        <v>0</v>
      </c>
      <c r="AB62">
        <f>IF(Ajustes!$G62&gt;0,INDEX($AA$4:$AL$323,Ajustes!$G62,P$2),0)+IF(Ajustes!$H62&gt;0,INDEX($AA$4:$AL$323,Ajustes!$H62,P$2),0)+IF(Ajustes!$I62&gt;0,INDEX($AA$4:$AL$323,Ajustes!$I62,P$2),0)+IF(Ajustes!$J62&gt;0,INDEX($AA$4:$AL$323,Ajustes!$J62,P$2),0)+IF(Ajustes!$K62&gt;0,INDEX($AA$5:$AL$324,Ajustes!$K62,P$2),0)+IF(Ajustes!$L62&gt;0,INDEX($AA$4:$AL$323,Ajustes!$L62,P$2),0) + P62</f>
        <v>0</v>
      </c>
      <c r="AC62">
        <f>IF(Ajustes!$G62&gt;0,INDEX($AA$4:$AL$323,Ajustes!$G62,Q$2),0)+IF(Ajustes!$H62&gt;0,INDEX($AA$4:$AL$323,Ajustes!$H62,Q$2),0)+IF(Ajustes!$I62&gt;0,INDEX($AA$4:$AL$323,Ajustes!$I62,Q$2),0)+IF(Ajustes!$J62&gt;0,INDEX($AA$4:$AL$323,Ajustes!$J62,Q$2),0)+IF(Ajustes!$K62&gt;0,INDEX($AA$5:$AL$324,Ajustes!$K62,Q$2),0)+IF(Ajustes!$L62&gt;0,INDEX($AA$4:$AL$323,Ajustes!$L62,Q$2),0) + Q62</f>
        <v>0</v>
      </c>
      <c r="AD62">
        <f>IF(Ajustes!$G62&gt;0,INDEX($AA$4:$AL$323,Ajustes!$G62,R$2),0)+IF(Ajustes!$H62&gt;0,INDEX($AA$4:$AL$323,Ajustes!$H62,R$2),0)+IF(Ajustes!$I62&gt;0,INDEX($AA$4:$AL$323,Ajustes!$I62,R$2),0)+IF(Ajustes!$J62&gt;0,INDEX($AA$4:$AL$323,Ajustes!$J62,R$2),0)+IF(Ajustes!$K62&gt;0,INDEX($AA$5:$AL$324,Ajustes!$K62,R$2),0)+IF(Ajustes!$L62&gt;0,INDEX($AA$4:$AL$323,Ajustes!$L62,R$2),0) + R62</f>
        <v>0</v>
      </c>
      <c r="AE62">
        <f>IF(Ajustes!$G62&gt;0,INDEX($AA$4:$AL$323,Ajustes!$G62,S$2),0)+IF(Ajustes!$H62&gt;0,INDEX($AA$4:$AL$323,Ajustes!$H62,S$2),0)+IF(Ajustes!$I62&gt;0,INDEX($AA$4:$AL$323,Ajustes!$I62,S$2),0)+IF(Ajustes!$J62&gt;0,INDEX($AA$4:$AL$323,Ajustes!$J62,S$2),0)+IF(Ajustes!$K62&gt;0,INDEX($AA$5:$AL$324,Ajustes!$K62,S$2),0)+IF(Ajustes!$L62&gt;0,INDEX($AA$4:$AL$323,Ajustes!$L62,S$2),0) + S62</f>
        <v>0</v>
      </c>
      <c r="AF62">
        <f>IF(Ajustes!$G62&gt;0,INDEX($AA$4:$AL$323,Ajustes!$G62,T$2),0)+IF(Ajustes!$H62&gt;0,INDEX($AA$4:$AL$323,Ajustes!$H62,T$2),0)+IF(Ajustes!$I62&gt;0,INDEX($AA$4:$AL$323,Ajustes!$I62,T$2),0)+IF(Ajustes!$J62&gt;0,INDEX($AA$4:$AL$323,Ajustes!$J62,T$2),0)+IF(Ajustes!$K62&gt;0,INDEX($AA$5:$AL$324,Ajustes!$K62,T$2),0)+IF(Ajustes!$L62&gt;0,INDEX($AA$4:$AL$323,Ajustes!$L62,T$2),0) + T62</f>
        <v>0</v>
      </c>
      <c r="AG62">
        <f>IF(Ajustes!$G62&gt;0,INDEX($AA$4:$AL$323,Ajustes!$G62,U$2),0)+IF(Ajustes!$H62&gt;0,INDEX($AA$4:$AL$323,Ajustes!$H62,U$2),0)+IF(Ajustes!$I62&gt;0,INDEX($AA$4:$AL$323,Ajustes!$I62,U$2),0)+IF(Ajustes!$J62&gt;0,INDEX($AA$4:$AL$323,Ajustes!$J62,U$2),0)+IF(Ajustes!$K62&gt;0,INDEX($AA$5:$AL$324,Ajustes!$K62,U$2),0)+IF(Ajustes!$L62&gt;0,INDEX($AA$4:$AL$323,Ajustes!$L62,U$2),0) + U62</f>
        <v>0</v>
      </c>
      <c r="AH62">
        <f>IF(Ajustes!$G62&gt;0,INDEX($AA$4:$AL$323,Ajustes!$G62,V$2),0)+IF(Ajustes!$H62&gt;0,INDEX($AA$4:$AL$323,Ajustes!$H62,V$2),0)+IF(Ajustes!$I62&gt;0,INDEX($AA$4:$AL$323,Ajustes!$I62,V$2),0)+IF(Ajustes!$J62&gt;0,INDEX($AA$4:$AL$323,Ajustes!$J62,V$2),0)+IF(Ajustes!$K62&gt;0,INDEX($AA$5:$AL$324,Ajustes!$K62,V$2),0)+IF(Ajustes!$L62&gt;0,INDEX($AA$4:$AL$323,Ajustes!$L62,V$2),0) + V62</f>
        <v>0</v>
      </c>
      <c r="AI62">
        <f>IF(Ajustes!$G62&gt;0,INDEX($AA$4:$AL$323,Ajustes!$G62,W$2),0)+IF(Ajustes!$H62&gt;0,INDEX($AA$4:$AL$323,Ajustes!$H62,W$2),0)+IF(Ajustes!$I62&gt;0,INDEX($AA$4:$AL$323,Ajustes!$I62,W$2),0)+IF(Ajustes!$J62&gt;0,INDEX($AA$4:$AL$323,Ajustes!$J62,W$2),0)+IF(Ajustes!$K62&gt;0,INDEX($AA$5:$AL$324,Ajustes!$K62,W$2),0)+IF(Ajustes!$L62&gt;0,INDEX($AA$4:$AL$323,Ajustes!$L62,W$2),0) + W62</f>
        <v>0</v>
      </c>
      <c r="AJ62">
        <f>IF(Ajustes!$G62&gt;0,INDEX($AA$4:$AL$323,Ajustes!$G62,X$2),0)+IF(Ajustes!$H62&gt;0,INDEX($AA$4:$AL$323,Ajustes!$H62,X$2),0)+IF(Ajustes!$I62&gt;0,INDEX($AA$4:$AL$323,Ajustes!$I62,X$2),0)+IF(Ajustes!$J62&gt;0,INDEX($AA$4:$AL$323,Ajustes!$J62,X$2),0)+IF(Ajustes!$K62&gt;0,INDEX($AA$5:$AL$324,Ajustes!$K62,X$2),0)+IF(Ajustes!$L62&gt;0,INDEX($AA$4:$AL$323,Ajustes!$L62,X$2),0) + X62</f>
        <v>0</v>
      </c>
      <c r="AK62">
        <f>IF(Ajustes!$G62&gt;0,INDEX($AA$4:$AL$323,Ajustes!$G62,Y$2),0)+IF(Ajustes!$H62&gt;0,INDEX($AA$4:$AL$323,Ajustes!$H62,Y$2),0)+IF(Ajustes!$I62&gt;0,INDEX($AA$4:$AL$323,Ajustes!$I62,Y$2),0)+IF(Ajustes!$J62&gt;0,INDEX($AA$4:$AL$323,Ajustes!$J62,Y$2),0)+IF(Ajustes!$K62&gt;0,INDEX($AA$5:$AL$324,Ajustes!$K62,Y$2),0)+IF(Ajustes!$L62&gt;0,INDEX($AA$4:$AL$323,Ajustes!$L62,Y$2),0) + Y62</f>
        <v>0</v>
      </c>
      <c r="AL62">
        <f>IF(Ajustes!$G62&gt;0,INDEX($AA$4:$AL$323,Ajustes!$G62,Z$2),0)+IF(Ajustes!$H62&gt;0,INDEX($AA$4:$AL$323,Ajustes!$H62,Z$2),0)+IF(Ajustes!$I62&gt;0,INDEX($AA$4:$AL$323,Ajustes!$I62,Z$2),0)+IF(Ajustes!$J62&gt;0,INDEX($AA$4:$AL$323,Ajustes!$J62,Z$2),0)+IF(Ajustes!$K62&gt;0,INDEX($AA$5:$AL$324,Ajustes!$K62,Z$2),0)+IF(Ajustes!$L62&gt;0,INDEX($AA$4:$AL$323,Ajustes!$L62,Z$2),0) + Z62</f>
        <v>0</v>
      </c>
      <c r="AM62" s="113">
        <f t="shared" si="20"/>
        <v>0</v>
      </c>
      <c r="AN62" s="113">
        <f t="shared" si="20"/>
        <v>0</v>
      </c>
      <c r="AO62" s="113">
        <f t="shared" si="20"/>
        <v>0</v>
      </c>
      <c r="AP62" s="113">
        <f t="shared" si="20"/>
        <v>0</v>
      </c>
      <c r="AQ62" s="113">
        <f t="shared" si="20"/>
        <v>0</v>
      </c>
      <c r="AR62" s="113">
        <f t="shared" si="20"/>
        <v>0</v>
      </c>
      <c r="AS62" s="113">
        <f t="shared" si="20"/>
        <v>0</v>
      </c>
      <c r="AT62" s="113">
        <f t="shared" si="20"/>
        <v>0</v>
      </c>
      <c r="AU62" s="113">
        <f t="shared" si="20"/>
        <v>0</v>
      </c>
      <c r="AV62" s="113">
        <f t="shared" si="20"/>
        <v>0</v>
      </c>
      <c r="AW62" s="113">
        <f t="shared" si="21"/>
        <v>0</v>
      </c>
      <c r="AX62" s="113">
        <f t="shared" si="21"/>
        <v>0</v>
      </c>
    </row>
    <row r="63" spans="1:50" x14ac:dyDescent="0.25">
      <c r="A63" s="113">
        <v>60</v>
      </c>
      <c r="B63" s="209"/>
      <c r="C63">
        <f>IFERROR(INDEX($BD$7:$BO$35,MATCH(Ajustes!$E$4:$E$323,$BC$7:$BC$35,0),$C$2:$N$2),1)</f>
        <v>1</v>
      </c>
      <c r="D63" s="113">
        <f>IFERROR(INDEX($BD$7:$BO$35,MATCH(Ajustes!$E$4:$E$323,$BC$7:$BC$35,0),$C$2:$N$2),1)</f>
        <v>1</v>
      </c>
      <c r="E63" s="113">
        <f>IFERROR(INDEX($BD$7:$BO$35,MATCH(Ajustes!$E$4:$E$323,$BC$7:$BC$35,0),$C$2:$N$2),1)</f>
        <v>1</v>
      </c>
      <c r="F63" s="113">
        <f>IFERROR(INDEX($BD$7:$BO$35,MATCH(Ajustes!$E$4:$E$323,$BC$7:$BC$35,0),$C$2:$N$2),1)</f>
        <v>1</v>
      </c>
      <c r="G63" s="113">
        <f>IFERROR(INDEX($BD$7:$BO$35,MATCH(Ajustes!$E$4:$E$323,$BC$7:$BC$35,0),$C$2:$N$2),1)</f>
        <v>1</v>
      </c>
      <c r="H63" s="113">
        <f>IFERROR(INDEX($BD$7:$BO$35,MATCH(Ajustes!$E$4:$E$323,$BC$7:$BC$35,0),$C$2:$N$2),1)</f>
        <v>1</v>
      </c>
      <c r="I63" s="113">
        <f>IFERROR(INDEX($BD$7:$BO$35,MATCH(Ajustes!$E$4:$E$323,$BC$7:$BC$35,0),$C$2:$N$2),1)</f>
        <v>1</v>
      </c>
      <c r="J63" s="113">
        <f>IFERROR(INDEX($BD$7:$BO$35,MATCH(Ajustes!$E$4:$E$323,$BC$7:$BC$35,0),$C$2:$N$2),1)</f>
        <v>1</v>
      </c>
      <c r="K63" s="113">
        <f>IFERROR(INDEX($BD$7:$BO$35,MATCH(Ajustes!$E$4:$E$323,$BC$7:$BC$35,0),$C$2:$N$2),1)</f>
        <v>1</v>
      </c>
      <c r="L63" s="113">
        <f>IFERROR(INDEX($BD$7:$BO$35,MATCH(Ajustes!$E$4:$E$323,$BC$7:$BC$35,0),$C$2:$N$2),1)</f>
        <v>1</v>
      </c>
      <c r="M63" s="113">
        <f>IFERROR(INDEX($BD$7:$BO$35,MATCH(Ajustes!$E$4:$E$323,$BC$7:$BC$35,0),$C$2:$N$2),1)</f>
        <v>1</v>
      </c>
      <c r="N63" s="113">
        <f>IFERROR(INDEX($BD$7:$BO$35,MATCH(Ajustes!$E$4:$E$323,$BC$7:$BC$35,0),$C$2:$N$2),1)</f>
        <v>1</v>
      </c>
      <c r="O63">
        <f>C63*Ajustes!AM63</f>
        <v>0</v>
      </c>
      <c r="P63">
        <f>D63*Ajustes!AN63</f>
        <v>0</v>
      </c>
      <c r="Q63">
        <f>E63*Ajustes!AO63</f>
        <v>0</v>
      </c>
      <c r="R63">
        <f>F63*Ajustes!AP63</f>
        <v>0</v>
      </c>
      <c r="S63">
        <f>G63*Ajustes!AQ63</f>
        <v>0</v>
      </c>
      <c r="T63">
        <f>H63*Ajustes!AR63</f>
        <v>0</v>
      </c>
      <c r="U63">
        <f>I63*Ajustes!AS63</f>
        <v>0</v>
      </c>
      <c r="V63">
        <f>J63*Ajustes!AT63</f>
        <v>0</v>
      </c>
      <c r="W63">
        <f>K63*Ajustes!AU63</f>
        <v>0</v>
      </c>
      <c r="X63">
        <f>L63*Ajustes!AV63</f>
        <v>0</v>
      </c>
      <c r="Y63">
        <f>M63*Ajustes!AW63</f>
        <v>0</v>
      </c>
      <c r="Z63">
        <f>N63*Ajustes!AX63</f>
        <v>0</v>
      </c>
      <c r="AA63">
        <f>IF(Ajustes!$G63&gt;0,INDEX($AA$4:$AL$323,Ajustes!$G63,O$2),0)+IF(Ajustes!$H63&gt;0,INDEX($AA$4:$AL$323,Ajustes!$H63,O$2),0)+IF(Ajustes!$I63&gt;0,INDEX($AA$4:$AL$323,Ajustes!$I63,O$2),0)+IF(Ajustes!$J63&gt;0,INDEX($AA$4:$AL$323,Ajustes!$J63,O$2),0)+IF(Ajustes!$K63&gt;0,INDEX($AA$5:$AL$324,Ajustes!$K63,O$2),0)+IF(Ajustes!$L63&gt;0,INDEX($AA$4:$AL$323,Ajustes!$L63,O$2),0) + O63</f>
        <v>0</v>
      </c>
      <c r="AB63">
        <f>IF(Ajustes!$G63&gt;0,INDEX($AA$4:$AL$323,Ajustes!$G63,P$2),0)+IF(Ajustes!$H63&gt;0,INDEX($AA$4:$AL$323,Ajustes!$H63,P$2),0)+IF(Ajustes!$I63&gt;0,INDEX($AA$4:$AL$323,Ajustes!$I63,P$2),0)+IF(Ajustes!$J63&gt;0,INDEX($AA$4:$AL$323,Ajustes!$J63,P$2),0)+IF(Ajustes!$K63&gt;0,INDEX($AA$5:$AL$324,Ajustes!$K63,P$2),0)+IF(Ajustes!$L63&gt;0,INDEX($AA$4:$AL$323,Ajustes!$L63,P$2),0) + P63</f>
        <v>0</v>
      </c>
      <c r="AC63">
        <f>IF(Ajustes!$G63&gt;0,INDEX($AA$4:$AL$323,Ajustes!$G63,Q$2),0)+IF(Ajustes!$H63&gt;0,INDEX($AA$4:$AL$323,Ajustes!$H63,Q$2),0)+IF(Ajustes!$I63&gt;0,INDEX($AA$4:$AL$323,Ajustes!$I63,Q$2),0)+IF(Ajustes!$J63&gt;0,INDEX($AA$4:$AL$323,Ajustes!$J63,Q$2),0)+IF(Ajustes!$K63&gt;0,INDEX($AA$5:$AL$324,Ajustes!$K63,Q$2),0)+IF(Ajustes!$L63&gt;0,INDEX($AA$4:$AL$323,Ajustes!$L63,Q$2),0) + Q63</f>
        <v>0</v>
      </c>
      <c r="AD63">
        <f>IF(Ajustes!$G63&gt;0,INDEX($AA$4:$AL$323,Ajustes!$G63,R$2),0)+IF(Ajustes!$H63&gt;0,INDEX($AA$4:$AL$323,Ajustes!$H63,R$2),0)+IF(Ajustes!$I63&gt;0,INDEX($AA$4:$AL$323,Ajustes!$I63,R$2),0)+IF(Ajustes!$J63&gt;0,INDEX($AA$4:$AL$323,Ajustes!$J63,R$2),0)+IF(Ajustes!$K63&gt;0,INDEX($AA$5:$AL$324,Ajustes!$K63,R$2),0)+IF(Ajustes!$L63&gt;0,INDEX($AA$4:$AL$323,Ajustes!$L63,R$2),0) + R63</f>
        <v>0</v>
      </c>
      <c r="AE63">
        <f>IF(Ajustes!$G63&gt;0,INDEX($AA$4:$AL$323,Ajustes!$G63,S$2),0)+IF(Ajustes!$H63&gt;0,INDEX($AA$4:$AL$323,Ajustes!$H63,S$2),0)+IF(Ajustes!$I63&gt;0,INDEX($AA$4:$AL$323,Ajustes!$I63,S$2),0)+IF(Ajustes!$J63&gt;0,INDEX($AA$4:$AL$323,Ajustes!$J63,S$2),0)+IF(Ajustes!$K63&gt;0,INDEX($AA$5:$AL$324,Ajustes!$K63,S$2),0)+IF(Ajustes!$L63&gt;0,INDEX($AA$4:$AL$323,Ajustes!$L63,S$2),0) + S63</f>
        <v>0</v>
      </c>
      <c r="AF63">
        <f>IF(Ajustes!$G63&gt;0,INDEX($AA$4:$AL$323,Ajustes!$G63,T$2),0)+IF(Ajustes!$H63&gt;0,INDEX($AA$4:$AL$323,Ajustes!$H63,T$2),0)+IF(Ajustes!$I63&gt;0,INDEX($AA$4:$AL$323,Ajustes!$I63,T$2),0)+IF(Ajustes!$J63&gt;0,INDEX($AA$4:$AL$323,Ajustes!$J63,T$2),0)+IF(Ajustes!$K63&gt;0,INDEX($AA$5:$AL$324,Ajustes!$K63,T$2),0)+IF(Ajustes!$L63&gt;0,INDEX($AA$4:$AL$323,Ajustes!$L63,T$2),0) + T63</f>
        <v>0</v>
      </c>
      <c r="AG63">
        <f>IF(Ajustes!$G63&gt;0,INDEX($AA$4:$AL$323,Ajustes!$G63,U$2),0)+IF(Ajustes!$H63&gt;0,INDEX($AA$4:$AL$323,Ajustes!$H63,U$2),0)+IF(Ajustes!$I63&gt;0,INDEX($AA$4:$AL$323,Ajustes!$I63,U$2),0)+IF(Ajustes!$J63&gt;0,INDEX($AA$4:$AL$323,Ajustes!$J63,U$2),0)+IF(Ajustes!$K63&gt;0,INDEX($AA$5:$AL$324,Ajustes!$K63,U$2),0)+IF(Ajustes!$L63&gt;0,INDEX($AA$4:$AL$323,Ajustes!$L63,U$2),0) + U63</f>
        <v>0</v>
      </c>
      <c r="AH63">
        <f>IF(Ajustes!$G63&gt;0,INDEX($AA$4:$AL$323,Ajustes!$G63,V$2),0)+IF(Ajustes!$H63&gt;0,INDEX($AA$4:$AL$323,Ajustes!$H63,V$2),0)+IF(Ajustes!$I63&gt;0,INDEX($AA$4:$AL$323,Ajustes!$I63,V$2),0)+IF(Ajustes!$J63&gt;0,INDEX($AA$4:$AL$323,Ajustes!$J63,V$2),0)+IF(Ajustes!$K63&gt;0,INDEX($AA$5:$AL$324,Ajustes!$K63,V$2),0)+IF(Ajustes!$L63&gt;0,INDEX($AA$4:$AL$323,Ajustes!$L63,V$2),0) + V63</f>
        <v>0</v>
      </c>
      <c r="AI63">
        <f>IF(Ajustes!$G63&gt;0,INDEX($AA$4:$AL$323,Ajustes!$G63,W$2),0)+IF(Ajustes!$H63&gt;0,INDEX($AA$4:$AL$323,Ajustes!$H63,W$2),0)+IF(Ajustes!$I63&gt;0,INDEX($AA$4:$AL$323,Ajustes!$I63,W$2),0)+IF(Ajustes!$J63&gt;0,INDEX($AA$4:$AL$323,Ajustes!$J63,W$2),0)+IF(Ajustes!$K63&gt;0,INDEX($AA$5:$AL$324,Ajustes!$K63,W$2),0)+IF(Ajustes!$L63&gt;0,INDEX($AA$4:$AL$323,Ajustes!$L63,W$2),0) + W63</f>
        <v>0</v>
      </c>
      <c r="AJ63">
        <f>IF(Ajustes!$G63&gt;0,INDEX($AA$4:$AL$323,Ajustes!$G63,X$2),0)+IF(Ajustes!$H63&gt;0,INDEX($AA$4:$AL$323,Ajustes!$H63,X$2),0)+IF(Ajustes!$I63&gt;0,INDEX($AA$4:$AL$323,Ajustes!$I63,X$2),0)+IF(Ajustes!$J63&gt;0,INDEX($AA$4:$AL$323,Ajustes!$J63,X$2),0)+IF(Ajustes!$K63&gt;0,INDEX($AA$5:$AL$324,Ajustes!$K63,X$2),0)+IF(Ajustes!$L63&gt;0,INDEX($AA$4:$AL$323,Ajustes!$L63,X$2),0) + X63</f>
        <v>0</v>
      </c>
      <c r="AK63">
        <f>IF(Ajustes!$G63&gt;0,INDEX($AA$4:$AL$323,Ajustes!$G63,Y$2),0)+IF(Ajustes!$H63&gt;0,INDEX($AA$4:$AL$323,Ajustes!$H63,Y$2),0)+IF(Ajustes!$I63&gt;0,INDEX($AA$4:$AL$323,Ajustes!$I63,Y$2),0)+IF(Ajustes!$J63&gt;0,INDEX($AA$4:$AL$323,Ajustes!$J63,Y$2),0)+IF(Ajustes!$K63&gt;0,INDEX($AA$5:$AL$324,Ajustes!$K63,Y$2),0)+IF(Ajustes!$L63&gt;0,INDEX($AA$4:$AL$323,Ajustes!$L63,Y$2),0) + Y63</f>
        <v>0</v>
      </c>
      <c r="AL63">
        <f>IF(Ajustes!$G63&gt;0,INDEX($AA$4:$AL$323,Ajustes!$G63,Z$2),0)+IF(Ajustes!$H63&gt;0,INDEX($AA$4:$AL$323,Ajustes!$H63,Z$2),0)+IF(Ajustes!$I63&gt;0,INDEX($AA$4:$AL$323,Ajustes!$I63,Z$2),0)+IF(Ajustes!$J63&gt;0,INDEX($AA$4:$AL$323,Ajustes!$J63,Z$2),0)+IF(Ajustes!$K63&gt;0,INDEX($AA$5:$AL$324,Ajustes!$K63,Z$2),0)+IF(Ajustes!$L63&gt;0,INDEX($AA$4:$AL$323,Ajustes!$L63,Z$2),0) + Z63</f>
        <v>0</v>
      </c>
      <c r="AM63" s="113">
        <f t="shared" si="20"/>
        <v>0</v>
      </c>
      <c r="AN63" s="113">
        <f t="shared" si="20"/>
        <v>0</v>
      </c>
      <c r="AO63" s="113">
        <f t="shared" si="20"/>
        <v>0</v>
      </c>
      <c r="AP63" s="113">
        <f t="shared" si="20"/>
        <v>0</v>
      </c>
      <c r="AQ63" s="113">
        <f t="shared" si="20"/>
        <v>0</v>
      </c>
      <c r="AR63" s="113">
        <f t="shared" si="20"/>
        <v>0</v>
      </c>
      <c r="AS63" s="113">
        <f t="shared" si="20"/>
        <v>0</v>
      </c>
      <c r="AT63" s="113">
        <f t="shared" si="20"/>
        <v>0</v>
      </c>
      <c r="AU63" s="113">
        <f t="shared" si="20"/>
        <v>0</v>
      </c>
      <c r="AV63" s="113">
        <f t="shared" si="20"/>
        <v>0</v>
      </c>
      <c r="AW63" s="113">
        <f t="shared" si="21"/>
        <v>0</v>
      </c>
      <c r="AX63" s="113">
        <f t="shared" si="21"/>
        <v>0</v>
      </c>
    </row>
    <row r="64" spans="1:50" x14ac:dyDescent="0.25">
      <c r="A64" s="113">
        <v>61</v>
      </c>
      <c r="B64" s="209" t="s">
        <v>569</v>
      </c>
      <c r="C64">
        <f>IFERROR(INDEX($BD$7:$BO$35,MATCH(Ajustes!$E$4:$E$323,$BC$7:$BC$35,0),$C$2:$N$2),1)</f>
        <v>1</v>
      </c>
      <c r="D64" s="113">
        <f>IFERROR(INDEX($BD$7:$BO$35,MATCH(Ajustes!$E$4:$E$323,$BC$7:$BC$35,0),$C$2:$N$2),1)</f>
        <v>1</v>
      </c>
      <c r="E64" s="113">
        <f>IFERROR(INDEX($BD$7:$BO$35,MATCH(Ajustes!$E$4:$E$323,$BC$7:$BC$35,0),$C$2:$N$2),1)</f>
        <v>1</v>
      </c>
      <c r="F64" s="113">
        <f>IFERROR(INDEX($BD$7:$BO$35,MATCH(Ajustes!$E$4:$E$323,$BC$7:$BC$35,0),$C$2:$N$2),1)</f>
        <v>1</v>
      </c>
      <c r="G64" s="113">
        <f>IFERROR(INDEX($BD$7:$BO$35,MATCH(Ajustes!$E$4:$E$323,$BC$7:$BC$35,0),$C$2:$N$2),1)</f>
        <v>1</v>
      </c>
      <c r="H64" s="113">
        <f>IFERROR(INDEX($BD$7:$BO$35,MATCH(Ajustes!$E$4:$E$323,$BC$7:$BC$35,0),$C$2:$N$2),1)</f>
        <v>1</v>
      </c>
      <c r="I64" s="113">
        <f>IFERROR(INDEX($BD$7:$BO$35,MATCH(Ajustes!$E$4:$E$323,$BC$7:$BC$35,0),$C$2:$N$2),1)</f>
        <v>1</v>
      </c>
      <c r="J64" s="113">
        <f>IFERROR(INDEX($BD$7:$BO$35,MATCH(Ajustes!$E$4:$E$323,$BC$7:$BC$35,0),$C$2:$N$2),1)</f>
        <v>1</v>
      </c>
      <c r="K64" s="113">
        <f>IFERROR(INDEX($BD$7:$BO$35,MATCH(Ajustes!$E$4:$E$323,$BC$7:$BC$35,0),$C$2:$N$2),1)</f>
        <v>1</v>
      </c>
      <c r="L64" s="113">
        <f>IFERROR(INDEX($BD$7:$BO$35,MATCH(Ajustes!$E$4:$E$323,$BC$7:$BC$35,0),$C$2:$N$2),1)</f>
        <v>1</v>
      </c>
      <c r="M64" s="113">
        <f>IFERROR(INDEX($BD$7:$BO$35,MATCH(Ajustes!$E$4:$E$323,$BC$7:$BC$35,0),$C$2:$N$2),1)</f>
        <v>1</v>
      </c>
      <c r="N64" s="113">
        <f>IFERROR(INDEX($BD$7:$BO$35,MATCH(Ajustes!$E$4:$E$323,$BC$7:$BC$35,0),$C$2:$N$2),1)</f>
        <v>1</v>
      </c>
      <c r="O64">
        <f>C64*Ajustes!AM64</f>
        <v>501</v>
      </c>
      <c r="P64">
        <f>D64*Ajustes!AN64</f>
        <v>502</v>
      </c>
      <c r="Q64">
        <f>E64*Ajustes!AO64</f>
        <v>387</v>
      </c>
      <c r="R64">
        <f>F64*Ajustes!AP64</f>
        <v>311</v>
      </c>
      <c r="S64">
        <f>G64*Ajustes!AQ64</f>
        <v>314</v>
      </c>
      <c r="T64">
        <f>H64*Ajustes!AR64</f>
        <v>344</v>
      </c>
      <c r="U64">
        <f>I64*Ajustes!AS64</f>
        <v>295</v>
      </c>
      <c r="V64">
        <f>J64*Ajustes!AT64</f>
        <v>241</v>
      </c>
      <c r="W64">
        <f>K64*Ajustes!AU64</f>
        <v>262</v>
      </c>
      <c r="X64">
        <f>L64*Ajustes!AV64</f>
        <v>333</v>
      </c>
      <c r="Y64">
        <f>M64*Ajustes!AW64</f>
        <v>310</v>
      </c>
      <c r="Z64">
        <f>N64*Ajustes!AX64</f>
        <v>346</v>
      </c>
      <c r="AA64">
        <f>IF(Ajustes!$G64&gt;0,INDEX($AA$4:$AL$323,Ajustes!$G64,O$2),0)+IF(Ajustes!$H64&gt;0,INDEX($AA$4:$AL$323,Ajustes!$H64,O$2),0)+IF(Ajustes!$I64&gt;0,INDEX($AA$4:$AL$323,Ajustes!$I64,O$2),0)+IF(Ajustes!$J64&gt;0,INDEX($AA$4:$AL$323,Ajustes!$J64,O$2),0)+IF(Ajustes!$K64&gt;0,INDEX($AA$5:$AL$324,Ajustes!$K64,O$2),0)+IF(Ajustes!$L64&gt;0,INDEX($AA$4:$AL$323,Ajustes!$L64,O$2),0) + O64</f>
        <v>1490</v>
      </c>
      <c r="AB64">
        <f>IF(Ajustes!$G64&gt;0,INDEX($AA$4:$AL$323,Ajustes!$G64,P$2),0)+IF(Ajustes!$H64&gt;0,INDEX($AA$4:$AL$323,Ajustes!$H64,P$2),0)+IF(Ajustes!$I64&gt;0,INDEX($AA$4:$AL$323,Ajustes!$I64,P$2),0)+IF(Ajustes!$J64&gt;0,INDEX($AA$4:$AL$323,Ajustes!$J64,P$2),0)+IF(Ajustes!$K64&gt;0,INDEX($AA$5:$AL$324,Ajustes!$K64,P$2),0)+IF(Ajustes!$L64&gt;0,INDEX($AA$4:$AL$323,Ajustes!$L64,P$2),0) + P64</f>
        <v>1571</v>
      </c>
      <c r="AC64">
        <f>IF(Ajustes!$G64&gt;0,INDEX($AA$4:$AL$323,Ajustes!$G64,Q$2),0)+IF(Ajustes!$H64&gt;0,INDEX($AA$4:$AL$323,Ajustes!$H64,Q$2),0)+IF(Ajustes!$I64&gt;0,INDEX($AA$4:$AL$323,Ajustes!$I64,Q$2),0)+IF(Ajustes!$J64&gt;0,INDEX($AA$4:$AL$323,Ajustes!$J64,Q$2),0)+IF(Ajustes!$K64&gt;0,INDEX($AA$5:$AL$324,Ajustes!$K64,Q$2),0)+IF(Ajustes!$L64&gt;0,INDEX($AA$4:$AL$323,Ajustes!$L64,Q$2),0) + Q64</f>
        <v>1285</v>
      </c>
      <c r="AD64">
        <f>IF(Ajustes!$G64&gt;0,INDEX($AA$4:$AL$323,Ajustes!$G64,R$2),0)+IF(Ajustes!$H64&gt;0,INDEX($AA$4:$AL$323,Ajustes!$H64,R$2),0)+IF(Ajustes!$I64&gt;0,INDEX($AA$4:$AL$323,Ajustes!$I64,R$2),0)+IF(Ajustes!$J64&gt;0,INDEX($AA$4:$AL$323,Ajustes!$J64,R$2),0)+IF(Ajustes!$K64&gt;0,INDEX($AA$5:$AL$324,Ajustes!$K64,R$2),0)+IF(Ajustes!$L64&gt;0,INDEX($AA$4:$AL$323,Ajustes!$L64,R$2),0) + R64</f>
        <v>980</v>
      </c>
      <c r="AE64">
        <f>IF(Ajustes!$G64&gt;0,INDEX($AA$4:$AL$323,Ajustes!$G64,S$2),0)+IF(Ajustes!$H64&gt;0,INDEX($AA$4:$AL$323,Ajustes!$H64,S$2),0)+IF(Ajustes!$I64&gt;0,INDEX($AA$4:$AL$323,Ajustes!$I64,S$2),0)+IF(Ajustes!$J64&gt;0,INDEX($AA$4:$AL$323,Ajustes!$J64,S$2),0)+IF(Ajustes!$K64&gt;0,INDEX($AA$5:$AL$324,Ajustes!$K64,S$2),0)+IF(Ajustes!$L64&gt;0,INDEX($AA$4:$AL$323,Ajustes!$L64,S$2),0) + S64</f>
        <v>982</v>
      </c>
      <c r="AF64">
        <f>IF(Ajustes!$G64&gt;0,INDEX($AA$4:$AL$323,Ajustes!$G64,T$2),0)+IF(Ajustes!$H64&gt;0,INDEX($AA$4:$AL$323,Ajustes!$H64,T$2),0)+IF(Ajustes!$I64&gt;0,INDEX($AA$4:$AL$323,Ajustes!$I64,T$2),0)+IF(Ajustes!$J64&gt;0,INDEX($AA$4:$AL$323,Ajustes!$J64,T$2),0)+IF(Ajustes!$K64&gt;0,INDEX($AA$5:$AL$324,Ajustes!$K64,T$2),0)+IF(Ajustes!$L64&gt;0,INDEX($AA$4:$AL$323,Ajustes!$L64,T$2),0) + T64</f>
        <v>1072</v>
      </c>
      <c r="AG64">
        <f>IF(Ajustes!$G64&gt;0,INDEX($AA$4:$AL$323,Ajustes!$G64,U$2),0)+IF(Ajustes!$H64&gt;0,INDEX($AA$4:$AL$323,Ajustes!$H64,U$2),0)+IF(Ajustes!$I64&gt;0,INDEX($AA$4:$AL$323,Ajustes!$I64,U$2),0)+IF(Ajustes!$J64&gt;0,INDEX($AA$4:$AL$323,Ajustes!$J64,U$2),0)+IF(Ajustes!$K64&gt;0,INDEX($AA$5:$AL$324,Ajustes!$K64,U$2),0)+IF(Ajustes!$L64&gt;0,INDEX($AA$4:$AL$323,Ajustes!$L64,U$2),0) + U64</f>
        <v>970</v>
      </c>
      <c r="AH64">
        <f>IF(Ajustes!$G64&gt;0,INDEX($AA$4:$AL$323,Ajustes!$G64,V$2),0)+IF(Ajustes!$H64&gt;0,INDEX($AA$4:$AL$323,Ajustes!$H64,V$2),0)+IF(Ajustes!$I64&gt;0,INDEX($AA$4:$AL$323,Ajustes!$I64,V$2),0)+IF(Ajustes!$J64&gt;0,INDEX($AA$4:$AL$323,Ajustes!$J64,V$2),0)+IF(Ajustes!$K64&gt;0,INDEX($AA$5:$AL$324,Ajustes!$K64,V$2),0)+IF(Ajustes!$L64&gt;0,INDEX($AA$4:$AL$323,Ajustes!$L64,V$2),0) + V64</f>
        <v>798</v>
      </c>
      <c r="AI64">
        <f>IF(Ajustes!$G64&gt;0,INDEX($AA$4:$AL$323,Ajustes!$G64,W$2),0)+IF(Ajustes!$H64&gt;0,INDEX($AA$4:$AL$323,Ajustes!$H64,W$2),0)+IF(Ajustes!$I64&gt;0,INDEX($AA$4:$AL$323,Ajustes!$I64,W$2),0)+IF(Ajustes!$J64&gt;0,INDEX($AA$4:$AL$323,Ajustes!$J64,W$2),0)+IF(Ajustes!$K64&gt;0,INDEX($AA$5:$AL$324,Ajustes!$K64,W$2),0)+IF(Ajustes!$L64&gt;0,INDEX($AA$4:$AL$323,Ajustes!$L64,W$2),0) + W64</f>
        <v>882</v>
      </c>
      <c r="AJ64">
        <f>IF(Ajustes!$G64&gt;0,INDEX($AA$4:$AL$323,Ajustes!$G64,X$2),0)+IF(Ajustes!$H64&gt;0,INDEX($AA$4:$AL$323,Ajustes!$H64,X$2),0)+IF(Ajustes!$I64&gt;0,INDEX($AA$4:$AL$323,Ajustes!$I64,X$2),0)+IF(Ajustes!$J64&gt;0,INDEX($AA$4:$AL$323,Ajustes!$J64,X$2),0)+IF(Ajustes!$K64&gt;0,INDEX($AA$5:$AL$324,Ajustes!$K64,X$2),0)+IF(Ajustes!$L64&gt;0,INDEX($AA$4:$AL$323,Ajustes!$L64,X$2),0) + X64</f>
        <v>1096</v>
      </c>
      <c r="AK64">
        <f>IF(Ajustes!$G64&gt;0,INDEX($AA$4:$AL$323,Ajustes!$G64,Y$2),0)+IF(Ajustes!$H64&gt;0,INDEX($AA$4:$AL$323,Ajustes!$H64,Y$2),0)+IF(Ajustes!$I64&gt;0,INDEX($AA$4:$AL$323,Ajustes!$I64,Y$2),0)+IF(Ajustes!$J64&gt;0,INDEX($AA$4:$AL$323,Ajustes!$J64,Y$2),0)+IF(Ajustes!$K64&gt;0,INDEX($AA$5:$AL$324,Ajustes!$K64,Y$2),0)+IF(Ajustes!$L64&gt;0,INDEX($AA$4:$AL$323,Ajustes!$L64,Y$2),0) + Y64</f>
        <v>987</v>
      </c>
      <c r="AL64">
        <f>IF(Ajustes!$G64&gt;0,INDEX($AA$4:$AL$323,Ajustes!$G64,Z$2),0)+IF(Ajustes!$H64&gt;0,INDEX($AA$4:$AL$323,Ajustes!$H64,Z$2),0)+IF(Ajustes!$I64&gt;0,INDEX($AA$4:$AL$323,Ajustes!$I64,Z$2),0)+IF(Ajustes!$J64&gt;0,INDEX($AA$4:$AL$323,Ajustes!$J64,Z$2),0)+IF(Ajustes!$K64&gt;0,INDEX($AA$5:$AL$324,Ajustes!$K64,Z$2),0)+IF(Ajustes!$L64&gt;0,INDEX($AA$4:$AL$323,Ajustes!$L64,Z$2),0) + Z64</f>
        <v>1087</v>
      </c>
      <c r="AM64" s="113">
        <f t="shared" si="20"/>
        <v>1490</v>
      </c>
      <c r="AN64" s="113">
        <f t="shared" si="20"/>
        <v>1571</v>
      </c>
      <c r="AO64" s="113">
        <f t="shared" si="20"/>
        <v>1285</v>
      </c>
      <c r="AP64" s="113">
        <f t="shared" si="20"/>
        <v>980</v>
      </c>
      <c r="AQ64" s="113">
        <f t="shared" si="20"/>
        <v>982</v>
      </c>
      <c r="AR64" s="113">
        <f t="shared" si="20"/>
        <v>1072</v>
      </c>
      <c r="AS64" s="113">
        <f t="shared" si="20"/>
        <v>970</v>
      </c>
      <c r="AT64" s="113">
        <f t="shared" si="20"/>
        <v>798</v>
      </c>
      <c r="AU64" s="113">
        <f t="shared" si="20"/>
        <v>882</v>
      </c>
      <c r="AV64" s="113">
        <f t="shared" si="20"/>
        <v>1096</v>
      </c>
      <c r="AW64" s="113">
        <f t="shared" si="21"/>
        <v>987</v>
      </c>
      <c r="AX64" s="113">
        <f t="shared" si="21"/>
        <v>1087</v>
      </c>
    </row>
    <row r="65" spans="1:50" x14ac:dyDescent="0.25">
      <c r="A65" s="113">
        <v>62</v>
      </c>
      <c r="B65" s="209" t="s">
        <v>570</v>
      </c>
      <c r="C65">
        <f>IFERROR(INDEX($BD$7:$BO$35,MATCH(Ajustes!$E$4:$E$323,$BC$7:$BC$35,0),$C$2:$N$2),1)</f>
        <v>1</v>
      </c>
      <c r="D65" s="113">
        <f>IFERROR(INDEX($BD$7:$BO$35,MATCH(Ajustes!$E$4:$E$323,$BC$7:$BC$35,0),$C$2:$N$2),1)</f>
        <v>1</v>
      </c>
      <c r="E65" s="113">
        <f>IFERROR(INDEX($BD$7:$BO$35,MATCH(Ajustes!$E$4:$E$323,$BC$7:$BC$35,0),$C$2:$N$2),1)</f>
        <v>1</v>
      </c>
      <c r="F65" s="113">
        <f>IFERROR(INDEX($BD$7:$BO$35,MATCH(Ajustes!$E$4:$E$323,$BC$7:$BC$35,0),$C$2:$N$2),1)</f>
        <v>1</v>
      </c>
      <c r="G65" s="113">
        <f>IFERROR(INDEX($BD$7:$BO$35,MATCH(Ajustes!$E$4:$E$323,$BC$7:$BC$35,0),$C$2:$N$2),1)</f>
        <v>1</v>
      </c>
      <c r="H65" s="113">
        <f>IFERROR(INDEX($BD$7:$BO$35,MATCH(Ajustes!$E$4:$E$323,$BC$7:$BC$35,0),$C$2:$N$2),1)</f>
        <v>1</v>
      </c>
      <c r="I65" s="113">
        <f>IFERROR(INDEX($BD$7:$BO$35,MATCH(Ajustes!$E$4:$E$323,$BC$7:$BC$35,0),$C$2:$N$2),1)</f>
        <v>1</v>
      </c>
      <c r="J65" s="113">
        <f>IFERROR(INDEX($BD$7:$BO$35,MATCH(Ajustes!$E$4:$E$323,$BC$7:$BC$35,0),$C$2:$N$2),1)</f>
        <v>1</v>
      </c>
      <c r="K65" s="113">
        <f>IFERROR(INDEX($BD$7:$BO$35,MATCH(Ajustes!$E$4:$E$323,$BC$7:$BC$35,0),$C$2:$N$2),1)</f>
        <v>1</v>
      </c>
      <c r="L65" s="113">
        <f>IFERROR(INDEX($BD$7:$BO$35,MATCH(Ajustes!$E$4:$E$323,$BC$7:$BC$35,0),$C$2:$N$2),1)</f>
        <v>1</v>
      </c>
      <c r="M65" s="113">
        <f>IFERROR(INDEX($BD$7:$BO$35,MATCH(Ajustes!$E$4:$E$323,$BC$7:$BC$35,0),$C$2:$N$2),1)</f>
        <v>1</v>
      </c>
      <c r="N65" s="113">
        <f>IFERROR(INDEX($BD$7:$BO$35,MATCH(Ajustes!$E$4:$E$323,$BC$7:$BC$35,0),$C$2:$N$2),1)</f>
        <v>1</v>
      </c>
      <c r="O65">
        <f>C65*Ajustes!AM65</f>
        <v>74</v>
      </c>
      <c r="P65">
        <f>D65*Ajustes!AN65</f>
        <v>81</v>
      </c>
      <c r="Q65">
        <f>E65*Ajustes!AO65</f>
        <v>70</v>
      </c>
      <c r="R65">
        <f>F65*Ajustes!AP65</f>
        <v>54</v>
      </c>
      <c r="S65">
        <f>G65*Ajustes!AQ65</f>
        <v>54</v>
      </c>
      <c r="T65">
        <f>H65*Ajustes!AR65</f>
        <v>60</v>
      </c>
      <c r="U65">
        <f>I65*Ajustes!AS65</f>
        <v>57</v>
      </c>
      <c r="V65">
        <f>J65*Ajustes!AT65</f>
        <v>48</v>
      </c>
      <c r="W65">
        <f>K65*Ajustes!AU65</f>
        <v>48</v>
      </c>
      <c r="X65">
        <f>L65*Ajustes!AV65</f>
        <v>64</v>
      </c>
      <c r="Y65">
        <f>M65*Ajustes!AW65</f>
        <v>59</v>
      </c>
      <c r="Z65">
        <f>N65*Ajustes!AX65</f>
        <v>58</v>
      </c>
      <c r="AA65">
        <f>IF(Ajustes!$G65&gt;0,INDEX($AA$4:$AL$323,Ajustes!$G65,O$2),0)+IF(Ajustes!$H65&gt;0,INDEX($AA$4:$AL$323,Ajustes!$H65,O$2),0)+IF(Ajustes!$I65&gt;0,INDEX($AA$4:$AL$323,Ajustes!$I65,O$2),0)+IF(Ajustes!$J65&gt;0,INDEX($AA$4:$AL$323,Ajustes!$J65,O$2),0)+IF(Ajustes!$K65&gt;0,INDEX($AA$5:$AL$324,Ajustes!$K65,O$2),0)+IF(Ajustes!$L65&gt;0,INDEX($AA$4:$AL$323,Ajustes!$L65,O$2),0) + O65</f>
        <v>1564</v>
      </c>
      <c r="AB65">
        <f>IF(Ajustes!$G65&gt;0,INDEX($AA$4:$AL$323,Ajustes!$G65,P$2),0)+IF(Ajustes!$H65&gt;0,INDEX($AA$4:$AL$323,Ajustes!$H65,P$2),0)+IF(Ajustes!$I65&gt;0,INDEX($AA$4:$AL$323,Ajustes!$I65,P$2),0)+IF(Ajustes!$J65&gt;0,INDEX($AA$4:$AL$323,Ajustes!$J65,P$2),0)+IF(Ajustes!$K65&gt;0,INDEX($AA$5:$AL$324,Ajustes!$K65,P$2),0)+IF(Ajustes!$L65&gt;0,INDEX($AA$4:$AL$323,Ajustes!$L65,P$2),0) + P65</f>
        <v>1652</v>
      </c>
      <c r="AC65">
        <f>IF(Ajustes!$G65&gt;0,INDEX($AA$4:$AL$323,Ajustes!$G65,Q$2),0)+IF(Ajustes!$H65&gt;0,INDEX($AA$4:$AL$323,Ajustes!$H65,Q$2),0)+IF(Ajustes!$I65&gt;0,INDEX($AA$4:$AL$323,Ajustes!$I65,Q$2),0)+IF(Ajustes!$J65&gt;0,INDEX($AA$4:$AL$323,Ajustes!$J65,Q$2),0)+IF(Ajustes!$K65&gt;0,INDEX($AA$5:$AL$324,Ajustes!$K65,Q$2),0)+IF(Ajustes!$L65&gt;0,INDEX($AA$4:$AL$323,Ajustes!$L65,Q$2),0) + Q65</f>
        <v>1355</v>
      </c>
      <c r="AD65">
        <f>IF(Ajustes!$G65&gt;0,INDEX($AA$4:$AL$323,Ajustes!$G65,R$2),0)+IF(Ajustes!$H65&gt;0,INDEX($AA$4:$AL$323,Ajustes!$H65,R$2),0)+IF(Ajustes!$I65&gt;0,INDEX($AA$4:$AL$323,Ajustes!$I65,R$2),0)+IF(Ajustes!$J65&gt;0,INDEX($AA$4:$AL$323,Ajustes!$J65,R$2),0)+IF(Ajustes!$K65&gt;0,INDEX($AA$5:$AL$324,Ajustes!$K65,R$2),0)+IF(Ajustes!$L65&gt;0,INDEX($AA$4:$AL$323,Ajustes!$L65,R$2),0) + R65</f>
        <v>1034</v>
      </c>
      <c r="AE65">
        <f>IF(Ajustes!$G65&gt;0,INDEX($AA$4:$AL$323,Ajustes!$G65,S$2),0)+IF(Ajustes!$H65&gt;0,INDEX($AA$4:$AL$323,Ajustes!$H65,S$2),0)+IF(Ajustes!$I65&gt;0,INDEX($AA$4:$AL$323,Ajustes!$I65,S$2),0)+IF(Ajustes!$J65&gt;0,INDEX($AA$4:$AL$323,Ajustes!$J65,S$2),0)+IF(Ajustes!$K65&gt;0,INDEX($AA$5:$AL$324,Ajustes!$K65,S$2),0)+IF(Ajustes!$L65&gt;0,INDEX($AA$4:$AL$323,Ajustes!$L65,S$2),0) + S65</f>
        <v>1036</v>
      </c>
      <c r="AF65">
        <f>IF(Ajustes!$G65&gt;0,INDEX($AA$4:$AL$323,Ajustes!$G65,T$2),0)+IF(Ajustes!$H65&gt;0,INDEX($AA$4:$AL$323,Ajustes!$H65,T$2),0)+IF(Ajustes!$I65&gt;0,INDEX($AA$4:$AL$323,Ajustes!$I65,T$2),0)+IF(Ajustes!$J65&gt;0,INDEX($AA$4:$AL$323,Ajustes!$J65,T$2),0)+IF(Ajustes!$K65&gt;0,INDEX($AA$5:$AL$324,Ajustes!$K65,T$2),0)+IF(Ajustes!$L65&gt;0,INDEX($AA$4:$AL$323,Ajustes!$L65,T$2),0) + T65</f>
        <v>1132</v>
      </c>
      <c r="AG65">
        <f>IF(Ajustes!$G65&gt;0,INDEX($AA$4:$AL$323,Ajustes!$G65,U$2),0)+IF(Ajustes!$H65&gt;0,INDEX($AA$4:$AL$323,Ajustes!$H65,U$2),0)+IF(Ajustes!$I65&gt;0,INDEX($AA$4:$AL$323,Ajustes!$I65,U$2),0)+IF(Ajustes!$J65&gt;0,INDEX($AA$4:$AL$323,Ajustes!$J65,U$2),0)+IF(Ajustes!$K65&gt;0,INDEX($AA$5:$AL$324,Ajustes!$K65,U$2),0)+IF(Ajustes!$L65&gt;0,INDEX($AA$4:$AL$323,Ajustes!$L65,U$2),0) + U65</f>
        <v>1027</v>
      </c>
      <c r="AH65">
        <f>IF(Ajustes!$G65&gt;0,INDEX($AA$4:$AL$323,Ajustes!$G65,V$2),0)+IF(Ajustes!$H65&gt;0,INDEX($AA$4:$AL$323,Ajustes!$H65,V$2),0)+IF(Ajustes!$I65&gt;0,INDEX($AA$4:$AL$323,Ajustes!$I65,V$2),0)+IF(Ajustes!$J65&gt;0,INDEX($AA$4:$AL$323,Ajustes!$J65,V$2),0)+IF(Ajustes!$K65&gt;0,INDEX($AA$5:$AL$324,Ajustes!$K65,V$2),0)+IF(Ajustes!$L65&gt;0,INDEX($AA$4:$AL$323,Ajustes!$L65,V$2),0) + V65</f>
        <v>846</v>
      </c>
      <c r="AI65">
        <f>IF(Ajustes!$G65&gt;0,INDEX($AA$4:$AL$323,Ajustes!$G65,W$2),0)+IF(Ajustes!$H65&gt;0,INDEX($AA$4:$AL$323,Ajustes!$H65,W$2),0)+IF(Ajustes!$I65&gt;0,INDEX($AA$4:$AL$323,Ajustes!$I65,W$2),0)+IF(Ajustes!$J65&gt;0,INDEX($AA$4:$AL$323,Ajustes!$J65,W$2),0)+IF(Ajustes!$K65&gt;0,INDEX($AA$5:$AL$324,Ajustes!$K65,W$2),0)+IF(Ajustes!$L65&gt;0,INDEX($AA$4:$AL$323,Ajustes!$L65,W$2),0) + W65</f>
        <v>930</v>
      </c>
      <c r="AJ65">
        <f>IF(Ajustes!$G65&gt;0,INDEX($AA$4:$AL$323,Ajustes!$G65,X$2),0)+IF(Ajustes!$H65&gt;0,INDEX($AA$4:$AL$323,Ajustes!$H65,X$2),0)+IF(Ajustes!$I65&gt;0,INDEX($AA$4:$AL$323,Ajustes!$I65,X$2),0)+IF(Ajustes!$J65&gt;0,INDEX($AA$4:$AL$323,Ajustes!$J65,X$2),0)+IF(Ajustes!$K65&gt;0,INDEX($AA$5:$AL$324,Ajustes!$K65,X$2),0)+IF(Ajustes!$L65&gt;0,INDEX($AA$4:$AL$323,Ajustes!$L65,X$2),0) + X65</f>
        <v>1160</v>
      </c>
      <c r="AK65">
        <f>IF(Ajustes!$G65&gt;0,INDEX($AA$4:$AL$323,Ajustes!$G65,Y$2),0)+IF(Ajustes!$H65&gt;0,INDEX($AA$4:$AL$323,Ajustes!$H65,Y$2),0)+IF(Ajustes!$I65&gt;0,INDEX($AA$4:$AL$323,Ajustes!$I65,Y$2),0)+IF(Ajustes!$J65&gt;0,INDEX($AA$4:$AL$323,Ajustes!$J65,Y$2),0)+IF(Ajustes!$K65&gt;0,INDEX($AA$5:$AL$324,Ajustes!$K65,Y$2),0)+IF(Ajustes!$L65&gt;0,INDEX($AA$4:$AL$323,Ajustes!$L65,Y$2),0) + Y65</f>
        <v>1046</v>
      </c>
      <c r="AL65">
        <f>IF(Ajustes!$G65&gt;0,INDEX($AA$4:$AL$323,Ajustes!$G65,Z$2),0)+IF(Ajustes!$H65&gt;0,INDEX($AA$4:$AL$323,Ajustes!$H65,Z$2),0)+IF(Ajustes!$I65&gt;0,INDEX($AA$4:$AL$323,Ajustes!$I65,Z$2),0)+IF(Ajustes!$J65&gt;0,INDEX($AA$4:$AL$323,Ajustes!$J65,Z$2),0)+IF(Ajustes!$K65&gt;0,INDEX($AA$5:$AL$324,Ajustes!$K65,Z$2),0)+IF(Ajustes!$L65&gt;0,INDEX($AA$4:$AL$323,Ajustes!$L65,Z$2),0) + Z65</f>
        <v>1145</v>
      </c>
      <c r="AM65" s="113">
        <f t="shared" si="20"/>
        <v>1564</v>
      </c>
      <c r="AN65" s="113">
        <f t="shared" si="20"/>
        <v>1652</v>
      </c>
      <c r="AO65" s="113">
        <f t="shared" si="20"/>
        <v>1355</v>
      </c>
      <c r="AP65" s="113">
        <f t="shared" si="20"/>
        <v>1034</v>
      </c>
      <c r="AQ65" s="113">
        <f t="shared" si="20"/>
        <v>1036</v>
      </c>
      <c r="AR65" s="113">
        <f t="shared" si="20"/>
        <v>1132</v>
      </c>
      <c r="AS65" s="113">
        <f t="shared" si="20"/>
        <v>1027</v>
      </c>
      <c r="AT65" s="113">
        <f t="shared" si="20"/>
        <v>846</v>
      </c>
      <c r="AU65" s="113">
        <f t="shared" si="20"/>
        <v>930</v>
      </c>
      <c r="AV65" s="113">
        <f t="shared" si="20"/>
        <v>1160</v>
      </c>
      <c r="AW65" s="113">
        <f t="shared" si="21"/>
        <v>1046</v>
      </c>
      <c r="AX65" s="113">
        <f t="shared" si="21"/>
        <v>1145</v>
      </c>
    </row>
    <row r="66" spans="1:50" x14ac:dyDescent="0.25">
      <c r="A66" s="113">
        <v>63</v>
      </c>
      <c r="B66" s="209" t="s">
        <v>571</v>
      </c>
      <c r="C66">
        <f>IFERROR(INDEX($BD$7:$BO$35,MATCH(Ajustes!$E$4:$E$323,$BC$7:$BC$35,0),$C$2:$N$2),1)</f>
        <v>1</v>
      </c>
      <c r="D66" s="113">
        <f>IFERROR(INDEX($BD$7:$BO$35,MATCH(Ajustes!$E$4:$E$323,$BC$7:$BC$35,0),$C$2:$N$2),1)</f>
        <v>1</v>
      </c>
      <c r="E66" s="113">
        <f>IFERROR(INDEX($BD$7:$BO$35,MATCH(Ajustes!$E$4:$E$323,$BC$7:$BC$35,0),$C$2:$N$2),1)</f>
        <v>1</v>
      </c>
      <c r="F66" s="113">
        <f>IFERROR(INDEX($BD$7:$BO$35,MATCH(Ajustes!$E$4:$E$323,$BC$7:$BC$35,0),$C$2:$N$2),1)</f>
        <v>1</v>
      </c>
      <c r="G66" s="113">
        <f>IFERROR(INDEX($BD$7:$BO$35,MATCH(Ajustes!$E$4:$E$323,$BC$7:$BC$35,0),$C$2:$N$2),1)</f>
        <v>1</v>
      </c>
      <c r="H66" s="113">
        <f>IFERROR(INDEX($BD$7:$BO$35,MATCH(Ajustes!$E$4:$E$323,$BC$7:$BC$35,0),$C$2:$N$2),1)</f>
        <v>1</v>
      </c>
      <c r="I66" s="113">
        <f>IFERROR(INDEX($BD$7:$BO$35,MATCH(Ajustes!$E$4:$E$323,$BC$7:$BC$35,0),$C$2:$N$2),1)</f>
        <v>1</v>
      </c>
      <c r="J66" s="113">
        <f>IFERROR(INDEX($BD$7:$BO$35,MATCH(Ajustes!$E$4:$E$323,$BC$7:$BC$35,0),$C$2:$N$2),1)</f>
        <v>1</v>
      </c>
      <c r="K66" s="113">
        <f>IFERROR(INDEX($BD$7:$BO$35,MATCH(Ajustes!$E$4:$E$323,$BC$7:$BC$35,0),$C$2:$N$2),1)</f>
        <v>1</v>
      </c>
      <c r="L66" s="113">
        <f>IFERROR(INDEX($BD$7:$BO$35,MATCH(Ajustes!$E$4:$E$323,$BC$7:$BC$35,0),$C$2:$N$2),1)</f>
        <v>1</v>
      </c>
      <c r="M66" s="113">
        <f>IFERROR(INDEX($BD$7:$BO$35,MATCH(Ajustes!$E$4:$E$323,$BC$7:$BC$35,0),$C$2:$N$2),1)</f>
        <v>1</v>
      </c>
      <c r="N66" s="113">
        <f>IFERROR(INDEX($BD$7:$BO$35,MATCH(Ajustes!$E$4:$E$323,$BC$7:$BC$35,0),$C$2:$N$2),1)</f>
        <v>1</v>
      </c>
      <c r="O66">
        <f>C66*Ajustes!AM66</f>
        <v>163</v>
      </c>
      <c r="P66">
        <f>D66*Ajustes!AN66</f>
        <v>178</v>
      </c>
      <c r="Q66">
        <f>E66*Ajustes!AO66</f>
        <v>166</v>
      </c>
      <c r="R66">
        <f>F66*Ajustes!AP66</f>
        <v>130</v>
      </c>
      <c r="S66">
        <f>G66*Ajustes!AQ66</f>
        <v>124</v>
      </c>
      <c r="T66">
        <f>H66*Ajustes!AR66</f>
        <v>143</v>
      </c>
      <c r="U66">
        <f>I66*Ajustes!AS66</f>
        <v>129</v>
      </c>
      <c r="V66">
        <f>J66*Ajustes!AT66</f>
        <v>115</v>
      </c>
      <c r="W66">
        <f>K66*Ajustes!AU66</f>
        <v>115</v>
      </c>
      <c r="X66">
        <f>L66*Ajustes!AV66</f>
        <v>143</v>
      </c>
      <c r="Y66">
        <f>M66*Ajustes!AW66</f>
        <v>141</v>
      </c>
      <c r="Z66">
        <f>N66*Ajustes!AX66</f>
        <v>139</v>
      </c>
      <c r="AA66">
        <f>IF(Ajustes!$G66&gt;0,INDEX($AA$4:$AL$323,Ajustes!$G66,O$2),0)+IF(Ajustes!$H66&gt;0,INDEX($AA$4:$AL$323,Ajustes!$H66,O$2),0)+IF(Ajustes!$I66&gt;0,INDEX($AA$4:$AL$323,Ajustes!$I66,O$2),0)+IF(Ajustes!$J66&gt;0,INDEX($AA$4:$AL$323,Ajustes!$J66,O$2),0)+IF(Ajustes!$K66&gt;0,INDEX($AA$5:$AL$324,Ajustes!$K66,O$2),0)+IF(Ajustes!$L66&gt;0,INDEX($AA$4:$AL$323,Ajustes!$L66,O$2),0) + O66</f>
        <v>1727</v>
      </c>
      <c r="AB66">
        <f>IF(Ajustes!$G66&gt;0,INDEX($AA$4:$AL$323,Ajustes!$G66,P$2),0)+IF(Ajustes!$H66&gt;0,INDEX($AA$4:$AL$323,Ajustes!$H66,P$2),0)+IF(Ajustes!$I66&gt;0,INDEX($AA$4:$AL$323,Ajustes!$I66,P$2),0)+IF(Ajustes!$J66&gt;0,INDEX($AA$4:$AL$323,Ajustes!$J66,P$2),0)+IF(Ajustes!$K66&gt;0,INDEX($AA$5:$AL$324,Ajustes!$K66,P$2),0)+IF(Ajustes!$L66&gt;0,INDEX($AA$4:$AL$323,Ajustes!$L66,P$2),0) + P66</f>
        <v>1830</v>
      </c>
      <c r="AC66">
        <f>IF(Ajustes!$G66&gt;0,INDEX($AA$4:$AL$323,Ajustes!$G66,Q$2),0)+IF(Ajustes!$H66&gt;0,INDEX($AA$4:$AL$323,Ajustes!$H66,Q$2),0)+IF(Ajustes!$I66&gt;0,INDEX($AA$4:$AL$323,Ajustes!$I66,Q$2),0)+IF(Ajustes!$J66&gt;0,INDEX($AA$4:$AL$323,Ajustes!$J66,Q$2),0)+IF(Ajustes!$K66&gt;0,INDEX($AA$5:$AL$324,Ajustes!$K66,Q$2),0)+IF(Ajustes!$L66&gt;0,INDEX($AA$4:$AL$323,Ajustes!$L66,Q$2),0) + Q66</f>
        <v>1521</v>
      </c>
      <c r="AD66">
        <f>IF(Ajustes!$G66&gt;0,INDEX($AA$4:$AL$323,Ajustes!$G66,R$2),0)+IF(Ajustes!$H66&gt;0,INDEX($AA$4:$AL$323,Ajustes!$H66,R$2),0)+IF(Ajustes!$I66&gt;0,INDEX($AA$4:$AL$323,Ajustes!$I66,R$2),0)+IF(Ajustes!$J66&gt;0,INDEX($AA$4:$AL$323,Ajustes!$J66,R$2),0)+IF(Ajustes!$K66&gt;0,INDEX($AA$5:$AL$324,Ajustes!$K66,R$2),0)+IF(Ajustes!$L66&gt;0,INDEX($AA$4:$AL$323,Ajustes!$L66,R$2),0) + R66</f>
        <v>1164</v>
      </c>
      <c r="AE66">
        <f>IF(Ajustes!$G66&gt;0,INDEX($AA$4:$AL$323,Ajustes!$G66,S$2),0)+IF(Ajustes!$H66&gt;0,INDEX($AA$4:$AL$323,Ajustes!$H66,S$2),0)+IF(Ajustes!$I66&gt;0,INDEX($AA$4:$AL$323,Ajustes!$I66,S$2),0)+IF(Ajustes!$J66&gt;0,INDEX($AA$4:$AL$323,Ajustes!$J66,S$2),0)+IF(Ajustes!$K66&gt;0,INDEX($AA$5:$AL$324,Ajustes!$K66,S$2),0)+IF(Ajustes!$L66&gt;0,INDEX($AA$4:$AL$323,Ajustes!$L66,S$2),0) + S66</f>
        <v>1160</v>
      </c>
      <c r="AF66">
        <f>IF(Ajustes!$G66&gt;0,INDEX($AA$4:$AL$323,Ajustes!$G66,T$2),0)+IF(Ajustes!$H66&gt;0,INDEX($AA$4:$AL$323,Ajustes!$H66,T$2),0)+IF(Ajustes!$I66&gt;0,INDEX($AA$4:$AL$323,Ajustes!$I66,T$2),0)+IF(Ajustes!$J66&gt;0,INDEX($AA$4:$AL$323,Ajustes!$J66,T$2),0)+IF(Ajustes!$K66&gt;0,INDEX($AA$5:$AL$324,Ajustes!$K66,T$2),0)+IF(Ajustes!$L66&gt;0,INDEX($AA$4:$AL$323,Ajustes!$L66,T$2),0) + T66</f>
        <v>1275</v>
      </c>
      <c r="AG66">
        <f>IF(Ajustes!$G66&gt;0,INDEX($AA$4:$AL$323,Ajustes!$G66,U$2),0)+IF(Ajustes!$H66&gt;0,INDEX($AA$4:$AL$323,Ajustes!$H66,U$2),0)+IF(Ajustes!$I66&gt;0,INDEX($AA$4:$AL$323,Ajustes!$I66,U$2),0)+IF(Ajustes!$J66&gt;0,INDEX($AA$4:$AL$323,Ajustes!$J66,U$2),0)+IF(Ajustes!$K66&gt;0,INDEX($AA$5:$AL$324,Ajustes!$K66,U$2),0)+IF(Ajustes!$L66&gt;0,INDEX($AA$4:$AL$323,Ajustes!$L66,U$2),0) + U66</f>
        <v>1156</v>
      </c>
      <c r="AH66">
        <f>IF(Ajustes!$G66&gt;0,INDEX($AA$4:$AL$323,Ajustes!$G66,V$2),0)+IF(Ajustes!$H66&gt;0,INDEX($AA$4:$AL$323,Ajustes!$H66,V$2),0)+IF(Ajustes!$I66&gt;0,INDEX($AA$4:$AL$323,Ajustes!$I66,V$2),0)+IF(Ajustes!$J66&gt;0,INDEX($AA$4:$AL$323,Ajustes!$J66,V$2),0)+IF(Ajustes!$K66&gt;0,INDEX($AA$5:$AL$324,Ajustes!$K66,V$2),0)+IF(Ajustes!$L66&gt;0,INDEX($AA$4:$AL$323,Ajustes!$L66,V$2),0) + V66</f>
        <v>961</v>
      </c>
      <c r="AI66">
        <f>IF(Ajustes!$G66&gt;0,INDEX($AA$4:$AL$323,Ajustes!$G66,W$2),0)+IF(Ajustes!$H66&gt;0,INDEX($AA$4:$AL$323,Ajustes!$H66,W$2),0)+IF(Ajustes!$I66&gt;0,INDEX($AA$4:$AL$323,Ajustes!$I66,W$2),0)+IF(Ajustes!$J66&gt;0,INDEX($AA$4:$AL$323,Ajustes!$J66,W$2),0)+IF(Ajustes!$K66&gt;0,INDEX($AA$5:$AL$324,Ajustes!$K66,W$2),0)+IF(Ajustes!$L66&gt;0,INDEX($AA$4:$AL$323,Ajustes!$L66,W$2),0) + W66</f>
        <v>1045</v>
      </c>
      <c r="AJ66">
        <f>IF(Ajustes!$G66&gt;0,INDEX($AA$4:$AL$323,Ajustes!$G66,X$2),0)+IF(Ajustes!$H66&gt;0,INDEX($AA$4:$AL$323,Ajustes!$H66,X$2),0)+IF(Ajustes!$I66&gt;0,INDEX($AA$4:$AL$323,Ajustes!$I66,X$2),0)+IF(Ajustes!$J66&gt;0,INDEX($AA$4:$AL$323,Ajustes!$J66,X$2),0)+IF(Ajustes!$K66&gt;0,INDEX($AA$5:$AL$324,Ajustes!$K66,X$2),0)+IF(Ajustes!$L66&gt;0,INDEX($AA$4:$AL$323,Ajustes!$L66,X$2),0) + X66</f>
        <v>1303</v>
      </c>
      <c r="AK66">
        <f>IF(Ajustes!$G66&gt;0,INDEX($AA$4:$AL$323,Ajustes!$G66,Y$2),0)+IF(Ajustes!$H66&gt;0,INDEX($AA$4:$AL$323,Ajustes!$H66,Y$2),0)+IF(Ajustes!$I66&gt;0,INDEX($AA$4:$AL$323,Ajustes!$I66,Y$2),0)+IF(Ajustes!$J66&gt;0,INDEX($AA$4:$AL$323,Ajustes!$J66,Y$2),0)+IF(Ajustes!$K66&gt;0,INDEX($AA$5:$AL$324,Ajustes!$K66,Y$2),0)+IF(Ajustes!$L66&gt;0,INDEX($AA$4:$AL$323,Ajustes!$L66,Y$2),0) + Y66</f>
        <v>1187</v>
      </c>
      <c r="AL66">
        <f>IF(Ajustes!$G66&gt;0,INDEX($AA$4:$AL$323,Ajustes!$G66,Z$2),0)+IF(Ajustes!$H66&gt;0,INDEX($AA$4:$AL$323,Ajustes!$H66,Z$2),0)+IF(Ajustes!$I66&gt;0,INDEX($AA$4:$AL$323,Ajustes!$I66,Z$2),0)+IF(Ajustes!$J66&gt;0,INDEX($AA$4:$AL$323,Ajustes!$J66,Z$2),0)+IF(Ajustes!$K66&gt;0,INDEX($AA$5:$AL$324,Ajustes!$K66,Z$2),0)+IF(Ajustes!$L66&gt;0,INDEX($AA$4:$AL$323,Ajustes!$L66,Z$2),0) + Z66</f>
        <v>1284</v>
      </c>
      <c r="AM66" s="113">
        <f t="shared" si="20"/>
        <v>1727</v>
      </c>
      <c r="AN66" s="113">
        <f t="shared" si="20"/>
        <v>1830</v>
      </c>
      <c r="AO66" s="113">
        <f t="shared" si="20"/>
        <v>1521</v>
      </c>
      <c r="AP66" s="113">
        <f t="shared" si="20"/>
        <v>1164</v>
      </c>
      <c r="AQ66" s="113">
        <f t="shared" si="20"/>
        <v>1160</v>
      </c>
      <c r="AR66" s="113">
        <f t="shared" si="20"/>
        <v>1275</v>
      </c>
      <c r="AS66" s="113">
        <f t="shared" si="20"/>
        <v>1156</v>
      </c>
      <c r="AT66" s="113">
        <f t="shared" si="20"/>
        <v>961</v>
      </c>
      <c r="AU66" s="113">
        <f t="shared" si="20"/>
        <v>1045</v>
      </c>
      <c r="AV66" s="113">
        <f t="shared" si="20"/>
        <v>1303</v>
      </c>
      <c r="AW66" s="113">
        <f t="shared" si="21"/>
        <v>1187</v>
      </c>
      <c r="AX66" s="113">
        <f t="shared" si="21"/>
        <v>1284</v>
      </c>
    </row>
    <row r="67" spans="1:50" x14ac:dyDescent="0.25">
      <c r="A67" s="113">
        <v>64</v>
      </c>
      <c r="B67" s="209"/>
      <c r="C67">
        <f>IFERROR(INDEX($BD$7:$BO$35,MATCH(Ajustes!$E$4:$E$323,$BC$7:$BC$35,0),$C$2:$N$2),1)</f>
        <v>1</v>
      </c>
      <c r="D67" s="113">
        <f>IFERROR(INDEX($BD$7:$BO$35,MATCH(Ajustes!$E$4:$E$323,$BC$7:$BC$35,0),$C$2:$N$2),1)</f>
        <v>1</v>
      </c>
      <c r="E67" s="113">
        <f>IFERROR(INDEX($BD$7:$BO$35,MATCH(Ajustes!$E$4:$E$323,$BC$7:$BC$35,0),$C$2:$N$2),1)</f>
        <v>1</v>
      </c>
      <c r="F67" s="113">
        <f>IFERROR(INDEX($BD$7:$BO$35,MATCH(Ajustes!$E$4:$E$323,$BC$7:$BC$35,0),$C$2:$N$2),1)</f>
        <v>1</v>
      </c>
      <c r="G67" s="113">
        <f>IFERROR(INDEX($BD$7:$BO$35,MATCH(Ajustes!$E$4:$E$323,$BC$7:$BC$35,0),$C$2:$N$2),1)</f>
        <v>1</v>
      </c>
      <c r="H67" s="113">
        <f>IFERROR(INDEX($BD$7:$BO$35,MATCH(Ajustes!$E$4:$E$323,$BC$7:$BC$35,0),$C$2:$N$2),1)</f>
        <v>1</v>
      </c>
      <c r="I67" s="113">
        <f>IFERROR(INDEX($BD$7:$BO$35,MATCH(Ajustes!$E$4:$E$323,$BC$7:$BC$35,0),$C$2:$N$2),1)</f>
        <v>1</v>
      </c>
      <c r="J67" s="113">
        <f>IFERROR(INDEX($BD$7:$BO$35,MATCH(Ajustes!$E$4:$E$323,$BC$7:$BC$35,0),$C$2:$N$2),1)</f>
        <v>1</v>
      </c>
      <c r="K67" s="113">
        <f>IFERROR(INDEX($BD$7:$BO$35,MATCH(Ajustes!$E$4:$E$323,$BC$7:$BC$35,0),$C$2:$N$2),1)</f>
        <v>1</v>
      </c>
      <c r="L67" s="113">
        <f>IFERROR(INDEX($BD$7:$BO$35,MATCH(Ajustes!$E$4:$E$323,$BC$7:$BC$35,0),$C$2:$N$2),1)</f>
        <v>1</v>
      </c>
      <c r="M67" s="113">
        <f>IFERROR(INDEX($BD$7:$BO$35,MATCH(Ajustes!$E$4:$E$323,$BC$7:$BC$35,0),$C$2:$N$2),1)</f>
        <v>1</v>
      </c>
      <c r="N67" s="113">
        <f>IFERROR(INDEX($BD$7:$BO$35,MATCH(Ajustes!$E$4:$E$323,$BC$7:$BC$35,0),$C$2:$N$2),1)</f>
        <v>1</v>
      </c>
      <c r="O67">
        <f>C67*Ajustes!AM67</f>
        <v>0</v>
      </c>
      <c r="P67">
        <f>D67*Ajustes!AN67</f>
        <v>0</v>
      </c>
      <c r="Q67">
        <f>E67*Ajustes!AO67</f>
        <v>0</v>
      </c>
      <c r="R67">
        <f>F67*Ajustes!AP67</f>
        <v>0</v>
      </c>
      <c r="S67">
        <f>G67*Ajustes!AQ67</f>
        <v>0</v>
      </c>
      <c r="T67">
        <f>H67*Ajustes!AR67</f>
        <v>0</v>
      </c>
      <c r="U67">
        <f>I67*Ajustes!AS67</f>
        <v>0</v>
      </c>
      <c r="V67">
        <f>J67*Ajustes!AT67</f>
        <v>0</v>
      </c>
      <c r="W67">
        <f>K67*Ajustes!AU67</f>
        <v>0</v>
      </c>
      <c r="X67">
        <f>L67*Ajustes!AV67</f>
        <v>0</v>
      </c>
      <c r="Y67">
        <f>M67*Ajustes!AW67</f>
        <v>0</v>
      </c>
      <c r="Z67">
        <f>N67*Ajustes!AX67</f>
        <v>0</v>
      </c>
      <c r="AA67">
        <f>IF(Ajustes!$G67&gt;0,INDEX($AA$4:$AL$323,Ajustes!$G67,O$2),0)+IF(Ajustes!$H67&gt;0,INDEX($AA$4:$AL$323,Ajustes!$H67,O$2),0)+IF(Ajustes!$I67&gt;0,INDEX($AA$4:$AL$323,Ajustes!$I67,O$2),0)+IF(Ajustes!$J67&gt;0,INDEX($AA$4:$AL$323,Ajustes!$J67,O$2),0)+IF(Ajustes!$K67&gt;0,INDEX($AA$5:$AL$324,Ajustes!$K67,O$2),0)+IF(Ajustes!$L67&gt;0,INDEX($AA$4:$AL$323,Ajustes!$L67,O$2),0) + O67</f>
        <v>0</v>
      </c>
      <c r="AB67">
        <f>IF(Ajustes!$G67&gt;0,INDEX($AA$4:$AL$323,Ajustes!$G67,P$2),0)+IF(Ajustes!$H67&gt;0,INDEX($AA$4:$AL$323,Ajustes!$H67,P$2),0)+IF(Ajustes!$I67&gt;0,INDEX($AA$4:$AL$323,Ajustes!$I67,P$2),0)+IF(Ajustes!$J67&gt;0,INDEX($AA$4:$AL$323,Ajustes!$J67,P$2),0)+IF(Ajustes!$K67&gt;0,INDEX($AA$5:$AL$324,Ajustes!$K67,P$2),0)+IF(Ajustes!$L67&gt;0,INDEX($AA$4:$AL$323,Ajustes!$L67,P$2),0) + P67</f>
        <v>0</v>
      </c>
      <c r="AC67">
        <f>IF(Ajustes!$G67&gt;0,INDEX($AA$4:$AL$323,Ajustes!$G67,Q$2),0)+IF(Ajustes!$H67&gt;0,INDEX($AA$4:$AL$323,Ajustes!$H67,Q$2),0)+IF(Ajustes!$I67&gt;0,INDEX($AA$4:$AL$323,Ajustes!$I67,Q$2),0)+IF(Ajustes!$J67&gt;0,INDEX($AA$4:$AL$323,Ajustes!$J67,Q$2),0)+IF(Ajustes!$K67&gt;0,INDEX($AA$5:$AL$324,Ajustes!$K67,Q$2),0)+IF(Ajustes!$L67&gt;0,INDEX($AA$4:$AL$323,Ajustes!$L67,Q$2),0) + Q67</f>
        <v>0</v>
      </c>
      <c r="AD67">
        <f>IF(Ajustes!$G67&gt;0,INDEX($AA$4:$AL$323,Ajustes!$G67,R$2),0)+IF(Ajustes!$H67&gt;0,INDEX($AA$4:$AL$323,Ajustes!$H67,R$2),0)+IF(Ajustes!$I67&gt;0,INDEX($AA$4:$AL$323,Ajustes!$I67,R$2),0)+IF(Ajustes!$J67&gt;0,INDEX($AA$4:$AL$323,Ajustes!$J67,R$2),0)+IF(Ajustes!$K67&gt;0,INDEX($AA$5:$AL$324,Ajustes!$K67,R$2),0)+IF(Ajustes!$L67&gt;0,INDEX($AA$4:$AL$323,Ajustes!$L67,R$2),0) + R67</f>
        <v>0</v>
      </c>
      <c r="AE67">
        <f>IF(Ajustes!$G67&gt;0,INDEX($AA$4:$AL$323,Ajustes!$G67,S$2),0)+IF(Ajustes!$H67&gt;0,INDEX($AA$4:$AL$323,Ajustes!$H67,S$2),0)+IF(Ajustes!$I67&gt;0,INDEX($AA$4:$AL$323,Ajustes!$I67,S$2),0)+IF(Ajustes!$J67&gt;0,INDEX($AA$4:$AL$323,Ajustes!$J67,S$2),0)+IF(Ajustes!$K67&gt;0,INDEX($AA$5:$AL$324,Ajustes!$K67,S$2),0)+IF(Ajustes!$L67&gt;0,INDEX($AA$4:$AL$323,Ajustes!$L67,S$2),0) + S67</f>
        <v>0</v>
      </c>
      <c r="AF67">
        <f>IF(Ajustes!$G67&gt;0,INDEX($AA$4:$AL$323,Ajustes!$G67,T$2),0)+IF(Ajustes!$H67&gt;0,INDEX($AA$4:$AL$323,Ajustes!$H67,T$2),0)+IF(Ajustes!$I67&gt;0,INDEX($AA$4:$AL$323,Ajustes!$I67,T$2),0)+IF(Ajustes!$J67&gt;0,INDEX($AA$4:$AL$323,Ajustes!$J67,T$2),0)+IF(Ajustes!$K67&gt;0,INDEX($AA$5:$AL$324,Ajustes!$K67,T$2),0)+IF(Ajustes!$L67&gt;0,INDEX($AA$4:$AL$323,Ajustes!$L67,T$2),0) + T67</f>
        <v>0</v>
      </c>
      <c r="AG67">
        <f>IF(Ajustes!$G67&gt;0,INDEX($AA$4:$AL$323,Ajustes!$G67,U$2),0)+IF(Ajustes!$H67&gt;0,INDEX($AA$4:$AL$323,Ajustes!$H67,U$2),0)+IF(Ajustes!$I67&gt;0,INDEX($AA$4:$AL$323,Ajustes!$I67,U$2),0)+IF(Ajustes!$J67&gt;0,INDEX($AA$4:$AL$323,Ajustes!$J67,U$2),0)+IF(Ajustes!$K67&gt;0,INDEX($AA$5:$AL$324,Ajustes!$K67,U$2),0)+IF(Ajustes!$L67&gt;0,INDEX($AA$4:$AL$323,Ajustes!$L67,U$2),0) + U67</f>
        <v>0</v>
      </c>
      <c r="AH67">
        <f>IF(Ajustes!$G67&gt;0,INDEX($AA$4:$AL$323,Ajustes!$G67,V$2),0)+IF(Ajustes!$H67&gt;0,INDEX($AA$4:$AL$323,Ajustes!$H67,V$2),0)+IF(Ajustes!$I67&gt;0,INDEX($AA$4:$AL$323,Ajustes!$I67,V$2),0)+IF(Ajustes!$J67&gt;0,INDEX($AA$4:$AL$323,Ajustes!$J67,V$2),0)+IF(Ajustes!$K67&gt;0,INDEX($AA$5:$AL$324,Ajustes!$K67,V$2),0)+IF(Ajustes!$L67&gt;0,INDEX($AA$4:$AL$323,Ajustes!$L67,V$2),0) + V67</f>
        <v>0</v>
      </c>
      <c r="AI67">
        <f>IF(Ajustes!$G67&gt;0,INDEX($AA$4:$AL$323,Ajustes!$G67,W$2),0)+IF(Ajustes!$H67&gt;0,INDEX($AA$4:$AL$323,Ajustes!$H67,W$2),0)+IF(Ajustes!$I67&gt;0,INDEX($AA$4:$AL$323,Ajustes!$I67,W$2),0)+IF(Ajustes!$J67&gt;0,INDEX($AA$4:$AL$323,Ajustes!$J67,W$2),0)+IF(Ajustes!$K67&gt;0,INDEX($AA$5:$AL$324,Ajustes!$K67,W$2),0)+IF(Ajustes!$L67&gt;0,INDEX($AA$4:$AL$323,Ajustes!$L67,W$2),0) + W67</f>
        <v>0</v>
      </c>
      <c r="AJ67">
        <f>IF(Ajustes!$G67&gt;0,INDEX($AA$4:$AL$323,Ajustes!$G67,X$2),0)+IF(Ajustes!$H67&gt;0,INDEX($AA$4:$AL$323,Ajustes!$H67,X$2),0)+IF(Ajustes!$I67&gt;0,INDEX($AA$4:$AL$323,Ajustes!$I67,X$2),0)+IF(Ajustes!$J67&gt;0,INDEX($AA$4:$AL$323,Ajustes!$J67,X$2),0)+IF(Ajustes!$K67&gt;0,INDEX($AA$5:$AL$324,Ajustes!$K67,X$2),0)+IF(Ajustes!$L67&gt;0,INDEX($AA$4:$AL$323,Ajustes!$L67,X$2),0) + X67</f>
        <v>0</v>
      </c>
      <c r="AK67">
        <f>IF(Ajustes!$G67&gt;0,INDEX($AA$4:$AL$323,Ajustes!$G67,Y$2),0)+IF(Ajustes!$H67&gt;0,INDEX($AA$4:$AL$323,Ajustes!$H67,Y$2),0)+IF(Ajustes!$I67&gt;0,INDEX($AA$4:$AL$323,Ajustes!$I67,Y$2),0)+IF(Ajustes!$J67&gt;0,INDEX($AA$4:$AL$323,Ajustes!$J67,Y$2),0)+IF(Ajustes!$K67&gt;0,INDEX($AA$5:$AL$324,Ajustes!$K67,Y$2),0)+IF(Ajustes!$L67&gt;0,INDEX($AA$4:$AL$323,Ajustes!$L67,Y$2),0) + Y67</f>
        <v>0</v>
      </c>
      <c r="AL67">
        <f>IF(Ajustes!$G67&gt;0,INDEX($AA$4:$AL$323,Ajustes!$G67,Z$2),0)+IF(Ajustes!$H67&gt;0,INDEX($AA$4:$AL$323,Ajustes!$H67,Z$2),0)+IF(Ajustes!$I67&gt;0,INDEX($AA$4:$AL$323,Ajustes!$I67,Z$2),0)+IF(Ajustes!$J67&gt;0,INDEX($AA$4:$AL$323,Ajustes!$J67,Z$2),0)+IF(Ajustes!$K67&gt;0,INDEX($AA$5:$AL$324,Ajustes!$K67,Z$2),0)+IF(Ajustes!$L67&gt;0,INDEX($AA$4:$AL$323,Ajustes!$L67,Z$2),0) + Z67</f>
        <v>0</v>
      </c>
      <c r="AM67" s="113">
        <f t="shared" si="20"/>
        <v>0</v>
      </c>
      <c r="AN67" s="113">
        <f t="shared" si="20"/>
        <v>0</v>
      </c>
      <c r="AO67" s="113">
        <f t="shared" si="20"/>
        <v>0</v>
      </c>
      <c r="AP67" s="113">
        <f t="shared" si="20"/>
        <v>0</v>
      </c>
      <c r="AQ67" s="113">
        <f t="shared" si="20"/>
        <v>0</v>
      </c>
      <c r="AR67" s="113">
        <f t="shared" si="20"/>
        <v>0</v>
      </c>
      <c r="AS67" s="113">
        <f t="shared" si="20"/>
        <v>0</v>
      </c>
      <c r="AT67" s="113">
        <f t="shared" si="20"/>
        <v>0</v>
      </c>
      <c r="AU67" s="113">
        <f t="shared" si="20"/>
        <v>0</v>
      </c>
      <c r="AV67" s="113">
        <f t="shared" si="20"/>
        <v>0</v>
      </c>
      <c r="AW67" s="113">
        <f t="shared" si="21"/>
        <v>0</v>
      </c>
      <c r="AX67" s="113">
        <f t="shared" si="21"/>
        <v>0</v>
      </c>
    </row>
    <row r="68" spans="1:50" x14ac:dyDescent="0.25">
      <c r="A68" s="113">
        <v>65</v>
      </c>
      <c r="B68" s="209" t="s">
        <v>572</v>
      </c>
      <c r="C68">
        <f>IFERROR(INDEX($BD$7:$BO$35,MATCH(Ajustes!$E$4:$E$323,$BC$7:$BC$35,0),$C$2:$N$2),1)</f>
        <v>1</v>
      </c>
      <c r="D68" s="113">
        <f>IFERROR(INDEX($BD$7:$BO$35,MATCH(Ajustes!$E$4:$E$323,$BC$7:$BC$35,0),$C$2:$N$2),1)</f>
        <v>1</v>
      </c>
      <c r="E68" s="113">
        <f>IFERROR(INDEX($BD$7:$BO$35,MATCH(Ajustes!$E$4:$E$323,$BC$7:$BC$35,0),$C$2:$N$2),1)</f>
        <v>1</v>
      </c>
      <c r="F68" s="113">
        <f>IFERROR(INDEX($BD$7:$BO$35,MATCH(Ajustes!$E$4:$E$323,$BC$7:$BC$35,0),$C$2:$N$2),1)</f>
        <v>1</v>
      </c>
      <c r="G68" s="113">
        <f>IFERROR(INDEX($BD$7:$BO$35,MATCH(Ajustes!$E$4:$E$323,$BC$7:$BC$35,0),$C$2:$N$2),1)</f>
        <v>1</v>
      </c>
      <c r="H68" s="113">
        <f>IFERROR(INDEX($BD$7:$BO$35,MATCH(Ajustes!$E$4:$E$323,$BC$7:$BC$35,0),$C$2:$N$2),1)</f>
        <v>1</v>
      </c>
      <c r="I68" s="113">
        <f>IFERROR(INDEX($BD$7:$BO$35,MATCH(Ajustes!$E$4:$E$323,$BC$7:$BC$35,0),$C$2:$N$2),1)</f>
        <v>1</v>
      </c>
      <c r="J68" s="113">
        <f>IFERROR(INDEX($BD$7:$BO$35,MATCH(Ajustes!$E$4:$E$323,$BC$7:$BC$35,0),$C$2:$N$2),1)</f>
        <v>1</v>
      </c>
      <c r="K68" s="113">
        <f>IFERROR(INDEX($BD$7:$BO$35,MATCH(Ajustes!$E$4:$E$323,$BC$7:$BC$35,0),$C$2:$N$2),1)</f>
        <v>1</v>
      </c>
      <c r="L68" s="113">
        <f>IFERROR(INDEX($BD$7:$BO$35,MATCH(Ajustes!$E$4:$E$323,$BC$7:$BC$35,0),$C$2:$N$2),1)</f>
        <v>1</v>
      </c>
      <c r="M68" s="113">
        <f>IFERROR(INDEX($BD$7:$BO$35,MATCH(Ajustes!$E$4:$E$323,$BC$7:$BC$35,0),$C$2:$N$2),1)</f>
        <v>1</v>
      </c>
      <c r="N68" s="113">
        <f>IFERROR(INDEX($BD$7:$BO$35,MATCH(Ajustes!$E$4:$E$323,$BC$7:$BC$35,0),$C$2:$N$2),1)</f>
        <v>1</v>
      </c>
      <c r="O68">
        <f>C68*Ajustes!AM68</f>
        <v>82</v>
      </c>
      <c r="P68">
        <f>D68*Ajustes!AN68</f>
        <v>89</v>
      </c>
      <c r="Q68">
        <f>E68*Ajustes!AO68</f>
        <v>76</v>
      </c>
      <c r="R68">
        <f>F68*Ajustes!AP68</f>
        <v>81</v>
      </c>
      <c r="S68">
        <f>G68*Ajustes!AQ68</f>
        <v>116</v>
      </c>
      <c r="T68">
        <f>H68*Ajustes!AR68</f>
        <v>136</v>
      </c>
      <c r="U68">
        <f>I68*Ajustes!AS68</f>
        <v>120</v>
      </c>
      <c r="V68">
        <f>J68*Ajustes!AT68</f>
        <v>103</v>
      </c>
      <c r="W68">
        <f>K68*Ajustes!AU68</f>
        <v>117</v>
      </c>
      <c r="X68">
        <f>L68*Ajustes!AV68</f>
        <v>156</v>
      </c>
      <c r="Y68">
        <f>M68*Ajustes!AW68</f>
        <v>118</v>
      </c>
      <c r="Z68">
        <f>N68*Ajustes!AX68</f>
        <v>87</v>
      </c>
      <c r="AA68">
        <f>IF(Ajustes!$G68&gt;0,INDEX($AA$4:$AL$323,Ajustes!$G68,O$2),0)+IF(Ajustes!$H68&gt;0,INDEX($AA$4:$AL$323,Ajustes!$H68,O$2),0)+IF(Ajustes!$I68&gt;0,INDEX($AA$4:$AL$323,Ajustes!$I68,O$2),0)+IF(Ajustes!$J68&gt;0,INDEX($AA$4:$AL$323,Ajustes!$J68,O$2),0)+IF(Ajustes!$K68&gt;0,INDEX($AA$5:$AL$324,Ajustes!$K68,O$2),0)+IF(Ajustes!$L68&gt;0,INDEX($AA$4:$AL$323,Ajustes!$L68,O$2),0) + O68</f>
        <v>82</v>
      </c>
      <c r="AB68">
        <f>IF(Ajustes!$G68&gt;0,INDEX($AA$4:$AL$323,Ajustes!$G68,P$2),0)+IF(Ajustes!$H68&gt;0,INDEX($AA$4:$AL$323,Ajustes!$H68,P$2),0)+IF(Ajustes!$I68&gt;0,INDEX($AA$4:$AL$323,Ajustes!$I68,P$2),0)+IF(Ajustes!$J68&gt;0,INDEX($AA$4:$AL$323,Ajustes!$J68,P$2),0)+IF(Ajustes!$K68&gt;0,INDEX($AA$5:$AL$324,Ajustes!$K68,P$2),0)+IF(Ajustes!$L68&gt;0,INDEX($AA$4:$AL$323,Ajustes!$L68,P$2),0) + P68</f>
        <v>89</v>
      </c>
      <c r="AC68">
        <f>IF(Ajustes!$G68&gt;0,INDEX($AA$4:$AL$323,Ajustes!$G68,Q$2),0)+IF(Ajustes!$H68&gt;0,INDEX($AA$4:$AL$323,Ajustes!$H68,Q$2),0)+IF(Ajustes!$I68&gt;0,INDEX($AA$4:$AL$323,Ajustes!$I68,Q$2),0)+IF(Ajustes!$J68&gt;0,INDEX($AA$4:$AL$323,Ajustes!$J68,Q$2),0)+IF(Ajustes!$K68&gt;0,INDEX($AA$5:$AL$324,Ajustes!$K68,Q$2),0)+IF(Ajustes!$L68&gt;0,INDEX($AA$4:$AL$323,Ajustes!$L68,Q$2),0) + Q68</f>
        <v>76</v>
      </c>
      <c r="AD68">
        <f>IF(Ajustes!$G68&gt;0,INDEX($AA$4:$AL$323,Ajustes!$G68,R$2),0)+IF(Ajustes!$H68&gt;0,INDEX($AA$4:$AL$323,Ajustes!$H68,R$2),0)+IF(Ajustes!$I68&gt;0,INDEX($AA$4:$AL$323,Ajustes!$I68,R$2),0)+IF(Ajustes!$J68&gt;0,INDEX($AA$4:$AL$323,Ajustes!$J68,R$2),0)+IF(Ajustes!$K68&gt;0,INDEX($AA$5:$AL$324,Ajustes!$K68,R$2),0)+IF(Ajustes!$L68&gt;0,INDEX($AA$4:$AL$323,Ajustes!$L68,R$2),0) + R68</f>
        <v>81</v>
      </c>
      <c r="AE68">
        <f>IF(Ajustes!$G68&gt;0,INDEX($AA$4:$AL$323,Ajustes!$G68,S$2),0)+IF(Ajustes!$H68&gt;0,INDEX($AA$4:$AL$323,Ajustes!$H68,S$2),0)+IF(Ajustes!$I68&gt;0,INDEX($AA$4:$AL$323,Ajustes!$I68,S$2),0)+IF(Ajustes!$J68&gt;0,INDEX($AA$4:$AL$323,Ajustes!$J68,S$2),0)+IF(Ajustes!$K68&gt;0,INDEX($AA$5:$AL$324,Ajustes!$K68,S$2),0)+IF(Ajustes!$L68&gt;0,INDEX($AA$4:$AL$323,Ajustes!$L68,S$2),0) + S68</f>
        <v>116</v>
      </c>
      <c r="AF68">
        <f>IF(Ajustes!$G68&gt;0,INDEX($AA$4:$AL$323,Ajustes!$G68,T$2),0)+IF(Ajustes!$H68&gt;0,INDEX($AA$4:$AL$323,Ajustes!$H68,T$2),0)+IF(Ajustes!$I68&gt;0,INDEX($AA$4:$AL$323,Ajustes!$I68,T$2),0)+IF(Ajustes!$J68&gt;0,INDEX($AA$4:$AL$323,Ajustes!$J68,T$2),0)+IF(Ajustes!$K68&gt;0,INDEX($AA$5:$AL$324,Ajustes!$K68,T$2),0)+IF(Ajustes!$L68&gt;0,INDEX($AA$4:$AL$323,Ajustes!$L68,T$2),0) + T68</f>
        <v>136</v>
      </c>
      <c r="AG68">
        <f>IF(Ajustes!$G68&gt;0,INDEX($AA$4:$AL$323,Ajustes!$G68,U$2),0)+IF(Ajustes!$H68&gt;0,INDEX($AA$4:$AL$323,Ajustes!$H68,U$2),0)+IF(Ajustes!$I68&gt;0,INDEX($AA$4:$AL$323,Ajustes!$I68,U$2),0)+IF(Ajustes!$J68&gt;0,INDEX($AA$4:$AL$323,Ajustes!$J68,U$2),0)+IF(Ajustes!$K68&gt;0,INDEX($AA$5:$AL$324,Ajustes!$K68,U$2),0)+IF(Ajustes!$L68&gt;0,INDEX($AA$4:$AL$323,Ajustes!$L68,U$2),0) + U68</f>
        <v>120</v>
      </c>
      <c r="AH68">
        <f>IF(Ajustes!$G68&gt;0,INDEX($AA$4:$AL$323,Ajustes!$G68,V$2),0)+IF(Ajustes!$H68&gt;0,INDEX($AA$4:$AL$323,Ajustes!$H68,V$2),0)+IF(Ajustes!$I68&gt;0,INDEX($AA$4:$AL$323,Ajustes!$I68,V$2),0)+IF(Ajustes!$J68&gt;0,INDEX($AA$4:$AL$323,Ajustes!$J68,V$2),0)+IF(Ajustes!$K68&gt;0,INDEX($AA$5:$AL$324,Ajustes!$K68,V$2),0)+IF(Ajustes!$L68&gt;0,INDEX($AA$4:$AL$323,Ajustes!$L68,V$2),0) + V68</f>
        <v>103</v>
      </c>
      <c r="AI68">
        <f>IF(Ajustes!$G68&gt;0,INDEX($AA$4:$AL$323,Ajustes!$G68,W$2),0)+IF(Ajustes!$H68&gt;0,INDEX($AA$4:$AL$323,Ajustes!$H68,W$2),0)+IF(Ajustes!$I68&gt;0,INDEX($AA$4:$AL$323,Ajustes!$I68,W$2),0)+IF(Ajustes!$J68&gt;0,INDEX($AA$4:$AL$323,Ajustes!$J68,W$2),0)+IF(Ajustes!$K68&gt;0,INDEX($AA$5:$AL$324,Ajustes!$K68,W$2),0)+IF(Ajustes!$L68&gt;0,INDEX($AA$4:$AL$323,Ajustes!$L68,W$2),0) + W68</f>
        <v>117</v>
      </c>
      <c r="AJ68">
        <f>IF(Ajustes!$G68&gt;0,INDEX($AA$4:$AL$323,Ajustes!$G68,X$2),0)+IF(Ajustes!$H68&gt;0,INDEX($AA$4:$AL$323,Ajustes!$H68,X$2),0)+IF(Ajustes!$I68&gt;0,INDEX($AA$4:$AL$323,Ajustes!$I68,X$2),0)+IF(Ajustes!$J68&gt;0,INDEX($AA$4:$AL$323,Ajustes!$J68,X$2),0)+IF(Ajustes!$K68&gt;0,INDEX($AA$5:$AL$324,Ajustes!$K68,X$2),0)+IF(Ajustes!$L68&gt;0,INDEX($AA$4:$AL$323,Ajustes!$L68,X$2),0) + X68</f>
        <v>156</v>
      </c>
      <c r="AK68">
        <f>IF(Ajustes!$G68&gt;0,INDEX($AA$4:$AL$323,Ajustes!$G68,Y$2),0)+IF(Ajustes!$H68&gt;0,INDEX($AA$4:$AL$323,Ajustes!$H68,Y$2),0)+IF(Ajustes!$I68&gt;0,INDEX($AA$4:$AL$323,Ajustes!$I68,Y$2),0)+IF(Ajustes!$J68&gt;0,INDEX($AA$4:$AL$323,Ajustes!$J68,Y$2),0)+IF(Ajustes!$K68&gt;0,INDEX($AA$5:$AL$324,Ajustes!$K68,Y$2),0)+IF(Ajustes!$L68&gt;0,INDEX($AA$4:$AL$323,Ajustes!$L68,Y$2),0) + Y68</f>
        <v>118</v>
      </c>
      <c r="AL68">
        <f>IF(Ajustes!$G68&gt;0,INDEX($AA$4:$AL$323,Ajustes!$G68,Z$2),0)+IF(Ajustes!$H68&gt;0,INDEX($AA$4:$AL$323,Ajustes!$H68,Z$2),0)+IF(Ajustes!$I68&gt;0,INDEX($AA$4:$AL$323,Ajustes!$I68,Z$2),0)+IF(Ajustes!$J68&gt;0,INDEX($AA$4:$AL$323,Ajustes!$J68,Z$2),0)+IF(Ajustes!$K68&gt;0,INDEX($AA$5:$AL$324,Ajustes!$K68,Z$2),0)+IF(Ajustes!$L68&gt;0,INDEX($AA$4:$AL$323,Ajustes!$L68,Z$2),0) + Z68</f>
        <v>87</v>
      </c>
      <c r="AM68" s="113">
        <f t="shared" si="20"/>
        <v>82</v>
      </c>
      <c r="AN68" s="113">
        <f t="shared" si="20"/>
        <v>89</v>
      </c>
      <c r="AO68" s="113">
        <f t="shared" si="20"/>
        <v>76</v>
      </c>
      <c r="AP68" s="113">
        <f t="shared" si="20"/>
        <v>81</v>
      </c>
      <c r="AQ68" s="113">
        <f t="shared" si="20"/>
        <v>116</v>
      </c>
      <c r="AR68" s="113">
        <f t="shared" si="20"/>
        <v>136</v>
      </c>
      <c r="AS68" s="113">
        <f t="shared" si="20"/>
        <v>120</v>
      </c>
      <c r="AT68" s="113">
        <f t="shared" si="20"/>
        <v>103</v>
      </c>
      <c r="AU68" s="113">
        <f t="shared" si="20"/>
        <v>117</v>
      </c>
      <c r="AV68" s="113">
        <f t="shared" si="20"/>
        <v>156</v>
      </c>
      <c r="AW68" s="113">
        <f t="shared" si="21"/>
        <v>118</v>
      </c>
      <c r="AX68" s="113">
        <f t="shared" si="21"/>
        <v>87</v>
      </c>
    </row>
    <row r="69" spans="1:50" x14ac:dyDescent="0.25">
      <c r="A69" s="113">
        <v>66</v>
      </c>
      <c r="B69" s="209" t="s">
        <v>573</v>
      </c>
      <c r="C69">
        <f>IFERROR(INDEX($BD$7:$BO$35,MATCH(Ajustes!$E$4:$E$323,$BC$7:$BC$35,0),$C$2:$N$2),1)</f>
        <v>1</v>
      </c>
      <c r="D69" s="113">
        <f>IFERROR(INDEX($BD$7:$BO$35,MATCH(Ajustes!$E$4:$E$323,$BC$7:$BC$35,0),$C$2:$N$2),1)</f>
        <v>1</v>
      </c>
      <c r="E69" s="113">
        <f>IFERROR(INDEX($BD$7:$BO$35,MATCH(Ajustes!$E$4:$E$323,$BC$7:$BC$35,0),$C$2:$N$2),1)</f>
        <v>1</v>
      </c>
      <c r="F69" s="113">
        <f>IFERROR(INDEX($BD$7:$BO$35,MATCH(Ajustes!$E$4:$E$323,$BC$7:$BC$35,0),$C$2:$N$2),1)</f>
        <v>1</v>
      </c>
      <c r="G69" s="113">
        <f>IFERROR(INDEX($BD$7:$BO$35,MATCH(Ajustes!$E$4:$E$323,$BC$7:$BC$35,0),$C$2:$N$2),1)</f>
        <v>1</v>
      </c>
      <c r="H69" s="113">
        <f>IFERROR(INDEX($BD$7:$BO$35,MATCH(Ajustes!$E$4:$E$323,$BC$7:$BC$35,0),$C$2:$N$2),1)</f>
        <v>1</v>
      </c>
      <c r="I69" s="113">
        <f>IFERROR(INDEX($BD$7:$BO$35,MATCH(Ajustes!$E$4:$E$323,$BC$7:$BC$35,0),$C$2:$N$2),1)</f>
        <v>1</v>
      </c>
      <c r="J69" s="113">
        <f>IFERROR(INDEX($BD$7:$BO$35,MATCH(Ajustes!$E$4:$E$323,$BC$7:$BC$35,0),$C$2:$N$2),1)</f>
        <v>1</v>
      </c>
      <c r="K69" s="113">
        <f>IFERROR(INDEX($BD$7:$BO$35,MATCH(Ajustes!$E$4:$E$323,$BC$7:$BC$35,0),$C$2:$N$2),1)</f>
        <v>1</v>
      </c>
      <c r="L69" s="113">
        <f>IFERROR(INDEX($BD$7:$BO$35,MATCH(Ajustes!$E$4:$E$323,$BC$7:$BC$35,0),$C$2:$N$2),1)</f>
        <v>1</v>
      </c>
      <c r="M69" s="113">
        <f>IFERROR(INDEX($BD$7:$BO$35,MATCH(Ajustes!$E$4:$E$323,$BC$7:$BC$35,0),$C$2:$N$2),1)</f>
        <v>1</v>
      </c>
      <c r="N69" s="113">
        <f>IFERROR(INDEX($BD$7:$BO$35,MATCH(Ajustes!$E$4:$E$323,$BC$7:$BC$35,0),$C$2:$N$2),1)</f>
        <v>1</v>
      </c>
      <c r="O69">
        <f>C69*Ajustes!AM69</f>
        <v>14784</v>
      </c>
      <c r="P69">
        <f>D69*Ajustes!AN69</f>
        <v>16151</v>
      </c>
      <c r="Q69">
        <f>E69*Ajustes!AO69</f>
        <v>15026</v>
      </c>
      <c r="R69">
        <f>F69*Ajustes!AP69</f>
        <v>11938</v>
      </c>
      <c r="S69">
        <f>G69*Ajustes!AQ69</f>
        <v>9548</v>
      </c>
      <c r="T69">
        <f>H69*Ajustes!AR69</f>
        <v>8841</v>
      </c>
      <c r="U69">
        <f>I69*Ajustes!AS69</f>
        <v>7484</v>
      </c>
      <c r="V69">
        <f>J69*Ajustes!AT69</f>
        <v>6291</v>
      </c>
      <c r="W69">
        <f>K69*Ajustes!AU69</f>
        <v>6327</v>
      </c>
      <c r="X69">
        <f>L69*Ajustes!AV69</f>
        <v>7597</v>
      </c>
      <c r="Y69">
        <f>M69*Ajustes!AW69</f>
        <v>8344</v>
      </c>
      <c r="Z69">
        <f>N69*Ajustes!AX69</f>
        <v>10989</v>
      </c>
      <c r="AA69">
        <f>IF(Ajustes!$G69&gt;0,INDEX($AA$4:$AL$323,Ajustes!$G69,O$2),0)+IF(Ajustes!$H69&gt;0,INDEX($AA$4:$AL$323,Ajustes!$H69,O$2),0)+IF(Ajustes!$I69&gt;0,INDEX($AA$4:$AL$323,Ajustes!$I69,O$2),0)+IF(Ajustes!$J69&gt;0,INDEX($AA$4:$AL$323,Ajustes!$J69,O$2),0)+IF(Ajustes!$K69&gt;0,INDEX($AA$5:$AL$324,Ajustes!$K69,O$2),0)+IF(Ajustes!$L69&gt;0,INDEX($AA$4:$AL$323,Ajustes!$L69,O$2),0) + O69</f>
        <v>14784</v>
      </c>
      <c r="AB69">
        <f>IF(Ajustes!$G69&gt;0,INDEX($AA$4:$AL$323,Ajustes!$G69,P$2),0)+IF(Ajustes!$H69&gt;0,INDEX($AA$4:$AL$323,Ajustes!$H69,P$2),0)+IF(Ajustes!$I69&gt;0,INDEX($AA$4:$AL$323,Ajustes!$I69,P$2),0)+IF(Ajustes!$J69&gt;0,INDEX($AA$4:$AL$323,Ajustes!$J69,P$2),0)+IF(Ajustes!$K69&gt;0,INDEX($AA$5:$AL$324,Ajustes!$K69,P$2),0)+IF(Ajustes!$L69&gt;0,INDEX($AA$4:$AL$323,Ajustes!$L69,P$2),0) + P69</f>
        <v>16151</v>
      </c>
      <c r="AC69">
        <f>IF(Ajustes!$G69&gt;0,INDEX($AA$4:$AL$323,Ajustes!$G69,Q$2),0)+IF(Ajustes!$H69&gt;0,INDEX($AA$4:$AL$323,Ajustes!$H69,Q$2),0)+IF(Ajustes!$I69&gt;0,INDEX($AA$4:$AL$323,Ajustes!$I69,Q$2),0)+IF(Ajustes!$J69&gt;0,INDEX($AA$4:$AL$323,Ajustes!$J69,Q$2),0)+IF(Ajustes!$K69&gt;0,INDEX($AA$5:$AL$324,Ajustes!$K69,Q$2),0)+IF(Ajustes!$L69&gt;0,INDEX($AA$4:$AL$323,Ajustes!$L69,Q$2),0) + Q69</f>
        <v>15026</v>
      </c>
      <c r="AD69">
        <f>IF(Ajustes!$G69&gt;0,INDEX($AA$4:$AL$323,Ajustes!$G69,R$2),0)+IF(Ajustes!$H69&gt;0,INDEX($AA$4:$AL$323,Ajustes!$H69,R$2),0)+IF(Ajustes!$I69&gt;0,INDEX($AA$4:$AL$323,Ajustes!$I69,R$2),0)+IF(Ajustes!$J69&gt;0,INDEX($AA$4:$AL$323,Ajustes!$J69,R$2),0)+IF(Ajustes!$K69&gt;0,INDEX($AA$5:$AL$324,Ajustes!$K69,R$2),0)+IF(Ajustes!$L69&gt;0,INDEX($AA$4:$AL$323,Ajustes!$L69,R$2),0) + R69</f>
        <v>11938</v>
      </c>
      <c r="AE69">
        <f>IF(Ajustes!$G69&gt;0,INDEX($AA$4:$AL$323,Ajustes!$G69,S$2),0)+IF(Ajustes!$H69&gt;0,INDEX($AA$4:$AL$323,Ajustes!$H69,S$2),0)+IF(Ajustes!$I69&gt;0,INDEX($AA$4:$AL$323,Ajustes!$I69,S$2),0)+IF(Ajustes!$J69&gt;0,INDEX($AA$4:$AL$323,Ajustes!$J69,S$2),0)+IF(Ajustes!$K69&gt;0,INDEX($AA$5:$AL$324,Ajustes!$K69,S$2),0)+IF(Ajustes!$L69&gt;0,INDEX($AA$4:$AL$323,Ajustes!$L69,S$2),0) + S69</f>
        <v>9548</v>
      </c>
      <c r="AF69">
        <f>IF(Ajustes!$G69&gt;0,INDEX($AA$4:$AL$323,Ajustes!$G69,T$2),0)+IF(Ajustes!$H69&gt;0,INDEX($AA$4:$AL$323,Ajustes!$H69,T$2),0)+IF(Ajustes!$I69&gt;0,INDEX($AA$4:$AL$323,Ajustes!$I69,T$2),0)+IF(Ajustes!$J69&gt;0,INDEX($AA$4:$AL$323,Ajustes!$J69,T$2),0)+IF(Ajustes!$K69&gt;0,INDEX($AA$5:$AL$324,Ajustes!$K69,T$2),0)+IF(Ajustes!$L69&gt;0,INDEX($AA$4:$AL$323,Ajustes!$L69,T$2),0) + T69</f>
        <v>8841</v>
      </c>
      <c r="AG69">
        <f>IF(Ajustes!$G69&gt;0,INDEX($AA$4:$AL$323,Ajustes!$G69,U$2),0)+IF(Ajustes!$H69&gt;0,INDEX($AA$4:$AL$323,Ajustes!$H69,U$2),0)+IF(Ajustes!$I69&gt;0,INDEX($AA$4:$AL$323,Ajustes!$I69,U$2),0)+IF(Ajustes!$J69&gt;0,INDEX($AA$4:$AL$323,Ajustes!$J69,U$2),0)+IF(Ajustes!$K69&gt;0,INDEX($AA$5:$AL$324,Ajustes!$K69,U$2),0)+IF(Ajustes!$L69&gt;0,INDEX($AA$4:$AL$323,Ajustes!$L69,U$2),0) + U69</f>
        <v>7484</v>
      </c>
      <c r="AH69">
        <f>IF(Ajustes!$G69&gt;0,INDEX($AA$4:$AL$323,Ajustes!$G69,V$2),0)+IF(Ajustes!$H69&gt;0,INDEX($AA$4:$AL$323,Ajustes!$H69,V$2),0)+IF(Ajustes!$I69&gt;0,INDEX($AA$4:$AL$323,Ajustes!$I69,V$2),0)+IF(Ajustes!$J69&gt;0,INDEX($AA$4:$AL$323,Ajustes!$J69,V$2),0)+IF(Ajustes!$K69&gt;0,INDEX($AA$5:$AL$324,Ajustes!$K69,V$2),0)+IF(Ajustes!$L69&gt;0,INDEX($AA$4:$AL$323,Ajustes!$L69,V$2),0) + V69</f>
        <v>6291</v>
      </c>
      <c r="AI69">
        <f>IF(Ajustes!$G69&gt;0,INDEX($AA$4:$AL$323,Ajustes!$G69,W$2),0)+IF(Ajustes!$H69&gt;0,INDEX($AA$4:$AL$323,Ajustes!$H69,W$2),0)+IF(Ajustes!$I69&gt;0,INDEX($AA$4:$AL$323,Ajustes!$I69,W$2),0)+IF(Ajustes!$J69&gt;0,INDEX($AA$4:$AL$323,Ajustes!$J69,W$2),0)+IF(Ajustes!$K69&gt;0,INDEX($AA$5:$AL$324,Ajustes!$K69,W$2),0)+IF(Ajustes!$L69&gt;0,INDEX($AA$4:$AL$323,Ajustes!$L69,W$2),0) + W69</f>
        <v>6327</v>
      </c>
      <c r="AJ69">
        <f>IF(Ajustes!$G69&gt;0,INDEX($AA$4:$AL$323,Ajustes!$G69,X$2),0)+IF(Ajustes!$H69&gt;0,INDEX($AA$4:$AL$323,Ajustes!$H69,X$2),0)+IF(Ajustes!$I69&gt;0,INDEX($AA$4:$AL$323,Ajustes!$I69,X$2),0)+IF(Ajustes!$J69&gt;0,INDEX($AA$4:$AL$323,Ajustes!$J69,X$2),0)+IF(Ajustes!$K69&gt;0,INDEX($AA$5:$AL$324,Ajustes!$K69,X$2),0)+IF(Ajustes!$L69&gt;0,INDEX($AA$4:$AL$323,Ajustes!$L69,X$2),0) + X69</f>
        <v>7597</v>
      </c>
      <c r="AK69">
        <f>IF(Ajustes!$G69&gt;0,INDEX($AA$4:$AL$323,Ajustes!$G69,Y$2),0)+IF(Ajustes!$H69&gt;0,INDEX($AA$4:$AL$323,Ajustes!$H69,Y$2),0)+IF(Ajustes!$I69&gt;0,INDEX($AA$4:$AL$323,Ajustes!$I69,Y$2),0)+IF(Ajustes!$J69&gt;0,INDEX($AA$4:$AL$323,Ajustes!$J69,Y$2),0)+IF(Ajustes!$K69&gt;0,INDEX($AA$5:$AL$324,Ajustes!$K69,Y$2),0)+IF(Ajustes!$L69&gt;0,INDEX($AA$4:$AL$323,Ajustes!$L69,Y$2),0) + Y69</f>
        <v>8344</v>
      </c>
      <c r="AL69">
        <f>IF(Ajustes!$G69&gt;0,INDEX($AA$4:$AL$323,Ajustes!$G69,Z$2),0)+IF(Ajustes!$H69&gt;0,INDEX($AA$4:$AL$323,Ajustes!$H69,Z$2),0)+IF(Ajustes!$I69&gt;0,INDEX($AA$4:$AL$323,Ajustes!$I69,Z$2),0)+IF(Ajustes!$J69&gt;0,INDEX($AA$4:$AL$323,Ajustes!$J69,Z$2),0)+IF(Ajustes!$K69&gt;0,INDEX($AA$5:$AL$324,Ajustes!$K69,Z$2),0)+IF(Ajustes!$L69&gt;0,INDEX($AA$4:$AL$323,Ajustes!$L69,Z$2),0) + Z69</f>
        <v>10989</v>
      </c>
      <c r="AM69" s="219">
        <f t="shared" ref="AM69:AX69" si="22">AM269-0.1*(AM164-AM120-AM121)-AM120-AM121</f>
        <v>14783.8</v>
      </c>
      <c r="AN69" s="219">
        <f t="shared" si="22"/>
        <v>16151.1</v>
      </c>
      <c r="AO69" s="219">
        <f t="shared" si="22"/>
        <v>15026</v>
      </c>
      <c r="AP69" s="219">
        <f t="shared" si="22"/>
        <v>11937.2</v>
      </c>
      <c r="AQ69" s="219">
        <f t="shared" si="22"/>
        <v>9548.9</v>
      </c>
      <c r="AR69" s="219">
        <f t="shared" si="22"/>
        <v>8840.4</v>
      </c>
      <c r="AS69" s="219">
        <f t="shared" si="22"/>
        <v>7484.2</v>
      </c>
      <c r="AT69" s="219">
        <f t="shared" si="22"/>
        <v>6292</v>
      </c>
      <c r="AU69" s="219">
        <f t="shared" si="22"/>
        <v>6327.1</v>
      </c>
      <c r="AV69" s="219">
        <f t="shared" si="22"/>
        <v>7597.5</v>
      </c>
      <c r="AW69" s="219">
        <f t="shared" si="22"/>
        <v>8343.7999999999993</v>
      </c>
      <c r="AX69" s="219">
        <f t="shared" si="22"/>
        <v>10989.5</v>
      </c>
    </row>
    <row r="70" spans="1:50" x14ac:dyDescent="0.25">
      <c r="A70" s="113">
        <v>67</v>
      </c>
      <c r="B70" s="209"/>
      <c r="C70">
        <f>IFERROR(INDEX($BD$7:$BO$35,MATCH(Ajustes!$E$4:$E$323,$BC$7:$BC$35,0),$C$2:$N$2),1)</f>
        <v>1</v>
      </c>
      <c r="D70" s="113">
        <f>IFERROR(INDEX($BD$7:$BO$35,MATCH(Ajustes!$E$4:$E$323,$BC$7:$BC$35,0),$C$2:$N$2),1)</f>
        <v>1</v>
      </c>
      <c r="E70" s="113">
        <f>IFERROR(INDEX($BD$7:$BO$35,MATCH(Ajustes!$E$4:$E$323,$BC$7:$BC$35,0),$C$2:$N$2),1)</f>
        <v>1</v>
      </c>
      <c r="F70" s="113">
        <f>IFERROR(INDEX($BD$7:$BO$35,MATCH(Ajustes!$E$4:$E$323,$BC$7:$BC$35,0),$C$2:$N$2),1)</f>
        <v>1</v>
      </c>
      <c r="G70" s="113">
        <f>IFERROR(INDEX($BD$7:$BO$35,MATCH(Ajustes!$E$4:$E$323,$BC$7:$BC$35,0),$C$2:$N$2),1)</f>
        <v>1</v>
      </c>
      <c r="H70" s="113">
        <f>IFERROR(INDEX($BD$7:$BO$35,MATCH(Ajustes!$E$4:$E$323,$BC$7:$BC$35,0),$C$2:$N$2),1)</f>
        <v>1</v>
      </c>
      <c r="I70" s="113">
        <f>IFERROR(INDEX($BD$7:$BO$35,MATCH(Ajustes!$E$4:$E$323,$BC$7:$BC$35,0),$C$2:$N$2),1)</f>
        <v>1</v>
      </c>
      <c r="J70" s="113">
        <f>IFERROR(INDEX($BD$7:$BO$35,MATCH(Ajustes!$E$4:$E$323,$BC$7:$BC$35,0),$C$2:$N$2),1)</f>
        <v>1</v>
      </c>
      <c r="K70" s="113">
        <f>IFERROR(INDEX($BD$7:$BO$35,MATCH(Ajustes!$E$4:$E$323,$BC$7:$BC$35,0),$C$2:$N$2),1)</f>
        <v>1</v>
      </c>
      <c r="L70" s="113">
        <f>IFERROR(INDEX($BD$7:$BO$35,MATCH(Ajustes!$E$4:$E$323,$BC$7:$BC$35,0),$C$2:$N$2),1)</f>
        <v>1</v>
      </c>
      <c r="M70" s="113">
        <f>IFERROR(INDEX($BD$7:$BO$35,MATCH(Ajustes!$E$4:$E$323,$BC$7:$BC$35,0),$C$2:$N$2),1)</f>
        <v>1</v>
      </c>
      <c r="N70" s="113">
        <f>IFERROR(INDEX($BD$7:$BO$35,MATCH(Ajustes!$E$4:$E$323,$BC$7:$BC$35,0),$C$2:$N$2),1)</f>
        <v>1</v>
      </c>
      <c r="O70">
        <f>C70*Ajustes!AM70</f>
        <v>0</v>
      </c>
      <c r="P70">
        <f>D70*Ajustes!AN70</f>
        <v>0</v>
      </c>
      <c r="Q70">
        <f>E70*Ajustes!AO70</f>
        <v>0</v>
      </c>
      <c r="R70">
        <f>F70*Ajustes!AP70</f>
        <v>0</v>
      </c>
      <c r="S70">
        <f>G70*Ajustes!AQ70</f>
        <v>0</v>
      </c>
      <c r="T70">
        <f>H70*Ajustes!AR70</f>
        <v>0</v>
      </c>
      <c r="U70">
        <f>I70*Ajustes!AS70</f>
        <v>0</v>
      </c>
      <c r="V70">
        <f>J70*Ajustes!AT70</f>
        <v>0</v>
      </c>
      <c r="W70">
        <f>K70*Ajustes!AU70</f>
        <v>0</v>
      </c>
      <c r="X70">
        <f>L70*Ajustes!AV70</f>
        <v>0</v>
      </c>
      <c r="Y70">
        <f>M70*Ajustes!AW70</f>
        <v>0</v>
      </c>
      <c r="Z70">
        <f>N70*Ajustes!AX70</f>
        <v>0</v>
      </c>
      <c r="AA70">
        <f>IF(Ajustes!$G70&gt;0,INDEX($AA$4:$AL$323,Ajustes!$G70,O$2),0)+IF(Ajustes!$H70&gt;0,INDEX($AA$4:$AL$323,Ajustes!$H70,O$2),0)+IF(Ajustes!$I70&gt;0,INDEX($AA$4:$AL$323,Ajustes!$I70,O$2),0)+IF(Ajustes!$J70&gt;0,INDEX($AA$4:$AL$323,Ajustes!$J70,O$2),0)+IF(Ajustes!$K70&gt;0,INDEX($AA$5:$AL$324,Ajustes!$K70,O$2),0)+IF(Ajustes!$L70&gt;0,INDEX($AA$4:$AL$323,Ajustes!$L70,O$2),0) + O70</f>
        <v>0</v>
      </c>
      <c r="AB70">
        <f>IF(Ajustes!$G70&gt;0,INDEX($AA$4:$AL$323,Ajustes!$G70,P$2),0)+IF(Ajustes!$H70&gt;0,INDEX($AA$4:$AL$323,Ajustes!$H70,P$2),0)+IF(Ajustes!$I70&gt;0,INDEX($AA$4:$AL$323,Ajustes!$I70,P$2),0)+IF(Ajustes!$J70&gt;0,INDEX($AA$4:$AL$323,Ajustes!$J70,P$2),0)+IF(Ajustes!$K70&gt;0,INDEX($AA$5:$AL$324,Ajustes!$K70,P$2),0)+IF(Ajustes!$L70&gt;0,INDEX($AA$4:$AL$323,Ajustes!$L70,P$2),0) + P70</f>
        <v>0</v>
      </c>
      <c r="AC70">
        <f>IF(Ajustes!$G70&gt;0,INDEX($AA$4:$AL$323,Ajustes!$G70,Q$2),0)+IF(Ajustes!$H70&gt;0,INDEX($AA$4:$AL$323,Ajustes!$H70,Q$2),0)+IF(Ajustes!$I70&gt;0,INDEX($AA$4:$AL$323,Ajustes!$I70,Q$2),0)+IF(Ajustes!$J70&gt;0,INDEX($AA$4:$AL$323,Ajustes!$J70,Q$2),0)+IF(Ajustes!$K70&gt;0,INDEX($AA$5:$AL$324,Ajustes!$K70,Q$2),0)+IF(Ajustes!$L70&gt;0,INDEX($AA$4:$AL$323,Ajustes!$L70,Q$2),0) + Q70</f>
        <v>0</v>
      </c>
      <c r="AD70">
        <f>IF(Ajustes!$G70&gt;0,INDEX($AA$4:$AL$323,Ajustes!$G70,R$2),0)+IF(Ajustes!$H70&gt;0,INDEX($AA$4:$AL$323,Ajustes!$H70,R$2),0)+IF(Ajustes!$I70&gt;0,INDEX($AA$4:$AL$323,Ajustes!$I70,R$2),0)+IF(Ajustes!$J70&gt;0,INDEX($AA$4:$AL$323,Ajustes!$J70,R$2),0)+IF(Ajustes!$K70&gt;0,INDEX($AA$5:$AL$324,Ajustes!$K70,R$2),0)+IF(Ajustes!$L70&gt;0,INDEX($AA$4:$AL$323,Ajustes!$L70,R$2),0) + R70</f>
        <v>0</v>
      </c>
      <c r="AE70">
        <f>IF(Ajustes!$G70&gt;0,INDEX($AA$4:$AL$323,Ajustes!$G70,S$2),0)+IF(Ajustes!$H70&gt;0,INDEX($AA$4:$AL$323,Ajustes!$H70,S$2),0)+IF(Ajustes!$I70&gt;0,INDEX($AA$4:$AL$323,Ajustes!$I70,S$2),0)+IF(Ajustes!$J70&gt;0,INDEX($AA$4:$AL$323,Ajustes!$J70,S$2),0)+IF(Ajustes!$K70&gt;0,INDEX($AA$5:$AL$324,Ajustes!$K70,S$2),0)+IF(Ajustes!$L70&gt;0,INDEX($AA$4:$AL$323,Ajustes!$L70,S$2),0) + S70</f>
        <v>0</v>
      </c>
      <c r="AF70">
        <f>IF(Ajustes!$G70&gt;0,INDEX($AA$4:$AL$323,Ajustes!$G70,T$2),0)+IF(Ajustes!$H70&gt;0,INDEX($AA$4:$AL$323,Ajustes!$H70,T$2),0)+IF(Ajustes!$I70&gt;0,INDEX($AA$4:$AL$323,Ajustes!$I70,T$2),0)+IF(Ajustes!$J70&gt;0,INDEX($AA$4:$AL$323,Ajustes!$J70,T$2),0)+IF(Ajustes!$K70&gt;0,INDEX($AA$5:$AL$324,Ajustes!$K70,T$2),0)+IF(Ajustes!$L70&gt;0,INDEX($AA$4:$AL$323,Ajustes!$L70,T$2),0) + T70</f>
        <v>0</v>
      </c>
      <c r="AG70">
        <f>IF(Ajustes!$G70&gt;0,INDEX($AA$4:$AL$323,Ajustes!$G70,U$2),0)+IF(Ajustes!$H70&gt;0,INDEX($AA$4:$AL$323,Ajustes!$H70,U$2),0)+IF(Ajustes!$I70&gt;0,INDEX($AA$4:$AL$323,Ajustes!$I70,U$2),0)+IF(Ajustes!$J70&gt;0,INDEX($AA$4:$AL$323,Ajustes!$J70,U$2),0)+IF(Ajustes!$K70&gt;0,INDEX($AA$5:$AL$324,Ajustes!$K70,U$2),0)+IF(Ajustes!$L70&gt;0,INDEX($AA$4:$AL$323,Ajustes!$L70,U$2),0) + U70</f>
        <v>0</v>
      </c>
      <c r="AH70">
        <f>IF(Ajustes!$G70&gt;0,INDEX($AA$4:$AL$323,Ajustes!$G70,V$2),0)+IF(Ajustes!$H70&gt;0,INDEX($AA$4:$AL$323,Ajustes!$H70,V$2),0)+IF(Ajustes!$I70&gt;0,INDEX($AA$4:$AL$323,Ajustes!$I70,V$2),0)+IF(Ajustes!$J70&gt;0,INDEX($AA$4:$AL$323,Ajustes!$J70,V$2),0)+IF(Ajustes!$K70&gt;0,INDEX($AA$5:$AL$324,Ajustes!$K70,V$2),0)+IF(Ajustes!$L70&gt;0,INDEX($AA$4:$AL$323,Ajustes!$L70,V$2),0) + V70</f>
        <v>0</v>
      </c>
      <c r="AI70">
        <f>IF(Ajustes!$G70&gt;0,INDEX($AA$4:$AL$323,Ajustes!$G70,W$2),0)+IF(Ajustes!$H70&gt;0,INDEX($AA$4:$AL$323,Ajustes!$H70,W$2),0)+IF(Ajustes!$I70&gt;0,INDEX($AA$4:$AL$323,Ajustes!$I70,W$2),0)+IF(Ajustes!$J70&gt;0,INDEX($AA$4:$AL$323,Ajustes!$J70,W$2),0)+IF(Ajustes!$K70&gt;0,INDEX($AA$5:$AL$324,Ajustes!$K70,W$2),0)+IF(Ajustes!$L70&gt;0,INDEX($AA$4:$AL$323,Ajustes!$L70,W$2),0) + W70</f>
        <v>0</v>
      </c>
      <c r="AJ70">
        <f>IF(Ajustes!$G70&gt;0,INDEX($AA$4:$AL$323,Ajustes!$G70,X$2),0)+IF(Ajustes!$H70&gt;0,INDEX($AA$4:$AL$323,Ajustes!$H70,X$2),0)+IF(Ajustes!$I70&gt;0,INDEX($AA$4:$AL$323,Ajustes!$I70,X$2),0)+IF(Ajustes!$J70&gt;0,INDEX($AA$4:$AL$323,Ajustes!$J70,X$2),0)+IF(Ajustes!$K70&gt;0,INDEX($AA$5:$AL$324,Ajustes!$K70,X$2),0)+IF(Ajustes!$L70&gt;0,INDEX($AA$4:$AL$323,Ajustes!$L70,X$2),0) + X70</f>
        <v>0</v>
      </c>
      <c r="AK70">
        <f>IF(Ajustes!$G70&gt;0,INDEX($AA$4:$AL$323,Ajustes!$G70,Y$2),0)+IF(Ajustes!$H70&gt;0,INDEX($AA$4:$AL$323,Ajustes!$H70,Y$2),0)+IF(Ajustes!$I70&gt;0,INDEX($AA$4:$AL$323,Ajustes!$I70,Y$2),0)+IF(Ajustes!$J70&gt;0,INDEX($AA$4:$AL$323,Ajustes!$J70,Y$2),0)+IF(Ajustes!$K70&gt;0,INDEX($AA$5:$AL$324,Ajustes!$K70,Y$2),0)+IF(Ajustes!$L70&gt;0,INDEX($AA$4:$AL$323,Ajustes!$L70,Y$2),0) + Y70</f>
        <v>0</v>
      </c>
      <c r="AL70">
        <f>IF(Ajustes!$G70&gt;0,INDEX($AA$4:$AL$323,Ajustes!$G70,Z$2),0)+IF(Ajustes!$H70&gt;0,INDEX($AA$4:$AL$323,Ajustes!$H70,Z$2),0)+IF(Ajustes!$I70&gt;0,INDEX($AA$4:$AL$323,Ajustes!$I70,Z$2),0)+IF(Ajustes!$J70&gt;0,INDEX($AA$4:$AL$323,Ajustes!$J70,Z$2),0)+IF(Ajustes!$K70&gt;0,INDEX($AA$5:$AL$324,Ajustes!$K70,Z$2),0)+IF(Ajustes!$L70&gt;0,INDEX($AA$4:$AL$323,Ajustes!$L70,Z$2),0) + Z70</f>
        <v>0</v>
      </c>
      <c r="AM70" s="113">
        <f t="shared" si="20"/>
        <v>0</v>
      </c>
      <c r="AN70" s="113">
        <f t="shared" si="20"/>
        <v>0</v>
      </c>
      <c r="AO70" s="113">
        <f t="shared" si="20"/>
        <v>0</v>
      </c>
      <c r="AP70" s="113">
        <f t="shared" si="20"/>
        <v>0</v>
      </c>
      <c r="AQ70" s="113">
        <f t="shared" si="20"/>
        <v>0</v>
      </c>
      <c r="AR70" s="113">
        <f t="shared" si="20"/>
        <v>0</v>
      </c>
      <c r="AS70" s="113">
        <f t="shared" si="20"/>
        <v>0</v>
      </c>
      <c r="AT70" s="113">
        <f t="shared" si="20"/>
        <v>0</v>
      </c>
      <c r="AU70" s="113">
        <f t="shared" si="20"/>
        <v>0</v>
      </c>
      <c r="AV70" s="113">
        <f t="shared" si="20"/>
        <v>0</v>
      </c>
      <c r="AW70" s="113">
        <f t="shared" si="21"/>
        <v>0</v>
      </c>
      <c r="AX70" s="113">
        <f t="shared" si="21"/>
        <v>0</v>
      </c>
    </row>
    <row r="71" spans="1:50" x14ac:dyDescent="0.25">
      <c r="A71" s="113">
        <v>68</v>
      </c>
      <c r="B71" s="209"/>
      <c r="C71">
        <f>IFERROR(INDEX($BD$7:$BO$35,MATCH(Ajustes!$E$4:$E$323,$BC$7:$BC$35,0),$C$2:$N$2),1)</f>
        <v>1</v>
      </c>
      <c r="D71" s="113">
        <f>IFERROR(INDEX($BD$7:$BO$35,MATCH(Ajustes!$E$4:$E$323,$BC$7:$BC$35,0),$C$2:$N$2),1)</f>
        <v>1</v>
      </c>
      <c r="E71" s="113">
        <f>IFERROR(INDEX($BD$7:$BO$35,MATCH(Ajustes!$E$4:$E$323,$BC$7:$BC$35,0),$C$2:$N$2),1)</f>
        <v>1</v>
      </c>
      <c r="F71" s="113">
        <f>IFERROR(INDEX($BD$7:$BO$35,MATCH(Ajustes!$E$4:$E$323,$BC$7:$BC$35,0),$C$2:$N$2),1)</f>
        <v>1</v>
      </c>
      <c r="G71" s="113">
        <f>IFERROR(INDEX($BD$7:$BO$35,MATCH(Ajustes!$E$4:$E$323,$BC$7:$BC$35,0),$C$2:$N$2),1)</f>
        <v>1</v>
      </c>
      <c r="H71" s="113">
        <f>IFERROR(INDEX($BD$7:$BO$35,MATCH(Ajustes!$E$4:$E$323,$BC$7:$BC$35,0),$C$2:$N$2),1)</f>
        <v>1</v>
      </c>
      <c r="I71" s="113">
        <f>IFERROR(INDEX($BD$7:$BO$35,MATCH(Ajustes!$E$4:$E$323,$BC$7:$BC$35,0),$C$2:$N$2),1)</f>
        <v>1</v>
      </c>
      <c r="J71" s="113">
        <f>IFERROR(INDEX($BD$7:$BO$35,MATCH(Ajustes!$E$4:$E$323,$BC$7:$BC$35,0),$C$2:$N$2),1)</f>
        <v>1</v>
      </c>
      <c r="K71" s="113">
        <f>IFERROR(INDEX($BD$7:$BO$35,MATCH(Ajustes!$E$4:$E$323,$BC$7:$BC$35,0),$C$2:$N$2),1)</f>
        <v>1</v>
      </c>
      <c r="L71" s="113">
        <f>IFERROR(INDEX($BD$7:$BO$35,MATCH(Ajustes!$E$4:$E$323,$BC$7:$BC$35,0),$C$2:$N$2),1)</f>
        <v>1</v>
      </c>
      <c r="M71" s="113">
        <f>IFERROR(INDEX($BD$7:$BO$35,MATCH(Ajustes!$E$4:$E$323,$BC$7:$BC$35,0),$C$2:$N$2),1)</f>
        <v>1</v>
      </c>
      <c r="N71" s="113">
        <f>IFERROR(INDEX($BD$7:$BO$35,MATCH(Ajustes!$E$4:$E$323,$BC$7:$BC$35,0),$C$2:$N$2),1)</f>
        <v>1</v>
      </c>
      <c r="O71">
        <f>C71*Ajustes!AM71</f>
        <v>0</v>
      </c>
      <c r="P71">
        <f>D71*Ajustes!AN71</f>
        <v>0</v>
      </c>
      <c r="Q71">
        <f>E71*Ajustes!AO71</f>
        <v>0</v>
      </c>
      <c r="R71">
        <f>F71*Ajustes!AP71</f>
        <v>0</v>
      </c>
      <c r="S71">
        <f>G71*Ajustes!AQ71</f>
        <v>0</v>
      </c>
      <c r="T71">
        <f>H71*Ajustes!AR71</f>
        <v>0</v>
      </c>
      <c r="U71">
        <f>I71*Ajustes!AS71</f>
        <v>0</v>
      </c>
      <c r="V71">
        <f>J71*Ajustes!AT71</f>
        <v>0</v>
      </c>
      <c r="W71">
        <f>K71*Ajustes!AU71</f>
        <v>0</v>
      </c>
      <c r="X71">
        <f>L71*Ajustes!AV71</f>
        <v>0</v>
      </c>
      <c r="Y71">
        <f>M71*Ajustes!AW71</f>
        <v>0</v>
      </c>
      <c r="Z71">
        <f>N71*Ajustes!AX71</f>
        <v>0</v>
      </c>
      <c r="AA71">
        <f>IF(Ajustes!$G71&gt;0,INDEX($AA$4:$AL$323,Ajustes!$G71,O$2),0)+IF(Ajustes!$H71&gt;0,INDEX($AA$4:$AL$323,Ajustes!$H71,O$2),0)+IF(Ajustes!$I71&gt;0,INDEX($AA$4:$AL$323,Ajustes!$I71,O$2),0)+IF(Ajustes!$J71&gt;0,INDEX($AA$4:$AL$323,Ajustes!$J71,O$2),0)+IF(Ajustes!$K71&gt;0,INDEX($AA$5:$AL$324,Ajustes!$K71,O$2),0)+IF(Ajustes!$L71&gt;0,INDEX($AA$4:$AL$323,Ajustes!$L71,O$2),0) + O71</f>
        <v>0</v>
      </c>
      <c r="AB71">
        <f>IF(Ajustes!$G71&gt;0,INDEX($AA$4:$AL$323,Ajustes!$G71,P$2),0)+IF(Ajustes!$H71&gt;0,INDEX($AA$4:$AL$323,Ajustes!$H71,P$2),0)+IF(Ajustes!$I71&gt;0,INDEX($AA$4:$AL$323,Ajustes!$I71,P$2),0)+IF(Ajustes!$J71&gt;0,INDEX($AA$4:$AL$323,Ajustes!$J71,P$2),0)+IF(Ajustes!$K71&gt;0,INDEX($AA$5:$AL$324,Ajustes!$K71,P$2),0)+IF(Ajustes!$L71&gt;0,INDEX($AA$4:$AL$323,Ajustes!$L71,P$2),0) + P71</f>
        <v>0</v>
      </c>
      <c r="AC71">
        <f>IF(Ajustes!$G71&gt;0,INDEX($AA$4:$AL$323,Ajustes!$G71,Q$2),0)+IF(Ajustes!$H71&gt;0,INDEX($AA$4:$AL$323,Ajustes!$H71,Q$2),0)+IF(Ajustes!$I71&gt;0,INDEX($AA$4:$AL$323,Ajustes!$I71,Q$2),0)+IF(Ajustes!$J71&gt;0,INDEX($AA$4:$AL$323,Ajustes!$J71,Q$2),0)+IF(Ajustes!$K71&gt;0,INDEX($AA$5:$AL$324,Ajustes!$K71,Q$2),0)+IF(Ajustes!$L71&gt;0,INDEX($AA$4:$AL$323,Ajustes!$L71,Q$2),0) + Q71</f>
        <v>0</v>
      </c>
      <c r="AD71">
        <f>IF(Ajustes!$G71&gt;0,INDEX($AA$4:$AL$323,Ajustes!$G71,R$2),0)+IF(Ajustes!$H71&gt;0,INDEX($AA$4:$AL$323,Ajustes!$H71,R$2),0)+IF(Ajustes!$I71&gt;0,INDEX($AA$4:$AL$323,Ajustes!$I71,R$2),0)+IF(Ajustes!$J71&gt;0,INDEX($AA$4:$AL$323,Ajustes!$J71,R$2),0)+IF(Ajustes!$K71&gt;0,INDEX($AA$5:$AL$324,Ajustes!$K71,R$2),0)+IF(Ajustes!$L71&gt;0,INDEX($AA$4:$AL$323,Ajustes!$L71,R$2),0) + R71</f>
        <v>0</v>
      </c>
      <c r="AE71">
        <f>IF(Ajustes!$G71&gt;0,INDEX($AA$4:$AL$323,Ajustes!$G71,S$2),0)+IF(Ajustes!$H71&gt;0,INDEX($AA$4:$AL$323,Ajustes!$H71,S$2),0)+IF(Ajustes!$I71&gt;0,INDEX($AA$4:$AL$323,Ajustes!$I71,S$2),0)+IF(Ajustes!$J71&gt;0,INDEX($AA$4:$AL$323,Ajustes!$J71,S$2),0)+IF(Ajustes!$K71&gt;0,INDEX($AA$5:$AL$324,Ajustes!$K71,S$2),0)+IF(Ajustes!$L71&gt;0,INDEX($AA$4:$AL$323,Ajustes!$L71,S$2),0) + S71</f>
        <v>0</v>
      </c>
      <c r="AF71">
        <f>IF(Ajustes!$G71&gt;0,INDEX($AA$4:$AL$323,Ajustes!$G71,T$2),0)+IF(Ajustes!$H71&gt;0,INDEX($AA$4:$AL$323,Ajustes!$H71,T$2),0)+IF(Ajustes!$I71&gt;0,INDEX($AA$4:$AL$323,Ajustes!$I71,T$2),0)+IF(Ajustes!$J71&gt;0,INDEX($AA$4:$AL$323,Ajustes!$J71,T$2),0)+IF(Ajustes!$K71&gt;0,INDEX($AA$5:$AL$324,Ajustes!$K71,T$2),0)+IF(Ajustes!$L71&gt;0,INDEX($AA$4:$AL$323,Ajustes!$L71,T$2),0) + T71</f>
        <v>0</v>
      </c>
      <c r="AG71">
        <f>IF(Ajustes!$G71&gt;0,INDEX($AA$4:$AL$323,Ajustes!$G71,U$2),0)+IF(Ajustes!$H71&gt;0,INDEX($AA$4:$AL$323,Ajustes!$H71,U$2),0)+IF(Ajustes!$I71&gt;0,INDEX($AA$4:$AL$323,Ajustes!$I71,U$2),0)+IF(Ajustes!$J71&gt;0,INDEX($AA$4:$AL$323,Ajustes!$J71,U$2),0)+IF(Ajustes!$K71&gt;0,INDEX($AA$5:$AL$324,Ajustes!$K71,U$2),0)+IF(Ajustes!$L71&gt;0,INDEX($AA$4:$AL$323,Ajustes!$L71,U$2),0) + U71</f>
        <v>0</v>
      </c>
      <c r="AH71">
        <f>IF(Ajustes!$G71&gt;0,INDEX($AA$4:$AL$323,Ajustes!$G71,V$2),0)+IF(Ajustes!$H71&gt;0,INDEX($AA$4:$AL$323,Ajustes!$H71,V$2),0)+IF(Ajustes!$I71&gt;0,INDEX($AA$4:$AL$323,Ajustes!$I71,V$2),0)+IF(Ajustes!$J71&gt;0,INDEX($AA$4:$AL$323,Ajustes!$J71,V$2),0)+IF(Ajustes!$K71&gt;0,INDEX($AA$5:$AL$324,Ajustes!$K71,V$2),0)+IF(Ajustes!$L71&gt;0,INDEX($AA$4:$AL$323,Ajustes!$L71,V$2),0) + V71</f>
        <v>0</v>
      </c>
      <c r="AI71">
        <f>IF(Ajustes!$G71&gt;0,INDEX($AA$4:$AL$323,Ajustes!$G71,W$2),0)+IF(Ajustes!$H71&gt;0,INDEX($AA$4:$AL$323,Ajustes!$H71,W$2),0)+IF(Ajustes!$I71&gt;0,INDEX($AA$4:$AL$323,Ajustes!$I71,W$2),0)+IF(Ajustes!$J71&gt;0,INDEX($AA$4:$AL$323,Ajustes!$J71,W$2),0)+IF(Ajustes!$K71&gt;0,INDEX($AA$5:$AL$324,Ajustes!$K71,W$2),0)+IF(Ajustes!$L71&gt;0,INDEX($AA$4:$AL$323,Ajustes!$L71,W$2),0) + W71</f>
        <v>0</v>
      </c>
      <c r="AJ71">
        <f>IF(Ajustes!$G71&gt;0,INDEX($AA$4:$AL$323,Ajustes!$G71,X$2),0)+IF(Ajustes!$H71&gt;0,INDEX($AA$4:$AL$323,Ajustes!$H71,X$2),0)+IF(Ajustes!$I71&gt;0,INDEX($AA$4:$AL$323,Ajustes!$I71,X$2),0)+IF(Ajustes!$J71&gt;0,INDEX($AA$4:$AL$323,Ajustes!$J71,X$2),0)+IF(Ajustes!$K71&gt;0,INDEX($AA$5:$AL$324,Ajustes!$K71,X$2),0)+IF(Ajustes!$L71&gt;0,INDEX($AA$4:$AL$323,Ajustes!$L71,X$2),0) + X71</f>
        <v>0</v>
      </c>
      <c r="AK71">
        <f>IF(Ajustes!$G71&gt;0,INDEX($AA$4:$AL$323,Ajustes!$G71,Y$2),0)+IF(Ajustes!$H71&gt;0,INDEX($AA$4:$AL$323,Ajustes!$H71,Y$2),0)+IF(Ajustes!$I71&gt;0,INDEX($AA$4:$AL$323,Ajustes!$I71,Y$2),0)+IF(Ajustes!$J71&gt;0,INDEX($AA$4:$AL$323,Ajustes!$J71,Y$2),0)+IF(Ajustes!$K71&gt;0,INDEX($AA$5:$AL$324,Ajustes!$K71,Y$2),0)+IF(Ajustes!$L71&gt;0,INDEX($AA$4:$AL$323,Ajustes!$L71,Y$2),0) + Y71</f>
        <v>0</v>
      </c>
      <c r="AL71">
        <f>IF(Ajustes!$G71&gt;0,INDEX($AA$4:$AL$323,Ajustes!$G71,Z$2),0)+IF(Ajustes!$H71&gt;0,INDEX($AA$4:$AL$323,Ajustes!$H71,Z$2),0)+IF(Ajustes!$I71&gt;0,INDEX($AA$4:$AL$323,Ajustes!$I71,Z$2),0)+IF(Ajustes!$J71&gt;0,INDEX($AA$4:$AL$323,Ajustes!$J71,Z$2),0)+IF(Ajustes!$K71&gt;0,INDEX($AA$5:$AL$324,Ajustes!$K71,Z$2),0)+IF(Ajustes!$L71&gt;0,INDEX($AA$4:$AL$323,Ajustes!$L71,Z$2),0) + Z71</f>
        <v>0</v>
      </c>
      <c r="AM71" s="113">
        <f t="shared" si="20"/>
        <v>0</v>
      </c>
      <c r="AN71" s="113">
        <f t="shared" si="20"/>
        <v>0</v>
      </c>
      <c r="AO71" s="113">
        <f t="shared" si="20"/>
        <v>0</v>
      </c>
      <c r="AP71" s="113">
        <f t="shared" si="20"/>
        <v>0</v>
      </c>
      <c r="AQ71" s="113">
        <f t="shared" si="20"/>
        <v>0</v>
      </c>
      <c r="AR71" s="113">
        <f t="shared" si="20"/>
        <v>0</v>
      </c>
      <c r="AS71" s="113">
        <f t="shared" si="20"/>
        <v>0</v>
      </c>
      <c r="AT71" s="113">
        <f t="shared" si="20"/>
        <v>0</v>
      </c>
      <c r="AU71" s="113">
        <f t="shared" si="20"/>
        <v>0</v>
      </c>
      <c r="AV71" s="113">
        <f t="shared" si="20"/>
        <v>0</v>
      </c>
      <c r="AW71" s="113">
        <f t="shared" si="21"/>
        <v>0</v>
      </c>
      <c r="AX71" s="113">
        <f t="shared" si="21"/>
        <v>0</v>
      </c>
    </row>
    <row r="72" spans="1:50" x14ac:dyDescent="0.25">
      <c r="A72" s="113">
        <v>69</v>
      </c>
      <c r="B72" s="209"/>
      <c r="C72">
        <f>IFERROR(INDEX($BD$7:$BO$35,MATCH(Ajustes!$E$4:$E$323,$BC$7:$BC$35,0),$C$2:$N$2),1)</f>
        <v>1</v>
      </c>
      <c r="D72" s="113">
        <f>IFERROR(INDEX($BD$7:$BO$35,MATCH(Ajustes!$E$4:$E$323,$BC$7:$BC$35,0),$C$2:$N$2),1)</f>
        <v>1</v>
      </c>
      <c r="E72" s="113">
        <f>IFERROR(INDEX($BD$7:$BO$35,MATCH(Ajustes!$E$4:$E$323,$BC$7:$BC$35,0),$C$2:$N$2),1)</f>
        <v>1</v>
      </c>
      <c r="F72" s="113">
        <f>IFERROR(INDEX($BD$7:$BO$35,MATCH(Ajustes!$E$4:$E$323,$BC$7:$BC$35,0),$C$2:$N$2),1)</f>
        <v>1</v>
      </c>
      <c r="G72" s="113">
        <f>IFERROR(INDEX($BD$7:$BO$35,MATCH(Ajustes!$E$4:$E$323,$BC$7:$BC$35,0),$C$2:$N$2),1)</f>
        <v>1</v>
      </c>
      <c r="H72" s="113">
        <f>IFERROR(INDEX($BD$7:$BO$35,MATCH(Ajustes!$E$4:$E$323,$BC$7:$BC$35,0),$C$2:$N$2),1)</f>
        <v>1</v>
      </c>
      <c r="I72" s="113">
        <f>IFERROR(INDEX($BD$7:$BO$35,MATCH(Ajustes!$E$4:$E$323,$BC$7:$BC$35,0),$C$2:$N$2),1)</f>
        <v>1</v>
      </c>
      <c r="J72" s="113">
        <f>IFERROR(INDEX($BD$7:$BO$35,MATCH(Ajustes!$E$4:$E$323,$BC$7:$BC$35,0),$C$2:$N$2),1)</f>
        <v>1</v>
      </c>
      <c r="K72" s="113">
        <f>IFERROR(INDEX($BD$7:$BO$35,MATCH(Ajustes!$E$4:$E$323,$BC$7:$BC$35,0),$C$2:$N$2),1)</f>
        <v>1</v>
      </c>
      <c r="L72" s="113">
        <f>IFERROR(INDEX($BD$7:$BO$35,MATCH(Ajustes!$E$4:$E$323,$BC$7:$BC$35,0),$C$2:$N$2),1)</f>
        <v>1</v>
      </c>
      <c r="M72" s="113">
        <f>IFERROR(INDEX($BD$7:$BO$35,MATCH(Ajustes!$E$4:$E$323,$BC$7:$BC$35,0),$C$2:$N$2),1)</f>
        <v>1</v>
      </c>
      <c r="N72" s="113">
        <f>IFERROR(INDEX($BD$7:$BO$35,MATCH(Ajustes!$E$4:$E$323,$BC$7:$BC$35,0),$C$2:$N$2),1)</f>
        <v>1</v>
      </c>
      <c r="O72">
        <f>C72*Ajustes!AM72</f>
        <v>0</v>
      </c>
      <c r="P72">
        <f>D72*Ajustes!AN72</f>
        <v>0</v>
      </c>
      <c r="Q72">
        <f>E72*Ajustes!AO72</f>
        <v>0</v>
      </c>
      <c r="R72">
        <f>F72*Ajustes!AP72</f>
        <v>0</v>
      </c>
      <c r="S72">
        <f>G72*Ajustes!AQ72</f>
        <v>0</v>
      </c>
      <c r="T72">
        <f>H72*Ajustes!AR72</f>
        <v>0</v>
      </c>
      <c r="U72">
        <f>I72*Ajustes!AS72</f>
        <v>0</v>
      </c>
      <c r="V72">
        <f>J72*Ajustes!AT72</f>
        <v>0</v>
      </c>
      <c r="W72">
        <f>K72*Ajustes!AU72</f>
        <v>0</v>
      </c>
      <c r="X72">
        <f>L72*Ajustes!AV72</f>
        <v>0</v>
      </c>
      <c r="Y72">
        <f>M72*Ajustes!AW72</f>
        <v>0</v>
      </c>
      <c r="Z72">
        <f>N72*Ajustes!AX72</f>
        <v>0</v>
      </c>
      <c r="AA72">
        <f>IF(Ajustes!$G72&gt;0,INDEX($AA$4:$AL$323,Ajustes!$G72,O$2),0)+IF(Ajustes!$H72&gt;0,INDEX($AA$4:$AL$323,Ajustes!$H72,O$2),0)+IF(Ajustes!$I72&gt;0,INDEX($AA$4:$AL$323,Ajustes!$I72,O$2),0)+IF(Ajustes!$J72&gt;0,INDEX($AA$4:$AL$323,Ajustes!$J72,O$2),0)+IF(Ajustes!$K72&gt;0,INDEX($AA$5:$AL$324,Ajustes!$K72,O$2),0)+IF(Ajustes!$L72&gt;0,INDEX($AA$4:$AL$323,Ajustes!$L72,O$2),0) + O72</f>
        <v>0</v>
      </c>
      <c r="AB72">
        <f>IF(Ajustes!$G72&gt;0,INDEX($AA$4:$AL$323,Ajustes!$G72,P$2),0)+IF(Ajustes!$H72&gt;0,INDEX($AA$4:$AL$323,Ajustes!$H72,P$2),0)+IF(Ajustes!$I72&gt;0,INDEX($AA$4:$AL$323,Ajustes!$I72,P$2),0)+IF(Ajustes!$J72&gt;0,INDEX($AA$4:$AL$323,Ajustes!$J72,P$2),0)+IF(Ajustes!$K72&gt;0,INDEX($AA$5:$AL$324,Ajustes!$K72,P$2),0)+IF(Ajustes!$L72&gt;0,INDEX($AA$4:$AL$323,Ajustes!$L72,P$2),0) + P72</f>
        <v>0</v>
      </c>
      <c r="AC72">
        <f>IF(Ajustes!$G72&gt;0,INDEX($AA$4:$AL$323,Ajustes!$G72,Q$2),0)+IF(Ajustes!$H72&gt;0,INDEX($AA$4:$AL$323,Ajustes!$H72,Q$2),0)+IF(Ajustes!$I72&gt;0,INDEX($AA$4:$AL$323,Ajustes!$I72,Q$2),0)+IF(Ajustes!$J72&gt;0,INDEX($AA$4:$AL$323,Ajustes!$J72,Q$2),0)+IF(Ajustes!$K72&gt;0,INDEX($AA$5:$AL$324,Ajustes!$K72,Q$2),0)+IF(Ajustes!$L72&gt;0,INDEX($AA$4:$AL$323,Ajustes!$L72,Q$2),0) + Q72</f>
        <v>0</v>
      </c>
      <c r="AD72">
        <f>IF(Ajustes!$G72&gt;0,INDEX($AA$4:$AL$323,Ajustes!$G72,R$2),0)+IF(Ajustes!$H72&gt;0,INDEX($AA$4:$AL$323,Ajustes!$H72,R$2),0)+IF(Ajustes!$I72&gt;0,INDEX($AA$4:$AL$323,Ajustes!$I72,R$2),0)+IF(Ajustes!$J72&gt;0,INDEX($AA$4:$AL$323,Ajustes!$J72,R$2),0)+IF(Ajustes!$K72&gt;0,INDEX($AA$5:$AL$324,Ajustes!$K72,R$2),0)+IF(Ajustes!$L72&gt;0,INDEX($AA$4:$AL$323,Ajustes!$L72,R$2),0) + R72</f>
        <v>0</v>
      </c>
      <c r="AE72">
        <f>IF(Ajustes!$G72&gt;0,INDEX($AA$4:$AL$323,Ajustes!$G72,S$2),0)+IF(Ajustes!$H72&gt;0,INDEX($AA$4:$AL$323,Ajustes!$H72,S$2),0)+IF(Ajustes!$I72&gt;0,INDEX($AA$4:$AL$323,Ajustes!$I72,S$2),0)+IF(Ajustes!$J72&gt;0,INDEX($AA$4:$AL$323,Ajustes!$J72,S$2),0)+IF(Ajustes!$K72&gt;0,INDEX($AA$5:$AL$324,Ajustes!$K72,S$2),0)+IF(Ajustes!$L72&gt;0,INDEX($AA$4:$AL$323,Ajustes!$L72,S$2),0) + S72</f>
        <v>0</v>
      </c>
      <c r="AF72">
        <f>IF(Ajustes!$G72&gt;0,INDEX($AA$4:$AL$323,Ajustes!$G72,T$2),0)+IF(Ajustes!$H72&gt;0,INDEX($AA$4:$AL$323,Ajustes!$H72,T$2),0)+IF(Ajustes!$I72&gt;0,INDEX($AA$4:$AL$323,Ajustes!$I72,T$2),0)+IF(Ajustes!$J72&gt;0,INDEX($AA$4:$AL$323,Ajustes!$J72,T$2),0)+IF(Ajustes!$K72&gt;0,INDEX($AA$5:$AL$324,Ajustes!$K72,T$2),0)+IF(Ajustes!$L72&gt;0,INDEX($AA$4:$AL$323,Ajustes!$L72,T$2),0) + T72</f>
        <v>0</v>
      </c>
      <c r="AG72">
        <f>IF(Ajustes!$G72&gt;0,INDEX($AA$4:$AL$323,Ajustes!$G72,U$2),0)+IF(Ajustes!$H72&gt;0,INDEX($AA$4:$AL$323,Ajustes!$H72,U$2),0)+IF(Ajustes!$I72&gt;0,INDEX($AA$4:$AL$323,Ajustes!$I72,U$2),0)+IF(Ajustes!$J72&gt;0,INDEX($AA$4:$AL$323,Ajustes!$J72,U$2),0)+IF(Ajustes!$K72&gt;0,INDEX($AA$5:$AL$324,Ajustes!$K72,U$2),0)+IF(Ajustes!$L72&gt;0,INDEX($AA$4:$AL$323,Ajustes!$L72,U$2),0) + U72</f>
        <v>0</v>
      </c>
      <c r="AH72">
        <f>IF(Ajustes!$G72&gt;0,INDEX($AA$4:$AL$323,Ajustes!$G72,V$2),0)+IF(Ajustes!$H72&gt;0,INDEX($AA$4:$AL$323,Ajustes!$H72,V$2),0)+IF(Ajustes!$I72&gt;0,INDEX($AA$4:$AL$323,Ajustes!$I72,V$2),0)+IF(Ajustes!$J72&gt;0,INDEX($AA$4:$AL$323,Ajustes!$J72,V$2),0)+IF(Ajustes!$K72&gt;0,INDEX($AA$5:$AL$324,Ajustes!$K72,V$2),0)+IF(Ajustes!$L72&gt;0,INDEX($AA$4:$AL$323,Ajustes!$L72,V$2),0) + V72</f>
        <v>0</v>
      </c>
      <c r="AI72">
        <f>IF(Ajustes!$G72&gt;0,INDEX($AA$4:$AL$323,Ajustes!$G72,W$2),0)+IF(Ajustes!$H72&gt;0,INDEX($AA$4:$AL$323,Ajustes!$H72,W$2),0)+IF(Ajustes!$I72&gt;0,INDEX($AA$4:$AL$323,Ajustes!$I72,W$2),0)+IF(Ajustes!$J72&gt;0,INDEX($AA$4:$AL$323,Ajustes!$J72,W$2),0)+IF(Ajustes!$K72&gt;0,INDEX($AA$5:$AL$324,Ajustes!$K72,W$2),0)+IF(Ajustes!$L72&gt;0,INDEX($AA$4:$AL$323,Ajustes!$L72,W$2),0) + W72</f>
        <v>0</v>
      </c>
      <c r="AJ72">
        <f>IF(Ajustes!$G72&gt;0,INDEX($AA$4:$AL$323,Ajustes!$G72,X$2),0)+IF(Ajustes!$H72&gt;0,INDEX($AA$4:$AL$323,Ajustes!$H72,X$2),0)+IF(Ajustes!$I72&gt;0,INDEX($AA$4:$AL$323,Ajustes!$I72,X$2),0)+IF(Ajustes!$J72&gt;0,INDEX($AA$4:$AL$323,Ajustes!$J72,X$2),0)+IF(Ajustes!$K72&gt;0,INDEX($AA$5:$AL$324,Ajustes!$K72,X$2),0)+IF(Ajustes!$L72&gt;0,INDEX($AA$4:$AL$323,Ajustes!$L72,X$2),0) + X72</f>
        <v>0</v>
      </c>
      <c r="AK72">
        <f>IF(Ajustes!$G72&gt;0,INDEX($AA$4:$AL$323,Ajustes!$G72,Y$2),0)+IF(Ajustes!$H72&gt;0,INDEX($AA$4:$AL$323,Ajustes!$H72,Y$2),0)+IF(Ajustes!$I72&gt;0,INDEX($AA$4:$AL$323,Ajustes!$I72,Y$2),0)+IF(Ajustes!$J72&gt;0,INDEX($AA$4:$AL$323,Ajustes!$J72,Y$2),0)+IF(Ajustes!$K72&gt;0,INDEX($AA$5:$AL$324,Ajustes!$K72,Y$2),0)+IF(Ajustes!$L72&gt;0,INDEX($AA$4:$AL$323,Ajustes!$L72,Y$2),0) + Y72</f>
        <v>0</v>
      </c>
      <c r="AL72">
        <f>IF(Ajustes!$G72&gt;0,INDEX($AA$4:$AL$323,Ajustes!$G72,Z$2),0)+IF(Ajustes!$H72&gt;0,INDEX($AA$4:$AL$323,Ajustes!$H72,Z$2),0)+IF(Ajustes!$I72&gt;0,INDEX($AA$4:$AL$323,Ajustes!$I72,Z$2),0)+IF(Ajustes!$J72&gt;0,INDEX($AA$4:$AL$323,Ajustes!$J72,Z$2),0)+IF(Ajustes!$K72&gt;0,INDEX($AA$5:$AL$324,Ajustes!$K72,Z$2),0)+IF(Ajustes!$L72&gt;0,INDEX($AA$4:$AL$323,Ajustes!$L72,Z$2),0) + Z72</f>
        <v>0</v>
      </c>
      <c r="AM72" s="113">
        <f t="shared" si="20"/>
        <v>0</v>
      </c>
      <c r="AN72" s="113">
        <f t="shared" si="20"/>
        <v>0</v>
      </c>
      <c r="AO72" s="113">
        <f t="shared" si="20"/>
        <v>0</v>
      </c>
      <c r="AP72" s="113">
        <f t="shared" si="20"/>
        <v>0</v>
      </c>
      <c r="AQ72" s="113">
        <f t="shared" si="20"/>
        <v>0</v>
      </c>
      <c r="AR72" s="113">
        <f t="shared" si="20"/>
        <v>0</v>
      </c>
      <c r="AS72" s="113">
        <f t="shared" si="20"/>
        <v>0</v>
      </c>
      <c r="AT72" s="113">
        <f t="shared" si="20"/>
        <v>0</v>
      </c>
      <c r="AU72" s="113">
        <f t="shared" si="20"/>
        <v>0</v>
      </c>
      <c r="AV72" s="113">
        <f t="shared" ref="AV72:AV77" si="23">AJ72</f>
        <v>0</v>
      </c>
      <c r="AW72" s="113">
        <f t="shared" si="21"/>
        <v>0</v>
      </c>
      <c r="AX72" s="113">
        <f t="shared" si="21"/>
        <v>0</v>
      </c>
    </row>
    <row r="73" spans="1:50" x14ac:dyDescent="0.25">
      <c r="A73" s="113">
        <v>70</v>
      </c>
      <c r="B73" s="209" t="s">
        <v>574</v>
      </c>
      <c r="C73">
        <f>IFERROR(INDEX($BD$7:$BO$35,MATCH(Ajustes!$E$4:$E$323,$BC$7:$BC$35,0),$C$2:$N$2),1)</f>
        <v>1</v>
      </c>
      <c r="D73" s="113">
        <f>IFERROR(INDEX($BD$7:$BO$35,MATCH(Ajustes!$E$4:$E$323,$BC$7:$BC$35,0),$C$2:$N$2),1)</f>
        <v>1</v>
      </c>
      <c r="E73" s="113">
        <f>IFERROR(INDEX($BD$7:$BO$35,MATCH(Ajustes!$E$4:$E$323,$BC$7:$BC$35,0),$C$2:$N$2),1)</f>
        <v>1</v>
      </c>
      <c r="F73" s="113">
        <f>IFERROR(INDEX($BD$7:$BO$35,MATCH(Ajustes!$E$4:$E$323,$BC$7:$BC$35,0),$C$2:$N$2),1)</f>
        <v>1</v>
      </c>
      <c r="G73" s="113">
        <f>IFERROR(INDEX($BD$7:$BO$35,MATCH(Ajustes!$E$4:$E$323,$BC$7:$BC$35,0),$C$2:$N$2),1)</f>
        <v>1</v>
      </c>
      <c r="H73" s="113">
        <f>IFERROR(INDEX($BD$7:$BO$35,MATCH(Ajustes!$E$4:$E$323,$BC$7:$BC$35,0),$C$2:$N$2),1)</f>
        <v>1</v>
      </c>
      <c r="I73" s="113">
        <f>IFERROR(INDEX($BD$7:$BO$35,MATCH(Ajustes!$E$4:$E$323,$BC$7:$BC$35,0),$C$2:$N$2),1)</f>
        <v>1</v>
      </c>
      <c r="J73" s="113">
        <f>IFERROR(INDEX($BD$7:$BO$35,MATCH(Ajustes!$E$4:$E$323,$BC$7:$BC$35,0),$C$2:$N$2),1)</f>
        <v>1</v>
      </c>
      <c r="K73" s="113">
        <f>IFERROR(INDEX($BD$7:$BO$35,MATCH(Ajustes!$E$4:$E$323,$BC$7:$BC$35,0),$C$2:$N$2),1)</f>
        <v>1</v>
      </c>
      <c r="L73" s="113">
        <f>IFERROR(INDEX($BD$7:$BO$35,MATCH(Ajustes!$E$4:$E$323,$BC$7:$BC$35,0),$C$2:$N$2),1)</f>
        <v>1</v>
      </c>
      <c r="M73" s="113">
        <f>IFERROR(INDEX($BD$7:$BO$35,MATCH(Ajustes!$E$4:$E$323,$BC$7:$BC$35,0),$C$2:$N$2),1)</f>
        <v>1</v>
      </c>
      <c r="N73" s="113">
        <f>IFERROR(INDEX($BD$7:$BO$35,MATCH(Ajustes!$E$4:$E$323,$BC$7:$BC$35,0),$C$2:$N$2),1)</f>
        <v>1</v>
      </c>
      <c r="O73">
        <f>C73*Ajustes!AM73</f>
        <v>21</v>
      </c>
      <c r="P73">
        <f>D73*Ajustes!AN73</f>
        <v>21</v>
      </c>
      <c r="Q73">
        <f>E73*Ajustes!AO73</f>
        <v>14</v>
      </c>
      <c r="R73">
        <f>F73*Ajustes!AP73</f>
        <v>21</v>
      </c>
      <c r="S73">
        <f>G73*Ajustes!AQ73</f>
        <v>42</v>
      </c>
      <c r="T73">
        <f>H73*Ajustes!AR73</f>
        <v>45</v>
      </c>
      <c r="U73">
        <f>I73*Ajustes!AS73</f>
        <v>41</v>
      </c>
      <c r="V73">
        <f>J73*Ajustes!AT73</f>
        <v>22</v>
      </c>
      <c r="W73">
        <f>K73*Ajustes!AU73</f>
        <v>39</v>
      </c>
      <c r="X73">
        <f>L73*Ajustes!AV73</f>
        <v>51</v>
      </c>
      <c r="Y73">
        <f>M73*Ajustes!AW73</f>
        <v>26</v>
      </c>
      <c r="Z73">
        <f>N73*Ajustes!AX73</f>
        <v>18</v>
      </c>
      <c r="AA73">
        <f>IF(Ajustes!$G73&gt;0,INDEX($AA$4:$AL$323,Ajustes!$G73,O$2),0)+IF(Ajustes!$H73&gt;0,INDEX($AA$4:$AL$323,Ajustes!$H73,O$2),0)+IF(Ajustes!$I73&gt;0,INDEX($AA$4:$AL$323,Ajustes!$I73,O$2),0)+IF(Ajustes!$J73&gt;0,INDEX($AA$4:$AL$323,Ajustes!$J73,O$2),0)+IF(Ajustes!$K73&gt;0,INDEX($AA$5:$AL$324,Ajustes!$K73,O$2),0)+IF(Ajustes!$L73&gt;0,INDEX($AA$4:$AL$323,Ajustes!$L73,O$2),0) + O73</f>
        <v>21</v>
      </c>
      <c r="AB73">
        <f>IF(Ajustes!$G73&gt;0,INDEX($AA$4:$AL$323,Ajustes!$G73,P$2),0)+IF(Ajustes!$H73&gt;0,INDEX($AA$4:$AL$323,Ajustes!$H73,P$2),0)+IF(Ajustes!$I73&gt;0,INDEX($AA$4:$AL$323,Ajustes!$I73,P$2),0)+IF(Ajustes!$J73&gt;0,INDEX($AA$4:$AL$323,Ajustes!$J73,P$2),0)+IF(Ajustes!$K73&gt;0,INDEX($AA$5:$AL$324,Ajustes!$K73,P$2),0)+IF(Ajustes!$L73&gt;0,INDEX($AA$4:$AL$323,Ajustes!$L73,P$2),0) + P73</f>
        <v>21</v>
      </c>
      <c r="AC73">
        <f>IF(Ajustes!$G73&gt;0,INDEX($AA$4:$AL$323,Ajustes!$G73,Q$2),0)+IF(Ajustes!$H73&gt;0,INDEX($AA$4:$AL$323,Ajustes!$H73,Q$2),0)+IF(Ajustes!$I73&gt;0,INDEX($AA$4:$AL$323,Ajustes!$I73,Q$2),0)+IF(Ajustes!$J73&gt;0,INDEX($AA$4:$AL$323,Ajustes!$J73,Q$2),0)+IF(Ajustes!$K73&gt;0,INDEX($AA$5:$AL$324,Ajustes!$K73,Q$2),0)+IF(Ajustes!$L73&gt;0,INDEX($AA$4:$AL$323,Ajustes!$L73,Q$2),0) + Q73</f>
        <v>14</v>
      </c>
      <c r="AD73">
        <f>IF(Ajustes!$G73&gt;0,INDEX($AA$4:$AL$323,Ajustes!$G73,R$2),0)+IF(Ajustes!$H73&gt;0,INDEX($AA$4:$AL$323,Ajustes!$H73,R$2),0)+IF(Ajustes!$I73&gt;0,INDEX($AA$4:$AL$323,Ajustes!$I73,R$2),0)+IF(Ajustes!$J73&gt;0,INDEX($AA$4:$AL$323,Ajustes!$J73,R$2),0)+IF(Ajustes!$K73&gt;0,INDEX($AA$5:$AL$324,Ajustes!$K73,R$2),0)+IF(Ajustes!$L73&gt;0,INDEX($AA$4:$AL$323,Ajustes!$L73,R$2),0) + R73</f>
        <v>21</v>
      </c>
      <c r="AE73">
        <f>IF(Ajustes!$G73&gt;0,INDEX($AA$4:$AL$323,Ajustes!$G73,S$2),0)+IF(Ajustes!$H73&gt;0,INDEX($AA$4:$AL$323,Ajustes!$H73,S$2),0)+IF(Ajustes!$I73&gt;0,INDEX($AA$4:$AL$323,Ajustes!$I73,S$2),0)+IF(Ajustes!$J73&gt;0,INDEX($AA$4:$AL$323,Ajustes!$J73,S$2),0)+IF(Ajustes!$K73&gt;0,INDEX($AA$5:$AL$324,Ajustes!$K73,S$2),0)+IF(Ajustes!$L73&gt;0,INDEX($AA$4:$AL$323,Ajustes!$L73,S$2),0) + S73</f>
        <v>42</v>
      </c>
      <c r="AF73">
        <f>IF(Ajustes!$G73&gt;0,INDEX($AA$4:$AL$323,Ajustes!$G73,T$2),0)+IF(Ajustes!$H73&gt;0,INDEX($AA$4:$AL$323,Ajustes!$H73,T$2),0)+IF(Ajustes!$I73&gt;0,INDEX($AA$4:$AL$323,Ajustes!$I73,T$2),0)+IF(Ajustes!$J73&gt;0,INDEX($AA$4:$AL$323,Ajustes!$J73,T$2),0)+IF(Ajustes!$K73&gt;0,INDEX($AA$5:$AL$324,Ajustes!$K73,T$2),0)+IF(Ajustes!$L73&gt;0,INDEX($AA$4:$AL$323,Ajustes!$L73,T$2),0) + T73</f>
        <v>45</v>
      </c>
      <c r="AG73">
        <f>IF(Ajustes!$G73&gt;0,INDEX($AA$4:$AL$323,Ajustes!$G73,U$2),0)+IF(Ajustes!$H73&gt;0,INDEX($AA$4:$AL$323,Ajustes!$H73,U$2),0)+IF(Ajustes!$I73&gt;0,INDEX($AA$4:$AL$323,Ajustes!$I73,U$2),0)+IF(Ajustes!$J73&gt;0,INDEX($AA$4:$AL$323,Ajustes!$J73,U$2),0)+IF(Ajustes!$K73&gt;0,INDEX($AA$5:$AL$324,Ajustes!$K73,U$2),0)+IF(Ajustes!$L73&gt;0,INDEX($AA$4:$AL$323,Ajustes!$L73,U$2),0) + U73</f>
        <v>41</v>
      </c>
      <c r="AH73">
        <f>IF(Ajustes!$G73&gt;0,INDEX($AA$4:$AL$323,Ajustes!$G73,V$2),0)+IF(Ajustes!$H73&gt;0,INDEX($AA$4:$AL$323,Ajustes!$H73,V$2),0)+IF(Ajustes!$I73&gt;0,INDEX($AA$4:$AL$323,Ajustes!$I73,V$2),0)+IF(Ajustes!$J73&gt;0,INDEX($AA$4:$AL$323,Ajustes!$J73,V$2),0)+IF(Ajustes!$K73&gt;0,INDEX($AA$5:$AL$324,Ajustes!$K73,V$2),0)+IF(Ajustes!$L73&gt;0,INDEX($AA$4:$AL$323,Ajustes!$L73,V$2),0) + V73</f>
        <v>22</v>
      </c>
      <c r="AI73">
        <f>IF(Ajustes!$G73&gt;0,INDEX($AA$4:$AL$323,Ajustes!$G73,W$2),0)+IF(Ajustes!$H73&gt;0,INDEX($AA$4:$AL$323,Ajustes!$H73,W$2),0)+IF(Ajustes!$I73&gt;0,INDEX($AA$4:$AL$323,Ajustes!$I73,W$2),0)+IF(Ajustes!$J73&gt;0,INDEX($AA$4:$AL$323,Ajustes!$J73,W$2),0)+IF(Ajustes!$K73&gt;0,INDEX($AA$5:$AL$324,Ajustes!$K73,W$2),0)+IF(Ajustes!$L73&gt;0,INDEX($AA$4:$AL$323,Ajustes!$L73,W$2),0) + W73</f>
        <v>39</v>
      </c>
      <c r="AJ73">
        <f>IF(Ajustes!$G73&gt;0,INDEX($AA$4:$AL$323,Ajustes!$G73,X$2),0)+IF(Ajustes!$H73&gt;0,INDEX($AA$4:$AL$323,Ajustes!$H73,X$2),0)+IF(Ajustes!$I73&gt;0,INDEX($AA$4:$AL$323,Ajustes!$I73,X$2),0)+IF(Ajustes!$J73&gt;0,INDEX($AA$4:$AL$323,Ajustes!$J73,X$2),0)+IF(Ajustes!$K73&gt;0,INDEX($AA$5:$AL$324,Ajustes!$K73,X$2),0)+IF(Ajustes!$L73&gt;0,INDEX($AA$4:$AL$323,Ajustes!$L73,X$2),0) + X73</f>
        <v>51</v>
      </c>
      <c r="AK73">
        <f>IF(Ajustes!$G73&gt;0,INDEX($AA$4:$AL$323,Ajustes!$G73,Y$2),0)+IF(Ajustes!$H73&gt;0,INDEX($AA$4:$AL$323,Ajustes!$H73,Y$2),0)+IF(Ajustes!$I73&gt;0,INDEX($AA$4:$AL$323,Ajustes!$I73,Y$2),0)+IF(Ajustes!$J73&gt;0,INDEX($AA$4:$AL$323,Ajustes!$J73,Y$2),0)+IF(Ajustes!$K73&gt;0,INDEX($AA$5:$AL$324,Ajustes!$K73,Y$2),0)+IF(Ajustes!$L73&gt;0,INDEX($AA$4:$AL$323,Ajustes!$L73,Y$2),0) + Y73</f>
        <v>26</v>
      </c>
      <c r="AL73">
        <f>IF(Ajustes!$G73&gt;0,INDEX($AA$4:$AL$323,Ajustes!$G73,Z$2),0)+IF(Ajustes!$H73&gt;0,INDEX($AA$4:$AL$323,Ajustes!$H73,Z$2),0)+IF(Ajustes!$I73&gt;0,INDEX($AA$4:$AL$323,Ajustes!$I73,Z$2),0)+IF(Ajustes!$J73&gt;0,INDEX($AA$4:$AL$323,Ajustes!$J73,Z$2),0)+IF(Ajustes!$K73&gt;0,INDEX($AA$5:$AL$324,Ajustes!$K73,Z$2),0)+IF(Ajustes!$L73&gt;0,INDEX($AA$4:$AL$323,Ajustes!$L73,Z$2),0) + Z73</f>
        <v>18</v>
      </c>
      <c r="AM73" s="219">
        <f t="shared" ref="AM73:AX73" si="24">AM76-MIN(AM76-10,173.5)</f>
        <v>10</v>
      </c>
      <c r="AN73" s="219">
        <f t="shared" si="24"/>
        <v>10</v>
      </c>
      <c r="AO73" s="219">
        <f t="shared" si="24"/>
        <v>10</v>
      </c>
      <c r="AP73" s="219">
        <f t="shared" si="24"/>
        <v>10</v>
      </c>
      <c r="AQ73" s="219">
        <f t="shared" si="24"/>
        <v>10</v>
      </c>
      <c r="AR73" s="219">
        <f t="shared" si="24"/>
        <v>10</v>
      </c>
      <c r="AS73" s="219">
        <f t="shared" si="24"/>
        <v>10</v>
      </c>
      <c r="AT73" s="219">
        <f t="shared" si="24"/>
        <v>10</v>
      </c>
      <c r="AU73" s="219">
        <f t="shared" si="24"/>
        <v>10</v>
      </c>
      <c r="AV73" s="219">
        <f t="shared" si="24"/>
        <v>10</v>
      </c>
      <c r="AW73" s="219">
        <f t="shared" si="24"/>
        <v>10</v>
      </c>
      <c r="AX73" s="219">
        <f t="shared" si="24"/>
        <v>10</v>
      </c>
    </row>
    <row r="74" spans="1:50" x14ac:dyDescent="0.25">
      <c r="A74" s="113">
        <v>71</v>
      </c>
      <c r="B74" s="209" t="s">
        <v>170</v>
      </c>
      <c r="C74">
        <f>IFERROR(INDEX($BD$7:$BO$35,MATCH(Ajustes!$E$4:$E$323,$BC$7:$BC$35,0),$C$2:$N$2),1)</f>
        <v>1</v>
      </c>
      <c r="D74" s="113">
        <f>IFERROR(INDEX($BD$7:$BO$35,MATCH(Ajustes!$E$4:$E$323,$BC$7:$BC$35,0),$C$2:$N$2),1)</f>
        <v>1</v>
      </c>
      <c r="E74" s="113">
        <f>IFERROR(INDEX($BD$7:$BO$35,MATCH(Ajustes!$E$4:$E$323,$BC$7:$BC$35,0),$C$2:$N$2),1)</f>
        <v>1</v>
      </c>
      <c r="F74" s="113">
        <f>IFERROR(INDEX($BD$7:$BO$35,MATCH(Ajustes!$E$4:$E$323,$BC$7:$BC$35,0),$C$2:$N$2),1)</f>
        <v>1</v>
      </c>
      <c r="G74" s="113">
        <f>IFERROR(INDEX($BD$7:$BO$35,MATCH(Ajustes!$E$4:$E$323,$BC$7:$BC$35,0),$C$2:$N$2),1)</f>
        <v>1</v>
      </c>
      <c r="H74" s="113">
        <f>IFERROR(INDEX($BD$7:$BO$35,MATCH(Ajustes!$E$4:$E$323,$BC$7:$BC$35,0),$C$2:$N$2),1)</f>
        <v>1</v>
      </c>
      <c r="I74" s="113">
        <f>IFERROR(INDEX($BD$7:$BO$35,MATCH(Ajustes!$E$4:$E$323,$BC$7:$BC$35,0),$C$2:$N$2),1)</f>
        <v>1</v>
      </c>
      <c r="J74" s="113">
        <f>IFERROR(INDEX($BD$7:$BO$35,MATCH(Ajustes!$E$4:$E$323,$BC$7:$BC$35,0),$C$2:$N$2),1)</f>
        <v>1</v>
      </c>
      <c r="K74" s="113">
        <f>IFERROR(INDEX($BD$7:$BO$35,MATCH(Ajustes!$E$4:$E$323,$BC$7:$BC$35,0),$C$2:$N$2),1)</f>
        <v>1</v>
      </c>
      <c r="L74" s="113">
        <f>IFERROR(INDEX($BD$7:$BO$35,MATCH(Ajustes!$E$4:$E$323,$BC$7:$BC$35,0),$C$2:$N$2),1)</f>
        <v>1</v>
      </c>
      <c r="M74" s="113">
        <f>IFERROR(INDEX($BD$7:$BO$35,MATCH(Ajustes!$E$4:$E$323,$BC$7:$BC$35,0),$C$2:$N$2),1)</f>
        <v>1</v>
      </c>
      <c r="N74" s="113">
        <f>IFERROR(INDEX($BD$7:$BO$35,MATCH(Ajustes!$E$4:$E$323,$BC$7:$BC$35,0),$C$2:$N$2),1)</f>
        <v>1</v>
      </c>
      <c r="O74">
        <f>C74*Ajustes!AM74</f>
        <v>91</v>
      </c>
      <c r="P74">
        <f>D74*Ajustes!AN74</f>
        <v>95</v>
      </c>
      <c r="Q74">
        <f>E74*Ajustes!AO74</f>
        <v>80</v>
      </c>
      <c r="R74">
        <f>F74*Ajustes!AP74</f>
        <v>80</v>
      </c>
      <c r="S74">
        <f>G74*Ajustes!AQ74</f>
        <v>107</v>
      </c>
      <c r="T74">
        <f>H74*Ajustes!AR74</f>
        <v>125</v>
      </c>
      <c r="U74">
        <f>I74*Ajustes!AS74</f>
        <v>118</v>
      </c>
      <c r="V74">
        <f>J74*Ajustes!AT74</f>
        <v>90</v>
      </c>
      <c r="W74">
        <f>K74*Ajustes!AU74</f>
        <v>111</v>
      </c>
      <c r="X74">
        <f>L74*Ajustes!AV74</f>
        <v>140</v>
      </c>
      <c r="Y74">
        <f>M74*Ajustes!AW74</f>
        <v>108</v>
      </c>
      <c r="Z74">
        <f>N74*Ajustes!AX74</f>
        <v>92</v>
      </c>
      <c r="AA74">
        <f>IF(Ajustes!$G74&gt;0,INDEX($AA$4:$AL$323,Ajustes!$G74,O$2),0)+IF(Ajustes!$H74&gt;0,INDEX($AA$4:$AL$323,Ajustes!$H74,O$2),0)+IF(Ajustes!$I74&gt;0,INDEX($AA$4:$AL$323,Ajustes!$I74,O$2),0)+IF(Ajustes!$J74&gt;0,INDEX($AA$4:$AL$323,Ajustes!$J74,O$2),0)+IF(Ajustes!$K74&gt;0,INDEX($AA$5:$AL$324,Ajustes!$K74,O$2),0)+IF(Ajustes!$L74&gt;0,INDEX($AA$4:$AL$323,Ajustes!$L74,O$2),0) + O74</f>
        <v>91</v>
      </c>
      <c r="AB74">
        <f>IF(Ajustes!$G74&gt;0,INDEX($AA$4:$AL$323,Ajustes!$G74,P$2),0)+IF(Ajustes!$H74&gt;0,INDEX($AA$4:$AL$323,Ajustes!$H74,P$2),0)+IF(Ajustes!$I74&gt;0,INDEX($AA$4:$AL$323,Ajustes!$I74,P$2),0)+IF(Ajustes!$J74&gt;0,INDEX($AA$4:$AL$323,Ajustes!$J74,P$2),0)+IF(Ajustes!$K74&gt;0,INDEX($AA$5:$AL$324,Ajustes!$K74,P$2),0)+IF(Ajustes!$L74&gt;0,INDEX($AA$4:$AL$323,Ajustes!$L74,P$2),0) + P74</f>
        <v>95</v>
      </c>
      <c r="AC74">
        <f>IF(Ajustes!$G74&gt;0,INDEX($AA$4:$AL$323,Ajustes!$G74,Q$2),0)+IF(Ajustes!$H74&gt;0,INDEX($AA$4:$AL$323,Ajustes!$H74,Q$2),0)+IF(Ajustes!$I74&gt;0,INDEX($AA$4:$AL$323,Ajustes!$I74,Q$2),0)+IF(Ajustes!$J74&gt;0,INDEX($AA$4:$AL$323,Ajustes!$J74,Q$2),0)+IF(Ajustes!$K74&gt;0,INDEX($AA$5:$AL$324,Ajustes!$K74,Q$2),0)+IF(Ajustes!$L74&gt;0,INDEX($AA$4:$AL$323,Ajustes!$L74,Q$2),0) + Q74</f>
        <v>80</v>
      </c>
      <c r="AD74">
        <f>IF(Ajustes!$G74&gt;0,INDEX($AA$4:$AL$323,Ajustes!$G74,R$2),0)+IF(Ajustes!$H74&gt;0,INDEX($AA$4:$AL$323,Ajustes!$H74,R$2),0)+IF(Ajustes!$I74&gt;0,INDEX($AA$4:$AL$323,Ajustes!$I74,R$2),0)+IF(Ajustes!$J74&gt;0,INDEX($AA$4:$AL$323,Ajustes!$J74,R$2),0)+IF(Ajustes!$K74&gt;0,INDEX($AA$5:$AL$324,Ajustes!$K74,R$2),0)+IF(Ajustes!$L74&gt;0,INDEX($AA$4:$AL$323,Ajustes!$L74,R$2),0) + R74</f>
        <v>80</v>
      </c>
      <c r="AE74">
        <f>IF(Ajustes!$G74&gt;0,INDEX($AA$4:$AL$323,Ajustes!$G74,S$2),0)+IF(Ajustes!$H74&gt;0,INDEX($AA$4:$AL$323,Ajustes!$H74,S$2),0)+IF(Ajustes!$I74&gt;0,INDEX($AA$4:$AL$323,Ajustes!$I74,S$2),0)+IF(Ajustes!$J74&gt;0,INDEX($AA$4:$AL$323,Ajustes!$J74,S$2),0)+IF(Ajustes!$K74&gt;0,INDEX($AA$5:$AL$324,Ajustes!$K74,S$2),0)+IF(Ajustes!$L74&gt;0,INDEX($AA$4:$AL$323,Ajustes!$L74,S$2),0) + S74</f>
        <v>107</v>
      </c>
      <c r="AF74">
        <f>IF(Ajustes!$G74&gt;0,INDEX($AA$4:$AL$323,Ajustes!$G74,T$2),0)+IF(Ajustes!$H74&gt;0,INDEX($AA$4:$AL$323,Ajustes!$H74,T$2),0)+IF(Ajustes!$I74&gt;0,INDEX($AA$4:$AL$323,Ajustes!$I74,T$2),0)+IF(Ajustes!$J74&gt;0,INDEX($AA$4:$AL$323,Ajustes!$J74,T$2),0)+IF(Ajustes!$K74&gt;0,INDEX($AA$5:$AL$324,Ajustes!$K74,T$2),0)+IF(Ajustes!$L74&gt;0,INDEX($AA$4:$AL$323,Ajustes!$L74,T$2),0) + T74</f>
        <v>125</v>
      </c>
      <c r="AG74">
        <f>IF(Ajustes!$G74&gt;0,INDEX($AA$4:$AL$323,Ajustes!$G74,U$2),0)+IF(Ajustes!$H74&gt;0,INDEX($AA$4:$AL$323,Ajustes!$H74,U$2),0)+IF(Ajustes!$I74&gt;0,INDEX($AA$4:$AL$323,Ajustes!$I74,U$2),0)+IF(Ajustes!$J74&gt;0,INDEX($AA$4:$AL$323,Ajustes!$J74,U$2),0)+IF(Ajustes!$K74&gt;0,INDEX($AA$5:$AL$324,Ajustes!$K74,U$2),0)+IF(Ajustes!$L74&gt;0,INDEX($AA$4:$AL$323,Ajustes!$L74,U$2),0) + U74</f>
        <v>118</v>
      </c>
      <c r="AH74">
        <f>IF(Ajustes!$G74&gt;0,INDEX($AA$4:$AL$323,Ajustes!$G74,V$2),0)+IF(Ajustes!$H74&gt;0,INDEX($AA$4:$AL$323,Ajustes!$H74,V$2),0)+IF(Ajustes!$I74&gt;0,INDEX($AA$4:$AL$323,Ajustes!$I74,V$2),0)+IF(Ajustes!$J74&gt;0,INDEX($AA$4:$AL$323,Ajustes!$J74,V$2),0)+IF(Ajustes!$K74&gt;0,INDEX($AA$5:$AL$324,Ajustes!$K74,V$2),0)+IF(Ajustes!$L74&gt;0,INDEX($AA$4:$AL$323,Ajustes!$L74,V$2),0) + V74</f>
        <v>90</v>
      </c>
      <c r="AI74">
        <f>IF(Ajustes!$G74&gt;0,INDEX($AA$4:$AL$323,Ajustes!$G74,W$2),0)+IF(Ajustes!$H74&gt;0,INDEX($AA$4:$AL$323,Ajustes!$H74,W$2),0)+IF(Ajustes!$I74&gt;0,INDEX($AA$4:$AL$323,Ajustes!$I74,W$2),0)+IF(Ajustes!$J74&gt;0,INDEX($AA$4:$AL$323,Ajustes!$J74,W$2),0)+IF(Ajustes!$K74&gt;0,INDEX($AA$5:$AL$324,Ajustes!$K74,W$2),0)+IF(Ajustes!$L74&gt;0,INDEX($AA$4:$AL$323,Ajustes!$L74,W$2),0) + W74</f>
        <v>111</v>
      </c>
      <c r="AJ74">
        <f>IF(Ajustes!$G74&gt;0,INDEX($AA$4:$AL$323,Ajustes!$G74,X$2),0)+IF(Ajustes!$H74&gt;0,INDEX($AA$4:$AL$323,Ajustes!$H74,X$2),0)+IF(Ajustes!$I74&gt;0,INDEX($AA$4:$AL$323,Ajustes!$I74,X$2),0)+IF(Ajustes!$J74&gt;0,INDEX($AA$4:$AL$323,Ajustes!$J74,X$2),0)+IF(Ajustes!$K74&gt;0,INDEX($AA$5:$AL$324,Ajustes!$K74,X$2),0)+IF(Ajustes!$L74&gt;0,INDEX($AA$4:$AL$323,Ajustes!$L74,X$2),0) + X74</f>
        <v>140</v>
      </c>
      <c r="AK74">
        <f>IF(Ajustes!$G74&gt;0,INDEX($AA$4:$AL$323,Ajustes!$G74,Y$2),0)+IF(Ajustes!$H74&gt;0,INDEX($AA$4:$AL$323,Ajustes!$H74,Y$2),0)+IF(Ajustes!$I74&gt;0,INDEX($AA$4:$AL$323,Ajustes!$I74,Y$2),0)+IF(Ajustes!$J74&gt;0,INDEX($AA$4:$AL$323,Ajustes!$J74,Y$2),0)+IF(Ajustes!$K74&gt;0,INDEX($AA$5:$AL$324,Ajustes!$K74,Y$2),0)+IF(Ajustes!$L74&gt;0,INDEX($AA$4:$AL$323,Ajustes!$L74,Y$2),0) + Y74</f>
        <v>108</v>
      </c>
      <c r="AL74">
        <f>IF(Ajustes!$G74&gt;0,INDEX($AA$4:$AL$323,Ajustes!$G74,Z$2),0)+IF(Ajustes!$H74&gt;0,INDEX($AA$4:$AL$323,Ajustes!$H74,Z$2),0)+IF(Ajustes!$I74&gt;0,INDEX($AA$4:$AL$323,Ajustes!$I74,Z$2),0)+IF(Ajustes!$J74&gt;0,INDEX($AA$4:$AL$323,Ajustes!$J74,Z$2),0)+IF(Ajustes!$K74&gt;0,INDEX($AA$5:$AL$324,Ajustes!$K74,Z$2),0)+IF(Ajustes!$L74&gt;0,INDEX($AA$4:$AL$323,Ajustes!$L74,Z$2),0) + Z74</f>
        <v>92</v>
      </c>
      <c r="AM74" s="113">
        <f t="shared" si="20"/>
        <v>91</v>
      </c>
      <c r="AN74" s="113">
        <f t="shared" si="20"/>
        <v>95</v>
      </c>
      <c r="AO74" s="113">
        <f t="shared" si="20"/>
        <v>80</v>
      </c>
      <c r="AP74" s="113">
        <f t="shared" si="20"/>
        <v>80</v>
      </c>
      <c r="AQ74" s="113">
        <f t="shared" si="20"/>
        <v>107</v>
      </c>
      <c r="AR74" s="113">
        <f t="shared" si="20"/>
        <v>125</v>
      </c>
      <c r="AS74" s="113">
        <f t="shared" si="20"/>
        <v>118</v>
      </c>
      <c r="AT74" s="113">
        <f t="shared" si="20"/>
        <v>90</v>
      </c>
      <c r="AU74" s="113">
        <f t="shared" si="20"/>
        <v>111</v>
      </c>
      <c r="AV74" s="113">
        <f t="shared" si="23"/>
        <v>140</v>
      </c>
      <c r="AW74" s="113">
        <f t="shared" si="21"/>
        <v>108</v>
      </c>
      <c r="AX74" s="113">
        <f t="shared" si="21"/>
        <v>92</v>
      </c>
    </row>
    <row r="75" spans="1:50" x14ac:dyDescent="0.25">
      <c r="A75" s="113">
        <v>72</v>
      </c>
      <c r="B75" s="209" t="s">
        <v>575</v>
      </c>
      <c r="C75">
        <f>IFERROR(INDEX($BD$7:$BO$35,MATCH(Ajustes!$E$4:$E$323,$BC$7:$BC$35,0),$C$2:$N$2),1)</f>
        <v>1</v>
      </c>
      <c r="D75" s="113">
        <f>IFERROR(INDEX($BD$7:$BO$35,MATCH(Ajustes!$E$4:$E$323,$BC$7:$BC$35,0),$C$2:$N$2),1)</f>
        <v>1</v>
      </c>
      <c r="E75" s="113">
        <f>IFERROR(INDEX($BD$7:$BO$35,MATCH(Ajustes!$E$4:$E$323,$BC$7:$BC$35,0),$C$2:$N$2),1)</f>
        <v>1</v>
      </c>
      <c r="F75" s="113">
        <f>IFERROR(INDEX($BD$7:$BO$35,MATCH(Ajustes!$E$4:$E$323,$BC$7:$BC$35,0),$C$2:$N$2),1)</f>
        <v>1</v>
      </c>
      <c r="G75" s="113">
        <f>IFERROR(INDEX($BD$7:$BO$35,MATCH(Ajustes!$E$4:$E$323,$BC$7:$BC$35,0),$C$2:$N$2),1)</f>
        <v>1</v>
      </c>
      <c r="H75" s="113">
        <f>IFERROR(INDEX($BD$7:$BO$35,MATCH(Ajustes!$E$4:$E$323,$BC$7:$BC$35,0),$C$2:$N$2),1)</f>
        <v>1</v>
      </c>
      <c r="I75" s="113">
        <f>IFERROR(INDEX($BD$7:$BO$35,MATCH(Ajustes!$E$4:$E$323,$BC$7:$BC$35,0),$C$2:$N$2),1)</f>
        <v>1</v>
      </c>
      <c r="J75" s="113">
        <f>IFERROR(INDEX($BD$7:$BO$35,MATCH(Ajustes!$E$4:$E$323,$BC$7:$BC$35,0),$C$2:$N$2),1)</f>
        <v>1</v>
      </c>
      <c r="K75" s="113">
        <f>IFERROR(INDEX($BD$7:$BO$35,MATCH(Ajustes!$E$4:$E$323,$BC$7:$BC$35,0),$C$2:$N$2),1)</f>
        <v>1</v>
      </c>
      <c r="L75" s="113">
        <f>IFERROR(INDEX($BD$7:$BO$35,MATCH(Ajustes!$E$4:$E$323,$BC$7:$BC$35,0),$C$2:$N$2),1)</f>
        <v>1</v>
      </c>
      <c r="M75" s="113">
        <f>IFERROR(INDEX($BD$7:$BO$35,MATCH(Ajustes!$E$4:$E$323,$BC$7:$BC$35,0),$C$2:$N$2),1)</f>
        <v>1</v>
      </c>
      <c r="N75" s="113">
        <f>IFERROR(INDEX($BD$7:$BO$35,MATCH(Ajustes!$E$4:$E$323,$BC$7:$BC$35,0),$C$2:$N$2),1)</f>
        <v>1</v>
      </c>
      <c r="O75">
        <f>C75*Ajustes!AM75</f>
        <v>4</v>
      </c>
      <c r="P75">
        <f>D75*Ajustes!AN75</f>
        <v>5</v>
      </c>
      <c r="Q75">
        <f>E75*Ajustes!AO75</f>
        <v>4</v>
      </c>
      <c r="R75">
        <f>F75*Ajustes!AP75</f>
        <v>4</v>
      </c>
      <c r="S75">
        <f>G75*Ajustes!AQ75</f>
        <v>5</v>
      </c>
      <c r="T75">
        <f>H75*Ajustes!AR75</f>
        <v>6</v>
      </c>
      <c r="U75">
        <f>I75*Ajustes!AS75</f>
        <v>6</v>
      </c>
      <c r="V75">
        <f>J75*Ajustes!AT75</f>
        <v>4</v>
      </c>
      <c r="W75">
        <f>K75*Ajustes!AU75</f>
        <v>6</v>
      </c>
      <c r="X75">
        <f>L75*Ajustes!AV75</f>
        <v>6</v>
      </c>
      <c r="Y75">
        <f>M75*Ajustes!AW75</f>
        <v>6</v>
      </c>
      <c r="Z75">
        <f>N75*Ajustes!AX75</f>
        <v>4</v>
      </c>
      <c r="AA75">
        <f>IF(Ajustes!$G75&gt;0,INDEX($AA$4:$AL$323,Ajustes!$G75,O$2),0)+IF(Ajustes!$H75&gt;0,INDEX($AA$4:$AL$323,Ajustes!$H75,O$2),0)+IF(Ajustes!$I75&gt;0,INDEX($AA$4:$AL$323,Ajustes!$I75,O$2),0)+IF(Ajustes!$J75&gt;0,INDEX($AA$4:$AL$323,Ajustes!$J75,O$2),0)+IF(Ajustes!$K75&gt;0,INDEX($AA$5:$AL$324,Ajustes!$K75,O$2),0)+IF(Ajustes!$L75&gt;0,INDEX($AA$4:$AL$323,Ajustes!$L75,O$2),0) + O75</f>
        <v>95</v>
      </c>
      <c r="AB75">
        <f>IF(Ajustes!$G75&gt;0,INDEX($AA$4:$AL$323,Ajustes!$G75,P$2),0)+IF(Ajustes!$H75&gt;0,INDEX($AA$4:$AL$323,Ajustes!$H75,P$2),0)+IF(Ajustes!$I75&gt;0,INDEX($AA$4:$AL$323,Ajustes!$I75,P$2),0)+IF(Ajustes!$J75&gt;0,INDEX($AA$4:$AL$323,Ajustes!$J75,P$2),0)+IF(Ajustes!$K75&gt;0,INDEX($AA$5:$AL$324,Ajustes!$K75,P$2),0)+IF(Ajustes!$L75&gt;0,INDEX($AA$4:$AL$323,Ajustes!$L75,P$2),0) + P75</f>
        <v>100</v>
      </c>
      <c r="AC75">
        <f>IF(Ajustes!$G75&gt;0,INDEX($AA$4:$AL$323,Ajustes!$G75,Q$2),0)+IF(Ajustes!$H75&gt;0,INDEX($AA$4:$AL$323,Ajustes!$H75,Q$2),0)+IF(Ajustes!$I75&gt;0,INDEX($AA$4:$AL$323,Ajustes!$I75,Q$2),0)+IF(Ajustes!$J75&gt;0,INDEX($AA$4:$AL$323,Ajustes!$J75,Q$2),0)+IF(Ajustes!$K75&gt;0,INDEX($AA$5:$AL$324,Ajustes!$K75,Q$2),0)+IF(Ajustes!$L75&gt;0,INDEX($AA$4:$AL$323,Ajustes!$L75,Q$2),0) + Q75</f>
        <v>84</v>
      </c>
      <c r="AD75">
        <f>IF(Ajustes!$G75&gt;0,INDEX($AA$4:$AL$323,Ajustes!$G75,R$2),0)+IF(Ajustes!$H75&gt;0,INDEX($AA$4:$AL$323,Ajustes!$H75,R$2),0)+IF(Ajustes!$I75&gt;0,INDEX($AA$4:$AL$323,Ajustes!$I75,R$2),0)+IF(Ajustes!$J75&gt;0,INDEX($AA$4:$AL$323,Ajustes!$J75,R$2),0)+IF(Ajustes!$K75&gt;0,INDEX($AA$5:$AL$324,Ajustes!$K75,R$2),0)+IF(Ajustes!$L75&gt;0,INDEX($AA$4:$AL$323,Ajustes!$L75,R$2),0) + R75</f>
        <v>84</v>
      </c>
      <c r="AE75">
        <f>IF(Ajustes!$G75&gt;0,INDEX($AA$4:$AL$323,Ajustes!$G75,S$2),0)+IF(Ajustes!$H75&gt;0,INDEX($AA$4:$AL$323,Ajustes!$H75,S$2),0)+IF(Ajustes!$I75&gt;0,INDEX($AA$4:$AL$323,Ajustes!$I75,S$2),0)+IF(Ajustes!$J75&gt;0,INDEX($AA$4:$AL$323,Ajustes!$J75,S$2),0)+IF(Ajustes!$K75&gt;0,INDEX($AA$5:$AL$324,Ajustes!$K75,S$2),0)+IF(Ajustes!$L75&gt;0,INDEX($AA$4:$AL$323,Ajustes!$L75,S$2),0) + S75</f>
        <v>112</v>
      </c>
      <c r="AF75">
        <f>IF(Ajustes!$G75&gt;0,INDEX($AA$4:$AL$323,Ajustes!$G75,T$2),0)+IF(Ajustes!$H75&gt;0,INDEX($AA$4:$AL$323,Ajustes!$H75,T$2),0)+IF(Ajustes!$I75&gt;0,INDEX($AA$4:$AL$323,Ajustes!$I75,T$2),0)+IF(Ajustes!$J75&gt;0,INDEX($AA$4:$AL$323,Ajustes!$J75,T$2),0)+IF(Ajustes!$K75&gt;0,INDEX($AA$5:$AL$324,Ajustes!$K75,T$2),0)+IF(Ajustes!$L75&gt;0,INDEX($AA$4:$AL$323,Ajustes!$L75,T$2),0) + T75</f>
        <v>131</v>
      </c>
      <c r="AG75">
        <f>IF(Ajustes!$G75&gt;0,INDEX($AA$4:$AL$323,Ajustes!$G75,U$2),0)+IF(Ajustes!$H75&gt;0,INDEX($AA$4:$AL$323,Ajustes!$H75,U$2),0)+IF(Ajustes!$I75&gt;0,INDEX($AA$4:$AL$323,Ajustes!$I75,U$2),0)+IF(Ajustes!$J75&gt;0,INDEX($AA$4:$AL$323,Ajustes!$J75,U$2),0)+IF(Ajustes!$K75&gt;0,INDEX($AA$5:$AL$324,Ajustes!$K75,U$2),0)+IF(Ajustes!$L75&gt;0,INDEX($AA$4:$AL$323,Ajustes!$L75,U$2),0) + U75</f>
        <v>124</v>
      </c>
      <c r="AH75">
        <f>IF(Ajustes!$G75&gt;0,INDEX($AA$4:$AL$323,Ajustes!$G75,V$2),0)+IF(Ajustes!$H75&gt;0,INDEX($AA$4:$AL$323,Ajustes!$H75,V$2),0)+IF(Ajustes!$I75&gt;0,INDEX($AA$4:$AL$323,Ajustes!$I75,V$2),0)+IF(Ajustes!$J75&gt;0,INDEX($AA$4:$AL$323,Ajustes!$J75,V$2),0)+IF(Ajustes!$K75&gt;0,INDEX($AA$5:$AL$324,Ajustes!$K75,V$2),0)+IF(Ajustes!$L75&gt;0,INDEX($AA$4:$AL$323,Ajustes!$L75,V$2),0) + V75</f>
        <v>94</v>
      </c>
      <c r="AI75">
        <f>IF(Ajustes!$G75&gt;0,INDEX($AA$4:$AL$323,Ajustes!$G75,W$2),0)+IF(Ajustes!$H75&gt;0,INDEX($AA$4:$AL$323,Ajustes!$H75,W$2),0)+IF(Ajustes!$I75&gt;0,INDEX($AA$4:$AL$323,Ajustes!$I75,W$2),0)+IF(Ajustes!$J75&gt;0,INDEX($AA$4:$AL$323,Ajustes!$J75,W$2),0)+IF(Ajustes!$K75&gt;0,INDEX($AA$5:$AL$324,Ajustes!$K75,W$2),0)+IF(Ajustes!$L75&gt;0,INDEX($AA$4:$AL$323,Ajustes!$L75,W$2),0) + W75</f>
        <v>117</v>
      </c>
      <c r="AJ75">
        <f>IF(Ajustes!$G75&gt;0,INDEX($AA$4:$AL$323,Ajustes!$G75,X$2),0)+IF(Ajustes!$H75&gt;0,INDEX($AA$4:$AL$323,Ajustes!$H75,X$2),0)+IF(Ajustes!$I75&gt;0,INDEX($AA$4:$AL$323,Ajustes!$I75,X$2),0)+IF(Ajustes!$J75&gt;0,INDEX($AA$4:$AL$323,Ajustes!$J75,X$2),0)+IF(Ajustes!$K75&gt;0,INDEX($AA$5:$AL$324,Ajustes!$K75,X$2),0)+IF(Ajustes!$L75&gt;0,INDEX($AA$4:$AL$323,Ajustes!$L75,X$2),0) + X75</f>
        <v>146</v>
      </c>
      <c r="AK75">
        <f>IF(Ajustes!$G75&gt;0,INDEX($AA$4:$AL$323,Ajustes!$G75,Y$2),0)+IF(Ajustes!$H75&gt;0,INDEX($AA$4:$AL$323,Ajustes!$H75,Y$2),0)+IF(Ajustes!$I75&gt;0,INDEX($AA$4:$AL$323,Ajustes!$I75,Y$2),0)+IF(Ajustes!$J75&gt;0,INDEX($AA$4:$AL$323,Ajustes!$J75,Y$2),0)+IF(Ajustes!$K75&gt;0,INDEX($AA$5:$AL$324,Ajustes!$K75,Y$2),0)+IF(Ajustes!$L75&gt;0,INDEX($AA$4:$AL$323,Ajustes!$L75,Y$2),0) + Y75</f>
        <v>114</v>
      </c>
      <c r="AL75">
        <f>IF(Ajustes!$G75&gt;0,INDEX($AA$4:$AL$323,Ajustes!$G75,Z$2),0)+IF(Ajustes!$H75&gt;0,INDEX($AA$4:$AL$323,Ajustes!$H75,Z$2),0)+IF(Ajustes!$I75&gt;0,INDEX($AA$4:$AL$323,Ajustes!$I75,Z$2),0)+IF(Ajustes!$J75&gt;0,INDEX($AA$4:$AL$323,Ajustes!$J75,Z$2),0)+IF(Ajustes!$K75&gt;0,INDEX($AA$5:$AL$324,Ajustes!$K75,Z$2),0)+IF(Ajustes!$L75&gt;0,INDEX($AA$4:$AL$323,Ajustes!$L75,Z$2),0) + Z75</f>
        <v>96</v>
      </c>
      <c r="AM75" s="113">
        <f t="shared" si="20"/>
        <v>95</v>
      </c>
      <c r="AN75" s="113">
        <f t="shared" si="20"/>
        <v>100</v>
      </c>
      <c r="AO75" s="113">
        <f t="shared" si="20"/>
        <v>84</v>
      </c>
      <c r="AP75" s="113">
        <f t="shared" si="20"/>
        <v>84</v>
      </c>
      <c r="AQ75" s="113">
        <f t="shared" si="20"/>
        <v>112</v>
      </c>
      <c r="AR75" s="113">
        <f t="shared" si="20"/>
        <v>131</v>
      </c>
      <c r="AS75" s="113">
        <f t="shared" si="20"/>
        <v>124</v>
      </c>
      <c r="AT75" s="113">
        <f t="shared" si="20"/>
        <v>94</v>
      </c>
      <c r="AU75" s="113">
        <f t="shared" si="20"/>
        <v>117</v>
      </c>
      <c r="AV75" s="113">
        <f t="shared" si="23"/>
        <v>146</v>
      </c>
      <c r="AW75" s="113">
        <f t="shared" si="21"/>
        <v>114</v>
      </c>
      <c r="AX75" s="113">
        <f t="shared" si="21"/>
        <v>96</v>
      </c>
    </row>
    <row r="76" spans="1:50" x14ac:dyDescent="0.25">
      <c r="A76" s="113">
        <v>73</v>
      </c>
      <c r="B76" s="209" t="s">
        <v>574</v>
      </c>
      <c r="C76">
        <f>IFERROR(INDEX($BD$7:$BO$35,MATCH(Ajustes!$E$4:$E$323,$BC$7:$BC$35,0),$C$2:$N$2),1)</f>
        <v>1</v>
      </c>
      <c r="D76" s="113">
        <f>IFERROR(INDEX($BD$7:$BO$35,MATCH(Ajustes!$E$4:$E$323,$BC$7:$BC$35,0),$C$2:$N$2),1)</f>
        <v>1</v>
      </c>
      <c r="E76" s="113">
        <f>IFERROR(INDEX($BD$7:$BO$35,MATCH(Ajustes!$E$4:$E$323,$BC$7:$BC$35,0),$C$2:$N$2),1)</f>
        <v>1</v>
      </c>
      <c r="F76" s="113">
        <f>IFERROR(INDEX($BD$7:$BO$35,MATCH(Ajustes!$E$4:$E$323,$BC$7:$BC$35,0),$C$2:$N$2),1)</f>
        <v>1</v>
      </c>
      <c r="G76" s="113">
        <f>IFERROR(INDEX($BD$7:$BO$35,MATCH(Ajustes!$E$4:$E$323,$BC$7:$BC$35,0),$C$2:$N$2),1)</f>
        <v>1</v>
      </c>
      <c r="H76" s="113">
        <f>IFERROR(INDEX($BD$7:$BO$35,MATCH(Ajustes!$E$4:$E$323,$BC$7:$BC$35,0),$C$2:$N$2),1)</f>
        <v>1</v>
      </c>
      <c r="I76" s="113">
        <f>IFERROR(INDEX($BD$7:$BO$35,MATCH(Ajustes!$E$4:$E$323,$BC$7:$BC$35,0),$C$2:$N$2),1)</f>
        <v>1</v>
      </c>
      <c r="J76" s="113">
        <f>IFERROR(INDEX($BD$7:$BO$35,MATCH(Ajustes!$E$4:$E$323,$BC$7:$BC$35,0),$C$2:$N$2),1)</f>
        <v>1</v>
      </c>
      <c r="K76" s="113">
        <f>IFERROR(INDEX($BD$7:$BO$35,MATCH(Ajustes!$E$4:$E$323,$BC$7:$BC$35,0),$C$2:$N$2),1)</f>
        <v>1</v>
      </c>
      <c r="L76" s="113">
        <f>IFERROR(INDEX($BD$7:$BO$35,MATCH(Ajustes!$E$4:$E$323,$BC$7:$BC$35,0),$C$2:$N$2),1)</f>
        <v>1</v>
      </c>
      <c r="M76" s="113">
        <f>IFERROR(INDEX($BD$7:$BO$35,MATCH(Ajustes!$E$4:$E$323,$BC$7:$BC$35,0),$C$2:$N$2),1)</f>
        <v>1</v>
      </c>
      <c r="N76" s="113">
        <f>IFERROR(INDEX($BD$7:$BO$35,MATCH(Ajustes!$E$4:$E$323,$BC$7:$BC$35,0),$C$2:$N$2),1)</f>
        <v>1</v>
      </c>
      <c r="O76">
        <f>C76*Ajustes!AM76</f>
        <v>18</v>
      </c>
      <c r="P76">
        <f>D76*Ajustes!AN76</f>
        <v>17</v>
      </c>
      <c r="Q76">
        <f>E76*Ajustes!AO76</f>
        <v>16</v>
      </c>
      <c r="R76">
        <f>F76*Ajustes!AP76</f>
        <v>16</v>
      </c>
      <c r="S76">
        <f>G76*Ajustes!AQ76</f>
        <v>22</v>
      </c>
      <c r="T76">
        <f>H76*Ajustes!AR76</f>
        <v>25</v>
      </c>
      <c r="U76">
        <f>I76*Ajustes!AS76</f>
        <v>24</v>
      </c>
      <c r="V76">
        <f>J76*Ajustes!AT76</f>
        <v>19</v>
      </c>
      <c r="W76">
        <f>K76*Ajustes!AU76</f>
        <v>21</v>
      </c>
      <c r="X76">
        <f>L76*Ajustes!AV76</f>
        <v>26</v>
      </c>
      <c r="Y76">
        <f>M76*Ajustes!AW76</f>
        <v>21</v>
      </c>
      <c r="Z76">
        <f>N76*Ajustes!AX76</f>
        <v>17</v>
      </c>
      <c r="AA76">
        <f>IF(Ajustes!$G76&gt;0,INDEX($AA$4:$AL$323,Ajustes!$G76,O$2),0)+IF(Ajustes!$H76&gt;0,INDEX($AA$4:$AL$323,Ajustes!$H76,O$2),0)+IF(Ajustes!$I76&gt;0,INDEX($AA$4:$AL$323,Ajustes!$I76,O$2),0)+IF(Ajustes!$J76&gt;0,INDEX($AA$4:$AL$323,Ajustes!$J76,O$2),0)+IF(Ajustes!$K76&gt;0,INDEX($AA$5:$AL$324,Ajustes!$K76,O$2),0)+IF(Ajustes!$L76&gt;0,INDEX($AA$4:$AL$323,Ajustes!$L76,O$2),0) + O76</f>
        <v>113</v>
      </c>
      <c r="AB76">
        <f>IF(Ajustes!$G76&gt;0,INDEX($AA$4:$AL$323,Ajustes!$G76,P$2),0)+IF(Ajustes!$H76&gt;0,INDEX($AA$4:$AL$323,Ajustes!$H76,P$2),0)+IF(Ajustes!$I76&gt;0,INDEX($AA$4:$AL$323,Ajustes!$I76,P$2),0)+IF(Ajustes!$J76&gt;0,INDEX($AA$4:$AL$323,Ajustes!$J76,P$2),0)+IF(Ajustes!$K76&gt;0,INDEX($AA$5:$AL$324,Ajustes!$K76,P$2),0)+IF(Ajustes!$L76&gt;0,INDEX($AA$4:$AL$323,Ajustes!$L76,P$2),0) + P76</f>
        <v>117</v>
      </c>
      <c r="AC76">
        <f>IF(Ajustes!$G76&gt;0,INDEX($AA$4:$AL$323,Ajustes!$G76,Q$2),0)+IF(Ajustes!$H76&gt;0,INDEX($AA$4:$AL$323,Ajustes!$H76,Q$2),0)+IF(Ajustes!$I76&gt;0,INDEX($AA$4:$AL$323,Ajustes!$I76,Q$2),0)+IF(Ajustes!$J76&gt;0,INDEX($AA$4:$AL$323,Ajustes!$J76,Q$2),0)+IF(Ajustes!$K76&gt;0,INDEX($AA$5:$AL$324,Ajustes!$K76,Q$2),0)+IF(Ajustes!$L76&gt;0,INDEX($AA$4:$AL$323,Ajustes!$L76,Q$2),0) + Q76</f>
        <v>100</v>
      </c>
      <c r="AD76">
        <f>IF(Ajustes!$G76&gt;0,INDEX($AA$4:$AL$323,Ajustes!$G76,R$2),0)+IF(Ajustes!$H76&gt;0,INDEX($AA$4:$AL$323,Ajustes!$H76,R$2),0)+IF(Ajustes!$I76&gt;0,INDEX($AA$4:$AL$323,Ajustes!$I76,R$2),0)+IF(Ajustes!$J76&gt;0,INDEX($AA$4:$AL$323,Ajustes!$J76,R$2),0)+IF(Ajustes!$K76&gt;0,INDEX($AA$5:$AL$324,Ajustes!$K76,R$2),0)+IF(Ajustes!$L76&gt;0,INDEX($AA$4:$AL$323,Ajustes!$L76,R$2),0) + R76</f>
        <v>100</v>
      </c>
      <c r="AE76">
        <f>IF(Ajustes!$G76&gt;0,INDEX($AA$4:$AL$323,Ajustes!$G76,S$2),0)+IF(Ajustes!$H76&gt;0,INDEX($AA$4:$AL$323,Ajustes!$H76,S$2),0)+IF(Ajustes!$I76&gt;0,INDEX($AA$4:$AL$323,Ajustes!$I76,S$2),0)+IF(Ajustes!$J76&gt;0,INDEX($AA$4:$AL$323,Ajustes!$J76,S$2),0)+IF(Ajustes!$K76&gt;0,INDEX($AA$5:$AL$324,Ajustes!$K76,S$2),0)+IF(Ajustes!$L76&gt;0,INDEX($AA$4:$AL$323,Ajustes!$L76,S$2),0) + S76</f>
        <v>134</v>
      </c>
      <c r="AF76">
        <f>IF(Ajustes!$G76&gt;0,INDEX($AA$4:$AL$323,Ajustes!$G76,T$2),0)+IF(Ajustes!$H76&gt;0,INDEX($AA$4:$AL$323,Ajustes!$H76,T$2),0)+IF(Ajustes!$I76&gt;0,INDEX($AA$4:$AL$323,Ajustes!$I76,T$2),0)+IF(Ajustes!$J76&gt;0,INDEX($AA$4:$AL$323,Ajustes!$J76,T$2),0)+IF(Ajustes!$K76&gt;0,INDEX($AA$5:$AL$324,Ajustes!$K76,T$2),0)+IF(Ajustes!$L76&gt;0,INDEX($AA$4:$AL$323,Ajustes!$L76,T$2),0) + T76</f>
        <v>156</v>
      </c>
      <c r="AG76">
        <f>IF(Ajustes!$G76&gt;0,INDEX($AA$4:$AL$323,Ajustes!$G76,U$2),0)+IF(Ajustes!$H76&gt;0,INDEX($AA$4:$AL$323,Ajustes!$H76,U$2),0)+IF(Ajustes!$I76&gt;0,INDEX($AA$4:$AL$323,Ajustes!$I76,U$2),0)+IF(Ajustes!$J76&gt;0,INDEX($AA$4:$AL$323,Ajustes!$J76,U$2),0)+IF(Ajustes!$K76&gt;0,INDEX($AA$5:$AL$324,Ajustes!$K76,U$2),0)+IF(Ajustes!$L76&gt;0,INDEX($AA$4:$AL$323,Ajustes!$L76,U$2),0) + U76</f>
        <v>148</v>
      </c>
      <c r="AH76">
        <f>IF(Ajustes!$G76&gt;0,INDEX($AA$4:$AL$323,Ajustes!$G76,V$2),0)+IF(Ajustes!$H76&gt;0,INDEX($AA$4:$AL$323,Ajustes!$H76,V$2),0)+IF(Ajustes!$I76&gt;0,INDEX($AA$4:$AL$323,Ajustes!$I76,V$2),0)+IF(Ajustes!$J76&gt;0,INDEX($AA$4:$AL$323,Ajustes!$J76,V$2),0)+IF(Ajustes!$K76&gt;0,INDEX($AA$5:$AL$324,Ajustes!$K76,V$2),0)+IF(Ajustes!$L76&gt;0,INDEX($AA$4:$AL$323,Ajustes!$L76,V$2),0) + V76</f>
        <v>113</v>
      </c>
      <c r="AI76">
        <f>IF(Ajustes!$G76&gt;0,INDEX($AA$4:$AL$323,Ajustes!$G76,W$2),0)+IF(Ajustes!$H76&gt;0,INDEX($AA$4:$AL$323,Ajustes!$H76,W$2),0)+IF(Ajustes!$I76&gt;0,INDEX($AA$4:$AL$323,Ajustes!$I76,W$2),0)+IF(Ajustes!$J76&gt;0,INDEX($AA$4:$AL$323,Ajustes!$J76,W$2),0)+IF(Ajustes!$K76&gt;0,INDEX($AA$5:$AL$324,Ajustes!$K76,W$2),0)+IF(Ajustes!$L76&gt;0,INDEX($AA$4:$AL$323,Ajustes!$L76,W$2),0) + W76</f>
        <v>138</v>
      </c>
      <c r="AJ76">
        <f>IF(Ajustes!$G76&gt;0,INDEX($AA$4:$AL$323,Ajustes!$G76,X$2),0)+IF(Ajustes!$H76&gt;0,INDEX($AA$4:$AL$323,Ajustes!$H76,X$2),0)+IF(Ajustes!$I76&gt;0,INDEX($AA$4:$AL$323,Ajustes!$I76,X$2),0)+IF(Ajustes!$J76&gt;0,INDEX($AA$4:$AL$323,Ajustes!$J76,X$2),0)+IF(Ajustes!$K76&gt;0,INDEX($AA$5:$AL$324,Ajustes!$K76,X$2),0)+IF(Ajustes!$L76&gt;0,INDEX($AA$4:$AL$323,Ajustes!$L76,X$2),0) + X76</f>
        <v>172</v>
      </c>
      <c r="AK76">
        <f>IF(Ajustes!$G76&gt;0,INDEX($AA$4:$AL$323,Ajustes!$G76,Y$2),0)+IF(Ajustes!$H76&gt;0,INDEX($AA$4:$AL$323,Ajustes!$H76,Y$2),0)+IF(Ajustes!$I76&gt;0,INDEX($AA$4:$AL$323,Ajustes!$I76,Y$2),0)+IF(Ajustes!$J76&gt;0,INDEX($AA$4:$AL$323,Ajustes!$J76,Y$2),0)+IF(Ajustes!$K76&gt;0,INDEX($AA$5:$AL$324,Ajustes!$K76,Y$2),0)+IF(Ajustes!$L76&gt;0,INDEX($AA$4:$AL$323,Ajustes!$L76,Y$2),0) + Y76</f>
        <v>135</v>
      </c>
      <c r="AL76">
        <f>IF(Ajustes!$G76&gt;0,INDEX($AA$4:$AL$323,Ajustes!$G76,Z$2),0)+IF(Ajustes!$H76&gt;0,INDEX($AA$4:$AL$323,Ajustes!$H76,Z$2),0)+IF(Ajustes!$I76&gt;0,INDEX($AA$4:$AL$323,Ajustes!$I76,Z$2),0)+IF(Ajustes!$J76&gt;0,INDEX($AA$4:$AL$323,Ajustes!$J76,Z$2),0)+IF(Ajustes!$K76&gt;0,INDEX($AA$5:$AL$324,Ajustes!$K76,Z$2),0)+IF(Ajustes!$L76&gt;0,INDEX($AA$4:$AL$323,Ajustes!$L76,Z$2),0) + Z76</f>
        <v>113</v>
      </c>
      <c r="AM76" s="113">
        <f t="shared" si="20"/>
        <v>113</v>
      </c>
      <c r="AN76" s="113">
        <f t="shared" si="20"/>
        <v>117</v>
      </c>
      <c r="AO76" s="113">
        <f t="shared" si="20"/>
        <v>100</v>
      </c>
      <c r="AP76" s="113">
        <f t="shared" si="20"/>
        <v>100</v>
      </c>
      <c r="AQ76" s="113">
        <f t="shared" si="20"/>
        <v>134</v>
      </c>
      <c r="AR76" s="113">
        <f t="shared" si="20"/>
        <v>156</v>
      </c>
      <c r="AS76" s="113">
        <f t="shared" si="20"/>
        <v>148</v>
      </c>
      <c r="AT76" s="113">
        <f t="shared" si="20"/>
        <v>113</v>
      </c>
      <c r="AU76" s="113">
        <f t="shared" si="20"/>
        <v>138</v>
      </c>
      <c r="AV76" s="113">
        <f t="shared" si="23"/>
        <v>172</v>
      </c>
      <c r="AW76" s="113">
        <f t="shared" si="21"/>
        <v>135</v>
      </c>
      <c r="AX76" s="113">
        <f t="shared" si="21"/>
        <v>113</v>
      </c>
    </row>
    <row r="77" spans="1:50" x14ac:dyDescent="0.25">
      <c r="A77" s="113">
        <v>74</v>
      </c>
      <c r="B77" s="209" t="s">
        <v>576</v>
      </c>
      <c r="C77">
        <f>IFERROR(INDEX($BD$7:$BO$35,MATCH(Ajustes!$E$4:$E$323,$BC$7:$BC$35,0),$C$2:$N$2),1)</f>
        <v>1</v>
      </c>
      <c r="D77" s="113">
        <f>IFERROR(INDEX($BD$7:$BO$35,MATCH(Ajustes!$E$4:$E$323,$BC$7:$BC$35,0),$C$2:$N$2),1)</f>
        <v>1</v>
      </c>
      <c r="E77" s="113">
        <f>IFERROR(INDEX($BD$7:$BO$35,MATCH(Ajustes!$E$4:$E$323,$BC$7:$BC$35,0),$C$2:$N$2),1)</f>
        <v>1</v>
      </c>
      <c r="F77" s="113">
        <f>IFERROR(INDEX($BD$7:$BO$35,MATCH(Ajustes!$E$4:$E$323,$BC$7:$BC$35,0),$C$2:$N$2),1)</f>
        <v>1</v>
      </c>
      <c r="G77" s="113">
        <f>IFERROR(INDEX($BD$7:$BO$35,MATCH(Ajustes!$E$4:$E$323,$BC$7:$BC$35,0),$C$2:$N$2),1)</f>
        <v>1</v>
      </c>
      <c r="H77" s="113">
        <f>IFERROR(INDEX($BD$7:$BO$35,MATCH(Ajustes!$E$4:$E$323,$BC$7:$BC$35,0),$C$2:$N$2),1)</f>
        <v>1</v>
      </c>
      <c r="I77" s="113">
        <f>IFERROR(INDEX($BD$7:$BO$35,MATCH(Ajustes!$E$4:$E$323,$BC$7:$BC$35,0),$C$2:$N$2),1)</f>
        <v>1</v>
      </c>
      <c r="J77" s="113">
        <f>IFERROR(INDEX($BD$7:$BO$35,MATCH(Ajustes!$E$4:$E$323,$BC$7:$BC$35,0),$C$2:$N$2),1)</f>
        <v>1</v>
      </c>
      <c r="K77" s="113">
        <f>IFERROR(INDEX($BD$7:$BO$35,MATCH(Ajustes!$E$4:$E$323,$BC$7:$BC$35,0),$C$2:$N$2),1)</f>
        <v>1</v>
      </c>
      <c r="L77" s="113">
        <f>IFERROR(INDEX($BD$7:$BO$35,MATCH(Ajustes!$E$4:$E$323,$BC$7:$BC$35,0),$C$2:$N$2),1)</f>
        <v>1</v>
      </c>
      <c r="M77" s="113">
        <f>IFERROR(INDEX($BD$7:$BO$35,MATCH(Ajustes!$E$4:$E$323,$BC$7:$BC$35,0),$C$2:$N$2),1)</f>
        <v>1</v>
      </c>
      <c r="N77" s="113">
        <f>IFERROR(INDEX($BD$7:$BO$35,MATCH(Ajustes!$E$4:$E$323,$BC$7:$BC$35,0),$C$2:$N$2),1)</f>
        <v>1</v>
      </c>
      <c r="O77">
        <f>C77*Ajustes!AM77</f>
        <v>597</v>
      </c>
      <c r="P77">
        <f>D77*Ajustes!AN77</f>
        <v>674</v>
      </c>
      <c r="Q77">
        <f>E77*Ajustes!AO77</f>
        <v>602</v>
      </c>
      <c r="R77">
        <f>F77*Ajustes!AP77</f>
        <v>483</v>
      </c>
      <c r="S77">
        <f>G77*Ajustes!AQ77</f>
        <v>585</v>
      </c>
      <c r="T77">
        <f>H77*Ajustes!AR77</f>
        <v>685</v>
      </c>
      <c r="U77">
        <f>I77*Ajustes!AS77</f>
        <v>728</v>
      </c>
      <c r="V77">
        <f>J77*Ajustes!AT77</f>
        <v>620</v>
      </c>
      <c r="W77">
        <f>K77*Ajustes!AU77</f>
        <v>731</v>
      </c>
      <c r="X77">
        <f>L77*Ajustes!AV77</f>
        <v>923</v>
      </c>
      <c r="Y77">
        <f>M77*Ajustes!AW77</f>
        <v>688</v>
      </c>
      <c r="Z77">
        <f>N77*Ajustes!AX77</f>
        <v>575</v>
      </c>
      <c r="AA77">
        <f>IF(Ajustes!$G77&gt;0,INDEX($AA$4:$AL$323,Ajustes!$G77,O$2),0)+IF(Ajustes!$H77&gt;0,INDEX($AA$4:$AL$323,Ajustes!$H77,O$2),0)+IF(Ajustes!$I77&gt;0,INDEX($AA$4:$AL$323,Ajustes!$I77,O$2),0)+IF(Ajustes!$J77&gt;0,INDEX($AA$4:$AL$323,Ajustes!$J77,O$2),0)+IF(Ajustes!$K77&gt;0,INDEX($AA$5:$AL$324,Ajustes!$K77,O$2),0)+IF(Ajustes!$L77&gt;0,INDEX($AA$4:$AL$323,Ajustes!$L77,O$2),0) + O77</f>
        <v>597</v>
      </c>
      <c r="AB77">
        <f>IF(Ajustes!$G77&gt;0,INDEX($AA$4:$AL$323,Ajustes!$G77,P$2),0)+IF(Ajustes!$H77&gt;0,INDEX($AA$4:$AL$323,Ajustes!$H77,P$2),0)+IF(Ajustes!$I77&gt;0,INDEX($AA$4:$AL$323,Ajustes!$I77,P$2),0)+IF(Ajustes!$J77&gt;0,INDEX($AA$4:$AL$323,Ajustes!$J77,P$2),0)+IF(Ajustes!$K77&gt;0,INDEX($AA$5:$AL$324,Ajustes!$K77,P$2),0)+IF(Ajustes!$L77&gt;0,INDEX($AA$4:$AL$323,Ajustes!$L77,P$2),0) + P77</f>
        <v>674</v>
      </c>
      <c r="AC77">
        <f>IF(Ajustes!$G77&gt;0,INDEX($AA$4:$AL$323,Ajustes!$G77,Q$2),0)+IF(Ajustes!$H77&gt;0,INDEX($AA$4:$AL$323,Ajustes!$H77,Q$2),0)+IF(Ajustes!$I77&gt;0,INDEX($AA$4:$AL$323,Ajustes!$I77,Q$2),0)+IF(Ajustes!$J77&gt;0,INDEX($AA$4:$AL$323,Ajustes!$J77,Q$2),0)+IF(Ajustes!$K77&gt;0,INDEX($AA$5:$AL$324,Ajustes!$K77,Q$2),0)+IF(Ajustes!$L77&gt;0,INDEX($AA$4:$AL$323,Ajustes!$L77,Q$2),0) + Q77</f>
        <v>602</v>
      </c>
      <c r="AD77">
        <f>IF(Ajustes!$G77&gt;0,INDEX($AA$4:$AL$323,Ajustes!$G77,R$2),0)+IF(Ajustes!$H77&gt;0,INDEX($AA$4:$AL$323,Ajustes!$H77,R$2),0)+IF(Ajustes!$I77&gt;0,INDEX($AA$4:$AL$323,Ajustes!$I77,R$2),0)+IF(Ajustes!$J77&gt;0,INDEX($AA$4:$AL$323,Ajustes!$J77,R$2),0)+IF(Ajustes!$K77&gt;0,INDEX($AA$5:$AL$324,Ajustes!$K77,R$2),0)+IF(Ajustes!$L77&gt;0,INDEX($AA$4:$AL$323,Ajustes!$L77,R$2),0) + R77</f>
        <v>483</v>
      </c>
      <c r="AE77">
        <f>IF(Ajustes!$G77&gt;0,INDEX($AA$4:$AL$323,Ajustes!$G77,S$2),0)+IF(Ajustes!$H77&gt;0,INDEX($AA$4:$AL$323,Ajustes!$H77,S$2),0)+IF(Ajustes!$I77&gt;0,INDEX($AA$4:$AL$323,Ajustes!$I77,S$2),0)+IF(Ajustes!$J77&gt;0,INDEX($AA$4:$AL$323,Ajustes!$J77,S$2),0)+IF(Ajustes!$K77&gt;0,INDEX($AA$5:$AL$324,Ajustes!$K77,S$2),0)+IF(Ajustes!$L77&gt;0,INDEX($AA$4:$AL$323,Ajustes!$L77,S$2),0) + S77</f>
        <v>585</v>
      </c>
      <c r="AF77">
        <f>IF(Ajustes!$G77&gt;0,INDEX($AA$4:$AL$323,Ajustes!$G77,T$2),0)+IF(Ajustes!$H77&gt;0,INDEX($AA$4:$AL$323,Ajustes!$H77,T$2),0)+IF(Ajustes!$I77&gt;0,INDEX($AA$4:$AL$323,Ajustes!$I77,T$2),0)+IF(Ajustes!$J77&gt;0,INDEX($AA$4:$AL$323,Ajustes!$J77,T$2),0)+IF(Ajustes!$K77&gt;0,INDEX($AA$5:$AL$324,Ajustes!$K77,T$2),0)+IF(Ajustes!$L77&gt;0,INDEX($AA$4:$AL$323,Ajustes!$L77,T$2),0) + T77</f>
        <v>685</v>
      </c>
      <c r="AG77">
        <f>IF(Ajustes!$G77&gt;0,INDEX($AA$4:$AL$323,Ajustes!$G77,U$2),0)+IF(Ajustes!$H77&gt;0,INDEX($AA$4:$AL$323,Ajustes!$H77,U$2),0)+IF(Ajustes!$I77&gt;0,INDEX($AA$4:$AL$323,Ajustes!$I77,U$2),0)+IF(Ajustes!$J77&gt;0,INDEX($AA$4:$AL$323,Ajustes!$J77,U$2),0)+IF(Ajustes!$K77&gt;0,INDEX($AA$5:$AL$324,Ajustes!$K77,U$2),0)+IF(Ajustes!$L77&gt;0,INDEX($AA$4:$AL$323,Ajustes!$L77,U$2),0) + U77</f>
        <v>728</v>
      </c>
      <c r="AH77">
        <f>IF(Ajustes!$G77&gt;0,INDEX($AA$4:$AL$323,Ajustes!$G77,V$2),0)+IF(Ajustes!$H77&gt;0,INDEX($AA$4:$AL$323,Ajustes!$H77,V$2),0)+IF(Ajustes!$I77&gt;0,INDEX($AA$4:$AL$323,Ajustes!$I77,V$2),0)+IF(Ajustes!$J77&gt;0,INDEX($AA$4:$AL$323,Ajustes!$J77,V$2),0)+IF(Ajustes!$K77&gt;0,INDEX($AA$5:$AL$324,Ajustes!$K77,V$2),0)+IF(Ajustes!$L77&gt;0,INDEX($AA$4:$AL$323,Ajustes!$L77,V$2),0) + V77</f>
        <v>620</v>
      </c>
      <c r="AI77">
        <f>IF(Ajustes!$G77&gt;0,INDEX($AA$4:$AL$323,Ajustes!$G77,W$2),0)+IF(Ajustes!$H77&gt;0,INDEX($AA$4:$AL$323,Ajustes!$H77,W$2),0)+IF(Ajustes!$I77&gt;0,INDEX($AA$4:$AL$323,Ajustes!$I77,W$2),0)+IF(Ajustes!$J77&gt;0,INDEX($AA$4:$AL$323,Ajustes!$J77,W$2),0)+IF(Ajustes!$K77&gt;0,INDEX($AA$5:$AL$324,Ajustes!$K77,W$2),0)+IF(Ajustes!$L77&gt;0,INDEX($AA$4:$AL$323,Ajustes!$L77,W$2),0) + W77</f>
        <v>731</v>
      </c>
      <c r="AJ77">
        <f>IF(Ajustes!$G77&gt;0,INDEX($AA$4:$AL$323,Ajustes!$G77,X$2),0)+IF(Ajustes!$H77&gt;0,INDEX($AA$4:$AL$323,Ajustes!$H77,X$2),0)+IF(Ajustes!$I77&gt;0,INDEX($AA$4:$AL$323,Ajustes!$I77,X$2),0)+IF(Ajustes!$J77&gt;0,INDEX($AA$4:$AL$323,Ajustes!$J77,X$2),0)+IF(Ajustes!$K77&gt;0,INDEX($AA$5:$AL$324,Ajustes!$K77,X$2),0)+IF(Ajustes!$L77&gt;0,INDEX($AA$4:$AL$323,Ajustes!$L77,X$2),0) + X77</f>
        <v>923</v>
      </c>
      <c r="AK77">
        <f>IF(Ajustes!$G77&gt;0,INDEX($AA$4:$AL$323,Ajustes!$G77,Y$2),0)+IF(Ajustes!$H77&gt;0,INDEX($AA$4:$AL$323,Ajustes!$H77,Y$2),0)+IF(Ajustes!$I77&gt;0,INDEX($AA$4:$AL$323,Ajustes!$I77,Y$2),0)+IF(Ajustes!$J77&gt;0,INDEX($AA$4:$AL$323,Ajustes!$J77,Y$2),0)+IF(Ajustes!$K77&gt;0,INDEX($AA$5:$AL$324,Ajustes!$K77,Y$2),0)+IF(Ajustes!$L77&gt;0,INDEX($AA$4:$AL$323,Ajustes!$L77,Y$2),0) + Y77</f>
        <v>688</v>
      </c>
      <c r="AL77">
        <f>IF(Ajustes!$G77&gt;0,INDEX($AA$4:$AL$323,Ajustes!$G77,Z$2),0)+IF(Ajustes!$H77&gt;0,INDEX($AA$4:$AL$323,Ajustes!$H77,Z$2),0)+IF(Ajustes!$I77&gt;0,INDEX($AA$4:$AL$323,Ajustes!$I77,Z$2),0)+IF(Ajustes!$J77&gt;0,INDEX($AA$4:$AL$323,Ajustes!$J77,Z$2),0)+IF(Ajustes!$K77&gt;0,INDEX($AA$5:$AL$324,Ajustes!$K77,Z$2),0)+IF(Ajustes!$L77&gt;0,INDEX($AA$4:$AL$323,Ajustes!$L77,Z$2),0) + Z77</f>
        <v>575</v>
      </c>
      <c r="AM77" s="113">
        <f t="shared" si="20"/>
        <v>597</v>
      </c>
      <c r="AN77" s="113">
        <f t="shared" si="20"/>
        <v>674</v>
      </c>
      <c r="AO77" s="113">
        <f t="shared" si="20"/>
        <v>602</v>
      </c>
      <c r="AP77" s="113">
        <f t="shared" si="20"/>
        <v>483</v>
      </c>
      <c r="AQ77" s="113">
        <f t="shared" si="20"/>
        <v>585</v>
      </c>
      <c r="AR77" s="113">
        <f t="shared" si="20"/>
        <v>685</v>
      </c>
      <c r="AS77" s="113">
        <f t="shared" si="20"/>
        <v>728</v>
      </c>
      <c r="AT77" s="113">
        <f t="shared" si="20"/>
        <v>620</v>
      </c>
      <c r="AU77" s="113">
        <f t="shared" si="20"/>
        <v>731</v>
      </c>
      <c r="AV77" s="113">
        <f t="shared" si="23"/>
        <v>923</v>
      </c>
      <c r="AW77" s="113">
        <f t="shared" si="21"/>
        <v>688</v>
      </c>
      <c r="AX77" s="113">
        <f t="shared" si="21"/>
        <v>575</v>
      </c>
    </row>
    <row r="78" spans="1:50" x14ac:dyDescent="0.25">
      <c r="A78" s="113">
        <v>75</v>
      </c>
      <c r="B78" s="209" t="s">
        <v>577</v>
      </c>
      <c r="C78">
        <f>IFERROR(INDEX($BD$7:$BO$35,MATCH(Ajustes!$E$4:$E$323,$BC$7:$BC$35,0),$C$2:$N$2),1)</f>
        <v>1</v>
      </c>
      <c r="D78" s="113">
        <f>IFERROR(INDEX($BD$7:$BO$35,MATCH(Ajustes!$E$4:$E$323,$BC$7:$BC$35,0),$C$2:$N$2),1)</f>
        <v>1</v>
      </c>
      <c r="E78" s="113">
        <f>IFERROR(INDEX($BD$7:$BO$35,MATCH(Ajustes!$E$4:$E$323,$BC$7:$BC$35,0),$C$2:$N$2),1)</f>
        <v>1</v>
      </c>
      <c r="F78" s="113">
        <f>IFERROR(INDEX($BD$7:$BO$35,MATCH(Ajustes!$E$4:$E$323,$BC$7:$BC$35,0),$C$2:$N$2),1)</f>
        <v>1</v>
      </c>
      <c r="G78" s="113">
        <f>IFERROR(INDEX($BD$7:$BO$35,MATCH(Ajustes!$E$4:$E$323,$BC$7:$BC$35,0),$C$2:$N$2),1)</f>
        <v>1</v>
      </c>
      <c r="H78" s="113">
        <f>IFERROR(INDEX($BD$7:$BO$35,MATCH(Ajustes!$E$4:$E$323,$BC$7:$BC$35,0),$C$2:$N$2),1)</f>
        <v>1</v>
      </c>
      <c r="I78" s="113">
        <f>IFERROR(INDEX($BD$7:$BO$35,MATCH(Ajustes!$E$4:$E$323,$BC$7:$BC$35,0),$C$2:$N$2),1)</f>
        <v>1</v>
      </c>
      <c r="J78" s="113">
        <f>IFERROR(INDEX($BD$7:$BO$35,MATCH(Ajustes!$E$4:$E$323,$BC$7:$BC$35,0),$C$2:$N$2),1)</f>
        <v>1</v>
      </c>
      <c r="K78" s="113">
        <f>IFERROR(INDEX($BD$7:$BO$35,MATCH(Ajustes!$E$4:$E$323,$BC$7:$BC$35,0),$C$2:$N$2),1)</f>
        <v>1</v>
      </c>
      <c r="L78" s="113">
        <f>IFERROR(INDEX($BD$7:$BO$35,MATCH(Ajustes!$E$4:$E$323,$BC$7:$BC$35,0),$C$2:$N$2),1)</f>
        <v>1</v>
      </c>
      <c r="M78" s="113">
        <f>IFERROR(INDEX($BD$7:$BO$35,MATCH(Ajustes!$E$4:$E$323,$BC$7:$BC$35,0),$C$2:$N$2),1)</f>
        <v>1</v>
      </c>
      <c r="N78" s="113">
        <f>IFERROR(INDEX($BD$7:$BO$35,MATCH(Ajustes!$E$4:$E$323,$BC$7:$BC$35,0),$C$2:$N$2),1)</f>
        <v>1</v>
      </c>
      <c r="O78">
        <f>C78*Ajustes!AM78</f>
        <v>774</v>
      </c>
      <c r="P78">
        <f>D78*Ajustes!AN78</f>
        <v>861</v>
      </c>
      <c r="Q78">
        <f>E78*Ajustes!AO78</f>
        <v>767</v>
      </c>
      <c r="R78">
        <f>F78*Ajustes!AP78</f>
        <v>642</v>
      </c>
      <c r="S78">
        <f>G78*Ajustes!AQ78</f>
        <v>782</v>
      </c>
      <c r="T78">
        <f>H78*Ajustes!AR78</f>
        <v>923</v>
      </c>
      <c r="U78">
        <f>I78*Ajustes!AS78</f>
        <v>951</v>
      </c>
      <c r="V78">
        <f>J78*Ajustes!AT78</f>
        <v>804</v>
      </c>
      <c r="W78">
        <f>K78*Ajustes!AU78</f>
        <v>942</v>
      </c>
      <c r="X78">
        <f>L78*Ajustes!AV78</f>
        <v>1191</v>
      </c>
      <c r="Y78">
        <f>M78*Ajustes!AW78</f>
        <v>910</v>
      </c>
      <c r="Z78">
        <f>N78*Ajustes!AX78</f>
        <v>755</v>
      </c>
      <c r="AA78">
        <f>IF(Ajustes!$G78&gt;0,INDEX($AA$4:$AL$323,Ajustes!$G78,O$2),0)+IF(Ajustes!$H78&gt;0,INDEX($AA$4:$AL$323,Ajustes!$H78,O$2),0)+IF(Ajustes!$I78&gt;0,INDEX($AA$4:$AL$323,Ajustes!$I78,O$2),0)+IF(Ajustes!$J78&gt;0,INDEX($AA$4:$AL$323,Ajustes!$J78,O$2),0)+IF(Ajustes!$K78&gt;0,INDEX($AA$5:$AL$324,Ajustes!$K78,O$2),0)+IF(Ajustes!$L78&gt;0,INDEX($AA$4:$AL$323,Ajustes!$L78,O$2),0) + O78</f>
        <v>774</v>
      </c>
      <c r="AB78">
        <f>IF(Ajustes!$G78&gt;0,INDEX($AA$4:$AL$323,Ajustes!$G78,P$2),0)+IF(Ajustes!$H78&gt;0,INDEX($AA$4:$AL$323,Ajustes!$H78,P$2),0)+IF(Ajustes!$I78&gt;0,INDEX($AA$4:$AL$323,Ajustes!$I78,P$2),0)+IF(Ajustes!$J78&gt;0,INDEX($AA$4:$AL$323,Ajustes!$J78,P$2),0)+IF(Ajustes!$K78&gt;0,INDEX($AA$5:$AL$324,Ajustes!$K78,P$2),0)+IF(Ajustes!$L78&gt;0,INDEX($AA$4:$AL$323,Ajustes!$L78,P$2),0) + P78</f>
        <v>861</v>
      </c>
      <c r="AC78">
        <f>IF(Ajustes!$G78&gt;0,INDEX($AA$4:$AL$323,Ajustes!$G78,Q$2),0)+IF(Ajustes!$H78&gt;0,INDEX($AA$4:$AL$323,Ajustes!$H78,Q$2),0)+IF(Ajustes!$I78&gt;0,INDEX($AA$4:$AL$323,Ajustes!$I78,Q$2),0)+IF(Ajustes!$J78&gt;0,INDEX($AA$4:$AL$323,Ajustes!$J78,Q$2),0)+IF(Ajustes!$K78&gt;0,INDEX($AA$5:$AL$324,Ajustes!$K78,Q$2),0)+IF(Ajustes!$L78&gt;0,INDEX($AA$4:$AL$323,Ajustes!$L78,Q$2),0) + Q78</f>
        <v>767</v>
      </c>
      <c r="AD78">
        <f>IF(Ajustes!$G78&gt;0,INDEX($AA$4:$AL$323,Ajustes!$G78,R$2),0)+IF(Ajustes!$H78&gt;0,INDEX($AA$4:$AL$323,Ajustes!$H78,R$2),0)+IF(Ajustes!$I78&gt;0,INDEX($AA$4:$AL$323,Ajustes!$I78,R$2),0)+IF(Ajustes!$J78&gt;0,INDEX($AA$4:$AL$323,Ajustes!$J78,R$2),0)+IF(Ajustes!$K78&gt;0,INDEX($AA$5:$AL$324,Ajustes!$K78,R$2),0)+IF(Ajustes!$L78&gt;0,INDEX($AA$4:$AL$323,Ajustes!$L78,R$2),0) + R78</f>
        <v>642</v>
      </c>
      <c r="AE78">
        <f>IF(Ajustes!$G78&gt;0,INDEX($AA$4:$AL$323,Ajustes!$G78,S$2),0)+IF(Ajustes!$H78&gt;0,INDEX($AA$4:$AL$323,Ajustes!$H78,S$2),0)+IF(Ajustes!$I78&gt;0,INDEX($AA$4:$AL$323,Ajustes!$I78,S$2),0)+IF(Ajustes!$J78&gt;0,INDEX($AA$4:$AL$323,Ajustes!$J78,S$2),0)+IF(Ajustes!$K78&gt;0,INDEX($AA$5:$AL$324,Ajustes!$K78,S$2),0)+IF(Ajustes!$L78&gt;0,INDEX($AA$4:$AL$323,Ajustes!$L78,S$2),0) + S78</f>
        <v>782</v>
      </c>
      <c r="AF78">
        <f>IF(Ajustes!$G78&gt;0,INDEX($AA$4:$AL$323,Ajustes!$G78,T$2),0)+IF(Ajustes!$H78&gt;0,INDEX($AA$4:$AL$323,Ajustes!$H78,T$2),0)+IF(Ajustes!$I78&gt;0,INDEX($AA$4:$AL$323,Ajustes!$I78,T$2),0)+IF(Ajustes!$J78&gt;0,INDEX($AA$4:$AL$323,Ajustes!$J78,T$2),0)+IF(Ajustes!$K78&gt;0,INDEX($AA$5:$AL$324,Ajustes!$K78,T$2),0)+IF(Ajustes!$L78&gt;0,INDEX($AA$4:$AL$323,Ajustes!$L78,T$2),0) + T78</f>
        <v>923</v>
      </c>
      <c r="AG78">
        <f>IF(Ajustes!$G78&gt;0,INDEX($AA$4:$AL$323,Ajustes!$G78,U$2),0)+IF(Ajustes!$H78&gt;0,INDEX($AA$4:$AL$323,Ajustes!$H78,U$2),0)+IF(Ajustes!$I78&gt;0,INDEX($AA$4:$AL$323,Ajustes!$I78,U$2),0)+IF(Ajustes!$J78&gt;0,INDEX($AA$4:$AL$323,Ajustes!$J78,U$2),0)+IF(Ajustes!$K78&gt;0,INDEX($AA$5:$AL$324,Ajustes!$K78,U$2),0)+IF(Ajustes!$L78&gt;0,INDEX($AA$4:$AL$323,Ajustes!$L78,U$2),0) + U78</f>
        <v>951</v>
      </c>
      <c r="AH78">
        <f>IF(Ajustes!$G78&gt;0,INDEX($AA$4:$AL$323,Ajustes!$G78,V$2),0)+IF(Ajustes!$H78&gt;0,INDEX($AA$4:$AL$323,Ajustes!$H78,V$2),0)+IF(Ajustes!$I78&gt;0,INDEX($AA$4:$AL$323,Ajustes!$I78,V$2),0)+IF(Ajustes!$J78&gt;0,INDEX($AA$4:$AL$323,Ajustes!$J78,V$2),0)+IF(Ajustes!$K78&gt;0,INDEX($AA$5:$AL$324,Ajustes!$K78,V$2),0)+IF(Ajustes!$L78&gt;0,INDEX($AA$4:$AL$323,Ajustes!$L78,V$2),0) + V78</f>
        <v>804</v>
      </c>
      <c r="AI78">
        <f>IF(Ajustes!$G78&gt;0,INDEX($AA$4:$AL$323,Ajustes!$G78,W$2),0)+IF(Ajustes!$H78&gt;0,INDEX($AA$4:$AL$323,Ajustes!$H78,W$2),0)+IF(Ajustes!$I78&gt;0,INDEX($AA$4:$AL$323,Ajustes!$I78,W$2),0)+IF(Ajustes!$J78&gt;0,INDEX($AA$4:$AL$323,Ajustes!$J78,W$2),0)+IF(Ajustes!$K78&gt;0,INDEX($AA$5:$AL$324,Ajustes!$K78,W$2),0)+IF(Ajustes!$L78&gt;0,INDEX($AA$4:$AL$323,Ajustes!$L78,W$2),0) + W78</f>
        <v>942</v>
      </c>
      <c r="AJ78">
        <f>IF(Ajustes!$G78&gt;0,INDEX($AA$4:$AL$323,Ajustes!$G78,X$2),0)+IF(Ajustes!$H78&gt;0,INDEX($AA$4:$AL$323,Ajustes!$H78,X$2),0)+IF(Ajustes!$I78&gt;0,INDEX($AA$4:$AL$323,Ajustes!$I78,X$2),0)+IF(Ajustes!$J78&gt;0,INDEX($AA$4:$AL$323,Ajustes!$J78,X$2),0)+IF(Ajustes!$K78&gt;0,INDEX($AA$5:$AL$324,Ajustes!$K78,X$2),0)+IF(Ajustes!$L78&gt;0,INDEX($AA$4:$AL$323,Ajustes!$L78,X$2),0) + X78</f>
        <v>1191</v>
      </c>
      <c r="AK78">
        <f>IF(Ajustes!$G78&gt;0,INDEX($AA$4:$AL$323,Ajustes!$G78,Y$2),0)+IF(Ajustes!$H78&gt;0,INDEX($AA$4:$AL$323,Ajustes!$H78,Y$2),0)+IF(Ajustes!$I78&gt;0,INDEX($AA$4:$AL$323,Ajustes!$I78,Y$2),0)+IF(Ajustes!$J78&gt;0,INDEX($AA$4:$AL$323,Ajustes!$J78,Y$2),0)+IF(Ajustes!$K78&gt;0,INDEX($AA$5:$AL$324,Ajustes!$K78,Y$2),0)+IF(Ajustes!$L78&gt;0,INDEX($AA$4:$AL$323,Ajustes!$L78,Y$2),0) + Y78</f>
        <v>910</v>
      </c>
      <c r="AL78">
        <f>IF(Ajustes!$G78&gt;0,INDEX($AA$4:$AL$323,Ajustes!$G78,Z$2),0)+IF(Ajustes!$H78&gt;0,INDEX($AA$4:$AL$323,Ajustes!$H78,Z$2),0)+IF(Ajustes!$I78&gt;0,INDEX($AA$4:$AL$323,Ajustes!$I78,Z$2),0)+IF(Ajustes!$J78&gt;0,INDEX($AA$4:$AL$323,Ajustes!$J78,Z$2),0)+IF(Ajustes!$K78&gt;0,INDEX($AA$5:$AL$324,Ajustes!$K78,Z$2),0)+IF(Ajustes!$L78&gt;0,INDEX($AA$4:$AL$323,Ajustes!$L78,Z$2),0) + Z78</f>
        <v>755</v>
      </c>
      <c r="AM78" s="219">
        <f t="shared" ref="AM78:AX78" si="25">AM79+MIN(AM76-10,173.5)</f>
        <v>785</v>
      </c>
      <c r="AN78" s="219">
        <f t="shared" si="25"/>
        <v>872</v>
      </c>
      <c r="AO78" s="219">
        <f t="shared" si="25"/>
        <v>771</v>
      </c>
      <c r="AP78" s="219">
        <f t="shared" si="25"/>
        <v>654</v>
      </c>
      <c r="AQ78" s="219">
        <f t="shared" si="25"/>
        <v>813</v>
      </c>
      <c r="AR78" s="219">
        <f t="shared" si="25"/>
        <v>957</v>
      </c>
      <c r="AS78" s="219">
        <f t="shared" si="25"/>
        <v>982</v>
      </c>
      <c r="AT78" s="219">
        <f t="shared" si="25"/>
        <v>816</v>
      </c>
      <c r="AU78" s="219">
        <f t="shared" si="25"/>
        <v>971</v>
      </c>
      <c r="AV78" s="219">
        <f t="shared" si="25"/>
        <v>1232</v>
      </c>
      <c r="AW78" s="219">
        <f t="shared" si="25"/>
        <v>926</v>
      </c>
      <c r="AX78" s="219">
        <f t="shared" si="25"/>
        <v>763</v>
      </c>
    </row>
    <row r="79" spans="1:50" x14ac:dyDescent="0.25">
      <c r="A79" s="113">
        <v>76</v>
      </c>
      <c r="B79" s="209" t="s">
        <v>577</v>
      </c>
      <c r="C79">
        <f>IFERROR(INDEX($BD$7:$BO$35,MATCH(Ajustes!$E$4:$E$323,$BC$7:$BC$35,0),$C$2:$N$2),1)</f>
        <v>1</v>
      </c>
      <c r="D79" s="113">
        <f>IFERROR(INDEX($BD$7:$BO$35,MATCH(Ajustes!$E$4:$E$323,$BC$7:$BC$35,0),$C$2:$N$2),1)</f>
        <v>1</v>
      </c>
      <c r="E79" s="113">
        <f>IFERROR(INDEX($BD$7:$BO$35,MATCH(Ajustes!$E$4:$E$323,$BC$7:$BC$35,0),$C$2:$N$2),1)</f>
        <v>1</v>
      </c>
      <c r="F79" s="113">
        <f>IFERROR(INDEX($BD$7:$BO$35,MATCH(Ajustes!$E$4:$E$323,$BC$7:$BC$35,0),$C$2:$N$2),1)</f>
        <v>1</v>
      </c>
      <c r="G79" s="113">
        <f>IFERROR(INDEX($BD$7:$BO$35,MATCH(Ajustes!$E$4:$E$323,$BC$7:$BC$35,0),$C$2:$N$2),1)</f>
        <v>1</v>
      </c>
      <c r="H79" s="113">
        <f>IFERROR(INDEX($BD$7:$BO$35,MATCH(Ajustes!$E$4:$E$323,$BC$7:$BC$35,0),$C$2:$N$2),1)</f>
        <v>1</v>
      </c>
      <c r="I79" s="113">
        <f>IFERROR(INDEX($BD$7:$BO$35,MATCH(Ajustes!$E$4:$E$323,$BC$7:$BC$35,0),$C$2:$N$2),1)</f>
        <v>1</v>
      </c>
      <c r="J79" s="113">
        <f>IFERROR(INDEX($BD$7:$BO$35,MATCH(Ajustes!$E$4:$E$323,$BC$7:$BC$35,0),$C$2:$N$2),1)</f>
        <v>1</v>
      </c>
      <c r="K79" s="113">
        <f>IFERROR(INDEX($BD$7:$BO$35,MATCH(Ajustes!$E$4:$E$323,$BC$7:$BC$35,0),$C$2:$N$2),1)</f>
        <v>1</v>
      </c>
      <c r="L79" s="113">
        <f>IFERROR(INDEX($BD$7:$BO$35,MATCH(Ajustes!$E$4:$E$323,$BC$7:$BC$35,0),$C$2:$N$2),1)</f>
        <v>1</v>
      </c>
      <c r="M79" s="113">
        <f>IFERROR(INDEX($BD$7:$BO$35,MATCH(Ajustes!$E$4:$E$323,$BC$7:$BC$35,0),$C$2:$N$2),1)</f>
        <v>1</v>
      </c>
      <c r="N79" s="113">
        <f>IFERROR(INDEX($BD$7:$BO$35,MATCH(Ajustes!$E$4:$E$323,$BC$7:$BC$35,0),$C$2:$N$2),1)</f>
        <v>1</v>
      </c>
      <c r="O79">
        <f>C79*Ajustes!AM79</f>
        <v>85</v>
      </c>
      <c r="P79">
        <f>D79*Ajustes!AN79</f>
        <v>91</v>
      </c>
      <c r="Q79">
        <f>E79*Ajustes!AO79</f>
        <v>79</v>
      </c>
      <c r="R79">
        <f>F79*Ajustes!AP79</f>
        <v>81</v>
      </c>
      <c r="S79">
        <f>G79*Ajustes!AQ79</f>
        <v>104</v>
      </c>
      <c r="T79">
        <f>H79*Ajustes!AR79</f>
        <v>126</v>
      </c>
      <c r="U79">
        <f>I79*Ajustes!AS79</f>
        <v>116</v>
      </c>
      <c r="V79">
        <f>J79*Ajustes!AT79</f>
        <v>93</v>
      </c>
      <c r="W79">
        <f>K79*Ajustes!AU79</f>
        <v>112</v>
      </c>
      <c r="X79">
        <f>L79*Ajustes!AV79</f>
        <v>147</v>
      </c>
      <c r="Y79">
        <f>M79*Ajustes!AW79</f>
        <v>113</v>
      </c>
      <c r="Z79">
        <f>N79*Ajustes!AX79</f>
        <v>85</v>
      </c>
      <c r="AA79">
        <f>IF(Ajustes!$G79&gt;0,INDEX($AA$4:$AL$323,Ajustes!$G79,O$2),0)+IF(Ajustes!$H79&gt;0,INDEX($AA$4:$AL$323,Ajustes!$H79,O$2),0)+IF(Ajustes!$I79&gt;0,INDEX($AA$4:$AL$323,Ajustes!$I79,O$2),0)+IF(Ajustes!$J79&gt;0,INDEX($AA$4:$AL$323,Ajustes!$J79,O$2),0)+IF(Ajustes!$K79&gt;0,INDEX($AA$5:$AL$324,Ajustes!$K79,O$2),0)+IF(Ajustes!$L79&gt;0,INDEX($AA$4:$AL$323,Ajustes!$L79,O$2),0) + O79</f>
        <v>682</v>
      </c>
      <c r="AB79">
        <f>IF(Ajustes!$G79&gt;0,INDEX($AA$4:$AL$323,Ajustes!$G79,P$2),0)+IF(Ajustes!$H79&gt;0,INDEX($AA$4:$AL$323,Ajustes!$H79,P$2),0)+IF(Ajustes!$I79&gt;0,INDEX($AA$4:$AL$323,Ajustes!$I79,P$2),0)+IF(Ajustes!$J79&gt;0,INDEX($AA$4:$AL$323,Ajustes!$J79,P$2),0)+IF(Ajustes!$K79&gt;0,INDEX($AA$5:$AL$324,Ajustes!$K79,P$2),0)+IF(Ajustes!$L79&gt;0,INDEX($AA$4:$AL$323,Ajustes!$L79,P$2),0) + P79</f>
        <v>765</v>
      </c>
      <c r="AC79">
        <f>IF(Ajustes!$G79&gt;0,INDEX($AA$4:$AL$323,Ajustes!$G79,Q$2),0)+IF(Ajustes!$H79&gt;0,INDEX($AA$4:$AL$323,Ajustes!$H79,Q$2),0)+IF(Ajustes!$I79&gt;0,INDEX($AA$4:$AL$323,Ajustes!$I79,Q$2),0)+IF(Ajustes!$J79&gt;0,INDEX($AA$4:$AL$323,Ajustes!$J79,Q$2),0)+IF(Ajustes!$K79&gt;0,INDEX($AA$5:$AL$324,Ajustes!$K79,Q$2),0)+IF(Ajustes!$L79&gt;0,INDEX($AA$4:$AL$323,Ajustes!$L79,Q$2),0) + Q79</f>
        <v>681</v>
      </c>
      <c r="AD79">
        <f>IF(Ajustes!$G79&gt;0,INDEX($AA$4:$AL$323,Ajustes!$G79,R$2),0)+IF(Ajustes!$H79&gt;0,INDEX($AA$4:$AL$323,Ajustes!$H79,R$2),0)+IF(Ajustes!$I79&gt;0,INDEX($AA$4:$AL$323,Ajustes!$I79,R$2),0)+IF(Ajustes!$J79&gt;0,INDEX($AA$4:$AL$323,Ajustes!$J79,R$2),0)+IF(Ajustes!$K79&gt;0,INDEX($AA$5:$AL$324,Ajustes!$K79,R$2),0)+IF(Ajustes!$L79&gt;0,INDEX($AA$4:$AL$323,Ajustes!$L79,R$2),0) + R79</f>
        <v>564</v>
      </c>
      <c r="AE79">
        <f>IF(Ajustes!$G79&gt;0,INDEX($AA$4:$AL$323,Ajustes!$G79,S$2),0)+IF(Ajustes!$H79&gt;0,INDEX($AA$4:$AL$323,Ajustes!$H79,S$2),0)+IF(Ajustes!$I79&gt;0,INDEX($AA$4:$AL$323,Ajustes!$I79,S$2),0)+IF(Ajustes!$J79&gt;0,INDEX($AA$4:$AL$323,Ajustes!$J79,S$2),0)+IF(Ajustes!$K79&gt;0,INDEX($AA$5:$AL$324,Ajustes!$K79,S$2),0)+IF(Ajustes!$L79&gt;0,INDEX($AA$4:$AL$323,Ajustes!$L79,S$2),0) + S79</f>
        <v>689</v>
      </c>
      <c r="AF79">
        <f>IF(Ajustes!$G79&gt;0,INDEX($AA$4:$AL$323,Ajustes!$G79,T$2),0)+IF(Ajustes!$H79&gt;0,INDEX($AA$4:$AL$323,Ajustes!$H79,T$2),0)+IF(Ajustes!$I79&gt;0,INDEX($AA$4:$AL$323,Ajustes!$I79,T$2),0)+IF(Ajustes!$J79&gt;0,INDEX($AA$4:$AL$323,Ajustes!$J79,T$2),0)+IF(Ajustes!$K79&gt;0,INDEX($AA$5:$AL$324,Ajustes!$K79,T$2),0)+IF(Ajustes!$L79&gt;0,INDEX($AA$4:$AL$323,Ajustes!$L79,T$2),0) + T79</f>
        <v>811</v>
      </c>
      <c r="AG79">
        <f>IF(Ajustes!$G79&gt;0,INDEX($AA$4:$AL$323,Ajustes!$G79,U$2),0)+IF(Ajustes!$H79&gt;0,INDEX($AA$4:$AL$323,Ajustes!$H79,U$2),0)+IF(Ajustes!$I79&gt;0,INDEX($AA$4:$AL$323,Ajustes!$I79,U$2),0)+IF(Ajustes!$J79&gt;0,INDEX($AA$4:$AL$323,Ajustes!$J79,U$2),0)+IF(Ajustes!$K79&gt;0,INDEX($AA$5:$AL$324,Ajustes!$K79,U$2),0)+IF(Ajustes!$L79&gt;0,INDEX($AA$4:$AL$323,Ajustes!$L79,U$2),0) + U79</f>
        <v>844</v>
      </c>
      <c r="AH79">
        <f>IF(Ajustes!$G79&gt;0,INDEX($AA$4:$AL$323,Ajustes!$G79,V$2),0)+IF(Ajustes!$H79&gt;0,INDEX($AA$4:$AL$323,Ajustes!$H79,V$2),0)+IF(Ajustes!$I79&gt;0,INDEX($AA$4:$AL$323,Ajustes!$I79,V$2),0)+IF(Ajustes!$J79&gt;0,INDEX($AA$4:$AL$323,Ajustes!$J79,V$2),0)+IF(Ajustes!$K79&gt;0,INDEX($AA$5:$AL$324,Ajustes!$K79,V$2),0)+IF(Ajustes!$L79&gt;0,INDEX($AA$4:$AL$323,Ajustes!$L79,V$2),0) + V79</f>
        <v>713</v>
      </c>
      <c r="AI79">
        <f>IF(Ajustes!$G79&gt;0,INDEX($AA$4:$AL$323,Ajustes!$G79,W$2),0)+IF(Ajustes!$H79&gt;0,INDEX($AA$4:$AL$323,Ajustes!$H79,W$2),0)+IF(Ajustes!$I79&gt;0,INDEX($AA$4:$AL$323,Ajustes!$I79,W$2),0)+IF(Ajustes!$J79&gt;0,INDEX($AA$4:$AL$323,Ajustes!$J79,W$2),0)+IF(Ajustes!$K79&gt;0,INDEX($AA$5:$AL$324,Ajustes!$K79,W$2),0)+IF(Ajustes!$L79&gt;0,INDEX($AA$4:$AL$323,Ajustes!$L79,W$2),0) + W79</f>
        <v>843</v>
      </c>
      <c r="AJ79">
        <f>IF(Ajustes!$G79&gt;0,INDEX($AA$4:$AL$323,Ajustes!$G79,X$2),0)+IF(Ajustes!$H79&gt;0,INDEX($AA$4:$AL$323,Ajustes!$H79,X$2),0)+IF(Ajustes!$I79&gt;0,INDEX($AA$4:$AL$323,Ajustes!$I79,X$2),0)+IF(Ajustes!$J79&gt;0,INDEX($AA$4:$AL$323,Ajustes!$J79,X$2),0)+IF(Ajustes!$K79&gt;0,INDEX($AA$5:$AL$324,Ajustes!$K79,X$2),0)+IF(Ajustes!$L79&gt;0,INDEX($AA$4:$AL$323,Ajustes!$L79,X$2),0) + X79</f>
        <v>1070</v>
      </c>
      <c r="AK79">
        <f>IF(Ajustes!$G79&gt;0,INDEX($AA$4:$AL$323,Ajustes!$G79,Y$2),0)+IF(Ajustes!$H79&gt;0,INDEX($AA$4:$AL$323,Ajustes!$H79,Y$2),0)+IF(Ajustes!$I79&gt;0,INDEX($AA$4:$AL$323,Ajustes!$I79,Y$2),0)+IF(Ajustes!$J79&gt;0,INDEX($AA$4:$AL$323,Ajustes!$J79,Y$2),0)+IF(Ajustes!$K79&gt;0,INDEX($AA$5:$AL$324,Ajustes!$K79,Y$2),0)+IF(Ajustes!$L79&gt;0,INDEX($AA$4:$AL$323,Ajustes!$L79,Y$2),0) + Y79</f>
        <v>801</v>
      </c>
      <c r="AL79">
        <f>IF(Ajustes!$G79&gt;0,INDEX($AA$4:$AL$323,Ajustes!$G79,Z$2),0)+IF(Ajustes!$H79&gt;0,INDEX($AA$4:$AL$323,Ajustes!$H79,Z$2),0)+IF(Ajustes!$I79&gt;0,INDEX($AA$4:$AL$323,Ajustes!$I79,Z$2),0)+IF(Ajustes!$J79&gt;0,INDEX($AA$4:$AL$323,Ajustes!$J79,Z$2),0)+IF(Ajustes!$K79&gt;0,INDEX($AA$5:$AL$324,Ajustes!$K79,Z$2),0)+IF(Ajustes!$L79&gt;0,INDEX($AA$4:$AL$323,Ajustes!$L79,Z$2),0) + Z79</f>
        <v>660</v>
      </c>
      <c r="AM79" s="113">
        <f t="shared" ref="AM79:AS121" si="26">AA79</f>
        <v>682</v>
      </c>
      <c r="AN79" s="113">
        <f t="shared" si="26"/>
        <v>765</v>
      </c>
      <c r="AO79" s="113">
        <f t="shared" si="26"/>
        <v>681</v>
      </c>
      <c r="AP79" s="113">
        <f t="shared" si="26"/>
        <v>564</v>
      </c>
      <c r="AQ79" s="113">
        <f t="shared" si="26"/>
        <v>689</v>
      </c>
      <c r="AR79" s="113">
        <f t="shared" si="26"/>
        <v>811</v>
      </c>
      <c r="AS79" s="113">
        <f t="shared" si="26"/>
        <v>844</v>
      </c>
      <c r="AT79" s="113">
        <f t="shared" ref="AT79:AX121" si="27">AH79</f>
        <v>713</v>
      </c>
      <c r="AU79" s="113">
        <f t="shared" si="27"/>
        <v>843</v>
      </c>
      <c r="AV79" s="113">
        <f t="shared" si="27"/>
        <v>1070</v>
      </c>
      <c r="AW79" s="113">
        <f t="shared" si="27"/>
        <v>801</v>
      </c>
      <c r="AX79" s="113">
        <f t="shared" si="27"/>
        <v>660</v>
      </c>
    </row>
    <row r="80" spans="1:50" x14ac:dyDescent="0.25">
      <c r="A80" s="113">
        <v>77</v>
      </c>
      <c r="B80" s="209" t="s">
        <v>241</v>
      </c>
      <c r="C80">
        <f>IFERROR(INDEX($BD$7:$BO$35,MATCH(Ajustes!$E$4:$E$323,$BC$7:$BC$35,0),$C$2:$N$2),1)</f>
        <v>1</v>
      </c>
      <c r="D80" s="113">
        <f>IFERROR(INDEX($BD$7:$BO$35,MATCH(Ajustes!$E$4:$E$323,$BC$7:$BC$35,0),$C$2:$N$2),1)</f>
        <v>1</v>
      </c>
      <c r="E80" s="113">
        <f>IFERROR(INDEX($BD$7:$BO$35,MATCH(Ajustes!$E$4:$E$323,$BC$7:$BC$35,0),$C$2:$N$2),1)</f>
        <v>1</v>
      </c>
      <c r="F80" s="113">
        <f>IFERROR(INDEX($BD$7:$BO$35,MATCH(Ajustes!$E$4:$E$323,$BC$7:$BC$35,0),$C$2:$N$2),1)</f>
        <v>1</v>
      </c>
      <c r="G80" s="113">
        <f>IFERROR(INDEX($BD$7:$BO$35,MATCH(Ajustes!$E$4:$E$323,$BC$7:$BC$35,0),$C$2:$N$2),1)</f>
        <v>1</v>
      </c>
      <c r="H80" s="113">
        <f>IFERROR(INDEX($BD$7:$BO$35,MATCH(Ajustes!$E$4:$E$323,$BC$7:$BC$35,0),$C$2:$N$2),1)</f>
        <v>1</v>
      </c>
      <c r="I80" s="113">
        <f>IFERROR(INDEX($BD$7:$BO$35,MATCH(Ajustes!$E$4:$E$323,$BC$7:$BC$35,0),$C$2:$N$2),1)</f>
        <v>1</v>
      </c>
      <c r="J80" s="113">
        <f>IFERROR(INDEX($BD$7:$BO$35,MATCH(Ajustes!$E$4:$E$323,$BC$7:$BC$35,0),$C$2:$N$2),1)</f>
        <v>1</v>
      </c>
      <c r="K80" s="113">
        <f>IFERROR(INDEX($BD$7:$BO$35,MATCH(Ajustes!$E$4:$E$323,$BC$7:$BC$35,0),$C$2:$N$2),1)</f>
        <v>1</v>
      </c>
      <c r="L80" s="113">
        <f>IFERROR(INDEX($BD$7:$BO$35,MATCH(Ajustes!$E$4:$E$323,$BC$7:$BC$35,0),$C$2:$N$2),1)</f>
        <v>1</v>
      </c>
      <c r="M80" s="113">
        <f>IFERROR(INDEX($BD$7:$BO$35,MATCH(Ajustes!$E$4:$E$323,$BC$7:$BC$35,0),$C$2:$N$2),1)</f>
        <v>1</v>
      </c>
      <c r="N80" s="113">
        <f>IFERROR(INDEX($BD$7:$BO$35,MATCH(Ajustes!$E$4:$E$323,$BC$7:$BC$35,0),$C$2:$N$2),1)</f>
        <v>1</v>
      </c>
      <c r="O80">
        <f>C80*Ajustes!AM80</f>
        <v>90</v>
      </c>
      <c r="P80">
        <f>D80*Ajustes!AN80</f>
        <v>100</v>
      </c>
      <c r="Q80">
        <f>E80*Ajustes!AO80</f>
        <v>75</v>
      </c>
      <c r="R80">
        <f>F80*Ajustes!AP80</f>
        <v>93</v>
      </c>
      <c r="S80">
        <f>G80*Ajustes!AQ80</f>
        <v>125</v>
      </c>
      <c r="T80">
        <f>H80*Ajustes!AR80</f>
        <v>160</v>
      </c>
      <c r="U80">
        <f>I80*Ajustes!AS80</f>
        <v>143</v>
      </c>
      <c r="V80">
        <f>J80*Ajustes!AT80</f>
        <v>111</v>
      </c>
      <c r="W80">
        <f>K80*Ajustes!AU80</f>
        <v>129</v>
      </c>
      <c r="X80">
        <f>L80*Ajustes!AV80</f>
        <v>184</v>
      </c>
      <c r="Y80">
        <f>M80*Ajustes!AW80</f>
        <v>134</v>
      </c>
      <c r="Z80">
        <f>N80*Ajustes!AX80</f>
        <v>95</v>
      </c>
      <c r="AA80">
        <f>IF(Ajustes!$G80&gt;0,INDEX($AA$4:$AL$323,Ajustes!$G80,O$2),0)+IF(Ajustes!$H80&gt;0,INDEX($AA$4:$AL$323,Ajustes!$H80,O$2),0)+IF(Ajustes!$I80&gt;0,INDEX($AA$4:$AL$323,Ajustes!$I80,O$2),0)+IF(Ajustes!$J80&gt;0,INDEX($AA$4:$AL$323,Ajustes!$J80,O$2),0)+IF(Ajustes!$K80&gt;0,INDEX($AA$5:$AL$324,Ajustes!$K80,O$2),0)+IF(Ajustes!$L80&gt;0,INDEX($AA$4:$AL$323,Ajustes!$L80,O$2),0) + O80</f>
        <v>885</v>
      </c>
      <c r="AB80">
        <f>IF(Ajustes!$G80&gt;0,INDEX($AA$4:$AL$323,Ajustes!$G80,P$2),0)+IF(Ajustes!$H80&gt;0,INDEX($AA$4:$AL$323,Ajustes!$H80,P$2),0)+IF(Ajustes!$I80&gt;0,INDEX($AA$4:$AL$323,Ajustes!$I80,P$2),0)+IF(Ajustes!$J80&gt;0,INDEX($AA$4:$AL$323,Ajustes!$J80,P$2),0)+IF(Ajustes!$K80&gt;0,INDEX($AA$5:$AL$324,Ajustes!$K80,P$2),0)+IF(Ajustes!$L80&gt;0,INDEX($AA$4:$AL$323,Ajustes!$L80,P$2),0) + P80</f>
        <v>982</v>
      </c>
      <c r="AC80">
        <f>IF(Ajustes!$G80&gt;0,INDEX($AA$4:$AL$323,Ajustes!$G80,Q$2),0)+IF(Ajustes!$H80&gt;0,INDEX($AA$4:$AL$323,Ajustes!$H80,Q$2),0)+IF(Ajustes!$I80&gt;0,INDEX($AA$4:$AL$323,Ajustes!$I80,Q$2),0)+IF(Ajustes!$J80&gt;0,INDEX($AA$4:$AL$323,Ajustes!$J80,Q$2),0)+IF(Ajustes!$K80&gt;0,INDEX($AA$5:$AL$324,Ajustes!$K80,Q$2),0)+IF(Ajustes!$L80&gt;0,INDEX($AA$4:$AL$323,Ajustes!$L80,Q$2),0) + Q80</f>
        <v>856</v>
      </c>
      <c r="AD80">
        <f>IF(Ajustes!$G80&gt;0,INDEX($AA$4:$AL$323,Ajustes!$G80,R$2),0)+IF(Ajustes!$H80&gt;0,INDEX($AA$4:$AL$323,Ajustes!$H80,R$2),0)+IF(Ajustes!$I80&gt;0,INDEX($AA$4:$AL$323,Ajustes!$I80,R$2),0)+IF(Ajustes!$J80&gt;0,INDEX($AA$4:$AL$323,Ajustes!$J80,R$2),0)+IF(Ajustes!$K80&gt;0,INDEX($AA$5:$AL$324,Ajustes!$K80,R$2),0)+IF(Ajustes!$L80&gt;0,INDEX($AA$4:$AL$323,Ajustes!$L80,R$2),0) + R80</f>
        <v>757</v>
      </c>
      <c r="AE80">
        <f>IF(Ajustes!$G80&gt;0,INDEX($AA$4:$AL$323,Ajustes!$G80,S$2),0)+IF(Ajustes!$H80&gt;0,INDEX($AA$4:$AL$323,Ajustes!$H80,S$2),0)+IF(Ajustes!$I80&gt;0,INDEX($AA$4:$AL$323,Ajustes!$I80,S$2),0)+IF(Ajustes!$J80&gt;0,INDEX($AA$4:$AL$323,Ajustes!$J80,S$2),0)+IF(Ajustes!$K80&gt;0,INDEX($AA$5:$AL$324,Ajustes!$K80,S$2),0)+IF(Ajustes!$L80&gt;0,INDEX($AA$4:$AL$323,Ajustes!$L80,S$2),0) + S80</f>
        <v>948</v>
      </c>
      <c r="AF80">
        <f>IF(Ajustes!$G80&gt;0,INDEX($AA$4:$AL$323,Ajustes!$G80,T$2),0)+IF(Ajustes!$H80&gt;0,INDEX($AA$4:$AL$323,Ajustes!$H80,T$2),0)+IF(Ajustes!$I80&gt;0,INDEX($AA$4:$AL$323,Ajustes!$I80,T$2),0)+IF(Ajustes!$J80&gt;0,INDEX($AA$4:$AL$323,Ajustes!$J80,T$2),0)+IF(Ajustes!$K80&gt;0,INDEX($AA$5:$AL$324,Ajustes!$K80,T$2),0)+IF(Ajustes!$L80&gt;0,INDEX($AA$4:$AL$323,Ajustes!$L80,T$2),0) + T80</f>
        <v>1127</v>
      </c>
      <c r="AG80">
        <f>IF(Ajustes!$G80&gt;0,INDEX($AA$4:$AL$323,Ajustes!$G80,U$2),0)+IF(Ajustes!$H80&gt;0,INDEX($AA$4:$AL$323,Ajustes!$H80,U$2),0)+IF(Ajustes!$I80&gt;0,INDEX($AA$4:$AL$323,Ajustes!$I80,U$2),0)+IF(Ajustes!$J80&gt;0,INDEX($AA$4:$AL$323,Ajustes!$J80,U$2),0)+IF(Ajustes!$K80&gt;0,INDEX($AA$5:$AL$324,Ajustes!$K80,U$2),0)+IF(Ajustes!$L80&gt;0,INDEX($AA$4:$AL$323,Ajustes!$L80,U$2),0) + U80</f>
        <v>1135</v>
      </c>
      <c r="AH80">
        <f>IF(Ajustes!$G80&gt;0,INDEX($AA$4:$AL$323,Ajustes!$G80,V$2),0)+IF(Ajustes!$H80&gt;0,INDEX($AA$4:$AL$323,Ajustes!$H80,V$2),0)+IF(Ajustes!$I80&gt;0,INDEX($AA$4:$AL$323,Ajustes!$I80,V$2),0)+IF(Ajustes!$J80&gt;0,INDEX($AA$4:$AL$323,Ajustes!$J80,V$2),0)+IF(Ajustes!$K80&gt;0,INDEX($AA$5:$AL$324,Ajustes!$K80,V$2),0)+IF(Ajustes!$L80&gt;0,INDEX($AA$4:$AL$323,Ajustes!$L80,V$2),0) + V80</f>
        <v>937</v>
      </c>
      <c r="AI80">
        <f>IF(Ajustes!$G80&gt;0,INDEX($AA$4:$AL$323,Ajustes!$G80,W$2),0)+IF(Ajustes!$H80&gt;0,INDEX($AA$4:$AL$323,Ajustes!$H80,W$2),0)+IF(Ajustes!$I80&gt;0,INDEX($AA$4:$AL$323,Ajustes!$I80,W$2),0)+IF(Ajustes!$J80&gt;0,INDEX($AA$4:$AL$323,Ajustes!$J80,W$2),0)+IF(Ajustes!$K80&gt;0,INDEX($AA$5:$AL$324,Ajustes!$K80,W$2),0)+IF(Ajustes!$L80&gt;0,INDEX($AA$4:$AL$323,Ajustes!$L80,W$2),0) + W80</f>
        <v>1110</v>
      </c>
      <c r="AJ80">
        <f>IF(Ajustes!$G80&gt;0,INDEX($AA$4:$AL$323,Ajustes!$G80,X$2),0)+IF(Ajustes!$H80&gt;0,INDEX($AA$4:$AL$323,Ajustes!$H80,X$2),0)+IF(Ajustes!$I80&gt;0,INDEX($AA$4:$AL$323,Ajustes!$I80,X$2),0)+IF(Ajustes!$J80&gt;0,INDEX($AA$4:$AL$323,Ajustes!$J80,X$2),0)+IF(Ajustes!$K80&gt;0,INDEX($AA$5:$AL$324,Ajustes!$K80,X$2),0)+IF(Ajustes!$L80&gt;0,INDEX($AA$4:$AL$323,Ajustes!$L80,X$2),0) + X80</f>
        <v>1426</v>
      </c>
      <c r="AK80">
        <f>IF(Ajustes!$G80&gt;0,INDEX($AA$4:$AL$323,Ajustes!$G80,Y$2),0)+IF(Ajustes!$H80&gt;0,INDEX($AA$4:$AL$323,Ajustes!$H80,Y$2),0)+IF(Ajustes!$I80&gt;0,INDEX($AA$4:$AL$323,Ajustes!$I80,Y$2),0)+IF(Ajustes!$J80&gt;0,INDEX($AA$4:$AL$323,Ajustes!$J80,Y$2),0)+IF(Ajustes!$K80&gt;0,INDEX($AA$5:$AL$324,Ajustes!$K80,Y$2),0)+IF(Ajustes!$L80&gt;0,INDEX($AA$4:$AL$323,Ajustes!$L80,Y$2),0) + Y80</f>
        <v>1070</v>
      </c>
      <c r="AL80">
        <f>IF(Ajustes!$G80&gt;0,INDEX($AA$4:$AL$323,Ajustes!$G80,Z$2),0)+IF(Ajustes!$H80&gt;0,INDEX($AA$4:$AL$323,Ajustes!$H80,Z$2),0)+IF(Ajustes!$I80&gt;0,INDEX($AA$4:$AL$323,Ajustes!$I80,Z$2),0)+IF(Ajustes!$J80&gt;0,INDEX($AA$4:$AL$323,Ajustes!$J80,Z$2),0)+IF(Ajustes!$K80&gt;0,INDEX($AA$5:$AL$324,Ajustes!$K80,Z$2),0)+IF(Ajustes!$L80&gt;0,INDEX($AA$4:$AL$323,Ajustes!$L80,Z$2),0) + Z80</f>
        <v>868</v>
      </c>
      <c r="AM80" s="113">
        <f t="shared" si="26"/>
        <v>885</v>
      </c>
      <c r="AN80" s="113">
        <f t="shared" si="26"/>
        <v>982</v>
      </c>
      <c r="AO80" s="113">
        <f t="shared" si="26"/>
        <v>856</v>
      </c>
      <c r="AP80" s="113">
        <f t="shared" si="26"/>
        <v>757</v>
      </c>
      <c r="AQ80" s="113">
        <f t="shared" si="26"/>
        <v>948</v>
      </c>
      <c r="AR80" s="113">
        <f t="shared" si="26"/>
        <v>1127</v>
      </c>
      <c r="AS80" s="113">
        <f t="shared" si="26"/>
        <v>1135</v>
      </c>
      <c r="AT80" s="113">
        <f t="shared" si="27"/>
        <v>937</v>
      </c>
      <c r="AU80" s="113">
        <f t="shared" si="27"/>
        <v>1110</v>
      </c>
      <c r="AV80" s="113">
        <f t="shared" si="27"/>
        <v>1426</v>
      </c>
      <c r="AW80" s="113">
        <f t="shared" si="27"/>
        <v>1070</v>
      </c>
      <c r="AX80" s="113">
        <f t="shared" si="27"/>
        <v>868</v>
      </c>
    </row>
    <row r="81" spans="1:50" x14ac:dyDescent="0.25">
      <c r="A81" s="113">
        <v>78</v>
      </c>
      <c r="B81" s="209" t="s">
        <v>174</v>
      </c>
      <c r="C81">
        <f>IFERROR(INDEX($BD$7:$BO$35,MATCH(Ajustes!$E$4:$E$323,$BC$7:$BC$35,0),$C$2:$N$2),1)</f>
        <v>1</v>
      </c>
      <c r="D81" s="113">
        <f>IFERROR(INDEX($BD$7:$BO$35,MATCH(Ajustes!$E$4:$E$323,$BC$7:$BC$35,0),$C$2:$N$2),1)</f>
        <v>1</v>
      </c>
      <c r="E81" s="113">
        <f>IFERROR(INDEX($BD$7:$BO$35,MATCH(Ajustes!$E$4:$E$323,$BC$7:$BC$35,0),$C$2:$N$2),1)</f>
        <v>1</v>
      </c>
      <c r="F81" s="113">
        <f>IFERROR(INDEX($BD$7:$BO$35,MATCH(Ajustes!$E$4:$E$323,$BC$7:$BC$35,0),$C$2:$N$2),1)</f>
        <v>1</v>
      </c>
      <c r="G81" s="113">
        <f>IFERROR(INDEX($BD$7:$BO$35,MATCH(Ajustes!$E$4:$E$323,$BC$7:$BC$35,0),$C$2:$N$2),1)</f>
        <v>1</v>
      </c>
      <c r="H81" s="113">
        <f>IFERROR(INDEX($BD$7:$BO$35,MATCH(Ajustes!$E$4:$E$323,$BC$7:$BC$35,0),$C$2:$N$2),1)</f>
        <v>1</v>
      </c>
      <c r="I81" s="113">
        <f>IFERROR(INDEX($BD$7:$BO$35,MATCH(Ajustes!$E$4:$E$323,$BC$7:$BC$35,0),$C$2:$N$2),1)</f>
        <v>1</v>
      </c>
      <c r="J81" s="113">
        <f>IFERROR(INDEX($BD$7:$BO$35,MATCH(Ajustes!$E$4:$E$323,$BC$7:$BC$35,0),$C$2:$N$2),1)</f>
        <v>1</v>
      </c>
      <c r="K81" s="113">
        <f>IFERROR(INDEX($BD$7:$BO$35,MATCH(Ajustes!$E$4:$E$323,$BC$7:$BC$35,0),$C$2:$N$2),1)</f>
        <v>1</v>
      </c>
      <c r="L81" s="113">
        <f>IFERROR(INDEX($BD$7:$BO$35,MATCH(Ajustes!$E$4:$E$323,$BC$7:$BC$35,0),$C$2:$N$2),1)</f>
        <v>1</v>
      </c>
      <c r="M81" s="113">
        <f>IFERROR(INDEX($BD$7:$BO$35,MATCH(Ajustes!$E$4:$E$323,$BC$7:$BC$35,0),$C$2:$N$2),1)</f>
        <v>1</v>
      </c>
      <c r="N81" s="113">
        <f>IFERROR(INDEX($BD$7:$BO$35,MATCH(Ajustes!$E$4:$E$323,$BC$7:$BC$35,0),$C$2:$N$2),1)</f>
        <v>1</v>
      </c>
      <c r="O81">
        <f>C81*Ajustes!AM81</f>
        <v>37</v>
      </c>
      <c r="P81">
        <f>D81*Ajustes!AN81</f>
        <v>41</v>
      </c>
      <c r="Q81">
        <f>E81*Ajustes!AO81</f>
        <v>38</v>
      </c>
      <c r="R81">
        <f>F81*Ajustes!AP81</f>
        <v>35</v>
      </c>
      <c r="S81">
        <f>G81*Ajustes!AQ81</f>
        <v>48</v>
      </c>
      <c r="T81">
        <f>H81*Ajustes!AR81</f>
        <v>55</v>
      </c>
      <c r="U81">
        <f>I81*Ajustes!AS81</f>
        <v>52</v>
      </c>
      <c r="V81">
        <f>J81*Ajustes!AT81</f>
        <v>43</v>
      </c>
      <c r="W81">
        <f>K81*Ajustes!AU81</f>
        <v>46</v>
      </c>
      <c r="X81">
        <f>L81*Ajustes!AV81</f>
        <v>74</v>
      </c>
      <c r="Y81">
        <f>M81*Ajustes!AW81</f>
        <v>58</v>
      </c>
      <c r="Z81">
        <f>N81*Ajustes!AX81</f>
        <v>41</v>
      </c>
      <c r="AA81">
        <f>IF(Ajustes!$G81&gt;0,INDEX($AA$4:$AL$323,Ajustes!$G81,O$2),0)+IF(Ajustes!$H81&gt;0,INDEX($AA$4:$AL$323,Ajustes!$H81,O$2),0)+IF(Ajustes!$I81&gt;0,INDEX($AA$4:$AL$323,Ajustes!$I81,O$2),0)+IF(Ajustes!$J81&gt;0,INDEX($AA$4:$AL$323,Ajustes!$J81,O$2),0)+IF(Ajustes!$K81&gt;0,INDEX($AA$5:$AL$324,Ajustes!$K81,O$2),0)+IF(Ajustes!$L81&gt;0,INDEX($AA$4:$AL$323,Ajustes!$L81,O$2),0) + O81</f>
        <v>922</v>
      </c>
      <c r="AB81">
        <f>IF(Ajustes!$G81&gt;0,INDEX($AA$4:$AL$323,Ajustes!$G81,P$2),0)+IF(Ajustes!$H81&gt;0,INDEX($AA$4:$AL$323,Ajustes!$H81,P$2),0)+IF(Ajustes!$I81&gt;0,INDEX($AA$4:$AL$323,Ajustes!$I81,P$2),0)+IF(Ajustes!$J81&gt;0,INDEX($AA$4:$AL$323,Ajustes!$J81,P$2),0)+IF(Ajustes!$K81&gt;0,INDEX($AA$5:$AL$324,Ajustes!$K81,P$2),0)+IF(Ajustes!$L81&gt;0,INDEX($AA$4:$AL$323,Ajustes!$L81,P$2),0) + P81</f>
        <v>1023</v>
      </c>
      <c r="AC81">
        <f>IF(Ajustes!$G81&gt;0,INDEX($AA$4:$AL$323,Ajustes!$G81,Q$2),0)+IF(Ajustes!$H81&gt;0,INDEX($AA$4:$AL$323,Ajustes!$H81,Q$2),0)+IF(Ajustes!$I81&gt;0,INDEX($AA$4:$AL$323,Ajustes!$I81,Q$2),0)+IF(Ajustes!$J81&gt;0,INDEX($AA$4:$AL$323,Ajustes!$J81,Q$2),0)+IF(Ajustes!$K81&gt;0,INDEX($AA$5:$AL$324,Ajustes!$K81,Q$2),0)+IF(Ajustes!$L81&gt;0,INDEX($AA$4:$AL$323,Ajustes!$L81,Q$2),0) + Q81</f>
        <v>894</v>
      </c>
      <c r="AD81">
        <f>IF(Ajustes!$G81&gt;0,INDEX($AA$4:$AL$323,Ajustes!$G81,R$2),0)+IF(Ajustes!$H81&gt;0,INDEX($AA$4:$AL$323,Ajustes!$H81,R$2),0)+IF(Ajustes!$I81&gt;0,INDEX($AA$4:$AL$323,Ajustes!$I81,R$2),0)+IF(Ajustes!$J81&gt;0,INDEX($AA$4:$AL$323,Ajustes!$J81,R$2),0)+IF(Ajustes!$K81&gt;0,INDEX($AA$5:$AL$324,Ajustes!$K81,R$2),0)+IF(Ajustes!$L81&gt;0,INDEX($AA$4:$AL$323,Ajustes!$L81,R$2),0) + R81</f>
        <v>792</v>
      </c>
      <c r="AE81">
        <f>IF(Ajustes!$G81&gt;0,INDEX($AA$4:$AL$323,Ajustes!$G81,S$2),0)+IF(Ajustes!$H81&gt;0,INDEX($AA$4:$AL$323,Ajustes!$H81,S$2),0)+IF(Ajustes!$I81&gt;0,INDEX($AA$4:$AL$323,Ajustes!$I81,S$2),0)+IF(Ajustes!$J81&gt;0,INDEX($AA$4:$AL$323,Ajustes!$J81,S$2),0)+IF(Ajustes!$K81&gt;0,INDEX($AA$5:$AL$324,Ajustes!$K81,S$2),0)+IF(Ajustes!$L81&gt;0,INDEX($AA$4:$AL$323,Ajustes!$L81,S$2),0) + S81</f>
        <v>996</v>
      </c>
      <c r="AF81">
        <f>IF(Ajustes!$G81&gt;0,INDEX($AA$4:$AL$323,Ajustes!$G81,T$2),0)+IF(Ajustes!$H81&gt;0,INDEX($AA$4:$AL$323,Ajustes!$H81,T$2),0)+IF(Ajustes!$I81&gt;0,INDEX($AA$4:$AL$323,Ajustes!$I81,T$2),0)+IF(Ajustes!$J81&gt;0,INDEX($AA$4:$AL$323,Ajustes!$J81,T$2),0)+IF(Ajustes!$K81&gt;0,INDEX($AA$5:$AL$324,Ajustes!$K81,T$2),0)+IF(Ajustes!$L81&gt;0,INDEX($AA$4:$AL$323,Ajustes!$L81,T$2),0) + T81</f>
        <v>1182</v>
      </c>
      <c r="AG81">
        <f>IF(Ajustes!$G81&gt;0,INDEX($AA$4:$AL$323,Ajustes!$G81,U$2),0)+IF(Ajustes!$H81&gt;0,INDEX($AA$4:$AL$323,Ajustes!$H81,U$2),0)+IF(Ajustes!$I81&gt;0,INDEX($AA$4:$AL$323,Ajustes!$I81,U$2),0)+IF(Ajustes!$J81&gt;0,INDEX($AA$4:$AL$323,Ajustes!$J81,U$2),0)+IF(Ajustes!$K81&gt;0,INDEX($AA$5:$AL$324,Ajustes!$K81,U$2),0)+IF(Ajustes!$L81&gt;0,INDEX($AA$4:$AL$323,Ajustes!$L81,U$2),0) + U81</f>
        <v>1187</v>
      </c>
      <c r="AH81">
        <f>IF(Ajustes!$G81&gt;0,INDEX($AA$4:$AL$323,Ajustes!$G81,V$2),0)+IF(Ajustes!$H81&gt;0,INDEX($AA$4:$AL$323,Ajustes!$H81,V$2),0)+IF(Ajustes!$I81&gt;0,INDEX($AA$4:$AL$323,Ajustes!$I81,V$2),0)+IF(Ajustes!$J81&gt;0,INDEX($AA$4:$AL$323,Ajustes!$J81,V$2),0)+IF(Ajustes!$K81&gt;0,INDEX($AA$5:$AL$324,Ajustes!$K81,V$2),0)+IF(Ajustes!$L81&gt;0,INDEX($AA$4:$AL$323,Ajustes!$L81,V$2),0) + V81</f>
        <v>980</v>
      </c>
      <c r="AI81">
        <f>IF(Ajustes!$G81&gt;0,INDEX($AA$4:$AL$323,Ajustes!$G81,W$2),0)+IF(Ajustes!$H81&gt;0,INDEX($AA$4:$AL$323,Ajustes!$H81,W$2),0)+IF(Ajustes!$I81&gt;0,INDEX($AA$4:$AL$323,Ajustes!$I81,W$2),0)+IF(Ajustes!$J81&gt;0,INDEX($AA$4:$AL$323,Ajustes!$J81,W$2),0)+IF(Ajustes!$K81&gt;0,INDEX($AA$5:$AL$324,Ajustes!$K81,W$2),0)+IF(Ajustes!$L81&gt;0,INDEX($AA$4:$AL$323,Ajustes!$L81,W$2),0) + W81</f>
        <v>1156</v>
      </c>
      <c r="AJ81">
        <f>IF(Ajustes!$G81&gt;0,INDEX($AA$4:$AL$323,Ajustes!$G81,X$2),0)+IF(Ajustes!$H81&gt;0,INDEX($AA$4:$AL$323,Ajustes!$H81,X$2),0)+IF(Ajustes!$I81&gt;0,INDEX($AA$4:$AL$323,Ajustes!$I81,X$2),0)+IF(Ajustes!$J81&gt;0,INDEX($AA$4:$AL$323,Ajustes!$J81,X$2),0)+IF(Ajustes!$K81&gt;0,INDEX($AA$5:$AL$324,Ajustes!$K81,X$2),0)+IF(Ajustes!$L81&gt;0,INDEX($AA$4:$AL$323,Ajustes!$L81,X$2),0) + X81</f>
        <v>1500</v>
      </c>
      <c r="AK81">
        <f>IF(Ajustes!$G81&gt;0,INDEX($AA$4:$AL$323,Ajustes!$G81,Y$2),0)+IF(Ajustes!$H81&gt;0,INDEX($AA$4:$AL$323,Ajustes!$H81,Y$2),0)+IF(Ajustes!$I81&gt;0,INDEX($AA$4:$AL$323,Ajustes!$I81,Y$2),0)+IF(Ajustes!$J81&gt;0,INDEX($AA$4:$AL$323,Ajustes!$J81,Y$2),0)+IF(Ajustes!$K81&gt;0,INDEX($AA$5:$AL$324,Ajustes!$K81,Y$2),0)+IF(Ajustes!$L81&gt;0,INDEX($AA$4:$AL$323,Ajustes!$L81,Y$2),0) + Y81</f>
        <v>1128</v>
      </c>
      <c r="AL81">
        <f>IF(Ajustes!$G81&gt;0,INDEX($AA$4:$AL$323,Ajustes!$G81,Z$2),0)+IF(Ajustes!$H81&gt;0,INDEX($AA$4:$AL$323,Ajustes!$H81,Z$2),0)+IF(Ajustes!$I81&gt;0,INDEX($AA$4:$AL$323,Ajustes!$I81,Z$2),0)+IF(Ajustes!$J81&gt;0,INDEX($AA$4:$AL$323,Ajustes!$J81,Z$2),0)+IF(Ajustes!$K81&gt;0,INDEX($AA$5:$AL$324,Ajustes!$K81,Z$2),0)+IF(Ajustes!$L81&gt;0,INDEX($AA$4:$AL$323,Ajustes!$L81,Z$2),0) + Z81</f>
        <v>909</v>
      </c>
      <c r="AM81" s="113">
        <f t="shared" si="26"/>
        <v>922</v>
      </c>
      <c r="AN81" s="113">
        <f t="shared" si="26"/>
        <v>1023</v>
      </c>
      <c r="AO81" s="113">
        <f t="shared" si="26"/>
        <v>894</v>
      </c>
      <c r="AP81" s="113">
        <f t="shared" si="26"/>
        <v>792</v>
      </c>
      <c r="AQ81" s="113">
        <f t="shared" si="26"/>
        <v>996</v>
      </c>
      <c r="AR81" s="113">
        <f t="shared" si="26"/>
        <v>1182</v>
      </c>
      <c r="AS81" s="113">
        <f t="shared" si="26"/>
        <v>1187</v>
      </c>
      <c r="AT81" s="113">
        <f t="shared" si="27"/>
        <v>980</v>
      </c>
      <c r="AU81" s="113">
        <f t="shared" si="27"/>
        <v>1156</v>
      </c>
      <c r="AV81" s="113">
        <f t="shared" si="27"/>
        <v>1500</v>
      </c>
      <c r="AW81" s="113">
        <f t="shared" si="27"/>
        <v>1128</v>
      </c>
      <c r="AX81" s="113">
        <f t="shared" si="27"/>
        <v>909</v>
      </c>
    </row>
    <row r="82" spans="1:50" x14ac:dyDescent="0.25">
      <c r="A82" s="113">
        <v>79</v>
      </c>
      <c r="B82" s="209"/>
      <c r="C82">
        <f>IFERROR(INDEX($BD$7:$BO$35,MATCH(Ajustes!$E$4:$E$323,$BC$7:$BC$35,0),$C$2:$N$2),1)</f>
        <v>1</v>
      </c>
      <c r="D82" s="113">
        <f>IFERROR(INDEX($BD$7:$BO$35,MATCH(Ajustes!$E$4:$E$323,$BC$7:$BC$35,0),$C$2:$N$2),1)</f>
        <v>1</v>
      </c>
      <c r="E82" s="113">
        <f>IFERROR(INDEX($BD$7:$BO$35,MATCH(Ajustes!$E$4:$E$323,$BC$7:$BC$35,0),$C$2:$N$2),1)</f>
        <v>1</v>
      </c>
      <c r="F82" s="113">
        <f>IFERROR(INDEX($BD$7:$BO$35,MATCH(Ajustes!$E$4:$E$323,$BC$7:$BC$35,0),$C$2:$N$2),1)</f>
        <v>1</v>
      </c>
      <c r="G82" s="113">
        <f>IFERROR(INDEX($BD$7:$BO$35,MATCH(Ajustes!$E$4:$E$323,$BC$7:$BC$35,0),$C$2:$N$2),1)</f>
        <v>1</v>
      </c>
      <c r="H82" s="113">
        <f>IFERROR(INDEX($BD$7:$BO$35,MATCH(Ajustes!$E$4:$E$323,$BC$7:$BC$35,0),$C$2:$N$2),1)</f>
        <v>1</v>
      </c>
      <c r="I82" s="113">
        <f>IFERROR(INDEX($BD$7:$BO$35,MATCH(Ajustes!$E$4:$E$323,$BC$7:$BC$35,0),$C$2:$N$2),1)</f>
        <v>1</v>
      </c>
      <c r="J82" s="113">
        <f>IFERROR(INDEX($BD$7:$BO$35,MATCH(Ajustes!$E$4:$E$323,$BC$7:$BC$35,0),$C$2:$N$2),1)</f>
        <v>1</v>
      </c>
      <c r="K82" s="113">
        <f>IFERROR(INDEX($BD$7:$BO$35,MATCH(Ajustes!$E$4:$E$323,$BC$7:$BC$35,0),$C$2:$N$2),1)</f>
        <v>1</v>
      </c>
      <c r="L82" s="113">
        <f>IFERROR(INDEX($BD$7:$BO$35,MATCH(Ajustes!$E$4:$E$323,$BC$7:$BC$35,0),$C$2:$N$2),1)</f>
        <v>1</v>
      </c>
      <c r="M82" s="113">
        <f>IFERROR(INDEX($BD$7:$BO$35,MATCH(Ajustes!$E$4:$E$323,$BC$7:$BC$35,0),$C$2:$N$2),1)</f>
        <v>1</v>
      </c>
      <c r="N82" s="113">
        <f>IFERROR(INDEX($BD$7:$BO$35,MATCH(Ajustes!$E$4:$E$323,$BC$7:$BC$35,0),$C$2:$N$2),1)</f>
        <v>1</v>
      </c>
      <c r="O82">
        <f>C82*Ajustes!AM82</f>
        <v>0</v>
      </c>
      <c r="P82">
        <f>D82*Ajustes!AN82</f>
        <v>0</v>
      </c>
      <c r="Q82">
        <f>E82*Ajustes!AO82</f>
        <v>0</v>
      </c>
      <c r="R82">
        <f>F82*Ajustes!AP82</f>
        <v>0</v>
      </c>
      <c r="S82">
        <f>G82*Ajustes!AQ82</f>
        <v>0</v>
      </c>
      <c r="T82">
        <f>H82*Ajustes!AR82</f>
        <v>0</v>
      </c>
      <c r="U82">
        <f>I82*Ajustes!AS82</f>
        <v>0</v>
      </c>
      <c r="V82">
        <f>J82*Ajustes!AT82</f>
        <v>0</v>
      </c>
      <c r="W82">
        <f>K82*Ajustes!AU82</f>
        <v>0</v>
      </c>
      <c r="X82">
        <f>L82*Ajustes!AV82</f>
        <v>0</v>
      </c>
      <c r="Y82">
        <f>M82*Ajustes!AW82</f>
        <v>0</v>
      </c>
      <c r="Z82">
        <f>N82*Ajustes!AX82</f>
        <v>0</v>
      </c>
      <c r="AA82">
        <f>IF(Ajustes!$G82&gt;0,INDEX($AA$4:$AL$323,Ajustes!$G82,O$2),0)+IF(Ajustes!$H82&gt;0,INDEX($AA$4:$AL$323,Ajustes!$H82,O$2),0)+IF(Ajustes!$I82&gt;0,INDEX($AA$4:$AL$323,Ajustes!$I82,O$2),0)+IF(Ajustes!$J82&gt;0,INDEX($AA$4:$AL$323,Ajustes!$J82,O$2),0)+IF(Ajustes!$K82&gt;0,INDEX($AA$5:$AL$324,Ajustes!$K82,O$2),0)+IF(Ajustes!$L82&gt;0,INDEX($AA$4:$AL$323,Ajustes!$L82,O$2),0) + O82</f>
        <v>0</v>
      </c>
      <c r="AB82">
        <f>IF(Ajustes!$G82&gt;0,INDEX($AA$4:$AL$323,Ajustes!$G82,P$2),0)+IF(Ajustes!$H82&gt;0,INDEX($AA$4:$AL$323,Ajustes!$H82,P$2),0)+IF(Ajustes!$I82&gt;0,INDEX($AA$4:$AL$323,Ajustes!$I82,P$2),0)+IF(Ajustes!$J82&gt;0,INDEX($AA$4:$AL$323,Ajustes!$J82,P$2),0)+IF(Ajustes!$K82&gt;0,INDEX($AA$5:$AL$324,Ajustes!$K82,P$2),0)+IF(Ajustes!$L82&gt;0,INDEX($AA$4:$AL$323,Ajustes!$L82,P$2),0) + P82</f>
        <v>0</v>
      </c>
      <c r="AC82">
        <f>IF(Ajustes!$G82&gt;0,INDEX($AA$4:$AL$323,Ajustes!$G82,Q$2),0)+IF(Ajustes!$H82&gt;0,INDEX($AA$4:$AL$323,Ajustes!$H82,Q$2),0)+IF(Ajustes!$I82&gt;0,INDEX($AA$4:$AL$323,Ajustes!$I82,Q$2),0)+IF(Ajustes!$J82&gt;0,INDEX($AA$4:$AL$323,Ajustes!$J82,Q$2),0)+IF(Ajustes!$K82&gt;0,INDEX($AA$5:$AL$324,Ajustes!$K82,Q$2),0)+IF(Ajustes!$L82&gt;0,INDEX($AA$4:$AL$323,Ajustes!$L82,Q$2),0) + Q82</f>
        <v>0</v>
      </c>
      <c r="AD82">
        <f>IF(Ajustes!$G82&gt;0,INDEX($AA$4:$AL$323,Ajustes!$G82,R$2),0)+IF(Ajustes!$H82&gt;0,INDEX($AA$4:$AL$323,Ajustes!$H82,R$2),0)+IF(Ajustes!$I82&gt;0,INDEX($AA$4:$AL$323,Ajustes!$I82,R$2),0)+IF(Ajustes!$J82&gt;0,INDEX($AA$4:$AL$323,Ajustes!$J82,R$2),0)+IF(Ajustes!$K82&gt;0,INDEX($AA$5:$AL$324,Ajustes!$K82,R$2),0)+IF(Ajustes!$L82&gt;0,INDEX($AA$4:$AL$323,Ajustes!$L82,R$2),0) + R82</f>
        <v>0</v>
      </c>
      <c r="AE82">
        <f>IF(Ajustes!$G82&gt;0,INDEX($AA$4:$AL$323,Ajustes!$G82,S$2),0)+IF(Ajustes!$H82&gt;0,INDEX($AA$4:$AL$323,Ajustes!$H82,S$2),0)+IF(Ajustes!$I82&gt;0,INDEX($AA$4:$AL$323,Ajustes!$I82,S$2),0)+IF(Ajustes!$J82&gt;0,INDEX($AA$4:$AL$323,Ajustes!$J82,S$2),0)+IF(Ajustes!$K82&gt;0,INDEX($AA$5:$AL$324,Ajustes!$K82,S$2),0)+IF(Ajustes!$L82&gt;0,INDEX($AA$4:$AL$323,Ajustes!$L82,S$2),0) + S82</f>
        <v>0</v>
      </c>
      <c r="AF82">
        <f>IF(Ajustes!$G82&gt;0,INDEX($AA$4:$AL$323,Ajustes!$G82,T$2),0)+IF(Ajustes!$H82&gt;0,INDEX($AA$4:$AL$323,Ajustes!$H82,T$2),0)+IF(Ajustes!$I82&gt;0,INDEX($AA$4:$AL$323,Ajustes!$I82,T$2),0)+IF(Ajustes!$J82&gt;0,INDEX($AA$4:$AL$323,Ajustes!$J82,T$2),0)+IF(Ajustes!$K82&gt;0,INDEX($AA$5:$AL$324,Ajustes!$K82,T$2),0)+IF(Ajustes!$L82&gt;0,INDEX($AA$4:$AL$323,Ajustes!$L82,T$2),0) + T82</f>
        <v>0</v>
      </c>
      <c r="AG82">
        <f>IF(Ajustes!$G82&gt;0,INDEX($AA$4:$AL$323,Ajustes!$G82,U$2),0)+IF(Ajustes!$H82&gt;0,INDEX($AA$4:$AL$323,Ajustes!$H82,U$2),0)+IF(Ajustes!$I82&gt;0,INDEX($AA$4:$AL$323,Ajustes!$I82,U$2),0)+IF(Ajustes!$J82&gt;0,INDEX($AA$4:$AL$323,Ajustes!$J82,U$2),0)+IF(Ajustes!$K82&gt;0,INDEX($AA$5:$AL$324,Ajustes!$K82,U$2),0)+IF(Ajustes!$L82&gt;0,INDEX($AA$4:$AL$323,Ajustes!$L82,U$2),0) + U82</f>
        <v>0</v>
      </c>
      <c r="AH82">
        <f>IF(Ajustes!$G82&gt;0,INDEX($AA$4:$AL$323,Ajustes!$G82,V$2),0)+IF(Ajustes!$H82&gt;0,INDEX($AA$4:$AL$323,Ajustes!$H82,V$2),0)+IF(Ajustes!$I82&gt;0,INDEX($AA$4:$AL$323,Ajustes!$I82,V$2),0)+IF(Ajustes!$J82&gt;0,INDEX($AA$4:$AL$323,Ajustes!$J82,V$2),0)+IF(Ajustes!$K82&gt;0,INDEX($AA$5:$AL$324,Ajustes!$K82,V$2),0)+IF(Ajustes!$L82&gt;0,INDEX($AA$4:$AL$323,Ajustes!$L82,V$2),0) + V82</f>
        <v>0</v>
      </c>
      <c r="AI82">
        <f>IF(Ajustes!$G82&gt;0,INDEX($AA$4:$AL$323,Ajustes!$G82,W$2),0)+IF(Ajustes!$H82&gt;0,INDEX($AA$4:$AL$323,Ajustes!$H82,W$2),0)+IF(Ajustes!$I82&gt;0,INDEX($AA$4:$AL$323,Ajustes!$I82,W$2),0)+IF(Ajustes!$J82&gt;0,INDEX($AA$4:$AL$323,Ajustes!$J82,W$2),0)+IF(Ajustes!$K82&gt;0,INDEX($AA$5:$AL$324,Ajustes!$K82,W$2),0)+IF(Ajustes!$L82&gt;0,INDEX($AA$4:$AL$323,Ajustes!$L82,W$2),0) + W82</f>
        <v>0</v>
      </c>
      <c r="AJ82">
        <f>IF(Ajustes!$G82&gt;0,INDEX($AA$4:$AL$323,Ajustes!$G82,X$2),0)+IF(Ajustes!$H82&gt;0,INDEX($AA$4:$AL$323,Ajustes!$H82,X$2),0)+IF(Ajustes!$I82&gt;0,INDEX($AA$4:$AL$323,Ajustes!$I82,X$2),0)+IF(Ajustes!$J82&gt;0,INDEX($AA$4:$AL$323,Ajustes!$J82,X$2),0)+IF(Ajustes!$K82&gt;0,INDEX($AA$5:$AL$324,Ajustes!$K82,X$2),0)+IF(Ajustes!$L82&gt;0,INDEX($AA$4:$AL$323,Ajustes!$L82,X$2),0) + X82</f>
        <v>0</v>
      </c>
      <c r="AK82">
        <f>IF(Ajustes!$G82&gt;0,INDEX($AA$4:$AL$323,Ajustes!$G82,Y$2),0)+IF(Ajustes!$H82&gt;0,INDEX($AA$4:$AL$323,Ajustes!$H82,Y$2),0)+IF(Ajustes!$I82&gt;0,INDEX($AA$4:$AL$323,Ajustes!$I82,Y$2),0)+IF(Ajustes!$J82&gt;0,INDEX($AA$4:$AL$323,Ajustes!$J82,Y$2),0)+IF(Ajustes!$K82&gt;0,INDEX($AA$5:$AL$324,Ajustes!$K82,Y$2),0)+IF(Ajustes!$L82&gt;0,INDEX($AA$4:$AL$323,Ajustes!$L82,Y$2),0) + Y82</f>
        <v>0</v>
      </c>
      <c r="AL82">
        <f>IF(Ajustes!$G82&gt;0,INDEX($AA$4:$AL$323,Ajustes!$G82,Z$2),0)+IF(Ajustes!$H82&gt;0,INDEX($AA$4:$AL$323,Ajustes!$H82,Z$2),0)+IF(Ajustes!$I82&gt;0,INDEX($AA$4:$AL$323,Ajustes!$I82,Z$2),0)+IF(Ajustes!$J82&gt;0,INDEX($AA$4:$AL$323,Ajustes!$J82,Z$2),0)+IF(Ajustes!$K82&gt;0,INDEX($AA$5:$AL$324,Ajustes!$K82,Z$2),0)+IF(Ajustes!$L82&gt;0,INDEX($AA$4:$AL$323,Ajustes!$L82,Z$2),0) + Z82</f>
        <v>0</v>
      </c>
      <c r="AM82" s="113">
        <f t="shared" si="26"/>
        <v>0</v>
      </c>
      <c r="AN82" s="113">
        <f t="shared" si="26"/>
        <v>0</v>
      </c>
      <c r="AO82" s="113">
        <f t="shared" si="26"/>
        <v>0</v>
      </c>
      <c r="AP82" s="113">
        <f t="shared" si="26"/>
        <v>0</v>
      </c>
      <c r="AQ82" s="113">
        <f t="shared" si="26"/>
        <v>0</v>
      </c>
      <c r="AR82" s="113">
        <f t="shared" si="26"/>
        <v>0</v>
      </c>
      <c r="AS82" s="113">
        <f t="shared" si="26"/>
        <v>0</v>
      </c>
      <c r="AT82" s="113">
        <f t="shared" si="27"/>
        <v>0</v>
      </c>
      <c r="AU82" s="113">
        <f t="shared" si="27"/>
        <v>0</v>
      </c>
      <c r="AV82" s="113">
        <f t="shared" si="27"/>
        <v>0</v>
      </c>
      <c r="AW82" s="113">
        <f t="shared" si="27"/>
        <v>0</v>
      </c>
      <c r="AX82" s="113">
        <f t="shared" si="27"/>
        <v>0</v>
      </c>
    </row>
    <row r="83" spans="1:50" x14ac:dyDescent="0.25">
      <c r="A83" s="113">
        <v>80</v>
      </c>
      <c r="B83" s="209" t="s">
        <v>578</v>
      </c>
      <c r="C83">
        <f>IFERROR(INDEX($BD$7:$BO$35,MATCH(Ajustes!$E$4:$E$323,$BC$7:$BC$35,0),$C$2:$N$2),1)</f>
        <v>1</v>
      </c>
      <c r="D83" s="113">
        <f>IFERROR(INDEX($BD$7:$BO$35,MATCH(Ajustes!$E$4:$E$323,$BC$7:$BC$35,0),$C$2:$N$2),1)</f>
        <v>1</v>
      </c>
      <c r="E83" s="113">
        <f>IFERROR(INDEX($BD$7:$BO$35,MATCH(Ajustes!$E$4:$E$323,$BC$7:$BC$35,0),$C$2:$N$2),1)</f>
        <v>1</v>
      </c>
      <c r="F83" s="113">
        <f>IFERROR(INDEX($BD$7:$BO$35,MATCH(Ajustes!$E$4:$E$323,$BC$7:$BC$35,0),$C$2:$N$2),1)</f>
        <v>1</v>
      </c>
      <c r="G83" s="113">
        <f>IFERROR(INDEX($BD$7:$BO$35,MATCH(Ajustes!$E$4:$E$323,$BC$7:$BC$35,0),$C$2:$N$2),1)</f>
        <v>1</v>
      </c>
      <c r="H83" s="113">
        <f>IFERROR(INDEX($BD$7:$BO$35,MATCH(Ajustes!$E$4:$E$323,$BC$7:$BC$35,0),$C$2:$N$2),1)</f>
        <v>1</v>
      </c>
      <c r="I83" s="113">
        <f>IFERROR(INDEX($BD$7:$BO$35,MATCH(Ajustes!$E$4:$E$323,$BC$7:$BC$35,0),$C$2:$N$2),1)</f>
        <v>1</v>
      </c>
      <c r="J83" s="113">
        <f>IFERROR(INDEX($BD$7:$BO$35,MATCH(Ajustes!$E$4:$E$323,$BC$7:$BC$35,0),$C$2:$N$2),1)</f>
        <v>1</v>
      </c>
      <c r="K83" s="113">
        <f>IFERROR(INDEX($BD$7:$BO$35,MATCH(Ajustes!$E$4:$E$323,$BC$7:$BC$35,0),$C$2:$N$2),1)</f>
        <v>1</v>
      </c>
      <c r="L83" s="113">
        <f>IFERROR(INDEX($BD$7:$BO$35,MATCH(Ajustes!$E$4:$E$323,$BC$7:$BC$35,0),$C$2:$N$2),1)</f>
        <v>1</v>
      </c>
      <c r="M83" s="113">
        <f>IFERROR(INDEX($BD$7:$BO$35,MATCH(Ajustes!$E$4:$E$323,$BC$7:$BC$35,0),$C$2:$N$2),1)</f>
        <v>1</v>
      </c>
      <c r="N83" s="113">
        <f>IFERROR(INDEX($BD$7:$BO$35,MATCH(Ajustes!$E$4:$E$323,$BC$7:$BC$35,0),$C$2:$N$2),1)</f>
        <v>1</v>
      </c>
      <c r="O83">
        <f>C83*Ajustes!AM83</f>
        <v>52</v>
      </c>
      <c r="P83">
        <f>D83*Ajustes!AN83</f>
        <v>59</v>
      </c>
      <c r="Q83">
        <f>E83*Ajustes!AO83</f>
        <v>49</v>
      </c>
      <c r="R83">
        <f>F83*Ajustes!AP83</f>
        <v>53</v>
      </c>
      <c r="S83">
        <f>G83*Ajustes!AQ83</f>
        <v>73</v>
      </c>
      <c r="T83">
        <f>H83*Ajustes!AR83</f>
        <v>87</v>
      </c>
      <c r="U83">
        <f>I83*Ajustes!AS83</f>
        <v>79</v>
      </c>
      <c r="V83">
        <f>J83*Ajustes!AT83</f>
        <v>66</v>
      </c>
      <c r="W83">
        <f>K83*Ajustes!AU83</f>
        <v>78</v>
      </c>
      <c r="X83">
        <f>L83*Ajustes!AV83</f>
        <v>100</v>
      </c>
      <c r="Y83">
        <f>M83*Ajustes!AW83</f>
        <v>73</v>
      </c>
      <c r="Z83">
        <f>N83*Ajustes!AX83</f>
        <v>54</v>
      </c>
      <c r="AA83">
        <f>IF(Ajustes!$G83&gt;0,INDEX($AA$4:$AL$323,Ajustes!$G83,O$2),0)+IF(Ajustes!$H83&gt;0,INDEX($AA$4:$AL$323,Ajustes!$H83,O$2),0)+IF(Ajustes!$I83&gt;0,INDEX($AA$4:$AL$323,Ajustes!$I83,O$2),0)+IF(Ajustes!$J83&gt;0,INDEX($AA$4:$AL$323,Ajustes!$J83,O$2),0)+IF(Ajustes!$K83&gt;0,INDEX($AA$5:$AL$324,Ajustes!$K83,O$2),0)+IF(Ajustes!$L83&gt;0,INDEX($AA$4:$AL$323,Ajustes!$L83,O$2),0) + O83</f>
        <v>52</v>
      </c>
      <c r="AB83">
        <f>IF(Ajustes!$G83&gt;0,INDEX($AA$4:$AL$323,Ajustes!$G83,P$2),0)+IF(Ajustes!$H83&gt;0,INDEX($AA$4:$AL$323,Ajustes!$H83,P$2),0)+IF(Ajustes!$I83&gt;0,INDEX($AA$4:$AL$323,Ajustes!$I83,P$2),0)+IF(Ajustes!$J83&gt;0,INDEX($AA$4:$AL$323,Ajustes!$J83,P$2),0)+IF(Ajustes!$K83&gt;0,INDEX($AA$5:$AL$324,Ajustes!$K83,P$2),0)+IF(Ajustes!$L83&gt;0,INDEX($AA$4:$AL$323,Ajustes!$L83,P$2),0) + P83</f>
        <v>59</v>
      </c>
      <c r="AC83">
        <f>IF(Ajustes!$G83&gt;0,INDEX($AA$4:$AL$323,Ajustes!$G83,Q$2),0)+IF(Ajustes!$H83&gt;0,INDEX($AA$4:$AL$323,Ajustes!$H83,Q$2),0)+IF(Ajustes!$I83&gt;0,INDEX($AA$4:$AL$323,Ajustes!$I83,Q$2),0)+IF(Ajustes!$J83&gt;0,INDEX($AA$4:$AL$323,Ajustes!$J83,Q$2),0)+IF(Ajustes!$K83&gt;0,INDEX($AA$5:$AL$324,Ajustes!$K83,Q$2),0)+IF(Ajustes!$L83&gt;0,INDEX($AA$4:$AL$323,Ajustes!$L83,Q$2),0) + Q83</f>
        <v>49</v>
      </c>
      <c r="AD83">
        <f>IF(Ajustes!$G83&gt;0,INDEX($AA$4:$AL$323,Ajustes!$G83,R$2),0)+IF(Ajustes!$H83&gt;0,INDEX($AA$4:$AL$323,Ajustes!$H83,R$2),0)+IF(Ajustes!$I83&gt;0,INDEX($AA$4:$AL$323,Ajustes!$I83,R$2),0)+IF(Ajustes!$J83&gt;0,INDEX($AA$4:$AL$323,Ajustes!$J83,R$2),0)+IF(Ajustes!$K83&gt;0,INDEX($AA$5:$AL$324,Ajustes!$K83,R$2),0)+IF(Ajustes!$L83&gt;0,INDEX($AA$4:$AL$323,Ajustes!$L83,R$2),0) + R83</f>
        <v>53</v>
      </c>
      <c r="AE83">
        <f>IF(Ajustes!$G83&gt;0,INDEX($AA$4:$AL$323,Ajustes!$G83,S$2),0)+IF(Ajustes!$H83&gt;0,INDEX($AA$4:$AL$323,Ajustes!$H83,S$2),0)+IF(Ajustes!$I83&gt;0,INDEX($AA$4:$AL$323,Ajustes!$I83,S$2),0)+IF(Ajustes!$J83&gt;0,INDEX($AA$4:$AL$323,Ajustes!$J83,S$2),0)+IF(Ajustes!$K83&gt;0,INDEX($AA$5:$AL$324,Ajustes!$K83,S$2),0)+IF(Ajustes!$L83&gt;0,INDEX($AA$4:$AL$323,Ajustes!$L83,S$2),0) + S83</f>
        <v>73</v>
      </c>
      <c r="AF83">
        <f>IF(Ajustes!$G83&gt;0,INDEX($AA$4:$AL$323,Ajustes!$G83,T$2),0)+IF(Ajustes!$H83&gt;0,INDEX($AA$4:$AL$323,Ajustes!$H83,T$2),0)+IF(Ajustes!$I83&gt;0,INDEX($AA$4:$AL$323,Ajustes!$I83,T$2),0)+IF(Ajustes!$J83&gt;0,INDEX($AA$4:$AL$323,Ajustes!$J83,T$2),0)+IF(Ajustes!$K83&gt;0,INDEX($AA$5:$AL$324,Ajustes!$K83,T$2),0)+IF(Ajustes!$L83&gt;0,INDEX($AA$4:$AL$323,Ajustes!$L83,T$2),0) + T83</f>
        <v>87</v>
      </c>
      <c r="AG83">
        <f>IF(Ajustes!$G83&gt;0,INDEX($AA$4:$AL$323,Ajustes!$G83,U$2),0)+IF(Ajustes!$H83&gt;0,INDEX($AA$4:$AL$323,Ajustes!$H83,U$2),0)+IF(Ajustes!$I83&gt;0,INDEX($AA$4:$AL$323,Ajustes!$I83,U$2),0)+IF(Ajustes!$J83&gt;0,INDEX($AA$4:$AL$323,Ajustes!$J83,U$2),0)+IF(Ajustes!$K83&gt;0,INDEX($AA$5:$AL$324,Ajustes!$K83,U$2),0)+IF(Ajustes!$L83&gt;0,INDEX($AA$4:$AL$323,Ajustes!$L83,U$2),0) + U83</f>
        <v>79</v>
      </c>
      <c r="AH83">
        <f>IF(Ajustes!$G83&gt;0,INDEX($AA$4:$AL$323,Ajustes!$G83,V$2),0)+IF(Ajustes!$H83&gt;0,INDEX($AA$4:$AL$323,Ajustes!$H83,V$2),0)+IF(Ajustes!$I83&gt;0,INDEX($AA$4:$AL$323,Ajustes!$I83,V$2),0)+IF(Ajustes!$J83&gt;0,INDEX($AA$4:$AL$323,Ajustes!$J83,V$2),0)+IF(Ajustes!$K83&gt;0,INDEX($AA$5:$AL$324,Ajustes!$K83,V$2),0)+IF(Ajustes!$L83&gt;0,INDEX($AA$4:$AL$323,Ajustes!$L83,V$2),0) + V83</f>
        <v>66</v>
      </c>
      <c r="AI83">
        <f>IF(Ajustes!$G83&gt;0,INDEX($AA$4:$AL$323,Ajustes!$G83,W$2),0)+IF(Ajustes!$H83&gt;0,INDEX($AA$4:$AL$323,Ajustes!$H83,W$2),0)+IF(Ajustes!$I83&gt;0,INDEX($AA$4:$AL$323,Ajustes!$I83,W$2),0)+IF(Ajustes!$J83&gt;0,INDEX($AA$4:$AL$323,Ajustes!$J83,W$2),0)+IF(Ajustes!$K83&gt;0,INDEX($AA$5:$AL$324,Ajustes!$K83,W$2),0)+IF(Ajustes!$L83&gt;0,INDEX($AA$4:$AL$323,Ajustes!$L83,W$2),0) + W83</f>
        <v>78</v>
      </c>
      <c r="AJ83">
        <f>IF(Ajustes!$G83&gt;0,INDEX($AA$4:$AL$323,Ajustes!$G83,X$2),0)+IF(Ajustes!$H83&gt;0,INDEX($AA$4:$AL$323,Ajustes!$H83,X$2),0)+IF(Ajustes!$I83&gt;0,INDEX($AA$4:$AL$323,Ajustes!$I83,X$2),0)+IF(Ajustes!$J83&gt;0,INDEX($AA$4:$AL$323,Ajustes!$J83,X$2),0)+IF(Ajustes!$K83&gt;0,INDEX($AA$5:$AL$324,Ajustes!$K83,X$2),0)+IF(Ajustes!$L83&gt;0,INDEX($AA$4:$AL$323,Ajustes!$L83,X$2),0) + X83</f>
        <v>100</v>
      </c>
      <c r="AK83">
        <f>IF(Ajustes!$G83&gt;0,INDEX($AA$4:$AL$323,Ajustes!$G83,Y$2),0)+IF(Ajustes!$H83&gt;0,INDEX($AA$4:$AL$323,Ajustes!$H83,Y$2),0)+IF(Ajustes!$I83&gt;0,INDEX($AA$4:$AL$323,Ajustes!$I83,Y$2),0)+IF(Ajustes!$J83&gt;0,INDEX($AA$4:$AL$323,Ajustes!$J83,Y$2),0)+IF(Ajustes!$K83&gt;0,INDEX($AA$5:$AL$324,Ajustes!$K83,Y$2),0)+IF(Ajustes!$L83&gt;0,INDEX($AA$4:$AL$323,Ajustes!$L83,Y$2),0) + Y83</f>
        <v>73</v>
      </c>
      <c r="AL83">
        <f>IF(Ajustes!$G83&gt;0,INDEX($AA$4:$AL$323,Ajustes!$G83,Z$2),0)+IF(Ajustes!$H83&gt;0,INDEX($AA$4:$AL$323,Ajustes!$H83,Z$2),0)+IF(Ajustes!$I83&gt;0,INDEX($AA$4:$AL$323,Ajustes!$I83,Z$2),0)+IF(Ajustes!$J83&gt;0,INDEX($AA$4:$AL$323,Ajustes!$J83,Z$2),0)+IF(Ajustes!$K83&gt;0,INDEX($AA$5:$AL$324,Ajustes!$K83,Z$2),0)+IF(Ajustes!$L83&gt;0,INDEX($AA$4:$AL$323,Ajustes!$L83,Z$2),0) + Z83</f>
        <v>54</v>
      </c>
      <c r="AM83" s="113">
        <f t="shared" si="26"/>
        <v>52</v>
      </c>
      <c r="AN83" s="113">
        <f t="shared" si="26"/>
        <v>59</v>
      </c>
      <c r="AO83" s="113">
        <f t="shared" si="26"/>
        <v>49</v>
      </c>
      <c r="AP83" s="113">
        <f t="shared" si="26"/>
        <v>53</v>
      </c>
      <c r="AQ83" s="113">
        <f t="shared" si="26"/>
        <v>73</v>
      </c>
      <c r="AR83" s="113">
        <f t="shared" si="26"/>
        <v>87</v>
      </c>
      <c r="AS83" s="113">
        <f t="shared" si="26"/>
        <v>79</v>
      </c>
      <c r="AT83" s="113">
        <f t="shared" si="27"/>
        <v>66</v>
      </c>
      <c r="AU83" s="113">
        <f t="shared" si="27"/>
        <v>78</v>
      </c>
      <c r="AV83" s="113">
        <f t="shared" si="27"/>
        <v>100</v>
      </c>
      <c r="AW83" s="113">
        <f t="shared" si="27"/>
        <v>73</v>
      </c>
      <c r="AX83" s="113">
        <f t="shared" si="27"/>
        <v>54</v>
      </c>
    </row>
    <row r="84" spans="1:50" x14ac:dyDescent="0.25">
      <c r="A84" s="113">
        <v>81</v>
      </c>
      <c r="B84" s="209" t="s">
        <v>579</v>
      </c>
      <c r="C84">
        <f>IFERROR(INDEX($BD$7:$BO$35,MATCH(Ajustes!$E$4:$E$323,$BC$7:$BC$35,0),$C$2:$N$2),1)</f>
        <v>1</v>
      </c>
      <c r="D84" s="113">
        <f>IFERROR(INDEX($BD$7:$BO$35,MATCH(Ajustes!$E$4:$E$323,$BC$7:$BC$35,0),$C$2:$N$2),1)</f>
        <v>1</v>
      </c>
      <c r="E84" s="113">
        <f>IFERROR(INDEX($BD$7:$BO$35,MATCH(Ajustes!$E$4:$E$323,$BC$7:$BC$35,0),$C$2:$N$2),1)</f>
        <v>1</v>
      </c>
      <c r="F84" s="113">
        <f>IFERROR(INDEX($BD$7:$BO$35,MATCH(Ajustes!$E$4:$E$323,$BC$7:$BC$35,0),$C$2:$N$2),1)</f>
        <v>1</v>
      </c>
      <c r="G84" s="113">
        <f>IFERROR(INDEX($BD$7:$BO$35,MATCH(Ajustes!$E$4:$E$323,$BC$7:$BC$35,0),$C$2:$N$2),1)</f>
        <v>1</v>
      </c>
      <c r="H84" s="113">
        <f>IFERROR(INDEX($BD$7:$BO$35,MATCH(Ajustes!$E$4:$E$323,$BC$7:$BC$35,0),$C$2:$N$2),1)</f>
        <v>1</v>
      </c>
      <c r="I84" s="113">
        <f>IFERROR(INDEX($BD$7:$BO$35,MATCH(Ajustes!$E$4:$E$323,$BC$7:$BC$35,0),$C$2:$N$2),1)</f>
        <v>1</v>
      </c>
      <c r="J84" s="113">
        <f>IFERROR(INDEX($BD$7:$BO$35,MATCH(Ajustes!$E$4:$E$323,$BC$7:$BC$35,0),$C$2:$N$2),1)</f>
        <v>1</v>
      </c>
      <c r="K84" s="113">
        <f>IFERROR(INDEX($BD$7:$BO$35,MATCH(Ajustes!$E$4:$E$323,$BC$7:$BC$35,0),$C$2:$N$2),1)</f>
        <v>1</v>
      </c>
      <c r="L84" s="113">
        <f>IFERROR(INDEX($BD$7:$BO$35,MATCH(Ajustes!$E$4:$E$323,$BC$7:$BC$35,0),$C$2:$N$2),1)</f>
        <v>1</v>
      </c>
      <c r="M84" s="113">
        <f>IFERROR(INDEX($BD$7:$BO$35,MATCH(Ajustes!$E$4:$E$323,$BC$7:$BC$35,0),$C$2:$N$2),1)</f>
        <v>1</v>
      </c>
      <c r="N84" s="113">
        <f>IFERROR(INDEX($BD$7:$BO$35,MATCH(Ajustes!$E$4:$E$323,$BC$7:$BC$35,0),$C$2:$N$2),1)</f>
        <v>1</v>
      </c>
      <c r="O84">
        <f>C84*Ajustes!AM84</f>
        <v>1235</v>
      </c>
      <c r="P84">
        <f>D84*Ajustes!AN84</f>
        <v>1367</v>
      </c>
      <c r="Q84">
        <f>E84*Ajustes!AO84</f>
        <v>1190</v>
      </c>
      <c r="R84">
        <f>F84*Ajustes!AP84</f>
        <v>1104</v>
      </c>
      <c r="S84">
        <f>G84*Ajustes!AQ84</f>
        <v>1432</v>
      </c>
      <c r="T84">
        <f>H84*Ajustes!AR84</f>
        <v>1702</v>
      </c>
      <c r="U84">
        <f>I84*Ajustes!AS84</f>
        <v>1647</v>
      </c>
      <c r="V84">
        <f>J84*Ajustes!AT84</f>
        <v>1366</v>
      </c>
      <c r="W84">
        <f>K84*Ajustes!AU84</f>
        <v>1586</v>
      </c>
      <c r="X84">
        <f>L84*Ajustes!AV84</f>
        <v>2091</v>
      </c>
      <c r="Y84">
        <f>M84*Ajustes!AW84</f>
        <v>1580</v>
      </c>
      <c r="Z84">
        <f>N84*Ajustes!AX84</f>
        <v>1253</v>
      </c>
      <c r="AA84">
        <f>IF(Ajustes!$G84&gt;0,INDEX($AA$4:$AL$323,Ajustes!$G84,O$2),0)+IF(Ajustes!$H84&gt;0,INDEX($AA$4:$AL$323,Ajustes!$H84,O$2),0)+IF(Ajustes!$I84&gt;0,INDEX($AA$4:$AL$323,Ajustes!$I84,O$2),0)+IF(Ajustes!$J84&gt;0,INDEX($AA$4:$AL$323,Ajustes!$J84,O$2),0)+IF(Ajustes!$K84&gt;0,INDEX($AA$5:$AL$324,Ajustes!$K84,O$2),0)+IF(Ajustes!$L84&gt;0,INDEX($AA$4:$AL$323,Ajustes!$L84,O$2),0) + O84</f>
        <v>1235</v>
      </c>
      <c r="AB84">
        <f>IF(Ajustes!$G84&gt;0,INDEX($AA$4:$AL$323,Ajustes!$G84,P$2),0)+IF(Ajustes!$H84&gt;0,INDEX($AA$4:$AL$323,Ajustes!$H84,P$2),0)+IF(Ajustes!$I84&gt;0,INDEX($AA$4:$AL$323,Ajustes!$I84,P$2),0)+IF(Ajustes!$J84&gt;0,INDEX($AA$4:$AL$323,Ajustes!$J84,P$2),0)+IF(Ajustes!$K84&gt;0,INDEX($AA$5:$AL$324,Ajustes!$K84,P$2),0)+IF(Ajustes!$L84&gt;0,INDEX($AA$4:$AL$323,Ajustes!$L84,P$2),0) + P84</f>
        <v>1367</v>
      </c>
      <c r="AC84">
        <f>IF(Ajustes!$G84&gt;0,INDEX($AA$4:$AL$323,Ajustes!$G84,Q$2),0)+IF(Ajustes!$H84&gt;0,INDEX($AA$4:$AL$323,Ajustes!$H84,Q$2),0)+IF(Ajustes!$I84&gt;0,INDEX($AA$4:$AL$323,Ajustes!$I84,Q$2),0)+IF(Ajustes!$J84&gt;0,INDEX($AA$4:$AL$323,Ajustes!$J84,Q$2),0)+IF(Ajustes!$K84&gt;0,INDEX($AA$5:$AL$324,Ajustes!$K84,Q$2),0)+IF(Ajustes!$L84&gt;0,INDEX($AA$4:$AL$323,Ajustes!$L84,Q$2),0) + Q84</f>
        <v>1190</v>
      </c>
      <c r="AD84">
        <f>IF(Ajustes!$G84&gt;0,INDEX($AA$4:$AL$323,Ajustes!$G84,R$2),0)+IF(Ajustes!$H84&gt;0,INDEX($AA$4:$AL$323,Ajustes!$H84,R$2),0)+IF(Ajustes!$I84&gt;0,INDEX($AA$4:$AL$323,Ajustes!$I84,R$2),0)+IF(Ajustes!$J84&gt;0,INDEX($AA$4:$AL$323,Ajustes!$J84,R$2),0)+IF(Ajustes!$K84&gt;0,INDEX($AA$5:$AL$324,Ajustes!$K84,R$2),0)+IF(Ajustes!$L84&gt;0,INDEX($AA$4:$AL$323,Ajustes!$L84,R$2),0) + R84</f>
        <v>1104</v>
      </c>
      <c r="AE84">
        <f>IF(Ajustes!$G84&gt;0,INDEX($AA$4:$AL$323,Ajustes!$G84,S$2),0)+IF(Ajustes!$H84&gt;0,INDEX($AA$4:$AL$323,Ajustes!$H84,S$2),0)+IF(Ajustes!$I84&gt;0,INDEX($AA$4:$AL$323,Ajustes!$I84,S$2),0)+IF(Ajustes!$J84&gt;0,INDEX($AA$4:$AL$323,Ajustes!$J84,S$2),0)+IF(Ajustes!$K84&gt;0,INDEX($AA$5:$AL$324,Ajustes!$K84,S$2),0)+IF(Ajustes!$L84&gt;0,INDEX($AA$4:$AL$323,Ajustes!$L84,S$2),0) + S84</f>
        <v>1432</v>
      </c>
      <c r="AF84">
        <f>IF(Ajustes!$G84&gt;0,INDEX($AA$4:$AL$323,Ajustes!$G84,T$2),0)+IF(Ajustes!$H84&gt;0,INDEX($AA$4:$AL$323,Ajustes!$H84,T$2),0)+IF(Ajustes!$I84&gt;0,INDEX($AA$4:$AL$323,Ajustes!$I84,T$2),0)+IF(Ajustes!$J84&gt;0,INDEX($AA$4:$AL$323,Ajustes!$J84,T$2),0)+IF(Ajustes!$K84&gt;0,INDEX($AA$5:$AL$324,Ajustes!$K84,T$2),0)+IF(Ajustes!$L84&gt;0,INDEX($AA$4:$AL$323,Ajustes!$L84,T$2),0) + T84</f>
        <v>1702</v>
      </c>
      <c r="AG84">
        <f>IF(Ajustes!$G84&gt;0,INDEX($AA$4:$AL$323,Ajustes!$G84,U$2),0)+IF(Ajustes!$H84&gt;0,INDEX($AA$4:$AL$323,Ajustes!$H84,U$2),0)+IF(Ajustes!$I84&gt;0,INDEX($AA$4:$AL$323,Ajustes!$I84,U$2),0)+IF(Ajustes!$J84&gt;0,INDEX($AA$4:$AL$323,Ajustes!$J84,U$2),0)+IF(Ajustes!$K84&gt;0,INDEX($AA$5:$AL$324,Ajustes!$K84,U$2),0)+IF(Ajustes!$L84&gt;0,INDEX($AA$4:$AL$323,Ajustes!$L84,U$2),0) + U84</f>
        <v>1647</v>
      </c>
      <c r="AH84">
        <f>IF(Ajustes!$G84&gt;0,INDEX($AA$4:$AL$323,Ajustes!$G84,V$2),0)+IF(Ajustes!$H84&gt;0,INDEX($AA$4:$AL$323,Ajustes!$H84,V$2),0)+IF(Ajustes!$I84&gt;0,INDEX($AA$4:$AL$323,Ajustes!$I84,V$2),0)+IF(Ajustes!$J84&gt;0,INDEX($AA$4:$AL$323,Ajustes!$J84,V$2),0)+IF(Ajustes!$K84&gt;0,INDEX($AA$5:$AL$324,Ajustes!$K84,V$2),0)+IF(Ajustes!$L84&gt;0,INDEX($AA$4:$AL$323,Ajustes!$L84,V$2),0) + V84</f>
        <v>1366</v>
      </c>
      <c r="AI84">
        <f>IF(Ajustes!$G84&gt;0,INDEX($AA$4:$AL$323,Ajustes!$G84,W$2),0)+IF(Ajustes!$H84&gt;0,INDEX($AA$4:$AL$323,Ajustes!$H84,W$2),0)+IF(Ajustes!$I84&gt;0,INDEX($AA$4:$AL$323,Ajustes!$I84,W$2),0)+IF(Ajustes!$J84&gt;0,INDEX($AA$4:$AL$323,Ajustes!$J84,W$2),0)+IF(Ajustes!$K84&gt;0,INDEX($AA$5:$AL$324,Ajustes!$K84,W$2),0)+IF(Ajustes!$L84&gt;0,INDEX($AA$4:$AL$323,Ajustes!$L84,W$2),0) + W84</f>
        <v>1586</v>
      </c>
      <c r="AJ84">
        <f>IF(Ajustes!$G84&gt;0,INDEX($AA$4:$AL$323,Ajustes!$G84,X$2),0)+IF(Ajustes!$H84&gt;0,INDEX($AA$4:$AL$323,Ajustes!$H84,X$2),0)+IF(Ajustes!$I84&gt;0,INDEX($AA$4:$AL$323,Ajustes!$I84,X$2),0)+IF(Ajustes!$J84&gt;0,INDEX($AA$4:$AL$323,Ajustes!$J84,X$2),0)+IF(Ajustes!$K84&gt;0,INDEX($AA$5:$AL$324,Ajustes!$K84,X$2),0)+IF(Ajustes!$L84&gt;0,INDEX($AA$4:$AL$323,Ajustes!$L84,X$2),0) + X84</f>
        <v>2091</v>
      </c>
      <c r="AK84">
        <f>IF(Ajustes!$G84&gt;0,INDEX($AA$4:$AL$323,Ajustes!$G84,Y$2),0)+IF(Ajustes!$H84&gt;0,INDEX($AA$4:$AL$323,Ajustes!$H84,Y$2),0)+IF(Ajustes!$I84&gt;0,INDEX($AA$4:$AL$323,Ajustes!$I84,Y$2),0)+IF(Ajustes!$J84&gt;0,INDEX($AA$4:$AL$323,Ajustes!$J84,Y$2),0)+IF(Ajustes!$K84&gt;0,INDEX($AA$5:$AL$324,Ajustes!$K84,Y$2),0)+IF(Ajustes!$L84&gt;0,INDEX($AA$4:$AL$323,Ajustes!$L84,Y$2),0) + Y84</f>
        <v>1580</v>
      </c>
      <c r="AL84">
        <f>IF(Ajustes!$G84&gt;0,INDEX($AA$4:$AL$323,Ajustes!$G84,Z$2),0)+IF(Ajustes!$H84&gt;0,INDEX($AA$4:$AL$323,Ajustes!$H84,Z$2),0)+IF(Ajustes!$I84&gt;0,INDEX($AA$4:$AL$323,Ajustes!$I84,Z$2),0)+IF(Ajustes!$J84&gt;0,INDEX($AA$4:$AL$323,Ajustes!$J84,Z$2),0)+IF(Ajustes!$K84&gt;0,INDEX($AA$5:$AL$324,Ajustes!$K84,Z$2),0)+IF(Ajustes!$L84&gt;0,INDEX($AA$4:$AL$323,Ajustes!$L84,Z$2),0) + Z84</f>
        <v>1253</v>
      </c>
      <c r="AM84" s="113">
        <f t="shared" si="26"/>
        <v>1235</v>
      </c>
      <c r="AN84" s="113">
        <f t="shared" si="26"/>
        <v>1367</v>
      </c>
      <c r="AO84" s="113">
        <f t="shared" si="26"/>
        <v>1190</v>
      </c>
      <c r="AP84" s="113">
        <f t="shared" si="26"/>
        <v>1104</v>
      </c>
      <c r="AQ84" s="113">
        <f t="shared" si="26"/>
        <v>1432</v>
      </c>
      <c r="AR84" s="113">
        <f t="shared" si="26"/>
        <v>1702</v>
      </c>
      <c r="AS84" s="113">
        <f t="shared" si="26"/>
        <v>1647</v>
      </c>
      <c r="AT84" s="113">
        <f t="shared" si="27"/>
        <v>1366</v>
      </c>
      <c r="AU84" s="113">
        <f t="shared" si="27"/>
        <v>1586</v>
      </c>
      <c r="AV84" s="113">
        <f t="shared" si="27"/>
        <v>2091</v>
      </c>
      <c r="AW84" s="113">
        <f t="shared" si="27"/>
        <v>1580</v>
      </c>
      <c r="AX84" s="113">
        <f t="shared" si="27"/>
        <v>1253</v>
      </c>
    </row>
    <row r="85" spans="1:50" x14ac:dyDescent="0.25">
      <c r="A85" s="113">
        <v>82</v>
      </c>
      <c r="B85" s="209"/>
      <c r="C85">
        <f>IFERROR(INDEX($BD$7:$BO$35,MATCH(Ajustes!$E$4:$E$323,$BC$7:$BC$35,0),$C$2:$N$2),1)</f>
        <v>1</v>
      </c>
      <c r="D85" s="113">
        <f>IFERROR(INDEX($BD$7:$BO$35,MATCH(Ajustes!$E$4:$E$323,$BC$7:$BC$35,0),$C$2:$N$2),1)</f>
        <v>1</v>
      </c>
      <c r="E85" s="113">
        <f>IFERROR(INDEX($BD$7:$BO$35,MATCH(Ajustes!$E$4:$E$323,$BC$7:$BC$35,0),$C$2:$N$2),1)</f>
        <v>1</v>
      </c>
      <c r="F85" s="113">
        <f>IFERROR(INDEX($BD$7:$BO$35,MATCH(Ajustes!$E$4:$E$323,$BC$7:$BC$35,0),$C$2:$N$2),1)</f>
        <v>1</v>
      </c>
      <c r="G85" s="113">
        <f>IFERROR(INDEX($BD$7:$BO$35,MATCH(Ajustes!$E$4:$E$323,$BC$7:$BC$35,0),$C$2:$N$2),1)</f>
        <v>1</v>
      </c>
      <c r="H85" s="113">
        <f>IFERROR(INDEX($BD$7:$BO$35,MATCH(Ajustes!$E$4:$E$323,$BC$7:$BC$35,0),$C$2:$N$2),1)</f>
        <v>1</v>
      </c>
      <c r="I85" s="113">
        <f>IFERROR(INDEX($BD$7:$BO$35,MATCH(Ajustes!$E$4:$E$323,$BC$7:$BC$35,0),$C$2:$N$2),1)</f>
        <v>1</v>
      </c>
      <c r="J85" s="113">
        <f>IFERROR(INDEX($BD$7:$BO$35,MATCH(Ajustes!$E$4:$E$323,$BC$7:$BC$35,0),$C$2:$N$2),1)</f>
        <v>1</v>
      </c>
      <c r="K85" s="113">
        <f>IFERROR(INDEX($BD$7:$BO$35,MATCH(Ajustes!$E$4:$E$323,$BC$7:$BC$35,0),$C$2:$N$2),1)</f>
        <v>1</v>
      </c>
      <c r="L85" s="113">
        <f>IFERROR(INDEX($BD$7:$BO$35,MATCH(Ajustes!$E$4:$E$323,$BC$7:$BC$35,0),$C$2:$N$2),1)</f>
        <v>1</v>
      </c>
      <c r="M85" s="113">
        <f>IFERROR(INDEX($BD$7:$BO$35,MATCH(Ajustes!$E$4:$E$323,$BC$7:$BC$35,0),$C$2:$N$2),1)</f>
        <v>1</v>
      </c>
      <c r="N85" s="113">
        <f>IFERROR(INDEX($BD$7:$BO$35,MATCH(Ajustes!$E$4:$E$323,$BC$7:$BC$35,0),$C$2:$N$2),1)</f>
        <v>1</v>
      </c>
      <c r="O85">
        <f>C85*Ajustes!AM85</f>
        <v>0</v>
      </c>
      <c r="P85">
        <f>D85*Ajustes!AN85</f>
        <v>0</v>
      </c>
      <c r="Q85">
        <f>E85*Ajustes!AO85</f>
        <v>0</v>
      </c>
      <c r="R85">
        <f>F85*Ajustes!AP85</f>
        <v>0</v>
      </c>
      <c r="S85">
        <f>G85*Ajustes!AQ85</f>
        <v>0</v>
      </c>
      <c r="T85">
        <f>H85*Ajustes!AR85</f>
        <v>0</v>
      </c>
      <c r="U85">
        <f>I85*Ajustes!AS85</f>
        <v>0</v>
      </c>
      <c r="V85">
        <f>J85*Ajustes!AT85</f>
        <v>0</v>
      </c>
      <c r="W85">
        <f>K85*Ajustes!AU85</f>
        <v>0</v>
      </c>
      <c r="X85">
        <f>L85*Ajustes!AV85</f>
        <v>0</v>
      </c>
      <c r="Y85">
        <f>M85*Ajustes!AW85</f>
        <v>0</v>
      </c>
      <c r="Z85">
        <f>N85*Ajustes!AX85</f>
        <v>0</v>
      </c>
      <c r="AA85">
        <f>IF(Ajustes!$G85&gt;0,INDEX($AA$4:$AL$323,Ajustes!$G85,O$2),0)+IF(Ajustes!$H85&gt;0,INDEX($AA$4:$AL$323,Ajustes!$H85,O$2),0)+IF(Ajustes!$I85&gt;0,INDEX($AA$4:$AL$323,Ajustes!$I85,O$2),0)+IF(Ajustes!$J85&gt;0,INDEX($AA$4:$AL$323,Ajustes!$J85,O$2),0)+IF(Ajustes!$K85&gt;0,INDEX($AA$5:$AL$324,Ajustes!$K85,O$2),0)+IF(Ajustes!$L85&gt;0,INDEX($AA$4:$AL$323,Ajustes!$L85,O$2),0) + O85</f>
        <v>0</v>
      </c>
      <c r="AB85">
        <f>IF(Ajustes!$G85&gt;0,INDEX($AA$4:$AL$323,Ajustes!$G85,P$2),0)+IF(Ajustes!$H85&gt;0,INDEX($AA$4:$AL$323,Ajustes!$H85,P$2),0)+IF(Ajustes!$I85&gt;0,INDEX($AA$4:$AL$323,Ajustes!$I85,P$2),0)+IF(Ajustes!$J85&gt;0,INDEX($AA$4:$AL$323,Ajustes!$J85,P$2),0)+IF(Ajustes!$K85&gt;0,INDEX($AA$5:$AL$324,Ajustes!$K85,P$2),0)+IF(Ajustes!$L85&gt;0,INDEX($AA$4:$AL$323,Ajustes!$L85,P$2),0) + P85</f>
        <v>0</v>
      </c>
      <c r="AC85">
        <f>IF(Ajustes!$G85&gt;0,INDEX($AA$4:$AL$323,Ajustes!$G85,Q$2),0)+IF(Ajustes!$H85&gt;0,INDEX($AA$4:$AL$323,Ajustes!$H85,Q$2),0)+IF(Ajustes!$I85&gt;0,INDEX($AA$4:$AL$323,Ajustes!$I85,Q$2),0)+IF(Ajustes!$J85&gt;0,INDEX($AA$4:$AL$323,Ajustes!$J85,Q$2),0)+IF(Ajustes!$K85&gt;0,INDEX($AA$5:$AL$324,Ajustes!$K85,Q$2),0)+IF(Ajustes!$L85&gt;0,INDEX($AA$4:$AL$323,Ajustes!$L85,Q$2),0) + Q85</f>
        <v>0</v>
      </c>
      <c r="AD85">
        <f>IF(Ajustes!$G85&gt;0,INDEX($AA$4:$AL$323,Ajustes!$G85,R$2),0)+IF(Ajustes!$H85&gt;0,INDEX($AA$4:$AL$323,Ajustes!$H85,R$2),0)+IF(Ajustes!$I85&gt;0,INDEX($AA$4:$AL$323,Ajustes!$I85,R$2),0)+IF(Ajustes!$J85&gt;0,INDEX($AA$4:$AL$323,Ajustes!$J85,R$2),0)+IF(Ajustes!$K85&gt;0,INDEX($AA$5:$AL$324,Ajustes!$K85,R$2),0)+IF(Ajustes!$L85&gt;0,INDEX($AA$4:$AL$323,Ajustes!$L85,R$2),0) + R85</f>
        <v>0</v>
      </c>
      <c r="AE85">
        <f>IF(Ajustes!$G85&gt;0,INDEX($AA$4:$AL$323,Ajustes!$G85,S$2),0)+IF(Ajustes!$H85&gt;0,INDEX($AA$4:$AL$323,Ajustes!$H85,S$2),0)+IF(Ajustes!$I85&gt;0,INDEX($AA$4:$AL$323,Ajustes!$I85,S$2),0)+IF(Ajustes!$J85&gt;0,INDEX($AA$4:$AL$323,Ajustes!$J85,S$2),0)+IF(Ajustes!$K85&gt;0,INDEX($AA$5:$AL$324,Ajustes!$K85,S$2),0)+IF(Ajustes!$L85&gt;0,INDEX($AA$4:$AL$323,Ajustes!$L85,S$2),0) + S85</f>
        <v>0</v>
      </c>
      <c r="AF85">
        <f>IF(Ajustes!$G85&gt;0,INDEX($AA$4:$AL$323,Ajustes!$G85,T$2),0)+IF(Ajustes!$H85&gt;0,INDEX($AA$4:$AL$323,Ajustes!$H85,T$2),0)+IF(Ajustes!$I85&gt;0,INDEX($AA$4:$AL$323,Ajustes!$I85,T$2),0)+IF(Ajustes!$J85&gt;0,INDEX($AA$4:$AL$323,Ajustes!$J85,T$2),0)+IF(Ajustes!$K85&gt;0,INDEX($AA$5:$AL$324,Ajustes!$K85,T$2),0)+IF(Ajustes!$L85&gt;0,INDEX($AA$4:$AL$323,Ajustes!$L85,T$2),0) + T85</f>
        <v>0</v>
      </c>
      <c r="AG85">
        <f>IF(Ajustes!$G85&gt;0,INDEX($AA$4:$AL$323,Ajustes!$G85,U$2),0)+IF(Ajustes!$H85&gt;0,INDEX($AA$4:$AL$323,Ajustes!$H85,U$2),0)+IF(Ajustes!$I85&gt;0,INDEX($AA$4:$AL$323,Ajustes!$I85,U$2),0)+IF(Ajustes!$J85&gt;0,INDEX($AA$4:$AL$323,Ajustes!$J85,U$2),0)+IF(Ajustes!$K85&gt;0,INDEX($AA$5:$AL$324,Ajustes!$K85,U$2),0)+IF(Ajustes!$L85&gt;0,INDEX($AA$4:$AL$323,Ajustes!$L85,U$2),0) + U85</f>
        <v>0</v>
      </c>
      <c r="AH85">
        <f>IF(Ajustes!$G85&gt;0,INDEX($AA$4:$AL$323,Ajustes!$G85,V$2),0)+IF(Ajustes!$H85&gt;0,INDEX($AA$4:$AL$323,Ajustes!$H85,V$2),0)+IF(Ajustes!$I85&gt;0,INDEX($AA$4:$AL$323,Ajustes!$I85,V$2),0)+IF(Ajustes!$J85&gt;0,INDEX($AA$4:$AL$323,Ajustes!$J85,V$2),0)+IF(Ajustes!$K85&gt;0,INDEX($AA$5:$AL$324,Ajustes!$K85,V$2),0)+IF(Ajustes!$L85&gt;0,INDEX($AA$4:$AL$323,Ajustes!$L85,V$2),0) + V85</f>
        <v>0</v>
      </c>
      <c r="AI85">
        <f>IF(Ajustes!$G85&gt;0,INDEX($AA$4:$AL$323,Ajustes!$G85,W$2),0)+IF(Ajustes!$H85&gt;0,INDEX($AA$4:$AL$323,Ajustes!$H85,W$2),0)+IF(Ajustes!$I85&gt;0,INDEX($AA$4:$AL$323,Ajustes!$I85,W$2),0)+IF(Ajustes!$J85&gt;0,INDEX($AA$4:$AL$323,Ajustes!$J85,W$2),0)+IF(Ajustes!$K85&gt;0,INDEX($AA$5:$AL$324,Ajustes!$K85,W$2),0)+IF(Ajustes!$L85&gt;0,INDEX($AA$4:$AL$323,Ajustes!$L85,W$2),0) + W85</f>
        <v>0</v>
      </c>
      <c r="AJ85">
        <f>IF(Ajustes!$G85&gt;0,INDEX($AA$4:$AL$323,Ajustes!$G85,X$2),0)+IF(Ajustes!$H85&gt;0,INDEX($AA$4:$AL$323,Ajustes!$H85,X$2),0)+IF(Ajustes!$I85&gt;0,INDEX($AA$4:$AL$323,Ajustes!$I85,X$2),0)+IF(Ajustes!$J85&gt;0,INDEX($AA$4:$AL$323,Ajustes!$J85,X$2),0)+IF(Ajustes!$K85&gt;0,INDEX($AA$5:$AL$324,Ajustes!$K85,X$2),0)+IF(Ajustes!$L85&gt;0,INDEX($AA$4:$AL$323,Ajustes!$L85,X$2),0) + X85</f>
        <v>0</v>
      </c>
      <c r="AK85">
        <f>IF(Ajustes!$G85&gt;0,INDEX($AA$4:$AL$323,Ajustes!$G85,Y$2),0)+IF(Ajustes!$H85&gt;0,INDEX($AA$4:$AL$323,Ajustes!$H85,Y$2),0)+IF(Ajustes!$I85&gt;0,INDEX($AA$4:$AL$323,Ajustes!$I85,Y$2),0)+IF(Ajustes!$J85&gt;0,INDEX($AA$4:$AL$323,Ajustes!$J85,Y$2),0)+IF(Ajustes!$K85&gt;0,INDEX($AA$5:$AL$324,Ajustes!$K85,Y$2),0)+IF(Ajustes!$L85&gt;0,INDEX($AA$4:$AL$323,Ajustes!$L85,Y$2),0) + Y85</f>
        <v>0</v>
      </c>
      <c r="AL85">
        <f>IF(Ajustes!$G85&gt;0,INDEX($AA$4:$AL$323,Ajustes!$G85,Z$2),0)+IF(Ajustes!$H85&gt;0,INDEX($AA$4:$AL$323,Ajustes!$H85,Z$2),0)+IF(Ajustes!$I85&gt;0,INDEX($AA$4:$AL$323,Ajustes!$I85,Z$2),0)+IF(Ajustes!$J85&gt;0,INDEX($AA$4:$AL$323,Ajustes!$J85,Z$2),0)+IF(Ajustes!$K85&gt;0,INDEX($AA$5:$AL$324,Ajustes!$K85,Z$2),0)+IF(Ajustes!$L85&gt;0,INDEX($AA$4:$AL$323,Ajustes!$L85,Z$2),0) + Z85</f>
        <v>0</v>
      </c>
      <c r="AM85" s="113">
        <f t="shared" si="26"/>
        <v>0</v>
      </c>
      <c r="AN85" s="113">
        <f t="shared" si="26"/>
        <v>0</v>
      </c>
      <c r="AO85" s="113">
        <f t="shared" si="26"/>
        <v>0</v>
      </c>
      <c r="AP85" s="113">
        <f t="shared" si="26"/>
        <v>0</v>
      </c>
      <c r="AQ85" s="113">
        <f t="shared" si="26"/>
        <v>0</v>
      </c>
      <c r="AR85" s="113">
        <f t="shared" si="26"/>
        <v>0</v>
      </c>
      <c r="AS85" s="113">
        <f t="shared" si="26"/>
        <v>0</v>
      </c>
      <c r="AT85" s="113">
        <f t="shared" si="27"/>
        <v>0</v>
      </c>
      <c r="AU85" s="113">
        <f t="shared" si="27"/>
        <v>0</v>
      </c>
      <c r="AV85" s="113">
        <f t="shared" si="27"/>
        <v>0</v>
      </c>
      <c r="AW85" s="113">
        <f t="shared" si="27"/>
        <v>0</v>
      </c>
      <c r="AX85" s="113">
        <f t="shared" si="27"/>
        <v>0</v>
      </c>
    </row>
    <row r="86" spans="1:50" x14ac:dyDescent="0.25">
      <c r="A86" s="113">
        <v>83</v>
      </c>
      <c r="B86" s="209" t="s">
        <v>580</v>
      </c>
      <c r="C86">
        <f>IFERROR(INDEX($BD$7:$BO$35,MATCH(Ajustes!$E$4:$E$323,$BC$7:$BC$35,0),$C$2:$N$2),1)</f>
        <v>1</v>
      </c>
      <c r="D86" s="113">
        <f>IFERROR(INDEX($BD$7:$BO$35,MATCH(Ajustes!$E$4:$E$323,$BC$7:$BC$35,0),$C$2:$N$2),1)</f>
        <v>1</v>
      </c>
      <c r="E86" s="113">
        <f>IFERROR(INDEX($BD$7:$BO$35,MATCH(Ajustes!$E$4:$E$323,$BC$7:$BC$35,0),$C$2:$N$2),1)</f>
        <v>1</v>
      </c>
      <c r="F86" s="113">
        <f>IFERROR(INDEX($BD$7:$BO$35,MATCH(Ajustes!$E$4:$E$323,$BC$7:$BC$35,0),$C$2:$N$2),1)</f>
        <v>1</v>
      </c>
      <c r="G86" s="113">
        <f>IFERROR(INDEX($BD$7:$BO$35,MATCH(Ajustes!$E$4:$E$323,$BC$7:$BC$35,0),$C$2:$N$2),1)</f>
        <v>1</v>
      </c>
      <c r="H86" s="113">
        <f>IFERROR(INDEX($BD$7:$BO$35,MATCH(Ajustes!$E$4:$E$323,$BC$7:$BC$35,0),$C$2:$N$2),1)</f>
        <v>1</v>
      </c>
      <c r="I86" s="113">
        <f>IFERROR(INDEX($BD$7:$BO$35,MATCH(Ajustes!$E$4:$E$323,$BC$7:$BC$35,0),$C$2:$N$2),1)</f>
        <v>1</v>
      </c>
      <c r="J86" s="113">
        <f>IFERROR(INDEX($BD$7:$BO$35,MATCH(Ajustes!$E$4:$E$323,$BC$7:$BC$35,0),$C$2:$N$2),1)</f>
        <v>1</v>
      </c>
      <c r="K86" s="113">
        <f>IFERROR(INDEX($BD$7:$BO$35,MATCH(Ajustes!$E$4:$E$323,$BC$7:$BC$35,0),$C$2:$N$2),1)</f>
        <v>1</v>
      </c>
      <c r="L86" s="113">
        <f>IFERROR(INDEX($BD$7:$BO$35,MATCH(Ajustes!$E$4:$E$323,$BC$7:$BC$35,0),$C$2:$N$2),1)</f>
        <v>1</v>
      </c>
      <c r="M86" s="113">
        <f>IFERROR(INDEX($BD$7:$BO$35,MATCH(Ajustes!$E$4:$E$323,$BC$7:$BC$35,0),$C$2:$N$2),1)</f>
        <v>1</v>
      </c>
      <c r="N86" s="113">
        <f>IFERROR(INDEX($BD$7:$BO$35,MATCH(Ajustes!$E$4:$E$323,$BC$7:$BC$35,0),$C$2:$N$2),1)</f>
        <v>1</v>
      </c>
      <c r="O86">
        <f>C86*Ajustes!AM86</f>
        <v>56</v>
      </c>
      <c r="P86">
        <f>D86*Ajustes!AN86</f>
        <v>63</v>
      </c>
      <c r="Q86">
        <f>E86*Ajustes!AO86</f>
        <v>52</v>
      </c>
      <c r="R86">
        <f>F86*Ajustes!AP86</f>
        <v>57</v>
      </c>
      <c r="S86">
        <f>G86*Ajustes!AQ86</f>
        <v>78</v>
      </c>
      <c r="T86">
        <f>H86*Ajustes!AR86</f>
        <v>93</v>
      </c>
      <c r="U86">
        <f>I86*Ajustes!AS86</f>
        <v>84</v>
      </c>
      <c r="V86">
        <f>J86*Ajustes!AT86</f>
        <v>71</v>
      </c>
      <c r="W86">
        <f>K86*Ajustes!AU86</f>
        <v>83</v>
      </c>
      <c r="X86">
        <f>L86*Ajustes!AV86</f>
        <v>107</v>
      </c>
      <c r="Y86">
        <f>M86*Ajustes!AW86</f>
        <v>78</v>
      </c>
      <c r="Z86">
        <f>N86*Ajustes!AX86</f>
        <v>58</v>
      </c>
      <c r="AA86">
        <f>IF(Ajustes!$G86&gt;0,INDEX($AA$4:$AL$323,Ajustes!$G86,O$2),0)+IF(Ajustes!$H86&gt;0,INDEX($AA$4:$AL$323,Ajustes!$H86,O$2),0)+IF(Ajustes!$I86&gt;0,INDEX($AA$4:$AL$323,Ajustes!$I86,O$2),0)+IF(Ajustes!$J86&gt;0,INDEX($AA$4:$AL$323,Ajustes!$J86,O$2),0)+IF(Ajustes!$K86&gt;0,INDEX($AA$5:$AL$324,Ajustes!$K86,O$2),0)+IF(Ajustes!$L86&gt;0,INDEX($AA$4:$AL$323,Ajustes!$L86,O$2),0) + O86</f>
        <v>56</v>
      </c>
      <c r="AB86">
        <f>IF(Ajustes!$G86&gt;0,INDEX($AA$4:$AL$323,Ajustes!$G86,P$2),0)+IF(Ajustes!$H86&gt;0,INDEX($AA$4:$AL$323,Ajustes!$H86,P$2),0)+IF(Ajustes!$I86&gt;0,INDEX($AA$4:$AL$323,Ajustes!$I86,P$2),0)+IF(Ajustes!$J86&gt;0,INDEX($AA$4:$AL$323,Ajustes!$J86,P$2),0)+IF(Ajustes!$K86&gt;0,INDEX($AA$5:$AL$324,Ajustes!$K86,P$2),0)+IF(Ajustes!$L86&gt;0,INDEX($AA$4:$AL$323,Ajustes!$L86,P$2),0) + P86</f>
        <v>63</v>
      </c>
      <c r="AC86">
        <f>IF(Ajustes!$G86&gt;0,INDEX($AA$4:$AL$323,Ajustes!$G86,Q$2),0)+IF(Ajustes!$H86&gt;0,INDEX($AA$4:$AL$323,Ajustes!$H86,Q$2),0)+IF(Ajustes!$I86&gt;0,INDEX($AA$4:$AL$323,Ajustes!$I86,Q$2),0)+IF(Ajustes!$J86&gt;0,INDEX($AA$4:$AL$323,Ajustes!$J86,Q$2),0)+IF(Ajustes!$K86&gt;0,INDEX($AA$5:$AL$324,Ajustes!$K86,Q$2),0)+IF(Ajustes!$L86&gt;0,INDEX($AA$4:$AL$323,Ajustes!$L86,Q$2),0) + Q86</f>
        <v>52</v>
      </c>
      <c r="AD86">
        <f>IF(Ajustes!$G86&gt;0,INDEX($AA$4:$AL$323,Ajustes!$G86,R$2),0)+IF(Ajustes!$H86&gt;0,INDEX($AA$4:$AL$323,Ajustes!$H86,R$2),0)+IF(Ajustes!$I86&gt;0,INDEX($AA$4:$AL$323,Ajustes!$I86,R$2),0)+IF(Ajustes!$J86&gt;0,INDEX($AA$4:$AL$323,Ajustes!$J86,R$2),0)+IF(Ajustes!$K86&gt;0,INDEX($AA$5:$AL$324,Ajustes!$K86,R$2),0)+IF(Ajustes!$L86&gt;0,INDEX($AA$4:$AL$323,Ajustes!$L86,R$2),0) + R86</f>
        <v>57</v>
      </c>
      <c r="AE86">
        <f>IF(Ajustes!$G86&gt;0,INDEX($AA$4:$AL$323,Ajustes!$G86,S$2),0)+IF(Ajustes!$H86&gt;0,INDEX($AA$4:$AL$323,Ajustes!$H86,S$2),0)+IF(Ajustes!$I86&gt;0,INDEX($AA$4:$AL$323,Ajustes!$I86,S$2),0)+IF(Ajustes!$J86&gt;0,INDEX($AA$4:$AL$323,Ajustes!$J86,S$2),0)+IF(Ajustes!$K86&gt;0,INDEX($AA$5:$AL$324,Ajustes!$K86,S$2),0)+IF(Ajustes!$L86&gt;0,INDEX($AA$4:$AL$323,Ajustes!$L86,S$2),0) + S86</f>
        <v>78</v>
      </c>
      <c r="AF86">
        <f>IF(Ajustes!$G86&gt;0,INDEX($AA$4:$AL$323,Ajustes!$G86,T$2),0)+IF(Ajustes!$H86&gt;0,INDEX($AA$4:$AL$323,Ajustes!$H86,T$2),0)+IF(Ajustes!$I86&gt;0,INDEX($AA$4:$AL$323,Ajustes!$I86,T$2),0)+IF(Ajustes!$J86&gt;0,INDEX($AA$4:$AL$323,Ajustes!$J86,T$2),0)+IF(Ajustes!$K86&gt;0,INDEX($AA$5:$AL$324,Ajustes!$K86,T$2),0)+IF(Ajustes!$L86&gt;0,INDEX($AA$4:$AL$323,Ajustes!$L86,T$2),0) + T86</f>
        <v>93</v>
      </c>
      <c r="AG86">
        <f>IF(Ajustes!$G86&gt;0,INDEX($AA$4:$AL$323,Ajustes!$G86,U$2),0)+IF(Ajustes!$H86&gt;0,INDEX($AA$4:$AL$323,Ajustes!$H86,U$2),0)+IF(Ajustes!$I86&gt;0,INDEX($AA$4:$AL$323,Ajustes!$I86,U$2),0)+IF(Ajustes!$J86&gt;0,INDEX($AA$4:$AL$323,Ajustes!$J86,U$2),0)+IF(Ajustes!$K86&gt;0,INDEX($AA$5:$AL$324,Ajustes!$K86,U$2),0)+IF(Ajustes!$L86&gt;0,INDEX($AA$4:$AL$323,Ajustes!$L86,U$2),0) + U86</f>
        <v>84</v>
      </c>
      <c r="AH86">
        <f>IF(Ajustes!$G86&gt;0,INDEX($AA$4:$AL$323,Ajustes!$G86,V$2),0)+IF(Ajustes!$H86&gt;0,INDEX($AA$4:$AL$323,Ajustes!$H86,V$2),0)+IF(Ajustes!$I86&gt;0,INDEX($AA$4:$AL$323,Ajustes!$I86,V$2),0)+IF(Ajustes!$J86&gt;0,INDEX($AA$4:$AL$323,Ajustes!$J86,V$2),0)+IF(Ajustes!$K86&gt;0,INDEX($AA$5:$AL$324,Ajustes!$K86,V$2),0)+IF(Ajustes!$L86&gt;0,INDEX($AA$4:$AL$323,Ajustes!$L86,V$2),0) + V86</f>
        <v>71</v>
      </c>
      <c r="AI86">
        <f>IF(Ajustes!$G86&gt;0,INDEX($AA$4:$AL$323,Ajustes!$G86,W$2),0)+IF(Ajustes!$H86&gt;0,INDEX($AA$4:$AL$323,Ajustes!$H86,W$2),0)+IF(Ajustes!$I86&gt;0,INDEX($AA$4:$AL$323,Ajustes!$I86,W$2),0)+IF(Ajustes!$J86&gt;0,INDEX($AA$4:$AL$323,Ajustes!$J86,W$2),0)+IF(Ajustes!$K86&gt;0,INDEX($AA$5:$AL$324,Ajustes!$K86,W$2),0)+IF(Ajustes!$L86&gt;0,INDEX($AA$4:$AL$323,Ajustes!$L86,W$2),0) + W86</f>
        <v>83</v>
      </c>
      <c r="AJ86">
        <f>IF(Ajustes!$G86&gt;0,INDEX($AA$4:$AL$323,Ajustes!$G86,X$2),0)+IF(Ajustes!$H86&gt;0,INDEX($AA$4:$AL$323,Ajustes!$H86,X$2),0)+IF(Ajustes!$I86&gt;0,INDEX($AA$4:$AL$323,Ajustes!$I86,X$2),0)+IF(Ajustes!$J86&gt;0,INDEX($AA$4:$AL$323,Ajustes!$J86,X$2),0)+IF(Ajustes!$K86&gt;0,INDEX($AA$5:$AL$324,Ajustes!$K86,X$2),0)+IF(Ajustes!$L86&gt;0,INDEX($AA$4:$AL$323,Ajustes!$L86,X$2),0) + X86</f>
        <v>107</v>
      </c>
      <c r="AK86">
        <f>IF(Ajustes!$G86&gt;0,INDEX($AA$4:$AL$323,Ajustes!$G86,Y$2),0)+IF(Ajustes!$H86&gt;0,INDEX($AA$4:$AL$323,Ajustes!$H86,Y$2),0)+IF(Ajustes!$I86&gt;0,INDEX($AA$4:$AL$323,Ajustes!$I86,Y$2),0)+IF(Ajustes!$J86&gt;0,INDEX($AA$4:$AL$323,Ajustes!$J86,Y$2),0)+IF(Ajustes!$K86&gt;0,INDEX($AA$5:$AL$324,Ajustes!$K86,Y$2),0)+IF(Ajustes!$L86&gt;0,INDEX($AA$4:$AL$323,Ajustes!$L86,Y$2),0) + Y86</f>
        <v>78</v>
      </c>
      <c r="AL86">
        <f>IF(Ajustes!$G86&gt;0,INDEX($AA$4:$AL$323,Ajustes!$G86,Z$2),0)+IF(Ajustes!$H86&gt;0,INDEX($AA$4:$AL$323,Ajustes!$H86,Z$2),0)+IF(Ajustes!$I86&gt;0,INDEX($AA$4:$AL$323,Ajustes!$I86,Z$2),0)+IF(Ajustes!$J86&gt;0,INDEX($AA$4:$AL$323,Ajustes!$J86,Z$2),0)+IF(Ajustes!$K86&gt;0,INDEX($AA$5:$AL$324,Ajustes!$K86,Z$2),0)+IF(Ajustes!$L86&gt;0,INDEX($AA$4:$AL$323,Ajustes!$L86,Z$2),0) + Z86</f>
        <v>58</v>
      </c>
      <c r="AM86" s="113">
        <f t="shared" si="26"/>
        <v>56</v>
      </c>
      <c r="AN86" s="113">
        <f t="shared" si="26"/>
        <v>63</v>
      </c>
      <c r="AO86" s="113">
        <f t="shared" si="26"/>
        <v>52</v>
      </c>
      <c r="AP86" s="113">
        <f t="shared" si="26"/>
        <v>57</v>
      </c>
      <c r="AQ86" s="113">
        <f t="shared" si="26"/>
        <v>78</v>
      </c>
      <c r="AR86" s="113">
        <f t="shared" si="26"/>
        <v>93</v>
      </c>
      <c r="AS86" s="113">
        <f t="shared" si="26"/>
        <v>84</v>
      </c>
      <c r="AT86" s="113">
        <f t="shared" si="27"/>
        <v>71</v>
      </c>
      <c r="AU86" s="113">
        <f t="shared" si="27"/>
        <v>83</v>
      </c>
      <c r="AV86" s="113">
        <f t="shared" si="27"/>
        <v>107</v>
      </c>
      <c r="AW86" s="113">
        <f t="shared" si="27"/>
        <v>78</v>
      </c>
      <c r="AX86" s="113">
        <f t="shared" si="27"/>
        <v>58</v>
      </c>
    </row>
    <row r="87" spans="1:50" x14ac:dyDescent="0.25">
      <c r="A87" s="113">
        <v>84</v>
      </c>
      <c r="B87" s="209"/>
      <c r="C87">
        <f>IFERROR(INDEX($BD$7:$BO$35,MATCH(Ajustes!$E$4:$E$323,$BC$7:$BC$35,0),$C$2:$N$2),1)</f>
        <v>1</v>
      </c>
      <c r="D87" s="113">
        <f>IFERROR(INDEX($BD$7:$BO$35,MATCH(Ajustes!$E$4:$E$323,$BC$7:$BC$35,0),$C$2:$N$2),1)</f>
        <v>1</v>
      </c>
      <c r="E87" s="113">
        <f>IFERROR(INDEX($BD$7:$BO$35,MATCH(Ajustes!$E$4:$E$323,$BC$7:$BC$35,0),$C$2:$N$2),1)</f>
        <v>1</v>
      </c>
      <c r="F87" s="113">
        <f>IFERROR(INDEX($BD$7:$BO$35,MATCH(Ajustes!$E$4:$E$323,$BC$7:$BC$35,0),$C$2:$N$2),1)</f>
        <v>1</v>
      </c>
      <c r="G87" s="113">
        <f>IFERROR(INDEX($BD$7:$BO$35,MATCH(Ajustes!$E$4:$E$323,$BC$7:$BC$35,0),$C$2:$N$2),1)</f>
        <v>1</v>
      </c>
      <c r="H87" s="113">
        <f>IFERROR(INDEX($BD$7:$BO$35,MATCH(Ajustes!$E$4:$E$323,$BC$7:$BC$35,0),$C$2:$N$2),1)</f>
        <v>1</v>
      </c>
      <c r="I87" s="113">
        <f>IFERROR(INDEX($BD$7:$BO$35,MATCH(Ajustes!$E$4:$E$323,$BC$7:$BC$35,0),$C$2:$N$2),1)</f>
        <v>1</v>
      </c>
      <c r="J87" s="113">
        <f>IFERROR(INDEX($BD$7:$BO$35,MATCH(Ajustes!$E$4:$E$323,$BC$7:$BC$35,0),$C$2:$N$2),1)</f>
        <v>1</v>
      </c>
      <c r="K87" s="113">
        <f>IFERROR(INDEX($BD$7:$BO$35,MATCH(Ajustes!$E$4:$E$323,$BC$7:$BC$35,0),$C$2:$N$2),1)</f>
        <v>1</v>
      </c>
      <c r="L87" s="113">
        <f>IFERROR(INDEX($BD$7:$BO$35,MATCH(Ajustes!$E$4:$E$323,$BC$7:$BC$35,0),$C$2:$N$2),1)</f>
        <v>1</v>
      </c>
      <c r="M87" s="113">
        <f>IFERROR(INDEX($BD$7:$BO$35,MATCH(Ajustes!$E$4:$E$323,$BC$7:$BC$35,0),$C$2:$N$2),1)</f>
        <v>1</v>
      </c>
      <c r="N87" s="113">
        <f>IFERROR(INDEX($BD$7:$BO$35,MATCH(Ajustes!$E$4:$E$323,$BC$7:$BC$35,0),$C$2:$N$2),1)</f>
        <v>1</v>
      </c>
      <c r="O87">
        <f>C87*Ajustes!AM87</f>
        <v>0</v>
      </c>
      <c r="P87">
        <f>D87*Ajustes!AN87</f>
        <v>0</v>
      </c>
      <c r="Q87">
        <f>E87*Ajustes!AO87</f>
        <v>0</v>
      </c>
      <c r="R87">
        <f>F87*Ajustes!AP87</f>
        <v>0</v>
      </c>
      <c r="S87">
        <f>G87*Ajustes!AQ87</f>
        <v>0</v>
      </c>
      <c r="T87">
        <f>H87*Ajustes!AR87</f>
        <v>0</v>
      </c>
      <c r="U87">
        <f>I87*Ajustes!AS87</f>
        <v>0</v>
      </c>
      <c r="V87">
        <f>J87*Ajustes!AT87</f>
        <v>0</v>
      </c>
      <c r="W87">
        <f>K87*Ajustes!AU87</f>
        <v>0</v>
      </c>
      <c r="X87">
        <f>L87*Ajustes!AV87</f>
        <v>0</v>
      </c>
      <c r="Y87">
        <f>M87*Ajustes!AW87</f>
        <v>0</v>
      </c>
      <c r="Z87">
        <f>N87*Ajustes!AX87</f>
        <v>0</v>
      </c>
      <c r="AA87">
        <f>IF(Ajustes!$G87&gt;0,INDEX($AA$4:$AL$323,Ajustes!$G87,O$2),0)+IF(Ajustes!$H87&gt;0,INDEX($AA$4:$AL$323,Ajustes!$H87,O$2),0)+IF(Ajustes!$I87&gt;0,INDEX($AA$4:$AL$323,Ajustes!$I87,O$2),0)+IF(Ajustes!$J87&gt;0,INDEX($AA$4:$AL$323,Ajustes!$J87,O$2),0)+IF(Ajustes!$K87&gt;0,INDEX($AA$5:$AL$324,Ajustes!$K87,O$2),0)+IF(Ajustes!$L87&gt;0,INDEX($AA$4:$AL$323,Ajustes!$L87,O$2),0) + O87</f>
        <v>0</v>
      </c>
      <c r="AB87">
        <f>IF(Ajustes!$G87&gt;0,INDEX($AA$4:$AL$323,Ajustes!$G87,P$2),0)+IF(Ajustes!$H87&gt;0,INDEX($AA$4:$AL$323,Ajustes!$H87,P$2),0)+IF(Ajustes!$I87&gt;0,INDEX($AA$4:$AL$323,Ajustes!$I87,P$2),0)+IF(Ajustes!$J87&gt;0,INDEX($AA$4:$AL$323,Ajustes!$J87,P$2),0)+IF(Ajustes!$K87&gt;0,INDEX($AA$5:$AL$324,Ajustes!$K87,P$2),0)+IF(Ajustes!$L87&gt;0,INDEX($AA$4:$AL$323,Ajustes!$L87,P$2),0) + P87</f>
        <v>0</v>
      </c>
      <c r="AC87">
        <f>IF(Ajustes!$G87&gt;0,INDEX($AA$4:$AL$323,Ajustes!$G87,Q$2),0)+IF(Ajustes!$H87&gt;0,INDEX($AA$4:$AL$323,Ajustes!$H87,Q$2),0)+IF(Ajustes!$I87&gt;0,INDEX($AA$4:$AL$323,Ajustes!$I87,Q$2),0)+IF(Ajustes!$J87&gt;0,INDEX($AA$4:$AL$323,Ajustes!$J87,Q$2),0)+IF(Ajustes!$K87&gt;0,INDEX($AA$5:$AL$324,Ajustes!$K87,Q$2),0)+IF(Ajustes!$L87&gt;0,INDEX($AA$4:$AL$323,Ajustes!$L87,Q$2),0) + Q87</f>
        <v>0</v>
      </c>
      <c r="AD87">
        <f>IF(Ajustes!$G87&gt;0,INDEX($AA$4:$AL$323,Ajustes!$G87,R$2),0)+IF(Ajustes!$H87&gt;0,INDEX($AA$4:$AL$323,Ajustes!$H87,R$2),0)+IF(Ajustes!$I87&gt;0,INDEX($AA$4:$AL$323,Ajustes!$I87,R$2),0)+IF(Ajustes!$J87&gt;0,INDEX($AA$4:$AL$323,Ajustes!$J87,R$2),0)+IF(Ajustes!$K87&gt;0,INDEX($AA$5:$AL$324,Ajustes!$K87,R$2),0)+IF(Ajustes!$L87&gt;0,INDEX($AA$4:$AL$323,Ajustes!$L87,R$2),0) + R87</f>
        <v>0</v>
      </c>
      <c r="AE87">
        <f>IF(Ajustes!$G87&gt;0,INDEX($AA$4:$AL$323,Ajustes!$G87,S$2),0)+IF(Ajustes!$H87&gt;0,INDEX($AA$4:$AL$323,Ajustes!$H87,S$2),0)+IF(Ajustes!$I87&gt;0,INDEX($AA$4:$AL$323,Ajustes!$I87,S$2),0)+IF(Ajustes!$J87&gt;0,INDEX($AA$4:$AL$323,Ajustes!$J87,S$2),0)+IF(Ajustes!$K87&gt;0,INDEX($AA$5:$AL$324,Ajustes!$K87,S$2),0)+IF(Ajustes!$L87&gt;0,INDEX($AA$4:$AL$323,Ajustes!$L87,S$2),0) + S87</f>
        <v>0</v>
      </c>
      <c r="AF87">
        <f>IF(Ajustes!$G87&gt;0,INDEX($AA$4:$AL$323,Ajustes!$G87,T$2),0)+IF(Ajustes!$H87&gt;0,INDEX($AA$4:$AL$323,Ajustes!$H87,T$2),0)+IF(Ajustes!$I87&gt;0,INDEX($AA$4:$AL$323,Ajustes!$I87,T$2),0)+IF(Ajustes!$J87&gt;0,INDEX($AA$4:$AL$323,Ajustes!$J87,T$2),0)+IF(Ajustes!$K87&gt;0,INDEX($AA$5:$AL$324,Ajustes!$K87,T$2),0)+IF(Ajustes!$L87&gt;0,INDEX($AA$4:$AL$323,Ajustes!$L87,T$2),0) + T87</f>
        <v>0</v>
      </c>
      <c r="AG87">
        <f>IF(Ajustes!$G87&gt;0,INDEX($AA$4:$AL$323,Ajustes!$G87,U$2),0)+IF(Ajustes!$H87&gt;0,INDEX($AA$4:$AL$323,Ajustes!$H87,U$2),0)+IF(Ajustes!$I87&gt;0,INDEX($AA$4:$AL$323,Ajustes!$I87,U$2),0)+IF(Ajustes!$J87&gt;0,INDEX($AA$4:$AL$323,Ajustes!$J87,U$2),0)+IF(Ajustes!$K87&gt;0,INDEX($AA$5:$AL$324,Ajustes!$K87,U$2),0)+IF(Ajustes!$L87&gt;0,INDEX($AA$4:$AL$323,Ajustes!$L87,U$2),0) + U87</f>
        <v>0</v>
      </c>
      <c r="AH87">
        <f>IF(Ajustes!$G87&gt;0,INDEX($AA$4:$AL$323,Ajustes!$G87,V$2),0)+IF(Ajustes!$H87&gt;0,INDEX($AA$4:$AL$323,Ajustes!$H87,V$2),0)+IF(Ajustes!$I87&gt;0,INDEX($AA$4:$AL$323,Ajustes!$I87,V$2),0)+IF(Ajustes!$J87&gt;0,INDEX($AA$4:$AL$323,Ajustes!$J87,V$2),0)+IF(Ajustes!$K87&gt;0,INDEX($AA$5:$AL$324,Ajustes!$K87,V$2),0)+IF(Ajustes!$L87&gt;0,INDEX($AA$4:$AL$323,Ajustes!$L87,V$2),0) + V87</f>
        <v>0</v>
      </c>
      <c r="AI87">
        <f>IF(Ajustes!$G87&gt;0,INDEX($AA$4:$AL$323,Ajustes!$G87,W$2),0)+IF(Ajustes!$H87&gt;0,INDEX($AA$4:$AL$323,Ajustes!$H87,W$2),0)+IF(Ajustes!$I87&gt;0,INDEX($AA$4:$AL$323,Ajustes!$I87,W$2),0)+IF(Ajustes!$J87&gt;0,INDEX($AA$4:$AL$323,Ajustes!$J87,W$2),0)+IF(Ajustes!$K87&gt;0,INDEX($AA$5:$AL$324,Ajustes!$K87,W$2),0)+IF(Ajustes!$L87&gt;0,INDEX($AA$4:$AL$323,Ajustes!$L87,W$2),0) + W87</f>
        <v>0</v>
      </c>
      <c r="AJ87">
        <f>IF(Ajustes!$G87&gt;0,INDEX($AA$4:$AL$323,Ajustes!$G87,X$2),0)+IF(Ajustes!$H87&gt;0,INDEX($AA$4:$AL$323,Ajustes!$H87,X$2),0)+IF(Ajustes!$I87&gt;0,INDEX($AA$4:$AL$323,Ajustes!$I87,X$2),0)+IF(Ajustes!$J87&gt;0,INDEX($AA$4:$AL$323,Ajustes!$J87,X$2),0)+IF(Ajustes!$K87&gt;0,INDEX($AA$5:$AL$324,Ajustes!$K87,X$2),0)+IF(Ajustes!$L87&gt;0,INDEX($AA$4:$AL$323,Ajustes!$L87,X$2),0) + X87</f>
        <v>0</v>
      </c>
      <c r="AK87">
        <f>IF(Ajustes!$G87&gt;0,INDEX($AA$4:$AL$323,Ajustes!$G87,Y$2),0)+IF(Ajustes!$H87&gt;0,INDEX($AA$4:$AL$323,Ajustes!$H87,Y$2),0)+IF(Ajustes!$I87&gt;0,INDEX($AA$4:$AL$323,Ajustes!$I87,Y$2),0)+IF(Ajustes!$J87&gt;0,INDEX($AA$4:$AL$323,Ajustes!$J87,Y$2),0)+IF(Ajustes!$K87&gt;0,INDEX($AA$5:$AL$324,Ajustes!$K87,Y$2),0)+IF(Ajustes!$L87&gt;0,INDEX($AA$4:$AL$323,Ajustes!$L87,Y$2),0) + Y87</f>
        <v>0</v>
      </c>
      <c r="AL87">
        <f>IF(Ajustes!$G87&gt;0,INDEX($AA$4:$AL$323,Ajustes!$G87,Z$2),0)+IF(Ajustes!$H87&gt;0,INDEX($AA$4:$AL$323,Ajustes!$H87,Z$2),0)+IF(Ajustes!$I87&gt;0,INDEX($AA$4:$AL$323,Ajustes!$I87,Z$2),0)+IF(Ajustes!$J87&gt;0,INDEX($AA$4:$AL$323,Ajustes!$J87,Z$2),0)+IF(Ajustes!$K87&gt;0,INDEX($AA$5:$AL$324,Ajustes!$K87,Z$2),0)+IF(Ajustes!$L87&gt;0,INDEX($AA$4:$AL$323,Ajustes!$L87,Z$2),0) + Z87</f>
        <v>0</v>
      </c>
      <c r="AM87" s="113">
        <f t="shared" si="26"/>
        <v>0</v>
      </c>
      <c r="AN87" s="113">
        <f t="shared" si="26"/>
        <v>0</v>
      </c>
      <c r="AO87" s="113">
        <f t="shared" si="26"/>
        <v>0</v>
      </c>
      <c r="AP87" s="113">
        <f t="shared" si="26"/>
        <v>0</v>
      </c>
      <c r="AQ87" s="113">
        <f t="shared" si="26"/>
        <v>0</v>
      </c>
      <c r="AR87" s="113">
        <f t="shared" si="26"/>
        <v>0</v>
      </c>
      <c r="AS87" s="113">
        <f t="shared" si="26"/>
        <v>0</v>
      </c>
      <c r="AT87" s="113">
        <f t="shared" si="27"/>
        <v>0</v>
      </c>
      <c r="AU87" s="113">
        <f t="shared" si="27"/>
        <v>0</v>
      </c>
      <c r="AV87" s="113">
        <f t="shared" si="27"/>
        <v>0</v>
      </c>
      <c r="AW87" s="113">
        <f t="shared" si="27"/>
        <v>0</v>
      </c>
      <c r="AX87" s="113">
        <f t="shared" si="27"/>
        <v>0</v>
      </c>
    </row>
    <row r="88" spans="1:50" x14ac:dyDescent="0.25">
      <c r="A88" s="113">
        <v>85</v>
      </c>
      <c r="B88" s="209" t="s">
        <v>581</v>
      </c>
      <c r="C88">
        <f>IFERROR(INDEX($BD$7:$BO$35,MATCH(Ajustes!$E$4:$E$323,$BC$7:$BC$35,0),$C$2:$N$2),1)</f>
        <v>1</v>
      </c>
      <c r="D88" s="113">
        <f>IFERROR(INDEX($BD$7:$BO$35,MATCH(Ajustes!$E$4:$E$323,$BC$7:$BC$35,0),$C$2:$N$2),1)</f>
        <v>1</v>
      </c>
      <c r="E88" s="113">
        <f>IFERROR(INDEX($BD$7:$BO$35,MATCH(Ajustes!$E$4:$E$323,$BC$7:$BC$35,0),$C$2:$N$2),1)</f>
        <v>1</v>
      </c>
      <c r="F88" s="113">
        <f>IFERROR(INDEX($BD$7:$BO$35,MATCH(Ajustes!$E$4:$E$323,$BC$7:$BC$35,0),$C$2:$N$2),1)</f>
        <v>1</v>
      </c>
      <c r="G88" s="113">
        <f>IFERROR(INDEX($BD$7:$BO$35,MATCH(Ajustes!$E$4:$E$323,$BC$7:$BC$35,0),$C$2:$N$2),1)</f>
        <v>1</v>
      </c>
      <c r="H88" s="113">
        <f>IFERROR(INDEX($BD$7:$BO$35,MATCH(Ajustes!$E$4:$E$323,$BC$7:$BC$35,0),$C$2:$N$2),1)</f>
        <v>1</v>
      </c>
      <c r="I88" s="113">
        <f>IFERROR(INDEX($BD$7:$BO$35,MATCH(Ajustes!$E$4:$E$323,$BC$7:$BC$35,0),$C$2:$N$2),1)</f>
        <v>1</v>
      </c>
      <c r="J88" s="113">
        <f>IFERROR(INDEX($BD$7:$BO$35,MATCH(Ajustes!$E$4:$E$323,$BC$7:$BC$35,0),$C$2:$N$2),1)</f>
        <v>1</v>
      </c>
      <c r="K88" s="113">
        <f>IFERROR(INDEX($BD$7:$BO$35,MATCH(Ajustes!$E$4:$E$323,$BC$7:$BC$35,0),$C$2:$N$2),1)</f>
        <v>1</v>
      </c>
      <c r="L88" s="113">
        <f>IFERROR(INDEX($BD$7:$BO$35,MATCH(Ajustes!$E$4:$E$323,$BC$7:$BC$35,0),$C$2:$N$2),1)</f>
        <v>1</v>
      </c>
      <c r="M88" s="113">
        <f>IFERROR(INDEX($BD$7:$BO$35,MATCH(Ajustes!$E$4:$E$323,$BC$7:$BC$35,0),$C$2:$N$2),1)</f>
        <v>1</v>
      </c>
      <c r="N88" s="113">
        <f>IFERROR(INDEX($BD$7:$BO$35,MATCH(Ajustes!$E$4:$E$323,$BC$7:$BC$35,0),$C$2:$N$2),1)</f>
        <v>1</v>
      </c>
      <c r="O88">
        <f>C88*Ajustes!AM88</f>
        <v>108</v>
      </c>
      <c r="P88">
        <f>D88*Ajustes!AN88</f>
        <v>141</v>
      </c>
      <c r="Q88">
        <f>E88*Ajustes!AO88</f>
        <v>106</v>
      </c>
      <c r="R88">
        <f>F88*Ajustes!AP88</f>
        <v>107</v>
      </c>
      <c r="S88">
        <f>G88*Ajustes!AQ88</f>
        <v>138</v>
      </c>
      <c r="T88">
        <f>H88*Ajustes!AR88</f>
        <v>153</v>
      </c>
      <c r="U88">
        <f>I88*Ajustes!AS88</f>
        <v>202</v>
      </c>
      <c r="V88">
        <f>J88*Ajustes!AT88</f>
        <v>216</v>
      </c>
      <c r="W88">
        <f>K88*Ajustes!AU88</f>
        <v>245</v>
      </c>
      <c r="X88">
        <f>L88*Ajustes!AV88</f>
        <v>207</v>
      </c>
      <c r="Y88">
        <f>M88*Ajustes!AW88</f>
        <v>128</v>
      </c>
      <c r="Z88">
        <f>N88*Ajustes!AX88</f>
        <v>106</v>
      </c>
      <c r="AA88">
        <f>IF(Ajustes!$G88&gt;0,INDEX($AA$4:$AL$323,Ajustes!$G88,O$2),0)+IF(Ajustes!$H88&gt;0,INDEX($AA$4:$AL$323,Ajustes!$H88,O$2),0)+IF(Ajustes!$I88&gt;0,INDEX($AA$4:$AL$323,Ajustes!$I88,O$2),0)+IF(Ajustes!$J88&gt;0,INDEX($AA$4:$AL$323,Ajustes!$J88,O$2),0)+IF(Ajustes!$K88&gt;0,INDEX($AA$5:$AL$324,Ajustes!$K88,O$2),0)+IF(Ajustes!$L88&gt;0,INDEX($AA$4:$AL$323,Ajustes!$L88,O$2),0) + O88</f>
        <v>108</v>
      </c>
      <c r="AB88">
        <f>IF(Ajustes!$G88&gt;0,INDEX($AA$4:$AL$323,Ajustes!$G88,P$2),0)+IF(Ajustes!$H88&gt;0,INDEX($AA$4:$AL$323,Ajustes!$H88,P$2),0)+IF(Ajustes!$I88&gt;0,INDEX($AA$4:$AL$323,Ajustes!$I88,P$2),0)+IF(Ajustes!$J88&gt;0,INDEX($AA$4:$AL$323,Ajustes!$J88,P$2),0)+IF(Ajustes!$K88&gt;0,INDEX($AA$5:$AL$324,Ajustes!$K88,P$2),0)+IF(Ajustes!$L88&gt;0,INDEX($AA$4:$AL$323,Ajustes!$L88,P$2),0) + P88</f>
        <v>141</v>
      </c>
      <c r="AC88">
        <f>IF(Ajustes!$G88&gt;0,INDEX($AA$4:$AL$323,Ajustes!$G88,Q$2),0)+IF(Ajustes!$H88&gt;0,INDEX($AA$4:$AL$323,Ajustes!$H88,Q$2),0)+IF(Ajustes!$I88&gt;0,INDEX($AA$4:$AL$323,Ajustes!$I88,Q$2),0)+IF(Ajustes!$J88&gt;0,INDEX($AA$4:$AL$323,Ajustes!$J88,Q$2),0)+IF(Ajustes!$K88&gt;0,INDEX($AA$5:$AL$324,Ajustes!$K88,Q$2),0)+IF(Ajustes!$L88&gt;0,INDEX($AA$4:$AL$323,Ajustes!$L88,Q$2),0) + Q88</f>
        <v>106</v>
      </c>
      <c r="AD88">
        <f>IF(Ajustes!$G88&gt;0,INDEX($AA$4:$AL$323,Ajustes!$G88,R$2),0)+IF(Ajustes!$H88&gt;0,INDEX($AA$4:$AL$323,Ajustes!$H88,R$2),0)+IF(Ajustes!$I88&gt;0,INDEX($AA$4:$AL$323,Ajustes!$I88,R$2),0)+IF(Ajustes!$J88&gt;0,INDEX($AA$4:$AL$323,Ajustes!$J88,R$2),0)+IF(Ajustes!$K88&gt;0,INDEX($AA$5:$AL$324,Ajustes!$K88,R$2),0)+IF(Ajustes!$L88&gt;0,INDEX($AA$4:$AL$323,Ajustes!$L88,R$2),0) + R88</f>
        <v>107</v>
      </c>
      <c r="AE88">
        <f>IF(Ajustes!$G88&gt;0,INDEX($AA$4:$AL$323,Ajustes!$G88,S$2),0)+IF(Ajustes!$H88&gt;0,INDEX($AA$4:$AL$323,Ajustes!$H88,S$2),0)+IF(Ajustes!$I88&gt;0,INDEX($AA$4:$AL$323,Ajustes!$I88,S$2),0)+IF(Ajustes!$J88&gt;0,INDEX($AA$4:$AL$323,Ajustes!$J88,S$2),0)+IF(Ajustes!$K88&gt;0,INDEX($AA$5:$AL$324,Ajustes!$K88,S$2),0)+IF(Ajustes!$L88&gt;0,INDEX($AA$4:$AL$323,Ajustes!$L88,S$2),0) + S88</f>
        <v>138</v>
      </c>
      <c r="AF88">
        <f>IF(Ajustes!$G88&gt;0,INDEX($AA$4:$AL$323,Ajustes!$G88,T$2),0)+IF(Ajustes!$H88&gt;0,INDEX($AA$4:$AL$323,Ajustes!$H88,T$2),0)+IF(Ajustes!$I88&gt;0,INDEX($AA$4:$AL$323,Ajustes!$I88,T$2),0)+IF(Ajustes!$J88&gt;0,INDEX($AA$4:$AL$323,Ajustes!$J88,T$2),0)+IF(Ajustes!$K88&gt;0,INDEX($AA$5:$AL$324,Ajustes!$K88,T$2),0)+IF(Ajustes!$L88&gt;0,INDEX($AA$4:$AL$323,Ajustes!$L88,T$2),0) + T88</f>
        <v>153</v>
      </c>
      <c r="AG88">
        <f>IF(Ajustes!$G88&gt;0,INDEX($AA$4:$AL$323,Ajustes!$G88,U$2),0)+IF(Ajustes!$H88&gt;0,INDEX($AA$4:$AL$323,Ajustes!$H88,U$2),0)+IF(Ajustes!$I88&gt;0,INDEX($AA$4:$AL$323,Ajustes!$I88,U$2),0)+IF(Ajustes!$J88&gt;0,INDEX($AA$4:$AL$323,Ajustes!$J88,U$2),0)+IF(Ajustes!$K88&gt;0,INDEX($AA$5:$AL$324,Ajustes!$K88,U$2),0)+IF(Ajustes!$L88&gt;0,INDEX($AA$4:$AL$323,Ajustes!$L88,U$2),0) + U88</f>
        <v>202</v>
      </c>
      <c r="AH88">
        <f>IF(Ajustes!$G88&gt;0,INDEX($AA$4:$AL$323,Ajustes!$G88,V$2),0)+IF(Ajustes!$H88&gt;0,INDEX($AA$4:$AL$323,Ajustes!$H88,V$2),0)+IF(Ajustes!$I88&gt;0,INDEX($AA$4:$AL$323,Ajustes!$I88,V$2),0)+IF(Ajustes!$J88&gt;0,INDEX($AA$4:$AL$323,Ajustes!$J88,V$2),0)+IF(Ajustes!$K88&gt;0,INDEX($AA$5:$AL$324,Ajustes!$K88,V$2),0)+IF(Ajustes!$L88&gt;0,INDEX($AA$4:$AL$323,Ajustes!$L88,V$2),0) + V88</f>
        <v>216</v>
      </c>
      <c r="AI88">
        <f>IF(Ajustes!$G88&gt;0,INDEX($AA$4:$AL$323,Ajustes!$G88,W$2),0)+IF(Ajustes!$H88&gt;0,INDEX($AA$4:$AL$323,Ajustes!$H88,W$2),0)+IF(Ajustes!$I88&gt;0,INDEX($AA$4:$AL$323,Ajustes!$I88,W$2),0)+IF(Ajustes!$J88&gt;0,INDEX($AA$4:$AL$323,Ajustes!$J88,W$2),0)+IF(Ajustes!$K88&gt;0,INDEX($AA$5:$AL$324,Ajustes!$K88,W$2),0)+IF(Ajustes!$L88&gt;0,INDEX($AA$4:$AL$323,Ajustes!$L88,W$2),0) + W88</f>
        <v>245</v>
      </c>
      <c r="AJ88">
        <f>IF(Ajustes!$G88&gt;0,INDEX($AA$4:$AL$323,Ajustes!$G88,X$2),0)+IF(Ajustes!$H88&gt;0,INDEX($AA$4:$AL$323,Ajustes!$H88,X$2),0)+IF(Ajustes!$I88&gt;0,INDEX($AA$4:$AL$323,Ajustes!$I88,X$2),0)+IF(Ajustes!$J88&gt;0,INDEX($AA$4:$AL$323,Ajustes!$J88,X$2),0)+IF(Ajustes!$K88&gt;0,INDEX($AA$5:$AL$324,Ajustes!$K88,X$2),0)+IF(Ajustes!$L88&gt;0,INDEX($AA$4:$AL$323,Ajustes!$L88,X$2),0) + X88</f>
        <v>207</v>
      </c>
      <c r="AK88">
        <f>IF(Ajustes!$G88&gt;0,INDEX($AA$4:$AL$323,Ajustes!$G88,Y$2),0)+IF(Ajustes!$H88&gt;0,INDEX($AA$4:$AL$323,Ajustes!$H88,Y$2),0)+IF(Ajustes!$I88&gt;0,INDEX($AA$4:$AL$323,Ajustes!$I88,Y$2),0)+IF(Ajustes!$J88&gt;0,INDEX($AA$4:$AL$323,Ajustes!$J88,Y$2),0)+IF(Ajustes!$K88&gt;0,INDEX($AA$5:$AL$324,Ajustes!$K88,Y$2),0)+IF(Ajustes!$L88&gt;0,INDEX($AA$4:$AL$323,Ajustes!$L88,Y$2),0) + Y88</f>
        <v>128</v>
      </c>
      <c r="AL88">
        <f>IF(Ajustes!$G88&gt;0,INDEX($AA$4:$AL$323,Ajustes!$G88,Z$2),0)+IF(Ajustes!$H88&gt;0,INDEX($AA$4:$AL$323,Ajustes!$H88,Z$2),0)+IF(Ajustes!$I88&gt;0,INDEX($AA$4:$AL$323,Ajustes!$I88,Z$2),0)+IF(Ajustes!$J88&gt;0,INDEX($AA$4:$AL$323,Ajustes!$J88,Z$2),0)+IF(Ajustes!$K88&gt;0,INDEX($AA$5:$AL$324,Ajustes!$K88,Z$2),0)+IF(Ajustes!$L88&gt;0,INDEX($AA$4:$AL$323,Ajustes!$L88,Z$2),0) + Z88</f>
        <v>106</v>
      </c>
      <c r="AM88" s="113">
        <f t="shared" si="26"/>
        <v>108</v>
      </c>
      <c r="AN88" s="113">
        <f t="shared" si="26"/>
        <v>141</v>
      </c>
      <c r="AO88" s="113">
        <f t="shared" si="26"/>
        <v>106</v>
      </c>
      <c r="AP88" s="113">
        <f t="shared" si="26"/>
        <v>107</v>
      </c>
      <c r="AQ88" s="113">
        <f t="shared" si="26"/>
        <v>138</v>
      </c>
      <c r="AR88" s="113">
        <f t="shared" si="26"/>
        <v>153</v>
      </c>
      <c r="AS88" s="113">
        <f t="shared" si="26"/>
        <v>202</v>
      </c>
      <c r="AT88" s="113">
        <f t="shared" si="27"/>
        <v>216</v>
      </c>
      <c r="AU88" s="113">
        <f t="shared" si="27"/>
        <v>245</v>
      </c>
      <c r="AV88" s="113">
        <f t="shared" si="27"/>
        <v>207</v>
      </c>
      <c r="AW88" s="113">
        <f t="shared" si="27"/>
        <v>128</v>
      </c>
      <c r="AX88" s="113">
        <f t="shared" si="27"/>
        <v>106</v>
      </c>
    </row>
    <row r="89" spans="1:50" x14ac:dyDescent="0.25">
      <c r="A89" s="113">
        <v>86</v>
      </c>
      <c r="B89" s="209"/>
      <c r="C89">
        <f>IFERROR(INDEX($BD$7:$BO$35,MATCH(Ajustes!$E$4:$E$323,$BC$7:$BC$35,0),$C$2:$N$2),1)</f>
        <v>1</v>
      </c>
      <c r="D89" s="113">
        <f>IFERROR(INDEX($BD$7:$BO$35,MATCH(Ajustes!$E$4:$E$323,$BC$7:$BC$35,0),$C$2:$N$2),1)</f>
        <v>1</v>
      </c>
      <c r="E89" s="113">
        <f>IFERROR(INDEX($BD$7:$BO$35,MATCH(Ajustes!$E$4:$E$323,$BC$7:$BC$35,0),$C$2:$N$2),1)</f>
        <v>1</v>
      </c>
      <c r="F89" s="113">
        <f>IFERROR(INDEX($BD$7:$BO$35,MATCH(Ajustes!$E$4:$E$323,$BC$7:$BC$35,0),$C$2:$N$2),1)</f>
        <v>1</v>
      </c>
      <c r="G89" s="113">
        <f>IFERROR(INDEX($BD$7:$BO$35,MATCH(Ajustes!$E$4:$E$323,$BC$7:$BC$35,0),$C$2:$N$2),1)</f>
        <v>1</v>
      </c>
      <c r="H89" s="113">
        <f>IFERROR(INDEX($BD$7:$BO$35,MATCH(Ajustes!$E$4:$E$323,$BC$7:$BC$35,0),$C$2:$N$2),1)</f>
        <v>1</v>
      </c>
      <c r="I89" s="113">
        <f>IFERROR(INDEX($BD$7:$BO$35,MATCH(Ajustes!$E$4:$E$323,$BC$7:$BC$35,0),$C$2:$N$2),1)</f>
        <v>1</v>
      </c>
      <c r="J89" s="113">
        <f>IFERROR(INDEX($BD$7:$BO$35,MATCH(Ajustes!$E$4:$E$323,$BC$7:$BC$35,0),$C$2:$N$2),1)</f>
        <v>1</v>
      </c>
      <c r="K89" s="113">
        <f>IFERROR(INDEX($BD$7:$BO$35,MATCH(Ajustes!$E$4:$E$323,$BC$7:$BC$35,0),$C$2:$N$2),1)</f>
        <v>1</v>
      </c>
      <c r="L89" s="113">
        <f>IFERROR(INDEX($BD$7:$BO$35,MATCH(Ajustes!$E$4:$E$323,$BC$7:$BC$35,0),$C$2:$N$2),1)</f>
        <v>1</v>
      </c>
      <c r="M89" s="113">
        <f>IFERROR(INDEX($BD$7:$BO$35,MATCH(Ajustes!$E$4:$E$323,$BC$7:$BC$35,0),$C$2:$N$2),1)</f>
        <v>1</v>
      </c>
      <c r="N89" s="113">
        <f>IFERROR(INDEX($BD$7:$BO$35,MATCH(Ajustes!$E$4:$E$323,$BC$7:$BC$35,0),$C$2:$N$2),1)</f>
        <v>1</v>
      </c>
      <c r="O89">
        <f>C89*Ajustes!AM89</f>
        <v>0</v>
      </c>
      <c r="P89">
        <f>D89*Ajustes!AN89</f>
        <v>0</v>
      </c>
      <c r="Q89">
        <f>E89*Ajustes!AO89</f>
        <v>0</v>
      </c>
      <c r="R89">
        <f>F89*Ajustes!AP89</f>
        <v>0</v>
      </c>
      <c r="S89">
        <f>G89*Ajustes!AQ89</f>
        <v>0</v>
      </c>
      <c r="T89">
        <f>H89*Ajustes!AR89</f>
        <v>0</v>
      </c>
      <c r="U89">
        <f>I89*Ajustes!AS89</f>
        <v>0</v>
      </c>
      <c r="V89">
        <f>J89*Ajustes!AT89</f>
        <v>0</v>
      </c>
      <c r="W89">
        <f>K89*Ajustes!AU89</f>
        <v>0</v>
      </c>
      <c r="X89">
        <f>L89*Ajustes!AV89</f>
        <v>0</v>
      </c>
      <c r="Y89">
        <f>M89*Ajustes!AW89</f>
        <v>0</v>
      </c>
      <c r="Z89">
        <f>N89*Ajustes!AX89</f>
        <v>0</v>
      </c>
      <c r="AA89">
        <f>IF(Ajustes!$G89&gt;0,INDEX($AA$4:$AL$323,Ajustes!$G89,O$2),0)+IF(Ajustes!$H89&gt;0,INDEX($AA$4:$AL$323,Ajustes!$H89,O$2),0)+IF(Ajustes!$I89&gt;0,INDEX($AA$4:$AL$323,Ajustes!$I89,O$2),0)+IF(Ajustes!$J89&gt;0,INDEX($AA$4:$AL$323,Ajustes!$J89,O$2),0)+IF(Ajustes!$K89&gt;0,INDEX($AA$5:$AL$324,Ajustes!$K89,O$2),0)+IF(Ajustes!$L89&gt;0,INDEX($AA$4:$AL$323,Ajustes!$L89,O$2),0) + O89</f>
        <v>0</v>
      </c>
      <c r="AB89">
        <f>IF(Ajustes!$G89&gt;0,INDEX($AA$4:$AL$323,Ajustes!$G89,P$2),0)+IF(Ajustes!$H89&gt;0,INDEX($AA$4:$AL$323,Ajustes!$H89,P$2),0)+IF(Ajustes!$I89&gt;0,INDEX($AA$4:$AL$323,Ajustes!$I89,P$2),0)+IF(Ajustes!$J89&gt;0,INDEX($AA$4:$AL$323,Ajustes!$J89,P$2),0)+IF(Ajustes!$K89&gt;0,INDEX($AA$5:$AL$324,Ajustes!$K89,P$2),0)+IF(Ajustes!$L89&gt;0,INDEX($AA$4:$AL$323,Ajustes!$L89,P$2),0) + P89</f>
        <v>0</v>
      </c>
      <c r="AC89">
        <f>IF(Ajustes!$G89&gt;0,INDEX($AA$4:$AL$323,Ajustes!$G89,Q$2),0)+IF(Ajustes!$H89&gt;0,INDEX($AA$4:$AL$323,Ajustes!$H89,Q$2),0)+IF(Ajustes!$I89&gt;0,INDEX($AA$4:$AL$323,Ajustes!$I89,Q$2),0)+IF(Ajustes!$J89&gt;0,INDEX($AA$4:$AL$323,Ajustes!$J89,Q$2),0)+IF(Ajustes!$K89&gt;0,INDEX($AA$5:$AL$324,Ajustes!$K89,Q$2),0)+IF(Ajustes!$L89&gt;0,INDEX($AA$4:$AL$323,Ajustes!$L89,Q$2),0) + Q89</f>
        <v>0</v>
      </c>
      <c r="AD89">
        <f>IF(Ajustes!$G89&gt;0,INDEX($AA$4:$AL$323,Ajustes!$G89,R$2),0)+IF(Ajustes!$H89&gt;0,INDEX($AA$4:$AL$323,Ajustes!$H89,R$2),0)+IF(Ajustes!$I89&gt;0,INDEX($AA$4:$AL$323,Ajustes!$I89,R$2),0)+IF(Ajustes!$J89&gt;0,INDEX($AA$4:$AL$323,Ajustes!$J89,R$2),0)+IF(Ajustes!$K89&gt;0,INDEX($AA$5:$AL$324,Ajustes!$K89,R$2),0)+IF(Ajustes!$L89&gt;0,INDEX($AA$4:$AL$323,Ajustes!$L89,R$2),0) + R89</f>
        <v>0</v>
      </c>
      <c r="AE89">
        <f>IF(Ajustes!$G89&gt;0,INDEX($AA$4:$AL$323,Ajustes!$G89,S$2),0)+IF(Ajustes!$H89&gt;0,INDEX($AA$4:$AL$323,Ajustes!$H89,S$2),0)+IF(Ajustes!$I89&gt;0,INDEX($AA$4:$AL$323,Ajustes!$I89,S$2),0)+IF(Ajustes!$J89&gt;0,INDEX($AA$4:$AL$323,Ajustes!$J89,S$2),0)+IF(Ajustes!$K89&gt;0,INDEX($AA$5:$AL$324,Ajustes!$K89,S$2),0)+IF(Ajustes!$L89&gt;0,INDEX($AA$4:$AL$323,Ajustes!$L89,S$2),0) + S89</f>
        <v>0</v>
      </c>
      <c r="AF89">
        <f>IF(Ajustes!$G89&gt;0,INDEX($AA$4:$AL$323,Ajustes!$G89,T$2),0)+IF(Ajustes!$H89&gt;0,INDEX($AA$4:$AL$323,Ajustes!$H89,T$2),0)+IF(Ajustes!$I89&gt;0,INDEX($AA$4:$AL$323,Ajustes!$I89,T$2),0)+IF(Ajustes!$J89&gt;0,INDEX($AA$4:$AL$323,Ajustes!$J89,T$2),0)+IF(Ajustes!$K89&gt;0,INDEX($AA$5:$AL$324,Ajustes!$K89,T$2),0)+IF(Ajustes!$L89&gt;0,INDEX($AA$4:$AL$323,Ajustes!$L89,T$2),0) + T89</f>
        <v>0</v>
      </c>
      <c r="AG89">
        <f>IF(Ajustes!$G89&gt;0,INDEX($AA$4:$AL$323,Ajustes!$G89,U$2),0)+IF(Ajustes!$H89&gt;0,INDEX($AA$4:$AL$323,Ajustes!$H89,U$2),0)+IF(Ajustes!$I89&gt;0,INDEX($AA$4:$AL$323,Ajustes!$I89,U$2),0)+IF(Ajustes!$J89&gt;0,INDEX($AA$4:$AL$323,Ajustes!$J89,U$2),0)+IF(Ajustes!$K89&gt;0,INDEX($AA$5:$AL$324,Ajustes!$K89,U$2),0)+IF(Ajustes!$L89&gt;0,INDEX($AA$4:$AL$323,Ajustes!$L89,U$2),0) + U89</f>
        <v>0</v>
      </c>
      <c r="AH89">
        <f>IF(Ajustes!$G89&gt;0,INDEX($AA$4:$AL$323,Ajustes!$G89,V$2),0)+IF(Ajustes!$H89&gt;0,INDEX($AA$4:$AL$323,Ajustes!$H89,V$2),0)+IF(Ajustes!$I89&gt;0,INDEX($AA$4:$AL$323,Ajustes!$I89,V$2),0)+IF(Ajustes!$J89&gt;0,INDEX($AA$4:$AL$323,Ajustes!$J89,V$2),0)+IF(Ajustes!$K89&gt;0,INDEX($AA$5:$AL$324,Ajustes!$K89,V$2),0)+IF(Ajustes!$L89&gt;0,INDEX($AA$4:$AL$323,Ajustes!$L89,V$2),0) + V89</f>
        <v>0</v>
      </c>
      <c r="AI89">
        <f>IF(Ajustes!$G89&gt;0,INDEX($AA$4:$AL$323,Ajustes!$G89,W$2),0)+IF(Ajustes!$H89&gt;0,INDEX($AA$4:$AL$323,Ajustes!$H89,W$2),0)+IF(Ajustes!$I89&gt;0,INDEX($AA$4:$AL$323,Ajustes!$I89,W$2),0)+IF(Ajustes!$J89&gt;0,INDEX($AA$4:$AL$323,Ajustes!$J89,W$2),0)+IF(Ajustes!$K89&gt;0,INDEX($AA$5:$AL$324,Ajustes!$K89,W$2),0)+IF(Ajustes!$L89&gt;0,INDEX($AA$4:$AL$323,Ajustes!$L89,W$2),0) + W89</f>
        <v>0</v>
      </c>
      <c r="AJ89">
        <f>IF(Ajustes!$G89&gt;0,INDEX($AA$4:$AL$323,Ajustes!$G89,X$2),0)+IF(Ajustes!$H89&gt;0,INDEX($AA$4:$AL$323,Ajustes!$H89,X$2),0)+IF(Ajustes!$I89&gt;0,INDEX($AA$4:$AL$323,Ajustes!$I89,X$2),0)+IF(Ajustes!$J89&gt;0,INDEX($AA$4:$AL$323,Ajustes!$J89,X$2),0)+IF(Ajustes!$K89&gt;0,INDEX($AA$5:$AL$324,Ajustes!$K89,X$2),0)+IF(Ajustes!$L89&gt;0,INDEX($AA$4:$AL$323,Ajustes!$L89,X$2),0) + X89</f>
        <v>0</v>
      </c>
      <c r="AK89">
        <f>IF(Ajustes!$G89&gt;0,INDEX($AA$4:$AL$323,Ajustes!$G89,Y$2),0)+IF(Ajustes!$H89&gt;0,INDEX($AA$4:$AL$323,Ajustes!$H89,Y$2),0)+IF(Ajustes!$I89&gt;0,INDEX($AA$4:$AL$323,Ajustes!$I89,Y$2),0)+IF(Ajustes!$J89&gt;0,INDEX($AA$4:$AL$323,Ajustes!$J89,Y$2),0)+IF(Ajustes!$K89&gt;0,INDEX($AA$5:$AL$324,Ajustes!$K89,Y$2),0)+IF(Ajustes!$L89&gt;0,INDEX($AA$4:$AL$323,Ajustes!$L89,Y$2),0) + Y89</f>
        <v>0</v>
      </c>
      <c r="AL89">
        <f>IF(Ajustes!$G89&gt;0,INDEX($AA$4:$AL$323,Ajustes!$G89,Z$2),0)+IF(Ajustes!$H89&gt;0,INDEX($AA$4:$AL$323,Ajustes!$H89,Z$2),0)+IF(Ajustes!$I89&gt;0,INDEX($AA$4:$AL$323,Ajustes!$I89,Z$2),0)+IF(Ajustes!$J89&gt;0,INDEX($AA$4:$AL$323,Ajustes!$J89,Z$2),0)+IF(Ajustes!$K89&gt;0,INDEX($AA$5:$AL$324,Ajustes!$K89,Z$2),0)+IF(Ajustes!$L89&gt;0,INDEX($AA$4:$AL$323,Ajustes!$L89,Z$2),0) + Z89</f>
        <v>0</v>
      </c>
      <c r="AM89" s="113">
        <f t="shared" si="26"/>
        <v>0</v>
      </c>
      <c r="AN89" s="113">
        <f t="shared" si="26"/>
        <v>0</v>
      </c>
      <c r="AO89" s="113">
        <f t="shared" si="26"/>
        <v>0</v>
      </c>
      <c r="AP89" s="113">
        <f t="shared" si="26"/>
        <v>0</v>
      </c>
      <c r="AQ89" s="113">
        <f t="shared" si="26"/>
        <v>0</v>
      </c>
      <c r="AR89" s="113">
        <f t="shared" si="26"/>
        <v>0</v>
      </c>
      <c r="AS89" s="113">
        <f t="shared" si="26"/>
        <v>0</v>
      </c>
      <c r="AT89" s="113">
        <f t="shared" si="27"/>
        <v>0</v>
      </c>
      <c r="AU89" s="113">
        <f t="shared" si="27"/>
        <v>0</v>
      </c>
      <c r="AV89" s="113">
        <f t="shared" si="27"/>
        <v>0</v>
      </c>
      <c r="AW89" s="113">
        <f t="shared" si="27"/>
        <v>0</v>
      </c>
      <c r="AX89" s="113">
        <f t="shared" si="27"/>
        <v>0</v>
      </c>
    </row>
    <row r="90" spans="1:50" x14ac:dyDescent="0.25">
      <c r="A90" s="113">
        <v>87</v>
      </c>
      <c r="B90" s="209"/>
      <c r="C90">
        <f>IFERROR(INDEX($BD$7:$BO$35,MATCH(Ajustes!$E$4:$E$323,$BC$7:$BC$35,0),$C$2:$N$2),1)</f>
        <v>1</v>
      </c>
      <c r="D90" s="113">
        <f>IFERROR(INDEX($BD$7:$BO$35,MATCH(Ajustes!$E$4:$E$323,$BC$7:$BC$35,0),$C$2:$N$2),1)</f>
        <v>1</v>
      </c>
      <c r="E90" s="113">
        <f>IFERROR(INDEX($BD$7:$BO$35,MATCH(Ajustes!$E$4:$E$323,$BC$7:$BC$35,0),$C$2:$N$2),1)</f>
        <v>1</v>
      </c>
      <c r="F90" s="113">
        <f>IFERROR(INDEX($BD$7:$BO$35,MATCH(Ajustes!$E$4:$E$323,$BC$7:$BC$35,0),$C$2:$N$2),1)</f>
        <v>1</v>
      </c>
      <c r="G90" s="113">
        <f>IFERROR(INDEX($BD$7:$BO$35,MATCH(Ajustes!$E$4:$E$323,$BC$7:$BC$35,0),$C$2:$N$2),1)</f>
        <v>1</v>
      </c>
      <c r="H90" s="113">
        <f>IFERROR(INDEX($BD$7:$BO$35,MATCH(Ajustes!$E$4:$E$323,$BC$7:$BC$35,0),$C$2:$N$2),1)</f>
        <v>1</v>
      </c>
      <c r="I90" s="113">
        <f>IFERROR(INDEX($BD$7:$BO$35,MATCH(Ajustes!$E$4:$E$323,$BC$7:$BC$35,0),$C$2:$N$2),1)</f>
        <v>1</v>
      </c>
      <c r="J90" s="113">
        <f>IFERROR(INDEX($BD$7:$BO$35,MATCH(Ajustes!$E$4:$E$323,$BC$7:$BC$35,0),$C$2:$N$2),1)</f>
        <v>1</v>
      </c>
      <c r="K90" s="113">
        <f>IFERROR(INDEX($BD$7:$BO$35,MATCH(Ajustes!$E$4:$E$323,$BC$7:$BC$35,0),$C$2:$N$2),1)</f>
        <v>1</v>
      </c>
      <c r="L90" s="113">
        <f>IFERROR(INDEX($BD$7:$BO$35,MATCH(Ajustes!$E$4:$E$323,$BC$7:$BC$35,0),$C$2:$N$2),1)</f>
        <v>1</v>
      </c>
      <c r="M90" s="113">
        <f>IFERROR(INDEX($BD$7:$BO$35,MATCH(Ajustes!$E$4:$E$323,$BC$7:$BC$35,0),$C$2:$N$2),1)</f>
        <v>1</v>
      </c>
      <c r="N90" s="113">
        <f>IFERROR(INDEX($BD$7:$BO$35,MATCH(Ajustes!$E$4:$E$323,$BC$7:$BC$35,0),$C$2:$N$2),1)</f>
        <v>1</v>
      </c>
      <c r="O90">
        <f>C90*Ajustes!AM90</f>
        <v>0</v>
      </c>
      <c r="P90">
        <f>D90*Ajustes!AN90</f>
        <v>0</v>
      </c>
      <c r="Q90">
        <f>E90*Ajustes!AO90</f>
        <v>0</v>
      </c>
      <c r="R90">
        <f>F90*Ajustes!AP90</f>
        <v>0</v>
      </c>
      <c r="S90">
        <f>G90*Ajustes!AQ90</f>
        <v>0</v>
      </c>
      <c r="T90">
        <f>H90*Ajustes!AR90</f>
        <v>0</v>
      </c>
      <c r="U90">
        <f>I90*Ajustes!AS90</f>
        <v>0</v>
      </c>
      <c r="V90">
        <f>J90*Ajustes!AT90</f>
        <v>0</v>
      </c>
      <c r="W90">
        <f>K90*Ajustes!AU90</f>
        <v>0</v>
      </c>
      <c r="X90">
        <f>L90*Ajustes!AV90</f>
        <v>0</v>
      </c>
      <c r="Y90">
        <f>M90*Ajustes!AW90</f>
        <v>0</v>
      </c>
      <c r="Z90">
        <f>N90*Ajustes!AX90</f>
        <v>0</v>
      </c>
      <c r="AA90">
        <f>IF(Ajustes!$G90&gt;0,INDEX($AA$4:$AL$323,Ajustes!$G90,O$2),0)+IF(Ajustes!$H90&gt;0,INDEX($AA$4:$AL$323,Ajustes!$H90,O$2),0)+IF(Ajustes!$I90&gt;0,INDEX($AA$4:$AL$323,Ajustes!$I90,O$2),0)+IF(Ajustes!$J90&gt;0,INDEX($AA$4:$AL$323,Ajustes!$J90,O$2),0)+IF(Ajustes!$K90&gt;0,INDEX($AA$5:$AL$324,Ajustes!$K90,O$2),0)+IF(Ajustes!$L90&gt;0,INDEX($AA$4:$AL$323,Ajustes!$L90,O$2),0) + O90</f>
        <v>0</v>
      </c>
      <c r="AB90">
        <f>IF(Ajustes!$G90&gt;0,INDEX($AA$4:$AL$323,Ajustes!$G90,P$2),0)+IF(Ajustes!$H90&gt;0,INDEX($AA$4:$AL$323,Ajustes!$H90,P$2),0)+IF(Ajustes!$I90&gt;0,INDEX($AA$4:$AL$323,Ajustes!$I90,P$2),0)+IF(Ajustes!$J90&gt;0,INDEX($AA$4:$AL$323,Ajustes!$J90,P$2),0)+IF(Ajustes!$K90&gt;0,INDEX($AA$5:$AL$324,Ajustes!$K90,P$2),0)+IF(Ajustes!$L90&gt;0,INDEX($AA$4:$AL$323,Ajustes!$L90,P$2),0) + P90</f>
        <v>0</v>
      </c>
      <c r="AC90">
        <f>IF(Ajustes!$G90&gt;0,INDEX($AA$4:$AL$323,Ajustes!$G90,Q$2),0)+IF(Ajustes!$H90&gt;0,INDEX($AA$4:$AL$323,Ajustes!$H90,Q$2),0)+IF(Ajustes!$I90&gt;0,INDEX($AA$4:$AL$323,Ajustes!$I90,Q$2),0)+IF(Ajustes!$J90&gt;0,INDEX($AA$4:$AL$323,Ajustes!$J90,Q$2),0)+IF(Ajustes!$K90&gt;0,INDEX($AA$5:$AL$324,Ajustes!$K90,Q$2),0)+IF(Ajustes!$L90&gt;0,INDEX($AA$4:$AL$323,Ajustes!$L90,Q$2),0) + Q90</f>
        <v>0</v>
      </c>
      <c r="AD90">
        <f>IF(Ajustes!$G90&gt;0,INDEX($AA$4:$AL$323,Ajustes!$G90,R$2),0)+IF(Ajustes!$H90&gt;0,INDEX($AA$4:$AL$323,Ajustes!$H90,R$2),0)+IF(Ajustes!$I90&gt;0,INDEX($AA$4:$AL$323,Ajustes!$I90,R$2),0)+IF(Ajustes!$J90&gt;0,INDEX($AA$4:$AL$323,Ajustes!$J90,R$2),0)+IF(Ajustes!$K90&gt;0,INDEX($AA$5:$AL$324,Ajustes!$K90,R$2),0)+IF(Ajustes!$L90&gt;0,INDEX($AA$4:$AL$323,Ajustes!$L90,R$2),0) + R90</f>
        <v>0</v>
      </c>
      <c r="AE90">
        <f>IF(Ajustes!$G90&gt;0,INDEX($AA$4:$AL$323,Ajustes!$G90,S$2),0)+IF(Ajustes!$H90&gt;0,INDEX($AA$4:$AL$323,Ajustes!$H90,S$2),0)+IF(Ajustes!$I90&gt;0,INDEX($AA$4:$AL$323,Ajustes!$I90,S$2),0)+IF(Ajustes!$J90&gt;0,INDEX($AA$4:$AL$323,Ajustes!$J90,S$2),0)+IF(Ajustes!$K90&gt;0,INDEX($AA$5:$AL$324,Ajustes!$K90,S$2),0)+IF(Ajustes!$L90&gt;0,INDEX($AA$4:$AL$323,Ajustes!$L90,S$2),0) + S90</f>
        <v>0</v>
      </c>
      <c r="AF90">
        <f>IF(Ajustes!$G90&gt;0,INDEX($AA$4:$AL$323,Ajustes!$G90,T$2),0)+IF(Ajustes!$H90&gt;0,INDEX($AA$4:$AL$323,Ajustes!$H90,T$2),0)+IF(Ajustes!$I90&gt;0,INDEX($AA$4:$AL$323,Ajustes!$I90,T$2),0)+IF(Ajustes!$J90&gt;0,INDEX($AA$4:$AL$323,Ajustes!$J90,T$2),0)+IF(Ajustes!$K90&gt;0,INDEX($AA$5:$AL$324,Ajustes!$K90,T$2),0)+IF(Ajustes!$L90&gt;0,INDEX($AA$4:$AL$323,Ajustes!$L90,T$2),0) + T90</f>
        <v>0</v>
      </c>
      <c r="AG90">
        <f>IF(Ajustes!$G90&gt;0,INDEX($AA$4:$AL$323,Ajustes!$G90,U$2),0)+IF(Ajustes!$H90&gt;0,INDEX($AA$4:$AL$323,Ajustes!$H90,U$2),0)+IF(Ajustes!$I90&gt;0,INDEX($AA$4:$AL$323,Ajustes!$I90,U$2),0)+IF(Ajustes!$J90&gt;0,INDEX($AA$4:$AL$323,Ajustes!$J90,U$2),0)+IF(Ajustes!$K90&gt;0,INDEX($AA$5:$AL$324,Ajustes!$K90,U$2),0)+IF(Ajustes!$L90&gt;0,INDEX($AA$4:$AL$323,Ajustes!$L90,U$2),0) + U90</f>
        <v>0</v>
      </c>
      <c r="AH90">
        <f>IF(Ajustes!$G90&gt;0,INDEX($AA$4:$AL$323,Ajustes!$G90,V$2),0)+IF(Ajustes!$H90&gt;0,INDEX($AA$4:$AL$323,Ajustes!$H90,V$2),0)+IF(Ajustes!$I90&gt;0,INDEX($AA$4:$AL$323,Ajustes!$I90,V$2),0)+IF(Ajustes!$J90&gt;0,INDEX($AA$4:$AL$323,Ajustes!$J90,V$2),0)+IF(Ajustes!$K90&gt;0,INDEX($AA$5:$AL$324,Ajustes!$K90,V$2),0)+IF(Ajustes!$L90&gt;0,INDEX($AA$4:$AL$323,Ajustes!$L90,V$2),0) + V90</f>
        <v>0</v>
      </c>
      <c r="AI90">
        <f>IF(Ajustes!$G90&gt;0,INDEX($AA$4:$AL$323,Ajustes!$G90,W$2),0)+IF(Ajustes!$H90&gt;0,INDEX($AA$4:$AL$323,Ajustes!$H90,W$2),0)+IF(Ajustes!$I90&gt;0,INDEX($AA$4:$AL$323,Ajustes!$I90,W$2),0)+IF(Ajustes!$J90&gt;0,INDEX($AA$4:$AL$323,Ajustes!$J90,W$2),0)+IF(Ajustes!$K90&gt;0,INDEX($AA$5:$AL$324,Ajustes!$K90,W$2),0)+IF(Ajustes!$L90&gt;0,INDEX($AA$4:$AL$323,Ajustes!$L90,W$2),0) + W90</f>
        <v>0</v>
      </c>
      <c r="AJ90">
        <f>IF(Ajustes!$G90&gt;0,INDEX($AA$4:$AL$323,Ajustes!$G90,X$2),0)+IF(Ajustes!$H90&gt;0,INDEX($AA$4:$AL$323,Ajustes!$H90,X$2),0)+IF(Ajustes!$I90&gt;0,INDEX($AA$4:$AL$323,Ajustes!$I90,X$2),0)+IF(Ajustes!$J90&gt;0,INDEX($AA$4:$AL$323,Ajustes!$J90,X$2),0)+IF(Ajustes!$K90&gt;0,INDEX($AA$5:$AL$324,Ajustes!$K90,X$2),0)+IF(Ajustes!$L90&gt;0,INDEX($AA$4:$AL$323,Ajustes!$L90,X$2),0) + X90</f>
        <v>0</v>
      </c>
      <c r="AK90">
        <f>IF(Ajustes!$G90&gt;0,INDEX($AA$4:$AL$323,Ajustes!$G90,Y$2),0)+IF(Ajustes!$H90&gt;0,INDEX($AA$4:$AL$323,Ajustes!$H90,Y$2),0)+IF(Ajustes!$I90&gt;0,INDEX($AA$4:$AL$323,Ajustes!$I90,Y$2),0)+IF(Ajustes!$J90&gt;0,INDEX($AA$4:$AL$323,Ajustes!$J90,Y$2),0)+IF(Ajustes!$K90&gt;0,INDEX($AA$5:$AL$324,Ajustes!$K90,Y$2),0)+IF(Ajustes!$L90&gt;0,INDEX($AA$4:$AL$323,Ajustes!$L90,Y$2),0) + Y90</f>
        <v>0</v>
      </c>
      <c r="AL90">
        <f>IF(Ajustes!$G90&gt;0,INDEX($AA$4:$AL$323,Ajustes!$G90,Z$2),0)+IF(Ajustes!$H90&gt;0,INDEX($AA$4:$AL$323,Ajustes!$H90,Z$2),0)+IF(Ajustes!$I90&gt;0,INDEX($AA$4:$AL$323,Ajustes!$I90,Z$2),0)+IF(Ajustes!$J90&gt;0,INDEX($AA$4:$AL$323,Ajustes!$J90,Z$2),0)+IF(Ajustes!$K90&gt;0,INDEX($AA$5:$AL$324,Ajustes!$K90,Z$2),0)+IF(Ajustes!$L90&gt;0,INDEX($AA$4:$AL$323,Ajustes!$L90,Z$2),0) + Z90</f>
        <v>0</v>
      </c>
      <c r="AM90" s="113">
        <f t="shared" si="26"/>
        <v>0</v>
      </c>
      <c r="AN90" s="113">
        <f t="shared" si="26"/>
        <v>0</v>
      </c>
      <c r="AO90" s="113">
        <f t="shared" si="26"/>
        <v>0</v>
      </c>
      <c r="AP90" s="113">
        <f t="shared" si="26"/>
        <v>0</v>
      </c>
      <c r="AQ90" s="113">
        <f t="shared" si="26"/>
        <v>0</v>
      </c>
      <c r="AR90" s="113">
        <f t="shared" si="26"/>
        <v>0</v>
      </c>
      <c r="AS90" s="113">
        <f t="shared" si="26"/>
        <v>0</v>
      </c>
      <c r="AT90" s="113">
        <f t="shared" si="27"/>
        <v>0</v>
      </c>
      <c r="AU90" s="113">
        <f t="shared" si="27"/>
        <v>0</v>
      </c>
      <c r="AV90" s="113">
        <f t="shared" si="27"/>
        <v>0</v>
      </c>
      <c r="AW90" s="113">
        <f t="shared" si="27"/>
        <v>0</v>
      </c>
      <c r="AX90" s="113">
        <f t="shared" si="27"/>
        <v>0</v>
      </c>
    </row>
    <row r="91" spans="1:50" x14ac:dyDescent="0.25">
      <c r="A91" s="113">
        <v>88</v>
      </c>
      <c r="B91" s="209" t="s">
        <v>582</v>
      </c>
      <c r="C91">
        <f>IFERROR(INDEX($BD$7:$BO$35,MATCH(Ajustes!$E$4:$E$323,$BC$7:$BC$35,0),$C$2:$N$2),1)</f>
        <v>1</v>
      </c>
      <c r="D91" s="113">
        <f>IFERROR(INDEX($BD$7:$BO$35,MATCH(Ajustes!$E$4:$E$323,$BC$7:$BC$35,0),$C$2:$N$2),1)</f>
        <v>1</v>
      </c>
      <c r="E91" s="113">
        <f>IFERROR(INDEX($BD$7:$BO$35,MATCH(Ajustes!$E$4:$E$323,$BC$7:$BC$35,0),$C$2:$N$2),1)</f>
        <v>1</v>
      </c>
      <c r="F91" s="113">
        <f>IFERROR(INDEX($BD$7:$BO$35,MATCH(Ajustes!$E$4:$E$323,$BC$7:$BC$35,0),$C$2:$N$2),1)</f>
        <v>1</v>
      </c>
      <c r="G91" s="113">
        <f>IFERROR(INDEX($BD$7:$BO$35,MATCH(Ajustes!$E$4:$E$323,$BC$7:$BC$35,0),$C$2:$N$2),1)</f>
        <v>1</v>
      </c>
      <c r="H91" s="113">
        <f>IFERROR(INDEX($BD$7:$BO$35,MATCH(Ajustes!$E$4:$E$323,$BC$7:$BC$35,0),$C$2:$N$2),1)</f>
        <v>1</v>
      </c>
      <c r="I91" s="113">
        <f>IFERROR(INDEX($BD$7:$BO$35,MATCH(Ajustes!$E$4:$E$323,$BC$7:$BC$35,0),$C$2:$N$2),1)</f>
        <v>1</v>
      </c>
      <c r="J91" s="113">
        <f>IFERROR(INDEX($BD$7:$BO$35,MATCH(Ajustes!$E$4:$E$323,$BC$7:$BC$35,0),$C$2:$N$2),1)</f>
        <v>1</v>
      </c>
      <c r="K91" s="113">
        <f>IFERROR(INDEX($BD$7:$BO$35,MATCH(Ajustes!$E$4:$E$323,$BC$7:$BC$35,0),$C$2:$N$2),1)</f>
        <v>1</v>
      </c>
      <c r="L91" s="113">
        <f>IFERROR(INDEX($BD$7:$BO$35,MATCH(Ajustes!$E$4:$E$323,$BC$7:$BC$35,0),$C$2:$N$2),1)</f>
        <v>1</v>
      </c>
      <c r="M91" s="113">
        <f>IFERROR(INDEX($BD$7:$BO$35,MATCH(Ajustes!$E$4:$E$323,$BC$7:$BC$35,0),$C$2:$N$2),1)</f>
        <v>1</v>
      </c>
      <c r="N91" s="113">
        <f>IFERROR(INDEX($BD$7:$BO$35,MATCH(Ajustes!$E$4:$E$323,$BC$7:$BC$35,0),$C$2:$N$2),1)</f>
        <v>1</v>
      </c>
      <c r="O91">
        <f>C91*Ajustes!AM91</f>
        <v>177</v>
      </c>
      <c r="P91">
        <f>D91*Ajustes!AN91</f>
        <v>222</v>
      </c>
      <c r="Q91">
        <f>E91*Ajustes!AO91</f>
        <v>180</v>
      </c>
      <c r="R91">
        <f>F91*Ajustes!AP91</f>
        <v>158</v>
      </c>
      <c r="S91">
        <f>G91*Ajustes!AQ91</f>
        <v>203</v>
      </c>
      <c r="T91">
        <f>H91*Ajustes!AR91</f>
        <v>222</v>
      </c>
      <c r="U91">
        <f>I91*Ajustes!AS91</f>
        <v>265</v>
      </c>
      <c r="V91">
        <f>J91*Ajustes!AT91</f>
        <v>285</v>
      </c>
      <c r="W91">
        <f>K91*Ajustes!AU91</f>
        <v>336</v>
      </c>
      <c r="X91">
        <f>L91*Ajustes!AV91</f>
        <v>350</v>
      </c>
      <c r="Y91">
        <f>M91*Ajustes!AW91</f>
        <v>232</v>
      </c>
      <c r="Z91">
        <f>N91*Ajustes!AX91</f>
        <v>170</v>
      </c>
      <c r="AA91">
        <f>IF(Ajustes!$G91&gt;0,INDEX($AA$4:$AL$323,Ajustes!$G91,O$2),0)+IF(Ajustes!$H91&gt;0,INDEX($AA$4:$AL$323,Ajustes!$H91,O$2),0)+IF(Ajustes!$I91&gt;0,INDEX($AA$4:$AL$323,Ajustes!$I91,O$2),0)+IF(Ajustes!$J91&gt;0,INDEX($AA$4:$AL$323,Ajustes!$J91,O$2),0)+IF(Ajustes!$K91&gt;0,INDEX($AA$5:$AL$324,Ajustes!$K91,O$2),0)+IF(Ajustes!$L91&gt;0,INDEX($AA$4:$AL$323,Ajustes!$L91,O$2),0) + O91</f>
        <v>177</v>
      </c>
      <c r="AB91">
        <f>IF(Ajustes!$G91&gt;0,INDEX($AA$4:$AL$323,Ajustes!$G91,P$2),0)+IF(Ajustes!$H91&gt;0,INDEX($AA$4:$AL$323,Ajustes!$H91,P$2),0)+IF(Ajustes!$I91&gt;0,INDEX($AA$4:$AL$323,Ajustes!$I91,P$2),0)+IF(Ajustes!$J91&gt;0,INDEX($AA$4:$AL$323,Ajustes!$J91,P$2),0)+IF(Ajustes!$K91&gt;0,INDEX($AA$5:$AL$324,Ajustes!$K91,P$2),0)+IF(Ajustes!$L91&gt;0,INDEX($AA$4:$AL$323,Ajustes!$L91,P$2),0) + P91</f>
        <v>222</v>
      </c>
      <c r="AC91">
        <f>IF(Ajustes!$G91&gt;0,INDEX($AA$4:$AL$323,Ajustes!$G91,Q$2),0)+IF(Ajustes!$H91&gt;0,INDEX($AA$4:$AL$323,Ajustes!$H91,Q$2),0)+IF(Ajustes!$I91&gt;0,INDEX($AA$4:$AL$323,Ajustes!$I91,Q$2),0)+IF(Ajustes!$J91&gt;0,INDEX($AA$4:$AL$323,Ajustes!$J91,Q$2),0)+IF(Ajustes!$K91&gt;0,INDEX($AA$5:$AL$324,Ajustes!$K91,Q$2),0)+IF(Ajustes!$L91&gt;0,INDEX($AA$4:$AL$323,Ajustes!$L91,Q$2),0) + Q91</f>
        <v>180</v>
      </c>
      <c r="AD91">
        <f>IF(Ajustes!$G91&gt;0,INDEX($AA$4:$AL$323,Ajustes!$G91,R$2),0)+IF(Ajustes!$H91&gt;0,INDEX($AA$4:$AL$323,Ajustes!$H91,R$2),0)+IF(Ajustes!$I91&gt;0,INDEX($AA$4:$AL$323,Ajustes!$I91,R$2),0)+IF(Ajustes!$J91&gt;0,INDEX($AA$4:$AL$323,Ajustes!$J91,R$2),0)+IF(Ajustes!$K91&gt;0,INDEX($AA$5:$AL$324,Ajustes!$K91,R$2),0)+IF(Ajustes!$L91&gt;0,INDEX($AA$4:$AL$323,Ajustes!$L91,R$2),0) + R91</f>
        <v>158</v>
      </c>
      <c r="AE91">
        <f>IF(Ajustes!$G91&gt;0,INDEX($AA$4:$AL$323,Ajustes!$G91,S$2),0)+IF(Ajustes!$H91&gt;0,INDEX($AA$4:$AL$323,Ajustes!$H91,S$2),0)+IF(Ajustes!$I91&gt;0,INDEX($AA$4:$AL$323,Ajustes!$I91,S$2),0)+IF(Ajustes!$J91&gt;0,INDEX($AA$4:$AL$323,Ajustes!$J91,S$2),0)+IF(Ajustes!$K91&gt;0,INDEX($AA$5:$AL$324,Ajustes!$K91,S$2),0)+IF(Ajustes!$L91&gt;0,INDEX($AA$4:$AL$323,Ajustes!$L91,S$2),0) + S91</f>
        <v>203</v>
      </c>
      <c r="AF91">
        <f>IF(Ajustes!$G91&gt;0,INDEX($AA$4:$AL$323,Ajustes!$G91,T$2),0)+IF(Ajustes!$H91&gt;0,INDEX($AA$4:$AL$323,Ajustes!$H91,T$2),0)+IF(Ajustes!$I91&gt;0,INDEX($AA$4:$AL$323,Ajustes!$I91,T$2),0)+IF(Ajustes!$J91&gt;0,INDEX($AA$4:$AL$323,Ajustes!$J91,T$2),0)+IF(Ajustes!$K91&gt;0,INDEX($AA$5:$AL$324,Ajustes!$K91,T$2),0)+IF(Ajustes!$L91&gt;0,INDEX($AA$4:$AL$323,Ajustes!$L91,T$2),0) + T91</f>
        <v>222</v>
      </c>
      <c r="AG91">
        <f>IF(Ajustes!$G91&gt;0,INDEX($AA$4:$AL$323,Ajustes!$G91,U$2),0)+IF(Ajustes!$H91&gt;0,INDEX($AA$4:$AL$323,Ajustes!$H91,U$2),0)+IF(Ajustes!$I91&gt;0,INDEX($AA$4:$AL$323,Ajustes!$I91,U$2),0)+IF(Ajustes!$J91&gt;0,INDEX($AA$4:$AL$323,Ajustes!$J91,U$2),0)+IF(Ajustes!$K91&gt;0,INDEX($AA$5:$AL$324,Ajustes!$K91,U$2),0)+IF(Ajustes!$L91&gt;0,INDEX($AA$4:$AL$323,Ajustes!$L91,U$2),0) + U91</f>
        <v>265</v>
      </c>
      <c r="AH91">
        <f>IF(Ajustes!$G91&gt;0,INDEX($AA$4:$AL$323,Ajustes!$G91,V$2),0)+IF(Ajustes!$H91&gt;0,INDEX($AA$4:$AL$323,Ajustes!$H91,V$2),0)+IF(Ajustes!$I91&gt;0,INDEX($AA$4:$AL$323,Ajustes!$I91,V$2),0)+IF(Ajustes!$J91&gt;0,INDEX($AA$4:$AL$323,Ajustes!$J91,V$2),0)+IF(Ajustes!$K91&gt;0,INDEX($AA$5:$AL$324,Ajustes!$K91,V$2),0)+IF(Ajustes!$L91&gt;0,INDEX($AA$4:$AL$323,Ajustes!$L91,V$2),0) + V91</f>
        <v>285</v>
      </c>
      <c r="AI91">
        <f>IF(Ajustes!$G91&gt;0,INDEX($AA$4:$AL$323,Ajustes!$G91,W$2),0)+IF(Ajustes!$H91&gt;0,INDEX($AA$4:$AL$323,Ajustes!$H91,W$2),0)+IF(Ajustes!$I91&gt;0,INDEX($AA$4:$AL$323,Ajustes!$I91,W$2),0)+IF(Ajustes!$J91&gt;0,INDEX($AA$4:$AL$323,Ajustes!$J91,W$2),0)+IF(Ajustes!$K91&gt;0,INDEX($AA$5:$AL$324,Ajustes!$K91,W$2),0)+IF(Ajustes!$L91&gt;0,INDEX($AA$4:$AL$323,Ajustes!$L91,W$2),0) + W91</f>
        <v>336</v>
      </c>
      <c r="AJ91">
        <f>IF(Ajustes!$G91&gt;0,INDEX($AA$4:$AL$323,Ajustes!$G91,X$2),0)+IF(Ajustes!$H91&gt;0,INDEX($AA$4:$AL$323,Ajustes!$H91,X$2),0)+IF(Ajustes!$I91&gt;0,INDEX($AA$4:$AL$323,Ajustes!$I91,X$2),0)+IF(Ajustes!$J91&gt;0,INDEX($AA$4:$AL$323,Ajustes!$J91,X$2),0)+IF(Ajustes!$K91&gt;0,INDEX($AA$5:$AL$324,Ajustes!$K91,X$2),0)+IF(Ajustes!$L91&gt;0,INDEX($AA$4:$AL$323,Ajustes!$L91,X$2),0) + X91</f>
        <v>350</v>
      </c>
      <c r="AK91">
        <f>IF(Ajustes!$G91&gt;0,INDEX($AA$4:$AL$323,Ajustes!$G91,Y$2),0)+IF(Ajustes!$H91&gt;0,INDEX($AA$4:$AL$323,Ajustes!$H91,Y$2),0)+IF(Ajustes!$I91&gt;0,INDEX($AA$4:$AL$323,Ajustes!$I91,Y$2),0)+IF(Ajustes!$J91&gt;0,INDEX($AA$4:$AL$323,Ajustes!$J91,Y$2),0)+IF(Ajustes!$K91&gt;0,INDEX($AA$5:$AL$324,Ajustes!$K91,Y$2),0)+IF(Ajustes!$L91&gt;0,INDEX($AA$4:$AL$323,Ajustes!$L91,Y$2),0) + Y91</f>
        <v>232</v>
      </c>
      <c r="AL91">
        <f>IF(Ajustes!$G91&gt;0,INDEX($AA$4:$AL$323,Ajustes!$G91,Z$2),0)+IF(Ajustes!$H91&gt;0,INDEX($AA$4:$AL$323,Ajustes!$H91,Z$2),0)+IF(Ajustes!$I91&gt;0,INDEX($AA$4:$AL$323,Ajustes!$I91,Z$2),0)+IF(Ajustes!$J91&gt;0,INDEX($AA$4:$AL$323,Ajustes!$J91,Z$2),0)+IF(Ajustes!$K91&gt;0,INDEX($AA$5:$AL$324,Ajustes!$K91,Z$2),0)+IF(Ajustes!$L91&gt;0,INDEX($AA$4:$AL$323,Ajustes!$L91,Z$2),0) + Z91</f>
        <v>170</v>
      </c>
      <c r="AM91" s="113">
        <f t="shared" si="26"/>
        <v>177</v>
      </c>
      <c r="AN91" s="113">
        <f t="shared" si="26"/>
        <v>222</v>
      </c>
      <c r="AO91" s="113">
        <f t="shared" si="26"/>
        <v>180</v>
      </c>
      <c r="AP91" s="113">
        <f t="shared" si="26"/>
        <v>158</v>
      </c>
      <c r="AQ91" s="113">
        <f t="shared" si="26"/>
        <v>203</v>
      </c>
      <c r="AR91" s="113">
        <f t="shared" si="26"/>
        <v>222</v>
      </c>
      <c r="AS91" s="113">
        <f t="shared" si="26"/>
        <v>265</v>
      </c>
      <c r="AT91" s="113">
        <f t="shared" si="27"/>
        <v>285</v>
      </c>
      <c r="AU91" s="113">
        <f t="shared" si="27"/>
        <v>336</v>
      </c>
      <c r="AV91" s="113">
        <f t="shared" si="27"/>
        <v>350</v>
      </c>
      <c r="AW91" s="113">
        <f t="shared" si="27"/>
        <v>232</v>
      </c>
      <c r="AX91" s="113">
        <f t="shared" si="27"/>
        <v>170</v>
      </c>
    </row>
    <row r="92" spans="1:50" x14ac:dyDescent="0.25">
      <c r="A92" s="113">
        <v>89</v>
      </c>
      <c r="B92" s="209" t="s">
        <v>583</v>
      </c>
      <c r="C92">
        <f>IFERROR(INDEX($BD$7:$BO$35,MATCH(Ajustes!$E$4:$E$323,$BC$7:$BC$35,0),$C$2:$N$2),1)</f>
        <v>1</v>
      </c>
      <c r="D92" s="113">
        <f>IFERROR(INDEX($BD$7:$BO$35,MATCH(Ajustes!$E$4:$E$323,$BC$7:$BC$35,0),$C$2:$N$2),1)</f>
        <v>1</v>
      </c>
      <c r="E92" s="113">
        <f>IFERROR(INDEX($BD$7:$BO$35,MATCH(Ajustes!$E$4:$E$323,$BC$7:$BC$35,0),$C$2:$N$2),1)</f>
        <v>1</v>
      </c>
      <c r="F92" s="113">
        <f>IFERROR(INDEX($BD$7:$BO$35,MATCH(Ajustes!$E$4:$E$323,$BC$7:$BC$35,0),$C$2:$N$2),1)</f>
        <v>1</v>
      </c>
      <c r="G92" s="113">
        <f>IFERROR(INDEX($BD$7:$BO$35,MATCH(Ajustes!$E$4:$E$323,$BC$7:$BC$35,0),$C$2:$N$2),1)</f>
        <v>1</v>
      </c>
      <c r="H92" s="113">
        <f>IFERROR(INDEX($BD$7:$BO$35,MATCH(Ajustes!$E$4:$E$323,$BC$7:$BC$35,0),$C$2:$N$2),1)</f>
        <v>1</v>
      </c>
      <c r="I92" s="113">
        <f>IFERROR(INDEX($BD$7:$BO$35,MATCH(Ajustes!$E$4:$E$323,$BC$7:$BC$35,0),$C$2:$N$2),1)</f>
        <v>1</v>
      </c>
      <c r="J92" s="113">
        <f>IFERROR(INDEX($BD$7:$BO$35,MATCH(Ajustes!$E$4:$E$323,$BC$7:$BC$35,0),$C$2:$N$2),1)</f>
        <v>1</v>
      </c>
      <c r="K92" s="113">
        <f>IFERROR(INDEX($BD$7:$BO$35,MATCH(Ajustes!$E$4:$E$323,$BC$7:$BC$35,0),$C$2:$N$2),1)</f>
        <v>1</v>
      </c>
      <c r="L92" s="113">
        <f>IFERROR(INDEX($BD$7:$BO$35,MATCH(Ajustes!$E$4:$E$323,$BC$7:$BC$35,0),$C$2:$N$2),1)</f>
        <v>1</v>
      </c>
      <c r="M92" s="113">
        <f>IFERROR(INDEX($BD$7:$BO$35,MATCH(Ajustes!$E$4:$E$323,$BC$7:$BC$35,0),$C$2:$N$2),1)</f>
        <v>1</v>
      </c>
      <c r="N92" s="113">
        <f>IFERROR(INDEX($BD$7:$BO$35,MATCH(Ajustes!$E$4:$E$323,$BC$7:$BC$35,0),$C$2:$N$2),1)</f>
        <v>1</v>
      </c>
      <c r="O92">
        <f>C92*Ajustes!AM92</f>
        <v>209</v>
      </c>
      <c r="P92">
        <f>D92*Ajustes!AN92</f>
        <v>261</v>
      </c>
      <c r="Q92">
        <f>E92*Ajustes!AO92</f>
        <v>211</v>
      </c>
      <c r="R92">
        <f>F92*Ajustes!AP92</f>
        <v>192</v>
      </c>
      <c r="S92">
        <f>G92*Ajustes!AQ92</f>
        <v>251</v>
      </c>
      <c r="T92">
        <f>H92*Ajustes!AR92</f>
        <v>274</v>
      </c>
      <c r="U92">
        <f>I92*Ajustes!AS92</f>
        <v>329</v>
      </c>
      <c r="V92">
        <f>J92*Ajustes!AT92</f>
        <v>346</v>
      </c>
      <c r="W92">
        <f>K92*Ajustes!AU92</f>
        <v>415</v>
      </c>
      <c r="X92">
        <f>L92*Ajustes!AV92</f>
        <v>427</v>
      </c>
      <c r="Y92">
        <f>M92*Ajustes!AW92</f>
        <v>282</v>
      </c>
      <c r="Z92">
        <f>N92*Ajustes!AX92</f>
        <v>204</v>
      </c>
      <c r="AA92">
        <f>IF(Ajustes!$G92&gt;0,INDEX($AA$4:$AL$323,Ajustes!$G92,O$2),0)+IF(Ajustes!$H92&gt;0,INDEX($AA$4:$AL$323,Ajustes!$H92,O$2),0)+IF(Ajustes!$I92&gt;0,INDEX($AA$4:$AL$323,Ajustes!$I92,O$2),0)+IF(Ajustes!$J92&gt;0,INDEX($AA$4:$AL$323,Ajustes!$J92,O$2),0)+IF(Ajustes!$K92&gt;0,INDEX($AA$5:$AL$324,Ajustes!$K92,O$2),0)+IF(Ajustes!$L92&gt;0,INDEX($AA$4:$AL$323,Ajustes!$L92,O$2),0) + O92</f>
        <v>209</v>
      </c>
      <c r="AB92">
        <f>IF(Ajustes!$G92&gt;0,INDEX($AA$4:$AL$323,Ajustes!$G92,P$2),0)+IF(Ajustes!$H92&gt;0,INDEX($AA$4:$AL$323,Ajustes!$H92,P$2),0)+IF(Ajustes!$I92&gt;0,INDEX($AA$4:$AL$323,Ajustes!$I92,P$2),0)+IF(Ajustes!$J92&gt;0,INDEX($AA$4:$AL$323,Ajustes!$J92,P$2),0)+IF(Ajustes!$K92&gt;0,INDEX($AA$5:$AL$324,Ajustes!$K92,P$2),0)+IF(Ajustes!$L92&gt;0,INDEX($AA$4:$AL$323,Ajustes!$L92,P$2),0) + P92</f>
        <v>261</v>
      </c>
      <c r="AC92">
        <f>IF(Ajustes!$G92&gt;0,INDEX($AA$4:$AL$323,Ajustes!$G92,Q$2),0)+IF(Ajustes!$H92&gt;0,INDEX($AA$4:$AL$323,Ajustes!$H92,Q$2),0)+IF(Ajustes!$I92&gt;0,INDEX($AA$4:$AL$323,Ajustes!$I92,Q$2),0)+IF(Ajustes!$J92&gt;0,INDEX($AA$4:$AL$323,Ajustes!$J92,Q$2),0)+IF(Ajustes!$K92&gt;0,INDEX($AA$5:$AL$324,Ajustes!$K92,Q$2),0)+IF(Ajustes!$L92&gt;0,INDEX($AA$4:$AL$323,Ajustes!$L92,Q$2),0) + Q92</f>
        <v>211</v>
      </c>
      <c r="AD92">
        <f>IF(Ajustes!$G92&gt;0,INDEX($AA$4:$AL$323,Ajustes!$G92,R$2),0)+IF(Ajustes!$H92&gt;0,INDEX($AA$4:$AL$323,Ajustes!$H92,R$2),0)+IF(Ajustes!$I92&gt;0,INDEX($AA$4:$AL$323,Ajustes!$I92,R$2),0)+IF(Ajustes!$J92&gt;0,INDEX($AA$4:$AL$323,Ajustes!$J92,R$2),0)+IF(Ajustes!$K92&gt;0,INDEX($AA$5:$AL$324,Ajustes!$K92,R$2),0)+IF(Ajustes!$L92&gt;0,INDEX($AA$4:$AL$323,Ajustes!$L92,R$2),0) + R92</f>
        <v>192</v>
      </c>
      <c r="AE92">
        <f>IF(Ajustes!$G92&gt;0,INDEX($AA$4:$AL$323,Ajustes!$G92,S$2),0)+IF(Ajustes!$H92&gt;0,INDEX($AA$4:$AL$323,Ajustes!$H92,S$2),0)+IF(Ajustes!$I92&gt;0,INDEX($AA$4:$AL$323,Ajustes!$I92,S$2),0)+IF(Ajustes!$J92&gt;0,INDEX($AA$4:$AL$323,Ajustes!$J92,S$2),0)+IF(Ajustes!$K92&gt;0,INDEX($AA$5:$AL$324,Ajustes!$K92,S$2),0)+IF(Ajustes!$L92&gt;0,INDEX($AA$4:$AL$323,Ajustes!$L92,S$2),0) + S92</f>
        <v>251</v>
      </c>
      <c r="AF92">
        <f>IF(Ajustes!$G92&gt;0,INDEX($AA$4:$AL$323,Ajustes!$G92,T$2),0)+IF(Ajustes!$H92&gt;0,INDEX($AA$4:$AL$323,Ajustes!$H92,T$2),0)+IF(Ajustes!$I92&gt;0,INDEX($AA$4:$AL$323,Ajustes!$I92,T$2),0)+IF(Ajustes!$J92&gt;0,INDEX($AA$4:$AL$323,Ajustes!$J92,T$2),0)+IF(Ajustes!$K92&gt;0,INDEX($AA$5:$AL$324,Ajustes!$K92,T$2),0)+IF(Ajustes!$L92&gt;0,INDEX($AA$4:$AL$323,Ajustes!$L92,T$2),0) + T92</f>
        <v>274</v>
      </c>
      <c r="AG92">
        <f>IF(Ajustes!$G92&gt;0,INDEX($AA$4:$AL$323,Ajustes!$G92,U$2),0)+IF(Ajustes!$H92&gt;0,INDEX($AA$4:$AL$323,Ajustes!$H92,U$2),0)+IF(Ajustes!$I92&gt;0,INDEX($AA$4:$AL$323,Ajustes!$I92,U$2),0)+IF(Ajustes!$J92&gt;0,INDEX($AA$4:$AL$323,Ajustes!$J92,U$2),0)+IF(Ajustes!$K92&gt;0,INDEX($AA$5:$AL$324,Ajustes!$K92,U$2),0)+IF(Ajustes!$L92&gt;0,INDEX($AA$4:$AL$323,Ajustes!$L92,U$2),0) + U92</f>
        <v>329</v>
      </c>
      <c r="AH92">
        <f>IF(Ajustes!$G92&gt;0,INDEX($AA$4:$AL$323,Ajustes!$G92,V$2),0)+IF(Ajustes!$H92&gt;0,INDEX($AA$4:$AL$323,Ajustes!$H92,V$2),0)+IF(Ajustes!$I92&gt;0,INDEX($AA$4:$AL$323,Ajustes!$I92,V$2),0)+IF(Ajustes!$J92&gt;0,INDEX($AA$4:$AL$323,Ajustes!$J92,V$2),0)+IF(Ajustes!$K92&gt;0,INDEX($AA$5:$AL$324,Ajustes!$K92,V$2),0)+IF(Ajustes!$L92&gt;0,INDEX($AA$4:$AL$323,Ajustes!$L92,V$2),0) + V92</f>
        <v>346</v>
      </c>
      <c r="AI92">
        <f>IF(Ajustes!$G92&gt;0,INDEX($AA$4:$AL$323,Ajustes!$G92,W$2),0)+IF(Ajustes!$H92&gt;0,INDEX($AA$4:$AL$323,Ajustes!$H92,W$2),0)+IF(Ajustes!$I92&gt;0,INDEX($AA$4:$AL$323,Ajustes!$I92,W$2),0)+IF(Ajustes!$J92&gt;0,INDEX($AA$4:$AL$323,Ajustes!$J92,W$2),0)+IF(Ajustes!$K92&gt;0,INDEX($AA$5:$AL$324,Ajustes!$K92,W$2),0)+IF(Ajustes!$L92&gt;0,INDEX($AA$4:$AL$323,Ajustes!$L92,W$2),0) + W92</f>
        <v>415</v>
      </c>
      <c r="AJ92">
        <f>IF(Ajustes!$G92&gt;0,INDEX($AA$4:$AL$323,Ajustes!$G92,X$2),0)+IF(Ajustes!$H92&gt;0,INDEX($AA$4:$AL$323,Ajustes!$H92,X$2),0)+IF(Ajustes!$I92&gt;0,INDEX($AA$4:$AL$323,Ajustes!$I92,X$2),0)+IF(Ajustes!$J92&gt;0,INDEX($AA$4:$AL$323,Ajustes!$J92,X$2),0)+IF(Ajustes!$K92&gt;0,INDEX($AA$5:$AL$324,Ajustes!$K92,X$2),0)+IF(Ajustes!$L92&gt;0,INDEX($AA$4:$AL$323,Ajustes!$L92,X$2),0) + X92</f>
        <v>427</v>
      </c>
      <c r="AK92">
        <f>IF(Ajustes!$G92&gt;0,INDEX($AA$4:$AL$323,Ajustes!$G92,Y$2),0)+IF(Ajustes!$H92&gt;0,INDEX($AA$4:$AL$323,Ajustes!$H92,Y$2),0)+IF(Ajustes!$I92&gt;0,INDEX($AA$4:$AL$323,Ajustes!$I92,Y$2),0)+IF(Ajustes!$J92&gt;0,INDEX($AA$4:$AL$323,Ajustes!$J92,Y$2),0)+IF(Ajustes!$K92&gt;0,INDEX($AA$5:$AL$324,Ajustes!$K92,Y$2),0)+IF(Ajustes!$L92&gt;0,INDEX($AA$4:$AL$323,Ajustes!$L92,Y$2),0) + Y92</f>
        <v>282</v>
      </c>
      <c r="AL92">
        <f>IF(Ajustes!$G92&gt;0,INDEX($AA$4:$AL$323,Ajustes!$G92,Z$2),0)+IF(Ajustes!$H92&gt;0,INDEX($AA$4:$AL$323,Ajustes!$H92,Z$2),0)+IF(Ajustes!$I92&gt;0,INDEX($AA$4:$AL$323,Ajustes!$I92,Z$2),0)+IF(Ajustes!$J92&gt;0,INDEX($AA$4:$AL$323,Ajustes!$J92,Z$2),0)+IF(Ajustes!$K92&gt;0,INDEX($AA$5:$AL$324,Ajustes!$K92,Z$2),0)+IF(Ajustes!$L92&gt;0,INDEX($AA$4:$AL$323,Ajustes!$L92,Z$2),0) + Z92</f>
        <v>204</v>
      </c>
      <c r="AM92" s="113">
        <f t="shared" si="26"/>
        <v>209</v>
      </c>
      <c r="AN92" s="113">
        <f t="shared" si="26"/>
        <v>261</v>
      </c>
      <c r="AO92" s="113">
        <f t="shared" si="26"/>
        <v>211</v>
      </c>
      <c r="AP92" s="113">
        <f t="shared" si="26"/>
        <v>192</v>
      </c>
      <c r="AQ92" s="113">
        <f t="shared" si="26"/>
        <v>251</v>
      </c>
      <c r="AR92" s="113">
        <f t="shared" si="26"/>
        <v>274</v>
      </c>
      <c r="AS92" s="113">
        <f t="shared" si="26"/>
        <v>329</v>
      </c>
      <c r="AT92" s="113">
        <f t="shared" si="27"/>
        <v>346</v>
      </c>
      <c r="AU92" s="113">
        <f t="shared" si="27"/>
        <v>415</v>
      </c>
      <c r="AV92" s="113">
        <f t="shared" si="27"/>
        <v>427</v>
      </c>
      <c r="AW92" s="113">
        <f t="shared" si="27"/>
        <v>282</v>
      </c>
      <c r="AX92" s="113">
        <f t="shared" si="27"/>
        <v>204</v>
      </c>
    </row>
    <row r="93" spans="1:50" x14ac:dyDescent="0.25">
      <c r="A93" s="113">
        <v>90</v>
      </c>
      <c r="B93" s="209"/>
      <c r="C93">
        <f>IFERROR(INDEX($BD$7:$BO$35,MATCH(Ajustes!$E$4:$E$323,$BC$7:$BC$35,0),$C$2:$N$2),1)</f>
        <v>1</v>
      </c>
      <c r="D93" s="113">
        <f>IFERROR(INDEX($BD$7:$BO$35,MATCH(Ajustes!$E$4:$E$323,$BC$7:$BC$35,0),$C$2:$N$2),1)</f>
        <v>1</v>
      </c>
      <c r="E93" s="113">
        <f>IFERROR(INDEX($BD$7:$BO$35,MATCH(Ajustes!$E$4:$E$323,$BC$7:$BC$35,0),$C$2:$N$2),1)</f>
        <v>1</v>
      </c>
      <c r="F93" s="113">
        <f>IFERROR(INDEX($BD$7:$BO$35,MATCH(Ajustes!$E$4:$E$323,$BC$7:$BC$35,0),$C$2:$N$2),1)</f>
        <v>1</v>
      </c>
      <c r="G93" s="113">
        <f>IFERROR(INDEX($BD$7:$BO$35,MATCH(Ajustes!$E$4:$E$323,$BC$7:$BC$35,0),$C$2:$N$2),1)</f>
        <v>1</v>
      </c>
      <c r="H93" s="113">
        <f>IFERROR(INDEX($BD$7:$BO$35,MATCH(Ajustes!$E$4:$E$323,$BC$7:$BC$35,0),$C$2:$N$2),1)</f>
        <v>1</v>
      </c>
      <c r="I93" s="113">
        <f>IFERROR(INDEX($BD$7:$BO$35,MATCH(Ajustes!$E$4:$E$323,$BC$7:$BC$35,0),$C$2:$N$2),1)</f>
        <v>1</v>
      </c>
      <c r="J93" s="113">
        <f>IFERROR(INDEX($BD$7:$BO$35,MATCH(Ajustes!$E$4:$E$323,$BC$7:$BC$35,0),$C$2:$N$2),1)</f>
        <v>1</v>
      </c>
      <c r="K93" s="113">
        <f>IFERROR(INDEX($BD$7:$BO$35,MATCH(Ajustes!$E$4:$E$323,$BC$7:$BC$35,0),$C$2:$N$2),1)</f>
        <v>1</v>
      </c>
      <c r="L93" s="113">
        <f>IFERROR(INDEX($BD$7:$BO$35,MATCH(Ajustes!$E$4:$E$323,$BC$7:$BC$35,0),$C$2:$N$2),1)</f>
        <v>1</v>
      </c>
      <c r="M93" s="113">
        <f>IFERROR(INDEX($BD$7:$BO$35,MATCH(Ajustes!$E$4:$E$323,$BC$7:$BC$35,0),$C$2:$N$2),1)</f>
        <v>1</v>
      </c>
      <c r="N93" s="113">
        <f>IFERROR(INDEX($BD$7:$BO$35,MATCH(Ajustes!$E$4:$E$323,$BC$7:$BC$35,0),$C$2:$N$2),1)</f>
        <v>1</v>
      </c>
      <c r="O93">
        <f>C93*Ajustes!AM93</f>
        <v>0</v>
      </c>
      <c r="P93">
        <f>D93*Ajustes!AN93</f>
        <v>0</v>
      </c>
      <c r="Q93">
        <f>E93*Ajustes!AO93</f>
        <v>0</v>
      </c>
      <c r="R93">
        <f>F93*Ajustes!AP93</f>
        <v>0</v>
      </c>
      <c r="S93">
        <f>G93*Ajustes!AQ93</f>
        <v>0</v>
      </c>
      <c r="T93">
        <f>H93*Ajustes!AR93</f>
        <v>0</v>
      </c>
      <c r="U93">
        <f>I93*Ajustes!AS93</f>
        <v>0</v>
      </c>
      <c r="V93">
        <f>J93*Ajustes!AT93</f>
        <v>0</v>
      </c>
      <c r="W93">
        <f>K93*Ajustes!AU93</f>
        <v>0</v>
      </c>
      <c r="X93">
        <f>L93*Ajustes!AV93</f>
        <v>0</v>
      </c>
      <c r="Y93">
        <f>M93*Ajustes!AW93</f>
        <v>0</v>
      </c>
      <c r="Z93">
        <f>N93*Ajustes!AX93</f>
        <v>0</v>
      </c>
      <c r="AA93">
        <f>IF(Ajustes!$G93&gt;0,INDEX($AA$4:$AL$323,Ajustes!$G93,O$2),0)+IF(Ajustes!$H93&gt;0,INDEX($AA$4:$AL$323,Ajustes!$H93,O$2),0)+IF(Ajustes!$I93&gt;0,INDEX($AA$4:$AL$323,Ajustes!$I93,O$2),0)+IF(Ajustes!$J93&gt;0,INDEX($AA$4:$AL$323,Ajustes!$J93,O$2),0)+IF(Ajustes!$K93&gt;0,INDEX($AA$5:$AL$324,Ajustes!$K93,O$2),0)+IF(Ajustes!$L93&gt;0,INDEX($AA$4:$AL$323,Ajustes!$L93,O$2),0) + O93</f>
        <v>0</v>
      </c>
      <c r="AB93">
        <f>IF(Ajustes!$G93&gt;0,INDEX($AA$4:$AL$323,Ajustes!$G93,P$2),0)+IF(Ajustes!$H93&gt;0,INDEX($AA$4:$AL$323,Ajustes!$H93,P$2),0)+IF(Ajustes!$I93&gt;0,INDEX($AA$4:$AL$323,Ajustes!$I93,P$2),0)+IF(Ajustes!$J93&gt;0,INDEX($AA$4:$AL$323,Ajustes!$J93,P$2),0)+IF(Ajustes!$K93&gt;0,INDEX($AA$5:$AL$324,Ajustes!$K93,P$2),0)+IF(Ajustes!$L93&gt;0,INDEX($AA$4:$AL$323,Ajustes!$L93,P$2),0) + P93</f>
        <v>0</v>
      </c>
      <c r="AC93">
        <f>IF(Ajustes!$G93&gt;0,INDEX($AA$4:$AL$323,Ajustes!$G93,Q$2),0)+IF(Ajustes!$H93&gt;0,INDEX($AA$4:$AL$323,Ajustes!$H93,Q$2),0)+IF(Ajustes!$I93&gt;0,INDEX($AA$4:$AL$323,Ajustes!$I93,Q$2),0)+IF(Ajustes!$J93&gt;0,INDEX($AA$4:$AL$323,Ajustes!$J93,Q$2),0)+IF(Ajustes!$K93&gt;0,INDEX($AA$5:$AL$324,Ajustes!$K93,Q$2),0)+IF(Ajustes!$L93&gt;0,INDEX($AA$4:$AL$323,Ajustes!$L93,Q$2),0) + Q93</f>
        <v>0</v>
      </c>
      <c r="AD93">
        <f>IF(Ajustes!$G93&gt;0,INDEX($AA$4:$AL$323,Ajustes!$G93,R$2),0)+IF(Ajustes!$H93&gt;0,INDEX($AA$4:$AL$323,Ajustes!$H93,R$2),0)+IF(Ajustes!$I93&gt;0,INDEX($AA$4:$AL$323,Ajustes!$I93,R$2),0)+IF(Ajustes!$J93&gt;0,INDEX($AA$4:$AL$323,Ajustes!$J93,R$2),0)+IF(Ajustes!$K93&gt;0,INDEX($AA$5:$AL$324,Ajustes!$K93,R$2),0)+IF(Ajustes!$L93&gt;0,INDEX($AA$4:$AL$323,Ajustes!$L93,R$2),0) + R93</f>
        <v>0</v>
      </c>
      <c r="AE93">
        <f>IF(Ajustes!$G93&gt;0,INDEX($AA$4:$AL$323,Ajustes!$G93,S$2),0)+IF(Ajustes!$H93&gt;0,INDEX($AA$4:$AL$323,Ajustes!$H93,S$2),0)+IF(Ajustes!$I93&gt;0,INDEX($AA$4:$AL$323,Ajustes!$I93,S$2),0)+IF(Ajustes!$J93&gt;0,INDEX($AA$4:$AL$323,Ajustes!$J93,S$2),0)+IF(Ajustes!$K93&gt;0,INDEX($AA$5:$AL$324,Ajustes!$K93,S$2),0)+IF(Ajustes!$L93&gt;0,INDEX($AA$4:$AL$323,Ajustes!$L93,S$2),0) + S93</f>
        <v>0</v>
      </c>
      <c r="AF93">
        <f>IF(Ajustes!$G93&gt;0,INDEX($AA$4:$AL$323,Ajustes!$G93,T$2),0)+IF(Ajustes!$H93&gt;0,INDEX($AA$4:$AL$323,Ajustes!$H93,T$2),0)+IF(Ajustes!$I93&gt;0,INDEX($AA$4:$AL$323,Ajustes!$I93,T$2),0)+IF(Ajustes!$J93&gt;0,INDEX($AA$4:$AL$323,Ajustes!$J93,T$2),0)+IF(Ajustes!$K93&gt;0,INDEX($AA$5:$AL$324,Ajustes!$K93,T$2),0)+IF(Ajustes!$L93&gt;0,INDEX($AA$4:$AL$323,Ajustes!$L93,T$2),0) + T93</f>
        <v>0</v>
      </c>
      <c r="AG93">
        <f>IF(Ajustes!$G93&gt;0,INDEX($AA$4:$AL$323,Ajustes!$G93,U$2),0)+IF(Ajustes!$H93&gt;0,INDEX($AA$4:$AL$323,Ajustes!$H93,U$2),0)+IF(Ajustes!$I93&gt;0,INDEX($AA$4:$AL$323,Ajustes!$I93,U$2),0)+IF(Ajustes!$J93&gt;0,INDEX($AA$4:$AL$323,Ajustes!$J93,U$2),0)+IF(Ajustes!$K93&gt;0,INDEX($AA$5:$AL$324,Ajustes!$K93,U$2),0)+IF(Ajustes!$L93&gt;0,INDEX($AA$4:$AL$323,Ajustes!$L93,U$2),0) + U93</f>
        <v>0</v>
      </c>
      <c r="AH93">
        <f>IF(Ajustes!$G93&gt;0,INDEX($AA$4:$AL$323,Ajustes!$G93,V$2),0)+IF(Ajustes!$H93&gt;0,INDEX($AA$4:$AL$323,Ajustes!$H93,V$2),0)+IF(Ajustes!$I93&gt;0,INDEX($AA$4:$AL$323,Ajustes!$I93,V$2),0)+IF(Ajustes!$J93&gt;0,INDEX($AA$4:$AL$323,Ajustes!$J93,V$2),0)+IF(Ajustes!$K93&gt;0,INDEX($AA$5:$AL$324,Ajustes!$K93,V$2),0)+IF(Ajustes!$L93&gt;0,INDEX($AA$4:$AL$323,Ajustes!$L93,V$2),0) + V93</f>
        <v>0</v>
      </c>
      <c r="AI93">
        <f>IF(Ajustes!$G93&gt;0,INDEX($AA$4:$AL$323,Ajustes!$G93,W$2),0)+IF(Ajustes!$H93&gt;0,INDEX($AA$4:$AL$323,Ajustes!$H93,W$2),0)+IF(Ajustes!$I93&gt;0,INDEX($AA$4:$AL$323,Ajustes!$I93,W$2),0)+IF(Ajustes!$J93&gt;0,INDEX($AA$4:$AL$323,Ajustes!$J93,W$2),0)+IF(Ajustes!$K93&gt;0,INDEX($AA$5:$AL$324,Ajustes!$K93,W$2),0)+IF(Ajustes!$L93&gt;0,INDEX($AA$4:$AL$323,Ajustes!$L93,W$2),0) + W93</f>
        <v>0</v>
      </c>
      <c r="AJ93">
        <f>IF(Ajustes!$G93&gt;0,INDEX($AA$4:$AL$323,Ajustes!$G93,X$2),0)+IF(Ajustes!$H93&gt;0,INDEX($AA$4:$AL$323,Ajustes!$H93,X$2),0)+IF(Ajustes!$I93&gt;0,INDEX($AA$4:$AL$323,Ajustes!$I93,X$2),0)+IF(Ajustes!$J93&gt;0,INDEX($AA$4:$AL$323,Ajustes!$J93,X$2),0)+IF(Ajustes!$K93&gt;0,INDEX($AA$5:$AL$324,Ajustes!$K93,X$2),0)+IF(Ajustes!$L93&gt;0,INDEX($AA$4:$AL$323,Ajustes!$L93,X$2),0) + X93</f>
        <v>0</v>
      </c>
      <c r="AK93">
        <f>IF(Ajustes!$G93&gt;0,INDEX($AA$4:$AL$323,Ajustes!$G93,Y$2),0)+IF(Ajustes!$H93&gt;0,INDEX($AA$4:$AL$323,Ajustes!$H93,Y$2),0)+IF(Ajustes!$I93&gt;0,INDEX($AA$4:$AL$323,Ajustes!$I93,Y$2),0)+IF(Ajustes!$J93&gt;0,INDEX($AA$4:$AL$323,Ajustes!$J93,Y$2),0)+IF(Ajustes!$K93&gt;0,INDEX($AA$5:$AL$324,Ajustes!$K93,Y$2),0)+IF(Ajustes!$L93&gt;0,INDEX($AA$4:$AL$323,Ajustes!$L93,Y$2),0) + Y93</f>
        <v>0</v>
      </c>
      <c r="AL93">
        <f>IF(Ajustes!$G93&gt;0,INDEX($AA$4:$AL$323,Ajustes!$G93,Z$2),0)+IF(Ajustes!$H93&gt;0,INDEX($AA$4:$AL$323,Ajustes!$H93,Z$2),0)+IF(Ajustes!$I93&gt;0,INDEX($AA$4:$AL$323,Ajustes!$I93,Z$2),0)+IF(Ajustes!$J93&gt;0,INDEX($AA$4:$AL$323,Ajustes!$J93,Z$2),0)+IF(Ajustes!$K93&gt;0,INDEX($AA$5:$AL$324,Ajustes!$K93,Z$2),0)+IF(Ajustes!$L93&gt;0,INDEX($AA$4:$AL$323,Ajustes!$L93,Z$2),0) + Z93</f>
        <v>0</v>
      </c>
      <c r="AM93" s="113">
        <f t="shared" si="26"/>
        <v>0</v>
      </c>
      <c r="AN93" s="113">
        <f t="shared" si="26"/>
        <v>0</v>
      </c>
      <c r="AO93" s="113">
        <f t="shared" si="26"/>
        <v>0</v>
      </c>
      <c r="AP93" s="113">
        <f t="shared" si="26"/>
        <v>0</v>
      </c>
      <c r="AQ93" s="113">
        <f t="shared" si="26"/>
        <v>0</v>
      </c>
      <c r="AR93" s="113">
        <f t="shared" si="26"/>
        <v>0</v>
      </c>
      <c r="AS93" s="113">
        <f t="shared" si="26"/>
        <v>0</v>
      </c>
      <c r="AT93" s="113">
        <f t="shared" si="27"/>
        <v>0</v>
      </c>
      <c r="AU93" s="113">
        <f t="shared" si="27"/>
        <v>0</v>
      </c>
      <c r="AV93" s="113">
        <f t="shared" si="27"/>
        <v>0</v>
      </c>
      <c r="AW93" s="113">
        <f t="shared" si="27"/>
        <v>0</v>
      </c>
      <c r="AX93" s="113">
        <f t="shared" si="27"/>
        <v>0</v>
      </c>
    </row>
    <row r="94" spans="1:50" x14ac:dyDescent="0.25">
      <c r="A94" s="113">
        <v>91</v>
      </c>
      <c r="B94" s="209"/>
      <c r="C94">
        <f>IFERROR(INDEX($BD$7:$BO$35,MATCH(Ajustes!$E$4:$E$323,$BC$7:$BC$35,0),$C$2:$N$2),1)</f>
        <v>1</v>
      </c>
      <c r="D94" s="113">
        <f>IFERROR(INDEX($BD$7:$BO$35,MATCH(Ajustes!$E$4:$E$323,$BC$7:$BC$35,0),$C$2:$N$2),1)</f>
        <v>1</v>
      </c>
      <c r="E94" s="113">
        <f>IFERROR(INDEX($BD$7:$BO$35,MATCH(Ajustes!$E$4:$E$323,$BC$7:$BC$35,0),$C$2:$N$2),1)</f>
        <v>1</v>
      </c>
      <c r="F94" s="113">
        <f>IFERROR(INDEX($BD$7:$BO$35,MATCH(Ajustes!$E$4:$E$323,$BC$7:$BC$35,0),$C$2:$N$2),1)</f>
        <v>1</v>
      </c>
      <c r="G94" s="113">
        <f>IFERROR(INDEX($BD$7:$BO$35,MATCH(Ajustes!$E$4:$E$323,$BC$7:$BC$35,0),$C$2:$N$2),1)</f>
        <v>1</v>
      </c>
      <c r="H94" s="113">
        <f>IFERROR(INDEX($BD$7:$BO$35,MATCH(Ajustes!$E$4:$E$323,$BC$7:$BC$35,0),$C$2:$N$2),1)</f>
        <v>1</v>
      </c>
      <c r="I94" s="113">
        <f>IFERROR(INDEX($BD$7:$BO$35,MATCH(Ajustes!$E$4:$E$323,$BC$7:$BC$35,0),$C$2:$N$2),1)</f>
        <v>1</v>
      </c>
      <c r="J94" s="113">
        <f>IFERROR(INDEX($BD$7:$BO$35,MATCH(Ajustes!$E$4:$E$323,$BC$7:$BC$35,0),$C$2:$N$2),1)</f>
        <v>1</v>
      </c>
      <c r="K94" s="113">
        <f>IFERROR(INDEX($BD$7:$BO$35,MATCH(Ajustes!$E$4:$E$323,$BC$7:$BC$35,0),$C$2:$N$2),1)</f>
        <v>1</v>
      </c>
      <c r="L94" s="113">
        <f>IFERROR(INDEX($BD$7:$BO$35,MATCH(Ajustes!$E$4:$E$323,$BC$7:$BC$35,0),$C$2:$N$2),1)</f>
        <v>1</v>
      </c>
      <c r="M94" s="113">
        <f>IFERROR(INDEX($BD$7:$BO$35,MATCH(Ajustes!$E$4:$E$323,$BC$7:$BC$35,0),$C$2:$N$2),1)</f>
        <v>1</v>
      </c>
      <c r="N94" s="113">
        <f>IFERROR(INDEX($BD$7:$BO$35,MATCH(Ajustes!$E$4:$E$323,$BC$7:$BC$35,0),$C$2:$N$2),1)</f>
        <v>1</v>
      </c>
      <c r="O94">
        <f>C94*Ajustes!AM94</f>
        <v>0</v>
      </c>
      <c r="P94">
        <f>D94*Ajustes!AN94</f>
        <v>0</v>
      </c>
      <c r="Q94">
        <f>E94*Ajustes!AO94</f>
        <v>0</v>
      </c>
      <c r="R94">
        <f>F94*Ajustes!AP94</f>
        <v>0</v>
      </c>
      <c r="S94">
        <f>G94*Ajustes!AQ94</f>
        <v>0</v>
      </c>
      <c r="T94">
        <f>H94*Ajustes!AR94</f>
        <v>0</v>
      </c>
      <c r="U94">
        <f>I94*Ajustes!AS94</f>
        <v>0</v>
      </c>
      <c r="V94">
        <f>J94*Ajustes!AT94</f>
        <v>0</v>
      </c>
      <c r="W94">
        <f>K94*Ajustes!AU94</f>
        <v>0</v>
      </c>
      <c r="X94">
        <f>L94*Ajustes!AV94</f>
        <v>0</v>
      </c>
      <c r="Y94">
        <f>M94*Ajustes!AW94</f>
        <v>0</v>
      </c>
      <c r="Z94">
        <f>N94*Ajustes!AX94</f>
        <v>0</v>
      </c>
      <c r="AA94">
        <f>IF(Ajustes!$G94&gt;0,INDEX($AA$4:$AL$323,Ajustes!$G94,O$2),0)+IF(Ajustes!$H94&gt;0,INDEX($AA$4:$AL$323,Ajustes!$H94,O$2),0)+IF(Ajustes!$I94&gt;0,INDEX($AA$4:$AL$323,Ajustes!$I94,O$2),0)+IF(Ajustes!$J94&gt;0,INDEX($AA$4:$AL$323,Ajustes!$J94,O$2),0)+IF(Ajustes!$K94&gt;0,INDEX($AA$5:$AL$324,Ajustes!$K94,O$2),0)+IF(Ajustes!$L94&gt;0,INDEX($AA$4:$AL$323,Ajustes!$L94,O$2),0) + O94</f>
        <v>0</v>
      </c>
      <c r="AB94">
        <f>IF(Ajustes!$G94&gt;0,INDEX($AA$4:$AL$323,Ajustes!$G94,P$2),0)+IF(Ajustes!$H94&gt;0,INDEX($AA$4:$AL$323,Ajustes!$H94,P$2),0)+IF(Ajustes!$I94&gt;0,INDEX($AA$4:$AL$323,Ajustes!$I94,P$2),0)+IF(Ajustes!$J94&gt;0,INDEX($AA$4:$AL$323,Ajustes!$J94,P$2),0)+IF(Ajustes!$K94&gt;0,INDEX($AA$5:$AL$324,Ajustes!$K94,P$2),0)+IF(Ajustes!$L94&gt;0,INDEX($AA$4:$AL$323,Ajustes!$L94,P$2),0) + P94</f>
        <v>0</v>
      </c>
      <c r="AC94">
        <f>IF(Ajustes!$G94&gt;0,INDEX($AA$4:$AL$323,Ajustes!$G94,Q$2),0)+IF(Ajustes!$H94&gt;0,INDEX($AA$4:$AL$323,Ajustes!$H94,Q$2),0)+IF(Ajustes!$I94&gt;0,INDEX($AA$4:$AL$323,Ajustes!$I94,Q$2),0)+IF(Ajustes!$J94&gt;0,INDEX($AA$4:$AL$323,Ajustes!$J94,Q$2),0)+IF(Ajustes!$K94&gt;0,INDEX($AA$5:$AL$324,Ajustes!$K94,Q$2),0)+IF(Ajustes!$L94&gt;0,INDEX($AA$4:$AL$323,Ajustes!$L94,Q$2),0) + Q94</f>
        <v>0</v>
      </c>
      <c r="AD94">
        <f>IF(Ajustes!$G94&gt;0,INDEX($AA$4:$AL$323,Ajustes!$G94,R$2),0)+IF(Ajustes!$H94&gt;0,INDEX($AA$4:$AL$323,Ajustes!$H94,R$2),0)+IF(Ajustes!$I94&gt;0,INDEX($AA$4:$AL$323,Ajustes!$I94,R$2),0)+IF(Ajustes!$J94&gt;0,INDEX($AA$4:$AL$323,Ajustes!$J94,R$2),0)+IF(Ajustes!$K94&gt;0,INDEX($AA$5:$AL$324,Ajustes!$K94,R$2),0)+IF(Ajustes!$L94&gt;0,INDEX($AA$4:$AL$323,Ajustes!$L94,R$2),0) + R94</f>
        <v>0</v>
      </c>
      <c r="AE94">
        <f>IF(Ajustes!$G94&gt;0,INDEX($AA$4:$AL$323,Ajustes!$G94,S$2),0)+IF(Ajustes!$H94&gt;0,INDEX($AA$4:$AL$323,Ajustes!$H94,S$2),0)+IF(Ajustes!$I94&gt;0,INDEX($AA$4:$AL$323,Ajustes!$I94,S$2),0)+IF(Ajustes!$J94&gt;0,INDEX($AA$4:$AL$323,Ajustes!$J94,S$2),0)+IF(Ajustes!$K94&gt;0,INDEX($AA$5:$AL$324,Ajustes!$K94,S$2),0)+IF(Ajustes!$L94&gt;0,INDEX($AA$4:$AL$323,Ajustes!$L94,S$2),0) + S94</f>
        <v>0</v>
      </c>
      <c r="AF94">
        <f>IF(Ajustes!$G94&gt;0,INDEX($AA$4:$AL$323,Ajustes!$G94,T$2),0)+IF(Ajustes!$H94&gt;0,INDEX($AA$4:$AL$323,Ajustes!$H94,T$2),0)+IF(Ajustes!$I94&gt;0,INDEX($AA$4:$AL$323,Ajustes!$I94,T$2),0)+IF(Ajustes!$J94&gt;0,INDEX($AA$4:$AL$323,Ajustes!$J94,T$2),0)+IF(Ajustes!$K94&gt;0,INDEX($AA$5:$AL$324,Ajustes!$K94,T$2),0)+IF(Ajustes!$L94&gt;0,INDEX($AA$4:$AL$323,Ajustes!$L94,T$2),0) + T94</f>
        <v>0</v>
      </c>
      <c r="AG94">
        <f>IF(Ajustes!$G94&gt;0,INDEX($AA$4:$AL$323,Ajustes!$G94,U$2),0)+IF(Ajustes!$H94&gt;0,INDEX($AA$4:$AL$323,Ajustes!$H94,U$2),0)+IF(Ajustes!$I94&gt;0,INDEX($AA$4:$AL$323,Ajustes!$I94,U$2),0)+IF(Ajustes!$J94&gt;0,INDEX($AA$4:$AL$323,Ajustes!$J94,U$2),0)+IF(Ajustes!$K94&gt;0,INDEX($AA$5:$AL$324,Ajustes!$K94,U$2),0)+IF(Ajustes!$L94&gt;0,INDEX($AA$4:$AL$323,Ajustes!$L94,U$2),0) + U94</f>
        <v>0</v>
      </c>
      <c r="AH94">
        <f>IF(Ajustes!$G94&gt;0,INDEX($AA$4:$AL$323,Ajustes!$G94,V$2),0)+IF(Ajustes!$H94&gt;0,INDEX($AA$4:$AL$323,Ajustes!$H94,V$2),0)+IF(Ajustes!$I94&gt;0,INDEX($AA$4:$AL$323,Ajustes!$I94,V$2),0)+IF(Ajustes!$J94&gt;0,INDEX($AA$4:$AL$323,Ajustes!$J94,V$2),0)+IF(Ajustes!$K94&gt;0,INDEX($AA$5:$AL$324,Ajustes!$K94,V$2),0)+IF(Ajustes!$L94&gt;0,INDEX($AA$4:$AL$323,Ajustes!$L94,V$2),0) + V94</f>
        <v>0</v>
      </c>
      <c r="AI94">
        <f>IF(Ajustes!$G94&gt;0,INDEX($AA$4:$AL$323,Ajustes!$G94,W$2),0)+IF(Ajustes!$H94&gt;0,INDEX($AA$4:$AL$323,Ajustes!$H94,W$2),0)+IF(Ajustes!$I94&gt;0,INDEX($AA$4:$AL$323,Ajustes!$I94,W$2),0)+IF(Ajustes!$J94&gt;0,INDEX($AA$4:$AL$323,Ajustes!$J94,W$2),0)+IF(Ajustes!$K94&gt;0,INDEX($AA$5:$AL$324,Ajustes!$K94,W$2),0)+IF(Ajustes!$L94&gt;0,INDEX($AA$4:$AL$323,Ajustes!$L94,W$2),0) + W94</f>
        <v>0</v>
      </c>
      <c r="AJ94">
        <f>IF(Ajustes!$G94&gt;0,INDEX($AA$4:$AL$323,Ajustes!$G94,X$2),0)+IF(Ajustes!$H94&gt;0,INDEX($AA$4:$AL$323,Ajustes!$H94,X$2),0)+IF(Ajustes!$I94&gt;0,INDEX($AA$4:$AL$323,Ajustes!$I94,X$2),0)+IF(Ajustes!$J94&gt;0,INDEX($AA$4:$AL$323,Ajustes!$J94,X$2),0)+IF(Ajustes!$K94&gt;0,INDEX($AA$5:$AL$324,Ajustes!$K94,X$2),0)+IF(Ajustes!$L94&gt;0,INDEX($AA$4:$AL$323,Ajustes!$L94,X$2),0) + X94</f>
        <v>0</v>
      </c>
      <c r="AK94">
        <f>IF(Ajustes!$G94&gt;0,INDEX($AA$4:$AL$323,Ajustes!$G94,Y$2),0)+IF(Ajustes!$H94&gt;0,INDEX($AA$4:$AL$323,Ajustes!$H94,Y$2),0)+IF(Ajustes!$I94&gt;0,INDEX($AA$4:$AL$323,Ajustes!$I94,Y$2),0)+IF(Ajustes!$J94&gt;0,INDEX($AA$4:$AL$323,Ajustes!$J94,Y$2),0)+IF(Ajustes!$K94&gt;0,INDEX($AA$5:$AL$324,Ajustes!$K94,Y$2),0)+IF(Ajustes!$L94&gt;0,INDEX($AA$4:$AL$323,Ajustes!$L94,Y$2),0) + Y94</f>
        <v>0</v>
      </c>
      <c r="AL94">
        <f>IF(Ajustes!$G94&gt;0,INDEX($AA$4:$AL$323,Ajustes!$G94,Z$2),0)+IF(Ajustes!$H94&gt;0,INDEX($AA$4:$AL$323,Ajustes!$H94,Z$2),0)+IF(Ajustes!$I94&gt;0,INDEX($AA$4:$AL$323,Ajustes!$I94,Z$2),0)+IF(Ajustes!$J94&gt;0,INDEX($AA$4:$AL$323,Ajustes!$J94,Z$2),0)+IF(Ajustes!$K94&gt;0,INDEX($AA$5:$AL$324,Ajustes!$K94,Z$2),0)+IF(Ajustes!$L94&gt;0,INDEX($AA$4:$AL$323,Ajustes!$L94,Z$2),0) + Z94</f>
        <v>0</v>
      </c>
      <c r="AM94" s="113">
        <f t="shared" si="26"/>
        <v>0</v>
      </c>
      <c r="AN94" s="113">
        <f t="shared" si="26"/>
        <v>0</v>
      </c>
      <c r="AO94" s="113">
        <f t="shared" si="26"/>
        <v>0</v>
      </c>
      <c r="AP94" s="113">
        <f t="shared" si="26"/>
        <v>0</v>
      </c>
      <c r="AQ94" s="113">
        <f t="shared" si="26"/>
        <v>0</v>
      </c>
      <c r="AR94" s="113">
        <f t="shared" si="26"/>
        <v>0</v>
      </c>
      <c r="AS94" s="113">
        <f t="shared" ref="AS94:AS121" si="28">AG94</f>
        <v>0</v>
      </c>
      <c r="AT94" s="113">
        <f t="shared" si="27"/>
        <v>0</v>
      </c>
      <c r="AU94" s="113">
        <f t="shared" si="27"/>
        <v>0</v>
      </c>
      <c r="AV94" s="113">
        <f t="shared" si="27"/>
        <v>0</v>
      </c>
      <c r="AW94" s="113">
        <f t="shared" si="27"/>
        <v>0</v>
      </c>
      <c r="AX94" s="113">
        <f t="shared" si="27"/>
        <v>0</v>
      </c>
    </row>
    <row r="95" spans="1:50" x14ac:dyDescent="0.25">
      <c r="A95" s="113">
        <v>92</v>
      </c>
      <c r="B95" s="209" t="s">
        <v>584</v>
      </c>
      <c r="C95">
        <f>IFERROR(INDEX($BD$7:$BO$35,MATCH(Ajustes!$E$4:$E$323,$BC$7:$BC$35,0),$C$2:$N$2),1)</f>
        <v>1</v>
      </c>
      <c r="D95" s="113">
        <f>IFERROR(INDEX($BD$7:$BO$35,MATCH(Ajustes!$E$4:$E$323,$BC$7:$BC$35,0),$C$2:$N$2),1)</f>
        <v>1</v>
      </c>
      <c r="E95" s="113">
        <f>IFERROR(INDEX($BD$7:$BO$35,MATCH(Ajustes!$E$4:$E$323,$BC$7:$BC$35,0),$C$2:$N$2),1)</f>
        <v>1</v>
      </c>
      <c r="F95" s="113">
        <f>IFERROR(INDEX($BD$7:$BO$35,MATCH(Ajustes!$E$4:$E$323,$BC$7:$BC$35,0),$C$2:$N$2),1)</f>
        <v>1</v>
      </c>
      <c r="G95" s="113">
        <f>IFERROR(INDEX($BD$7:$BO$35,MATCH(Ajustes!$E$4:$E$323,$BC$7:$BC$35,0),$C$2:$N$2),1)</f>
        <v>1</v>
      </c>
      <c r="H95" s="113">
        <f>IFERROR(INDEX($BD$7:$BO$35,MATCH(Ajustes!$E$4:$E$323,$BC$7:$BC$35,0),$C$2:$N$2),1)</f>
        <v>1</v>
      </c>
      <c r="I95" s="113">
        <f>IFERROR(INDEX($BD$7:$BO$35,MATCH(Ajustes!$E$4:$E$323,$BC$7:$BC$35,0),$C$2:$N$2),1)</f>
        <v>1</v>
      </c>
      <c r="J95" s="113">
        <f>IFERROR(INDEX($BD$7:$BO$35,MATCH(Ajustes!$E$4:$E$323,$BC$7:$BC$35,0),$C$2:$N$2),1)</f>
        <v>1</v>
      </c>
      <c r="K95" s="113">
        <f>IFERROR(INDEX($BD$7:$BO$35,MATCH(Ajustes!$E$4:$E$323,$BC$7:$BC$35,0),$C$2:$N$2),1)</f>
        <v>1</v>
      </c>
      <c r="L95" s="113">
        <f>IFERROR(INDEX($BD$7:$BO$35,MATCH(Ajustes!$E$4:$E$323,$BC$7:$BC$35,0),$C$2:$N$2),1)</f>
        <v>1</v>
      </c>
      <c r="M95" s="113">
        <f>IFERROR(INDEX($BD$7:$BO$35,MATCH(Ajustes!$E$4:$E$323,$BC$7:$BC$35,0),$C$2:$N$2),1)</f>
        <v>1</v>
      </c>
      <c r="N95" s="113">
        <f>IFERROR(INDEX($BD$7:$BO$35,MATCH(Ajustes!$E$4:$E$323,$BC$7:$BC$35,0),$C$2:$N$2),1)</f>
        <v>1</v>
      </c>
      <c r="O95">
        <f>C95*Ajustes!AM95</f>
        <v>177</v>
      </c>
      <c r="P95">
        <f>D95*Ajustes!AN95</f>
        <v>224</v>
      </c>
      <c r="Q95">
        <f>E95*Ajustes!AO95</f>
        <v>178</v>
      </c>
      <c r="R95">
        <f>F95*Ajustes!AP95</f>
        <v>207</v>
      </c>
      <c r="S95">
        <f>G95*Ajustes!AQ95</f>
        <v>296</v>
      </c>
      <c r="T95">
        <f>H95*Ajustes!AR95</f>
        <v>341</v>
      </c>
      <c r="U95">
        <f>I95*Ajustes!AS95</f>
        <v>380</v>
      </c>
      <c r="V95">
        <f>J95*Ajustes!AT95</f>
        <v>406</v>
      </c>
      <c r="W95">
        <f>K95*Ajustes!AU95</f>
        <v>460</v>
      </c>
      <c r="X95">
        <f>L95*Ajustes!AV95</f>
        <v>461</v>
      </c>
      <c r="Y95">
        <f>M95*Ajustes!AW95</f>
        <v>295</v>
      </c>
      <c r="Z95">
        <f>N95*Ajustes!AX95</f>
        <v>208</v>
      </c>
      <c r="AA95">
        <f>IF(Ajustes!$G95&gt;0,INDEX($AA$4:$AL$323,Ajustes!$G95,O$2),0)+IF(Ajustes!$H95&gt;0,INDEX($AA$4:$AL$323,Ajustes!$H95,O$2),0)+IF(Ajustes!$I95&gt;0,INDEX($AA$4:$AL$323,Ajustes!$I95,O$2),0)+IF(Ajustes!$J95&gt;0,INDEX($AA$4:$AL$323,Ajustes!$J95,O$2),0)+IF(Ajustes!$K95&gt;0,INDEX($AA$5:$AL$324,Ajustes!$K95,O$2),0)+IF(Ajustes!$L95&gt;0,INDEX($AA$4:$AL$323,Ajustes!$L95,O$2),0) + O95</f>
        <v>670</v>
      </c>
      <c r="AB95">
        <f>IF(Ajustes!$G95&gt;0,INDEX($AA$4:$AL$323,Ajustes!$G95,P$2),0)+IF(Ajustes!$H95&gt;0,INDEX($AA$4:$AL$323,Ajustes!$H95,P$2),0)+IF(Ajustes!$I95&gt;0,INDEX($AA$4:$AL$323,Ajustes!$I95,P$2),0)+IF(Ajustes!$J95&gt;0,INDEX($AA$4:$AL$323,Ajustes!$J95,P$2),0)+IF(Ajustes!$K95&gt;0,INDEX($AA$5:$AL$324,Ajustes!$K95,P$2),0)+IF(Ajustes!$L95&gt;0,INDEX($AA$4:$AL$323,Ajustes!$L95,P$2),0) + P95</f>
        <v>854</v>
      </c>
      <c r="AC95">
        <f>IF(Ajustes!$G95&gt;0,INDEX($AA$4:$AL$323,Ajustes!$G95,Q$2),0)+IF(Ajustes!$H95&gt;0,INDEX($AA$4:$AL$323,Ajustes!$H95,Q$2),0)+IF(Ajustes!$I95&gt;0,INDEX($AA$4:$AL$323,Ajustes!$I95,Q$2),0)+IF(Ajustes!$J95&gt;0,INDEX($AA$4:$AL$323,Ajustes!$J95,Q$2),0)+IF(Ajustes!$K95&gt;0,INDEX($AA$5:$AL$324,Ajustes!$K95,Q$2),0)+IF(Ajustes!$L95&gt;0,INDEX($AA$4:$AL$323,Ajustes!$L95,Q$2),0) + Q95</f>
        <v>670</v>
      </c>
      <c r="AD95">
        <f>IF(Ajustes!$G95&gt;0,INDEX($AA$4:$AL$323,Ajustes!$G95,R$2),0)+IF(Ajustes!$H95&gt;0,INDEX($AA$4:$AL$323,Ajustes!$H95,R$2),0)+IF(Ajustes!$I95&gt;0,INDEX($AA$4:$AL$323,Ajustes!$I95,R$2),0)+IF(Ajustes!$J95&gt;0,INDEX($AA$4:$AL$323,Ajustes!$J95,R$2),0)+IF(Ajustes!$K95&gt;0,INDEX($AA$5:$AL$324,Ajustes!$K95,R$2),0)+IF(Ajustes!$L95&gt;0,INDEX($AA$4:$AL$323,Ajustes!$L95,R$2),0) + R95</f>
        <v>702</v>
      </c>
      <c r="AE95">
        <f>IF(Ajustes!$G95&gt;0,INDEX($AA$4:$AL$323,Ajustes!$G95,S$2),0)+IF(Ajustes!$H95&gt;0,INDEX($AA$4:$AL$323,Ajustes!$H95,S$2),0)+IF(Ajustes!$I95&gt;0,INDEX($AA$4:$AL$323,Ajustes!$I95,S$2),0)+IF(Ajustes!$J95&gt;0,INDEX($AA$4:$AL$323,Ajustes!$J95,S$2),0)+IF(Ajustes!$K95&gt;0,INDEX($AA$5:$AL$324,Ajustes!$K95,S$2),0)+IF(Ajustes!$L95&gt;0,INDEX($AA$4:$AL$323,Ajustes!$L95,S$2),0) + S95</f>
        <v>972</v>
      </c>
      <c r="AF95">
        <f>IF(Ajustes!$G95&gt;0,INDEX($AA$4:$AL$323,Ajustes!$G95,T$2),0)+IF(Ajustes!$H95&gt;0,INDEX($AA$4:$AL$323,Ajustes!$H95,T$2),0)+IF(Ajustes!$I95&gt;0,INDEX($AA$4:$AL$323,Ajustes!$I95,T$2),0)+IF(Ajustes!$J95&gt;0,INDEX($AA$4:$AL$323,Ajustes!$J95,T$2),0)+IF(Ajustes!$K95&gt;0,INDEX($AA$5:$AL$324,Ajustes!$K95,T$2),0)+IF(Ajustes!$L95&gt;0,INDEX($AA$4:$AL$323,Ajustes!$L95,T$2),0) + T95</f>
        <v>1087</v>
      </c>
      <c r="AG95">
        <f>IF(Ajustes!$G95&gt;0,INDEX($AA$4:$AL$323,Ajustes!$G95,U$2),0)+IF(Ajustes!$H95&gt;0,INDEX($AA$4:$AL$323,Ajustes!$H95,U$2),0)+IF(Ajustes!$I95&gt;0,INDEX($AA$4:$AL$323,Ajustes!$I95,U$2),0)+IF(Ajustes!$J95&gt;0,INDEX($AA$4:$AL$323,Ajustes!$J95,U$2),0)+IF(Ajustes!$K95&gt;0,INDEX($AA$5:$AL$324,Ajustes!$K95,U$2),0)+IF(Ajustes!$L95&gt;0,INDEX($AA$4:$AL$323,Ajustes!$L95,U$2),0) + U95</f>
        <v>1293</v>
      </c>
      <c r="AH95">
        <f>IF(Ajustes!$G95&gt;0,INDEX($AA$4:$AL$323,Ajustes!$G95,V$2),0)+IF(Ajustes!$H95&gt;0,INDEX($AA$4:$AL$323,Ajustes!$H95,V$2),0)+IF(Ajustes!$I95&gt;0,INDEX($AA$4:$AL$323,Ajustes!$I95,V$2),0)+IF(Ajustes!$J95&gt;0,INDEX($AA$4:$AL$323,Ajustes!$J95,V$2),0)+IF(Ajustes!$K95&gt;0,INDEX($AA$5:$AL$324,Ajustes!$K95,V$2),0)+IF(Ajustes!$L95&gt;0,INDEX($AA$4:$AL$323,Ajustes!$L95,V$2),0) + V95</f>
        <v>1370</v>
      </c>
      <c r="AI95">
        <f>IF(Ajustes!$G95&gt;0,INDEX($AA$4:$AL$323,Ajustes!$G95,W$2),0)+IF(Ajustes!$H95&gt;0,INDEX($AA$4:$AL$323,Ajustes!$H95,W$2),0)+IF(Ajustes!$I95&gt;0,INDEX($AA$4:$AL$323,Ajustes!$I95,W$2),0)+IF(Ajustes!$J95&gt;0,INDEX($AA$4:$AL$323,Ajustes!$J95,W$2),0)+IF(Ajustes!$K95&gt;0,INDEX($AA$5:$AL$324,Ajustes!$K95,W$2),0)+IF(Ajustes!$L95&gt;0,INDEX($AA$4:$AL$323,Ajustes!$L95,W$2),0) + W95</f>
        <v>1578</v>
      </c>
      <c r="AJ95">
        <f>IF(Ajustes!$G95&gt;0,INDEX($AA$4:$AL$323,Ajustes!$G95,X$2),0)+IF(Ajustes!$H95&gt;0,INDEX($AA$4:$AL$323,Ajustes!$H95,X$2),0)+IF(Ajustes!$I95&gt;0,INDEX($AA$4:$AL$323,Ajustes!$I95,X$2),0)+IF(Ajustes!$J95&gt;0,INDEX($AA$4:$AL$323,Ajustes!$J95,X$2),0)+IF(Ajustes!$K95&gt;0,INDEX($AA$5:$AL$324,Ajustes!$K95,X$2),0)+IF(Ajustes!$L95&gt;0,INDEX($AA$4:$AL$323,Ajustes!$L95,X$2),0) + X95</f>
        <v>1552</v>
      </c>
      <c r="AK95">
        <f>IF(Ajustes!$G95&gt;0,INDEX($AA$4:$AL$323,Ajustes!$G95,Y$2),0)+IF(Ajustes!$H95&gt;0,INDEX($AA$4:$AL$323,Ajustes!$H95,Y$2),0)+IF(Ajustes!$I95&gt;0,INDEX($AA$4:$AL$323,Ajustes!$I95,Y$2),0)+IF(Ajustes!$J95&gt;0,INDEX($AA$4:$AL$323,Ajustes!$J95,Y$2),0)+IF(Ajustes!$K95&gt;0,INDEX($AA$5:$AL$324,Ajustes!$K95,Y$2),0)+IF(Ajustes!$L95&gt;0,INDEX($AA$4:$AL$323,Ajustes!$L95,Y$2),0) + Y95</f>
        <v>985</v>
      </c>
      <c r="AL95">
        <f>IF(Ajustes!$G95&gt;0,INDEX($AA$4:$AL$323,Ajustes!$G95,Z$2),0)+IF(Ajustes!$H95&gt;0,INDEX($AA$4:$AL$323,Ajustes!$H95,Z$2),0)+IF(Ajustes!$I95&gt;0,INDEX($AA$4:$AL$323,Ajustes!$I95,Z$2),0)+IF(Ajustes!$J95&gt;0,INDEX($AA$4:$AL$323,Ajustes!$J95,Z$2),0)+IF(Ajustes!$K95&gt;0,INDEX($AA$5:$AL$324,Ajustes!$K95,Z$2),0)+IF(Ajustes!$L95&gt;0,INDEX($AA$4:$AL$323,Ajustes!$L95,Z$2),0) + Z95</f>
        <v>718</v>
      </c>
      <c r="AM95" s="113">
        <f t="shared" si="26"/>
        <v>670</v>
      </c>
      <c r="AN95" s="113">
        <f t="shared" si="26"/>
        <v>854</v>
      </c>
      <c r="AO95" s="113">
        <f t="shared" si="26"/>
        <v>670</v>
      </c>
      <c r="AP95" s="113">
        <f t="shared" si="26"/>
        <v>702</v>
      </c>
      <c r="AQ95" s="113">
        <f t="shared" si="26"/>
        <v>972</v>
      </c>
      <c r="AR95" s="113">
        <f t="shared" si="26"/>
        <v>1087</v>
      </c>
      <c r="AS95" s="113">
        <f t="shared" si="28"/>
        <v>1293</v>
      </c>
      <c r="AT95" s="113">
        <f t="shared" si="27"/>
        <v>1370</v>
      </c>
      <c r="AU95" s="113">
        <f t="shared" si="27"/>
        <v>1578</v>
      </c>
      <c r="AV95" s="113">
        <f t="shared" si="27"/>
        <v>1552</v>
      </c>
      <c r="AW95" s="113">
        <f t="shared" si="27"/>
        <v>985</v>
      </c>
      <c r="AX95" s="113">
        <f t="shared" si="27"/>
        <v>718</v>
      </c>
    </row>
    <row r="96" spans="1:50" x14ac:dyDescent="0.25">
      <c r="A96" s="113">
        <v>93</v>
      </c>
      <c r="B96" s="209" t="s">
        <v>191</v>
      </c>
      <c r="C96">
        <f>IFERROR(INDEX($BD$7:$BO$35,MATCH(Ajustes!$E$4:$E$323,$BC$7:$BC$35,0),$C$2:$N$2),1)</f>
        <v>1</v>
      </c>
      <c r="D96" s="113">
        <f>IFERROR(INDEX($BD$7:$BO$35,MATCH(Ajustes!$E$4:$E$323,$BC$7:$BC$35,0),$C$2:$N$2),1)</f>
        <v>1</v>
      </c>
      <c r="E96" s="113">
        <f>IFERROR(INDEX($BD$7:$BO$35,MATCH(Ajustes!$E$4:$E$323,$BC$7:$BC$35,0),$C$2:$N$2),1)</f>
        <v>1</v>
      </c>
      <c r="F96" s="113">
        <f>IFERROR(INDEX($BD$7:$BO$35,MATCH(Ajustes!$E$4:$E$323,$BC$7:$BC$35,0),$C$2:$N$2),1)</f>
        <v>1</v>
      </c>
      <c r="G96" s="113">
        <f>IFERROR(INDEX($BD$7:$BO$35,MATCH(Ajustes!$E$4:$E$323,$BC$7:$BC$35,0),$C$2:$N$2),1)</f>
        <v>1</v>
      </c>
      <c r="H96" s="113">
        <f>IFERROR(INDEX($BD$7:$BO$35,MATCH(Ajustes!$E$4:$E$323,$BC$7:$BC$35,0),$C$2:$N$2),1)</f>
        <v>1</v>
      </c>
      <c r="I96" s="113">
        <f>IFERROR(INDEX($BD$7:$BO$35,MATCH(Ajustes!$E$4:$E$323,$BC$7:$BC$35,0),$C$2:$N$2),1)</f>
        <v>1</v>
      </c>
      <c r="J96" s="113">
        <f>IFERROR(INDEX($BD$7:$BO$35,MATCH(Ajustes!$E$4:$E$323,$BC$7:$BC$35,0),$C$2:$N$2),1)</f>
        <v>1</v>
      </c>
      <c r="K96" s="113">
        <f>IFERROR(INDEX($BD$7:$BO$35,MATCH(Ajustes!$E$4:$E$323,$BC$7:$BC$35,0),$C$2:$N$2),1)</f>
        <v>1</v>
      </c>
      <c r="L96" s="113">
        <f>IFERROR(INDEX($BD$7:$BO$35,MATCH(Ajustes!$E$4:$E$323,$BC$7:$BC$35,0),$C$2:$N$2),1)</f>
        <v>1</v>
      </c>
      <c r="M96" s="113">
        <f>IFERROR(INDEX($BD$7:$BO$35,MATCH(Ajustes!$E$4:$E$323,$BC$7:$BC$35,0),$C$2:$N$2),1)</f>
        <v>1</v>
      </c>
      <c r="N96" s="113">
        <f>IFERROR(INDEX($BD$7:$BO$35,MATCH(Ajustes!$E$4:$E$323,$BC$7:$BC$35,0),$C$2:$N$2),1)</f>
        <v>1</v>
      </c>
      <c r="O96">
        <f>C96*Ajustes!AM96</f>
        <v>34</v>
      </c>
      <c r="P96">
        <f>D96*Ajustes!AN96</f>
        <v>34</v>
      </c>
      <c r="Q96">
        <f>E96*Ajustes!AO96</f>
        <v>29</v>
      </c>
      <c r="R96">
        <f>F96*Ajustes!AP96</f>
        <v>36</v>
      </c>
      <c r="S96">
        <f>G96*Ajustes!AQ96</f>
        <v>55</v>
      </c>
      <c r="T96">
        <f>H96*Ajustes!AR96</f>
        <v>69</v>
      </c>
      <c r="U96">
        <f>I96*Ajustes!AS96</f>
        <v>77</v>
      </c>
      <c r="V96">
        <f>J96*Ajustes!AT96</f>
        <v>71</v>
      </c>
      <c r="W96">
        <f>K96*Ajustes!AU96</f>
        <v>79</v>
      </c>
      <c r="X96">
        <f>L96*Ajustes!AV96</f>
        <v>84</v>
      </c>
      <c r="Y96">
        <f>M96*Ajustes!AW96</f>
        <v>59</v>
      </c>
      <c r="Z96">
        <f>N96*Ajustes!AX96</f>
        <v>44</v>
      </c>
      <c r="AA96">
        <f>IF(Ajustes!$G96&gt;0,INDEX($AA$4:$AL$323,Ajustes!$G96,O$2),0)+IF(Ajustes!$H96&gt;0,INDEX($AA$4:$AL$323,Ajustes!$H96,O$2),0)+IF(Ajustes!$I96&gt;0,INDEX($AA$4:$AL$323,Ajustes!$I96,O$2),0)+IF(Ajustes!$J96&gt;0,INDEX($AA$4:$AL$323,Ajustes!$J96,O$2),0)+IF(Ajustes!$K96&gt;0,INDEX($AA$5:$AL$324,Ajustes!$K96,O$2),0)+IF(Ajustes!$L96&gt;0,INDEX($AA$4:$AL$323,Ajustes!$L96,O$2),0) + O96</f>
        <v>34</v>
      </c>
      <c r="AB96">
        <f>IF(Ajustes!$G96&gt;0,INDEX($AA$4:$AL$323,Ajustes!$G96,P$2),0)+IF(Ajustes!$H96&gt;0,INDEX($AA$4:$AL$323,Ajustes!$H96,P$2),0)+IF(Ajustes!$I96&gt;0,INDEX($AA$4:$AL$323,Ajustes!$I96,P$2),0)+IF(Ajustes!$J96&gt;0,INDEX($AA$4:$AL$323,Ajustes!$J96,P$2),0)+IF(Ajustes!$K96&gt;0,INDEX($AA$5:$AL$324,Ajustes!$K96,P$2),0)+IF(Ajustes!$L96&gt;0,INDEX($AA$4:$AL$323,Ajustes!$L96,P$2),0) + P96</f>
        <v>34</v>
      </c>
      <c r="AC96">
        <f>IF(Ajustes!$G96&gt;0,INDEX($AA$4:$AL$323,Ajustes!$G96,Q$2),0)+IF(Ajustes!$H96&gt;0,INDEX($AA$4:$AL$323,Ajustes!$H96,Q$2),0)+IF(Ajustes!$I96&gt;0,INDEX($AA$4:$AL$323,Ajustes!$I96,Q$2),0)+IF(Ajustes!$J96&gt;0,INDEX($AA$4:$AL$323,Ajustes!$J96,Q$2),0)+IF(Ajustes!$K96&gt;0,INDEX($AA$5:$AL$324,Ajustes!$K96,Q$2),0)+IF(Ajustes!$L96&gt;0,INDEX($AA$4:$AL$323,Ajustes!$L96,Q$2),0) + Q96</f>
        <v>29</v>
      </c>
      <c r="AD96">
        <f>IF(Ajustes!$G96&gt;0,INDEX($AA$4:$AL$323,Ajustes!$G96,R$2),0)+IF(Ajustes!$H96&gt;0,INDEX($AA$4:$AL$323,Ajustes!$H96,R$2),0)+IF(Ajustes!$I96&gt;0,INDEX($AA$4:$AL$323,Ajustes!$I96,R$2),0)+IF(Ajustes!$J96&gt;0,INDEX($AA$4:$AL$323,Ajustes!$J96,R$2),0)+IF(Ajustes!$K96&gt;0,INDEX($AA$5:$AL$324,Ajustes!$K96,R$2),0)+IF(Ajustes!$L96&gt;0,INDEX($AA$4:$AL$323,Ajustes!$L96,R$2),0) + R96</f>
        <v>36</v>
      </c>
      <c r="AE96">
        <f>IF(Ajustes!$G96&gt;0,INDEX($AA$4:$AL$323,Ajustes!$G96,S$2),0)+IF(Ajustes!$H96&gt;0,INDEX($AA$4:$AL$323,Ajustes!$H96,S$2),0)+IF(Ajustes!$I96&gt;0,INDEX($AA$4:$AL$323,Ajustes!$I96,S$2),0)+IF(Ajustes!$J96&gt;0,INDEX($AA$4:$AL$323,Ajustes!$J96,S$2),0)+IF(Ajustes!$K96&gt;0,INDEX($AA$5:$AL$324,Ajustes!$K96,S$2),0)+IF(Ajustes!$L96&gt;0,INDEX($AA$4:$AL$323,Ajustes!$L96,S$2),0) + S96</f>
        <v>55</v>
      </c>
      <c r="AF96">
        <f>IF(Ajustes!$G96&gt;0,INDEX($AA$4:$AL$323,Ajustes!$G96,T$2),0)+IF(Ajustes!$H96&gt;0,INDEX($AA$4:$AL$323,Ajustes!$H96,T$2),0)+IF(Ajustes!$I96&gt;0,INDEX($AA$4:$AL$323,Ajustes!$I96,T$2),0)+IF(Ajustes!$J96&gt;0,INDEX($AA$4:$AL$323,Ajustes!$J96,T$2),0)+IF(Ajustes!$K96&gt;0,INDEX($AA$5:$AL$324,Ajustes!$K96,T$2),0)+IF(Ajustes!$L96&gt;0,INDEX($AA$4:$AL$323,Ajustes!$L96,T$2),0) + T96</f>
        <v>69</v>
      </c>
      <c r="AG96">
        <f>IF(Ajustes!$G96&gt;0,INDEX($AA$4:$AL$323,Ajustes!$G96,U$2),0)+IF(Ajustes!$H96&gt;0,INDEX($AA$4:$AL$323,Ajustes!$H96,U$2),0)+IF(Ajustes!$I96&gt;0,INDEX($AA$4:$AL$323,Ajustes!$I96,U$2),0)+IF(Ajustes!$J96&gt;0,INDEX($AA$4:$AL$323,Ajustes!$J96,U$2),0)+IF(Ajustes!$K96&gt;0,INDEX($AA$5:$AL$324,Ajustes!$K96,U$2),0)+IF(Ajustes!$L96&gt;0,INDEX($AA$4:$AL$323,Ajustes!$L96,U$2),0) + U96</f>
        <v>77</v>
      </c>
      <c r="AH96">
        <f>IF(Ajustes!$G96&gt;0,INDEX($AA$4:$AL$323,Ajustes!$G96,V$2),0)+IF(Ajustes!$H96&gt;0,INDEX($AA$4:$AL$323,Ajustes!$H96,V$2),0)+IF(Ajustes!$I96&gt;0,INDEX($AA$4:$AL$323,Ajustes!$I96,V$2),0)+IF(Ajustes!$J96&gt;0,INDEX($AA$4:$AL$323,Ajustes!$J96,V$2),0)+IF(Ajustes!$K96&gt;0,INDEX($AA$5:$AL$324,Ajustes!$K96,V$2),0)+IF(Ajustes!$L96&gt;0,INDEX($AA$4:$AL$323,Ajustes!$L96,V$2),0) + V96</f>
        <v>71</v>
      </c>
      <c r="AI96">
        <f>IF(Ajustes!$G96&gt;0,INDEX($AA$4:$AL$323,Ajustes!$G96,W$2),0)+IF(Ajustes!$H96&gt;0,INDEX($AA$4:$AL$323,Ajustes!$H96,W$2),0)+IF(Ajustes!$I96&gt;0,INDEX($AA$4:$AL$323,Ajustes!$I96,W$2),0)+IF(Ajustes!$J96&gt;0,INDEX($AA$4:$AL$323,Ajustes!$J96,W$2),0)+IF(Ajustes!$K96&gt;0,INDEX($AA$5:$AL$324,Ajustes!$K96,W$2),0)+IF(Ajustes!$L96&gt;0,INDEX($AA$4:$AL$323,Ajustes!$L96,W$2),0) + W96</f>
        <v>79</v>
      </c>
      <c r="AJ96">
        <f>IF(Ajustes!$G96&gt;0,INDEX($AA$4:$AL$323,Ajustes!$G96,X$2),0)+IF(Ajustes!$H96&gt;0,INDEX($AA$4:$AL$323,Ajustes!$H96,X$2),0)+IF(Ajustes!$I96&gt;0,INDEX($AA$4:$AL$323,Ajustes!$I96,X$2),0)+IF(Ajustes!$J96&gt;0,INDEX($AA$4:$AL$323,Ajustes!$J96,X$2),0)+IF(Ajustes!$K96&gt;0,INDEX($AA$5:$AL$324,Ajustes!$K96,X$2),0)+IF(Ajustes!$L96&gt;0,INDEX($AA$4:$AL$323,Ajustes!$L96,X$2),0) + X96</f>
        <v>84</v>
      </c>
      <c r="AK96">
        <f>IF(Ajustes!$G96&gt;0,INDEX($AA$4:$AL$323,Ajustes!$G96,Y$2),0)+IF(Ajustes!$H96&gt;0,INDEX($AA$4:$AL$323,Ajustes!$H96,Y$2),0)+IF(Ajustes!$I96&gt;0,INDEX($AA$4:$AL$323,Ajustes!$I96,Y$2),0)+IF(Ajustes!$J96&gt;0,INDEX($AA$4:$AL$323,Ajustes!$J96,Y$2),0)+IF(Ajustes!$K96&gt;0,INDEX($AA$5:$AL$324,Ajustes!$K96,Y$2),0)+IF(Ajustes!$L96&gt;0,INDEX($AA$4:$AL$323,Ajustes!$L96,Y$2),0) + Y96</f>
        <v>59</v>
      </c>
      <c r="AL96">
        <f>IF(Ajustes!$G96&gt;0,INDEX($AA$4:$AL$323,Ajustes!$G96,Z$2),0)+IF(Ajustes!$H96&gt;0,INDEX($AA$4:$AL$323,Ajustes!$H96,Z$2),0)+IF(Ajustes!$I96&gt;0,INDEX($AA$4:$AL$323,Ajustes!$I96,Z$2),0)+IF(Ajustes!$J96&gt;0,INDEX($AA$4:$AL$323,Ajustes!$J96,Z$2),0)+IF(Ajustes!$K96&gt;0,INDEX($AA$5:$AL$324,Ajustes!$K96,Z$2),0)+IF(Ajustes!$L96&gt;0,INDEX($AA$4:$AL$323,Ajustes!$L96,Z$2),0) + Z96</f>
        <v>44</v>
      </c>
      <c r="AM96" s="113">
        <f t="shared" si="26"/>
        <v>34</v>
      </c>
      <c r="AN96" s="113">
        <f t="shared" si="26"/>
        <v>34</v>
      </c>
      <c r="AO96" s="113">
        <f t="shared" si="26"/>
        <v>29</v>
      </c>
      <c r="AP96" s="113">
        <f t="shared" si="26"/>
        <v>36</v>
      </c>
      <c r="AQ96" s="113">
        <f t="shared" si="26"/>
        <v>55</v>
      </c>
      <c r="AR96" s="113">
        <f t="shared" si="26"/>
        <v>69</v>
      </c>
      <c r="AS96" s="113">
        <f t="shared" si="28"/>
        <v>77</v>
      </c>
      <c r="AT96" s="113">
        <f t="shared" si="27"/>
        <v>71</v>
      </c>
      <c r="AU96" s="113">
        <f t="shared" si="27"/>
        <v>79</v>
      </c>
      <c r="AV96" s="113">
        <f t="shared" si="27"/>
        <v>84</v>
      </c>
      <c r="AW96" s="113">
        <f t="shared" si="27"/>
        <v>59</v>
      </c>
      <c r="AX96" s="113">
        <f t="shared" si="27"/>
        <v>44</v>
      </c>
    </row>
    <row r="97" spans="1:50" x14ac:dyDescent="0.25">
      <c r="A97" s="113">
        <v>94</v>
      </c>
      <c r="B97" s="209" t="s">
        <v>585</v>
      </c>
      <c r="C97">
        <f>IFERROR(INDEX($BD$7:$BO$35,MATCH(Ajustes!$E$4:$E$323,$BC$7:$BC$35,0),$C$2:$N$2),1)</f>
        <v>1</v>
      </c>
      <c r="D97" s="113">
        <f>IFERROR(INDEX($BD$7:$BO$35,MATCH(Ajustes!$E$4:$E$323,$BC$7:$BC$35,0),$C$2:$N$2),1)</f>
        <v>1</v>
      </c>
      <c r="E97" s="113">
        <f>IFERROR(INDEX($BD$7:$BO$35,MATCH(Ajustes!$E$4:$E$323,$BC$7:$BC$35,0),$C$2:$N$2),1)</f>
        <v>1</v>
      </c>
      <c r="F97" s="113">
        <f>IFERROR(INDEX($BD$7:$BO$35,MATCH(Ajustes!$E$4:$E$323,$BC$7:$BC$35,0),$C$2:$N$2),1)</f>
        <v>1</v>
      </c>
      <c r="G97" s="113">
        <f>IFERROR(INDEX($BD$7:$BO$35,MATCH(Ajustes!$E$4:$E$323,$BC$7:$BC$35,0),$C$2:$N$2),1)</f>
        <v>1</v>
      </c>
      <c r="H97" s="113">
        <f>IFERROR(INDEX($BD$7:$BO$35,MATCH(Ajustes!$E$4:$E$323,$BC$7:$BC$35,0),$C$2:$N$2),1)</f>
        <v>1</v>
      </c>
      <c r="I97" s="113">
        <f>IFERROR(INDEX($BD$7:$BO$35,MATCH(Ajustes!$E$4:$E$323,$BC$7:$BC$35,0),$C$2:$N$2),1)</f>
        <v>1</v>
      </c>
      <c r="J97" s="113">
        <f>IFERROR(INDEX($BD$7:$BO$35,MATCH(Ajustes!$E$4:$E$323,$BC$7:$BC$35,0),$C$2:$N$2),1)</f>
        <v>1</v>
      </c>
      <c r="K97" s="113">
        <f>IFERROR(INDEX($BD$7:$BO$35,MATCH(Ajustes!$E$4:$E$323,$BC$7:$BC$35,0),$C$2:$N$2),1)</f>
        <v>1</v>
      </c>
      <c r="L97" s="113">
        <f>IFERROR(INDEX($BD$7:$BO$35,MATCH(Ajustes!$E$4:$E$323,$BC$7:$BC$35,0),$C$2:$N$2),1)</f>
        <v>1</v>
      </c>
      <c r="M97" s="113">
        <f>IFERROR(INDEX($BD$7:$BO$35,MATCH(Ajustes!$E$4:$E$323,$BC$7:$BC$35,0),$C$2:$N$2),1)</f>
        <v>1</v>
      </c>
      <c r="N97" s="113">
        <f>IFERROR(INDEX($BD$7:$BO$35,MATCH(Ajustes!$E$4:$E$323,$BC$7:$BC$35,0),$C$2:$N$2),1)</f>
        <v>1</v>
      </c>
      <c r="O97">
        <f>C97*Ajustes!AM97</f>
        <v>77</v>
      </c>
      <c r="P97">
        <f>D97*Ajustes!AN97</f>
        <v>96</v>
      </c>
      <c r="Q97">
        <f>E97*Ajustes!AO97</f>
        <v>86</v>
      </c>
      <c r="R97">
        <f>F97*Ajustes!AP97</f>
        <v>96</v>
      </c>
      <c r="S97">
        <f>G97*Ajustes!AQ97</f>
        <v>131</v>
      </c>
      <c r="T97">
        <f>H97*Ajustes!AR97</f>
        <v>157</v>
      </c>
      <c r="U97">
        <f>I97*Ajustes!AS97</f>
        <v>170</v>
      </c>
      <c r="V97">
        <f>J97*Ajustes!AT97</f>
        <v>187</v>
      </c>
      <c r="W97">
        <f>K97*Ajustes!AU97</f>
        <v>194</v>
      </c>
      <c r="X97">
        <f>L97*Ajustes!AV97</f>
        <v>187</v>
      </c>
      <c r="Y97">
        <f>M97*Ajustes!AW97</f>
        <v>143</v>
      </c>
      <c r="Z97">
        <f>N97*Ajustes!AX97</f>
        <v>102</v>
      </c>
      <c r="AA97">
        <f>IF(Ajustes!$G97&gt;0,INDEX($AA$4:$AL$323,Ajustes!$G97,O$2),0)+IF(Ajustes!$H97&gt;0,INDEX($AA$4:$AL$323,Ajustes!$H97,O$2),0)+IF(Ajustes!$I97&gt;0,INDEX($AA$4:$AL$323,Ajustes!$I97,O$2),0)+IF(Ajustes!$J97&gt;0,INDEX($AA$4:$AL$323,Ajustes!$J97,O$2),0)+IF(Ajustes!$K97&gt;0,INDEX($AA$5:$AL$324,Ajustes!$K97,O$2),0)+IF(Ajustes!$L97&gt;0,INDEX($AA$4:$AL$323,Ajustes!$L97,O$2),0) + O97</f>
        <v>806</v>
      </c>
      <c r="AB97">
        <f>IF(Ajustes!$G97&gt;0,INDEX($AA$4:$AL$323,Ajustes!$G97,P$2),0)+IF(Ajustes!$H97&gt;0,INDEX($AA$4:$AL$323,Ajustes!$H97,P$2),0)+IF(Ajustes!$I97&gt;0,INDEX($AA$4:$AL$323,Ajustes!$I97,P$2),0)+IF(Ajustes!$J97&gt;0,INDEX($AA$4:$AL$323,Ajustes!$J97,P$2),0)+IF(Ajustes!$K97&gt;0,INDEX($AA$5:$AL$324,Ajustes!$K97,P$2),0)+IF(Ajustes!$L97&gt;0,INDEX($AA$4:$AL$323,Ajustes!$L97,P$2),0) + P97</f>
        <v>1008</v>
      </c>
      <c r="AC97">
        <f>IF(Ajustes!$G97&gt;0,INDEX($AA$4:$AL$323,Ajustes!$G97,Q$2),0)+IF(Ajustes!$H97&gt;0,INDEX($AA$4:$AL$323,Ajustes!$H97,Q$2),0)+IF(Ajustes!$I97&gt;0,INDEX($AA$4:$AL$323,Ajustes!$I97,Q$2),0)+IF(Ajustes!$J97&gt;0,INDEX($AA$4:$AL$323,Ajustes!$J97,Q$2),0)+IF(Ajustes!$K97&gt;0,INDEX($AA$5:$AL$324,Ajustes!$K97,Q$2),0)+IF(Ajustes!$L97&gt;0,INDEX($AA$4:$AL$323,Ajustes!$L97,Q$2),0) + Q97</f>
        <v>805</v>
      </c>
      <c r="AD97">
        <f>IF(Ajustes!$G97&gt;0,INDEX($AA$4:$AL$323,Ajustes!$G97,R$2),0)+IF(Ajustes!$H97&gt;0,INDEX($AA$4:$AL$323,Ajustes!$H97,R$2),0)+IF(Ajustes!$I97&gt;0,INDEX($AA$4:$AL$323,Ajustes!$I97,R$2),0)+IF(Ajustes!$J97&gt;0,INDEX($AA$4:$AL$323,Ajustes!$J97,R$2),0)+IF(Ajustes!$K97&gt;0,INDEX($AA$5:$AL$324,Ajustes!$K97,R$2),0)+IF(Ajustes!$L97&gt;0,INDEX($AA$4:$AL$323,Ajustes!$L97,R$2),0) + R97</f>
        <v>860</v>
      </c>
      <c r="AE97">
        <f>IF(Ajustes!$G97&gt;0,INDEX($AA$4:$AL$323,Ajustes!$G97,S$2),0)+IF(Ajustes!$H97&gt;0,INDEX($AA$4:$AL$323,Ajustes!$H97,S$2),0)+IF(Ajustes!$I97&gt;0,INDEX($AA$4:$AL$323,Ajustes!$I97,S$2),0)+IF(Ajustes!$J97&gt;0,INDEX($AA$4:$AL$323,Ajustes!$J97,S$2),0)+IF(Ajustes!$K97&gt;0,INDEX($AA$5:$AL$324,Ajustes!$K97,S$2),0)+IF(Ajustes!$L97&gt;0,INDEX($AA$4:$AL$323,Ajustes!$L97,S$2),0) + S97</f>
        <v>1199</v>
      </c>
      <c r="AF97">
        <f>IF(Ajustes!$G97&gt;0,INDEX($AA$4:$AL$323,Ajustes!$G97,T$2),0)+IF(Ajustes!$H97&gt;0,INDEX($AA$4:$AL$323,Ajustes!$H97,T$2),0)+IF(Ajustes!$I97&gt;0,INDEX($AA$4:$AL$323,Ajustes!$I97,T$2),0)+IF(Ajustes!$J97&gt;0,INDEX($AA$4:$AL$323,Ajustes!$J97,T$2),0)+IF(Ajustes!$K97&gt;0,INDEX($AA$5:$AL$324,Ajustes!$K97,T$2),0)+IF(Ajustes!$L97&gt;0,INDEX($AA$4:$AL$323,Ajustes!$L97,T$2),0) + T97</f>
        <v>1362</v>
      </c>
      <c r="AG97">
        <f>IF(Ajustes!$G97&gt;0,INDEX($AA$4:$AL$323,Ajustes!$G97,U$2),0)+IF(Ajustes!$H97&gt;0,INDEX($AA$4:$AL$323,Ajustes!$H97,U$2),0)+IF(Ajustes!$I97&gt;0,INDEX($AA$4:$AL$323,Ajustes!$I97,U$2),0)+IF(Ajustes!$J97&gt;0,INDEX($AA$4:$AL$323,Ajustes!$J97,U$2),0)+IF(Ajustes!$K97&gt;0,INDEX($AA$5:$AL$324,Ajustes!$K97,U$2),0)+IF(Ajustes!$L97&gt;0,INDEX($AA$4:$AL$323,Ajustes!$L97,U$2),0) + U97</f>
        <v>1595</v>
      </c>
      <c r="AH97">
        <f>IF(Ajustes!$G97&gt;0,INDEX($AA$4:$AL$323,Ajustes!$G97,V$2),0)+IF(Ajustes!$H97&gt;0,INDEX($AA$4:$AL$323,Ajustes!$H97,V$2),0)+IF(Ajustes!$I97&gt;0,INDEX($AA$4:$AL$323,Ajustes!$I97,V$2),0)+IF(Ajustes!$J97&gt;0,INDEX($AA$4:$AL$323,Ajustes!$J97,V$2),0)+IF(Ajustes!$K97&gt;0,INDEX($AA$5:$AL$324,Ajustes!$K97,V$2),0)+IF(Ajustes!$L97&gt;0,INDEX($AA$4:$AL$323,Ajustes!$L97,V$2),0) + V97</f>
        <v>1676</v>
      </c>
      <c r="AI97">
        <f>IF(Ajustes!$G97&gt;0,INDEX($AA$4:$AL$323,Ajustes!$G97,W$2),0)+IF(Ajustes!$H97&gt;0,INDEX($AA$4:$AL$323,Ajustes!$H97,W$2),0)+IF(Ajustes!$I97&gt;0,INDEX($AA$4:$AL$323,Ajustes!$I97,W$2),0)+IF(Ajustes!$J97&gt;0,INDEX($AA$4:$AL$323,Ajustes!$J97,W$2),0)+IF(Ajustes!$K97&gt;0,INDEX($AA$5:$AL$324,Ajustes!$K97,W$2),0)+IF(Ajustes!$L97&gt;0,INDEX($AA$4:$AL$323,Ajustes!$L97,W$2),0) + W97</f>
        <v>1904</v>
      </c>
      <c r="AJ97">
        <f>IF(Ajustes!$G97&gt;0,INDEX($AA$4:$AL$323,Ajustes!$G97,X$2),0)+IF(Ajustes!$H97&gt;0,INDEX($AA$4:$AL$323,Ajustes!$H97,X$2),0)+IF(Ajustes!$I97&gt;0,INDEX($AA$4:$AL$323,Ajustes!$I97,X$2),0)+IF(Ajustes!$J97&gt;0,INDEX($AA$4:$AL$323,Ajustes!$J97,X$2),0)+IF(Ajustes!$K97&gt;0,INDEX($AA$5:$AL$324,Ajustes!$K97,X$2),0)+IF(Ajustes!$L97&gt;0,INDEX($AA$4:$AL$323,Ajustes!$L97,X$2),0) + X97</f>
        <v>1886</v>
      </c>
      <c r="AK97">
        <f>IF(Ajustes!$G97&gt;0,INDEX($AA$4:$AL$323,Ajustes!$G97,Y$2),0)+IF(Ajustes!$H97&gt;0,INDEX($AA$4:$AL$323,Ajustes!$H97,Y$2),0)+IF(Ajustes!$I97&gt;0,INDEX($AA$4:$AL$323,Ajustes!$I97,Y$2),0)+IF(Ajustes!$J97&gt;0,INDEX($AA$4:$AL$323,Ajustes!$J97,Y$2),0)+IF(Ajustes!$K97&gt;0,INDEX($AA$5:$AL$324,Ajustes!$K97,Y$2),0)+IF(Ajustes!$L97&gt;0,INDEX($AA$4:$AL$323,Ajustes!$L97,Y$2),0) + Y97</f>
        <v>1231</v>
      </c>
      <c r="AL97">
        <f>IF(Ajustes!$G97&gt;0,INDEX($AA$4:$AL$323,Ajustes!$G97,Z$2),0)+IF(Ajustes!$H97&gt;0,INDEX($AA$4:$AL$323,Ajustes!$H97,Z$2),0)+IF(Ajustes!$I97&gt;0,INDEX($AA$4:$AL$323,Ajustes!$I97,Z$2),0)+IF(Ajustes!$J97&gt;0,INDEX($AA$4:$AL$323,Ajustes!$J97,Z$2),0)+IF(Ajustes!$K97&gt;0,INDEX($AA$5:$AL$324,Ajustes!$K97,Z$2),0)+IF(Ajustes!$L97&gt;0,INDEX($AA$4:$AL$323,Ajustes!$L97,Z$2),0) + Z97</f>
        <v>897</v>
      </c>
      <c r="AM97" s="113">
        <f t="shared" si="26"/>
        <v>806</v>
      </c>
      <c r="AN97" s="113">
        <f t="shared" si="26"/>
        <v>1008</v>
      </c>
      <c r="AO97" s="113">
        <f t="shared" si="26"/>
        <v>805</v>
      </c>
      <c r="AP97" s="113">
        <f t="shared" si="26"/>
        <v>860</v>
      </c>
      <c r="AQ97" s="113">
        <f t="shared" si="26"/>
        <v>1199</v>
      </c>
      <c r="AR97" s="113">
        <f t="shared" si="26"/>
        <v>1362</v>
      </c>
      <c r="AS97" s="113">
        <f t="shared" si="28"/>
        <v>1595</v>
      </c>
      <c r="AT97" s="113">
        <f t="shared" si="27"/>
        <v>1676</v>
      </c>
      <c r="AU97" s="113">
        <f t="shared" si="27"/>
        <v>1904</v>
      </c>
      <c r="AV97" s="113">
        <f t="shared" si="27"/>
        <v>1886</v>
      </c>
      <c r="AW97" s="113">
        <f t="shared" si="27"/>
        <v>1231</v>
      </c>
      <c r="AX97" s="113">
        <f t="shared" si="27"/>
        <v>897</v>
      </c>
    </row>
    <row r="98" spans="1:50" x14ac:dyDescent="0.25">
      <c r="A98" s="113">
        <v>95</v>
      </c>
      <c r="B98" s="209"/>
      <c r="C98">
        <f>IFERROR(INDEX($BD$7:$BO$35,MATCH(Ajustes!$E$4:$E$323,$BC$7:$BC$35,0),$C$2:$N$2),1)</f>
        <v>1</v>
      </c>
      <c r="D98" s="113">
        <f>IFERROR(INDEX($BD$7:$BO$35,MATCH(Ajustes!$E$4:$E$323,$BC$7:$BC$35,0),$C$2:$N$2),1)</f>
        <v>1</v>
      </c>
      <c r="E98" s="113">
        <f>IFERROR(INDEX($BD$7:$BO$35,MATCH(Ajustes!$E$4:$E$323,$BC$7:$BC$35,0),$C$2:$N$2),1)</f>
        <v>1</v>
      </c>
      <c r="F98" s="113">
        <f>IFERROR(INDEX($BD$7:$BO$35,MATCH(Ajustes!$E$4:$E$323,$BC$7:$BC$35,0),$C$2:$N$2),1)</f>
        <v>1</v>
      </c>
      <c r="G98" s="113">
        <f>IFERROR(INDEX($BD$7:$BO$35,MATCH(Ajustes!$E$4:$E$323,$BC$7:$BC$35,0),$C$2:$N$2),1)</f>
        <v>1</v>
      </c>
      <c r="H98" s="113">
        <f>IFERROR(INDEX($BD$7:$BO$35,MATCH(Ajustes!$E$4:$E$323,$BC$7:$BC$35,0),$C$2:$N$2),1)</f>
        <v>1</v>
      </c>
      <c r="I98" s="113">
        <f>IFERROR(INDEX($BD$7:$BO$35,MATCH(Ajustes!$E$4:$E$323,$BC$7:$BC$35,0),$C$2:$N$2),1)</f>
        <v>1</v>
      </c>
      <c r="J98" s="113">
        <f>IFERROR(INDEX($BD$7:$BO$35,MATCH(Ajustes!$E$4:$E$323,$BC$7:$BC$35,0),$C$2:$N$2),1)</f>
        <v>1</v>
      </c>
      <c r="K98" s="113">
        <f>IFERROR(INDEX($BD$7:$BO$35,MATCH(Ajustes!$E$4:$E$323,$BC$7:$BC$35,0),$C$2:$N$2),1)</f>
        <v>1</v>
      </c>
      <c r="L98" s="113">
        <f>IFERROR(INDEX($BD$7:$BO$35,MATCH(Ajustes!$E$4:$E$323,$BC$7:$BC$35,0),$C$2:$N$2),1)</f>
        <v>1</v>
      </c>
      <c r="M98" s="113">
        <f>IFERROR(INDEX($BD$7:$BO$35,MATCH(Ajustes!$E$4:$E$323,$BC$7:$BC$35,0),$C$2:$N$2),1)</f>
        <v>1</v>
      </c>
      <c r="N98" s="113">
        <f>IFERROR(INDEX($BD$7:$BO$35,MATCH(Ajustes!$E$4:$E$323,$BC$7:$BC$35,0),$C$2:$N$2),1)</f>
        <v>1</v>
      </c>
      <c r="O98">
        <f>C98*Ajustes!AM98</f>
        <v>0</v>
      </c>
      <c r="P98">
        <f>D98*Ajustes!AN98</f>
        <v>0</v>
      </c>
      <c r="Q98">
        <f>E98*Ajustes!AO98</f>
        <v>0</v>
      </c>
      <c r="R98">
        <f>F98*Ajustes!AP98</f>
        <v>0</v>
      </c>
      <c r="S98">
        <f>G98*Ajustes!AQ98</f>
        <v>0</v>
      </c>
      <c r="T98">
        <f>H98*Ajustes!AR98</f>
        <v>0</v>
      </c>
      <c r="U98">
        <f>I98*Ajustes!AS98</f>
        <v>0</v>
      </c>
      <c r="V98">
        <f>J98*Ajustes!AT98</f>
        <v>0</v>
      </c>
      <c r="W98">
        <f>K98*Ajustes!AU98</f>
        <v>0</v>
      </c>
      <c r="X98">
        <f>L98*Ajustes!AV98</f>
        <v>0</v>
      </c>
      <c r="Y98">
        <f>M98*Ajustes!AW98</f>
        <v>0</v>
      </c>
      <c r="Z98">
        <f>N98*Ajustes!AX98</f>
        <v>0</v>
      </c>
      <c r="AA98">
        <f>IF(Ajustes!$G98&gt;0,INDEX($AA$4:$AL$323,Ajustes!$G98,O$2),0)+IF(Ajustes!$H98&gt;0,INDEX($AA$4:$AL$323,Ajustes!$H98,O$2),0)+IF(Ajustes!$I98&gt;0,INDEX($AA$4:$AL$323,Ajustes!$I98,O$2),0)+IF(Ajustes!$J98&gt;0,INDEX($AA$4:$AL$323,Ajustes!$J98,O$2),0)+IF(Ajustes!$K98&gt;0,INDEX($AA$5:$AL$324,Ajustes!$K98,O$2),0)+IF(Ajustes!$L98&gt;0,INDEX($AA$4:$AL$323,Ajustes!$L98,O$2),0) + O98</f>
        <v>0</v>
      </c>
      <c r="AB98">
        <f>IF(Ajustes!$G98&gt;0,INDEX($AA$4:$AL$323,Ajustes!$G98,P$2),0)+IF(Ajustes!$H98&gt;0,INDEX($AA$4:$AL$323,Ajustes!$H98,P$2),0)+IF(Ajustes!$I98&gt;0,INDEX($AA$4:$AL$323,Ajustes!$I98,P$2),0)+IF(Ajustes!$J98&gt;0,INDEX($AA$4:$AL$323,Ajustes!$J98,P$2),0)+IF(Ajustes!$K98&gt;0,INDEX($AA$5:$AL$324,Ajustes!$K98,P$2),0)+IF(Ajustes!$L98&gt;0,INDEX($AA$4:$AL$323,Ajustes!$L98,P$2),0) + P98</f>
        <v>0</v>
      </c>
      <c r="AC98">
        <f>IF(Ajustes!$G98&gt;0,INDEX($AA$4:$AL$323,Ajustes!$G98,Q$2),0)+IF(Ajustes!$H98&gt;0,INDEX($AA$4:$AL$323,Ajustes!$H98,Q$2),0)+IF(Ajustes!$I98&gt;0,INDEX($AA$4:$AL$323,Ajustes!$I98,Q$2),0)+IF(Ajustes!$J98&gt;0,INDEX($AA$4:$AL$323,Ajustes!$J98,Q$2),0)+IF(Ajustes!$K98&gt;0,INDEX($AA$5:$AL$324,Ajustes!$K98,Q$2),0)+IF(Ajustes!$L98&gt;0,INDEX($AA$4:$AL$323,Ajustes!$L98,Q$2),0) + Q98</f>
        <v>0</v>
      </c>
      <c r="AD98">
        <f>IF(Ajustes!$G98&gt;0,INDEX($AA$4:$AL$323,Ajustes!$G98,R$2),0)+IF(Ajustes!$H98&gt;0,INDEX($AA$4:$AL$323,Ajustes!$H98,R$2),0)+IF(Ajustes!$I98&gt;0,INDEX($AA$4:$AL$323,Ajustes!$I98,R$2),0)+IF(Ajustes!$J98&gt;0,INDEX($AA$4:$AL$323,Ajustes!$J98,R$2),0)+IF(Ajustes!$K98&gt;0,INDEX($AA$5:$AL$324,Ajustes!$K98,R$2),0)+IF(Ajustes!$L98&gt;0,INDEX($AA$4:$AL$323,Ajustes!$L98,R$2),0) + R98</f>
        <v>0</v>
      </c>
      <c r="AE98">
        <f>IF(Ajustes!$G98&gt;0,INDEX($AA$4:$AL$323,Ajustes!$G98,S$2),0)+IF(Ajustes!$H98&gt;0,INDEX($AA$4:$AL$323,Ajustes!$H98,S$2),0)+IF(Ajustes!$I98&gt;0,INDEX($AA$4:$AL$323,Ajustes!$I98,S$2),0)+IF(Ajustes!$J98&gt;0,INDEX($AA$4:$AL$323,Ajustes!$J98,S$2),0)+IF(Ajustes!$K98&gt;0,INDEX($AA$5:$AL$324,Ajustes!$K98,S$2),0)+IF(Ajustes!$L98&gt;0,INDEX($AA$4:$AL$323,Ajustes!$L98,S$2),0) + S98</f>
        <v>0</v>
      </c>
      <c r="AF98">
        <f>IF(Ajustes!$G98&gt;0,INDEX($AA$4:$AL$323,Ajustes!$G98,T$2),0)+IF(Ajustes!$H98&gt;0,INDEX($AA$4:$AL$323,Ajustes!$H98,T$2),0)+IF(Ajustes!$I98&gt;0,INDEX($AA$4:$AL$323,Ajustes!$I98,T$2),0)+IF(Ajustes!$J98&gt;0,INDEX($AA$4:$AL$323,Ajustes!$J98,T$2),0)+IF(Ajustes!$K98&gt;0,INDEX($AA$5:$AL$324,Ajustes!$K98,T$2),0)+IF(Ajustes!$L98&gt;0,INDEX($AA$4:$AL$323,Ajustes!$L98,T$2),0) + T98</f>
        <v>0</v>
      </c>
      <c r="AG98">
        <f>IF(Ajustes!$G98&gt;0,INDEX($AA$4:$AL$323,Ajustes!$G98,U$2),0)+IF(Ajustes!$H98&gt;0,INDEX($AA$4:$AL$323,Ajustes!$H98,U$2),0)+IF(Ajustes!$I98&gt;0,INDEX($AA$4:$AL$323,Ajustes!$I98,U$2),0)+IF(Ajustes!$J98&gt;0,INDEX($AA$4:$AL$323,Ajustes!$J98,U$2),0)+IF(Ajustes!$K98&gt;0,INDEX($AA$5:$AL$324,Ajustes!$K98,U$2),0)+IF(Ajustes!$L98&gt;0,INDEX($AA$4:$AL$323,Ajustes!$L98,U$2),0) + U98</f>
        <v>0</v>
      </c>
      <c r="AH98">
        <f>IF(Ajustes!$G98&gt;0,INDEX($AA$4:$AL$323,Ajustes!$G98,V$2),0)+IF(Ajustes!$H98&gt;0,INDEX($AA$4:$AL$323,Ajustes!$H98,V$2),0)+IF(Ajustes!$I98&gt;0,INDEX($AA$4:$AL$323,Ajustes!$I98,V$2),0)+IF(Ajustes!$J98&gt;0,INDEX($AA$4:$AL$323,Ajustes!$J98,V$2),0)+IF(Ajustes!$K98&gt;0,INDEX($AA$5:$AL$324,Ajustes!$K98,V$2),0)+IF(Ajustes!$L98&gt;0,INDEX($AA$4:$AL$323,Ajustes!$L98,V$2),0) + V98</f>
        <v>0</v>
      </c>
      <c r="AI98">
        <f>IF(Ajustes!$G98&gt;0,INDEX($AA$4:$AL$323,Ajustes!$G98,W$2),0)+IF(Ajustes!$H98&gt;0,INDEX($AA$4:$AL$323,Ajustes!$H98,W$2),0)+IF(Ajustes!$I98&gt;0,INDEX($AA$4:$AL$323,Ajustes!$I98,W$2),0)+IF(Ajustes!$J98&gt;0,INDEX($AA$4:$AL$323,Ajustes!$J98,W$2),0)+IF(Ajustes!$K98&gt;0,INDEX($AA$5:$AL$324,Ajustes!$K98,W$2),0)+IF(Ajustes!$L98&gt;0,INDEX($AA$4:$AL$323,Ajustes!$L98,W$2),0) + W98</f>
        <v>0</v>
      </c>
      <c r="AJ98">
        <f>IF(Ajustes!$G98&gt;0,INDEX($AA$4:$AL$323,Ajustes!$G98,X$2),0)+IF(Ajustes!$H98&gt;0,INDEX($AA$4:$AL$323,Ajustes!$H98,X$2),0)+IF(Ajustes!$I98&gt;0,INDEX($AA$4:$AL$323,Ajustes!$I98,X$2),0)+IF(Ajustes!$J98&gt;0,INDEX($AA$4:$AL$323,Ajustes!$J98,X$2),0)+IF(Ajustes!$K98&gt;0,INDEX($AA$5:$AL$324,Ajustes!$K98,X$2),0)+IF(Ajustes!$L98&gt;0,INDEX($AA$4:$AL$323,Ajustes!$L98,X$2),0) + X98</f>
        <v>0</v>
      </c>
      <c r="AK98">
        <f>IF(Ajustes!$G98&gt;0,INDEX($AA$4:$AL$323,Ajustes!$G98,Y$2),0)+IF(Ajustes!$H98&gt;0,INDEX($AA$4:$AL$323,Ajustes!$H98,Y$2),0)+IF(Ajustes!$I98&gt;0,INDEX($AA$4:$AL$323,Ajustes!$I98,Y$2),0)+IF(Ajustes!$J98&gt;0,INDEX($AA$4:$AL$323,Ajustes!$J98,Y$2),0)+IF(Ajustes!$K98&gt;0,INDEX($AA$5:$AL$324,Ajustes!$K98,Y$2),0)+IF(Ajustes!$L98&gt;0,INDEX($AA$4:$AL$323,Ajustes!$L98,Y$2),0) + Y98</f>
        <v>0</v>
      </c>
      <c r="AL98">
        <f>IF(Ajustes!$G98&gt;0,INDEX($AA$4:$AL$323,Ajustes!$G98,Z$2),0)+IF(Ajustes!$H98&gt;0,INDEX($AA$4:$AL$323,Ajustes!$H98,Z$2),0)+IF(Ajustes!$I98&gt;0,INDEX($AA$4:$AL$323,Ajustes!$I98,Z$2),0)+IF(Ajustes!$J98&gt;0,INDEX($AA$4:$AL$323,Ajustes!$J98,Z$2),0)+IF(Ajustes!$K98&gt;0,INDEX($AA$5:$AL$324,Ajustes!$K98,Z$2),0)+IF(Ajustes!$L98&gt;0,INDEX($AA$4:$AL$323,Ajustes!$L98,Z$2),0) + Z98</f>
        <v>0</v>
      </c>
      <c r="AM98" s="113">
        <f t="shared" si="26"/>
        <v>0</v>
      </c>
      <c r="AN98" s="113">
        <f t="shared" si="26"/>
        <v>0</v>
      </c>
      <c r="AO98" s="113">
        <f t="shared" si="26"/>
        <v>0</v>
      </c>
      <c r="AP98" s="113">
        <f t="shared" si="26"/>
        <v>0</v>
      </c>
      <c r="AQ98" s="113">
        <f t="shared" si="26"/>
        <v>0</v>
      </c>
      <c r="AR98" s="113">
        <f t="shared" si="26"/>
        <v>0</v>
      </c>
      <c r="AS98" s="113">
        <f t="shared" si="28"/>
        <v>0</v>
      </c>
      <c r="AT98" s="113">
        <f t="shared" si="27"/>
        <v>0</v>
      </c>
      <c r="AU98" s="113">
        <f t="shared" si="27"/>
        <v>0</v>
      </c>
      <c r="AV98" s="113">
        <f t="shared" si="27"/>
        <v>0</v>
      </c>
      <c r="AW98" s="113">
        <f t="shared" si="27"/>
        <v>0</v>
      </c>
      <c r="AX98" s="113">
        <f t="shared" si="27"/>
        <v>0</v>
      </c>
    </row>
    <row r="99" spans="1:50" x14ac:dyDescent="0.25">
      <c r="A99" s="113">
        <v>96</v>
      </c>
      <c r="B99" s="209"/>
      <c r="C99">
        <f>IFERROR(INDEX($BD$7:$BO$35,MATCH(Ajustes!$E$4:$E$323,$BC$7:$BC$35,0),$C$2:$N$2),1)</f>
        <v>1</v>
      </c>
      <c r="D99" s="113">
        <f>IFERROR(INDEX($BD$7:$BO$35,MATCH(Ajustes!$E$4:$E$323,$BC$7:$BC$35,0),$C$2:$N$2),1)</f>
        <v>1</v>
      </c>
      <c r="E99" s="113">
        <f>IFERROR(INDEX($BD$7:$BO$35,MATCH(Ajustes!$E$4:$E$323,$BC$7:$BC$35,0),$C$2:$N$2),1)</f>
        <v>1</v>
      </c>
      <c r="F99" s="113">
        <f>IFERROR(INDEX($BD$7:$BO$35,MATCH(Ajustes!$E$4:$E$323,$BC$7:$BC$35,0),$C$2:$N$2),1)</f>
        <v>1</v>
      </c>
      <c r="G99" s="113">
        <f>IFERROR(INDEX($BD$7:$BO$35,MATCH(Ajustes!$E$4:$E$323,$BC$7:$BC$35,0),$C$2:$N$2),1)</f>
        <v>1</v>
      </c>
      <c r="H99" s="113">
        <f>IFERROR(INDEX($BD$7:$BO$35,MATCH(Ajustes!$E$4:$E$323,$BC$7:$BC$35,0),$C$2:$N$2),1)</f>
        <v>1</v>
      </c>
      <c r="I99" s="113">
        <f>IFERROR(INDEX($BD$7:$BO$35,MATCH(Ajustes!$E$4:$E$323,$BC$7:$BC$35,0),$C$2:$N$2),1)</f>
        <v>1</v>
      </c>
      <c r="J99" s="113">
        <f>IFERROR(INDEX($BD$7:$BO$35,MATCH(Ajustes!$E$4:$E$323,$BC$7:$BC$35,0),$C$2:$N$2),1)</f>
        <v>1</v>
      </c>
      <c r="K99" s="113">
        <f>IFERROR(INDEX($BD$7:$BO$35,MATCH(Ajustes!$E$4:$E$323,$BC$7:$BC$35,0),$C$2:$N$2),1)</f>
        <v>1</v>
      </c>
      <c r="L99" s="113">
        <f>IFERROR(INDEX($BD$7:$BO$35,MATCH(Ajustes!$E$4:$E$323,$BC$7:$BC$35,0),$C$2:$N$2),1)</f>
        <v>1</v>
      </c>
      <c r="M99" s="113">
        <f>IFERROR(INDEX($BD$7:$BO$35,MATCH(Ajustes!$E$4:$E$323,$BC$7:$BC$35,0),$C$2:$N$2),1)</f>
        <v>1</v>
      </c>
      <c r="N99" s="113">
        <f>IFERROR(INDEX($BD$7:$BO$35,MATCH(Ajustes!$E$4:$E$323,$BC$7:$BC$35,0),$C$2:$N$2),1)</f>
        <v>1</v>
      </c>
      <c r="O99">
        <f>C99*Ajustes!AM99</f>
        <v>0</v>
      </c>
      <c r="P99">
        <f>D99*Ajustes!AN99</f>
        <v>0</v>
      </c>
      <c r="Q99">
        <f>E99*Ajustes!AO99</f>
        <v>0</v>
      </c>
      <c r="R99">
        <f>F99*Ajustes!AP99</f>
        <v>0</v>
      </c>
      <c r="S99">
        <f>G99*Ajustes!AQ99</f>
        <v>0</v>
      </c>
      <c r="T99">
        <f>H99*Ajustes!AR99</f>
        <v>0</v>
      </c>
      <c r="U99">
        <f>I99*Ajustes!AS99</f>
        <v>0</v>
      </c>
      <c r="V99">
        <f>J99*Ajustes!AT99</f>
        <v>0</v>
      </c>
      <c r="W99">
        <f>K99*Ajustes!AU99</f>
        <v>0</v>
      </c>
      <c r="X99">
        <f>L99*Ajustes!AV99</f>
        <v>0</v>
      </c>
      <c r="Y99">
        <f>M99*Ajustes!AW99</f>
        <v>0</v>
      </c>
      <c r="Z99">
        <f>N99*Ajustes!AX99</f>
        <v>0</v>
      </c>
      <c r="AA99">
        <f>IF(Ajustes!$G99&gt;0,INDEX($AA$4:$AL$323,Ajustes!$G99,O$2),0)+IF(Ajustes!$H99&gt;0,INDEX($AA$4:$AL$323,Ajustes!$H99,O$2),0)+IF(Ajustes!$I99&gt;0,INDEX($AA$4:$AL$323,Ajustes!$I99,O$2),0)+IF(Ajustes!$J99&gt;0,INDEX($AA$4:$AL$323,Ajustes!$J99,O$2),0)+IF(Ajustes!$K99&gt;0,INDEX($AA$5:$AL$324,Ajustes!$K99,O$2),0)+IF(Ajustes!$L99&gt;0,INDEX($AA$4:$AL$323,Ajustes!$L99,O$2),0) + O99</f>
        <v>0</v>
      </c>
      <c r="AB99">
        <f>IF(Ajustes!$G99&gt;0,INDEX($AA$4:$AL$323,Ajustes!$G99,P$2),0)+IF(Ajustes!$H99&gt;0,INDEX($AA$4:$AL$323,Ajustes!$H99,P$2),0)+IF(Ajustes!$I99&gt;0,INDEX($AA$4:$AL$323,Ajustes!$I99,P$2),0)+IF(Ajustes!$J99&gt;0,INDEX($AA$4:$AL$323,Ajustes!$J99,P$2),0)+IF(Ajustes!$K99&gt;0,INDEX($AA$5:$AL$324,Ajustes!$K99,P$2),0)+IF(Ajustes!$L99&gt;0,INDEX($AA$4:$AL$323,Ajustes!$L99,P$2),0) + P99</f>
        <v>0</v>
      </c>
      <c r="AC99">
        <f>IF(Ajustes!$G99&gt;0,INDEX($AA$4:$AL$323,Ajustes!$G99,Q$2),0)+IF(Ajustes!$H99&gt;0,INDEX($AA$4:$AL$323,Ajustes!$H99,Q$2),0)+IF(Ajustes!$I99&gt;0,INDEX($AA$4:$AL$323,Ajustes!$I99,Q$2),0)+IF(Ajustes!$J99&gt;0,INDEX($AA$4:$AL$323,Ajustes!$J99,Q$2),0)+IF(Ajustes!$K99&gt;0,INDEX($AA$5:$AL$324,Ajustes!$K99,Q$2),0)+IF(Ajustes!$L99&gt;0,INDEX($AA$4:$AL$323,Ajustes!$L99,Q$2),0) + Q99</f>
        <v>0</v>
      </c>
      <c r="AD99">
        <f>IF(Ajustes!$G99&gt;0,INDEX($AA$4:$AL$323,Ajustes!$G99,R$2),0)+IF(Ajustes!$H99&gt;0,INDEX($AA$4:$AL$323,Ajustes!$H99,R$2),0)+IF(Ajustes!$I99&gt;0,INDEX($AA$4:$AL$323,Ajustes!$I99,R$2),0)+IF(Ajustes!$J99&gt;0,INDEX($AA$4:$AL$323,Ajustes!$J99,R$2),0)+IF(Ajustes!$K99&gt;0,INDEX($AA$5:$AL$324,Ajustes!$K99,R$2),0)+IF(Ajustes!$L99&gt;0,INDEX($AA$4:$AL$323,Ajustes!$L99,R$2),0) + R99</f>
        <v>0</v>
      </c>
      <c r="AE99">
        <f>IF(Ajustes!$G99&gt;0,INDEX($AA$4:$AL$323,Ajustes!$G99,S$2),0)+IF(Ajustes!$H99&gt;0,INDEX($AA$4:$AL$323,Ajustes!$H99,S$2),0)+IF(Ajustes!$I99&gt;0,INDEX($AA$4:$AL$323,Ajustes!$I99,S$2),0)+IF(Ajustes!$J99&gt;0,INDEX($AA$4:$AL$323,Ajustes!$J99,S$2),0)+IF(Ajustes!$K99&gt;0,INDEX($AA$5:$AL$324,Ajustes!$K99,S$2),0)+IF(Ajustes!$L99&gt;0,INDEX($AA$4:$AL$323,Ajustes!$L99,S$2),0) + S99</f>
        <v>0</v>
      </c>
      <c r="AF99">
        <f>IF(Ajustes!$G99&gt;0,INDEX($AA$4:$AL$323,Ajustes!$G99,T$2),0)+IF(Ajustes!$H99&gt;0,INDEX($AA$4:$AL$323,Ajustes!$H99,T$2),0)+IF(Ajustes!$I99&gt;0,INDEX($AA$4:$AL$323,Ajustes!$I99,T$2),0)+IF(Ajustes!$J99&gt;0,INDEX($AA$4:$AL$323,Ajustes!$J99,T$2),0)+IF(Ajustes!$K99&gt;0,INDEX($AA$5:$AL$324,Ajustes!$K99,T$2),0)+IF(Ajustes!$L99&gt;0,INDEX($AA$4:$AL$323,Ajustes!$L99,T$2),0) + T99</f>
        <v>0</v>
      </c>
      <c r="AG99">
        <f>IF(Ajustes!$G99&gt;0,INDEX($AA$4:$AL$323,Ajustes!$G99,U$2),0)+IF(Ajustes!$H99&gt;0,INDEX($AA$4:$AL$323,Ajustes!$H99,U$2),0)+IF(Ajustes!$I99&gt;0,INDEX($AA$4:$AL$323,Ajustes!$I99,U$2),0)+IF(Ajustes!$J99&gt;0,INDEX($AA$4:$AL$323,Ajustes!$J99,U$2),0)+IF(Ajustes!$K99&gt;0,INDEX($AA$5:$AL$324,Ajustes!$K99,U$2),0)+IF(Ajustes!$L99&gt;0,INDEX($AA$4:$AL$323,Ajustes!$L99,U$2),0) + U99</f>
        <v>0</v>
      </c>
      <c r="AH99">
        <f>IF(Ajustes!$G99&gt;0,INDEX($AA$4:$AL$323,Ajustes!$G99,V$2),0)+IF(Ajustes!$H99&gt;0,INDEX($AA$4:$AL$323,Ajustes!$H99,V$2),0)+IF(Ajustes!$I99&gt;0,INDEX($AA$4:$AL$323,Ajustes!$I99,V$2),0)+IF(Ajustes!$J99&gt;0,INDEX($AA$4:$AL$323,Ajustes!$J99,V$2),0)+IF(Ajustes!$K99&gt;0,INDEX($AA$5:$AL$324,Ajustes!$K99,V$2),0)+IF(Ajustes!$L99&gt;0,INDEX($AA$4:$AL$323,Ajustes!$L99,V$2),0) + V99</f>
        <v>0</v>
      </c>
      <c r="AI99">
        <f>IF(Ajustes!$G99&gt;0,INDEX($AA$4:$AL$323,Ajustes!$G99,W$2),0)+IF(Ajustes!$H99&gt;0,INDEX($AA$4:$AL$323,Ajustes!$H99,W$2),0)+IF(Ajustes!$I99&gt;0,INDEX($AA$4:$AL$323,Ajustes!$I99,W$2),0)+IF(Ajustes!$J99&gt;0,INDEX($AA$4:$AL$323,Ajustes!$J99,W$2),0)+IF(Ajustes!$K99&gt;0,INDEX($AA$5:$AL$324,Ajustes!$K99,W$2),0)+IF(Ajustes!$L99&gt;0,INDEX($AA$4:$AL$323,Ajustes!$L99,W$2),0) + W99</f>
        <v>0</v>
      </c>
      <c r="AJ99">
        <f>IF(Ajustes!$G99&gt;0,INDEX($AA$4:$AL$323,Ajustes!$G99,X$2),0)+IF(Ajustes!$H99&gt;0,INDEX($AA$4:$AL$323,Ajustes!$H99,X$2),0)+IF(Ajustes!$I99&gt;0,INDEX($AA$4:$AL$323,Ajustes!$I99,X$2),0)+IF(Ajustes!$J99&gt;0,INDEX($AA$4:$AL$323,Ajustes!$J99,X$2),0)+IF(Ajustes!$K99&gt;0,INDEX($AA$5:$AL$324,Ajustes!$K99,X$2),0)+IF(Ajustes!$L99&gt;0,INDEX($AA$4:$AL$323,Ajustes!$L99,X$2),0) + X99</f>
        <v>0</v>
      </c>
      <c r="AK99">
        <f>IF(Ajustes!$G99&gt;0,INDEX($AA$4:$AL$323,Ajustes!$G99,Y$2),0)+IF(Ajustes!$H99&gt;0,INDEX($AA$4:$AL$323,Ajustes!$H99,Y$2),0)+IF(Ajustes!$I99&gt;0,INDEX($AA$4:$AL$323,Ajustes!$I99,Y$2),0)+IF(Ajustes!$J99&gt;0,INDEX($AA$4:$AL$323,Ajustes!$J99,Y$2),0)+IF(Ajustes!$K99&gt;0,INDEX($AA$5:$AL$324,Ajustes!$K99,Y$2),0)+IF(Ajustes!$L99&gt;0,INDEX($AA$4:$AL$323,Ajustes!$L99,Y$2),0) + Y99</f>
        <v>0</v>
      </c>
      <c r="AL99">
        <f>IF(Ajustes!$G99&gt;0,INDEX($AA$4:$AL$323,Ajustes!$G99,Z$2),0)+IF(Ajustes!$H99&gt;0,INDEX($AA$4:$AL$323,Ajustes!$H99,Z$2),0)+IF(Ajustes!$I99&gt;0,INDEX($AA$4:$AL$323,Ajustes!$I99,Z$2),0)+IF(Ajustes!$J99&gt;0,INDEX($AA$4:$AL$323,Ajustes!$J99,Z$2),0)+IF(Ajustes!$K99&gt;0,INDEX($AA$5:$AL$324,Ajustes!$K99,Z$2),0)+IF(Ajustes!$L99&gt;0,INDEX($AA$4:$AL$323,Ajustes!$L99,Z$2),0) + Z99</f>
        <v>0</v>
      </c>
      <c r="AM99" s="113">
        <f t="shared" si="26"/>
        <v>0</v>
      </c>
      <c r="AN99" s="113">
        <f t="shared" si="26"/>
        <v>0</v>
      </c>
      <c r="AO99" s="113">
        <f t="shared" si="26"/>
        <v>0</v>
      </c>
      <c r="AP99" s="113">
        <f t="shared" si="26"/>
        <v>0</v>
      </c>
      <c r="AQ99" s="113">
        <f t="shared" si="26"/>
        <v>0</v>
      </c>
      <c r="AR99" s="113">
        <f t="shared" si="26"/>
        <v>0</v>
      </c>
      <c r="AS99" s="113">
        <f t="shared" si="28"/>
        <v>0</v>
      </c>
      <c r="AT99" s="113">
        <f t="shared" si="27"/>
        <v>0</v>
      </c>
      <c r="AU99" s="113">
        <f t="shared" si="27"/>
        <v>0</v>
      </c>
      <c r="AV99" s="113">
        <f t="shared" si="27"/>
        <v>0</v>
      </c>
      <c r="AW99" s="113">
        <f t="shared" si="27"/>
        <v>0</v>
      </c>
      <c r="AX99" s="113">
        <f t="shared" si="27"/>
        <v>0</v>
      </c>
    </row>
    <row r="100" spans="1:50" x14ac:dyDescent="0.25">
      <c r="A100" s="113">
        <v>97</v>
      </c>
      <c r="B100" s="209" t="s">
        <v>586</v>
      </c>
      <c r="C100">
        <f>IFERROR(INDEX($BD$7:$BO$35,MATCH(Ajustes!$E$4:$E$323,$BC$7:$BC$35,0),$C$2:$N$2),1)</f>
        <v>1</v>
      </c>
      <c r="D100" s="113">
        <f>IFERROR(INDEX($BD$7:$BO$35,MATCH(Ajustes!$E$4:$E$323,$BC$7:$BC$35,0),$C$2:$N$2),1)</f>
        <v>1</v>
      </c>
      <c r="E100" s="113">
        <f>IFERROR(INDEX($BD$7:$BO$35,MATCH(Ajustes!$E$4:$E$323,$BC$7:$BC$35,0),$C$2:$N$2),1)</f>
        <v>1</v>
      </c>
      <c r="F100" s="113">
        <f>IFERROR(INDEX($BD$7:$BO$35,MATCH(Ajustes!$E$4:$E$323,$BC$7:$BC$35,0),$C$2:$N$2),1)</f>
        <v>1</v>
      </c>
      <c r="G100" s="113">
        <f>IFERROR(INDEX($BD$7:$BO$35,MATCH(Ajustes!$E$4:$E$323,$BC$7:$BC$35,0),$C$2:$N$2),1)</f>
        <v>1</v>
      </c>
      <c r="H100" s="113">
        <f>IFERROR(INDEX($BD$7:$BO$35,MATCH(Ajustes!$E$4:$E$323,$BC$7:$BC$35,0),$C$2:$N$2),1)</f>
        <v>1</v>
      </c>
      <c r="I100" s="113">
        <f>IFERROR(INDEX($BD$7:$BO$35,MATCH(Ajustes!$E$4:$E$323,$BC$7:$BC$35,0),$C$2:$N$2),1)</f>
        <v>1</v>
      </c>
      <c r="J100" s="113">
        <f>IFERROR(INDEX($BD$7:$BO$35,MATCH(Ajustes!$E$4:$E$323,$BC$7:$BC$35,0),$C$2:$N$2),1)</f>
        <v>1</v>
      </c>
      <c r="K100" s="113">
        <f>IFERROR(INDEX($BD$7:$BO$35,MATCH(Ajustes!$E$4:$E$323,$BC$7:$BC$35,0),$C$2:$N$2),1)</f>
        <v>1</v>
      </c>
      <c r="L100" s="113">
        <f>IFERROR(INDEX($BD$7:$BO$35,MATCH(Ajustes!$E$4:$E$323,$BC$7:$BC$35,0),$C$2:$N$2),1)</f>
        <v>1</v>
      </c>
      <c r="M100" s="113">
        <f>IFERROR(INDEX($BD$7:$BO$35,MATCH(Ajustes!$E$4:$E$323,$BC$7:$BC$35,0),$C$2:$N$2),1)</f>
        <v>1</v>
      </c>
      <c r="N100" s="113">
        <f>IFERROR(INDEX($BD$7:$BO$35,MATCH(Ajustes!$E$4:$E$323,$BC$7:$BC$35,0),$C$2:$N$2),1)</f>
        <v>1</v>
      </c>
      <c r="O100">
        <f>C100*Ajustes!AM100</f>
        <v>67</v>
      </c>
      <c r="P100">
        <f>D100*Ajustes!AN100</f>
        <v>84</v>
      </c>
      <c r="Q100">
        <f>E100*Ajustes!AO100</f>
        <v>63</v>
      </c>
      <c r="R100">
        <f>F100*Ajustes!AP100</f>
        <v>75</v>
      </c>
      <c r="S100">
        <f>G100*Ajustes!AQ100</f>
        <v>113</v>
      </c>
      <c r="T100">
        <f>H100*Ajustes!AR100</f>
        <v>144</v>
      </c>
      <c r="U100">
        <f>I100*Ajustes!AS100</f>
        <v>187</v>
      </c>
      <c r="V100">
        <f>J100*Ajustes!AT100</f>
        <v>191</v>
      </c>
      <c r="W100">
        <f>K100*Ajustes!AU100</f>
        <v>219</v>
      </c>
      <c r="X100">
        <f>L100*Ajustes!AV100</f>
        <v>185</v>
      </c>
      <c r="Y100">
        <f>M100*Ajustes!AW100</f>
        <v>104</v>
      </c>
      <c r="Z100">
        <f>N100*Ajustes!AX100</f>
        <v>83</v>
      </c>
      <c r="AA100">
        <f>IF(Ajustes!$G100&gt;0,INDEX($AA$4:$AL$323,Ajustes!$G100,O$2),0)+IF(Ajustes!$H100&gt;0,INDEX($AA$4:$AL$323,Ajustes!$H100,O$2),0)+IF(Ajustes!$I100&gt;0,INDEX($AA$4:$AL$323,Ajustes!$I100,O$2),0)+IF(Ajustes!$J100&gt;0,INDEX($AA$4:$AL$323,Ajustes!$J100,O$2),0)+IF(Ajustes!$K100&gt;0,INDEX($AA$5:$AL$324,Ajustes!$K100,O$2),0)+IF(Ajustes!$L100&gt;0,INDEX($AA$4:$AL$323,Ajustes!$L100,O$2),0) + O100</f>
        <v>160</v>
      </c>
      <c r="AB100">
        <f>IF(Ajustes!$G100&gt;0,INDEX($AA$4:$AL$323,Ajustes!$G100,P$2),0)+IF(Ajustes!$H100&gt;0,INDEX($AA$4:$AL$323,Ajustes!$H100,P$2),0)+IF(Ajustes!$I100&gt;0,INDEX($AA$4:$AL$323,Ajustes!$I100,P$2),0)+IF(Ajustes!$J100&gt;0,INDEX($AA$4:$AL$323,Ajustes!$J100,P$2),0)+IF(Ajustes!$K100&gt;0,INDEX($AA$5:$AL$324,Ajustes!$K100,P$2),0)+IF(Ajustes!$L100&gt;0,INDEX($AA$4:$AL$323,Ajustes!$L100,P$2),0) + P100</f>
        <v>205</v>
      </c>
      <c r="AC100">
        <f>IF(Ajustes!$G100&gt;0,INDEX($AA$4:$AL$323,Ajustes!$G100,Q$2),0)+IF(Ajustes!$H100&gt;0,INDEX($AA$4:$AL$323,Ajustes!$H100,Q$2),0)+IF(Ajustes!$I100&gt;0,INDEX($AA$4:$AL$323,Ajustes!$I100,Q$2),0)+IF(Ajustes!$J100&gt;0,INDEX($AA$4:$AL$323,Ajustes!$J100,Q$2),0)+IF(Ajustes!$K100&gt;0,INDEX($AA$5:$AL$324,Ajustes!$K100,Q$2),0)+IF(Ajustes!$L100&gt;0,INDEX($AA$4:$AL$323,Ajustes!$L100,Q$2),0) + Q100</f>
        <v>155</v>
      </c>
      <c r="AD100">
        <f>IF(Ajustes!$G100&gt;0,INDEX($AA$4:$AL$323,Ajustes!$G100,R$2),0)+IF(Ajustes!$H100&gt;0,INDEX($AA$4:$AL$323,Ajustes!$H100,R$2),0)+IF(Ajustes!$I100&gt;0,INDEX($AA$4:$AL$323,Ajustes!$I100,R$2),0)+IF(Ajustes!$J100&gt;0,INDEX($AA$4:$AL$323,Ajustes!$J100,R$2),0)+IF(Ajustes!$K100&gt;0,INDEX($AA$5:$AL$324,Ajustes!$K100,R$2),0)+IF(Ajustes!$L100&gt;0,INDEX($AA$4:$AL$323,Ajustes!$L100,R$2),0) + R100</f>
        <v>174</v>
      </c>
      <c r="AE100">
        <f>IF(Ajustes!$G100&gt;0,INDEX($AA$4:$AL$323,Ajustes!$G100,S$2),0)+IF(Ajustes!$H100&gt;0,INDEX($AA$4:$AL$323,Ajustes!$H100,S$2),0)+IF(Ajustes!$I100&gt;0,INDEX($AA$4:$AL$323,Ajustes!$I100,S$2),0)+IF(Ajustes!$J100&gt;0,INDEX($AA$4:$AL$323,Ajustes!$J100,S$2),0)+IF(Ajustes!$K100&gt;0,INDEX($AA$5:$AL$324,Ajustes!$K100,S$2),0)+IF(Ajustes!$L100&gt;0,INDEX($AA$4:$AL$323,Ajustes!$L100,S$2),0) + S100</f>
        <v>241</v>
      </c>
      <c r="AF100">
        <f>IF(Ajustes!$G100&gt;0,INDEX($AA$4:$AL$323,Ajustes!$G100,T$2),0)+IF(Ajustes!$H100&gt;0,INDEX($AA$4:$AL$323,Ajustes!$H100,T$2),0)+IF(Ajustes!$I100&gt;0,INDEX($AA$4:$AL$323,Ajustes!$I100,T$2),0)+IF(Ajustes!$J100&gt;0,INDEX($AA$4:$AL$323,Ajustes!$J100,T$2),0)+IF(Ajustes!$K100&gt;0,INDEX($AA$5:$AL$324,Ajustes!$K100,T$2),0)+IF(Ajustes!$L100&gt;0,INDEX($AA$4:$AL$323,Ajustes!$L100,T$2),0) + T100</f>
        <v>314</v>
      </c>
      <c r="AG100">
        <f>IF(Ajustes!$G100&gt;0,INDEX($AA$4:$AL$323,Ajustes!$G100,U$2),0)+IF(Ajustes!$H100&gt;0,INDEX($AA$4:$AL$323,Ajustes!$H100,U$2),0)+IF(Ajustes!$I100&gt;0,INDEX($AA$4:$AL$323,Ajustes!$I100,U$2),0)+IF(Ajustes!$J100&gt;0,INDEX($AA$4:$AL$323,Ajustes!$J100,U$2),0)+IF(Ajustes!$K100&gt;0,INDEX($AA$5:$AL$324,Ajustes!$K100,U$2),0)+IF(Ajustes!$L100&gt;0,INDEX($AA$4:$AL$323,Ajustes!$L100,U$2),0) + U100</f>
        <v>406</v>
      </c>
      <c r="AH100">
        <f>IF(Ajustes!$G100&gt;0,INDEX($AA$4:$AL$323,Ajustes!$G100,V$2),0)+IF(Ajustes!$H100&gt;0,INDEX($AA$4:$AL$323,Ajustes!$H100,V$2),0)+IF(Ajustes!$I100&gt;0,INDEX($AA$4:$AL$323,Ajustes!$I100,V$2),0)+IF(Ajustes!$J100&gt;0,INDEX($AA$4:$AL$323,Ajustes!$J100,V$2),0)+IF(Ajustes!$K100&gt;0,INDEX($AA$5:$AL$324,Ajustes!$K100,V$2),0)+IF(Ajustes!$L100&gt;0,INDEX($AA$4:$AL$323,Ajustes!$L100,V$2),0) + V100</f>
        <v>424</v>
      </c>
      <c r="AI100">
        <f>IF(Ajustes!$G100&gt;0,INDEX($AA$4:$AL$323,Ajustes!$G100,W$2),0)+IF(Ajustes!$H100&gt;0,INDEX($AA$4:$AL$323,Ajustes!$H100,W$2),0)+IF(Ajustes!$I100&gt;0,INDEX($AA$4:$AL$323,Ajustes!$I100,W$2),0)+IF(Ajustes!$J100&gt;0,INDEX($AA$4:$AL$323,Ajustes!$J100,W$2),0)+IF(Ajustes!$K100&gt;0,INDEX($AA$5:$AL$324,Ajustes!$K100,W$2),0)+IF(Ajustes!$L100&gt;0,INDEX($AA$4:$AL$323,Ajustes!$L100,W$2),0) + W100</f>
        <v>471</v>
      </c>
      <c r="AJ100">
        <f>IF(Ajustes!$G100&gt;0,INDEX($AA$4:$AL$323,Ajustes!$G100,X$2),0)+IF(Ajustes!$H100&gt;0,INDEX($AA$4:$AL$323,Ajustes!$H100,X$2),0)+IF(Ajustes!$I100&gt;0,INDEX($AA$4:$AL$323,Ajustes!$I100,X$2),0)+IF(Ajustes!$J100&gt;0,INDEX($AA$4:$AL$323,Ajustes!$J100,X$2),0)+IF(Ajustes!$K100&gt;0,INDEX($AA$5:$AL$324,Ajustes!$K100,X$2),0)+IF(Ajustes!$L100&gt;0,INDEX($AA$4:$AL$323,Ajustes!$L100,X$2),0) + X100</f>
        <v>387</v>
      </c>
      <c r="AK100">
        <f>IF(Ajustes!$G100&gt;0,INDEX($AA$4:$AL$323,Ajustes!$G100,Y$2),0)+IF(Ajustes!$H100&gt;0,INDEX($AA$4:$AL$323,Ajustes!$H100,Y$2),0)+IF(Ajustes!$I100&gt;0,INDEX($AA$4:$AL$323,Ajustes!$I100,Y$2),0)+IF(Ajustes!$J100&gt;0,INDEX($AA$4:$AL$323,Ajustes!$J100,Y$2),0)+IF(Ajustes!$K100&gt;0,INDEX($AA$5:$AL$324,Ajustes!$K100,Y$2),0)+IF(Ajustes!$L100&gt;0,INDEX($AA$4:$AL$323,Ajustes!$L100,Y$2),0) + Y100</f>
        <v>227</v>
      </c>
      <c r="AL100">
        <f>IF(Ajustes!$G100&gt;0,INDEX($AA$4:$AL$323,Ajustes!$G100,Z$2),0)+IF(Ajustes!$H100&gt;0,INDEX($AA$4:$AL$323,Ajustes!$H100,Z$2),0)+IF(Ajustes!$I100&gt;0,INDEX($AA$4:$AL$323,Ajustes!$I100,Z$2),0)+IF(Ajustes!$J100&gt;0,INDEX($AA$4:$AL$323,Ajustes!$J100,Z$2),0)+IF(Ajustes!$K100&gt;0,INDEX($AA$5:$AL$324,Ajustes!$K100,Z$2),0)+IF(Ajustes!$L100&gt;0,INDEX($AA$4:$AL$323,Ajustes!$L100,Z$2),0) + Z100</f>
        <v>181</v>
      </c>
      <c r="AM100" s="113">
        <f t="shared" si="26"/>
        <v>160</v>
      </c>
      <c r="AN100" s="113">
        <f t="shared" si="26"/>
        <v>205</v>
      </c>
      <c r="AO100" s="113">
        <f t="shared" si="26"/>
        <v>155</v>
      </c>
      <c r="AP100" s="113">
        <f t="shared" si="26"/>
        <v>174</v>
      </c>
      <c r="AQ100" s="113">
        <f t="shared" si="26"/>
        <v>241</v>
      </c>
      <c r="AR100" s="113">
        <f t="shared" si="26"/>
        <v>314</v>
      </c>
      <c r="AS100" s="113">
        <f t="shared" si="28"/>
        <v>406</v>
      </c>
      <c r="AT100" s="113">
        <f t="shared" si="27"/>
        <v>424</v>
      </c>
      <c r="AU100" s="113">
        <f t="shared" si="27"/>
        <v>471</v>
      </c>
      <c r="AV100" s="113">
        <f t="shared" si="27"/>
        <v>387</v>
      </c>
      <c r="AW100" s="113">
        <f t="shared" si="27"/>
        <v>227</v>
      </c>
      <c r="AX100" s="113">
        <f t="shared" si="27"/>
        <v>181</v>
      </c>
    </row>
    <row r="101" spans="1:50" x14ac:dyDescent="0.25">
      <c r="A101" s="113">
        <v>98</v>
      </c>
      <c r="B101" s="209" t="s">
        <v>183</v>
      </c>
      <c r="C101">
        <f>IFERROR(INDEX($BD$7:$BO$35,MATCH(Ajustes!$E$4:$E$323,$BC$7:$BC$35,0),$C$2:$N$2),1)</f>
        <v>1</v>
      </c>
      <c r="D101" s="113">
        <f>IFERROR(INDEX($BD$7:$BO$35,MATCH(Ajustes!$E$4:$E$323,$BC$7:$BC$35,0),$C$2:$N$2),1)</f>
        <v>1</v>
      </c>
      <c r="E101" s="113">
        <f>IFERROR(INDEX($BD$7:$BO$35,MATCH(Ajustes!$E$4:$E$323,$BC$7:$BC$35,0),$C$2:$N$2),1)</f>
        <v>1</v>
      </c>
      <c r="F101" s="113">
        <f>IFERROR(INDEX($BD$7:$BO$35,MATCH(Ajustes!$E$4:$E$323,$BC$7:$BC$35,0),$C$2:$N$2),1)</f>
        <v>1</v>
      </c>
      <c r="G101" s="113">
        <f>IFERROR(INDEX($BD$7:$BO$35,MATCH(Ajustes!$E$4:$E$323,$BC$7:$BC$35,0),$C$2:$N$2),1)</f>
        <v>1</v>
      </c>
      <c r="H101" s="113">
        <f>IFERROR(INDEX($BD$7:$BO$35,MATCH(Ajustes!$E$4:$E$323,$BC$7:$BC$35,0),$C$2:$N$2),1)</f>
        <v>1</v>
      </c>
      <c r="I101" s="113">
        <f>IFERROR(INDEX($BD$7:$BO$35,MATCH(Ajustes!$E$4:$E$323,$BC$7:$BC$35,0),$C$2:$N$2),1)</f>
        <v>1</v>
      </c>
      <c r="J101" s="113">
        <f>IFERROR(INDEX($BD$7:$BO$35,MATCH(Ajustes!$E$4:$E$323,$BC$7:$BC$35,0),$C$2:$N$2),1)</f>
        <v>1</v>
      </c>
      <c r="K101" s="113">
        <f>IFERROR(INDEX($BD$7:$BO$35,MATCH(Ajustes!$E$4:$E$323,$BC$7:$BC$35,0),$C$2:$N$2),1)</f>
        <v>1</v>
      </c>
      <c r="L101" s="113">
        <f>IFERROR(INDEX($BD$7:$BO$35,MATCH(Ajustes!$E$4:$E$323,$BC$7:$BC$35,0),$C$2:$N$2),1)</f>
        <v>1</v>
      </c>
      <c r="M101" s="113">
        <f>IFERROR(INDEX($BD$7:$BO$35,MATCH(Ajustes!$E$4:$E$323,$BC$7:$BC$35,0),$C$2:$N$2),1)</f>
        <v>1</v>
      </c>
      <c r="N101" s="113">
        <f>IFERROR(INDEX($BD$7:$BO$35,MATCH(Ajustes!$E$4:$E$323,$BC$7:$BC$35,0),$C$2:$N$2),1)</f>
        <v>1</v>
      </c>
      <c r="O101">
        <f>C101*Ajustes!AM101</f>
        <v>93</v>
      </c>
      <c r="P101">
        <f>D101*Ajustes!AN101</f>
        <v>121</v>
      </c>
      <c r="Q101">
        <f>E101*Ajustes!AO101</f>
        <v>92</v>
      </c>
      <c r="R101">
        <f>F101*Ajustes!AP101</f>
        <v>99</v>
      </c>
      <c r="S101">
        <f>G101*Ajustes!AQ101</f>
        <v>128</v>
      </c>
      <c r="T101">
        <f>H101*Ajustes!AR101</f>
        <v>170</v>
      </c>
      <c r="U101">
        <f>I101*Ajustes!AS101</f>
        <v>219</v>
      </c>
      <c r="V101">
        <f>J101*Ajustes!AT101</f>
        <v>233</v>
      </c>
      <c r="W101">
        <f>K101*Ajustes!AU101</f>
        <v>252</v>
      </c>
      <c r="X101">
        <f>L101*Ajustes!AV101</f>
        <v>202</v>
      </c>
      <c r="Y101">
        <f>M101*Ajustes!AW101</f>
        <v>123</v>
      </c>
      <c r="Z101">
        <f>N101*Ajustes!AX101</f>
        <v>98</v>
      </c>
      <c r="AA101">
        <f>IF(Ajustes!$G101&gt;0,INDEX($AA$4:$AL$323,Ajustes!$G101,O$2),0)+IF(Ajustes!$H101&gt;0,INDEX($AA$4:$AL$323,Ajustes!$H101,O$2),0)+IF(Ajustes!$I101&gt;0,INDEX($AA$4:$AL$323,Ajustes!$I101,O$2),0)+IF(Ajustes!$J101&gt;0,INDEX($AA$4:$AL$323,Ajustes!$J101,O$2),0)+IF(Ajustes!$K101&gt;0,INDEX($AA$5:$AL$324,Ajustes!$K101,O$2),0)+IF(Ajustes!$L101&gt;0,INDEX($AA$4:$AL$323,Ajustes!$L101,O$2),0) + O101</f>
        <v>93</v>
      </c>
      <c r="AB101">
        <f>IF(Ajustes!$G101&gt;0,INDEX($AA$4:$AL$323,Ajustes!$G101,P$2),0)+IF(Ajustes!$H101&gt;0,INDEX($AA$4:$AL$323,Ajustes!$H101,P$2),0)+IF(Ajustes!$I101&gt;0,INDEX($AA$4:$AL$323,Ajustes!$I101,P$2),0)+IF(Ajustes!$J101&gt;0,INDEX($AA$4:$AL$323,Ajustes!$J101,P$2),0)+IF(Ajustes!$K101&gt;0,INDEX($AA$5:$AL$324,Ajustes!$K101,P$2),0)+IF(Ajustes!$L101&gt;0,INDEX($AA$4:$AL$323,Ajustes!$L101,P$2),0) + P101</f>
        <v>121</v>
      </c>
      <c r="AC101">
        <f>IF(Ajustes!$G101&gt;0,INDEX($AA$4:$AL$323,Ajustes!$G101,Q$2),0)+IF(Ajustes!$H101&gt;0,INDEX($AA$4:$AL$323,Ajustes!$H101,Q$2),0)+IF(Ajustes!$I101&gt;0,INDEX($AA$4:$AL$323,Ajustes!$I101,Q$2),0)+IF(Ajustes!$J101&gt;0,INDEX($AA$4:$AL$323,Ajustes!$J101,Q$2),0)+IF(Ajustes!$K101&gt;0,INDEX($AA$5:$AL$324,Ajustes!$K101,Q$2),0)+IF(Ajustes!$L101&gt;0,INDEX($AA$4:$AL$323,Ajustes!$L101,Q$2),0) + Q101</f>
        <v>92</v>
      </c>
      <c r="AD101">
        <f>IF(Ajustes!$G101&gt;0,INDEX($AA$4:$AL$323,Ajustes!$G101,R$2),0)+IF(Ajustes!$H101&gt;0,INDEX($AA$4:$AL$323,Ajustes!$H101,R$2),0)+IF(Ajustes!$I101&gt;0,INDEX($AA$4:$AL$323,Ajustes!$I101,R$2),0)+IF(Ajustes!$J101&gt;0,INDEX($AA$4:$AL$323,Ajustes!$J101,R$2),0)+IF(Ajustes!$K101&gt;0,INDEX($AA$5:$AL$324,Ajustes!$K101,R$2),0)+IF(Ajustes!$L101&gt;0,INDEX($AA$4:$AL$323,Ajustes!$L101,R$2),0) + R101</f>
        <v>99</v>
      </c>
      <c r="AE101">
        <f>IF(Ajustes!$G101&gt;0,INDEX($AA$4:$AL$323,Ajustes!$G101,S$2),0)+IF(Ajustes!$H101&gt;0,INDEX($AA$4:$AL$323,Ajustes!$H101,S$2),0)+IF(Ajustes!$I101&gt;0,INDEX($AA$4:$AL$323,Ajustes!$I101,S$2),0)+IF(Ajustes!$J101&gt;0,INDEX($AA$4:$AL$323,Ajustes!$J101,S$2),0)+IF(Ajustes!$K101&gt;0,INDEX($AA$5:$AL$324,Ajustes!$K101,S$2),0)+IF(Ajustes!$L101&gt;0,INDEX($AA$4:$AL$323,Ajustes!$L101,S$2),0) + S101</f>
        <v>128</v>
      </c>
      <c r="AF101">
        <f>IF(Ajustes!$G101&gt;0,INDEX($AA$4:$AL$323,Ajustes!$G101,T$2),0)+IF(Ajustes!$H101&gt;0,INDEX($AA$4:$AL$323,Ajustes!$H101,T$2),0)+IF(Ajustes!$I101&gt;0,INDEX($AA$4:$AL$323,Ajustes!$I101,T$2),0)+IF(Ajustes!$J101&gt;0,INDEX($AA$4:$AL$323,Ajustes!$J101,T$2),0)+IF(Ajustes!$K101&gt;0,INDEX($AA$5:$AL$324,Ajustes!$K101,T$2),0)+IF(Ajustes!$L101&gt;0,INDEX($AA$4:$AL$323,Ajustes!$L101,T$2),0) + T101</f>
        <v>170</v>
      </c>
      <c r="AG101">
        <f>IF(Ajustes!$G101&gt;0,INDEX($AA$4:$AL$323,Ajustes!$G101,U$2),0)+IF(Ajustes!$H101&gt;0,INDEX($AA$4:$AL$323,Ajustes!$H101,U$2),0)+IF(Ajustes!$I101&gt;0,INDEX($AA$4:$AL$323,Ajustes!$I101,U$2),0)+IF(Ajustes!$J101&gt;0,INDEX($AA$4:$AL$323,Ajustes!$J101,U$2),0)+IF(Ajustes!$K101&gt;0,INDEX($AA$5:$AL$324,Ajustes!$K101,U$2),0)+IF(Ajustes!$L101&gt;0,INDEX($AA$4:$AL$323,Ajustes!$L101,U$2),0) + U101</f>
        <v>219</v>
      </c>
      <c r="AH101">
        <f>IF(Ajustes!$G101&gt;0,INDEX($AA$4:$AL$323,Ajustes!$G101,V$2),0)+IF(Ajustes!$H101&gt;0,INDEX($AA$4:$AL$323,Ajustes!$H101,V$2),0)+IF(Ajustes!$I101&gt;0,INDEX($AA$4:$AL$323,Ajustes!$I101,V$2),0)+IF(Ajustes!$J101&gt;0,INDEX($AA$4:$AL$323,Ajustes!$J101,V$2),0)+IF(Ajustes!$K101&gt;0,INDEX($AA$5:$AL$324,Ajustes!$K101,V$2),0)+IF(Ajustes!$L101&gt;0,INDEX($AA$4:$AL$323,Ajustes!$L101,V$2),0) + V101</f>
        <v>233</v>
      </c>
      <c r="AI101">
        <f>IF(Ajustes!$G101&gt;0,INDEX($AA$4:$AL$323,Ajustes!$G101,W$2),0)+IF(Ajustes!$H101&gt;0,INDEX($AA$4:$AL$323,Ajustes!$H101,W$2),0)+IF(Ajustes!$I101&gt;0,INDEX($AA$4:$AL$323,Ajustes!$I101,W$2),0)+IF(Ajustes!$J101&gt;0,INDEX($AA$4:$AL$323,Ajustes!$J101,W$2),0)+IF(Ajustes!$K101&gt;0,INDEX($AA$5:$AL$324,Ajustes!$K101,W$2),0)+IF(Ajustes!$L101&gt;0,INDEX($AA$4:$AL$323,Ajustes!$L101,W$2),0) + W101</f>
        <v>252</v>
      </c>
      <c r="AJ101">
        <f>IF(Ajustes!$G101&gt;0,INDEX($AA$4:$AL$323,Ajustes!$G101,X$2),0)+IF(Ajustes!$H101&gt;0,INDEX($AA$4:$AL$323,Ajustes!$H101,X$2),0)+IF(Ajustes!$I101&gt;0,INDEX($AA$4:$AL$323,Ajustes!$I101,X$2),0)+IF(Ajustes!$J101&gt;0,INDEX($AA$4:$AL$323,Ajustes!$J101,X$2),0)+IF(Ajustes!$K101&gt;0,INDEX($AA$5:$AL$324,Ajustes!$K101,X$2),0)+IF(Ajustes!$L101&gt;0,INDEX($AA$4:$AL$323,Ajustes!$L101,X$2),0) + X101</f>
        <v>202</v>
      </c>
      <c r="AK101">
        <f>IF(Ajustes!$G101&gt;0,INDEX($AA$4:$AL$323,Ajustes!$G101,Y$2),0)+IF(Ajustes!$H101&gt;0,INDEX($AA$4:$AL$323,Ajustes!$H101,Y$2),0)+IF(Ajustes!$I101&gt;0,INDEX($AA$4:$AL$323,Ajustes!$I101,Y$2),0)+IF(Ajustes!$J101&gt;0,INDEX($AA$4:$AL$323,Ajustes!$J101,Y$2),0)+IF(Ajustes!$K101&gt;0,INDEX($AA$5:$AL$324,Ajustes!$K101,Y$2),0)+IF(Ajustes!$L101&gt;0,INDEX($AA$4:$AL$323,Ajustes!$L101,Y$2),0) + Y101</f>
        <v>123</v>
      </c>
      <c r="AL101">
        <f>IF(Ajustes!$G101&gt;0,INDEX($AA$4:$AL$323,Ajustes!$G101,Z$2),0)+IF(Ajustes!$H101&gt;0,INDEX($AA$4:$AL$323,Ajustes!$H101,Z$2),0)+IF(Ajustes!$I101&gt;0,INDEX($AA$4:$AL$323,Ajustes!$I101,Z$2),0)+IF(Ajustes!$J101&gt;0,INDEX($AA$4:$AL$323,Ajustes!$J101,Z$2),0)+IF(Ajustes!$K101&gt;0,INDEX($AA$5:$AL$324,Ajustes!$K101,Z$2),0)+IF(Ajustes!$L101&gt;0,INDEX($AA$4:$AL$323,Ajustes!$L101,Z$2),0) + Z101</f>
        <v>98</v>
      </c>
      <c r="AM101" s="113">
        <f t="shared" si="26"/>
        <v>93</v>
      </c>
      <c r="AN101" s="113">
        <f t="shared" si="26"/>
        <v>121</v>
      </c>
      <c r="AO101" s="113">
        <f t="shared" si="26"/>
        <v>92</v>
      </c>
      <c r="AP101" s="113">
        <f t="shared" si="26"/>
        <v>99</v>
      </c>
      <c r="AQ101" s="113">
        <f t="shared" si="26"/>
        <v>128</v>
      </c>
      <c r="AR101" s="113">
        <f t="shared" si="26"/>
        <v>170</v>
      </c>
      <c r="AS101" s="113">
        <f t="shared" si="28"/>
        <v>219</v>
      </c>
      <c r="AT101" s="113">
        <f t="shared" si="27"/>
        <v>233</v>
      </c>
      <c r="AU101" s="113">
        <f t="shared" si="27"/>
        <v>252</v>
      </c>
      <c r="AV101" s="113">
        <f t="shared" si="27"/>
        <v>202</v>
      </c>
      <c r="AW101" s="113">
        <f t="shared" si="27"/>
        <v>123</v>
      </c>
      <c r="AX101" s="113">
        <f t="shared" si="27"/>
        <v>98</v>
      </c>
    </row>
    <row r="102" spans="1:50" x14ac:dyDescent="0.25">
      <c r="A102" s="113">
        <v>99</v>
      </c>
      <c r="B102" s="209" t="s">
        <v>587</v>
      </c>
      <c r="C102">
        <f>IFERROR(INDEX($BD$7:$BO$35,MATCH(Ajustes!$E$4:$E$323,$BC$7:$BC$35,0),$C$2:$N$2),1)</f>
        <v>1</v>
      </c>
      <c r="D102" s="113">
        <f>IFERROR(INDEX($BD$7:$BO$35,MATCH(Ajustes!$E$4:$E$323,$BC$7:$BC$35,0),$C$2:$N$2),1)</f>
        <v>1</v>
      </c>
      <c r="E102" s="113">
        <f>IFERROR(INDEX($BD$7:$BO$35,MATCH(Ajustes!$E$4:$E$323,$BC$7:$BC$35,0),$C$2:$N$2),1)</f>
        <v>1</v>
      </c>
      <c r="F102" s="113">
        <f>IFERROR(INDEX($BD$7:$BO$35,MATCH(Ajustes!$E$4:$E$323,$BC$7:$BC$35,0),$C$2:$N$2),1)</f>
        <v>1</v>
      </c>
      <c r="G102" s="113">
        <f>IFERROR(INDEX($BD$7:$BO$35,MATCH(Ajustes!$E$4:$E$323,$BC$7:$BC$35,0),$C$2:$N$2),1)</f>
        <v>1</v>
      </c>
      <c r="H102" s="113">
        <f>IFERROR(INDEX($BD$7:$BO$35,MATCH(Ajustes!$E$4:$E$323,$BC$7:$BC$35,0),$C$2:$N$2),1)</f>
        <v>1</v>
      </c>
      <c r="I102" s="113">
        <f>IFERROR(INDEX($BD$7:$BO$35,MATCH(Ajustes!$E$4:$E$323,$BC$7:$BC$35,0),$C$2:$N$2),1)</f>
        <v>1</v>
      </c>
      <c r="J102" s="113">
        <f>IFERROR(INDEX($BD$7:$BO$35,MATCH(Ajustes!$E$4:$E$323,$BC$7:$BC$35,0),$C$2:$N$2),1)</f>
        <v>1</v>
      </c>
      <c r="K102" s="113">
        <f>IFERROR(INDEX($BD$7:$BO$35,MATCH(Ajustes!$E$4:$E$323,$BC$7:$BC$35,0),$C$2:$N$2),1)</f>
        <v>1</v>
      </c>
      <c r="L102" s="113">
        <f>IFERROR(INDEX($BD$7:$BO$35,MATCH(Ajustes!$E$4:$E$323,$BC$7:$BC$35,0),$C$2:$N$2),1)</f>
        <v>1</v>
      </c>
      <c r="M102" s="113">
        <f>IFERROR(INDEX($BD$7:$BO$35,MATCH(Ajustes!$E$4:$E$323,$BC$7:$BC$35,0),$C$2:$N$2),1)</f>
        <v>1</v>
      </c>
      <c r="N102" s="113">
        <f>IFERROR(INDEX($BD$7:$BO$35,MATCH(Ajustes!$E$4:$E$323,$BC$7:$BC$35,0),$C$2:$N$2),1)</f>
        <v>1</v>
      </c>
      <c r="O102">
        <f>C102*Ajustes!AM102</f>
        <v>80</v>
      </c>
      <c r="P102">
        <f>D102*Ajustes!AN102</f>
        <v>85</v>
      </c>
      <c r="Q102">
        <f>E102*Ajustes!AO102</f>
        <v>85</v>
      </c>
      <c r="R102">
        <f>F102*Ajustes!AP102</f>
        <v>73</v>
      </c>
      <c r="S102">
        <f>G102*Ajustes!AQ102</f>
        <v>60</v>
      </c>
      <c r="T102">
        <f>H102*Ajustes!AR102</f>
        <v>54</v>
      </c>
      <c r="U102">
        <f>I102*Ajustes!AS102</f>
        <v>49</v>
      </c>
      <c r="V102">
        <f>J102*Ajustes!AT102</f>
        <v>46</v>
      </c>
      <c r="W102">
        <f>K102*Ajustes!AU102</f>
        <v>47</v>
      </c>
      <c r="X102">
        <f>L102*Ajustes!AV102</f>
        <v>51</v>
      </c>
      <c r="Y102">
        <f>M102*Ajustes!AW102</f>
        <v>58</v>
      </c>
      <c r="Z102">
        <f>N102*Ajustes!AX102</f>
        <v>69</v>
      </c>
      <c r="AA102">
        <f>IF(Ajustes!$G102&gt;0,INDEX($AA$4:$AL$323,Ajustes!$G102,O$2),0)+IF(Ajustes!$H102&gt;0,INDEX($AA$4:$AL$323,Ajustes!$H102,O$2),0)+IF(Ajustes!$I102&gt;0,INDEX($AA$4:$AL$323,Ajustes!$I102,O$2),0)+IF(Ajustes!$J102&gt;0,INDEX($AA$4:$AL$323,Ajustes!$J102,O$2),0)+IF(Ajustes!$K102&gt;0,INDEX($AA$5:$AL$324,Ajustes!$K102,O$2),0)+IF(Ajustes!$L102&gt;0,INDEX($AA$4:$AL$323,Ajustes!$L102,O$2),0) + O102</f>
        <v>80</v>
      </c>
      <c r="AB102">
        <f>IF(Ajustes!$G102&gt;0,INDEX($AA$4:$AL$323,Ajustes!$G102,P$2),0)+IF(Ajustes!$H102&gt;0,INDEX($AA$4:$AL$323,Ajustes!$H102,P$2),0)+IF(Ajustes!$I102&gt;0,INDEX($AA$4:$AL$323,Ajustes!$I102,P$2),0)+IF(Ajustes!$J102&gt;0,INDEX($AA$4:$AL$323,Ajustes!$J102,P$2),0)+IF(Ajustes!$K102&gt;0,INDEX($AA$5:$AL$324,Ajustes!$K102,P$2),0)+IF(Ajustes!$L102&gt;0,INDEX($AA$4:$AL$323,Ajustes!$L102,P$2),0) + P102</f>
        <v>85</v>
      </c>
      <c r="AC102">
        <f>IF(Ajustes!$G102&gt;0,INDEX($AA$4:$AL$323,Ajustes!$G102,Q$2),0)+IF(Ajustes!$H102&gt;0,INDEX($AA$4:$AL$323,Ajustes!$H102,Q$2),0)+IF(Ajustes!$I102&gt;0,INDEX($AA$4:$AL$323,Ajustes!$I102,Q$2),0)+IF(Ajustes!$J102&gt;0,INDEX($AA$4:$AL$323,Ajustes!$J102,Q$2),0)+IF(Ajustes!$K102&gt;0,INDEX($AA$5:$AL$324,Ajustes!$K102,Q$2),0)+IF(Ajustes!$L102&gt;0,INDEX($AA$4:$AL$323,Ajustes!$L102,Q$2),0) + Q102</f>
        <v>85</v>
      </c>
      <c r="AD102">
        <f>IF(Ajustes!$G102&gt;0,INDEX($AA$4:$AL$323,Ajustes!$G102,R$2),0)+IF(Ajustes!$H102&gt;0,INDEX($AA$4:$AL$323,Ajustes!$H102,R$2),0)+IF(Ajustes!$I102&gt;0,INDEX($AA$4:$AL$323,Ajustes!$I102,R$2),0)+IF(Ajustes!$J102&gt;0,INDEX($AA$4:$AL$323,Ajustes!$J102,R$2),0)+IF(Ajustes!$K102&gt;0,INDEX($AA$5:$AL$324,Ajustes!$K102,R$2),0)+IF(Ajustes!$L102&gt;0,INDEX($AA$4:$AL$323,Ajustes!$L102,R$2),0) + R102</f>
        <v>73</v>
      </c>
      <c r="AE102">
        <f>IF(Ajustes!$G102&gt;0,INDEX($AA$4:$AL$323,Ajustes!$G102,S$2),0)+IF(Ajustes!$H102&gt;0,INDEX($AA$4:$AL$323,Ajustes!$H102,S$2),0)+IF(Ajustes!$I102&gt;0,INDEX($AA$4:$AL$323,Ajustes!$I102,S$2),0)+IF(Ajustes!$J102&gt;0,INDEX($AA$4:$AL$323,Ajustes!$J102,S$2),0)+IF(Ajustes!$K102&gt;0,INDEX($AA$5:$AL$324,Ajustes!$K102,S$2),0)+IF(Ajustes!$L102&gt;0,INDEX($AA$4:$AL$323,Ajustes!$L102,S$2),0) + S102</f>
        <v>60</v>
      </c>
      <c r="AF102">
        <f>IF(Ajustes!$G102&gt;0,INDEX($AA$4:$AL$323,Ajustes!$G102,T$2),0)+IF(Ajustes!$H102&gt;0,INDEX($AA$4:$AL$323,Ajustes!$H102,T$2),0)+IF(Ajustes!$I102&gt;0,INDEX($AA$4:$AL$323,Ajustes!$I102,T$2),0)+IF(Ajustes!$J102&gt;0,INDEX($AA$4:$AL$323,Ajustes!$J102,T$2),0)+IF(Ajustes!$K102&gt;0,INDEX($AA$5:$AL$324,Ajustes!$K102,T$2),0)+IF(Ajustes!$L102&gt;0,INDEX($AA$4:$AL$323,Ajustes!$L102,T$2),0) + T102</f>
        <v>54</v>
      </c>
      <c r="AG102">
        <f>IF(Ajustes!$G102&gt;0,INDEX($AA$4:$AL$323,Ajustes!$G102,U$2),0)+IF(Ajustes!$H102&gt;0,INDEX($AA$4:$AL$323,Ajustes!$H102,U$2),0)+IF(Ajustes!$I102&gt;0,INDEX($AA$4:$AL$323,Ajustes!$I102,U$2),0)+IF(Ajustes!$J102&gt;0,INDEX($AA$4:$AL$323,Ajustes!$J102,U$2),0)+IF(Ajustes!$K102&gt;0,INDEX($AA$5:$AL$324,Ajustes!$K102,U$2),0)+IF(Ajustes!$L102&gt;0,INDEX($AA$4:$AL$323,Ajustes!$L102,U$2),0) + U102</f>
        <v>49</v>
      </c>
      <c r="AH102">
        <f>IF(Ajustes!$G102&gt;0,INDEX($AA$4:$AL$323,Ajustes!$G102,V$2),0)+IF(Ajustes!$H102&gt;0,INDEX($AA$4:$AL$323,Ajustes!$H102,V$2),0)+IF(Ajustes!$I102&gt;0,INDEX($AA$4:$AL$323,Ajustes!$I102,V$2),0)+IF(Ajustes!$J102&gt;0,INDEX($AA$4:$AL$323,Ajustes!$J102,V$2),0)+IF(Ajustes!$K102&gt;0,INDEX($AA$5:$AL$324,Ajustes!$K102,V$2),0)+IF(Ajustes!$L102&gt;0,INDEX($AA$4:$AL$323,Ajustes!$L102,V$2),0) + V102</f>
        <v>46</v>
      </c>
      <c r="AI102">
        <f>IF(Ajustes!$G102&gt;0,INDEX($AA$4:$AL$323,Ajustes!$G102,W$2),0)+IF(Ajustes!$H102&gt;0,INDEX($AA$4:$AL$323,Ajustes!$H102,W$2),0)+IF(Ajustes!$I102&gt;0,INDEX($AA$4:$AL$323,Ajustes!$I102,W$2),0)+IF(Ajustes!$J102&gt;0,INDEX($AA$4:$AL$323,Ajustes!$J102,W$2),0)+IF(Ajustes!$K102&gt;0,INDEX($AA$5:$AL$324,Ajustes!$K102,W$2),0)+IF(Ajustes!$L102&gt;0,INDEX($AA$4:$AL$323,Ajustes!$L102,W$2),0) + W102</f>
        <v>47</v>
      </c>
      <c r="AJ102">
        <f>IF(Ajustes!$G102&gt;0,INDEX($AA$4:$AL$323,Ajustes!$G102,X$2),0)+IF(Ajustes!$H102&gt;0,INDEX($AA$4:$AL$323,Ajustes!$H102,X$2),0)+IF(Ajustes!$I102&gt;0,INDEX($AA$4:$AL$323,Ajustes!$I102,X$2),0)+IF(Ajustes!$J102&gt;0,INDEX($AA$4:$AL$323,Ajustes!$J102,X$2),0)+IF(Ajustes!$K102&gt;0,INDEX($AA$5:$AL$324,Ajustes!$K102,X$2),0)+IF(Ajustes!$L102&gt;0,INDEX($AA$4:$AL$323,Ajustes!$L102,X$2),0) + X102</f>
        <v>51</v>
      </c>
      <c r="AK102">
        <f>IF(Ajustes!$G102&gt;0,INDEX($AA$4:$AL$323,Ajustes!$G102,Y$2),0)+IF(Ajustes!$H102&gt;0,INDEX($AA$4:$AL$323,Ajustes!$H102,Y$2),0)+IF(Ajustes!$I102&gt;0,INDEX($AA$4:$AL$323,Ajustes!$I102,Y$2),0)+IF(Ajustes!$J102&gt;0,INDEX($AA$4:$AL$323,Ajustes!$J102,Y$2),0)+IF(Ajustes!$K102&gt;0,INDEX($AA$5:$AL$324,Ajustes!$K102,Y$2),0)+IF(Ajustes!$L102&gt;0,INDEX($AA$4:$AL$323,Ajustes!$L102,Y$2),0) + Y102</f>
        <v>58</v>
      </c>
      <c r="AL102">
        <f>IF(Ajustes!$G102&gt;0,INDEX($AA$4:$AL$323,Ajustes!$G102,Z$2),0)+IF(Ajustes!$H102&gt;0,INDEX($AA$4:$AL$323,Ajustes!$H102,Z$2),0)+IF(Ajustes!$I102&gt;0,INDEX($AA$4:$AL$323,Ajustes!$I102,Z$2),0)+IF(Ajustes!$J102&gt;0,INDEX($AA$4:$AL$323,Ajustes!$J102,Z$2),0)+IF(Ajustes!$K102&gt;0,INDEX($AA$5:$AL$324,Ajustes!$K102,Z$2),0)+IF(Ajustes!$L102&gt;0,INDEX($AA$4:$AL$323,Ajustes!$L102,Z$2),0) + Z102</f>
        <v>69</v>
      </c>
      <c r="AM102" s="113">
        <f t="shared" si="26"/>
        <v>80</v>
      </c>
      <c r="AN102" s="113">
        <f t="shared" si="26"/>
        <v>85</v>
      </c>
      <c r="AO102" s="113">
        <f t="shared" si="26"/>
        <v>85</v>
      </c>
      <c r="AP102" s="113">
        <f t="shared" si="26"/>
        <v>73</v>
      </c>
      <c r="AQ102" s="113">
        <f t="shared" si="26"/>
        <v>60</v>
      </c>
      <c r="AR102" s="113">
        <f t="shared" si="26"/>
        <v>54</v>
      </c>
      <c r="AS102" s="113">
        <f t="shared" si="28"/>
        <v>49</v>
      </c>
      <c r="AT102" s="113">
        <f t="shared" si="27"/>
        <v>46</v>
      </c>
      <c r="AU102" s="113">
        <f t="shared" si="27"/>
        <v>47</v>
      </c>
      <c r="AV102" s="113">
        <f t="shared" si="27"/>
        <v>51</v>
      </c>
      <c r="AW102" s="113">
        <f t="shared" si="27"/>
        <v>58</v>
      </c>
      <c r="AX102" s="113">
        <f t="shared" si="27"/>
        <v>69</v>
      </c>
    </row>
    <row r="103" spans="1:50" x14ac:dyDescent="0.25">
      <c r="A103" s="113">
        <v>100</v>
      </c>
      <c r="B103" s="209" t="s">
        <v>588</v>
      </c>
      <c r="C103">
        <f>IFERROR(INDEX($BD$7:$BO$35,MATCH(Ajustes!$E$4:$E$323,$BC$7:$BC$35,0),$C$2:$N$2),1)</f>
        <v>1</v>
      </c>
      <c r="D103" s="113">
        <f>IFERROR(INDEX($BD$7:$BO$35,MATCH(Ajustes!$E$4:$E$323,$BC$7:$BC$35,0),$C$2:$N$2),1)</f>
        <v>1</v>
      </c>
      <c r="E103" s="113">
        <f>IFERROR(INDEX($BD$7:$BO$35,MATCH(Ajustes!$E$4:$E$323,$BC$7:$BC$35,0),$C$2:$N$2),1)</f>
        <v>1</v>
      </c>
      <c r="F103" s="113">
        <f>IFERROR(INDEX($BD$7:$BO$35,MATCH(Ajustes!$E$4:$E$323,$BC$7:$BC$35,0),$C$2:$N$2),1)</f>
        <v>1</v>
      </c>
      <c r="G103" s="113">
        <f>IFERROR(INDEX($BD$7:$BO$35,MATCH(Ajustes!$E$4:$E$323,$BC$7:$BC$35,0),$C$2:$N$2),1)</f>
        <v>1</v>
      </c>
      <c r="H103" s="113">
        <f>IFERROR(INDEX($BD$7:$BO$35,MATCH(Ajustes!$E$4:$E$323,$BC$7:$BC$35,0),$C$2:$N$2),1)</f>
        <v>1</v>
      </c>
      <c r="I103" s="113">
        <f>IFERROR(INDEX($BD$7:$BO$35,MATCH(Ajustes!$E$4:$E$323,$BC$7:$BC$35,0),$C$2:$N$2),1)</f>
        <v>1</v>
      </c>
      <c r="J103" s="113">
        <f>IFERROR(INDEX($BD$7:$BO$35,MATCH(Ajustes!$E$4:$E$323,$BC$7:$BC$35,0),$C$2:$N$2),1)</f>
        <v>1</v>
      </c>
      <c r="K103" s="113">
        <f>IFERROR(INDEX($BD$7:$BO$35,MATCH(Ajustes!$E$4:$E$323,$BC$7:$BC$35,0),$C$2:$N$2),1)</f>
        <v>1</v>
      </c>
      <c r="L103" s="113">
        <f>IFERROR(INDEX($BD$7:$BO$35,MATCH(Ajustes!$E$4:$E$323,$BC$7:$BC$35,0),$C$2:$N$2),1)</f>
        <v>1</v>
      </c>
      <c r="M103" s="113">
        <f>IFERROR(INDEX($BD$7:$BO$35,MATCH(Ajustes!$E$4:$E$323,$BC$7:$BC$35,0),$C$2:$N$2),1)</f>
        <v>1</v>
      </c>
      <c r="N103" s="113">
        <f>IFERROR(INDEX($BD$7:$BO$35,MATCH(Ajustes!$E$4:$E$323,$BC$7:$BC$35,0),$C$2:$N$2),1)</f>
        <v>1</v>
      </c>
      <c r="O103">
        <f>C103*Ajustes!AM103</f>
        <v>5</v>
      </c>
      <c r="P103">
        <f>D103*Ajustes!AN103</f>
        <v>6</v>
      </c>
      <c r="Q103">
        <f>E103*Ajustes!AO103</f>
        <v>6</v>
      </c>
      <c r="R103">
        <f>F103*Ajustes!AP103</f>
        <v>5</v>
      </c>
      <c r="S103">
        <f>G103*Ajustes!AQ103</f>
        <v>4</v>
      </c>
      <c r="T103">
        <f>H103*Ajustes!AR103</f>
        <v>4</v>
      </c>
      <c r="U103">
        <f>I103*Ajustes!AS103</f>
        <v>4</v>
      </c>
      <c r="V103">
        <f>J103*Ajustes!AT103</f>
        <v>3</v>
      </c>
      <c r="W103">
        <f>K103*Ajustes!AU103</f>
        <v>4</v>
      </c>
      <c r="X103">
        <f>L103*Ajustes!AV103</f>
        <v>5</v>
      </c>
      <c r="Y103">
        <f>M103*Ajustes!AW103</f>
        <v>5</v>
      </c>
      <c r="Z103">
        <f>N103*Ajustes!AX103</f>
        <v>5</v>
      </c>
      <c r="AA103">
        <f>IF(Ajustes!$G103&gt;0,INDEX($AA$4:$AL$323,Ajustes!$G103,O$2),0)+IF(Ajustes!$H103&gt;0,INDEX($AA$4:$AL$323,Ajustes!$H103,O$2),0)+IF(Ajustes!$I103&gt;0,INDEX($AA$4:$AL$323,Ajustes!$I103,O$2),0)+IF(Ajustes!$J103&gt;0,INDEX($AA$4:$AL$323,Ajustes!$J103,O$2),0)+IF(Ajustes!$K103&gt;0,INDEX($AA$5:$AL$324,Ajustes!$K103,O$2),0)+IF(Ajustes!$L103&gt;0,INDEX($AA$4:$AL$323,Ajustes!$L103,O$2),0) + O103</f>
        <v>5</v>
      </c>
      <c r="AB103">
        <f>IF(Ajustes!$G103&gt;0,INDEX($AA$4:$AL$323,Ajustes!$G103,P$2),0)+IF(Ajustes!$H103&gt;0,INDEX($AA$4:$AL$323,Ajustes!$H103,P$2),0)+IF(Ajustes!$I103&gt;0,INDEX($AA$4:$AL$323,Ajustes!$I103,P$2),0)+IF(Ajustes!$J103&gt;0,INDEX($AA$4:$AL$323,Ajustes!$J103,P$2),0)+IF(Ajustes!$K103&gt;0,INDEX($AA$5:$AL$324,Ajustes!$K103,P$2),0)+IF(Ajustes!$L103&gt;0,INDEX($AA$4:$AL$323,Ajustes!$L103,P$2),0) + P103</f>
        <v>6</v>
      </c>
      <c r="AC103">
        <f>IF(Ajustes!$G103&gt;0,INDEX($AA$4:$AL$323,Ajustes!$G103,Q$2),0)+IF(Ajustes!$H103&gt;0,INDEX($AA$4:$AL$323,Ajustes!$H103,Q$2),0)+IF(Ajustes!$I103&gt;0,INDEX($AA$4:$AL$323,Ajustes!$I103,Q$2),0)+IF(Ajustes!$J103&gt;0,INDEX($AA$4:$AL$323,Ajustes!$J103,Q$2),0)+IF(Ajustes!$K103&gt;0,INDEX($AA$5:$AL$324,Ajustes!$K103,Q$2),0)+IF(Ajustes!$L103&gt;0,INDEX($AA$4:$AL$323,Ajustes!$L103,Q$2),0) + Q103</f>
        <v>6</v>
      </c>
      <c r="AD103">
        <f>IF(Ajustes!$G103&gt;0,INDEX($AA$4:$AL$323,Ajustes!$G103,R$2),0)+IF(Ajustes!$H103&gt;0,INDEX($AA$4:$AL$323,Ajustes!$H103,R$2),0)+IF(Ajustes!$I103&gt;0,INDEX($AA$4:$AL$323,Ajustes!$I103,R$2),0)+IF(Ajustes!$J103&gt;0,INDEX($AA$4:$AL$323,Ajustes!$J103,R$2),0)+IF(Ajustes!$K103&gt;0,INDEX($AA$5:$AL$324,Ajustes!$K103,R$2),0)+IF(Ajustes!$L103&gt;0,INDEX($AA$4:$AL$323,Ajustes!$L103,R$2),0) + R103</f>
        <v>5</v>
      </c>
      <c r="AE103">
        <f>IF(Ajustes!$G103&gt;0,INDEX($AA$4:$AL$323,Ajustes!$G103,S$2),0)+IF(Ajustes!$H103&gt;0,INDEX($AA$4:$AL$323,Ajustes!$H103,S$2),0)+IF(Ajustes!$I103&gt;0,INDEX($AA$4:$AL$323,Ajustes!$I103,S$2),0)+IF(Ajustes!$J103&gt;0,INDEX($AA$4:$AL$323,Ajustes!$J103,S$2),0)+IF(Ajustes!$K103&gt;0,INDEX($AA$5:$AL$324,Ajustes!$K103,S$2),0)+IF(Ajustes!$L103&gt;0,INDEX($AA$4:$AL$323,Ajustes!$L103,S$2),0) + S103</f>
        <v>4</v>
      </c>
      <c r="AF103">
        <f>IF(Ajustes!$G103&gt;0,INDEX($AA$4:$AL$323,Ajustes!$G103,T$2),0)+IF(Ajustes!$H103&gt;0,INDEX($AA$4:$AL$323,Ajustes!$H103,T$2),0)+IF(Ajustes!$I103&gt;0,INDEX($AA$4:$AL$323,Ajustes!$I103,T$2),0)+IF(Ajustes!$J103&gt;0,INDEX($AA$4:$AL$323,Ajustes!$J103,T$2),0)+IF(Ajustes!$K103&gt;0,INDEX($AA$5:$AL$324,Ajustes!$K103,T$2),0)+IF(Ajustes!$L103&gt;0,INDEX($AA$4:$AL$323,Ajustes!$L103,T$2),0) + T103</f>
        <v>4</v>
      </c>
      <c r="AG103">
        <f>IF(Ajustes!$G103&gt;0,INDEX($AA$4:$AL$323,Ajustes!$G103,U$2),0)+IF(Ajustes!$H103&gt;0,INDEX($AA$4:$AL$323,Ajustes!$H103,U$2),0)+IF(Ajustes!$I103&gt;0,INDEX($AA$4:$AL$323,Ajustes!$I103,U$2),0)+IF(Ajustes!$J103&gt;0,INDEX($AA$4:$AL$323,Ajustes!$J103,U$2),0)+IF(Ajustes!$K103&gt;0,INDEX($AA$5:$AL$324,Ajustes!$K103,U$2),0)+IF(Ajustes!$L103&gt;0,INDEX($AA$4:$AL$323,Ajustes!$L103,U$2),0) + U103</f>
        <v>4</v>
      </c>
      <c r="AH103">
        <f>IF(Ajustes!$G103&gt;0,INDEX($AA$4:$AL$323,Ajustes!$G103,V$2),0)+IF(Ajustes!$H103&gt;0,INDEX($AA$4:$AL$323,Ajustes!$H103,V$2),0)+IF(Ajustes!$I103&gt;0,INDEX($AA$4:$AL$323,Ajustes!$I103,V$2),0)+IF(Ajustes!$J103&gt;0,INDEX($AA$4:$AL$323,Ajustes!$J103,V$2),0)+IF(Ajustes!$K103&gt;0,INDEX($AA$5:$AL$324,Ajustes!$K103,V$2),0)+IF(Ajustes!$L103&gt;0,INDEX($AA$4:$AL$323,Ajustes!$L103,V$2),0) + V103</f>
        <v>3</v>
      </c>
      <c r="AI103">
        <f>IF(Ajustes!$G103&gt;0,INDEX($AA$4:$AL$323,Ajustes!$G103,W$2),0)+IF(Ajustes!$H103&gt;0,INDEX($AA$4:$AL$323,Ajustes!$H103,W$2),0)+IF(Ajustes!$I103&gt;0,INDEX($AA$4:$AL$323,Ajustes!$I103,W$2),0)+IF(Ajustes!$J103&gt;0,INDEX($AA$4:$AL$323,Ajustes!$J103,W$2),0)+IF(Ajustes!$K103&gt;0,INDEX($AA$5:$AL$324,Ajustes!$K103,W$2),0)+IF(Ajustes!$L103&gt;0,INDEX($AA$4:$AL$323,Ajustes!$L103,W$2),0) + W103</f>
        <v>4</v>
      </c>
      <c r="AJ103">
        <f>IF(Ajustes!$G103&gt;0,INDEX($AA$4:$AL$323,Ajustes!$G103,X$2),0)+IF(Ajustes!$H103&gt;0,INDEX($AA$4:$AL$323,Ajustes!$H103,X$2),0)+IF(Ajustes!$I103&gt;0,INDEX($AA$4:$AL$323,Ajustes!$I103,X$2),0)+IF(Ajustes!$J103&gt;0,INDEX($AA$4:$AL$323,Ajustes!$J103,X$2),0)+IF(Ajustes!$K103&gt;0,INDEX($AA$5:$AL$324,Ajustes!$K103,X$2),0)+IF(Ajustes!$L103&gt;0,INDEX($AA$4:$AL$323,Ajustes!$L103,X$2),0) + X103</f>
        <v>5</v>
      </c>
      <c r="AK103">
        <f>IF(Ajustes!$G103&gt;0,INDEX($AA$4:$AL$323,Ajustes!$G103,Y$2),0)+IF(Ajustes!$H103&gt;0,INDEX($AA$4:$AL$323,Ajustes!$H103,Y$2),0)+IF(Ajustes!$I103&gt;0,INDEX($AA$4:$AL$323,Ajustes!$I103,Y$2),0)+IF(Ajustes!$J103&gt;0,INDEX($AA$4:$AL$323,Ajustes!$J103,Y$2),0)+IF(Ajustes!$K103&gt;0,INDEX($AA$5:$AL$324,Ajustes!$K103,Y$2),0)+IF(Ajustes!$L103&gt;0,INDEX($AA$4:$AL$323,Ajustes!$L103,Y$2),0) + Y103</f>
        <v>5</v>
      </c>
      <c r="AL103">
        <f>IF(Ajustes!$G103&gt;0,INDEX($AA$4:$AL$323,Ajustes!$G103,Z$2),0)+IF(Ajustes!$H103&gt;0,INDEX($AA$4:$AL$323,Ajustes!$H103,Z$2),0)+IF(Ajustes!$I103&gt;0,INDEX($AA$4:$AL$323,Ajustes!$I103,Z$2),0)+IF(Ajustes!$J103&gt;0,INDEX($AA$4:$AL$323,Ajustes!$J103,Z$2),0)+IF(Ajustes!$K103&gt;0,INDEX($AA$5:$AL$324,Ajustes!$K103,Z$2),0)+IF(Ajustes!$L103&gt;0,INDEX($AA$4:$AL$323,Ajustes!$L103,Z$2),0) + Z103</f>
        <v>5</v>
      </c>
      <c r="AM103" s="113">
        <f t="shared" si="26"/>
        <v>5</v>
      </c>
      <c r="AN103" s="113">
        <f t="shared" si="26"/>
        <v>6</v>
      </c>
      <c r="AO103" s="113">
        <f t="shared" si="26"/>
        <v>6</v>
      </c>
      <c r="AP103" s="113">
        <f t="shared" si="26"/>
        <v>5</v>
      </c>
      <c r="AQ103" s="113">
        <f t="shared" si="26"/>
        <v>4</v>
      </c>
      <c r="AR103" s="113">
        <f t="shared" si="26"/>
        <v>4</v>
      </c>
      <c r="AS103" s="113">
        <f t="shared" si="28"/>
        <v>4</v>
      </c>
      <c r="AT103" s="113">
        <f t="shared" si="27"/>
        <v>3</v>
      </c>
      <c r="AU103" s="113">
        <f t="shared" si="27"/>
        <v>4</v>
      </c>
      <c r="AV103" s="113">
        <f t="shared" si="27"/>
        <v>5</v>
      </c>
      <c r="AW103" s="113">
        <f t="shared" si="27"/>
        <v>5</v>
      </c>
      <c r="AX103" s="113">
        <f t="shared" si="27"/>
        <v>5</v>
      </c>
    </row>
    <row r="104" spans="1:50" x14ac:dyDescent="0.25">
      <c r="A104" s="113">
        <v>101</v>
      </c>
      <c r="B104" s="209" t="s">
        <v>238</v>
      </c>
      <c r="C104">
        <f>IFERROR(INDEX($BD$7:$BO$35,MATCH(Ajustes!$E$4:$E$323,$BC$7:$BC$35,0),$C$2:$N$2),1)</f>
        <v>1</v>
      </c>
      <c r="D104" s="113">
        <f>IFERROR(INDEX($BD$7:$BO$35,MATCH(Ajustes!$E$4:$E$323,$BC$7:$BC$35,0),$C$2:$N$2),1)</f>
        <v>1</v>
      </c>
      <c r="E104" s="113">
        <f>IFERROR(INDEX($BD$7:$BO$35,MATCH(Ajustes!$E$4:$E$323,$BC$7:$BC$35,0),$C$2:$N$2),1)</f>
        <v>1</v>
      </c>
      <c r="F104" s="113">
        <f>IFERROR(INDEX($BD$7:$BO$35,MATCH(Ajustes!$E$4:$E$323,$BC$7:$BC$35,0),$C$2:$N$2),1)</f>
        <v>1</v>
      </c>
      <c r="G104" s="113">
        <f>IFERROR(INDEX($BD$7:$BO$35,MATCH(Ajustes!$E$4:$E$323,$BC$7:$BC$35,0),$C$2:$N$2),1)</f>
        <v>1</v>
      </c>
      <c r="H104" s="113">
        <f>IFERROR(INDEX($BD$7:$BO$35,MATCH(Ajustes!$E$4:$E$323,$BC$7:$BC$35,0),$C$2:$N$2),1)</f>
        <v>1</v>
      </c>
      <c r="I104" s="113">
        <f>IFERROR(INDEX($BD$7:$BO$35,MATCH(Ajustes!$E$4:$E$323,$BC$7:$BC$35,0),$C$2:$N$2),1)</f>
        <v>1</v>
      </c>
      <c r="J104" s="113">
        <f>IFERROR(INDEX($BD$7:$BO$35,MATCH(Ajustes!$E$4:$E$323,$BC$7:$BC$35,0),$C$2:$N$2),1)</f>
        <v>1</v>
      </c>
      <c r="K104" s="113">
        <f>IFERROR(INDEX($BD$7:$BO$35,MATCH(Ajustes!$E$4:$E$323,$BC$7:$BC$35,0),$C$2:$N$2),1)</f>
        <v>1</v>
      </c>
      <c r="L104" s="113">
        <f>IFERROR(INDEX($BD$7:$BO$35,MATCH(Ajustes!$E$4:$E$323,$BC$7:$BC$35,0),$C$2:$N$2),1)</f>
        <v>1</v>
      </c>
      <c r="M104" s="113">
        <f>IFERROR(INDEX($BD$7:$BO$35,MATCH(Ajustes!$E$4:$E$323,$BC$7:$BC$35,0),$C$2:$N$2),1)</f>
        <v>1</v>
      </c>
      <c r="N104" s="113">
        <f>IFERROR(INDEX($BD$7:$BO$35,MATCH(Ajustes!$E$4:$E$323,$BC$7:$BC$35,0),$C$2:$N$2),1)</f>
        <v>1</v>
      </c>
      <c r="O104">
        <f>C104*Ajustes!AM104</f>
        <v>113</v>
      </c>
      <c r="P104">
        <f>D104*Ajustes!AN104</f>
        <v>135</v>
      </c>
      <c r="Q104">
        <f>E104*Ajustes!AO104</f>
        <v>105</v>
      </c>
      <c r="R104">
        <f>F104*Ajustes!AP104</f>
        <v>76</v>
      </c>
      <c r="S104">
        <f>G104*Ajustes!AQ104</f>
        <v>93</v>
      </c>
      <c r="T104">
        <f>H104*Ajustes!AR104</f>
        <v>91</v>
      </c>
      <c r="U104">
        <f>I104*Ajustes!AS104</f>
        <v>117</v>
      </c>
      <c r="V104">
        <f>J104*Ajustes!AT104</f>
        <v>132</v>
      </c>
      <c r="W104">
        <f>K104*Ajustes!AU104</f>
        <v>162</v>
      </c>
      <c r="X104">
        <f>L104*Ajustes!AV104</f>
        <v>169</v>
      </c>
      <c r="Y104">
        <f>M104*Ajustes!AW104</f>
        <v>115</v>
      </c>
      <c r="Z104">
        <f>N104*Ajustes!AX104</f>
        <v>96</v>
      </c>
      <c r="AA104">
        <f>IF(Ajustes!$G104&gt;0,INDEX($AA$4:$AL$323,Ajustes!$G104,O$2),0)+IF(Ajustes!$H104&gt;0,INDEX($AA$4:$AL$323,Ajustes!$H104,O$2),0)+IF(Ajustes!$I104&gt;0,INDEX($AA$4:$AL$323,Ajustes!$I104,O$2),0)+IF(Ajustes!$J104&gt;0,INDEX($AA$4:$AL$323,Ajustes!$J104,O$2),0)+IF(Ajustes!$K104&gt;0,INDEX($AA$5:$AL$324,Ajustes!$K104,O$2),0)+IF(Ajustes!$L104&gt;0,INDEX($AA$4:$AL$323,Ajustes!$L104,O$2),0) + O104</f>
        <v>113</v>
      </c>
      <c r="AB104">
        <f>IF(Ajustes!$G104&gt;0,INDEX($AA$4:$AL$323,Ajustes!$G104,P$2),0)+IF(Ajustes!$H104&gt;0,INDEX($AA$4:$AL$323,Ajustes!$H104,P$2),0)+IF(Ajustes!$I104&gt;0,INDEX($AA$4:$AL$323,Ajustes!$I104,P$2),0)+IF(Ajustes!$J104&gt;0,INDEX($AA$4:$AL$323,Ajustes!$J104,P$2),0)+IF(Ajustes!$K104&gt;0,INDEX($AA$5:$AL$324,Ajustes!$K104,P$2),0)+IF(Ajustes!$L104&gt;0,INDEX($AA$4:$AL$323,Ajustes!$L104,P$2),0) + P104</f>
        <v>135</v>
      </c>
      <c r="AC104">
        <f>IF(Ajustes!$G104&gt;0,INDEX($AA$4:$AL$323,Ajustes!$G104,Q$2),0)+IF(Ajustes!$H104&gt;0,INDEX($AA$4:$AL$323,Ajustes!$H104,Q$2),0)+IF(Ajustes!$I104&gt;0,INDEX($AA$4:$AL$323,Ajustes!$I104,Q$2),0)+IF(Ajustes!$J104&gt;0,INDEX($AA$4:$AL$323,Ajustes!$J104,Q$2),0)+IF(Ajustes!$K104&gt;0,INDEX($AA$5:$AL$324,Ajustes!$K104,Q$2),0)+IF(Ajustes!$L104&gt;0,INDEX($AA$4:$AL$323,Ajustes!$L104,Q$2),0) + Q104</f>
        <v>105</v>
      </c>
      <c r="AD104">
        <f>IF(Ajustes!$G104&gt;0,INDEX($AA$4:$AL$323,Ajustes!$G104,R$2),0)+IF(Ajustes!$H104&gt;0,INDEX($AA$4:$AL$323,Ajustes!$H104,R$2),0)+IF(Ajustes!$I104&gt;0,INDEX($AA$4:$AL$323,Ajustes!$I104,R$2),0)+IF(Ajustes!$J104&gt;0,INDEX($AA$4:$AL$323,Ajustes!$J104,R$2),0)+IF(Ajustes!$K104&gt;0,INDEX($AA$5:$AL$324,Ajustes!$K104,R$2),0)+IF(Ajustes!$L104&gt;0,INDEX($AA$4:$AL$323,Ajustes!$L104,R$2),0) + R104</f>
        <v>76</v>
      </c>
      <c r="AE104">
        <f>IF(Ajustes!$G104&gt;0,INDEX($AA$4:$AL$323,Ajustes!$G104,S$2),0)+IF(Ajustes!$H104&gt;0,INDEX($AA$4:$AL$323,Ajustes!$H104,S$2),0)+IF(Ajustes!$I104&gt;0,INDEX($AA$4:$AL$323,Ajustes!$I104,S$2),0)+IF(Ajustes!$J104&gt;0,INDEX($AA$4:$AL$323,Ajustes!$J104,S$2),0)+IF(Ajustes!$K104&gt;0,INDEX($AA$5:$AL$324,Ajustes!$K104,S$2),0)+IF(Ajustes!$L104&gt;0,INDEX($AA$4:$AL$323,Ajustes!$L104,S$2),0) + S104</f>
        <v>93</v>
      </c>
      <c r="AF104">
        <f>IF(Ajustes!$G104&gt;0,INDEX($AA$4:$AL$323,Ajustes!$G104,T$2),0)+IF(Ajustes!$H104&gt;0,INDEX($AA$4:$AL$323,Ajustes!$H104,T$2),0)+IF(Ajustes!$I104&gt;0,INDEX($AA$4:$AL$323,Ajustes!$I104,T$2),0)+IF(Ajustes!$J104&gt;0,INDEX($AA$4:$AL$323,Ajustes!$J104,T$2),0)+IF(Ajustes!$K104&gt;0,INDEX($AA$5:$AL$324,Ajustes!$K104,T$2),0)+IF(Ajustes!$L104&gt;0,INDEX($AA$4:$AL$323,Ajustes!$L104,T$2),0) + T104</f>
        <v>91</v>
      </c>
      <c r="AG104">
        <f>IF(Ajustes!$G104&gt;0,INDEX($AA$4:$AL$323,Ajustes!$G104,U$2),0)+IF(Ajustes!$H104&gt;0,INDEX($AA$4:$AL$323,Ajustes!$H104,U$2),0)+IF(Ajustes!$I104&gt;0,INDEX($AA$4:$AL$323,Ajustes!$I104,U$2),0)+IF(Ajustes!$J104&gt;0,INDEX($AA$4:$AL$323,Ajustes!$J104,U$2),0)+IF(Ajustes!$K104&gt;0,INDEX($AA$5:$AL$324,Ajustes!$K104,U$2),0)+IF(Ajustes!$L104&gt;0,INDEX($AA$4:$AL$323,Ajustes!$L104,U$2),0) + U104</f>
        <v>117</v>
      </c>
      <c r="AH104">
        <f>IF(Ajustes!$G104&gt;0,INDEX($AA$4:$AL$323,Ajustes!$G104,V$2),0)+IF(Ajustes!$H104&gt;0,INDEX($AA$4:$AL$323,Ajustes!$H104,V$2),0)+IF(Ajustes!$I104&gt;0,INDEX($AA$4:$AL$323,Ajustes!$I104,V$2),0)+IF(Ajustes!$J104&gt;0,INDEX($AA$4:$AL$323,Ajustes!$J104,V$2),0)+IF(Ajustes!$K104&gt;0,INDEX($AA$5:$AL$324,Ajustes!$K104,V$2),0)+IF(Ajustes!$L104&gt;0,INDEX($AA$4:$AL$323,Ajustes!$L104,V$2),0) + V104</f>
        <v>132</v>
      </c>
      <c r="AI104">
        <f>IF(Ajustes!$G104&gt;0,INDEX($AA$4:$AL$323,Ajustes!$G104,W$2),0)+IF(Ajustes!$H104&gt;0,INDEX($AA$4:$AL$323,Ajustes!$H104,W$2),0)+IF(Ajustes!$I104&gt;0,INDEX($AA$4:$AL$323,Ajustes!$I104,W$2),0)+IF(Ajustes!$J104&gt;0,INDEX($AA$4:$AL$323,Ajustes!$J104,W$2),0)+IF(Ajustes!$K104&gt;0,INDEX($AA$5:$AL$324,Ajustes!$K104,W$2),0)+IF(Ajustes!$L104&gt;0,INDEX($AA$4:$AL$323,Ajustes!$L104,W$2),0) + W104</f>
        <v>162</v>
      </c>
      <c r="AJ104">
        <f>IF(Ajustes!$G104&gt;0,INDEX($AA$4:$AL$323,Ajustes!$G104,X$2),0)+IF(Ajustes!$H104&gt;0,INDEX($AA$4:$AL$323,Ajustes!$H104,X$2),0)+IF(Ajustes!$I104&gt;0,INDEX($AA$4:$AL$323,Ajustes!$I104,X$2),0)+IF(Ajustes!$J104&gt;0,INDEX($AA$4:$AL$323,Ajustes!$J104,X$2),0)+IF(Ajustes!$K104&gt;0,INDEX($AA$5:$AL$324,Ajustes!$K104,X$2),0)+IF(Ajustes!$L104&gt;0,INDEX($AA$4:$AL$323,Ajustes!$L104,X$2),0) + X104</f>
        <v>169</v>
      </c>
      <c r="AK104">
        <f>IF(Ajustes!$G104&gt;0,INDEX($AA$4:$AL$323,Ajustes!$G104,Y$2),0)+IF(Ajustes!$H104&gt;0,INDEX($AA$4:$AL$323,Ajustes!$H104,Y$2),0)+IF(Ajustes!$I104&gt;0,INDEX($AA$4:$AL$323,Ajustes!$I104,Y$2),0)+IF(Ajustes!$J104&gt;0,INDEX($AA$4:$AL$323,Ajustes!$J104,Y$2),0)+IF(Ajustes!$K104&gt;0,INDEX($AA$5:$AL$324,Ajustes!$K104,Y$2),0)+IF(Ajustes!$L104&gt;0,INDEX($AA$4:$AL$323,Ajustes!$L104,Y$2),0) + Y104</f>
        <v>115</v>
      </c>
      <c r="AL104">
        <f>IF(Ajustes!$G104&gt;0,INDEX($AA$4:$AL$323,Ajustes!$G104,Z$2),0)+IF(Ajustes!$H104&gt;0,INDEX($AA$4:$AL$323,Ajustes!$H104,Z$2),0)+IF(Ajustes!$I104&gt;0,INDEX($AA$4:$AL$323,Ajustes!$I104,Z$2),0)+IF(Ajustes!$J104&gt;0,INDEX($AA$4:$AL$323,Ajustes!$J104,Z$2),0)+IF(Ajustes!$K104&gt;0,INDEX($AA$5:$AL$324,Ajustes!$K104,Z$2),0)+IF(Ajustes!$L104&gt;0,INDEX($AA$4:$AL$323,Ajustes!$L104,Z$2),0) + Z104</f>
        <v>96</v>
      </c>
      <c r="AM104" s="113">
        <f t="shared" si="26"/>
        <v>113</v>
      </c>
      <c r="AN104" s="113">
        <f t="shared" si="26"/>
        <v>135</v>
      </c>
      <c r="AO104" s="113">
        <f t="shared" si="26"/>
        <v>105</v>
      </c>
      <c r="AP104" s="113">
        <f t="shared" si="26"/>
        <v>76</v>
      </c>
      <c r="AQ104" s="113">
        <f t="shared" si="26"/>
        <v>93</v>
      </c>
      <c r="AR104" s="113">
        <f t="shared" si="26"/>
        <v>91</v>
      </c>
      <c r="AS104" s="113">
        <f t="shared" si="28"/>
        <v>117</v>
      </c>
      <c r="AT104" s="113">
        <f t="shared" si="27"/>
        <v>132</v>
      </c>
      <c r="AU104" s="113">
        <f t="shared" si="27"/>
        <v>162</v>
      </c>
      <c r="AV104" s="113">
        <f t="shared" si="27"/>
        <v>169</v>
      </c>
      <c r="AW104" s="113">
        <f t="shared" si="27"/>
        <v>115</v>
      </c>
      <c r="AX104" s="113">
        <f t="shared" si="27"/>
        <v>96</v>
      </c>
    </row>
    <row r="105" spans="1:50" x14ac:dyDescent="0.25">
      <c r="A105" s="113">
        <v>102</v>
      </c>
      <c r="B105" s="209" t="s">
        <v>589</v>
      </c>
      <c r="C105">
        <f>IFERROR(INDEX($BD$7:$BO$35,MATCH(Ajustes!$E$4:$E$323,$BC$7:$BC$35,0),$C$2:$N$2),1)</f>
        <v>1</v>
      </c>
      <c r="D105" s="113">
        <f>IFERROR(INDEX($BD$7:$BO$35,MATCH(Ajustes!$E$4:$E$323,$BC$7:$BC$35,0),$C$2:$N$2),1)</f>
        <v>1</v>
      </c>
      <c r="E105" s="113">
        <f>IFERROR(INDEX($BD$7:$BO$35,MATCH(Ajustes!$E$4:$E$323,$BC$7:$BC$35,0),$C$2:$N$2),1)</f>
        <v>1</v>
      </c>
      <c r="F105" s="113">
        <f>IFERROR(INDEX($BD$7:$BO$35,MATCH(Ajustes!$E$4:$E$323,$BC$7:$BC$35,0),$C$2:$N$2),1)</f>
        <v>1</v>
      </c>
      <c r="G105" s="113">
        <f>IFERROR(INDEX($BD$7:$BO$35,MATCH(Ajustes!$E$4:$E$323,$BC$7:$BC$35,0),$C$2:$N$2),1)</f>
        <v>1</v>
      </c>
      <c r="H105" s="113">
        <f>IFERROR(INDEX($BD$7:$BO$35,MATCH(Ajustes!$E$4:$E$323,$BC$7:$BC$35,0),$C$2:$N$2),1)</f>
        <v>1</v>
      </c>
      <c r="I105" s="113">
        <f>IFERROR(INDEX($BD$7:$BO$35,MATCH(Ajustes!$E$4:$E$323,$BC$7:$BC$35,0),$C$2:$N$2),1)</f>
        <v>1</v>
      </c>
      <c r="J105" s="113">
        <f>IFERROR(INDEX($BD$7:$BO$35,MATCH(Ajustes!$E$4:$E$323,$BC$7:$BC$35,0),$C$2:$N$2),1)</f>
        <v>1</v>
      </c>
      <c r="K105" s="113">
        <f>IFERROR(INDEX($BD$7:$BO$35,MATCH(Ajustes!$E$4:$E$323,$BC$7:$BC$35,0),$C$2:$N$2),1)</f>
        <v>1</v>
      </c>
      <c r="L105" s="113">
        <f>IFERROR(INDEX($BD$7:$BO$35,MATCH(Ajustes!$E$4:$E$323,$BC$7:$BC$35,0),$C$2:$N$2),1)</f>
        <v>1</v>
      </c>
      <c r="M105" s="113">
        <f>IFERROR(INDEX($BD$7:$BO$35,MATCH(Ajustes!$E$4:$E$323,$BC$7:$BC$35,0),$C$2:$N$2),1)</f>
        <v>1</v>
      </c>
      <c r="N105" s="113">
        <f>IFERROR(INDEX($BD$7:$BO$35,MATCH(Ajustes!$E$4:$E$323,$BC$7:$BC$35,0),$C$2:$N$2),1)</f>
        <v>1</v>
      </c>
      <c r="O105">
        <f>C105*Ajustes!AM105</f>
        <v>154</v>
      </c>
      <c r="P105">
        <f>D105*Ajustes!AN105</f>
        <v>142</v>
      </c>
      <c r="Q105">
        <f>E105*Ajustes!AO105</f>
        <v>121</v>
      </c>
      <c r="R105">
        <f>F105*Ajustes!AP105</f>
        <v>185</v>
      </c>
      <c r="S105">
        <f>G105*Ajustes!AQ105</f>
        <v>243</v>
      </c>
      <c r="T105">
        <f>H105*Ajustes!AR105</f>
        <v>291</v>
      </c>
      <c r="U105">
        <f>I105*Ajustes!AS105</f>
        <v>286</v>
      </c>
      <c r="V105">
        <f>J105*Ajustes!AT105</f>
        <v>281</v>
      </c>
      <c r="W105">
        <f>K105*Ajustes!AU105</f>
        <v>327</v>
      </c>
      <c r="X105">
        <f>L105*Ajustes!AV105</f>
        <v>364</v>
      </c>
      <c r="Y105">
        <f>M105*Ajustes!AW105</f>
        <v>268</v>
      </c>
      <c r="Z105">
        <f>N105*Ajustes!AX105</f>
        <v>205</v>
      </c>
      <c r="AA105">
        <f>IF(Ajustes!$G105&gt;0,INDEX($AA$4:$AL$323,Ajustes!$G105,O$2),0)+IF(Ajustes!$H105&gt;0,INDEX($AA$4:$AL$323,Ajustes!$H105,O$2),0)+IF(Ajustes!$I105&gt;0,INDEX($AA$4:$AL$323,Ajustes!$I105,O$2),0)+IF(Ajustes!$J105&gt;0,INDEX($AA$4:$AL$323,Ajustes!$J105,O$2),0)+IF(Ajustes!$K105&gt;0,INDEX($AA$5:$AL$324,Ajustes!$K105,O$2),0)+IF(Ajustes!$L105&gt;0,INDEX($AA$4:$AL$323,Ajustes!$L105,O$2),0) + O105</f>
        <v>154</v>
      </c>
      <c r="AB105">
        <f>IF(Ajustes!$G105&gt;0,INDEX($AA$4:$AL$323,Ajustes!$G105,P$2),0)+IF(Ajustes!$H105&gt;0,INDEX($AA$4:$AL$323,Ajustes!$H105,P$2),0)+IF(Ajustes!$I105&gt;0,INDEX($AA$4:$AL$323,Ajustes!$I105,P$2),0)+IF(Ajustes!$J105&gt;0,INDEX($AA$4:$AL$323,Ajustes!$J105,P$2),0)+IF(Ajustes!$K105&gt;0,INDEX($AA$5:$AL$324,Ajustes!$K105,P$2),0)+IF(Ajustes!$L105&gt;0,INDEX($AA$4:$AL$323,Ajustes!$L105,P$2),0) + P105</f>
        <v>142</v>
      </c>
      <c r="AC105">
        <f>IF(Ajustes!$G105&gt;0,INDEX($AA$4:$AL$323,Ajustes!$G105,Q$2),0)+IF(Ajustes!$H105&gt;0,INDEX($AA$4:$AL$323,Ajustes!$H105,Q$2),0)+IF(Ajustes!$I105&gt;0,INDEX($AA$4:$AL$323,Ajustes!$I105,Q$2),0)+IF(Ajustes!$J105&gt;0,INDEX($AA$4:$AL$323,Ajustes!$J105,Q$2),0)+IF(Ajustes!$K105&gt;0,INDEX($AA$5:$AL$324,Ajustes!$K105,Q$2),0)+IF(Ajustes!$L105&gt;0,INDEX($AA$4:$AL$323,Ajustes!$L105,Q$2),0) + Q105</f>
        <v>121</v>
      </c>
      <c r="AD105">
        <f>IF(Ajustes!$G105&gt;0,INDEX($AA$4:$AL$323,Ajustes!$G105,R$2),0)+IF(Ajustes!$H105&gt;0,INDEX($AA$4:$AL$323,Ajustes!$H105,R$2),0)+IF(Ajustes!$I105&gt;0,INDEX($AA$4:$AL$323,Ajustes!$I105,R$2),0)+IF(Ajustes!$J105&gt;0,INDEX($AA$4:$AL$323,Ajustes!$J105,R$2),0)+IF(Ajustes!$K105&gt;0,INDEX($AA$5:$AL$324,Ajustes!$K105,R$2),0)+IF(Ajustes!$L105&gt;0,INDEX($AA$4:$AL$323,Ajustes!$L105,R$2),0) + R105</f>
        <v>185</v>
      </c>
      <c r="AE105">
        <f>IF(Ajustes!$G105&gt;0,INDEX($AA$4:$AL$323,Ajustes!$G105,S$2),0)+IF(Ajustes!$H105&gt;0,INDEX($AA$4:$AL$323,Ajustes!$H105,S$2),0)+IF(Ajustes!$I105&gt;0,INDEX($AA$4:$AL$323,Ajustes!$I105,S$2),0)+IF(Ajustes!$J105&gt;0,INDEX($AA$4:$AL$323,Ajustes!$J105,S$2),0)+IF(Ajustes!$K105&gt;0,INDEX($AA$5:$AL$324,Ajustes!$K105,S$2),0)+IF(Ajustes!$L105&gt;0,INDEX($AA$4:$AL$323,Ajustes!$L105,S$2),0) + S105</f>
        <v>243</v>
      </c>
      <c r="AF105">
        <f>IF(Ajustes!$G105&gt;0,INDEX($AA$4:$AL$323,Ajustes!$G105,T$2),0)+IF(Ajustes!$H105&gt;0,INDEX($AA$4:$AL$323,Ajustes!$H105,T$2),0)+IF(Ajustes!$I105&gt;0,INDEX($AA$4:$AL$323,Ajustes!$I105,T$2),0)+IF(Ajustes!$J105&gt;0,INDEX($AA$4:$AL$323,Ajustes!$J105,T$2),0)+IF(Ajustes!$K105&gt;0,INDEX($AA$5:$AL$324,Ajustes!$K105,T$2),0)+IF(Ajustes!$L105&gt;0,INDEX($AA$4:$AL$323,Ajustes!$L105,T$2),0) + T105</f>
        <v>291</v>
      </c>
      <c r="AG105">
        <f>IF(Ajustes!$G105&gt;0,INDEX($AA$4:$AL$323,Ajustes!$G105,U$2),0)+IF(Ajustes!$H105&gt;0,INDEX($AA$4:$AL$323,Ajustes!$H105,U$2),0)+IF(Ajustes!$I105&gt;0,INDEX($AA$4:$AL$323,Ajustes!$I105,U$2),0)+IF(Ajustes!$J105&gt;0,INDEX($AA$4:$AL$323,Ajustes!$J105,U$2),0)+IF(Ajustes!$K105&gt;0,INDEX($AA$5:$AL$324,Ajustes!$K105,U$2),0)+IF(Ajustes!$L105&gt;0,INDEX($AA$4:$AL$323,Ajustes!$L105,U$2),0) + U105</f>
        <v>286</v>
      </c>
      <c r="AH105">
        <f>IF(Ajustes!$G105&gt;0,INDEX($AA$4:$AL$323,Ajustes!$G105,V$2),0)+IF(Ajustes!$H105&gt;0,INDEX($AA$4:$AL$323,Ajustes!$H105,V$2),0)+IF(Ajustes!$I105&gt;0,INDEX($AA$4:$AL$323,Ajustes!$I105,V$2),0)+IF(Ajustes!$J105&gt;0,INDEX($AA$4:$AL$323,Ajustes!$J105,V$2),0)+IF(Ajustes!$K105&gt;0,INDEX($AA$5:$AL$324,Ajustes!$K105,V$2),0)+IF(Ajustes!$L105&gt;0,INDEX($AA$4:$AL$323,Ajustes!$L105,V$2),0) + V105</f>
        <v>281</v>
      </c>
      <c r="AI105">
        <f>IF(Ajustes!$G105&gt;0,INDEX($AA$4:$AL$323,Ajustes!$G105,W$2),0)+IF(Ajustes!$H105&gt;0,INDEX($AA$4:$AL$323,Ajustes!$H105,W$2),0)+IF(Ajustes!$I105&gt;0,INDEX($AA$4:$AL$323,Ajustes!$I105,W$2),0)+IF(Ajustes!$J105&gt;0,INDEX($AA$4:$AL$323,Ajustes!$J105,W$2),0)+IF(Ajustes!$K105&gt;0,INDEX($AA$5:$AL$324,Ajustes!$K105,W$2),0)+IF(Ajustes!$L105&gt;0,INDEX($AA$4:$AL$323,Ajustes!$L105,W$2),0) + W105</f>
        <v>327</v>
      </c>
      <c r="AJ105">
        <f>IF(Ajustes!$G105&gt;0,INDEX($AA$4:$AL$323,Ajustes!$G105,X$2),0)+IF(Ajustes!$H105&gt;0,INDEX($AA$4:$AL$323,Ajustes!$H105,X$2),0)+IF(Ajustes!$I105&gt;0,INDEX($AA$4:$AL$323,Ajustes!$I105,X$2),0)+IF(Ajustes!$J105&gt;0,INDEX($AA$4:$AL$323,Ajustes!$J105,X$2),0)+IF(Ajustes!$K105&gt;0,INDEX($AA$5:$AL$324,Ajustes!$K105,X$2),0)+IF(Ajustes!$L105&gt;0,INDEX($AA$4:$AL$323,Ajustes!$L105,X$2),0) + X105</f>
        <v>364</v>
      </c>
      <c r="AK105">
        <f>IF(Ajustes!$G105&gt;0,INDEX($AA$4:$AL$323,Ajustes!$G105,Y$2),0)+IF(Ajustes!$H105&gt;0,INDEX($AA$4:$AL$323,Ajustes!$H105,Y$2),0)+IF(Ajustes!$I105&gt;0,INDEX($AA$4:$AL$323,Ajustes!$I105,Y$2),0)+IF(Ajustes!$J105&gt;0,INDEX($AA$4:$AL$323,Ajustes!$J105,Y$2),0)+IF(Ajustes!$K105&gt;0,INDEX($AA$5:$AL$324,Ajustes!$K105,Y$2),0)+IF(Ajustes!$L105&gt;0,INDEX($AA$4:$AL$323,Ajustes!$L105,Y$2),0) + Y105</f>
        <v>268</v>
      </c>
      <c r="AL105">
        <f>IF(Ajustes!$G105&gt;0,INDEX($AA$4:$AL$323,Ajustes!$G105,Z$2),0)+IF(Ajustes!$H105&gt;0,INDEX($AA$4:$AL$323,Ajustes!$H105,Z$2),0)+IF(Ajustes!$I105&gt;0,INDEX($AA$4:$AL$323,Ajustes!$I105,Z$2),0)+IF(Ajustes!$J105&gt;0,INDEX($AA$4:$AL$323,Ajustes!$J105,Z$2),0)+IF(Ajustes!$K105&gt;0,INDEX($AA$5:$AL$324,Ajustes!$K105,Z$2),0)+IF(Ajustes!$L105&gt;0,INDEX($AA$4:$AL$323,Ajustes!$L105,Z$2),0) + Z105</f>
        <v>205</v>
      </c>
      <c r="AM105" s="113">
        <f t="shared" si="26"/>
        <v>154</v>
      </c>
      <c r="AN105" s="113">
        <f t="shared" si="26"/>
        <v>142</v>
      </c>
      <c r="AO105" s="113">
        <f t="shared" si="26"/>
        <v>121</v>
      </c>
      <c r="AP105" s="113">
        <f t="shared" si="26"/>
        <v>185</v>
      </c>
      <c r="AQ105" s="113">
        <f t="shared" si="26"/>
        <v>243</v>
      </c>
      <c r="AR105" s="113">
        <f t="shared" si="26"/>
        <v>291</v>
      </c>
      <c r="AS105" s="113">
        <f t="shared" si="28"/>
        <v>286</v>
      </c>
      <c r="AT105" s="113">
        <f t="shared" si="27"/>
        <v>281</v>
      </c>
      <c r="AU105" s="113">
        <f t="shared" si="27"/>
        <v>327</v>
      </c>
      <c r="AV105" s="113">
        <f t="shared" si="27"/>
        <v>364</v>
      </c>
      <c r="AW105" s="113">
        <f t="shared" si="27"/>
        <v>268</v>
      </c>
      <c r="AX105" s="113">
        <f t="shared" si="27"/>
        <v>205</v>
      </c>
    </row>
    <row r="106" spans="1:50" x14ac:dyDescent="0.25">
      <c r="A106" s="113">
        <v>103</v>
      </c>
      <c r="B106" s="209" t="s">
        <v>590</v>
      </c>
      <c r="C106">
        <f>IFERROR(INDEX($BD$7:$BO$35,MATCH(Ajustes!$E$4:$E$323,$BC$7:$BC$35,0),$C$2:$N$2),1)</f>
        <v>1</v>
      </c>
      <c r="D106" s="113">
        <f>IFERROR(INDEX($BD$7:$BO$35,MATCH(Ajustes!$E$4:$E$323,$BC$7:$BC$35,0),$C$2:$N$2),1)</f>
        <v>1</v>
      </c>
      <c r="E106" s="113">
        <f>IFERROR(INDEX($BD$7:$BO$35,MATCH(Ajustes!$E$4:$E$323,$BC$7:$BC$35,0),$C$2:$N$2),1)</f>
        <v>1</v>
      </c>
      <c r="F106" s="113">
        <f>IFERROR(INDEX($BD$7:$BO$35,MATCH(Ajustes!$E$4:$E$323,$BC$7:$BC$35,0),$C$2:$N$2),1)</f>
        <v>1</v>
      </c>
      <c r="G106" s="113">
        <f>IFERROR(INDEX($BD$7:$BO$35,MATCH(Ajustes!$E$4:$E$323,$BC$7:$BC$35,0),$C$2:$N$2),1)</f>
        <v>1</v>
      </c>
      <c r="H106" s="113">
        <f>IFERROR(INDEX($BD$7:$BO$35,MATCH(Ajustes!$E$4:$E$323,$BC$7:$BC$35,0),$C$2:$N$2),1)</f>
        <v>1</v>
      </c>
      <c r="I106" s="113">
        <f>IFERROR(INDEX($BD$7:$BO$35,MATCH(Ajustes!$E$4:$E$323,$BC$7:$BC$35,0),$C$2:$N$2),1)</f>
        <v>1</v>
      </c>
      <c r="J106" s="113">
        <f>IFERROR(INDEX($BD$7:$BO$35,MATCH(Ajustes!$E$4:$E$323,$BC$7:$BC$35,0),$C$2:$N$2),1)</f>
        <v>1</v>
      </c>
      <c r="K106" s="113">
        <f>IFERROR(INDEX($BD$7:$BO$35,MATCH(Ajustes!$E$4:$E$323,$BC$7:$BC$35,0),$C$2:$N$2),1)</f>
        <v>1</v>
      </c>
      <c r="L106" s="113">
        <f>IFERROR(INDEX($BD$7:$BO$35,MATCH(Ajustes!$E$4:$E$323,$BC$7:$BC$35,0),$C$2:$N$2),1)</f>
        <v>1</v>
      </c>
      <c r="M106" s="113">
        <f>IFERROR(INDEX($BD$7:$BO$35,MATCH(Ajustes!$E$4:$E$323,$BC$7:$BC$35,0),$C$2:$N$2),1)</f>
        <v>1</v>
      </c>
      <c r="N106" s="113">
        <f>IFERROR(INDEX($BD$7:$BO$35,MATCH(Ajustes!$E$4:$E$323,$BC$7:$BC$35,0),$C$2:$N$2),1)</f>
        <v>1</v>
      </c>
      <c r="O106">
        <f>C106*Ajustes!AM106</f>
        <v>6</v>
      </c>
      <c r="P106">
        <f>D106*Ajustes!AN106</f>
        <v>6</v>
      </c>
      <c r="Q106">
        <f>E106*Ajustes!AO106</f>
        <v>5</v>
      </c>
      <c r="R106">
        <f>F106*Ajustes!AP106</f>
        <v>6</v>
      </c>
      <c r="S106">
        <f>G106*Ajustes!AQ106</f>
        <v>8</v>
      </c>
      <c r="T106">
        <f>H106*Ajustes!AR106</f>
        <v>11</v>
      </c>
      <c r="U106">
        <f>I106*Ajustes!AS106</f>
        <v>11</v>
      </c>
      <c r="V106">
        <f>J106*Ajustes!AT106</f>
        <v>11</v>
      </c>
      <c r="W106">
        <f>K106*Ajustes!AU106</f>
        <v>12</v>
      </c>
      <c r="X106">
        <f>L106*Ajustes!AV106</f>
        <v>14</v>
      </c>
      <c r="Y106">
        <f>M106*Ajustes!AW106</f>
        <v>12</v>
      </c>
      <c r="Z106">
        <f>N106*Ajustes!AX106</f>
        <v>8</v>
      </c>
      <c r="AA106">
        <f>IF(Ajustes!$G106&gt;0,INDEX($AA$4:$AL$323,Ajustes!$G106,O$2),0)+IF(Ajustes!$H106&gt;0,INDEX($AA$4:$AL$323,Ajustes!$H106,O$2),0)+IF(Ajustes!$I106&gt;0,INDEX($AA$4:$AL$323,Ajustes!$I106,O$2),0)+IF(Ajustes!$J106&gt;0,INDEX($AA$4:$AL$323,Ajustes!$J106,O$2),0)+IF(Ajustes!$K106&gt;0,INDEX($AA$5:$AL$324,Ajustes!$K106,O$2),0)+IF(Ajustes!$L106&gt;0,INDEX($AA$4:$AL$323,Ajustes!$L106,O$2),0) + O106</f>
        <v>160</v>
      </c>
      <c r="AB106">
        <f>IF(Ajustes!$G106&gt;0,INDEX($AA$4:$AL$323,Ajustes!$G106,P$2),0)+IF(Ajustes!$H106&gt;0,INDEX($AA$4:$AL$323,Ajustes!$H106,P$2),0)+IF(Ajustes!$I106&gt;0,INDEX($AA$4:$AL$323,Ajustes!$I106,P$2),0)+IF(Ajustes!$J106&gt;0,INDEX($AA$4:$AL$323,Ajustes!$J106,P$2),0)+IF(Ajustes!$K106&gt;0,INDEX($AA$5:$AL$324,Ajustes!$K106,P$2),0)+IF(Ajustes!$L106&gt;0,INDEX($AA$4:$AL$323,Ajustes!$L106,P$2),0) + P106</f>
        <v>148</v>
      </c>
      <c r="AC106">
        <f>IF(Ajustes!$G106&gt;0,INDEX($AA$4:$AL$323,Ajustes!$G106,Q$2),0)+IF(Ajustes!$H106&gt;0,INDEX($AA$4:$AL$323,Ajustes!$H106,Q$2),0)+IF(Ajustes!$I106&gt;0,INDEX($AA$4:$AL$323,Ajustes!$I106,Q$2),0)+IF(Ajustes!$J106&gt;0,INDEX($AA$4:$AL$323,Ajustes!$J106,Q$2),0)+IF(Ajustes!$K106&gt;0,INDEX($AA$5:$AL$324,Ajustes!$K106,Q$2),0)+IF(Ajustes!$L106&gt;0,INDEX($AA$4:$AL$323,Ajustes!$L106,Q$2),0) + Q106</f>
        <v>126</v>
      </c>
      <c r="AD106">
        <f>IF(Ajustes!$G106&gt;0,INDEX($AA$4:$AL$323,Ajustes!$G106,R$2),0)+IF(Ajustes!$H106&gt;0,INDEX($AA$4:$AL$323,Ajustes!$H106,R$2),0)+IF(Ajustes!$I106&gt;0,INDEX($AA$4:$AL$323,Ajustes!$I106,R$2),0)+IF(Ajustes!$J106&gt;0,INDEX($AA$4:$AL$323,Ajustes!$J106,R$2),0)+IF(Ajustes!$K106&gt;0,INDEX($AA$5:$AL$324,Ajustes!$K106,R$2),0)+IF(Ajustes!$L106&gt;0,INDEX($AA$4:$AL$323,Ajustes!$L106,R$2),0) + R106</f>
        <v>191</v>
      </c>
      <c r="AE106">
        <f>IF(Ajustes!$G106&gt;0,INDEX($AA$4:$AL$323,Ajustes!$G106,S$2),0)+IF(Ajustes!$H106&gt;0,INDEX($AA$4:$AL$323,Ajustes!$H106,S$2),0)+IF(Ajustes!$I106&gt;0,INDEX($AA$4:$AL$323,Ajustes!$I106,S$2),0)+IF(Ajustes!$J106&gt;0,INDEX($AA$4:$AL$323,Ajustes!$J106,S$2),0)+IF(Ajustes!$K106&gt;0,INDEX($AA$5:$AL$324,Ajustes!$K106,S$2),0)+IF(Ajustes!$L106&gt;0,INDEX($AA$4:$AL$323,Ajustes!$L106,S$2),0) + S106</f>
        <v>251</v>
      </c>
      <c r="AF106">
        <f>IF(Ajustes!$G106&gt;0,INDEX($AA$4:$AL$323,Ajustes!$G106,T$2),0)+IF(Ajustes!$H106&gt;0,INDEX($AA$4:$AL$323,Ajustes!$H106,T$2),0)+IF(Ajustes!$I106&gt;0,INDEX($AA$4:$AL$323,Ajustes!$I106,T$2),0)+IF(Ajustes!$J106&gt;0,INDEX($AA$4:$AL$323,Ajustes!$J106,T$2),0)+IF(Ajustes!$K106&gt;0,INDEX($AA$5:$AL$324,Ajustes!$K106,T$2),0)+IF(Ajustes!$L106&gt;0,INDEX($AA$4:$AL$323,Ajustes!$L106,T$2),0) + T106</f>
        <v>302</v>
      </c>
      <c r="AG106">
        <f>IF(Ajustes!$G106&gt;0,INDEX($AA$4:$AL$323,Ajustes!$G106,U$2),0)+IF(Ajustes!$H106&gt;0,INDEX($AA$4:$AL$323,Ajustes!$H106,U$2),0)+IF(Ajustes!$I106&gt;0,INDEX($AA$4:$AL$323,Ajustes!$I106,U$2),0)+IF(Ajustes!$J106&gt;0,INDEX($AA$4:$AL$323,Ajustes!$J106,U$2),0)+IF(Ajustes!$K106&gt;0,INDEX($AA$5:$AL$324,Ajustes!$K106,U$2),0)+IF(Ajustes!$L106&gt;0,INDEX($AA$4:$AL$323,Ajustes!$L106,U$2),0) + U106</f>
        <v>297</v>
      </c>
      <c r="AH106">
        <f>IF(Ajustes!$G106&gt;0,INDEX($AA$4:$AL$323,Ajustes!$G106,V$2),0)+IF(Ajustes!$H106&gt;0,INDEX($AA$4:$AL$323,Ajustes!$H106,V$2),0)+IF(Ajustes!$I106&gt;0,INDEX($AA$4:$AL$323,Ajustes!$I106,V$2),0)+IF(Ajustes!$J106&gt;0,INDEX($AA$4:$AL$323,Ajustes!$J106,V$2),0)+IF(Ajustes!$K106&gt;0,INDEX($AA$5:$AL$324,Ajustes!$K106,V$2),0)+IF(Ajustes!$L106&gt;0,INDEX($AA$4:$AL$323,Ajustes!$L106,V$2),0) + V106</f>
        <v>292</v>
      </c>
      <c r="AI106">
        <f>IF(Ajustes!$G106&gt;0,INDEX($AA$4:$AL$323,Ajustes!$G106,W$2),0)+IF(Ajustes!$H106&gt;0,INDEX($AA$4:$AL$323,Ajustes!$H106,W$2),0)+IF(Ajustes!$I106&gt;0,INDEX($AA$4:$AL$323,Ajustes!$I106,W$2),0)+IF(Ajustes!$J106&gt;0,INDEX($AA$4:$AL$323,Ajustes!$J106,W$2),0)+IF(Ajustes!$K106&gt;0,INDEX($AA$5:$AL$324,Ajustes!$K106,W$2),0)+IF(Ajustes!$L106&gt;0,INDEX($AA$4:$AL$323,Ajustes!$L106,W$2),0) + W106</f>
        <v>339</v>
      </c>
      <c r="AJ106">
        <f>IF(Ajustes!$G106&gt;0,INDEX($AA$4:$AL$323,Ajustes!$G106,X$2),0)+IF(Ajustes!$H106&gt;0,INDEX($AA$4:$AL$323,Ajustes!$H106,X$2),0)+IF(Ajustes!$I106&gt;0,INDEX($AA$4:$AL$323,Ajustes!$I106,X$2),0)+IF(Ajustes!$J106&gt;0,INDEX($AA$4:$AL$323,Ajustes!$J106,X$2),0)+IF(Ajustes!$K106&gt;0,INDEX($AA$5:$AL$324,Ajustes!$K106,X$2),0)+IF(Ajustes!$L106&gt;0,INDEX($AA$4:$AL$323,Ajustes!$L106,X$2),0) + X106</f>
        <v>378</v>
      </c>
      <c r="AK106">
        <f>IF(Ajustes!$G106&gt;0,INDEX($AA$4:$AL$323,Ajustes!$G106,Y$2),0)+IF(Ajustes!$H106&gt;0,INDEX($AA$4:$AL$323,Ajustes!$H106,Y$2),0)+IF(Ajustes!$I106&gt;0,INDEX($AA$4:$AL$323,Ajustes!$I106,Y$2),0)+IF(Ajustes!$J106&gt;0,INDEX($AA$4:$AL$323,Ajustes!$J106,Y$2),0)+IF(Ajustes!$K106&gt;0,INDEX($AA$5:$AL$324,Ajustes!$K106,Y$2),0)+IF(Ajustes!$L106&gt;0,INDEX($AA$4:$AL$323,Ajustes!$L106,Y$2),0) + Y106</f>
        <v>280</v>
      </c>
      <c r="AL106">
        <f>IF(Ajustes!$G106&gt;0,INDEX($AA$4:$AL$323,Ajustes!$G106,Z$2),0)+IF(Ajustes!$H106&gt;0,INDEX($AA$4:$AL$323,Ajustes!$H106,Z$2),0)+IF(Ajustes!$I106&gt;0,INDEX($AA$4:$AL$323,Ajustes!$I106,Z$2),0)+IF(Ajustes!$J106&gt;0,INDEX($AA$4:$AL$323,Ajustes!$J106,Z$2),0)+IF(Ajustes!$K106&gt;0,INDEX($AA$5:$AL$324,Ajustes!$K106,Z$2),0)+IF(Ajustes!$L106&gt;0,INDEX($AA$4:$AL$323,Ajustes!$L106,Z$2),0) + Z106</f>
        <v>213</v>
      </c>
      <c r="AM106" s="113">
        <f t="shared" si="26"/>
        <v>160</v>
      </c>
      <c r="AN106" s="113">
        <f t="shared" si="26"/>
        <v>148</v>
      </c>
      <c r="AO106" s="113">
        <f t="shared" si="26"/>
        <v>126</v>
      </c>
      <c r="AP106" s="113">
        <f t="shared" si="26"/>
        <v>191</v>
      </c>
      <c r="AQ106" s="113">
        <f t="shared" si="26"/>
        <v>251</v>
      </c>
      <c r="AR106" s="113">
        <f t="shared" si="26"/>
        <v>302</v>
      </c>
      <c r="AS106" s="113">
        <f t="shared" si="28"/>
        <v>297</v>
      </c>
      <c r="AT106" s="113">
        <f t="shared" si="27"/>
        <v>292</v>
      </c>
      <c r="AU106" s="113">
        <f t="shared" si="27"/>
        <v>339</v>
      </c>
      <c r="AV106" s="113">
        <f t="shared" si="27"/>
        <v>378</v>
      </c>
      <c r="AW106" s="113">
        <f t="shared" si="27"/>
        <v>280</v>
      </c>
      <c r="AX106" s="113">
        <f t="shared" si="27"/>
        <v>213</v>
      </c>
    </row>
    <row r="107" spans="1:50" x14ac:dyDescent="0.25">
      <c r="A107" s="113">
        <v>104</v>
      </c>
      <c r="B107" s="209" t="s">
        <v>591</v>
      </c>
      <c r="C107">
        <f>IFERROR(INDEX($BD$7:$BO$35,MATCH(Ajustes!$E$4:$E$323,$BC$7:$BC$35,0),$C$2:$N$2),1)</f>
        <v>1</v>
      </c>
      <c r="D107" s="113">
        <f>IFERROR(INDEX($BD$7:$BO$35,MATCH(Ajustes!$E$4:$E$323,$BC$7:$BC$35,0),$C$2:$N$2),1)</f>
        <v>1</v>
      </c>
      <c r="E107" s="113">
        <f>IFERROR(INDEX($BD$7:$BO$35,MATCH(Ajustes!$E$4:$E$323,$BC$7:$BC$35,0),$C$2:$N$2),1)</f>
        <v>1</v>
      </c>
      <c r="F107" s="113">
        <f>IFERROR(INDEX($BD$7:$BO$35,MATCH(Ajustes!$E$4:$E$323,$BC$7:$BC$35,0),$C$2:$N$2),1)</f>
        <v>1</v>
      </c>
      <c r="G107" s="113">
        <f>IFERROR(INDEX($BD$7:$BO$35,MATCH(Ajustes!$E$4:$E$323,$BC$7:$BC$35,0),$C$2:$N$2),1)</f>
        <v>1</v>
      </c>
      <c r="H107" s="113">
        <f>IFERROR(INDEX($BD$7:$BO$35,MATCH(Ajustes!$E$4:$E$323,$BC$7:$BC$35,0),$C$2:$N$2),1)</f>
        <v>1</v>
      </c>
      <c r="I107" s="113">
        <f>IFERROR(INDEX($BD$7:$BO$35,MATCH(Ajustes!$E$4:$E$323,$BC$7:$BC$35,0),$C$2:$N$2),1)</f>
        <v>1</v>
      </c>
      <c r="J107" s="113">
        <f>IFERROR(INDEX($BD$7:$BO$35,MATCH(Ajustes!$E$4:$E$323,$BC$7:$BC$35,0),$C$2:$N$2),1)</f>
        <v>1</v>
      </c>
      <c r="K107" s="113">
        <f>IFERROR(INDEX($BD$7:$BO$35,MATCH(Ajustes!$E$4:$E$323,$BC$7:$BC$35,0),$C$2:$N$2),1)</f>
        <v>1</v>
      </c>
      <c r="L107" s="113">
        <f>IFERROR(INDEX($BD$7:$BO$35,MATCH(Ajustes!$E$4:$E$323,$BC$7:$BC$35,0),$C$2:$N$2),1)</f>
        <v>1</v>
      </c>
      <c r="M107" s="113">
        <f>IFERROR(INDEX($BD$7:$BO$35,MATCH(Ajustes!$E$4:$E$323,$BC$7:$BC$35,0),$C$2:$N$2),1)</f>
        <v>1</v>
      </c>
      <c r="N107" s="113">
        <f>IFERROR(INDEX($BD$7:$BO$35,MATCH(Ajustes!$E$4:$E$323,$BC$7:$BC$35,0),$C$2:$N$2),1)</f>
        <v>1</v>
      </c>
      <c r="O107">
        <f>C107*Ajustes!AM107</f>
        <v>19</v>
      </c>
      <c r="P107">
        <f>D107*Ajustes!AN107</f>
        <v>20</v>
      </c>
      <c r="Q107">
        <f>E107*Ajustes!AO107</f>
        <v>18</v>
      </c>
      <c r="R107">
        <f>F107*Ajustes!AP107</f>
        <v>12</v>
      </c>
      <c r="S107">
        <f>G107*Ajustes!AQ107</f>
        <v>10</v>
      </c>
      <c r="T107">
        <f>H107*Ajustes!AR107</f>
        <v>10</v>
      </c>
      <c r="U107">
        <f>I107*Ajustes!AS107</f>
        <v>9</v>
      </c>
      <c r="V107">
        <f>J107*Ajustes!AT107</f>
        <v>8</v>
      </c>
      <c r="W107">
        <f>K107*Ajustes!AU107</f>
        <v>9</v>
      </c>
      <c r="X107">
        <f>L107*Ajustes!AV107</f>
        <v>12</v>
      </c>
      <c r="Y107">
        <f>M107*Ajustes!AW107</f>
        <v>11</v>
      </c>
      <c r="Z107">
        <f>N107*Ajustes!AX107</f>
        <v>14</v>
      </c>
      <c r="AA107">
        <f>IF(Ajustes!$G107&gt;0,INDEX($AA$4:$AL$323,Ajustes!$G107,O$2),0)+IF(Ajustes!$H107&gt;0,INDEX($AA$4:$AL$323,Ajustes!$H107,O$2),0)+IF(Ajustes!$I107&gt;0,INDEX($AA$4:$AL$323,Ajustes!$I107,O$2),0)+IF(Ajustes!$J107&gt;0,INDEX($AA$4:$AL$323,Ajustes!$J107,O$2),0)+IF(Ajustes!$K107&gt;0,INDEX($AA$5:$AL$324,Ajustes!$K107,O$2),0)+IF(Ajustes!$L107&gt;0,INDEX($AA$4:$AL$323,Ajustes!$L107,O$2),0) + O107</f>
        <v>45</v>
      </c>
      <c r="AB107">
        <f>IF(Ajustes!$G107&gt;0,INDEX($AA$4:$AL$323,Ajustes!$G107,P$2),0)+IF(Ajustes!$H107&gt;0,INDEX($AA$4:$AL$323,Ajustes!$H107,P$2),0)+IF(Ajustes!$I107&gt;0,INDEX($AA$4:$AL$323,Ajustes!$I107,P$2),0)+IF(Ajustes!$J107&gt;0,INDEX($AA$4:$AL$323,Ajustes!$J107,P$2),0)+IF(Ajustes!$K107&gt;0,INDEX($AA$5:$AL$324,Ajustes!$K107,P$2),0)+IF(Ajustes!$L107&gt;0,INDEX($AA$4:$AL$323,Ajustes!$L107,P$2),0) + P107</f>
        <v>46</v>
      </c>
      <c r="AC107">
        <f>IF(Ajustes!$G107&gt;0,INDEX($AA$4:$AL$323,Ajustes!$G107,Q$2),0)+IF(Ajustes!$H107&gt;0,INDEX($AA$4:$AL$323,Ajustes!$H107,Q$2),0)+IF(Ajustes!$I107&gt;0,INDEX($AA$4:$AL$323,Ajustes!$I107,Q$2),0)+IF(Ajustes!$J107&gt;0,INDEX($AA$4:$AL$323,Ajustes!$J107,Q$2),0)+IF(Ajustes!$K107&gt;0,INDEX($AA$5:$AL$324,Ajustes!$K107,Q$2),0)+IF(Ajustes!$L107&gt;0,INDEX($AA$4:$AL$323,Ajustes!$L107,Q$2),0) + Q107</f>
        <v>41</v>
      </c>
      <c r="AD107">
        <f>IF(Ajustes!$G107&gt;0,INDEX($AA$4:$AL$323,Ajustes!$G107,R$2),0)+IF(Ajustes!$H107&gt;0,INDEX($AA$4:$AL$323,Ajustes!$H107,R$2),0)+IF(Ajustes!$I107&gt;0,INDEX($AA$4:$AL$323,Ajustes!$I107,R$2),0)+IF(Ajustes!$J107&gt;0,INDEX($AA$4:$AL$323,Ajustes!$J107,R$2),0)+IF(Ajustes!$K107&gt;0,INDEX($AA$5:$AL$324,Ajustes!$K107,R$2),0)+IF(Ajustes!$L107&gt;0,INDEX($AA$4:$AL$323,Ajustes!$L107,R$2),0) + R107</f>
        <v>29</v>
      </c>
      <c r="AE107">
        <f>IF(Ajustes!$G107&gt;0,INDEX($AA$4:$AL$323,Ajustes!$G107,S$2),0)+IF(Ajustes!$H107&gt;0,INDEX($AA$4:$AL$323,Ajustes!$H107,S$2),0)+IF(Ajustes!$I107&gt;0,INDEX($AA$4:$AL$323,Ajustes!$I107,S$2),0)+IF(Ajustes!$J107&gt;0,INDEX($AA$4:$AL$323,Ajustes!$J107,S$2),0)+IF(Ajustes!$K107&gt;0,INDEX($AA$5:$AL$324,Ajustes!$K107,S$2),0)+IF(Ajustes!$L107&gt;0,INDEX($AA$4:$AL$323,Ajustes!$L107,S$2),0) + S107</f>
        <v>22</v>
      </c>
      <c r="AF107">
        <f>IF(Ajustes!$G107&gt;0,INDEX($AA$4:$AL$323,Ajustes!$G107,T$2),0)+IF(Ajustes!$H107&gt;0,INDEX($AA$4:$AL$323,Ajustes!$H107,T$2),0)+IF(Ajustes!$I107&gt;0,INDEX($AA$4:$AL$323,Ajustes!$I107,T$2),0)+IF(Ajustes!$J107&gt;0,INDEX($AA$4:$AL$323,Ajustes!$J107,T$2),0)+IF(Ajustes!$K107&gt;0,INDEX($AA$5:$AL$324,Ajustes!$K107,T$2),0)+IF(Ajustes!$L107&gt;0,INDEX($AA$4:$AL$323,Ajustes!$L107,T$2),0) + T107</f>
        <v>21</v>
      </c>
      <c r="AG107">
        <f>IF(Ajustes!$G107&gt;0,INDEX($AA$4:$AL$323,Ajustes!$G107,U$2),0)+IF(Ajustes!$H107&gt;0,INDEX($AA$4:$AL$323,Ajustes!$H107,U$2),0)+IF(Ajustes!$I107&gt;0,INDEX($AA$4:$AL$323,Ajustes!$I107,U$2),0)+IF(Ajustes!$J107&gt;0,INDEX($AA$4:$AL$323,Ajustes!$J107,U$2),0)+IF(Ajustes!$K107&gt;0,INDEX($AA$5:$AL$324,Ajustes!$K107,U$2),0)+IF(Ajustes!$L107&gt;0,INDEX($AA$4:$AL$323,Ajustes!$L107,U$2),0) + U107</f>
        <v>18</v>
      </c>
      <c r="AH107">
        <f>IF(Ajustes!$G107&gt;0,INDEX($AA$4:$AL$323,Ajustes!$G107,V$2),0)+IF(Ajustes!$H107&gt;0,INDEX($AA$4:$AL$323,Ajustes!$H107,V$2),0)+IF(Ajustes!$I107&gt;0,INDEX($AA$4:$AL$323,Ajustes!$I107,V$2),0)+IF(Ajustes!$J107&gt;0,INDEX($AA$4:$AL$323,Ajustes!$J107,V$2),0)+IF(Ajustes!$K107&gt;0,INDEX($AA$5:$AL$324,Ajustes!$K107,V$2),0)+IF(Ajustes!$L107&gt;0,INDEX($AA$4:$AL$323,Ajustes!$L107,V$2),0) + V107</f>
        <v>16</v>
      </c>
      <c r="AI107">
        <f>IF(Ajustes!$G107&gt;0,INDEX($AA$4:$AL$323,Ajustes!$G107,W$2),0)+IF(Ajustes!$H107&gt;0,INDEX($AA$4:$AL$323,Ajustes!$H107,W$2),0)+IF(Ajustes!$I107&gt;0,INDEX($AA$4:$AL$323,Ajustes!$I107,W$2),0)+IF(Ajustes!$J107&gt;0,INDEX($AA$4:$AL$323,Ajustes!$J107,W$2),0)+IF(Ajustes!$K107&gt;0,INDEX($AA$5:$AL$324,Ajustes!$K107,W$2),0)+IF(Ajustes!$L107&gt;0,INDEX($AA$4:$AL$323,Ajustes!$L107,W$2),0) + W107</f>
        <v>21</v>
      </c>
      <c r="AJ107">
        <f>IF(Ajustes!$G107&gt;0,INDEX($AA$4:$AL$323,Ajustes!$G107,X$2),0)+IF(Ajustes!$H107&gt;0,INDEX($AA$4:$AL$323,Ajustes!$H107,X$2),0)+IF(Ajustes!$I107&gt;0,INDEX($AA$4:$AL$323,Ajustes!$I107,X$2),0)+IF(Ajustes!$J107&gt;0,INDEX($AA$4:$AL$323,Ajustes!$J107,X$2),0)+IF(Ajustes!$K107&gt;0,INDEX($AA$5:$AL$324,Ajustes!$K107,X$2),0)+IF(Ajustes!$L107&gt;0,INDEX($AA$4:$AL$323,Ajustes!$L107,X$2),0) + X107</f>
        <v>27</v>
      </c>
      <c r="AK107">
        <f>IF(Ajustes!$G107&gt;0,INDEX($AA$4:$AL$323,Ajustes!$G107,Y$2),0)+IF(Ajustes!$H107&gt;0,INDEX($AA$4:$AL$323,Ajustes!$H107,Y$2),0)+IF(Ajustes!$I107&gt;0,INDEX($AA$4:$AL$323,Ajustes!$I107,Y$2),0)+IF(Ajustes!$J107&gt;0,INDEX($AA$4:$AL$323,Ajustes!$J107,Y$2),0)+IF(Ajustes!$K107&gt;0,INDEX($AA$5:$AL$324,Ajustes!$K107,Y$2),0)+IF(Ajustes!$L107&gt;0,INDEX($AA$4:$AL$323,Ajustes!$L107,Y$2),0) + Y107</f>
        <v>26</v>
      </c>
      <c r="AL107">
        <f>IF(Ajustes!$G107&gt;0,INDEX($AA$4:$AL$323,Ajustes!$G107,Z$2),0)+IF(Ajustes!$H107&gt;0,INDEX($AA$4:$AL$323,Ajustes!$H107,Z$2),0)+IF(Ajustes!$I107&gt;0,INDEX($AA$4:$AL$323,Ajustes!$I107,Z$2),0)+IF(Ajustes!$J107&gt;0,INDEX($AA$4:$AL$323,Ajustes!$J107,Z$2),0)+IF(Ajustes!$K107&gt;0,INDEX($AA$5:$AL$324,Ajustes!$K107,Z$2),0)+IF(Ajustes!$L107&gt;0,INDEX($AA$4:$AL$323,Ajustes!$L107,Z$2),0) + Z107</f>
        <v>35</v>
      </c>
      <c r="AM107" s="219">
        <f t="shared" ref="AM107:AX107" si="29">AM120+AM121</f>
        <v>45</v>
      </c>
      <c r="AN107" s="219">
        <f t="shared" si="29"/>
        <v>46</v>
      </c>
      <c r="AO107" s="219">
        <f t="shared" si="29"/>
        <v>41</v>
      </c>
      <c r="AP107" s="219">
        <f t="shared" si="29"/>
        <v>30</v>
      </c>
      <c r="AQ107" s="219">
        <f t="shared" si="29"/>
        <v>22</v>
      </c>
      <c r="AR107" s="219">
        <f t="shared" si="29"/>
        <v>21</v>
      </c>
      <c r="AS107" s="219">
        <f t="shared" si="29"/>
        <v>17</v>
      </c>
      <c r="AT107" s="219">
        <f t="shared" si="29"/>
        <v>15</v>
      </c>
      <c r="AU107" s="219">
        <f t="shared" si="29"/>
        <v>21</v>
      </c>
      <c r="AV107" s="219">
        <f t="shared" si="29"/>
        <v>26</v>
      </c>
      <c r="AW107" s="219">
        <f t="shared" si="29"/>
        <v>26</v>
      </c>
      <c r="AX107" s="219">
        <f t="shared" si="29"/>
        <v>35</v>
      </c>
    </row>
    <row r="108" spans="1:50" x14ac:dyDescent="0.25">
      <c r="A108" s="113">
        <v>105</v>
      </c>
      <c r="B108" s="209"/>
      <c r="C108">
        <f>IFERROR(INDEX($BD$7:$BO$35,MATCH(Ajustes!$E$4:$E$323,$BC$7:$BC$35,0),$C$2:$N$2),1)</f>
        <v>1</v>
      </c>
      <c r="D108" s="113">
        <f>IFERROR(INDEX($BD$7:$BO$35,MATCH(Ajustes!$E$4:$E$323,$BC$7:$BC$35,0),$C$2:$N$2),1)</f>
        <v>1</v>
      </c>
      <c r="E108" s="113">
        <f>IFERROR(INDEX($BD$7:$BO$35,MATCH(Ajustes!$E$4:$E$323,$BC$7:$BC$35,0),$C$2:$N$2),1)</f>
        <v>1</v>
      </c>
      <c r="F108" s="113">
        <f>IFERROR(INDEX($BD$7:$BO$35,MATCH(Ajustes!$E$4:$E$323,$BC$7:$BC$35,0),$C$2:$N$2),1)</f>
        <v>1</v>
      </c>
      <c r="G108" s="113">
        <f>IFERROR(INDEX($BD$7:$BO$35,MATCH(Ajustes!$E$4:$E$323,$BC$7:$BC$35,0),$C$2:$N$2),1)</f>
        <v>1</v>
      </c>
      <c r="H108" s="113">
        <f>IFERROR(INDEX($BD$7:$BO$35,MATCH(Ajustes!$E$4:$E$323,$BC$7:$BC$35,0),$C$2:$N$2),1)</f>
        <v>1</v>
      </c>
      <c r="I108" s="113">
        <f>IFERROR(INDEX($BD$7:$BO$35,MATCH(Ajustes!$E$4:$E$323,$BC$7:$BC$35,0),$C$2:$N$2),1)</f>
        <v>1</v>
      </c>
      <c r="J108" s="113">
        <f>IFERROR(INDEX($BD$7:$BO$35,MATCH(Ajustes!$E$4:$E$323,$BC$7:$BC$35,0),$C$2:$N$2),1)</f>
        <v>1</v>
      </c>
      <c r="K108" s="113">
        <f>IFERROR(INDEX($BD$7:$BO$35,MATCH(Ajustes!$E$4:$E$323,$BC$7:$BC$35,0),$C$2:$N$2),1)</f>
        <v>1</v>
      </c>
      <c r="L108" s="113">
        <f>IFERROR(INDEX($BD$7:$BO$35,MATCH(Ajustes!$E$4:$E$323,$BC$7:$BC$35,0),$C$2:$N$2),1)</f>
        <v>1</v>
      </c>
      <c r="M108" s="113">
        <f>IFERROR(INDEX($BD$7:$BO$35,MATCH(Ajustes!$E$4:$E$323,$BC$7:$BC$35,0),$C$2:$N$2),1)</f>
        <v>1</v>
      </c>
      <c r="N108" s="113">
        <f>IFERROR(INDEX($BD$7:$BO$35,MATCH(Ajustes!$E$4:$E$323,$BC$7:$BC$35,0),$C$2:$N$2),1)</f>
        <v>1</v>
      </c>
      <c r="O108">
        <f>C108*Ajustes!AM108</f>
        <v>0</v>
      </c>
      <c r="P108">
        <f>D108*Ajustes!AN108</f>
        <v>0</v>
      </c>
      <c r="Q108">
        <f>E108*Ajustes!AO108</f>
        <v>0</v>
      </c>
      <c r="R108">
        <f>F108*Ajustes!AP108</f>
        <v>0</v>
      </c>
      <c r="S108">
        <f>G108*Ajustes!AQ108</f>
        <v>0</v>
      </c>
      <c r="T108">
        <f>H108*Ajustes!AR108</f>
        <v>0</v>
      </c>
      <c r="U108">
        <f>I108*Ajustes!AS108</f>
        <v>0</v>
      </c>
      <c r="V108">
        <f>J108*Ajustes!AT108</f>
        <v>0</v>
      </c>
      <c r="W108">
        <f>K108*Ajustes!AU108</f>
        <v>0</v>
      </c>
      <c r="X108">
        <f>L108*Ajustes!AV108</f>
        <v>0</v>
      </c>
      <c r="Y108">
        <f>M108*Ajustes!AW108</f>
        <v>0</v>
      </c>
      <c r="Z108">
        <f>N108*Ajustes!AX108</f>
        <v>0</v>
      </c>
      <c r="AA108">
        <f>IF(Ajustes!$G108&gt;0,INDEX($AA$4:$AL$323,Ajustes!$G108,O$2),0)+IF(Ajustes!$H108&gt;0,INDEX($AA$4:$AL$323,Ajustes!$H108,O$2),0)+IF(Ajustes!$I108&gt;0,INDEX($AA$4:$AL$323,Ajustes!$I108,O$2),0)+IF(Ajustes!$J108&gt;0,INDEX($AA$4:$AL$323,Ajustes!$J108,O$2),0)+IF(Ajustes!$K108&gt;0,INDEX($AA$5:$AL$324,Ajustes!$K108,O$2),0)+IF(Ajustes!$L108&gt;0,INDEX($AA$4:$AL$323,Ajustes!$L108,O$2),0) + O108</f>
        <v>0</v>
      </c>
      <c r="AB108">
        <f>IF(Ajustes!$G108&gt;0,INDEX($AA$4:$AL$323,Ajustes!$G108,P$2),0)+IF(Ajustes!$H108&gt;0,INDEX($AA$4:$AL$323,Ajustes!$H108,P$2),0)+IF(Ajustes!$I108&gt;0,INDEX($AA$4:$AL$323,Ajustes!$I108,P$2),0)+IF(Ajustes!$J108&gt;0,INDEX($AA$4:$AL$323,Ajustes!$J108,P$2),0)+IF(Ajustes!$K108&gt;0,INDEX($AA$5:$AL$324,Ajustes!$K108,P$2),0)+IF(Ajustes!$L108&gt;0,INDEX($AA$4:$AL$323,Ajustes!$L108,P$2),0) + P108</f>
        <v>0</v>
      </c>
      <c r="AC108">
        <f>IF(Ajustes!$G108&gt;0,INDEX($AA$4:$AL$323,Ajustes!$G108,Q$2),0)+IF(Ajustes!$H108&gt;0,INDEX($AA$4:$AL$323,Ajustes!$H108,Q$2),0)+IF(Ajustes!$I108&gt;0,INDEX($AA$4:$AL$323,Ajustes!$I108,Q$2),0)+IF(Ajustes!$J108&gt;0,INDEX($AA$4:$AL$323,Ajustes!$J108,Q$2),0)+IF(Ajustes!$K108&gt;0,INDEX($AA$5:$AL$324,Ajustes!$K108,Q$2),0)+IF(Ajustes!$L108&gt;0,INDEX($AA$4:$AL$323,Ajustes!$L108,Q$2),0) + Q108</f>
        <v>0</v>
      </c>
      <c r="AD108">
        <f>IF(Ajustes!$G108&gt;0,INDEX($AA$4:$AL$323,Ajustes!$G108,R$2),0)+IF(Ajustes!$H108&gt;0,INDEX($AA$4:$AL$323,Ajustes!$H108,R$2),0)+IF(Ajustes!$I108&gt;0,INDEX($AA$4:$AL$323,Ajustes!$I108,R$2),0)+IF(Ajustes!$J108&gt;0,INDEX($AA$4:$AL$323,Ajustes!$J108,R$2),0)+IF(Ajustes!$K108&gt;0,INDEX($AA$5:$AL$324,Ajustes!$K108,R$2),0)+IF(Ajustes!$L108&gt;0,INDEX($AA$4:$AL$323,Ajustes!$L108,R$2),0) + R108</f>
        <v>0</v>
      </c>
      <c r="AE108">
        <f>IF(Ajustes!$G108&gt;0,INDEX($AA$4:$AL$323,Ajustes!$G108,S$2),0)+IF(Ajustes!$H108&gt;0,INDEX($AA$4:$AL$323,Ajustes!$H108,S$2),0)+IF(Ajustes!$I108&gt;0,INDEX($AA$4:$AL$323,Ajustes!$I108,S$2),0)+IF(Ajustes!$J108&gt;0,INDEX($AA$4:$AL$323,Ajustes!$J108,S$2),0)+IF(Ajustes!$K108&gt;0,INDEX($AA$5:$AL$324,Ajustes!$K108,S$2),0)+IF(Ajustes!$L108&gt;0,INDEX($AA$4:$AL$323,Ajustes!$L108,S$2),0) + S108</f>
        <v>0</v>
      </c>
      <c r="AF108">
        <f>IF(Ajustes!$G108&gt;0,INDEX($AA$4:$AL$323,Ajustes!$G108,T$2),0)+IF(Ajustes!$H108&gt;0,INDEX($AA$4:$AL$323,Ajustes!$H108,T$2),0)+IF(Ajustes!$I108&gt;0,INDEX($AA$4:$AL$323,Ajustes!$I108,T$2),0)+IF(Ajustes!$J108&gt;0,INDEX($AA$4:$AL$323,Ajustes!$J108,T$2),0)+IF(Ajustes!$K108&gt;0,INDEX($AA$5:$AL$324,Ajustes!$K108,T$2),0)+IF(Ajustes!$L108&gt;0,INDEX($AA$4:$AL$323,Ajustes!$L108,T$2),0) + T108</f>
        <v>0</v>
      </c>
      <c r="AG108">
        <f>IF(Ajustes!$G108&gt;0,INDEX($AA$4:$AL$323,Ajustes!$G108,U$2),0)+IF(Ajustes!$H108&gt;0,INDEX($AA$4:$AL$323,Ajustes!$H108,U$2),0)+IF(Ajustes!$I108&gt;0,INDEX($AA$4:$AL$323,Ajustes!$I108,U$2),0)+IF(Ajustes!$J108&gt;0,INDEX($AA$4:$AL$323,Ajustes!$J108,U$2),0)+IF(Ajustes!$K108&gt;0,INDEX($AA$5:$AL$324,Ajustes!$K108,U$2),0)+IF(Ajustes!$L108&gt;0,INDEX($AA$4:$AL$323,Ajustes!$L108,U$2),0) + U108</f>
        <v>0</v>
      </c>
      <c r="AH108">
        <f>IF(Ajustes!$G108&gt;0,INDEX($AA$4:$AL$323,Ajustes!$G108,V$2),0)+IF(Ajustes!$H108&gt;0,INDEX($AA$4:$AL$323,Ajustes!$H108,V$2),0)+IF(Ajustes!$I108&gt;0,INDEX($AA$4:$AL$323,Ajustes!$I108,V$2),0)+IF(Ajustes!$J108&gt;0,INDEX($AA$4:$AL$323,Ajustes!$J108,V$2),0)+IF(Ajustes!$K108&gt;0,INDEX($AA$5:$AL$324,Ajustes!$K108,V$2),0)+IF(Ajustes!$L108&gt;0,INDEX($AA$4:$AL$323,Ajustes!$L108,V$2),0) + V108</f>
        <v>0</v>
      </c>
      <c r="AI108">
        <f>IF(Ajustes!$G108&gt;0,INDEX($AA$4:$AL$323,Ajustes!$G108,W$2),0)+IF(Ajustes!$H108&gt;0,INDEX($AA$4:$AL$323,Ajustes!$H108,W$2),0)+IF(Ajustes!$I108&gt;0,INDEX($AA$4:$AL$323,Ajustes!$I108,W$2),0)+IF(Ajustes!$J108&gt;0,INDEX($AA$4:$AL$323,Ajustes!$J108,W$2),0)+IF(Ajustes!$K108&gt;0,INDEX($AA$5:$AL$324,Ajustes!$K108,W$2),0)+IF(Ajustes!$L108&gt;0,INDEX($AA$4:$AL$323,Ajustes!$L108,W$2),0) + W108</f>
        <v>0</v>
      </c>
      <c r="AJ108">
        <f>IF(Ajustes!$G108&gt;0,INDEX($AA$4:$AL$323,Ajustes!$G108,X$2),0)+IF(Ajustes!$H108&gt;0,INDEX($AA$4:$AL$323,Ajustes!$H108,X$2),0)+IF(Ajustes!$I108&gt;0,INDEX($AA$4:$AL$323,Ajustes!$I108,X$2),0)+IF(Ajustes!$J108&gt;0,INDEX($AA$4:$AL$323,Ajustes!$J108,X$2),0)+IF(Ajustes!$K108&gt;0,INDEX($AA$5:$AL$324,Ajustes!$K108,X$2),0)+IF(Ajustes!$L108&gt;0,INDEX($AA$4:$AL$323,Ajustes!$L108,X$2),0) + X108</f>
        <v>0</v>
      </c>
      <c r="AK108">
        <f>IF(Ajustes!$G108&gt;0,INDEX($AA$4:$AL$323,Ajustes!$G108,Y$2),0)+IF(Ajustes!$H108&gt;0,INDEX($AA$4:$AL$323,Ajustes!$H108,Y$2),0)+IF(Ajustes!$I108&gt;0,INDEX($AA$4:$AL$323,Ajustes!$I108,Y$2),0)+IF(Ajustes!$J108&gt;0,INDEX($AA$4:$AL$323,Ajustes!$J108,Y$2),0)+IF(Ajustes!$K108&gt;0,INDEX($AA$5:$AL$324,Ajustes!$K108,Y$2),0)+IF(Ajustes!$L108&gt;0,INDEX($AA$4:$AL$323,Ajustes!$L108,Y$2),0) + Y108</f>
        <v>0</v>
      </c>
      <c r="AL108">
        <f>IF(Ajustes!$G108&gt;0,INDEX($AA$4:$AL$323,Ajustes!$G108,Z$2),0)+IF(Ajustes!$H108&gt;0,INDEX($AA$4:$AL$323,Ajustes!$H108,Z$2),0)+IF(Ajustes!$I108&gt;0,INDEX($AA$4:$AL$323,Ajustes!$I108,Z$2),0)+IF(Ajustes!$J108&gt;0,INDEX($AA$4:$AL$323,Ajustes!$J108,Z$2),0)+IF(Ajustes!$K108&gt;0,INDEX($AA$5:$AL$324,Ajustes!$K108,Z$2),0)+IF(Ajustes!$L108&gt;0,INDEX($AA$4:$AL$323,Ajustes!$L108,Z$2),0) + Z108</f>
        <v>0</v>
      </c>
      <c r="AM108" s="113">
        <f t="shared" si="26"/>
        <v>0</v>
      </c>
      <c r="AN108" s="113">
        <f t="shared" si="26"/>
        <v>0</v>
      </c>
      <c r="AO108" s="113">
        <f t="shared" si="26"/>
        <v>0</v>
      </c>
      <c r="AP108" s="113">
        <f t="shared" si="26"/>
        <v>0</v>
      </c>
      <c r="AQ108" s="113">
        <f t="shared" si="26"/>
        <v>0</v>
      </c>
      <c r="AR108" s="113">
        <f t="shared" si="26"/>
        <v>0</v>
      </c>
      <c r="AS108" s="113">
        <f t="shared" si="28"/>
        <v>0</v>
      </c>
      <c r="AT108" s="113">
        <f t="shared" si="27"/>
        <v>0</v>
      </c>
      <c r="AU108" s="113">
        <f t="shared" si="27"/>
        <v>0</v>
      </c>
      <c r="AV108" s="113">
        <f t="shared" si="27"/>
        <v>0</v>
      </c>
      <c r="AW108" s="113">
        <f t="shared" si="27"/>
        <v>0</v>
      </c>
      <c r="AX108" s="113">
        <f t="shared" si="27"/>
        <v>0</v>
      </c>
    </row>
    <row r="109" spans="1:50" x14ac:dyDescent="0.25">
      <c r="A109" s="113">
        <v>106</v>
      </c>
      <c r="B109" s="209"/>
      <c r="C109">
        <f>IFERROR(INDEX($BD$7:$BO$35,MATCH(Ajustes!$E$4:$E$323,$BC$7:$BC$35,0),$C$2:$N$2),1)</f>
        <v>1</v>
      </c>
      <c r="D109" s="113">
        <f>IFERROR(INDEX($BD$7:$BO$35,MATCH(Ajustes!$E$4:$E$323,$BC$7:$BC$35,0),$C$2:$N$2),1)</f>
        <v>1</v>
      </c>
      <c r="E109" s="113">
        <f>IFERROR(INDEX($BD$7:$BO$35,MATCH(Ajustes!$E$4:$E$323,$BC$7:$BC$35,0),$C$2:$N$2),1)</f>
        <v>1</v>
      </c>
      <c r="F109" s="113">
        <f>IFERROR(INDEX($BD$7:$BO$35,MATCH(Ajustes!$E$4:$E$323,$BC$7:$BC$35,0),$C$2:$N$2),1)</f>
        <v>1</v>
      </c>
      <c r="G109" s="113">
        <f>IFERROR(INDEX($BD$7:$BO$35,MATCH(Ajustes!$E$4:$E$323,$BC$7:$BC$35,0),$C$2:$N$2),1)</f>
        <v>1</v>
      </c>
      <c r="H109" s="113">
        <f>IFERROR(INDEX($BD$7:$BO$35,MATCH(Ajustes!$E$4:$E$323,$BC$7:$BC$35,0),$C$2:$N$2),1)</f>
        <v>1</v>
      </c>
      <c r="I109" s="113">
        <f>IFERROR(INDEX($BD$7:$BO$35,MATCH(Ajustes!$E$4:$E$323,$BC$7:$BC$35,0),$C$2:$N$2),1)</f>
        <v>1</v>
      </c>
      <c r="J109" s="113">
        <f>IFERROR(INDEX($BD$7:$BO$35,MATCH(Ajustes!$E$4:$E$323,$BC$7:$BC$35,0),$C$2:$N$2),1)</f>
        <v>1</v>
      </c>
      <c r="K109" s="113">
        <f>IFERROR(INDEX($BD$7:$BO$35,MATCH(Ajustes!$E$4:$E$323,$BC$7:$BC$35,0),$C$2:$N$2),1)</f>
        <v>1</v>
      </c>
      <c r="L109" s="113">
        <f>IFERROR(INDEX($BD$7:$BO$35,MATCH(Ajustes!$E$4:$E$323,$BC$7:$BC$35,0),$C$2:$N$2),1)</f>
        <v>1</v>
      </c>
      <c r="M109" s="113">
        <f>IFERROR(INDEX($BD$7:$BO$35,MATCH(Ajustes!$E$4:$E$323,$BC$7:$BC$35,0),$C$2:$N$2),1)</f>
        <v>1</v>
      </c>
      <c r="N109" s="113">
        <f>IFERROR(INDEX($BD$7:$BO$35,MATCH(Ajustes!$E$4:$E$323,$BC$7:$BC$35,0),$C$2:$N$2),1)</f>
        <v>1</v>
      </c>
      <c r="O109">
        <f>C109*Ajustes!AM109</f>
        <v>0</v>
      </c>
      <c r="P109">
        <f>D109*Ajustes!AN109</f>
        <v>0</v>
      </c>
      <c r="Q109">
        <f>E109*Ajustes!AO109</f>
        <v>0</v>
      </c>
      <c r="R109">
        <f>F109*Ajustes!AP109</f>
        <v>0</v>
      </c>
      <c r="S109">
        <f>G109*Ajustes!AQ109</f>
        <v>0</v>
      </c>
      <c r="T109">
        <f>H109*Ajustes!AR109</f>
        <v>0</v>
      </c>
      <c r="U109">
        <f>I109*Ajustes!AS109</f>
        <v>0</v>
      </c>
      <c r="V109">
        <f>J109*Ajustes!AT109</f>
        <v>0</v>
      </c>
      <c r="W109">
        <f>K109*Ajustes!AU109</f>
        <v>0</v>
      </c>
      <c r="X109">
        <f>L109*Ajustes!AV109</f>
        <v>0</v>
      </c>
      <c r="Y109">
        <f>M109*Ajustes!AW109</f>
        <v>0</v>
      </c>
      <c r="Z109">
        <f>N109*Ajustes!AX109</f>
        <v>0</v>
      </c>
      <c r="AA109">
        <f>IF(Ajustes!$G109&gt;0,INDEX($AA$4:$AL$323,Ajustes!$G109,O$2),0)+IF(Ajustes!$H109&gt;0,INDEX($AA$4:$AL$323,Ajustes!$H109,O$2),0)+IF(Ajustes!$I109&gt;0,INDEX($AA$4:$AL$323,Ajustes!$I109,O$2),0)+IF(Ajustes!$J109&gt;0,INDEX($AA$4:$AL$323,Ajustes!$J109,O$2),0)+IF(Ajustes!$K109&gt;0,INDEX($AA$5:$AL$324,Ajustes!$K109,O$2),0)+IF(Ajustes!$L109&gt;0,INDEX($AA$4:$AL$323,Ajustes!$L109,O$2),0) + O109</f>
        <v>0</v>
      </c>
      <c r="AB109">
        <f>IF(Ajustes!$G109&gt;0,INDEX($AA$4:$AL$323,Ajustes!$G109,P$2),0)+IF(Ajustes!$H109&gt;0,INDEX($AA$4:$AL$323,Ajustes!$H109,P$2),0)+IF(Ajustes!$I109&gt;0,INDEX($AA$4:$AL$323,Ajustes!$I109,P$2),0)+IF(Ajustes!$J109&gt;0,INDEX($AA$4:$AL$323,Ajustes!$J109,P$2),0)+IF(Ajustes!$K109&gt;0,INDEX($AA$5:$AL$324,Ajustes!$K109,P$2),0)+IF(Ajustes!$L109&gt;0,INDEX($AA$4:$AL$323,Ajustes!$L109,P$2),0) + P109</f>
        <v>0</v>
      </c>
      <c r="AC109">
        <f>IF(Ajustes!$G109&gt;0,INDEX($AA$4:$AL$323,Ajustes!$G109,Q$2),0)+IF(Ajustes!$H109&gt;0,INDEX($AA$4:$AL$323,Ajustes!$H109,Q$2),0)+IF(Ajustes!$I109&gt;0,INDEX($AA$4:$AL$323,Ajustes!$I109,Q$2),0)+IF(Ajustes!$J109&gt;0,INDEX($AA$4:$AL$323,Ajustes!$J109,Q$2),0)+IF(Ajustes!$K109&gt;0,INDEX($AA$5:$AL$324,Ajustes!$K109,Q$2),0)+IF(Ajustes!$L109&gt;0,INDEX($AA$4:$AL$323,Ajustes!$L109,Q$2),0) + Q109</f>
        <v>0</v>
      </c>
      <c r="AD109">
        <f>IF(Ajustes!$G109&gt;0,INDEX($AA$4:$AL$323,Ajustes!$G109,R$2),0)+IF(Ajustes!$H109&gt;0,INDEX($AA$4:$AL$323,Ajustes!$H109,R$2),0)+IF(Ajustes!$I109&gt;0,INDEX($AA$4:$AL$323,Ajustes!$I109,R$2),0)+IF(Ajustes!$J109&gt;0,INDEX($AA$4:$AL$323,Ajustes!$J109,R$2),0)+IF(Ajustes!$K109&gt;0,INDEX($AA$5:$AL$324,Ajustes!$K109,R$2),0)+IF(Ajustes!$L109&gt;0,INDEX($AA$4:$AL$323,Ajustes!$L109,R$2),0) + R109</f>
        <v>0</v>
      </c>
      <c r="AE109">
        <f>IF(Ajustes!$G109&gt;0,INDEX($AA$4:$AL$323,Ajustes!$G109,S$2),0)+IF(Ajustes!$H109&gt;0,INDEX($AA$4:$AL$323,Ajustes!$H109,S$2),0)+IF(Ajustes!$I109&gt;0,INDEX($AA$4:$AL$323,Ajustes!$I109,S$2),0)+IF(Ajustes!$J109&gt;0,INDEX($AA$4:$AL$323,Ajustes!$J109,S$2),0)+IF(Ajustes!$K109&gt;0,INDEX($AA$5:$AL$324,Ajustes!$K109,S$2),0)+IF(Ajustes!$L109&gt;0,INDEX($AA$4:$AL$323,Ajustes!$L109,S$2),0) + S109</f>
        <v>0</v>
      </c>
      <c r="AF109">
        <f>IF(Ajustes!$G109&gt;0,INDEX($AA$4:$AL$323,Ajustes!$G109,T$2),0)+IF(Ajustes!$H109&gt;0,INDEX($AA$4:$AL$323,Ajustes!$H109,T$2),0)+IF(Ajustes!$I109&gt;0,INDEX($AA$4:$AL$323,Ajustes!$I109,T$2),0)+IF(Ajustes!$J109&gt;0,INDEX($AA$4:$AL$323,Ajustes!$J109,T$2),0)+IF(Ajustes!$K109&gt;0,INDEX($AA$5:$AL$324,Ajustes!$K109,T$2),0)+IF(Ajustes!$L109&gt;0,INDEX($AA$4:$AL$323,Ajustes!$L109,T$2),0) + T109</f>
        <v>0</v>
      </c>
      <c r="AG109">
        <f>IF(Ajustes!$G109&gt;0,INDEX($AA$4:$AL$323,Ajustes!$G109,U$2),0)+IF(Ajustes!$H109&gt;0,INDEX($AA$4:$AL$323,Ajustes!$H109,U$2),0)+IF(Ajustes!$I109&gt;0,INDEX($AA$4:$AL$323,Ajustes!$I109,U$2),0)+IF(Ajustes!$J109&gt;0,INDEX($AA$4:$AL$323,Ajustes!$J109,U$2),0)+IF(Ajustes!$K109&gt;0,INDEX($AA$5:$AL$324,Ajustes!$K109,U$2),0)+IF(Ajustes!$L109&gt;0,INDEX($AA$4:$AL$323,Ajustes!$L109,U$2),0) + U109</f>
        <v>0</v>
      </c>
      <c r="AH109">
        <f>IF(Ajustes!$G109&gt;0,INDEX($AA$4:$AL$323,Ajustes!$G109,V$2),0)+IF(Ajustes!$H109&gt;0,INDEX($AA$4:$AL$323,Ajustes!$H109,V$2),0)+IF(Ajustes!$I109&gt;0,INDEX($AA$4:$AL$323,Ajustes!$I109,V$2),0)+IF(Ajustes!$J109&gt;0,INDEX($AA$4:$AL$323,Ajustes!$J109,V$2),0)+IF(Ajustes!$K109&gt;0,INDEX($AA$5:$AL$324,Ajustes!$K109,V$2),0)+IF(Ajustes!$L109&gt;0,INDEX($AA$4:$AL$323,Ajustes!$L109,V$2),0) + V109</f>
        <v>0</v>
      </c>
      <c r="AI109">
        <f>IF(Ajustes!$G109&gt;0,INDEX($AA$4:$AL$323,Ajustes!$G109,W$2),0)+IF(Ajustes!$H109&gt;0,INDEX($AA$4:$AL$323,Ajustes!$H109,W$2),0)+IF(Ajustes!$I109&gt;0,INDEX($AA$4:$AL$323,Ajustes!$I109,W$2),0)+IF(Ajustes!$J109&gt;0,INDEX($AA$4:$AL$323,Ajustes!$J109,W$2),0)+IF(Ajustes!$K109&gt;0,INDEX($AA$5:$AL$324,Ajustes!$K109,W$2),0)+IF(Ajustes!$L109&gt;0,INDEX($AA$4:$AL$323,Ajustes!$L109,W$2),0) + W109</f>
        <v>0</v>
      </c>
      <c r="AJ109">
        <f>IF(Ajustes!$G109&gt;0,INDEX($AA$4:$AL$323,Ajustes!$G109,X$2),0)+IF(Ajustes!$H109&gt;0,INDEX($AA$4:$AL$323,Ajustes!$H109,X$2),0)+IF(Ajustes!$I109&gt;0,INDEX($AA$4:$AL$323,Ajustes!$I109,X$2),0)+IF(Ajustes!$J109&gt;0,INDEX($AA$4:$AL$323,Ajustes!$J109,X$2),0)+IF(Ajustes!$K109&gt;0,INDEX($AA$5:$AL$324,Ajustes!$K109,X$2),0)+IF(Ajustes!$L109&gt;0,INDEX($AA$4:$AL$323,Ajustes!$L109,X$2),0) + X109</f>
        <v>0</v>
      </c>
      <c r="AK109">
        <f>IF(Ajustes!$G109&gt;0,INDEX($AA$4:$AL$323,Ajustes!$G109,Y$2),0)+IF(Ajustes!$H109&gt;0,INDEX($AA$4:$AL$323,Ajustes!$H109,Y$2),0)+IF(Ajustes!$I109&gt;0,INDEX($AA$4:$AL$323,Ajustes!$I109,Y$2),0)+IF(Ajustes!$J109&gt;0,INDEX($AA$4:$AL$323,Ajustes!$J109,Y$2),0)+IF(Ajustes!$K109&gt;0,INDEX($AA$5:$AL$324,Ajustes!$K109,Y$2),0)+IF(Ajustes!$L109&gt;0,INDEX($AA$4:$AL$323,Ajustes!$L109,Y$2),0) + Y109</f>
        <v>0</v>
      </c>
      <c r="AL109">
        <f>IF(Ajustes!$G109&gt;0,INDEX($AA$4:$AL$323,Ajustes!$G109,Z$2),0)+IF(Ajustes!$H109&gt;0,INDEX($AA$4:$AL$323,Ajustes!$H109,Z$2),0)+IF(Ajustes!$I109&gt;0,INDEX($AA$4:$AL$323,Ajustes!$I109,Z$2),0)+IF(Ajustes!$J109&gt;0,INDEX($AA$4:$AL$323,Ajustes!$J109,Z$2),0)+IF(Ajustes!$K109&gt;0,INDEX($AA$5:$AL$324,Ajustes!$K109,Z$2),0)+IF(Ajustes!$L109&gt;0,INDEX($AA$4:$AL$323,Ajustes!$L109,Z$2),0) + Z109</f>
        <v>0</v>
      </c>
      <c r="AM109" s="113">
        <f t="shared" si="26"/>
        <v>0</v>
      </c>
      <c r="AN109" s="113">
        <f t="shared" si="26"/>
        <v>0</v>
      </c>
      <c r="AO109" s="113">
        <f t="shared" si="26"/>
        <v>0</v>
      </c>
      <c r="AP109" s="113">
        <f t="shared" si="26"/>
        <v>0</v>
      </c>
      <c r="AQ109" s="113">
        <f t="shared" si="26"/>
        <v>0</v>
      </c>
      <c r="AR109" s="113">
        <f t="shared" si="26"/>
        <v>0</v>
      </c>
      <c r="AS109" s="113">
        <f t="shared" si="28"/>
        <v>0</v>
      </c>
      <c r="AT109" s="113">
        <f t="shared" si="27"/>
        <v>0</v>
      </c>
      <c r="AU109" s="113">
        <f t="shared" si="27"/>
        <v>0</v>
      </c>
      <c r="AV109" s="113">
        <f t="shared" si="27"/>
        <v>0</v>
      </c>
      <c r="AW109" s="113">
        <f t="shared" si="27"/>
        <v>0</v>
      </c>
      <c r="AX109" s="113">
        <f t="shared" si="27"/>
        <v>0</v>
      </c>
    </row>
    <row r="110" spans="1:50" x14ac:dyDescent="0.25">
      <c r="A110" s="113">
        <v>107</v>
      </c>
      <c r="B110" s="209"/>
      <c r="C110">
        <f>IFERROR(INDEX($BD$7:$BO$35,MATCH(Ajustes!$E$4:$E$323,$BC$7:$BC$35,0),$C$2:$N$2),1)</f>
        <v>1</v>
      </c>
      <c r="D110" s="113">
        <f>IFERROR(INDEX($BD$7:$BO$35,MATCH(Ajustes!$E$4:$E$323,$BC$7:$BC$35,0),$C$2:$N$2),1)</f>
        <v>1</v>
      </c>
      <c r="E110" s="113">
        <f>IFERROR(INDEX($BD$7:$BO$35,MATCH(Ajustes!$E$4:$E$323,$BC$7:$BC$35,0),$C$2:$N$2),1)</f>
        <v>1</v>
      </c>
      <c r="F110" s="113">
        <f>IFERROR(INDEX($BD$7:$BO$35,MATCH(Ajustes!$E$4:$E$323,$BC$7:$BC$35,0),$C$2:$N$2),1)</f>
        <v>1</v>
      </c>
      <c r="G110" s="113">
        <f>IFERROR(INDEX($BD$7:$BO$35,MATCH(Ajustes!$E$4:$E$323,$BC$7:$BC$35,0),$C$2:$N$2),1)</f>
        <v>1</v>
      </c>
      <c r="H110" s="113">
        <f>IFERROR(INDEX($BD$7:$BO$35,MATCH(Ajustes!$E$4:$E$323,$BC$7:$BC$35,0),$C$2:$N$2),1)</f>
        <v>1</v>
      </c>
      <c r="I110" s="113">
        <f>IFERROR(INDEX($BD$7:$BO$35,MATCH(Ajustes!$E$4:$E$323,$BC$7:$BC$35,0),$C$2:$N$2),1)</f>
        <v>1</v>
      </c>
      <c r="J110" s="113">
        <f>IFERROR(INDEX($BD$7:$BO$35,MATCH(Ajustes!$E$4:$E$323,$BC$7:$BC$35,0),$C$2:$N$2),1)</f>
        <v>1</v>
      </c>
      <c r="K110" s="113">
        <f>IFERROR(INDEX($BD$7:$BO$35,MATCH(Ajustes!$E$4:$E$323,$BC$7:$BC$35,0),$C$2:$N$2),1)</f>
        <v>1</v>
      </c>
      <c r="L110" s="113">
        <f>IFERROR(INDEX($BD$7:$BO$35,MATCH(Ajustes!$E$4:$E$323,$BC$7:$BC$35,0),$C$2:$N$2),1)</f>
        <v>1</v>
      </c>
      <c r="M110" s="113">
        <f>IFERROR(INDEX($BD$7:$BO$35,MATCH(Ajustes!$E$4:$E$323,$BC$7:$BC$35,0),$C$2:$N$2),1)</f>
        <v>1</v>
      </c>
      <c r="N110" s="113">
        <f>IFERROR(INDEX($BD$7:$BO$35,MATCH(Ajustes!$E$4:$E$323,$BC$7:$BC$35,0),$C$2:$N$2),1)</f>
        <v>1</v>
      </c>
      <c r="O110">
        <f>C110*Ajustes!AM110</f>
        <v>0</v>
      </c>
      <c r="P110">
        <f>D110*Ajustes!AN110</f>
        <v>0</v>
      </c>
      <c r="Q110">
        <f>E110*Ajustes!AO110</f>
        <v>0</v>
      </c>
      <c r="R110">
        <f>F110*Ajustes!AP110</f>
        <v>0</v>
      </c>
      <c r="S110">
        <f>G110*Ajustes!AQ110</f>
        <v>0</v>
      </c>
      <c r="T110">
        <f>H110*Ajustes!AR110</f>
        <v>0</v>
      </c>
      <c r="U110">
        <f>I110*Ajustes!AS110</f>
        <v>0</v>
      </c>
      <c r="V110">
        <f>J110*Ajustes!AT110</f>
        <v>0</v>
      </c>
      <c r="W110">
        <f>K110*Ajustes!AU110</f>
        <v>0</v>
      </c>
      <c r="X110">
        <f>L110*Ajustes!AV110</f>
        <v>0</v>
      </c>
      <c r="Y110">
        <f>M110*Ajustes!AW110</f>
        <v>0</v>
      </c>
      <c r="Z110">
        <f>N110*Ajustes!AX110</f>
        <v>0</v>
      </c>
      <c r="AA110">
        <f>IF(Ajustes!$G110&gt;0,INDEX($AA$4:$AL$323,Ajustes!$G110,O$2),0)+IF(Ajustes!$H110&gt;0,INDEX($AA$4:$AL$323,Ajustes!$H110,O$2),0)+IF(Ajustes!$I110&gt;0,INDEX($AA$4:$AL$323,Ajustes!$I110,O$2),0)+IF(Ajustes!$J110&gt;0,INDEX($AA$4:$AL$323,Ajustes!$J110,O$2),0)+IF(Ajustes!$K110&gt;0,INDEX($AA$5:$AL$324,Ajustes!$K110,O$2),0)+IF(Ajustes!$L110&gt;0,INDEX($AA$4:$AL$323,Ajustes!$L110,O$2),0) + O110</f>
        <v>0</v>
      </c>
      <c r="AB110">
        <f>IF(Ajustes!$G110&gt;0,INDEX($AA$4:$AL$323,Ajustes!$G110,P$2),0)+IF(Ajustes!$H110&gt;0,INDEX($AA$4:$AL$323,Ajustes!$H110,P$2),0)+IF(Ajustes!$I110&gt;0,INDEX($AA$4:$AL$323,Ajustes!$I110,P$2),0)+IF(Ajustes!$J110&gt;0,INDEX($AA$4:$AL$323,Ajustes!$J110,P$2),0)+IF(Ajustes!$K110&gt;0,INDEX($AA$5:$AL$324,Ajustes!$K110,P$2),0)+IF(Ajustes!$L110&gt;0,INDEX($AA$4:$AL$323,Ajustes!$L110,P$2),0) + P110</f>
        <v>0</v>
      </c>
      <c r="AC110">
        <f>IF(Ajustes!$G110&gt;0,INDEX($AA$4:$AL$323,Ajustes!$G110,Q$2),0)+IF(Ajustes!$H110&gt;0,INDEX($AA$4:$AL$323,Ajustes!$H110,Q$2),0)+IF(Ajustes!$I110&gt;0,INDEX($AA$4:$AL$323,Ajustes!$I110,Q$2),0)+IF(Ajustes!$J110&gt;0,INDEX($AA$4:$AL$323,Ajustes!$J110,Q$2),0)+IF(Ajustes!$K110&gt;0,INDEX($AA$5:$AL$324,Ajustes!$K110,Q$2),0)+IF(Ajustes!$L110&gt;0,INDEX($AA$4:$AL$323,Ajustes!$L110,Q$2),0) + Q110</f>
        <v>0</v>
      </c>
      <c r="AD110">
        <f>IF(Ajustes!$G110&gt;0,INDEX($AA$4:$AL$323,Ajustes!$G110,R$2),0)+IF(Ajustes!$H110&gt;0,INDEX($AA$4:$AL$323,Ajustes!$H110,R$2),0)+IF(Ajustes!$I110&gt;0,INDEX($AA$4:$AL$323,Ajustes!$I110,R$2),0)+IF(Ajustes!$J110&gt;0,INDEX($AA$4:$AL$323,Ajustes!$J110,R$2),0)+IF(Ajustes!$K110&gt;0,INDEX($AA$5:$AL$324,Ajustes!$K110,R$2),0)+IF(Ajustes!$L110&gt;0,INDEX($AA$4:$AL$323,Ajustes!$L110,R$2),0) + R110</f>
        <v>0</v>
      </c>
      <c r="AE110">
        <f>IF(Ajustes!$G110&gt;0,INDEX($AA$4:$AL$323,Ajustes!$G110,S$2),0)+IF(Ajustes!$H110&gt;0,INDEX($AA$4:$AL$323,Ajustes!$H110,S$2),0)+IF(Ajustes!$I110&gt;0,INDEX($AA$4:$AL$323,Ajustes!$I110,S$2),0)+IF(Ajustes!$J110&gt;0,INDEX($AA$4:$AL$323,Ajustes!$J110,S$2),0)+IF(Ajustes!$K110&gt;0,INDEX($AA$5:$AL$324,Ajustes!$K110,S$2),0)+IF(Ajustes!$L110&gt;0,INDEX($AA$4:$AL$323,Ajustes!$L110,S$2),0) + S110</f>
        <v>0</v>
      </c>
      <c r="AF110">
        <f>IF(Ajustes!$G110&gt;0,INDEX($AA$4:$AL$323,Ajustes!$G110,T$2),0)+IF(Ajustes!$H110&gt;0,INDEX($AA$4:$AL$323,Ajustes!$H110,T$2),0)+IF(Ajustes!$I110&gt;0,INDEX($AA$4:$AL$323,Ajustes!$I110,T$2),0)+IF(Ajustes!$J110&gt;0,INDEX($AA$4:$AL$323,Ajustes!$J110,T$2),0)+IF(Ajustes!$K110&gt;0,INDEX($AA$5:$AL$324,Ajustes!$K110,T$2),0)+IF(Ajustes!$L110&gt;0,INDEX($AA$4:$AL$323,Ajustes!$L110,T$2),0) + T110</f>
        <v>0</v>
      </c>
      <c r="AG110">
        <f>IF(Ajustes!$G110&gt;0,INDEX($AA$4:$AL$323,Ajustes!$G110,U$2),0)+IF(Ajustes!$H110&gt;0,INDEX($AA$4:$AL$323,Ajustes!$H110,U$2),0)+IF(Ajustes!$I110&gt;0,INDEX($AA$4:$AL$323,Ajustes!$I110,U$2),0)+IF(Ajustes!$J110&gt;0,INDEX($AA$4:$AL$323,Ajustes!$J110,U$2),0)+IF(Ajustes!$K110&gt;0,INDEX($AA$5:$AL$324,Ajustes!$K110,U$2),0)+IF(Ajustes!$L110&gt;0,INDEX($AA$4:$AL$323,Ajustes!$L110,U$2),0) + U110</f>
        <v>0</v>
      </c>
      <c r="AH110">
        <f>IF(Ajustes!$G110&gt;0,INDEX($AA$4:$AL$323,Ajustes!$G110,V$2),0)+IF(Ajustes!$H110&gt;0,INDEX($AA$4:$AL$323,Ajustes!$H110,V$2),0)+IF(Ajustes!$I110&gt;0,INDEX($AA$4:$AL$323,Ajustes!$I110,V$2),0)+IF(Ajustes!$J110&gt;0,INDEX($AA$4:$AL$323,Ajustes!$J110,V$2),0)+IF(Ajustes!$K110&gt;0,INDEX($AA$5:$AL$324,Ajustes!$K110,V$2),0)+IF(Ajustes!$L110&gt;0,INDEX($AA$4:$AL$323,Ajustes!$L110,V$2),0) + V110</f>
        <v>0</v>
      </c>
      <c r="AI110">
        <f>IF(Ajustes!$G110&gt;0,INDEX($AA$4:$AL$323,Ajustes!$G110,W$2),0)+IF(Ajustes!$H110&gt;0,INDEX($AA$4:$AL$323,Ajustes!$H110,W$2),0)+IF(Ajustes!$I110&gt;0,INDEX($AA$4:$AL$323,Ajustes!$I110,W$2),0)+IF(Ajustes!$J110&gt;0,INDEX($AA$4:$AL$323,Ajustes!$J110,W$2),0)+IF(Ajustes!$K110&gt;0,INDEX($AA$5:$AL$324,Ajustes!$K110,W$2),0)+IF(Ajustes!$L110&gt;0,INDEX($AA$4:$AL$323,Ajustes!$L110,W$2),0) + W110</f>
        <v>0</v>
      </c>
      <c r="AJ110">
        <f>IF(Ajustes!$G110&gt;0,INDEX($AA$4:$AL$323,Ajustes!$G110,X$2),0)+IF(Ajustes!$H110&gt;0,INDEX($AA$4:$AL$323,Ajustes!$H110,X$2),0)+IF(Ajustes!$I110&gt;0,INDEX($AA$4:$AL$323,Ajustes!$I110,X$2),0)+IF(Ajustes!$J110&gt;0,INDEX($AA$4:$AL$323,Ajustes!$J110,X$2),0)+IF(Ajustes!$K110&gt;0,INDEX($AA$5:$AL$324,Ajustes!$K110,X$2),0)+IF(Ajustes!$L110&gt;0,INDEX($AA$4:$AL$323,Ajustes!$L110,X$2),0) + X110</f>
        <v>0</v>
      </c>
      <c r="AK110">
        <f>IF(Ajustes!$G110&gt;0,INDEX($AA$4:$AL$323,Ajustes!$G110,Y$2),0)+IF(Ajustes!$H110&gt;0,INDEX($AA$4:$AL$323,Ajustes!$H110,Y$2),0)+IF(Ajustes!$I110&gt;0,INDEX($AA$4:$AL$323,Ajustes!$I110,Y$2),0)+IF(Ajustes!$J110&gt;0,INDEX($AA$4:$AL$323,Ajustes!$J110,Y$2),0)+IF(Ajustes!$K110&gt;0,INDEX($AA$5:$AL$324,Ajustes!$K110,Y$2),0)+IF(Ajustes!$L110&gt;0,INDEX($AA$4:$AL$323,Ajustes!$L110,Y$2),0) + Y110</f>
        <v>0</v>
      </c>
      <c r="AL110">
        <f>IF(Ajustes!$G110&gt;0,INDEX($AA$4:$AL$323,Ajustes!$G110,Z$2),0)+IF(Ajustes!$H110&gt;0,INDEX($AA$4:$AL$323,Ajustes!$H110,Z$2),0)+IF(Ajustes!$I110&gt;0,INDEX($AA$4:$AL$323,Ajustes!$I110,Z$2),0)+IF(Ajustes!$J110&gt;0,INDEX($AA$4:$AL$323,Ajustes!$J110,Z$2),0)+IF(Ajustes!$K110&gt;0,INDEX($AA$5:$AL$324,Ajustes!$K110,Z$2),0)+IF(Ajustes!$L110&gt;0,INDEX($AA$4:$AL$323,Ajustes!$L110,Z$2),0) + Z110</f>
        <v>0</v>
      </c>
      <c r="AM110" s="113">
        <f t="shared" si="26"/>
        <v>0</v>
      </c>
      <c r="AN110" s="113">
        <f t="shared" si="26"/>
        <v>0</v>
      </c>
      <c r="AO110" s="113">
        <f t="shared" si="26"/>
        <v>0</v>
      </c>
      <c r="AP110" s="113">
        <f t="shared" si="26"/>
        <v>0</v>
      </c>
      <c r="AQ110" s="113">
        <f t="shared" si="26"/>
        <v>0</v>
      </c>
      <c r="AR110" s="113">
        <f t="shared" si="26"/>
        <v>0</v>
      </c>
      <c r="AS110" s="113">
        <f t="shared" si="28"/>
        <v>0</v>
      </c>
      <c r="AT110" s="113">
        <f t="shared" si="27"/>
        <v>0</v>
      </c>
      <c r="AU110" s="113">
        <f t="shared" si="27"/>
        <v>0</v>
      </c>
      <c r="AV110" s="113">
        <f t="shared" si="27"/>
        <v>0</v>
      </c>
      <c r="AW110" s="113">
        <f t="shared" si="27"/>
        <v>0</v>
      </c>
      <c r="AX110" s="113">
        <f t="shared" si="27"/>
        <v>0</v>
      </c>
    </row>
    <row r="111" spans="1:50" x14ac:dyDescent="0.25">
      <c r="A111" s="113">
        <v>108</v>
      </c>
      <c r="B111" s="209"/>
      <c r="C111">
        <f>IFERROR(INDEX($BD$7:$BO$35,MATCH(Ajustes!$E$4:$E$323,$BC$7:$BC$35,0),$C$2:$N$2),1)</f>
        <v>1</v>
      </c>
      <c r="D111" s="113">
        <f>IFERROR(INDEX($BD$7:$BO$35,MATCH(Ajustes!$E$4:$E$323,$BC$7:$BC$35,0),$C$2:$N$2),1)</f>
        <v>1</v>
      </c>
      <c r="E111" s="113">
        <f>IFERROR(INDEX($BD$7:$BO$35,MATCH(Ajustes!$E$4:$E$323,$BC$7:$BC$35,0),$C$2:$N$2),1)</f>
        <v>1</v>
      </c>
      <c r="F111" s="113">
        <f>IFERROR(INDEX($BD$7:$BO$35,MATCH(Ajustes!$E$4:$E$323,$BC$7:$BC$35,0),$C$2:$N$2),1)</f>
        <v>1</v>
      </c>
      <c r="G111" s="113">
        <f>IFERROR(INDEX($BD$7:$BO$35,MATCH(Ajustes!$E$4:$E$323,$BC$7:$BC$35,0),$C$2:$N$2),1)</f>
        <v>1</v>
      </c>
      <c r="H111" s="113">
        <f>IFERROR(INDEX($BD$7:$BO$35,MATCH(Ajustes!$E$4:$E$323,$BC$7:$BC$35,0),$C$2:$N$2),1)</f>
        <v>1</v>
      </c>
      <c r="I111" s="113">
        <f>IFERROR(INDEX($BD$7:$BO$35,MATCH(Ajustes!$E$4:$E$323,$BC$7:$BC$35,0),$C$2:$N$2),1)</f>
        <v>1</v>
      </c>
      <c r="J111" s="113">
        <f>IFERROR(INDEX($BD$7:$BO$35,MATCH(Ajustes!$E$4:$E$323,$BC$7:$BC$35,0),$C$2:$N$2),1)</f>
        <v>1</v>
      </c>
      <c r="K111" s="113">
        <f>IFERROR(INDEX($BD$7:$BO$35,MATCH(Ajustes!$E$4:$E$323,$BC$7:$BC$35,0),$C$2:$N$2),1)</f>
        <v>1</v>
      </c>
      <c r="L111" s="113">
        <f>IFERROR(INDEX($BD$7:$BO$35,MATCH(Ajustes!$E$4:$E$323,$BC$7:$BC$35,0),$C$2:$N$2),1)</f>
        <v>1</v>
      </c>
      <c r="M111" s="113">
        <f>IFERROR(INDEX($BD$7:$BO$35,MATCH(Ajustes!$E$4:$E$323,$BC$7:$BC$35,0),$C$2:$N$2),1)</f>
        <v>1</v>
      </c>
      <c r="N111" s="113">
        <f>IFERROR(INDEX($BD$7:$BO$35,MATCH(Ajustes!$E$4:$E$323,$BC$7:$BC$35,0),$C$2:$N$2),1)</f>
        <v>1</v>
      </c>
      <c r="O111">
        <f>C111*Ajustes!AM111</f>
        <v>0</v>
      </c>
      <c r="P111">
        <f>D111*Ajustes!AN111</f>
        <v>0</v>
      </c>
      <c r="Q111">
        <f>E111*Ajustes!AO111</f>
        <v>0</v>
      </c>
      <c r="R111">
        <f>F111*Ajustes!AP111</f>
        <v>0</v>
      </c>
      <c r="S111">
        <f>G111*Ajustes!AQ111</f>
        <v>0</v>
      </c>
      <c r="T111">
        <f>H111*Ajustes!AR111</f>
        <v>0</v>
      </c>
      <c r="U111">
        <f>I111*Ajustes!AS111</f>
        <v>0</v>
      </c>
      <c r="V111">
        <f>J111*Ajustes!AT111</f>
        <v>0</v>
      </c>
      <c r="W111">
        <f>K111*Ajustes!AU111</f>
        <v>0</v>
      </c>
      <c r="X111">
        <f>L111*Ajustes!AV111</f>
        <v>0</v>
      </c>
      <c r="Y111">
        <f>M111*Ajustes!AW111</f>
        <v>0</v>
      </c>
      <c r="Z111">
        <f>N111*Ajustes!AX111</f>
        <v>0</v>
      </c>
      <c r="AA111">
        <f>IF(Ajustes!$G111&gt;0,INDEX($AA$4:$AL$323,Ajustes!$G111,O$2),0)+IF(Ajustes!$H111&gt;0,INDEX($AA$4:$AL$323,Ajustes!$H111,O$2),0)+IF(Ajustes!$I111&gt;0,INDEX($AA$4:$AL$323,Ajustes!$I111,O$2),0)+IF(Ajustes!$J111&gt;0,INDEX($AA$4:$AL$323,Ajustes!$J111,O$2),0)+IF(Ajustes!$K111&gt;0,INDEX($AA$5:$AL$324,Ajustes!$K111,O$2),0)+IF(Ajustes!$L111&gt;0,INDEX($AA$4:$AL$323,Ajustes!$L111,O$2),0) + O111</f>
        <v>0</v>
      </c>
      <c r="AB111">
        <f>IF(Ajustes!$G111&gt;0,INDEX($AA$4:$AL$323,Ajustes!$G111,P$2),0)+IF(Ajustes!$H111&gt;0,INDEX($AA$4:$AL$323,Ajustes!$H111,P$2),0)+IF(Ajustes!$I111&gt;0,INDEX($AA$4:$AL$323,Ajustes!$I111,P$2),0)+IF(Ajustes!$J111&gt;0,INDEX($AA$4:$AL$323,Ajustes!$J111,P$2),0)+IF(Ajustes!$K111&gt;0,INDEX($AA$5:$AL$324,Ajustes!$K111,P$2),0)+IF(Ajustes!$L111&gt;0,INDEX($AA$4:$AL$323,Ajustes!$L111,P$2),0) + P111</f>
        <v>0</v>
      </c>
      <c r="AC111">
        <f>IF(Ajustes!$G111&gt;0,INDEX($AA$4:$AL$323,Ajustes!$G111,Q$2),0)+IF(Ajustes!$H111&gt;0,INDEX($AA$4:$AL$323,Ajustes!$H111,Q$2),0)+IF(Ajustes!$I111&gt;0,INDEX($AA$4:$AL$323,Ajustes!$I111,Q$2),0)+IF(Ajustes!$J111&gt;0,INDEX($AA$4:$AL$323,Ajustes!$J111,Q$2),0)+IF(Ajustes!$K111&gt;0,INDEX($AA$5:$AL$324,Ajustes!$K111,Q$2),0)+IF(Ajustes!$L111&gt;0,INDEX($AA$4:$AL$323,Ajustes!$L111,Q$2),0) + Q111</f>
        <v>0</v>
      </c>
      <c r="AD111">
        <f>IF(Ajustes!$G111&gt;0,INDEX($AA$4:$AL$323,Ajustes!$G111,R$2),0)+IF(Ajustes!$H111&gt;0,INDEX($AA$4:$AL$323,Ajustes!$H111,R$2),0)+IF(Ajustes!$I111&gt;0,INDEX($AA$4:$AL$323,Ajustes!$I111,R$2),0)+IF(Ajustes!$J111&gt;0,INDEX($AA$4:$AL$323,Ajustes!$J111,R$2),0)+IF(Ajustes!$K111&gt;0,INDEX($AA$5:$AL$324,Ajustes!$K111,R$2),0)+IF(Ajustes!$L111&gt;0,INDEX($AA$4:$AL$323,Ajustes!$L111,R$2),0) + R111</f>
        <v>0</v>
      </c>
      <c r="AE111">
        <f>IF(Ajustes!$G111&gt;0,INDEX($AA$4:$AL$323,Ajustes!$G111,S$2),0)+IF(Ajustes!$H111&gt;0,INDEX($AA$4:$AL$323,Ajustes!$H111,S$2),0)+IF(Ajustes!$I111&gt;0,INDEX($AA$4:$AL$323,Ajustes!$I111,S$2),0)+IF(Ajustes!$J111&gt;0,INDEX($AA$4:$AL$323,Ajustes!$J111,S$2),0)+IF(Ajustes!$K111&gt;0,INDEX($AA$5:$AL$324,Ajustes!$K111,S$2),0)+IF(Ajustes!$L111&gt;0,INDEX($AA$4:$AL$323,Ajustes!$L111,S$2),0) + S111</f>
        <v>0</v>
      </c>
      <c r="AF111">
        <f>IF(Ajustes!$G111&gt;0,INDEX($AA$4:$AL$323,Ajustes!$G111,T$2),0)+IF(Ajustes!$H111&gt;0,INDEX($AA$4:$AL$323,Ajustes!$H111,T$2),0)+IF(Ajustes!$I111&gt;0,INDEX($AA$4:$AL$323,Ajustes!$I111,T$2),0)+IF(Ajustes!$J111&gt;0,INDEX($AA$4:$AL$323,Ajustes!$J111,T$2),0)+IF(Ajustes!$K111&gt;0,INDEX($AA$5:$AL$324,Ajustes!$K111,T$2),0)+IF(Ajustes!$L111&gt;0,INDEX($AA$4:$AL$323,Ajustes!$L111,T$2),0) + T111</f>
        <v>0</v>
      </c>
      <c r="AG111">
        <f>IF(Ajustes!$G111&gt;0,INDEX($AA$4:$AL$323,Ajustes!$G111,U$2),0)+IF(Ajustes!$H111&gt;0,INDEX($AA$4:$AL$323,Ajustes!$H111,U$2),0)+IF(Ajustes!$I111&gt;0,INDEX($AA$4:$AL$323,Ajustes!$I111,U$2),0)+IF(Ajustes!$J111&gt;0,INDEX($AA$4:$AL$323,Ajustes!$J111,U$2),0)+IF(Ajustes!$K111&gt;0,INDEX($AA$5:$AL$324,Ajustes!$K111,U$2),0)+IF(Ajustes!$L111&gt;0,INDEX($AA$4:$AL$323,Ajustes!$L111,U$2),0) + U111</f>
        <v>0</v>
      </c>
      <c r="AH111">
        <f>IF(Ajustes!$G111&gt;0,INDEX($AA$4:$AL$323,Ajustes!$G111,V$2),0)+IF(Ajustes!$H111&gt;0,INDEX($AA$4:$AL$323,Ajustes!$H111,V$2),0)+IF(Ajustes!$I111&gt;0,INDEX($AA$4:$AL$323,Ajustes!$I111,V$2),0)+IF(Ajustes!$J111&gt;0,INDEX($AA$4:$AL$323,Ajustes!$J111,V$2),0)+IF(Ajustes!$K111&gt;0,INDEX($AA$5:$AL$324,Ajustes!$K111,V$2),0)+IF(Ajustes!$L111&gt;0,INDEX($AA$4:$AL$323,Ajustes!$L111,V$2),0) + V111</f>
        <v>0</v>
      </c>
      <c r="AI111">
        <f>IF(Ajustes!$G111&gt;0,INDEX($AA$4:$AL$323,Ajustes!$G111,W$2),0)+IF(Ajustes!$H111&gt;0,INDEX($AA$4:$AL$323,Ajustes!$H111,W$2),0)+IF(Ajustes!$I111&gt;0,INDEX($AA$4:$AL$323,Ajustes!$I111,W$2),0)+IF(Ajustes!$J111&gt;0,INDEX($AA$4:$AL$323,Ajustes!$J111,W$2),0)+IF(Ajustes!$K111&gt;0,INDEX($AA$5:$AL$324,Ajustes!$K111,W$2),0)+IF(Ajustes!$L111&gt;0,INDEX($AA$4:$AL$323,Ajustes!$L111,W$2),0) + W111</f>
        <v>0</v>
      </c>
      <c r="AJ111">
        <f>IF(Ajustes!$G111&gt;0,INDEX($AA$4:$AL$323,Ajustes!$G111,X$2),0)+IF(Ajustes!$H111&gt;0,INDEX($AA$4:$AL$323,Ajustes!$H111,X$2),0)+IF(Ajustes!$I111&gt;0,INDEX($AA$4:$AL$323,Ajustes!$I111,X$2),0)+IF(Ajustes!$J111&gt;0,INDEX($AA$4:$AL$323,Ajustes!$J111,X$2),0)+IF(Ajustes!$K111&gt;0,INDEX($AA$5:$AL$324,Ajustes!$K111,X$2),0)+IF(Ajustes!$L111&gt;0,INDEX($AA$4:$AL$323,Ajustes!$L111,X$2),0) + X111</f>
        <v>0</v>
      </c>
      <c r="AK111">
        <f>IF(Ajustes!$G111&gt;0,INDEX($AA$4:$AL$323,Ajustes!$G111,Y$2),0)+IF(Ajustes!$H111&gt;0,INDEX($AA$4:$AL$323,Ajustes!$H111,Y$2),0)+IF(Ajustes!$I111&gt;0,INDEX($AA$4:$AL$323,Ajustes!$I111,Y$2),0)+IF(Ajustes!$J111&gt;0,INDEX($AA$4:$AL$323,Ajustes!$J111,Y$2),0)+IF(Ajustes!$K111&gt;0,INDEX($AA$5:$AL$324,Ajustes!$K111,Y$2),0)+IF(Ajustes!$L111&gt;0,INDEX($AA$4:$AL$323,Ajustes!$L111,Y$2),0) + Y111</f>
        <v>0</v>
      </c>
      <c r="AL111">
        <f>IF(Ajustes!$G111&gt;0,INDEX($AA$4:$AL$323,Ajustes!$G111,Z$2),0)+IF(Ajustes!$H111&gt;0,INDEX($AA$4:$AL$323,Ajustes!$H111,Z$2),0)+IF(Ajustes!$I111&gt;0,INDEX($AA$4:$AL$323,Ajustes!$I111,Z$2),0)+IF(Ajustes!$J111&gt;0,INDEX($AA$4:$AL$323,Ajustes!$J111,Z$2),0)+IF(Ajustes!$K111&gt;0,INDEX($AA$5:$AL$324,Ajustes!$K111,Z$2),0)+IF(Ajustes!$L111&gt;0,INDEX($AA$4:$AL$323,Ajustes!$L111,Z$2),0) + Z111</f>
        <v>0</v>
      </c>
      <c r="AM111" s="113">
        <f t="shared" si="26"/>
        <v>0</v>
      </c>
      <c r="AN111" s="113">
        <f t="shared" si="26"/>
        <v>0</v>
      </c>
      <c r="AO111" s="113">
        <f t="shared" si="26"/>
        <v>0</v>
      </c>
      <c r="AP111" s="113">
        <f t="shared" si="26"/>
        <v>0</v>
      </c>
      <c r="AQ111" s="113">
        <f t="shared" si="26"/>
        <v>0</v>
      </c>
      <c r="AR111" s="113">
        <f t="shared" si="26"/>
        <v>0</v>
      </c>
      <c r="AS111" s="113">
        <f t="shared" si="28"/>
        <v>0</v>
      </c>
      <c r="AT111" s="113">
        <f t="shared" si="27"/>
        <v>0</v>
      </c>
      <c r="AU111" s="113">
        <f t="shared" si="27"/>
        <v>0</v>
      </c>
      <c r="AV111" s="113">
        <f t="shared" si="27"/>
        <v>0</v>
      </c>
      <c r="AW111" s="113">
        <f t="shared" si="27"/>
        <v>0</v>
      </c>
      <c r="AX111" s="113">
        <f t="shared" si="27"/>
        <v>0</v>
      </c>
    </row>
    <row r="112" spans="1:50" x14ac:dyDescent="0.25">
      <c r="A112" s="113">
        <v>109</v>
      </c>
      <c r="B112" s="209" t="s">
        <v>592</v>
      </c>
      <c r="C112">
        <f>IFERROR(INDEX($BD$7:$BO$35,MATCH(Ajustes!$E$4:$E$323,$BC$7:$BC$35,0),$C$2:$N$2),1)</f>
        <v>1</v>
      </c>
      <c r="D112" s="113">
        <f>IFERROR(INDEX($BD$7:$BO$35,MATCH(Ajustes!$E$4:$E$323,$BC$7:$BC$35,0),$C$2:$N$2),1)</f>
        <v>1</v>
      </c>
      <c r="E112" s="113">
        <f>IFERROR(INDEX($BD$7:$BO$35,MATCH(Ajustes!$E$4:$E$323,$BC$7:$BC$35,0),$C$2:$N$2),1)</f>
        <v>1</v>
      </c>
      <c r="F112" s="113">
        <f>IFERROR(INDEX($BD$7:$BO$35,MATCH(Ajustes!$E$4:$E$323,$BC$7:$BC$35,0),$C$2:$N$2),1)</f>
        <v>1</v>
      </c>
      <c r="G112" s="113">
        <f>IFERROR(INDEX($BD$7:$BO$35,MATCH(Ajustes!$E$4:$E$323,$BC$7:$BC$35,0),$C$2:$N$2),1)</f>
        <v>1</v>
      </c>
      <c r="H112" s="113">
        <f>IFERROR(INDEX($BD$7:$BO$35,MATCH(Ajustes!$E$4:$E$323,$BC$7:$BC$35,0),$C$2:$N$2),1)</f>
        <v>1</v>
      </c>
      <c r="I112" s="113">
        <f>IFERROR(INDEX($BD$7:$BO$35,MATCH(Ajustes!$E$4:$E$323,$BC$7:$BC$35,0),$C$2:$N$2),1)</f>
        <v>1</v>
      </c>
      <c r="J112" s="113">
        <f>IFERROR(INDEX($BD$7:$BO$35,MATCH(Ajustes!$E$4:$E$323,$BC$7:$BC$35,0),$C$2:$N$2),1)</f>
        <v>1</v>
      </c>
      <c r="K112" s="113">
        <f>IFERROR(INDEX($BD$7:$BO$35,MATCH(Ajustes!$E$4:$E$323,$BC$7:$BC$35,0),$C$2:$N$2),1)</f>
        <v>1</v>
      </c>
      <c r="L112" s="113">
        <f>IFERROR(INDEX($BD$7:$BO$35,MATCH(Ajustes!$E$4:$E$323,$BC$7:$BC$35,0),$C$2:$N$2),1)</f>
        <v>1</v>
      </c>
      <c r="M112" s="113">
        <f>IFERROR(INDEX($BD$7:$BO$35,MATCH(Ajustes!$E$4:$E$323,$BC$7:$BC$35,0),$C$2:$N$2),1)</f>
        <v>1</v>
      </c>
      <c r="N112" s="113">
        <f>IFERROR(INDEX($BD$7:$BO$35,MATCH(Ajustes!$E$4:$E$323,$BC$7:$BC$35,0),$C$2:$N$2),1)</f>
        <v>1</v>
      </c>
      <c r="O112">
        <f>C112*Ajustes!AM112</f>
        <v>26</v>
      </c>
      <c r="P112">
        <f>D112*Ajustes!AN112</f>
        <v>26</v>
      </c>
      <c r="Q112">
        <f>E112*Ajustes!AO112</f>
        <v>23</v>
      </c>
      <c r="R112">
        <f>F112*Ajustes!AP112</f>
        <v>17</v>
      </c>
      <c r="S112">
        <f>G112*Ajustes!AQ112</f>
        <v>12</v>
      </c>
      <c r="T112">
        <f>H112*Ajustes!AR112</f>
        <v>11</v>
      </c>
      <c r="U112">
        <f>I112*Ajustes!AS112</f>
        <v>9</v>
      </c>
      <c r="V112">
        <f>J112*Ajustes!AT112</f>
        <v>8</v>
      </c>
      <c r="W112">
        <f>K112*Ajustes!AU112</f>
        <v>12</v>
      </c>
      <c r="X112">
        <f>L112*Ajustes!AV112</f>
        <v>15</v>
      </c>
      <c r="Y112">
        <f>M112*Ajustes!AW112</f>
        <v>15</v>
      </c>
      <c r="Z112">
        <f>N112*Ajustes!AX112</f>
        <v>21</v>
      </c>
      <c r="AA112">
        <f>IF(Ajustes!$G112&gt;0,INDEX($AA$4:$AL$323,Ajustes!$G112,O$2),0)+IF(Ajustes!$H112&gt;0,INDEX($AA$4:$AL$323,Ajustes!$H112,O$2),0)+IF(Ajustes!$I112&gt;0,INDEX($AA$4:$AL$323,Ajustes!$I112,O$2),0)+IF(Ajustes!$J112&gt;0,INDEX($AA$4:$AL$323,Ajustes!$J112,O$2),0)+IF(Ajustes!$K112&gt;0,INDEX($AA$5:$AL$324,Ajustes!$K112,O$2),0)+IF(Ajustes!$L112&gt;0,INDEX($AA$4:$AL$323,Ajustes!$L112,O$2),0) + O112</f>
        <v>26</v>
      </c>
      <c r="AB112">
        <f>IF(Ajustes!$G112&gt;0,INDEX($AA$4:$AL$323,Ajustes!$G112,P$2),0)+IF(Ajustes!$H112&gt;0,INDEX($AA$4:$AL$323,Ajustes!$H112,P$2),0)+IF(Ajustes!$I112&gt;0,INDEX($AA$4:$AL$323,Ajustes!$I112,P$2),0)+IF(Ajustes!$J112&gt;0,INDEX($AA$4:$AL$323,Ajustes!$J112,P$2),0)+IF(Ajustes!$K112&gt;0,INDEX($AA$5:$AL$324,Ajustes!$K112,P$2),0)+IF(Ajustes!$L112&gt;0,INDEX($AA$4:$AL$323,Ajustes!$L112,P$2),0) + P112</f>
        <v>26</v>
      </c>
      <c r="AC112">
        <f>IF(Ajustes!$G112&gt;0,INDEX($AA$4:$AL$323,Ajustes!$G112,Q$2),0)+IF(Ajustes!$H112&gt;0,INDEX($AA$4:$AL$323,Ajustes!$H112,Q$2),0)+IF(Ajustes!$I112&gt;0,INDEX($AA$4:$AL$323,Ajustes!$I112,Q$2),0)+IF(Ajustes!$J112&gt;0,INDEX($AA$4:$AL$323,Ajustes!$J112,Q$2),0)+IF(Ajustes!$K112&gt;0,INDEX($AA$5:$AL$324,Ajustes!$K112,Q$2),0)+IF(Ajustes!$L112&gt;0,INDEX($AA$4:$AL$323,Ajustes!$L112,Q$2),0) + Q112</f>
        <v>23</v>
      </c>
      <c r="AD112">
        <f>IF(Ajustes!$G112&gt;0,INDEX($AA$4:$AL$323,Ajustes!$G112,R$2),0)+IF(Ajustes!$H112&gt;0,INDEX($AA$4:$AL$323,Ajustes!$H112,R$2),0)+IF(Ajustes!$I112&gt;0,INDEX($AA$4:$AL$323,Ajustes!$I112,R$2),0)+IF(Ajustes!$J112&gt;0,INDEX($AA$4:$AL$323,Ajustes!$J112,R$2),0)+IF(Ajustes!$K112&gt;0,INDEX($AA$5:$AL$324,Ajustes!$K112,R$2),0)+IF(Ajustes!$L112&gt;0,INDEX($AA$4:$AL$323,Ajustes!$L112,R$2),0) + R112</f>
        <v>17</v>
      </c>
      <c r="AE112">
        <f>IF(Ajustes!$G112&gt;0,INDEX($AA$4:$AL$323,Ajustes!$G112,S$2),0)+IF(Ajustes!$H112&gt;0,INDEX($AA$4:$AL$323,Ajustes!$H112,S$2),0)+IF(Ajustes!$I112&gt;0,INDEX($AA$4:$AL$323,Ajustes!$I112,S$2),0)+IF(Ajustes!$J112&gt;0,INDEX($AA$4:$AL$323,Ajustes!$J112,S$2),0)+IF(Ajustes!$K112&gt;0,INDEX($AA$5:$AL$324,Ajustes!$K112,S$2),0)+IF(Ajustes!$L112&gt;0,INDEX($AA$4:$AL$323,Ajustes!$L112,S$2),0) + S112</f>
        <v>12</v>
      </c>
      <c r="AF112">
        <f>IF(Ajustes!$G112&gt;0,INDEX($AA$4:$AL$323,Ajustes!$G112,T$2),0)+IF(Ajustes!$H112&gt;0,INDEX($AA$4:$AL$323,Ajustes!$H112,T$2),0)+IF(Ajustes!$I112&gt;0,INDEX($AA$4:$AL$323,Ajustes!$I112,T$2),0)+IF(Ajustes!$J112&gt;0,INDEX($AA$4:$AL$323,Ajustes!$J112,T$2),0)+IF(Ajustes!$K112&gt;0,INDEX($AA$5:$AL$324,Ajustes!$K112,T$2),0)+IF(Ajustes!$L112&gt;0,INDEX($AA$4:$AL$323,Ajustes!$L112,T$2),0) + T112</f>
        <v>11</v>
      </c>
      <c r="AG112">
        <f>IF(Ajustes!$G112&gt;0,INDEX($AA$4:$AL$323,Ajustes!$G112,U$2),0)+IF(Ajustes!$H112&gt;0,INDEX($AA$4:$AL$323,Ajustes!$H112,U$2),0)+IF(Ajustes!$I112&gt;0,INDEX($AA$4:$AL$323,Ajustes!$I112,U$2),0)+IF(Ajustes!$J112&gt;0,INDEX($AA$4:$AL$323,Ajustes!$J112,U$2),0)+IF(Ajustes!$K112&gt;0,INDEX($AA$5:$AL$324,Ajustes!$K112,U$2),0)+IF(Ajustes!$L112&gt;0,INDEX($AA$4:$AL$323,Ajustes!$L112,U$2),0) + U112</f>
        <v>9</v>
      </c>
      <c r="AH112">
        <f>IF(Ajustes!$G112&gt;0,INDEX($AA$4:$AL$323,Ajustes!$G112,V$2),0)+IF(Ajustes!$H112&gt;0,INDEX($AA$4:$AL$323,Ajustes!$H112,V$2),0)+IF(Ajustes!$I112&gt;0,INDEX($AA$4:$AL$323,Ajustes!$I112,V$2),0)+IF(Ajustes!$J112&gt;0,INDEX($AA$4:$AL$323,Ajustes!$J112,V$2),0)+IF(Ajustes!$K112&gt;0,INDEX($AA$5:$AL$324,Ajustes!$K112,V$2),0)+IF(Ajustes!$L112&gt;0,INDEX($AA$4:$AL$323,Ajustes!$L112,V$2),0) + V112</f>
        <v>8</v>
      </c>
      <c r="AI112">
        <f>IF(Ajustes!$G112&gt;0,INDEX($AA$4:$AL$323,Ajustes!$G112,W$2),0)+IF(Ajustes!$H112&gt;0,INDEX($AA$4:$AL$323,Ajustes!$H112,W$2),0)+IF(Ajustes!$I112&gt;0,INDEX($AA$4:$AL$323,Ajustes!$I112,W$2),0)+IF(Ajustes!$J112&gt;0,INDEX($AA$4:$AL$323,Ajustes!$J112,W$2),0)+IF(Ajustes!$K112&gt;0,INDEX($AA$5:$AL$324,Ajustes!$K112,W$2),0)+IF(Ajustes!$L112&gt;0,INDEX($AA$4:$AL$323,Ajustes!$L112,W$2),0) + W112</f>
        <v>12</v>
      </c>
      <c r="AJ112">
        <f>IF(Ajustes!$G112&gt;0,INDEX($AA$4:$AL$323,Ajustes!$G112,X$2),0)+IF(Ajustes!$H112&gt;0,INDEX($AA$4:$AL$323,Ajustes!$H112,X$2),0)+IF(Ajustes!$I112&gt;0,INDEX($AA$4:$AL$323,Ajustes!$I112,X$2),0)+IF(Ajustes!$J112&gt;0,INDEX($AA$4:$AL$323,Ajustes!$J112,X$2),0)+IF(Ajustes!$K112&gt;0,INDEX($AA$5:$AL$324,Ajustes!$K112,X$2),0)+IF(Ajustes!$L112&gt;0,INDEX($AA$4:$AL$323,Ajustes!$L112,X$2),0) + X112</f>
        <v>15</v>
      </c>
      <c r="AK112">
        <f>IF(Ajustes!$G112&gt;0,INDEX($AA$4:$AL$323,Ajustes!$G112,Y$2),0)+IF(Ajustes!$H112&gt;0,INDEX($AA$4:$AL$323,Ajustes!$H112,Y$2),0)+IF(Ajustes!$I112&gt;0,INDEX($AA$4:$AL$323,Ajustes!$I112,Y$2),0)+IF(Ajustes!$J112&gt;0,INDEX($AA$4:$AL$323,Ajustes!$J112,Y$2),0)+IF(Ajustes!$K112&gt;0,INDEX($AA$5:$AL$324,Ajustes!$K112,Y$2),0)+IF(Ajustes!$L112&gt;0,INDEX($AA$4:$AL$323,Ajustes!$L112,Y$2),0) + Y112</f>
        <v>15</v>
      </c>
      <c r="AL112">
        <f>IF(Ajustes!$G112&gt;0,INDEX($AA$4:$AL$323,Ajustes!$G112,Z$2),0)+IF(Ajustes!$H112&gt;0,INDEX($AA$4:$AL$323,Ajustes!$H112,Z$2),0)+IF(Ajustes!$I112&gt;0,INDEX($AA$4:$AL$323,Ajustes!$I112,Z$2),0)+IF(Ajustes!$J112&gt;0,INDEX($AA$4:$AL$323,Ajustes!$J112,Z$2),0)+IF(Ajustes!$K112&gt;0,INDEX($AA$5:$AL$324,Ajustes!$K112,Z$2),0)+IF(Ajustes!$L112&gt;0,INDEX($AA$4:$AL$323,Ajustes!$L112,Z$2),0) + Z112</f>
        <v>21</v>
      </c>
      <c r="AM112" s="219">
        <f t="shared" ref="AM112:AX112" si="30">AM121</f>
        <v>26</v>
      </c>
      <c r="AN112" s="219">
        <f t="shared" si="30"/>
        <v>26</v>
      </c>
      <c r="AO112" s="219">
        <f t="shared" si="30"/>
        <v>23</v>
      </c>
      <c r="AP112" s="219">
        <f t="shared" si="30"/>
        <v>17</v>
      </c>
      <c r="AQ112" s="219">
        <f t="shared" si="30"/>
        <v>12</v>
      </c>
      <c r="AR112" s="219">
        <f t="shared" si="30"/>
        <v>11</v>
      </c>
      <c r="AS112" s="219">
        <f t="shared" si="30"/>
        <v>9</v>
      </c>
      <c r="AT112" s="219">
        <f t="shared" si="30"/>
        <v>8</v>
      </c>
      <c r="AU112" s="219">
        <f t="shared" si="30"/>
        <v>12</v>
      </c>
      <c r="AV112" s="219">
        <f t="shared" si="30"/>
        <v>15</v>
      </c>
      <c r="AW112" s="219">
        <f t="shared" si="30"/>
        <v>15</v>
      </c>
      <c r="AX112" s="219">
        <f t="shared" si="30"/>
        <v>21</v>
      </c>
    </row>
    <row r="113" spans="1:50" x14ac:dyDescent="0.25">
      <c r="A113" s="113">
        <v>110</v>
      </c>
      <c r="B113" s="209" t="s">
        <v>593</v>
      </c>
      <c r="C113">
        <f>IFERROR(INDEX($BD$7:$BO$35,MATCH(Ajustes!$E$4:$E$323,$BC$7:$BC$35,0),$C$2:$N$2),1)</f>
        <v>1</v>
      </c>
      <c r="D113" s="113">
        <f>IFERROR(INDEX($BD$7:$BO$35,MATCH(Ajustes!$E$4:$E$323,$BC$7:$BC$35,0),$C$2:$N$2),1)</f>
        <v>1</v>
      </c>
      <c r="E113" s="113">
        <f>IFERROR(INDEX($BD$7:$BO$35,MATCH(Ajustes!$E$4:$E$323,$BC$7:$BC$35,0),$C$2:$N$2),1)</f>
        <v>1</v>
      </c>
      <c r="F113" s="113">
        <f>IFERROR(INDEX($BD$7:$BO$35,MATCH(Ajustes!$E$4:$E$323,$BC$7:$BC$35,0),$C$2:$N$2),1)</f>
        <v>1</v>
      </c>
      <c r="G113" s="113">
        <f>IFERROR(INDEX($BD$7:$BO$35,MATCH(Ajustes!$E$4:$E$323,$BC$7:$BC$35,0),$C$2:$N$2),1)</f>
        <v>1</v>
      </c>
      <c r="H113" s="113">
        <f>IFERROR(INDEX($BD$7:$BO$35,MATCH(Ajustes!$E$4:$E$323,$BC$7:$BC$35,0),$C$2:$N$2),1)</f>
        <v>1</v>
      </c>
      <c r="I113" s="113">
        <f>IFERROR(INDEX($BD$7:$BO$35,MATCH(Ajustes!$E$4:$E$323,$BC$7:$BC$35,0),$C$2:$N$2),1)</f>
        <v>1</v>
      </c>
      <c r="J113" s="113">
        <f>IFERROR(INDEX($BD$7:$BO$35,MATCH(Ajustes!$E$4:$E$323,$BC$7:$BC$35,0),$C$2:$N$2),1)</f>
        <v>1</v>
      </c>
      <c r="K113" s="113">
        <f>IFERROR(INDEX($BD$7:$BO$35,MATCH(Ajustes!$E$4:$E$323,$BC$7:$BC$35,0),$C$2:$N$2),1)</f>
        <v>1</v>
      </c>
      <c r="L113" s="113">
        <f>IFERROR(INDEX($BD$7:$BO$35,MATCH(Ajustes!$E$4:$E$323,$BC$7:$BC$35,0),$C$2:$N$2),1)</f>
        <v>1</v>
      </c>
      <c r="M113" s="113">
        <f>IFERROR(INDEX($BD$7:$BO$35,MATCH(Ajustes!$E$4:$E$323,$BC$7:$BC$35,0),$C$2:$N$2),1)</f>
        <v>1</v>
      </c>
      <c r="N113" s="113">
        <f>IFERROR(INDEX($BD$7:$BO$35,MATCH(Ajustes!$E$4:$E$323,$BC$7:$BC$35,0),$C$2:$N$2),1)</f>
        <v>1</v>
      </c>
      <c r="O113">
        <f>C113*Ajustes!AM113</f>
        <v>20</v>
      </c>
      <c r="P113">
        <f>D113*Ajustes!AN113</f>
        <v>19</v>
      </c>
      <c r="Q113">
        <f>E113*Ajustes!AO113</f>
        <v>15</v>
      </c>
      <c r="R113">
        <f>F113*Ajustes!AP113</f>
        <v>20</v>
      </c>
      <c r="S113">
        <f>G113*Ajustes!AQ113</f>
        <v>27</v>
      </c>
      <c r="T113">
        <f>H113*Ajustes!AR113</f>
        <v>33</v>
      </c>
      <c r="U113">
        <f>I113*Ajustes!AS113</f>
        <v>38</v>
      </c>
      <c r="V113">
        <f>J113*Ajustes!AT113</f>
        <v>40</v>
      </c>
      <c r="W113">
        <f>K113*Ajustes!AU113</f>
        <v>43</v>
      </c>
      <c r="X113">
        <f>L113*Ajustes!AV113</f>
        <v>45</v>
      </c>
      <c r="Y113">
        <f>M113*Ajustes!AW113</f>
        <v>32</v>
      </c>
      <c r="Z113">
        <f>N113*Ajustes!AX113</f>
        <v>23</v>
      </c>
      <c r="AA113">
        <f>IF(Ajustes!$G113&gt;0,INDEX($AA$4:$AL$323,Ajustes!$G113,O$2),0)+IF(Ajustes!$H113&gt;0,INDEX($AA$4:$AL$323,Ajustes!$H113,O$2),0)+IF(Ajustes!$I113&gt;0,INDEX($AA$4:$AL$323,Ajustes!$I113,O$2),0)+IF(Ajustes!$J113&gt;0,INDEX($AA$4:$AL$323,Ajustes!$J113,O$2),0)+IF(Ajustes!$K113&gt;0,INDEX($AA$5:$AL$324,Ajustes!$K113,O$2),0)+IF(Ajustes!$L113&gt;0,INDEX($AA$4:$AL$323,Ajustes!$L113,O$2),0) + O113</f>
        <v>20</v>
      </c>
      <c r="AB113">
        <f>IF(Ajustes!$G113&gt;0,INDEX($AA$4:$AL$323,Ajustes!$G113,P$2),0)+IF(Ajustes!$H113&gt;0,INDEX($AA$4:$AL$323,Ajustes!$H113,P$2),0)+IF(Ajustes!$I113&gt;0,INDEX($AA$4:$AL$323,Ajustes!$I113,P$2),0)+IF(Ajustes!$J113&gt;0,INDEX($AA$4:$AL$323,Ajustes!$J113,P$2),0)+IF(Ajustes!$K113&gt;0,INDEX($AA$5:$AL$324,Ajustes!$K113,P$2),0)+IF(Ajustes!$L113&gt;0,INDEX($AA$4:$AL$323,Ajustes!$L113,P$2),0) + P113</f>
        <v>19</v>
      </c>
      <c r="AC113">
        <f>IF(Ajustes!$G113&gt;0,INDEX($AA$4:$AL$323,Ajustes!$G113,Q$2),0)+IF(Ajustes!$H113&gt;0,INDEX($AA$4:$AL$323,Ajustes!$H113,Q$2),0)+IF(Ajustes!$I113&gt;0,INDEX($AA$4:$AL$323,Ajustes!$I113,Q$2),0)+IF(Ajustes!$J113&gt;0,INDEX($AA$4:$AL$323,Ajustes!$J113,Q$2),0)+IF(Ajustes!$K113&gt;0,INDEX($AA$5:$AL$324,Ajustes!$K113,Q$2),0)+IF(Ajustes!$L113&gt;0,INDEX($AA$4:$AL$323,Ajustes!$L113,Q$2),0) + Q113</f>
        <v>15</v>
      </c>
      <c r="AD113">
        <f>IF(Ajustes!$G113&gt;0,INDEX($AA$4:$AL$323,Ajustes!$G113,R$2),0)+IF(Ajustes!$H113&gt;0,INDEX($AA$4:$AL$323,Ajustes!$H113,R$2),0)+IF(Ajustes!$I113&gt;0,INDEX($AA$4:$AL$323,Ajustes!$I113,R$2),0)+IF(Ajustes!$J113&gt;0,INDEX($AA$4:$AL$323,Ajustes!$J113,R$2),0)+IF(Ajustes!$K113&gt;0,INDEX($AA$5:$AL$324,Ajustes!$K113,R$2),0)+IF(Ajustes!$L113&gt;0,INDEX($AA$4:$AL$323,Ajustes!$L113,R$2),0) + R113</f>
        <v>20</v>
      </c>
      <c r="AE113">
        <f>IF(Ajustes!$G113&gt;0,INDEX($AA$4:$AL$323,Ajustes!$G113,S$2),0)+IF(Ajustes!$H113&gt;0,INDEX($AA$4:$AL$323,Ajustes!$H113,S$2),0)+IF(Ajustes!$I113&gt;0,INDEX($AA$4:$AL$323,Ajustes!$I113,S$2),0)+IF(Ajustes!$J113&gt;0,INDEX($AA$4:$AL$323,Ajustes!$J113,S$2),0)+IF(Ajustes!$K113&gt;0,INDEX($AA$5:$AL$324,Ajustes!$K113,S$2),0)+IF(Ajustes!$L113&gt;0,INDEX($AA$4:$AL$323,Ajustes!$L113,S$2),0) + S113</f>
        <v>27</v>
      </c>
      <c r="AF113">
        <f>IF(Ajustes!$G113&gt;0,INDEX($AA$4:$AL$323,Ajustes!$G113,T$2),0)+IF(Ajustes!$H113&gt;0,INDEX($AA$4:$AL$323,Ajustes!$H113,T$2),0)+IF(Ajustes!$I113&gt;0,INDEX($AA$4:$AL$323,Ajustes!$I113,T$2),0)+IF(Ajustes!$J113&gt;0,INDEX($AA$4:$AL$323,Ajustes!$J113,T$2),0)+IF(Ajustes!$K113&gt;0,INDEX($AA$5:$AL$324,Ajustes!$K113,T$2),0)+IF(Ajustes!$L113&gt;0,INDEX($AA$4:$AL$323,Ajustes!$L113,T$2),0) + T113</f>
        <v>33</v>
      </c>
      <c r="AG113">
        <f>IF(Ajustes!$G113&gt;0,INDEX($AA$4:$AL$323,Ajustes!$G113,U$2),0)+IF(Ajustes!$H113&gt;0,INDEX($AA$4:$AL$323,Ajustes!$H113,U$2),0)+IF(Ajustes!$I113&gt;0,INDEX($AA$4:$AL$323,Ajustes!$I113,U$2),0)+IF(Ajustes!$J113&gt;0,INDEX($AA$4:$AL$323,Ajustes!$J113,U$2),0)+IF(Ajustes!$K113&gt;0,INDEX($AA$5:$AL$324,Ajustes!$K113,U$2),0)+IF(Ajustes!$L113&gt;0,INDEX($AA$4:$AL$323,Ajustes!$L113,U$2),0) + U113</f>
        <v>38</v>
      </c>
      <c r="AH113">
        <f>IF(Ajustes!$G113&gt;0,INDEX($AA$4:$AL$323,Ajustes!$G113,V$2),0)+IF(Ajustes!$H113&gt;0,INDEX($AA$4:$AL$323,Ajustes!$H113,V$2),0)+IF(Ajustes!$I113&gt;0,INDEX($AA$4:$AL$323,Ajustes!$I113,V$2),0)+IF(Ajustes!$J113&gt;0,INDEX($AA$4:$AL$323,Ajustes!$J113,V$2),0)+IF(Ajustes!$K113&gt;0,INDEX($AA$5:$AL$324,Ajustes!$K113,V$2),0)+IF(Ajustes!$L113&gt;0,INDEX($AA$4:$AL$323,Ajustes!$L113,V$2),0) + V113</f>
        <v>40</v>
      </c>
      <c r="AI113">
        <f>IF(Ajustes!$G113&gt;0,INDEX($AA$4:$AL$323,Ajustes!$G113,W$2),0)+IF(Ajustes!$H113&gt;0,INDEX($AA$4:$AL$323,Ajustes!$H113,W$2),0)+IF(Ajustes!$I113&gt;0,INDEX($AA$4:$AL$323,Ajustes!$I113,W$2),0)+IF(Ajustes!$J113&gt;0,INDEX($AA$4:$AL$323,Ajustes!$J113,W$2),0)+IF(Ajustes!$K113&gt;0,INDEX($AA$5:$AL$324,Ajustes!$K113,W$2),0)+IF(Ajustes!$L113&gt;0,INDEX($AA$4:$AL$323,Ajustes!$L113,W$2),0) + W113</f>
        <v>43</v>
      </c>
      <c r="AJ113">
        <f>IF(Ajustes!$G113&gt;0,INDEX($AA$4:$AL$323,Ajustes!$G113,X$2),0)+IF(Ajustes!$H113&gt;0,INDEX($AA$4:$AL$323,Ajustes!$H113,X$2),0)+IF(Ajustes!$I113&gt;0,INDEX($AA$4:$AL$323,Ajustes!$I113,X$2),0)+IF(Ajustes!$J113&gt;0,INDEX($AA$4:$AL$323,Ajustes!$J113,X$2),0)+IF(Ajustes!$K113&gt;0,INDEX($AA$5:$AL$324,Ajustes!$K113,X$2),0)+IF(Ajustes!$L113&gt;0,INDEX($AA$4:$AL$323,Ajustes!$L113,X$2),0) + X113</f>
        <v>45</v>
      </c>
      <c r="AK113">
        <f>IF(Ajustes!$G113&gt;0,INDEX($AA$4:$AL$323,Ajustes!$G113,Y$2),0)+IF(Ajustes!$H113&gt;0,INDEX($AA$4:$AL$323,Ajustes!$H113,Y$2),0)+IF(Ajustes!$I113&gt;0,INDEX($AA$4:$AL$323,Ajustes!$I113,Y$2),0)+IF(Ajustes!$J113&gt;0,INDEX($AA$4:$AL$323,Ajustes!$J113,Y$2),0)+IF(Ajustes!$K113&gt;0,INDEX($AA$5:$AL$324,Ajustes!$K113,Y$2),0)+IF(Ajustes!$L113&gt;0,INDEX($AA$4:$AL$323,Ajustes!$L113,Y$2),0) + Y113</f>
        <v>32</v>
      </c>
      <c r="AL113">
        <f>IF(Ajustes!$G113&gt;0,INDEX($AA$4:$AL$323,Ajustes!$G113,Z$2),0)+IF(Ajustes!$H113&gt;0,INDEX($AA$4:$AL$323,Ajustes!$H113,Z$2),0)+IF(Ajustes!$I113&gt;0,INDEX($AA$4:$AL$323,Ajustes!$I113,Z$2),0)+IF(Ajustes!$J113&gt;0,INDEX($AA$4:$AL$323,Ajustes!$J113,Z$2),0)+IF(Ajustes!$K113&gt;0,INDEX($AA$5:$AL$324,Ajustes!$K113,Z$2),0)+IF(Ajustes!$L113&gt;0,INDEX($AA$4:$AL$323,Ajustes!$L113,Z$2),0) + Z113</f>
        <v>23</v>
      </c>
      <c r="AM113" s="113">
        <f t="shared" si="26"/>
        <v>20</v>
      </c>
      <c r="AN113" s="113">
        <f t="shared" si="26"/>
        <v>19</v>
      </c>
      <c r="AO113" s="113">
        <f t="shared" si="26"/>
        <v>15</v>
      </c>
      <c r="AP113" s="113">
        <f t="shared" si="26"/>
        <v>20</v>
      </c>
      <c r="AQ113" s="113">
        <f t="shared" si="26"/>
        <v>27</v>
      </c>
      <c r="AR113" s="113">
        <f t="shared" si="26"/>
        <v>33</v>
      </c>
      <c r="AS113" s="113">
        <f t="shared" si="28"/>
        <v>38</v>
      </c>
      <c r="AT113" s="113">
        <f t="shared" si="27"/>
        <v>40</v>
      </c>
      <c r="AU113" s="113">
        <f t="shared" si="27"/>
        <v>43</v>
      </c>
      <c r="AV113" s="113">
        <f t="shared" si="27"/>
        <v>45</v>
      </c>
      <c r="AW113" s="113">
        <f t="shared" si="27"/>
        <v>32</v>
      </c>
      <c r="AX113" s="113">
        <f t="shared" si="27"/>
        <v>23</v>
      </c>
    </row>
    <row r="114" spans="1:50" x14ac:dyDescent="0.25">
      <c r="A114" s="113">
        <v>111</v>
      </c>
      <c r="B114" s="209" t="s">
        <v>34</v>
      </c>
      <c r="C114">
        <f>IFERROR(INDEX($BD$7:$BO$35,MATCH(Ajustes!$E$4:$E$323,$BC$7:$BC$35,0),$C$2:$N$2),1)</f>
        <v>1</v>
      </c>
      <c r="D114" s="113">
        <f>IFERROR(INDEX($BD$7:$BO$35,MATCH(Ajustes!$E$4:$E$323,$BC$7:$BC$35,0),$C$2:$N$2),1)</f>
        <v>1</v>
      </c>
      <c r="E114" s="113">
        <f>IFERROR(INDEX($BD$7:$BO$35,MATCH(Ajustes!$E$4:$E$323,$BC$7:$BC$35,0),$C$2:$N$2),1)</f>
        <v>1</v>
      </c>
      <c r="F114" s="113">
        <f>IFERROR(INDEX($BD$7:$BO$35,MATCH(Ajustes!$E$4:$E$323,$BC$7:$BC$35,0),$C$2:$N$2),1)</f>
        <v>1</v>
      </c>
      <c r="G114" s="113">
        <f>IFERROR(INDEX($BD$7:$BO$35,MATCH(Ajustes!$E$4:$E$323,$BC$7:$BC$35,0),$C$2:$N$2),1)</f>
        <v>1</v>
      </c>
      <c r="H114" s="113">
        <f>IFERROR(INDEX($BD$7:$BO$35,MATCH(Ajustes!$E$4:$E$323,$BC$7:$BC$35,0),$C$2:$N$2),1)</f>
        <v>1</v>
      </c>
      <c r="I114" s="113">
        <f>IFERROR(INDEX($BD$7:$BO$35,MATCH(Ajustes!$E$4:$E$323,$BC$7:$BC$35,0),$C$2:$N$2),1)</f>
        <v>1</v>
      </c>
      <c r="J114" s="113">
        <f>IFERROR(INDEX($BD$7:$BO$35,MATCH(Ajustes!$E$4:$E$323,$BC$7:$BC$35,0),$C$2:$N$2),1)</f>
        <v>1</v>
      </c>
      <c r="K114" s="113">
        <f>IFERROR(INDEX($BD$7:$BO$35,MATCH(Ajustes!$E$4:$E$323,$BC$7:$BC$35,0),$C$2:$N$2),1)</f>
        <v>1</v>
      </c>
      <c r="L114" s="113">
        <f>IFERROR(INDEX($BD$7:$BO$35,MATCH(Ajustes!$E$4:$E$323,$BC$7:$BC$35,0),$C$2:$N$2),1)</f>
        <v>1</v>
      </c>
      <c r="M114" s="113">
        <f>IFERROR(INDEX($BD$7:$BO$35,MATCH(Ajustes!$E$4:$E$323,$BC$7:$BC$35,0),$C$2:$N$2),1)</f>
        <v>1</v>
      </c>
      <c r="N114" s="113">
        <f>IFERROR(INDEX($BD$7:$BO$35,MATCH(Ajustes!$E$4:$E$323,$BC$7:$BC$35,0),$C$2:$N$2),1)</f>
        <v>1</v>
      </c>
      <c r="O114">
        <f>C114*Ajustes!AM114</f>
        <v>112</v>
      </c>
      <c r="P114">
        <f>D114*Ajustes!AN114</f>
        <v>104</v>
      </c>
      <c r="Q114">
        <f>E114*Ajustes!AO114</f>
        <v>89</v>
      </c>
      <c r="R114">
        <f>F114*Ajustes!AP114</f>
        <v>117</v>
      </c>
      <c r="S114">
        <f>G114*Ajustes!AQ114</f>
        <v>165</v>
      </c>
      <c r="T114">
        <f>H114*Ajustes!AR114</f>
        <v>202</v>
      </c>
      <c r="U114">
        <f>I114*Ajustes!AS114</f>
        <v>226</v>
      </c>
      <c r="V114">
        <f>J114*Ajustes!AT114</f>
        <v>233</v>
      </c>
      <c r="W114">
        <f>K114*Ajustes!AU114</f>
        <v>269</v>
      </c>
      <c r="X114">
        <f>L114*Ajustes!AV114</f>
        <v>263</v>
      </c>
      <c r="Y114">
        <f>M114*Ajustes!AW114</f>
        <v>187</v>
      </c>
      <c r="Z114">
        <f>N114*Ajustes!AX114</f>
        <v>147</v>
      </c>
      <c r="AA114">
        <f>IF(Ajustes!$G114&gt;0,INDEX($AA$4:$AL$323,Ajustes!$G114,O$2),0)+IF(Ajustes!$H114&gt;0,INDEX($AA$4:$AL$323,Ajustes!$H114,O$2),0)+IF(Ajustes!$I114&gt;0,INDEX($AA$4:$AL$323,Ajustes!$I114,O$2),0)+IF(Ajustes!$J114&gt;0,INDEX($AA$4:$AL$323,Ajustes!$J114,O$2),0)+IF(Ajustes!$K114&gt;0,INDEX($AA$5:$AL$324,Ajustes!$K114,O$2),0)+IF(Ajustes!$L114&gt;0,INDEX($AA$4:$AL$323,Ajustes!$L114,O$2),0) + O114</f>
        <v>132</v>
      </c>
      <c r="AB114">
        <f>IF(Ajustes!$G114&gt;0,INDEX($AA$4:$AL$323,Ajustes!$G114,P$2),0)+IF(Ajustes!$H114&gt;0,INDEX($AA$4:$AL$323,Ajustes!$H114,P$2),0)+IF(Ajustes!$I114&gt;0,INDEX($AA$4:$AL$323,Ajustes!$I114,P$2),0)+IF(Ajustes!$J114&gt;0,INDEX($AA$4:$AL$323,Ajustes!$J114,P$2),0)+IF(Ajustes!$K114&gt;0,INDEX($AA$5:$AL$324,Ajustes!$K114,P$2),0)+IF(Ajustes!$L114&gt;0,INDEX($AA$4:$AL$323,Ajustes!$L114,P$2),0) + P114</f>
        <v>123</v>
      </c>
      <c r="AC114">
        <f>IF(Ajustes!$G114&gt;0,INDEX($AA$4:$AL$323,Ajustes!$G114,Q$2),0)+IF(Ajustes!$H114&gt;0,INDEX($AA$4:$AL$323,Ajustes!$H114,Q$2),0)+IF(Ajustes!$I114&gt;0,INDEX($AA$4:$AL$323,Ajustes!$I114,Q$2),0)+IF(Ajustes!$J114&gt;0,INDEX($AA$4:$AL$323,Ajustes!$J114,Q$2),0)+IF(Ajustes!$K114&gt;0,INDEX($AA$5:$AL$324,Ajustes!$K114,Q$2),0)+IF(Ajustes!$L114&gt;0,INDEX($AA$4:$AL$323,Ajustes!$L114,Q$2),0) + Q114</f>
        <v>104</v>
      </c>
      <c r="AD114">
        <f>IF(Ajustes!$G114&gt;0,INDEX($AA$4:$AL$323,Ajustes!$G114,R$2),0)+IF(Ajustes!$H114&gt;0,INDEX($AA$4:$AL$323,Ajustes!$H114,R$2),0)+IF(Ajustes!$I114&gt;0,INDEX($AA$4:$AL$323,Ajustes!$I114,R$2),0)+IF(Ajustes!$J114&gt;0,INDEX($AA$4:$AL$323,Ajustes!$J114,R$2),0)+IF(Ajustes!$K114&gt;0,INDEX($AA$5:$AL$324,Ajustes!$K114,R$2),0)+IF(Ajustes!$L114&gt;0,INDEX($AA$4:$AL$323,Ajustes!$L114,R$2),0) + R114</f>
        <v>137</v>
      </c>
      <c r="AE114">
        <f>IF(Ajustes!$G114&gt;0,INDEX($AA$4:$AL$323,Ajustes!$G114,S$2),0)+IF(Ajustes!$H114&gt;0,INDEX($AA$4:$AL$323,Ajustes!$H114,S$2),0)+IF(Ajustes!$I114&gt;0,INDEX($AA$4:$AL$323,Ajustes!$I114,S$2),0)+IF(Ajustes!$J114&gt;0,INDEX($AA$4:$AL$323,Ajustes!$J114,S$2),0)+IF(Ajustes!$K114&gt;0,INDEX($AA$5:$AL$324,Ajustes!$K114,S$2),0)+IF(Ajustes!$L114&gt;0,INDEX($AA$4:$AL$323,Ajustes!$L114,S$2),0) + S114</f>
        <v>192</v>
      </c>
      <c r="AF114">
        <f>IF(Ajustes!$G114&gt;0,INDEX($AA$4:$AL$323,Ajustes!$G114,T$2),0)+IF(Ajustes!$H114&gt;0,INDEX($AA$4:$AL$323,Ajustes!$H114,T$2),0)+IF(Ajustes!$I114&gt;0,INDEX($AA$4:$AL$323,Ajustes!$I114,T$2),0)+IF(Ajustes!$J114&gt;0,INDEX($AA$4:$AL$323,Ajustes!$J114,T$2),0)+IF(Ajustes!$K114&gt;0,INDEX($AA$5:$AL$324,Ajustes!$K114,T$2),0)+IF(Ajustes!$L114&gt;0,INDEX($AA$4:$AL$323,Ajustes!$L114,T$2),0) + T114</f>
        <v>235</v>
      </c>
      <c r="AG114">
        <f>IF(Ajustes!$G114&gt;0,INDEX($AA$4:$AL$323,Ajustes!$G114,U$2),0)+IF(Ajustes!$H114&gt;0,INDEX($AA$4:$AL$323,Ajustes!$H114,U$2),0)+IF(Ajustes!$I114&gt;0,INDEX($AA$4:$AL$323,Ajustes!$I114,U$2),0)+IF(Ajustes!$J114&gt;0,INDEX($AA$4:$AL$323,Ajustes!$J114,U$2),0)+IF(Ajustes!$K114&gt;0,INDEX($AA$5:$AL$324,Ajustes!$K114,U$2),0)+IF(Ajustes!$L114&gt;0,INDEX($AA$4:$AL$323,Ajustes!$L114,U$2),0) + U114</f>
        <v>264</v>
      </c>
      <c r="AH114">
        <f>IF(Ajustes!$G114&gt;0,INDEX($AA$4:$AL$323,Ajustes!$G114,V$2),0)+IF(Ajustes!$H114&gt;0,INDEX($AA$4:$AL$323,Ajustes!$H114,V$2),0)+IF(Ajustes!$I114&gt;0,INDEX($AA$4:$AL$323,Ajustes!$I114,V$2),0)+IF(Ajustes!$J114&gt;0,INDEX($AA$4:$AL$323,Ajustes!$J114,V$2),0)+IF(Ajustes!$K114&gt;0,INDEX($AA$5:$AL$324,Ajustes!$K114,V$2),0)+IF(Ajustes!$L114&gt;0,INDEX($AA$4:$AL$323,Ajustes!$L114,V$2),0) + V114</f>
        <v>273</v>
      </c>
      <c r="AI114">
        <f>IF(Ajustes!$G114&gt;0,INDEX($AA$4:$AL$323,Ajustes!$G114,W$2),0)+IF(Ajustes!$H114&gt;0,INDEX($AA$4:$AL$323,Ajustes!$H114,W$2),0)+IF(Ajustes!$I114&gt;0,INDEX($AA$4:$AL$323,Ajustes!$I114,W$2),0)+IF(Ajustes!$J114&gt;0,INDEX($AA$4:$AL$323,Ajustes!$J114,W$2),0)+IF(Ajustes!$K114&gt;0,INDEX($AA$5:$AL$324,Ajustes!$K114,W$2),0)+IF(Ajustes!$L114&gt;0,INDEX($AA$4:$AL$323,Ajustes!$L114,W$2),0) + W114</f>
        <v>312</v>
      </c>
      <c r="AJ114">
        <f>IF(Ajustes!$G114&gt;0,INDEX($AA$4:$AL$323,Ajustes!$G114,X$2),0)+IF(Ajustes!$H114&gt;0,INDEX($AA$4:$AL$323,Ajustes!$H114,X$2),0)+IF(Ajustes!$I114&gt;0,INDEX($AA$4:$AL$323,Ajustes!$I114,X$2),0)+IF(Ajustes!$J114&gt;0,INDEX($AA$4:$AL$323,Ajustes!$J114,X$2),0)+IF(Ajustes!$K114&gt;0,INDEX($AA$5:$AL$324,Ajustes!$K114,X$2),0)+IF(Ajustes!$L114&gt;0,INDEX($AA$4:$AL$323,Ajustes!$L114,X$2),0) + X114</f>
        <v>308</v>
      </c>
      <c r="AK114">
        <f>IF(Ajustes!$G114&gt;0,INDEX($AA$4:$AL$323,Ajustes!$G114,Y$2),0)+IF(Ajustes!$H114&gt;0,INDEX($AA$4:$AL$323,Ajustes!$H114,Y$2),0)+IF(Ajustes!$I114&gt;0,INDEX($AA$4:$AL$323,Ajustes!$I114,Y$2),0)+IF(Ajustes!$J114&gt;0,INDEX($AA$4:$AL$323,Ajustes!$J114,Y$2),0)+IF(Ajustes!$K114&gt;0,INDEX($AA$5:$AL$324,Ajustes!$K114,Y$2),0)+IF(Ajustes!$L114&gt;0,INDEX($AA$4:$AL$323,Ajustes!$L114,Y$2),0) + Y114</f>
        <v>219</v>
      </c>
      <c r="AL114">
        <f>IF(Ajustes!$G114&gt;0,INDEX($AA$4:$AL$323,Ajustes!$G114,Z$2),0)+IF(Ajustes!$H114&gt;0,INDEX($AA$4:$AL$323,Ajustes!$H114,Z$2),0)+IF(Ajustes!$I114&gt;0,INDEX($AA$4:$AL$323,Ajustes!$I114,Z$2),0)+IF(Ajustes!$J114&gt;0,INDEX($AA$4:$AL$323,Ajustes!$J114,Z$2),0)+IF(Ajustes!$K114&gt;0,INDEX($AA$5:$AL$324,Ajustes!$K114,Z$2),0)+IF(Ajustes!$L114&gt;0,INDEX($AA$4:$AL$323,Ajustes!$L114,Z$2),0) + Z114</f>
        <v>170</v>
      </c>
      <c r="AM114" s="113">
        <f t="shared" si="26"/>
        <v>132</v>
      </c>
      <c r="AN114" s="113">
        <f t="shared" si="26"/>
        <v>123</v>
      </c>
      <c r="AO114" s="113">
        <f t="shared" si="26"/>
        <v>104</v>
      </c>
      <c r="AP114" s="113">
        <f t="shared" si="26"/>
        <v>137</v>
      </c>
      <c r="AQ114" s="113">
        <f t="shared" si="26"/>
        <v>192</v>
      </c>
      <c r="AR114" s="113">
        <f t="shared" si="26"/>
        <v>235</v>
      </c>
      <c r="AS114" s="113">
        <f t="shared" si="28"/>
        <v>264</v>
      </c>
      <c r="AT114" s="113">
        <f t="shared" si="27"/>
        <v>273</v>
      </c>
      <c r="AU114" s="113">
        <f t="shared" si="27"/>
        <v>312</v>
      </c>
      <c r="AV114" s="113">
        <f t="shared" si="27"/>
        <v>308</v>
      </c>
      <c r="AW114" s="113">
        <f t="shared" si="27"/>
        <v>219</v>
      </c>
      <c r="AX114" s="113">
        <f t="shared" si="27"/>
        <v>170</v>
      </c>
    </row>
    <row r="115" spans="1:50" x14ac:dyDescent="0.25">
      <c r="A115" s="113">
        <v>112</v>
      </c>
      <c r="B115" s="209" t="s">
        <v>179</v>
      </c>
      <c r="C115">
        <f>IFERROR(INDEX($BD$7:$BO$35,MATCH(Ajustes!$E$4:$E$323,$BC$7:$BC$35,0),$C$2:$N$2),1)</f>
        <v>1</v>
      </c>
      <c r="D115" s="113">
        <f>IFERROR(INDEX($BD$7:$BO$35,MATCH(Ajustes!$E$4:$E$323,$BC$7:$BC$35,0),$C$2:$N$2),1)</f>
        <v>1</v>
      </c>
      <c r="E115" s="113">
        <f>IFERROR(INDEX($BD$7:$BO$35,MATCH(Ajustes!$E$4:$E$323,$BC$7:$BC$35,0),$C$2:$N$2),1)</f>
        <v>1</v>
      </c>
      <c r="F115" s="113">
        <f>IFERROR(INDEX($BD$7:$BO$35,MATCH(Ajustes!$E$4:$E$323,$BC$7:$BC$35,0),$C$2:$N$2),1)</f>
        <v>1</v>
      </c>
      <c r="G115" s="113">
        <f>IFERROR(INDEX($BD$7:$BO$35,MATCH(Ajustes!$E$4:$E$323,$BC$7:$BC$35,0),$C$2:$N$2),1)</f>
        <v>1</v>
      </c>
      <c r="H115" s="113">
        <f>IFERROR(INDEX($BD$7:$BO$35,MATCH(Ajustes!$E$4:$E$323,$BC$7:$BC$35,0),$C$2:$N$2),1)</f>
        <v>1</v>
      </c>
      <c r="I115" s="113">
        <f>IFERROR(INDEX($BD$7:$BO$35,MATCH(Ajustes!$E$4:$E$323,$BC$7:$BC$35,0),$C$2:$N$2),1)</f>
        <v>1</v>
      </c>
      <c r="J115" s="113">
        <f>IFERROR(INDEX($BD$7:$BO$35,MATCH(Ajustes!$E$4:$E$323,$BC$7:$BC$35,0),$C$2:$N$2),1)</f>
        <v>1</v>
      </c>
      <c r="K115" s="113">
        <f>IFERROR(INDEX($BD$7:$BO$35,MATCH(Ajustes!$E$4:$E$323,$BC$7:$BC$35,0),$C$2:$N$2),1)</f>
        <v>1</v>
      </c>
      <c r="L115" s="113">
        <f>IFERROR(INDEX($BD$7:$BO$35,MATCH(Ajustes!$E$4:$E$323,$BC$7:$BC$35,0),$C$2:$N$2),1)</f>
        <v>1</v>
      </c>
      <c r="M115" s="113">
        <f>IFERROR(INDEX($BD$7:$BO$35,MATCH(Ajustes!$E$4:$E$323,$BC$7:$BC$35,0),$C$2:$N$2),1)</f>
        <v>1</v>
      </c>
      <c r="N115" s="113">
        <f>IFERROR(INDEX($BD$7:$BO$35,MATCH(Ajustes!$E$4:$E$323,$BC$7:$BC$35,0),$C$2:$N$2),1)</f>
        <v>1</v>
      </c>
      <c r="O115">
        <f>C115*Ajustes!AM115</f>
        <v>2</v>
      </c>
      <c r="P115">
        <f>D115*Ajustes!AN115</f>
        <v>1</v>
      </c>
      <c r="Q115">
        <f>E115*Ajustes!AO115</f>
        <v>1</v>
      </c>
      <c r="R115">
        <f>F115*Ajustes!AP115</f>
        <v>1</v>
      </c>
      <c r="S115">
        <f>G115*Ajustes!AQ115</f>
        <v>2</v>
      </c>
      <c r="T115">
        <f>H115*Ajustes!AR115</f>
        <v>2</v>
      </c>
      <c r="U115">
        <f>I115*Ajustes!AS115</f>
        <v>2</v>
      </c>
      <c r="V115">
        <f>J115*Ajustes!AT115</f>
        <v>2</v>
      </c>
      <c r="W115">
        <f>K115*Ajustes!AU115</f>
        <v>2</v>
      </c>
      <c r="X115">
        <f>L115*Ajustes!AV115</f>
        <v>3</v>
      </c>
      <c r="Y115">
        <f>M115*Ajustes!AW115</f>
        <v>2</v>
      </c>
      <c r="Z115">
        <f>N115*Ajustes!AX115</f>
        <v>1</v>
      </c>
      <c r="AA115">
        <f>IF(Ajustes!$G115&gt;0,INDEX($AA$4:$AL$323,Ajustes!$G115,O$2),0)+IF(Ajustes!$H115&gt;0,INDEX($AA$4:$AL$323,Ajustes!$H115,O$2),0)+IF(Ajustes!$I115&gt;0,INDEX($AA$4:$AL$323,Ajustes!$I115,O$2),0)+IF(Ajustes!$J115&gt;0,INDEX($AA$4:$AL$323,Ajustes!$J115,O$2),0)+IF(Ajustes!$K115&gt;0,INDEX($AA$5:$AL$324,Ajustes!$K115,O$2),0)+IF(Ajustes!$L115&gt;0,INDEX($AA$4:$AL$323,Ajustes!$L115,O$2),0) + O115</f>
        <v>134</v>
      </c>
      <c r="AB115">
        <f>IF(Ajustes!$G115&gt;0,INDEX($AA$4:$AL$323,Ajustes!$G115,P$2),0)+IF(Ajustes!$H115&gt;0,INDEX($AA$4:$AL$323,Ajustes!$H115,P$2),0)+IF(Ajustes!$I115&gt;0,INDEX($AA$4:$AL$323,Ajustes!$I115,P$2),0)+IF(Ajustes!$J115&gt;0,INDEX($AA$4:$AL$323,Ajustes!$J115,P$2),0)+IF(Ajustes!$K115&gt;0,INDEX($AA$5:$AL$324,Ajustes!$K115,P$2),0)+IF(Ajustes!$L115&gt;0,INDEX($AA$4:$AL$323,Ajustes!$L115,P$2),0) + P115</f>
        <v>124</v>
      </c>
      <c r="AC115">
        <f>IF(Ajustes!$G115&gt;0,INDEX($AA$4:$AL$323,Ajustes!$G115,Q$2),0)+IF(Ajustes!$H115&gt;0,INDEX($AA$4:$AL$323,Ajustes!$H115,Q$2),0)+IF(Ajustes!$I115&gt;0,INDEX($AA$4:$AL$323,Ajustes!$I115,Q$2),0)+IF(Ajustes!$J115&gt;0,INDEX($AA$4:$AL$323,Ajustes!$J115,Q$2),0)+IF(Ajustes!$K115&gt;0,INDEX($AA$5:$AL$324,Ajustes!$K115,Q$2),0)+IF(Ajustes!$L115&gt;0,INDEX($AA$4:$AL$323,Ajustes!$L115,Q$2),0) + Q115</f>
        <v>105</v>
      </c>
      <c r="AD115">
        <f>IF(Ajustes!$G115&gt;0,INDEX($AA$4:$AL$323,Ajustes!$G115,R$2),0)+IF(Ajustes!$H115&gt;0,INDEX($AA$4:$AL$323,Ajustes!$H115,R$2),0)+IF(Ajustes!$I115&gt;0,INDEX($AA$4:$AL$323,Ajustes!$I115,R$2),0)+IF(Ajustes!$J115&gt;0,INDEX($AA$4:$AL$323,Ajustes!$J115,R$2),0)+IF(Ajustes!$K115&gt;0,INDEX($AA$5:$AL$324,Ajustes!$K115,R$2),0)+IF(Ajustes!$L115&gt;0,INDEX($AA$4:$AL$323,Ajustes!$L115,R$2),0) + R115</f>
        <v>138</v>
      </c>
      <c r="AE115">
        <f>IF(Ajustes!$G115&gt;0,INDEX($AA$4:$AL$323,Ajustes!$G115,S$2),0)+IF(Ajustes!$H115&gt;0,INDEX($AA$4:$AL$323,Ajustes!$H115,S$2),0)+IF(Ajustes!$I115&gt;0,INDEX($AA$4:$AL$323,Ajustes!$I115,S$2),0)+IF(Ajustes!$J115&gt;0,INDEX($AA$4:$AL$323,Ajustes!$J115,S$2),0)+IF(Ajustes!$K115&gt;0,INDEX($AA$5:$AL$324,Ajustes!$K115,S$2),0)+IF(Ajustes!$L115&gt;0,INDEX($AA$4:$AL$323,Ajustes!$L115,S$2),0) + S115</f>
        <v>194</v>
      </c>
      <c r="AF115">
        <f>IF(Ajustes!$G115&gt;0,INDEX($AA$4:$AL$323,Ajustes!$G115,T$2),0)+IF(Ajustes!$H115&gt;0,INDEX($AA$4:$AL$323,Ajustes!$H115,T$2),0)+IF(Ajustes!$I115&gt;0,INDEX($AA$4:$AL$323,Ajustes!$I115,T$2),0)+IF(Ajustes!$J115&gt;0,INDEX($AA$4:$AL$323,Ajustes!$J115,T$2),0)+IF(Ajustes!$K115&gt;0,INDEX($AA$5:$AL$324,Ajustes!$K115,T$2),0)+IF(Ajustes!$L115&gt;0,INDEX($AA$4:$AL$323,Ajustes!$L115,T$2),0) + T115</f>
        <v>237</v>
      </c>
      <c r="AG115">
        <f>IF(Ajustes!$G115&gt;0,INDEX($AA$4:$AL$323,Ajustes!$G115,U$2),0)+IF(Ajustes!$H115&gt;0,INDEX($AA$4:$AL$323,Ajustes!$H115,U$2),0)+IF(Ajustes!$I115&gt;0,INDEX($AA$4:$AL$323,Ajustes!$I115,U$2),0)+IF(Ajustes!$J115&gt;0,INDEX($AA$4:$AL$323,Ajustes!$J115,U$2),0)+IF(Ajustes!$K115&gt;0,INDEX($AA$5:$AL$324,Ajustes!$K115,U$2),0)+IF(Ajustes!$L115&gt;0,INDEX($AA$4:$AL$323,Ajustes!$L115,U$2),0) + U115</f>
        <v>266</v>
      </c>
      <c r="AH115">
        <f>IF(Ajustes!$G115&gt;0,INDEX($AA$4:$AL$323,Ajustes!$G115,V$2),0)+IF(Ajustes!$H115&gt;0,INDEX($AA$4:$AL$323,Ajustes!$H115,V$2),0)+IF(Ajustes!$I115&gt;0,INDEX($AA$4:$AL$323,Ajustes!$I115,V$2),0)+IF(Ajustes!$J115&gt;0,INDEX($AA$4:$AL$323,Ajustes!$J115,V$2),0)+IF(Ajustes!$K115&gt;0,INDEX($AA$5:$AL$324,Ajustes!$K115,V$2),0)+IF(Ajustes!$L115&gt;0,INDEX($AA$4:$AL$323,Ajustes!$L115,V$2),0) + V115</f>
        <v>275</v>
      </c>
      <c r="AI115">
        <f>IF(Ajustes!$G115&gt;0,INDEX($AA$4:$AL$323,Ajustes!$G115,W$2),0)+IF(Ajustes!$H115&gt;0,INDEX($AA$4:$AL$323,Ajustes!$H115,W$2),0)+IF(Ajustes!$I115&gt;0,INDEX($AA$4:$AL$323,Ajustes!$I115,W$2),0)+IF(Ajustes!$J115&gt;0,INDEX($AA$4:$AL$323,Ajustes!$J115,W$2),0)+IF(Ajustes!$K115&gt;0,INDEX($AA$5:$AL$324,Ajustes!$K115,W$2),0)+IF(Ajustes!$L115&gt;0,INDEX($AA$4:$AL$323,Ajustes!$L115,W$2),0) + W115</f>
        <v>314</v>
      </c>
      <c r="AJ115">
        <f>IF(Ajustes!$G115&gt;0,INDEX($AA$4:$AL$323,Ajustes!$G115,X$2),0)+IF(Ajustes!$H115&gt;0,INDEX($AA$4:$AL$323,Ajustes!$H115,X$2),0)+IF(Ajustes!$I115&gt;0,INDEX($AA$4:$AL$323,Ajustes!$I115,X$2),0)+IF(Ajustes!$J115&gt;0,INDEX($AA$4:$AL$323,Ajustes!$J115,X$2),0)+IF(Ajustes!$K115&gt;0,INDEX($AA$5:$AL$324,Ajustes!$K115,X$2),0)+IF(Ajustes!$L115&gt;0,INDEX($AA$4:$AL$323,Ajustes!$L115,X$2),0) + X115</f>
        <v>311</v>
      </c>
      <c r="AK115">
        <f>IF(Ajustes!$G115&gt;0,INDEX($AA$4:$AL$323,Ajustes!$G115,Y$2),0)+IF(Ajustes!$H115&gt;0,INDEX($AA$4:$AL$323,Ajustes!$H115,Y$2),0)+IF(Ajustes!$I115&gt;0,INDEX($AA$4:$AL$323,Ajustes!$I115,Y$2),0)+IF(Ajustes!$J115&gt;0,INDEX($AA$4:$AL$323,Ajustes!$J115,Y$2),0)+IF(Ajustes!$K115&gt;0,INDEX($AA$5:$AL$324,Ajustes!$K115,Y$2),0)+IF(Ajustes!$L115&gt;0,INDEX($AA$4:$AL$323,Ajustes!$L115,Y$2),0) + Y115</f>
        <v>221</v>
      </c>
      <c r="AL115">
        <f>IF(Ajustes!$G115&gt;0,INDEX($AA$4:$AL$323,Ajustes!$G115,Z$2),0)+IF(Ajustes!$H115&gt;0,INDEX($AA$4:$AL$323,Ajustes!$H115,Z$2),0)+IF(Ajustes!$I115&gt;0,INDEX($AA$4:$AL$323,Ajustes!$I115,Z$2),0)+IF(Ajustes!$J115&gt;0,INDEX($AA$4:$AL$323,Ajustes!$J115,Z$2),0)+IF(Ajustes!$K115&gt;0,INDEX($AA$5:$AL$324,Ajustes!$K115,Z$2),0)+IF(Ajustes!$L115&gt;0,INDEX($AA$4:$AL$323,Ajustes!$L115,Z$2),0) + Z115</f>
        <v>171</v>
      </c>
      <c r="AM115" s="113">
        <f t="shared" si="26"/>
        <v>134</v>
      </c>
      <c r="AN115" s="113">
        <f t="shared" si="26"/>
        <v>124</v>
      </c>
      <c r="AO115" s="113">
        <f t="shared" si="26"/>
        <v>105</v>
      </c>
      <c r="AP115" s="113">
        <f t="shared" si="26"/>
        <v>138</v>
      </c>
      <c r="AQ115" s="113">
        <f t="shared" si="26"/>
        <v>194</v>
      </c>
      <c r="AR115" s="113">
        <f t="shared" si="26"/>
        <v>237</v>
      </c>
      <c r="AS115" s="113">
        <f t="shared" si="28"/>
        <v>266</v>
      </c>
      <c r="AT115" s="113">
        <f t="shared" si="27"/>
        <v>275</v>
      </c>
      <c r="AU115" s="113">
        <f t="shared" si="27"/>
        <v>314</v>
      </c>
      <c r="AV115" s="113">
        <f t="shared" si="27"/>
        <v>311</v>
      </c>
      <c r="AW115" s="113">
        <f t="shared" si="27"/>
        <v>221</v>
      </c>
      <c r="AX115" s="113">
        <f t="shared" si="27"/>
        <v>171</v>
      </c>
    </row>
    <row r="116" spans="1:50" x14ac:dyDescent="0.25">
      <c r="A116" s="113">
        <v>113</v>
      </c>
      <c r="B116" s="209" t="s">
        <v>180</v>
      </c>
      <c r="C116">
        <f>IFERROR(INDEX($BD$7:$BO$35,MATCH(Ajustes!$E$4:$E$323,$BC$7:$BC$35,0),$C$2:$N$2),1)</f>
        <v>1</v>
      </c>
      <c r="D116" s="113">
        <f>IFERROR(INDEX($BD$7:$BO$35,MATCH(Ajustes!$E$4:$E$323,$BC$7:$BC$35,0),$C$2:$N$2),1)</f>
        <v>1</v>
      </c>
      <c r="E116" s="113">
        <f>IFERROR(INDEX($BD$7:$BO$35,MATCH(Ajustes!$E$4:$E$323,$BC$7:$BC$35,0),$C$2:$N$2),1)</f>
        <v>1</v>
      </c>
      <c r="F116" s="113">
        <f>IFERROR(INDEX($BD$7:$BO$35,MATCH(Ajustes!$E$4:$E$323,$BC$7:$BC$35,0),$C$2:$N$2),1)</f>
        <v>1</v>
      </c>
      <c r="G116" s="113">
        <f>IFERROR(INDEX($BD$7:$BO$35,MATCH(Ajustes!$E$4:$E$323,$BC$7:$BC$35,0),$C$2:$N$2),1)</f>
        <v>1</v>
      </c>
      <c r="H116" s="113">
        <f>IFERROR(INDEX($BD$7:$BO$35,MATCH(Ajustes!$E$4:$E$323,$BC$7:$BC$35,0),$C$2:$N$2),1)</f>
        <v>1</v>
      </c>
      <c r="I116" s="113">
        <f>IFERROR(INDEX($BD$7:$BO$35,MATCH(Ajustes!$E$4:$E$323,$BC$7:$BC$35,0),$C$2:$N$2),1)</f>
        <v>1</v>
      </c>
      <c r="J116" s="113">
        <f>IFERROR(INDEX($BD$7:$BO$35,MATCH(Ajustes!$E$4:$E$323,$BC$7:$BC$35,0),$C$2:$N$2),1)</f>
        <v>1</v>
      </c>
      <c r="K116" s="113">
        <f>IFERROR(INDEX($BD$7:$BO$35,MATCH(Ajustes!$E$4:$E$323,$BC$7:$BC$35,0),$C$2:$N$2),1)</f>
        <v>1</v>
      </c>
      <c r="L116" s="113">
        <f>IFERROR(INDEX($BD$7:$BO$35,MATCH(Ajustes!$E$4:$E$323,$BC$7:$BC$35,0),$C$2:$N$2),1)</f>
        <v>1</v>
      </c>
      <c r="M116" s="113">
        <f>IFERROR(INDEX($BD$7:$BO$35,MATCH(Ajustes!$E$4:$E$323,$BC$7:$BC$35,0),$C$2:$N$2),1)</f>
        <v>1</v>
      </c>
      <c r="N116" s="113">
        <f>IFERROR(INDEX($BD$7:$BO$35,MATCH(Ajustes!$E$4:$E$323,$BC$7:$BC$35,0),$C$2:$N$2),1)</f>
        <v>1</v>
      </c>
      <c r="O116">
        <f>C116*Ajustes!AM116</f>
        <v>32</v>
      </c>
      <c r="P116">
        <f>D116*Ajustes!AN116</f>
        <v>30</v>
      </c>
      <c r="Q116">
        <f>E116*Ajustes!AO116</f>
        <v>26</v>
      </c>
      <c r="R116">
        <f>F116*Ajustes!AP116</f>
        <v>38</v>
      </c>
      <c r="S116">
        <f>G116*Ajustes!AQ116</f>
        <v>53</v>
      </c>
      <c r="T116">
        <f>H116*Ajustes!AR116</f>
        <v>64</v>
      </c>
      <c r="U116">
        <f>I116*Ajustes!AS116</f>
        <v>77</v>
      </c>
      <c r="V116">
        <f>J116*Ajustes!AT116</f>
        <v>73</v>
      </c>
      <c r="W116">
        <f>K116*Ajustes!AU116</f>
        <v>84</v>
      </c>
      <c r="X116">
        <f>L116*Ajustes!AV116</f>
        <v>83</v>
      </c>
      <c r="Y116">
        <f>M116*Ajustes!AW116</f>
        <v>64</v>
      </c>
      <c r="Z116">
        <f>N116*Ajustes!AX116</f>
        <v>41</v>
      </c>
      <c r="AA116">
        <f>IF(Ajustes!$G116&gt;0,INDEX($AA$4:$AL$323,Ajustes!$G116,O$2),0)+IF(Ajustes!$H116&gt;0,INDEX($AA$4:$AL$323,Ajustes!$H116,O$2),0)+IF(Ajustes!$I116&gt;0,INDEX($AA$4:$AL$323,Ajustes!$I116,O$2),0)+IF(Ajustes!$J116&gt;0,INDEX($AA$4:$AL$323,Ajustes!$J116,O$2),0)+IF(Ajustes!$K116&gt;0,INDEX($AA$5:$AL$324,Ajustes!$K116,O$2),0)+IF(Ajustes!$L116&gt;0,INDEX($AA$4:$AL$323,Ajustes!$L116,O$2),0) + O116</f>
        <v>166</v>
      </c>
      <c r="AB116">
        <f>IF(Ajustes!$G116&gt;0,INDEX($AA$4:$AL$323,Ajustes!$G116,P$2),0)+IF(Ajustes!$H116&gt;0,INDEX($AA$4:$AL$323,Ajustes!$H116,P$2),0)+IF(Ajustes!$I116&gt;0,INDEX($AA$4:$AL$323,Ajustes!$I116,P$2),0)+IF(Ajustes!$J116&gt;0,INDEX($AA$4:$AL$323,Ajustes!$J116,P$2),0)+IF(Ajustes!$K116&gt;0,INDEX($AA$5:$AL$324,Ajustes!$K116,P$2),0)+IF(Ajustes!$L116&gt;0,INDEX($AA$4:$AL$323,Ajustes!$L116,P$2),0) + P116</f>
        <v>154</v>
      </c>
      <c r="AC116">
        <f>IF(Ajustes!$G116&gt;0,INDEX($AA$4:$AL$323,Ajustes!$G116,Q$2),0)+IF(Ajustes!$H116&gt;0,INDEX($AA$4:$AL$323,Ajustes!$H116,Q$2),0)+IF(Ajustes!$I116&gt;0,INDEX($AA$4:$AL$323,Ajustes!$I116,Q$2),0)+IF(Ajustes!$J116&gt;0,INDEX($AA$4:$AL$323,Ajustes!$J116,Q$2),0)+IF(Ajustes!$K116&gt;0,INDEX($AA$5:$AL$324,Ajustes!$K116,Q$2),0)+IF(Ajustes!$L116&gt;0,INDEX($AA$4:$AL$323,Ajustes!$L116,Q$2),0) + Q116</f>
        <v>131</v>
      </c>
      <c r="AD116">
        <f>IF(Ajustes!$G116&gt;0,INDEX($AA$4:$AL$323,Ajustes!$G116,R$2),0)+IF(Ajustes!$H116&gt;0,INDEX($AA$4:$AL$323,Ajustes!$H116,R$2),0)+IF(Ajustes!$I116&gt;0,INDEX($AA$4:$AL$323,Ajustes!$I116,R$2),0)+IF(Ajustes!$J116&gt;0,INDEX($AA$4:$AL$323,Ajustes!$J116,R$2),0)+IF(Ajustes!$K116&gt;0,INDEX($AA$5:$AL$324,Ajustes!$K116,R$2),0)+IF(Ajustes!$L116&gt;0,INDEX($AA$4:$AL$323,Ajustes!$L116,R$2),0) + R116</f>
        <v>176</v>
      </c>
      <c r="AE116">
        <f>IF(Ajustes!$G116&gt;0,INDEX($AA$4:$AL$323,Ajustes!$G116,S$2),0)+IF(Ajustes!$H116&gt;0,INDEX($AA$4:$AL$323,Ajustes!$H116,S$2),0)+IF(Ajustes!$I116&gt;0,INDEX($AA$4:$AL$323,Ajustes!$I116,S$2),0)+IF(Ajustes!$J116&gt;0,INDEX($AA$4:$AL$323,Ajustes!$J116,S$2),0)+IF(Ajustes!$K116&gt;0,INDEX($AA$5:$AL$324,Ajustes!$K116,S$2),0)+IF(Ajustes!$L116&gt;0,INDEX($AA$4:$AL$323,Ajustes!$L116,S$2),0) + S116</f>
        <v>247</v>
      </c>
      <c r="AF116">
        <f>IF(Ajustes!$G116&gt;0,INDEX($AA$4:$AL$323,Ajustes!$G116,T$2),0)+IF(Ajustes!$H116&gt;0,INDEX($AA$4:$AL$323,Ajustes!$H116,T$2),0)+IF(Ajustes!$I116&gt;0,INDEX($AA$4:$AL$323,Ajustes!$I116,T$2),0)+IF(Ajustes!$J116&gt;0,INDEX($AA$4:$AL$323,Ajustes!$J116,T$2),0)+IF(Ajustes!$K116&gt;0,INDEX($AA$5:$AL$324,Ajustes!$K116,T$2),0)+IF(Ajustes!$L116&gt;0,INDEX($AA$4:$AL$323,Ajustes!$L116,T$2),0) + T116</f>
        <v>301</v>
      </c>
      <c r="AG116">
        <f>IF(Ajustes!$G116&gt;0,INDEX($AA$4:$AL$323,Ajustes!$G116,U$2),0)+IF(Ajustes!$H116&gt;0,INDEX($AA$4:$AL$323,Ajustes!$H116,U$2),0)+IF(Ajustes!$I116&gt;0,INDEX($AA$4:$AL$323,Ajustes!$I116,U$2),0)+IF(Ajustes!$J116&gt;0,INDEX($AA$4:$AL$323,Ajustes!$J116,U$2),0)+IF(Ajustes!$K116&gt;0,INDEX($AA$5:$AL$324,Ajustes!$K116,U$2),0)+IF(Ajustes!$L116&gt;0,INDEX($AA$4:$AL$323,Ajustes!$L116,U$2),0) + U116</f>
        <v>343</v>
      </c>
      <c r="AH116">
        <f>IF(Ajustes!$G116&gt;0,INDEX($AA$4:$AL$323,Ajustes!$G116,V$2),0)+IF(Ajustes!$H116&gt;0,INDEX($AA$4:$AL$323,Ajustes!$H116,V$2),0)+IF(Ajustes!$I116&gt;0,INDEX($AA$4:$AL$323,Ajustes!$I116,V$2),0)+IF(Ajustes!$J116&gt;0,INDEX($AA$4:$AL$323,Ajustes!$J116,V$2),0)+IF(Ajustes!$K116&gt;0,INDEX($AA$5:$AL$324,Ajustes!$K116,V$2),0)+IF(Ajustes!$L116&gt;0,INDEX($AA$4:$AL$323,Ajustes!$L116,V$2),0) + V116</f>
        <v>348</v>
      </c>
      <c r="AI116">
        <f>IF(Ajustes!$G116&gt;0,INDEX($AA$4:$AL$323,Ajustes!$G116,W$2),0)+IF(Ajustes!$H116&gt;0,INDEX($AA$4:$AL$323,Ajustes!$H116,W$2),0)+IF(Ajustes!$I116&gt;0,INDEX($AA$4:$AL$323,Ajustes!$I116,W$2),0)+IF(Ajustes!$J116&gt;0,INDEX($AA$4:$AL$323,Ajustes!$J116,W$2),0)+IF(Ajustes!$K116&gt;0,INDEX($AA$5:$AL$324,Ajustes!$K116,W$2),0)+IF(Ajustes!$L116&gt;0,INDEX($AA$4:$AL$323,Ajustes!$L116,W$2),0) + W116</f>
        <v>398</v>
      </c>
      <c r="AJ116">
        <f>IF(Ajustes!$G116&gt;0,INDEX($AA$4:$AL$323,Ajustes!$G116,X$2),0)+IF(Ajustes!$H116&gt;0,INDEX($AA$4:$AL$323,Ajustes!$H116,X$2),0)+IF(Ajustes!$I116&gt;0,INDEX($AA$4:$AL$323,Ajustes!$I116,X$2),0)+IF(Ajustes!$J116&gt;0,INDEX($AA$4:$AL$323,Ajustes!$J116,X$2),0)+IF(Ajustes!$K116&gt;0,INDEX($AA$5:$AL$324,Ajustes!$K116,X$2),0)+IF(Ajustes!$L116&gt;0,INDEX($AA$4:$AL$323,Ajustes!$L116,X$2),0) + X116</f>
        <v>394</v>
      </c>
      <c r="AK116">
        <f>IF(Ajustes!$G116&gt;0,INDEX($AA$4:$AL$323,Ajustes!$G116,Y$2),0)+IF(Ajustes!$H116&gt;0,INDEX($AA$4:$AL$323,Ajustes!$H116,Y$2),0)+IF(Ajustes!$I116&gt;0,INDEX($AA$4:$AL$323,Ajustes!$I116,Y$2),0)+IF(Ajustes!$J116&gt;0,INDEX($AA$4:$AL$323,Ajustes!$J116,Y$2),0)+IF(Ajustes!$K116&gt;0,INDEX($AA$5:$AL$324,Ajustes!$K116,Y$2),0)+IF(Ajustes!$L116&gt;0,INDEX($AA$4:$AL$323,Ajustes!$L116,Y$2),0) + Y116</f>
        <v>285</v>
      </c>
      <c r="AL116">
        <f>IF(Ajustes!$G116&gt;0,INDEX($AA$4:$AL$323,Ajustes!$G116,Z$2),0)+IF(Ajustes!$H116&gt;0,INDEX($AA$4:$AL$323,Ajustes!$H116,Z$2),0)+IF(Ajustes!$I116&gt;0,INDEX($AA$4:$AL$323,Ajustes!$I116,Z$2),0)+IF(Ajustes!$J116&gt;0,INDEX($AA$4:$AL$323,Ajustes!$J116,Z$2),0)+IF(Ajustes!$K116&gt;0,INDEX($AA$5:$AL$324,Ajustes!$K116,Z$2),0)+IF(Ajustes!$L116&gt;0,INDEX($AA$4:$AL$323,Ajustes!$L116,Z$2),0) + Z116</f>
        <v>212</v>
      </c>
      <c r="AM116" s="113">
        <f t="shared" si="26"/>
        <v>166</v>
      </c>
      <c r="AN116" s="113">
        <f t="shared" si="26"/>
        <v>154</v>
      </c>
      <c r="AO116" s="113">
        <f t="shared" si="26"/>
        <v>131</v>
      </c>
      <c r="AP116" s="113">
        <f t="shared" si="26"/>
        <v>176</v>
      </c>
      <c r="AQ116" s="113">
        <f t="shared" si="26"/>
        <v>247</v>
      </c>
      <c r="AR116" s="113">
        <f t="shared" si="26"/>
        <v>301</v>
      </c>
      <c r="AS116" s="113">
        <f t="shared" si="28"/>
        <v>343</v>
      </c>
      <c r="AT116" s="113">
        <f t="shared" si="27"/>
        <v>348</v>
      </c>
      <c r="AU116" s="113">
        <f t="shared" si="27"/>
        <v>398</v>
      </c>
      <c r="AV116" s="113">
        <f t="shared" si="27"/>
        <v>394</v>
      </c>
      <c r="AW116" s="113">
        <f t="shared" si="27"/>
        <v>285</v>
      </c>
      <c r="AX116" s="113">
        <f t="shared" si="27"/>
        <v>212</v>
      </c>
    </row>
    <row r="117" spans="1:50" x14ac:dyDescent="0.25">
      <c r="A117" s="113">
        <v>114</v>
      </c>
      <c r="B117" s="209" t="s">
        <v>594</v>
      </c>
      <c r="C117">
        <f>IFERROR(INDEX($BD$7:$BO$35,MATCH(Ajustes!$E$4:$E$323,$BC$7:$BC$35,0),$C$2:$N$2),1)</f>
        <v>1</v>
      </c>
      <c r="D117" s="113">
        <f>IFERROR(INDEX($BD$7:$BO$35,MATCH(Ajustes!$E$4:$E$323,$BC$7:$BC$35,0),$C$2:$N$2),1)</f>
        <v>1</v>
      </c>
      <c r="E117" s="113">
        <f>IFERROR(INDEX($BD$7:$BO$35,MATCH(Ajustes!$E$4:$E$323,$BC$7:$BC$35,0),$C$2:$N$2),1)</f>
        <v>1</v>
      </c>
      <c r="F117" s="113">
        <f>IFERROR(INDEX($BD$7:$BO$35,MATCH(Ajustes!$E$4:$E$323,$BC$7:$BC$35,0),$C$2:$N$2),1)</f>
        <v>1</v>
      </c>
      <c r="G117" s="113">
        <f>IFERROR(INDEX($BD$7:$BO$35,MATCH(Ajustes!$E$4:$E$323,$BC$7:$BC$35,0),$C$2:$N$2),1)</f>
        <v>1</v>
      </c>
      <c r="H117" s="113">
        <f>IFERROR(INDEX($BD$7:$BO$35,MATCH(Ajustes!$E$4:$E$323,$BC$7:$BC$35,0),$C$2:$N$2),1)</f>
        <v>1</v>
      </c>
      <c r="I117" s="113">
        <f>IFERROR(INDEX($BD$7:$BO$35,MATCH(Ajustes!$E$4:$E$323,$BC$7:$BC$35,0),$C$2:$N$2),1)</f>
        <v>1</v>
      </c>
      <c r="J117" s="113">
        <f>IFERROR(INDEX($BD$7:$BO$35,MATCH(Ajustes!$E$4:$E$323,$BC$7:$BC$35,0),$C$2:$N$2),1)</f>
        <v>1</v>
      </c>
      <c r="K117" s="113">
        <f>IFERROR(INDEX($BD$7:$BO$35,MATCH(Ajustes!$E$4:$E$323,$BC$7:$BC$35,0),$C$2:$N$2),1)</f>
        <v>1</v>
      </c>
      <c r="L117" s="113">
        <f>IFERROR(INDEX($BD$7:$BO$35,MATCH(Ajustes!$E$4:$E$323,$BC$7:$BC$35,0),$C$2:$N$2),1)</f>
        <v>1</v>
      </c>
      <c r="M117" s="113">
        <f>IFERROR(INDEX($BD$7:$BO$35,MATCH(Ajustes!$E$4:$E$323,$BC$7:$BC$35,0),$C$2:$N$2),1)</f>
        <v>1</v>
      </c>
      <c r="N117" s="113">
        <f>IFERROR(INDEX($BD$7:$BO$35,MATCH(Ajustes!$E$4:$E$323,$BC$7:$BC$35,0),$C$2:$N$2),1)</f>
        <v>1</v>
      </c>
      <c r="O117">
        <f>C117*Ajustes!AM117</f>
        <v>35</v>
      </c>
      <c r="P117">
        <f>D117*Ajustes!AN117</f>
        <v>37</v>
      </c>
      <c r="Q117">
        <f>E117*Ajustes!AO117</f>
        <v>32</v>
      </c>
      <c r="R117">
        <f>F117*Ajustes!AP117</f>
        <v>49</v>
      </c>
      <c r="S117">
        <f>G117*Ajustes!AQ117</f>
        <v>55</v>
      </c>
      <c r="T117">
        <f>H117*Ajustes!AR117</f>
        <v>83</v>
      </c>
      <c r="U117">
        <f>I117*Ajustes!AS117</f>
        <v>90</v>
      </c>
      <c r="V117">
        <f>J117*Ajustes!AT117</f>
        <v>77</v>
      </c>
      <c r="W117">
        <f>K117*Ajustes!AU117</f>
        <v>85</v>
      </c>
      <c r="X117">
        <f>L117*Ajustes!AV117</f>
        <v>81</v>
      </c>
      <c r="Y117">
        <f>M117*Ajustes!AW117</f>
        <v>56</v>
      </c>
      <c r="Z117">
        <f>N117*Ajustes!AX117</f>
        <v>42</v>
      </c>
      <c r="AA117">
        <f>IF(Ajustes!$G117&gt;0,INDEX($AA$4:$AL$323,Ajustes!$G117,O$2),0)+IF(Ajustes!$H117&gt;0,INDEX($AA$4:$AL$323,Ajustes!$H117,O$2),0)+IF(Ajustes!$I117&gt;0,INDEX($AA$4:$AL$323,Ajustes!$I117,O$2),0)+IF(Ajustes!$J117&gt;0,INDEX($AA$4:$AL$323,Ajustes!$J117,O$2),0)+IF(Ajustes!$K117&gt;0,INDEX($AA$5:$AL$324,Ajustes!$K117,O$2),0)+IF(Ajustes!$L117&gt;0,INDEX($AA$4:$AL$323,Ajustes!$L117,O$2),0) + O117</f>
        <v>201</v>
      </c>
      <c r="AB117">
        <f>IF(Ajustes!$G117&gt;0,INDEX($AA$4:$AL$323,Ajustes!$G117,P$2),0)+IF(Ajustes!$H117&gt;0,INDEX($AA$4:$AL$323,Ajustes!$H117,P$2),0)+IF(Ajustes!$I117&gt;0,INDEX($AA$4:$AL$323,Ajustes!$I117,P$2),0)+IF(Ajustes!$J117&gt;0,INDEX($AA$4:$AL$323,Ajustes!$J117,P$2),0)+IF(Ajustes!$K117&gt;0,INDEX($AA$5:$AL$324,Ajustes!$K117,P$2),0)+IF(Ajustes!$L117&gt;0,INDEX($AA$4:$AL$323,Ajustes!$L117,P$2),0) + P117</f>
        <v>191</v>
      </c>
      <c r="AC117">
        <f>IF(Ajustes!$G117&gt;0,INDEX($AA$4:$AL$323,Ajustes!$G117,Q$2),0)+IF(Ajustes!$H117&gt;0,INDEX($AA$4:$AL$323,Ajustes!$H117,Q$2),0)+IF(Ajustes!$I117&gt;0,INDEX($AA$4:$AL$323,Ajustes!$I117,Q$2),0)+IF(Ajustes!$J117&gt;0,INDEX($AA$4:$AL$323,Ajustes!$J117,Q$2),0)+IF(Ajustes!$K117&gt;0,INDEX($AA$5:$AL$324,Ajustes!$K117,Q$2),0)+IF(Ajustes!$L117&gt;0,INDEX($AA$4:$AL$323,Ajustes!$L117,Q$2),0) + Q117</f>
        <v>163</v>
      </c>
      <c r="AD117">
        <f>IF(Ajustes!$G117&gt;0,INDEX($AA$4:$AL$323,Ajustes!$G117,R$2),0)+IF(Ajustes!$H117&gt;0,INDEX($AA$4:$AL$323,Ajustes!$H117,R$2),0)+IF(Ajustes!$I117&gt;0,INDEX($AA$4:$AL$323,Ajustes!$I117,R$2),0)+IF(Ajustes!$J117&gt;0,INDEX($AA$4:$AL$323,Ajustes!$J117,R$2),0)+IF(Ajustes!$K117&gt;0,INDEX($AA$5:$AL$324,Ajustes!$K117,R$2),0)+IF(Ajustes!$L117&gt;0,INDEX($AA$4:$AL$323,Ajustes!$L117,R$2),0) + R117</f>
        <v>225</v>
      </c>
      <c r="AE117">
        <f>IF(Ajustes!$G117&gt;0,INDEX($AA$4:$AL$323,Ajustes!$G117,S$2),0)+IF(Ajustes!$H117&gt;0,INDEX($AA$4:$AL$323,Ajustes!$H117,S$2),0)+IF(Ajustes!$I117&gt;0,INDEX($AA$4:$AL$323,Ajustes!$I117,S$2),0)+IF(Ajustes!$J117&gt;0,INDEX($AA$4:$AL$323,Ajustes!$J117,S$2),0)+IF(Ajustes!$K117&gt;0,INDEX($AA$5:$AL$324,Ajustes!$K117,S$2),0)+IF(Ajustes!$L117&gt;0,INDEX($AA$4:$AL$323,Ajustes!$L117,S$2),0) + S117</f>
        <v>302</v>
      </c>
      <c r="AF117">
        <f>IF(Ajustes!$G117&gt;0,INDEX($AA$4:$AL$323,Ajustes!$G117,T$2),0)+IF(Ajustes!$H117&gt;0,INDEX($AA$4:$AL$323,Ajustes!$H117,T$2),0)+IF(Ajustes!$I117&gt;0,INDEX($AA$4:$AL$323,Ajustes!$I117,T$2),0)+IF(Ajustes!$J117&gt;0,INDEX($AA$4:$AL$323,Ajustes!$J117,T$2),0)+IF(Ajustes!$K117&gt;0,INDEX($AA$5:$AL$324,Ajustes!$K117,T$2),0)+IF(Ajustes!$L117&gt;0,INDEX($AA$4:$AL$323,Ajustes!$L117,T$2),0) + T117</f>
        <v>384</v>
      </c>
      <c r="AG117">
        <f>IF(Ajustes!$G117&gt;0,INDEX($AA$4:$AL$323,Ajustes!$G117,U$2),0)+IF(Ajustes!$H117&gt;0,INDEX($AA$4:$AL$323,Ajustes!$H117,U$2),0)+IF(Ajustes!$I117&gt;0,INDEX($AA$4:$AL$323,Ajustes!$I117,U$2),0)+IF(Ajustes!$J117&gt;0,INDEX($AA$4:$AL$323,Ajustes!$J117,U$2),0)+IF(Ajustes!$K117&gt;0,INDEX($AA$5:$AL$324,Ajustes!$K117,U$2),0)+IF(Ajustes!$L117&gt;0,INDEX($AA$4:$AL$323,Ajustes!$L117,U$2),0) + U117</f>
        <v>433</v>
      </c>
      <c r="AH117">
        <f>IF(Ajustes!$G117&gt;0,INDEX($AA$4:$AL$323,Ajustes!$G117,V$2),0)+IF(Ajustes!$H117&gt;0,INDEX($AA$4:$AL$323,Ajustes!$H117,V$2),0)+IF(Ajustes!$I117&gt;0,INDEX($AA$4:$AL$323,Ajustes!$I117,V$2),0)+IF(Ajustes!$J117&gt;0,INDEX($AA$4:$AL$323,Ajustes!$J117,V$2),0)+IF(Ajustes!$K117&gt;0,INDEX($AA$5:$AL$324,Ajustes!$K117,V$2),0)+IF(Ajustes!$L117&gt;0,INDEX($AA$4:$AL$323,Ajustes!$L117,V$2),0) + V117</f>
        <v>425</v>
      </c>
      <c r="AI117">
        <f>IF(Ajustes!$G117&gt;0,INDEX($AA$4:$AL$323,Ajustes!$G117,W$2),0)+IF(Ajustes!$H117&gt;0,INDEX($AA$4:$AL$323,Ajustes!$H117,W$2),0)+IF(Ajustes!$I117&gt;0,INDEX($AA$4:$AL$323,Ajustes!$I117,W$2),0)+IF(Ajustes!$J117&gt;0,INDEX($AA$4:$AL$323,Ajustes!$J117,W$2),0)+IF(Ajustes!$K117&gt;0,INDEX($AA$5:$AL$324,Ajustes!$K117,W$2),0)+IF(Ajustes!$L117&gt;0,INDEX($AA$4:$AL$323,Ajustes!$L117,W$2),0) + W117</f>
        <v>483</v>
      </c>
      <c r="AJ117">
        <f>IF(Ajustes!$G117&gt;0,INDEX($AA$4:$AL$323,Ajustes!$G117,X$2),0)+IF(Ajustes!$H117&gt;0,INDEX($AA$4:$AL$323,Ajustes!$H117,X$2),0)+IF(Ajustes!$I117&gt;0,INDEX($AA$4:$AL$323,Ajustes!$I117,X$2),0)+IF(Ajustes!$J117&gt;0,INDEX($AA$4:$AL$323,Ajustes!$J117,X$2),0)+IF(Ajustes!$K117&gt;0,INDEX($AA$5:$AL$324,Ajustes!$K117,X$2),0)+IF(Ajustes!$L117&gt;0,INDEX($AA$4:$AL$323,Ajustes!$L117,X$2),0) + X117</f>
        <v>475</v>
      </c>
      <c r="AK117">
        <f>IF(Ajustes!$G117&gt;0,INDEX($AA$4:$AL$323,Ajustes!$G117,Y$2),0)+IF(Ajustes!$H117&gt;0,INDEX($AA$4:$AL$323,Ajustes!$H117,Y$2),0)+IF(Ajustes!$I117&gt;0,INDEX($AA$4:$AL$323,Ajustes!$I117,Y$2),0)+IF(Ajustes!$J117&gt;0,INDEX($AA$4:$AL$323,Ajustes!$J117,Y$2),0)+IF(Ajustes!$K117&gt;0,INDEX($AA$5:$AL$324,Ajustes!$K117,Y$2),0)+IF(Ajustes!$L117&gt;0,INDEX($AA$4:$AL$323,Ajustes!$L117,Y$2),0) + Y117</f>
        <v>341</v>
      </c>
      <c r="AL117">
        <f>IF(Ajustes!$G117&gt;0,INDEX($AA$4:$AL$323,Ajustes!$G117,Z$2),0)+IF(Ajustes!$H117&gt;0,INDEX($AA$4:$AL$323,Ajustes!$H117,Z$2),0)+IF(Ajustes!$I117&gt;0,INDEX($AA$4:$AL$323,Ajustes!$I117,Z$2),0)+IF(Ajustes!$J117&gt;0,INDEX($AA$4:$AL$323,Ajustes!$J117,Z$2),0)+IF(Ajustes!$K117&gt;0,INDEX($AA$5:$AL$324,Ajustes!$K117,Z$2),0)+IF(Ajustes!$L117&gt;0,INDEX($AA$4:$AL$323,Ajustes!$L117,Z$2),0) + Z117</f>
        <v>254</v>
      </c>
      <c r="AM117" s="113">
        <f t="shared" si="26"/>
        <v>201</v>
      </c>
      <c r="AN117" s="113">
        <f t="shared" si="26"/>
        <v>191</v>
      </c>
      <c r="AO117" s="113">
        <f t="shared" si="26"/>
        <v>163</v>
      </c>
      <c r="AP117" s="113">
        <f t="shared" si="26"/>
        <v>225</v>
      </c>
      <c r="AQ117" s="113">
        <f t="shared" si="26"/>
        <v>302</v>
      </c>
      <c r="AR117" s="113">
        <f t="shared" si="26"/>
        <v>384</v>
      </c>
      <c r="AS117" s="113">
        <f t="shared" si="28"/>
        <v>433</v>
      </c>
      <c r="AT117" s="113">
        <f t="shared" si="27"/>
        <v>425</v>
      </c>
      <c r="AU117" s="113">
        <f t="shared" si="27"/>
        <v>483</v>
      </c>
      <c r="AV117" s="113">
        <f t="shared" si="27"/>
        <v>475</v>
      </c>
      <c r="AW117" s="113">
        <f t="shared" si="27"/>
        <v>341</v>
      </c>
      <c r="AX117" s="113">
        <f t="shared" si="27"/>
        <v>254</v>
      </c>
    </row>
    <row r="118" spans="1:50" x14ac:dyDescent="0.25">
      <c r="A118" s="113">
        <v>115</v>
      </c>
      <c r="B118" s="209" t="s">
        <v>595</v>
      </c>
      <c r="C118">
        <f>IFERROR(INDEX($BD$7:$BO$35,MATCH(Ajustes!$E$4:$E$323,$BC$7:$BC$35,0),$C$2:$N$2),1)</f>
        <v>1</v>
      </c>
      <c r="D118" s="113">
        <f>IFERROR(INDEX($BD$7:$BO$35,MATCH(Ajustes!$E$4:$E$323,$BC$7:$BC$35,0),$C$2:$N$2),1)</f>
        <v>1</v>
      </c>
      <c r="E118" s="113">
        <f>IFERROR(INDEX($BD$7:$BO$35,MATCH(Ajustes!$E$4:$E$323,$BC$7:$BC$35,0),$C$2:$N$2),1)</f>
        <v>1</v>
      </c>
      <c r="F118" s="113">
        <f>IFERROR(INDEX($BD$7:$BO$35,MATCH(Ajustes!$E$4:$E$323,$BC$7:$BC$35,0),$C$2:$N$2),1)</f>
        <v>1</v>
      </c>
      <c r="G118" s="113">
        <f>IFERROR(INDEX($BD$7:$BO$35,MATCH(Ajustes!$E$4:$E$323,$BC$7:$BC$35,0),$C$2:$N$2),1)</f>
        <v>1</v>
      </c>
      <c r="H118" s="113">
        <f>IFERROR(INDEX($BD$7:$BO$35,MATCH(Ajustes!$E$4:$E$323,$BC$7:$BC$35,0),$C$2:$N$2),1)</f>
        <v>1</v>
      </c>
      <c r="I118" s="113">
        <f>IFERROR(INDEX($BD$7:$BO$35,MATCH(Ajustes!$E$4:$E$323,$BC$7:$BC$35,0),$C$2:$N$2),1)</f>
        <v>1</v>
      </c>
      <c r="J118" s="113">
        <f>IFERROR(INDEX($BD$7:$BO$35,MATCH(Ajustes!$E$4:$E$323,$BC$7:$BC$35,0),$C$2:$N$2),1)</f>
        <v>1</v>
      </c>
      <c r="K118" s="113">
        <f>IFERROR(INDEX($BD$7:$BO$35,MATCH(Ajustes!$E$4:$E$323,$BC$7:$BC$35,0),$C$2:$N$2),1)</f>
        <v>1</v>
      </c>
      <c r="L118" s="113">
        <f>IFERROR(INDEX($BD$7:$BO$35,MATCH(Ajustes!$E$4:$E$323,$BC$7:$BC$35,0),$C$2:$N$2),1)</f>
        <v>1</v>
      </c>
      <c r="M118" s="113">
        <f>IFERROR(INDEX($BD$7:$BO$35,MATCH(Ajustes!$E$4:$E$323,$BC$7:$BC$35,0),$C$2:$N$2),1)</f>
        <v>1</v>
      </c>
      <c r="N118" s="113">
        <f>IFERROR(INDEX($BD$7:$BO$35,MATCH(Ajustes!$E$4:$E$323,$BC$7:$BC$35,0),$C$2:$N$2),1)</f>
        <v>1</v>
      </c>
      <c r="O118">
        <f>C118*Ajustes!AM118</f>
        <v>25</v>
      </c>
      <c r="P118">
        <f>D118*Ajustes!AN118</f>
        <v>27</v>
      </c>
      <c r="Q118">
        <f>E118*Ajustes!AO118</f>
        <v>24</v>
      </c>
      <c r="R118">
        <f>F118*Ajustes!AP118</f>
        <v>18</v>
      </c>
      <c r="S118">
        <f>G118*Ajustes!AQ118</f>
        <v>17</v>
      </c>
      <c r="T118">
        <f>H118*Ajustes!AR118</f>
        <v>17</v>
      </c>
      <c r="U118">
        <f>I118*Ajustes!AS118</f>
        <v>17</v>
      </c>
      <c r="V118">
        <f>J118*Ajustes!AT118</f>
        <v>14</v>
      </c>
      <c r="W118">
        <f>K118*Ajustes!AU118</f>
        <v>18</v>
      </c>
      <c r="X118">
        <f>L118*Ajustes!AV118</f>
        <v>20</v>
      </c>
      <c r="Y118">
        <f>M118*Ajustes!AW118</f>
        <v>19</v>
      </c>
      <c r="Z118">
        <f>N118*Ajustes!AX118</f>
        <v>20</v>
      </c>
      <c r="AA118">
        <f>IF(Ajustes!$G118&gt;0,INDEX($AA$4:$AL$323,Ajustes!$G118,O$2),0)+IF(Ajustes!$H118&gt;0,INDEX($AA$4:$AL$323,Ajustes!$H118,O$2),0)+IF(Ajustes!$I118&gt;0,INDEX($AA$4:$AL$323,Ajustes!$I118,O$2),0)+IF(Ajustes!$J118&gt;0,INDEX($AA$4:$AL$323,Ajustes!$J118,O$2),0)+IF(Ajustes!$K118&gt;0,INDEX($AA$5:$AL$324,Ajustes!$K118,O$2),0)+IF(Ajustes!$L118&gt;0,INDEX($AA$4:$AL$323,Ajustes!$L118,O$2),0) + O118</f>
        <v>25</v>
      </c>
      <c r="AB118">
        <f>IF(Ajustes!$G118&gt;0,INDEX($AA$4:$AL$323,Ajustes!$G118,P$2),0)+IF(Ajustes!$H118&gt;0,INDEX($AA$4:$AL$323,Ajustes!$H118,P$2),0)+IF(Ajustes!$I118&gt;0,INDEX($AA$4:$AL$323,Ajustes!$I118,P$2),0)+IF(Ajustes!$J118&gt;0,INDEX($AA$4:$AL$323,Ajustes!$J118,P$2),0)+IF(Ajustes!$K118&gt;0,INDEX($AA$5:$AL$324,Ajustes!$K118,P$2),0)+IF(Ajustes!$L118&gt;0,INDEX($AA$4:$AL$323,Ajustes!$L118,P$2),0) + P118</f>
        <v>27</v>
      </c>
      <c r="AC118">
        <f>IF(Ajustes!$G118&gt;0,INDEX($AA$4:$AL$323,Ajustes!$G118,Q$2),0)+IF(Ajustes!$H118&gt;0,INDEX($AA$4:$AL$323,Ajustes!$H118,Q$2),0)+IF(Ajustes!$I118&gt;0,INDEX($AA$4:$AL$323,Ajustes!$I118,Q$2),0)+IF(Ajustes!$J118&gt;0,INDEX($AA$4:$AL$323,Ajustes!$J118,Q$2),0)+IF(Ajustes!$K118&gt;0,INDEX($AA$5:$AL$324,Ajustes!$K118,Q$2),0)+IF(Ajustes!$L118&gt;0,INDEX($AA$4:$AL$323,Ajustes!$L118,Q$2),0) + Q118</f>
        <v>24</v>
      </c>
      <c r="AD118">
        <f>IF(Ajustes!$G118&gt;0,INDEX($AA$4:$AL$323,Ajustes!$G118,R$2),0)+IF(Ajustes!$H118&gt;0,INDEX($AA$4:$AL$323,Ajustes!$H118,R$2),0)+IF(Ajustes!$I118&gt;0,INDEX($AA$4:$AL$323,Ajustes!$I118,R$2),0)+IF(Ajustes!$J118&gt;0,INDEX($AA$4:$AL$323,Ajustes!$J118,R$2),0)+IF(Ajustes!$K118&gt;0,INDEX($AA$5:$AL$324,Ajustes!$K118,R$2),0)+IF(Ajustes!$L118&gt;0,INDEX($AA$4:$AL$323,Ajustes!$L118,R$2),0) + R118</f>
        <v>18</v>
      </c>
      <c r="AE118">
        <f>IF(Ajustes!$G118&gt;0,INDEX($AA$4:$AL$323,Ajustes!$G118,S$2),0)+IF(Ajustes!$H118&gt;0,INDEX($AA$4:$AL$323,Ajustes!$H118,S$2),0)+IF(Ajustes!$I118&gt;0,INDEX($AA$4:$AL$323,Ajustes!$I118,S$2),0)+IF(Ajustes!$J118&gt;0,INDEX($AA$4:$AL$323,Ajustes!$J118,S$2),0)+IF(Ajustes!$K118&gt;0,INDEX($AA$5:$AL$324,Ajustes!$K118,S$2),0)+IF(Ajustes!$L118&gt;0,INDEX($AA$4:$AL$323,Ajustes!$L118,S$2),0) + S118</f>
        <v>17</v>
      </c>
      <c r="AF118">
        <f>IF(Ajustes!$G118&gt;0,INDEX($AA$4:$AL$323,Ajustes!$G118,T$2),0)+IF(Ajustes!$H118&gt;0,INDEX($AA$4:$AL$323,Ajustes!$H118,T$2),0)+IF(Ajustes!$I118&gt;0,INDEX($AA$4:$AL$323,Ajustes!$I118,T$2),0)+IF(Ajustes!$J118&gt;0,INDEX($AA$4:$AL$323,Ajustes!$J118,T$2),0)+IF(Ajustes!$K118&gt;0,INDEX($AA$5:$AL$324,Ajustes!$K118,T$2),0)+IF(Ajustes!$L118&gt;0,INDEX($AA$4:$AL$323,Ajustes!$L118,T$2),0) + T118</f>
        <v>17</v>
      </c>
      <c r="AG118">
        <f>IF(Ajustes!$G118&gt;0,INDEX($AA$4:$AL$323,Ajustes!$G118,U$2),0)+IF(Ajustes!$H118&gt;0,INDEX($AA$4:$AL$323,Ajustes!$H118,U$2),0)+IF(Ajustes!$I118&gt;0,INDEX($AA$4:$AL$323,Ajustes!$I118,U$2),0)+IF(Ajustes!$J118&gt;0,INDEX($AA$4:$AL$323,Ajustes!$J118,U$2),0)+IF(Ajustes!$K118&gt;0,INDEX($AA$5:$AL$324,Ajustes!$K118,U$2),0)+IF(Ajustes!$L118&gt;0,INDEX($AA$4:$AL$323,Ajustes!$L118,U$2),0) + U118</f>
        <v>17</v>
      </c>
      <c r="AH118">
        <f>IF(Ajustes!$G118&gt;0,INDEX($AA$4:$AL$323,Ajustes!$G118,V$2),0)+IF(Ajustes!$H118&gt;0,INDEX($AA$4:$AL$323,Ajustes!$H118,V$2),0)+IF(Ajustes!$I118&gt;0,INDEX($AA$4:$AL$323,Ajustes!$I118,V$2),0)+IF(Ajustes!$J118&gt;0,INDEX($AA$4:$AL$323,Ajustes!$J118,V$2),0)+IF(Ajustes!$K118&gt;0,INDEX($AA$5:$AL$324,Ajustes!$K118,V$2),0)+IF(Ajustes!$L118&gt;0,INDEX($AA$4:$AL$323,Ajustes!$L118,V$2),0) + V118</f>
        <v>14</v>
      </c>
      <c r="AI118">
        <f>IF(Ajustes!$G118&gt;0,INDEX($AA$4:$AL$323,Ajustes!$G118,W$2),0)+IF(Ajustes!$H118&gt;0,INDEX($AA$4:$AL$323,Ajustes!$H118,W$2),0)+IF(Ajustes!$I118&gt;0,INDEX($AA$4:$AL$323,Ajustes!$I118,W$2),0)+IF(Ajustes!$J118&gt;0,INDEX($AA$4:$AL$323,Ajustes!$J118,W$2),0)+IF(Ajustes!$K118&gt;0,INDEX($AA$5:$AL$324,Ajustes!$K118,W$2),0)+IF(Ajustes!$L118&gt;0,INDEX($AA$4:$AL$323,Ajustes!$L118,W$2),0) + W118</f>
        <v>18</v>
      </c>
      <c r="AJ118">
        <f>IF(Ajustes!$G118&gt;0,INDEX($AA$4:$AL$323,Ajustes!$G118,X$2),0)+IF(Ajustes!$H118&gt;0,INDEX($AA$4:$AL$323,Ajustes!$H118,X$2),0)+IF(Ajustes!$I118&gt;0,INDEX($AA$4:$AL$323,Ajustes!$I118,X$2),0)+IF(Ajustes!$J118&gt;0,INDEX($AA$4:$AL$323,Ajustes!$J118,X$2),0)+IF(Ajustes!$K118&gt;0,INDEX($AA$5:$AL$324,Ajustes!$K118,X$2),0)+IF(Ajustes!$L118&gt;0,INDEX($AA$4:$AL$323,Ajustes!$L118,X$2),0) + X118</f>
        <v>20</v>
      </c>
      <c r="AK118">
        <f>IF(Ajustes!$G118&gt;0,INDEX($AA$4:$AL$323,Ajustes!$G118,Y$2),0)+IF(Ajustes!$H118&gt;0,INDEX($AA$4:$AL$323,Ajustes!$H118,Y$2),0)+IF(Ajustes!$I118&gt;0,INDEX($AA$4:$AL$323,Ajustes!$I118,Y$2),0)+IF(Ajustes!$J118&gt;0,INDEX($AA$4:$AL$323,Ajustes!$J118,Y$2),0)+IF(Ajustes!$K118&gt;0,INDEX($AA$5:$AL$324,Ajustes!$K118,Y$2),0)+IF(Ajustes!$L118&gt;0,INDEX($AA$4:$AL$323,Ajustes!$L118,Y$2),0) + Y118</f>
        <v>19</v>
      </c>
      <c r="AL118">
        <f>IF(Ajustes!$G118&gt;0,INDEX($AA$4:$AL$323,Ajustes!$G118,Z$2),0)+IF(Ajustes!$H118&gt;0,INDEX($AA$4:$AL$323,Ajustes!$H118,Z$2),0)+IF(Ajustes!$I118&gt;0,INDEX($AA$4:$AL$323,Ajustes!$I118,Z$2),0)+IF(Ajustes!$J118&gt;0,INDEX($AA$4:$AL$323,Ajustes!$J118,Z$2),0)+IF(Ajustes!$K118&gt;0,INDEX($AA$5:$AL$324,Ajustes!$K118,Z$2),0)+IF(Ajustes!$L118&gt;0,INDEX($AA$4:$AL$323,Ajustes!$L118,Z$2),0) + Z118</f>
        <v>20</v>
      </c>
      <c r="AM118" s="113">
        <f t="shared" si="26"/>
        <v>25</v>
      </c>
      <c r="AN118" s="113">
        <f t="shared" si="26"/>
        <v>27</v>
      </c>
      <c r="AO118" s="113">
        <f t="shared" si="26"/>
        <v>24</v>
      </c>
      <c r="AP118" s="113">
        <f t="shared" si="26"/>
        <v>18</v>
      </c>
      <c r="AQ118" s="113">
        <f t="shared" si="26"/>
        <v>17</v>
      </c>
      <c r="AR118" s="113">
        <f t="shared" si="26"/>
        <v>17</v>
      </c>
      <c r="AS118" s="113">
        <f t="shared" si="28"/>
        <v>17</v>
      </c>
      <c r="AT118" s="113">
        <f t="shared" si="27"/>
        <v>14</v>
      </c>
      <c r="AU118" s="113">
        <f t="shared" si="27"/>
        <v>18</v>
      </c>
      <c r="AV118" s="113">
        <f t="shared" si="27"/>
        <v>20</v>
      </c>
      <c r="AW118" s="113">
        <f t="shared" si="27"/>
        <v>19</v>
      </c>
      <c r="AX118" s="113">
        <f t="shared" si="27"/>
        <v>20</v>
      </c>
    </row>
    <row r="119" spans="1:50" x14ac:dyDescent="0.25">
      <c r="A119" s="113">
        <v>116</v>
      </c>
      <c r="B119" s="209" t="s">
        <v>596</v>
      </c>
      <c r="C119">
        <f>IFERROR(INDEX($BD$7:$BO$35,MATCH(Ajustes!$E$4:$E$323,$BC$7:$BC$35,0),$C$2:$N$2),1)</f>
        <v>1</v>
      </c>
      <c r="D119" s="113">
        <f>IFERROR(INDEX($BD$7:$BO$35,MATCH(Ajustes!$E$4:$E$323,$BC$7:$BC$35,0),$C$2:$N$2),1)</f>
        <v>1</v>
      </c>
      <c r="E119" s="113">
        <f>IFERROR(INDEX($BD$7:$BO$35,MATCH(Ajustes!$E$4:$E$323,$BC$7:$BC$35,0),$C$2:$N$2),1)</f>
        <v>1</v>
      </c>
      <c r="F119" s="113">
        <f>IFERROR(INDEX($BD$7:$BO$35,MATCH(Ajustes!$E$4:$E$323,$BC$7:$BC$35,0),$C$2:$N$2),1)</f>
        <v>1</v>
      </c>
      <c r="G119" s="113">
        <f>IFERROR(INDEX($BD$7:$BO$35,MATCH(Ajustes!$E$4:$E$323,$BC$7:$BC$35,0),$C$2:$N$2),1)</f>
        <v>1</v>
      </c>
      <c r="H119" s="113">
        <f>IFERROR(INDEX($BD$7:$BO$35,MATCH(Ajustes!$E$4:$E$323,$BC$7:$BC$35,0),$C$2:$N$2),1)</f>
        <v>1</v>
      </c>
      <c r="I119" s="113">
        <f>IFERROR(INDEX($BD$7:$BO$35,MATCH(Ajustes!$E$4:$E$323,$BC$7:$BC$35,0),$C$2:$N$2),1)</f>
        <v>1</v>
      </c>
      <c r="J119" s="113">
        <f>IFERROR(INDEX($BD$7:$BO$35,MATCH(Ajustes!$E$4:$E$323,$BC$7:$BC$35,0),$C$2:$N$2),1)</f>
        <v>1</v>
      </c>
      <c r="K119" s="113">
        <f>IFERROR(INDEX($BD$7:$BO$35,MATCH(Ajustes!$E$4:$E$323,$BC$7:$BC$35,0),$C$2:$N$2),1)</f>
        <v>1</v>
      </c>
      <c r="L119" s="113">
        <f>IFERROR(INDEX($BD$7:$BO$35,MATCH(Ajustes!$E$4:$E$323,$BC$7:$BC$35,0),$C$2:$N$2),1)</f>
        <v>1</v>
      </c>
      <c r="M119" s="113">
        <f>IFERROR(INDEX($BD$7:$BO$35,MATCH(Ajustes!$E$4:$E$323,$BC$7:$BC$35,0),$C$2:$N$2),1)</f>
        <v>1</v>
      </c>
      <c r="N119" s="113">
        <f>IFERROR(INDEX($BD$7:$BO$35,MATCH(Ajustes!$E$4:$E$323,$BC$7:$BC$35,0),$C$2:$N$2),1)</f>
        <v>1</v>
      </c>
      <c r="O119">
        <f>C119*Ajustes!AM119</f>
        <v>6</v>
      </c>
      <c r="P119">
        <f>D119*Ajustes!AN119</f>
        <v>6</v>
      </c>
      <c r="Q119">
        <f>E119*Ajustes!AO119</f>
        <v>5</v>
      </c>
      <c r="R119">
        <f>F119*Ajustes!AP119</f>
        <v>4</v>
      </c>
      <c r="S119">
        <f>G119*Ajustes!AQ119</f>
        <v>3</v>
      </c>
      <c r="T119">
        <f>H119*Ajustes!AR119</f>
        <v>2</v>
      </c>
      <c r="U119">
        <f>I119*Ajustes!AS119</f>
        <v>2</v>
      </c>
      <c r="V119">
        <f>J119*Ajustes!AT119</f>
        <v>2</v>
      </c>
      <c r="W119">
        <f>K119*Ajustes!AU119</f>
        <v>3</v>
      </c>
      <c r="X119">
        <f>L119*Ajustes!AV119</f>
        <v>3</v>
      </c>
      <c r="Y119">
        <f>M119*Ajustes!AW119</f>
        <v>3</v>
      </c>
      <c r="Z119">
        <f>N119*Ajustes!AX119</f>
        <v>5</v>
      </c>
      <c r="AA119">
        <f>IF(Ajustes!$G119&gt;0,INDEX($AA$4:$AL$323,Ajustes!$G119,O$2),0)+IF(Ajustes!$H119&gt;0,INDEX($AA$4:$AL$323,Ajustes!$H119,O$2),0)+IF(Ajustes!$I119&gt;0,INDEX($AA$4:$AL$323,Ajustes!$I119,O$2),0)+IF(Ajustes!$J119&gt;0,INDEX($AA$4:$AL$323,Ajustes!$J119,O$2),0)+IF(Ajustes!$K119&gt;0,INDEX($AA$5:$AL$324,Ajustes!$K119,O$2),0)+IF(Ajustes!$L119&gt;0,INDEX($AA$4:$AL$323,Ajustes!$L119,O$2),0) + O119</f>
        <v>6</v>
      </c>
      <c r="AB119">
        <f>IF(Ajustes!$G119&gt;0,INDEX($AA$4:$AL$323,Ajustes!$G119,P$2),0)+IF(Ajustes!$H119&gt;0,INDEX($AA$4:$AL$323,Ajustes!$H119,P$2),0)+IF(Ajustes!$I119&gt;0,INDEX($AA$4:$AL$323,Ajustes!$I119,P$2),0)+IF(Ajustes!$J119&gt;0,INDEX($AA$4:$AL$323,Ajustes!$J119,P$2),0)+IF(Ajustes!$K119&gt;0,INDEX($AA$5:$AL$324,Ajustes!$K119,P$2),0)+IF(Ajustes!$L119&gt;0,INDEX($AA$4:$AL$323,Ajustes!$L119,P$2),0) + P119</f>
        <v>6</v>
      </c>
      <c r="AC119">
        <f>IF(Ajustes!$G119&gt;0,INDEX($AA$4:$AL$323,Ajustes!$G119,Q$2),0)+IF(Ajustes!$H119&gt;0,INDEX($AA$4:$AL$323,Ajustes!$H119,Q$2),0)+IF(Ajustes!$I119&gt;0,INDEX($AA$4:$AL$323,Ajustes!$I119,Q$2),0)+IF(Ajustes!$J119&gt;0,INDEX($AA$4:$AL$323,Ajustes!$J119,Q$2),0)+IF(Ajustes!$K119&gt;0,INDEX($AA$5:$AL$324,Ajustes!$K119,Q$2),0)+IF(Ajustes!$L119&gt;0,INDEX($AA$4:$AL$323,Ajustes!$L119,Q$2),0) + Q119</f>
        <v>5</v>
      </c>
      <c r="AD119">
        <f>IF(Ajustes!$G119&gt;0,INDEX($AA$4:$AL$323,Ajustes!$G119,R$2),0)+IF(Ajustes!$H119&gt;0,INDEX($AA$4:$AL$323,Ajustes!$H119,R$2),0)+IF(Ajustes!$I119&gt;0,INDEX($AA$4:$AL$323,Ajustes!$I119,R$2),0)+IF(Ajustes!$J119&gt;0,INDEX($AA$4:$AL$323,Ajustes!$J119,R$2),0)+IF(Ajustes!$K119&gt;0,INDEX($AA$5:$AL$324,Ajustes!$K119,R$2),0)+IF(Ajustes!$L119&gt;0,INDEX($AA$4:$AL$323,Ajustes!$L119,R$2),0) + R119</f>
        <v>4</v>
      </c>
      <c r="AE119">
        <f>IF(Ajustes!$G119&gt;0,INDEX($AA$4:$AL$323,Ajustes!$G119,S$2),0)+IF(Ajustes!$H119&gt;0,INDEX($AA$4:$AL$323,Ajustes!$H119,S$2),0)+IF(Ajustes!$I119&gt;0,INDEX($AA$4:$AL$323,Ajustes!$I119,S$2),0)+IF(Ajustes!$J119&gt;0,INDEX($AA$4:$AL$323,Ajustes!$J119,S$2),0)+IF(Ajustes!$K119&gt;0,INDEX($AA$5:$AL$324,Ajustes!$K119,S$2),0)+IF(Ajustes!$L119&gt;0,INDEX($AA$4:$AL$323,Ajustes!$L119,S$2),0) + S119</f>
        <v>3</v>
      </c>
      <c r="AF119">
        <f>IF(Ajustes!$G119&gt;0,INDEX($AA$4:$AL$323,Ajustes!$G119,T$2),0)+IF(Ajustes!$H119&gt;0,INDEX($AA$4:$AL$323,Ajustes!$H119,T$2),0)+IF(Ajustes!$I119&gt;0,INDEX($AA$4:$AL$323,Ajustes!$I119,T$2),0)+IF(Ajustes!$J119&gt;0,INDEX($AA$4:$AL$323,Ajustes!$J119,T$2),0)+IF(Ajustes!$K119&gt;0,INDEX($AA$5:$AL$324,Ajustes!$K119,T$2),0)+IF(Ajustes!$L119&gt;0,INDEX($AA$4:$AL$323,Ajustes!$L119,T$2),0) + T119</f>
        <v>2</v>
      </c>
      <c r="AG119">
        <f>IF(Ajustes!$G119&gt;0,INDEX($AA$4:$AL$323,Ajustes!$G119,U$2),0)+IF(Ajustes!$H119&gt;0,INDEX($AA$4:$AL$323,Ajustes!$H119,U$2),0)+IF(Ajustes!$I119&gt;0,INDEX($AA$4:$AL$323,Ajustes!$I119,U$2),0)+IF(Ajustes!$J119&gt;0,INDEX($AA$4:$AL$323,Ajustes!$J119,U$2),0)+IF(Ajustes!$K119&gt;0,INDEX($AA$5:$AL$324,Ajustes!$K119,U$2),0)+IF(Ajustes!$L119&gt;0,INDEX($AA$4:$AL$323,Ajustes!$L119,U$2),0) + U119</f>
        <v>2</v>
      </c>
      <c r="AH119">
        <f>IF(Ajustes!$G119&gt;0,INDEX($AA$4:$AL$323,Ajustes!$G119,V$2),0)+IF(Ajustes!$H119&gt;0,INDEX($AA$4:$AL$323,Ajustes!$H119,V$2),0)+IF(Ajustes!$I119&gt;0,INDEX($AA$4:$AL$323,Ajustes!$I119,V$2),0)+IF(Ajustes!$J119&gt;0,INDEX($AA$4:$AL$323,Ajustes!$J119,V$2),0)+IF(Ajustes!$K119&gt;0,INDEX($AA$5:$AL$324,Ajustes!$K119,V$2),0)+IF(Ajustes!$L119&gt;0,INDEX($AA$4:$AL$323,Ajustes!$L119,V$2),0) + V119</f>
        <v>2</v>
      </c>
      <c r="AI119">
        <f>IF(Ajustes!$G119&gt;0,INDEX($AA$4:$AL$323,Ajustes!$G119,W$2),0)+IF(Ajustes!$H119&gt;0,INDEX($AA$4:$AL$323,Ajustes!$H119,W$2),0)+IF(Ajustes!$I119&gt;0,INDEX($AA$4:$AL$323,Ajustes!$I119,W$2),0)+IF(Ajustes!$J119&gt;0,INDEX($AA$4:$AL$323,Ajustes!$J119,W$2),0)+IF(Ajustes!$K119&gt;0,INDEX($AA$5:$AL$324,Ajustes!$K119,W$2),0)+IF(Ajustes!$L119&gt;0,INDEX($AA$4:$AL$323,Ajustes!$L119,W$2),0) + W119</f>
        <v>3</v>
      </c>
      <c r="AJ119">
        <f>IF(Ajustes!$G119&gt;0,INDEX($AA$4:$AL$323,Ajustes!$G119,X$2),0)+IF(Ajustes!$H119&gt;0,INDEX($AA$4:$AL$323,Ajustes!$H119,X$2),0)+IF(Ajustes!$I119&gt;0,INDEX($AA$4:$AL$323,Ajustes!$I119,X$2),0)+IF(Ajustes!$J119&gt;0,INDEX($AA$4:$AL$323,Ajustes!$J119,X$2),0)+IF(Ajustes!$K119&gt;0,INDEX($AA$5:$AL$324,Ajustes!$K119,X$2),0)+IF(Ajustes!$L119&gt;0,INDEX($AA$4:$AL$323,Ajustes!$L119,X$2),0) + X119</f>
        <v>3</v>
      </c>
      <c r="AK119">
        <f>IF(Ajustes!$G119&gt;0,INDEX($AA$4:$AL$323,Ajustes!$G119,Y$2),0)+IF(Ajustes!$H119&gt;0,INDEX($AA$4:$AL$323,Ajustes!$H119,Y$2),0)+IF(Ajustes!$I119&gt;0,INDEX($AA$4:$AL$323,Ajustes!$I119,Y$2),0)+IF(Ajustes!$J119&gt;0,INDEX($AA$4:$AL$323,Ajustes!$J119,Y$2),0)+IF(Ajustes!$K119&gt;0,INDEX($AA$5:$AL$324,Ajustes!$K119,Y$2),0)+IF(Ajustes!$L119&gt;0,INDEX($AA$4:$AL$323,Ajustes!$L119,Y$2),0) + Y119</f>
        <v>3</v>
      </c>
      <c r="AL119">
        <f>IF(Ajustes!$G119&gt;0,INDEX($AA$4:$AL$323,Ajustes!$G119,Z$2),0)+IF(Ajustes!$H119&gt;0,INDEX($AA$4:$AL$323,Ajustes!$H119,Z$2),0)+IF(Ajustes!$I119&gt;0,INDEX($AA$4:$AL$323,Ajustes!$I119,Z$2),0)+IF(Ajustes!$J119&gt;0,INDEX($AA$4:$AL$323,Ajustes!$J119,Z$2),0)+IF(Ajustes!$K119&gt;0,INDEX($AA$5:$AL$324,Ajustes!$K119,Z$2),0)+IF(Ajustes!$L119&gt;0,INDEX($AA$4:$AL$323,Ajustes!$L119,Z$2),0) + Z119</f>
        <v>5</v>
      </c>
      <c r="AM119" s="219">
        <f t="shared" ref="AM119:AX119" si="31">AM122-AM121</f>
        <v>7</v>
      </c>
      <c r="AN119" s="219">
        <f t="shared" si="31"/>
        <v>7</v>
      </c>
      <c r="AO119" s="219">
        <f t="shared" si="31"/>
        <v>6</v>
      </c>
      <c r="AP119" s="219">
        <f t="shared" si="31"/>
        <v>4</v>
      </c>
      <c r="AQ119" s="219">
        <f t="shared" si="31"/>
        <v>3</v>
      </c>
      <c r="AR119" s="219">
        <f t="shared" si="31"/>
        <v>3</v>
      </c>
      <c r="AS119" s="219">
        <f t="shared" si="31"/>
        <v>2</v>
      </c>
      <c r="AT119" s="219">
        <f t="shared" si="31"/>
        <v>2</v>
      </c>
      <c r="AU119" s="219">
        <f t="shared" si="31"/>
        <v>3</v>
      </c>
      <c r="AV119" s="219">
        <f t="shared" si="31"/>
        <v>4</v>
      </c>
      <c r="AW119" s="219">
        <f t="shared" si="31"/>
        <v>4</v>
      </c>
      <c r="AX119" s="219">
        <f t="shared" si="31"/>
        <v>5</v>
      </c>
    </row>
    <row r="120" spans="1:50" x14ac:dyDescent="0.25">
      <c r="A120" s="113">
        <v>117</v>
      </c>
      <c r="B120" s="209" t="s">
        <v>229</v>
      </c>
      <c r="C120">
        <f>IFERROR(INDEX($BD$7:$BO$35,MATCH(Ajustes!$E$4:$E$323,$BC$7:$BC$35,0),$C$2:$N$2),1)</f>
        <v>1</v>
      </c>
      <c r="D120" s="113">
        <f>IFERROR(INDEX($BD$7:$BO$35,MATCH(Ajustes!$E$4:$E$323,$BC$7:$BC$35,0),$C$2:$N$2),1)</f>
        <v>1</v>
      </c>
      <c r="E120" s="113">
        <f>IFERROR(INDEX($BD$7:$BO$35,MATCH(Ajustes!$E$4:$E$323,$BC$7:$BC$35,0),$C$2:$N$2),1)</f>
        <v>1</v>
      </c>
      <c r="F120" s="113">
        <f>IFERROR(INDEX($BD$7:$BO$35,MATCH(Ajustes!$E$4:$E$323,$BC$7:$BC$35,0),$C$2:$N$2),1)</f>
        <v>1</v>
      </c>
      <c r="G120" s="113">
        <f>IFERROR(INDEX($BD$7:$BO$35,MATCH(Ajustes!$E$4:$E$323,$BC$7:$BC$35,0),$C$2:$N$2),1)</f>
        <v>1</v>
      </c>
      <c r="H120" s="113">
        <f>IFERROR(INDEX($BD$7:$BO$35,MATCH(Ajustes!$E$4:$E$323,$BC$7:$BC$35,0),$C$2:$N$2),1)</f>
        <v>1</v>
      </c>
      <c r="I120" s="113">
        <f>IFERROR(INDEX($BD$7:$BO$35,MATCH(Ajustes!$E$4:$E$323,$BC$7:$BC$35,0),$C$2:$N$2),1)</f>
        <v>1</v>
      </c>
      <c r="J120" s="113">
        <f>IFERROR(INDEX($BD$7:$BO$35,MATCH(Ajustes!$E$4:$E$323,$BC$7:$BC$35,0),$C$2:$N$2),1)</f>
        <v>1</v>
      </c>
      <c r="K120" s="113">
        <f>IFERROR(INDEX($BD$7:$BO$35,MATCH(Ajustes!$E$4:$E$323,$BC$7:$BC$35,0),$C$2:$N$2),1)</f>
        <v>1</v>
      </c>
      <c r="L120" s="113">
        <f>IFERROR(INDEX($BD$7:$BO$35,MATCH(Ajustes!$E$4:$E$323,$BC$7:$BC$35,0),$C$2:$N$2),1)</f>
        <v>1</v>
      </c>
      <c r="M120" s="113">
        <f>IFERROR(INDEX($BD$7:$BO$35,MATCH(Ajustes!$E$4:$E$323,$BC$7:$BC$35,0),$C$2:$N$2),1)</f>
        <v>1</v>
      </c>
      <c r="N120" s="113">
        <f>IFERROR(INDEX($BD$7:$BO$35,MATCH(Ajustes!$E$4:$E$323,$BC$7:$BC$35,0),$C$2:$N$2),1)</f>
        <v>1</v>
      </c>
      <c r="O120">
        <f>C120*Ajustes!AM120</f>
        <v>19</v>
      </c>
      <c r="P120">
        <f>D120*Ajustes!AN120</f>
        <v>20</v>
      </c>
      <c r="Q120">
        <f>E120*Ajustes!AO120</f>
        <v>18</v>
      </c>
      <c r="R120">
        <f>F120*Ajustes!AP120</f>
        <v>13</v>
      </c>
      <c r="S120">
        <f>G120*Ajustes!AQ120</f>
        <v>10</v>
      </c>
      <c r="T120">
        <f>H120*Ajustes!AR120</f>
        <v>10</v>
      </c>
      <c r="U120">
        <f>I120*Ajustes!AS120</f>
        <v>8</v>
      </c>
      <c r="V120">
        <f>J120*Ajustes!AT120</f>
        <v>7</v>
      </c>
      <c r="W120">
        <f>K120*Ajustes!AU120</f>
        <v>9</v>
      </c>
      <c r="X120">
        <f>L120*Ajustes!AV120</f>
        <v>11</v>
      </c>
      <c r="Y120">
        <f>M120*Ajustes!AW120</f>
        <v>11</v>
      </c>
      <c r="Z120">
        <f>N120*Ajustes!AX120</f>
        <v>14</v>
      </c>
      <c r="AA120">
        <f>IF(Ajustes!$G120&gt;0,INDEX($AA$4:$AL$323,Ajustes!$G120,O$2),0)+IF(Ajustes!$H120&gt;0,INDEX($AA$4:$AL$323,Ajustes!$H120,O$2),0)+IF(Ajustes!$I120&gt;0,INDEX($AA$4:$AL$323,Ajustes!$I120,O$2),0)+IF(Ajustes!$J120&gt;0,INDEX($AA$4:$AL$323,Ajustes!$J120,O$2),0)+IF(Ajustes!$K120&gt;0,INDEX($AA$5:$AL$324,Ajustes!$K120,O$2),0)+IF(Ajustes!$L120&gt;0,INDEX($AA$4:$AL$323,Ajustes!$L120,O$2),0) + O120</f>
        <v>19</v>
      </c>
      <c r="AB120">
        <f>IF(Ajustes!$G120&gt;0,INDEX($AA$4:$AL$323,Ajustes!$G120,P$2),0)+IF(Ajustes!$H120&gt;0,INDEX($AA$4:$AL$323,Ajustes!$H120,P$2),0)+IF(Ajustes!$I120&gt;0,INDEX($AA$4:$AL$323,Ajustes!$I120,P$2),0)+IF(Ajustes!$J120&gt;0,INDEX($AA$4:$AL$323,Ajustes!$J120,P$2),0)+IF(Ajustes!$K120&gt;0,INDEX($AA$5:$AL$324,Ajustes!$K120,P$2),0)+IF(Ajustes!$L120&gt;0,INDEX($AA$4:$AL$323,Ajustes!$L120,P$2),0) + P120</f>
        <v>20</v>
      </c>
      <c r="AC120">
        <f>IF(Ajustes!$G120&gt;0,INDEX($AA$4:$AL$323,Ajustes!$G120,Q$2),0)+IF(Ajustes!$H120&gt;0,INDEX($AA$4:$AL$323,Ajustes!$H120,Q$2),0)+IF(Ajustes!$I120&gt;0,INDEX($AA$4:$AL$323,Ajustes!$I120,Q$2),0)+IF(Ajustes!$J120&gt;0,INDEX($AA$4:$AL$323,Ajustes!$J120,Q$2),0)+IF(Ajustes!$K120&gt;0,INDEX($AA$5:$AL$324,Ajustes!$K120,Q$2),0)+IF(Ajustes!$L120&gt;0,INDEX($AA$4:$AL$323,Ajustes!$L120,Q$2),0) + Q120</f>
        <v>18</v>
      </c>
      <c r="AD120">
        <f>IF(Ajustes!$G120&gt;0,INDEX($AA$4:$AL$323,Ajustes!$G120,R$2),0)+IF(Ajustes!$H120&gt;0,INDEX($AA$4:$AL$323,Ajustes!$H120,R$2),0)+IF(Ajustes!$I120&gt;0,INDEX($AA$4:$AL$323,Ajustes!$I120,R$2),0)+IF(Ajustes!$J120&gt;0,INDEX($AA$4:$AL$323,Ajustes!$J120,R$2),0)+IF(Ajustes!$K120&gt;0,INDEX($AA$5:$AL$324,Ajustes!$K120,R$2),0)+IF(Ajustes!$L120&gt;0,INDEX($AA$4:$AL$323,Ajustes!$L120,R$2),0) + R120</f>
        <v>13</v>
      </c>
      <c r="AE120">
        <f>IF(Ajustes!$G120&gt;0,INDEX($AA$4:$AL$323,Ajustes!$G120,S$2),0)+IF(Ajustes!$H120&gt;0,INDEX($AA$4:$AL$323,Ajustes!$H120,S$2),0)+IF(Ajustes!$I120&gt;0,INDEX($AA$4:$AL$323,Ajustes!$I120,S$2),0)+IF(Ajustes!$J120&gt;0,INDEX($AA$4:$AL$323,Ajustes!$J120,S$2),0)+IF(Ajustes!$K120&gt;0,INDEX($AA$5:$AL$324,Ajustes!$K120,S$2),0)+IF(Ajustes!$L120&gt;0,INDEX($AA$4:$AL$323,Ajustes!$L120,S$2),0) + S120</f>
        <v>10</v>
      </c>
      <c r="AF120">
        <f>IF(Ajustes!$G120&gt;0,INDEX($AA$4:$AL$323,Ajustes!$G120,T$2),0)+IF(Ajustes!$H120&gt;0,INDEX($AA$4:$AL$323,Ajustes!$H120,T$2),0)+IF(Ajustes!$I120&gt;0,INDEX($AA$4:$AL$323,Ajustes!$I120,T$2),0)+IF(Ajustes!$J120&gt;0,INDEX($AA$4:$AL$323,Ajustes!$J120,T$2),0)+IF(Ajustes!$K120&gt;0,INDEX($AA$5:$AL$324,Ajustes!$K120,T$2),0)+IF(Ajustes!$L120&gt;0,INDEX($AA$4:$AL$323,Ajustes!$L120,T$2),0) + T120</f>
        <v>10</v>
      </c>
      <c r="AG120">
        <f>IF(Ajustes!$G120&gt;0,INDEX($AA$4:$AL$323,Ajustes!$G120,U$2),0)+IF(Ajustes!$H120&gt;0,INDEX($AA$4:$AL$323,Ajustes!$H120,U$2),0)+IF(Ajustes!$I120&gt;0,INDEX($AA$4:$AL$323,Ajustes!$I120,U$2),0)+IF(Ajustes!$J120&gt;0,INDEX($AA$4:$AL$323,Ajustes!$J120,U$2),0)+IF(Ajustes!$K120&gt;0,INDEX($AA$5:$AL$324,Ajustes!$K120,U$2),0)+IF(Ajustes!$L120&gt;0,INDEX($AA$4:$AL$323,Ajustes!$L120,U$2),0) + U120</f>
        <v>8</v>
      </c>
      <c r="AH120">
        <f>IF(Ajustes!$G120&gt;0,INDEX($AA$4:$AL$323,Ajustes!$G120,V$2),0)+IF(Ajustes!$H120&gt;0,INDEX($AA$4:$AL$323,Ajustes!$H120,V$2),0)+IF(Ajustes!$I120&gt;0,INDEX($AA$4:$AL$323,Ajustes!$I120,V$2),0)+IF(Ajustes!$J120&gt;0,INDEX($AA$4:$AL$323,Ajustes!$J120,V$2),0)+IF(Ajustes!$K120&gt;0,INDEX($AA$5:$AL$324,Ajustes!$K120,V$2),0)+IF(Ajustes!$L120&gt;0,INDEX($AA$4:$AL$323,Ajustes!$L120,V$2),0) + V120</f>
        <v>7</v>
      </c>
      <c r="AI120">
        <f>IF(Ajustes!$G120&gt;0,INDEX($AA$4:$AL$323,Ajustes!$G120,W$2),0)+IF(Ajustes!$H120&gt;0,INDEX($AA$4:$AL$323,Ajustes!$H120,W$2),0)+IF(Ajustes!$I120&gt;0,INDEX($AA$4:$AL$323,Ajustes!$I120,W$2),0)+IF(Ajustes!$J120&gt;0,INDEX($AA$4:$AL$323,Ajustes!$J120,W$2),0)+IF(Ajustes!$K120&gt;0,INDEX($AA$5:$AL$324,Ajustes!$K120,W$2),0)+IF(Ajustes!$L120&gt;0,INDEX($AA$4:$AL$323,Ajustes!$L120,W$2),0) + W120</f>
        <v>9</v>
      </c>
      <c r="AJ120">
        <f>IF(Ajustes!$G120&gt;0,INDEX($AA$4:$AL$323,Ajustes!$G120,X$2),0)+IF(Ajustes!$H120&gt;0,INDEX($AA$4:$AL$323,Ajustes!$H120,X$2),0)+IF(Ajustes!$I120&gt;0,INDEX($AA$4:$AL$323,Ajustes!$I120,X$2),0)+IF(Ajustes!$J120&gt;0,INDEX($AA$4:$AL$323,Ajustes!$J120,X$2),0)+IF(Ajustes!$K120&gt;0,INDEX($AA$5:$AL$324,Ajustes!$K120,X$2),0)+IF(Ajustes!$L120&gt;0,INDEX($AA$4:$AL$323,Ajustes!$L120,X$2),0) + X120</f>
        <v>11</v>
      </c>
      <c r="AK120">
        <f>IF(Ajustes!$G120&gt;0,INDEX($AA$4:$AL$323,Ajustes!$G120,Y$2),0)+IF(Ajustes!$H120&gt;0,INDEX($AA$4:$AL$323,Ajustes!$H120,Y$2),0)+IF(Ajustes!$I120&gt;0,INDEX($AA$4:$AL$323,Ajustes!$I120,Y$2),0)+IF(Ajustes!$J120&gt;0,INDEX($AA$4:$AL$323,Ajustes!$J120,Y$2),0)+IF(Ajustes!$K120&gt;0,INDEX($AA$5:$AL$324,Ajustes!$K120,Y$2),0)+IF(Ajustes!$L120&gt;0,INDEX($AA$4:$AL$323,Ajustes!$L120,Y$2),0) + Y120</f>
        <v>11</v>
      </c>
      <c r="AL120">
        <f>IF(Ajustes!$G120&gt;0,INDEX($AA$4:$AL$323,Ajustes!$G120,Z$2),0)+IF(Ajustes!$H120&gt;0,INDEX($AA$4:$AL$323,Ajustes!$H120,Z$2),0)+IF(Ajustes!$I120&gt;0,INDEX($AA$4:$AL$323,Ajustes!$I120,Z$2),0)+IF(Ajustes!$J120&gt;0,INDEX($AA$4:$AL$323,Ajustes!$J120,Z$2),0)+IF(Ajustes!$K120&gt;0,INDEX($AA$5:$AL$324,Ajustes!$K120,Z$2),0)+IF(Ajustes!$L120&gt;0,INDEX($AA$4:$AL$323,Ajustes!$L120,Z$2),0) + Z120</f>
        <v>14</v>
      </c>
      <c r="AM120" s="113">
        <f t="shared" si="26"/>
        <v>19</v>
      </c>
      <c r="AN120" s="113">
        <f t="shared" si="26"/>
        <v>20</v>
      </c>
      <c r="AO120" s="113">
        <f t="shared" si="26"/>
        <v>18</v>
      </c>
      <c r="AP120" s="113">
        <f t="shared" si="26"/>
        <v>13</v>
      </c>
      <c r="AQ120" s="113">
        <f t="shared" si="26"/>
        <v>10</v>
      </c>
      <c r="AR120" s="113">
        <f t="shared" si="26"/>
        <v>10</v>
      </c>
      <c r="AS120" s="113">
        <f t="shared" si="28"/>
        <v>8</v>
      </c>
      <c r="AT120" s="113">
        <f t="shared" si="27"/>
        <v>7</v>
      </c>
      <c r="AU120" s="113">
        <f t="shared" si="27"/>
        <v>9</v>
      </c>
      <c r="AV120" s="113">
        <f t="shared" si="27"/>
        <v>11</v>
      </c>
      <c r="AW120" s="113">
        <f t="shared" si="27"/>
        <v>11</v>
      </c>
      <c r="AX120" s="113">
        <f t="shared" si="27"/>
        <v>14</v>
      </c>
    </row>
    <row r="121" spans="1:50" x14ac:dyDescent="0.25">
      <c r="A121" s="113">
        <v>118</v>
      </c>
      <c r="B121" s="209" t="s">
        <v>597</v>
      </c>
      <c r="C121">
        <f>IFERROR(INDEX($BD$7:$BO$35,MATCH(Ajustes!$E$4:$E$323,$BC$7:$BC$35,0),$C$2:$N$2),1)</f>
        <v>1</v>
      </c>
      <c r="D121" s="113">
        <f>IFERROR(INDEX($BD$7:$BO$35,MATCH(Ajustes!$E$4:$E$323,$BC$7:$BC$35,0),$C$2:$N$2),1)</f>
        <v>1</v>
      </c>
      <c r="E121" s="113">
        <f>IFERROR(INDEX($BD$7:$BO$35,MATCH(Ajustes!$E$4:$E$323,$BC$7:$BC$35,0),$C$2:$N$2),1)</f>
        <v>1</v>
      </c>
      <c r="F121" s="113">
        <f>IFERROR(INDEX($BD$7:$BO$35,MATCH(Ajustes!$E$4:$E$323,$BC$7:$BC$35,0),$C$2:$N$2),1)</f>
        <v>1</v>
      </c>
      <c r="G121" s="113">
        <f>IFERROR(INDEX($BD$7:$BO$35,MATCH(Ajustes!$E$4:$E$323,$BC$7:$BC$35,0),$C$2:$N$2),1)</f>
        <v>1</v>
      </c>
      <c r="H121" s="113">
        <f>IFERROR(INDEX($BD$7:$BO$35,MATCH(Ajustes!$E$4:$E$323,$BC$7:$BC$35,0),$C$2:$N$2),1)</f>
        <v>1</v>
      </c>
      <c r="I121" s="113">
        <f>IFERROR(INDEX($BD$7:$BO$35,MATCH(Ajustes!$E$4:$E$323,$BC$7:$BC$35,0),$C$2:$N$2),1)</f>
        <v>1</v>
      </c>
      <c r="J121" s="113">
        <f>IFERROR(INDEX($BD$7:$BO$35,MATCH(Ajustes!$E$4:$E$323,$BC$7:$BC$35,0),$C$2:$N$2),1)</f>
        <v>1</v>
      </c>
      <c r="K121" s="113">
        <f>IFERROR(INDEX($BD$7:$BO$35,MATCH(Ajustes!$E$4:$E$323,$BC$7:$BC$35,0),$C$2:$N$2),1)</f>
        <v>1</v>
      </c>
      <c r="L121" s="113">
        <f>IFERROR(INDEX($BD$7:$BO$35,MATCH(Ajustes!$E$4:$E$323,$BC$7:$BC$35,0),$C$2:$N$2),1)</f>
        <v>1</v>
      </c>
      <c r="M121" s="113">
        <f>IFERROR(INDEX($BD$7:$BO$35,MATCH(Ajustes!$E$4:$E$323,$BC$7:$BC$35,0),$C$2:$N$2),1)</f>
        <v>1</v>
      </c>
      <c r="N121" s="113">
        <f>IFERROR(INDEX($BD$7:$BO$35,MATCH(Ajustes!$E$4:$E$323,$BC$7:$BC$35,0),$C$2:$N$2),1)</f>
        <v>1</v>
      </c>
      <c r="O121">
        <f>C121*Ajustes!AM121</f>
        <v>7</v>
      </c>
      <c r="P121">
        <f>D121*Ajustes!AN121</f>
        <v>6</v>
      </c>
      <c r="Q121">
        <f>E121*Ajustes!AO121</f>
        <v>5</v>
      </c>
      <c r="R121">
        <f>F121*Ajustes!AP121</f>
        <v>4</v>
      </c>
      <c r="S121">
        <f>G121*Ajustes!AQ121</f>
        <v>2</v>
      </c>
      <c r="T121">
        <f>H121*Ajustes!AR121</f>
        <v>1</v>
      </c>
      <c r="U121">
        <f>I121*Ajustes!AS121</f>
        <v>1</v>
      </c>
      <c r="V121">
        <f>J121*Ajustes!AT121</f>
        <v>1</v>
      </c>
      <c r="W121">
        <f>K121*Ajustes!AU121</f>
        <v>3</v>
      </c>
      <c r="X121">
        <f>L121*Ajustes!AV121</f>
        <v>4</v>
      </c>
      <c r="Y121">
        <f>M121*Ajustes!AW121</f>
        <v>4</v>
      </c>
      <c r="Z121">
        <f>N121*Ajustes!AX121</f>
        <v>7</v>
      </c>
      <c r="AA121">
        <f>IF(Ajustes!$G121&gt;0,INDEX($AA$4:$AL$323,Ajustes!$G121,O$2),0)+IF(Ajustes!$H121&gt;0,INDEX($AA$4:$AL$323,Ajustes!$H121,O$2),0)+IF(Ajustes!$I121&gt;0,INDEX($AA$4:$AL$323,Ajustes!$I121,O$2),0)+IF(Ajustes!$J121&gt;0,INDEX($AA$4:$AL$323,Ajustes!$J121,O$2),0)+IF(Ajustes!$K121&gt;0,INDEX($AA$5:$AL$324,Ajustes!$K121,O$2),0)+IF(Ajustes!$L121&gt;0,INDEX($AA$4:$AL$323,Ajustes!$L121,O$2),0) + O121</f>
        <v>26</v>
      </c>
      <c r="AB121">
        <f>IF(Ajustes!$G121&gt;0,INDEX($AA$4:$AL$323,Ajustes!$G121,P$2),0)+IF(Ajustes!$H121&gt;0,INDEX($AA$4:$AL$323,Ajustes!$H121,P$2),0)+IF(Ajustes!$I121&gt;0,INDEX($AA$4:$AL$323,Ajustes!$I121,P$2),0)+IF(Ajustes!$J121&gt;0,INDEX($AA$4:$AL$323,Ajustes!$J121,P$2),0)+IF(Ajustes!$K121&gt;0,INDEX($AA$5:$AL$324,Ajustes!$K121,P$2),0)+IF(Ajustes!$L121&gt;0,INDEX($AA$4:$AL$323,Ajustes!$L121,P$2),0) + P121</f>
        <v>26</v>
      </c>
      <c r="AC121">
        <f>IF(Ajustes!$G121&gt;0,INDEX($AA$4:$AL$323,Ajustes!$G121,Q$2),0)+IF(Ajustes!$H121&gt;0,INDEX($AA$4:$AL$323,Ajustes!$H121,Q$2),0)+IF(Ajustes!$I121&gt;0,INDEX($AA$4:$AL$323,Ajustes!$I121,Q$2),0)+IF(Ajustes!$J121&gt;0,INDEX($AA$4:$AL$323,Ajustes!$J121,Q$2),0)+IF(Ajustes!$K121&gt;0,INDEX($AA$5:$AL$324,Ajustes!$K121,Q$2),0)+IF(Ajustes!$L121&gt;0,INDEX($AA$4:$AL$323,Ajustes!$L121,Q$2),0) + Q121</f>
        <v>23</v>
      </c>
      <c r="AD121">
        <f>IF(Ajustes!$G121&gt;0,INDEX($AA$4:$AL$323,Ajustes!$G121,R$2),0)+IF(Ajustes!$H121&gt;0,INDEX($AA$4:$AL$323,Ajustes!$H121,R$2),0)+IF(Ajustes!$I121&gt;0,INDEX($AA$4:$AL$323,Ajustes!$I121,R$2),0)+IF(Ajustes!$J121&gt;0,INDEX($AA$4:$AL$323,Ajustes!$J121,R$2),0)+IF(Ajustes!$K121&gt;0,INDEX($AA$5:$AL$324,Ajustes!$K121,R$2),0)+IF(Ajustes!$L121&gt;0,INDEX($AA$4:$AL$323,Ajustes!$L121,R$2),0) + R121</f>
        <v>17</v>
      </c>
      <c r="AE121">
        <f>IF(Ajustes!$G121&gt;0,INDEX($AA$4:$AL$323,Ajustes!$G121,S$2),0)+IF(Ajustes!$H121&gt;0,INDEX($AA$4:$AL$323,Ajustes!$H121,S$2),0)+IF(Ajustes!$I121&gt;0,INDEX($AA$4:$AL$323,Ajustes!$I121,S$2),0)+IF(Ajustes!$J121&gt;0,INDEX($AA$4:$AL$323,Ajustes!$J121,S$2),0)+IF(Ajustes!$K121&gt;0,INDEX($AA$5:$AL$324,Ajustes!$K121,S$2),0)+IF(Ajustes!$L121&gt;0,INDEX($AA$4:$AL$323,Ajustes!$L121,S$2),0) + S121</f>
        <v>12</v>
      </c>
      <c r="AF121">
        <f>IF(Ajustes!$G121&gt;0,INDEX($AA$4:$AL$323,Ajustes!$G121,T$2),0)+IF(Ajustes!$H121&gt;0,INDEX($AA$4:$AL$323,Ajustes!$H121,T$2),0)+IF(Ajustes!$I121&gt;0,INDEX($AA$4:$AL$323,Ajustes!$I121,T$2),0)+IF(Ajustes!$J121&gt;0,INDEX($AA$4:$AL$323,Ajustes!$J121,T$2),0)+IF(Ajustes!$K121&gt;0,INDEX($AA$5:$AL$324,Ajustes!$K121,T$2),0)+IF(Ajustes!$L121&gt;0,INDEX($AA$4:$AL$323,Ajustes!$L121,T$2),0) + T121</f>
        <v>11</v>
      </c>
      <c r="AG121">
        <f>IF(Ajustes!$G121&gt;0,INDEX($AA$4:$AL$323,Ajustes!$G121,U$2),0)+IF(Ajustes!$H121&gt;0,INDEX($AA$4:$AL$323,Ajustes!$H121,U$2),0)+IF(Ajustes!$I121&gt;0,INDEX($AA$4:$AL$323,Ajustes!$I121,U$2),0)+IF(Ajustes!$J121&gt;0,INDEX($AA$4:$AL$323,Ajustes!$J121,U$2),0)+IF(Ajustes!$K121&gt;0,INDEX($AA$5:$AL$324,Ajustes!$K121,U$2),0)+IF(Ajustes!$L121&gt;0,INDEX($AA$4:$AL$323,Ajustes!$L121,U$2),0) + U121</f>
        <v>9</v>
      </c>
      <c r="AH121">
        <f>IF(Ajustes!$G121&gt;0,INDEX($AA$4:$AL$323,Ajustes!$G121,V$2),0)+IF(Ajustes!$H121&gt;0,INDEX($AA$4:$AL$323,Ajustes!$H121,V$2),0)+IF(Ajustes!$I121&gt;0,INDEX($AA$4:$AL$323,Ajustes!$I121,V$2),0)+IF(Ajustes!$J121&gt;0,INDEX($AA$4:$AL$323,Ajustes!$J121,V$2),0)+IF(Ajustes!$K121&gt;0,INDEX($AA$5:$AL$324,Ajustes!$K121,V$2),0)+IF(Ajustes!$L121&gt;0,INDEX($AA$4:$AL$323,Ajustes!$L121,V$2),0) + V121</f>
        <v>8</v>
      </c>
      <c r="AI121">
        <f>IF(Ajustes!$G121&gt;0,INDEX($AA$4:$AL$323,Ajustes!$G121,W$2),0)+IF(Ajustes!$H121&gt;0,INDEX($AA$4:$AL$323,Ajustes!$H121,W$2),0)+IF(Ajustes!$I121&gt;0,INDEX($AA$4:$AL$323,Ajustes!$I121,W$2),0)+IF(Ajustes!$J121&gt;0,INDEX($AA$4:$AL$323,Ajustes!$J121,W$2),0)+IF(Ajustes!$K121&gt;0,INDEX($AA$5:$AL$324,Ajustes!$K121,W$2),0)+IF(Ajustes!$L121&gt;0,INDEX($AA$4:$AL$323,Ajustes!$L121,W$2),0) + W121</f>
        <v>12</v>
      </c>
      <c r="AJ121">
        <f>IF(Ajustes!$G121&gt;0,INDEX($AA$4:$AL$323,Ajustes!$G121,X$2),0)+IF(Ajustes!$H121&gt;0,INDEX($AA$4:$AL$323,Ajustes!$H121,X$2),0)+IF(Ajustes!$I121&gt;0,INDEX($AA$4:$AL$323,Ajustes!$I121,X$2),0)+IF(Ajustes!$J121&gt;0,INDEX($AA$4:$AL$323,Ajustes!$J121,X$2),0)+IF(Ajustes!$K121&gt;0,INDEX($AA$5:$AL$324,Ajustes!$K121,X$2),0)+IF(Ajustes!$L121&gt;0,INDEX($AA$4:$AL$323,Ajustes!$L121,X$2),0) + X121</f>
        <v>15</v>
      </c>
      <c r="AK121">
        <f>IF(Ajustes!$G121&gt;0,INDEX($AA$4:$AL$323,Ajustes!$G121,Y$2),0)+IF(Ajustes!$H121&gt;0,INDEX($AA$4:$AL$323,Ajustes!$H121,Y$2),0)+IF(Ajustes!$I121&gt;0,INDEX($AA$4:$AL$323,Ajustes!$I121,Y$2),0)+IF(Ajustes!$J121&gt;0,INDEX($AA$4:$AL$323,Ajustes!$J121,Y$2),0)+IF(Ajustes!$K121&gt;0,INDEX($AA$5:$AL$324,Ajustes!$K121,Y$2),0)+IF(Ajustes!$L121&gt;0,INDEX($AA$4:$AL$323,Ajustes!$L121,Y$2),0) + Y121</f>
        <v>15</v>
      </c>
      <c r="AL121">
        <f>IF(Ajustes!$G121&gt;0,INDEX($AA$4:$AL$323,Ajustes!$G121,Z$2),0)+IF(Ajustes!$H121&gt;0,INDEX($AA$4:$AL$323,Ajustes!$H121,Z$2),0)+IF(Ajustes!$I121&gt;0,INDEX($AA$4:$AL$323,Ajustes!$I121,Z$2),0)+IF(Ajustes!$J121&gt;0,INDEX($AA$4:$AL$323,Ajustes!$J121,Z$2),0)+IF(Ajustes!$K121&gt;0,INDEX($AA$5:$AL$324,Ajustes!$K121,Z$2),0)+IF(Ajustes!$L121&gt;0,INDEX($AA$4:$AL$323,Ajustes!$L121,Z$2),0) + Z121</f>
        <v>21</v>
      </c>
      <c r="AM121" s="113">
        <f t="shared" si="26"/>
        <v>26</v>
      </c>
      <c r="AN121" s="113">
        <f t="shared" si="26"/>
        <v>26</v>
      </c>
      <c r="AO121" s="113">
        <f t="shared" si="26"/>
        <v>23</v>
      </c>
      <c r="AP121" s="113">
        <f t="shared" si="26"/>
        <v>17</v>
      </c>
      <c r="AQ121" s="113">
        <f t="shared" si="26"/>
        <v>12</v>
      </c>
      <c r="AR121" s="113">
        <f t="shared" si="26"/>
        <v>11</v>
      </c>
      <c r="AS121" s="113">
        <f t="shared" si="28"/>
        <v>9</v>
      </c>
      <c r="AT121" s="113">
        <f t="shared" si="27"/>
        <v>8</v>
      </c>
      <c r="AU121" s="113">
        <f t="shared" si="27"/>
        <v>12</v>
      </c>
      <c r="AV121" s="113">
        <f t="shared" si="27"/>
        <v>15</v>
      </c>
      <c r="AW121" s="113">
        <f t="shared" si="27"/>
        <v>15</v>
      </c>
      <c r="AX121" s="113">
        <f t="shared" si="27"/>
        <v>21</v>
      </c>
    </row>
    <row r="122" spans="1:50" x14ac:dyDescent="0.25">
      <c r="A122" s="113">
        <v>119</v>
      </c>
      <c r="B122" s="209" t="s">
        <v>598</v>
      </c>
      <c r="C122">
        <f>IFERROR(INDEX($BD$7:$BO$35,MATCH(Ajustes!$E$4:$E$323,$BC$7:$BC$35,0),$C$2:$N$2),1)</f>
        <v>1</v>
      </c>
      <c r="D122" s="113">
        <f>IFERROR(INDEX($BD$7:$BO$35,MATCH(Ajustes!$E$4:$E$323,$BC$7:$BC$35,0),$C$2:$N$2),1)</f>
        <v>1</v>
      </c>
      <c r="E122" s="113">
        <f>IFERROR(INDEX($BD$7:$BO$35,MATCH(Ajustes!$E$4:$E$323,$BC$7:$BC$35,0),$C$2:$N$2),1)</f>
        <v>1</v>
      </c>
      <c r="F122" s="113">
        <f>IFERROR(INDEX($BD$7:$BO$35,MATCH(Ajustes!$E$4:$E$323,$BC$7:$BC$35,0),$C$2:$N$2),1)</f>
        <v>1</v>
      </c>
      <c r="G122" s="113">
        <f>IFERROR(INDEX($BD$7:$BO$35,MATCH(Ajustes!$E$4:$E$323,$BC$7:$BC$35,0),$C$2:$N$2),1)</f>
        <v>1</v>
      </c>
      <c r="H122" s="113">
        <f>IFERROR(INDEX($BD$7:$BO$35,MATCH(Ajustes!$E$4:$E$323,$BC$7:$BC$35,0),$C$2:$N$2),1)</f>
        <v>1</v>
      </c>
      <c r="I122" s="113">
        <f>IFERROR(INDEX($BD$7:$BO$35,MATCH(Ajustes!$E$4:$E$323,$BC$7:$BC$35,0),$C$2:$N$2),1)</f>
        <v>1</v>
      </c>
      <c r="J122" s="113">
        <f>IFERROR(INDEX($BD$7:$BO$35,MATCH(Ajustes!$E$4:$E$323,$BC$7:$BC$35,0),$C$2:$N$2),1)</f>
        <v>1</v>
      </c>
      <c r="K122" s="113">
        <f>IFERROR(INDEX($BD$7:$BO$35,MATCH(Ajustes!$E$4:$E$323,$BC$7:$BC$35,0),$C$2:$N$2),1)</f>
        <v>1</v>
      </c>
      <c r="L122" s="113">
        <f>IFERROR(INDEX($BD$7:$BO$35,MATCH(Ajustes!$E$4:$E$323,$BC$7:$BC$35,0),$C$2:$N$2),1)</f>
        <v>1</v>
      </c>
      <c r="M122" s="113">
        <f>IFERROR(INDEX($BD$7:$BO$35,MATCH(Ajustes!$E$4:$E$323,$BC$7:$BC$35,0),$C$2:$N$2),1)</f>
        <v>1</v>
      </c>
      <c r="N122" s="113">
        <f>IFERROR(INDEX($BD$7:$BO$35,MATCH(Ajustes!$E$4:$E$323,$BC$7:$BC$35,0),$C$2:$N$2),1)</f>
        <v>1</v>
      </c>
      <c r="O122">
        <f>C122*Ajustes!AM122</f>
        <v>32</v>
      </c>
      <c r="P122">
        <f>D122*Ajustes!AN122</f>
        <v>31</v>
      </c>
      <c r="Q122">
        <f>E122*Ajustes!AO122</f>
        <v>28</v>
      </c>
      <c r="R122">
        <f>F122*Ajustes!AP122</f>
        <v>20</v>
      </c>
      <c r="S122">
        <f>G122*Ajustes!AQ122</f>
        <v>15</v>
      </c>
      <c r="T122">
        <f>H122*Ajustes!AR122</f>
        <v>13</v>
      </c>
      <c r="U122">
        <f>I122*Ajustes!AS122</f>
        <v>11</v>
      </c>
      <c r="V122">
        <f>J122*Ajustes!AT122</f>
        <v>10</v>
      </c>
      <c r="W122">
        <f>K122*Ajustes!AU122</f>
        <v>15</v>
      </c>
      <c r="X122">
        <f>L122*Ajustes!AV122</f>
        <v>19</v>
      </c>
      <c r="Y122">
        <f>M122*Ajustes!AW122</f>
        <v>19</v>
      </c>
      <c r="Z122">
        <f>N122*Ajustes!AX122</f>
        <v>25</v>
      </c>
      <c r="AA122">
        <f>IF(Ajustes!$G122&gt;0,INDEX($AA$4:$AL$323,Ajustes!$G122,O$2),0)+IF(Ajustes!$H122&gt;0,INDEX($AA$4:$AL$323,Ajustes!$H122,O$2),0)+IF(Ajustes!$I122&gt;0,INDEX($AA$4:$AL$323,Ajustes!$I122,O$2),0)+IF(Ajustes!$J122&gt;0,INDEX($AA$4:$AL$323,Ajustes!$J122,O$2),0)+IF(Ajustes!$K122&gt;0,INDEX($AA$5:$AL$324,Ajustes!$K122,O$2),0)+IF(Ajustes!$L122&gt;0,INDEX($AA$4:$AL$323,Ajustes!$L122,O$2),0) + O122</f>
        <v>32</v>
      </c>
      <c r="AB122">
        <f>IF(Ajustes!$G122&gt;0,INDEX($AA$4:$AL$323,Ajustes!$G122,P$2),0)+IF(Ajustes!$H122&gt;0,INDEX($AA$4:$AL$323,Ajustes!$H122,P$2),0)+IF(Ajustes!$I122&gt;0,INDEX($AA$4:$AL$323,Ajustes!$I122,P$2),0)+IF(Ajustes!$J122&gt;0,INDEX($AA$4:$AL$323,Ajustes!$J122,P$2),0)+IF(Ajustes!$K122&gt;0,INDEX($AA$5:$AL$324,Ajustes!$K122,P$2),0)+IF(Ajustes!$L122&gt;0,INDEX($AA$4:$AL$323,Ajustes!$L122,P$2),0) + P122</f>
        <v>31</v>
      </c>
      <c r="AC122">
        <f>IF(Ajustes!$G122&gt;0,INDEX($AA$4:$AL$323,Ajustes!$G122,Q$2),0)+IF(Ajustes!$H122&gt;0,INDEX($AA$4:$AL$323,Ajustes!$H122,Q$2),0)+IF(Ajustes!$I122&gt;0,INDEX($AA$4:$AL$323,Ajustes!$I122,Q$2),0)+IF(Ajustes!$J122&gt;0,INDEX($AA$4:$AL$323,Ajustes!$J122,Q$2),0)+IF(Ajustes!$K122&gt;0,INDEX($AA$5:$AL$324,Ajustes!$K122,Q$2),0)+IF(Ajustes!$L122&gt;0,INDEX($AA$4:$AL$323,Ajustes!$L122,Q$2),0) + Q122</f>
        <v>28</v>
      </c>
      <c r="AD122">
        <f>IF(Ajustes!$G122&gt;0,INDEX($AA$4:$AL$323,Ajustes!$G122,R$2),0)+IF(Ajustes!$H122&gt;0,INDEX($AA$4:$AL$323,Ajustes!$H122,R$2),0)+IF(Ajustes!$I122&gt;0,INDEX($AA$4:$AL$323,Ajustes!$I122,R$2),0)+IF(Ajustes!$J122&gt;0,INDEX($AA$4:$AL$323,Ajustes!$J122,R$2),0)+IF(Ajustes!$K122&gt;0,INDEX($AA$5:$AL$324,Ajustes!$K122,R$2),0)+IF(Ajustes!$L122&gt;0,INDEX($AA$4:$AL$323,Ajustes!$L122,R$2),0) + R122</f>
        <v>20</v>
      </c>
      <c r="AE122">
        <f>IF(Ajustes!$G122&gt;0,INDEX($AA$4:$AL$323,Ajustes!$G122,S$2),0)+IF(Ajustes!$H122&gt;0,INDEX($AA$4:$AL$323,Ajustes!$H122,S$2),0)+IF(Ajustes!$I122&gt;0,INDEX($AA$4:$AL$323,Ajustes!$I122,S$2),0)+IF(Ajustes!$J122&gt;0,INDEX($AA$4:$AL$323,Ajustes!$J122,S$2),0)+IF(Ajustes!$K122&gt;0,INDEX($AA$5:$AL$324,Ajustes!$K122,S$2),0)+IF(Ajustes!$L122&gt;0,INDEX($AA$4:$AL$323,Ajustes!$L122,S$2),0) + S122</f>
        <v>15</v>
      </c>
      <c r="AF122">
        <f>IF(Ajustes!$G122&gt;0,INDEX($AA$4:$AL$323,Ajustes!$G122,T$2),0)+IF(Ajustes!$H122&gt;0,INDEX($AA$4:$AL$323,Ajustes!$H122,T$2),0)+IF(Ajustes!$I122&gt;0,INDEX($AA$4:$AL$323,Ajustes!$I122,T$2),0)+IF(Ajustes!$J122&gt;0,INDEX($AA$4:$AL$323,Ajustes!$J122,T$2),0)+IF(Ajustes!$K122&gt;0,INDEX($AA$5:$AL$324,Ajustes!$K122,T$2),0)+IF(Ajustes!$L122&gt;0,INDEX($AA$4:$AL$323,Ajustes!$L122,T$2),0) + T122</f>
        <v>13</v>
      </c>
      <c r="AG122">
        <f>IF(Ajustes!$G122&gt;0,INDEX($AA$4:$AL$323,Ajustes!$G122,U$2),0)+IF(Ajustes!$H122&gt;0,INDEX($AA$4:$AL$323,Ajustes!$H122,U$2),0)+IF(Ajustes!$I122&gt;0,INDEX($AA$4:$AL$323,Ajustes!$I122,U$2),0)+IF(Ajustes!$J122&gt;0,INDEX($AA$4:$AL$323,Ajustes!$J122,U$2),0)+IF(Ajustes!$K122&gt;0,INDEX($AA$5:$AL$324,Ajustes!$K122,U$2),0)+IF(Ajustes!$L122&gt;0,INDEX($AA$4:$AL$323,Ajustes!$L122,U$2),0) + U122</f>
        <v>11</v>
      </c>
      <c r="AH122">
        <f>IF(Ajustes!$G122&gt;0,INDEX($AA$4:$AL$323,Ajustes!$G122,V$2),0)+IF(Ajustes!$H122&gt;0,INDEX($AA$4:$AL$323,Ajustes!$H122,V$2),0)+IF(Ajustes!$I122&gt;0,INDEX($AA$4:$AL$323,Ajustes!$I122,V$2),0)+IF(Ajustes!$J122&gt;0,INDEX($AA$4:$AL$323,Ajustes!$J122,V$2),0)+IF(Ajustes!$K122&gt;0,INDEX($AA$5:$AL$324,Ajustes!$K122,V$2),0)+IF(Ajustes!$L122&gt;0,INDEX($AA$4:$AL$323,Ajustes!$L122,V$2),0) + V122</f>
        <v>10</v>
      </c>
      <c r="AI122">
        <f>IF(Ajustes!$G122&gt;0,INDEX($AA$4:$AL$323,Ajustes!$G122,W$2),0)+IF(Ajustes!$H122&gt;0,INDEX($AA$4:$AL$323,Ajustes!$H122,W$2),0)+IF(Ajustes!$I122&gt;0,INDEX($AA$4:$AL$323,Ajustes!$I122,W$2),0)+IF(Ajustes!$J122&gt;0,INDEX($AA$4:$AL$323,Ajustes!$J122,W$2),0)+IF(Ajustes!$K122&gt;0,INDEX($AA$5:$AL$324,Ajustes!$K122,W$2),0)+IF(Ajustes!$L122&gt;0,INDEX($AA$4:$AL$323,Ajustes!$L122,W$2),0) + W122</f>
        <v>15</v>
      </c>
      <c r="AJ122">
        <f>IF(Ajustes!$G122&gt;0,INDEX($AA$4:$AL$323,Ajustes!$G122,X$2),0)+IF(Ajustes!$H122&gt;0,INDEX($AA$4:$AL$323,Ajustes!$H122,X$2),0)+IF(Ajustes!$I122&gt;0,INDEX($AA$4:$AL$323,Ajustes!$I122,X$2),0)+IF(Ajustes!$J122&gt;0,INDEX($AA$4:$AL$323,Ajustes!$J122,X$2),0)+IF(Ajustes!$K122&gt;0,INDEX($AA$5:$AL$324,Ajustes!$K122,X$2),0)+IF(Ajustes!$L122&gt;0,INDEX($AA$4:$AL$323,Ajustes!$L122,X$2),0) + X122</f>
        <v>19</v>
      </c>
      <c r="AK122">
        <f>IF(Ajustes!$G122&gt;0,INDEX($AA$4:$AL$323,Ajustes!$G122,Y$2),0)+IF(Ajustes!$H122&gt;0,INDEX($AA$4:$AL$323,Ajustes!$H122,Y$2),0)+IF(Ajustes!$I122&gt;0,INDEX($AA$4:$AL$323,Ajustes!$I122,Y$2),0)+IF(Ajustes!$J122&gt;0,INDEX($AA$4:$AL$323,Ajustes!$J122,Y$2),0)+IF(Ajustes!$K122&gt;0,INDEX($AA$5:$AL$324,Ajustes!$K122,Y$2),0)+IF(Ajustes!$L122&gt;0,INDEX($AA$4:$AL$323,Ajustes!$L122,Y$2),0) + Y122</f>
        <v>19</v>
      </c>
      <c r="AL122">
        <f>IF(Ajustes!$G122&gt;0,INDEX($AA$4:$AL$323,Ajustes!$G122,Z$2),0)+IF(Ajustes!$H122&gt;0,INDEX($AA$4:$AL$323,Ajustes!$H122,Z$2),0)+IF(Ajustes!$I122&gt;0,INDEX($AA$4:$AL$323,Ajustes!$I122,Z$2),0)+IF(Ajustes!$J122&gt;0,INDEX($AA$4:$AL$323,Ajustes!$J122,Z$2),0)+IF(Ajustes!$K122&gt;0,INDEX($AA$5:$AL$324,Ajustes!$K122,Z$2),0)+IF(Ajustes!$L122&gt;0,INDEX($AA$4:$AL$323,Ajustes!$L122,Z$2),0) + Z122</f>
        <v>25</v>
      </c>
      <c r="AM122" s="219">
        <f t="shared" ref="AM122:AX122" si="32">ROUND(AM121*1.27-0.44,0)</f>
        <v>33</v>
      </c>
      <c r="AN122" s="219">
        <f t="shared" si="32"/>
        <v>33</v>
      </c>
      <c r="AO122" s="219">
        <f t="shared" si="32"/>
        <v>29</v>
      </c>
      <c r="AP122" s="219">
        <f t="shared" si="32"/>
        <v>21</v>
      </c>
      <c r="AQ122" s="219">
        <f t="shared" si="32"/>
        <v>15</v>
      </c>
      <c r="AR122" s="219">
        <f t="shared" si="32"/>
        <v>14</v>
      </c>
      <c r="AS122" s="219">
        <f t="shared" si="32"/>
        <v>11</v>
      </c>
      <c r="AT122" s="219">
        <f t="shared" si="32"/>
        <v>10</v>
      </c>
      <c r="AU122" s="219">
        <f t="shared" si="32"/>
        <v>15</v>
      </c>
      <c r="AV122" s="219">
        <f t="shared" si="32"/>
        <v>19</v>
      </c>
      <c r="AW122" s="219">
        <f t="shared" si="32"/>
        <v>19</v>
      </c>
      <c r="AX122" s="219">
        <f t="shared" si="32"/>
        <v>26</v>
      </c>
    </row>
    <row r="123" spans="1:50" x14ac:dyDescent="0.25">
      <c r="A123" s="113">
        <v>120</v>
      </c>
      <c r="B123" s="209" t="s">
        <v>599</v>
      </c>
      <c r="C123">
        <f>IFERROR(INDEX($BD$7:$BO$35,MATCH(Ajustes!$E$4:$E$323,$BC$7:$BC$35,0),$C$2:$N$2),1)</f>
        <v>1</v>
      </c>
      <c r="D123" s="113">
        <f>IFERROR(INDEX($BD$7:$BO$35,MATCH(Ajustes!$E$4:$E$323,$BC$7:$BC$35,0),$C$2:$N$2),1)</f>
        <v>1</v>
      </c>
      <c r="E123" s="113">
        <f>IFERROR(INDEX($BD$7:$BO$35,MATCH(Ajustes!$E$4:$E$323,$BC$7:$BC$35,0),$C$2:$N$2),1)</f>
        <v>1</v>
      </c>
      <c r="F123" s="113">
        <f>IFERROR(INDEX($BD$7:$BO$35,MATCH(Ajustes!$E$4:$E$323,$BC$7:$BC$35,0),$C$2:$N$2),1)</f>
        <v>1</v>
      </c>
      <c r="G123" s="113">
        <f>IFERROR(INDEX($BD$7:$BO$35,MATCH(Ajustes!$E$4:$E$323,$BC$7:$BC$35,0),$C$2:$N$2),1)</f>
        <v>1</v>
      </c>
      <c r="H123" s="113">
        <f>IFERROR(INDEX($BD$7:$BO$35,MATCH(Ajustes!$E$4:$E$323,$BC$7:$BC$35,0),$C$2:$N$2),1)</f>
        <v>1</v>
      </c>
      <c r="I123" s="113">
        <f>IFERROR(INDEX($BD$7:$BO$35,MATCH(Ajustes!$E$4:$E$323,$BC$7:$BC$35,0),$C$2:$N$2),1)</f>
        <v>1</v>
      </c>
      <c r="J123" s="113">
        <f>IFERROR(INDEX($BD$7:$BO$35,MATCH(Ajustes!$E$4:$E$323,$BC$7:$BC$35,0),$C$2:$N$2),1)</f>
        <v>1</v>
      </c>
      <c r="K123" s="113">
        <f>IFERROR(INDEX($BD$7:$BO$35,MATCH(Ajustes!$E$4:$E$323,$BC$7:$BC$35,0),$C$2:$N$2),1)</f>
        <v>1</v>
      </c>
      <c r="L123" s="113">
        <f>IFERROR(INDEX($BD$7:$BO$35,MATCH(Ajustes!$E$4:$E$323,$BC$7:$BC$35,0),$C$2:$N$2),1)</f>
        <v>1</v>
      </c>
      <c r="M123" s="113">
        <f>IFERROR(INDEX($BD$7:$BO$35,MATCH(Ajustes!$E$4:$E$323,$BC$7:$BC$35,0),$C$2:$N$2),1)</f>
        <v>1</v>
      </c>
      <c r="N123" s="113">
        <f>IFERROR(INDEX($BD$7:$BO$35,MATCH(Ajustes!$E$4:$E$323,$BC$7:$BC$35,0),$C$2:$N$2),1)</f>
        <v>1</v>
      </c>
      <c r="O123">
        <f>C123*Ajustes!AM123</f>
        <v>45</v>
      </c>
      <c r="P123">
        <f>D123*Ajustes!AN123</f>
        <v>48</v>
      </c>
      <c r="Q123">
        <f>E123*Ajustes!AO123</f>
        <v>46</v>
      </c>
      <c r="R123">
        <f>F123*Ajustes!AP123</f>
        <v>34</v>
      </c>
      <c r="S123">
        <f>G123*Ajustes!AQ123</f>
        <v>27</v>
      </c>
      <c r="T123">
        <f>H123*Ajustes!AR123</f>
        <v>24</v>
      </c>
      <c r="U123">
        <f>I123*Ajustes!AS123</f>
        <v>20</v>
      </c>
      <c r="V123">
        <f>J123*Ajustes!AT123</f>
        <v>17</v>
      </c>
      <c r="W123">
        <f>K123*Ajustes!AU123</f>
        <v>18</v>
      </c>
      <c r="X123">
        <f>L123*Ajustes!AV123</f>
        <v>20</v>
      </c>
      <c r="Y123">
        <f>M123*Ajustes!AW123</f>
        <v>24</v>
      </c>
      <c r="Z123">
        <f>N123*Ajustes!AX123</f>
        <v>34</v>
      </c>
      <c r="AA123">
        <f>IF(Ajustes!$G123&gt;0,INDEX($AA$4:$AL$323,Ajustes!$G123,O$2),0)+IF(Ajustes!$H123&gt;0,INDEX($AA$4:$AL$323,Ajustes!$H123,O$2),0)+IF(Ajustes!$I123&gt;0,INDEX($AA$4:$AL$323,Ajustes!$I123,O$2),0)+IF(Ajustes!$J123&gt;0,INDEX($AA$4:$AL$323,Ajustes!$J123,O$2),0)+IF(Ajustes!$K123&gt;0,INDEX($AA$5:$AL$324,Ajustes!$K123,O$2),0)+IF(Ajustes!$L123&gt;0,INDEX($AA$4:$AL$323,Ajustes!$L123,O$2),0) + O123</f>
        <v>45</v>
      </c>
      <c r="AB123">
        <f>IF(Ajustes!$G123&gt;0,INDEX($AA$4:$AL$323,Ajustes!$G123,P$2),0)+IF(Ajustes!$H123&gt;0,INDEX($AA$4:$AL$323,Ajustes!$H123,P$2),0)+IF(Ajustes!$I123&gt;0,INDEX($AA$4:$AL$323,Ajustes!$I123,P$2),0)+IF(Ajustes!$J123&gt;0,INDEX($AA$4:$AL$323,Ajustes!$J123,P$2),0)+IF(Ajustes!$K123&gt;0,INDEX($AA$5:$AL$324,Ajustes!$K123,P$2),0)+IF(Ajustes!$L123&gt;0,INDEX($AA$4:$AL$323,Ajustes!$L123,P$2),0) + P123</f>
        <v>48</v>
      </c>
      <c r="AC123">
        <f>IF(Ajustes!$G123&gt;0,INDEX($AA$4:$AL$323,Ajustes!$G123,Q$2),0)+IF(Ajustes!$H123&gt;0,INDEX($AA$4:$AL$323,Ajustes!$H123,Q$2),0)+IF(Ajustes!$I123&gt;0,INDEX($AA$4:$AL$323,Ajustes!$I123,Q$2),0)+IF(Ajustes!$J123&gt;0,INDEX($AA$4:$AL$323,Ajustes!$J123,Q$2),0)+IF(Ajustes!$K123&gt;0,INDEX($AA$5:$AL$324,Ajustes!$K123,Q$2),0)+IF(Ajustes!$L123&gt;0,INDEX($AA$4:$AL$323,Ajustes!$L123,Q$2),0) + Q123</f>
        <v>46</v>
      </c>
      <c r="AD123">
        <f>IF(Ajustes!$G123&gt;0,INDEX($AA$4:$AL$323,Ajustes!$G123,R$2),0)+IF(Ajustes!$H123&gt;0,INDEX($AA$4:$AL$323,Ajustes!$H123,R$2),0)+IF(Ajustes!$I123&gt;0,INDEX($AA$4:$AL$323,Ajustes!$I123,R$2),0)+IF(Ajustes!$J123&gt;0,INDEX($AA$4:$AL$323,Ajustes!$J123,R$2),0)+IF(Ajustes!$K123&gt;0,INDEX($AA$5:$AL$324,Ajustes!$K123,R$2),0)+IF(Ajustes!$L123&gt;0,INDEX($AA$4:$AL$323,Ajustes!$L123,R$2),0) + R123</f>
        <v>34</v>
      </c>
      <c r="AE123">
        <f>IF(Ajustes!$G123&gt;0,INDEX($AA$4:$AL$323,Ajustes!$G123,S$2),0)+IF(Ajustes!$H123&gt;0,INDEX($AA$4:$AL$323,Ajustes!$H123,S$2),0)+IF(Ajustes!$I123&gt;0,INDEX($AA$4:$AL$323,Ajustes!$I123,S$2),0)+IF(Ajustes!$J123&gt;0,INDEX($AA$4:$AL$323,Ajustes!$J123,S$2),0)+IF(Ajustes!$K123&gt;0,INDEX($AA$5:$AL$324,Ajustes!$K123,S$2),0)+IF(Ajustes!$L123&gt;0,INDEX($AA$4:$AL$323,Ajustes!$L123,S$2),0) + S123</f>
        <v>27</v>
      </c>
      <c r="AF123">
        <f>IF(Ajustes!$G123&gt;0,INDEX($AA$4:$AL$323,Ajustes!$G123,T$2),0)+IF(Ajustes!$H123&gt;0,INDEX($AA$4:$AL$323,Ajustes!$H123,T$2),0)+IF(Ajustes!$I123&gt;0,INDEX($AA$4:$AL$323,Ajustes!$I123,T$2),0)+IF(Ajustes!$J123&gt;0,INDEX($AA$4:$AL$323,Ajustes!$J123,T$2),0)+IF(Ajustes!$K123&gt;0,INDEX($AA$5:$AL$324,Ajustes!$K123,T$2),0)+IF(Ajustes!$L123&gt;0,INDEX($AA$4:$AL$323,Ajustes!$L123,T$2),0) + T123</f>
        <v>24</v>
      </c>
      <c r="AG123">
        <f>IF(Ajustes!$G123&gt;0,INDEX($AA$4:$AL$323,Ajustes!$G123,U$2),0)+IF(Ajustes!$H123&gt;0,INDEX($AA$4:$AL$323,Ajustes!$H123,U$2),0)+IF(Ajustes!$I123&gt;0,INDEX($AA$4:$AL$323,Ajustes!$I123,U$2),0)+IF(Ajustes!$J123&gt;0,INDEX($AA$4:$AL$323,Ajustes!$J123,U$2),0)+IF(Ajustes!$K123&gt;0,INDEX($AA$5:$AL$324,Ajustes!$K123,U$2),0)+IF(Ajustes!$L123&gt;0,INDEX($AA$4:$AL$323,Ajustes!$L123,U$2),0) + U123</f>
        <v>20</v>
      </c>
      <c r="AH123">
        <f>IF(Ajustes!$G123&gt;0,INDEX($AA$4:$AL$323,Ajustes!$G123,V$2),0)+IF(Ajustes!$H123&gt;0,INDEX($AA$4:$AL$323,Ajustes!$H123,V$2),0)+IF(Ajustes!$I123&gt;0,INDEX($AA$4:$AL$323,Ajustes!$I123,V$2),0)+IF(Ajustes!$J123&gt;0,INDEX($AA$4:$AL$323,Ajustes!$J123,V$2),0)+IF(Ajustes!$K123&gt;0,INDEX($AA$5:$AL$324,Ajustes!$K123,V$2),0)+IF(Ajustes!$L123&gt;0,INDEX($AA$4:$AL$323,Ajustes!$L123,V$2),0) + V123</f>
        <v>17</v>
      </c>
      <c r="AI123">
        <f>IF(Ajustes!$G123&gt;0,INDEX($AA$4:$AL$323,Ajustes!$G123,W$2),0)+IF(Ajustes!$H123&gt;0,INDEX($AA$4:$AL$323,Ajustes!$H123,W$2),0)+IF(Ajustes!$I123&gt;0,INDEX($AA$4:$AL$323,Ajustes!$I123,W$2),0)+IF(Ajustes!$J123&gt;0,INDEX($AA$4:$AL$323,Ajustes!$J123,W$2),0)+IF(Ajustes!$K123&gt;0,INDEX($AA$5:$AL$324,Ajustes!$K123,W$2),0)+IF(Ajustes!$L123&gt;0,INDEX($AA$4:$AL$323,Ajustes!$L123,W$2),0) + W123</f>
        <v>18</v>
      </c>
      <c r="AJ123">
        <f>IF(Ajustes!$G123&gt;0,INDEX($AA$4:$AL$323,Ajustes!$G123,X$2),0)+IF(Ajustes!$H123&gt;0,INDEX($AA$4:$AL$323,Ajustes!$H123,X$2),0)+IF(Ajustes!$I123&gt;0,INDEX($AA$4:$AL$323,Ajustes!$I123,X$2),0)+IF(Ajustes!$J123&gt;0,INDEX($AA$4:$AL$323,Ajustes!$J123,X$2),0)+IF(Ajustes!$K123&gt;0,INDEX($AA$5:$AL$324,Ajustes!$K123,X$2),0)+IF(Ajustes!$L123&gt;0,INDEX($AA$4:$AL$323,Ajustes!$L123,X$2),0) + X123</f>
        <v>20</v>
      </c>
      <c r="AK123">
        <f>IF(Ajustes!$G123&gt;0,INDEX($AA$4:$AL$323,Ajustes!$G123,Y$2),0)+IF(Ajustes!$H123&gt;0,INDEX($AA$4:$AL$323,Ajustes!$H123,Y$2),0)+IF(Ajustes!$I123&gt;0,INDEX($AA$4:$AL$323,Ajustes!$I123,Y$2),0)+IF(Ajustes!$J123&gt;0,INDEX($AA$4:$AL$323,Ajustes!$J123,Y$2),0)+IF(Ajustes!$K123&gt;0,INDEX($AA$5:$AL$324,Ajustes!$K123,Y$2),0)+IF(Ajustes!$L123&gt;0,INDEX($AA$4:$AL$323,Ajustes!$L123,Y$2),0) + Y123</f>
        <v>24</v>
      </c>
      <c r="AL123">
        <f>IF(Ajustes!$G123&gt;0,INDEX($AA$4:$AL$323,Ajustes!$G123,Z$2),0)+IF(Ajustes!$H123&gt;0,INDEX($AA$4:$AL$323,Ajustes!$H123,Z$2),0)+IF(Ajustes!$I123&gt;0,INDEX($AA$4:$AL$323,Ajustes!$I123,Z$2),0)+IF(Ajustes!$J123&gt;0,INDEX($AA$4:$AL$323,Ajustes!$J123,Z$2),0)+IF(Ajustes!$K123&gt;0,INDEX($AA$5:$AL$324,Ajustes!$K123,Z$2),0)+IF(Ajustes!$L123&gt;0,INDEX($AA$4:$AL$323,Ajustes!$L123,Z$2),0) + Z123</f>
        <v>34</v>
      </c>
      <c r="AM123" s="113">
        <f t="shared" ref="AM123:AX128" si="33">AA123</f>
        <v>45</v>
      </c>
      <c r="AN123" s="113">
        <f t="shared" si="33"/>
        <v>48</v>
      </c>
      <c r="AO123" s="113">
        <f t="shared" si="33"/>
        <v>46</v>
      </c>
      <c r="AP123" s="113">
        <f t="shared" si="33"/>
        <v>34</v>
      </c>
      <c r="AQ123" s="113">
        <f t="shared" si="33"/>
        <v>27</v>
      </c>
      <c r="AR123" s="113">
        <f t="shared" si="33"/>
        <v>24</v>
      </c>
      <c r="AS123" s="113">
        <f t="shared" si="33"/>
        <v>20</v>
      </c>
      <c r="AT123" s="113">
        <f t="shared" si="33"/>
        <v>17</v>
      </c>
      <c r="AU123" s="113">
        <f t="shared" si="33"/>
        <v>18</v>
      </c>
      <c r="AV123" s="113">
        <f t="shared" si="33"/>
        <v>20</v>
      </c>
      <c r="AW123" s="113">
        <f t="shared" si="33"/>
        <v>24</v>
      </c>
      <c r="AX123" s="113">
        <f t="shared" si="33"/>
        <v>34</v>
      </c>
    </row>
    <row r="124" spans="1:50" x14ac:dyDescent="0.25">
      <c r="A124" s="113">
        <v>121</v>
      </c>
      <c r="B124" s="209" t="s">
        <v>600</v>
      </c>
      <c r="C124">
        <f>IFERROR(INDEX($BD$7:$BO$35,MATCH(Ajustes!$E$4:$E$323,$BC$7:$BC$35,0),$C$2:$N$2),1)</f>
        <v>1</v>
      </c>
      <c r="D124" s="113">
        <f>IFERROR(INDEX($BD$7:$BO$35,MATCH(Ajustes!$E$4:$E$323,$BC$7:$BC$35,0),$C$2:$N$2),1)</f>
        <v>1</v>
      </c>
      <c r="E124" s="113">
        <f>IFERROR(INDEX($BD$7:$BO$35,MATCH(Ajustes!$E$4:$E$323,$BC$7:$BC$35,0),$C$2:$N$2),1)</f>
        <v>1</v>
      </c>
      <c r="F124" s="113">
        <f>IFERROR(INDEX($BD$7:$BO$35,MATCH(Ajustes!$E$4:$E$323,$BC$7:$BC$35,0),$C$2:$N$2),1)</f>
        <v>1</v>
      </c>
      <c r="G124" s="113">
        <f>IFERROR(INDEX($BD$7:$BO$35,MATCH(Ajustes!$E$4:$E$323,$BC$7:$BC$35,0),$C$2:$N$2),1)</f>
        <v>1</v>
      </c>
      <c r="H124" s="113">
        <f>IFERROR(INDEX($BD$7:$BO$35,MATCH(Ajustes!$E$4:$E$323,$BC$7:$BC$35,0),$C$2:$N$2),1)</f>
        <v>1</v>
      </c>
      <c r="I124" s="113">
        <f>IFERROR(INDEX($BD$7:$BO$35,MATCH(Ajustes!$E$4:$E$323,$BC$7:$BC$35,0),$C$2:$N$2),1)</f>
        <v>1</v>
      </c>
      <c r="J124" s="113">
        <f>IFERROR(INDEX($BD$7:$BO$35,MATCH(Ajustes!$E$4:$E$323,$BC$7:$BC$35,0),$C$2:$N$2),1)</f>
        <v>1</v>
      </c>
      <c r="K124" s="113">
        <f>IFERROR(INDEX($BD$7:$BO$35,MATCH(Ajustes!$E$4:$E$323,$BC$7:$BC$35,0),$C$2:$N$2),1)</f>
        <v>1</v>
      </c>
      <c r="L124" s="113">
        <f>IFERROR(INDEX($BD$7:$BO$35,MATCH(Ajustes!$E$4:$E$323,$BC$7:$BC$35,0),$C$2:$N$2),1)</f>
        <v>1</v>
      </c>
      <c r="M124" s="113">
        <f>IFERROR(INDEX($BD$7:$BO$35,MATCH(Ajustes!$E$4:$E$323,$BC$7:$BC$35,0),$C$2:$N$2),1)</f>
        <v>1</v>
      </c>
      <c r="N124" s="113">
        <f>IFERROR(INDEX($BD$7:$BO$35,MATCH(Ajustes!$E$4:$E$323,$BC$7:$BC$35,0),$C$2:$N$2),1)</f>
        <v>1</v>
      </c>
      <c r="O124">
        <f>C124*Ajustes!AM124</f>
        <v>107</v>
      </c>
      <c r="P124">
        <f>D124*Ajustes!AN124</f>
        <v>113</v>
      </c>
      <c r="Q124">
        <f>E124*Ajustes!AO124</f>
        <v>103</v>
      </c>
      <c r="R124">
        <f>F124*Ajustes!AP124</f>
        <v>80</v>
      </c>
      <c r="S124">
        <f>G124*Ajustes!AQ124</f>
        <v>62</v>
      </c>
      <c r="T124">
        <f>H124*Ajustes!AR124</f>
        <v>55</v>
      </c>
      <c r="U124">
        <f>I124*Ajustes!AS124</f>
        <v>48</v>
      </c>
      <c r="V124">
        <f>J124*Ajustes!AT124</f>
        <v>42</v>
      </c>
      <c r="W124">
        <f>K124*Ajustes!AU124</f>
        <v>45</v>
      </c>
      <c r="X124">
        <f>L124*Ajustes!AV124</f>
        <v>51</v>
      </c>
      <c r="Y124">
        <f>M124*Ajustes!AW124</f>
        <v>59</v>
      </c>
      <c r="Z124">
        <f>N124*Ajustes!AX124</f>
        <v>80</v>
      </c>
      <c r="AA124">
        <f>IF(Ajustes!$G124&gt;0,INDEX($AA$4:$AL$323,Ajustes!$G124,O$2),0)+IF(Ajustes!$H124&gt;0,INDEX($AA$4:$AL$323,Ajustes!$H124,O$2),0)+IF(Ajustes!$I124&gt;0,INDEX($AA$4:$AL$323,Ajustes!$I124,O$2),0)+IF(Ajustes!$J124&gt;0,INDEX($AA$4:$AL$323,Ajustes!$J124,O$2),0)+IF(Ajustes!$K124&gt;0,INDEX($AA$5:$AL$324,Ajustes!$K124,O$2),0)+IF(Ajustes!$L124&gt;0,INDEX($AA$4:$AL$323,Ajustes!$L124,O$2),0) + O124</f>
        <v>107</v>
      </c>
      <c r="AB124">
        <f>IF(Ajustes!$G124&gt;0,INDEX($AA$4:$AL$323,Ajustes!$G124,P$2),0)+IF(Ajustes!$H124&gt;0,INDEX($AA$4:$AL$323,Ajustes!$H124,P$2),0)+IF(Ajustes!$I124&gt;0,INDEX($AA$4:$AL$323,Ajustes!$I124,P$2),0)+IF(Ajustes!$J124&gt;0,INDEX($AA$4:$AL$323,Ajustes!$J124,P$2),0)+IF(Ajustes!$K124&gt;0,INDEX($AA$5:$AL$324,Ajustes!$K124,P$2),0)+IF(Ajustes!$L124&gt;0,INDEX($AA$4:$AL$323,Ajustes!$L124,P$2),0) + P124</f>
        <v>113</v>
      </c>
      <c r="AC124">
        <f>IF(Ajustes!$G124&gt;0,INDEX($AA$4:$AL$323,Ajustes!$G124,Q$2),0)+IF(Ajustes!$H124&gt;0,INDEX($AA$4:$AL$323,Ajustes!$H124,Q$2),0)+IF(Ajustes!$I124&gt;0,INDEX($AA$4:$AL$323,Ajustes!$I124,Q$2),0)+IF(Ajustes!$J124&gt;0,INDEX($AA$4:$AL$323,Ajustes!$J124,Q$2),0)+IF(Ajustes!$K124&gt;0,INDEX($AA$5:$AL$324,Ajustes!$K124,Q$2),0)+IF(Ajustes!$L124&gt;0,INDEX($AA$4:$AL$323,Ajustes!$L124,Q$2),0) + Q124</f>
        <v>103</v>
      </c>
      <c r="AD124">
        <f>IF(Ajustes!$G124&gt;0,INDEX($AA$4:$AL$323,Ajustes!$G124,R$2),0)+IF(Ajustes!$H124&gt;0,INDEX($AA$4:$AL$323,Ajustes!$H124,R$2),0)+IF(Ajustes!$I124&gt;0,INDEX($AA$4:$AL$323,Ajustes!$I124,R$2),0)+IF(Ajustes!$J124&gt;0,INDEX($AA$4:$AL$323,Ajustes!$J124,R$2),0)+IF(Ajustes!$K124&gt;0,INDEX($AA$5:$AL$324,Ajustes!$K124,R$2),0)+IF(Ajustes!$L124&gt;0,INDEX($AA$4:$AL$323,Ajustes!$L124,R$2),0) + R124</f>
        <v>80</v>
      </c>
      <c r="AE124">
        <f>IF(Ajustes!$G124&gt;0,INDEX($AA$4:$AL$323,Ajustes!$G124,S$2),0)+IF(Ajustes!$H124&gt;0,INDEX($AA$4:$AL$323,Ajustes!$H124,S$2),0)+IF(Ajustes!$I124&gt;0,INDEX($AA$4:$AL$323,Ajustes!$I124,S$2),0)+IF(Ajustes!$J124&gt;0,INDEX($AA$4:$AL$323,Ajustes!$J124,S$2),0)+IF(Ajustes!$K124&gt;0,INDEX($AA$5:$AL$324,Ajustes!$K124,S$2),0)+IF(Ajustes!$L124&gt;0,INDEX($AA$4:$AL$323,Ajustes!$L124,S$2),0) + S124</f>
        <v>62</v>
      </c>
      <c r="AF124">
        <f>IF(Ajustes!$G124&gt;0,INDEX($AA$4:$AL$323,Ajustes!$G124,T$2),0)+IF(Ajustes!$H124&gt;0,INDEX($AA$4:$AL$323,Ajustes!$H124,T$2),0)+IF(Ajustes!$I124&gt;0,INDEX($AA$4:$AL$323,Ajustes!$I124,T$2),0)+IF(Ajustes!$J124&gt;0,INDEX($AA$4:$AL$323,Ajustes!$J124,T$2),0)+IF(Ajustes!$K124&gt;0,INDEX($AA$5:$AL$324,Ajustes!$K124,T$2),0)+IF(Ajustes!$L124&gt;0,INDEX($AA$4:$AL$323,Ajustes!$L124,T$2),0) + T124</f>
        <v>55</v>
      </c>
      <c r="AG124">
        <f>IF(Ajustes!$G124&gt;0,INDEX($AA$4:$AL$323,Ajustes!$G124,U$2),0)+IF(Ajustes!$H124&gt;0,INDEX($AA$4:$AL$323,Ajustes!$H124,U$2),0)+IF(Ajustes!$I124&gt;0,INDEX($AA$4:$AL$323,Ajustes!$I124,U$2),0)+IF(Ajustes!$J124&gt;0,INDEX($AA$4:$AL$323,Ajustes!$J124,U$2),0)+IF(Ajustes!$K124&gt;0,INDEX($AA$5:$AL$324,Ajustes!$K124,U$2),0)+IF(Ajustes!$L124&gt;0,INDEX($AA$4:$AL$323,Ajustes!$L124,U$2),0) + U124</f>
        <v>48</v>
      </c>
      <c r="AH124">
        <f>IF(Ajustes!$G124&gt;0,INDEX($AA$4:$AL$323,Ajustes!$G124,V$2),0)+IF(Ajustes!$H124&gt;0,INDEX($AA$4:$AL$323,Ajustes!$H124,V$2),0)+IF(Ajustes!$I124&gt;0,INDEX($AA$4:$AL$323,Ajustes!$I124,V$2),0)+IF(Ajustes!$J124&gt;0,INDEX($AA$4:$AL$323,Ajustes!$J124,V$2),0)+IF(Ajustes!$K124&gt;0,INDEX($AA$5:$AL$324,Ajustes!$K124,V$2),0)+IF(Ajustes!$L124&gt;0,INDEX($AA$4:$AL$323,Ajustes!$L124,V$2),0) + V124</f>
        <v>42</v>
      </c>
      <c r="AI124">
        <f>IF(Ajustes!$G124&gt;0,INDEX($AA$4:$AL$323,Ajustes!$G124,W$2),0)+IF(Ajustes!$H124&gt;0,INDEX($AA$4:$AL$323,Ajustes!$H124,W$2),0)+IF(Ajustes!$I124&gt;0,INDEX($AA$4:$AL$323,Ajustes!$I124,W$2),0)+IF(Ajustes!$J124&gt;0,INDEX($AA$4:$AL$323,Ajustes!$J124,W$2),0)+IF(Ajustes!$K124&gt;0,INDEX($AA$5:$AL$324,Ajustes!$K124,W$2),0)+IF(Ajustes!$L124&gt;0,INDEX($AA$4:$AL$323,Ajustes!$L124,W$2),0) + W124</f>
        <v>45</v>
      </c>
      <c r="AJ124">
        <f>IF(Ajustes!$G124&gt;0,INDEX($AA$4:$AL$323,Ajustes!$G124,X$2),0)+IF(Ajustes!$H124&gt;0,INDEX($AA$4:$AL$323,Ajustes!$H124,X$2),0)+IF(Ajustes!$I124&gt;0,INDEX($AA$4:$AL$323,Ajustes!$I124,X$2),0)+IF(Ajustes!$J124&gt;0,INDEX($AA$4:$AL$323,Ajustes!$J124,X$2),0)+IF(Ajustes!$K124&gt;0,INDEX($AA$5:$AL$324,Ajustes!$K124,X$2),0)+IF(Ajustes!$L124&gt;0,INDEX($AA$4:$AL$323,Ajustes!$L124,X$2),0) + X124</f>
        <v>51</v>
      </c>
      <c r="AK124">
        <f>IF(Ajustes!$G124&gt;0,INDEX($AA$4:$AL$323,Ajustes!$G124,Y$2),0)+IF(Ajustes!$H124&gt;0,INDEX($AA$4:$AL$323,Ajustes!$H124,Y$2),0)+IF(Ajustes!$I124&gt;0,INDEX($AA$4:$AL$323,Ajustes!$I124,Y$2),0)+IF(Ajustes!$J124&gt;0,INDEX($AA$4:$AL$323,Ajustes!$J124,Y$2),0)+IF(Ajustes!$K124&gt;0,INDEX($AA$5:$AL$324,Ajustes!$K124,Y$2),0)+IF(Ajustes!$L124&gt;0,INDEX($AA$4:$AL$323,Ajustes!$L124,Y$2),0) + Y124</f>
        <v>59</v>
      </c>
      <c r="AL124">
        <f>IF(Ajustes!$G124&gt;0,INDEX($AA$4:$AL$323,Ajustes!$G124,Z$2),0)+IF(Ajustes!$H124&gt;0,INDEX($AA$4:$AL$323,Ajustes!$H124,Z$2),0)+IF(Ajustes!$I124&gt;0,INDEX($AA$4:$AL$323,Ajustes!$I124,Z$2),0)+IF(Ajustes!$J124&gt;0,INDEX($AA$4:$AL$323,Ajustes!$J124,Z$2),0)+IF(Ajustes!$K124&gt;0,INDEX($AA$5:$AL$324,Ajustes!$K124,Z$2),0)+IF(Ajustes!$L124&gt;0,INDEX($AA$4:$AL$323,Ajustes!$L124,Z$2),0) + Z124</f>
        <v>80</v>
      </c>
      <c r="AM124" s="113">
        <f t="shared" si="33"/>
        <v>107</v>
      </c>
      <c r="AN124" s="113">
        <f t="shared" si="33"/>
        <v>113</v>
      </c>
      <c r="AO124" s="113">
        <f t="shared" si="33"/>
        <v>103</v>
      </c>
      <c r="AP124" s="113">
        <f t="shared" si="33"/>
        <v>80</v>
      </c>
      <c r="AQ124" s="113">
        <f t="shared" si="33"/>
        <v>62</v>
      </c>
      <c r="AR124" s="113">
        <f t="shared" si="33"/>
        <v>55</v>
      </c>
      <c r="AS124" s="113">
        <f t="shared" si="33"/>
        <v>48</v>
      </c>
      <c r="AT124" s="113">
        <f t="shared" si="33"/>
        <v>42</v>
      </c>
      <c r="AU124" s="113">
        <f t="shared" si="33"/>
        <v>45</v>
      </c>
      <c r="AV124" s="113">
        <f t="shared" si="33"/>
        <v>51</v>
      </c>
      <c r="AW124" s="113">
        <f t="shared" si="33"/>
        <v>59</v>
      </c>
      <c r="AX124" s="113">
        <f t="shared" si="33"/>
        <v>80</v>
      </c>
    </row>
    <row r="125" spans="1:50" x14ac:dyDescent="0.25">
      <c r="A125" s="113">
        <v>122</v>
      </c>
      <c r="B125" s="209" t="s">
        <v>112</v>
      </c>
      <c r="C125">
        <f>IFERROR(INDEX($BD$7:$BO$35,MATCH(Ajustes!$E$4:$E$323,$BC$7:$BC$35,0),$C$2:$N$2),1)</f>
        <v>1</v>
      </c>
      <c r="D125" s="113">
        <f>IFERROR(INDEX($BD$7:$BO$35,MATCH(Ajustes!$E$4:$E$323,$BC$7:$BC$35,0),$C$2:$N$2),1)</f>
        <v>1</v>
      </c>
      <c r="E125" s="113">
        <f>IFERROR(INDEX($BD$7:$BO$35,MATCH(Ajustes!$E$4:$E$323,$BC$7:$BC$35,0),$C$2:$N$2),1)</f>
        <v>1</v>
      </c>
      <c r="F125" s="113">
        <f>IFERROR(INDEX($BD$7:$BO$35,MATCH(Ajustes!$E$4:$E$323,$BC$7:$BC$35,0),$C$2:$N$2),1)</f>
        <v>1</v>
      </c>
      <c r="G125" s="113">
        <f>IFERROR(INDEX($BD$7:$BO$35,MATCH(Ajustes!$E$4:$E$323,$BC$7:$BC$35,0),$C$2:$N$2),1)</f>
        <v>1</v>
      </c>
      <c r="H125" s="113">
        <f>IFERROR(INDEX($BD$7:$BO$35,MATCH(Ajustes!$E$4:$E$323,$BC$7:$BC$35,0),$C$2:$N$2),1)</f>
        <v>1</v>
      </c>
      <c r="I125" s="113">
        <f>IFERROR(INDEX($BD$7:$BO$35,MATCH(Ajustes!$E$4:$E$323,$BC$7:$BC$35,0),$C$2:$N$2),1)</f>
        <v>1</v>
      </c>
      <c r="J125" s="113">
        <f>IFERROR(INDEX($BD$7:$BO$35,MATCH(Ajustes!$E$4:$E$323,$BC$7:$BC$35,0),$C$2:$N$2),1)</f>
        <v>1</v>
      </c>
      <c r="K125" s="113">
        <f>IFERROR(INDEX($BD$7:$BO$35,MATCH(Ajustes!$E$4:$E$323,$BC$7:$BC$35,0),$C$2:$N$2),1)</f>
        <v>1</v>
      </c>
      <c r="L125" s="113">
        <f>IFERROR(INDEX($BD$7:$BO$35,MATCH(Ajustes!$E$4:$E$323,$BC$7:$BC$35,0),$C$2:$N$2),1)</f>
        <v>1</v>
      </c>
      <c r="M125" s="113">
        <f>IFERROR(INDEX($BD$7:$BO$35,MATCH(Ajustes!$E$4:$E$323,$BC$7:$BC$35,0),$C$2:$N$2),1)</f>
        <v>1</v>
      </c>
      <c r="N125" s="113">
        <f>IFERROR(INDEX($BD$7:$BO$35,MATCH(Ajustes!$E$4:$E$323,$BC$7:$BC$35,0),$C$2:$N$2),1)</f>
        <v>1</v>
      </c>
      <c r="O125">
        <f>C125*Ajustes!AM125</f>
        <v>14</v>
      </c>
      <c r="P125">
        <f>D125*Ajustes!AN125</f>
        <v>17</v>
      </c>
      <c r="Q125">
        <f>E125*Ajustes!AO125</f>
        <v>14</v>
      </c>
      <c r="R125">
        <f>F125*Ajustes!AP125</f>
        <v>11</v>
      </c>
      <c r="S125">
        <f>G125*Ajustes!AQ125</f>
        <v>9</v>
      </c>
      <c r="T125">
        <f>H125*Ajustes!AR125</f>
        <v>8</v>
      </c>
      <c r="U125">
        <f>I125*Ajustes!AS125</f>
        <v>7</v>
      </c>
      <c r="V125">
        <f>J125*Ajustes!AT125</f>
        <v>6</v>
      </c>
      <c r="W125">
        <f>K125*Ajustes!AU125</f>
        <v>7</v>
      </c>
      <c r="X125">
        <f>L125*Ajustes!AV125</f>
        <v>7</v>
      </c>
      <c r="Y125">
        <f>M125*Ajustes!AW125</f>
        <v>8</v>
      </c>
      <c r="Z125">
        <f>N125*Ajustes!AX125</f>
        <v>10</v>
      </c>
      <c r="AA125">
        <f>IF(Ajustes!$G125&gt;0,INDEX($AA$4:$AL$323,Ajustes!$G125,O$2),0)+IF(Ajustes!$H125&gt;0,INDEX($AA$4:$AL$323,Ajustes!$H125,O$2),0)+IF(Ajustes!$I125&gt;0,INDEX($AA$4:$AL$323,Ajustes!$I125,O$2),0)+IF(Ajustes!$J125&gt;0,INDEX($AA$4:$AL$323,Ajustes!$J125,O$2),0)+IF(Ajustes!$K125&gt;0,INDEX($AA$5:$AL$324,Ajustes!$K125,O$2),0)+IF(Ajustes!$L125&gt;0,INDEX($AA$4:$AL$323,Ajustes!$L125,O$2),0) + O125</f>
        <v>121</v>
      </c>
      <c r="AB125">
        <f>IF(Ajustes!$G125&gt;0,INDEX($AA$4:$AL$323,Ajustes!$G125,P$2),0)+IF(Ajustes!$H125&gt;0,INDEX($AA$4:$AL$323,Ajustes!$H125,P$2),0)+IF(Ajustes!$I125&gt;0,INDEX($AA$4:$AL$323,Ajustes!$I125,P$2),0)+IF(Ajustes!$J125&gt;0,INDEX($AA$4:$AL$323,Ajustes!$J125,P$2),0)+IF(Ajustes!$K125&gt;0,INDEX($AA$5:$AL$324,Ajustes!$K125,P$2),0)+IF(Ajustes!$L125&gt;0,INDEX($AA$4:$AL$323,Ajustes!$L125,P$2),0) + P125</f>
        <v>130</v>
      </c>
      <c r="AC125">
        <f>IF(Ajustes!$G125&gt;0,INDEX($AA$4:$AL$323,Ajustes!$G125,Q$2),0)+IF(Ajustes!$H125&gt;0,INDEX($AA$4:$AL$323,Ajustes!$H125,Q$2),0)+IF(Ajustes!$I125&gt;0,INDEX($AA$4:$AL$323,Ajustes!$I125,Q$2),0)+IF(Ajustes!$J125&gt;0,INDEX($AA$4:$AL$323,Ajustes!$J125,Q$2),0)+IF(Ajustes!$K125&gt;0,INDEX($AA$5:$AL$324,Ajustes!$K125,Q$2),0)+IF(Ajustes!$L125&gt;0,INDEX($AA$4:$AL$323,Ajustes!$L125,Q$2),0) + Q125</f>
        <v>117</v>
      </c>
      <c r="AD125">
        <f>IF(Ajustes!$G125&gt;0,INDEX($AA$4:$AL$323,Ajustes!$G125,R$2),0)+IF(Ajustes!$H125&gt;0,INDEX($AA$4:$AL$323,Ajustes!$H125,R$2),0)+IF(Ajustes!$I125&gt;0,INDEX($AA$4:$AL$323,Ajustes!$I125,R$2),0)+IF(Ajustes!$J125&gt;0,INDEX($AA$4:$AL$323,Ajustes!$J125,R$2),0)+IF(Ajustes!$K125&gt;0,INDEX($AA$5:$AL$324,Ajustes!$K125,R$2),0)+IF(Ajustes!$L125&gt;0,INDEX($AA$4:$AL$323,Ajustes!$L125,R$2),0) + R125</f>
        <v>91</v>
      </c>
      <c r="AE125">
        <f>IF(Ajustes!$G125&gt;0,INDEX($AA$4:$AL$323,Ajustes!$G125,S$2),0)+IF(Ajustes!$H125&gt;0,INDEX($AA$4:$AL$323,Ajustes!$H125,S$2),0)+IF(Ajustes!$I125&gt;0,INDEX($AA$4:$AL$323,Ajustes!$I125,S$2),0)+IF(Ajustes!$J125&gt;0,INDEX($AA$4:$AL$323,Ajustes!$J125,S$2),0)+IF(Ajustes!$K125&gt;0,INDEX($AA$5:$AL$324,Ajustes!$K125,S$2),0)+IF(Ajustes!$L125&gt;0,INDEX($AA$4:$AL$323,Ajustes!$L125,S$2),0) + S125</f>
        <v>71</v>
      </c>
      <c r="AF125">
        <f>IF(Ajustes!$G125&gt;0,INDEX($AA$4:$AL$323,Ajustes!$G125,T$2),0)+IF(Ajustes!$H125&gt;0,INDEX($AA$4:$AL$323,Ajustes!$H125,T$2),0)+IF(Ajustes!$I125&gt;0,INDEX($AA$4:$AL$323,Ajustes!$I125,T$2),0)+IF(Ajustes!$J125&gt;0,INDEX($AA$4:$AL$323,Ajustes!$J125,T$2),0)+IF(Ajustes!$K125&gt;0,INDEX($AA$5:$AL$324,Ajustes!$K125,T$2),0)+IF(Ajustes!$L125&gt;0,INDEX($AA$4:$AL$323,Ajustes!$L125,T$2),0) + T125</f>
        <v>63</v>
      </c>
      <c r="AG125">
        <f>IF(Ajustes!$G125&gt;0,INDEX($AA$4:$AL$323,Ajustes!$G125,U$2),0)+IF(Ajustes!$H125&gt;0,INDEX($AA$4:$AL$323,Ajustes!$H125,U$2),0)+IF(Ajustes!$I125&gt;0,INDEX($AA$4:$AL$323,Ajustes!$I125,U$2),0)+IF(Ajustes!$J125&gt;0,INDEX($AA$4:$AL$323,Ajustes!$J125,U$2),0)+IF(Ajustes!$K125&gt;0,INDEX($AA$5:$AL$324,Ajustes!$K125,U$2),0)+IF(Ajustes!$L125&gt;0,INDEX($AA$4:$AL$323,Ajustes!$L125,U$2),0) + U125</f>
        <v>55</v>
      </c>
      <c r="AH125">
        <f>IF(Ajustes!$G125&gt;0,INDEX($AA$4:$AL$323,Ajustes!$G125,V$2),0)+IF(Ajustes!$H125&gt;0,INDEX($AA$4:$AL$323,Ajustes!$H125,V$2),0)+IF(Ajustes!$I125&gt;0,INDEX($AA$4:$AL$323,Ajustes!$I125,V$2),0)+IF(Ajustes!$J125&gt;0,INDEX($AA$4:$AL$323,Ajustes!$J125,V$2),0)+IF(Ajustes!$K125&gt;0,INDEX($AA$5:$AL$324,Ajustes!$K125,V$2),0)+IF(Ajustes!$L125&gt;0,INDEX($AA$4:$AL$323,Ajustes!$L125,V$2),0) + V125</f>
        <v>48</v>
      </c>
      <c r="AI125">
        <f>IF(Ajustes!$G125&gt;0,INDEX($AA$4:$AL$323,Ajustes!$G125,W$2),0)+IF(Ajustes!$H125&gt;0,INDEX($AA$4:$AL$323,Ajustes!$H125,W$2),0)+IF(Ajustes!$I125&gt;0,INDEX($AA$4:$AL$323,Ajustes!$I125,W$2),0)+IF(Ajustes!$J125&gt;0,INDEX($AA$4:$AL$323,Ajustes!$J125,W$2),0)+IF(Ajustes!$K125&gt;0,INDEX($AA$5:$AL$324,Ajustes!$K125,W$2),0)+IF(Ajustes!$L125&gt;0,INDEX($AA$4:$AL$323,Ajustes!$L125,W$2),0) + W125</f>
        <v>52</v>
      </c>
      <c r="AJ125">
        <f>IF(Ajustes!$G125&gt;0,INDEX($AA$4:$AL$323,Ajustes!$G125,X$2),0)+IF(Ajustes!$H125&gt;0,INDEX($AA$4:$AL$323,Ajustes!$H125,X$2),0)+IF(Ajustes!$I125&gt;0,INDEX($AA$4:$AL$323,Ajustes!$I125,X$2),0)+IF(Ajustes!$J125&gt;0,INDEX($AA$4:$AL$323,Ajustes!$J125,X$2),0)+IF(Ajustes!$K125&gt;0,INDEX($AA$5:$AL$324,Ajustes!$K125,X$2),0)+IF(Ajustes!$L125&gt;0,INDEX($AA$4:$AL$323,Ajustes!$L125,X$2),0) + X125</f>
        <v>58</v>
      </c>
      <c r="AK125">
        <f>IF(Ajustes!$G125&gt;0,INDEX($AA$4:$AL$323,Ajustes!$G125,Y$2),0)+IF(Ajustes!$H125&gt;0,INDEX($AA$4:$AL$323,Ajustes!$H125,Y$2),0)+IF(Ajustes!$I125&gt;0,INDEX($AA$4:$AL$323,Ajustes!$I125,Y$2),0)+IF(Ajustes!$J125&gt;0,INDEX($AA$4:$AL$323,Ajustes!$J125,Y$2),0)+IF(Ajustes!$K125&gt;0,INDEX($AA$5:$AL$324,Ajustes!$K125,Y$2),0)+IF(Ajustes!$L125&gt;0,INDEX($AA$4:$AL$323,Ajustes!$L125,Y$2),0) + Y125</f>
        <v>67</v>
      </c>
      <c r="AL125">
        <f>IF(Ajustes!$G125&gt;0,INDEX($AA$4:$AL$323,Ajustes!$G125,Z$2),0)+IF(Ajustes!$H125&gt;0,INDEX($AA$4:$AL$323,Ajustes!$H125,Z$2),0)+IF(Ajustes!$I125&gt;0,INDEX($AA$4:$AL$323,Ajustes!$I125,Z$2),0)+IF(Ajustes!$J125&gt;0,INDEX($AA$4:$AL$323,Ajustes!$J125,Z$2),0)+IF(Ajustes!$K125&gt;0,INDEX($AA$5:$AL$324,Ajustes!$K125,Z$2),0)+IF(Ajustes!$L125&gt;0,INDEX($AA$4:$AL$323,Ajustes!$L125,Z$2),0) + Z125</f>
        <v>90</v>
      </c>
      <c r="AM125" s="113">
        <f t="shared" si="33"/>
        <v>121</v>
      </c>
      <c r="AN125" s="113">
        <f t="shared" si="33"/>
        <v>130</v>
      </c>
      <c r="AO125" s="113">
        <f t="shared" si="33"/>
        <v>117</v>
      </c>
      <c r="AP125" s="113">
        <f t="shared" si="33"/>
        <v>91</v>
      </c>
      <c r="AQ125" s="113">
        <f t="shared" si="33"/>
        <v>71</v>
      </c>
      <c r="AR125" s="113">
        <f t="shared" si="33"/>
        <v>63</v>
      </c>
      <c r="AS125" s="113">
        <f t="shared" si="33"/>
        <v>55</v>
      </c>
      <c r="AT125" s="113">
        <f t="shared" si="33"/>
        <v>48</v>
      </c>
      <c r="AU125" s="113">
        <f t="shared" si="33"/>
        <v>52</v>
      </c>
      <c r="AV125" s="113">
        <f t="shared" si="33"/>
        <v>58</v>
      </c>
      <c r="AW125" s="113">
        <f t="shared" si="33"/>
        <v>67</v>
      </c>
      <c r="AX125" s="113">
        <f t="shared" si="33"/>
        <v>90</v>
      </c>
    </row>
    <row r="126" spans="1:50" x14ac:dyDescent="0.25">
      <c r="A126" s="113">
        <v>123</v>
      </c>
      <c r="B126" s="209" t="s">
        <v>601</v>
      </c>
      <c r="C126">
        <f>IFERROR(INDEX($BD$7:$BO$35,MATCH(Ajustes!$E$4:$E$323,$BC$7:$BC$35,0),$C$2:$N$2),1)</f>
        <v>1</v>
      </c>
      <c r="D126" s="113">
        <f>IFERROR(INDEX($BD$7:$BO$35,MATCH(Ajustes!$E$4:$E$323,$BC$7:$BC$35,0),$C$2:$N$2),1)</f>
        <v>1</v>
      </c>
      <c r="E126" s="113">
        <f>IFERROR(INDEX($BD$7:$BO$35,MATCH(Ajustes!$E$4:$E$323,$BC$7:$BC$35,0),$C$2:$N$2),1)</f>
        <v>1</v>
      </c>
      <c r="F126" s="113">
        <f>IFERROR(INDEX($BD$7:$BO$35,MATCH(Ajustes!$E$4:$E$323,$BC$7:$BC$35,0),$C$2:$N$2),1)</f>
        <v>1</v>
      </c>
      <c r="G126" s="113">
        <f>IFERROR(INDEX($BD$7:$BO$35,MATCH(Ajustes!$E$4:$E$323,$BC$7:$BC$35,0),$C$2:$N$2),1)</f>
        <v>1</v>
      </c>
      <c r="H126" s="113">
        <f>IFERROR(INDEX($BD$7:$BO$35,MATCH(Ajustes!$E$4:$E$323,$BC$7:$BC$35,0),$C$2:$N$2),1)</f>
        <v>1</v>
      </c>
      <c r="I126" s="113">
        <f>IFERROR(INDEX($BD$7:$BO$35,MATCH(Ajustes!$E$4:$E$323,$BC$7:$BC$35,0),$C$2:$N$2),1)</f>
        <v>1</v>
      </c>
      <c r="J126" s="113">
        <f>IFERROR(INDEX($BD$7:$BO$35,MATCH(Ajustes!$E$4:$E$323,$BC$7:$BC$35,0),$C$2:$N$2),1)</f>
        <v>1</v>
      </c>
      <c r="K126" s="113">
        <f>IFERROR(INDEX($BD$7:$BO$35,MATCH(Ajustes!$E$4:$E$323,$BC$7:$BC$35,0),$C$2:$N$2),1)</f>
        <v>1</v>
      </c>
      <c r="L126" s="113">
        <f>IFERROR(INDEX($BD$7:$BO$35,MATCH(Ajustes!$E$4:$E$323,$BC$7:$BC$35,0),$C$2:$N$2),1)</f>
        <v>1</v>
      </c>
      <c r="M126" s="113">
        <f>IFERROR(INDEX($BD$7:$BO$35,MATCH(Ajustes!$E$4:$E$323,$BC$7:$BC$35,0),$C$2:$N$2),1)</f>
        <v>1</v>
      </c>
      <c r="N126" s="113">
        <f>IFERROR(INDEX($BD$7:$BO$35,MATCH(Ajustes!$E$4:$E$323,$BC$7:$BC$35,0),$C$2:$N$2),1)</f>
        <v>1</v>
      </c>
      <c r="O126">
        <f>C126*Ajustes!AM126</f>
        <v>216</v>
      </c>
      <c r="P126">
        <f>D126*Ajustes!AN126</f>
        <v>226</v>
      </c>
      <c r="Q126">
        <f>E126*Ajustes!AO126</f>
        <v>225</v>
      </c>
      <c r="R126">
        <f>F126*Ajustes!AP126</f>
        <v>152</v>
      </c>
      <c r="S126">
        <f>G126*Ajustes!AQ126</f>
        <v>95</v>
      </c>
      <c r="T126">
        <f>H126*Ajustes!AR126</f>
        <v>80</v>
      </c>
      <c r="U126">
        <f>I126*Ajustes!AS126</f>
        <v>67</v>
      </c>
      <c r="V126">
        <f>J126*Ajustes!AT126</f>
        <v>56</v>
      </c>
      <c r="W126">
        <f>K126*Ajustes!AU126</f>
        <v>56</v>
      </c>
      <c r="X126">
        <f>L126*Ajustes!AV126</f>
        <v>72</v>
      </c>
      <c r="Y126">
        <f>M126*Ajustes!AW126</f>
        <v>96</v>
      </c>
      <c r="Z126">
        <f>N126*Ajustes!AX126</f>
        <v>146</v>
      </c>
      <c r="AA126">
        <f>IF(Ajustes!$G126&gt;0,INDEX($AA$4:$AL$323,Ajustes!$G126,O$2),0)+IF(Ajustes!$H126&gt;0,INDEX($AA$4:$AL$323,Ajustes!$H126,O$2),0)+IF(Ajustes!$I126&gt;0,INDEX($AA$4:$AL$323,Ajustes!$I126,O$2),0)+IF(Ajustes!$J126&gt;0,INDEX($AA$4:$AL$323,Ajustes!$J126,O$2),0)+IF(Ajustes!$K126&gt;0,INDEX($AA$5:$AL$324,Ajustes!$K126,O$2),0)+IF(Ajustes!$L126&gt;0,INDEX($AA$4:$AL$323,Ajustes!$L126,O$2),0) + O126</f>
        <v>382</v>
      </c>
      <c r="AB126">
        <f>IF(Ajustes!$G126&gt;0,INDEX($AA$4:$AL$323,Ajustes!$G126,P$2),0)+IF(Ajustes!$H126&gt;0,INDEX($AA$4:$AL$323,Ajustes!$H126,P$2),0)+IF(Ajustes!$I126&gt;0,INDEX($AA$4:$AL$323,Ajustes!$I126,P$2),0)+IF(Ajustes!$J126&gt;0,INDEX($AA$4:$AL$323,Ajustes!$J126,P$2),0)+IF(Ajustes!$K126&gt;0,INDEX($AA$5:$AL$324,Ajustes!$K126,P$2),0)+IF(Ajustes!$L126&gt;0,INDEX($AA$4:$AL$323,Ajustes!$L126,P$2),0) + P126</f>
        <v>404</v>
      </c>
      <c r="AC126">
        <f>IF(Ajustes!$G126&gt;0,INDEX($AA$4:$AL$323,Ajustes!$G126,Q$2),0)+IF(Ajustes!$H126&gt;0,INDEX($AA$4:$AL$323,Ajustes!$H126,Q$2),0)+IF(Ajustes!$I126&gt;0,INDEX($AA$4:$AL$323,Ajustes!$I126,Q$2),0)+IF(Ajustes!$J126&gt;0,INDEX($AA$4:$AL$323,Ajustes!$J126,Q$2),0)+IF(Ajustes!$K126&gt;0,INDEX($AA$5:$AL$324,Ajustes!$K126,Q$2),0)+IF(Ajustes!$L126&gt;0,INDEX($AA$4:$AL$323,Ajustes!$L126,Q$2),0) + Q126</f>
        <v>388</v>
      </c>
      <c r="AD126">
        <f>IF(Ajustes!$G126&gt;0,INDEX($AA$4:$AL$323,Ajustes!$G126,R$2),0)+IF(Ajustes!$H126&gt;0,INDEX($AA$4:$AL$323,Ajustes!$H126,R$2),0)+IF(Ajustes!$I126&gt;0,INDEX($AA$4:$AL$323,Ajustes!$I126,R$2),0)+IF(Ajustes!$J126&gt;0,INDEX($AA$4:$AL$323,Ajustes!$J126,R$2),0)+IF(Ajustes!$K126&gt;0,INDEX($AA$5:$AL$324,Ajustes!$K126,R$2),0)+IF(Ajustes!$L126&gt;0,INDEX($AA$4:$AL$323,Ajustes!$L126,R$2),0) + R126</f>
        <v>277</v>
      </c>
      <c r="AE126">
        <f>IF(Ajustes!$G126&gt;0,INDEX($AA$4:$AL$323,Ajustes!$G126,S$2),0)+IF(Ajustes!$H126&gt;0,INDEX($AA$4:$AL$323,Ajustes!$H126,S$2),0)+IF(Ajustes!$I126&gt;0,INDEX($AA$4:$AL$323,Ajustes!$I126,S$2),0)+IF(Ajustes!$J126&gt;0,INDEX($AA$4:$AL$323,Ajustes!$J126,S$2),0)+IF(Ajustes!$K126&gt;0,INDEX($AA$5:$AL$324,Ajustes!$K126,S$2),0)+IF(Ajustes!$L126&gt;0,INDEX($AA$4:$AL$323,Ajustes!$L126,S$2),0) + S126</f>
        <v>193</v>
      </c>
      <c r="AF126">
        <f>IF(Ajustes!$G126&gt;0,INDEX($AA$4:$AL$323,Ajustes!$G126,T$2),0)+IF(Ajustes!$H126&gt;0,INDEX($AA$4:$AL$323,Ajustes!$H126,T$2),0)+IF(Ajustes!$I126&gt;0,INDEX($AA$4:$AL$323,Ajustes!$I126,T$2),0)+IF(Ajustes!$J126&gt;0,INDEX($AA$4:$AL$323,Ajustes!$J126,T$2),0)+IF(Ajustes!$K126&gt;0,INDEX($AA$5:$AL$324,Ajustes!$K126,T$2),0)+IF(Ajustes!$L126&gt;0,INDEX($AA$4:$AL$323,Ajustes!$L126,T$2),0) + T126</f>
        <v>167</v>
      </c>
      <c r="AG126">
        <f>IF(Ajustes!$G126&gt;0,INDEX($AA$4:$AL$323,Ajustes!$G126,U$2),0)+IF(Ajustes!$H126&gt;0,INDEX($AA$4:$AL$323,Ajustes!$H126,U$2),0)+IF(Ajustes!$I126&gt;0,INDEX($AA$4:$AL$323,Ajustes!$I126,U$2),0)+IF(Ajustes!$J126&gt;0,INDEX($AA$4:$AL$323,Ajustes!$J126,U$2),0)+IF(Ajustes!$K126&gt;0,INDEX($AA$5:$AL$324,Ajustes!$K126,U$2),0)+IF(Ajustes!$L126&gt;0,INDEX($AA$4:$AL$323,Ajustes!$L126,U$2),0) + U126</f>
        <v>142</v>
      </c>
      <c r="AH126">
        <f>IF(Ajustes!$G126&gt;0,INDEX($AA$4:$AL$323,Ajustes!$G126,V$2),0)+IF(Ajustes!$H126&gt;0,INDEX($AA$4:$AL$323,Ajustes!$H126,V$2),0)+IF(Ajustes!$I126&gt;0,INDEX($AA$4:$AL$323,Ajustes!$I126,V$2),0)+IF(Ajustes!$J126&gt;0,INDEX($AA$4:$AL$323,Ajustes!$J126,V$2),0)+IF(Ajustes!$K126&gt;0,INDEX($AA$5:$AL$324,Ajustes!$K126,V$2),0)+IF(Ajustes!$L126&gt;0,INDEX($AA$4:$AL$323,Ajustes!$L126,V$2),0) + V126</f>
        <v>121</v>
      </c>
      <c r="AI126">
        <f>IF(Ajustes!$G126&gt;0,INDEX($AA$4:$AL$323,Ajustes!$G126,W$2),0)+IF(Ajustes!$H126&gt;0,INDEX($AA$4:$AL$323,Ajustes!$H126,W$2),0)+IF(Ajustes!$I126&gt;0,INDEX($AA$4:$AL$323,Ajustes!$I126,W$2),0)+IF(Ajustes!$J126&gt;0,INDEX($AA$4:$AL$323,Ajustes!$J126,W$2),0)+IF(Ajustes!$K126&gt;0,INDEX($AA$5:$AL$324,Ajustes!$K126,W$2),0)+IF(Ajustes!$L126&gt;0,INDEX($AA$4:$AL$323,Ajustes!$L126,W$2),0) + W126</f>
        <v>126</v>
      </c>
      <c r="AJ126">
        <f>IF(Ajustes!$G126&gt;0,INDEX($AA$4:$AL$323,Ajustes!$G126,X$2),0)+IF(Ajustes!$H126&gt;0,INDEX($AA$4:$AL$323,Ajustes!$H126,X$2),0)+IF(Ajustes!$I126&gt;0,INDEX($AA$4:$AL$323,Ajustes!$I126,X$2),0)+IF(Ajustes!$J126&gt;0,INDEX($AA$4:$AL$323,Ajustes!$J126,X$2),0)+IF(Ajustes!$K126&gt;0,INDEX($AA$5:$AL$324,Ajustes!$K126,X$2),0)+IF(Ajustes!$L126&gt;0,INDEX($AA$4:$AL$323,Ajustes!$L126,X$2),0) + X126</f>
        <v>150</v>
      </c>
      <c r="AK126">
        <f>IF(Ajustes!$G126&gt;0,INDEX($AA$4:$AL$323,Ajustes!$G126,Y$2),0)+IF(Ajustes!$H126&gt;0,INDEX($AA$4:$AL$323,Ajustes!$H126,Y$2),0)+IF(Ajustes!$I126&gt;0,INDEX($AA$4:$AL$323,Ajustes!$I126,Y$2),0)+IF(Ajustes!$J126&gt;0,INDEX($AA$4:$AL$323,Ajustes!$J126,Y$2),0)+IF(Ajustes!$K126&gt;0,INDEX($AA$5:$AL$324,Ajustes!$K126,Y$2),0)+IF(Ajustes!$L126&gt;0,INDEX($AA$4:$AL$323,Ajustes!$L126,Y$2),0) + Y126</f>
        <v>187</v>
      </c>
      <c r="AL126">
        <f>IF(Ajustes!$G126&gt;0,INDEX($AA$4:$AL$323,Ajustes!$G126,Z$2),0)+IF(Ajustes!$H126&gt;0,INDEX($AA$4:$AL$323,Ajustes!$H126,Z$2),0)+IF(Ajustes!$I126&gt;0,INDEX($AA$4:$AL$323,Ajustes!$I126,Z$2),0)+IF(Ajustes!$J126&gt;0,INDEX($AA$4:$AL$323,Ajustes!$J126,Z$2),0)+IF(Ajustes!$K126&gt;0,INDEX($AA$5:$AL$324,Ajustes!$K126,Z$2),0)+IF(Ajustes!$L126&gt;0,INDEX($AA$4:$AL$323,Ajustes!$L126,Z$2),0) + Z126</f>
        <v>270</v>
      </c>
      <c r="AM126" s="113">
        <f t="shared" si="33"/>
        <v>382</v>
      </c>
      <c r="AN126" s="113">
        <f t="shared" si="33"/>
        <v>404</v>
      </c>
      <c r="AO126" s="113">
        <f t="shared" si="33"/>
        <v>388</v>
      </c>
      <c r="AP126" s="113">
        <f t="shared" si="33"/>
        <v>277</v>
      </c>
      <c r="AQ126" s="113">
        <f t="shared" si="33"/>
        <v>193</v>
      </c>
      <c r="AR126" s="113">
        <f t="shared" si="33"/>
        <v>167</v>
      </c>
      <c r="AS126" s="113">
        <f t="shared" si="33"/>
        <v>142</v>
      </c>
      <c r="AT126" s="113">
        <f t="shared" si="33"/>
        <v>121</v>
      </c>
      <c r="AU126" s="113">
        <f t="shared" si="33"/>
        <v>126</v>
      </c>
      <c r="AV126" s="113">
        <f t="shared" si="33"/>
        <v>150</v>
      </c>
      <c r="AW126" s="113">
        <f t="shared" si="33"/>
        <v>187</v>
      </c>
      <c r="AX126" s="113">
        <f t="shared" si="33"/>
        <v>270</v>
      </c>
    </row>
    <row r="127" spans="1:50" x14ac:dyDescent="0.25">
      <c r="A127" s="113">
        <v>124</v>
      </c>
      <c r="B127" s="209"/>
      <c r="C127">
        <f>IFERROR(INDEX($BD$7:$BO$35,MATCH(Ajustes!$E$4:$E$323,$BC$7:$BC$35,0),$C$2:$N$2),1)</f>
        <v>1</v>
      </c>
      <c r="D127" s="113">
        <f>IFERROR(INDEX($BD$7:$BO$35,MATCH(Ajustes!$E$4:$E$323,$BC$7:$BC$35,0),$C$2:$N$2),1)</f>
        <v>1</v>
      </c>
      <c r="E127" s="113">
        <f>IFERROR(INDEX($BD$7:$BO$35,MATCH(Ajustes!$E$4:$E$323,$BC$7:$BC$35,0),$C$2:$N$2),1)</f>
        <v>1</v>
      </c>
      <c r="F127" s="113">
        <f>IFERROR(INDEX($BD$7:$BO$35,MATCH(Ajustes!$E$4:$E$323,$BC$7:$BC$35,0),$C$2:$N$2),1)</f>
        <v>1</v>
      </c>
      <c r="G127" s="113">
        <f>IFERROR(INDEX($BD$7:$BO$35,MATCH(Ajustes!$E$4:$E$323,$BC$7:$BC$35,0),$C$2:$N$2),1)</f>
        <v>1</v>
      </c>
      <c r="H127" s="113">
        <f>IFERROR(INDEX($BD$7:$BO$35,MATCH(Ajustes!$E$4:$E$323,$BC$7:$BC$35,0),$C$2:$N$2),1)</f>
        <v>1</v>
      </c>
      <c r="I127" s="113">
        <f>IFERROR(INDEX($BD$7:$BO$35,MATCH(Ajustes!$E$4:$E$323,$BC$7:$BC$35,0),$C$2:$N$2),1)</f>
        <v>1</v>
      </c>
      <c r="J127" s="113">
        <f>IFERROR(INDEX($BD$7:$BO$35,MATCH(Ajustes!$E$4:$E$323,$BC$7:$BC$35,0),$C$2:$N$2),1)</f>
        <v>1</v>
      </c>
      <c r="K127" s="113">
        <f>IFERROR(INDEX($BD$7:$BO$35,MATCH(Ajustes!$E$4:$E$323,$BC$7:$BC$35,0),$C$2:$N$2),1)</f>
        <v>1</v>
      </c>
      <c r="L127" s="113">
        <f>IFERROR(INDEX($BD$7:$BO$35,MATCH(Ajustes!$E$4:$E$323,$BC$7:$BC$35,0),$C$2:$N$2),1)</f>
        <v>1</v>
      </c>
      <c r="M127" s="113">
        <f>IFERROR(INDEX($BD$7:$BO$35,MATCH(Ajustes!$E$4:$E$323,$BC$7:$BC$35,0),$C$2:$N$2),1)</f>
        <v>1</v>
      </c>
      <c r="N127" s="113">
        <f>IFERROR(INDEX($BD$7:$BO$35,MATCH(Ajustes!$E$4:$E$323,$BC$7:$BC$35,0),$C$2:$N$2),1)</f>
        <v>1</v>
      </c>
      <c r="O127">
        <f>C127*Ajustes!AM127</f>
        <v>0</v>
      </c>
      <c r="P127">
        <f>D127*Ajustes!AN127</f>
        <v>0</v>
      </c>
      <c r="Q127">
        <f>E127*Ajustes!AO127</f>
        <v>0</v>
      </c>
      <c r="R127">
        <f>F127*Ajustes!AP127</f>
        <v>0</v>
      </c>
      <c r="S127">
        <f>G127*Ajustes!AQ127</f>
        <v>0</v>
      </c>
      <c r="T127">
        <f>H127*Ajustes!AR127</f>
        <v>0</v>
      </c>
      <c r="U127">
        <f>I127*Ajustes!AS127</f>
        <v>0</v>
      </c>
      <c r="V127">
        <f>J127*Ajustes!AT127</f>
        <v>0</v>
      </c>
      <c r="W127">
        <f>K127*Ajustes!AU127</f>
        <v>0</v>
      </c>
      <c r="X127">
        <f>L127*Ajustes!AV127</f>
        <v>0</v>
      </c>
      <c r="Y127">
        <f>M127*Ajustes!AW127</f>
        <v>0</v>
      </c>
      <c r="Z127">
        <f>N127*Ajustes!AX127</f>
        <v>0</v>
      </c>
      <c r="AA127">
        <f>IF(Ajustes!$G127&gt;0,INDEX($AA$4:$AL$323,Ajustes!$G127,O$2),0)+IF(Ajustes!$H127&gt;0,INDEX($AA$4:$AL$323,Ajustes!$H127,O$2),0)+IF(Ajustes!$I127&gt;0,INDEX($AA$4:$AL$323,Ajustes!$I127,O$2),0)+IF(Ajustes!$J127&gt;0,INDEX($AA$4:$AL$323,Ajustes!$J127,O$2),0)+IF(Ajustes!$K127&gt;0,INDEX($AA$5:$AL$324,Ajustes!$K127,O$2),0)+IF(Ajustes!$L127&gt;0,INDEX($AA$4:$AL$323,Ajustes!$L127,O$2),0) + O127</f>
        <v>0</v>
      </c>
      <c r="AB127">
        <f>IF(Ajustes!$G127&gt;0,INDEX($AA$4:$AL$323,Ajustes!$G127,P$2),0)+IF(Ajustes!$H127&gt;0,INDEX($AA$4:$AL$323,Ajustes!$H127,P$2),0)+IF(Ajustes!$I127&gt;0,INDEX($AA$4:$AL$323,Ajustes!$I127,P$2),0)+IF(Ajustes!$J127&gt;0,INDEX($AA$4:$AL$323,Ajustes!$J127,P$2),0)+IF(Ajustes!$K127&gt;0,INDEX($AA$5:$AL$324,Ajustes!$K127,P$2),0)+IF(Ajustes!$L127&gt;0,INDEX($AA$4:$AL$323,Ajustes!$L127,P$2),0) + P127</f>
        <v>0</v>
      </c>
      <c r="AC127">
        <f>IF(Ajustes!$G127&gt;0,INDEX($AA$4:$AL$323,Ajustes!$G127,Q$2),0)+IF(Ajustes!$H127&gt;0,INDEX($AA$4:$AL$323,Ajustes!$H127,Q$2),0)+IF(Ajustes!$I127&gt;0,INDEX($AA$4:$AL$323,Ajustes!$I127,Q$2),0)+IF(Ajustes!$J127&gt;0,INDEX($AA$4:$AL$323,Ajustes!$J127,Q$2),0)+IF(Ajustes!$K127&gt;0,INDEX($AA$5:$AL$324,Ajustes!$K127,Q$2),0)+IF(Ajustes!$L127&gt;0,INDEX($AA$4:$AL$323,Ajustes!$L127,Q$2),0) + Q127</f>
        <v>0</v>
      </c>
      <c r="AD127">
        <f>IF(Ajustes!$G127&gt;0,INDEX($AA$4:$AL$323,Ajustes!$G127,R$2),0)+IF(Ajustes!$H127&gt;0,INDEX($AA$4:$AL$323,Ajustes!$H127,R$2),0)+IF(Ajustes!$I127&gt;0,INDEX($AA$4:$AL$323,Ajustes!$I127,R$2),0)+IF(Ajustes!$J127&gt;0,INDEX($AA$4:$AL$323,Ajustes!$J127,R$2),0)+IF(Ajustes!$K127&gt;0,INDEX($AA$5:$AL$324,Ajustes!$K127,R$2),0)+IF(Ajustes!$L127&gt;0,INDEX($AA$4:$AL$323,Ajustes!$L127,R$2),0) + R127</f>
        <v>0</v>
      </c>
      <c r="AE127">
        <f>IF(Ajustes!$G127&gt;0,INDEX($AA$4:$AL$323,Ajustes!$G127,S$2),0)+IF(Ajustes!$H127&gt;0,INDEX($AA$4:$AL$323,Ajustes!$H127,S$2),0)+IF(Ajustes!$I127&gt;0,INDEX($AA$4:$AL$323,Ajustes!$I127,S$2),0)+IF(Ajustes!$J127&gt;0,INDEX($AA$4:$AL$323,Ajustes!$J127,S$2),0)+IF(Ajustes!$K127&gt;0,INDEX($AA$5:$AL$324,Ajustes!$K127,S$2),0)+IF(Ajustes!$L127&gt;0,INDEX($AA$4:$AL$323,Ajustes!$L127,S$2),0) + S127</f>
        <v>0</v>
      </c>
      <c r="AF127">
        <f>IF(Ajustes!$G127&gt;0,INDEX($AA$4:$AL$323,Ajustes!$G127,T$2),0)+IF(Ajustes!$H127&gt;0,INDEX($AA$4:$AL$323,Ajustes!$H127,T$2),0)+IF(Ajustes!$I127&gt;0,INDEX($AA$4:$AL$323,Ajustes!$I127,T$2),0)+IF(Ajustes!$J127&gt;0,INDEX($AA$4:$AL$323,Ajustes!$J127,T$2),0)+IF(Ajustes!$K127&gt;0,INDEX($AA$5:$AL$324,Ajustes!$K127,T$2),0)+IF(Ajustes!$L127&gt;0,INDEX($AA$4:$AL$323,Ajustes!$L127,T$2),0) + T127</f>
        <v>0</v>
      </c>
      <c r="AG127">
        <f>IF(Ajustes!$G127&gt;0,INDEX($AA$4:$AL$323,Ajustes!$G127,U$2),0)+IF(Ajustes!$H127&gt;0,INDEX($AA$4:$AL$323,Ajustes!$H127,U$2),0)+IF(Ajustes!$I127&gt;0,INDEX($AA$4:$AL$323,Ajustes!$I127,U$2),0)+IF(Ajustes!$J127&gt;0,INDEX($AA$4:$AL$323,Ajustes!$J127,U$2),0)+IF(Ajustes!$K127&gt;0,INDEX($AA$5:$AL$324,Ajustes!$K127,U$2),0)+IF(Ajustes!$L127&gt;0,INDEX($AA$4:$AL$323,Ajustes!$L127,U$2),0) + U127</f>
        <v>0</v>
      </c>
      <c r="AH127">
        <f>IF(Ajustes!$G127&gt;0,INDEX($AA$4:$AL$323,Ajustes!$G127,V$2),0)+IF(Ajustes!$H127&gt;0,INDEX($AA$4:$AL$323,Ajustes!$H127,V$2),0)+IF(Ajustes!$I127&gt;0,INDEX($AA$4:$AL$323,Ajustes!$I127,V$2),0)+IF(Ajustes!$J127&gt;0,INDEX($AA$4:$AL$323,Ajustes!$J127,V$2),0)+IF(Ajustes!$K127&gt;0,INDEX($AA$5:$AL$324,Ajustes!$K127,V$2),0)+IF(Ajustes!$L127&gt;0,INDEX($AA$4:$AL$323,Ajustes!$L127,V$2),0) + V127</f>
        <v>0</v>
      </c>
      <c r="AI127">
        <f>IF(Ajustes!$G127&gt;0,INDEX($AA$4:$AL$323,Ajustes!$G127,W$2),0)+IF(Ajustes!$H127&gt;0,INDEX($AA$4:$AL$323,Ajustes!$H127,W$2),0)+IF(Ajustes!$I127&gt;0,INDEX($AA$4:$AL$323,Ajustes!$I127,W$2),0)+IF(Ajustes!$J127&gt;0,INDEX($AA$4:$AL$323,Ajustes!$J127,W$2),0)+IF(Ajustes!$K127&gt;0,INDEX($AA$5:$AL$324,Ajustes!$K127,W$2),0)+IF(Ajustes!$L127&gt;0,INDEX($AA$4:$AL$323,Ajustes!$L127,W$2),0) + W127</f>
        <v>0</v>
      </c>
      <c r="AJ127">
        <f>IF(Ajustes!$G127&gt;0,INDEX($AA$4:$AL$323,Ajustes!$G127,X$2),0)+IF(Ajustes!$H127&gt;0,INDEX($AA$4:$AL$323,Ajustes!$H127,X$2),0)+IF(Ajustes!$I127&gt;0,INDEX($AA$4:$AL$323,Ajustes!$I127,X$2),0)+IF(Ajustes!$J127&gt;0,INDEX($AA$4:$AL$323,Ajustes!$J127,X$2),0)+IF(Ajustes!$K127&gt;0,INDEX($AA$5:$AL$324,Ajustes!$K127,X$2),0)+IF(Ajustes!$L127&gt;0,INDEX($AA$4:$AL$323,Ajustes!$L127,X$2),0) + X127</f>
        <v>0</v>
      </c>
      <c r="AK127">
        <f>IF(Ajustes!$G127&gt;0,INDEX($AA$4:$AL$323,Ajustes!$G127,Y$2),0)+IF(Ajustes!$H127&gt;0,INDEX($AA$4:$AL$323,Ajustes!$H127,Y$2),0)+IF(Ajustes!$I127&gt;0,INDEX($AA$4:$AL$323,Ajustes!$I127,Y$2),0)+IF(Ajustes!$J127&gt;0,INDEX($AA$4:$AL$323,Ajustes!$J127,Y$2),0)+IF(Ajustes!$K127&gt;0,INDEX($AA$5:$AL$324,Ajustes!$K127,Y$2),0)+IF(Ajustes!$L127&gt;0,INDEX($AA$4:$AL$323,Ajustes!$L127,Y$2),0) + Y127</f>
        <v>0</v>
      </c>
      <c r="AL127">
        <f>IF(Ajustes!$G127&gt;0,INDEX($AA$4:$AL$323,Ajustes!$G127,Z$2),0)+IF(Ajustes!$H127&gt;0,INDEX($AA$4:$AL$323,Ajustes!$H127,Z$2),0)+IF(Ajustes!$I127&gt;0,INDEX($AA$4:$AL$323,Ajustes!$I127,Z$2),0)+IF(Ajustes!$J127&gt;0,INDEX($AA$4:$AL$323,Ajustes!$J127,Z$2),0)+IF(Ajustes!$K127&gt;0,INDEX($AA$5:$AL$324,Ajustes!$K127,Z$2),0)+IF(Ajustes!$L127&gt;0,INDEX($AA$4:$AL$323,Ajustes!$L127,Z$2),0) + Z127</f>
        <v>0</v>
      </c>
      <c r="AM127" s="113">
        <f t="shared" si="33"/>
        <v>0</v>
      </c>
      <c r="AN127" s="113">
        <f t="shared" si="33"/>
        <v>0</v>
      </c>
      <c r="AO127" s="113">
        <f t="shared" si="33"/>
        <v>0</v>
      </c>
      <c r="AP127" s="113">
        <f t="shared" si="33"/>
        <v>0</v>
      </c>
      <c r="AQ127" s="113">
        <f t="shared" si="33"/>
        <v>0</v>
      </c>
      <c r="AR127" s="113">
        <f t="shared" si="33"/>
        <v>0</v>
      </c>
      <c r="AS127" s="113">
        <f t="shared" si="33"/>
        <v>0</v>
      </c>
      <c r="AT127" s="113">
        <f t="shared" si="33"/>
        <v>0</v>
      </c>
      <c r="AU127" s="113">
        <f t="shared" si="33"/>
        <v>0</v>
      </c>
      <c r="AV127" s="113">
        <f t="shared" si="33"/>
        <v>0</v>
      </c>
      <c r="AW127" s="113">
        <f t="shared" si="33"/>
        <v>0</v>
      </c>
      <c r="AX127" s="113">
        <f t="shared" si="33"/>
        <v>0</v>
      </c>
    </row>
    <row r="128" spans="1:50" x14ac:dyDescent="0.25">
      <c r="A128" s="113">
        <v>125</v>
      </c>
      <c r="B128" s="209" t="s">
        <v>262</v>
      </c>
      <c r="C128">
        <f>IFERROR(INDEX($BD$7:$BO$35,MATCH(Ajustes!$E$4:$E$323,$BC$7:$BC$35,0),$C$2:$N$2),1)</f>
        <v>1</v>
      </c>
      <c r="D128" s="113">
        <f>IFERROR(INDEX($BD$7:$BO$35,MATCH(Ajustes!$E$4:$E$323,$BC$7:$BC$35,0),$C$2:$N$2),1)</f>
        <v>1</v>
      </c>
      <c r="E128" s="113">
        <f>IFERROR(INDEX($BD$7:$BO$35,MATCH(Ajustes!$E$4:$E$323,$BC$7:$BC$35,0),$C$2:$N$2),1)</f>
        <v>1</v>
      </c>
      <c r="F128" s="113">
        <f>IFERROR(INDEX($BD$7:$BO$35,MATCH(Ajustes!$E$4:$E$323,$BC$7:$BC$35,0),$C$2:$N$2),1)</f>
        <v>1</v>
      </c>
      <c r="G128" s="113">
        <f>IFERROR(INDEX($BD$7:$BO$35,MATCH(Ajustes!$E$4:$E$323,$BC$7:$BC$35,0),$C$2:$N$2),1)</f>
        <v>1</v>
      </c>
      <c r="H128" s="113">
        <f>IFERROR(INDEX($BD$7:$BO$35,MATCH(Ajustes!$E$4:$E$323,$BC$7:$BC$35,0),$C$2:$N$2),1)</f>
        <v>1</v>
      </c>
      <c r="I128" s="113">
        <f>IFERROR(INDEX($BD$7:$BO$35,MATCH(Ajustes!$E$4:$E$323,$BC$7:$BC$35,0),$C$2:$N$2),1)</f>
        <v>1</v>
      </c>
      <c r="J128" s="113">
        <f>IFERROR(INDEX($BD$7:$BO$35,MATCH(Ajustes!$E$4:$E$323,$BC$7:$BC$35,0),$C$2:$N$2),1)</f>
        <v>1</v>
      </c>
      <c r="K128" s="113">
        <f>IFERROR(INDEX($BD$7:$BO$35,MATCH(Ajustes!$E$4:$E$323,$BC$7:$BC$35,0),$C$2:$N$2),1)</f>
        <v>1</v>
      </c>
      <c r="L128" s="113">
        <f>IFERROR(INDEX($BD$7:$BO$35,MATCH(Ajustes!$E$4:$E$323,$BC$7:$BC$35,0),$C$2:$N$2),1)</f>
        <v>1</v>
      </c>
      <c r="M128" s="113">
        <f>IFERROR(INDEX($BD$7:$BO$35,MATCH(Ajustes!$E$4:$E$323,$BC$7:$BC$35,0),$C$2:$N$2),1)</f>
        <v>1</v>
      </c>
      <c r="N128" s="113">
        <f>IFERROR(INDEX($BD$7:$BO$35,MATCH(Ajustes!$E$4:$E$323,$BC$7:$BC$35,0),$C$2:$N$2),1)</f>
        <v>1</v>
      </c>
      <c r="O128">
        <f>C128*Ajustes!AM128</f>
        <v>119</v>
      </c>
      <c r="P128">
        <f>D128*Ajustes!AN128</f>
        <v>119</v>
      </c>
      <c r="Q128">
        <f>E128*Ajustes!AO128</f>
        <v>109</v>
      </c>
      <c r="R128">
        <f>F128*Ajustes!AP128</f>
        <v>73</v>
      </c>
      <c r="S128">
        <f>G128*Ajustes!AQ128</f>
        <v>52</v>
      </c>
      <c r="T128">
        <f>H128*Ajustes!AR128</f>
        <v>43</v>
      </c>
      <c r="U128">
        <f>I128*Ajustes!AS128</f>
        <v>34</v>
      </c>
      <c r="V128">
        <f>J128*Ajustes!AT128</f>
        <v>29</v>
      </c>
      <c r="W128">
        <f>K128*Ajustes!AU128</f>
        <v>29</v>
      </c>
      <c r="X128">
        <f>L128*Ajustes!AV128</f>
        <v>36</v>
      </c>
      <c r="Y128">
        <f>M128*Ajustes!AW128</f>
        <v>54</v>
      </c>
      <c r="Z128">
        <f>N128*Ajustes!AX128</f>
        <v>83</v>
      </c>
      <c r="AA128">
        <f>IF(Ajustes!$G128&gt;0,INDEX($AA$4:$AL$323,Ajustes!$G128,O$2),0)+IF(Ajustes!$H128&gt;0,INDEX($AA$4:$AL$323,Ajustes!$H128,O$2),0)+IF(Ajustes!$I128&gt;0,INDEX($AA$4:$AL$323,Ajustes!$I128,O$2),0)+IF(Ajustes!$J128&gt;0,INDEX($AA$4:$AL$323,Ajustes!$J128,O$2),0)+IF(Ajustes!$K128&gt;0,INDEX($AA$5:$AL$324,Ajustes!$K128,O$2),0)+IF(Ajustes!$L128&gt;0,INDEX($AA$4:$AL$323,Ajustes!$L128,O$2),0) + O128</f>
        <v>501</v>
      </c>
      <c r="AB128">
        <f>IF(Ajustes!$G128&gt;0,INDEX($AA$4:$AL$323,Ajustes!$G128,P$2),0)+IF(Ajustes!$H128&gt;0,INDEX($AA$4:$AL$323,Ajustes!$H128,P$2),0)+IF(Ajustes!$I128&gt;0,INDEX($AA$4:$AL$323,Ajustes!$I128,P$2),0)+IF(Ajustes!$J128&gt;0,INDEX($AA$4:$AL$323,Ajustes!$J128,P$2),0)+IF(Ajustes!$K128&gt;0,INDEX($AA$5:$AL$324,Ajustes!$K128,P$2),0)+IF(Ajustes!$L128&gt;0,INDEX($AA$4:$AL$323,Ajustes!$L128,P$2),0) + P128</f>
        <v>523</v>
      </c>
      <c r="AC128">
        <f>IF(Ajustes!$G128&gt;0,INDEX($AA$4:$AL$323,Ajustes!$G128,Q$2),0)+IF(Ajustes!$H128&gt;0,INDEX($AA$4:$AL$323,Ajustes!$H128,Q$2),0)+IF(Ajustes!$I128&gt;0,INDEX($AA$4:$AL$323,Ajustes!$I128,Q$2),0)+IF(Ajustes!$J128&gt;0,INDEX($AA$4:$AL$323,Ajustes!$J128,Q$2),0)+IF(Ajustes!$K128&gt;0,INDEX($AA$5:$AL$324,Ajustes!$K128,Q$2),0)+IF(Ajustes!$L128&gt;0,INDEX($AA$4:$AL$323,Ajustes!$L128,Q$2),0) + Q128</f>
        <v>497</v>
      </c>
      <c r="AD128">
        <f>IF(Ajustes!$G128&gt;0,INDEX($AA$4:$AL$323,Ajustes!$G128,R$2),0)+IF(Ajustes!$H128&gt;0,INDEX($AA$4:$AL$323,Ajustes!$H128,R$2),0)+IF(Ajustes!$I128&gt;0,INDEX($AA$4:$AL$323,Ajustes!$I128,R$2),0)+IF(Ajustes!$J128&gt;0,INDEX($AA$4:$AL$323,Ajustes!$J128,R$2),0)+IF(Ajustes!$K128&gt;0,INDEX($AA$5:$AL$324,Ajustes!$K128,R$2),0)+IF(Ajustes!$L128&gt;0,INDEX($AA$4:$AL$323,Ajustes!$L128,R$2),0) + R128</f>
        <v>350</v>
      </c>
      <c r="AE128">
        <f>IF(Ajustes!$G128&gt;0,INDEX($AA$4:$AL$323,Ajustes!$G128,S$2),0)+IF(Ajustes!$H128&gt;0,INDEX($AA$4:$AL$323,Ajustes!$H128,S$2),0)+IF(Ajustes!$I128&gt;0,INDEX($AA$4:$AL$323,Ajustes!$I128,S$2),0)+IF(Ajustes!$J128&gt;0,INDEX($AA$4:$AL$323,Ajustes!$J128,S$2),0)+IF(Ajustes!$K128&gt;0,INDEX($AA$5:$AL$324,Ajustes!$K128,S$2),0)+IF(Ajustes!$L128&gt;0,INDEX($AA$4:$AL$323,Ajustes!$L128,S$2),0) + S128</f>
        <v>245</v>
      </c>
      <c r="AF128">
        <f>IF(Ajustes!$G128&gt;0,INDEX($AA$4:$AL$323,Ajustes!$G128,T$2),0)+IF(Ajustes!$H128&gt;0,INDEX($AA$4:$AL$323,Ajustes!$H128,T$2),0)+IF(Ajustes!$I128&gt;0,INDEX($AA$4:$AL$323,Ajustes!$I128,T$2),0)+IF(Ajustes!$J128&gt;0,INDEX($AA$4:$AL$323,Ajustes!$J128,T$2),0)+IF(Ajustes!$K128&gt;0,INDEX($AA$5:$AL$324,Ajustes!$K128,T$2),0)+IF(Ajustes!$L128&gt;0,INDEX($AA$4:$AL$323,Ajustes!$L128,T$2),0) + T128</f>
        <v>210</v>
      </c>
      <c r="AG128">
        <f>IF(Ajustes!$G128&gt;0,INDEX($AA$4:$AL$323,Ajustes!$G128,U$2),0)+IF(Ajustes!$H128&gt;0,INDEX($AA$4:$AL$323,Ajustes!$H128,U$2),0)+IF(Ajustes!$I128&gt;0,INDEX($AA$4:$AL$323,Ajustes!$I128,U$2),0)+IF(Ajustes!$J128&gt;0,INDEX($AA$4:$AL$323,Ajustes!$J128,U$2),0)+IF(Ajustes!$K128&gt;0,INDEX($AA$5:$AL$324,Ajustes!$K128,U$2),0)+IF(Ajustes!$L128&gt;0,INDEX($AA$4:$AL$323,Ajustes!$L128,U$2),0) + U128</f>
        <v>176</v>
      </c>
      <c r="AH128">
        <f>IF(Ajustes!$G128&gt;0,INDEX($AA$4:$AL$323,Ajustes!$G128,V$2),0)+IF(Ajustes!$H128&gt;0,INDEX($AA$4:$AL$323,Ajustes!$H128,V$2),0)+IF(Ajustes!$I128&gt;0,INDEX($AA$4:$AL$323,Ajustes!$I128,V$2),0)+IF(Ajustes!$J128&gt;0,INDEX($AA$4:$AL$323,Ajustes!$J128,V$2),0)+IF(Ajustes!$K128&gt;0,INDEX($AA$5:$AL$324,Ajustes!$K128,V$2),0)+IF(Ajustes!$L128&gt;0,INDEX($AA$4:$AL$323,Ajustes!$L128,V$2),0) + V128</f>
        <v>150</v>
      </c>
      <c r="AI128">
        <f>IF(Ajustes!$G128&gt;0,INDEX($AA$4:$AL$323,Ajustes!$G128,W$2),0)+IF(Ajustes!$H128&gt;0,INDEX($AA$4:$AL$323,Ajustes!$H128,W$2),0)+IF(Ajustes!$I128&gt;0,INDEX($AA$4:$AL$323,Ajustes!$I128,W$2),0)+IF(Ajustes!$J128&gt;0,INDEX($AA$4:$AL$323,Ajustes!$J128,W$2),0)+IF(Ajustes!$K128&gt;0,INDEX($AA$5:$AL$324,Ajustes!$K128,W$2),0)+IF(Ajustes!$L128&gt;0,INDEX($AA$4:$AL$323,Ajustes!$L128,W$2),0) + W128</f>
        <v>155</v>
      </c>
      <c r="AJ128">
        <f>IF(Ajustes!$G128&gt;0,INDEX($AA$4:$AL$323,Ajustes!$G128,X$2),0)+IF(Ajustes!$H128&gt;0,INDEX($AA$4:$AL$323,Ajustes!$H128,X$2),0)+IF(Ajustes!$I128&gt;0,INDEX($AA$4:$AL$323,Ajustes!$I128,X$2),0)+IF(Ajustes!$J128&gt;0,INDEX($AA$4:$AL$323,Ajustes!$J128,X$2),0)+IF(Ajustes!$K128&gt;0,INDEX($AA$5:$AL$324,Ajustes!$K128,X$2),0)+IF(Ajustes!$L128&gt;0,INDEX($AA$4:$AL$323,Ajustes!$L128,X$2),0) + X128</f>
        <v>186</v>
      </c>
      <c r="AK128">
        <f>IF(Ajustes!$G128&gt;0,INDEX($AA$4:$AL$323,Ajustes!$G128,Y$2),0)+IF(Ajustes!$H128&gt;0,INDEX($AA$4:$AL$323,Ajustes!$H128,Y$2),0)+IF(Ajustes!$I128&gt;0,INDEX($AA$4:$AL$323,Ajustes!$I128,Y$2),0)+IF(Ajustes!$J128&gt;0,INDEX($AA$4:$AL$323,Ajustes!$J128,Y$2),0)+IF(Ajustes!$K128&gt;0,INDEX($AA$5:$AL$324,Ajustes!$K128,Y$2),0)+IF(Ajustes!$L128&gt;0,INDEX($AA$4:$AL$323,Ajustes!$L128,Y$2),0) + Y128</f>
        <v>241</v>
      </c>
      <c r="AL128">
        <f>IF(Ajustes!$G128&gt;0,INDEX($AA$4:$AL$323,Ajustes!$G128,Z$2),0)+IF(Ajustes!$H128&gt;0,INDEX($AA$4:$AL$323,Ajustes!$H128,Z$2),0)+IF(Ajustes!$I128&gt;0,INDEX($AA$4:$AL$323,Ajustes!$I128,Z$2),0)+IF(Ajustes!$J128&gt;0,INDEX($AA$4:$AL$323,Ajustes!$J128,Z$2),0)+IF(Ajustes!$K128&gt;0,INDEX($AA$5:$AL$324,Ajustes!$K128,Z$2),0)+IF(Ajustes!$L128&gt;0,INDEX($AA$4:$AL$323,Ajustes!$L128,Z$2),0) + Z128</f>
        <v>353</v>
      </c>
      <c r="AM128" s="113">
        <f t="shared" si="33"/>
        <v>501</v>
      </c>
      <c r="AN128" s="113">
        <f t="shared" si="33"/>
        <v>523</v>
      </c>
      <c r="AO128" s="113">
        <f t="shared" si="33"/>
        <v>497</v>
      </c>
      <c r="AP128" s="113">
        <f t="shared" si="33"/>
        <v>350</v>
      </c>
      <c r="AQ128" s="113">
        <f t="shared" si="33"/>
        <v>245</v>
      </c>
      <c r="AR128" s="113">
        <f t="shared" si="33"/>
        <v>210</v>
      </c>
      <c r="AS128" s="113">
        <f t="shared" si="33"/>
        <v>176</v>
      </c>
      <c r="AT128" s="113">
        <f t="shared" si="33"/>
        <v>150</v>
      </c>
      <c r="AU128" s="113">
        <f t="shared" si="33"/>
        <v>155</v>
      </c>
      <c r="AV128" s="113">
        <f t="shared" si="33"/>
        <v>186</v>
      </c>
      <c r="AW128" s="113">
        <f t="shared" si="33"/>
        <v>241</v>
      </c>
      <c r="AX128" s="113">
        <f t="shared" si="33"/>
        <v>353</v>
      </c>
    </row>
    <row r="129" spans="1:50" x14ac:dyDescent="0.25">
      <c r="A129" s="113">
        <v>126</v>
      </c>
      <c r="B129" s="209" t="s">
        <v>602</v>
      </c>
      <c r="C129">
        <f>IFERROR(INDEX($BD$7:$BO$35,MATCH(Ajustes!$E$4:$E$323,$BC$7:$BC$35,0),$C$2:$N$2),1)</f>
        <v>1</v>
      </c>
      <c r="D129" s="113">
        <f>IFERROR(INDEX($BD$7:$BO$35,MATCH(Ajustes!$E$4:$E$323,$BC$7:$BC$35,0),$C$2:$N$2),1)</f>
        <v>1</v>
      </c>
      <c r="E129" s="113">
        <f>IFERROR(INDEX($BD$7:$BO$35,MATCH(Ajustes!$E$4:$E$323,$BC$7:$BC$35,0),$C$2:$N$2),1)</f>
        <v>1</v>
      </c>
      <c r="F129" s="113">
        <f>IFERROR(INDEX($BD$7:$BO$35,MATCH(Ajustes!$E$4:$E$323,$BC$7:$BC$35,0),$C$2:$N$2),1)</f>
        <v>1</v>
      </c>
      <c r="G129" s="113">
        <f>IFERROR(INDEX($BD$7:$BO$35,MATCH(Ajustes!$E$4:$E$323,$BC$7:$BC$35,0),$C$2:$N$2),1)</f>
        <v>1</v>
      </c>
      <c r="H129" s="113">
        <f>IFERROR(INDEX($BD$7:$BO$35,MATCH(Ajustes!$E$4:$E$323,$BC$7:$BC$35,0),$C$2:$N$2),1)</f>
        <v>1</v>
      </c>
      <c r="I129" s="113">
        <f>IFERROR(INDEX($BD$7:$BO$35,MATCH(Ajustes!$E$4:$E$323,$BC$7:$BC$35,0),$C$2:$N$2),1)</f>
        <v>1</v>
      </c>
      <c r="J129" s="113">
        <f>IFERROR(INDEX($BD$7:$BO$35,MATCH(Ajustes!$E$4:$E$323,$BC$7:$BC$35,0),$C$2:$N$2),1)</f>
        <v>1</v>
      </c>
      <c r="K129" s="113">
        <f>IFERROR(INDEX($BD$7:$BO$35,MATCH(Ajustes!$E$4:$E$323,$BC$7:$BC$35,0),$C$2:$N$2),1)</f>
        <v>1</v>
      </c>
      <c r="L129" s="113">
        <f>IFERROR(INDEX($BD$7:$BO$35,MATCH(Ajustes!$E$4:$E$323,$BC$7:$BC$35,0),$C$2:$N$2),1)</f>
        <v>1</v>
      </c>
      <c r="M129" s="113">
        <f>IFERROR(INDEX($BD$7:$BO$35,MATCH(Ajustes!$E$4:$E$323,$BC$7:$BC$35,0),$C$2:$N$2),1)</f>
        <v>1</v>
      </c>
      <c r="N129" s="113">
        <f>IFERROR(INDEX($BD$7:$BO$35,MATCH(Ajustes!$E$4:$E$323,$BC$7:$BC$35,0),$C$2:$N$2),1)</f>
        <v>1</v>
      </c>
      <c r="O129">
        <f>C129*Ajustes!AM129</f>
        <v>328</v>
      </c>
      <c r="P129">
        <f>D129*Ajustes!AN129</f>
        <v>327</v>
      </c>
      <c r="Q129">
        <f>E129*Ajustes!AO129</f>
        <v>331</v>
      </c>
      <c r="R129">
        <f>F129*Ajustes!AP129</f>
        <v>297</v>
      </c>
      <c r="S129">
        <f>G129*Ajustes!AQ129</f>
        <v>218</v>
      </c>
      <c r="T129">
        <f>H129*Ajustes!AR129</f>
        <v>163</v>
      </c>
      <c r="U129">
        <f>I129*Ajustes!AS129</f>
        <v>126</v>
      </c>
      <c r="V129">
        <f>J129*Ajustes!AT129</f>
        <v>94</v>
      </c>
      <c r="W129">
        <f>K129*Ajustes!AU129</f>
        <v>94</v>
      </c>
      <c r="X129">
        <f>L129*Ajustes!AV129</f>
        <v>130</v>
      </c>
      <c r="Y129">
        <f>M129*Ajustes!AW129</f>
        <v>213</v>
      </c>
      <c r="Z129">
        <f>N129*Ajustes!AX129</f>
        <v>305</v>
      </c>
      <c r="AA129">
        <f>IF(Ajustes!$G129&gt;0,INDEX($AA$4:$AL$323,Ajustes!$G129,O$2),0)+IF(Ajustes!$H129&gt;0,INDEX($AA$4:$AL$323,Ajustes!$H129,O$2),0)+IF(Ajustes!$I129&gt;0,INDEX($AA$4:$AL$323,Ajustes!$I129,O$2),0)+IF(Ajustes!$J129&gt;0,INDEX($AA$4:$AL$323,Ajustes!$J129,O$2),0)+IF(Ajustes!$K129&gt;0,INDEX($AA$5:$AL$324,Ajustes!$K129,O$2),0)+IF(Ajustes!$L129&gt;0,INDEX($AA$4:$AL$323,Ajustes!$L129,O$2),0) + O129</f>
        <v>328</v>
      </c>
      <c r="AB129">
        <f>IF(Ajustes!$G129&gt;0,INDEX($AA$4:$AL$323,Ajustes!$G129,P$2),0)+IF(Ajustes!$H129&gt;0,INDEX($AA$4:$AL$323,Ajustes!$H129,P$2),0)+IF(Ajustes!$I129&gt;0,INDEX($AA$4:$AL$323,Ajustes!$I129,P$2),0)+IF(Ajustes!$J129&gt;0,INDEX($AA$4:$AL$323,Ajustes!$J129,P$2),0)+IF(Ajustes!$K129&gt;0,INDEX($AA$5:$AL$324,Ajustes!$K129,P$2),0)+IF(Ajustes!$L129&gt;0,INDEX($AA$4:$AL$323,Ajustes!$L129,P$2),0) + P129</f>
        <v>327</v>
      </c>
      <c r="AC129">
        <f>IF(Ajustes!$G129&gt;0,INDEX($AA$4:$AL$323,Ajustes!$G129,Q$2),0)+IF(Ajustes!$H129&gt;0,INDEX($AA$4:$AL$323,Ajustes!$H129,Q$2),0)+IF(Ajustes!$I129&gt;0,INDEX($AA$4:$AL$323,Ajustes!$I129,Q$2),0)+IF(Ajustes!$J129&gt;0,INDEX($AA$4:$AL$323,Ajustes!$J129,Q$2),0)+IF(Ajustes!$K129&gt;0,INDEX($AA$5:$AL$324,Ajustes!$K129,Q$2),0)+IF(Ajustes!$L129&gt;0,INDEX($AA$4:$AL$323,Ajustes!$L129,Q$2),0) + Q129</f>
        <v>331</v>
      </c>
      <c r="AD129">
        <f>IF(Ajustes!$G129&gt;0,INDEX($AA$4:$AL$323,Ajustes!$G129,R$2),0)+IF(Ajustes!$H129&gt;0,INDEX($AA$4:$AL$323,Ajustes!$H129,R$2),0)+IF(Ajustes!$I129&gt;0,INDEX($AA$4:$AL$323,Ajustes!$I129,R$2),0)+IF(Ajustes!$J129&gt;0,INDEX($AA$4:$AL$323,Ajustes!$J129,R$2),0)+IF(Ajustes!$K129&gt;0,INDEX($AA$5:$AL$324,Ajustes!$K129,R$2),0)+IF(Ajustes!$L129&gt;0,INDEX($AA$4:$AL$323,Ajustes!$L129,R$2),0) + R129</f>
        <v>297</v>
      </c>
      <c r="AE129">
        <f>IF(Ajustes!$G129&gt;0,INDEX($AA$4:$AL$323,Ajustes!$G129,S$2),0)+IF(Ajustes!$H129&gt;0,INDEX($AA$4:$AL$323,Ajustes!$H129,S$2),0)+IF(Ajustes!$I129&gt;0,INDEX($AA$4:$AL$323,Ajustes!$I129,S$2),0)+IF(Ajustes!$J129&gt;0,INDEX($AA$4:$AL$323,Ajustes!$J129,S$2),0)+IF(Ajustes!$K129&gt;0,INDEX($AA$5:$AL$324,Ajustes!$K129,S$2),0)+IF(Ajustes!$L129&gt;0,INDEX($AA$4:$AL$323,Ajustes!$L129,S$2),0) + S129</f>
        <v>218</v>
      </c>
      <c r="AF129">
        <f>IF(Ajustes!$G129&gt;0,INDEX($AA$4:$AL$323,Ajustes!$G129,T$2),0)+IF(Ajustes!$H129&gt;0,INDEX($AA$4:$AL$323,Ajustes!$H129,T$2),0)+IF(Ajustes!$I129&gt;0,INDEX($AA$4:$AL$323,Ajustes!$I129,T$2),0)+IF(Ajustes!$J129&gt;0,INDEX($AA$4:$AL$323,Ajustes!$J129,T$2),0)+IF(Ajustes!$K129&gt;0,INDEX($AA$5:$AL$324,Ajustes!$K129,T$2),0)+IF(Ajustes!$L129&gt;0,INDEX($AA$4:$AL$323,Ajustes!$L129,T$2),0) + T129</f>
        <v>163</v>
      </c>
      <c r="AG129">
        <f>IF(Ajustes!$G129&gt;0,INDEX($AA$4:$AL$323,Ajustes!$G129,U$2),0)+IF(Ajustes!$H129&gt;0,INDEX($AA$4:$AL$323,Ajustes!$H129,U$2),0)+IF(Ajustes!$I129&gt;0,INDEX($AA$4:$AL$323,Ajustes!$I129,U$2),0)+IF(Ajustes!$J129&gt;0,INDEX($AA$4:$AL$323,Ajustes!$J129,U$2),0)+IF(Ajustes!$K129&gt;0,INDEX($AA$5:$AL$324,Ajustes!$K129,U$2),0)+IF(Ajustes!$L129&gt;0,INDEX($AA$4:$AL$323,Ajustes!$L129,U$2),0) + U129</f>
        <v>126</v>
      </c>
      <c r="AH129">
        <f>IF(Ajustes!$G129&gt;0,INDEX($AA$4:$AL$323,Ajustes!$G129,V$2),0)+IF(Ajustes!$H129&gt;0,INDEX($AA$4:$AL$323,Ajustes!$H129,V$2),0)+IF(Ajustes!$I129&gt;0,INDEX($AA$4:$AL$323,Ajustes!$I129,V$2),0)+IF(Ajustes!$J129&gt;0,INDEX($AA$4:$AL$323,Ajustes!$J129,V$2),0)+IF(Ajustes!$K129&gt;0,INDEX($AA$5:$AL$324,Ajustes!$K129,V$2),0)+IF(Ajustes!$L129&gt;0,INDEX($AA$4:$AL$323,Ajustes!$L129,V$2),0) + V129</f>
        <v>94</v>
      </c>
      <c r="AI129">
        <f>IF(Ajustes!$G129&gt;0,INDEX($AA$4:$AL$323,Ajustes!$G129,W$2),0)+IF(Ajustes!$H129&gt;0,INDEX($AA$4:$AL$323,Ajustes!$H129,W$2),0)+IF(Ajustes!$I129&gt;0,INDEX($AA$4:$AL$323,Ajustes!$I129,W$2),0)+IF(Ajustes!$J129&gt;0,INDEX($AA$4:$AL$323,Ajustes!$J129,W$2),0)+IF(Ajustes!$K129&gt;0,INDEX($AA$5:$AL$324,Ajustes!$K129,W$2),0)+IF(Ajustes!$L129&gt;0,INDEX($AA$4:$AL$323,Ajustes!$L129,W$2),0) + W129</f>
        <v>94</v>
      </c>
      <c r="AJ129">
        <f>IF(Ajustes!$G129&gt;0,INDEX($AA$4:$AL$323,Ajustes!$G129,X$2),0)+IF(Ajustes!$H129&gt;0,INDEX($AA$4:$AL$323,Ajustes!$H129,X$2),0)+IF(Ajustes!$I129&gt;0,INDEX($AA$4:$AL$323,Ajustes!$I129,X$2),0)+IF(Ajustes!$J129&gt;0,INDEX($AA$4:$AL$323,Ajustes!$J129,X$2),0)+IF(Ajustes!$K129&gt;0,INDEX($AA$5:$AL$324,Ajustes!$K129,X$2),0)+IF(Ajustes!$L129&gt;0,INDEX($AA$4:$AL$323,Ajustes!$L129,X$2),0) + X129</f>
        <v>130</v>
      </c>
      <c r="AK129">
        <f>IF(Ajustes!$G129&gt;0,INDEX($AA$4:$AL$323,Ajustes!$G129,Y$2),0)+IF(Ajustes!$H129&gt;0,INDEX($AA$4:$AL$323,Ajustes!$H129,Y$2),0)+IF(Ajustes!$I129&gt;0,INDEX($AA$4:$AL$323,Ajustes!$I129,Y$2),0)+IF(Ajustes!$J129&gt;0,INDEX($AA$4:$AL$323,Ajustes!$J129,Y$2),0)+IF(Ajustes!$K129&gt;0,INDEX($AA$5:$AL$324,Ajustes!$K129,Y$2),0)+IF(Ajustes!$L129&gt;0,INDEX($AA$4:$AL$323,Ajustes!$L129,Y$2),0) + Y129</f>
        <v>213</v>
      </c>
      <c r="AL129">
        <f>IF(Ajustes!$G129&gt;0,INDEX($AA$4:$AL$323,Ajustes!$G129,Z$2),0)+IF(Ajustes!$H129&gt;0,INDEX($AA$4:$AL$323,Ajustes!$H129,Z$2),0)+IF(Ajustes!$I129&gt;0,INDEX($AA$4:$AL$323,Ajustes!$I129,Z$2),0)+IF(Ajustes!$J129&gt;0,INDEX($AA$4:$AL$323,Ajustes!$J129,Z$2),0)+IF(Ajustes!$K129&gt;0,INDEX($AA$5:$AL$324,Ajustes!$K129,Z$2),0)+IF(Ajustes!$L129&gt;0,INDEX($AA$4:$AL$323,Ajustes!$L129,Z$2),0) + Z129</f>
        <v>305</v>
      </c>
      <c r="AM129" s="219">
        <f t="shared" ref="AM129:AX129" si="34">IF(AM130&lt;=430,MAX(0,AM130-90),340)</f>
        <v>340</v>
      </c>
      <c r="AN129" s="219">
        <f t="shared" si="34"/>
        <v>340</v>
      </c>
      <c r="AO129" s="219">
        <f t="shared" si="34"/>
        <v>340</v>
      </c>
      <c r="AP129" s="219">
        <f t="shared" si="34"/>
        <v>340</v>
      </c>
      <c r="AQ129" s="219">
        <f t="shared" si="34"/>
        <v>207</v>
      </c>
      <c r="AR129" s="219">
        <f t="shared" si="34"/>
        <v>172</v>
      </c>
      <c r="AS129" s="219">
        <f t="shared" si="34"/>
        <v>122.7684210526316</v>
      </c>
      <c r="AT129" s="219">
        <f t="shared" si="34"/>
        <v>93.05263157894737</v>
      </c>
      <c r="AU129" s="219">
        <f t="shared" si="34"/>
        <v>93.921052631578959</v>
      </c>
      <c r="AV129" s="219">
        <f t="shared" si="34"/>
        <v>126.50526315789472</v>
      </c>
      <c r="AW129" s="219">
        <f t="shared" si="34"/>
        <v>210</v>
      </c>
      <c r="AX129" s="219">
        <f t="shared" si="34"/>
        <v>340</v>
      </c>
    </row>
    <row r="130" spans="1:50" x14ac:dyDescent="0.25">
      <c r="A130" s="113">
        <v>127</v>
      </c>
      <c r="B130" s="209" t="s">
        <v>603</v>
      </c>
      <c r="C130">
        <f>IFERROR(INDEX($BD$7:$BO$35,MATCH(Ajustes!$E$4:$E$323,$BC$7:$BC$35,0),$C$2:$N$2),1)</f>
        <v>1</v>
      </c>
      <c r="D130" s="113">
        <f>IFERROR(INDEX($BD$7:$BO$35,MATCH(Ajustes!$E$4:$E$323,$BC$7:$BC$35,0),$C$2:$N$2),1)</f>
        <v>1</v>
      </c>
      <c r="E130" s="113">
        <f>IFERROR(INDEX($BD$7:$BO$35,MATCH(Ajustes!$E$4:$E$323,$BC$7:$BC$35,0),$C$2:$N$2),1)</f>
        <v>1</v>
      </c>
      <c r="F130" s="113">
        <f>IFERROR(INDEX($BD$7:$BO$35,MATCH(Ajustes!$E$4:$E$323,$BC$7:$BC$35,0),$C$2:$N$2),1)</f>
        <v>1</v>
      </c>
      <c r="G130" s="113">
        <f>IFERROR(INDEX($BD$7:$BO$35,MATCH(Ajustes!$E$4:$E$323,$BC$7:$BC$35,0),$C$2:$N$2),1)</f>
        <v>1</v>
      </c>
      <c r="H130" s="113">
        <f>IFERROR(INDEX($BD$7:$BO$35,MATCH(Ajustes!$E$4:$E$323,$BC$7:$BC$35,0),$C$2:$N$2),1)</f>
        <v>1</v>
      </c>
      <c r="I130" s="113">
        <f>IFERROR(INDEX($BD$7:$BO$35,MATCH(Ajustes!$E$4:$E$323,$BC$7:$BC$35,0),$C$2:$N$2),1)</f>
        <v>1</v>
      </c>
      <c r="J130" s="113">
        <f>IFERROR(INDEX($BD$7:$BO$35,MATCH(Ajustes!$E$4:$E$323,$BC$7:$BC$35,0),$C$2:$N$2),1)</f>
        <v>1</v>
      </c>
      <c r="K130" s="113">
        <f>IFERROR(INDEX($BD$7:$BO$35,MATCH(Ajustes!$E$4:$E$323,$BC$7:$BC$35,0),$C$2:$N$2),1)</f>
        <v>1</v>
      </c>
      <c r="L130" s="113">
        <f>IFERROR(INDEX($BD$7:$BO$35,MATCH(Ajustes!$E$4:$E$323,$BC$7:$BC$35,0),$C$2:$N$2),1)</f>
        <v>1</v>
      </c>
      <c r="M130" s="113">
        <f>IFERROR(INDEX($BD$7:$BO$35,MATCH(Ajustes!$E$4:$E$323,$BC$7:$BC$35,0),$C$2:$N$2),1)</f>
        <v>1</v>
      </c>
      <c r="N130" s="113">
        <f>IFERROR(INDEX($BD$7:$BO$35,MATCH(Ajustes!$E$4:$E$323,$BC$7:$BC$35,0),$C$2:$N$2),1)</f>
        <v>1</v>
      </c>
      <c r="O130">
        <f>C130*Ajustes!AM130</f>
        <v>775</v>
      </c>
      <c r="P130">
        <f>D130*Ajustes!AN130</f>
        <v>775</v>
      </c>
      <c r="Q130">
        <f>E130*Ajustes!AO130</f>
        <v>712</v>
      </c>
      <c r="R130">
        <f>F130*Ajustes!AP130</f>
        <v>476</v>
      </c>
      <c r="S130">
        <f>G130*Ajustes!AQ130</f>
        <v>312</v>
      </c>
      <c r="T130">
        <f>H130*Ajustes!AR130</f>
        <v>260</v>
      </c>
      <c r="U130">
        <f>I130*Ajustes!AS130</f>
        <v>217</v>
      </c>
      <c r="V130">
        <f>J130*Ajustes!AT130</f>
        <v>184</v>
      </c>
      <c r="W130">
        <f>K130*Ajustes!AU130</f>
        <v>188</v>
      </c>
      <c r="X130">
        <f>L130*Ajustes!AV130</f>
        <v>222</v>
      </c>
      <c r="Y130">
        <f>M130*Ajustes!AW130</f>
        <v>316</v>
      </c>
      <c r="Z130">
        <f>N130*Ajustes!AX130</f>
        <v>520</v>
      </c>
      <c r="AA130">
        <f>IF(Ajustes!$G130&gt;0,INDEX($AA$4:$AL$323,Ajustes!$G130,O$2),0)+IF(Ajustes!$H130&gt;0,INDEX($AA$4:$AL$323,Ajustes!$H130,O$2),0)+IF(Ajustes!$I130&gt;0,INDEX($AA$4:$AL$323,Ajustes!$I130,O$2),0)+IF(Ajustes!$J130&gt;0,INDEX($AA$4:$AL$323,Ajustes!$J130,O$2),0)+IF(Ajustes!$K130&gt;0,INDEX($AA$5:$AL$324,Ajustes!$K130,O$2),0)+IF(Ajustes!$L130&gt;0,INDEX($AA$4:$AL$323,Ajustes!$L130,O$2),0) + O130</f>
        <v>775</v>
      </c>
      <c r="AB130">
        <f>IF(Ajustes!$G130&gt;0,INDEX($AA$4:$AL$323,Ajustes!$G130,P$2),0)+IF(Ajustes!$H130&gt;0,INDEX($AA$4:$AL$323,Ajustes!$H130,P$2),0)+IF(Ajustes!$I130&gt;0,INDEX($AA$4:$AL$323,Ajustes!$I130,P$2),0)+IF(Ajustes!$J130&gt;0,INDEX($AA$4:$AL$323,Ajustes!$J130,P$2),0)+IF(Ajustes!$K130&gt;0,INDEX($AA$5:$AL$324,Ajustes!$K130,P$2),0)+IF(Ajustes!$L130&gt;0,INDEX($AA$4:$AL$323,Ajustes!$L130,P$2),0) + P130</f>
        <v>775</v>
      </c>
      <c r="AC130">
        <f>IF(Ajustes!$G130&gt;0,INDEX($AA$4:$AL$323,Ajustes!$G130,Q$2),0)+IF(Ajustes!$H130&gt;0,INDEX($AA$4:$AL$323,Ajustes!$H130,Q$2),0)+IF(Ajustes!$I130&gt;0,INDEX($AA$4:$AL$323,Ajustes!$I130,Q$2),0)+IF(Ajustes!$J130&gt;0,INDEX($AA$4:$AL$323,Ajustes!$J130,Q$2),0)+IF(Ajustes!$K130&gt;0,INDEX($AA$5:$AL$324,Ajustes!$K130,Q$2),0)+IF(Ajustes!$L130&gt;0,INDEX($AA$4:$AL$323,Ajustes!$L130,Q$2),0) + Q130</f>
        <v>712</v>
      </c>
      <c r="AD130">
        <f>IF(Ajustes!$G130&gt;0,INDEX($AA$4:$AL$323,Ajustes!$G130,R$2),0)+IF(Ajustes!$H130&gt;0,INDEX($AA$4:$AL$323,Ajustes!$H130,R$2),0)+IF(Ajustes!$I130&gt;0,INDEX($AA$4:$AL$323,Ajustes!$I130,R$2),0)+IF(Ajustes!$J130&gt;0,INDEX($AA$4:$AL$323,Ajustes!$J130,R$2),0)+IF(Ajustes!$K130&gt;0,INDEX($AA$5:$AL$324,Ajustes!$K130,R$2),0)+IF(Ajustes!$L130&gt;0,INDEX($AA$4:$AL$323,Ajustes!$L130,R$2),0) + R130</f>
        <v>476</v>
      </c>
      <c r="AE130">
        <f>IF(Ajustes!$G130&gt;0,INDEX($AA$4:$AL$323,Ajustes!$G130,S$2),0)+IF(Ajustes!$H130&gt;0,INDEX($AA$4:$AL$323,Ajustes!$H130,S$2),0)+IF(Ajustes!$I130&gt;0,INDEX($AA$4:$AL$323,Ajustes!$I130,S$2),0)+IF(Ajustes!$J130&gt;0,INDEX($AA$4:$AL$323,Ajustes!$J130,S$2),0)+IF(Ajustes!$K130&gt;0,INDEX($AA$5:$AL$324,Ajustes!$K130,S$2),0)+IF(Ajustes!$L130&gt;0,INDEX($AA$4:$AL$323,Ajustes!$L130,S$2),0) + S130</f>
        <v>312</v>
      </c>
      <c r="AF130">
        <f>IF(Ajustes!$G130&gt;0,INDEX($AA$4:$AL$323,Ajustes!$G130,T$2),0)+IF(Ajustes!$H130&gt;0,INDEX($AA$4:$AL$323,Ajustes!$H130,T$2),0)+IF(Ajustes!$I130&gt;0,INDEX($AA$4:$AL$323,Ajustes!$I130,T$2),0)+IF(Ajustes!$J130&gt;0,INDEX($AA$4:$AL$323,Ajustes!$J130,T$2),0)+IF(Ajustes!$K130&gt;0,INDEX($AA$5:$AL$324,Ajustes!$K130,T$2),0)+IF(Ajustes!$L130&gt;0,INDEX($AA$4:$AL$323,Ajustes!$L130,T$2),0) + T130</f>
        <v>260</v>
      </c>
      <c r="AG130">
        <f>IF(Ajustes!$G130&gt;0,INDEX($AA$4:$AL$323,Ajustes!$G130,U$2),0)+IF(Ajustes!$H130&gt;0,INDEX($AA$4:$AL$323,Ajustes!$H130,U$2),0)+IF(Ajustes!$I130&gt;0,INDEX($AA$4:$AL$323,Ajustes!$I130,U$2),0)+IF(Ajustes!$J130&gt;0,INDEX($AA$4:$AL$323,Ajustes!$J130,U$2),0)+IF(Ajustes!$K130&gt;0,INDEX($AA$5:$AL$324,Ajustes!$K130,U$2),0)+IF(Ajustes!$L130&gt;0,INDEX($AA$4:$AL$323,Ajustes!$L130,U$2),0) + U130</f>
        <v>217</v>
      </c>
      <c r="AH130">
        <f>IF(Ajustes!$G130&gt;0,INDEX($AA$4:$AL$323,Ajustes!$G130,V$2),0)+IF(Ajustes!$H130&gt;0,INDEX($AA$4:$AL$323,Ajustes!$H130,V$2),0)+IF(Ajustes!$I130&gt;0,INDEX($AA$4:$AL$323,Ajustes!$I130,V$2),0)+IF(Ajustes!$J130&gt;0,INDEX($AA$4:$AL$323,Ajustes!$J130,V$2),0)+IF(Ajustes!$K130&gt;0,INDEX($AA$5:$AL$324,Ajustes!$K130,V$2),0)+IF(Ajustes!$L130&gt;0,INDEX($AA$4:$AL$323,Ajustes!$L130,V$2),0) + V130</f>
        <v>184</v>
      </c>
      <c r="AI130">
        <f>IF(Ajustes!$G130&gt;0,INDEX($AA$4:$AL$323,Ajustes!$G130,W$2),0)+IF(Ajustes!$H130&gt;0,INDEX($AA$4:$AL$323,Ajustes!$H130,W$2),0)+IF(Ajustes!$I130&gt;0,INDEX($AA$4:$AL$323,Ajustes!$I130,W$2),0)+IF(Ajustes!$J130&gt;0,INDEX($AA$4:$AL$323,Ajustes!$J130,W$2),0)+IF(Ajustes!$K130&gt;0,INDEX($AA$5:$AL$324,Ajustes!$K130,W$2),0)+IF(Ajustes!$L130&gt;0,INDEX($AA$4:$AL$323,Ajustes!$L130,W$2),0) + W130</f>
        <v>188</v>
      </c>
      <c r="AJ130">
        <f>IF(Ajustes!$G130&gt;0,INDEX($AA$4:$AL$323,Ajustes!$G130,X$2),0)+IF(Ajustes!$H130&gt;0,INDEX($AA$4:$AL$323,Ajustes!$H130,X$2),0)+IF(Ajustes!$I130&gt;0,INDEX($AA$4:$AL$323,Ajustes!$I130,X$2),0)+IF(Ajustes!$J130&gt;0,INDEX($AA$4:$AL$323,Ajustes!$J130,X$2),0)+IF(Ajustes!$K130&gt;0,INDEX($AA$5:$AL$324,Ajustes!$K130,X$2),0)+IF(Ajustes!$L130&gt;0,INDEX($AA$4:$AL$323,Ajustes!$L130,X$2),0) + X130</f>
        <v>222</v>
      </c>
      <c r="AK130">
        <f>IF(Ajustes!$G130&gt;0,INDEX($AA$4:$AL$323,Ajustes!$G130,Y$2),0)+IF(Ajustes!$H130&gt;0,INDEX($AA$4:$AL$323,Ajustes!$H130,Y$2),0)+IF(Ajustes!$I130&gt;0,INDEX($AA$4:$AL$323,Ajustes!$I130,Y$2),0)+IF(Ajustes!$J130&gt;0,INDEX($AA$4:$AL$323,Ajustes!$J130,Y$2),0)+IF(Ajustes!$K130&gt;0,INDEX($AA$5:$AL$324,Ajustes!$K130,Y$2),0)+IF(Ajustes!$L130&gt;0,INDEX($AA$4:$AL$323,Ajustes!$L130,Y$2),0) + Y130</f>
        <v>316</v>
      </c>
      <c r="AL130">
        <f>IF(Ajustes!$G130&gt;0,INDEX($AA$4:$AL$323,Ajustes!$G130,Z$2),0)+IF(Ajustes!$H130&gt;0,INDEX($AA$4:$AL$323,Ajustes!$H130,Z$2),0)+IF(Ajustes!$I130&gt;0,INDEX($AA$4:$AL$323,Ajustes!$I130,Z$2),0)+IF(Ajustes!$J130&gt;0,INDEX($AA$4:$AL$323,Ajustes!$J130,Z$2),0)+IF(Ajustes!$K130&gt;0,INDEX($AA$5:$AL$324,Ajustes!$K130,Z$2),0)+IF(Ajustes!$L130&gt;0,INDEX($AA$4:$AL$323,Ajustes!$L130,Z$2),0) + Z130</f>
        <v>520</v>
      </c>
      <c r="AM130" s="219">
        <f t="shared" ref="AM130:AX130" si="35">AM132-AM301-AM206+AM307</f>
        <v>770</v>
      </c>
      <c r="AN130" s="219">
        <f t="shared" si="35"/>
        <v>769</v>
      </c>
      <c r="AO130" s="219">
        <f t="shared" si="35"/>
        <v>709</v>
      </c>
      <c r="AP130" s="219">
        <f t="shared" si="35"/>
        <v>472</v>
      </c>
      <c r="AQ130" s="219">
        <f t="shared" si="35"/>
        <v>297</v>
      </c>
      <c r="AR130" s="219">
        <f t="shared" si="35"/>
        <v>262</v>
      </c>
      <c r="AS130" s="219">
        <f t="shared" si="35"/>
        <v>212.7684210526316</v>
      </c>
      <c r="AT130" s="219">
        <f t="shared" si="35"/>
        <v>183.05263157894737</v>
      </c>
      <c r="AU130" s="219">
        <f t="shared" si="35"/>
        <v>183.92105263157896</v>
      </c>
      <c r="AV130" s="219">
        <f t="shared" si="35"/>
        <v>216.50526315789472</v>
      </c>
      <c r="AW130" s="219">
        <f t="shared" si="35"/>
        <v>300</v>
      </c>
      <c r="AX130" s="219">
        <f t="shared" si="35"/>
        <v>514</v>
      </c>
    </row>
    <row r="131" spans="1:50" x14ac:dyDescent="0.25">
      <c r="A131" s="113">
        <v>128</v>
      </c>
      <c r="B131" s="209"/>
      <c r="C131">
        <f>IFERROR(INDEX($BD$7:$BO$35,MATCH(Ajustes!$E$4:$E$323,$BC$7:$BC$35,0),$C$2:$N$2),1)</f>
        <v>1</v>
      </c>
      <c r="D131" s="113">
        <f>IFERROR(INDEX($BD$7:$BO$35,MATCH(Ajustes!$E$4:$E$323,$BC$7:$BC$35,0),$C$2:$N$2),1)</f>
        <v>1</v>
      </c>
      <c r="E131" s="113">
        <f>IFERROR(INDEX($BD$7:$BO$35,MATCH(Ajustes!$E$4:$E$323,$BC$7:$BC$35,0),$C$2:$N$2),1)</f>
        <v>1</v>
      </c>
      <c r="F131" s="113">
        <f>IFERROR(INDEX($BD$7:$BO$35,MATCH(Ajustes!$E$4:$E$323,$BC$7:$BC$35,0),$C$2:$N$2),1)</f>
        <v>1</v>
      </c>
      <c r="G131" s="113">
        <f>IFERROR(INDEX($BD$7:$BO$35,MATCH(Ajustes!$E$4:$E$323,$BC$7:$BC$35,0),$C$2:$N$2),1)</f>
        <v>1</v>
      </c>
      <c r="H131" s="113">
        <f>IFERROR(INDEX($BD$7:$BO$35,MATCH(Ajustes!$E$4:$E$323,$BC$7:$BC$35,0),$C$2:$N$2),1)</f>
        <v>1</v>
      </c>
      <c r="I131" s="113">
        <f>IFERROR(INDEX($BD$7:$BO$35,MATCH(Ajustes!$E$4:$E$323,$BC$7:$BC$35,0),$C$2:$N$2),1)</f>
        <v>1</v>
      </c>
      <c r="J131" s="113">
        <f>IFERROR(INDEX($BD$7:$BO$35,MATCH(Ajustes!$E$4:$E$323,$BC$7:$BC$35,0),$C$2:$N$2),1)</f>
        <v>1</v>
      </c>
      <c r="K131" s="113">
        <f>IFERROR(INDEX($BD$7:$BO$35,MATCH(Ajustes!$E$4:$E$323,$BC$7:$BC$35,0),$C$2:$N$2),1)</f>
        <v>1</v>
      </c>
      <c r="L131" s="113">
        <f>IFERROR(INDEX($BD$7:$BO$35,MATCH(Ajustes!$E$4:$E$323,$BC$7:$BC$35,0),$C$2:$N$2),1)</f>
        <v>1</v>
      </c>
      <c r="M131" s="113">
        <f>IFERROR(INDEX($BD$7:$BO$35,MATCH(Ajustes!$E$4:$E$323,$BC$7:$BC$35,0),$C$2:$N$2),1)</f>
        <v>1</v>
      </c>
      <c r="N131" s="113">
        <f>IFERROR(INDEX($BD$7:$BO$35,MATCH(Ajustes!$E$4:$E$323,$BC$7:$BC$35,0),$C$2:$N$2),1)</f>
        <v>1</v>
      </c>
      <c r="O131">
        <f>C131*Ajustes!AM131</f>
        <v>0</v>
      </c>
      <c r="P131">
        <f>D131*Ajustes!AN131</f>
        <v>0</v>
      </c>
      <c r="Q131">
        <f>E131*Ajustes!AO131</f>
        <v>0</v>
      </c>
      <c r="R131">
        <f>F131*Ajustes!AP131</f>
        <v>0</v>
      </c>
      <c r="S131">
        <f>G131*Ajustes!AQ131</f>
        <v>0</v>
      </c>
      <c r="T131">
        <f>H131*Ajustes!AR131</f>
        <v>0</v>
      </c>
      <c r="U131">
        <f>I131*Ajustes!AS131</f>
        <v>0</v>
      </c>
      <c r="V131">
        <f>J131*Ajustes!AT131</f>
        <v>0</v>
      </c>
      <c r="W131">
        <f>K131*Ajustes!AU131</f>
        <v>0</v>
      </c>
      <c r="X131">
        <f>L131*Ajustes!AV131</f>
        <v>0</v>
      </c>
      <c r="Y131">
        <f>M131*Ajustes!AW131</f>
        <v>0</v>
      </c>
      <c r="Z131">
        <f>N131*Ajustes!AX131</f>
        <v>0</v>
      </c>
      <c r="AA131">
        <f>IF(Ajustes!$G131&gt;0,INDEX($AA$4:$AL$323,Ajustes!$G131,O$2),0)+IF(Ajustes!$H131&gt;0,INDEX($AA$4:$AL$323,Ajustes!$H131,O$2),0)+IF(Ajustes!$I131&gt;0,INDEX($AA$4:$AL$323,Ajustes!$I131,O$2),0)+IF(Ajustes!$J131&gt;0,INDEX($AA$4:$AL$323,Ajustes!$J131,O$2),0)+IF(Ajustes!$K131&gt;0,INDEX($AA$5:$AL$324,Ajustes!$K131,O$2),0)+IF(Ajustes!$L131&gt;0,INDEX($AA$4:$AL$323,Ajustes!$L131,O$2),0) + O131</f>
        <v>0</v>
      </c>
      <c r="AB131">
        <f>IF(Ajustes!$G131&gt;0,INDEX($AA$4:$AL$323,Ajustes!$G131,P$2),0)+IF(Ajustes!$H131&gt;0,INDEX($AA$4:$AL$323,Ajustes!$H131,P$2),0)+IF(Ajustes!$I131&gt;0,INDEX($AA$4:$AL$323,Ajustes!$I131,P$2),0)+IF(Ajustes!$J131&gt;0,INDEX($AA$4:$AL$323,Ajustes!$J131,P$2),0)+IF(Ajustes!$K131&gt;0,INDEX($AA$5:$AL$324,Ajustes!$K131,P$2),0)+IF(Ajustes!$L131&gt;0,INDEX($AA$4:$AL$323,Ajustes!$L131,P$2),0) + P131</f>
        <v>0</v>
      </c>
      <c r="AC131">
        <f>IF(Ajustes!$G131&gt;0,INDEX($AA$4:$AL$323,Ajustes!$G131,Q$2),0)+IF(Ajustes!$H131&gt;0,INDEX($AA$4:$AL$323,Ajustes!$H131,Q$2),0)+IF(Ajustes!$I131&gt;0,INDEX($AA$4:$AL$323,Ajustes!$I131,Q$2),0)+IF(Ajustes!$J131&gt;0,INDEX($AA$4:$AL$323,Ajustes!$J131,Q$2),0)+IF(Ajustes!$K131&gt;0,INDEX($AA$5:$AL$324,Ajustes!$K131,Q$2),0)+IF(Ajustes!$L131&gt;0,INDEX($AA$4:$AL$323,Ajustes!$L131,Q$2),0) + Q131</f>
        <v>0</v>
      </c>
      <c r="AD131">
        <f>IF(Ajustes!$G131&gt;0,INDEX($AA$4:$AL$323,Ajustes!$G131,R$2),0)+IF(Ajustes!$H131&gt;0,INDEX($AA$4:$AL$323,Ajustes!$H131,R$2),0)+IF(Ajustes!$I131&gt;0,INDEX($AA$4:$AL$323,Ajustes!$I131,R$2),0)+IF(Ajustes!$J131&gt;0,INDEX($AA$4:$AL$323,Ajustes!$J131,R$2),0)+IF(Ajustes!$K131&gt;0,INDEX($AA$5:$AL$324,Ajustes!$K131,R$2),0)+IF(Ajustes!$L131&gt;0,INDEX($AA$4:$AL$323,Ajustes!$L131,R$2),0) + R131</f>
        <v>0</v>
      </c>
      <c r="AE131">
        <f>IF(Ajustes!$G131&gt;0,INDEX($AA$4:$AL$323,Ajustes!$G131,S$2),0)+IF(Ajustes!$H131&gt;0,INDEX($AA$4:$AL$323,Ajustes!$H131,S$2),0)+IF(Ajustes!$I131&gt;0,INDEX($AA$4:$AL$323,Ajustes!$I131,S$2),0)+IF(Ajustes!$J131&gt;0,INDEX($AA$4:$AL$323,Ajustes!$J131,S$2),0)+IF(Ajustes!$K131&gt;0,INDEX($AA$5:$AL$324,Ajustes!$K131,S$2),0)+IF(Ajustes!$L131&gt;0,INDEX($AA$4:$AL$323,Ajustes!$L131,S$2),0) + S131</f>
        <v>0</v>
      </c>
      <c r="AF131">
        <f>IF(Ajustes!$G131&gt;0,INDEX($AA$4:$AL$323,Ajustes!$G131,T$2),0)+IF(Ajustes!$H131&gt;0,INDEX($AA$4:$AL$323,Ajustes!$H131,T$2),0)+IF(Ajustes!$I131&gt;0,INDEX($AA$4:$AL$323,Ajustes!$I131,T$2),0)+IF(Ajustes!$J131&gt;0,INDEX($AA$4:$AL$323,Ajustes!$J131,T$2),0)+IF(Ajustes!$K131&gt;0,INDEX($AA$5:$AL$324,Ajustes!$K131,T$2),0)+IF(Ajustes!$L131&gt;0,INDEX($AA$4:$AL$323,Ajustes!$L131,T$2),0) + T131</f>
        <v>0</v>
      </c>
      <c r="AG131">
        <f>IF(Ajustes!$G131&gt;0,INDEX($AA$4:$AL$323,Ajustes!$G131,U$2),0)+IF(Ajustes!$H131&gt;0,INDEX($AA$4:$AL$323,Ajustes!$H131,U$2),0)+IF(Ajustes!$I131&gt;0,INDEX($AA$4:$AL$323,Ajustes!$I131,U$2),0)+IF(Ajustes!$J131&gt;0,INDEX($AA$4:$AL$323,Ajustes!$J131,U$2),0)+IF(Ajustes!$K131&gt;0,INDEX($AA$5:$AL$324,Ajustes!$K131,U$2),0)+IF(Ajustes!$L131&gt;0,INDEX($AA$4:$AL$323,Ajustes!$L131,U$2),0) + U131</f>
        <v>0</v>
      </c>
      <c r="AH131">
        <f>IF(Ajustes!$G131&gt;0,INDEX($AA$4:$AL$323,Ajustes!$G131,V$2),0)+IF(Ajustes!$H131&gt;0,INDEX($AA$4:$AL$323,Ajustes!$H131,V$2),0)+IF(Ajustes!$I131&gt;0,INDEX($AA$4:$AL$323,Ajustes!$I131,V$2),0)+IF(Ajustes!$J131&gt;0,INDEX($AA$4:$AL$323,Ajustes!$J131,V$2),0)+IF(Ajustes!$K131&gt;0,INDEX($AA$5:$AL$324,Ajustes!$K131,V$2),0)+IF(Ajustes!$L131&gt;0,INDEX($AA$4:$AL$323,Ajustes!$L131,V$2),0) + V131</f>
        <v>0</v>
      </c>
      <c r="AI131">
        <f>IF(Ajustes!$G131&gt;0,INDEX($AA$4:$AL$323,Ajustes!$G131,W$2),0)+IF(Ajustes!$H131&gt;0,INDEX($AA$4:$AL$323,Ajustes!$H131,W$2),0)+IF(Ajustes!$I131&gt;0,INDEX($AA$4:$AL$323,Ajustes!$I131,W$2),0)+IF(Ajustes!$J131&gt;0,INDEX($AA$4:$AL$323,Ajustes!$J131,W$2),0)+IF(Ajustes!$K131&gt;0,INDEX($AA$5:$AL$324,Ajustes!$K131,W$2),0)+IF(Ajustes!$L131&gt;0,INDEX($AA$4:$AL$323,Ajustes!$L131,W$2),0) + W131</f>
        <v>0</v>
      </c>
      <c r="AJ131">
        <f>IF(Ajustes!$G131&gt;0,INDEX($AA$4:$AL$323,Ajustes!$G131,X$2),0)+IF(Ajustes!$H131&gt;0,INDEX($AA$4:$AL$323,Ajustes!$H131,X$2),0)+IF(Ajustes!$I131&gt;0,INDEX($AA$4:$AL$323,Ajustes!$I131,X$2),0)+IF(Ajustes!$J131&gt;0,INDEX($AA$4:$AL$323,Ajustes!$J131,X$2),0)+IF(Ajustes!$K131&gt;0,INDEX($AA$5:$AL$324,Ajustes!$K131,X$2),0)+IF(Ajustes!$L131&gt;0,INDEX($AA$4:$AL$323,Ajustes!$L131,X$2),0) + X131</f>
        <v>0</v>
      </c>
      <c r="AK131">
        <f>IF(Ajustes!$G131&gt;0,INDEX($AA$4:$AL$323,Ajustes!$G131,Y$2),0)+IF(Ajustes!$H131&gt;0,INDEX($AA$4:$AL$323,Ajustes!$H131,Y$2),0)+IF(Ajustes!$I131&gt;0,INDEX($AA$4:$AL$323,Ajustes!$I131,Y$2),0)+IF(Ajustes!$J131&gt;0,INDEX($AA$4:$AL$323,Ajustes!$J131,Y$2),0)+IF(Ajustes!$K131&gt;0,INDEX($AA$5:$AL$324,Ajustes!$K131,Y$2),0)+IF(Ajustes!$L131&gt;0,INDEX($AA$4:$AL$323,Ajustes!$L131,Y$2),0) + Y131</f>
        <v>0</v>
      </c>
      <c r="AL131">
        <f>IF(Ajustes!$G131&gt;0,INDEX($AA$4:$AL$323,Ajustes!$G131,Z$2),0)+IF(Ajustes!$H131&gt;0,INDEX($AA$4:$AL$323,Ajustes!$H131,Z$2),0)+IF(Ajustes!$I131&gt;0,INDEX($AA$4:$AL$323,Ajustes!$I131,Z$2),0)+IF(Ajustes!$J131&gt;0,INDEX($AA$4:$AL$323,Ajustes!$J131,Z$2),0)+IF(Ajustes!$K131&gt;0,INDEX($AA$5:$AL$324,Ajustes!$K131,Z$2),0)+IF(Ajustes!$L131&gt;0,INDEX($AA$4:$AL$323,Ajustes!$L131,Z$2),0) + Z131</f>
        <v>0</v>
      </c>
      <c r="AM131" s="113">
        <f t="shared" ref="AM131:AX133" si="36">AA131</f>
        <v>0</v>
      </c>
      <c r="AN131" s="113">
        <f t="shared" si="36"/>
        <v>0</v>
      </c>
      <c r="AO131" s="113">
        <f t="shared" si="36"/>
        <v>0</v>
      </c>
      <c r="AP131" s="113">
        <f t="shared" si="36"/>
        <v>0</v>
      </c>
      <c r="AQ131" s="113">
        <f t="shared" si="36"/>
        <v>0</v>
      </c>
      <c r="AR131" s="113">
        <f t="shared" si="36"/>
        <v>0</v>
      </c>
      <c r="AS131" s="113">
        <f t="shared" si="36"/>
        <v>0</v>
      </c>
      <c r="AT131" s="113">
        <f t="shared" si="36"/>
        <v>0</v>
      </c>
      <c r="AU131" s="113">
        <f t="shared" si="36"/>
        <v>0</v>
      </c>
      <c r="AV131" s="113">
        <f t="shared" si="36"/>
        <v>0</v>
      </c>
      <c r="AW131" s="113">
        <f t="shared" si="36"/>
        <v>0</v>
      </c>
      <c r="AX131" s="113">
        <f t="shared" si="36"/>
        <v>0</v>
      </c>
    </row>
    <row r="132" spans="1:50" x14ac:dyDescent="0.25">
      <c r="A132" s="113">
        <v>129</v>
      </c>
      <c r="B132" s="209" t="s">
        <v>604</v>
      </c>
      <c r="C132">
        <f>IFERROR(INDEX($BD$7:$BO$35,MATCH(Ajustes!$E$4:$E$323,$BC$7:$BC$35,0),$C$2:$N$2),1)</f>
        <v>1</v>
      </c>
      <c r="D132" s="113">
        <f>IFERROR(INDEX($BD$7:$BO$35,MATCH(Ajustes!$E$4:$E$323,$BC$7:$BC$35,0),$C$2:$N$2),1)</f>
        <v>1</v>
      </c>
      <c r="E132" s="113">
        <f>IFERROR(INDEX($BD$7:$BO$35,MATCH(Ajustes!$E$4:$E$323,$BC$7:$BC$35,0),$C$2:$N$2),1)</f>
        <v>1</v>
      </c>
      <c r="F132" s="113">
        <f>IFERROR(INDEX($BD$7:$BO$35,MATCH(Ajustes!$E$4:$E$323,$BC$7:$BC$35,0),$C$2:$N$2),1)</f>
        <v>1</v>
      </c>
      <c r="G132" s="113">
        <f>IFERROR(INDEX($BD$7:$BO$35,MATCH(Ajustes!$E$4:$E$323,$BC$7:$BC$35,0),$C$2:$N$2),1)</f>
        <v>1</v>
      </c>
      <c r="H132" s="113">
        <f>IFERROR(INDEX($BD$7:$BO$35,MATCH(Ajustes!$E$4:$E$323,$BC$7:$BC$35,0),$C$2:$N$2),1)</f>
        <v>1</v>
      </c>
      <c r="I132" s="113">
        <f>IFERROR(INDEX($BD$7:$BO$35,MATCH(Ajustes!$E$4:$E$323,$BC$7:$BC$35,0),$C$2:$N$2),1)</f>
        <v>1</v>
      </c>
      <c r="J132" s="113">
        <f>IFERROR(INDEX($BD$7:$BO$35,MATCH(Ajustes!$E$4:$E$323,$BC$7:$BC$35,0),$C$2:$N$2),1)</f>
        <v>1</v>
      </c>
      <c r="K132" s="113">
        <f>IFERROR(INDEX($BD$7:$BO$35,MATCH(Ajustes!$E$4:$E$323,$BC$7:$BC$35,0),$C$2:$N$2),1)</f>
        <v>1</v>
      </c>
      <c r="L132" s="113">
        <f>IFERROR(INDEX($BD$7:$BO$35,MATCH(Ajustes!$E$4:$E$323,$BC$7:$BC$35,0),$C$2:$N$2),1)</f>
        <v>1</v>
      </c>
      <c r="M132" s="113">
        <f>IFERROR(INDEX($BD$7:$BO$35,MATCH(Ajustes!$E$4:$E$323,$BC$7:$BC$35,0),$C$2:$N$2),1)</f>
        <v>1</v>
      </c>
      <c r="N132" s="113">
        <f>IFERROR(INDEX($BD$7:$BO$35,MATCH(Ajustes!$E$4:$E$323,$BC$7:$BC$35,0),$C$2:$N$2),1)</f>
        <v>1</v>
      </c>
      <c r="O132">
        <f>C132*Ajustes!AM132</f>
        <v>801</v>
      </c>
      <c r="P132">
        <f>D132*Ajustes!AN132</f>
        <v>804</v>
      </c>
      <c r="Q132">
        <f>E132*Ajustes!AO132</f>
        <v>755</v>
      </c>
      <c r="R132">
        <f>F132*Ajustes!AP132</f>
        <v>548</v>
      </c>
      <c r="S132">
        <f>G132*Ajustes!AQ132</f>
        <v>387</v>
      </c>
      <c r="T132">
        <f>H132*Ajustes!AR132</f>
        <v>326</v>
      </c>
      <c r="U132">
        <f>I132*Ajustes!AS132</f>
        <v>274</v>
      </c>
      <c r="V132">
        <f>J132*Ajustes!AT132</f>
        <v>233</v>
      </c>
      <c r="W132">
        <f>K132*Ajustes!AU132</f>
        <v>237</v>
      </c>
      <c r="X132">
        <f>L132*Ajustes!AV132</f>
        <v>282</v>
      </c>
      <c r="Y132">
        <f>M132*Ajustes!AW132</f>
        <v>381</v>
      </c>
      <c r="Z132">
        <f>N132*Ajustes!AX132</f>
        <v>572</v>
      </c>
      <c r="AA132">
        <f>IF(Ajustes!$G132&gt;0,INDEX($AA$4:$AL$323,Ajustes!$G132,O$2),0)+IF(Ajustes!$H132&gt;0,INDEX($AA$4:$AL$323,Ajustes!$H132,O$2),0)+IF(Ajustes!$I132&gt;0,INDEX($AA$4:$AL$323,Ajustes!$I132,O$2),0)+IF(Ajustes!$J132&gt;0,INDEX($AA$4:$AL$323,Ajustes!$J132,O$2),0)+IF(Ajustes!$K132&gt;0,INDEX($AA$5:$AL$324,Ajustes!$K132,O$2),0)+IF(Ajustes!$L132&gt;0,INDEX($AA$4:$AL$323,Ajustes!$L132,O$2),0) + O132</f>
        <v>972</v>
      </c>
      <c r="AB132">
        <f>IF(Ajustes!$G132&gt;0,INDEX($AA$4:$AL$323,Ajustes!$G132,P$2),0)+IF(Ajustes!$H132&gt;0,INDEX($AA$4:$AL$323,Ajustes!$H132,P$2),0)+IF(Ajustes!$I132&gt;0,INDEX($AA$4:$AL$323,Ajustes!$I132,P$2),0)+IF(Ajustes!$J132&gt;0,INDEX($AA$4:$AL$323,Ajustes!$J132,P$2),0)+IF(Ajustes!$K132&gt;0,INDEX($AA$5:$AL$324,Ajustes!$K132,P$2),0)+IF(Ajustes!$L132&gt;0,INDEX($AA$4:$AL$323,Ajustes!$L132,P$2),0) + P132</f>
        <v>971</v>
      </c>
      <c r="AC132">
        <f>IF(Ajustes!$G132&gt;0,INDEX($AA$4:$AL$323,Ajustes!$G132,Q$2),0)+IF(Ajustes!$H132&gt;0,INDEX($AA$4:$AL$323,Ajustes!$H132,Q$2),0)+IF(Ajustes!$I132&gt;0,INDEX($AA$4:$AL$323,Ajustes!$I132,Q$2),0)+IF(Ajustes!$J132&gt;0,INDEX($AA$4:$AL$323,Ajustes!$J132,Q$2),0)+IF(Ajustes!$K132&gt;0,INDEX($AA$5:$AL$324,Ajustes!$K132,Q$2),0)+IF(Ajustes!$L132&gt;0,INDEX($AA$4:$AL$323,Ajustes!$L132,Q$2),0) + Q132</f>
        <v>908</v>
      </c>
      <c r="AD132">
        <f>IF(Ajustes!$G132&gt;0,INDEX($AA$4:$AL$323,Ajustes!$G132,R$2),0)+IF(Ajustes!$H132&gt;0,INDEX($AA$4:$AL$323,Ajustes!$H132,R$2),0)+IF(Ajustes!$I132&gt;0,INDEX($AA$4:$AL$323,Ajustes!$I132,R$2),0)+IF(Ajustes!$J132&gt;0,INDEX($AA$4:$AL$323,Ajustes!$J132,R$2),0)+IF(Ajustes!$K132&gt;0,INDEX($AA$5:$AL$324,Ajustes!$K132,R$2),0)+IF(Ajustes!$L132&gt;0,INDEX($AA$4:$AL$323,Ajustes!$L132,R$2),0) + R132</f>
        <v>662</v>
      </c>
      <c r="AE132">
        <f>IF(Ajustes!$G132&gt;0,INDEX($AA$4:$AL$323,Ajustes!$G132,S$2),0)+IF(Ajustes!$H132&gt;0,INDEX($AA$4:$AL$323,Ajustes!$H132,S$2),0)+IF(Ajustes!$I132&gt;0,INDEX($AA$4:$AL$323,Ajustes!$I132,S$2),0)+IF(Ajustes!$J132&gt;0,INDEX($AA$4:$AL$323,Ajustes!$J132,S$2),0)+IF(Ajustes!$K132&gt;0,INDEX($AA$5:$AL$324,Ajustes!$K132,S$2),0)+IF(Ajustes!$L132&gt;0,INDEX($AA$4:$AL$323,Ajustes!$L132,S$2),0) + S132</f>
        <v>473</v>
      </c>
      <c r="AF132">
        <f>IF(Ajustes!$G132&gt;0,INDEX($AA$4:$AL$323,Ajustes!$G132,T$2),0)+IF(Ajustes!$H132&gt;0,INDEX($AA$4:$AL$323,Ajustes!$H132,T$2),0)+IF(Ajustes!$I132&gt;0,INDEX($AA$4:$AL$323,Ajustes!$I132,T$2),0)+IF(Ajustes!$J132&gt;0,INDEX($AA$4:$AL$323,Ajustes!$J132,T$2),0)+IF(Ajustes!$K132&gt;0,INDEX($AA$5:$AL$324,Ajustes!$K132,T$2),0)+IF(Ajustes!$L132&gt;0,INDEX($AA$4:$AL$323,Ajustes!$L132,T$2),0) + T132</f>
        <v>397</v>
      </c>
      <c r="AG132">
        <f>IF(Ajustes!$G132&gt;0,INDEX($AA$4:$AL$323,Ajustes!$G132,U$2),0)+IF(Ajustes!$H132&gt;0,INDEX($AA$4:$AL$323,Ajustes!$H132,U$2),0)+IF(Ajustes!$I132&gt;0,INDEX($AA$4:$AL$323,Ajustes!$I132,U$2),0)+IF(Ajustes!$J132&gt;0,INDEX($AA$4:$AL$323,Ajustes!$J132,U$2),0)+IF(Ajustes!$K132&gt;0,INDEX($AA$5:$AL$324,Ajustes!$K132,U$2),0)+IF(Ajustes!$L132&gt;0,INDEX($AA$4:$AL$323,Ajustes!$L132,U$2),0) + U132</f>
        <v>336</v>
      </c>
      <c r="AH132">
        <f>IF(Ajustes!$G132&gt;0,INDEX($AA$4:$AL$323,Ajustes!$G132,V$2),0)+IF(Ajustes!$H132&gt;0,INDEX($AA$4:$AL$323,Ajustes!$H132,V$2),0)+IF(Ajustes!$I132&gt;0,INDEX($AA$4:$AL$323,Ajustes!$I132,V$2),0)+IF(Ajustes!$J132&gt;0,INDEX($AA$4:$AL$323,Ajustes!$J132,V$2),0)+IF(Ajustes!$K132&gt;0,INDEX($AA$5:$AL$324,Ajustes!$K132,V$2),0)+IF(Ajustes!$L132&gt;0,INDEX($AA$4:$AL$323,Ajustes!$L132,V$2),0) + V132</f>
        <v>288</v>
      </c>
      <c r="AI132">
        <f>IF(Ajustes!$G132&gt;0,INDEX($AA$4:$AL$323,Ajustes!$G132,W$2),0)+IF(Ajustes!$H132&gt;0,INDEX($AA$4:$AL$323,Ajustes!$H132,W$2),0)+IF(Ajustes!$I132&gt;0,INDEX($AA$4:$AL$323,Ajustes!$I132,W$2),0)+IF(Ajustes!$J132&gt;0,INDEX($AA$4:$AL$323,Ajustes!$J132,W$2),0)+IF(Ajustes!$K132&gt;0,INDEX($AA$5:$AL$324,Ajustes!$K132,W$2),0)+IF(Ajustes!$L132&gt;0,INDEX($AA$4:$AL$323,Ajustes!$L132,W$2),0) + W132</f>
        <v>292</v>
      </c>
      <c r="AJ132">
        <f>IF(Ajustes!$G132&gt;0,INDEX($AA$4:$AL$323,Ajustes!$G132,X$2),0)+IF(Ajustes!$H132&gt;0,INDEX($AA$4:$AL$323,Ajustes!$H132,X$2),0)+IF(Ajustes!$I132&gt;0,INDEX($AA$4:$AL$323,Ajustes!$I132,X$2),0)+IF(Ajustes!$J132&gt;0,INDEX($AA$4:$AL$323,Ajustes!$J132,X$2),0)+IF(Ajustes!$K132&gt;0,INDEX($AA$5:$AL$324,Ajustes!$K132,X$2),0)+IF(Ajustes!$L132&gt;0,INDEX($AA$4:$AL$323,Ajustes!$L132,X$2),0) + X132</f>
        <v>347</v>
      </c>
      <c r="AK132">
        <f>IF(Ajustes!$G132&gt;0,INDEX($AA$4:$AL$323,Ajustes!$G132,Y$2),0)+IF(Ajustes!$H132&gt;0,INDEX($AA$4:$AL$323,Ajustes!$H132,Y$2),0)+IF(Ajustes!$I132&gt;0,INDEX($AA$4:$AL$323,Ajustes!$I132,Y$2),0)+IF(Ajustes!$J132&gt;0,INDEX($AA$4:$AL$323,Ajustes!$J132,Y$2),0)+IF(Ajustes!$K132&gt;0,INDEX($AA$5:$AL$324,Ajustes!$K132,Y$2),0)+IF(Ajustes!$L132&gt;0,INDEX($AA$4:$AL$323,Ajustes!$L132,Y$2),0) + Y132</f>
        <v>471</v>
      </c>
      <c r="AL132">
        <f>IF(Ajustes!$G132&gt;0,INDEX($AA$4:$AL$323,Ajustes!$G132,Z$2),0)+IF(Ajustes!$H132&gt;0,INDEX($AA$4:$AL$323,Ajustes!$H132,Z$2),0)+IF(Ajustes!$I132&gt;0,INDEX($AA$4:$AL$323,Ajustes!$I132,Z$2),0)+IF(Ajustes!$J132&gt;0,INDEX($AA$4:$AL$323,Ajustes!$J132,Z$2),0)+IF(Ajustes!$K132&gt;0,INDEX($AA$5:$AL$324,Ajustes!$K132,Z$2),0)+IF(Ajustes!$L132&gt;0,INDEX($AA$4:$AL$323,Ajustes!$L132,Z$2),0) + Z132</f>
        <v>705</v>
      </c>
      <c r="AM132" s="113">
        <f t="shared" si="36"/>
        <v>972</v>
      </c>
      <c r="AN132" s="113">
        <f t="shared" si="36"/>
        <v>971</v>
      </c>
      <c r="AO132" s="113">
        <f t="shared" si="36"/>
        <v>908</v>
      </c>
      <c r="AP132" s="113">
        <f t="shared" si="36"/>
        <v>662</v>
      </c>
      <c r="AQ132" s="113">
        <f t="shared" si="36"/>
        <v>473</v>
      </c>
      <c r="AR132" s="113">
        <f t="shared" si="36"/>
        <v>397</v>
      </c>
      <c r="AS132" s="113">
        <f t="shared" si="36"/>
        <v>336</v>
      </c>
      <c r="AT132" s="113">
        <f t="shared" si="36"/>
        <v>288</v>
      </c>
      <c r="AU132" s="113">
        <f t="shared" si="36"/>
        <v>292</v>
      </c>
      <c r="AV132" s="113">
        <f t="shared" si="36"/>
        <v>347</v>
      </c>
      <c r="AW132" s="113">
        <f t="shared" si="36"/>
        <v>471</v>
      </c>
      <c r="AX132" s="113">
        <f t="shared" si="36"/>
        <v>705</v>
      </c>
    </row>
    <row r="133" spans="1:50" x14ac:dyDescent="0.25">
      <c r="A133" s="113">
        <v>130</v>
      </c>
      <c r="B133" s="209" t="s">
        <v>605</v>
      </c>
      <c r="C133">
        <f>IFERROR(INDEX($BD$7:$BO$35,MATCH(Ajustes!$E$4:$E$323,$BC$7:$BC$35,0),$C$2:$N$2),1)</f>
        <v>1</v>
      </c>
      <c r="D133" s="113">
        <f>IFERROR(INDEX($BD$7:$BO$35,MATCH(Ajustes!$E$4:$E$323,$BC$7:$BC$35,0),$C$2:$N$2),1)</f>
        <v>1</v>
      </c>
      <c r="E133" s="113">
        <f>IFERROR(INDEX($BD$7:$BO$35,MATCH(Ajustes!$E$4:$E$323,$BC$7:$BC$35,0),$C$2:$N$2),1)</f>
        <v>1</v>
      </c>
      <c r="F133" s="113">
        <f>IFERROR(INDEX($BD$7:$BO$35,MATCH(Ajustes!$E$4:$E$323,$BC$7:$BC$35,0),$C$2:$N$2),1)</f>
        <v>1</v>
      </c>
      <c r="G133" s="113">
        <f>IFERROR(INDEX($BD$7:$BO$35,MATCH(Ajustes!$E$4:$E$323,$BC$7:$BC$35,0),$C$2:$N$2),1)</f>
        <v>1</v>
      </c>
      <c r="H133" s="113">
        <f>IFERROR(INDEX($BD$7:$BO$35,MATCH(Ajustes!$E$4:$E$323,$BC$7:$BC$35,0),$C$2:$N$2),1)</f>
        <v>1</v>
      </c>
      <c r="I133" s="113">
        <f>IFERROR(INDEX($BD$7:$BO$35,MATCH(Ajustes!$E$4:$E$323,$BC$7:$BC$35,0),$C$2:$N$2),1)</f>
        <v>1</v>
      </c>
      <c r="J133" s="113">
        <f>IFERROR(INDEX($BD$7:$BO$35,MATCH(Ajustes!$E$4:$E$323,$BC$7:$BC$35,0),$C$2:$N$2),1)</f>
        <v>1</v>
      </c>
      <c r="K133" s="113">
        <f>IFERROR(INDEX($BD$7:$BO$35,MATCH(Ajustes!$E$4:$E$323,$BC$7:$BC$35,0),$C$2:$N$2),1)</f>
        <v>1</v>
      </c>
      <c r="L133" s="113">
        <f>IFERROR(INDEX($BD$7:$BO$35,MATCH(Ajustes!$E$4:$E$323,$BC$7:$BC$35,0),$C$2:$N$2),1)</f>
        <v>1</v>
      </c>
      <c r="M133" s="113">
        <f>IFERROR(INDEX($BD$7:$BO$35,MATCH(Ajustes!$E$4:$E$323,$BC$7:$BC$35,0),$C$2:$N$2),1)</f>
        <v>1</v>
      </c>
      <c r="N133" s="113">
        <f>IFERROR(INDEX($BD$7:$BO$35,MATCH(Ajustes!$E$4:$E$323,$BC$7:$BC$35,0),$C$2:$N$2),1)</f>
        <v>1</v>
      </c>
      <c r="O133">
        <f>C133*Ajustes!AM133</f>
        <v>114</v>
      </c>
      <c r="P133">
        <f>D133*Ajustes!AN133</f>
        <v>117</v>
      </c>
      <c r="Q133">
        <f>E133*Ajustes!AO133</f>
        <v>110</v>
      </c>
      <c r="R133">
        <f>F133*Ajustes!AP133</f>
        <v>75</v>
      </c>
      <c r="S133">
        <f>G133*Ajustes!AQ133</f>
        <v>49</v>
      </c>
      <c r="T133">
        <f>H133*Ajustes!AR133</f>
        <v>41</v>
      </c>
      <c r="U133">
        <f>I133*Ajustes!AS133</f>
        <v>33</v>
      </c>
      <c r="V133">
        <f>J133*Ajustes!AT133</f>
        <v>28</v>
      </c>
      <c r="W133">
        <f>K133*Ajustes!AU133</f>
        <v>29</v>
      </c>
      <c r="X133">
        <f>L133*Ajustes!AV133</f>
        <v>36</v>
      </c>
      <c r="Y133">
        <f>M133*Ajustes!AW133</f>
        <v>51</v>
      </c>
      <c r="Z133">
        <f>N133*Ajustes!AX133</f>
        <v>82</v>
      </c>
      <c r="AA133">
        <f>IF(Ajustes!$G133&gt;0,INDEX($AA$4:$AL$323,Ajustes!$G133,O$2),0)+IF(Ajustes!$H133&gt;0,INDEX($AA$4:$AL$323,Ajustes!$H133,O$2),0)+IF(Ajustes!$I133&gt;0,INDEX($AA$4:$AL$323,Ajustes!$I133,O$2),0)+IF(Ajustes!$J133&gt;0,INDEX($AA$4:$AL$323,Ajustes!$J133,O$2),0)+IF(Ajustes!$K133&gt;0,INDEX($AA$5:$AL$324,Ajustes!$K133,O$2),0)+IF(Ajustes!$L133&gt;0,INDEX($AA$4:$AL$323,Ajustes!$L133,O$2),0) + O133</f>
        <v>1086</v>
      </c>
      <c r="AB133">
        <f>IF(Ajustes!$G133&gt;0,INDEX($AA$4:$AL$323,Ajustes!$G133,P$2),0)+IF(Ajustes!$H133&gt;0,INDEX($AA$4:$AL$323,Ajustes!$H133,P$2),0)+IF(Ajustes!$I133&gt;0,INDEX($AA$4:$AL$323,Ajustes!$I133,P$2),0)+IF(Ajustes!$J133&gt;0,INDEX($AA$4:$AL$323,Ajustes!$J133,P$2),0)+IF(Ajustes!$K133&gt;0,INDEX($AA$5:$AL$324,Ajustes!$K133,P$2),0)+IF(Ajustes!$L133&gt;0,INDEX($AA$4:$AL$323,Ajustes!$L133,P$2),0) + P133</f>
        <v>1088</v>
      </c>
      <c r="AC133">
        <f>IF(Ajustes!$G133&gt;0,INDEX($AA$4:$AL$323,Ajustes!$G133,Q$2),0)+IF(Ajustes!$H133&gt;0,INDEX($AA$4:$AL$323,Ajustes!$H133,Q$2),0)+IF(Ajustes!$I133&gt;0,INDEX($AA$4:$AL$323,Ajustes!$I133,Q$2),0)+IF(Ajustes!$J133&gt;0,INDEX($AA$4:$AL$323,Ajustes!$J133,Q$2),0)+IF(Ajustes!$K133&gt;0,INDEX($AA$5:$AL$324,Ajustes!$K133,Q$2),0)+IF(Ajustes!$L133&gt;0,INDEX($AA$4:$AL$323,Ajustes!$L133,Q$2),0) + Q133</f>
        <v>1018</v>
      </c>
      <c r="AD133">
        <f>IF(Ajustes!$G133&gt;0,INDEX($AA$4:$AL$323,Ajustes!$G133,R$2),0)+IF(Ajustes!$H133&gt;0,INDEX($AA$4:$AL$323,Ajustes!$H133,R$2),0)+IF(Ajustes!$I133&gt;0,INDEX($AA$4:$AL$323,Ajustes!$I133,R$2),0)+IF(Ajustes!$J133&gt;0,INDEX($AA$4:$AL$323,Ajustes!$J133,R$2),0)+IF(Ajustes!$K133&gt;0,INDEX($AA$5:$AL$324,Ajustes!$K133,R$2),0)+IF(Ajustes!$L133&gt;0,INDEX($AA$4:$AL$323,Ajustes!$L133,R$2),0) + R133</f>
        <v>737</v>
      </c>
      <c r="AE133">
        <f>IF(Ajustes!$G133&gt;0,INDEX($AA$4:$AL$323,Ajustes!$G133,S$2),0)+IF(Ajustes!$H133&gt;0,INDEX($AA$4:$AL$323,Ajustes!$H133,S$2),0)+IF(Ajustes!$I133&gt;0,INDEX($AA$4:$AL$323,Ajustes!$I133,S$2),0)+IF(Ajustes!$J133&gt;0,INDEX($AA$4:$AL$323,Ajustes!$J133,S$2),0)+IF(Ajustes!$K133&gt;0,INDEX($AA$5:$AL$324,Ajustes!$K133,S$2),0)+IF(Ajustes!$L133&gt;0,INDEX($AA$4:$AL$323,Ajustes!$L133,S$2),0) + S133</f>
        <v>522</v>
      </c>
      <c r="AF133">
        <f>IF(Ajustes!$G133&gt;0,INDEX($AA$4:$AL$323,Ajustes!$G133,T$2),0)+IF(Ajustes!$H133&gt;0,INDEX($AA$4:$AL$323,Ajustes!$H133,T$2),0)+IF(Ajustes!$I133&gt;0,INDEX($AA$4:$AL$323,Ajustes!$I133,T$2),0)+IF(Ajustes!$J133&gt;0,INDEX($AA$4:$AL$323,Ajustes!$J133,T$2),0)+IF(Ajustes!$K133&gt;0,INDEX($AA$5:$AL$324,Ajustes!$K133,T$2),0)+IF(Ajustes!$L133&gt;0,INDEX($AA$4:$AL$323,Ajustes!$L133,T$2),0) + T133</f>
        <v>438</v>
      </c>
      <c r="AG133">
        <f>IF(Ajustes!$G133&gt;0,INDEX($AA$4:$AL$323,Ajustes!$G133,U$2),0)+IF(Ajustes!$H133&gt;0,INDEX($AA$4:$AL$323,Ajustes!$H133,U$2),0)+IF(Ajustes!$I133&gt;0,INDEX($AA$4:$AL$323,Ajustes!$I133,U$2),0)+IF(Ajustes!$J133&gt;0,INDEX($AA$4:$AL$323,Ajustes!$J133,U$2),0)+IF(Ajustes!$K133&gt;0,INDEX($AA$5:$AL$324,Ajustes!$K133,U$2),0)+IF(Ajustes!$L133&gt;0,INDEX($AA$4:$AL$323,Ajustes!$L133,U$2),0) + U133</f>
        <v>369</v>
      </c>
      <c r="AH133">
        <f>IF(Ajustes!$G133&gt;0,INDEX($AA$4:$AL$323,Ajustes!$G133,V$2),0)+IF(Ajustes!$H133&gt;0,INDEX($AA$4:$AL$323,Ajustes!$H133,V$2),0)+IF(Ajustes!$I133&gt;0,INDEX($AA$4:$AL$323,Ajustes!$I133,V$2),0)+IF(Ajustes!$J133&gt;0,INDEX($AA$4:$AL$323,Ajustes!$J133,V$2),0)+IF(Ajustes!$K133&gt;0,INDEX($AA$5:$AL$324,Ajustes!$K133,V$2),0)+IF(Ajustes!$L133&gt;0,INDEX($AA$4:$AL$323,Ajustes!$L133,V$2),0) + V133</f>
        <v>316</v>
      </c>
      <c r="AI133">
        <f>IF(Ajustes!$G133&gt;0,INDEX($AA$4:$AL$323,Ajustes!$G133,W$2),0)+IF(Ajustes!$H133&gt;0,INDEX($AA$4:$AL$323,Ajustes!$H133,W$2),0)+IF(Ajustes!$I133&gt;0,INDEX($AA$4:$AL$323,Ajustes!$I133,W$2),0)+IF(Ajustes!$J133&gt;0,INDEX($AA$4:$AL$323,Ajustes!$J133,W$2),0)+IF(Ajustes!$K133&gt;0,INDEX($AA$5:$AL$324,Ajustes!$K133,W$2),0)+IF(Ajustes!$L133&gt;0,INDEX($AA$4:$AL$323,Ajustes!$L133,W$2),0) + W133</f>
        <v>321</v>
      </c>
      <c r="AJ133">
        <f>IF(Ajustes!$G133&gt;0,INDEX($AA$4:$AL$323,Ajustes!$G133,X$2),0)+IF(Ajustes!$H133&gt;0,INDEX($AA$4:$AL$323,Ajustes!$H133,X$2),0)+IF(Ajustes!$I133&gt;0,INDEX($AA$4:$AL$323,Ajustes!$I133,X$2),0)+IF(Ajustes!$J133&gt;0,INDEX($AA$4:$AL$323,Ajustes!$J133,X$2),0)+IF(Ajustes!$K133&gt;0,INDEX($AA$5:$AL$324,Ajustes!$K133,X$2),0)+IF(Ajustes!$L133&gt;0,INDEX($AA$4:$AL$323,Ajustes!$L133,X$2),0) + X133</f>
        <v>383</v>
      </c>
      <c r="AK133">
        <f>IF(Ajustes!$G133&gt;0,INDEX($AA$4:$AL$323,Ajustes!$G133,Y$2),0)+IF(Ajustes!$H133&gt;0,INDEX($AA$4:$AL$323,Ajustes!$H133,Y$2),0)+IF(Ajustes!$I133&gt;0,INDEX($AA$4:$AL$323,Ajustes!$I133,Y$2),0)+IF(Ajustes!$J133&gt;0,INDEX($AA$4:$AL$323,Ajustes!$J133,Y$2),0)+IF(Ajustes!$K133&gt;0,INDEX($AA$5:$AL$324,Ajustes!$K133,Y$2),0)+IF(Ajustes!$L133&gt;0,INDEX($AA$4:$AL$323,Ajustes!$L133,Y$2),0) + Y133</f>
        <v>522</v>
      </c>
      <c r="AL133">
        <f>IF(Ajustes!$G133&gt;0,INDEX($AA$4:$AL$323,Ajustes!$G133,Z$2),0)+IF(Ajustes!$H133&gt;0,INDEX($AA$4:$AL$323,Ajustes!$H133,Z$2),0)+IF(Ajustes!$I133&gt;0,INDEX($AA$4:$AL$323,Ajustes!$I133,Z$2),0)+IF(Ajustes!$J133&gt;0,INDEX($AA$4:$AL$323,Ajustes!$J133,Z$2),0)+IF(Ajustes!$K133&gt;0,INDEX($AA$5:$AL$324,Ajustes!$K133,Z$2),0)+IF(Ajustes!$L133&gt;0,INDEX($AA$4:$AL$323,Ajustes!$L133,Z$2),0) + Z133</f>
        <v>787</v>
      </c>
      <c r="AM133" s="113">
        <f t="shared" si="36"/>
        <v>1086</v>
      </c>
      <c r="AN133" s="113">
        <f t="shared" si="36"/>
        <v>1088</v>
      </c>
      <c r="AO133" s="113">
        <f t="shared" si="36"/>
        <v>1018</v>
      </c>
      <c r="AP133" s="113">
        <f t="shared" si="36"/>
        <v>737</v>
      </c>
      <c r="AQ133" s="113">
        <f t="shared" si="36"/>
        <v>522</v>
      </c>
      <c r="AR133" s="113">
        <f t="shared" si="36"/>
        <v>438</v>
      </c>
      <c r="AS133" s="113">
        <f t="shared" si="36"/>
        <v>369</v>
      </c>
      <c r="AT133" s="113">
        <f t="shared" si="36"/>
        <v>316</v>
      </c>
      <c r="AU133" s="113">
        <f t="shared" si="36"/>
        <v>321</v>
      </c>
      <c r="AV133" s="113">
        <f t="shared" si="36"/>
        <v>383</v>
      </c>
      <c r="AW133" s="113">
        <f t="shared" si="36"/>
        <v>522</v>
      </c>
      <c r="AX133" s="113">
        <f t="shared" si="36"/>
        <v>787</v>
      </c>
    </row>
    <row r="134" spans="1:50" x14ac:dyDescent="0.25">
      <c r="A134" s="113">
        <v>131</v>
      </c>
      <c r="B134" s="209" t="s">
        <v>357</v>
      </c>
      <c r="C134">
        <f>IFERROR(INDEX($BD$7:$BO$35,MATCH(Ajustes!$E$4:$E$323,$BC$7:$BC$35,0),$C$2:$N$2),1)</f>
        <v>1</v>
      </c>
      <c r="D134" s="113">
        <f>IFERROR(INDEX($BD$7:$BO$35,MATCH(Ajustes!$E$4:$E$323,$BC$7:$BC$35,0),$C$2:$N$2),1)</f>
        <v>1</v>
      </c>
      <c r="E134" s="113">
        <f>IFERROR(INDEX($BD$7:$BO$35,MATCH(Ajustes!$E$4:$E$323,$BC$7:$BC$35,0),$C$2:$N$2),1)</f>
        <v>1</v>
      </c>
      <c r="F134" s="113">
        <f>IFERROR(INDEX($BD$7:$BO$35,MATCH(Ajustes!$E$4:$E$323,$BC$7:$BC$35,0),$C$2:$N$2),1)</f>
        <v>1</v>
      </c>
      <c r="G134" s="113">
        <f>IFERROR(INDEX($BD$7:$BO$35,MATCH(Ajustes!$E$4:$E$323,$BC$7:$BC$35,0),$C$2:$N$2),1)</f>
        <v>1</v>
      </c>
      <c r="H134" s="113">
        <f>IFERROR(INDEX($BD$7:$BO$35,MATCH(Ajustes!$E$4:$E$323,$BC$7:$BC$35,0),$C$2:$N$2),1)</f>
        <v>1</v>
      </c>
      <c r="I134" s="113">
        <f>IFERROR(INDEX($BD$7:$BO$35,MATCH(Ajustes!$E$4:$E$323,$BC$7:$BC$35,0),$C$2:$N$2),1)</f>
        <v>1</v>
      </c>
      <c r="J134" s="113">
        <f>IFERROR(INDEX($BD$7:$BO$35,MATCH(Ajustes!$E$4:$E$323,$BC$7:$BC$35,0),$C$2:$N$2),1)</f>
        <v>1</v>
      </c>
      <c r="K134" s="113">
        <f>IFERROR(INDEX($BD$7:$BO$35,MATCH(Ajustes!$E$4:$E$323,$BC$7:$BC$35,0),$C$2:$N$2),1)</f>
        <v>1</v>
      </c>
      <c r="L134" s="113">
        <f>IFERROR(INDEX($BD$7:$BO$35,MATCH(Ajustes!$E$4:$E$323,$BC$7:$BC$35,0),$C$2:$N$2),1)</f>
        <v>1</v>
      </c>
      <c r="M134" s="113">
        <f>IFERROR(INDEX($BD$7:$BO$35,MATCH(Ajustes!$E$4:$E$323,$BC$7:$BC$35,0),$C$2:$N$2),1)</f>
        <v>1</v>
      </c>
      <c r="N134" s="113">
        <f>IFERROR(INDEX($BD$7:$BO$35,MATCH(Ajustes!$E$4:$E$323,$BC$7:$BC$35,0),$C$2:$N$2),1)</f>
        <v>1</v>
      </c>
      <c r="O134">
        <f>C134*Ajustes!AM134</f>
        <v>144</v>
      </c>
      <c r="P134">
        <f>D134*Ajustes!AN134</f>
        <v>143</v>
      </c>
      <c r="Q134">
        <f>E134*Ajustes!AO134</f>
        <v>144</v>
      </c>
      <c r="R134">
        <f>F134*Ajustes!AP134</f>
        <v>143</v>
      </c>
      <c r="S134">
        <f>G134*Ajustes!AQ134</f>
        <v>135</v>
      </c>
      <c r="T134">
        <f>H134*Ajustes!AR134</f>
        <v>122</v>
      </c>
      <c r="U134">
        <f>I134*Ajustes!AS134</f>
        <v>110</v>
      </c>
      <c r="V134">
        <f>J134*Ajustes!AT134</f>
        <v>96</v>
      </c>
      <c r="W134">
        <f>K134*Ajustes!AU134</f>
        <v>97</v>
      </c>
      <c r="X134">
        <f>L134*Ajustes!AV134</f>
        <v>112</v>
      </c>
      <c r="Y134">
        <f>M134*Ajustes!AW134</f>
        <v>131</v>
      </c>
      <c r="Z134">
        <f>N134*Ajustes!AX134</f>
        <v>142</v>
      </c>
      <c r="AA134">
        <f>IF(Ajustes!$G134&gt;0,INDEX($AA$4:$AL$323,Ajustes!$G134,O$2),0)+IF(Ajustes!$H134&gt;0,INDEX($AA$4:$AL$323,Ajustes!$H134,O$2),0)+IF(Ajustes!$I134&gt;0,INDEX($AA$4:$AL$323,Ajustes!$I134,O$2),0)+IF(Ajustes!$J134&gt;0,INDEX($AA$4:$AL$323,Ajustes!$J134,O$2),0)+IF(Ajustes!$K134&gt;0,INDEX($AA$5:$AL$324,Ajustes!$K134,O$2),0)+IF(Ajustes!$L134&gt;0,INDEX($AA$4:$AL$323,Ajustes!$L134,O$2),0) + O134</f>
        <v>144</v>
      </c>
      <c r="AB134">
        <f>IF(Ajustes!$G134&gt;0,INDEX($AA$4:$AL$323,Ajustes!$G134,P$2),0)+IF(Ajustes!$H134&gt;0,INDEX($AA$4:$AL$323,Ajustes!$H134,P$2),0)+IF(Ajustes!$I134&gt;0,INDEX($AA$4:$AL$323,Ajustes!$I134,P$2),0)+IF(Ajustes!$J134&gt;0,INDEX($AA$4:$AL$323,Ajustes!$J134,P$2),0)+IF(Ajustes!$K134&gt;0,INDEX($AA$5:$AL$324,Ajustes!$K134,P$2),0)+IF(Ajustes!$L134&gt;0,INDEX($AA$4:$AL$323,Ajustes!$L134,P$2),0) + P134</f>
        <v>143</v>
      </c>
      <c r="AC134">
        <f>IF(Ajustes!$G134&gt;0,INDEX($AA$4:$AL$323,Ajustes!$G134,Q$2),0)+IF(Ajustes!$H134&gt;0,INDEX($AA$4:$AL$323,Ajustes!$H134,Q$2),0)+IF(Ajustes!$I134&gt;0,INDEX($AA$4:$AL$323,Ajustes!$I134,Q$2),0)+IF(Ajustes!$J134&gt;0,INDEX($AA$4:$AL$323,Ajustes!$J134,Q$2),0)+IF(Ajustes!$K134&gt;0,INDEX($AA$5:$AL$324,Ajustes!$K134,Q$2),0)+IF(Ajustes!$L134&gt;0,INDEX($AA$4:$AL$323,Ajustes!$L134,Q$2),0) + Q134</f>
        <v>144</v>
      </c>
      <c r="AD134">
        <f>IF(Ajustes!$G134&gt;0,INDEX($AA$4:$AL$323,Ajustes!$G134,R$2),0)+IF(Ajustes!$H134&gt;0,INDEX($AA$4:$AL$323,Ajustes!$H134,R$2),0)+IF(Ajustes!$I134&gt;0,INDEX($AA$4:$AL$323,Ajustes!$I134,R$2),0)+IF(Ajustes!$J134&gt;0,INDEX($AA$4:$AL$323,Ajustes!$J134,R$2),0)+IF(Ajustes!$K134&gt;0,INDEX($AA$5:$AL$324,Ajustes!$K134,R$2),0)+IF(Ajustes!$L134&gt;0,INDEX($AA$4:$AL$323,Ajustes!$L134,R$2),0) + R134</f>
        <v>143</v>
      </c>
      <c r="AE134">
        <f>IF(Ajustes!$G134&gt;0,INDEX($AA$4:$AL$323,Ajustes!$G134,S$2),0)+IF(Ajustes!$H134&gt;0,INDEX($AA$4:$AL$323,Ajustes!$H134,S$2),0)+IF(Ajustes!$I134&gt;0,INDEX($AA$4:$AL$323,Ajustes!$I134,S$2),0)+IF(Ajustes!$J134&gt;0,INDEX($AA$4:$AL$323,Ajustes!$J134,S$2),0)+IF(Ajustes!$K134&gt;0,INDEX($AA$5:$AL$324,Ajustes!$K134,S$2),0)+IF(Ajustes!$L134&gt;0,INDEX($AA$4:$AL$323,Ajustes!$L134,S$2),0) + S134</f>
        <v>135</v>
      </c>
      <c r="AF134">
        <f>IF(Ajustes!$G134&gt;0,INDEX($AA$4:$AL$323,Ajustes!$G134,T$2),0)+IF(Ajustes!$H134&gt;0,INDEX($AA$4:$AL$323,Ajustes!$H134,T$2),0)+IF(Ajustes!$I134&gt;0,INDEX($AA$4:$AL$323,Ajustes!$I134,T$2),0)+IF(Ajustes!$J134&gt;0,INDEX($AA$4:$AL$323,Ajustes!$J134,T$2),0)+IF(Ajustes!$K134&gt;0,INDEX($AA$5:$AL$324,Ajustes!$K134,T$2),0)+IF(Ajustes!$L134&gt;0,INDEX($AA$4:$AL$323,Ajustes!$L134,T$2),0) + T134</f>
        <v>122</v>
      </c>
      <c r="AG134">
        <f>IF(Ajustes!$G134&gt;0,INDEX($AA$4:$AL$323,Ajustes!$G134,U$2),0)+IF(Ajustes!$H134&gt;0,INDEX($AA$4:$AL$323,Ajustes!$H134,U$2),0)+IF(Ajustes!$I134&gt;0,INDEX($AA$4:$AL$323,Ajustes!$I134,U$2),0)+IF(Ajustes!$J134&gt;0,INDEX($AA$4:$AL$323,Ajustes!$J134,U$2),0)+IF(Ajustes!$K134&gt;0,INDEX($AA$5:$AL$324,Ajustes!$K134,U$2),0)+IF(Ajustes!$L134&gt;0,INDEX($AA$4:$AL$323,Ajustes!$L134,U$2),0) + U134</f>
        <v>110</v>
      </c>
      <c r="AH134">
        <f>IF(Ajustes!$G134&gt;0,INDEX($AA$4:$AL$323,Ajustes!$G134,V$2),0)+IF(Ajustes!$H134&gt;0,INDEX($AA$4:$AL$323,Ajustes!$H134,V$2),0)+IF(Ajustes!$I134&gt;0,INDEX($AA$4:$AL$323,Ajustes!$I134,V$2),0)+IF(Ajustes!$J134&gt;0,INDEX($AA$4:$AL$323,Ajustes!$J134,V$2),0)+IF(Ajustes!$K134&gt;0,INDEX($AA$5:$AL$324,Ajustes!$K134,V$2),0)+IF(Ajustes!$L134&gt;0,INDEX($AA$4:$AL$323,Ajustes!$L134,V$2),0) + V134</f>
        <v>96</v>
      </c>
      <c r="AI134">
        <f>IF(Ajustes!$G134&gt;0,INDEX($AA$4:$AL$323,Ajustes!$G134,W$2),0)+IF(Ajustes!$H134&gt;0,INDEX($AA$4:$AL$323,Ajustes!$H134,W$2),0)+IF(Ajustes!$I134&gt;0,INDEX($AA$4:$AL$323,Ajustes!$I134,W$2),0)+IF(Ajustes!$J134&gt;0,INDEX($AA$4:$AL$323,Ajustes!$J134,W$2),0)+IF(Ajustes!$K134&gt;0,INDEX($AA$5:$AL$324,Ajustes!$K134,W$2),0)+IF(Ajustes!$L134&gt;0,INDEX($AA$4:$AL$323,Ajustes!$L134,W$2),0) + W134</f>
        <v>97</v>
      </c>
      <c r="AJ134">
        <f>IF(Ajustes!$G134&gt;0,INDEX($AA$4:$AL$323,Ajustes!$G134,X$2),0)+IF(Ajustes!$H134&gt;0,INDEX($AA$4:$AL$323,Ajustes!$H134,X$2),0)+IF(Ajustes!$I134&gt;0,INDEX($AA$4:$AL$323,Ajustes!$I134,X$2),0)+IF(Ajustes!$J134&gt;0,INDEX($AA$4:$AL$323,Ajustes!$J134,X$2),0)+IF(Ajustes!$K134&gt;0,INDEX($AA$5:$AL$324,Ajustes!$K134,X$2),0)+IF(Ajustes!$L134&gt;0,INDEX($AA$4:$AL$323,Ajustes!$L134,X$2),0) + X134</f>
        <v>112</v>
      </c>
      <c r="AK134">
        <f>IF(Ajustes!$G134&gt;0,INDEX($AA$4:$AL$323,Ajustes!$G134,Y$2),0)+IF(Ajustes!$H134&gt;0,INDEX($AA$4:$AL$323,Ajustes!$H134,Y$2),0)+IF(Ajustes!$I134&gt;0,INDEX($AA$4:$AL$323,Ajustes!$I134,Y$2),0)+IF(Ajustes!$J134&gt;0,INDEX($AA$4:$AL$323,Ajustes!$J134,Y$2),0)+IF(Ajustes!$K134&gt;0,INDEX($AA$5:$AL$324,Ajustes!$K134,Y$2),0)+IF(Ajustes!$L134&gt;0,INDEX($AA$4:$AL$323,Ajustes!$L134,Y$2),0) + Y134</f>
        <v>131</v>
      </c>
      <c r="AL134">
        <f>IF(Ajustes!$G134&gt;0,INDEX($AA$4:$AL$323,Ajustes!$G134,Z$2),0)+IF(Ajustes!$H134&gt;0,INDEX($AA$4:$AL$323,Ajustes!$H134,Z$2),0)+IF(Ajustes!$I134&gt;0,INDEX($AA$4:$AL$323,Ajustes!$I134,Z$2),0)+IF(Ajustes!$J134&gt;0,INDEX($AA$4:$AL$323,Ajustes!$J134,Z$2),0)+IF(Ajustes!$K134&gt;0,INDEX($AA$5:$AL$324,Ajustes!$K134,Z$2),0)+IF(Ajustes!$L134&gt;0,INDEX($AA$4:$AL$323,Ajustes!$L134,Z$2),0) + Z134</f>
        <v>142</v>
      </c>
      <c r="AM134" s="219">
        <f t="shared" ref="AM134:AX134" si="37">MIN(AM319,144)</f>
        <v>144</v>
      </c>
      <c r="AN134" s="219">
        <f t="shared" si="37"/>
        <v>144</v>
      </c>
      <c r="AO134" s="219">
        <f t="shared" si="37"/>
        <v>144</v>
      </c>
      <c r="AP134" s="219">
        <f t="shared" si="37"/>
        <v>144</v>
      </c>
      <c r="AQ134" s="219">
        <f t="shared" si="37"/>
        <v>144</v>
      </c>
      <c r="AR134" s="219">
        <f t="shared" si="37"/>
        <v>126</v>
      </c>
      <c r="AS134" s="219">
        <f t="shared" si="37"/>
        <v>116.23157894736842</v>
      </c>
      <c r="AT134" s="219">
        <f t="shared" si="37"/>
        <v>98.94736842105263</v>
      </c>
      <c r="AU134" s="219">
        <f t="shared" si="37"/>
        <v>101.07894736842105</v>
      </c>
      <c r="AV134" s="219">
        <f t="shared" si="37"/>
        <v>122.49473684210527</v>
      </c>
      <c r="AW134" s="219">
        <f t="shared" si="37"/>
        <v>144</v>
      </c>
      <c r="AX134" s="219">
        <f t="shared" si="37"/>
        <v>144</v>
      </c>
    </row>
    <row r="135" spans="1:50" x14ac:dyDescent="0.25">
      <c r="A135" s="113">
        <v>132</v>
      </c>
      <c r="B135" s="209" t="s">
        <v>606</v>
      </c>
      <c r="C135">
        <f>IFERROR(INDEX($BD$7:$BO$35,MATCH(Ajustes!$E$4:$E$323,$BC$7:$BC$35,0),$C$2:$N$2),1)</f>
        <v>1</v>
      </c>
      <c r="D135" s="113">
        <f>IFERROR(INDEX($BD$7:$BO$35,MATCH(Ajustes!$E$4:$E$323,$BC$7:$BC$35,0),$C$2:$N$2),1)</f>
        <v>1</v>
      </c>
      <c r="E135" s="113">
        <f>IFERROR(INDEX($BD$7:$BO$35,MATCH(Ajustes!$E$4:$E$323,$BC$7:$BC$35,0),$C$2:$N$2),1)</f>
        <v>1</v>
      </c>
      <c r="F135" s="113">
        <f>IFERROR(INDEX($BD$7:$BO$35,MATCH(Ajustes!$E$4:$E$323,$BC$7:$BC$35,0),$C$2:$N$2),1)</f>
        <v>1</v>
      </c>
      <c r="G135" s="113">
        <f>IFERROR(INDEX($BD$7:$BO$35,MATCH(Ajustes!$E$4:$E$323,$BC$7:$BC$35,0),$C$2:$N$2),1)</f>
        <v>1</v>
      </c>
      <c r="H135" s="113">
        <f>IFERROR(INDEX($BD$7:$BO$35,MATCH(Ajustes!$E$4:$E$323,$BC$7:$BC$35,0),$C$2:$N$2),1)</f>
        <v>1</v>
      </c>
      <c r="I135" s="113">
        <f>IFERROR(INDEX($BD$7:$BO$35,MATCH(Ajustes!$E$4:$E$323,$BC$7:$BC$35,0),$C$2:$N$2),1)</f>
        <v>1</v>
      </c>
      <c r="J135" s="113">
        <f>IFERROR(INDEX($BD$7:$BO$35,MATCH(Ajustes!$E$4:$E$323,$BC$7:$BC$35,0),$C$2:$N$2),1)</f>
        <v>1</v>
      </c>
      <c r="K135" s="113">
        <f>IFERROR(INDEX($BD$7:$BO$35,MATCH(Ajustes!$E$4:$E$323,$BC$7:$BC$35,0),$C$2:$N$2),1)</f>
        <v>1</v>
      </c>
      <c r="L135" s="113">
        <f>IFERROR(INDEX($BD$7:$BO$35,MATCH(Ajustes!$E$4:$E$323,$BC$7:$BC$35,0),$C$2:$N$2),1)</f>
        <v>1</v>
      </c>
      <c r="M135" s="113">
        <f>IFERROR(INDEX($BD$7:$BO$35,MATCH(Ajustes!$E$4:$E$323,$BC$7:$BC$35,0),$C$2:$N$2),1)</f>
        <v>1</v>
      </c>
      <c r="N135" s="113">
        <f>IFERROR(INDEX($BD$7:$BO$35,MATCH(Ajustes!$E$4:$E$323,$BC$7:$BC$35,0),$C$2:$N$2),1)</f>
        <v>1</v>
      </c>
      <c r="O135">
        <f>C135*Ajustes!AM135</f>
        <v>31</v>
      </c>
      <c r="P135">
        <f>D135*Ajustes!AN135</f>
        <v>30</v>
      </c>
      <c r="Q135">
        <f>E135*Ajustes!AO135</f>
        <v>29</v>
      </c>
      <c r="R135">
        <f>F135*Ajustes!AP135</f>
        <v>24</v>
      </c>
      <c r="S135">
        <f>G135*Ajustes!AQ135</f>
        <v>17</v>
      </c>
      <c r="T135">
        <f>H135*Ajustes!AR135</f>
        <v>12</v>
      </c>
      <c r="U135">
        <f>I135*Ajustes!AS135</f>
        <v>10</v>
      </c>
      <c r="V135">
        <f>J135*Ajustes!AT135</f>
        <v>9</v>
      </c>
      <c r="W135">
        <f>K135*Ajustes!AU135</f>
        <v>9</v>
      </c>
      <c r="X135">
        <f>L135*Ajustes!AV135</f>
        <v>11</v>
      </c>
      <c r="Y135">
        <f>M135*Ajustes!AW135</f>
        <v>17</v>
      </c>
      <c r="Z135">
        <f>N135*Ajustes!AX135</f>
        <v>25</v>
      </c>
      <c r="AA135">
        <f>IF(Ajustes!$G135&gt;0,INDEX($AA$4:$AL$323,Ajustes!$G135,O$2),0)+IF(Ajustes!$H135&gt;0,INDEX($AA$4:$AL$323,Ajustes!$H135,O$2),0)+IF(Ajustes!$I135&gt;0,INDEX($AA$4:$AL$323,Ajustes!$I135,O$2),0)+IF(Ajustes!$J135&gt;0,INDEX($AA$4:$AL$323,Ajustes!$J135,O$2),0)+IF(Ajustes!$K135&gt;0,INDEX($AA$5:$AL$324,Ajustes!$K135,O$2),0)+IF(Ajustes!$L135&gt;0,INDEX($AA$4:$AL$323,Ajustes!$L135,O$2),0) + O135</f>
        <v>31</v>
      </c>
      <c r="AB135">
        <f>IF(Ajustes!$G135&gt;0,INDEX($AA$4:$AL$323,Ajustes!$G135,P$2),0)+IF(Ajustes!$H135&gt;0,INDEX($AA$4:$AL$323,Ajustes!$H135,P$2),0)+IF(Ajustes!$I135&gt;0,INDEX($AA$4:$AL$323,Ajustes!$I135,P$2),0)+IF(Ajustes!$J135&gt;0,INDEX($AA$4:$AL$323,Ajustes!$J135,P$2),0)+IF(Ajustes!$K135&gt;0,INDEX($AA$5:$AL$324,Ajustes!$K135,P$2),0)+IF(Ajustes!$L135&gt;0,INDEX($AA$4:$AL$323,Ajustes!$L135,P$2),0) + P135</f>
        <v>30</v>
      </c>
      <c r="AC135">
        <f>IF(Ajustes!$G135&gt;0,INDEX($AA$4:$AL$323,Ajustes!$G135,Q$2),0)+IF(Ajustes!$H135&gt;0,INDEX($AA$4:$AL$323,Ajustes!$H135,Q$2),0)+IF(Ajustes!$I135&gt;0,INDEX($AA$4:$AL$323,Ajustes!$I135,Q$2),0)+IF(Ajustes!$J135&gt;0,INDEX($AA$4:$AL$323,Ajustes!$J135,Q$2),0)+IF(Ajustes!$K135&gt;0,INDEX($AA$5:$AL$324,Ajustes!$K135,Q$2),0)+IF(Ajustes!$L135&gt;0,INDEX($AA$4:$AL$323,Ajustes!$L135,Q$2),0) + Q135</f>
        <v>29</v>
      </c>
      <c r="AD135">
        <f>IF(Ajustes!$G135&gt;0,INDEX($AA$4:$AL$323,Ajustes!$G135,R$2),0)+IF(Ajustes!$H135&gt;0,INDEX($AA$4:$AL$323,Ajustes!$H135,R$2),0)+IF(Ajustes!$I135&gt;0,INDEX($AA$4:$AL$323,Ajustes!$I135,R$2),0)+IF(Ajustes!$J135&gt;0,INDEX($AA$4:$AL$323,Ajustes!$J135,R$2),0)+IF(Ajustes!$K135&gt;0,INDEX($AA$5:$AL$324,Ajustes!$K135,R$2),0)+IF(Ajustes!$L135&gt;0,INDEX($AA$4:$AL$323,Ajustes!$L135,R$2),0) + R135</f>
        <v>24</v>
      </c>
      <c r="AE135">
        <f>IF(Ajustes!$G135&gt;0,INDEX($AA$4:$AL$323,Ajustes!$G135,S$2),0)+IF(Ajustes!$H135&gt;0,INDEX($AA$4:$AL$323,Ajustes!$H135,S$2),0)+IF(Ajustes!$I135&gt;0,INDEX($AA$4:$AL$323,Ajustes!$I135,S$2),0)+IF(Ajustes!$J135&gt;0,INDEX($AA$4:$AL$323,Ajustes!$J135,S$2),0)+IF(Ajustes!$K135&gt;0,INDEX($AA$5:$AL$324,Ajustes!$K135,S$2),0)+IF(Ajustes!$L135&gt;0,INDEX($AA$4:$AL$323,Ajustes!$L135,S$2),0) + S135</f>
        <v>17</v>
      </c>
      <c r="AF135">
        <f>IF(Ajustes!$G135&gt;0,INDEX($AA$4:$AL$323,Ajustes!$G135,T$2),0)+IF(Ajustes!$H135&gt;0,INDEX($AA$4:$AL$323,Ajustes!$H135,T$2),0)+IF(Ajustes!$I135&gt;0,INDEX($AA$4:$AL$323,Ajustes!$I135,T$2),0)+IF(Ajustes!$J135&gt;0,INDEX($AA$4:$AL$323,Ajustes!$J135,T$2),0)+IF(Ajustes!$K135&gt;0,INDEX($AA$5:$AL$324,Ajustes!$K135,T$2),0)+IF(Ajustes!$L135&gt;0,INDEX($AA$4:$AL$323,Ajustes!$L135,T$2),0) + T135</f>
        <v>12</v>
      </c>
      <c r="AG135">
        <f>IF(Ajustes!$G135&gt;0,INDEX($AA$4:$AL$323,Ajustes!$G135,U$2),0)+IF(Ajustes!$H135&gt;0,INDEX($AA$4:$AL$323,Ajustes!$H135,U$2),0)+IF(Ajustes!$I135&gt;0,INDEX($AA$4:$AL$323,Ajustes!$I135,U$2),0)+IF(Ajustes!$J135&gt;0,INDEX($AA$4:$AL$323,Ajustes!$J135,U$2),0)+IF(Ajustes!$K135&gt;0,INDEX($AA$5:$AL$324,Ajustes!$K135,U$2),0)+IF(Ajustes!$L135&gt;0,INDEX($AA$4:$AL$323,Ajustes!$L135,U$2),0) + U135</f>
        <v>10</v>
      </c>
      <c r="AH135">
        <f>IF(Ajustes!$G135&gt;0,INDEX($AA$4:$AL$323,Ajustes!$G135,V$2),0)+IF(Ajustes!$H135&gt;0,INDEX($AA$4:$AL$323,Ajustes!$H135,V$2),0)+IF(Ajustes!$I135&gt;0,INDEX($AA$4:$AL$323,Ajustes!$I135,V$2),0)+IF(Ajustes!$J135&gt;0,INDEX($AA$4:$AL$323,Ajustes!$J135,V$2),0)+IF(Ajustes!$K135&gt;0,INDEX($AA$5:$AL$324,Ajustes!$K135,V$2),0)+IF(Ajustes!$L135&gt;0,INDEX($AA$4:$AL$323,Ajustes!$L135,V$2),0) + V135</f>
        <v>9</v>
      </c>
      <c r="AI135">
        <f>IF(Ajustes!$G135&gt;0,INDEX($AA$4:$AL$323,Ajustes!$G135,W$2),0)+IF(Ajustes!$H135&gt;0,INDEX($AA$4:$AL$323,Ajustes!$H135,W$2),0)+IF(Ajustes!$I135&gt;0,INDEX($AA$4:$AL$323,Ajustes!$I135,W$2),0)+IF(Ajustes!$J135&gt;0,INDEX($AA$4:$AL$323,Ajustes!$J135,W$2),0)+IF(Ajustes!$K135&gt;0,INDEX($AA$5:$AL$324,Ajustes!$K135,W$2),0)+IF(Ajustes!$L135&gt;0,INDEX($AA$4:$AL$323,Ajustes!$L135,W$2),0) + W135</f>
        <v>9</v>
      </c>
      <c r="AJ135">
        <f>IF(Ajustes!$G135&gt;0,INDEX($AA$4:$AL$323,Ajustes!$G135,X$2),0)+IF(Ajustes!$H135&gt;0,INDEX($AA$4:$AL$323,Ajustes!$H135,X$2),0)+IF(Ajustes!$I135&gt;0,INDEX($AA$4:$AL$323,Ajustes!$I135,X$2),0)+IF(Ajustes!$J135&gt;0,INDEX($AA$4:$AL$323,Ajustes!$J135,X$2),0)+IF(Ajustes!$K135&gt;0,INDEX($AA$5:$AL$324,Ajustes!$K135,X$2),0)+IF(Ajustes!$L135&gt;0,INDEX($AA$4:$AL$323,Ajustes!$L135,X$2),0) + X135</f>
        <v>11</v>
      </c>
      <c r="AK135">
        <f>IF(Ajustes!$G135&gt;0,INDEX($AA$4:$AL$323,Ajustes!$G135,Y$2),0)+IF(Ajustes!$H135&gt;0,INDEX($AA$4:$AL$323,Ajustes!$H135,Y$2),0)+IF(Ajustes!$I135&gt;0,INDEX($AA$4:$AL$323,Ajustes!$I135,Y$2),0)+IF(Ajustes!$J135&gt;0,INDEX($AA$4:$AL$323,Ajustes!$J135,Y$2),0)+IF(Ajustes!$K135&gt;0,INDEX($AA$5:$AL$324,Ajustes!$K135,Y$2),0)+IF(Ajustes!$L135&gt;0,INDEX($AA$4:$AL$323,Ajustes!$L135,Y$2),0) + Y135</f>
        <v>17</v>
      </c>
      <c r="AL135">
        <f>IF(Ajustes!$G135&gt;0,INDEX($AA$4:$AL$323,Ajustes!$G135,Z$2),0)+IF(Ajustes!$H135&gt;0,INDEX($AA$4:$AL$323,Ajustes!$H135,Z$2),0)+IF(Ajustes!$I135&gt;0,INDEX($AA$4:$AL$323,Ajustes!$I135,Z$2),0)+IF(Ajustes!$J135&gt;0,INDEX($AA$4:$AL$323,Ajustes!$J135,Z$2),0)+IF(Ajustes!$K135&gt;0,INDEX($AA$5:$AL$324,Ajustes!$K135,Z$2),0)+IF(Ajustes!$L135&gt;0,INDEX($AA$4:$AL$323,Ajustes!$L135,Z$2),0) + Z135</f>
        <v>25</v>
      </c>
      <c r="AM135" s="219">
        <f t="shared" ref="AM135:AX135" si="38">AM205+MIN(AM204,25)</f>
        <v>35</v>
      </c>
      <c r="AN135" s="219">
        <f t="shared" si="38"/>
        <v>34</v>
      </c>
      <c r="AO135" s="219">
        <f t="shared" si="38"/>
        <v>32</v>
      </c>
      <c r="AP135" s="219">
        <f t="shared" si="38"/>
        <v>25</v>
      </c>
      <c r="AQ135" s="219">
        <f t="shared" si="38"/>
        <v>17</v>
      </c>
      <c r="AR135" s="219">
        <f t="shared" si="38"/>
        <v>12</v>
      </c>
      <c r="AS135" s="219">
        <f t="shared" si="38"/>
        <v>10</v>
      </c>
      <c r="AT135" s="219">
        <f t="shared" si="38"/>
        <v>8</v>
      </c>
      <c r="AU135" s="219">
        <f t="shared" si="38"/>
        <v>10</v>
      </c>
      <c r="AV135" s="219">
        <f t="shared" si="38"/>
        <v>11</v>
      </c>
      <c r="AW135" s="219">
        <f t="shared" si="38"/>
        <v>17</v>
      </c>
      <c r="AX135" s="219">
        <f t="shared" si="38"/>
        <v>26</v>
      </c>
    </row>
    <row r="136" spans="1:50" x14ac:dyDescent="0.25">
      <c r="A136" s="113">
        <v>133</v>
      </c>
      <c r="B136" s="209"/>
      <c r="C136">
        <f>IFERROR(INDEX($BD$7:$BO$35,MATCH(Ajustes!$E$4:$E$323,$BC$7:$BC$35,0),$C$2:$N$2),1)</f>
        <v>1</v>
      </c>
      <c r="D136" s="113">
        <f>IFERROR(INDEX($BD$7:$BO$35,MATCH(Ajustes!$E$4:$E$323,$BC$7:$BC$35,0),$C$2:$N$2),1)</f>
        <v>1</v>
      </c>
      <c r="E136" s="113">
        <f>IFERROR(INDEX($BD$7:$BO$35,MATCH(Ajustes!$E$4:$E$323,$BC$7:$BC$35,0),$C$2:$N$2),1)</f>
        <v>1</v>
      </c>
      <c r="F136" s="113">
        <f>IFERROR(INDEX($BD$7:$BO$35,MATCH(Ajustes!$E$4:$E$323,$BC$7:$BC$35,0),$C$2:$N$2),1)</f>
        <v>1</v>
      </c>
      <c r="G136" s="113">
        <f>IFERROR(INDEX($BD$7:$BO$35,MATCH(Ajustes!$E$4:$E$323,$BC$7:$BC$35,0),$C$2:$N$2),1)</f>
        <v>1</v>
      </c>
      <c r="H136" s="113">
        <f>IFERROR(INDEX($BD$7:$BO$35,MATCH(Ajustes!$E$4:$E$323,$BC$7:$BC$35,0),$C$2:$N$2),1)</f>
        <v>1</v>
      </c>
      <c r="I136" s="113">
        <f>IFERROR(INDEX($BD$7:$BO$35,MATCH(Ajustes!$E$4:$E$323,$BC$7:$BC$35,0),$C$2:$N$2),1)</f>
        <v>1</v>
      </c>
      <c r="J136" s="113">
        <f>IFERROR(INDEX($BD$7:$BO$35,MATCH(Ajustes!$E$4:$E$323,$BC$7:$BC$35,0),$C$2:$N$2),1)</f>
        <v>1</v>
      </c>
      <c r="K136" s="113">
        <f>IFERROR(INDEX($BD$7:$BO$35,MATCH(Ajustes!$E$4:$E$323,$BC$7:$BC$35,0),$C$2:$N$2),1)</f>
        <v>1</v>
      </c>
      <c r="L136" s="113">
        <f>IFERROR(INDEX($BD$7:$BO$35,MATCH(Ajustes!$E$4:$E$323,$BC$7:$BC$35,0),$C$2:$N$2),1)</f>
        <v>1</v>
      </c>
      <c r="M136" s="113">
        <f>IFERROR(INDEX($BD$7:$BO$35,MATCH(Ajustes!$E$4:$E$323,$BC$7:$BC$35,0),$C$2:$N$2),1)</f>
        <v>1</v>
      </c>
      <c r="N136" s="113">
        <f>IFERROR(INDEX($BD$7:$BO$35,MATCH(Ajustes!$E$4:$E$323,$BC$7:$BC$35,0),$C$2:$N$2),1)</f>
        <v>1</v>
      </c>
      <c r="O136">
        <f>C136*Ajustes!AM136</f>
        <v>0</v>
      </c>
      <c r="P136">
        <f>D136*Ajustes!AN136</f>
        <v>0</v>
      </c>
      <c r="Q136">
        <f>E136*Ajustes!AO136</f>
        <v>0</v>
      </c>
      <c r="R136">
        <f>F136*Ajustes!AP136</f>
        <v>0</v>
      </c>
      <c r="S136">
        <f>G136*Ajustes!AQ136</f>
        <v>0</v>
      </c>
      <c r="T136">
        <f>H136*Ajustes!AR136</f>
        <v>0</v>
      </c>
      <c r="U136">
        <f>I136*Ajustes!AS136</f>
        <v>0</v>
      </c>
      <c r="V136">
        <f>J136*Ajustes!AT136</f>
        <v>0</v>
      </c>
      <c r="W136">
        <f>K136*Ajustes!AU136</f>
        <v>0</v>
      </c>
      <c r="X136">
        <f>L136*Ajustes!AV136</f>
        <v>0</v>
      </c>
      <c r="Y136">
        <f>M136*Ajustes!AW136</f>
        <v>0</v>
      </c>
      <c r="Z136">
        <f>N136*Ajustes!AX136</f>
        <v>0</v>
      </c>
      <c r="AA136">
        <f>IF(Ajustes!$G136&gt;0,INDEX($AA$4:$AL$323,Ajustes!$G136,O$2),0)+IF(Ajustes!$H136&gt;0,INDEX($AA$4:$AL$323,Ajustes!$H136,O$2),0)+IF(Ajustes!$I136&gt;0,INDEX($AA$4:$AL$323,Ajustes!$I136,O$2),0)+IF(Ajustes!$J136&gt;0,INDEX($AA$4:$AL$323,Ajustes!$J136,O$2),0)+IF(Ajustes!$K136&gt;0,INDEX($AA$5:$AL$324,Ajustes!$K136,O$2),0)+IF(Ajustes!$L136&gt;0,INDEX($AA$4:$AL$323,Ajustes!$L136,O$2),0) + O136</f>
        <v>0</v>
      </c>
      <c r="AB136">
        <f>IF(Ajustes!$G136&gt;0,INDEX($AA$4:$AL$323,Ajustes!$G136,P$2),0)+IF(Ajustes!$H136&gt;0,INDEX($AA$4:$AL$323,Ajustes!$H136,P$2),0)+IF(Ajustes!$I136&gt;0,INDEX($AA$4:$AL$323,Ajustes!$I136,P$2),0)+IF(Ajustes!$J136&gt;0,INDEX($AA$4:$AL$323,Ajustes!$J136,P$2),0)+IF(Ajustes!$K136&gt;0,INDEX($AA$5:$AL$324,Ajustes!$K136,P$2),0)+IF(Ajustes!$L136&gt;0,INDEX($AA$4:$AL$323,Ajustes!$L136,P$2),0) + P136</f>
        <v>0</v>
      </c>
      <c r="AC136">
        <f>IF(Ajustes!$G136&gt;0,INDEX($AA$4:$AL$323,Ajustes!$G136,Q$2),0)+IF(Ajustes!$H136&gt;0,INDEX($AA$4:$AL$323,Ajustes!$H136,Q$2),0)+IF(Ajustes!$I136&gt;0,INDEX($AA$4:$AL$323,Ajustes!$I136,Q$2),0)+IF(Ajustes!$J136&gt;0,INDEX($AA$4:$AL$323,Ajustes!$J136,Q$2),0)+IF(Ajustes!$K136&gt;0,INDEX($AA$5:$AL$324,Ajustes!$K136,Q$2),0)+IF(Ajustes!$L136&gt;0,INDEX($AA$4:$AL$323,Ajustes!$L136,Q$2),0) + Q136</f>
        <v>0</v>
      </c>
      <c r="AD136">
        <f>IF(Ajustes!$G136&gt;0,INDEX($AA$4:$AL$323,Ajustes!$G136,R$2),0)+IF(Ajustes!$H136&gt;0,INDEX($AA$4:$AL$323,Ajustes!$H136,R$2),0)+IF(Ajustes!$I136&gt;0,INDEX($AA$4:$AL$323,Ajustes!$I136,R$2),0)+IF(Ajustes!$J136&gt;0,INDEX($AA$4:$AL$323,Ajustes!$J136,R$2),0)+IF(Ajustes!$K136&gt;0,INDEX($AA$5:$AL$324,Ajustes!$K136,R$2),0)+IF(Ajustes!$L136&gt;0,INDEX($AA$4:$AL$323,Ajustes!$L136,R$2),0) + R136</f>
        <v>0</v>
      </c>
      <c r="AE136">
        <f>IF(Ajustes!$G136&gt;0,INDEX($AA$4:$AL$323,Ajustes!$G136,S$2),0)+IF(Ajustes!$H136&gt;0,INDEX($AA$4:$AL$323,Ajustes!$H136,S$2),0)+IF(Ajustes!$I136&gt;0,INDEX($AA$4:$AL$323,Ajustes!$I136,S$2),0)+IF(Ajustes!$J136&gt;0,INDEX($AA$4:$AL$323,Ajustes!$J136,S$2),0)+IF(Ajustes!$K136&gt;0,INDEX($AA$5:$AL$324,Ajustes!$K136,S$2),0)+IF(Ajustes!$L136&gt;0,INDEX($AA$4:$AL$323,Ajustes!$L136,S$2),0) + S136</f>
        <v>0</v>
      </c>
      <c r="AF136">
        <f>IF(Ajustes!$G136&gt;0,INDEX($AA$4:$AL$323,Ajustes!$G136,T$2),0)+IF(Ajustes!$H136&gt;0,INDEX($AA$4:$AL$323,Ajustes!$H136,T$2),0)+IF(Ajustes!$I136&gt;0,INDEX($AA$4:$AL$323,Ajustes!$I136,T$2),0)+IF(Ajustes!$J136&gt;0,INDEX($AA$4:$AL$323,Ajustes!$J136,T$2),0)+IF(Ajustes!$K136&gt;0,INDEX($AA$5:$AL$324,Ajustes!$K136,T$2),0)+IF(Ajustes!$L136&gt;0,INDEX($AA$4:$AL$323,Ajustes!$L136,T$2),0) + T136</f>
        <v>0</v>
      </c>
      <c r="AG136">
        <f>IF(Ajustes!$G136&gt;0,INDEX($AA$4:$AL$323,Ajustes!$G136,U$2),0)+IF(Ajustes!$H136&gt;0,INDEX($AA$4:$AL$323,Ajustes!$H136,U$2),0)+IF(Ajustes!$I136&gt;0,INDEX($AA$4:$AL$323,Ajustes!$I136,U$2),0)+IF(Ajustes!$J136&gt;0,INDEX($AA$4:$AL$323,Ajustes!$J136,U$2),0)+IF(Ajustes!$K136&gt;0,INDEX($AA$5:$AL$324,Ajustes!$K136,U$2),0)+IF(Ajustes!$L136&gt;0,INDEX($AA$4:$AL$323,Ajustes!$L136,U$2),0) + U136</f>
        <v>0</v>
      </c>
      <c r="AH136">
        <f>IF(Ajustes!$G136&gt;0,INDEX($AA$4:$AL$323,Ajustes!$G136,V$2),0)+IF(Ajustes!$H136&gt;0,INDEX($AA$4:$AL$323,Ajustes!$H136,V$2),0)+IF(Ajustes!$I136&gt;0,INDEX($AA$4:$AL$323,Ajustes!$I136,V$2),0)+IF(Ajustes!$J136&gt;0,INDEX($AA$4:$AL$323,Ajustes!$J136,V$2),0)+IF(Ajustes!$K136&gt;0,INDEX($AA$5:$AL$324,Ajustes!$K136,V$2),0)+IF(Ajustes!$L136&gt;0,INDEX($AA$4:$AL$323,Ajustes!$L136,V$2),0) + V136</f>
        <v>0</v>
      </c>
      <c r="AI136">
        <f>IF(Ajustes!$G136&gt;0,INDEX($AA$4:$AL$323,Ajustes!$G136,W$2),0)+IF(Ajustes!$H136&gt;0,INDEX($AA$4:$AL$323,Ajustes!$H136,W$2),0)+IF(Ajustes!$I136&gt;0,INDEX($AA$4:$AL$323,Ajustes!$I136,W$2),0)+IF(Ajustes!$J136&gt;0,INDEX($AA$4:$AL$323,Ajustes!$J136,W$2),0)+IF(Ajustes!$K136&gt;0,INDEX($AA$5:$AL$324,Ajustes!$K136,W$2),0)+IF(Ajustes!$L136&gt;0,INDEX($AA$4:$AL$323,Ajustes!$L136,W$2),0) + W136</f>
        <v>0</v>
      </c>
      <c r="AJ136">
        <f>IF(Ajustes!$G136&gt;0,INDEX($AA$4:$AL$323,Ajustes!$G136,X$2),0)+IF(Ajustes!$H136&gt;0,INDEX($AA$4:$AL$323,Ajustes!$H136,X$2),0)+IF(Ajustes!$I136&gt;0,INDEX($AA$4:$AL$323,Ajustes!$I136,X$2),0)+IF(Ajustes!$J136&gt;0,INDEX($AA$4:$AL$323,Ajustes!$J136,X$2),0)+IF(Ajustes!$K136&gt;0,INDEX($AA$5:$AL$324,Ajustes!$K136,X$2),0)+IF(Ajustes!$L136&gt;0,INDEX($AA$4:$AL$323,Ajustes!$L136,X$2),0) + X136</f>
        <v>0</v>
      </c>
      <c r="AK136">
        <f>IF(Ajustes!$G136&gt;0,INDEX($AA$4:$AL$323,Ajustes!$G136,Y$2),0)+IF(Ajustes!$H136&gt;0,INDEX($AA$4:$AL$323,Ajustes!$H136,Y$2),0)+IF(Ajustes!$I136&gt;0,INDEX($AA$4:$AL$323,Ajustes!$I136,Y$2),0)+IF(Ajustes!$J136&gt;0,INDEX($AA$4:$AL$323,Ajustes!$J136,Y$2),0)+IF(Ajustes!$K136&gt;0,INDEX($AA$5:$AL$324,Ajustes!$K136,Y$2),0)+IF(Ajustes!$L136&gt;0,INDEX($AA$4:$AL$323,Ajustes!$L136,Y$2),0) + Y136</f>
        <v>0</v>
      </c>
      <c r="AL136">
        <f>IF(Ajustes!$G136&gt;0,INDEX($AA$4:$AL$323,Ajustes!$G136,Z$2),0)+IF(Ajustes!$H136&gt;0,INDEX($AA$4:$AL$323,Ajustes!$H136,Z$2),0)+IF(Ajustes!$I136&gt;0,INDEX($AA$4:$AL$323,Ajustes!$I136,Z$2),0)+IF(Ajustes!$J136&gt;0,INDEX($AA$4:$AL$323,Ajustes!$J136,Z$2),0)+IF(Ajustes!$K136&gt;0,INDEX($AA$5:$AL$324,Ajustes!$K136,Z$2),0)+IF(Ajustes!$L136&gt;0,INDEX($AA$4:$AL$323,Ajustes!$L136,Z$2),0) + Z136</f>
        <v>0</v>
      </c>
      <c r="AM136" s="113">
        <f t="shared" ref="AM136:AQ199" si="39">AA136</f>
        <v>0</v>
      </c>
      <c r="AN136" s="113">
        <f t="shared" si="39"/>
        <v>0</v>
      </c>
      <c r="AO136" s="113">
        <f t="shared" si="39"/>
        <v>0</v>
      </c>
      <c r="AP136" s="113">
        <f t="shared" si="39"/>
        <v>0</v>
      </c>
      <c r="AQ136" s="113">
        <f t="shared" si="39"/>
        <v>0</v>
      </c>
      <c r="AR136" s="113">
        <f t="shared" ref="AR136:AV199" si="40">AF136</f>
        <v>0</v>
      </c>
      <c r="AS136" s="113">
        <f t="shared" si="40"/>
        <v>0</v>
      </c>
      <c r="AT136" s="113">
        <f t="shared" si="40"/>
        <v>0</v>
      </c>
      <c r="AU136" s="113">
        <f t="shared" si="40"/>
        <v>0</v>
      </c>
      <c r="AV136" s="113">
        <f t="shared" si="40"/>
        <v>0</v>
      </c>
      <c r="AW136" s="113">
        <f t="shared" ref="AW136:AX199" si="41">AK136</f>
        <v>0</v>
      </c>
      <c r="AX136" s="113">
        <f t="shared" si="41"/>
        <v>0</v>
      </c>
    </row>
    <row r="137" spans="1:50" x14ac:dyDescent="0.25">
      <c r="A137" s="113">
        <v>134</v>
      </c>
      <c r="B137" s="209" t="s">
        <v>130</v>
      </c>
      <c r="C137">
        <f>IFERROR(INDEX($BD$7:$BO$35,MATCH(Ajustes!$E$4:$E$323,$BC$7:$BC$35,0),$C$2:$N$2),1)</f>
        <v>1</v>
      </c>
      <c r="D137" s="113">
        <f>IFERROR(INDEX($BD$7:$BO$35,MATCH(Ajustes!$E$4:$E$323,$BC$7:$BC$35,0),$C$2:$N$2),1)</f>
        <v>1</v>
      </c>
      <c r="E137" s="113">
        <f>IFERROR(INDEX($BD$7:$BO$35,MATCH(Ajustes!$E$4:$E$323,$BC$7:$BC$35,0),$C$2:$N$2),1)</f>
        <v>1</v>
      </c>
      <c r="F137" s="113">
        <f>IFERROR(INDEX($BD$7:$BO$35,MATCH(Ajustes!$E$4:$E$323,$BC$7:$BC$35,0),$C$2:$N$2),1)</f>
        <v>1</v>
      </c>
      <c r="G137" s="113">
        <f>IFERROR(INDEX($BD$7:$BO$35,MATCH(Ajustes!$E$4:$E$323,$BC$7:$BC$35,0),$C$2:$N$2),1)</f>
        <v>1</v>
      </c>
      <c r="H137" s="113">
        <f>IFERROR(INDEX($BD$7:$BO$35,MATCH(Ajustes!$E$4:$E$323,$BC$7:$BC$35,0),$C$2:$N$2),1)</f>
        <v>1</v>
      </c>
      <c r="I137" s="113">
        <f>IFERROR(INDEX($BD$7:$BO$35,MATCH(Ajustes!$E$4:$E$323,$BC$7:$BC$35,0),$C$2:$N$2),1)</f>
        <v>1</v>
      </c>
      <c r="J137" s="113">
        <f>IFERROR(INDEX($BD$7:$BO$35,MATCH(Ajustes!$E$4:$E$323,$BC$7:$BC$35,0),$C$2:$N$2),1)</f>
        <v>1</v>
      </c>
      <c r="K137" s="113">
        <f>IFERROR(INDEX($BD$7:$BO$35,MATCH(Ajustes!$E$4:$E$323,$BC$7:$BC$35,0),$C$2:$N$2),1)</f>
        <v>1</v>
      </c>
      <c r="L137" s="113">
        <f>IFERROR(INDEX($BD$7:$BO$35,MATCH(Ajustes!$E$4:$E$323,$BC$7:$BC$35,0),$C$2:$N$2),1)</f>
        <v>1</v>
      </c>
      <c r="M137" s="113">
        <f>IFERROR(INDEX($BD$7:$BO$35,MATCH(Ajustes!$E$4:$E$323,$BC$7:$BC$35,0),$C$2:$N$2),1)</f>
        <v>1</v>
      </c>
      <c r="N137" s="113">
        <f>IFERROR(INDEX($BD$7:$BO$35,MATCH(Ajustes!$E$4:$E$323,$BC$7:$BC$35,0),$C$2:$N$2),1)</f>
        <v>1</v>
      </c>
      <c r="O137">
        <f>C137*Ajustes!AM137</f>
        <v>297</v>
      </c>
      <c r="P137">
        <f>D137*Ajustes!AN137</f>
        <v>240</v>
      </c>
      <c r="Q137">
        <f>E137*Ajustes!AO137</f>
        <v>215</v>
      </c>
      <c r="R137">
        <f>F137*Ajustes!AP137</f>
        <v>163</v>
      </c>
      <c r="S137">
        <f>G137*Ajustes!AQ137</f>
        <v>117</v>
      </c>
      <c r="T137">
        <f>H137*Ajustes!AR137</f>
        <v>96</v>
      </c>
      <c r="U137">
        <f>I137*Ajustes!AS137</f>
        <v>82</v>
      </c>
      <c r="V137">
        <f>J137*Ajustes!AT137</f>
        <v>71</v>
      </c>
      <c r="W137">
        <f>K137*Ajustes!AU137</f>
        <v>68</v>
      </c>
      <c r="X137">
        <f>L137*Ajustes!AV137</f>
        <v>87</v>
      </c>
      <c r="Y137">
        <f>M137*Ajustes!AW137</f>
        <v>162</v>
      </c>
      <c r="Z137">
        <f>N137*Ajustes!AX137</f>
        <v>258</v>
      </c>
      <c r="AA137">
        <f>IF(Ajustes!$G137&gt;0,INDEX($AA$4:$AL$323,Ajustes!$G137,O$2),0)+IF(Ajustes!$H137&gt;0,INDEX($AA$4:$AL$323,Ajustes!$H137,O$2),0)+IF(Ajustes!$I137&gt;0,INDEX($AA$4:$AL$323,Ajustes!$I137,O$2),0)+IF(Ajustes!$J137&gt;0,INDEX($AA$4:$AL$323,Ajustes!$J137,O$2),0)+IF(Ajustes!$K137&gt;0,INDEX($AA$5:$AL$324,Ajustes!$K137,O$2),0)+IF(Ajustes!$L137&gt;0,INDEX($AA$4:$AL$323,Ajustes!$L137,O$2),0) + O137</f>
        <v>297</v>
      </c>
      <c r="AB137">
        <f>IF(Ajustes!$G137&gt;0,INDEX($AA$4:$AL$323,Ajustes!$G137,P$2),0)+IF(Ajustes!$H137&gt;0,INDEX($AA$4:$AL$323,Ajustes!$H137,P$2),0)+IF(Ajustes!$I137&gt;0,INDEX($AA$4:$AL$323,Ajustes!$I137,P$2),0)+IF(Ajustes!$J137&gt;0,INDEX($AA$4:$AL$323,Ajustes!$J137,P$2),0)+IF(Ajustes!$K137&gt;0,INDEX($AA$5:$AL$324,Ajustes!$K137,P$2),0)+IF(Ajustes!$L137&gt;0,INDEX($AA$4:$AL$323,Ajustes!$L137,P$2),0) + P137</f>
        <v>240</v>
      </c>
      <c r="AC137">
        <f>IF(Ajustes!$G137&gt;0,INDEX($AA$4:$AL$323,Ajustes!$G137,Q$2),0)+IF(Ajustes!$H137&gt;0,INDEX($AA$4:$AL$323,Ajustes!$H137,Q$2),0)+IF(Ajustes!$I137&gt;0,INDEX($AA$4:$AL$323,Ajustes!$I137,Q$2),0)+IF(Ajustes!$J137&gt;0,INDEX($AA$4:$AL$323,Ajustes!$J137,Q$2),0)+IF(Ajustes!$K137&gt;0,INDEX($AA$5:$AL$324,Ajustes!$K137,Q$2),0)+IF(Ajustes!$L137&gt;0,INDEX($AA$4:$AL$323,Ajustes!$L137,Q$2),0) + Q137</f>
        <v>215</v>
      </c>
      <c r="AD137">
        <f>IF(Ajustes!$G137&gt;0,INDEX($AA$4:$AL$323,Ajustes!$G137,R$2),0)+IF(Ajustes!$H137&gt;0,INDEX($AA$4:$AL$323,Ajustes!$H137,R$2),0)+IF(Ajustes!$I137&gt;0,INDEX($AA$4:$AL$323,Ajustes!$I137,R$2),0)+IF(Ajustes!$J137&gt;0,INDEX($AA$4:$AL$323,Ajustes!$J137,R$2),0)+IF(Ajustes!$K137&gt;0,INDEX($AA$5:$AL$324,Ajustes!$K137,R$2),0)+IF(Ajustes!$L137&gt;0,INDEX($AA$4:$AL$323,Ajustes!$L137,R$2),0) + R137</f>
        <v>163</v>
      </c>
      <c r="AE137">
        <f>IF(Ajustes!$G137&gt;0,INDEX($AA$4:$AL$323,Ajustes!$G137,S$2),0)+IF(Ajustes!$H137&gt;0,INDEX($AA$4:$AL$323,Ajustes!$H137,S$2),0)+IF(Ajustes!$I137&gt;0,INDEX($AA$4:$AL$323,Ajustes!$I137,S$2),0)+IF(Ajustes!$J137&gt;0,INDEX($AA$4:$AL$323,Ajustes!$J137,S$2),0)+IF(Ajustes!$K137&gt;0,INDEX($AA$5:$AL$324,Ajustes!$K137,S$2),0)+IF(Ajustes!$L137&gt;0,INDEX($AA$4:$AL$323,Ajustes!$L137,S$2),0) + S137</f>
        <v>117</v>
      </c>
      <c r="AF137">
        <f>IF(Ajustes!$G137&gt;0,INDEX($AA$4:$AL$323,Ajustes!$G137,T$2),0)+IF(Ajustes!$H137&gt;0,INDEX($AA$4:$AL$323,Ajustes!$H137,T$2),0)+IF(Ajustes!$I137&gt;0,INDEX($AA$4:$AL$323,Ajustes!$I137,T$2),0)+IF(Ajustes!$J137&gt;0,INDEX($AA$4:$AL$323,Ajustes!$J137,T$2),0)+IF(Ajustes!$K137&gt;0,INDEX($AA$5:$AL$324,Ajustes!$K137,T$2),0)+IF(Ajustes!$L137&gt;0,INDEX($AA$4:$AL$323,Ajustes!$L137,T$2),0) + T137</f>
        <v>96</v>
      </c>
      <c r="AG137">
        <f>IF(Ajustes!$G137&gt;0,INDEX($AA$4:$AL$323,Ajustes!$G137,U$2),0)+IF(Ajustes!$H137&gt;0,INDEX($AA$4:$AL$323,Ajustes!$H137,U$2),0)+IF(Ajustes!$I137&gt;0,INDEX($AA$4:$AL$323,Ajustes!$I137,U$2),0)+IF(Ajustes!$J137&gt;0,INDEX($AA$4:$AL$323,Ajustes!$J137,U$2),0)+IF(Ajustes!$K137&gt;0,INDEX($AA$5:$AL$324,Ajustes!$K137,U$2),0)+IF(Ajustes!$L137&gt;0,INDEX($AA$4:$AL$323,Ajustes!$L137,U$2),0) + U137</f>
        <v>82</v>
      </c>
      <c r="AH137">
        <f>IF(Ajustes!$G137&gt;0,INDEX($AA$4:$AL$323,Ajustes!$G137,V$2),0)+IF(Ajustes!$H137&gt;0,INDEX($AA$4:$AL$323,Ajustes!$H137,V$2),0)+IF(Ajustes!$I137&gt;0,INDEX($AA$4:$AL$323,Ajustes!$I137,V$2),0)+IF(Ajustes!$J137&gt;0,INDEX($AA$4:$AL$323,Ajustes!$J137,V$2),0)+IF(Ajustes!$K137&gt;0,INDEX($AA$5:$AL$324,Ajustes!$K137,V$2),0)+IF(Ajustes!$L137&gt;0,INDEX($AA$4:$AL$323,Ajustes!$L137,V$2),0) + V137</f>
        <v>71</v>
      </c>
      <c r="AI137">
        <f>IF(Ajustes!$G137&gt;0,INDEX($AA$4:$AL$323,Ajustes!$G137,W$2),0)+IF(Ajustes!$H137&gt;0,INDEX($AA$4:$AL$323,Ajustes!$H137,W$2),0)+IF(Ajustes!$I137&gt;0,INDEX($AA$4:$AL$323,Ajustes!$I137,W$2),0)+IF(Ajustes!$J137&gt;0,INDEX($AA$4:$AL$323,Ajustes!$J137,W$2),0)+IF(Ajustes!$K137&gt;0,INDEX($AA$5:$AL$324,Ajustes!$K137,W$2),0)+IF(Ajustes!$L137&gt;0,INDEX($AA$4:$AL$323,Ajustes!$L137,W$2),0) + W137</f>
        <v>68</v>
      </c>
      <c r="AJ137">
        <f>IF(Ajustes!$G137&gt;0,INDEX($AA$4:$AL$323,Ajustes!$G137,X$2),0)+IF(Ajustes!$H137&gt;0,INDEX($AA$4:$AL$323,Ajustes!$H137,X$2),0)+IF(Ajustes!$I137&gt;0,INDEX($AA$4:$AL$323,Ajustes!$I137,X$2),0)+IF(Ajustes!$J137&gt;0,INDEX($AA$4:$AL$323,Ajustes!$J137,X$2),0)+IF(Ajustes!$K137&gt;0,INDEX($AA$5:$AL$324,Ajustes!$K137,X$2),0)+IF(Ajustes!$L137&gt;0,INDEX($AA$4:$AL$323,Ajustes!$L137,X$2),0) + X137</f>
        <v>87</v>
      </c>
      <c r="AK137">
        <f>IF(Ajustes!$G137&gt;0,INDEX($AA$4:$AL$323,Ajustes!$G137,Y$2),0)+IF(Ajustes!$H137&gt;0,INDEX($AA$4:$AL$323,Ajustes!$H137,Y$2),0)+IF(Ajustes!$I137&gt;0,INDEX($AA$4:$AL$323,Ajustes!$I137,Y$2),0)+IF(Ajustes!$J137&gt;0,INDEX($AA$4:$AL$323,Ajustes!$J137,Y$2),0)+IF(Ajustes!$K137&gt;0,INDEX($AA$5:$AL$324,Ajustes!$K137,Y$2),0)+IF(Ajustes!$L137&gt;0,INDEX($AA$4:$AL$323,Ajustes!$L137,Y$2),0) + Y137</f>
        <v>162</v>
      </c>
      <c r="AL137">
        <f>IF(Ajustes!$G137&gt;0,INDEX($AA$4:$AL$323,Ajustes!$G137,Z$2),0)+IF(Ajustes!$H137&gt;0,INDEX($AA$4:$AL$323,Ajustes!$H137,Z$2),0)+IF(Ajustes!$I137&gt;0,INDEX($AA$4:$AL$323,Ajustes!$I137,Z$2),0)+IF(Ajustes!$J137&gt;0,INDEX($AA$4:$AL$323,Ajustes!$J137,Z$2),0)+IF(Ajustes!$K137&gt;0,INDEX($AA$5:$AL$324,Ajustes!$K137,Z$2),0)+IF(Ajustes!$L137&gt;0,INDEX($AA$4:$AL$323,Ajustes!$L137,Z$2),0) + Z137</f>
        <v>258</v>
      </c>
      <c r="AM137" s="113">
        <f t="shared" si="39"/>
        <v>297</v>
      </c>
      <c r="AN137" s="113">
        <f t="shared" si="39"/>
        <v>240</v>
      </c>
      <c r="AO137" s="113">
        <f t="shared" si="39"/>
        <v>215</v>
      </c>
      <c r="AP137" s="113">
        <f t="shared" si="39"/>
        <v>163</v>
      </c>
      <c r="AQ137" s="113">
        <f t="shared" si="39"/>
        <v>117</v>
      </c>
      <c r="AR137" s="113">
        <f t="shared" si="40"/>
        <v>96</v>
      </c>
      <c r="AS137" s="113">
        <f t="shared" si="40"/>
        <v>82</v>
      </c>
      <c r="AT137" s="113">
        <f t="shared" si="40"/>
        <v>71</v>
      </c>
      <c r="AU137" s="113">
        <f t="shared" si="40"/>
        <v>68</v>
      </c>
      <c r="AV137" s="113">
        <f t="shared" si="40"/>
        <v>87</v>
      </c>
      <c r="AW137" s="113">
        <f t="shared" si="41"/>
        <v>162</v>
      </c>
      <c r="AX137" s="113">
        <f t="shared" si="41"/>
        <v>258</v>
      </c>
    </row>
    <row r="138" spans="1:50" x14ac:dyDescent="0.25">
      <c r="A138" s="113">
        <v>135</v>
      </c>
      <c r="B138" s="209"/>
      <c r="C138">
        <f>IFERROR(INDEX($BD$7:$BO$35,MATCH(Ajustes!$E$4:$E$323,$BC$7:$BC$35,0),$C$2:$N$2),1)</f>
        <v>1</v>
      </c>
      <c r="D138" s="113">
        <f>IFERROR(INDEX($BD$7:$BO$35,MATCH(Ajustes!$E$4:$E$323,$BC$7:$BC$35,0),$C$2:$N$2),1)</f>
        <v>1</v>
      </c>
      <c r="E138" s="113">
        <f>IFERROR(INDEX($BD$7:$BO$35,MATCH(Ajustes!$E$4:$E$323,$BC$7:$BC$35,0),$C$2:$N$2),1)</f>
        <v>1</v>
      </c>
      <c r="F138" s="113">
        <f>IFERROR(INDEX($BD$7:$BO$35,MATCH(Ajustes!$E$4:$E$323,$BC$7:$BC$35,0),$C$2:$N$2),1)</f>
        <v>1</v>
      </c>
      <c r="G138" s="113">
        <f>IFERROR(INDEX($BD$7:$BO$35,MATCH(Ajustes!$E$4:$E$323,$BC$7:$BC$35,0),$C$2:$N$2),1)</f>
        <v>1</v>
      </c>
      <c r="H138" s="113">
        <f>IFERROR(INDEX($BD$7:$BO$35,MATCH(Ajustes!$E$4:$E$323,$BC$7:$BC$35,0),$C$2:$N$2),1)</f>
        <v>1</v>
      </c>
      <c r="I138" s="113">
        <f>IFERROR(INDEX($BD$7:$BO$35,MATCH(Ajustes!$E$4:$E$323,$BC$7:$BC$35,0),$C$2:$N$2),1)</f>
        <v>1</v>
      </c>
      <c r="J138" s="113">
        <f>IFERROR(INDEX($BD$7:$BO$35,MATCH(Ajustes!$E$4:$E$323,$BC$7:$BC$35,0),$C$2:$N$2),1)</f>
        <v>1</v>
      </c>
      <c r="K138" s="113">
        <f>IFERROR(INDEX($BD$7:$BO$35,MATCH(Ajustes!$E$4:$E$323,$BC$7:$BC$35,0),$C$2:$N$2),1)</f>
        <v>1</v>
      </c>
      <c r="L138" s="113">
        <f>IFERROR(INDEX($BD$7:$BO$35,MATCH(Ajustes!$E$4:$E$323,$BC$7:$BC$35,0),$C$2:$N$2),1)</f>
        <v>1</v>
      </c>
      <c r="M138" s="113">
        <f>IFERROR(INDEX($BD$7:$BO$35,MATCH(Ajustes!$E$4:$E$323,$BC$7:$BC$35,0),$C$2:$N$2),1)</f>
        <v>1</v>
      </c>
      <c r="N138" s="113">
        <f>IFERROR(INDEX($BD$7:$BO$35,MATCH(Ajustes!$E$4:$E$323,$BC$7:$BC$35,0),$C$2:$N$2),1)</f>
        <v>1</v>
      </c>
      <c r="O138">
        <f>C138*Ajustes!AM138</f>
        <v>0</v>
      </c>
      <c r="P138">
        <f>D138*Ajustes!AN138</f>
        <v>0</v>
      </c>
      <c r="Q138">
        <f>E138*Ajustes!AO138</f>
        <v>0</v>
      </c>
      <c r="R138">
        <f>F138*Ajustes!AP138</f>
        <v>0</v>
      </c>
      <c r="S138">
        <f>G138*Ajustes!AQ138</f>
        <v>0</v>
      </c>
      <c r="T138">
        <f>H138*Ajustes!AR138</f>
        <v>0</v>
      </c>
      <c r="U138">
        <f>I138*Ajustes!AS138</f>
        <v>0</v>
      </c>
      <c r="V138">
        <f>J138*Ajustes!AT138</f>
        <v>0</v>
      </c>
      <c r="W138">
        <f>K138*Ajustes!AU138</f>
        <v>0</v>
      </c>
      <c r="X138">
        <f>L138*Ajustes!AV138</f>
        <v>0</v>
      </c>
      <c r="Y138">
        <f>M138*Ajustes!AW138</f>
        <v>0</v>
      </c>
      <c r="Z138">
        <f>N138*Ajustes!AX138</f>
        <v>0</v>
      </c>
      <c r="AA138">
        <f>IF(Ajustes!$G138&gt;0,INDEX($AA$4:$AL$323,Ajustes!$G138,O$2),0)+IF(Ajustes!$H138&gt;0,INDEX($AA$4:$AL$323,Ajustes!$H138,O$2),0)+IF(Ajustes!$I138&gt;0,INDEX($AA$4:$AL$323,Ajustes!$I138,O$2),0)+IF(Ajustes!$J138&gt;0,INDEX($AA$4:$AL$323,Ajustes!$J138,O$2),0)+IF(Ajustes!$K138&gt;0,INDEX($AA$5:$AL$324,Ajustes!$K138,O$2),0)+IF(Ajustes!$L138&gt;0,INDEX($AA$4:$AL$323,Ajustes!$L138,O$2),0) + O138</f>
        <v>0</v>
      </c>
      <c r="AB138">
        <f>IF(Ajustes!$G138&gt;0,INDEX($AA$4:$AL$323,Ajustes!$G138,P$2),0)+IF(Ajustes!$H138&gt;0,INDEX($AA$4:$AL$323,Ajustes!$H138,P$2),0)+IF(Ajustes!$I138&gt;0,INDEX($AA$4:$AL$323,Ajustes!$I138,P$2),0)+IF(Ajustes!$J138&gt;0,INDEX($AA$4:$AL$323,Ajustes!$J138,P$2),0)+IF(Ajustes!$K138&gt;0,INDEX($AA$5:$AL$324,Ajustes!$K138,P$2),0)+IF(Ajustes!$L138&gt;0,INDEX($AA$4:$AL$323,Ajustes!$L138,P$2),0) + P138</f>
        <v>0</v>
      </c>
      <c r="AC138">
        <f>IF(Ajustes!$G138&gt;0,INDEX($AA$4:$AL$323,Ajustes!$G138,Q$2),0)+IF(Ajustes!$H138&gt;0,INDEX($AA$4:$AL$323,Ajustes!$H138,Q$2),0)+IF(Ajustes!$I138&gt;0,INDEX($AA$4:$AL$323,Ajustes!$I138,Q$2),0)+IF(Ajustes!$J138&gt;0,INDEX($AA$4:$AL$323,Ajustes!$J138,Q$2),0)+IF(Ajustes!$K138&gt;0,INDEX($AA$5:$AL$324,Ajustes!$K138,Q$2),0)+IF(Ajustes!$L138&gt;0,INDEX($AA$4:$AL$323,Ajustes!$L138,Q$2),0) + Q138</f>
        <v>0</v>
      </c>
      <c r="AD138">
        <f>IF(Ajustes!$G138&gt;0,INDEX($AA$4:$AL$323,Ajustes!$G138,R$2),0)+IF(Ajustes!$H138&gt;0,INDEX($AA$4:$AL$323,Ajustes!$H138,R$2),0)+IF(Ajustes!$I138&gt;0,INDEX($AA$4:$AL$323,Ajustes!$I138,R$2),0)+IF(Ajustes!$J138&gt;0,INDEX($AA$4:$AL$323,Ajustes!$J138,R$2),0)+IF(Ajustes!$K138&gt;0,INDEX($AA$5:$AL$324,Ajustes!$K138,R$2),0)+IF(Ajustes!$L138&gt;0,INDEX($AA$4:$AL$323,Ajustes!$L138,R$2),0) + R138</f>
        <v>0</v>
      </c>
      <c r="AE138">
        <f>IF(Ajustes!$G138&gt;0,INDEX($AA$4:$AL$323,Ajustes!$G138,S$2),0)+IF(Ajustes!$H138&gt;0,INDEX($AA$4:$AL$323,Ajustes!$H138,S$2),0)+IF(Ajustes!$I138&gt;0,INDEX($AA$4:$AL$323,Ajustes!$I138,S$2),0)+IF(Ajustes!$J138&gt;0,INDEX($AA$4:$AL$323,Ajustes!$J138,S$2),0)+IF(Ajustes!$K138&gt;0,INDEX($AA$5:$AL$324,Ajustes!$K138,S$2),0)+IF(Ajustes!$L138&gt;0,INDEX($AA$4:$AL$323,Ajustes!$L138,S$2),0) + S138</f>
        <v>0</v>
      </c>
      <c r="AF138">
        <f>IF(Ajustes!$G138&gt;0,INDEX($AA$4:$AL$323,Ajustes!$G138,T$2),0)+IF(Ajustes!$H138&gt;0,INDEX($AA$4:$AL$323,Ajustes!$H138,T$2),0)+IF(Ajustes!$I138&gt;0,INDEX($AA$4:$AL$323,Ajustes!$I138,T$2),0)+IF(Ajustes!$J138&gt;0,INDEX($AA$4:$AL$323,Ajustes!$J138,T$2),0)+IF(Ajustes!$K138&gt;0,INDEX($AA$5:$AL$324,Ajustes!$K138,T$2),0)+IF(Ajustes!$L138&gt;0,INDEX($AA$4:$AL$323,Ajustes!$L138,T$2),0) + T138</f>
        <v>0</v>
      </c>
      <c r="AG138">
        <f>IF(Ajustes!$G138&gt;0,INDEX($AA$4:$AL$323,Ajustes!$G138,U$2),0)+IF(Ajustes!$H138&gt;0,INDEX($AA$4:$AL$323,Ajustes!$H138,U$2),0)+IF(Ajustes!$I138&gt;0,INDEX($AA$4:$AL$323,Ajustes!$I138,U$2),0)+IF(Ajustes!$J138&gt;0,INDEX($AA$4:$AL$323,Ajustes!$J138,U$2),0)+IF(Ajustes!$K138&gt;0,INDEX($AA$5:$AL$324,Ajustes!$K138,U$2),0)+IF(Ajustes!$L138&gt;0,INDEX($AA$4:$AL$323,Ajustes!$L138,U$2),0) + U138</f>
        <v>0</v>
      </c>
      <c r="AH138">
        <f>IF(Ajustes!$G138&gt;0,INDEX($AA$4:$AL$323,Ajustes!$G138,V$2),0)+IF(Ajustes!$H138&gt;0,INDEX($AA$4:$AL$323,Ajustes!$H138,V$2),0)+IF(Ajustes!$I138&gt;0,INDEX($AA$4:$AL$323,Ajustes!$I138,V$2),0)+IF(Ajustes!$J138&gt;0,INDEX($AA$4:$AL$323,Ajustes!$J138,V$2),0)+IF(Ajustes!$K138&gt;0,INDEX($AA$5:$AL$324,Ajustes!$K138,V$2),0)+IF(Ajustes!$L138&gt;0,INDEX($AA$4:$AL$323,Ajustes!$L138,V$2),0) + V138</f>
        <v>0</v>
      </c>
      <c r="AI138">
        <f>IF(Ajustes!$G138&gt;0,INDEX($AA$4:$AL$323,Ajustes!$G138,W$2),0)+IF(Ajustes!$H138&gt;0,INDEX($AA$4:$AL$323,Ajustes!$H138,W$2),0)+IF(Ajustes!$I138&gt;0,INDEX($AA$4:$AL$323,Ajustes!$I138,W$2),0)+IF(Ajustes!$J138&gt;0,INDEX($AA$4:$AL$323,Ajustes!$J138,W$2),0)+IF(Ajustes!$K138&gt;0,INDEX($AA$5:$AL$324,Ajustes!$K138,W$2),0)+IF(Ajustes!$L138&gt;0,INDEX($AA$4:$AL$323,Ajustes!$L138,W$2),0) + W138</f>
        <v>0</v>
      </c>
      <c r="AJ138">
        <f>IF(Ajustes!$G138&gt;0,INDEX($AA$4:$AL$323,Ajustes!$G138,X$2),0)+IF(Ajustes!$H138&gt;0,INDEX($AA$4:$AL$323,Ajustes!$H138,X$2),0)+IF(Ajustes!$I138&gt;0,INDEX($AA$4:$AL$323,Ajustes!$I138,X$2),0)+IF(Ajustes!$J138&gt;0,INDEX($AA$4:$AL$323,Ajustes!$J138,X$2),0)+IF(Ajustes!$K138&gt;0,INDEX($AA$5:$AL$324,Ajustes!$K138,X$2),0)+IF(Ajustes!$L138&gt;0,INDEX($AA$4:$AL$323,Ajustes!$L138,X$2),0) + X138</f>
        <v>0</v>
      </c>
      <c r="AK138">
        <f>IF(Ajustes!$G138&gt;0,INDEX($AA$4:$AL$323,Ajustes!$G138,Y$2),0)+IF(Ajustes!$H138&gt;0,INDEX($AA$4:$AL$323,Ajustes!$H138,Y$2),0)+IF(Ajustes!$I138&gt;0,INDEX($AA$4:$AL$323,Ajustes!$I138,Y$2),0)+IF(Ajustes!$J138&gt;0,INDEX($AA$4:$AL$323,Ajustes!$J138,Y$2),0)+IF(Ajustes!$K138&gt;0,INDEX($AA$5:$AL$324,Ajustes!$K138,Y$2),0)+IF(Ajustes!$L138&gt;0,INDEX($AA$4:$AL$323,Ajustes!$L138,Y$2),0) + Y138</f>
        <v>0</v>
      </c>
      <c r="AL138">
        <f>IF(Ajustes!$G138&gt;0,INDEX($AA$4:$AL$323,Ajustes!$G138,Z$2),0)+IF(Ajustes!$H138&gt;0,INDEX($AA$4:$AL$323,Ajustes!$H138,Z$2),0)+IF(Ajustes!$I138&gt;0,INDEX($AA$4:$AL$323,Ajustes!$I138,Z$2),0)+IF(Ajustes!$J138&gt;0,INDEX($AA$4:$AL$323,Ajustes!$J138,Z$2),0)+IF(Ajustes!$K138&gt;0,INDEX($AA$5:$AL$324,Ajustes!$K138,Z$2),0)+IF(Ajustes!$L138&gt;0,INDEX($AA$4:$AL$323,Ajustes!$L138,Z$2),0) + Z138</f>
        <v>0</v>
      </c>
      <c r="AM138" s="113">
        <f t="shared" si="39"/>
        <v>0</v>
      </c>
      <c r="AN138" s="113">
        <f t="shared" si="39"/>
        <v>0</v>
      </c>
      <c r="AO138" s="113">
        <f t="shared" si="39"/>
        <v>0</v>
      </c>
      <c r="AP138" s="113">
        <f t="shared" si="39"/>
        <v>0</v>
      </c>
      <c r="AQ138" s="113">
        <f t="shared" si="39"/>
        <v>0</v>
      </c>
      <c r="AR138" s="113">
        <f t="shared" si="40"/>
        <v>0</v>
      </c>
      <c r="AS138" s="113">
        <f t="shared" si="40"/>
        <v>0</v>
      </c>
      <c r="AT138" s="113">
        <f t="shared" si="40"/>
        <v>0</v>
      </c>
      <c r="AU138" s="113">
        <f t="shared" si="40"/>
        <v>0</v>
      </c>
      <c r="AV138" s="113">
        <f t="shared" si="40"/>
        <v>0</v>
      </c>
      <c r="AW138" s="113">
        <f t="shared" si="41"/>
        <v>0</v>
      </c>
      <c r="AX138" s="113">
        <f t="shared" si="41"/>
        <v>0</v>
      </c>
    </row>
    <row r="139" spans="1:50" x14ac:dyDescent="0.25">
      <c r="A139" s="113">
        <v>136</v>
      </c>
      <c r="B139" s="209"/>
      <c r="C139">
        <f>IFERROR(INDEX($BD$7:$BO$35,MATCH(Ajustes!$E$4:$E$323,$BC$7:$BC$35,0),$C$2:$N$2),1)</f>
        <v>1</v>
      </c>
      <c r="D139" s="113">
        <f>IFERROR(INDEX($BD$7:$BO$35,MATCH(Ajustes!$E$4:$E$323,$BC$7:$BC$35,0),$C$2:$N$2),1)</f>
        <v>1</v>
      </c>
      <c r="E139" s="113">
        <f>IFERROR(INDEX($BD$7:$BO$35,MATCH(Ajustes!$E$4:$E$323,$BC$7:$BC$35,0),$C$2:$N$2),1)</f>
        <v>1</v>
      </c>
      <c r="F139" s="113">
        <f>IFERROR(INDEX($BD$7:$BO$35,MATCH(Ajustes!$E$4:$E$323,$BC$7:$BC$35,0),$C$2:$N$2),1)</f>
        <v>1</v>
      </c>
      <c r="G139" s="113">
        <f>IFERROR(INDEX($BD$7:$BO$35,MATCH(Ajustes!$E$4:$E$323,$BC$7:$BC$35,0),$C$2:$N$2),1)</f>
        <v>1</v>
      </c>
      <c r="H139" s="113">
        <f>IFERROR(INDEX($BD$7:$BO$35,MATCH(Ajustes!$E$4:$E$323,$BC$7:$BC$35,0),$C$2:$N$2),1)</f>
        <v>1</v>
      </c>
      <c r="I139" s="113">
        <f>IFERROR(INDEX($BD$7:$BO$35,MATCH(Ajustes!$E$4:$E$323,$BC$7:$BC$35,0),$C$2:$N$2),1)</f>
        <v>1</v>
      </c>
      <c r="J139" s="113">
        <f>IFERROR(INDEX($BD$7:$BO$35,MATCH(Ajustes!$E$4:$E$323,$BC$7:$BC$35,0),$C$2:$N$2),1)</f>
        <v>1</v>
      </c>
      <c r="K139" s="113">
        <f>IFERROR(INDEX($BD$7:$BO$35,MATCH(Ajustes!$E$4:$E$323,$BC$7:$BC$35,0),$C$2:$N$2),1)</f>
        <v>1</v>
      </c>
      <c r="L139" s="113">
        <f>IFERROR(INDEX($BD$7:$BO$35,MATCH(Ajustes!$E$4:$E$323,$BC$7:$BC$35,0),$C$2:$N$2),1)</f>
        <v>1</v>
      </c>
      <c r="M139" s="113">
        <f>IFERROR(INDEX($BD$7:$BO$35,MATCH(Ajustes!$E$4:$E$323,$BC$7:$BC$35,0),$C$2:$N$2),1)</f>
        <v>1</v>
      </c>
      <c r="N139" s="113">
        <f>IFERROR(INDEX($BD$7:$BO$35,MATCH(Ajustes!$E$4:$E$323,$BC$7:$BC$35,0),$C$2:$N$2),1)</f>
        <v>1</v>
      </c>
      <c r="O139">
        <f>C139*Ajustes!AM139</f>
        <v>0</v>
      </c>
      <c r="P139">
        <f>D139*Ajustes!AN139</f>
        <v>0</v>
      </c>
      <c r="Q139">
        <f>E139*Ajustes!AO139</f>
        <v>0</v>
      </c>
      <c r="R139">
        <f>F139*Ajustes!AP139</f>
        <v>0</v>
      </c>
      <c r="S139">
        <f>G139*Ajustes!AQ139</f>
        <v>0</v>
      </c>
      <c r="T139">
        <f>H139*Ajustes!AR139</f>
        <v>0</v>
      </c>
      <c r="U139">
        <f>I139*Ajustes!AS139</f>
        <v>0</v>
      </c>
      <c r="V139">
        <f>J139*Ajustes!AT139</f>
        <v>0</v>
      </c>
      <c r="W139">
        <f>K139*Ajustes!AU139</f>
        <v>0</v>
      </c>
      <c r="X139">
        <f>L139*Ajustes!AV139</f>
        <v>0</v>
      </c>
      <c r="Y139">
        <f>M139*Ajustes!AW139</f>
        <v>0</v>
      </c>
      <c r="Z139">
        <f>N139*Ajustes!AX139</f>
        <v>0</v>
      </c>
      <c r="AA139">
        <f>IF(Ajustes!$G139&gt;0,INDEX($AA$4:$AL$323,Ajustes!$G139,O$2),0)+IF(Ajustes!$H139&gt;0,INDEX($AA$4:$AL$323,Ajustes!$H139,O$2),0)+IF(Ajustes!$I139&gt;0,INDEX($AA$4:$AL$323,Ajustes!$I139,O$2),0)+IF(Ajustes!$J139&gt;0,INDEX($AA$4:$AL$323,Ajustes!$J139,O$2),0)+IF(Ajustes!$K139&gt;0,INDEX($AA$5:$AL$324,Ajustes!$K139,O$2),0)+IF(Ajustes!$L139&gt;0,INDEX($AA$4:$AL$323,Ajustes!$L139,O$2),0) + O139</f>
        <v>0</v>
      </c>
      <c r="AB139">
        <f>IF(Ajustes!$G139&gt;0,INDEX($AA$4:$AL$323,Ajustes!$G139,P$2),0)+IF(Ajustes!$H139&gt;0,INDEX($AA$4:$AL$323,Ajustes!$H139,P$2),0)+IF(Ajustes!$I139&gt;0,INDEX($AA$4:$AL$323,Ajustes!$I139,P$2),0)+IF(Ajustes!$J139&gt;0,INDEX($AA$4:$AL$323,Ajustes!$J139,P$2),0)+IF(Ajustes!$K139&gt;0,INDEX($AA$5:$AL$324,Ajustes!$K139,P$2),0)+IF(Ajustes!$L139&gt;0,INDEX($AA$4:$AL$323,Ajustes!$L139,P$2),0) + P139</f>
        <v>0</v>
      </c>
      <c r="AC139">
        <f>IF(Ajustes!$G139&gt;0,INDEX($AA$4:$AL$323,Ajustes!$G139,Q$2),0)+IF(Ajustes!$H139&gt;0,INDEX($AA$4:$AL$323,Ajustes!$H139,Q$2),0)+IF(Ajustes!$I139&gt;0,INDEX($AA$4:$AL$323,Ajustes!$I139,Q$2),0)+IF(Ajustes!$J139&gt;0,INDEX($AA$4:$AL$323,Ajustes!$J139,Q$2),0)+IF(Ajustes!$K139&gt;0,INDEX($AA$5:$AL$324,Ajustes!$K139,Q$2),0)+IF(Ajustes!$L139&gt;0,INDEX($AA$4:$AL$323,Ajustes!$L139,Q$2),0) + Q139</f>
        <v>0</v>
      </c>
      <c r="AD139">
        <f>IF(Ajustes!$G139&gt;0,INDEX($AA$4:$AL$323,Ajustes!$G139,R$2),0)+IF(Ajustes!$H139&gt;0,INDEX($AA$4:$AL$323,Ajustes!$H139,R$2),0)+IF(Ajustes!$I139&gt;0,INDEX($AA$4:$AL$323,Ajustes!$I139,R$2),0)+IF(Ajustes!$J139&gt;0,INDEX($AA$4:$AL$323,Ajustes!$J139,R$2),0)+IF(Ajustes!$K139&gt;0,INDEX($AA$5:$AL$324,Ajustes!$K139,R$2),0)+IF(Ajustes!$L139&gt;0,INDEX($AA$4:$AL$323,Ajustes!$L139,R$2),0) + R139</f>
        <v>0</v>
      </c>
      <c r="AE139">
        <f>IF(Ajustes!$G139&gt;0,INDEX($AA$4:$AL$323,Ajustes!$G139,S$2),0)+IF(Ajustes!$H139&gt;0,INDEX($AA$4:$AL$323,Ajustes!$H139,S$2),0)+IF(Ajustes!$I139&gt;0,INDEX($AA$4:$AL$323,Ajustes!$I139,S$2),0)+IF(Ajustes!$J139&gt;0,INDEX($AA$4:$AL$323,Ajustes!$J139,S$2),0)+IF(Ajustes!$K139&gt;0,INDEX($AA$5:$AL$324,Ajustes!$K139,S$2),0)+IF(Ajustes!$L139&gt;0,INDEX($AA$4:$AL$323,Ajustes!$L139,S$2),0) + S139</f>
        <v>0</v>
      </c>
      <c r="AF139">
        <f>IF(Ajustes!$G139&gt;0,INDEX($AA$4:$AL$323,Ajustes!$G139,T$2),0)+IF(Ajustes!$H139&gt;0,INDEX($AA$4:$AL$323,Ajustes!$H139,T$2),0)+IF(Ajustes!$I139&gt;0,INDEX($AA$4:$AL$323,Ajustes!$I139,T$2),0)+IF(Ajustes!$J139&gt;0,INDEX($AA$4:$AL$323,Ajustes!$J139,T$2),0)+IF(Ajustes!$K139&gt;0,INDEX($AA$5:$AL$324,Ajustes!$K139,T$2),0)+IF(Ajustes!$L139&gt;0,INDEX($AA$4:$AL$323,Ajustes!$L139,T$2),0) + T139</f>
        <v>0</v>
      </c>
      <c r="AG139">
        <f>IF(Ajustes!$G139&gt;0,INDEX($AA$4:$AL$323,Ajustes!$G139,U$2),0)+IF(Ajustes!$H139&gt;0,INDEX($AA$4:$AL$323,Ajustes!$H139,U$2),0)+IF(Ajustes!$I139&gt;0,INDEX($AA$4:$AL$323,Ajustes!$I139,U$2),0)+IF(Ajustes!$J139&gt;0,INDEX($AA$4:$AL$323,Ajustes!$J139,U$2),0)+IF(Ajustes!$K139&gt;0,INDEX($AA$5:$AL$324,Ajustes!$K139,U$2),0)+IF(Ajustes!$L139&gt;0,INDEX($AA$4:$AL$323,Ajustes!$L139,U$2),0) + U139</f>
        <v>0</v>
      </c>
      <c r="AH139">
        <f>IF(Ajustes!$G139&gt;0,INDEX($AA$4:$AL$323,Ajustes!$G139,V$2),0)+IF(Ajustes!$H139&gt;0,INDEX($AA$4:$AL$323,Ajustes!$H139,V$2),0)+IF(Ajustes!$I139&gt;0,INDEX($AA$4:$AL$323,Ajustes!$I139,V$2),0)+IF(Ajustes!$J139&gt;0,INDEX($AA$4:$AL$323,Ajustes!$J139,V$2),0)+IF(Ajustes!$K139&gt;0,INDEX($AA$5:$AL$324,Ajustes!$K139,V$2),0)+IF(Ajustes!$L139&gt;0,INDEX($AA$4:$AL$323,Ajustes!$L139,V$2),0) + V139</f>
        <v>0</v>
      </c>
      <c r="AI139">
        <f>IF(Ajustes!$G139&gt;0,INDEX($AA$4:$AL$323,Ajustes!$G139,W$2),0)+IF(Ajustes!$H139&gt;0,INDEX($AA$4:$AL$323,Ajustes!$H139,W$2),0)+IF(Ajustes!$I139&gt;0,INDEX($AA$4:$AL$323,Ajustes!$I139,W$2),0)+IF(Ajustes!$J139&gt;0,INDEX($AA$4:$AL$323,Ajustes!$J139,W$2),0)+IF(Ajustes!$K139&gt;0,INDEX($AA$5:$AL$324,Ajustes!$K139,W$2),0)+IF(Ajustes!$L139&gt;0,INDEX($AA$4:$AL$323,Ajustes!$L139,W$2),0) + W139</f>
        <v>0</v>
      </c>
      <c r="AJ139">
        <f>IF(Ajustes!$G139&gt;0,INDEX($AA$4:$AL$323,Ajustes!$G139,X$2),0)+IF(Ajustes!$H139&gt;0,INDEX($AA$4:$AL$323,Ajustes!$H139,X$2),0)+IF(Ajustes!$I139&gt;0,INDEX($AA$4:$AL$323,Ajustes!$I139,X$2),0)+IF(Ajustes!$J139&gt;0,INDEX($AA$4:$AL$323,Ajustes!$J139,X$2),0)+IF(Ajustes!$K139&gt;0,INDEX($AA$5:$AL$324,Ajustes!$K139,X$2),0)+IF(Ajustes!$L139&gt;0,INDEX($AA$4:$AL$323,Ajustes!$L139,X$2),0) + X139</f>
        <v>0</v>
      </c>
      <c r="AK139">
        <f>IF(Ajustes!$G139&gt;0,INDEX($AA$4:$AL$323,Ajustes!$G139,Y$2),0)+IF(Ajustes!$H139&gt;0,INDEX($AA$4:$AL$323,Ajustes!$H139,Y$2),0)+IF(Ajustes!$I139&gt;0,INDEX($AA$4:$AL$323,Ajustes!$I139,Y$2),0)+IF(Ajustes!$J139&gt;0,INDEX($AA$4:$AL$323,Ajustes!$J139,Y$2),0)+IF(Ajustes!$K139&gt;0,INDEX($AA$5:$AL$324,Ajustes!$K139,Y$2),0)+IF(Ajustes!$L139&gt;0,INDEX($AA$4:$AL$323,Ajustes!$L139,Y$2),0) + Y139</f>
        <v>0</v>
      </c>
      <c r="AL139">
        <f>IF(Ajustes!$G139&gt;0,INDEX($AA$4:$AL$323,Ajustes!$G139,Z$2),0)+IF(Ajustes!$H139&gt;0,INDEX($AA$4:$AL$323,Ajustes!$H139,Z$2),0)+IF(Ajustes!$I139&gt;0,INDEX($AA$4:$AL$323,Ajustes!$I139,Z$2),0)+IF(Ajustes!$J139&gt;0,INDEX($AA$4:$AL$323,Ajustes!$J139,Z$2),0)+IF(Ajustes!$K139&gt;0,INDEX($AA$5:$AL$324,Ajustes!$K139,Z$2),0)+IF(Ajustes!$L139&gt;0,INDEX($AA$4:$AL$323,Ajustes!$L139,Z$2),0) + Z139</f>
        <v>0</v>
      </c>
      <c r="AM139" s="113">
        <f t="shared" si="39"/>
        <v>0</v>
      </c>
      <c r="AN139" s="113">
        <f t="shared" si="39"/>
        <v>0</v>
      </c>
      <c r="AO139" s="113">
        <f t="shared" si="39"/>
        <v>0</v>
      </c>
      <c r="AP139" s="113">
        <f t="shared" si="39"/>
        <v>0</v>
      </c>
      <c r="AQ139" s="113">
        <f t="shared" si="39"/>
        <v>0</v>
      </c>
      <c r="AR139" s="113">
        <f t="shared" si="40"/>
        <v>0</v>
      </c>
      <c r="AS139" s="113">
        <f t="shared" si="40"/>
        <v>0</v>
      </c>
      <c r="AT139" s="113">
        <f t="shared" si="40"/>
        <v>0</v>
      </c>
      <c r="AU139" s="113">
        <f t="shared" si="40"/>
        <v>0</v>
      </c>
      <c r="AV139" s="113">
        <f t="shared" si="40"/>
        <v>0</v>
      </c>
      <c r="AW139" s="113">
        <f t="shared" si="41"/>
        <v>0</v>
      </c>
      <c r="AX139" s="113">
        <f t="shared" si="41"/>
        <v>0</v>
      </c>
    </row>
    <row r="140" spans="1:50" x14ac:dyDescent="0.25">
      <c r="A140" s="113">
        <v>137</v>
      </c>
      <c r="B140" s="209"/>
      <c r="C140">
        <f>IFERROR(INDEX($BD$7:$BO$35,MATCH(Ajustes!$E$4:$E$323,$BC$7:$BC$35,0),$C$2:$N$2),1)</f>
        <v>1</v>
      </c>
      <c r="D140" s="113">
        <f>IFERROR(INDEX($BD$7:$BO$35,MATCH(Ajustes!$E$4:$E$323,$BC$7:$BC$35,0),$C$2:$N$2),1)</f>
        <v>1</v>
      </c>
      <c r="E140" s="113">
        <f>IFERROR(INDEX($BD$7:$BO$35,MATCH(Ajustes!$E$4:$E$323,$BC$7:$BC$35,0),$C$2:$N$2),1)</f>
        <v>1</v>
      </c>
      <c r="F140" s="113">
        <f>IFERROR(INDEX($BD$7:$BO$35,MATCH(Ajustes!$E$4:$E$323,$BC$7:$BC$35,0),$C$2:$N$2),1)</f>
        <v>1</v>
      </c>
      <c r="G140" s="113">
        <f>IFERROR(INDEX($BD$7:$BO$35,MATCH(Ajustes!$E$4:$E$323,$BC$7:$BC$35,0),$C$2:$N$2),1)</f>
        <v>1</v>
      </c>
      <c r="H140" s="113">
        <f>IFERROR(INDEX($BD$7:$BO$35,MATCH(Ajustes!$E$4:$E$323,$BC$7:$BC$35,0),$C$2:$N$2),1)</f>
        <v>1</v>
      </c>
      <c r="I140" s="113">
        <f>IFERROR(INDEX($BD$7:$BO$35,MATCH(Ajustes!$E$4:$E$323,$BC$7:$BC$35,0),$C$2:$N$2),1)</f>
        <v>1</v>
      </c>
      <c r="J140" s="113">
        <f>IFERROR(INDEX($BD$7:$BO$35,MATCH(Ajustes!$E$4:$E$323,$BC$7:$BC$35,0),$C$2:$N$2),1)</f>
        <v>1</v>
      </c>
      <c r="K140" s="113">
        <f>IFERROR(INDEX($BD$7:$BO$35,MATCH(Ajustes!$E$4:$E$323,$BC$7:$BC$35,0),$C$2:$N$2),1)</f>
        <v>1</v>
      </c>
      <c r="L140" s="113">
        <f>IFERROR(INDEX($BD$7:$BO$35,MATCH(Ajustes!$E$4:$E$323,$BC$7:$BC$35,0),$C$2:$N$2),1)</f>
        <v>1</v>
      </c>
      <c r="M140" s="113">
        <f>IFERROR(INDEX($BD$7:$BO$35,MATCH(Ajustes!$E$4:$E$323,$BC$7:$BC$35,0),$C$2:$N$2),1)</f>
        <v>1</v>
      </c>
      <c r="N140" s="113">
        <f>IFERROR(INDEX($BD$7:$BO$35,MATCH(Ajustes!$E$4:$E$323,$BC$7:$BC$35,0),$C$2:$N$2),1)</f>
        <v>1</v>
      </c>
      <c r="O140">
        <f>C140*Ajustes!AM140</f>
        <v>0</v>
      </c>
      <c r="P140">
        <f>D140*Ajustes!AN140</f>
        <v>0</v>
      </c>
      <c r="Q140">
        <f>E140*Ajustes!AO140</f>
        <v>0</v>
      </c>
      <c r="R140">
        <f>F140*Ajustes!AP140</f>
        <v>0</v>
      </c>
      <c r="S140">
        <f>G140*Ajustes!AQ140</f>
        <v>0</v>
      </c>
      <c r="T140">
        <f>H140*Ajustes!AR140</f>
        <v>0</v>
      </c>
      <c r="U140">
        <f>I140*Ajustes!AS140</f>
        <v>0</v>
      </c>
      <c r="V140">
        <f>J140*Ajustes!AT140</f>
        <v>0</v>
      </c>
      <c r="W140">
        <f>K140*Ajustes!AU140</f>
        <v>0</v>
      </c>
      <c r="X140">
        <f>L140*Ajustes!AV140</f>
        <v>0</v>
      </c>
      <c r="Y140">
        <f>M140*Ajustes!AW140</f>
        <v>0</v>
      </c>
      <c r="Z140">
        <f>N140*Ajustes!AX140</f>
        <v>0</v>
      </c>
      <c r="AA140">
        <f>IF(Ajustes!$G140&gt;0,INDEX($AA$4:$AL$323,Ajustes!$G140,O$2),0)+IF(Ajustes!$H140&gt;0,INDEX($AA$4:$AL$323,Ajustes!$H140,O$2),0)+IF(Ajustes!$I140&gt;0,INDEX($AA$4:$AL$323,Ajustes!$I140,O$2),0)+IF(Ajustes!$J140&gt;0,INDEX($AA$4:$AL$323,Ajustes!$J140,O$2),0)+IF(Ajustes!$K140&gt;0,INDEX($AA$5:$AL$324,Ajustes!$K140,O$2),0)+IF(Ajustes!$L140&gt;0,INDEX($AA$4:$AL$323,Ajustes!$L140,O$2),0) + O140</f>
        <v>0</v>
      </c>
      <c r="AB140">
        <f>IF(Ajustes!$G140&gt;0,INDEX($AA$4:$AL$323,Ajustes!$G140,P$2),0)+IF(Ajustes!$H140&gt;0,INDEX($AA$4:$AL$323,Ajustes!$H140,P$2),0)+IF(Ajustes!$I140&gt;0,INDEX($AA$4:$AL$323,Ajustes!$I140,P$2),0)+IF(Ajustes!$J140&gt;0,INDEX($AA$4:$AL$323,Ajustes!$J140,P$2),0)+IF(Ajustes!$K140&gt;0,INDEX($AA$5:$AL$324,Ajustes!$K140,P$2),0)+IF(Ajustes!$L140&gt;0,INDEX($AA$4:$AL$323,Ajustes!$L140,P$2),0) + P140</f>
        <v>0</v>
      </c>
      <c r="AC140">
        <f>IF(Ajustes!$G140&gt;0,INDEX($AA$4:$AL$323,Ajustes!$G140,Q$2),0)+IF(Ajustes!$H140&gt;0,INDEX($AA$4:$AL$323,Ajustes!$H140,Q$2),0)+IF(Ajustes!$I140&gt;0,INDEX($AA$4:$AL$323,Ajustes!$I140,Q$2),0)+IF(Ajustes!$J140&gt;0,INDEX($AA$4:$AL$323,Ajustes!$J140,Q$2),0)+IF(Ajustes!$K140&gt;0,INDEX($AA$5:$AL$324,Ajustes!$K140,Q$2),0)+IF(Ajustes!$L140&gt;0,INDEX($AA$4:$AL$323,Ajustes!$L140,Q$2),0) + Q140</f>
        <v>0</v>
      </c>
      <c r="AD140">
        <f>IF(Ajustes!$G140&gt;0,INDEX($AA$4:$AL$323,Ajustes!$G140,R$2),0)+IF(Ajustes!$H140&gt;0,INDEX($AA$4:$AL$323,Ajustes!$H140,R$2),0)+IF(Ajustes!$I140&gt;0,INDEX($AA$4:$AL$323,Ajustes!$I140,R$2),0)+IF(Ajustes!$J140&gt;0,INDEX($AA$4:$AL$323,Ajustes!$J140,R$2),0)+IF(Ajustes!$K140&gt;0,INDEX($AA$5:$AL$324,Ajustes!$K140,R$2),0)+IF(Ajustes!$L140&gt;0,INDEX($AA$4:$AL$323,Ajustes!$L140,R$2),0) + R140</f>
        <v>0</v>
      </c>
      <c r="AE140">
        <f>IF(Ajustes!$G140&gt;0,INDEX($AA$4:$AL$323,Ajustes!$G140,S$2),0)+IF(Ajustes!$H140&gt;0,INDEX($AA$4:$AL$323,Ajustes!$H140,S$2),0)+IF(Ajustes!$I140&gt;0,INDEX($AA$4:$AL$323,Ajustes!$I140,S$2),0)+IF(Ajustes!$J140&gt;0,INDEX($AA$4:$AL$323,Ajustes!$J140,S$2),0)+IF(Ajustes!$K140&gt;0,INDEX($AA$5:$AL$324,Ajustes!$K140,S$2),0)+IF(Ajustes!$L140&gt;0,INDEX($AA$4:$AL$323,Ajustes!$L140,S$2),0) + S140</f>
        <v>0</v>
      </c>
      <c r="AF140">
        <f>IF(Ajustes!$G140&gt;0,INDEX($AA$4:$AL$323,Ajustes!$G140,T$2),0)+IF(Ajustes!$H140&gt;0,INDEX($AA$4:$AL$323,Ajustes!$H140,T$2),0)+IF(Ajustes!$I140&gt;0,INDEX($AA$4:$AL$323,Ajustes!$I140,T$2),0)+IF(Ajustes!$J140&gt;0,INDEX($AA$4:$AL$323,Ajustes!$J140,T$2),0)+IF(Ajustes!$K140&gt;0,INDEX($AA$5:$AL$324,Ajustes!$K140,T$2),0)+IF(Ajustes!$L140&gt;0,INDEX($AA$4:$AL$323,Ajustes!$L140,T$2),0) + T140</f>
        <v>0</v>
      </c>
      <c r="AG140">
        <f>IF(Ajustes!$G140&gt;0,INDEX($AA$4:$AL$323,Ajustes!$G140,U$2),0)+IF(Ajustes!$H140&gt;0,INDEX($AA$4:$AL$323,Ajustes!$H140,U$2),0)+IF(Ajustes!$I140&gt;0,INDEX($AA$4:$AL$323,Ajustes!$I140,U$2),0)+IF(Ajustes!$J140&gt;0,INDEX($AA$4:$AL$323,Ajustes!$J140,U$2),0)+IF(Ajustes!$K140&gt;0,INDEX($AA$5:$AL$324,Ajustes!$K140,U$2),0)+IF(Ajustes!$L140&gt;0,INDEX($AA$4:$AL$323,Ajustes!$L140,U$2),0) + U140</f>
        <v>0</v>
      </c>
      <c r="AH140">
        <f>IF(Ajustes!$G140&gt;0,INDEX($AA$4:$AL$323,Ajustes!$G140,V$2),0)+IF(Ajustes!$H140&gt;0,INDEX($AA$4:$AL$323,Ajustes!$H140,V$2),0)+IF(Ajustes!$I140&gt;0,INDEX($AA$4:$AL$323,Ajustes!$I140,V$2),0)+IF(Ajustes!$J140&gt;0,INDEX($AA$4:$AL$323,Ajustes!$J140,V$2),0)+IF(Ajustes!$K140&gt;0,INDEX($AA$5:$AL$324,Ajustes!$K140,V$2),0)+IF(Ajustes!$L140&gt;0,INDEX($AA$4:$AL$323,Ajustes!$L140,V$2),0) + V140</f>
        <v>0</v>
      </c>
      <c r="AI140">
        <f>IF(Ajustes!$G140&gt;0,INDEX($AA$4:$AL$323,Ajustes!$G140,W$2),0)+IF(Ajustes!$H140&gt;0,INDEX($AA$4:$AL$323,Ajustes!$H140,W$2),0)+IF(Ajustes!$I140&gt;0,INDEX($AA$4:$AL$323,Ajustes!$I140,W$2),0)+IF(Ajustes!$J140&gt;0,INDEX($AA$4:$AL$323,Ajustes!$J140,W$2),0)+IF(Ajustes!$K140&gt;0,INDEX($AA$5:$AL$324,Ajustes!$K140,W$2),0)+IF(Ajustes!$L140&gt;0,INDEX($AA$4:$AL$323,Ajustes!$L140,W$2),0) + W140</f>
        <v>0</v>
      </c>
      <c r="AJ140">
        <f>IF(Ajustes!$G140&gt;0,INDEX($AA$4:$AL$323,Ajustes!$G140,X$2),0)+IF(Ajustes!$H140&gt;0,INDEX($AA$4:$AL$323,Ajustes!$H140,X$2),0)+IF(Ajustes!$I140&gt;0,INDEX($AA$4:$AL$323,Ajustes!$I140,X$2),0)+IF(Ajustes!$J140&gt;0,INDEX($AA$4:$AL$323,Ajustes!$J140,X$2),0)+IF(Ajustes!$K140&gt;0,INDEX($AA$5:$AL$324,Ajustes!$K140,X$2),0)+IF(Ajustes!$L140&gt;0,INDEX($AA$4:$AL$323,Ajustes!$L140,X$2),0) + X140</f>
        <v>0</v>
      </c>
      <c r="AK140">
        <f>IF(Ajustes!$G140&gt;0,INDEX($AA$4:$AL$323,Ajustes!$G140,Y$2),0)+IF(Ajustes!$H140&gt;0,INDEX($AA$4:$AL$323,Ajustes!$H140,Y$2),0)+IF(Ajustes!$I140&gt;0,INDEX($AA$4:$AL$323,Ajustes!$I140,Y$2),0)+IF(Ajustes!$J140&gt;0,INDEX($AA$4:$AL$323,Ajustes!$J140,Y$2),0)+IF(Ajustes!$K140&gt;0,INDEX($AA$5:$AL$324,Ajustes!$K140,Y$2),0)+IF(Ajustes!$L140&gt;0,INDEX($AA$4:$AL$323,Ajustes!$L140,Y$2),0) + Y140</f>
        <v>0</v>
      </c>
      <c r="AL140">
        <f>IF(Ajustes!$G140&gt;0,INDEX($AA$4:$AL$323,Ajustes!$G140,Z$2),0)+IF(Ajustes!$H140&gt;0,INDEX($AA$4:$AL$323,Ajustes!$H140,Z$2),0)+IF(Ajustes!$I140&gt;0,INDEX($AA$4:$AL$323,Ajustes!$I140,Z$2),0)+IF(Ajustes!$J140&gt;0,INDEX($AA$4:$AL$323,Ajustes!$J140,Z$2),0)+IF(Ajustes!$K140&gt;0,INDEX($AA$5:$AL$324,Ajustes!$K140,Z$2),0)+IF(Ajustes!$L140&gt;0,INDEX($AA$4:$AL$323,Ajustes!$L140,Z$2),0) + Z140</f>
        <v>0</v>
      </c>
      <c r="AM140" s="113">
        <f t="shared" si="39"/>
        <v>0</v>
      </c>
      <c r="AN140" s="113">
        <f t="shared" si="39"/>
        <v>0</v>
      </c>
      <c r="AO140" s="113">
        <f t="shared" si="39"/>
        <v>0</v>
      </c>
      <c r="AP140" s="113">
        <f t="shared" si="39"/>
        <v>0</v>
      </c>
      <c r="AQ140" s="113">
        <f t="shared" si="39"/>
        <v>0</v>
      </c>
      <c r="AR140" s="113">
        <f t="shared" si="40"/>
        <v>0</v>
      </c>
      <c r="AS140" s="113">
        <f t="shared" si="40"/>
        <v>0</v>
      </c>
      <c r="AT140" s="113">
        <f t="shared" si="40"/>
        <v>0</v>
      </c>
      <c r="AU140" s="113">
        <f t="shared" si="40"/>
        <v>0</v>
      </c>
      <c r="AV140" s="113">
        <f t="shared" si="40"/>
        <v>0</v>
      </c>
      <c r="AW140" s="113">
        <f t="shared" si="41"/>
        <v>0</v>
      </c>
      <c r="AX140" s="113">
        <f t="shared" si="41"/>
        <v>0</v>
      </c>
    </row>
    <row r="141" spans="1:50" x14ac:dyDescent="0.25">
      <c r="A141" s="113">
        <v>138</v>
      </c>
      <c r="B141" s="209"/>
      <c r="C141">
        <f>IFERROR(INDEX($BD$7:$BO$35,MATCH(Ajustes!$E$4:$E$323,$BC$7:$BC$35,0),$C$2:$N$2),1)</f>
        <v>1</v>
      </c>
      <c r="D141" s="113">
        <f>IFERROR(INDEX($BD$7:$BO$35,MATCH(Ajustes!$E$4:$E$323,$BC$7:$BC$35,0),$C$2:$N$2),1)</f>
        <v>1</v>
      </c>
      <c r="E141" s="113">
        <f>IFERROR(INDEX($BD$7:$BO$35,MATCH(Ajustes!$E$4:$E$323,$BC$7:$BC$35,0),$C$2:$N$2),1)</f>
        <v>1</v>
      </c>
      <c r="F141" s="113">
        <f>IFERROR(INDEX($BD$7:$BO$35,MATCH(Ajustes!$E$4:$E$323,$BC$7:$BC$35,0),$C$2:$N$2),1)</f>
        <v>1</v>
      </c>
      <c r="G141" s="113">
        <f>IFERROR(INDEX($BD$7:$BO$35,MATCH(Ajustes!$E$4:$E$323,$BC$7:$BC$35,0),$C$2:$N$2),1)</f>
        <v>1</v>
      </c>
      <c r="H141" s="113">
        <f>IFERROR(INDEX($BD$7:$BO$35,MATCH(Ajustes!$E$4:$E$323,$BC$7:$BC$35,0),$C$2:$N$2),1)</f>
        <v>1</v>
      </c>
      <c r="I141" s="113">
        <f>IFERROR(INDEX($BD$7:$BO$35,MATCH(Ajustes!$E$4:$E$323,$BC$7:$BC$35,0),$C$2:$N$2),1)</f>
        <v>1</v>
      </c>
      <c r="J141" s="113">
        <f>IFERROR(INDEX($BD$7:$BO$35,MATCH(Ajustes!$E$4:$E$323,$BC$7:$BC$35,0),$C$2:$N$2),1)</f>
        <v>1</v>
      </c>
      <c r="K141" s="113">
        <f>IFERROR(INDEX($BD$7:$BO$35,MATCH(Ajustes!$E$4:$E$323,$BC$7:$BC$35,0),$C$2:$N$2),1)</f>
        <v>1</v>
      </c>
      <c r="L141" s="113">
        <f>IFERROR(INDEX($BD$7:$BO$35,MATCH(Ajustes!$E$4:$E$323,$BC$7:$BC$35,0),$C$2:$N$2),1)</f>
        <v>1</v>
      </c>
      <c r="M141" s="113">
        <f>IFERROR(INDEX($BD$7:$BO$35,MATCH(Ajustes!$E$4:$E$323,$BC$7:$BC$35,0),$C$2:$N$2),1)</f>
        <v>1</v>
      </c>
      <c r="N141" s="113">
        <f>IFERROR(INDEX($BD$7:$BO$35,MATCH(Ajustes!$E$4:$E$323,$BC$7:$BC$35,0),$C$2:$N$2),1)</f>
        <v>1</v>
      </c>
      <c r="O141">
        <f>C141*Ajustes!AM141</f>
        <v>0</v>
      </c>
      <c r="P141">
        <f>D141*Ajustes!AN141</f>
        <v>0</v>
      </c>
      <c r="Q141">
        <f>E141*Ajustes!AO141</f>
        <v>0</v>
      </c>
      <c r="R141">
        <f>F141*Ajustes!AP141</f>
        <v>0</v>
      </c>
      <c r="S141">
        <f>G141*Ajustes!AQ141</f>
        <v>0</v>
      </c>
      <c r="T141">
        <f>H141*Ajustes!AR141</f>
        <v>0</v>
      </c>
      <c r="U141">
        <f>I141*Ajustes!AS141</f>
        <v>0</v>
      </c>
      <c r="V141">
        <f>J141*Ajustes!AT141</f>
        <v>0</v>
      </c>
      <c r="W141">
        <f>K141*Ajustes!AU141</f>
        <v>0</v>
      </c>
      <c r="X141">
        <f>L141*Ajustes!AV141</f>
        <v>0</v>
      </c>
      <c r="Y141">
        <f>M141*Ajustes!AW141</f>
        <v>0</v>
      </c>
      <c r="Z141">
        <f>N141*Ajustes!AX141</f>
        <v>0</v>
      </c>
      <c r="AA141">
        <f>IF(Ajustes!$G141&gt;0,INDEX($AA$4:$AL$323,Ajustes!$G141,O$2),0)+IF(Ajustes!$H141&gt;0,INDEX($AA$4:$AL$323,Ajustes!$H141,O$2),0)+IF(Ajustes!$I141&gt;0,INDEX($AA$4:$AL$323,Ajustes!$I141,O$2),0)+IF(Ajustes!$J141&gt;0,INDEX($AA$4:$AL$323,Ajustes!$J141,O$2),0)+IF(Ajustes!$K141&gt;0,INDEX($AA$5:$AL$324,Ajustes!$K141,O$2),0)+IF(Ajustes!$L141&gt;0,INDEX($AA$4:$AL$323,Ajustes!$L141,O$2),0) + O141</f>
        <v>0</v>
      </c>
      <c r="AB141">
        <f>IF(Ajustes!$G141&gt;0,INDEX($AA$4:$AL$323,Ajustes!$G141,P$2),0)+IF(Ajustes!$H141&gt;0,INDEX($AA$4:$AL$323,Ajustes!$H141,P$2),0)+IF(Ajustes!$I141&gt;0,INDEX($AA$4:$AL$323,Ajustes!$I141,P$2),0)+IF(Ajustes!$J141&gt;0,INDEX($AA$4:$AL$323,Ajustes!$J141,P$2),0)+IF(Ajustes!$K141&gt;0,INDEX($AA$5:$AL$324,Ajustes!$K141,P$2),0)+IF(Ajustes!$L141&gt;0,INDEX($AA$4:$AL$323,Ajustes!$L141,P$2),0) + P141</f>
        <v>0</v>
      </c>
      <c r="AC141">
        <f>IF(Ajustes!$G141&gt;0,INDEX($AA$4:$AL$323,Ajustes!$G141,Q$2),0)+IF(Ajustes!$H141&gt;0,INDEX($AA$4:$AL$323,Ajustes!$H141,Q$2),0)+IF(Ajustes!$I141&gt;0,INDEX($AA$4:$AL$323,Ajustes!$I141,Q$2),0)+IF(Ajustes!$J141&gt;0,INDEX($AA$4:$AL$323,Ajustes!$J141,Q$2),0)+IF(Ajustes!$K141&gt;0,INDEX($AA$5:$AL$324,Ajustes!$K141,Q$2),0)+IF(Ajustes!$L141&gt;0,INDEX($AA$4:$AL$323,Ajustes!$L141,Q$2),0) + Q141</f>
        <v>0</v>
      </c>
      <c r="AD141">
        <f>IF(Ajustes!$G141&gt;0,INDEX($AA$4:$AL$323,Ajustes!$G141,R$2),0)+IF(Ajustes!$H141&gt;0,INDEX($AA$4:$AL$323,Ajustes!$H141,R$2),0)+IF(Ajustes!$I141&gt;0,INDEX($AA$4:$AL$323,Ajustes!$I141,R$2),0)+IF(Ajustes!$J141&gt;0,INDEX($AA$4:$AL$323,Ajustes!$J141,R$2),0)+IF(Ajustes!$K141&gt;0,INDEX($AA$5:$AL$324,Ajustes!$K141,R$2),0)+IF(Ajustes!$L141&gt;0,INDEX($AA$4:$AL$323,Ajustes!$L141,R$2),0) + R141</f>
        <v>0</v>
      </c>
      <c r="AE141">
        <f>IF(Ajustes!$G141&gt;0,INDEX($AA$4:$AL$323,Ajustes!$G141,S$2),0)+IF(Ajustes!$H141&gt;0,INDEX($AA$4:$AL$323,Ajustes!$H141,S$2),0)+IF(Ajustes!$I141&gt;0,INDEX($AA$4:$AL$323,Ajustes!$I141,S$2),0)+IF(Ajustes!$J141&gt;0,INDEX($AA$4:$AL$323,Ajustes!$J141,S$2),0)+IF(Ajustes!$K141&gt;0,INDEX($AA$5:$AL$324,Ajustes!$K141,S$2),0)+IF(Ajustes!$L141&gt;0,INDEX($AA$4:$AL$323,Ajustes!$L141,S$2),0) + S141</f>
        <v>0</v>
      </c>
      <c r="AF141">
        <f>IF(Ajustes!$G141&gt;0,INDEX($AA$4:$AL$323,Ajustes!$G141,T$2),0)+IF(Ajustes!$H141&gt;0,INDEX($AA$4:$AL$323,Ajustes!$H141,T$2),0)+IF(Ajustes!$I141&gt;0,INDEX($AA$4:$AL$323,Ajustes!$I141,T$2),0)+IF(Ajustes!$J141&gt;0,INDEX($AA$4:$AL$323,Ajustes!$J141,T$2),0)+IF(Ajustes!$K141&gt;0,INDEX($AA$5:$AL$324,Ajustes!$K141,T$2),0)+IF(Ajustes!$L141&gt;0,INDEX($AA$4:$AL$323,Ajustes!$L141,T$2),0) + T141</f>
        <v>0</v>
      </c>
      <c r="AG141">
        <f>IF(Ajustes!$G141&gt;0,INDEX($AA$4:$AL$323,Ajustes!$G141,U$2),0)+IF(Ajustes!$H141&gt;0,INDEX($AA$4:$AL$323,Ajustes!$H141,U$2),0)+IF(Ajustes!$I141&gt;0,INDEX($AA$4:$AL$323,Ajustes!$I141,U$2),0)+IF(Ajustes!$J141&gt;0,INDEX($AA$4:$AL$323,Ajustes!$J141,U$2),0)+IF(Ajustes!$K141&gt;0,INDEX($AA$5:$AL$324,Ajustes!$K141,U$2),0)+IF(Ajustes!$L141&gt;0,INDEX($AA$4:$AL$323,Ajustes!$L141,U$2),0) + U141</f>
        <v>0</v>
      </c>
      <c r="AH141">
        <f>IF(Ajustes!$G141&gt;0,INDEX($AA$4:$AL$323,Ajustes!$G141,V$2),0)+IF(Ajustes!$H141&gt;0,INDEX($AA$4:$AL$323,Ajustes!$H141,V$2),0)+IF(Ajustes!$I141&gt;0,INDEX($AA$4:$AL$323,Ajustes!$I141,V$2),0)+IF(Ajustes!$J141&gt;0,INDEX($AA$4:$AL$323,Ajustes!$J141,V$2),0)+IF(Ajustes!$K141&gt;0,INDEX($AA$5:$AL$324,Ajustes!$K141,V$2),0)+IF(Ajustes!$L141&gt;0,INDEX($AA$4:$AL$323,Ajustes!$L141,V$2),0) + V141</f>
        <v>0</v>
      </c>
      <c r="AI141">
        <f>IF(Ajustes!$G141&gt;0,INDEX($AA$4:$AL$323,Ajustes!$G141,W$2),0)+IF(Ajustes!$H141&gt;0,INDEX($AA$4:$AL$323,Ajustes!$H141,W$2),0)+IF(Ajustes!$I141&gt;0,INDEX($AA$4:$AL$323,Ajustes!$I141,W$2),0)+IF(Ajustes!$J141&gt;0,INDEX($AA$4:$AL$323,Ajustes!$J141,W$2),0)+IF(Ajustes!$K141&gt;0,INDEX($AA$5:$AL$324,Ajustes!$K141,W$2),0)+IF(Ajustes!$L141&gt;0,INDEX($AA$4:$AL$323,Ajustes!$L141,W$2),0) + W141</f>
        <v>0</v>
      </c>
      <c r="AJ141">
        <f>IF(Ajustes!$G141&gt;0,INDEX($AA$4:$AL$323,Ajustes!$G141,X$2),0)+IF(Ajustes!$H141&gt;0,INDEX($AA$4:$AL$323,Ajustes!$H141,X$2),0)+IF(Ajustes!$I141&gt;0,INDEX($AA$4:$AL$323,Ajustes!$I141,X$2),0)+IF(Ajustes!$J141&gt;0,INDEX($AA$4:$AL$323,Ajustes!$J141,X$2),0)+IF(Ajustes!$K141&gt;0,INDEX($AA$5:$AL$324,Ajustes!$K141,X$2),0)+IF(Ajustes!$L141&gt;0,INDEX($AA$4:$AL$323,Ajustes!$L141,X$2),0) + X141</f>
        <v>0</v>
      </c>
      <c r="AK141">
        <f>IF(Ajustes!$G141&gt;0,INDEX($AA$4:$AL$323,Ajustes!$G141,Y$2),0)+IF(Ajustes!$H141&gt;0,INDEX($AA$4:$AL$323,Ajustes!$H141,Y$2),0)+IF(Ajustes!$I141&gt;0,INDEX($AA$4:$AL$323,Ajustes!$I141,Y$2),0)+IF(Ajustes!$J141&gt;0,INDEX($AA$4:$AL$323,Ajustes!$J141,Y$2),0)+IF(Ajustes!$K141&gt;0,INDEX($AA$5:$AL$324,Ajustes!$K141,Y$2),0)+IF(Ajustes!$L141&gt;0,INDEX($AA$4:$AL$323,Ajustes!$L141,Y$2),0) + Y141</f>
        <v>0</v>
      </c>
      <c r="AL141">
        <f>IF(Ajustes!$G141&gt;0,INDEX($AA$4:$AL$323,Ajustes!$G141,Z$2),0)+IF(Ajustes!$H141&gt;0,INDEX($AA$4:$AL$323,Ajustes!$H141,Z$2),0)+IF(Ajustes!$I141&gt;0,INDEX($AA$4:$AL$323,Ajustes!$I141,Z$2),0)+IF(Ajustes!$J141&gt;0,INDEX($AA$4:$AL$323,Ajustes!$J141,Z$2),0)+IF(Ajustes!$K141&gt;0,INDEX($AA$5:$AL$324,Ajustes!$K141,Z$2),0)+IF(Ajustes!$L141&gt;0,INDEX($AA$4:$AL$323,Ajustes!$L141,Z$2),0) + Z141</f>
        <v>0</v>
      </c>
      <c r="AM141" s="113">
        <f t="shared" si="39"/>
        <v>0</v>
      </c>
      <c r="AN141" s="113">
        <f t="shared" si="39"/>
        <v>0</v>
      </c>
      <c r="AO141" s="113">
        <f t="shared" si="39"/>
        <v>0</v>
      </c>
      <c r="AP141" s="113">
        <f t="shared" si="39"/>
        <v>0</v>
      </c>
      <c r="AQ141" s="113">
        <f t="shared" si="39"/>
        <v>0</v>
      </c>
      <c r="AR141" s="113">
        <f t="shared" si="40"/>
        <v>0</v>
      </c>
      <c r="AS141" s="113">
        <f t="shared" si="40"/>
        <v>0</v>
      </c>
      <c r="AT141" s="113">
        <f t="shared" si="40"/>
        <v>0</v>
      </c>
      <c r="AU141" s="113">
        <f t="shared" si="40"/>
        <v>0</v>
      </c>
      <c r="AV141" s="113">
        <f t="shared" si="40"/>
        <v>0</v>
      </c>
      <c r="AW141" s="113">
        <f t="shared" si="41"/>
        <v>0</v>
      </c>
      <c r="AX141" s="113">
        <f t="shared" si="41"/>
        <v>0</v>
      </c>
    </row>
    <row r="142" spans="1:50" x14ac:dyDescent="0.25">
      <c r="A142" s="113">
        <v>139</v>
      </c>
      <c r="B142" s="209"/>
      <c r="C142">
        <f>IFERROR(INDEX($BD$7:$BO$35,MATCH(Ajustes!$E$4:$E$323,$BC$7:$BC$35,0),$C$2:$N$2),1)</f>
        <v>1</v>
      </c>
      <c r="D142" s="113">
        <f>IFERROR(INDEX($BD$7:$BO$35,MATCH(Ajustes!$E$4:$E$323,$BC$7:$BC$35,0),$C$2:$N$2),1)</f>
        <v>1</v>
      </c>
      <c r="E142" s="113">
        <f>IFERROR(INDEX($BD$7:$BO$35,MATCH(Ajustes!$E$4:$E$323,$BC$7:$BC$35,0),$C$2:$N$2),1)</f>
        <v>1</v>
      </c>
      <c r="F142" s="113">
        <f>IFERROR(INDEX($BD$7:$BO$35,MATCH(Ajustes!$E$4:$E$323,$BC$7:$BC$35,0),$C$2:$N$2),1)</f>
        <v>1</v>
      </c>
      <c r="G142" s="113">
        <f>IFERROR(INDEX($BD$7:$BO$35,MATCH(Ajustes!$E$4:$E$323,$BC$7:$BC$35,0),$C$2:$N$2),1)</f>
        <v>1</v>
      </c>
      <c r="H142" s="113">
        <f>IFERROR(INDEX($BD$7:$BO$35,MATCH(Ajustes!$E$4:$E$323,$BC$7:$BC$35,0),$C$2:$N$2),1)</f>
        <v>1</v>
      </c>
      <c r="I142" s="113">
        <f>IFERROR(INDEX($BD$7:$BO$35,MATCH(Ajustes!$E$4:$E$323,$BC$7:$BC$35,0),$C$2:$N$2),1)</f>
        <v>1</v>
      </c>
      <c r="J142" s="113">
        <f>IFERROR(INDEX($BD$7:$BO$35,MATCH(Ajustes!$E$4:$E$323,$BC$7:$BC$35,0),$C$2:$N$2),1)</f>
        <v>1</v>
      </c>
      <c r="K142" s="113">
        <f>IFERROR(INDEX($BD$7:$BO$35,MATCH(Ajustes!$E$4:$E$323,$BC$7:$BC$35,0),$C$2:$N$2),1)</f>
        <v>1</v>
      </c>
      <c r="L142" s="113">
        <f>IFERROR(INDEX($BD$7:$BO$35,MATCH(Ajustes!$E$4:$E$323,$BC$7:$BC$35,0),$C$2:$N$2),1)</f>
        <v>1</v>
      </c>
      <c r="M142" s="113">
        <f>IFERROR(INDEX($BD$7:$BO$35,MATCH(Ajustes!$E$4:$E$323,$BC$7:$BC$35,0),$C$2:$N$2),1)</f>
        <v>1</v>
      </c>
      <c r="N142" s="113">
        <f>IFERROR(INDEX($BD$7:$BO$35,MATCH(Ajustes!$E$4:$E$323,$BC$7:$BC$35,0),$C$2:$N$2),1)</f>
        <v>1</v>
      </c>
      <c r="O142">
        <f>C142*Ajustes!AM142</f>
        <v>0</v>
      </c>
      <c r="P142">
        <f>D142*Ajustes!AN142</f>
        <v>0</v>
      </c>
      <c r="Q142">
        <f>E142*Ajustes!AO142</f>
        <v>0</v>
      </c>
      <c r="R142">
        <f>F142*Ajustes!AP142</f>
        <v>0</v>
      </c>
      <c r="S142">
        <f>G142*Ajustes!AQ142</f>
        <v>0</v>
      </c>
      <c r="T142">
        <f>H142*Ajustes!AR142</f>
        <v>0</v>
      </c>
      <c r="U142">
        <f>I142*Ajustes!AS142</f>
        <v>0</v>
      </c>
      <c r="V142">
        <f>J142*Ajustes!AT142</f>
        <v>0</v>
      </c>
      <c r="W142">
        <f>K142*Ajustes!AU142</f>
        <v>0</v>
      </c>
      <c r="X142">
        <f>L142*Ajustes!AV142</f>
        <v>0</v>
      </c>
      <c r="Y142">
        <f>M142*Ajustes!AW142</f>
        <v>0</v>
      </c>
      <c r="Z142">
        <f>N142*Ajustes!AX142</f>
        <v>0</v>
      </c>
      <c r="AA142">
        <f>IF(Ajustes!$G142&gt;0,INDEX($AA$4:$AL$323,Ajustes!$G142,O$2),0)+IF(Ajustes!$H142&gt;0,INDEX($AA$4:$AL$323,Ajustes!$H142,O$2),0)+IF(Ajustes!$I142&gt;0,INDEX($AA$4:$AL$323,Ajustes!$I142,O$2),0)+IF(Ajustes!$J142&gt;0,INDEX($AA$4:$AL$323,Ajustes!$J142,O$2),0)+IF(Ajustes!$K142&gt;0,INDEX($AA$5:$AL$324,Ajustes!$K142,O$2),0)+IF(Ajustes!$L142&gt;0,INDEX($AA$4:$AL$323,Ajustes!$L142,O$2),0) + O142</f>
        <v>0</v>
      </c>
      <c r="AB142">
        <f>IF(Ajustes!$G142&gt;0,INDEX($AA$4:$AL$323,Ajustes!$G142,P$2),0)+IF(Ajustes!$H142&gt;0,INDEX($AA$4:$AL$323,Ajustes!$H142,P$2),0)+IF(Ajustes!$I142&gt;0,INDEX($AA$4:$AL$323,Ajustes!$I142,P$2),0)+IF(Ajustes!$J142&gt;0,INDEX($AA$4:$AL$323,Ajustes!$J142,P$2),0)+IF(Ajustes!$K142&gt;0,INDEX($AA$5:$AL$324,Ajustes!$K142,P$2),0)+IF(Ajustes!$L142&gt;0,INDEX($AA$4:$AL$323,Ajustes!$L142,P$2),0) + P142</f>
        <v>0</v>
      </c>
      <c r="AC142">
        <f>IF(Ajustes!$G142&gt;0,INDEX($AA$4:$AL$323,Ajustes!$G142,Q$2),0)+IF(Ajustes!$H142&gt;0,INDEX($AA$4:$AL$323,Ajustes!$H142,Q$2),0)+IF(Ajustes!$I142&gt;0,INDEX($AA$4:$AL$323,Ajustes!$I142,Q$2),0)+IF(Ajustes!$J142&gt;0,INDEX($AA$4:$AL$323,Ajustes!$J142,Q$2),0)+IF(Ajustes!$K142&gt;0,INDEX($AA$5:$AL$324,Ajustes!$K142,Q$2),0)+IF(Ajustes!$L142&gt;0,INDEX($AA$4:$AL$323,Ajustes!$L142,Q$2),0) + Q142</f>
        <v>0</v>
      </c>
      <c r="AD142">
        <f>IF(Ajustes!$G142&gt;0,INDEX($AA$4:$AL$323,Ajustes!$G142,R$2),0)+IF(Ajustes!$H142&gt;0,INDEX($AA$4:$AL$323,Ajustes!$H142,R$2),0)+IF(Ajustes!$I142&gt;0,INDEX($AA$4:$AL$323,Ajustes!$I142,R$2),0)+IF(Ajustes!$J142&gt;0,INDEX($AA$4:$AL$323,Ajustes!$J142,R$2),0)+IF(Ajustes!$K142&gt;0,INDEX($AA$5:$AL$324,Ajustes!$K142,R$2),0)+IF(Ajustes!$L142&gt;0,INDEX($AA$4:$AL$323,Ajustes!$L142,R$2),0) + R142</f>
        <v>0</v>
      </c>
      <c r="AE142">
        <f>IF(Ajustes!$G142&gt;0,INDEX($AA$4:$AL$323,Ajustes!$G142,S$2),0)+IF(Ajustes!$H142&gt;0,INDEX($AA$4:$AL$323,Ajustes!$H142,S$2),0)+IF(Ajustes!$I142&gt;0,INDEX($AA$4:$AL$323,Ajustes!$I142,S$2),0)+IF(Ajustes!$J142&gt;0,INDEX($AA$4:$AL$323,Ajustes!$J142,S$2),0)+IF(Ajustes!$K142&gt;0,INDEX($AA$5:$AL$324,Ajustes!$K142,S$2),0)+IF(Ajustes!$L142&gt;0,INDEX($AA$4:$AL$323,Ajustes!$L142,S$2),0) + S142</f>
        <v>0</v>
      </c>
      <c r="AF142">
        <f>IF(Ajustes!$G142&gt;0,INDEX($AA$4:$AL$323,Ajustes!$G142,T$2),0)+IF(Ajustes!$H142&gt;0,INDEX($AA$4:$AL$323,Ajustes!$H142,T$2),0)+IF(Ajustes!$I142&gt;0,INDEX($AA$4:$AL$323,Ajustes!$I142,T$2),0)+IF(Ajustes!$J142&gt;0,INDEX($AA$4:$AL$323,Ajustes!$J142,T$2),0)+IF(Ajustes!$K142&gt;0,INDEX($AA$5:$AL$324,Ajustes!$K142,T$2),0)+IF(Ajustes!$L142&gt;0,INDEX($AA$4:$AL$323,Ajustes!$L142,T$2),0) + T142</f>
        <v>0</v>
      </c>
      <c r="AG142">
        <f>IF(Ajustes!$G142&gt;0,INDEX($AA$4:$AL$323,Ajustes!$G142,U$2),0)+IF(Ajustes!$H142&gt;0,INDEX($AA$4:$AL$323,Ajustes!$H142,U$2),0)+IF(Ajustes!$I142&gt;0,INDEX($AA$4:$AL$323,Ajustes!$I142,U$2),0)+IF(Ajustes!$J142&gt;0,INDEX($AA$4:$AL$323,Ajustes!$J142,U$2),0)+IF(Ajustes!$K142&gt;0,INDEX($AA$5:$AL$324,Ajustes!$K142,U$2),0)+IF(Ajustes!$L142&gt;0,INDEX($AA$4:$AL$323,Ajustes!$L142,U$2),0) + U142</f>
        <v>0</v>
      </c>
      <c r="AH142">
        <f>IF(Ajustes!$G142&gt;0,INDEX($AA$4:$AL$323,Ajustes!$G142,V$2),0)+IF(Ajustes!$H142&gt;0,INDEX($AA$4:$AL$323,Ajustes!$H142,V$2),0)+IF(Ajustes!$I142&gt;0,INDEX($AA$4:$AL$323,Ajustes!$I142,V$2),0)+IF(Ajustes!$J142&gt;0,INDEX($AA$4:$AL$323,Ajustes!$J142,V$2),0)+IF(Ajustes!$K142&gt;0,INDEX($AA$5:$AL$324,Ajustes!$K142,V$2),0)+IF(Ajustes!$L142&gt;0,INDEX($AA$4:$AL$323,Ajustes!$L142,V$2),0) + V142</f>
        <v>0</v>
      </c>
      <c r="AI142">
        <f>IF(Ajustes!$G142&gt;0,INDEX($AA$4:$AL$323,Ajustes!$G142,W$2),0)+IF(Ajustes!$H142&gt;0,INDEX($AA$4:$AL$323,Ajustes!$H142,W$2),0)+IF(Ajustes!$I142&gt;0,INDEX($AA$4:$AL$323,Ajustes!$I142,W$2),0)+IF(Ajustes!$J142&gt;0,INDEX($AA$4:$AL$323,Ajustes!$J142,W$2),0)+IF(Ajustes!$K142&gt;0,INDEX($AA$5:$AL$324,Ajustes!$K142,W$2),0)+IF(Ajustes!$L142&gt;0,INDEX($AA$4:$AL$323,Ajustes!$L142,W$2),0) + W142</f>
        <v>0</v>
      </c>
      <c r="AJ142">
        <f>IF(Ajustes!$G142&gt;0,INDEX($AA$4:$AL$323,Ajustes!$G142,X$2),0)+IF(Ajustes!$H142&gt;0,INDEX($AA$4:$AL$323,Ajustes!$H142,X$2),0)+IF(Ajustes!$I142&gt;0,INDEX($AA$4:$AL$323,Ajustes!$I142,X$2),0)+IF(Ajustes!$J142&gt;0,INDEX($AA$4:$AL$323,Ajustes!$J142,X$2),0)+IF(Ajustes!$K142&gt;0,INDEX($AA$5:$AL$324,Ajustes!$K142,X$2),0)+IF(Ajustes!$L142&gt;0,INDEX($AA$4:$AL$323,Ajustes!$L142,X$2),0) + X142</f>
        <v>0</v>
      </c>
      <c r="AK142">
        <f>IF(Ajustes!$G142&gt;0,INDEX($AA$4:$AL$323,Ajustes!$G142,Y$2),0)+IF(Ajustes!$H142&gt;0,INDEX($AA$4:$AL$323,Ajustes!$H142,Y$2),0)+IF(Ajustes!$I142&gt;0,INDEX($AA$4:$AL$323,Ajustes!$I142,Y$2),0)+IF(Ajustes!$J142&gt;0,INDEX($AA$4:$AL$323,Ajustes!$J142,Y$2),0)+IF(Ajustes!$K142&gt;0,INDEX($AA$5:$AL$324,Ajustes!$K142,Y$2),0)+IF(Ajustes!$L142&gt;0,INDEX($AA$4:$AL$323,Ajustes!$L142,Y$2),0) + Y142</f>
        <v>0</v>
      </c>
      <c r="AL142">
        <f>IF(Ajustes!$G142&gt;0,INDEX($AA$4:$AL$323,Ajustes!$G142,Z$2),0)+IF(Ajustes!$H142&gt;0,INDEX($AA$4:$AL$323,Ajustes!$H142,Z$2),0)+IF(Ajustes!$I142&gt;0,INDEX($AA$4:$AL$323,Ajustes!$I142,Z$2),0)+IF(Ajustes!$J142&gt;0,INDEX($AA$4:$AL$323,Ajustes!$J142,Z$2),0)+IF(Ajustes!$K142&gt;0,INDEX($AA$5:$AL$324,Ajustes!$K142,Z$2),0)+IF(Ajustes!$L142&gt;0,INDEX($AA$4:$AL$323,Ajustes!$L142,Z$2),0) + Z142</f>
        <v>0</v>
      </c>
      <c r="AM142" s="113">
        <f t="shared" si="39"/>
        <v>0</v>
      </c>
      <c r="AN142" s="113">
        <f t="shared" si="39"/>
        <v>0</v>
      </c>
      <c r="AO142" s="113">
        <f t="shared" si="39"/>
        <v>0</v>
      </c>
      <c r="AP142" s="113">
        <f t="shared" si="39"/>
        <v>0</v>
      </c>
      <c r="AQ142" s="113">
        <f t="shared" si="39"/>
        <v>0</v>
      </c>
      <c r="AR142" s="113">
        <f t="shared" si="40"/>
        <v>0</v>
      </c>
      <c r="AS142" s="113">
        <f t="shared" si="40"/>
        <v>0</v>
      </c>
      <c r="AT142" s="113">
        <f t="shared" si="40"/>
        <v>0</v>
      </c>
      <c r="AU142" s="113">
        <f t="shared" si="40"/>
        <v>0</v>
      </c>
      <c r="AV142" s="113">
        <f t="shared" si="40"/>
        <v>0</v>
      </c>
      <c r="AW142" s="113">
        <f t="shared" si="41"/>
        <v>0</v>
      </c>
      <c r="AX142" s="113">
        <f t="shared" si="41"/>
        <v>0</v>
      </c>
    </row>
    <row r="143" spans="1:50" x14ac:dyDescent="0.25">
      <c r="A143" s="113">
        <v>140</v>
      </c>
      <c r="B143" s="209"/>
      <c r="C143">
        <f>IFERROR(INDEX($BD$7:$BO$35,MATCH(Ajustes!$E$4:$E$323,$BC$7:$BC$35,0),$C$2:$N$2),1)</f>
        <v>1</v>
      </c>
      <c r="D143" s="113">
        <f>IFERROR(INDEX($BD$7:$BO$35,MATCH(Ajustes!$E$4:$E$323,$BC$7:$BC$35,0),$C$2:$N$2),1)</f>
        <v>1</v>
      </c>
      <c r="E143" s="113">
        <f>IFERROR(INDEX($BD$7:$BO$35,MATCH(Ajustes!$E$4:$E$323,$BC$7:$BC$35,0),$C$2:$N$2),1)</f>
        <v>1</v>
      </c>
      <c r="F143" s="113">
        <f>IFERROR(INDEX($BD$7:$BO$35,MATCH(Ajustes!$E$4:$E$323,$BC$7:$BC$35,0),$C$2:$N$2),1)</f>
        <v>1</v>
      </c>
      <c r="G143" s="113">
        <f>IFERROR(INDEX($BD$7:$BO$35,MATCH(Ajustes!$E$4:$E$323,$BC$7:$BC$35,0),$C$2:$N$2),1)</f>
        <v>1</v>
      </c>
      <c r="H143" s="113">
        <f>IFERROR(INDEX($BD$7:$BO$35,MATCH(Ajustes!$E$4:$E$323,$BC$7:$BC$35,0),$C$2:$N$2),1)</f>
        <v>1</v>
      </c>
      <c r="I143" s="113">
        <f>IFERROR(INDEX($BD$7:$BO$35,MATCH(Ajustes!$E$4:$E$323,$BC$7:$BC$35,0),$C$2:$N$2),1)</f>
        <v>1</v>
      </c>
      <c r="J143" s="113">
        <f>IFERROR(INDEX($BD$7:$BO$35,MATCH(Ajustes!$E$4:$E$323,$BC$7:$BC$35,0),$C$2:$N$2),1)</f>
        <v>1</v>
      </c>
      <c r="K143" s="113">
        <f>IFERROR(INDEX($BD$7:$BO$35,MATCH(Ajustes!$E$4:$E$323,$BC$7:$BC$35,0),$C$2:$N$2),1)</f>
        <v>1</v>
      </c>
      <c r="L143" s="113">
        <f>IFERROR(INDEX($BD$7:$BO$35,MATCH(Ajustes!$E$4:$E$323,$BC$7:$BC$35,0),$C$2:$N$2),1)</f>
        <v>1</v>
      </c>
      <c r="M143" s="113">
        <f>IFERROR(INDEX($BD$7:$BO$35,MATCH(Ajustes!$E$4:$E$323,$BC$7:$BC$35,0),$C$2:$N$2),1)</f>
        <v>1</v>
      </c>
      <c r="N143" s="113">
        <f>IFERROR(INDEX($BD$7:$BO$35,MATCH(Ajustes!$E$4:$E$323,$BC$7:$BC$35,0),$C$2:$N$2),1)</f>
        <v>1</v>
      </c>
      <c r="O143">
        <f>C143*Ajustes!AM143</f>
        <v>0</v>
      </c>
      <c r="P143">
        <f>D143*Ajustes!AN143</f>
        <v>0</v>
      </c>
      <c r="Q143">
        <f>E143*Ajustes!AO143</f>
        <v>0</v>
      </c>
      <c r="R143">
        <f>F143*Ajustes!AP143</f>
        <v>0</v>
      </c>
      <c r="S143">
        <f>G143*Ajustes!AQ143</f>
        <v>0</v>
      </c>
      <c r="T143">
        <f>H143*Ajustes!AR143</f>
        <v>0</v>
      </c>
      <c r="U143">
        <f>I143*Ajustes!AS143</f>
        <v>0</v>
      </c>
      <c r="V143">
        <f>J143*Ajustes!AT143</f>
        <v>0</v>
      </c>
      <c r="W143">
        <f>K143*Ajustes!AU143</f>
        <v>0</v>
      </c>
      <c r="X143">
        <f>L143*Ajustes!AV143</f>
        <v>0</v>
      </c>
      <c r="Y143">
        <f>M143*Ajustes!AW143</f>
        <v>0</v>
      </c>
      <c r="Z143">
        <f>N143*Ajustes!AX143</f>
        <v>0</v>
      </c>
      <c r="AA143">
        <f>IF(Ajustes!$G143&gt;0,INDEX($AA$4:$AL$323,Ajustes!$G143,O$2),0)+IF(Ajustes!$H143&gt;0,INDEX($AA$4:$AL$323,Ajustes!$H143,O$2),0)+IF(Ajustes!$I143&gt;0,INDEX($AA$4:$AL$323,Ajustes!$I143,O$2),0)+IF(Ajustes!$J143&gt;0,INDEX($AA$4:$AL$323,Ajustes!$J143,O$2),0)+IF(Ajustes!$K143&gt;0,INDEX($AA$5:$AL$324,Ajustes!$K143,O$2),0)+IF(Ajustes!$L143&gt;0,INDEX($AA$4:$AL$323,Ajustes!$L143,O$2),0) + O143</f>
        <v>0</v>
      </c>
      <c r="AB143">
        <f>IF(Ajustes!$G143&gt;0,INDEX($AA$4:$AL$323,Ajustes!$G143,P$2),0)+IF(Ajustes!$H143&gt;0,INDEX($AA$4:$AL$323,Ajustes!$H143,P$2),0)+IF(Ajustes!$I143&gt;0,INDEX($AA$4:$AL$323,Ajustes!$I143,P$2),0)+IF(Ajustes!$J143&gt;0,INDEX($AA$4:$AL$323,Ajustes!$J143,P$2),0)+IF(Ajustes!$K143&gt;0,INDEX($AA$5:$AL$324,Ajustes!$K143,P$2),0)+IF(Ajustes!$L143&gt;0,INDEX($AA$4:$AL$323,Ajustes!$L143,P$2),0) + P143</f>
        <v>0</v>
      </c>
      <c r="AC143">
        <f>IF(Ajustes!$G143&gt;0,INDEX($AA$4:$AL$323,Ajustes!$G143,Q$2),0)+IF(Ajustes!$H143&gt;0,INDEX($AA$4:$AL$323,Ajustes!$H143,Q$2),0)+IF(Ajustes!$I143&gt;0,INDEX($AA$4:$AL$323,Ajustes!$I143,Q$2),0)+IF(Ajustes!$J143&gt;0,INDEX($AA$4:$AL$323,Ajustes!$J143,Q$2),0)+IF(Ajustes!$K143&gt;0,INDEX($AA$5:$AL$324,Ajustes!$K143,Q$2),0)+IF(Ajustes!$L143&gt;0,INDEX($AA$4:$AL$323,Ajustes!$L143,Q$2),0) + Q143</f>
        <v>0</v>
      </c>
      <c r="AD143">
        <f>IF(Ajustes!$G143&gt;0,INDEX($AA$4:$AL$323,Ajustes!$G143,R$2),0)+IF(Ajustes!$H143&gt;0,INDEX($AA$4:$AL$323,Ajustes!$H143,R$2),0)+IF(Ajustes!$I143&gt;0,INDEX($AA$4:$AL$323,Ajustes!$I143,R$2),0)+IF(Ajustes!$J143&gt;0,INDEX($AA$4:$AL$323,Ajustes!$J143,R$2),0)+IF(Ajustes!$K143&gt;0,INDEX($AA$5:$AL$324,Ajustes!$K143,R$2),0)+IF(Ajustes!$L143&gt;0,INDEX($AA$4:$AL$323,Ajustes!$L143,R$2),0) + R143</f>
        <v>0</v>
      </c>
      <c r="AE143">
        <f>IF(Ajustes!$G143&gt;0,INDEX($AA$4:$AL$323,Ajustes!$G143,S$2),0)+IF(Ajustes!$H143&gt;0,INDEX($AA$4:$AL$323,Ajustes!$H143,S$2),0)+IF(Ajustes!$I143&gt;0,INDEX($AA$4:$AL$323,Ajustes!$I143,S$2),0)+IF(Ajustes!$J143&gt;0,INDEX($AA$4:$AL$323,Ajustes!$J143,S$2),0)+IF(Ajustes!$K143&gt;0,INDEX($AA$5:$AL$324,Ajustes!$K143,S$2),0)+IF(Ajustes!$L143&gt;0,INDEX($AA$4:$AL$323,Ajustes!$L143,S$2),0) + S143</f>
        <v>0</v>
      </c>
      <c r="AF143">
        <f>IF(Ajustes!$G143&gt;0,INDEX($AA$4:$AL$323,Ajustes!$G143,T$2),0)+IF(Ajustes!$H143&gt;0,INDEX($AA$4:$AL$323,Ajustes!$H143,T$2),0)+IF(Ajustes!$I143&gt;0,INDEX($AA$4:$AL$323,Ajustes!$I143,T$2),0)+IF(Ajustes!$J143&gt;0,INDEX($AA$4:$AL$323,Ajustes!$J143,T$2),0)+IF(Ajustes!$K143&gt;0,INDEX($AA$5:$AL$324,Ajustes!$K143,T$2),0)+IF(Ajustes!$L143&gt;0,INDEX($AA$4:$AL$323,Ajustes!$L143,T$2),0) + T143</f>
        <v>0</v>
      </c>
      <c r="AG143">
        <f>IF(Ajustes!$G143&gt;0,INDEX($AA$4:$AL$323,Ajustes!$G143,U$2),0)+IF(Ajustes!$H143&gt;0,INDEX($AA$4:$AL$323,Ajustes!$H143,U$2),0)+IF(Ajustes!$I143&gt;0,INDEX($AA$4:$AL$323,Ajustes!$I143,U$2),0)+IF(Ajustes!$J143&gt;0,INDEX($AA$4:$AL$323,Ajustes!$J143,U$2),0)+IF(Ajustes!$K143&gt;0,INDEX($AA$5:$AL$324,Ajustes!$K143,U$2),0)+IF(Ajustes!$L143&gt;0,INDEX($AA$4:$AL$323,Ajustes!$L143,U$2),0) + U143</f>
        <v>0</v>
      </c>
      <c r="AH143">
        <f>IF(Ajustes!$G143&gt;0,INDEX($AA$4:$AL$323,Ajustes!$G143,V$2),0)+IF(Ajustes!$H143&gt;0,INDEX($AA$4:$AL$323,Ajustes!$H143,V$2),0)+IF(Ajustes!$I143&gt;0,INDEX($AA$4:$AL$323,Ajustes!$I143,V$2),0)+IF(Ajustes!$J143&gt;0,INDEX($AA$4:$AL$323,Ajustes!$J143,V$2),0)+IF(Ajustes!$K143&gt;0,INDEX($AA$5:$AL$324,Ajustes!$K143,V$2),0)+IF(Ajustes!$L143&gt;0,INDEX($AA$4:$AL$323,Ajustes!$L143,V$2),0) + V143</f>
        <v>0</v>
      </c>
      <c r="AI143">
        <f>IF(Ajustes!$G143&gt;0,INDEX($AA$4:$AL$323,Ajustes!$G143,W$2),0)+IF(Ajustes!$H143&gt;0,INDEX($AA$4:$AL$323,Ajustes!$H143,W$2),0)+IF(Ajustes!$I143&gt;0,INDEX($AA$4:$AL$323,Ajustes!$I143,W$2),0)+IF(Ajustes!$J143&gt;0,INDEX($AA$4:$AL$323,Ajustes!$J143,W$2),0)+IF(Ajustes!$K143&gt;0,INDEX($AA$5:$AL$324,Ajustes!$K143,W$2),0)+IF(Ajustes!$L143&gt;0,INDEX($AA$4:$AL$323,Ajustes!$L143,W$2),0) + W143</f>
        <v>0</v>
      </c>
      <c r="AJ143">
        <f>IF(Ajustes!$G143&gt;0,INDEX($AA$4:$AL$323,Ajustes!$G143,X$2),0)+IF(Ajustes!$H143&gt;0,INDEX($AA$4:$AL$323,Ajustes!$H143,X$2),0)+IF(Ajustes!$I143&gt;0,INDEX($AA$4:$AL$323,Ajustes!$I143,X$2),0)+IF(Ajustes!$J143&gt;0,INDEX($AA$4:$AL$323,Ajustes!$J143,X$2),0)+IF(Ajustes!$K143&gt;0,INDEX($AA$5:$AL$324,Ajustes!$K143,X$2),0)+IF(Ajustes!$L143&gt;0,INDEX($AA$4:$AL$323,Ajustes!$L143,X$2),0) + X143</f>
        <v>0</v>
      </c>
      <c r="AK143">
        <f>IF(Ajustes!$G143&gt;0,INDEX($AA$4:$AL$323,Ajustes!$G143,Y$2),0)+IF(Ajustes!$H143&gt;0,INDEX($AA$4:$AL$323,Ajustes!$H143,Y$2),0)+IF(Ajustes!$I143&gt;0,INDEX($AA$4:$AL$323,Ajustes!$I143,Y$2),0)+IF(Ajustes!$J143&gt;0,INDEX($AA$4:$AL$323,Ajustes!$J143,Y$2),0)+IF(Ajustes!$K143&gt;0,INDEX($AA$5:$AL$324,Ajustes!$K143,Y$2),0)+IF(Ajustes!$L143&gt;0,INDEX($AA$4:$AL$323,Ajustes!$L143,Y$2),0) + Y143</f>
        <v>0</v>
      </c>
      <c r="AL143">
        <f>IF(Ajustes!$G143&gt;0,INDEX($AA$4:$AL$323,Ajustes!$G143,Z$2),0)+IF(Ajustes!$H143&gt;0,INDEX($AA$4:$AL$323,Ajustes!$H143,Z$2),0)+IF(Ajustes!$I143&gt;0,INDEX($AA$4:$AL$323,Ajustes!$I143,Z$2),0)+IF(Ajustes!$J143&gt;0,INDEX($AA$4:$AL$323,Ajustes!$J143,Z$2),0)+IF(Ajustes!$K143&gt;0,INDEX($AA$5:$AL$324,Ajustes!$K143,Z$2),0)+IF(Ajustes!$L143&gt;0,INDEX($AA$4:$AL$323,Ajustes!$L143,Z$2),0) + Z143</f>
        <v>0</v>
      </c>
      <c r="AM143" s="113">
        <f t="shared" si="39"/>
        <v>0</v>
      </c>
      <c r="AN143" s="113">
        <f t="shared" si="39"/>
        <v>0</v>
      </c>
      <c r="AO143" s="113">
        <f t="shared" si="39"/>
        <v>0</v>
      </c>
      <c r="AP143" s="113">
        <f t="shared" si="39"/>
        <v>0</v>
      </c>
      <c r="AQ143" s="113">
        <f t="shared" si="39"/>
        <v>0</v>
      </c>
      <c r="AR143" s="113">
        <f t="shared" si="40"/>
        <v>0</v>
      </c>
      <c r="AS143" s="113">
        <f t="shared" si="40"/>
        <v>0</v>
      </c>
      <c r="AT143" s="113">
        <f t="shared" si="40"/>
        <v>0</v>
      </c>
      <c r="AU143" s="113">
        <f t="shared" si="40"/>
        <v>0</v>
      </c>
      <c r="AV143" s="113">
        <f t="shared" si="40"/>
        <v>0</v>
      </c>
      <c r="AW143" s="113">
        <f t="shared" si="41"/>
        <v>0</v>
      </c>
      <c r="AX143" s="113">
        <f t="shared" si="41"/>
        <v>0</v>
      </c>
    </row>
    <row r="144" spans="1:50" x14ac:dyDescent="0.25">
      <c r="A144" s="113">
        <v>141</v>
      </c>
      <c r="B144" s="209" t="s">
        <v>607</v>
      </c>
      <c r="C144">
        <f>IFERROR(INDEX($BD$7:$BO$35,MATCH(Ajustes!$E$4:$E$323,$BC$7:$BC$35,0),$C$2:$N$2),1)</f>
        <v>1</v>
      </c>
      <c r="D144" s="113">
        <f>IFERROR(INDEX($BD$7:$BO$35,MATCH(Ajustes!$E$4:$E$323,$BC$7:$BC$35,0),$C$2:$N$2),1)</f>
        <v>1</v>
      </c>
      <c r="E144" s="113">
        <f>IFERROR(INDEX($BD$7:$BO$35,MATCH(Ajustes!$E$4:$E$323,$BC$7:$BC$35,0),$C$2:$N$2),1)</f>
        <v>1</v>
      </c>
      <c r="F144" s="113">
        <f>IFERROR(INDEX($BD$7:$BO$35,MATCH(Ajustes!$E$4:$E$323,$BC$7:$BC$35,0),$C$2:$N$2),1)</f>
        <v>1</v>
      </c>
      <c r="G144" s="113">
        <f>IFERROR(INDEX($BD$7:$BO$35,MATCH(Ajustes!$E$4:$E$323,$BC$7:$BC$35,0),$C$2:$N$2),1)</f>
        <v>1</v>
      </c>
      <c r="H144" s="113">
        <f>IFERROR(INDEX($BD$7:$BO$35,MATCH(Ajustes!$E$4:$E$323,$BC$7:$BC$35,0),$C$2:$N$2),1)</f>
        <v>1</v>
      </c>
      <c r="I144" s="113">
        <f>IFERROR(INDEX($BD$7:$BO$35,MATCH(Ajustes!$E$4:$E$323,$BC$7:$BC$35,0),$C$2:$N$2),1)</f>
        <v>1</v>
      </c>
      <c r="J144" s="113">
        <f>IFERROR(INDEX($BD$7:$BO$35,MATCH(Ajustes!$E$4:$E$323,$BC$7:$BC$35,0),$C$2:$N$2),1)</f>
        <v>1</v>
      </c>
      <c r="K144" s="113">
        <f>IFERROR(INDEX($BD$7:$BO$35,MATCH(Ajustes!$E$4:$E$323,$BC$7:$BC$35,0),$C$2:$N$2),1)</f>
        <v>1</v>
      </c>
      <c r="L144" s="113">
        <f>IFERROR(INDEX($BD$7:$BO$35,MATCH(Ajustes!$E$4:$E$323,$BC$7:$BC$35,0),$C$2:$N$2),1)</f>
        <v>1</v>
      </c>
      <c r="M144" s="113">
        <f>IFERROR(INDEX($BD$7:$BO$35,MATCH(Ajustes!$E$4:$E$323,$BC$7:$BC$35,0),$C$2:$N$2),1)</f>
        <v>1</v>
      </c>
      <c r="N144" s="113">
        <f>IFERROR(INDEX($BD$7:$BO$35,MATCH(Ajustes!$E$4:$E$323,$BC$7:$BC$35,0),$C$2:$N$2),1)</f>
        <v>1</v>
      </c>
      <c r="O144">
        <f>C144*Ajustes!AM144</f>
        <v>302</v>
      </c>
      <c r="P144">
        <f>D144*Ajustes!AN144</f>
        <v>244</v>
      </c>
      <c r="Q144">
        <f>E144*Ajustes!AO144</f>
        <v>211</v>
      </c>
      <c r="R144">
        <f>F144*Ajustes!AP144</f>
        <v>180</v>
      </c>
      <c r="S144">
        <f>G144*Ajustes!AQ144</f>
        <v>137</v>
      </c>
      <c r="T144">
        <f>H144*Ajustes!AR144</f>
        <v>118</v>
      </c>
      <c r="U144">
        <f>I144*Ajustes!AS144</f>
        <v>107</v>
      </c>
      <c r="V144">
        <f>J144*Ajustes!AT144</f>
        <v>98</v>
      </c>
      <c r="W144">
        <f>K144*Ajustes!AU144</f>
        <v>94</v>
      </c>
      <c r="X144">
        <f>L144*Ajustes!AV144</f>
        <v>107</v>
      </c>
      <c r="Y144">
        <f>M144*Ajustes!AW144</f>
        <v>161</v>
      </c>
      <c r="Z144">
        <f>N144*Ajustes!AX144</f>
        <v>268</v>
      </c>
      <c r="AA144">
        <f>IF(Ajustes!$G144&gt;0,INDEX($AA$4:$AL$323,Ajustes!$G144,O$2),0)+IF(Ajustes!$H144&gt;0,INDEX($AA$4:$AL$323,Ajustes!$H144,O$2),0)+IF(Ajustes!$I144&gt;0,INDEX($AA$4:$AL$323,Ajustes!$I144,O$2),0)+IF(Ajustes!$J144&gt;0,INDEX($AA$4:$AL$323,Ajustes!$J144,O$2),0)+IF(Ajustes!$K144&gt;0,INDEX($AA$5:$AL$324,Ajustes!$K144,O$2),0)+IF(Ajustes!$L144&gt;0,INDEX($AA$4:$AL$323,Ajustes!$L144,O$2),0) + O144</f>
        <v>1053</v>
      </c>
      <c r="AB144">
        <f>IF(Ajustes!$G144&gt;0,INDEX($AA$4:$AL$323,Ajustes!$G144,P$2),0)+IF(Ajustes!$H144&gt;0,INDEX($AA$4:$AL$323,Ajustes!$H144,P$2),0)+IF(Ajustes!$I144&gt;0,INDEX($AA$4:$AL$323,Ajustes!$I144,P$2),0)+IF(Ajustes!$J144&gt;0,INDEX($AA$4:$AL$323,Ajustes!$J144,P$2),0)+IF(Ajustes!$K144&gt;0,INDEX($AA$5:$AL$324,Ajustes!$K144,P$2),0)+IF(Ajustes!$L144&gt;0,INDEX($AA$4:$AL$323,Ajustes!$L144,P$2),0) + P144</f>
        <v>855</v>
      </c>
      <c r="AC144">
        <f>IF(Ajustes!$G144&gt;0,INDEX($AA$4:$AL$323,Ajustes!$G144,Q$2),0)+IF(Ajustes!$H144&gt;0,INDEX($AA$4:$AL$323,Ajustes!$H144,Q$2),0)+IF(Ajustes!$I144&gt;0,INDEX($AA$4:$AL$323,Ajustes!$I144,Q$2),0)+IF(Ajustes!$J144&gt;0,INDEX($AA$4:$AL$323,Ajustes!$J144,Q$2),0)+IF(Ajustes!$K144&gt;0,INDEX($AA$5:$AL$324,Ajustes!$K144,Q$2),0)+IF(Ajustes!$L144&gt;0,INDEX($AA$4:$AL$323,Ajustes!$L144,Q$2),0) + Q144</f>
        <v>756</v>
      </c>
      <c r="AD144">
        <f>IF(Ajustes!$G144&gt;0,INDEX($AA$4:$AL$323,Ajustes!$G144,R$2),0)+IF(Ajustes!$H144&gt;0,INDEX($AA$4:$AL$323,Ajustes!$H144,R$2),0)+IF(Ajustes!$I144&gt;0,INDEX($AA$4:$AL$323,Ajustes!$I144,R$2),0)+IF(Ajustes!$J144&gt;0,INDEX($AA$4:$AL$323,Ajustes!$J144,R$2),0)+IF(Ajustes!$K144&gt;0,INDEX($AA$5:$AL$324,Ajustes!$K144,R$2),0)+IF(Ajustes!$L144&gt;0,INDEX($AA$4:$AL$323,Ajustes!$L144,R$2),0) + R144</f>
        <v>593</v>
      </c>
      <c r="AE144">
        <f>IF(Ajustes!$G144&gt;0,INDEX($AA$4:$AL$323,Ajustes!$G144,S$2),0)+IF(Ajustes!$H144&gt;0,INDEX($AA$4:$AL$323,Ajustes!$H144,S$2),0)+IF(Ajustes!$I144&gt;0,INDEX($AA$4:$AL$323,Ajustes!$I144,S$2),0)+IF(Ajustes!$J144&gt;0,INDEX($AA$4:$AL$323,Ajustes!$J144,S$2),0)+IF(Ajustes!$K144&gt;0,INDEX($AA$5:$AL$324,Ajustes!$K144,S$2),0)+IF(Ajustes!$L144&gt;0,INDEX($AA$4:$AL$323,Ajustes!$L144,S$2),0) + S144</f>
        <v>444</v>
      </c>
      <c r="AF144">
        <f>IF(Ajustes!$G144&gt;0,INDEX($AA$4:$AL$323,Ajustes!$G144,T$2),0)+IF(Ajustes!$H144&gt;0,INDEX($AA$4:$AL$323,Ajustes!$H144,T$2),0)+IF(Ajustes!$I144&gt;0,INDEX($AA$4:$AL$323,Ajustes!$I144,T$2),0)+IF(Ajustes!$J144&gt;0,INDEX($AA$4:$AL$323,Ajustes!$J144,T$2),0)+IF(Ajustes!$K144&gt;0,INDEX($AA$5:$AL$324,Ajustes!$K144,T$2),0)+IF(Ajustes!$L144&gt;0,INDEX($AA$4:$AL$323,Ajustes!$L144,T$2),0) + T144</f>
        <v>378</v>
      </c>
      <c r="AG144">
        <f>IF(Ajustes!$G144&gt;0,INDEX($AA$4:$AL$323,Ajustes!$G144,U$2),0)+IF(Ajustes!$H144&gt;0,INDEX($AA$4:$AL$323,Ajustes!$H144,U$2),0)+IF(Ajustes!$I144&gt;0,INDEX($AA$4:$AL$323,Ajustes!$I144,U$2),0)+IF(Ajustes!$J144&gt;0,INDEX($AA$4:$AL$323,Ajustes!$J144,U$2),0)+IF(Ajustes!$K144&gt;0,INDEX($AA$5:$AL$324,Ajustes!$K144,U$2),0)+IF(Ajustes!$L144&gt;0,INDEX($AA$4:$AL$323,Ajustes!$L144,U$2),0) + U144</f>
        <v>335</v>
      </c>
      <c r="AH144">
        <f>IF(Ajustes!$G144&gt;0,INDEX($AA$4:$AL$323,Ajustes!$G144,V$2),0)+IF(Ajustes!$H144&gt;0,INDEX($AA$4:$AL$323,Ajustes!$H144,V$2),0)+IF(Ajustes!$I144&gt;0,INDEX($AA$4:$AL$323,Ajustes!$I144,V$2),0)+IF(Ajustes!$J144&gt;0,INDEX($AA$4:$AL$323,Ajustes!$J144,V$2),0)+IF(Ajustes!$K144&gt;0,INDEX($AA$5:$AL$324,Ajustes!$K144,V$2),0)+IF(Ajustes!$L144&gt;0,INDEX($AA$4:$AL$323,Ajustes!$L144,V$2),0) + V144</f>
        <v>300</v>
      </c>
      <c r="AI144">
        <f>IF(Ajustes!$G144&gt;0,INDEX($AA$4:$AL$323,Ajustes!$G144,W$2),0)+IF(Ajustes!$H144&gt;0,INDEX($AA$4:$AL$323,Ajustes!$H144,W$2),0)+IF(Ajustes!$I144&gt;0,INDEX($AA$4:$AL$323,Ajustes!$I144,W$2),0)+IF(Ajustes!$J144&gt;0,INDEX($AA$4:$AL$323,Ajustes!$J144,W$2),0)+IF(Ajustes!$K144&gt;0,INDEX($AA$5:$AL$324,Ajustes!$K144,W$2),0)+IF(Ajustes!$L144&gt;0,INDEX($AA$4:$AL$323,Ajustes!$L144,W$2),0) + W144</f>
        <v>292</v>
      </c>
      <c r="AJ144">
        <f>IF(Ajustes!$G144&gt;0,INDEX($AA$4:$AL$323,Ajustes!$G144,X$2),0)+IF(Ajustes!$H144&gt;0,INDEX($AA$4:$AL$323,Ajustes!$H144,X$2),0)+IF(Ajustes!$I144&gt;0,INDEX($AA$4:$AL$323,Ajustes!$I144,X$2),0)+IF(Ajustes!$J144&gt;0,INDEX($AA$4:$AL$323,Ajustes!$J144,X$2),0)+IF(Ajustes!$K144&gt;0,INDEX($AA$5:$AL$324,Ajustes!$K144,X$2),0)+IF(Ajustes!$L144&gt;0,INDEX($AA$4:$AL$323,Ajustes!$L144,X$2),0) + X144</f>
        <v>352</v>
      </c>
      <c r="AK144">
        <f>IF(Ajustes!$G144&gt;0,INDEX($AA$4:$AL$323,Ajustes!$G144,Y$2),0)+IF(Ajustes!$H144&gt;0,INDEX($AA$4:$AL$323,Ajustes!$H144,Y$2),0)+IF(Ajustes!$I144&gt;0,INDEX($AA$4:$AL$323,Ajustes!$I144,Y$2),0)+IF(Ajustes!$J144&gt;0,INDEX($AA$4:$AL$323,Ajustes!$J144,Y$2),0)+IF(Ajustes!$K144&gt;0,INDEX($AA$5:$AL$324,Ajustes!$K144,Y$2),0)+IF(Ajustes!$L144&gt;0,INDEX($AA$4:$AL$323,Ajustes!$L144,Y$2),0) + Y144</f>
        <v>563</v>
      </c>
      <c r="AL144">
        <f>IF(Ajustes!$G144&gt;0,INDEX($AA$4:$AL$323,Ajustes!$G144,Z$2),0)+IF(Ajustes!$H144&gt;0,INDEX($AA$4:$AL$323,Ajustes!$H144,Z$2),0)+IF(Ajustes!$I144&gt;0,INDEX($AA$4:$AL$323,Ajustes!$I144,Z$2),0)+IF(Ajustes!$J144&gt;0,INDEX($AA$4:$AL$323,Ajustes!$J144,Z$2),0)+IF(Ajustes!$K144&gt;0,INDEX($AA$5:$AL$324,Ajustes!$K144,Z$2),0)+IF(Ajustes!$L144&gt;0,INDEX($AA$4:$AL$323,Ajustes!$L144,Z$2),0) + Z144</f>
        <v>910</v>
      </c>
      <c r="AM144" s="113">
        <f t="shared" si="39"/>
        <v>1053</v>
      </c>
      <c r="AN144" s="113">
        <f t="shared" si="39"/>
        <v>855</v>
      </c>
      <c r="AO144" s="113">
        <f t="shared" si="39"/>
        <v>756</v>
      </c>
      <c r="AP144" s="113">
        <f t="shared" si="39"/>
        <v>593</v>
      </c>
      <c r="AQ144" s="113">
        <f t="shared" si="39"/>
        <v>444</v>
      </c>
      <c r="AR144" s="113">
        <f t="shared" si="40"/>
        <v>378</v>
      </c>
      <c r="AS144" s="113">
        <f t="shared" si="40"/>
        <v>335</v>
      </c>
      <c r="AT144" s="113">
        <f t="shared" si="40"/>
        <v>300</v>
      </c>
      <c r="AU144" s="113">
        <f t="shared" si="40"/>
        <v>292</v>
      </c>
      <c r="AV144" s="113">
        <f t="shared" si="40"/>
        <v>352</v>
      </c>
      <c r="AW144" s="113">
        <f t="shared" si="41"/>
        <v>563</v>
      </c>
      <c r="AX144" s="113">
        <f t="shared" si="41"/>
        <v>910</v>
      </c>
    </row>
    <row r="145" spans="1:50" x14ac:dyDescent="0.25">
      <c r="A145" s="113">
        <v>142</v>
      </c>
      <c r="B145" s="209"/>
      <c r="C145">
        <f>IFERROR(INDEX($BD$7:$BO$35,MATCH(Ajustes!$E$4:$E$323,$BC$7:$BC$35,0),$C$2:$N$2),1)</f>
        <v>1</v>
      </c>
      <c r="D145" s="113">
        <f>IFERROR(INDEX($BD$7:$BO$35,MATCH(Ajustes!$E$4:$E$323,$BC$7:$BC$35,0),$C$2:$N$2),1)</f>
        <v>1</v>
      </c>
      <c r="E145" s="113">
        <f>IFERROR(INDEX($BD$7:$BO$35,MATCH(Ajustes!$E$4:$E$323,$BC$7:$BC$35,0),$C$2:$N$2),1)</f>
        <v>1</v>
      </c>
      <c r="F145" s="113">
        <f>IFERROR(INDEX($BD$7:$BO$35,MATCH(Ajustes!$E$4:$E$323,$BC$7:$BC$35,0),$C$2:$N$2),1)</f>
        <v>1</v>
      </c>
      <c r="G145" s="113">
        <f>IFERROR(INDEX($BD$7:$BO$35,MATCH(Ajustes!$E$4:$E$323,$BC$7:$BC$35,0),$C$2:$N$2),1)</f>
        <v>1</v>
      </c>
      <c r="H145" s="113">
        <f>IFERROR(INDEX($BD$7:$BO$35,MATCH(Ajustes!$E$4:$E$323,$BC$7:$BC$35,0),$C$2:$N$2),1)</f>
        <v>1</v>
      </c>
      <c r="I145" s="113">
        <f>IFERROR(INDEX($BD$7:$BO$35,MATCH(Ajustes!$E$4:$E$323,$BC$7:$BC$35,0),$C$2:$N$2),1)</f>
        <v>1</v>
      </c>
      <c r="J145" s="113">
        <f>IFERROR(INDEX($BD$7:$BO$35,MATCH(Ajustes!$E$4:$E$323,$BC$7:$BC$35,0),$C$2:$N$2),1)</f>
        <v>1</v>
      </c>
      <c r="K145" s="113">
        <f>IFERROR(INDEX($BD$7:$BO$35,MATCH(Ajustes!$E$4:$E$323,$BC$7:$BC$35,0),$C$2:$N$2),1)</f>
        <v>1</v>
      </c>
      <c r="L145" s="113">
        <f>IFERROR(INDEX($BD$7:$BO$35,MATCH(Ajustes!$E$4:$E$323,$BC$7:$BC$35,0),$C$2:$N$2),1)</f>
        <v>1</v>
      </c>
      <c r="M145" s="113">
        <f>IFERROR(INDEX($BD$7:$BO$35,MATCH(Ajustes!$E$4:$E$323,$BC$7:$BC$35,0),$C$2:$N$2),1)</f>
        <v>1</v>
      </c>
      <c r="N145" s="113">
        <f>IFERROR(INDEX($BD$7:$BO$35,MATCH(Ajustes!$E$4:$E$323,$BC$7:$BC$35,0),$C$2:$N$2),1)</f>
        <v>1</v>
      </c>
      <c r="O145">
        <f>C145*Ajustes!AM145</f>
        <v>0</v>
      </c>
      <c r="P145">
        <f>D145*Ajustes!AN145</f>
        <v>0</v>
      </c>
      <c r="Q145">
        <f>E145*Ajustes!AO145</f>
        <v>0</v>
      </c>
      <c r="R145">
        <f>F145*Ajustes!AP145</f>
        <v>0</v>
      </c>
      <c r="S145">
        <f>G145*Ajustes!AQ145</f>
        <v>0</v>
      </c>
      <c r="T145">
        <f>H145*Ajustes!AR145</f>
        <v>0</v>
      </c>
      <c r="U145">
        <f>I145*Ajustes!AS145</f>
        <v>0</v>
      </c>
      <c r="V145">
        <f>J145*Ajustes!AT145</f>
        <v>0</v>
      </c>
      <c r="W145">
        <f>K145*Ajustes!AU145</f>
        <v>0</v>
      </c>
      <c r="X145">
        <f>L145*Ajustes!AV145</f>
        <v>0</v>
      </c>
      <c r="Y145">
        <f>M145*Ajustes!AW145</f>
        <v>0</v>
      </c>
      <c r="Z145">
        <f>N145*Ajustes!AX145</f>
        <v>0</v>
      </c>
      <c r="AA145">
        <f>IF(Ajustes!$G145&gt;0,INDEX($AA$4:$AL$323,Ajustes!$G145,O$2),0)+IF(Ajustes!$H145&gt;0,INDEX($AA$4:$AL$323,Ajustes!$H145,O$2),0)+IF(Ajustes!$I145&gt;0,INDEX($AA$4:$AL$323,Ajustes!$I145,O$2),0)+IF(Ajustes!$J145&gt;0,INDEX($AA$4:$AL$323,Ajustes!$J145,O$2),0)+IF(Ajustes!$K145&gt;0,INDEX($AA$5:$AL$324,Ajustes!$K145,O$2),0)+IF(Ajustes!$L145&gt;0,INDEX($AA$4:$AL$323,Ajustes!$L145,O$2),0) + O145</f>
        <v>0</v>
      </c>
      <c r="AB145">
        <f>IF(Ajustes!$G145&gt;0,INDEX($AA$4:$AL$323,Ajustes!$G145,P$2),0)+IF(Ajustes!$H145&gt;0,INDEX($AA$4:$AL$323,Ajustes!$H145,P$2),0)+IF(Ajustes!$I145&gt;0,INDEX($AA$4:$AL$323,Ajustes!$I145,P$2),0)+IF(Ajustes!$J145&gt;0,INDEX($AA$4:$AL$323,Ajustes!$J145,P$2),0)+IF(Ajustes!$K145&gt;0,INDEX($AA$5:$AL$324,Ajustes!$K145,P$2),0)+IF(Ajustes!$L145&gt;0,INDEX($AA$4:$AL$323,Ajustes!$L145,P$2),0) + P145</f>
        <v>0</v>
      </c>
      <c r="AC145">
        <f>IF(Ajustes!$G145&gt;0,INDEX($AA$4:$AL$323,Ajustes!$G145,Q$2),0)+IF(Ajustes!$H145&gt;0,INDEX($AA$4:$AL$323,Ajustes!$H145,Q$2),0)+IF(Ajustes!$I145&gt;0,INDEX($AA$4:$AL$323,Ajustes!$I145,Q$2),0)+IF(Ajustes!$J145&gt;0,INDEX($AA$4:$AL$323,Ajustes!$J145,Q$2),0)+IF(Ajustes!$K145&gt;0,INDEX($AA$5:$AL$324,Ajustes!$K145,Q$2),0)+IF(Ajustes!$L145&gt;0,INDEX($AA$4:$AL$323,Ajustes!$L145,Q$2),0) + Q145</f>
        <v>0</v>
      </c>
      <c r="AD145">
        <f>IF(Ajustes!$G145&gt;0,INDEX($AA$4:$AL$323,Ajustes!$G145,R$2),0)+IF(Ajustes!$H145&gt;0,INDEX($AA$4:$AL$323,Ajustes!$H145,R$2),0)+IF(Ajustes!$I145&gt;0,INDEX($AA$4:$AL$323,Ajustes!$I145,R$2),0)+IF(Ajustes!$J145&gt;0,INDEX($AA$4:$AL$323,Ajustes!$J145,R$2),0)+IF(Ajustes!$K145&gt;0,INDEX($AA$5:$AL$324,Ajustes!$K145,R$2),0)+IF(Ajustes!$L145&gt;0,INDEX($AA$4:$AL$323,Ajustes!$L145,R$2),0) + R145</f>
        <v>0</v>
      </c>
      <c r="AE145">
        <f>IF(Ajustes!$G145&gt;0,INDEX($AA$4:$AL$323,Ajustes!$G145,S$2),0)+IF(Ajustes!$H145&gt;0,INDEX($AA$4:$AL$323,Ajustes!$H145,S$2),0)+IF(Ajustes!$I145&gt;0,INDEX($AA$4:$AL$323,Ajustes!$I145,S$2),0)+IF(Ajustes!$J145&gt;0,INDEX($AA$4:$AL$323,Ajustes!$J145,S$2),0)+IF(Ajustes!$K145&gt;0,INDEX($AA$5:$AL$324,Ajustes!$K145,S$2),0)+IF(Ajustes!$L145&gt;0,INDEX($AA$4:$AL$323,Ajustes!$L145,S$2),0) + S145</f>
        <v>0</v>
      </c>
      <c r="AF145">
        <f>IF(Ajustes!$G145&gt;0,INDEX($AA$4:$AL$323,Ajustes!$G145,T$2),0)+IF(Ajustes!$H145&gt;0,INDEX($AA$4:$AL$323,Ajustes!$H145,T$2),0)+IF(Ajustes!$I145&gt;0,INDEX($AA$4:$AL$323,Ajustes!$I145,T$2),0)+IF(Ajustes!$J145&gt;0,INDEX($AA$4:$AL$323,Ajustes!$J145,T$2),0)+IF(Ajustes!$K145&gt;0,INDEX($AA$5:$AL$324,Ajustes!$K145,T$2),0)+IF(Ajustes!$L145&gt;0,INDEX($AA$4:$AL$323,Ajustes!$L145,T$2),0) + T145</f>
        <v>0</v>
      </c>
      <c r="AG145">
        <f>IF(Ajustes!$G145&gt;0,INDEX($AA$4:$AL$323,Ajustes!$G145,U$2),0)+IF(Ajustes!$H145&gt;0,INDEX($AA$4:$AL$323,Ajustes!$H145,U$2),0)+IF(Ajustes!$I145&gt;0,INDEX($AA$4:$AL$323,Ajustes!$I145,U$2),0)+IF(Ajustes!$J145&gt;0,INDEX($AA$4:$AL$323,Ajustes!$J145,U$2),0)+IF(Ajustes!$K145&gt;0,INDEX($AA$5:$AL$324,Ajustes!$K145,U$2),0)+IF(Ajustes!$L145&gt;0,INDEX($AA$4:$AL$323,Ajustes!$L145,U$2),0) + U145</f>
        <v>0</v>
      </c>
      <c r="AH145">
        <f>IF(Ajustes!$G145&gt;0,INDEX($AA$4:$AL$323,Ajustes!$G145,V$2),0)+IF(Ajustes!$H145&gt;0,INDEX($AA$4:$AL$323,Ajustes!$H145,V$2),0)+IF(Ajustes!$I145&gt;0,INDEX($AA$4:$AL$323,Ajustes!$I145,V$2),0)+IF(Ajustes!$J145&gt;0,INDEX($AA$4:$AL$323,Ajustes!$J145,V$2),0)+IF(Ajustes!$K145&gt;0,INDEX($AA$5:$AL$324,Ajustes!$K145,V$2),0)+IF(Ajustes!$L145&gt;0,INDEX($AA$4:$AL$323,Ajustes!$L145,V$2),0) + V145</f>
        <v>0</v>
      </c>
      <c r="AI145">
        <f>IF(Ajustes!$G145&gt;0,INDEX($AA$4:$AL$323,Ajustes!$G145,W$2),0)+IF(Ajustes!$H145&gt;0,INDEX($AA$4:$AL$323,Ajustes!$H145,W$2),0)+IF(Ajustes!$I145&gt;0,INDEX($AA$4:$AL$323,Ajustes!$I145,W$2),0)+IF(Ajustes!$J145&gt;0,INDEX($AA$4:$AL$323,Ajustes!$J145,W$2),0)+IF(Ajustes!$K145&gt;0,INDEX($AA$5:$AL$324,Ajustes!$K145,W$2),0)+IF(Ajustes!$L145&gt;0,INDEX($AA$4:$AL$323,Ajustes!$L145,W$2),0) + W145</f>
        <v>0</v>
      </c>
      <c r="AJ145">
        <f>IF(Ajustes!$G145&gt;0,INDEX($AA$4:$AL$323,Ajustes!$G145,X$2),0)+IF(Ajustes!$H145&gt;0,INDEX($AA$4:$AL$323,Ajustes!$H145,X$2),0)+IF(Ajustes!$I145&gt;0,INDEX($AA$4:$AL$323,Ajustes!$I145,X$2),0)+IF(Ajustes!$J145&gt;0,INDEX($AA$4:$AL$323,Ajustes!$J145,X$2),0)+IF(Ajustes!$K145&gt;0,INDEX($AA$5:$AL$324,Ajustes!$K145,X$2),0)+IF(Ajustes!$L145&gt;0,INDEX($AA$4:$AL$323,Ajustes!$L145,X$2),0) + X145</f>
        <v>0</v>
      </c>
      <c r="AK145">
        <f>IF(Ajustes!$G145&gt;0,INDEX($AA$4:$AL$323,Ajustes!$G145,Y$2),0)+IF(Ajustes!$H145&gt;0,INDEX($AA$4:$AL$323,Ajustes!$H145,Y$2),0)+IF(Ajustes!$I145&gt;0,INDEX($AA$4:$AL$323,Ajustes!$I145,Y$2),0)+IF(Ajustes!$J145&gt;0,INDEX($AA$4:$AL$323,Ajustes!$J145,Y$2),0)+IF(Ajustes!$K145&gt;0,INDEX($AA$5:$AL$324,Ajustes!$K145,Y$2),0)+IF(Ajustes!$L145&gt;0,INDEX($AA$4:$AL$323,Ajustes!$L145,Y$2),0) + Y145</f>
        <v>0</v>
      </c>
      <c r="AL145">
        <f>IF(Ajustes!$G145&gt;0,INDEX($AA$4:$AL$323,Ajustes!$G145,Z$2),0)+IF(Ajustes!$H145&gt;0,INDEX($AA$4:$AL$323,Ajustes!$H145,Z$2),0)+IF(Ajustes!$I145&gt;0,INDEX($AA$4:$AL$323,Ajustes!$I145,Z$2),0)+IF(Ajustes!$J145&gt;0,INDEX($AA$4:$AL$323,Ajustes!$J145,Z$2),0)+IF(Ajustes!$K145&gt;0,INDEX($AA$5:$AL$324,Ajustes!$K145,Z$2),0)+IF(Ajustes!$L145&gt;0,INDEX($AA$4:$AL$323,Ajustes!$L145,Z$2),0) + Z145</f>
        <v>0</v>
      </c>
      <c r="AM145" s="113">
        <f t="shared" si="39"/>
        <v>0</v>
      </c>
      <c r="AN145" s="113">
        <f t="shared" si="39"/>
        <v>0</v>
      </c>
      <c r="AO145" s="113">
        <f t="shared" si="39"/>
        <v>0</v>
      </c>
      <c r="AP145" s="113">
        <f t="shared" si="39"/>
        <v>0</v>
      </c>
      <c r="AQ145" s="113">
        <f t="shared" si="39"/>
        <v>0</v>
      </c>
      <c r="AR145" s="113">
        <f t="shared" si="40"/>
        <v>0</v>
      </c>
      <c r="AS145" s="113">
        <f t="shared" si="40"/>
        <v>0</v>
      </c>
      <c r="AT145" s="113">
        <f t="shared" si="40"/>
        <v>0</v>
      </c>
      <c r="AU145" s="113">
        <f t="shared" si="40"/>
        <v>0</v>
      </c>
      <c r="AV145" s="113">
        <f t="shared" si="40"/>
        <v>0</v>
      </c>
      <c r="AW145" s="113">
        <f t="shared" si="41"/>
        <v>0</v>
      </c>
      <c r="AX145" s="113">
        <f t="shared" si="41"/>
        <v>0</v>
      </c>
    </row>
    <row r="146" spans="1:50" x14ac:dyDescent="0.25">
      <c r="A146" s="113">
        <v>143</v>
      </c>
      <c r="B146" s="209"/>
      <c r="C146">
        <f>IFERROR(INDEX($BD$7:$BO$35,MATCH(Ajustes!$E$4:$E$323,$BC$7:$BC$35,0),$C$2:$N$2),1)</f>
        <v>1</v>
      </c>
      <c r="D146" s="113">
        <f>IFERROR(INDEX($BD$7:$BO$35,MATCH(Ajustes!$E$4:$E$323,$BC$7:$BC$35,0),$C$2:$N$2),1)</f>
        <v>1</v>
      </c>
      <c r="E146" s="113">
        <f>IFERROR(INDEX($BD$7:$BO$35,MATCH(Ajustes!$E$4:$E$323,$BC$7:$BC$35,0),$C$2:$N$2),1)</f>
        <v>1</v>
      </c>
      <c r="F146" s="113">
        <f>IFERROR(INDEX($BD$7:$BO$35,MATCH(Ajustes!$E$4:$E$323,$BC$7:$BC$35,0),$C$2:$N$2),1)</f>
        <v>1</v>
      </c>
      <c r="G146" s="113">
        <f>IFERROR(INDEX($BD$7:$BO$35,MATCH(Ajustes!$E$4:$E$323,$BC$7:$BC$35,0),$C$2:$N$2),1)</f>
        <v>1</v>
      </c>
      <c r="H146" s="113">
        <f>IFERROR(INDEX($BD$7:$BO$35,MATCH(Ajustes!$E$4:$E$323,$BC$7:$BC$35,0),$C$2:$N$2),1)</f>
        <v>1</v>
      </c>
      <c r="I146" s="113">
        <f>IFERROR(INDEX($BD$7:$BO$35,MATCH(Ajustes!$E$4:$E$323,$BC$7:$BC$35,0),$C$2:$N$2),1)</f>
        <v>1</v>
      </c>
      <c r="J146" s="113">
        <f>IFERROR(INDEX($BD$7:$BO$35,MATCH(Ajustes!$E$4:$E$323,$BC$7:$BC$35,0),$C$2:$N$2),1)</f>
        <v>1</v>
      </c>
      <c r="K146" s="113">
        <f>IFERROR(INDEX($BD$7:$BO$35,MATCH(Ajustes!$E$4:$E$323,$BC$7:$BC$35,0),$C$2:$N$2),1)</f>
        <v>1</v>
      </c>
      <c r="L146" s="113">
        <f>IFERROR(INDEX($BD$7:$BO$35,MATCH(Ajustes!$E$4:$E$323,$BC$7:$BC$35,0),$C$2:$N$2),1)</f>
        <v>1</v>
      </c>
      <c r="M146" s="113">
        <f>IFERROR(INDEX($BD$7:$BO$35,MATCH(Ajustes!$E$4:$E$323,$BC$7:$BC$35,0),$C$2:$N$2),1)</f>
        <v>1</v>
      </c>
      <c r="N146" s="113">
        <f>IFERROR(INDEX($BD$7:$BO$35,MATCH(Ajustes!$E$4:$E$323,$BC$7:$BC$35,0),$C$2:$N$2),1)</f>
        <v>1</v>
      </c>
      <c r="O146">
        <f>C146*Ajustes!AM146</f>
        <v>0</v>
      </c>
      <c r="P146">
        <f>D146*Ajustes!AN146</f>
        <v>0</v>
      </c>
      <c r="Q146">
        <f>E146*Ajustes!AO146</f>
        <v>0</v>
      </c>
      <c r="R146">
        <f>F146*Ajustes!AP146</f>
        <v>0</v>
      </c>
      <c r="S146">
        <f>G146*Ajustes!AQ146</f>
        <v>0</v>
      </c>
      <c r="T146">
        <f>H146*Ajustes!AR146</f>
        <v>0</v>
      </c>
      <c r="U146">
        <f>I146*Ajustes!AS146</f>
        <v>0</v>
      </c>
      <c r="V146">
        <f>J146*Ajustes!AT146</f>
        <v>0</v>
      </c>
      <c r="W146">
        <f>K146*Ajustes!AU146</f>
        <v>0</v>
      </c>
      <c r="X146">
        <f>L146*Ajustes!AV146</f>
        <v>0</v>
      </c>
      <c r="Y146">
        <f>M146*Ajustes!AW146</f>
        <v>0</v>
      </c>
      <c r="Z146">
        <f>N146*Ajustes!AX146</f>
        <v>0</v>
      </c>
      <c r="AA146">
        <f>IF(Ajustes!$G146&gt;0,INDEX($AA$4:$AL$323,Ajustes!$G146,O$2),0)+IF(Ajustes!$H146&gt;0,INDEX($AA$4:$AL$323,Ajustes!$H146,O$2),0)+IF(Ajustes!$I146&gt;0,INDEX($AA$4:$AL$323,Ajustes!$I146,O$2),0)+IF(Ajustes!$J146&gt;0,INDEX($AA$4:$AL$323,Ajustes!$J146,O$2),0)+IF(Ajustes!$K146&gt;0,INDEX($AA$5:$AL$324,Ajustes!$K146,O$2),0)+IF(Ajustes!$L146&gt;0,INDEX($AA$4:$AL$323,Ajustes!$L146,O$2),0) + O146</f>
        <v>0</v>
      </c>
      <c r="AB146">
        <f>IF(Ajustes!$G146&gt;0,INDEX($AA$4:$AL$323,Ajustes!$G146,P$2),0)+IF(Ajustes!$H146&gt;0,INDEX($AA$4:$AL$323,Ajustes!$H146,P$2),0)+IF(Ajustes!$I146&gt;0,INDEX($AA$4:$AL$323,Ajustes!$I146,P$2),0)+IF(Ajustes!$J146&gt;0,INDEX($AA$4:$AL$323,Ajustes!$J146,P$2),0)+IF(Ajustes!$K146&gt;0,INDEX($AA$5:$AL$324,Ajustes!$K146,P$2),0)+IF(Ajustes!$L146&gt;0,INDEX($AA$4:$AL$323,Ajustes!$L146,P$2),0) + P146</f>
        <v>0</v>
      </c>
      <c r="AC146">
        <f>IF(Ajustes!$G146&gt;0,INDEX($AA$4:$AL$323,Ajustes!$G146,Q$2),0)+IF(Ajustes!$H146&gt;0,INDEX($AA$4:$AL$323,Ajustes!$H146,Q$2),0)+IF(Ajustes!$I146&gt;0,INDEX($AA$4:$AL$323,Ajustes!$I146,Q$2),0)+IF(Ajustes!$J146&gt;0,INDEX($AA$4:$AL$323,Ajustes!$J146,Q$2),0)+IF(Ajustes!$K146&gt;0,INDEX($AA$5:$AL$324,Ajustes!$K146,Q$2),0)+IF(Ajustes!$L146&gt;0,INDEX($AA$4:$AL$323,Ajustes!$L146,Q$2),0) + Q146</f>
        <v>0</v>
      </c>
      <c r="AD146">
        <f>IF(Ajustes!$G146&gt;0,INDEX($AA$4:$AL$323,Ajustes!$G146,R$2),0)+IF(Ajustes!$H146&gt;0,INDEX($AA$4:$AL$323,Ajustes!$H146,R$2),0)+IF(Ajustes!$I146&gt;0,INDEX($AA$4:$AL$323,Ajustes!$I146,R$2),0)+IF(Ajustes!$J146&gt;0,INDEX($AA$4:$AL$323,Ajustes!$J146,R$2),0)+IF(Ajustes!$K146&gt;0,INDEX($AA$5:$AL$324,Ajustes!$K146,R$2),0)+IF(Ajustes!$L146&gt;0,INDEX($AA$4:$AL$323,Ajustes!$L146,R$2),0) + R146</f>
        <v>0</v>
      </c>
      <c r="AE146">
        <f>IF(Ajustes!$G146&gt;0,INDEX($AA$4:$AL$323,Ajustes!$G146,S$2),0)+IF(Ajustes!$H146&gt;0,INDEX($AA$4:$AL$323,Ajustes!$H146,S$2),0)+IF(Ajustes!$I146&gt;0,INDEX($AA$4:$AL$323,Ajustes!$I146,S$2),0)+IF(Ajustes!$J146&gt;0,INDEX($AA$4:$AL$323,Ajustes!$J146,S$2),0)+IF(Ajustes!$K146&gt;0,INDEX($AA$5:$AL$324,Ajustes!$K146,S$2),0)+IF(Ajustes!$L146&gt;0,INDEX($AA$4:$AL$323,Ajustes!$L146,S$2),0) + S146</f>
        <v>0</v>
      </c>
      <c r="AF146">
        <f>IF(Ajustes!$G146&gt;0,INDEX($AA$4:$AL$323,Ajustes!$G146,T$2),0)+IF(Ajustes!$H146&gt;0,INDEX($AA$4:$AL$323,Ajustes!$H146,T$2),0)+IF(Ajustes!$I146&gt;0,INDEX($AA$4:$AL$323,Ajustes!$I146,T$2),0)+IF(Ajustes!$J146&gt;0,INDEX($AA$4:$AL$323,Ajustes!$J146,T$2),0)+IF(Ajustes!$K146&gt;0,INDEX($AA$5:$AL$324,Ajustes!$K146,T$2),0)+IF(Ajustes!$L146&gt;0,INDEX($AA$4:$AL$323,Ajustes!$L146,T$2),0) + T146</f>
        <v>0</v>
      </c>
      <c r="AG146">
        <f>IF(Ajustes!$G146&gt;0,INDEX($AA$4:$AL$323,Ajustes!$G146,U$2),0)+IF(Ajustes!$H146&gt;0,INDEX($AA$4:$AL$323,Ajustes!$H146,U$2),0)+IF(Ajustes!$I146&gt;0,INDEX($AA$4:$AL$323,Ajustes!$I146,U$2),0)+IF(Ajustes!$J146&gt;0,INDEX($AA$4:$AL$323,Ajustes!$J146,U$2),0)+IF(Ajustes!$K146&gt;0,INDEX($AA$5:$AL$324,Ajustes!$K146,U$2),0)+IF(Ajustes!$L146&gt;0,INDEX($AA$4:$AL$323,Ajustes!$L146,U$2),0) + U146</f>
        <v>0</v>
      </c>
      <c r="AH146">
        <f>IF(Ajustes!$G146&gt;0,INDEX($AA$4:$AL$323,Ajustes!$G146,V$2),0)+IF(Ajustes!$H146&gt;0,INDEX($AA$4:$AL$323,Ajustes!$H146,V$2),0)+IF(Ajustes!$I146&gt;0,INDEX($AA$4:$AL$323,Ajustes!$I146,V$2),0)+IF(Ajustes!$J146&gt;0,INDEX($AA$4:$AL$323,Ajustes!$J146,V$2),0)+IF(Ajustes!$K146&gt;0,INDEX($AA$5:$AL$324,Ajustes!$K146,V$2),0)+IF(Ajustes!$L146&gt;0,INDEX($AA$4:$AL$323,Ajustes!$L146,V$2),0) + V146</f>
        <v>0</v>
      </c>
      <c r="AI146">
        <f>IF(Ajustes!$G146&gt;0,INDEX($AA$4:$AL$323,Ajustes!$G146,W$2),0)+IF(Ajustes!$H146&gt;0,INDEX($AA$4:$AL$323,Ajustes!$H146,W$2),0)+IF(Ajustes!$I146&gt;0,INDEX($AA$4:$AL$323,Ajustes!$I146,W$2),0)+IF(Ajustes!$J146&gt;0,INDEX($AA$4:$AL$323,Ajustes!$J146,W$2),0)+IF(Ajustes!$K146&gt;0,INDEX($AA$5:$AL$324,Ajustes!$K146,W$2),0)+IF(Ajustes!$L146&gt;0,INDEX($AA$4:$AL$323,Ajustes!$L146,W$2),0) + W146</f>
        <v>0</v>
      </c>
      <c r="AJ146">
        <f>IF(Ajustes!$G146&gt;0,INDEX($AA$4:$AL$323,Ajustes!$G146,X$2),0)+IF(Ajustes!$H146&gt;0,INDEX($AA$4:$AL$323,Ajustes!$H146,X$2),0)+IF(Ajustes!$I146&gt;0,INDEX($AA$4:$AL$323,Ajustes!$I146,X$2),0)+IF(Ajustes!$J146&gt;0,INDEX($AA$4:$AL$323,Ajustes!$J146,X$2),0)+IF(Ajustes!$K146&gt;0,INDEX($AA$5:$AL$324,Ajustes!$K146,X$2),0)+IF(Ajustes!$L146&gt;0,INDEX($AA$4:$AL$323,Ajustes!$L146,X$2),0) + X146</f>
        <v>0</v>
      </c>
      <c r="AK146">
        <f>IF(Ajustes!$G146&gt;0,INDEX($AA$4:$AL$323,Ajustes!$G146,Y$2),0)+IF(Ajustes!$H146&gt;0,INDEX($AA$4:$AL$323,Ajustes!$H146,Y$2),0)+IF(Ajustes!$I146&gt;0,INDEX($AA$4:$AL$323,Ajustes!$I146,Y$2),0)+IF(Ajustes!$J146&gt;0,INDEX($AA$4:$AL$323,Ajustes!$J146,Y$2),0)+IF(Ajustes!$K146&gt;0,INDEX($AA$5:$AL$324,Ajustes!$K146,Y$2),0)+IF(Ajustes!$L146&gt;0,INDEX($AA$4:$AL$323,Ajustes!$L146,Y$2),0) + Y146</f>
        <v>0</v>
      </c>
      <c r="AL146">
        <f>IF(Ajustes!$G146&gt;0,INDEX($AA$4:$AL$323,Ajustes!$G146,Z$2),0)+IF(Ajustes!$H146&gt;0,INDEX($AA$4:$AL$323,Ajustes!$H146,Z$2),0)+IF(Ajustes!$I146&gt;0,INDEX($AA$4:$AL$323,Ajustes!$I146,Z$2),0)+IF(Ajustes!$J146&gt;0,INDEX($AA$4:$AL$323,Ajustes!$J146,Z$2),0)+IF(Ajustes!$K146&gt;0,INDEX($AA$5:$AL$324,Ajustes!$K146,Z$2),0)+IF(Ajustes!$L146&gt;0,INDEX($AA$4:$AL$323,Ajustes!$L146,Z$2),0) + Z146</f>
        <v>0</v>
      </c>
      <c r="AM146" s="113">
        <f t="shared" si="39"/>
        <v>0</v>
      </c>
      <c r="AN146" s="113">
        <f t="shared" si="39"/>
        <v>0</v>
      </c>
      <c r="AO146" s="113">
        <f t="shared" si="39"/>
        <v>0</v>
      </c>
      <c r="AP146" s="113">
        <f t="shared" si="39"/>
        <v>0</v>
      </c>
      <c r="AQ146" s="113">
        <f t="shared" si="39"/>
        <v>0</v>
      </c>
      <c r="AR146" s="113">
        <f t="shared" si="40"/>
        <v>0</v>
      </c>
      <c r="AS146" s="113">
        <f t="shared" si="40"/>
        <v>0</v>
      </c>
      <c r="AT146" s="113">
        <f t="shared" si="40"/>
        <v>0</v>
      </c>
      <c r="AU146" s="113">
        <f t="shared" si="40"/>
        <v>0</v>
      </c>
      <c r="AV146" s="113">
        <f t="shared" si="40"/>
        <v>0</v>
      </c>
      <c r="AW146" s="113">
        <f t="shared" si="41"/>
        <v>0</v>
      </c>
      <c r="AX146" s="113">
        <f t="shared" si="41"/>
        <v>0</v>
      </c>
    </row>
    <row r="147" spans="1:50" x14ac:dyDescent="0.25">
      <c r="A147" s="113">
        <v>144</v>
      </c>
      <c r="B147" s="209" t="s">
        <v>608</v>
      </c>
      <c r="C147">
        <f>IFERROR(INDEX($BD$7:$BO$35,MATCH(Ajustes!$E$4:$E$323,$BC$7:$BC$35,0),$C$2:$N$2),1)</f>
        <v>1</v>
      </c>
      <c r="D147" s="113">
        <f>IFERROR(INDEX($BD$7:$BO$35,MATCH(Ajustes!$E$4:$E$323,$BC$7:$BC$35,0),$C$2:$N$2),1)</f>
        <v>1</v>
      </c>
      <c r="E147" s="113">
        <f>IFERROR(INDEX($BD$7:$BO$35,MATCH(Ajustes!$E$4:$E$323,$BC$7:$BC$35,0),$C$2:$N$2),1)</f>
        <v>1</v>
      </c>
      <c r="F147" s="113">
        <f>IFERROR(INDEX($BD$7:$BO$35,MATCH(Ajustes!$E$4:$E$323,$BC$7:$BC$35,0),$C$2:$N$2),1)</f>
        <v>1</v>
      </c>
      <c r="G147" s="113">
        <f>IFERROR(INDEX($BD$7:$BO$35,MATCH(Ajustes!$E$4:$E$323,$BC$7:$BC$35,0),$C$2:$N$2),1)</f>
        <v>1</v>
      </c>
      <c r="H147" s="113">
        <f>IFERROR(INDEX($BD$7:$BO$35,MATCH(Ajustes!$E$4:$E$323,$BC$7:$BC$35,0),$C$2:$N$2),1)</f>
        <v>1</v>
      </c>
      <c r="I147" s="113">
        <f>IFERROR(INDEX($BD$7:$BO$35,MATCH(Ajustes!$E$4:$E$323,$BC$7:$BC$35,0),$C$2:$N$2),1)</f>
        <v>1</v>
      </c>
      <c r="J147" s="113">
        <f>IFERROR(INDEX($BD$7:$BO$35,MATCH(Ajustes!$E$4:$E$323,$BC$7:$BC$35,0),$C$2:$N$2),1)</f>
        <v>1</v>
      </c>
      <c r="K147" s="113">
        <f>IFERROR(INDEX($BD$7:$BO$35,MATCH(Ajustes!$E$4:$E$323,$BC$7:$BC$35,0),$C$2:$N$2),1)</f>
        <v>1</v>
      </c>
      <c r="L147" s="113">
        <f>IFERROR(INDEX($BD$7:$BO$35,MATCH(Ajustes!$E$4:$E$323,$BC$7:$BC$35,0),$C$2:$N$2),1)</f>
        <v>1</v>
      </c>
      <c r="M147" s="113">
        <f>IFERROR(INDEX($BD$7:$BO$35,MATCH(Ajustes!$E$4:$E$323,$BC$7:$BC$35,0),$C$2:$N$2),1)</f>
        <v>1</v>
      </c>
      <c r="N147" s="113">
        <f>IFERROR(INDEX($BD$7:$BO$35,MATCH(Ajustes!$E$4:$E$323,$BC$7:$BC$35,0),$C$2:$N$2),1)</f>
        <v>1</v>
      </c>
      <c r="O147">
        <f>C147*Ajustes!AM147</f>
        <v>268</v>
      </c>
      <c r="P147">
        <f>D147*Ajustes!AN147</f>
        <v>203</v>
      </c>
      <c r="Q147">
        <f>E147*Ajustes!AO147</f>
        <v>178</v>
      </c>
      <c r="R147">
        <f>F147*Ajustes!AP147</f>
        <v>137</v>
      </c>
      <c r="S147">
        <f>G147*Ajustes!AQ147</f>
        <v>98</v>
      </c>
      <c r="T147">
        <f>H147*Ajustes!AR147</f>
        <v>80</v>
      </c>
      <c r="U147">
        <f>I147*Ajustes!AS147</f>
        <v>71</v>
      </c>
      <c r="V147">
        <f>J147*Ajustes!AT147</f>
        <v>61</v>
      </c>
      <c r="W147">
        <f>K147*Ajustes!AU147</f>
        <v>58</v>
      </c>
      <c r="X147">
        <f>L147*Ajustes!AV147</f>
        <v>75</v>
      </c>
      <c r="Y147">
        <f>M147*Ajustes!AW147</f>
        <v>135</v>
      </c>
      <c r="Z147">
        <f>N147*Ajustes!AX147</f>
        <v>235</v>
      </c>
      <c r="AA147">
        <f>IF(Ajustes!$G147&gt;0,INDEX($AA$4:$AL$323,Ajustes!$G147,O$2),0)+IF(Ajustes!$H147&gt;0,INDEX($AA$4:$AL$323,Ajustes!$H147,O$2),0)+IF(Ajustes!$I147&gt;0,INDEX($AA$4:$AL$323,Ajustes!$I147,O$2),0)+IF(Ajustes!$J147&gt;0,INDEX($AA$4:$AL$323,Ajustes!$J147,O$2),0)+IF(Ajustes!$K147&gt;0,INDEX($AA$5:$AL$324,Ajustes!$K147,O$2),0)+IF(Ajustes!$L147&gt;0,INDEX($AA$4:$AL$323,Ajustes!$L147,O$2),0) + O147</f>
        <v>1888</v>
      </c>
      <c r="AB147">
        <f>IF(Ajustes!$G147&gt;0,INDEX($AA$4:$AL$323,Ajustes!$G147,P$2),0)+IF(Ajustes!$H147&gt;0,INDEX($AA$4:$AL$323,Ajustes!$H147,P$2),0)+IF(Ajustes!$I147&gt;0,INDEX($AA$4:$AL$323,Ajustes!$I147,P$2),0)+IF(Ajustes!$J147&gt;0,INDEX($AA$4:$AL$323,Ajustes!$J147,P$2),0)+IF(Ajustes!$K147&gt;0,INDEX($AA$5:$AL$324,Ajustes!$K147,P$2),0)+IF(Ajustes!$L147&gt;0,INDEX($AA$4:$AL$323,Ajustes!$L147,P$2),0) + P147</f>
        <v>1463</v>
      </c>
      <c r="AC147">
        <f>IF(Ajustes!$G147&gt;0,INDEX($AA$4:$AL$323,Ajustes!$G147,Q$2),0)+IF(Ajustes!$H147&gt;0,INDEX($AA$4:$AL$323,Ajustes!$H147,Q$2),0)+IF(Ajustes!$I147&gt;0,INDEX($AA$4:$AL$323,Ajustes!$I147,Q$2),0)+IF(Ajustes!$J147&gt;0,INDEX($AA$4:$AL$323,Ajustes!$J147,Q$2),0)+IF(Ajustes!$K147&gt;0,INDEX($AA$5:$AL$324,Ajustes!$K147,Q$2),0)+IF(Ajustes!$L147&gt;0,INDEX($AA$4:$AL$323,Ajustes!$L147,Q$2),0) + Q147</f>
        <v>1285</v>
      </c>
      <c r="AD147">
        <f>IF(Ajustes!$G147&gt;0,INDEX($AA$4:$AL$323,Ajustes!$G147,R$2),0)+IF(Ajustes!$H147&gt;0,INDEX($AA$4:$AL$323,Ajustes!$H147,R$2),0)+IF(Ajustes!$I147&gt;0,INDEX($AA$4:$AL$323,Ajustes!$I147,R$2),0)+IF(Ajustes!$J147&gt;0,INDEX($AA$4:$AL$323,Ajustes!$J147,R$2),0)+IF(Ajustes!$K147&gt;0,INDEX($AA$5:$AL$324,Ajustes!$K147,R$2),0)+IF(Ajustes!$L147&gt;0,INDEX($AA$4:$AL$323,Ajustes!$L147,R$2),0) + R147</f>
        <v>993</v>
      </c>
      <c r="AE147">
        <f>IF(Ajustes!$G147&gt;0,INDEX($AA$4:$AL$323,Ajustes!$G147,S$2),0)+IF(Ajustes!$H147&gt;0,INDEX($AA$4:$AL$323,Ajustes!$H147,S$2),0)+IF(Ajustes!$I147&gt;0,INDEX($AA$4:$AL$323,Ajustes!$I147,S$2),0)+IF(Ajustes!$J147&gt;0,INDEX($AA$4:$AL$323,Ajustes!$J147,S$2),0)+IF(Ajustes!$K147&gt;0,INDEX($AA$5:$AL$324,Ajustes!$K147,S$2),0)+IF(Ajustes!$L147&gt;0,INDEX($AA$4:$AL$323,Ajustes!$L147,S$2),0) + S147</f>
        <v>719</v>
      </c>
      <c r="AF147">
        <f>IF(Ajustes!$G147&gt;0,INDEX($AA$4:$AL$323,Ajustes!$G147,T$2),0)+IF(Ajustes!$H147&gt;0,INDEX($AA$4:$AL$323,Ajustes!$H147,T$2),0)+IF(Ajustes!$I147&gt;0,INDEX($AA$4:$AL$323,Ajustes!$I147,T$2),0)+IF(Ajustes!$J147&gt;0,INDEX($AA$4:$AL$323,Ajustes!$J147,T$2),0)+IF(Ajustes!$K147&gt;0,INDEX($AA$5:$AL$324,Ajustes!$K147,T$2),0)+IF(Ajustes!$L147&gt;0,INDEX($AA$4:$AL$323,Ajustes!$L147,T$2),0) + T147</f>
        <v>601</v>
      </c>
      <c r="AG147">
        <f>IF(Ajustes!$G147&gt;0,INDEX($AA$4:$AL$323,Ajustes!$G147,U$2),0)+IF(Ajustes!$H147&gt;0,INDEX($AA$4:$AL$323,Ajustes!$H147,U$2),0)+IF(Ajustes!$I147&gt;0,INDEX($AA$4:$AL$323,Ajustes!$I147,U$2),0)+IF(Ajustes!$J147&gt;0,INDEX($AA$4:$AL$323,Ajustes!$J147,U$2),0)+IF(Ajustes!$K147&gt;0,INDEX($AA$5:$AL$324,Ajustes!$K147,U$2),0)+IF(Ajustes!$L147&gt;0,INDEX($AA$4:$AL$323,Ajustes!$L147,U$2),0) + U147</f>
        <v>532</v>
      </c>
      <c r="AH147">
        <f>IF(Ajustes!$G147&gt;0,INDEX($AA$4:$AL$323,Ajustes!$G147,V$2),0)+IF(Ajustes!$H147&gt;0,INDEX($AA$4:$AL$323,Ajustes!$H147,V$2),0)+IF(Ajustes!$I147&gt;0,INDEX($AA$4:$AL$323,Ajustes!$I147,V$2),0)+IF(Ajustes!$J147&gt;0,INDEX($AA$4:$AL$323,Ajustes!$J147,V$2),0)+IF(Ajustes!$K147&gt;0,INDEX($AA$5:$AL$324,Ajustes!$K147,V$2),0)+IF(Ajustes!$L147&gt;0,INDEX($AA$4:$AL$323,Ajustes!$L147,V$2),0) + V147</f>
        <v>471</v>
      </c>
      <c r="AI147">
        <f>IF(Ajustes!$G147&gt;0,INDEX($AA$4:$AL$323,Ajustes!$G147,W$2),0)+IF(Ajustes!$H147&gt;0,INDEX($AA$4:$AL$323,Ajustes!$H147,W$2),0)+IF(Ajustes!$I147&gt;0,INDEX($AA$4:$AL$323,Ajustes!$I147,W$2),0)+IF(Ajustes!$J147&gt;0,INDEX($AA$4:$AL$323,Ajustes!$J147,W$2),0)+IF(Ajustes!$K147&gt;0,INDEX($AA$5:$AL$324,Ajustes!$K147,W$2),0)+IF(Ajustes!$L147&gt;0,INDEX($AA$4:$AL$323,Ajustes!$L147,W$2),0) + W147</f>
        <v>454</v>
      </c>
      <c r="AJ147">
        <f>IF(Ajustes!$G147&gt;0,INDEX($AA$4:$AL$323,Ajustes!$G147,X$2),0)+IF(Ajustes!$H147&gt;0,INDEX($AA$4:$AL$323,Ajustes!$H147,X$2),0)+IF(Ajustes!$I147&gt;0,INDEX($AA$4:$AL$323,Ajustes!$I147,X$2),0)+IF(Ajustes!$J147&gt;0,INDEX($AA$4:$AL$323,Ajustes!$J147,X$2),0)+IF(Ajustes!$K147&gt;0,INDEX($AA$5:$AL$324,Ajustes!$K147,X$2),0)+IF(Ajustes!$L147&gt;0,INDEX($AA$4:$AL$323,Ajustes!$L147,X$2),0) + X147</f>
        <v>571</v>
      </c>
      <c r="AK147">
        <f>IF(Ajustes!$G147&gt;0,INDEX($AA$4:$AL$323,Ajustes!$G147,Y$2),0)+IF(Ajustes!$H147&gt;0,INDEX($AA$4:$AL$323,Ajustes!$H147,Y$2),0)+IF(Ajustes!$I147&gt;0,INDEX($AA$4:$AL$323,Ajustes!$I147,Y$2),0)+IF(Ajustes!$J147&gt;0,INDEX($AA$4:$AL$323,Ajustes!$J147,Y$2),0)+IF(Ajustes!$K147&gt;0,INDEX($AA$5:$AL$324,Ajustes!$K147,Y$2),0)+IF(Ajustes!$L147&gt;0,INDEX($AA$4:$AL$323,Ajustes!$L147,Y$2),0) + Y147</f>
        <v>974</v>
      </c>
      <c r="AL147">
        <f>IF(Ajustes!$G147&gt;0,INDEX($AA$4:$AL$323,Ajustes!$G147,Z$2),0)+IF(Ajustes!$H147&gt;0,INDEX($AA$4:$AL$323,Ajustes!$H147,Z$2),0)+IF(Ajustes!$I147&gt;0,INDEX($AA$4:$AL$323,Ajustes!$I147,Z$2),0)+IF(Ajustes!$J147&gt;0,INDEX($AA$4:$AL$323,Ajustes!$J147,Z$2),0)+IF(Ajustes!$K147&gt;0,INDEX($AA$5:$AL$324,Ajustes!$K147,Z$2),0)+IF(Ajustes!$L147&gt;0,INDEX($AA$4:$AL$323,Ajustes!$L147,Z$2),0) + Z147</f>
        <v>1649</v>
      </c>
      <c r="AM147" s="113">
        <f t="shared" si="39"/>
        <v>1888</v>
      </c>
      <c r="AN147" s="113">
        <f t="shared" si="39"/>
        <v>1463</v>
      </c>
      <c r="AO147" s="113">
        <f t="shared" si="39"/>
        <v>1285</v>
      </c>
      <c r="AP147" s="113">
        <f t="shared" si="39"/>
        <v>993</v>
      </c>
      <c r="AQ147" s="113">
        <f t="shared" ref="AQ147:AQ199" si="42">AE147</f>
        <v>719</v>
      </c>
      <c r="AR147" s="113">
        <f t="shared" si="40"/>
        <v>601</v>
      </c>
      <c r="AS147" s="113">
        <f t="shared" si="40"/>
        <v>532</v>
      </c>
      <c r="AT147" s="113">
        <f t="shared" si="40"/>
        <v>471</v>
      </c>
      <c r="AU147" s="113">
        <f t="shared" si="40"/>
        <v>454</v>
      </c>
      <c r="AV147" s="113">
        <f t="shared" ref="AV147:AX210" si="43">AJ147</f>
        <v>571</v>
      </c>
      <c r="AW147" s="113">
        <f t="shared" si="41"/>
        <v>974</v>
      </c>
      <c r="AX147" s="113">
        <f t="shared" si="41"/>
        <v>1649</v>
      </c>
    </row>
    <row r="148" spans="1:50" x14ac:dyDescent="0.25">
      <c r="A148" s="113">
        <v>145</v>
      </c>
      <c r="B148" s="209" t="s">
        <v>609</v>
      </c>
      <c r="C148">
        <f>IFERROR(INDEX($BD$7:$BO$35,MATCH(Ajustes!$E$4:$E$323,$BC$7:$BC$35,0),$C$2:$N$2),1)</f>
        <v>1</v>
      </c>
      <c r="D148" s="113">
        <f>IFERROR(INDEX($BD$7:$BO$35,MATCH(Ajustes!$E$4:$E$323,$BC$7:$BC$35,0),$C$2:$N$2),1)</f>
        <v>1</v>
      </c>
      <c r="E148" s="113">
        <f>IFERROR(INDEX($BD$7:$BO$35,MATCH(Ajustes!$E$4:$E$323,$BC$7:$BC$35,0),$C$2:$N$2),1)</f>
        <v>1</v>
      </c>
      <c r="F148" s="113">
        <f>IFERROR(INDEX($BD$7:$BO$35,MATCH(Ajustes!$E$4:$E$323,$BC$7:$BC$35,0),$C$2:$N$2),1)</f>
        <v>1</v>
      </c>
      <c r="G148" s="113">
        <f>IFERROR(INDEX($BD$7:$BO$35,MATCH(Ajustes!$E$4:$E$323,$BC$7:$BC$35,0),$C$2:$N$2),1)</f>
        <v>1</v>
      </c>
      <c r="H148" s="113">
        <f>IFERROR(INDEX($BD$7:$BO$35,MATCH(Ajustes!$E$4:$E$323,$BC$7:$BC$35,0),$C$2:$N$2),1)</f>
        <v>1</v>
      </c>
      <c r="I148" s="113">
        <f>IFERROR(INDEX($BD$7:$BO$35,MATCH(Ajustes!$E$4:$E$323,$BC$7:$BC$35,0),$C$2:$N$2),1)</f>
        <v>1</v>
      </c>
      <c r="J148" s="113">
        <f>IFERROR(INDEX($BD$7:$BO$35,MATCH(Ajustes!$E$4:$E$323,$BC$7:$BC$35,0),$C$2:$N$2),1)</f>
        <v>1</v>
      </c>
      <c r="K148" s="113">
        <f>IFERROR(INDEX($BD$7:$BO$35,MATCH(Ajustes!$E$4:$E$323,$BC$7:$BC$35,0),$C$2:$N$2),1)</f>
        <v>1</v>
      </c>
      <c r="L148" s="113">
        <f>IFERROR(INDEX($BD$7:$BO$35,MATCH(Ajustes!$E$4:$E$323,$BC$7:$BC$35,0),$C$2:$N$2),1)</f>
        <v>1</v>
      </c>
      <c r="M148" s="113">
        <f>IFERROR(INDEX($BD$7:$BO$35,MATCH(Ajustes!$E$4:$E$323,$BC$7:$BC$35,0),$C$2:$N$2),1)</f>
        <v>1</v>
      </c>
      <c r="N148" s="113">
        <f>IFERROR(INDEX($BD$7:$BO$35,MATCH(Ajustes!$E$4:$E$323,$BC$7:$BC$35,0),$C$2:$N$2),1)</f>
        <v>1</v>
      </c>
      <c r="O148">
        <f>C148*Ajustes!AM148</f>
        <v>117</v>
      </c>
      <c r="P148">
        <f>D148*Ajustes!AN148</f>
        <v>135</v>
      </c>
      <c r="Q148">
        <f>E148*Ajustes!AO148</f>
        <v>148</v>
      </c>
      <c r="R148">
        <f>F148*Ajustes!AP148</f>
        <v>111</v>
      </c>
      <c r="S148">
        <f>G148*Ajustes!AQ148</f>
        <v>78</v>
      </c>
      <c r="T148">
        <f>H148*Ajustes!AR148</f>
        <v>64</v>
      </c>
      <c r="U148">
        <f>I148*Ajustes!AS148</f>
        <v>58</v>
      </c>
      <c r="V148">
        <f>J148*Ajustes!AT148</f>
        <v>54</v>
      </c>
      <c r="W148">
        <f>K148*Ajustes!AU148</f>
        <v>52</v>
      </c>
      <c r="X148">
        <f>L148*Ajustes!AV148</f>
        <v>56</v>
      </c>
      <c r="Y148">
        <f>M148*Ajustes!AW148</f>
        <v>65</v>
      </c>
      <c r="Z148">
        <f>N148*Ajustes!AX148</f>
        <v>88</v>
      </c>
      <c r="AA148">
        <f>IF(Ajustes!$G148&gt;0,INDEX($AA$4:$AL$323,Ajustes!$G148,O$2),0)+IF(Ajustes!$H148&gt;0,INDEX($AA$4:$AL$323,Ajustes!$H148,O$2),0)+IF(Ajustes!$I148&gt;0,INDEX($AA$4:$AL$323,Ajustes!$I148,O$2),0)+IF(Ajustes!$J148&gt;0,INDEX($AA$4:$AL$323,Ajustes!$J148,O$2),0)+IF(Ajustes!$K148&gt;0,INDEX($AA$5:$AL$324,Ajustes!$K148,O$2),0)+IF(Ajustes!$L148&gt;0,INDEX($AA$4:$AL$323,Ajustes!$L148,O$2),0) + O148</f>
        <v>117</v>
      </c>
      <c r="AB148">
        <f>IF(Ajustes!$G148&gt;0,INDEX($AA$4:$AL$323,Ajustes!$G148,P$2),0)+IF(Ajustes!$H148&gt;0,INDEX($AA$4:$AL$323,Ajustes!$H148,P$2),0)+IF(Ajustes!$I148&gt;0,INDEX($AA$4:$AL$323,Ajustes!$I148,P$2),0)+IF(Ajustes!$J148&gt;0,INDEX($AA$4:$AL$323,Ajustes!$J148,P$2),0)+IF(Ajustes!$K148&gt;0,INDEX($AA$5:$AL$324,Ajustes!$K148,P$2),0)+IF(Ajustes!$L148&gt;0,INDEX($AA$4:$AL$323,Ajustes!$L148,P$2),0) + P148</f>
        <v>135</v>
      </c>
      <c r="AC148">
        <f>IF(Ajustes!$G148&gt;0,INDEX($AA$4:$AL$323,Ajustes!$G148,Q$2),0)+IF(Ajustes!$H148&gt;0,INDEX($AA$4:$AL$323,Ajustes!$H148,Q$2),0)+IF(Ajustes!$I148&gt;0,INDEX($AA$4:$AL$323,Ajustes!$I148,Q$2),0)+IF(Ajustes!$J148&gt;0,INDEX($AA$4:$AL$323,Ajustes!$J148,Q$2),0)+IF(Ajustes!$K148&gt;0,INDEX($AA$5:$AL$324,Ajustes!$K148,Q$2),0)+IF(Ajustes!$L148&gt;0,INDEX($AA$4:$AL$323,Ajustes!$L148,Q$2),0) + Q148</f>
        <v>148</v>
      </c>
      <c r="AD148">
        <f>IF(Ajustes!$G148&gt;0,INDEX($AA$4:$AL$323,Ajustes!$G148,R$2),0)+IF(Ajustes!$H148&gt;0,INDEX($AA$4:$AL$323,Ajustes!$H148,R$2),0)+IF(Ajustes!$I148&gt;0,INDEX($AA$4:$AL$323,Ajustes!$I148,R$2),0)+IF(Ajustes!$J148&gt;0,INDEX($AA$4:$AL$323,Ajustes!$J148,R$2),0)+IF(Ajustes!$K148&gt;0,INDEX($AA$5:$AL$324,Ajustes!$K148,R$2),0)+IF(Ajustes!$L148&gt;0,INDEX($AA$4:$AL$323,Ajustes!$L148,R$2),0) + R148</f>
        <v>111</v>
      </c>
      <c r="AE148">
        <f>IF(Ajustes!$G148&gt;0,INDEX($AA$4:$AL$323,Ajustes!$G148,S$2),0)+IF(Ajustes!$H148&gt;0,INDEX($AA$4:$AL$323,Ajustes!$H148,S$2),0)+IF(Ajustes!$I148&gt;0,INDEX($AA$4:$AL$323,Ajustes!$I148,S$2),0)+IF(Ajustes!$J148&gt;0,INDEX($AA$4:$AL$323,Ajustes!$J148,S$2),0)+IF(Ajustes!$K148&gt;0,INDEX($AA$5:$AL$324,Ajustes!$K148,S$2),0)+IF(Ajustes!$L148&gt;0,INDEX($AA$4:$AL$323,Ajustes!$L148,S$2),0) + S148</f>
        <v>78</v>
      </c>
      <c r="AF148">
        <f>IF(Ajustes!$G148&gt;0,INDEX($AA$4:$AL$323,Ajustes!$G148,T$2),0)+IF(Ajustes!$H148&gt;0,INDEX($AA$4:$AL$323,Ajustes!$H148,T$2),0)+IF(Ajustes!$I148&gt;0,INDEX($AA$4:$AL$323,Ajustes!$I148,T$2),0)+IF(Ajustes!$J148&gt;0,INDEX($AA$4:$AL$323,Ajustes!$J148,T$2),0)+IF(Ajustes!$K148&gt;0,INDEX($AA$5:$AL$324,Ajustes!$K148,T$2),0)+IF(Ajustes!$L148&gt;0,INDEX($AA$4:$AL$323,Ajustes!$L148,T$2),0) + T148</f>
        <v>64</v>
      </c>
      <c r="AG148">
        <f>IF(Ajustes!$G148&gt;0,INDEX($AA$4:$AL$323,Ajustes!$G148,U$2),0)+IF(Ajustes!$H148&gt;0,INDEX($AA$4:$AL$323,Ajustes!$H148,U$2),0)+IF(Ajustes!$I148&gt;0,INDEX($AA$4:$AL$323,Ajustes!$I148,U$2),0)+IF(Ajustes!$J148&gt;0,INDEX($AA$4:$AL$323,Ajustes!$J148,U$2),0)+IF(Ajustes!$K148&gt;0,INDEX($AA$5:$AL$324,Ajustes!$K148,U$2),0)+IF(Ajustes!$L148&gt;0,INDEX($AA$4:$AL$323,Ajustes!$L148,U$2),0) + U148</f>
        <v>58</v>
      </c>
      <c r="AH148">
        <f>IF(Ajustes!$G148&gt;0,INDEX($AA$4:$AL$323,Ajustes!$G148,V$2),0)+IF(Ajustes!$H148&gt;0,INDEX($AA$4:$AL$323,Ajustes!$H148,V$2),0)+IF(Ajustes!$I148&gt;0,INDEX($AA$4:$AL$323,Ajustes!$I148,V$2),0)+IF(Ajustes!$J148&gt;0,INDEX($AA$4:$AL$323,Ajustes!$J148,V$2),0)+IF(Ajustes!$K148&gt;0,INDEX($AA$5:$AL$324,Ajustes!$K148,V$2),0)+IF(Ajustes!$L148&gt;0,INDEX($AA$4:$AL$323,Ajustes!$L148,V$2),0) + V148</f>
        <v>54</v>
      </c>
      <c r="AI148">
        <f>IF(Ajustes!$G148&gt;0,INDEX($AA$4:$AL$323,Ajustes!$G148,W$2),0)+IF(Ajustes!$H148&gt;0,INDEX($AA$4:$AL$323,Ajustes!$H148,W$2),0)+IF(Ajustes!$I148&gt;0,INDEX($AA$4:$AL$323,Ajustes!$I148,W$2),0)+IF(Ajustes!$J148&gt;0,INDEX($AA$4:$AL$323,Ajustes!$J148,W$2),0)+IF(Ajustes!$K148&gt;0,INDEX($AA$5:$AL$324,Ajustes!$K148,W$2),0)+IF(Ajustes!$L148&gt;0,INDEX($AA$4:$AL$323,Ajustes!$L148,W$2),0) + W148</f>
        <v>52</v>
      </c>
      <c r="AJ148">
        <f>IF(Ajustes!$G148&gt;0,INDEX($AA$4:$AL$323,Ajustes!$G148,X$2),0)+IF(Ajustes!$H148&gt;0,INDEX($AA$4:$AL$323,Ajustes!$H148,X$2),0)+IF(Ajustes!$I148&gt;0,INDEX($AA$4:$AL$323,Ajustes!$I148,X$2),0)+IF(Ajustes!$J148&gt;0,INDEX($AA$4:$AL$323,Ajustes!$J148,X$2),0)+IF(Ajustes!$K148&gt;0,INDEX($AA$5:$AL$324,Ajustes!$K148,X$2),0)+IF(Ajustes!$L148&gt;0,INDEX($AA$4:$AL$323,Ajustes!$L148,X$2),0) + X148</f>
        <v>56</v>
      </c>
      <c r="AK148">
        <f>IF(Ajustes!$G148&gt;0,INDEX($AA$4:$AL$323,Ajustes!$G148,Y$2),0)+IF(Ajustes!$H148&gt;0,INDEX($AA$4:$AL$323,Ajustes!$H148,Y$2),0)+IF(Ajustes!$I148&gt;0,INDEX($AA$4:$AL$323,Ajustes!$I148,Y$2),0)+IF(Ajustes!$J148&gt;0,INDEX($AA$4:$AL$323,Ajustes!$J148,Y$2),0)+IF(Ajustes!$K148&gt;0,INDEX($AA$5:$AL$324,Ajustes!$K148,Y$2),0)+IF(Ajustes!$L148&gt;0,INDEX($AA$4:$AL$323,Ajustes!$L148,Y$2),0) + Y148</f>
        <v>65</v>
      </c>
      <c r="AL148">
        <f>IF(Ajustes!$G148&gt;0,INDEX($AA$4:$AL$323,Ajustes!$G148,Z$2),0)+IF(Ajustes!$H148&gt;0,INDEX($AA$4:$AL$323,Ajustes!$H148,Z$2),0)+IF(Ajustes!$I148&gt;0,INDEX($AA$4:$AL$323,Ajustes!$I148,Z$2),0)+IF(Ajustes!$J148&gt;0,INDEX($AA$4:$AL$323,Ajustes!$J148,Z$2),0)+IF(Ajustes!$K148&gt;0,INDEX($AA$5:$AL$324,Ajustes!$K148,Z$2),0)+IF(Ajustes!$L148&gt;0,INDEX($AA$4:$AL$323,Ajustes!$L148,Z$2),0) + Z148</f>
        <v>88</v>
      </c>
      <c r="AM148" s="113">
        <f t="shared" si="39"/>
        <v>117</v>
      </c>
      <c r="AN148" s="113">
        <f t="shared" si="39"/>
        <v>135</v>
      </c>
      <c r="AO148" s="113">
        <f t="shared" si="39"/>
        <v>148</v>
      </c>
      <c r="AP148" s="113">
        <f t="shared" si="39"/>
        <v>111</v>
      </c>
      <c r="AQ148" s="113">
        <f t="shared" si="42"/>
        <v>78</v>
      </c>
      <c r="AR148" s="113">
        <f t="shared" si="40"/>
        <v>64</v>
      </c>
      <c r="AS148" s="113">
        <f t="shared" si="40"/>
        <v>58</v>
      </c>
      <c r="AT148" s="113">
        <f t="shared" si="40"/>
        <v>54</v>
      </c>
      <c r="AU148" s="113">
        <f t="shared" si="40"/>
        <v>52</v>
      </c>
      <c r="AV148" s="113">
        <f t="shared" si="43"/>
        <v>56</v>
      </c>
      <c r="AW148" s="113">
        <f t="shared" si="41"/>
        <v>65</v>
      </c>
      <c r="AX148" s="113">
        <f t="shared" si="41"/>
        <v>88</v>
      </c>
    </row>
    <row r="149" spans="1:50" x14ac:dyDescent="0.25">
      <c r="A149" s="113">
        <v>146</v>
      </c>
      <c r="B149" s="209"/>
      <c r="C149">
        <f>IFERROR(INDEX($BD$7:$BO$35,MATCH(Ajustes!$E$4:$E$323,$BC$7:$BC$35,0),$C$2:$N$2),1)</f>
        <v>1</v>
      </c>
      <c r="D149" s="113">
        <f>IFERROR(INDEX($BD$7:$BO$35,MATCH(Ajustes!$E$4:$E$323,$BC$7:$BC$35,0),$C$2:$N$2),1)</f>
        <v>1</v>
      </c>
      <c r="E149" s="113">
        <f>IFERROR(INDEX($BD$7:$BO$35,MATCH(Ajustes!$E$4:$E$323,$BC$7:$BC$35,0),$C$2:$N$2),1)</f>
        <v>1</v>
      </c>
      <c r="F149" s="113">
        <f>IFERROR(INDEX($BD$7:$BO$35,MATCH(Ajustes!$E$4:$E$323,$BC$7:$BC$35,0),$C$2:$N$2),1)</f>
        <v>1</v>
      </c>
      <c r="G149" s="113">
        <f>IFERROR(INDEX($BD$7:$BO$35,MATCH(Ajustes!$E$4:$E$323,$BC$7:$BC$35,0),$C$2:$N$2),1)</f>
        <v>1</v>
      </c>
      <c r="H149" s="113">
        <f>IFERROR(INDEX($BD$7:$BO$35,MATCH(Ajustes!$E$4:$E$323,$BC$7:$BC$35,0),$C$2:$N$2),1)</f>
        <v>1</v>
      </c>
      <c r="I149" s="113">
        <f>IFERROR(INDEX($BD$7:$BO$35,MATCH(Ajustes!$E$4:$E$323,$BC$7:$BC$35,0),$C$2:$N$2),1)</f>
        <v>1</v>
      </c>
      <c r="J149" s="113">
        <f>IFERROR(INDEX($BD$7:$BO$35,MATCH(Ajustes!$E$4:$E$323,$BC$7:$BC$35,0),$C$2:$N$2),1)</f>
        <v>1</v>
      </c>
      <c r="K149" s="113">
        <f>IFERROR(INDEX($BD$7:$BO$35,MATCH(Ajustes!$E$4:$E$323,$BC$7:$BC$35,0),$C$2:$N$2),1)</f>
        <v>1</v>
      </c>
      <c r="L149" s="113">
        <f>IFERROR(INDEX($BD$7:$BO$35,MATCH(Ajustes!$E$4:$E$323,$BC$7:$BC$35,0),$C$2:$N$2),1)</f>
        <v>1</v>
      </c>
      <c r="M149" s="113">
        <f>IFERROR(INDEX($BD$7:$BO$35,MATCH(Ajustes!$E$4:$E$323,$BC$7:$BC$35,0),$C$2:$N$2),1)</f>
        <v>1</v>
      </c>
      <c r="N149" s="113">
        <f>IFERROR(INDEX($BD$7:$BO$35,MATCH(Ajustes!$E$4:$E$323,$BC$7:$BC$35,0),$C$2:$N$2),1)</f>
        <v>1</v>
      </c>
      <c r="O149">
        <f>C149*Ajustes!AM149</f>
        <v>0</v>
      </c>
      <c r="P149">
        <f>D149*Ajustes!AN149</f>
        <v>0</v>
      </c>
      <c r="Q149">
        <f>E149*Ajustes!AO149</f>
        <v>0</v>
      </c>
      <c r="R149">
        <f>F149*Ajustes!AP149</f>
        <v>0</v>
      </c>
      <c r="S149">
        <f>G149*Ajustes!AQ149</f>
        <v>0</v>
      </c>
      <c r="T149">
        <f>H149*Ajustes!AR149</f>
        <v>0</v>
      </c>
      <c r="U149">
        <f>I149*Ajustes!AS149</f>
        <v>0</v>
      </c>
      <c r="V149">
        <f>J149*Ajustes!AT149</f>
        <v>0</v>
      </c>
      <c r="W149">
        <f>K149*Ajustes!AU149</f>
        <v>0</v>
      </c>
      <c r="X149">
        <f>L149*Ajustes!AV149</f>
        <v>0</v>
      </c>
      <c r="Y149">
        <f>M149*Ajustes!AW149</f>
        <v>0</v>
      </c>
      <c r="Z149">
        <f>N149*Ajustes!AX149</f>
        <v>0</v>
      </c>
      <c r="AA149">
        <f>IF(Ajustes!$G149&gt;0,INDEX($AA$4:$AL$323,Ajustes!$G149,O$2),0)+IF(Ajustes!$H149&gt;0,INDEX($AA$4:$AL$323,Ajustes!$H149,O$2),0)+IF(Ajustes!$I149&gt;0,INDEX($AA$4:$AL$323,Ajustes!$I149,O$2),0)+IF(Ajustes!$J149&gt;0,INDEX($AA$4:$AL$323,Ajustes!$J149,O$2),0)+IF(Ajustes!$K149&gt;0,INDEX($AA$5:$AL$324,Ajustes!$K149,O$2),0)+IF(Ajustes!$L149&gt;0,INDEX($AA$4:$AL$323,Ajustes!$L149,O$2),0) + O149</f>
        <v>0</v>
      </c>
      <c r="AB149">
        <f>IF(Ajustes!$G149&gt;0,INDEX($AA$4:$AL$323,Ajustes!$G149,P$2),0)+IF(Ajustes!$H149&gt;0,INDEX($AA$4:$AL$323,Ajustes!$H149,P$2),0)+IF(Ajustes!$I149&gt;0,INDEX($AA$4:$AL$323,Ajustes!$I149,P$2),0)+IF(Ajustes!$J149&gt;0,INDEX($AA$4:$AL$323,Ajustes!$J149,P$2),0)+IF(Ajustes!$K149&gt;0,INDEX($AA$5:$AL$324,Ajustes!$K149,P$2),0)+IF(Ajustes!$L149&gt;0,INDEX($AA$4:$AL$323,Ajustes!$L149,P$2),0) + P149</f>
        <v>0</v>
      </c>
      <c r="AC149">
        <f>IF(Ajustes!$G149&gt;0,INDEX($AA$4:$AL$323,Ajustes!$G149,Q$2),0)+IF(Ajustes!$H149&gt;0,INDEX($AA$4:$AL$323,Ajustes!$H149,Q$2),0)+IF(Ajustes!$I149&gt;0,INDEX($AA$4:$AL$323,Ajustes!$I149,Q$2),0)+IF(Ajustes!$J149&gt;0,INDEX($AA$4:$AL$323,Ajustes!$J149,Q$2),0)+IF(Ajustes!$K149&gt;0,INDEX($AA$5:$AL$324,Ajustes!$K149,Q$2),0)+IF(Ajustes!$L149&gt;0,INDEX($AA$4:$AL$323,Ajustes!$L149,Q$2),0) + Q149</f>
        <v>0</v>
      </c>
      <c r="AD149">
        <f>IF(Ajustes!$G149&gt;0,INDEX($AA$4:$AL$323,Ajustes!$G149,R$2),0)+IF(Ajustes!$H149&gt;0,INDEX($AA$4:$AL$323,Ajustes!$H149,R$2),0)+IF(Ajustes!$I149&gt;0,INDEX($AA$4:$AL$323,Ajustes!$I149,R$2),0)+IF(Ajustes!$J149&gt;0,INDEX($AA$4:$AL$323,Ajustes!$J149,R$2),0)+IF(Ajustes!$K149&gt;0,INDEX($AA$5:$AL$324,Ajustes!$K149,R$2),0)+IF(Ajustes!$L149&gt;0,INDEX($AA$4:$AL$323,Ajustes!$L149,R$2),0) + R149</f>
        <v>0</v>
      </c>
      <c r="AE149">
        <f>IF(Ajustes!$G149&gt;0,INDEX($AA$4:$AL$323,Ajustes!$G149,S$2),0)+IF(Ajustes!$H149&gt;0,INDEX($AA$4:$AL$323,Ajustes!$H149,S$2),0)+IF(Ajustes!$I149&gt;0,INDEX($AA$4:$AL$323,Ajustes!$I149,S$2),0)+IF(Ajustes!$J149&gt;0,INDEX($AA$4:$AL$323,Ajustes!$J149,S$2),0)+IF(Ajustes!$K149&gt;0,INDEX($AA$5:$AL$324,Ajustes!$K149,S$2),0)+IF(Ajustes!$L149&gt;0,INDEX($AA$4:$AL$323,Ajustes!$L149,S$2),0) + S149</f>
        <v>0</v>
      </c>
      <c r="AF149">
        <f>IF(Ajustes!$G149&gt;0,INDEX($AA$4:$AL$323,Ajustes!$G149,T$2),0)+IF(Ajustes!$H149&gt;0,INDEX($AA$4:$AL$323,Ajustes!$H149,T$2),0)+IF(Ajustes!$I149&gt;0,INDEX($AA$4:$AL$323,Ajustes!$I149,T$2),0)+IF(Ajustes!$J149&gt;0,INDEX($AA$4:$AL$323,Ajustes!$J149,T$2),0)+IF(Ajustes!$K149&gt;0,INDEX($AA$5:$AL$324,Ajustes!$K149,T$2),0)+IF(Ajustes!$L149&gt;0,INDEX($AA$4:$AL$323,Ajustes!$L149,T$2),0) + T149</f>
        <v>0</v>
      </c>
      <c r="AG149">
        <f>IF(Ajustes!$G149&gt;0,INDEX($AA$4:$AL$323,Ajustes!$G149,U$2),0)+IF(Ajustes!$H149&gt;0,INDEX($AA$4:$AL$323,Ajustes!$H149,U$2),0)+IF(Ajustes!$I149&gt;0,INDEX($AA$4:$AL$323,Ajustes!$I149,U$2),0)+IF(Ajustes!$J149&gt;0,INDEX($AA$4:$AL$323,Ajustes!$J149,U$2),0)+IF(Ajustes!$K149&gt;0,INDEX($AA$5:$AL$324,Ajustes!$K149,U$2),0)+IF(Ajustes!$L149&gt;0,INDEX($AA$4:$AL$323,Ajustes!$L149,U$2),0) + U149</f>
        <v>0</v>
      </c>
      <c r="AH149">
        <f>IF(Ajustes!$G149&gt;0,INDEX($AA$4:$AL$323,Ajustes!$G149,V$2),0)+IF(Ajustes!$H149&gt;0,INDEX($AA$4:$AL$323,Ajustes!$H149,V$2),0)+IF(Ajustes!$I149&gt;0,INDEX($AA$4:$AL$323,Ajustes!$I149,V$2),0)+IF(Ajustes!$J149&gt;0,INDEX($AA$4:$AL$323,Ajustes!$J149,V$2),0)+IF(Ajustes!$K149&gt;0,INDEX($AA$5:$AL$324,Ajustes!$K149,V$2),0)+IF(Ajustes!$L149&gt;0,INDEX($AA$4:$AL$323,Ajustes!$L149,V$2),0) + V149</f>
        <v>0</v>
      </c>
      <c r="AI149">
        <f>IF(Ajustes!$G149&gt;0,INDEX($AA$4:$AL$323,Ajustes!$G149,W$2),0)+IF(Ajustes!$H149&gt;0,INDEX($AA$4:$AL$323,Ajustes!$H149,W$2),0)+IF(Ajustes!$I149&gt;0,INDEX($AA$4:$AL$323,Ajustes!$I149,W$2),0)+IF(Ajustes!$J149&gt;0,INDEX($AA$4:$AL$323,Ajustes!$J149,W$2),0)+IF(Ajustes!$K149&gt;0,INDEX($AA$5:$AL$324,Ajustes!$K149,W$2),0)+IF(Ajustes!$L149&gt;0,INDEX($AA$4:$AL$323,Ajustes!$L149,W$2),0) + W149</f>
        <v>0</v>
      </c>
      <c r="AJ149">
        <f>IF(Ajustes!$G149&gt;0,INDEX($AA$4:$AL$323,Ajustes!$G149,X$2),0)+IF(Ajustes!$H149&gt;0,INDEX($AA$4:$AL$323,Ajustes!$H149,X$2),0)+IF(Ajustes!$I149&gt;0,INDEX($AA$4:$AL$323,Ajustes!$I149,X$2),0)+IF(Ajustes!$J149&gt;0,INDEX($AA$4:$AL$323,Ajustes!$J149,X$2),0)+IF(Ajustes!$K149&gt;0,INDEX($AA$5:$AL$324,Ajustes!$K149,X$2),0)+IF(Ajustes!$L149&gt;0,INDEX($AA$4:$AL$323,Ajustes!$L149,X$2),0) + X149</f>
        <v>0</v>
      </c>
      <c r="AK149">
        <f>IF(Ajustes!$G149&gt;0,INDEX($AA$4:$AL$323,Ajustes!$G149,Y$2),0)+IF(Ajustes!$H149&gt;0,INDEX($AA$4:$AL$323,Ajustes!$H149,Y$2),0)+IF(Ajustes!$I149&gt;0,INDEX($AA$4:$AL$323,Ajustes!$I149,Y$2),0)+IF(Ajustes!$J149&gt;0,INDEX($AA$4:$AL$323,Ajustes!$J149,Y$2),0)+IF(Ajustes!$K149&gt;0,INDEX($AA$5:$AL$324,Ajustes!$K149,Y$2),0)+IF(Ajustes!$L149&gt;0,INDEX($AA$4:$AL$323,Ajustes!$L149,Y$2),0) + Y149</f>
        <v>0</v>
      </c>
      <c r="AL149">
        <f>IF(Ajustes!$G149&gt;0,INDEX($AA$4:$AL$323,Ajustes!$G149,Z$2),0)+IF(Ajustes!$H149&gt;0,INDEX($AA$4:$AL$323,Ajustes!$H149,Z$2),0)+IF(Ajustes!$I149&gt;0,INDEX($AA$4:$AL$323,Ajustes!$I149,Z$2),0)+IF(Ajustes!$J149&gt;0,INDEX($AA$4:$AL$323,Ajustes!$J149,Z$2),0)+IF(Ajustes!$K149&gt;0,INDEX($AA$5:$AL$324,Ajustes!$K149,Z$2),0)+IF(Ajustes!$L149&gt;0,INDEX($AA$4:$AL$323,Ajustes!$L149,Z$2),0) + Z149</f>
        <v>0</v>
      </c>
      <c r="AM149" s="113">
        <f t="shared" si="39"/>
        <v>0</v>
      </c>
      <c r="AN149" s="113">
        <f t="shared" si="39"/>
        <v>0</v>
      </c>
      <c r="AO149" s="113">
        <f t="shared" si="39"/>
        <v>0</v>
      </c>
      <c r="AP149" s="113">
        <f t="shared" si="39"/>
        <v>0</v>
      </c>
      <c r="AQ149" s="113">
        <f t="shared" si="42"/>
        <v>0</v>
      </c>
      <c r="AR149" s="113">
        <f t="shared" si="40"/>
        <v>0</v>
      </c>
      <c r="AS149" s="113">
        <f t="shared" si="40"/>
        <v>0</v>
      </c>
      <c r="AT149" s="113">
        <f t="shared" si="40"/>
        <v>0</v>
      </c>
      <c r="AU149" s="113">
        <f t="shared" si="40"/>
        <v>0</v>
      </c>
      <c r="AV149" s="113">
        <f t="shared" si="43"/>
        <v>0</v>
      </c>
      <c r="AW149" s="113">
        <f t="shared" si="41"/>
        <v>0</v>
      </c>
      <c r="AX149" s="113">
        <f t="shared" si="41"/>
        <v>0</v>
      </c>
    </row>
    <row r="150" spans="1:50" x14ac:dyDescent="0.25">
      <c r="A150" s="113">
        <v>147</v>
      </c>
      <c r="B150" s="209"/>
      <c r="C150">
        <f>IFERROR(INDEX($BD$7:$BO$35,MATCH(Ajustes!$E$4:$E$323,$BC$7:$BC$35,0),$C$2:$N$2),1)</f>
        <v>1</v>
      </c>
      <c r="D150" s="113">
        <f>IFERROR(INDEX($BD$7:$BO$35,MATCH(Ajustes!$E$4:$E$323,$BC$7:$BC$35,0),$C$2:$N$2),1)</f>
        <v>1</v>
      </c>
      <c r="E150" s="113">
        <f>IFERROR(INDEX($BD$7:$BO$35,MATCH(Ajustes!$E$4:$E$323,$BC$7:$BC$35,0),$C$2:$N$2),1)</f>
        <v>1</v>
      </c>
      <c r="F150" s="113">
        <f>IFERROR(INDEX($BD$7:$BO$35,MATCH(Ajustes!$E$4:$E$323,$BC$7:$BC$35,0),$C$2:$N$2),1)</f>
        <v>1</v>
      </c>
      <c r="G150" s="113">
        <f>IFERROR(INDEX($BD$7:$BO$35,MATCH(Ajustes!$E$4:$E$323,$BC$7:$BC$35,0),$C$2:$N$2),1)</f>
        <v>1</v>
      </c>
      <c r="H150" s="113">
        <f>IFERROR(INDEX($BD$7:$BO$35,MATCH(Ajustes!$E$4:$E$323,$BC$7:$BC$35,0),$C$2:$N$2),1)</f>
        <v>1</v>
      </c>
      <c r="I150" s="113">
        <f>IFERROR(INDEX($BD$7:$BO$35,MATCH(Ajustes!$E$4:$E$323,$BC$7:$BC$35,0),$C$2:$N$2),1)</f>
        <v>1</v>
      </c>
      <c r="J150" s="113">
        <f>IFERROR(INDEX($BD$7:$BO$35,MATCH(Ajustes!$E$4:$E$323,$BC$7:$BC$35,0),$C$2:$N$2),1)</f>
        <v>1</v>
      </c>
      <c r="K150" s="113">
        <f>IFERROR(INDEX($BD$7:$BO$35,MATCH(Ajustes!$E$4:$E$323,$BC$7:$BC$35,0),$C$2:$N$2),1)</f>
        <v>1</v>
      </c>
      <c r="L150" s="113">
        <f>IFERROR(INDEX($BD$7:$BO$35,MATCH(Ajustes!$E$4:$E$323,$BC$7:$BC$35,0),$C$2:$N$2),1)</f>
        <v>1</v>
      </c>
      <c r="M150" s="113">
        <f>IFERROR(INDEX($BD$7:$BO$35,MATCH(Ajustes!$E$4:$E$323,$BC$7:$BC$35,0),$C$2:$N$2),1)</f>
        <v>1</v>
      </c>
      <c r="N150" s="113">
        <f>IFERROR(INDEX($BD$7:$BO$35,MATCH(Ajustes!$E$4:$E$323,$BC$7:$BC$35,0),$C$2:$N$2),1)</f>
        <v>1</v>
      </c>
      <c r="O150">
        <f>C150*Ajustes!AM150</f>
        <v>0</v>
      </c>
      <c r="P150">
        <f>D150*Ajustes!AN150</f>
        <v>0</v>
      </c>
      <c r="Q150">
        <f>E150*Ajustes!AO150</f>
        <v>0</v>
      </c>
      <c r="R150">
        <f>F150*Ajustes!AP150</f>
        <v>0</v>
      </c>
      <c r="S150">
        <f>G150*Ajustes!AQ150</f>
        <v>0</v>
      </c>
      <c r="T150">
        <f>H150*Ajustes!AR150</f>
        <v>0</v>
      </c>
      <c r="U150">
        <f>I150*Ajustes!AS150</f>
        <v>0</v>
      </c>
      <c r="V150">
        <f>J150*Ajustes!AT150</f>
        <v>0</v>
      </c>
      <c r="W150">
        <f>K150*Ajustes!AU150</f>
        <v>0</v>
      </c>
      <c r="X150">
        <f>L150*Ajustes!AV150</f>
        <v>0</v>
      </c>
      <c r="Y150">
        <f>M150*Ajustes!AW150</f>
        <v>0</v>
      </c>
      <c r="Z150">
        <f>N150*Ajustes!AX150</f>
        <v>0</v>
      </c>
      <c r="AA150">
        <f>IF(Ajustes!$G150&gt;0,INDEX($AA$4:$AL$323,Ajustes!$G150,O$2),0)+IF(Ajustes!$H150&gt;0,INDEX($AA$4:$AL$323,Ajustes!$H150,O$2),0)+IF(Ajustes!$I150&gt;0,INDEX($AA$4:$AL$323,Ajustes!$I150,O$2),0)+IF(Ajustes!$J150&gt;0,INDEX($AA$4:$AL$323,Ajustes!$J150,O$2),0)+IF(Ajustes!$K150&gt;0,INDEX($AA$5:$AL$324,Ajustes!$K150,O$2),0)+IF(Ajustes!$L150&gt;0,INDEX($AA$4:$AL$323,Ajustes!$L150,O$2),0) + O150</f>
        <v>0</v>
      </c>
      <c r="AB150">
        <f>IF(Ajustes!$G150&gt;0,INDEX($AA$4:$AL$323,Ajustes!$G150,P$2),0)+IF(Ajustes!$H150&gt;0,INDEX($AA$4:$AL$323,Ajustes!$H150,P$2),0)+IF(Ajustes!$I150&gt;0,INDEX($AA$4:$AL$323,Ajustes!$I150,P$2),0)+IF(Ajustes!$J150&gt;0,INDEX($AA$4:$AL$323,Ajustes!$J150,P$2),0)+IF(Ajustes!$K150&gt;0,INDEX($AA$5:$AL$324,Ajustes!$K150,P$2),0)+IF(Ajustes!$L150&gt;0,INDEX($AA$4:$AL$323,Ajustes!$L150,P$2),0) + P150</f>
        <v>0</v>
      </c>
      <c r="AC150">
        <f>IF(Ajustes!$G150&gt;0,INDEX($AA$4:$AL$323,Ajustes!$G150,Q$2),0)+IF(Ajustes!$H150&gt;0,INDEX($AA$4:$AL$323,Ajustes!$H150,Q$2),0)+IF(Ajustes!$I150&gt;0,INDEX($AA$4:$AL$323,Ajustes!$I150,Q$2),0)+IF(Ajustes!$J150&gt;0,INDEX($AA$4:$AL$323,Ajustes!$J150,Q$2),0)+IF(Ajustes!$K150&gt;0,INDEX($AA$5:$AL$324,Ajustes!$K150,Q$2),0)+IF(Ajustes!$L150&gt;0,INDEX($AA$4:$AL$323,Ajustes!$L150,Q$2),0) + Q150</f>
        <v>0</v>
      </c>
      <c r="AD150">
        <f>IF(Ajustes!$G150&gt;0,INDEX($AA$4:$AL$323,Ajustes!$G150,R$2),0)+IF(Ajustes!$H150&gt;0,INDEX($AA$4:$AL$323,Ajustes!$H150,R$2),0)+IF(Ajustes!$I150&gt;0,INDEX($AA$4:$AL$323,Ajustes!$I150,R$2),0)+IF(Ajustes!$J150&gt;0,INDEX($AA$4:$AL$323,Ajustes!$J150,R$2),0)+IF(Ajustes!$K150&gt;0,INDEX($AA$5:$AL$324,Ajustes!$K150,R$2),0)+IF(Ajustes!$L150&gt;0,INDEX($AA$4:$AL$323,Ajustes!$L150,R$2),0) + R150</f>
        <v>0</v>
      </c>
      <c r="AE150">
        <f>IF(Ajustes!$G150&gt;0,INDEX($AA$4:$AL$323,Ajustes!$G150,S$2),0)+IF(Ajustes!$H150&gt;0,INDEX($AA$4:$AL$323,Ajustes!$H150,S$2),0)+IF(Ajustes!$I150&gt;0,INDEX($AA$4:$AL$323,Ajustes!$I150,S$2),0)+IF(Ajustes!$J150&gt;0,INDEX($AA$4:$AL$323,Ajustes!$J150,S$2),0)+IF(Ajustes!$K150&gt;0,INDEX($AA$5:$AL$324,Ajustes!$K150,S$2),0)+IF(Ajustes!$L150&gt;0,INDEX($AA$4:$AL$323,Ajustes!$L150,S$2),0) + S150</f>
        <v>0</v>
      </c>
      <c r="AF150">
        <f>IF(Ajustes!$G150&gt;0,INDEX($AA$4:$AL$323,Ajustes!$G150,T$2),0)+IF(Ajustes!$H150&gt;0,INDEX($AA$4:$AL$323,Ajustes!$H150,T$2),0)+IF(Ajustes!$I150&gt;0,INDEX($AA$4:$AL$323,Ajustes!$I150,T$2),0)+IF(Ajustes!$J150&gt;0,INDEX($AA$4:$AL$323,Ajustes!$J150,T$2),0)+IF(Ajustes!$K150&gt;0,INDEX($AA$5:$AL$324,Ajustes!$K150,T$2),0)+IF(Ajustes!$L150&gt;0,INDEX($AA$4:$AL$323,Ajustes!$L150,T$2),0) + T150</f>
        <v>0</v>
      </c>
      <c r="AG150">
        <f>IF(Ajustes!$G150&gt;0,INDEX($AA$4:$AL$323,Ajustes!$G150,U$2),0)+IF(Ajustes!$H150&gt;0,INDEX($AA$4:$AL$323,Ajustes!$H150,U$2),0)+IF(Ajustes!$I150&gt;0,INDEX($AA$4:$AL$323,Ajustes!$I150,U$2),0)+IF(Ajustes!$J150&gt;0,INDEX($AA$4:$AL$323,Ajustes!$J150,U$2),0)+IF(Ajustes!$K150&gt;0,INDEX($AA$5:$AL$324,Ajustes!$K150,U$2),0)+IF(Ajustes!$L150&gt;0,INDEX($AA$4:$AL$323,Ajustes!$L150,U$2),0) + U150</f>
        <v>0</v>
      </c>
      <c r="AH150">
        <f>IF(Ajustes!$G150&gt;0,INDEX($AA$4:$AL$323,Ajustes!$G150,V$2),0)+IF(Ajustes!$H150&gt;0,INDEX($AA$4:$AL$323,Ajustes!$H150,V$2),0)+IF(Ajustes!$I150&gt;0,INDEX($AA$4:$AL$323,Ajustes!$I150,V$2),0)+IF(Ajustes!$J150&gt;0,INDEX($AA$4:$AL$323,Ajustes!$J150,V$2),0)+IF(Ajustes!$K150&gt;0,INDEX($AA$5:$AL$324,Ajustes!$K150,V$2),0)+IF(Ajustes!$L150&gt;0,INDEX($AA$4:$AL$323,Ajustes!$L150,V$2),0) + V150</f>
        <v>0</v>
      </c>
      <c r="AI150">
        <f>IF(Ajustes!$G150&gt;0,INDEX($AA$4:$AL$323,Ajustes!$G150,W$2),0)+IF(Ajustes!$H150&gt;0,INDEX($AA$4:$AL$323,Ajustes!$H150,W$2),0)+IF(Ajustes!$I150&gt;0,INDEX($AA$4:$AL$323,Ajustes!$I150,W$2),0)+IF(Ajustes!$J150&gt;0,INDEX($AA$4:$AL$323,Ajustes!$J150,W$2),0)+IF(Ajustes!$K150&gt;0,INDEX($AA$5:$AL$324,Ajustes!$K150,W$2),0)+IF(Ajustes!$L150&gt;0,INDEX($AA$4:$AL$323,Ajustes!$L150,W$2),0) + W150</f>
        <v>0</v>
      </c>
      <c r="AJ150">
        <f>IF(Ajustes!$G150&gt;0,INDEX($AA$4:$AL$323,Ajustes!$G150,X$2),0)+IF(Ajustes!$H150&gt;0,INDEX($AA$4:$AL$323,Ajustes!$H150,X$2),0)+IF(Ajustes!$I150&gt;0,INDEX($AA$4:$AL$323,Ajustes!$I150,X$2),0)+IF(Ajustes!$J150&gt;0,INDEX($AA$4:$AL$323,Ajustes!$J150,X$2),0)+IF(Ajustes!$K150&gt;0,INDEX($AA$5:$AL$324,Ajustes!$K150,X$2),0)+IF(Ajustes!$L150&gt;0,INDEX($AA$4:$AL$323,Ajustes!$L150,X$2),0) + X150</f>
        <v>0</v>
      </c>
      <c r="AK150">
        <f>IF(Ajustes!$G150&gt;0,INDEX($AA$4:$AL$323,Ajustes!$G150,Y$2),0)+IF(Ajustes!$H150&gt;0,INDEX($AA$4:$AL$323,Ajustes!$H150,Y$2),0)+IF(Ajustes!$I150&gt;0,INDEX($AA$4:$AL$323,Ajustes!$I150,Y$2),0)+IF(Ajustes!$J150&gt;0,INDEX($AA$4:$AL$323,Ajustes!$J150,Y$2),0)+IF(Ajustes!$K150&gt;0,INDEX($AA$5:$AL$324,Ajustes!$K150,Y$2),0)+IF(Ajustes!$L150&gt;0,INDEX($AA$4:$AL$323,Ajustes!$L150,Y$2),0) + Y150</f>
        <v>0</v>
      </c>
      <c r="AL150">
        <f>IF(Ajustes!$G150&gt;0,INDEX($AA$4:$AL$323,Ajustes!$G150,Z$2),0)+IF(Ajustes!$H150&gt;0,INDEX($AA$4:$AL$323,Ajustes!$H150,Z$2),0)+IF(Ajustes!$I150&gt;0,INDEX($AA$4:$AL$323,Ajustes!$I150,Z$2),0)+IF(Ajustes!$J150&gt;0,INDEX($AA$4:$AL$323,Ajustes!$J150,Z$2),0)+IF(Ajustes!$K150&gt;0,INDEX($AA$5:$AL$324,Ajustes!$K150,Z$2),0)+IF(Ajustes!$L150&gt;0,INDEX($AA$4:$AL$323,Ajustes!$L150,Z$2),0) + Z150</f>
        <v>0</v>
      </c>
      <c r="AM150" s="113">
        <f t="shared" si="39"/>
        <v>0</v>
      </c>
      <c r="AN150" s="113">
        <f t="shared" si="39"/>
        <v>0</v>
      </c>
      <c r="AO150" s="113">
        <f t="shared" si="39"/>
        <v>0</v>
      </c>
      <c r="AP150" s="113">
        <f t="shared" si="39"/>
        <v>0</v>
      </c>
      <c r="AQ150" s="113">
        <f t="shared" si="42"/>
        <v>0</v>
      </c>
      <c r="AR150" s="113">
        <f t="shared" si="40"/>
        <v>0</v>
      </c>
      <c r="AS150" s="113">
        <f t="shared" si="40"/>
        <v>0</v>
      </c>
      <c r="AT150" s="113">
        <f t="shared" si="40"/>
        <v>0</v>
      </c>
      <c r="AU150" s="113">
        <f t="shared" si="40"/>
        <v>0</v>
      </c>
      <c r="AV150" s="113">
        <f t="shared" si="43"/>
        <v>0</v>
      </c>
      <c r="AW150" s="113">
        <f t="shared" si="41"/>
        <v>0</v>
      </c>
      <c r="AX150" s="113">
        <f t="shared" si="41"/>
        <v>0</v>
      </c>
    </row>
    <row r="151" spans="1:50" x14ac:dyDescent="0.25">
      <c r="A151" s="113">
        <v>148</v>
      </c>
      <c r="B151" s="209" t="s">
        <v>610</v>
      </c>
      <c r="C151">
        <f>IFERROR(INDEX($BD$7:$BO$35,MATCH(Ajustes!$E$4:$E$323,$BC$7:$BC$35,0),$C$2:$N$2),1)</f>
        <v>1</v>
      </c>
      <c r="D151" s="113">
        <f>IFERROR(INDEX($BD$7:$BO$35,MATCH(Ajustes!$E$4:$E$323,$BC$7:$BC$35,0),$C$2:$N$2),1)</f>
        <v>1</v>
      </c>
      <c r="E151" s="113">
        <f>IFERROR(INDEX($BD$7:$BO$35,MATCH(Ajustes!$E$4:$E$323,$BC$7:$BC$35,0),$C$2:$N$2),1)</f>
        <v>1</v>
      </c>
      <c r="F151" s="113">
        <f>IFERROR(INDEX($BD$7:$BO$35,MATCH(Ajustes!$E$4:$E$323,$BC$7:$BC$35,0),$C$2:$N$2),1)</f>
        <v>1</v>
      </c>
      <c r="G151" s="113">
        <f>IFERROR(INDEX($BD$7:$BO$35,MATCH(Ajustes!$E$4:$E$323,$BC$7:$BC$35,0),$C$2:$N$2),1)</f>
        <v>1</v>
      </c>
      <c r="H151" s="113">
        <f>IFERROR(INDEX($BD$7:$BO$35,MATCH(Ajustes!$E$4:$E$323,$BC$7:$BC$35,0),$C$2:$N$2),1)</f>
        <v>1</v>
      </c>
      <c r="I151" s="113">
        <f>IFERROR(INDEX($BD$7:$BO$35,MATCH(Ajustes!$E$4:$E$323,$BC$7:$BC$35,0),$C$2:$N$2),1)</f>
        <v>1</v>
      </c>
      <c r="J151" s="113">
        <f>IFERROR(INDEX($BD$7:$BO$35,MATCH(Ajustes!$E$4:$E$323,$BC$7:$BC$35,0),$C$2:$N$2),1)</f>
        <v>1</v>
      </c>
      <c r="K151" s="113">
        <f>IFERROR(INDEX($BD$7:$BO$35,MATCH(Ajustes!$E$4:$E$323,$BC$7:$BC$35,0),$C$2:$N$2),1)</f>
        <v>1</v>
      </c>
      <c r="L151" s="113">
        <f>IFERROR(INDEX($BD$7:$BO$35,MATCH(Ajustes!$E$4:$E$323,$BC$7:$BC$35,0),$C$2:$N$2),1)</f>
        <v>1</v>
      </c>
      <c r="M151" s="113">
        <f>IFERROR(INDEX($BD$7:$BO$35,MATCH(Ajustes!$E$4:$E$323,$BC$7:$BC$35,0),$C$2:$N$2),1)</f>
        <v>1</v>
      </c>
      <c r="N151" s="113">
        <f>IFERROR(INDEX($BD$7:$BO$35,MATCH(Ajustes!$E$4:$E$323,$BC$7:$BC$35,0),$C$2:$N$2),1)</f>
        <v>1</v>
      </c>
      <c r="O151">
        <f>C151*Ajustes!AM151</f>
        <v>567</v>
      </c>
      <c r="P151">
        <f>D151*Ajustes!AN151</f>
        <v>405</v>
      </c>
      <c r="Q151">
        <f>E151*Ajustes!AO151</f>
        <v>351</v>
      </c>
      <c r="R151">
        <f>F151*Ajustes!AP151</f>
        <v>263</v>
      </c>
      <c r="S151">
        <f>G151*Ajustes!AQ151</f>
        <v>177</v>
      </c>
      <c r="T151">
        <f>H151*Ajustes!AR151</f>
        <v>143</v>
      </c>
      <c r="U151">
        <f>I151*Ajustes!AS151</f>
        <v>126</v>
      </c>
      <c r="V151">
        <f>J151*Ajustes!AT151</f>
        <v>110</v>
      </c>
      <c r="W151">
        <f>K151*Ajustes!AU151</f>
        <v>104</v>
      </c>
      <c r="X151">
        <f>L151*Ajustes!AV151</f>
        <v>144</v>
      </c>
      <c r="Y151">
        <f>M151*Ajustes!AW151</f>
        <v>276</v>
      </c>
      <c r="Z151">
        <f>N151*Ajustes!AX151</f>
        <v>504</v>
      </c>
      <c r="AA151">
        <f>IF(Ajustes!$G151&gt;0,INDEX($AA$4:$AL$323,Ajustes!$G151,O$2),0)+IF(Ajustes!$H151&gt;0,INDEX($AA$4:$AL$323,Ajustes!$H151,O$2),0)+IF(Ajustes!$I151&gt;0,INDEX($AA$4:$AL$323,Ajustes!$I151,O$2),0)+IF(Ajustes!$J151&gt;0,INDEX($AA$4:$AL$323,Ajustes!$J151,O$2),0)+IF(Ajustes!$K151&gt;0,INDEX($AA$5:$AL$324,Ajustes!$K151,O$2),0)+IF(Ajustes!$L151&gt;0,INDEX($AA$4:$AL$323,Ajustes!$L151,O$2),0) + O151</f>
        <v>1620</v>
      </c>
      <c r="AB151">
        <f>IF(Ajustes!$G151&gt;0,INDEX($AA$4:$AL$323,Ajustes!$G151,P$2),0)+IF(Ajustes!$H151&gt;0,INDEX($AA$4:$AL$323,Ajustes!$H151,P$2),0)+IF(Ajustes!$I151&gt;0,INDEX($AA$4:$AL$323,Ajustes!$I151,P$2),0)+IF(Ajustes!$J151&gt;0,INDEX($AA$4:$AL$323,Ajustes!$J151,P$2),0)+IF(Ajustes!$K151&gt;0,INDEX($AA$5:$AL$324,Ajustes!$K151,P$2),0)+IF(Ajustes!$L151&gt;0,INDEX($AA$4:$AL$323,Ajustes!$L151,P$2),0) + P151</f>
        <v>1260</v>
      </c>
      <c r="AC151">
        <f>IF(Ajustes!$G151&gt;0,INDEX($AA$4:$AL$323,Ajustes!$G151,Q$2),0)+IF(Ajustes!$H151&gt;0,INDEX($AA$4:$AL$323,Ajustes!$H151,Q$2),0)+IF(Ajustes!$I151&gt;0,INDEX($AA$4:$AL$323,Ajustes!$I151,Q$2),0)+IF(Ajustes!$J151&gt;0,INDEX($AA$4:$AL$323,Ajustes!$J151,Q$2),0)+IF(Ajustes!$K151&gt;0,INDEX($AA$5:$AL$324,Ajustes!$K151,Q$2),0)+IF(Ajustes!$L151&gt;0,INDEX($AA$4:$AL$323,Ajustes!$L151,Q$2),0) + Q151</f>
        <v>1107</v>
      </c>
      <c r="AD151">
        <f>IF(Ajustes!$G151&gt;0,INDEX($AA$4:$AL$323,Ajustes!$G151,R$2),0)+IF(Ajustes!$H151&gt;0,INDEX($AA$4:$AL$323,Ajustes!$H151,R$2),0)+IF(Ajustes!$I151&gt;0,INDEX($AA$4:$AL$323,Ajustes!$I151,R$2),0)+IF(Ajustes!$J151&gt;0,INDEX($AA$4:$AL$323,Ajustes!$J151,R$2),0)+IF(Ajustes!$K151&gt;0,INDEX($AA$5:$AL$324,Ajustes!$K151,R$2),0)+IF(Ajustes!$L151&gt;0,INDEX($AA$4:$AL$323,Ajustes!$L151,R$2),0) + R151</f>
        <v>856</v>
      </c>
      <c r="AE151">
        <f>IF(Ajustes!$G151&gt;0,INDEX($AA$4:$AL$323,Ajustes!$G151,S$2),0)+IF(Ajustes!$H151&gt;0,INDEX($AA$4:$AL$323,Ajustes!$H151,S$2),0)+IF(Ajustes!$I151&gt;0,INDEX($AA$4:$AL$323,Ajustes!$I151,S$2),0)+IF(Ajustes!$J151&gt;0,INDEX($AA$4:$AL$323,Ajustes!$J151,S$2),0)+IF(Ajustes!$K151&gt;0,INDEX($AA$5:$AL$324,Ajustes!$K151,S$2),0)+IF(Ajustes!$L151&gt;0,INDEX($AA$4:$AL$323,Ajustes!$L151,S$2),0) + S151</f>
        <v>621</v>
      </c>
      <c r="AF151">
        <f>IF(Ajustes!$G151&gt;0,INDEX($AA$4:$AL$323,Ajustes!$G151,T$2),0)+IF(Ajustes!$H151&gt;0,INDEX($AA$4:$AL$323,Ajustes!$H151,T$2),0)+IF(Ajustes!$I151&gt;0,INDEX($AA$4:$AL$323,Ajustes!$I151,T$2),0)+IF(Ajustes!$J151&gt;0,INDEX($AA$4:$AL$323,Ajustes!$J151,T$2),0)+IF(Ajustes!$K151&gt;0,INDEX($AA$5:$AL$324,Ajustes!$K151,T$2),0)+IF(Ajustes!$L151&gt;0,INDEX($AA$4:$AL$323,Ajustes!$L151,T$2),0) + T151</f>
        <v>521</v>
      </c>
      <c r="AG151">
        <f>IF(Ajustes!$G151&gt;0,INDEX($AA$4:$AL$323,Ajustes!$G151,U$2),0)+IF(Ajustes!$H151&gt;0,INDEX($AA$4:$AL$323,Ajustes!$H151,U$2),0)+IF(Ajustes!$I151&gt;0,INDEX($AA$4:$AL$323,Ajustes!$I151,U$2),0)+IF(Ajustes!$J151&gt;0,INDEX($AA$4:$AL$323,Ajustes!$J151,U$2),0)+IF(Ajustes!$K151&gt;0,INDEX($AA$5:$AL$324,Ajustes!$K151,U$2),0)+IF(Ajustes!$L151&gt;0,INDEX($AA$4:$AL$323,Ajustes!$L151,U$2),0) + U151</f>
        <v>461</v>
      </c>
      <c r="AH151">
        <f>IF(Ajustes!$G151&gt;0,INDEX($AA$4:$AL$323,Ajustes!$G151,V$2),0)+IF(Ajustes!$H151&gt;0,INDEX($AA$4:$AL$323,Ajustes!$H151,V$2),0)+IF(Ajustes!$I151&gt;0,INDEX($AA$4:$AL$323,Ajustes!$I151,V$2),0)+IF(Ajustes!$J151&gt;0,INDEX($AA$4:$AL$323,Ajustes!$J151,V$2),0)+IF(Ajustes!$K151&gt;0,INDEX($AA$5:$AL$324,Ajustes!$K151,V$2),0)+IF(Ajustes!$L151&gt;0,INDEX($AA$4:$AL$323,Ajustes!$L151,V$2),0) + V151</f>
        <v>410</v>
      </c>
      <c r="AI151">
        <f>IF(Ajustes!$G151&gt;0,INDEX($AA$4:$AL$323,Ajustes!$G151,W$2),0)+IF(Ajustes!$H151&gt;0,INDEX($AA$4:$AL$323,Ajustes!$H151,W$2),0)+IF(Ajustes!$I151&gt;0,INDEX($AA$4:$AL$323,Ajustes!$I151,W$2),0)+IF(Ajustes!$J151&gt;0,INDEX($AA$4:$AL$323,Ajustes!$J151,W$2),0)+IF(Ajustes!$K151&gt;0,INDEX($AA$5:$AL$324,Ajustes!$K151,W$2),0)+IF(Ajustes!$L151&gt;0,INDEX($AA$4:$AL$323,Ajustes!$L151,W$2),0) + W151</f>
        <v>396</v>
      </c>
      <c r="AJ151">
        <f>IF(Ajustes!$G151&gt;0,INDEX($AA$4:$AL$323,Ajustes!$G151,X$2),0)+IF(Ajustes!$H151&gt;0,INDEX($AA$4:$AL$323,Ajustes!$H151,X$2),0)+IF(Ajustes!$I151&gt;0,INDEX($AA$4:$AL$323,Ajustes!$I151,X$2),0)+IF(Ajustes!$J151&gt;0,INDEX($AA$4:$AL$323,Ajustes!$J151,X$2),0)+IF(Ajustes!$K151&gt;0,INDEX($AA$5:$AL$324,Ajustes!$K151,X$2),0)+IF(Ajustes!$L151&gt;0,INDEX($AA$4:$AL$323,Ajustes!$L151,X$2),0) + X151</f>
        <v>496</v>
      </c>
      <c r="AK151">
        <f>IF(Ajustes!$G151&gt;0,INDEX($AA$4:$AL$323,Ajustes!$G151,Y$2),0)+IF(Ajustes!$H151&gt;0,INDEX($AA$4:$AL$323,Ajustes!$H151,Y$2),0)+IF(Ajustes!$I151&gt;0,INDEX($AA$4:$AL$323,Ajustes!$I151,Y$2),0)+IF(Ajustes!$J151&gt;0,INDEX($AA$4:$AL$323,Ajustes!$J151,Y$2),0)+IF(Ajustes!$K151&gt;0,INDEX($AA$5:$AL$324,Ajustes!$K151,Y$2),0)+IF(Ajustes!$L151&gt;0,INDEX($AA$4:$AL$323,Ajustes!$L151,Y$2),0) + Y151</f>
        <v>839</v>
      </c>
      <c r="AL151">
        <f>IF(Ajustes!$G151&gt;0,INDEX($AA$4:$AL$323,Ajustes!$G151,Z$2),0)+IF(Ajustes!$H151&gt;0,INDEX($AA$4:$AL$323,Ajustes!$H151,Z$2),0)+IF(Ajustes!$I151&gt;0,INDEX($AA$4:$AL$323,Ajustes!$I151,Z$2),0)+IF(Ajustes!$J151&gt;0,INDEX($AA$4:$AL$323,Ajustes!$J151,Z$2),0)+IF(Ajustes!$K151&gt;0,INDEX($AA$5:$AL$324,Ajustes!$K151,Z$2),0)+IF(Ajustes!$L151&gt;0,INDEX($AA$4:$AL$323,Ajustes!$L151,Z$2),0) + Z151</f>
        <v>1414</v>
      </c>
      <c r="AM151" s="113">
        <f t="shared" si="39"/>
        <v>1620</v>
      </c>
      <c r="AN151" s="113">
        <f t="shared" si="39"/>
        <v>1260</v>
      </c>
      <c r="AO151" s="113">
        <f t="shared" si="39"/>
        <v>1107</v>
      </c>
      <c r="AP151" s="113">
        <f t="shared" si="39"/>
        <v>856</v>
      </c>
      <c r="AQ151" s="113">
        <f t="shared" si="42"/>
        <v>621</v>
      </c>
      <c r="AR151" s="113">
        <f t="shared" si="40"/>
        <v>521</v>
      </c>
      <c r="AS151" s="113">
        <f t="shared" si="40"/>
        <v>461</v>
      </c>
      <c r="AT151" s="113">
        <f t="shared" si="40"/>
        <v>410</v>
      </c>
      <c r="AU151" s="113">
        <f t="shared" si="40"/>
        <v>396</v>
      </c>
      <c r="AV151" s="113">
        <f t="shared" si="43"/>
        <v>496</v>
      </c>
      <c r="AW151" s="113">
        <f t="shared" si="41"/>
        <v>839</v>
      </c>
      <c r="AX151" s="113">
        <f t="shared" si="41"/>
        <v>1414</v>
      </c>
    </row>
    <row r="152" spans="1:50" x14ac:dyDescent="0.25">
      <c r="A152" s="113">
        <v>149</v>
      </c>
      <c r="B152" s="209" t="s">
        <v>611</v>
      </c>
      <c r="C152">
        <f>IFERROR(INDEX($BD$7:$BO$35,MATCH(Ajustes!$E$4:$E$323,$BC$7:$BC$35,0),$C$2:$N$2),1)</f>
        <v>1</v>
      </c>
      <c r="D152" s="113">
        <f>IFERROR(INDEX($BD$7:$BO$35,MATCH(Ajustes!$E$4:$E$323,$BC$7:$BC$35,0),$C$2:$N$2),1)</f>
        <v>1</v>
      </c>
      <c r="E152" s="113">
        <f>IFERROR(INDEX($BD$7:$BO$35,MATCH(Ajustes!$E$4:$E$323,$BC$7:$BC$35,0),$C$2:$N$2),1)</f>
        <v>1</v>
      </c>
      <c r="F152" s="113">
        <f>IFERROR(INDEX($BD$7:$BO$35,MATCH(Ajustes!$E$4:$E$323,$BC$7:$BC$35,0),$C$2:$N$2),1)</f>
        <v>1</v>
      </c>
      <c r="G152" s="113">
        <f>IFERROR(INDEX($BD$7:$BO$35,MATCH(Ajustes!$E$4:$E$323,$BC$7:$BC$35,0),$C$2:$N$2),1)</f>
        <v>1</v>
      </c>
      <c r="H152" s="113">
        <f>IFERROR(INDEX($BD$7:$BO$35,MATCH(Ajustes!$E$4:$E$323,$BC$7:$BC$35,0),$C$2:$N$2),1)</f>
        <v>1</v>
      </c>
      <c r="I152" s="113">
        <f>IFERROR(INDEX($BD$7:$BO$35,MATCH(Ajustes!$E$4:$E$323,$BC$7:$BC$35,0),$C$2:$N$2),1)</f>
        <v>1</v>
      </c>
      <c r="J152" s="113">
        <f>IFERROR(INDEX($BD$7:$BO$35,MATCH(Ajustes!$E$4:$E$323,$BC$7:$BC$35,0),$C$2:$N$2),1)</f>
        <v>1</v>
      </c>
      <c r="K152" s="113">
        <f>IFERROR(INDEX($BD$7:$BO$35,MATCH(Ajustes!$E$4:$E$323,$BC$7:$BC$35,0),$C$2:$N$2),1)</f>
        <v>1</v>
      </c>
      <c r="L152" s="113">
        <f>IFERROR(INDEX($BD$7:$BO$35,MATCH(Ajustes!$E$4:$E$323,$BC$7:$BC$35,0),$C$2:$N$2),1)</f>
        <v>1</v>
      </c>
      <c r="M152" s="113">
        <f>IFERROR(INDEX($BD$7:$BO$35,MATCH(Ajustes!$E$4:$E$323,$BC$7:$BC$35,0),$C$2:$N$2),1)</f>
        <v>1</v>
      </c>
      <c r="N152" s="113">
        <f>IFERROR(INDEX($BD$7:$BO$35,MATCH(Ajustes!$E$4:$E$323,$BC$7:$BC$35,0),$C$2:$N$2),1)</f>
        <v>1</v>
      </c>
      <c r="O152">
        <f>C152*Ajustes!AM152</f>
        <v>273</v>
      </c>
      <c r="P152">
        <f>D152*Ajustes!AN152</f>
        <v>232</v>
      </c>
      <c r="Q152">
        <f>E152*Ajustes!AO152</f>
        <v>206</v>
      </c>
      <c r="R152">
        <f>F152*Ajustes!AP152</f>
        <v>160</v>
      </c>
      <c r="S152">
        <f>G152*Ajustes!AQ152</f>
        <v>123</v>
      </c>
      <c r="T152">
        <f>H152*Ajustes!AR152</f>
        <v>107</v>
      </c>
      <c r="U152">
        <f>I152*Ajustes!AS152</f>
        <v>96</v>
      </c>
      <c r="V152">
        <f>J152*Ajustes!AT152</f>
        <v>86</v>
      </c>
      <c r="W152">
        <f>K152*Ajustes!AU152</f>
        <v>85</v>
      </c>
      <c r="X152">
        <f>L152*Ajustes!AV152</f>
        <v>101</v>
      </c>
      <c r="Y152">
        <f>M152*Ajustes!AW152</f>
        <v>147</v>
      </c>
      <c r="Z152">
        <f>N152*Ajustes!AX152</f>
        <v>230</v>
      </c>
      <c r="AA152">
        <f>IF(Ajustes!$G152&gt;0,INDEX($AA$4:$AL$323,Ajustes!$G152,O$2),0)+IF(Ajustes!$H152&gt;0,INDEX($AA$4:$AL$323,Ajustes!$H152,O$2),0)+IF(Ajustes!$I152&gt;0,INDEX($AA$4:$AL$323,Ajustes!$I152,O$2),0)+IF(Ajustes!$J152&gt;0,INDEX($AA$4:$AL$323,Ajustes!$J152,O$2),0)+IF(Ajustes!$K152&gt;0,INDEX($AA$5:$AL$324,Ajustes!$K152,O$2),0)+IF(Ajustes!$L152&gt;0,INDEX($AA$4:$AL$323,Ajustes!$L152,O$2),0) + O152</f>
        <v>273</v>
      </c>
      <c r="AB152">
        <f>IF(Ajustes!$G152&gt;0,INDEX($AA$4:$AL$323,Ajustes!$G152,P$2),0)+IF(Ajustes!$H152&gt;0,INDEX($AA$4:$AL$323,Ajustes!$H152,P$2),0)+IF(Ajustes!$I152&gt;0,INDEX($AA$4:$AL$323,Ajustes!$I152,P$2),0)+IF(Ajustes!$J152&gt;0,INDEX($AA$4:$AL$323,Ajustes!$J152,P$2),0)+IF(Ajustes!$K152&gt;0,INDEX($AA$5:$AL$324,Ajustes!$K152,P$2),0)+IF(Ajustes!$L152&gt;0,INDEX($AA$4:$AL$323,Ajustes!$L152,P$2),0) + P152</f>
        <v>232</v>
      </c>
      <c r="AC152">
        <f>IF(Ajustes!$G152&gt;0,INDEX($AA$4:$AL$323,Ajustes!$G152,Q$2),0)+IF(Ajustes!$H152&gt;0,INDEX($AA$4:$AL$323,Ajustes!$H152,Q$2),0)+IF(Ajustes!$I152&gt;0,INDEX($AA$4:$AL$323,Ajustes!$I152,Q$2),0)+IF(Ajustes!$J152&gt;0,INDEX($AA$4:$AL$323,Ajustes!$J152,Q$2),0)+IF(Ajustes!$K152&gt;0,INDEX($AA$5:$AL$324,Ajustes!$K152,Q$2),0)+IF(Ajustes!$L152&gt;0,INDEX($AA$4:$AL$323,Ajustes!$L152,Q$2),0) + Q152</f>
        <v>206</v>
      </c>
      <c r="AD152">
        <f>IF(Ajustes!$G152&gt;0,INDEX($AA$4:$AL$323,Ajustes!$G152,R$2),0)+IF(Ajustes!$H152&gt;0,INDEX($AA$4:$AL$323,Ajustes!$H152,R$2),0)+IF(Ajustes!$I152&gt;0,INDEX($AA$4:$AL$323,Ajustes!$I152,R$2),0)+IF(Ajustes!$J152&gt;0,INDEX($AA$4:$AL$323,Ajustes!$J152,R$2),0)+IF(Ajustes!$K152&gt;0,INDEX($AA$5:$AL$324,Ajustes!$K152,R$2),0)+IF(Ajustes!$L152&gt;0,INDEX($AA$4:$AL$323,Ajustes!$L152,R$2),0) + R152</f>
        <v>160</v>
      </c>
      <c r="AE152">
        <f>IF(Ajustes!$G152&gt;0,INDEX($AA$4:$AL$323,Ajustes!$G152,S$2),0)+IF(Ajustes!$H152&gt;0,INDEX($AA$4:$AL$323,Ajustes!$H152,S$2),0)+IF(Ajustes!$I152&gt;0,INDEX($AA$4:$AL$323,Ajustes!$I152,S$2),0)+IF(Ajustes!$J152&gt;0,INDEX($AA$4:$AL$323,Ajustes!$J152,S$2),0)+IF(Ajustes!$K152&gt;0,INDEX($AA$5:$AL$324,Ajustes!$K152,S$2),0)+IF(Ajustes!$L152&gt;0,INDEX($AA$4:$AL$323,Ajustes!$L152,S$2),0) + S152</f>
        <v>123</v>
      </c>
      <c r="AF152">
        <f>IF(Ajustes!$G152&gt;0,INDEX($AA$4:$AL$323,Ajustes!$G152,T$2),0)+IF(Ajustes!$H152&gt;0,INDEX($AA$4:$AL$323,Ajustes!$H152,T$2),0)+IF(Ajustes!$I152&gt;0,INDEX($AA$4:$AL$323,Ajustes!$I152,T$2),0)+IF(Ajustes!$J152&gt;0,INDEX($AA$4:$AL$323,Ajustes!$J152,T$2),0)+IF(Ajustes!$K152&gt;0,INDEX($AA$5:$AL$324,Ajustes!$K152,T$2),0)+IF(Ajustes!$L152&gt;0,INDEX($AA$4:$AL$323,Ajustes!$L152,T$2),0) + T152</f>
        <v>107</v>
      </c>
      <c r="AG152">
        <f>IF(Ajustes!$G152&gt;0,INDEX($AA$4:$AL$323,Ajustes!$G152,U$2),0)+IF(Ajustes!$H152&gt;0,INDEX($AA$4:$AL$323,Ajustes!$H152,U$2),0)+IF(Ajustes!$I152&gt;0,INDEX($AA$4:$AL$323,Ajustes!$I152,U$2),0)+IF(Ajustes!$J152&gt;0,INDEX($AA$4:$AL$323,Ajustes!$J152,U$2),0)+IF(Ajustes!$K152&gt;0,INDEX($AA$5:$AL$324,Ajustes!$K152,U$2),0)+IF(Ajustes!$L152&gt;0,INDEX($AA$4:$AL$323,Ajustes!$L152,U$2),0) + U152</f>
        <v>96</v>
      </c>
      <c r="AH152">
        <f>IF(Ajustes!$G152&gt;0,INDEX($AA$4:$AL$323,Ajustes!$G152,V$2),0)+IF(Ajustes!$H152&gt;0,INDEX($AA$4:$AL$323,Ajustes!$H152,V$2),0)+IF(Ajustes!$I152&gt;0,INDEX($AA$4:$AL$323,Ajustes!$I152,V$2),0)+IF(Ajustes!$J152&gt;0,INDEX($AA$4:$AL$323,Ajustes!$J152,V$2),0)+IF(Ajustes!$K152&gt;0,INDEX($AA$5:$AL$324,Ajustes!$K152,V$2),0)+IF(Ajustes!$L152&gt;0,INDEX($AA$4:$AL$323,Ajustes!$L152,V$2),0) + V152</f>
        <v>86</v>
      </c>
      <c r="AI152">
        <f>IF(Ajustes!$G152&gt;0,INDEX($AA$4:$AL$323,Ajustes!$G152,W$2),0)+IF(Ajustes!$H152&gt;0,INDEX($AA$4:$AL$323,Ajustes!$H152,W$2),0)+IF(Ajustes!$I152&gt;0,INDEX($AA$4:$AL$323,Ajustes!$I152,W$2),0)+IF(Ajustes!$J152&gt;0,INDEX($AA$4:$AL$323,Ajustes!$J152,W$2),0)+IF(Ajustes!$K152&gt;0,INDEX($AA$5:$AL$324,Ajustes!$K152,W$2),0)+IF(Ajustes!$L152&gt;0,INDEX($AA$4:$AL$323,Ajustes!$L152,W$2),0) + W152</f>
        <v>85</v>
      </c>
      <c r="AJ152">
        <f>IF(Ajustes!$G152&gt;0,INDEX($AA$4:$AL$323,Ajustes!$G152,X$2),0)+IF(Ajustes!$H152&gt;0,INDEX($AA$4:$AL$323,Ajustes!$H152,X$2),0)+IF(Ajustes!$I152&gt;0,INDEX($AA$4:$AL$323,Ajustes!$I152,X$2),0)+IF(Ajustes!$J152&gt;0,INDEX($AA$4:$AL$323,Ajustes!$J152,X$2),0)+IF(Ajustes!$K152&gt;0,INDEX($AA$5:$AL$324,Ajustes!$K152,X$2),0)+IF(Ajustes!$L152&gt;0,INDEX($AA$4:$AL$323,Ajustes!$L152,X$2),0) + X152</f>
        <v>101</v>
      </c>
      <c r="AK152">
        <f>IF(Ajustes!$G152&gt;0,INDEX($AA$4:$AL$323,Ajustes!$G152,Y$2),0)+IF(Ajustes!$H152&gt;0,INDEX($AA$4:$AL$323,Ajustes!$H152,Y$2),0)+IF(Ajustes!$I152&gt;0,INDEX($AA$4:$AL$323,Ajustes!$I152,Y$2),0)+IF(Ajustes!$J152&gt;0,INDEX($AA$4:$AL$323,Ajustes!$J152,Y$2),0)+IF(Ajustes!$K152&gt;0,INDEX($AA$5:$AL$324,Ajustes!$K152,Y$2),0)+IF(Ajustes!$L152&gt;0,INDEX($AA$4:$AL$323,Ajustes!$L152,Y$2),0) + Y152</f>
        <v>147</v>
      </c>
      <c r="AL152">
        <f>IF(Ajustes!$G152&gt;0,INDEX($AA$4:$AL$323,Ajustes!$G152,Z$2),0)+IF(Ajustes!$H152&gt;0,INDEX($AA$4:$AL$323,Ajustes!$H152,Z$2),0)+IF(Ajustes!$I152&gt;0,INDEX($AA$4:$AL$323,Ajustes!$I152,Z$2),0)+IF(Ajustes!$J152&gt;0,INDEX($AA$4:$AL$323,Ajustes!$J152,Z$2),0)+IF(Ajustes!$K152&gt;0,INDEX($AA$5:$AL$324,Ajustes!$K152,Z$2),0)+IF(Ajustes!$L152&gt;0,INDEX($AA$4:$AL$323,Ajustes!$L152,Z$2),0) + Z152</f>
        <v>230</v>
      </c>
      <c r="AM152" s="113">
        <f t="shared" si="39"/>
        <v>273</v>
      </c>
      <c r="AN152" s="113">
        <f t="shared" si="39"/>
        <v>232</v>
      </c>
      <c r="AO152" s="113">
        <f t="shared" si="39"/>
        <v>206</v>
      </c>
      <c r="AP152" s="113">
        <f t="shared" si="39"/>
        <v>160</v>
      </c>
      <c r="AQ152" s="113">
        <f t="shared" si="42"/>
        <v>123</v>
      </c>
      <c r="AR152" s="113">
        <f t="shared" si="40"/>
        <v>107</v>
      </c>
      <c r="AS152" s="113">
        <f t="shared" si="40"/>
        <v>96</v>
      </c>
      <c r="AT152" s="113">
        <f t="shared" si="40"/>
        <v>86</v>
      </c>
      <c r="AU152" s="113">
        <f t="shared" si="40"/>
        <v>85</v>
      </c>
      <c r="AV152" s="113">
        <f t="shared" si="43"/>
        <v>101</v>
      </c>
      <c r="AW152" s="113">
        <f t="shared" si="41"/>
        <v>147</v>
      </c>
      <c r="AX152" s="113">
        <f t="shared" si="41"/>
        <v>230</v>
      </c>
    </row>
    <row r="153" spans="1:50" x14ac:dyDescent="0.25">
      <c r="A153" s="113">
        <v>150</v>
      </c>
      <c r="B153" s="209"/>
      <c r="C153">
        <f>IFERROR(INDEX($BD$7:$BO$35,MATCH(Ajustes!$E$4:$E$323,$BC$7:$BC$35,0),$C$2:$N$2),1)</f>
        <v>1</v>
      </c>
      <c r="D153" s="113">
        <f>IFERROR(INDEX($BD$7:$BO$35,MATCH(Ajustes!$E$4:$E$323,$BC$7:$BC$35,0),$C$2:$N$2),1)</f>
        <v>1</v>
      </c>
      <c r="E153" s="113">
        <f>IFERROR(INDEX($BD$7:$BO$35,MATCH(Ajustes!$E$4:$E$323,$BC$7:$BC$35,0),$C$2:$N$2),1)</f>
        <v>1</v>
      </c>
      <c r="F153" s="113">
        <f>IFERROR(INDEX($BD$7:$BO$35,MATCH(Ajustes!$E$4:$E$323,$BC$7:$BC$35,0),$C$2:$N$2),1)</f>
        <v>1</v>
      </c>
      <c r="G153" s="113">
        <f>IFERROR(INDEX($BD$7:$BO$35,MATCH(Ajustes!$E$4:$E$323,$BC$7:$BC$35,0),$C$2:$N$2),1)</f>
        <v>1</v>
      </c>
      <c r="H153" s="113">
        <f>IFERROR(INDEX($BD$7:$BO$35,MATCH(Ajustes!$E$4:$E$323,$BC$7:$BC$35,0),$C$2:$N$2),1)</f>
        <v>1</v>
      </c>
      <c r="I153" s="113">
        <f>IFERROR(INDEX($BD$7:$BO$35,MATCH(Ajustes!$E$4:$E$323,$BC$7:$BC$35,0),$C$2:$N$2),1)</f>
        <v>1</v>
      </c>
      <c r="J153" s="113">
        <f>IFERROR(INDEX($BD$7:$BO$35,MATCH(Ajustes!$E$4:$E$323,$BC$7:$BC$35,0),$C$2:$N$2),1)</f>
        <v>1</v>
      </c>
      <c r="K153" s="113">
        <f>IFERROR(INDEX($BD$7:$BO$35,MATCH(Ajustes!$E$4:$E$323,$BC$7:$BC$35,0),$C$2:$N$2),1)</f>
        <v>1</v>
      </c>
      <c r="L153" s="113">
        <f>IFERROR(INDEX($BD$7:$BO$35,MATCH(Ajustes!$E$4:$E$323,$BC$7:$BC$35,0),$C$2:$N$2),1)</f>
        <v>1</v>
      </c>
      <c r="M153" s="113">
        <f>IFERROR(INDEX($BD$7:$BO$35,MATCH(Ajustes!$E$4:$E$323,$BC$7:$BC$35,0),$C$2:$N$2),1)</f>
        <v>1</v>
      </c>
      <c r="N153" s="113">
        <f>IFERROR(INDEX($BD$7:$BO$35,MATCH(Ajustes!$E$4:$E$323,$BC$7:$BC$35,0),$C$2:$N$2),1)</f>
        <v>1</v>
      </c>
      <c r="O153">
        <f>C153*Ajustes!AM153</f>
        <v>0</v>
      </c>
      <c r="P153">
        <f>D153*Ajustes!AN153</f>
        <v>0</v>
      </c>
      <c r="Q153">
        <f>E153*Ajustes!AO153</f>
        <v>0</v>
      </c>
      <c r="R153">
        <f>F153*Ajustes!AP153</f>
        <v>0</v>
      </c>
      <c r="S153">
        <f>G153*Ajustes!AQ153</f>
        <v>0</v>
      </c>
      <c r="T153">
        <f>H153*Ajustes!AR153</f>
        <v>0</v>
      </c>
      <c r="U153">
        <f>I153*Ajustes!AS153</f>
        <v>0</v>
      </c>
      <c r="V153">
        <f>J153*Ajustes!AT153</f>
        <v>0</v>
      </c>
      <c r="W153">
        <f>K153*Ajustes!AU153</f>
        <v>0</v>
      </c>
      <c r="X153">
        <f>L153*Ajustes!AV153</f>
        <v>0</v>
      </c>
      <c r="Y153">
        <f>M153*Ajustes!AW153</f>
        <v>0</v>
      </c>
      <c r="Z153">
        <f>N153*Ajustes!AX153</f>
        <v>0</v>
      </c>
      <c r="AA153">
        <f>IF(Ajustes!$G153&gt;0,INDEX($AA$4:$AL$323,Ajustes!$G153,O$2),0)+IF(Ajustes!$H153&gt;0,INDEX($AA$4:$AL$323,Ajustes!$H153,O$2),0)+IF(Ajustes!$I153&gt;0,INDEX($AA$4:$AL$323,Ajustes!$I153,O$2),0)+IF(Ajustes!$J153&gt;0,INDEX($AA$4:$AL$323,Ajustes!$J153,O$2),0)+IF(Ajustes!$K153&gt;0,INDEX($AA$5:$AL$324,Ajustes!$K153,O$2),0)+IF(Ajustes!$L153&gt;0,INDEX($AA$4:$AL$323,Ajustes!$L153,O$2),0) + O153</f>
        <v>0</v>
      </c>
      <c r="AB153">
        <f>IF(Ajustes!$G153&gt;0,INDEX($AA$4:$AL$323,Ajustes!$G153,P$2),0)+IF(Ajustes!$H153&gt;0,INDEX($AA$4:$AL$323,Ajustes!$H153,P$2),0)+IF(Ajustes!$I153&gt;0,INDEX($AA$4:$AL$323,Ajustes!$I153,P$2),0)+IF(Ajustes!$J153&gt;0,INDEX($AA$4:$AL$323,Ajustes!$J153,P$2),0)+IF(Ajustes!$K153&gt;0,INDEX($AA$5:$AL$324,Ajustes!$K153,P$2),0)+IF(Ajustes!$L153&gt;0,INDEX($AA$4:$AL$323,Ajustes!$L153,P$2),0) + P153</f>
        <v>0</v>
      </c>
      <c r="AC153">
        <f>IF(Ajustes!$G153&gt;0,INDEX($AA$4:$AL$323,Ajustes!$G153,Q$2),0)+IF(Ajustes!$H153&gt;0,INDEX($AA$4:$AL$323,Ajustes!$H153,Q$2),0)+IF(Ajustes!$I153&gt;0,INDEX($AA$4:$AL$323,Ajustes!$I153,Q$2),0)+IF(Ajustes!$J153&gt;0,INDEX($AA$4:$AL$323,Ajustes!$J153,Q$2),0)+IF(Ajustes!$K153&gt;0,INDEX($AA$5:$AL$324,Ajustes!$K153,Q$2),0)+IF(Ajustes!$L153&gt;0,INDEX($AA$4:$AL$323,Ajustes!$L153,Q$2),0) + Q153</f>
        <v>0</v>
      </c>
      <c r="AD153">
        <f>IF(Ajustes!$G153&gt;0,INDEX($AA$4:$AL$323,Ajustes!$G153,R$2),0)+IF(Ajustes!$H153&gt;0,INDEX($AA$4:$AL$323,Ajustes!$H153,R$2),0)+IF(Ajustes!$I153&gt;0,INDEX($AA$4:$AL$323,Ajustes!$I153,R$2),0)+IF(Ajustes!$J153&gt;0,INDEX($AA$4:$AL$323,Ajustes!$J153,R$2),0)+IF(Ajustes!$K153&gt;0,INDEX($AA$5:$AL$324,Ajustes!$K153,R$2),0)+IF(Ajustes!$L153&gt;0,INDEX($AA$4:$AL$323,Ajustes!$L153,R$2),0) + R153</f>
        <v>0</v>
      </c>
      <c r="AE153">
        <f>IF(Ajustes!$G153&gt;0,INDEX($AA$4:$AL$323,Ajustes!$G153,S$2),0)+IF(Ajustes!$H153&gt;0,INDEX($AA$4:$AL$323,Ajustes!$H153,S$2),0)+IF(Ajustes!$I153&gt;0,INDEX($AA$4:$AL$323,Ajustes!$I153,S$2),0)+IF(Ajustes!$J153&gt;0,INDEX($AA$4:$AL$323,Ajustes!$J153,S$2),0)+IF(Ajustes!$K153&gt;0,INDEX($AA$5:$AL$324,Ajustes!$K153,S$2),0)+IF(Ajustes!$L153&gt;0,INDEX($AA$4:$AL$323,Ajustes!$L153,S$2),0) + S153</f>
        <v>0</v>
      </c>
      <c r="AF153">
        <f>IF(Ajustes!$G153&gt;0,INDEX($AA$4:$AL$323,Ajustes!$G153,T$2),0)+IF(Ajustes!$H153&gt;0,INDEX($AA$4:$AL$323,Ajustes!$H153,T$2),0)+IF(Ajustes!$I153&gt;0,INDEX($AA$4:$AL$323,Ajustes!$I153,T$2),0)+IF(Ajustes!$J153&gt;0,INDEX($AA$4:$AL$323,Ajustes!$J153,T$2),0)+IF(Ajustes!$K153&gt;0,INDEX($AA$5:$AL$324,Ajustes!$K153,T$2),0)+IF(Ajustes!$L153&gt;0,INDEX($AA$4:$AL$323,Ajustes!$L153,T$2),0) + T153</f>
        <v>0</v>
      </c>
      <c r="AG153">
        <f>IF(Ajustes!$G153&gt;0,INDEX($AA$4:$AL$323,Ajustes!$G153,U$2),0)+IF(Ajustes!$H153&gt;0,INDEX($AA$4:$AL$323,Ajustes!$H153,U$2),0)+IF(Ajustes!$I153&gt;0,INDEX($AA$4:$AL$323,Ajustes!$I153,U$2),0)+IF(Ajustes!$J153&gt;0,INDEX($AA$4:$AL$323,Ajustes!$J153,U$2),0)+IF(Ajustes!$K153&gt;0,INDEX($AA$5:$AL$324,Ajustes!$K153,U$2),0)+IF(Ajustes!$L153&gt;0,INDEX($AA$4:$AL$323,Ajustes!$L153,U$2),0) + U153</f>
        <v>0</v>
      </c>
      <c r="AH153">
        <f>IF(Ajustes!$G153&gt;0,INDEX($AA$4:$AL$323,Ajustes!$G153,V$2),0)+IF(Ajustes!$H153&gt;0,INDEX($AA$4:$AL$323,Ajustes!$H153,V$2),0)+IF(Ajustes!$I153&gt;0,INDEX($AA$4:$AL$323,Ajustes!$I153,V$2),0)+IF(Ajustes!$J153&gt;0,INDEX($AA$4:$AL$323,Ajustes!$J153,V$2),0)+IF(Ajustes!$K153&gt;0,INDEX($AA$5:$AL$324,Ajustes!$K153,V$2),0)+IF(Ajustes!$L153&gt;0,INDEX($AA$4:$AL$323,Ajustes!$L153,V$2),0) + V153</f>
        <v>0</v>
      </c>
      <c r="AI153">
        <f>IF(Ajustes!$G153&gt;0,INDEX($AA$4:$AL$323,Ajustes!$G153,W$2),0)+IF(Ajustes!$H153&gt;0,INDEX($AA$4:$AL$323,Ajustes!$H153,W$2),0)+IF(Ajustes!$I153&gt;0,INDEX($AA$4:$AL$323,Ajustes!$I153,W$2),0)+IF(Ajustes!$J153&gt;0,INDEX($AA$4:$AL$323,Ajustes!$J153,W$2),0)+IF(Ajustes!$K153&gt;0,INDEX($AA$5:$AL$324,Ajustes!$K153,W$2),0)+IF(Ajustes!$L153&gt;0,INDEX($AA$4:$AL$323,Ajustes!$L153,W$2),0) + W153</f>
        <v>0</v>
      </c>
      <c r="AJ153">
        <f>IF(Ajustes!$G153&gt;0,INDEX($AA$4:$AL$323,Ajustes!$G153,X$2),0)+IF(Ajustes!$H153&gt;0,INDEX($AA$4:$AL$323,Ajustes!$H153,X$2),0)+IF(Ajustes!$I153&gt;0,INDEX($AA$4:$AL$323,Ajustes!$I153,X$2),0)+IF(Ajustes!$J153&gt;0,INDEX($AA$4:$AL$323,Ajustes!$J153,X$2),0)+IF(Ajustes!$K153&gt;0,INDEX($AA$5:$AL$324,Ajustes!$K153,X$2),0)+IF(Ajustes!$L153&gt;0,INDEX($AA$4:$AL$323,Ajustes!$L153,X$2),0) + X153</f>
        <v>0</v>
      </c>
      <c r="AK153">
        <f>IF(Ajustes!$G153&gt;0,INDEX($AA$4:$AL$323,Ajustes!$G153,Y$2),0)+IF(Ajustes!$H153&gt;0,INDEX($AA$4:$AL$323,Ajustes!$H153,Y$2),0)+IF(Ajustes!$I153&gt;0,INDEX($AA$4:$AL$323,Ajustes!$I153,Y$2),0)+IF(Ajustes!$J153&gt;0,INDEX($AA$4:$AL$323,Ajustes!$J153,Y$2),0)+IF(Ajustes!$K153&gt;0,INDEX($AA$5:$AL$324,Ajustes!$K153,Y$2),0)+IF(Ajustes!$L153&gt;0,INDEX($AA$4:$AL$323,Ajustes!$L153,Y$2),0) + Y153</f>
        <v>0</v>
      </c>
      <c r="AL153">
        <f>IF(Ajustes!$G153&gt;0,INDEX($AA$4:$AL$323,Ajustes!$G153,Z$2),0)+IF(Ajustes!$H153&gt;0,INDEX($AA$4:$AL$323,Ajustes!$H153,Z$2),0)+IF(Ajustes!$I153&gt;0,INDEX($AA$4:$AL$323,Ajustes!$I153,Z$2),0)+IF(Ajustes!$J153&gt;0,INDEX($AA$4:$AL$323,Ajustes!$J153,Z$2),0)+IF(Ajustes!$K153&gt;0,INDEX($AA$5:$AL$324,Ajustes!$K153,Z$2),0)+IF(Ajustes!$L153&gt;0,INDEX($AA$4:$AL$323,Ajustes!$L153,Z$2),0) + Z153</f>
        <v>0</v>
      </c>
      <c r="AM153" s="113">
        <f t="shared" si="39"/>
        <v>0</v>
      </c>
      <c r="AN153" s="113">
        <f t="shared" si="39"/>
        <v>0</v>
      </c>
      <c r="AO153" s="113">
        <f t="shared" si="39"/>
        <v>0</v>
      </c>
      <c r="AP153" s="113">
        <f t="shared" si="39"/>
        <v>0</v>
      </c>
      <c r="AQ153" s="113">
        <f t="shared" si="42"/>
        <v>0</v>
      </c>
      <c r="AR153" s="113">
        <f t="shared" si="40"/>
        <v>0</v>
      </c>
      <c r="AS153" s="113">
        <f t="shared" si="40"/>
        <v>0</v>
      </c>
      <c r="AT153" s="113">
        <f t="shared" si="40"/>
        <v>0</v>
      </c>
      <c r="AU153" s="113">
        <f t="shared" si="40"/>
        <v>0</v>
      </c>
      <c r="AV153" s="113">
        <f t="shared" si="43"/>
        <v>0</v>
      </c>
      <c r="AW153" s="113">
        <f t="shared" si="41"/>
        <v>0</v>
      </c>
      <c r="AX153" s="113">
        <f t="shared" si="41"/>
        <v>0</v>
      </c>
    </row>
    <row r="154" spans="1:50" x14ac:dyDescent="0.25">
      <c r="A154" s="113">
        <v>151</v>
      </c>
      <c r="B154" s="209"/>
      <c r="C154">
        <f>IFERROR(INDEX($BD$7:$BO$35,MATCH(Ajustes!$E$4:$E$323,$BC$7:$BC$35,0),$C$2:$N$2),1)</f>
        <v>1</v>
      </c>
      <c r="D154" s="113">
        <f>IFERROR(INDEX($BD$7:$BO$35,MATCH(Ajustes!$E$4:$E$323,$BC$7:$BC$35,0),$C$2:$N$2),1)</f>
        <v>1</v>
      </c>
      <c r="E154" s="113">
        <f>IFERROR(INDEX($BD$7:$BO$35,MATCH(Ajustes!$E$4:$E$323,$BC$7:$BC$35,0),$C$2:$N$2),1)</f>
        <v>1</v>
      </c>
      <c r="F154" s="113">
        <f>IFERROR(INDEX($BD$7:$BO$35,MATCH(Ajustes!$E$4:$E$323,$BC$7:$BC$35,0),$C$2:$N$2),1)</f>
        <v>1</v>
      </c>
      <c r="G154" s="113">
        <f>IFERROR(INDEX($BD$7:$BO$35,MATCH(Ajustes!$E$4:$E$323,$BC$7:$BC$35,0),$C$2:$N$2),1)</f>
        <v>1</v>
      </c>
      <c r="H154" s="113">
        <f>IFERROR(INDEX($BD$7:$BO$35,MATCH(Ajustes!$E$4:$E$323,$BC$7:$BC$35,0),$C$2:$N$2),1)</f>
        <v>1</v>
      </c>
      <c r="I154" s="113">
        <f>IFERROR(INDEX($BD$7:$BO$35,MATCH(Ajustes!$E$4:$E$323,$BC$7:$BC$35,0),$C$2:$N$2),1)</f>
        <v>1</v>
      </c>
      <c r="J154" s="113">
        <f>IFERROR(INDEX($BD$7:$BO$35,MATCH(Ajustes!$E$4:$E$323,$BC$7:$BC$35,0),$C$2:$N$2),1)</f>
        <v>1</v>
      </c>
      <c r="K154" s="113">
        <f>IFERROR(INDEX($BD$7:$BO$35,MATCH(Ajustes!$E$4:$E$323,$BC$7:$BC$35,0),$C$2:$N$2),1)</f>
        <v>1</v>
      </c>
      <c r="L154" s="113">
        <f>IFERROR(INDEX($BD$7:$BO$35,MATCH(Ajustes!$E$4:$E$323,$BC$7:$BC$35,0),$C$2:$N$2),1)</f>
        <v>1</v>
      </c>
      <c r="M154" s="113">
        <f>IFERROR(INDEX($BD$7:$BO$35,MATCH(Ajustes!$E$4:$E$323,$BC$7:$BC$35,0),$C$2:$N$2),1)</f>
        <v>1</v>
      </c>
      <c r="N154" s="113">
        <f>IFERROR(INDEX($BD$7:$BO$35,MATCH(Ajustes!$E$4:$E$323,$BC$7:$BC$35,0),$C$2:$N$2),1)</f>
        <v>1</v>
      </c>
      <c r="O154">
        <f>C154*Ajustes!AM154</f>
        <v>0</v>
      </c>
      <c r="P154">
        <f>D154*Ajustes!AN154</f>
        <v>0</v>
      </c>
      <c r="Q154">
        <f>E154*Ajustes!AO154</f>
        <v>0</v>
      </c>
      <c r="R154">
        <f>F154*Ajustes!AP154</f>
        <v>0</v>
      </c>
      <c r="S154">
        <f>G154*Ajustes!AQ154</f>
        <v>0</v>
      </c>
      <c r="T154">
        <f>H154*Ajustes!AR154</f>
        <v>0</v>
      </c>
      <c r="U154">
        <f>I154*Ajustes!AS154</f>
        <v>0</v>
      </c>
      <c r="V154">
        <f>J154*Ajustes!AT154</f>
        <v>0</v>
      </c>
      <c r="W154">
        <f>K154*Ajustes!AU154</f>
        <v>0</v>
      </c>
      <c r="X154">
        <f>L154*Ajustes!AV154</f>
        <v>0</v>
      </c>
      <c r="Y154">
        <f>M154*Ajustes!AW154</f>
        <v>0</v>
      </c>
      <c r="Z154">
        <f>N154*Ajustes!AX154</f>
        <v>0</v>
      </c>
      <c r="AA154">
        <f>IF(Ajustes!$G154&gt;0,INDEX($AA$4:$AL$323,Ajustes!$G154,O$2),0)+IF(Ajustes!$H154&gt;0,INDEX($AA$4:$AL$323,Ajustes!$H154,O$2),0)+IF(Ajustes!$I154&gt;0,INDEX($AA$4:$AL$323,Ajustes!$I154,O$2),0)+IF(Ajustes!$J154&gt;0,INDEX($AA$4:$AL$323,Ajustes!$J154,O$2),0)+IF(Ajustes!$K154&gt;0,INDEX($AA$5:$AL$324,Ajustes!$K154,O$2),0)+IF(Ajustes!$L154&gt;0,INDEX($AA$4:$AL$323,Ajustes!$L154,O$2),0) + O154</f>
        <v>0</v>
      </c>
      <c r="AB154">
        <f>IF(Ajustes!$G154&gt;0,INDEX($AA$4:$AL$323,Ajustes!$G154,P$2),0)+IF(Ajustes!$H154&gt;0,INDEX($AA$4:$AL$323,Ajustes!$H154,P$2),0)+IF(Ajustes!$I154&gt;0,INDEX($AA$4:$AL$323,Ajustes!$I154,P$2),0)+IF(Ajustes!$J154&gt;0,INDEX($AA$4:$AL$323,Ajustes!$J154,P$2),0)+IF(Ajustes!$K154&gt;0,INDEX($AA$5:$AL$324,Ajustes!$K154,P$2),0)+IF(Ajustes!$L154&gt;0,INDEX($AA$4:$AL$323,Ajustes!$L154,P$2),0) + P154</f>
        <v>0</v>
      </c>
      <c r="AC154">
        <f>IF(Ajustes!$G154&gt;0,INDEX($AA$4:$AL$323,Ajustes!$G154,Q$2),0)+IF(Ajustes!$H154&gt;0,INDEX($AA$4:$AL$323,Ajustes!$H154,Q$2),0)+IF(Ajustes!$I154&gt;0,INDEX($AA$4:$AL$323,Ajustes!$I154,Q$2),0)+IF(Ajustes!$J154&gt;0,INDEX($AA$4:$AL$323,Ajustes!$J154,Q$2),0)+IF(Ajustes!$K154&gt;0,INDEX($AA$5:$AL$324,Ajustes!$K154,Q$2),0)+IF(Ajustes!$L154&gt;0,INDEX($AA$4:$AL$323,Ajustes!$L154,Q$2),0) + Q154</f>
        <v>0</v>
      </c>
      <c r="AD154">
        <f>IF(Ajustes!$G154&gt;0,INDEX($AA$4:$AL$323,Ajustes!$G154,R$2),0)+IF(Ajustes!$H154&gt;0,INDEX($AA$4:$AL$323,Ajustes!$H154,R$2),0)+IF(Ajustes!$I154&gt;0,INDEX($AA$4:$AL$323,Ajustes!$I154,R$2),0)+IF(Ajustes!$J154&gt;0,INDEX($AA$4:$AL$323,Ajustes!$J154,R$2),0)+IF(Ajustes!$K154&gt;0,INDEX($AA$5:$AL$324,Ajustes!$K154,R$2),0)+IF(Ajustes!$L154&gt;0,INDEX($AA$4:$AL$323,Ajustes!$L154,R$2),0) + R154</f>
        <v>0</v>
      </c>
      <c r="AE154">
        <f>IF(Ajustes!$G154&gt;0,INDEX($AA$4:$AL$323,Ajustes!$G154,S$2),0)+IF(Ajustes!$H154&gt;0,INDEX($AA$4:$AL$323,Ajustes!$H154,S$2),0)+IF(Ajustes!$I154&gt;0,INDEX($AA$4:$AL$323,Ajustes!$I154,S$2),0)+IF(Ajustes!$J154&gt;0,INDEX($AA$4:$AL$323,Ajustes!$J154,S$2),0)+IF(Ajustes!$K154&gt;0,INDEX($AA$5:$AL$324,Ajustes!$K154,S$2),0)+IF(Ajustes!$L154&gt;0,INDEX($AA$4:$AL$323,Ajustes!$L154,S$2),0) + S154</f>
        <v>0</v>
      </c>
      <c r="AF154">
        <f>IF(Ajustes!$G154&gt;0,INDEX($AA$4:$AL$323,Ajustes!$G154,T$2),0)+IF(Ajustes!$H154&gt;0,INDEX($AA$4:$AL$323,Ajustes!$H154,T$2),0)+IF(Ajustes!$I154&gt;0,INDEX($AA$4:$AL$323,Ajustes!$I154,T$2),0)+IF(Ajustes!$J154&gt;0,INDEX($AA$4:$AL$323,Ajustes!$J154,T$2),0)+IF(Ajustes!$K154&gt;0,INDEX($AA$5:$AL$324,Ajustes!$K154,T$2),0)+IF(Ajustes!$L154&gt;0,INDEX($AA$4:$AL$323,Ajustes!$L154,T$2),0) + T154</f>
        <v>0</v>
      </c>
      <c r="AG154">
        <f>IF(Ajustes!$G154&gt;0,INDEX($AA$4:$AL$323,Ajustes!$G154,U$2),0)+IF(Ajustes!$H154&gt;0,INDEX($AA$4:$AL$323,Ajustes!$H154,U$2),0)+IF(Ajustes!$I154&gt;0,INDEX($AA$4:$AL$323,Ajustes!$I154,U$2),0)+IF(Ajustes!$J154&gt;0,INDEX($AA$4:$AL$323,Ajustes!$J154,U$2),0)+IF(Ajustes!$K154&gt;0,INDEX($AA$5:$AL$324,Ajustes!$K154,U$2),0)+IF(Ajustes!$L154&gt;0,INDEX($AA$4:$AL$323,Ajustes!$L154,U$2),0) + U154</f>
        <v>0</v>
      </c>
      <c r="AH154">
        <f>IF(Ajustes!$G154&gt;0,INDEX($AA$4:$AL$323,Ajustes!$G154,V$2),0)+IF(Ajustes!$H154&gt;0,INDEX($AA$4:$AL$323,Ajustes!$H154,V$2),0)+IF(Ajustes!$I154&gt;0,INDEX($AA$4:$AL$323,Ajustes!$I154,V$2),0)+IF(Ajustes!$J154&gt;0,INDEX($AA$4:$AL$323,Ajustes!$J154,V$2),0)+IF(Ajustes!$K154&gt;0,INDEX($AA$5:$AL$324,Ajustes!$K154,V$2),0)+IF(Ajustes!$L154&gt;0,INDEX($AA$4:$AL$323,Ajustes!$L154,V$2),0) + V154</f>
        <v>0</v>
      </c>
      <c r="AI154">
        <f>IF(Ajustes!$G154&gt;0,INDEX($AA$4:$AL$323,Ajustes!$G154,W$2),0)+IF(Ajustes!$H154&gt;0,INDEX($AA$4:$AL$323,Ajustes!$H154,W$2),0)+IF(Ajustes!$I154&gt;0,INDEX($AA$4:$AL$323,Ajustes!$I154,W$2),0)+IF(Ajustes!$J154&gt;0,INDEX($AA$4:$AL$323,Ajustes!$J154,W$2),0)+IF(Ajustes!$K154&gt;0,INDEX($AA$5:$AL$324,Ajustes!$K154,W$2),0)+IF(Ajustes!$L154&gt;0,INDEX($AA$4:$AL$323,Ajustes!$L154,W$2),0) + W154</f>
        <v>0</v>
      </c>
      <c r="AJ154">
        <f>IF(Ajustes!$G154&gt;0,INDEX($AA$4:$AL$323,Ajustes!$G154,X$2),0)+IF(Ajustes!$H154&gt;0,INDEX($AA$4:$AL$323,Ajustes!$H154,X$2),0)+IF(Ajustes!$I154&gt;0,INDEX($AA$4:$AL$323,Ajustes!$I154,X$2),0)+IF(Ajustes!$J154&gt;0,INDEX($AA$4:$AL$323,Ajustes!$J154,X$2),0)+IF(Ajustes!$K154&gt;0,INDEX($AA$5:$AL$324,Ajustes!$K154,X$2),0)+IF(Ajustes!$L154&gt;0,INDEX($AA$4:$AL$323,Ajustes!$L154,X$2),0) + X154</f>
        <v>0</v>
      </c>
      <c r="AK154">
        <f>IF(Ajustes!$G154&gt;0,INDEX($AA$4:$AL$323,Ajustes!$G154,Y$2),0)+IF(Ajustes!$H154&gt;0,INDEX($AA$4:$AL$323,Ajustes!$H154,Y$2),0)+IF(Ajustes!$I154&gt;0,INDEX($AA$4:$AL$323,Ajustes!$I154,Y$2),0)+IF(Ajustes!$J154&gt;0,INDEX($AA$4:$AL$323,Ajustes!$J154,Y$2),0)+IF(Ajustes!$K154&gt;0,INDEX($AA$5:$AL$324,Ajustes!$K154,Y$2),0)+IF(Ajustes!$L154&gt;0,INDEX($AA$4:$AL$323,Ajustes!$L154,Y$2),0) + Y154</f>
        <v>0</v>
      </c>
      <c r="AL154">
        <f>IF(Ajustes!$G154&gt;0,INDEX($AA$4:$AL$323,Ajustes!$G154,Z$2),0)+IF(Ajustes!$H154&gt;0,INDEX($AA$4:$AL$323,Ajustes!$H154,Z$2),0)+IF(Ajustes!$I154&gt;0,INDEX($AA$4:$AL$323,Ajustes!$I154,Z$2),0)+IF(Ajustes!$J154&gt;0,INDEX($AA$4:$AL$323,Ajustes!$J154,Z$2),0)+IF(Ajustes!$K154&gt;0,INDEX($AA$5:$AL$324,Ajustes!$K154,Z$2),0)+IF(Ajustes!$L154&gt;0,INDEX($AA$4:$AL$323,Ajustes!$L154,Z$2),0) + Z154</f>
        <v>0</v>
      </c>
      <c r="AM154" s="113">
        <f t="shared" si="39"/>
        <v>0</v>
      </c>
      <c r="AN154" s="113">
        <f t="shared" si="39"/>
        <v>0</v>
      </c>
      <c r="AO154" s="113">
        <f t="shared" si="39"/>
        <v>0</v>
      </c>
      <c r="AP154" s="113">
        <f t="shared" si="39"/>
        <v>0</v>
      </c>
      <c r="AQ154" s="113">
        <f t="shared" si="42"/>
        <v>0</v>
      </c>
      <c r="AR154" s="113">
        <f t="shared" si="40"/>
        <v>0</v>
      </c>
      <c r="AS154" s="113">
        <f t="shared" si="40"/>
        <v>0</v>
      </c>
      <c r="AT154" s="113">
        <f t="shared" si="40"/>
        <v>0</v>
      </c>
      <c r="AU154" s="113">
        <f t="shared" si="40"/>
        <v>0</v>
      </c>
      <c r="AV154" s="113">
        <f t="shared" si="43"/>
        <v>0</v>
      </c>
      <c r="AW154" s="113">
        <f t="shared" si="41"/>
        <v>0</v>
      </c>
      <c r="AX154" s="113">
        <f t="shared" si="41"/>
        <v>0</v>
      </c>
    </row>
    <row r="155" spans="1:50" x14ac:dyDescent="0.25">
      <c r="A155" s="113">
        <v>152</v>
      </c>
      <c r="B155" s="209"/>
      <c r="C155">
        <f>IFERROR(INDEX($BD$7:$BO$35,MATCH(Ajustes!$E$4:$E$323,$BC$7:$BC$35,0),$C$2:$N$2),1)</f>
        <v>1</v>
      </c>
      <c r="D155" s="113">
        <f>IFERROR(INDEX($BD$7:$BO$35,MATCH(Ajustes!$E$4:$E$323,$BC$7:$BC$35,0),$C$2:$N$2),1)</f>
        <v>1</v>
      </c>
      <c r="E155" s="113">
        <f>IFERROR(INDEX($BD$7:$BO$35,MATCH(Ajustes!$E$4:$E$323,$BC$7:$BC$35,0),$C$2:$N$2),1)</f>
        <v>1</v>
      </c>
      <c r="F155" s="113">
        <f>IFERROR(INDEX($BD$7:$BO$35,MATCH(Ajustes!$E$4:$E$323,$BC$7:$BC$35,0),$C$2:$N$2),1)</f>
        <v>1</v>
      </c>
      <c r="G155" s="113">
        <f>IFERROR(INDEX($BD$7:$BO$35,MATCH(Ajustes!$E$4:$E$323,$BC$7:$BC$35,0),$C$2:$N$2),1)</f>
        <v>1</v>
      </c>
      <c r="H155" s="113">
        <f>IFERROR(INDEX($BD$7:$BO$35,MATCH(Ajustes!$E$4:$E$323,$BC$7:$BC$35,0),$C$2:$N$2),1)</f>
        <v>1</v>
      </c>
      <c r="I155" s="113">
        <f>IFERROR(INDEX($BD$7:$BO$35,MATCH(Ajustes!$E$4:$E$323,$BC$7:$BC$35,0),$C$2:$N$2),1)</f>
        <v>1</v>
      </c>
      <c r="J155" s="113">
        <f>IFERROR(INDEX($BD$7:$BO$35,MATCH(Ajustes!$E$4:$E$323,$BC$7:$BC$35,0),$C$2:$N$2),1)</f>
        <v>1</v>
      </c>
      <c r="K155" s="113">
        <f>IFERROR(INDEX($BD$7:$BO$35,MATCH(Ajustes!$E$4:$E$323,$BC$7:$BC$35,0),$C$2:$N$2),1)</f>
        <v>1</v>
      </c>
      <c r="L155" s="113">
        <f>IFERROR(INDEX($BD$7:$BO$35,MATCH(Ajustes!$E$4:$E$323,$BC$7:$BC$35,0),$C$2:$N$2),1)</f>
        <v>1</v>
      </c>
      <c r="M155" s="113">
        <f>IFERROR(INDEX($BD$7:$BO$35,MATCH(Ajustes!$E$4:$E$323,$BC$7:$BC$35,0),$C$2:$N$2),1)</f>
        <v>1</v>
      </c>
      <c r="N155" s="113">
        <f>IFERROR(INDEX($BD$7:$BO$35,MATCH(Ajustes!$E$4:$E$323,$BC$7:$BC$35,0),$C$2:$N$2),1)</f>
        <v>1</v>
      </c>
      <c r="O155">
        <f>C155*Ajustes!AM155</f>
        <v>0</v>
      </c>
      <c r="P155">
        <f>D155*Ajustes!AN155</f>
        <v>0</v>
      </c>
      <c r="Q155">
        <f>E155*Ajustes!AO155</f>
        <v>0</v>
      </c>
      <c r="R155">
        <f>F155*Ajustes!AP155</f>
        <v>0</v>
      </c>
      <c r="S155">
        <f>G155*Ajustes!AQ155</f>
        <v>0</v>
      </c>
      <c r="T155">
        <f>H155*Ajustes!AR155</f>
        <v>0</v>
      </c>
      <c r="U155">
        <f>I155*Ajustes!AS155</f>
        <v>0</v>
      </c>
      <c r="V155">
        <f>J155*Ajustes!AT155</f>
        <v>0</v>
      </c>
      <c r="W155">
        <f>K155*Ajustes!AU155</f>
        <v>0</v>
      </c>
      <c r="X155">
        <f>L155*Ajustes!AV155</f>
        <v>0</v>
      </c>
      <c r="Y155">
        <f>M155*Ajustes!AW155</f>
        <v>0</v>
      </c>
      <c r="Z155">
        <f>N155*Ajustes!AX155</f>
        <v>0</v>
      </c>
      <c r="AA155">
        <f>IF(Ajustes!$G155&gt;0,INDEX($AA$4:$AL$323,Ajustes!$G155,O$2),0)+IF(Ajustes!$H155&gt;0,INDEX($AA$4:$AL$323,Ajustes!$H155,O$2),0)+IF(Ajustes!$I155&gt;0,INDEX($AA$4:$AL$323,Ajustes!$I155,O$2),0)+IF(Ajustes!$J155&gt;0,INDEX($AA$4:$AL$323,Ajustes!$J155,O$2),0)+IF(Ajustes!$K155&gt;0,INDEX($AA$5:$AL$324,Ajustes!$K155,O$2),0)+IF(Ajustes!$L155&gt;0,INDEX($AA$4:$AL$323,Ajustes!$L155,O$2),0) + O155</f>
        <v>0</v>
      </c>
      <c r="AB155">
        <f>IF(Ajustes!$G155&gt;0,INDEX($AA$4:$AL$323,Ajustes!$G155,P$2),0)+IF(Ajustes!$H155&gt;0,INDEX($AA$4:$AL$323,Ajustes!$H155,P$2),0)+IF(Ajustes!$I155&gt;0,INDEX($AA$4:$AL$323,Ajustes!$I155,P$2),0)+IF(Ajustes!$J155&gt;0,INDEX($AA$4:$AL$323,Ajustes!$J155,P$2),0)+IF(Ajustes!$K155&gt;0,INDEX($AA$5:$AL$324,Ajustes!$K155,P$2),0)+IF(Ajustes!$L155&gt;0,INDEX($AA$4:$AL$323,Ajustes!$L155,P$2),0) + P155</f>
        <v>0</v>
      </c>
      <c r="AC155">
        <f>IF(Ajustes!$G155&gt;0,INDEX($AA$4:$AL$323,Ajustes!$G155,Q$2),0)+IF(Ajustes!$H155&gt;0,INDEX($AA$4:$AL$323,Ajustes!$H155,Q$2),0)+IF(Ajustes!$I155&gt;0,INDEX($AA$4:$AL$323,Ajustes!$I155,Q$2),0)+IF(Ajustes!$J155&gt;0,INDEX($AA$4:$AL$323,Ajustes!$J155,Q$2),0)+IF(Ajustes!$K155&gt;0,INDEX($AA$5:$AL$324,Ajustes!$K155,Q$2),0)+IF(Ajustes!$L155&gt;0,INDEX($AA$4:$AL$323,Ajustes!$L155,Q$2),0) + Q155</f>
        <v>0</v>
      </c>
      <c r="AD155">
        <f>IF(Ajustes!$G155&gt;0,INDEX($AA$4:$AL$323,Ajustes!$G155,R$2),0)+IF(Ajustes!$H155&gt;0,INDEX($AA$4:$AL$323,Ajustes!$H155,R$2),0)+IF(Ajustes!$I155&gt;0,INDEX($AA$4:$AL$323,Ajustes!$I155,R$2),0)+IF(Ajustes!$J155&gt;0,INDEX($AA$4:$AL$323,Ajustes!$J155,R$2),0)+IF(Ajustes!$K155&gt;0,INDEX($AA$5:$AL$324,Ajustes!$K155,R$2),0)+IF(Ajustes!$L155&gt;0,INDEX($AA$4:$AL$323,Ajustes!$L155,R$2),0) + R155</f>
        <v>0</v>
      </c>
      <c r="AE155">
        <f>IF(Ajustes!$G155&gt;0,INDEX($AA$4:$AL$323,Ajustes!$G155,S$2),0)+IF(Ajustes!$H155&gt;0,INDEX($AA$4:$AL$323,Ajustes!$H155,S$2),0)+IF(Ajustes!$I155&gt;0,INDEX($AA$4:$AL$323,Ajustes!$I155,S$2),0)+IF(Ajustes!$J155&gt;0,INDEX($AA$4:$AL$323,Ajustes!$J155,S$2),0)+IF(Ajustes!$K155&gt;0,INDEX($AA$5:$AL$324,Ajustes!$K155,S$2),0)+IF(Ajustes!$L155&gt;0,INDEX($AA$4:$AL$323,Ajustes!$L155,S$2),0) + S155</f>
        <v>0</v>
      </c>
      <c r="AF155">
        <f>IF(Ajustes!$G155&gt;0,INDEX($AA$4:$AL$323,Ajustes!$G155,T$2),0)+IF(Ajustes!$H155&gt;0,INDEX($AA$4:$AL$323,Ajustes!$H155,T$2),0)+IF(Ajustes!$I155&gt;0,INDEX($AA$4:$AL$323,Ajustes!$I155,T$2),0)+IF(Ajustes!$J155&gt;0,INDEX($AA$4:$AL$323,Ajustes!$J155,T$2),0)+IF(Ajustes!$K155&gt;0,INDEX($AA$5:$AL$324,Ajustes!$K155,T$2),0)+IF(Ajustes!$L155&gt;0,INDEX($AA$4:$AL$323,Ajustes!$L155,T$2),0) + T155</f>
        <v>0</v>
      </c>
      <c r="AG155">
        <f>IF(Ajustes!$G155&gt;0,INDEX($AA$4:$AL$323,Ajustes!$G155,U$2),0)+IF(Ajustes!$H155&gt;0,INDEX($AA$4:$AL$323,Ajustes!$H155,U$2),0)+IF(Ajustes!$I155&gt;0,INDEX($AA$4:$AL$323,Ajustes!$I155,U$2),0)+IF(Ajustes!$J155&gt;0,INDEX($AA$4:$AL$323,Ajustes!$J155,U$2),0)+IF(Ajustes!$K155&gt;0,INDEX($AA$5:$AL$324,Ajustes!$K155,U$2),0)+IF(Ajustes!$L155&gt;0,INDEX($AA$4:$AL$323,Ajustes!$L155,U$2),0) + U155</f>
        <v>0</v>
      </c>
      <c r="AH155">
        <f>IF(Ajustes!$G155&gt;0,INDEX($AA$4:$AL$323,Ajustes!$G155,V$2),0)+IF(Ajustes!$H155&gt;0,INDEX($AA$4:$AL$323,Ajustes!$H155,V$2),0)+IF(Ajustes!$I155&gt;0,INDEX($AA$4:$AL$323,Ajustes!$I155,V$2),0)+IF(Ajustes!$J155&gt;0,INDEX($AA$4:$AL$323,Ajustes!$J155,V$2),0)+IF(Ajustes!$K155&gt;0,INDEX($AA$5:$AL$324,Ajustes!$K155,V$2),0)+IF(Ajustes!$L155&gt;0,INDEX($AA$4:$AL$323,Ajustes!$L155,V$2),0) + V155</f>
        <v>0</v>
      </c>
      <c r="AI155">
        <f>IF(Ajustes!$G155&gt;0,INDEX($AA$4:$AL$323,Ajustes!$G155,W$2),0)+IF(Ajustes!$H155&gt;0,INDEX($AA$4:$AL$323,Ajustes!$H155,W$2),0)+IF(Ajustes!$I155&gt;0,INDEX($AA$4:$AL$323,Ajustes!$I155,W$2),0)+IF(Ajustes!$J155&gt;0,INDEX($AA$4:$AL$323,Ajustes!$J155,W$2),0)+IF(Ajustes!$K155&gt;0,INDEX($AA$5:$AL$324,Ajustes!$K155,W$2),0)+IF(Ajustes!$L155&gt;0,INDEX($AA$4:$AL$323,Ajustes!$L155,W$2),0) + W155</f>
        <v>0</v>
      </c>
      <c r="AJ155">
        <f>IF(Ajustes!$G155&gt;0,INDEX($AA$4:$AL$323,Ajustes!$G155,X$2),0)+IF(Ajustes!$H155&gt;0,INDEX($AA$4:$AL$323,Ajustes!$H155,X$2),0)+IF(Ajustes!$I155&gt;0,INDEX($AA$4:$AL$323,Ajustes!$I155,X$2),0)+IF(Ajustes!$J155&gt;0,INDEX($AA$4:$AL$323,Ajustes!$J155,X$2),0)+IF(Ajustes!$K155&gt;0,INDEX($AA$5:$AL$324,Ajustes!$K155,X$2),0)+IF(Ajustes!$L155&gt;0,INDEX($AA$4:$AL$323,Ajustes!$L155,X$2),0) + X155</f>
        <v>0</v>
      </c>
      <c r="AK155">
        <f>IF(Ajustes!$G155&gt;0,INDEX($AA$4:$AL$323,Ajustes!$G155,Y$2),0)+IF(Ajustes!$H155&gt;0,INDEX($AA$4:$AL$323,Ajustes!$H155,Y$2),0)+IF(Ajustes!$I155&gt;0,INDEX($AA$4:$AL$323,Ajustes!$I155,Y$2),0)+IF(Ajustes!$J155&gt;0,INDEX($AA$4:$AL$323,Ajustes!$J155,Y$2),0)+IF(Ajustes!$K155&gt;0,INDEX($AA$5:$AL$324,Ajustes!$K155,Y$2),0)+IF(Ajustes!$L155&gt;0,INDEX($AA$4:$AL$323,Ajustes!$L155,Y$2),0) + Y155</f>
        <v>0</v>
      </c>
      <c r="AL155">
        <f>IF(Ajustes!$G155&gt;0,INDEX($AA$4:$AL$323,Ajustes!$G155,Z$2),0)+IF(Ajustes!$H155&gt;0,INDEX($AA$4:$AL$323,Ajustes!$H155,Z$2),0)+IF(Ajustes!$I155&gt;0,INDEX($AA$4:$AL$323,Ajustes!$I155,Z$2),0)+IF(Ajustes!$J155&gt;0,INDEX($AA$4:$AL$323,Ajustes!$J155,Z$2),0)+IF(Ajustes!$K155&gt;0,INDEX($AA$5:$AL$324,Ajustes!$K155,Z$2),0)+IF(Ajustes!$L155&gt;0,INDEX($AA$4:$AL$323,Ajustes!$L155,Z$2),0) + Z155</f>
        <v>0</v>
      </c>
      <c r="AM155" s="113">
        <f t="shared" si="39"/>
        <v>0</v>
      </c>
      <c r="AN155" s="113">
        <f t="shared" si="39"/>
        <v>0</v>
      </c>
      <c r="AO155" s="113">
        <f t="shared" si="39"/>
        <v>0</v>
      </c>
      <c r="AP155" s="113">
        <f t="shared" si="39"/>
        <v>0</v>
      </c>
      <c r="AQ155" s="113">
        <f t="shared" si="42"/>
        <v>0</v>
      </c>
      <c r="AR155" s="113">
        <f t="shared" si="40"/>
        <v>0</v>
      </c>
      <c r="AS155" s="113">
        <f t="shared" si="40"/>
        <v>0</v>
      </c>
      <c r="AT155" s="113">
        <f t="shared" si="40"/>
        <v>0</v>
      </c>
      <c r="AU155" s="113">
        <f t="shared" si="40"/>
        <v>0</v>
      </c>
      <c r="AV155" s="113">
        <f t="shared" si="43"/>
        <v>0</v>
      </c>
      <c r="AW155" s="113">
        <f t="shared" si="41"/>
        <v>0</v>
      </c>
      <c r="AX155" s="113">
        <f t="shared" si="41"/>
        <v>0</v>
      </c>
    </row>
    <row r="156" spans="1:50" x14ac:dyDescent="0.25">
      <c r="A156" s="113">
        <v>153</v>
      </c>
      <c r="B156" s="209"/>
      <c r="C156">
        <f>IFERROR(INDEX($BD$7:$BO$35,MATCH(Ajustes!$E$4:$E$323,$BC$7:$BC$35,0),$C$2:$N$2),1)</f>
        <v>1</v>
      </c>
      <c r="D156" s="113">
        <f>IFERROR(INDEX($BD$7:$BO$35,MATCH(Ajustes!$E$4:$E$323,$BC$7:$BC$35,0),$C$2:$N$2),1)</f>
        <v>1</v>
      </c>
      <c r="E156" s="113">
        <f>IFERROR(INDEX($BD$7:$BO$35,MATCH(Ajustes!$E$4:$E$323,$BC$7:$BC$35,0),$C$2:$N$2),1)</f>
        <v>1</v>
      </c>
      <c r="F156" s="113">
        <f>IFERROR(INDEX($BD$7:$BO$35,MATCH(Ajustes!$E$4:$E$323,$BC$7:$BC$35,0),$C$2:$N$2),1)</f>
        <v>1</v>
      </c>
      <c r="G156" s="113">
        <f>IFERROR(INDEX($BD$7:$BO$35,MATCH(Ajustes!$E$4:$E$323,$BC$7:$BC$35,0),$C$2:$N$2),1)</f>
        <v>1</v>
      </c>
      <c r="H156" s="113">
        <f>IFERROR(INDEX($BD$7:$BO$35,MATCH(Ajustes!$E$4:$E$323,$BC$7:$BC$35,0),$C$2:$N$2),1)</f>
        <v>1</v>
      </c>
      <c r="I156" s="113">
        <f>IFERROR(INDEX($BD$7:$BO$35,MATCH(Ajustes!$E$4:$E$323,$BC$7:$BC$35,0),$C$2:$N$2),1)</f>
        <v>1</v>
      </c>
      <c r="J156" s="113">
        <f>IFERROR(INDEX($BD$7:$BO$35,MATCH(Ajustes!$E$4:$E$323,$BC$7:$BC$35,0),$C$2:$N$2),1)</f>
        <v>1</v>
      </c>
      <c r="K156" s="113">
        <f>IFERROR(INDEX($BD$7:$BO$35,MATCH(Ajustes!$E$4:$E$323,$BC$7:$BC$35,0),$C$2:$N$2),1)</f>
        <v>1</v>
      </c>
      <c r="L156" s="113">
        <f>IFERROR(INDEX($BD$7:$BO$35,MATCH(Ajustes!$E$4:$E$323,$BC$7:$BC$35,0),$C$2:$N$2),1)</f>
        <v>1</v>
      </c>
      <c r="M156" s="113">
        <f>IFERROR(INDEX($BD$7:$BO$35,MATCH(Ajustes!$E$4:$E$323,$BC$7:$BC$35,0),$C$2:$N$2),1)</f>
        <v>1</v>
      </c>
      <c r="N156" s="113">
        <f>IFERROR(INDEX($BD$7:$BO$35,MATCH(Ajustes!$E$4:$E$323,$BC$7:$BC$35,0),$C$2:$N$2),1)</f>
        <v>1</v>
      </c>
      <c r="O156">
        <f>C156*Ajustes!AM156</f>
        <v>0</v>
      </c>
      <c r="P156">
        <f>D156*Ajustes!AN156</f>
        <v>0</v>
      </c>
      <c r="Q156">
        <f>E156*Ajustes!AO156</f>
        <v>0</v>
      </c>
      <c r="R156">
        <f>F156*Ajustes!AP156</f>
        <v>0</v>
      </c>
      <c r="S156">
        <f>G156*Ajustes!AQ156</f>
        <v>0</v>
      </c>
      <c r="T156">
        <f>H156*Ajustes!AR156</f>
        <v>0</v>
      </c>
      <c r="U156">
        <f>I156*Ajustes!AS156</f>
        <v>0</v>
      </c>
      <c r="V156">
        <f>J156*Ajustes!AT156</f>
        <v>0</v>
      </c>
      <c r="W156">
        <f>K156*Ajustes!AU156</f>
        <v>0</v>
      </c>
      <c r="X156">
        <f>L156*Ajustes!AV156</f>
        <v>0</v>
      </c>
      <c r="Y156">
        <f>M156*Ajustes!AW156</f>
        <v>0</v>
      </c>
      <c r="Z156">
        <f>N156*Ajustes!AX156</f>
        <v>0</v>
      </c>
      <c r="AA156">
        <f>IF(Ajustes!$G156&gt;0,INDEX($AA$4:$AL$323,Ajustes!$G156,O$2),0)+IF(Ajustes!$H156&gt;0,INDEX($AA$4:$AL$323,Ajustes!$H156,O$2),0)+IF(Ajustes!$I156&gt;0,INDEX($AA$4:$AL$323,Ajustes!$I156,O$2),0)+IF(Ajustes!$J156&gt;0,INDEX($AA$4:$AL$323,Ajustes!$J156,O$2),0)+IF(Ajustes!$K156&gt;0,INDEX($AA$5:$AL$324,Ajustes!$K156,O$2),0)+IF(Ajustes!$L156&gt;0,INDEX($AA$4:$AL$323,Ajustes!$L156,O$2),0) + O156</f>
        <v>0</v>
      </c>
      <c r="AB156">
        <f>IF(Ajustes!$G156&gt;0,INDEX($AA$4:$AL$323,Ajustes!$G156,P$2),0)+IF(Ajustes!$H156&gt;0,INDEX($AA$4:$AL$323,Ajustes!$H156,P$2),0)+IF(Ajustes!$I156&gt;0,INDEX($AA$4:$AL$323,Ajustes!$I156,P$2),0)+IF(Ajustes!$J156&gt;0,INDEX($AA$4:$AL$323,Ajustes!$J156,P$2),0)+IF(Ajustes!$K156&gt;0,INDEX($AA$5:$AL$324,Ajustes!$K156,P$2),0)+IF(Ajustes!$L156&gt;0,INDEX($AA$4:$AL$323,Ajustes!$L156,P$2),0) + P156</f>
        <v>0</v>
      </c>
      <c r="AC156">
        <f>IF(Ajustes!$G156&gt;0,INDEX($AA$4:$AL$323,Ajustes!$G156,Q$2),0)+IF(Ajustes!$H156&gt;0,INDEX($AA$4:$AL$323,Ajustes!$H156,Q$2),0)+IF(Ajustes!$I156&gt;0,INDEX($AA$4:$AL$323,Ajustes!$I156,Q$2),0)+IF(Ajustes!$J156&gt;0,INDEX($AA$4:$AL$323,Ajustes!$J156,Q$2),0)+IF(Ajustes!$K156&gt;0,INDEX($AA$5:$AL$324,Ajustes!$K156,Q$2),0)+IF(Ajustes!$L156&gt;0,INDEX($AA$4:$AL$323,Ajustes!$L156,Q$2),0) + Q156</f>
        <v>0</v>
      </c>
      <c r="AD156">
        <f>IF(Ajustes!$G156&gt;0,INDEX($AA$4:$AL$323,Ajustes!$G156,R$2),0)+IF(Ajustes!$H156&gt;0,INDEX($AA$4:$AL$323,Ajustes!$H156,R$2),0)+IF(Ajustes!$I156&gt;0,INDEX($AA$4:$AL$323,Ajustes!$I156,R$2),0)+IF(Ajustes!$J156&gt;0,INDEX($AA$4:$AL$323,Ajustes!$J156,R$2),0)+IF(Ajustes!$K156&gt;0,INDEX($AA$5:$AL$324,Ajustes!$K156,R$2),0)+IF(Ajustes!$L156&gt;0,INDEX($AA$4:$AL$323,Ajustes!$L156,R$2),0) + R156</f>
        <v>0</v>
      </c>
      <c r="AE156">
        <f>IF(Ajustes!$G156&gt;0,INDEX($AA$4:$AL$323,Ajustes!$G156,S$2),0)+IF(Ajustes!$H156&gt;0,INDEX($AA$4:$AL$323,Ajustes!$H156,S$2),0)+IF(Ajustes!$I156&gt;0,INDEX($AA$4:$AL$323,Ajustes!$I156,S$2),0)+IF(Ajustes!$J156&gt;0,INDEX($AA$4:$AL$323,Ajustes!$J156,S$2),0)+IF(Ajustes!$K156&gt;0,INDEX($AA$5:$AL$324,Ajustes!$K156,S$2),0)+IF(Ajustes!$L156&gt;0,INDEX($AA$4:$AL$323,Ajustes!$L156,S$2),0) + S156</f>
        <v>0</v>
      </c>
      <c r="AF156">
        <f>IF(Ajustes!$G156&gt;0,INDEX($AA$4:$AL$323,Ajustes!$G156,T$2),0)+IF(Ajustes!$H156&gt;0,INDEX($AA$4:$AL$323,Ajustes!$H156,T$2),0)+IF(Ajustes!$I156&gt;0,INDEX($AA$4:$AL$323,Ajustes!$I156,T$2),0)+IF(Ajustes!$J156&gt;0,INDEX($AA$4:$AL$323,Ajustes!$J156,T$2),0)+IF(Ajustes!$K156&gt;0,INDEX($AA$5:$AL$324,Ajustes!$K156,T$2),0)+IF(Ajustes!$L156&gt;0,INDEX($AA$4:$AL$323,Ajustes!$L156,T$2),0) + T156</f>
        <v>0</v>
      </c>
      <c r="AG156">
        <f>IF(Ajustes!$G156&gt;0,INDEX($AA$4:$AL$323,Ajustes!$G156,U$2),0)+IF(Ajustes!$H156&gt;0,INDEX($AA$4:$AL$323,Ajustes!$H156,U$2),0)+IF(Ajustes!$I156&gt;0,INDEX($AA$4:$AL$323,Ajustes!$I156,U$2),0)+IF(Ajustes!$J156&gt;0,INDEX($AA$4:$AL$323,Ajustes!$J156,U$2),0)+IF(Ajustes!$K156&gt;0,INDEX($AA$5:$AL$324,Ajustes!$K156,U$2),0)+IF(Ajustes!$L156&gt;0,INDEX($AA$4:$AL$323,Ajustes!$L156,U$2),0) + U156</f>
        <v>0</v>
      </c>
      <c r="AH156">
        <f>IF(Ajustes!$G156&gt;0,INDEX($AA$4:$AL$323,Ajustes!$G156,V$2),0)+IF(Ajustes!$H156&gt;0,INDEX($AA$4:$AL$323,Ajustes!$H156,V$2),0)+IF(Ajustes!$I156&gt;0,INDEX($AA$4:$AL$323,Ajustes!$I156,V$2),0)+IF(Ajustes!$J156&gt;0,INDEX($AA$4:$AL$323,Ajustes!$J156,V$2),0)+IF(Ajustes!$K156&gt;0,INDEX($AA$5:$AL$324,Ajustes!$K156,V$2),0)+IF(Ajustes!$L156&gt;0,INDEX($AA$4:$AL$323,Ajustes!$L156,V$2),0) + V156</f>
        <v>0</v>
      </c>
      <c r="AI156">
        <f>IF(Ajustes!$G156&gt;0,INDEX($AA$4:$AL$323,Ajustes!$G156,W$2),0)+IF(Ajustes!$H156&gt;0,INDEX($AA$4:$AL$323,Ajustes!$H156,W$2),0)+IF(Ajustes!$I156&gt;0,INDEX($AA$4:$AL$323,Ajustes!$I156,W$2),0)+IF(Ajustes!$J156&gt;0,INDEX($AA$4:$AL$323,Ajustes!$J156,W$2),0)+IF(Ajustes!$K156&gt;0,INDEX($AA$5:$AL$324,Ajustes!$K156,W$2),0)+IF(Ajustes!$L156&gt;0,INDEX($AA$4:$AL$323,Ajustes!$L156,W$2),0) + W156</f>
        <v>0</v>
      </c>
      <c r="AJ156">
        <f>IF(Ajustes!$G156&gt;0,INDEX($AA$4:$AL$323,Ajustes!$G156,X$2),0)+IF(Ajustes!$H156&gt;0,INDEX($AA$4:$AL$323,Ajustes!$H156,X$2),0)+IF(Ajustes!$I156&gt;0,INDEX($AA$4:$AL$323,Ajustes!$I156,X$2),0)+IF(Ajustes!$J156&gt;0,INDEX($AA$4:$AL$323,Ajustes!$J156,X$2),0)+IF(Ajustes!$K156&gt;0,INDEX($AA$5:$AL$324,Ajustes!$K156,X$2),0)+IF(Ajustes!$L156&gt;0,INDEX($AA$4:$AL$323,Ajustes!$L156,X$2),0) + X156</f>
        <v>0</v>
      </c>
      <c r="AK156">
        <f>IF(Ajustes!$G156&gt;0,INDEX($AA$4:$AL$323,Ajustes!$G156,Y$2),0)+IF(Ajustes!$H156&gt;0,INDEX($AA$4:$AL$323,Ajustes!$H156,Y$2),0)+IF(Ajustes!$I156&gt;0,INDEX($AA$4:$AL$323,Ajustes!$I156,Y$2),0)+IF(Ajustes!$J156&gt;0,INDEX($AA$4:$AL$323,Ajustes!$J156,Y$2),0)+IF(Ajustes!$K156&gt;0,INDEX($AA$5:$AL$324,Ajustes!$K156,Y$2),0)+IF(Ajustes!$L156&gt;0,INDEX($AA$4:$AL$323,Ajustes!$L156,Y$2),0) + Y156</f>
        <v>0</v>
      </c>
      <c r="AL156">
        <f>IF(Ajustes!$G156&gt;0,INDEX($AA$4:$AL$323,Ajustes!$G156,Z$2),0)+IF(Ajustes!$H156&gt;0,INDEX($AA$4:$AL$323,Ajustes!$H156,Z$2),0)+IF(Ajustes!$I156&gt;0,INDEX($AA$4:$AL$323,Ajustes!$I156,Z$2),0)+IF(Ajustes!$J156&gt;0,INDEX($AA$4:$AL$323,Ajustes!$J156,Z$2),0)+IF(Ajustes!$K156&gt;0,INDEX($AA$5:$AL$324,Ajustes!$K156,Z$2),0)+IF(Ajustes!$L156&gt;0,INDEX($AA$4:$AL$323,Ajustes!$L156,Z$2),0) + Z156</f>
        <v>0</v>
      </c>
      <c r="AM156" s="113">
        <f t="shared" si="39"/>
        <v>0</v>
      </c>
      <c r="AN156" s="113">
        <f t="shared" si="39"/>
        <v>0</v>
      </c>
      <c r="AO156" s="113">
        <f t="shared" si="39"/>
        <v>0</v>
      </c>
      <c r="AP156" s="113">
        <f t="shared" si="39"/>
        <v>0</v>
      </c>
      <c r="AQ156" s="113">
        <f t="shared" si="42"/>
        <v>0</v>
      </c>
      <c r="AR156" s="113">
        <f t="shared" si="40"/>
        <v>0</v>
      </c>
      <c r="AS156" s="113">
        <f t="shared" si="40"/>
        <v>0</v>
      </c>
      <c r="AT156" s="113">
        <f t="shared" si="40"/>
        <v>0</v>
      </c>
      <c r="AU156" s="113">
        <f t="shared" si="40"/>
        <v>0</v>
      </c>
      <c r="AV156" s="113">
        <f t="shared" si="43"/>
        <v>0</v>
      </c>
      <c r="AW156" s="113">
        <f t="shared" si="41"/>
        <v>0</v>
      </c>
      <c r="AX156" s="113">
        <f t="shared" si="41"/>
        <v>0</v>
      </c>
    </row>
    <row r="157" spans="1:50" x14ac:dyDescent="0.25">
      <c r="A157" s="113">
        <v>154</v>
      </c>
      <c r="B157" s="209"/>
      <c r="C157">
        <f>IFERROR(INDEX($BD$7:$BO$35,MATCH(Ajustes!$E$4:$E$323,$BC$7:$BC$35,0),$C$2:$N$2),1)</f>
        <v>1</v>
      </c>
      <c r="D157" s="113">
        <f>IFERROR(INDEX($BD$7:$BO$35,MATCH(Ajustes!$E$4:$E$323,$BC$7:$BC$35,0),$C$2:$N$2),1)</f>
        <v>1</v>
      </c>
      <c r="E157" s="113">
        <f>IFERROR(INDEX($BD$7:$BO$35,MATCH(Ajustes!$E$4:$E$323,$BC$7:$BC$35,0),$C$2:$N$2),1)</f>
        <v>1</v>
      </c>
      <c r="F157" s="113">
        <f>IFERROR(INDEX($BD$7:$BO$35,MATCH(Ajustes!$E$4:$E$323,$BC$7:$BC$35,0),$C$2:$N$2),1)</f>
        <v>1</v>
      </c>
      <c r="G157" s="113">
        <f>IFERROR(INDEX($BD$7:$BO$35,MATCH(Ajustes!$E$4:$E$323,$BC$7:$BC$35,0),$C$2:$N$2),1)</f>
        <v>1</v>
      </c>
      <c r="H157" s="113">
        <f>IFERROR(INDEX($BD$7:$BO$35,MATCH(Ajustes!$E$4:$E$323,$BC$7:$BC$35,0),$C$2:$N$2),1)</f>
        <v>1</v>
      </c>
      <c r="I157" s="113">
        <f>IFERROR(INDEX($BD$7:$BO$35,MATCH(Ajustes!$E$4:$E$323,$BC$7:$BC$35,0),$C$2:$N$2),1)</f>
        <v>1</v>
      </c>
      <c r="J157" s="113">
        <f>IFERROR(INDEX($BD$7:$BO$35,MATCH(Ajustes!$E$4:$E$323,$BC$7:$BC$35,0),$C$2:$N$2),1)</f>
        <v>1</v>
      </c>
      <c r="K157" s="113">
        <f>IFERROR(INDEX($BD$7:$BO$35,MATCH(Ajustes!$E$4:$E$323,$BC$7:$BC$35,0),$C$2:$N$2),1)</f>
        <v>1</v>
      </c>
      <c r="L157" s="113">
        <f>IFERROR(INDEX($BD$7:$BO$35,MATCH(Ajustes!$E$4:$E$323,$BC$7:$BC$35,0),$C$2:$N$2),1)</f>
        <v>1</v>
      </c>
      <c r="M157" s="113">
        <f>IFERROR(INDEX($BD$7:$BO$35,MATCH(Ajustes!$E$4:$E$323,$BC$7:$BC$35,0),$C$2:$N$2),1)</f>
        <v>1</v>
      </c>
      <c r="N157" s="113">
        <f>IFERROR(INDEX($BD$7:$BO$35,MATCH(Ajustes!$E$4:$E$323,$BC$7:$BC$35,0),$C$2:$N$2),1)</f>
        <v>1</v>
      </c>
      <c r="O157">
        <f>C157*Ajustes!AM157</f>
        <v>0</v>
      </c>
      <c r="P157">
        <f>D157*Ajustes!AN157</f>
        <v>0</v>
      </c>
      <c r="Q157">
        <f>E157*Ajustes!AO157</f>
        <v>0</v>
      </c>
      <c r="R157">
        <f>F157*Ajustes!AP157</f>
        <v>0</v>
      </c>
      <c r="S157">
        <f>G157*Ajustes!AQ157</f>
        <v>0</v>
      </c>
      <c r="T157">
        <f>H157*Ajustes!AR157</f>
        <v>0</v>
      </c>
      <c r="U157">
        <f>I157*Ajustes!AS157</f>
        <v>0</v>
      </c>
      <c r="V157">
        <f>J157*Ajustes!AT157</f>
        <v>0</v>
      </c>
      <c r="W157">
        <f>K157*Ajustes!AU157</f>
        <v>0</v>
      </c>
      <c r="X157">
        <f>L157*Ajustes!AV157</f>
        <v>0</v>
      </c>
      <c r="Y157">
        <f>M157*Ajustes!AW157</f>
        <v>0</v>
      </c>
      <c r="Z157">
        <f>N157*Ajustes!AX157</f>
        <v>0</v>
      </c>
      <c r="AA157">
        <f>IF(Ajustes!$G157&gt;0,INDEX($AA$4:$AL$323,Ajustes!$G157,O$2),0)+IF(Ajustes!$H157&gt;0,INDEX($AA$4:$AL$323,Ajustes!$H157,O$2),0)+IF(Ajustes!$I157&gt;0,INDEX($AA$4:$AL$323,Ajustes!$I157,O$2),0)+IF(Ajustes!$J157&gt;0,INDEX($AA$4:$AL$323,Ajustes!$J157,O$2),0)+IF(Ajustes!$K157&gt;0,INDEX($AA$5:$AL$324,Ajustes!$K157,O$2),0)+IF(Ajustes!$L157&gt;0,INDEX($AA$4:$AL$323,Ajustes!$L157,O$2),0) + O157</f>
        <v>0</v>
      </c>
      <c r="AB157">
        <f>IF(Ajustes!$G157&gt;0,INDEX($AA$4:$AL$323,Ajustes!$G157,P$2),0)+IF(Ajustes!$H157&gt;0,INDEX($AA$4:$AL$323,Ajustes!$H157,P$2),0)+IF(Ajustes!$I157&gt;0,INDEX($AA$4:$AL$323,Ajustes!$I157,P$2),0)+IF(Ajustes!$J157&gt;0,INDEX($AA$4:$AL$323,Ajustes!$J157,P$2),0)+IF(Ajustes!$K157&gt;0,INDEX($AA$5:$AL$324,Ajustes!$K157,P$2),0)+IF(Ajustes!$L157&gt;0,INDEX($AA$4:$AL$323,Ajustes!$L157,P$2),0) + P157</f>
        <v>0</v>
      </c>
      <c r="AC157">
        <f>IF(Ajustes!$G157&gt;0,INDEX($AA$4:$AL$323,Ajustes!$G157,Q$2),0)+IF(Ajustes!$H157&gt;0,INDEX($AA$4:$AL$323,Ajustes!$H157,Q$2),0)+IF(Ajustes!$I157&gt;0,INDEX($AA$4:$AL$323,Ajustes!$I157,Q$2),0)+IF(Ajustes!$J157&gt;0,INDEX($AA$4:$AL$323,Ajustes!$J157,Q$2),0)+IF(Ajustes!$K157&gt;0,INDEX($AA$5:$AL$324,Ajustes!$K157,Q$2),0)+IF(Ajustes!$L157&gt;0,INDEX($AA$4:$AL$323,Ajustes!$L157,Q$2),0) + Q157</f>
        <v>0</v>
      </c>
      <c r="AD157">
        <f>IF(Ajustes!$G157&gt;0,INDEX($AA$4:$AL$323,Ajustes!$G157,R$2),0)+IF(Ajustes!$H157&gt;0,INDEX($AA$4:$AL$323,Ajustes!$H157,R$2),0)+IF(Ajustes!$I157&gt;0,INDEX($AA$4:$AL$323,Ajustes!$I157,R$2),0)+IF(Ajustes!$J157&gt;0,INDEX($AA$4:$AL$323,Ajustes!$J157,R$2),0)+IF(Ajustes!$K157&gt;0,INDEX($AA$5:$AL$324,Ajustes!$K157,R$2),0)+IF(Ajustes!$L157&gt;0,INDEX($AA$4:$AL$323,Ajustes!$L157,R$2),0) + R157</f>
        <v>0</v>
      </c>
      <c r="AE157">
        <f>IF(Ajustes!$G157&gt;0,INDEX($AA$4:$AL$323,Ajustes!$G157,S$2),0)+IF(Ajustes!$H157&gt;0,INDEX($AA$4:$AL$323,Ajustes!$H157,S$2),0)+IF(Ajustes!$I157&gt;0,INDEX($AA$4:$AL$323,Ajustes!$I157,S$2),0)+IF(Ajustes!$J157&gt;0,INDEX($AA$4:$AL$323,Ajustes!$J157,S$2),0)+IF(Ajustes!$K157&gt;0,INDEX($AA$5:$AL$324,Ajustes!$K157,S$2),0)+IF(Ajustes!$L157&gt;0,INDEX($AA$4:$AL$323,Ajustes!$L157,S$2),0) + S157</f>
        <v>0</v>
      </c>
      <c r="AF157">
        <f>IF(Ajustes!$G157&gt;0,INDEX($AA$4:$AL$323,Ajustes!$G157,T$2),0)+IF(Ajustes!$H157&gt;0,INDEX($AA$4:$AL$323,Ajustes!$H157,T$2),0)+IF(Ajustes!$I157&gt;0,INDEX($AA$4:$AL$323,Ajustes!$I157,T$2),0)+IF(Ajustes!$J157&gt;0,INDEX($AA$4:$AL$323,Ajustes!$J157,T$2),0)+IF(Ajustes!$K157&gt;0,INDEX($AA$5:$AL$324,Ajustes!$K157,T$2),0)+IF(Ajustes!$L157&gt;0,INDEX($AA$4:$AL$323,Ajustes!$L157,T$2),0) + T157</f>
        <v>0</v>
      </c>
      <c r="AG157">
        <f>IF(Ajustes!$G157&gt;0,INDEX($AA$4:$AL$323,Ajustes!$G157,U$2),0)+IF(Ajustes!$H157&gt;0,INDEX($AA$4:$AL$323,Ajustes!$H157,U$2),0)+IF(Ajustes!$I157&gt;0,INDEX($AA$4:$AL$323,Ajustes!$I157,U$2),0)+IF(Ajustes!$J157&gt;0,INDEX($AA$4:$AL$323,Ajustes!$J157,U$2),0)+IF(Ajustes!$K157&gt;0,INDEX($AA$5:$AL$324,Ajustes!$K157,U$2),0)+IF(Ajustes!$L157&gt;0,INDEX($AA$4:$AL$323,Ajustes!$L157,U$2),0) + U157</f>
        <v>0</v>
      </c>
      <c r="AH157">
        <f>IF(Ajustes!$G157&gt;0,INDEX($AA$4:$AL$323,Ajustes!$G157,V$2),0)+IF(Ajustes!$H157&gt;0,INDEX($AA$4:$AL$323,Ajustes!$H157,V$2),0)+IF(Ajustes!$I157&gt;0,INDEX($AA$4:$AL$323,Ajustes!$I157,V$2),0)+IF(Ajustes!$J157&gt;0,INDEX($AA$4:$AL$323,Ajustes!$J157,V$2),0)+IF(Ajustes!$K157&gt;0,INDEX($AA$5:$AL$324,Ajustes!$K157,V$2),0)+IF(Ajustes!$L157&gt;0,INDEX($AA$4:$AL$323,Ajustes!$L157,V$2),0) + V157</f>
        <v>0</v>
      </c>
      <c r="AI157">
        <f>IF(Ajustes!$G157&gt;0,INDEX($AA$4:$AL$323,Ajustes!$G157,W$2),0)+IF(Ajustes!$H157&gt;0,INDEX($AA$4:$AL$323,Ajustes!$H157,W$2),0)+IF(Ajustes!$I157&gt;0,INDEX($AA$4:$AL$323,Ajustes!$I157,W$2),0)+IF(Ajustes!$J157&gt;0,INDEX($AA$4:$AL$323,Ajustes!$J157,W$2),0)+IF(Ajustes!$K157&gt;0,INDEX($AA$5:$AL$324,Ajustes!$K157,W$2),0)+IF(Ajustes!$L157&gt;0,INDEX($AA$4:$AL$323,Ajustes!$L157,W$2),0) + W157</f>
        <v>0</v>
      </c>
      <c r="AJ157">
        <f>IF(Ajustes!$G157&gt;0,INDEX($AA$4:$AL$323,Ajustes!$G157,X$2),0)+IF(Ajustes!$H157&gt;0,INDEX($AA$4:$AL$323,Ajustes!$H157,X$2),0)+IF(Ajustes!$I157&gt;0,INDEX($AA$4:$AL$323,Ajustes!$I157,X$2),0)+IF(Ajustes!$J157&gt;0,INDEX($AA$4:$AL$323,Ajustes!$J157,X$2),0)+IF(Ajustes!$K157&gt;0,INDEX($AA$5:$AL$324,Ajustes!$K157,X$2),0)+IF(Ajustes!$L157&gt;0,INDEX($AA$4:$AL$323,Ajustes!$L157,X$2),0) + X157</f>
        <v>0</v>
      </c>
      <c r="AK157">
        <f>IF(Ajustes!$G157&gt;0,INDEX($AA$4:$AL$323,Ajustes!$G157,Y$2),0)+IF(Ajustes!$H157&gt;0,INDEX($AA$4:$AL$323,Ajustes!$H157,Y$2),0)+IF(Ajustes!$I157&gt;0,INDEX($AA$4:$AL$323,Ajustes!$I157,Y$2),0)+IF(Ajustes!$J157&gt;0,INDEX($AA$4:$AL$323,Ajustes!$J157,Y$2),0)+IF(Ajustes!$K157&gt;0,INDEX($AA$5:$AL$324,Ajustes!$K157,Y$2),0)+IF(Ajustes!$L157&gt;0,INDEX($AA$4:$AL$323,Ajustes!$L157,Y$2),0) + Y157</f>
        <v>0</v>
      </c>
      <c r="AL157">
        <f>IF(Ajustes!$G157&gt;0,INDEX($AA$4:$AL$323,Ajustes!$G157,Z$2),0)+IF(Ajustes!$H157&gt;0,INDEX($AA$4:$AL$323,Ajustes!$H157,Z$2),0)+IF(Ajustes!$I157&gt;0,INDEX($AA$4:$AL$323,Ajustes!$I157,Z$2),0)+IF(Ajustes!$J157&gt;0,INDEX($AA$4:$AL$323,Ajustes!$J157,Z$2),0)+IF(Ajustes!$K157&gt;0,INDEX($AA$5:$AL$324,Ajustes!$K157,Z$2),0)+IF(Ajustes!$L157&gt;0,INDEX($AA$4:$AL$323,Ajustes!$L157,Z$2),0) + Z157</f>
        <v>0</v>
      </c>
      <c r="AM157" s="113">
        <f t="shared" si="39"/>
        <v>0</v>
      </c>
      <c r="AN157" s="113">
        <f t="shared" si="39"/>
        <v>0</v>
      </c>
      <c r="AO157" s="113">
        <f t="shared" si="39"/>
        <v>0</v>
      </c>
      <c r="AP157" s="113">
        <f t="shared" si="39"/>
        <v>0</v>
      </c>
      <c r="AQ157" s="113">
        <f t="shared" si="42"/>
        <v>0</v>
      </c>
      <c r="AR157" s="113">
        <f t="shared" si="40"/>
        <v>0</v>
      </c>
      <c r="AS157" s="113">
        <f t="shared" si="40"/>
        <v>0</v>
      </c>
      <c r="AT157" s="113">
        <f t="shared" si="40"/>
        <v>0</v>
      </c>
      <c r="AU157" s="113">
        <f t="shared" si="40"/>
        <v>0</v>
      </c>
      <c r="AV157" s="113">
        <f t="shared" si="43"/>
        <v>0</v>
      </c>
      <c r="AW157" s="113">
        <f t="shared" si="41"/>
        <v>0</v>
      </c>
      <c r="AX157" s="113">
        <f t="shared" si="41"/>
        <v>0</v>
      </c>
    </row>
    <row r="158" spans="1:50" x14ac:dyDescent="0.25">
      <c r="A158" s="113">
        <v>155</v>
      </c>
      <c r="B158" s="209" t="s">
        <v>156</v>
      </c>
      <c r="C158">
        <f>IFERROR(INDEX($BD$7:$BO$35,MATCH(Ajustes!$E$4:$E$323,$BC$7:$BC$35,0),$C$2:$N$2),1)</f>
        <v>1</v>
      </c>
      <c r="D158" s="113">
        <f>IFERROR(INDEX($BD$7:$BO$35,MATCH(Ajustes!$E$4:$E$323,$BC$7:$BC$35,0),$C$2:$N$2),1)</f>
        <v>1</v>
      </c>
      <c r="E158" s="113">
        <f>IFERROR(INDEX($BD$7:$BO$35,MATCH(Ajustes!$E$4:$E$323,$BC$7:$BC$35,0),$C$2:$N$2),1)</f>
        <v>1</v>
      </c>
      <c r="F158" s="113">
        <f>IFERROR(INDEX($BD$7:$BO$35,MATCH(Ajustes!$E$4:$E$323,$BC$7:$BC$35,0),$C$2:$N$2),1)</f>
        <v>1</v>
      </c>
      <c r="G158" s="113">
        <f>IFERROR(INDEX($BD$7:$BO$35,MATCH(Ajustes!$E$4:$E$323,$BC$7:$BC$35,0),$C$2:$N$2),1)</f>
        <v>1</v>
      </c>
      <c r="H158" s="113">
        <f>IFERROR(INDEX($BD$7:$BO$35,MATCH(Ajustes!$E$4:$E$323,$BC$7:$BC$35,0),$C$2:$N$2),1)</f>
        <v>1</v>
      </c>
      <c r="I158" s="113">
        <f>IFERROR(INDEX($BD$7:$BO$35,MATCH(Ajustes!$E$4:$E$323,$BC$7:$BC$35,0),$C$2:$N$2),1)</f>
        <v>1</v>
      </c>
      <c r="J158" s="113">
        <f>IFERROR(INDEX($BD$7:$BO$35,MATCH(Ajustes!$E$4:$E$323,$BC$7:$BC$35,0),$C$2:$N$2),1)</f>
        <v>1</v>
      </c>
      <c r="K158" s="113">
        <f>IFERROR(INDEX($BD$7:$BO$35,MATCH(Ajustes!$E$4:$E$323,$BC$7:$BC$35,0),$C$2:$N$2),1)</f>
        <v>1</v>
      </c>
      <c r="L158" s="113">
        <f>IFERROR(INDEX($BD$7:$BO$35,MATCH(Ajustes!$E$4:$E$323,$BC$7:$BC$35,0),$C$2:$N$2),1)</f>
        <v>1</v>
      </c>
      <c r="M158" s="113">
        <f>IFERROR(INDEX($BD$7:$BO$35,MATCH(Ajustes!$E$4:$E$323,$BC$7:$BC$35,0),$C$2:$N$2),1)</f>
        <v>1</v>
      </c>
      <c r="N158" s="113">
        <f>IFERROR(INDEX($BD$7:$BO$35,MATCH(Ajustes!$E$4:$E$323,$BC$7:$BC$35,0),$C$2:$N$2),1)</f>
        <v>1</v>
      </c>
      <c r="O158">
        <f>C158*Ajustes!AM158</f>
        <v>333</v>
      </c>
      <c r="P158">
        <f>D158*Ajustes!AN158</f>
        <v>284</v>
      </c>
      <c r="Q158">
        <f>E158*Ajustes!AO158</f>
        <v>242</v>
      </c>
      <c r="R158">
        <f>F158*Ajustes!AP158</f>
        <v>160</v>
      </c>
      <c r="S158">
        <f>G158*Ajustes!AQ158</f>
        <v>111</v>
      </c>
      <c r="T158">
        <f>H158*Ajustes!AR158</f>
        <v>90</v>
      </c>
      <c r="U158">
        <f>I158*Ajustes!AS158</f>
        <v>73</v>
      </c>
      <c r="V158">
        <f>J158*Ajustes!AT158</f>
        <v>63</v>
      </c>
      <c r="W158">
        <f>K158*Ajustes!AU158</f>
        <v>61</v>
      </c>
      <c r="X158">
        <f>L158*Ajustes!AV158</f>
        <v>77</v>
      </c>
      <c r="Y158">
        <f>M158*Ajustes!AW158</f>
        <v>132</v>
      </c>
      <c r="Z158">
        <f>N158*Ajustes!AX158</f>
        <v>252</v>
      </c>
      <c r="AA158">
        <f>IF(Ajustes!$G158&gt;0,INDEX($AA$4:$AL$323,Ajustes!$G158,O$2),0)+IF(Ajustes!$H158&gt;0,INDEX($AA$4:$AL$323,Ajustes!$H158,O$2),0)+IF(Ajustes!$I158&gt;0,INDEX($AA$4:$AL$323,Ajustes!$I158,O$2),0)+IF(Ajustes!$J158&gt;0,INDEX($AA$4:$AL$323,Ajustes!$J158,O$2),0)+IF(Ajustes!$K158&gt;0,INDEX($AA$5:$AL$324,Ajustes!$K158,O$2),0)+IF(Ajustes!$L158&gt;0,INDEX($AA$4:$AL$323,Ajustes!$L158,O$2),0) + O158</f>
        <v>333</v>
      </c>
      <c r="AB158">
        <f>IF(Ajustes!$G158&gt;0,INDEX($AA$4:$AL$323,Ajustes!$G158,P$2),0)+IF(Ajustes!$H158&gt;0,INDEX($AA$4:$AL$323,Ajustes!$H158,P$2),0)+IF(Ajustes!$I158&gt;0,INDEX($AA$4:$AL$323,Ajustes!$I158,P$2),0)+IF(Ajustes!$J158&gt;0,INDEX($AA$4:$AL$323,Ajustes!$J158,P$2),0)+IF(Ajustes!$K158&gt;0,INDEX($AA$5:$AL$324,Ajustes!$K158,P$2),0)+IF(Ajustes!$L158&gt;0,INDEX($AA$4:$AL$323,Ajustes!$L158,P$2),0) + P158</f>
        <v>284</v>
      </c>
      <c r="AC158">
        <f>IF(Ajustes!$G158&gt;0,INDEX($AA$4:$AL$323,Ajustes!$G158,Q$2),0)+IF(Ajustes!$H158&gt;0,INDEX($AA$4:$AL$323,Ajustes!$H158,Q$2),0)+IF(Ajustes!$I158&gt;0,INDEX($AA$4:$AL$323,Ajustes!$I158,Q$2),0)+IF(Ajustes!$J158&gt;0,INDEX($AA$4:$AL$323,Ajustes!$J158,Q$2),0)+IF(Ajustes!$K158&gt;0,INDEX($AA$5:$AL$324,Ajustes!$K158,Q$2),0)+IF(Ajustes!$L158&gt;0,INDEX($AA$4:$AL$323,Ajustes!$L158,Q$2),0) + Q158</f>
        <v>242</v>
      </c>
      <c r="AD158">
        <f>IF(Ajustes!$G158&gt;0,INDEX($AA$4:$AL$323,Ajustes!$G158,R$2),0)+IF(Ajustes!$H158&gt;0,INDEX($AA$4:$AL$323,Ajustes!$H158,R$2),0)+IF(Ajustes!$I158&gt;0,INDEX($AA$4:$AL$323,Ajustes!$I158,R$2),0)+IF(Ajustes!$J158&gt;0,INDEX($AA$4:$AL$323,Ajustes!$J158,R$2),0)+IF(Ajustes!$K158&gt;0,INDEX($AA$5:$AL$324,Ajustes!$K158,R$2),0)+IF(Ajustes!$L158&gt;0,INDEX($AA$4:$AL$323,Ajustes!$L158,R$2),0) + R158</f>
        <v>160</v>
      </c>
      <c r="AE158">
        <f>IF(Ajustes!$G158&gt;0,INDEX($AA$4:$AL$323,Ajustes!$G158,S$2),0)+IF(Ajustes!$H158&gt;0,INDEX($AA$4:$AL$323,Ajustes!$H158,S$2),0)+IF(Ajustes!$I158&gt;0,INDEX($AA$4:$AL$323,Ajustes!$I158,S$2),0)+IF(Ajustes!$J158&gt;0,INDEX($AA$4:$AL$323,Ajustes!$J158,S$2),0)+IF(Ajustes!$K158&gt;0,INDEX($AA$5:$AL$324,Ajustes!$K158,S$2),0)+IF(Ajustes!$L158&gt;0,INDEX($AA$4:$AL$323,Ajustes!$L158,S$2),0) + S158</f>
        <v>111</v>
      </c>
      <c r="AF158">
        <f>IF(Ajustes!$G158&gt;0,INDEX($AA$4:$AL$323,Ajustes!$G158,T$2),0)+IF(Ajustes!$H158&gt;0,INDEX($AA$4:$AL$323,Ajustes!$H158,T$2),0)+IF(Ajustes!$I158&gt;0,INDEX($AA$4:$AL$323,Ajustes!$I158,T$2),0)+IF(Ajustes!$J158&gt;0,INDEX($AA$4:$AL$323,Ajustes!$J158,T$2),0)+IF(Ajustes!$K158&gt;0,INDEX($AA$5:$AL$324,Ajustes!$K158,T$2),0)+IF(Ajustes!$L158&gt;0,INDEX($AA$4:$AL$323,Ajustes!$L158,T$2),0) + T158</f>
        <v>90</v>
      </c>
      <c r="AG158">
        <f>IF(Ajustes!$G158&gt;0,INDEX($AA$4:$AL$323,Ajustes!$G158,U$2),0)+IF(Ajustes!$H158&gt;0,INDEX($AA$4:$AL$323,Ajustes!$H158,U$2),0)+IF(Ajustes!$I158&gt;0,INDEX($AA$4:$AL$323,Ajustes!$I158,U$2),0)+IF(Ajustes!$J158&gt;0,INDEX($AA$4:$AL$323,Ajustes!$J158,U$2),0)+IF(Ajustes!$K158&gt;0,INDEX($AA$5:$AL$324,Ajustes!$K158,U$2),0)+IF(Ajustes!$L158&gt;0,INDEX($AA$4:$AL$323,Ajustes!$L158,U$2),0) + U158</f>
        <v>73</v>
      </c>
      <c r="AH158">
        <f>IF(Ajustes!$G158&gt;0,INDEX($AA$4:$AL$323,Ajustes!$G158,V$2),0)+IF(Ajustes!$H158&gt;0,INDEX($AA$4:$AL$323,Ajustes!$H158,V$2),0)+IF(Ajustes!$I158&gt;0,INDEX($AA$4:$AL$323,Ajustes!$I158,V$2),0)+IF(Ajustes!$J158&gt;0,INDEX($AA$4:$AL$323,Ajustes!$J158,V$2),0)+IF(Ajustes!$K158&gt;0,INDEX($AA$5:$AL$324,Ajustes!$K158,V$2),0)+IF(Ajustes!$L158&gt;0,INDEX($AA$4:$AL$323,Ajustes!$L158,V$2),0) + V158</f>
        <v>63</v>
      </c>
      <c r="AI158">
        <f>IF(Ajustes!$G158&gt;0,INDEX($AA$4:$AL$323,Ajustes!$G158,W$2),0)+IF(Ajustes!$H158&gt;0,INDEX($AA$4:$AL$323,Ajustes!$H158,W$2),0)+IF(Ajustes!$I158&gt;0,INDEX($AA$4:$AL$323,Ajustes!$I158,W$2),0)+IF(Ajustes!$J158&gt;0,INDEX($AA$4:$AL$323,Ajustes!$J158,W$2),0)+IF(Ajustes!$K158&gt;0,INDEX($AA$5:$AL$324,Ajustes!$K158,W$2),0)+IF(Ajustes!$L158&gt;0,INDEX($AA$4:$AL$323,Ajustes!$L158,W$2),0) + W158</f>
        <v>61</v>
      </c>
      <c r="AJ158">
        <f>IF(Ajustes!$G158&gt;0,INDEX($AA$4:$AL$323,Ajustes!$G158,X$2),0)+IF(Ajustes!$H158&gt;0,INDEX($AA$4:$AL$323,Ajustes!$H158,X$2),0)+IF(Ajustes!$I158&gt;0,INDEX($AA$4:$AL$323,Ajustes!$I158,X$2),0)+IF(Ajustes!$J158&gt;0,INDEX($AA$4:$AL$323,Ajustes!$J158,X$2),0)+IF(Ajustes!$K158&gt;0,INDEX($AA$5:$AL$324,Ajustes!$K158,X$2),0)+IF(Ajustes!$L158&gt;0,INDEX($AA$4:$AL$323,Ajustes!$L158,X$2),0) + X158</f>
        <v>77</v>
      </c>
      <c r="AK158">
        <f>IF(Ajustes!$G158&gt;0,INDEX($AA$4:$AL$323,Ajustes!$G158,Y$2),0)+IF(Ajustes!$H158&gt;0,INDEX($AA$4:$AL$323,Ajustes!$H158,Y$2),0)+IF(Ajustes!$I158&gt;0,INDEX($AA$4:$AL$323,Ajustes!$I158,Y$2),0)+IF(Ajustes!$J158&gt;0,INDEX($AA$4:$AL$323,Ajustes!$J158,Y$2),0)+IF(Ajustes!$K158&gt;0,INDEX($AA$5:$AL$324,Ajustes!$K158,Y$2),0)+IF(Ajustes!$L158&gt;0,INDEX($AA$4:$AL$323,Ajustes!$L158,Y$2),0) + Y158</f>
        <v>132</v>
      </c>
      <c r="AL158">
        <f>IF(Ajustes!$G158&gt;0,INDEX($AA$4:$AL$323,Ajustes!$G158,Z$2),0)+IF(Ajustes!$H158&gt;0,INDEX($AA$4:$AL$323,Ajustes!$H158,Z$2),0)+IF(Ajustes!$I158&gt;0,INDEX($AA$4:$AL$323,Ajustes!$I158,Z$2),0)+IF(Ajustes!$J158&gt;0,INDEX($AA$4:$AL$323,Ajustes!$J158,Z$2),0)+IF(Ajustes!$K158&gt;0,INDEX($AA$5:$AL$324,Ajustes!$K158,Z$2),0)+IF(Ajustes!$L158&gt;0,INDEX($AA$4:$AL$323,Ajustes!$L158,Z$2),0) + Z158</f>
        <v>252</v>
      </c>
      <c r="AM158" s="113">
        <f t="shared" si="39"/>
        <v>333</v>
      </c>
      <c r="AN158" s="113">
        <f t="shared" si="39"/>
        <v>284</v>
      </c>
      <c r="AO158" s="113">
        <f t="shared" si="39"/>
        <v>242</v>
      </c>
      <c r="AP158" s="113">
        <f t="shared" si="39"/>
        <v>160</v>
      </c>
      <c r="AQ158" s="113">
        <f t="shared" si="42"/>
        <v>111</v>
      </c>
      <c r="AR158" s="113">
        <f t="shared" si="40"/>
        <v>90</v>
      </c>
      <c r="AS158" s="113">
        <f t="shared" si="40"/>
        <v>73</v>
      </c>
      <c r="AT158" s="113">
        <f t="shared" si="40"/>
        <v>63</v>
      </c>
      <c r="AU158" s="113">
        <f t="shared" si="40"/>
        <v>61</v>
      </c>
      <c r="AV158" s="113">
        <f t="shared" si="43"/>
        <v>77</v>
      </c>
      <c r="AW158" s="113">
        <f t="shared" si="41"/>
        <v>132</v>
      </c>
      <c r="AX158" s="113">
        <f t="shared" si="41"/>
        <v>252</v>
      </c>
    </row>
    <row r="159" spans="1:50" x14ac:dyDescent="0.25">
      <c r="A159" s="113">
        <v>156</v>
      </c>
      <c r="B159" s="209" t="s">
        <v>612</v>
      </c>
      <c r="C159">
        <f>IFERROR(INDEX($BD$7:$BO$35,MATCH(Ajustes!$E$4:$E$323,$BC$7:$BC$35,0),$C$2:$N$2),1)</f>
        <v>1</v>
      </c>
      <c r="D159" s="113">
        <f>IFERROR(INDEX($BD$7:$BO$35,MATCH(Ajustes!$E$4:$E$323,$BC$7:$BC$35,0),$C$2:$N$2),1)</f>
        <v>1</v>
      </c>
      <c r="E159" s="113">
        <f>IFERROR(INDEX($BD$7:$BO$35,MATCH(Ajustes!$E$4:$E$323,$BC$7:$BC$35,0),$C$2:$N$2),1)</f>
        <v>1</v>
      </c>
      <c r="F159" s="113">
        <f>IFERROR(INDEX($BD$7:$BO$35,MATCH(Ajustes!$E$4:$E$323,$BC$7:$BC$35,0),$C$2:$N$2),1)</f>
        <v>1</v>
      </c>
      <c r="G159" s="113">
        <f>IFERROR(INDEX($BD$7:$BO$35,MATCH(Ajustes!$E$4:$E$323,$BC$7:$BC$35,0),$C$2:$N$2),1)</f>
        <v>1</v>
      </c>
      <c r="H159" s="113">
        <f>IFERROR(INDEX($BD$7:$BO$35,MATCH(Ajustes!$E$4:$E$323,$BC$7:$BC$35,0),$C$2:$N$2),1)</f>
        <v>1</v>
      </c>
      <c r="I159" s="113">
        <f>IFERROR(INDEX($BD$7:$BO$35,MATCH(Ajustes!$E$4:$E$323,$BC$7:$BC$35,0),$C$2:$N$2),1)</f>
        <v>1</v>
      </c>
      <c r="J159" s="113">
        <f>IFERROR(INDEX($BD$7:$BO$35,MATCH(Ajustes!$E$4:$E$323,$BC$7:$BC$35,0),$C$2:$N$2),1)</f>
        <v>1</v>
      </c>
      <c r="K159" s="113">
        <f>IFERROR(INDEX($BD$7:$BO$35,MATCH(Ajustes!$E$4:$E$323,$BC$7:$BC$35,0),$C$2:$N$2),1)</f>
        <v>1</v>
      </c>
      <c r="L159" s="113">
        <f>IFERROR(INDEX($BD$7:$BO$35,MATCH(Ajustes!$E$4:$E$323,$BC$7:$BC$35,0),$C$2:$N$2),1)</f>
        <v>1</v>
      </c>
      <c r="M159" s="113">
        <f>IFERROR(INDEX($BD$7:$BO$35,MATCH(Ajustes!$E$4:$E$323,$BC$7:$BC$35,0),$C$2:$N$2),1)</f>
        <v>1</v>
      </c>
      <c r="N159" s="113">
        <f>IFERROR(INDEX($BD$7:$BO$35,MATCH(Ajustes!$E$4:$E$323,$BC$7:$BC$35,0),$C$2:$N$2),1)</f>
        <v>1</v>
      </c>
      <c r="O159">
        <f>C159*Ajustes!AM159</f>
        <v>1142</v>
      </c>
      <c r="P159">
        <f>D159*Ajustes!AN159</f>
        <v>1085</v>
      </c>
      <c r="Q159">
        <f>E159*Ajustes!AO159</f>
        <v>896</v>
      </c>
      <c r="R159">
        <f>F159*Ajustes!AP159</f>
        <v>595</v>
      </c>
      <c r="S159">
        <f>G159*Ajustes!AQ159</f>
        <v>341</v>
      </c>
      <c r="T159">
        <f>H159*Ajustes!AR159</f>
        <v>251</v>
      </c>
      <c r="U159">
        <f>I159*Ajustes!AS159</f>
        <v>201</v>
      </c>
      <c r="V159">
        <f>J159*Ajustes!AT159</f>
        <v>161</v>
      </c>
      <c r="W159">
        <f>K159*Ajustes!AU159</f>
        <v>158</v>
      </c>
      <c r="X159">
        <f>L159*Ajustes!AV159</f>
        <v>222</v>
      </c>
      <c r="Y159">
        <f>M159*Ajustes!AW159</f>
        <v>467</v>
      </c>
      <c r="Z159">
        <f>N159*Ajustes!AX159</f>
        <v>861</v>
      </c>
      <c r="AA159">
        <f>IF(Ajustes!$G159&gt;0,INDEX($AA$4:$AL$323,Ajustes!$G159,O$2),0)+IF(Ajustes!$H159&gt;0,INDEX($AA$4:$AL$323,Ajustes!$H159,O$2),0)+IF(Ajustes!$I159&gt;0,INDEX($AA$4:$AL$323,Ajustes!$I159,O$2),0)+IF(Ajustes!$J159&gt;0,INDEX($AA$4:$AL$323,Ajustes!$J159,O$2),0)+IF(Ajustes!$K159&gt;0,INDEX($AA$5:$AL$324,Ajustes!$K159,O$2),0)+IF(Ajustes!$L159&gt;0,INDEX($AA$4:$AL$323,Ajustes!$L159,O$2),0) + O159</f>
        <v>1475</v>
      </c>
      <c r="AB159">
        <f>IF(Ajustes!$G159&gt;0,INDEX($AA$4:$AL$323,Ajustes!$G159,P$2),0)+IF(Ajustes!$H159&gt;0,INDEX($AA$4:$AL$323,Ajustes!$H159,P$2),0)+IF(Ajustes!$I159&gt;0,INDEX($AA$4:$AL$323,Ajustes!$I159,P$2),0)+IF(Ajustes!$J159&gt;0,INDEX($AA$4:$AL$323,Ajustes!$J159,P$2),0)+IF(Ajustes!$K159&gt;0,INDEX($AA$5:$AL$324,Ajustes!$K159,P$2),0)+IF(Ajustes!$L159&gt;0,INDEX($AA$4:$AL$323,Ajustes!$L159,P$2),0) + P159</f>
        <v>1369</v>
      </c>
      <c r="AC159">
        <f>IF(Ajustes!$G159&gt;0,INDEX($AA$4:$AL$323,Ajustes!$G159,Q$2),0)+IF(Ajustes!$H159&gt;0,INDEX($AA$4:$AL$323,Ajustes!$H159,Q$2),0)+IF(Ajustes!$I159&gt;0,INDEX($AA$4:$AL$323,Ajustes!$I159,Q$2),0)+IF(Ajustes!$J159&gt;0,INDEX($AA$4:$AL$323,Ajustes!$J159,Q$2),0)+IF(Ajustes!$K159&gt;0,INDEX($AA$5:$AL$324,Ajustes!$K159,Q$2),0)+IF(Ajustes!$L159&gt;0,INDEX($AA$4:$AL$323,Ajustes!$L159,Q$2),0) + Q159</f>
        <v>1138</v>
      </c>
      <c r="AD159">
        <f>IF(Ajustes!$G159&gt;0,INDEX($AA$4:$AL$323,Ajustes!$G159,R$2),0)+IF(Ajustes!$H159&gt;0,INDEX($AA$4:$AL$323,Ajustes!$H159,R$2),0)+IF(Ajustes!$I159&gt;0,INDEX($AA$4:$AL$323,Ajustes!$I159,R$2),0)+IF(Ajustes!$J159&gt;0,INDEX($AA$4:$AL$323,Ajustes!$J159,R$2),0)+IF(Ajustes!$K159&gt;0,INDEX($AA$5:$AL$324,Ajustes!$K159,R$2),0)+IF(Ajustes!$L159&gt;0,INDEX($AA$4:$AL$323,Ajustes!$L159,R$2),0) + R159</f>
        <v>755</v>
      </c>
      <c r="AE159">
        <f>IF(Ajustes!$G159&gt;0,INDEX($AA$4:$AL$323,Ajustes!$G159,S$2),0)+IF(Ajustes!$H159&gt;0,INDEX($AA$4:$AL$323,Ajustes!$H159,S$2),0)+IF(Ajustes!$I159&gt;0,INDEX($AA$4:$AL$323,Ajustes!$I159,S$2),0)+IF(Ajustes!$J159&gt;0,INDEX($AA$4:$AL$323,Ajustes!$J159,S$2),0)+IF(Ajustes!$K159&gt;0,INDEX($AA$5:$AL$324,Ajustes!$K159,S$2),0)+IF(Ajustes!$L159&gt;0,INDEX($AA$4:$AL$323,Ajustes!$L159,S$2),0) + S159</f>
        <v>452</v>
      </c>
      <c r="AF159">
        <f>IF(Ajustes!$G159&gt;0,INDEX($AA$4:$AL$323,Ajustes!$G159,T$2),0)+IF(Ajustes!$H159&gt;0,INDEX($AA$4:$AL$323,Ajustes!$H159,T$2),0)+IF(Ajustes!$I159&gt;0,INDEX($AA$4:$AL$323,Ajustes!$I159,T$2),0)+IF(Ajustes!$J159&gt;0,INDEX($AA$4:$AL$323,Ajustes!$J159,T$2),0)+IF(Ajustes!$K159&gt;0,INDEX($AA$5:$AL$324,Ajustes!$K159,T$2),0)+IF(Ajustes!$L159&gt;0,INDEX($AA$4:$AL$323,Ajustes!$L159,T$2),0) + T159</f>
        <v>341</v>
      </c>
      <c r="AG159">
        <f>IF(Ajustes!$G159&gt;0,INDEX($AA$4:$AL$323,Ajustes!$G159,U$2),0)+IF(Ajustes!$H159&gt;0,INDEX($AA$4:$AL$323,Ajustes!$H159,U$2),0)+IF(Ajustes!$I159&gt;0,INDEX($AA$4:$AL$323,Ajustes!$I159,U$2),0)+IF(Ajustes!$J159&gt;0,INDEX($AA$4:$AL$323,Ajustes!$J159,U$2),0)+IF(Ajustes!$K159&gt;0,INDEX($AA$5:$AL$324,Ajustes!$K159,U$2),0)+IF(Ajustes!$L159&gt;0,INDEX($AA$4:$AL$323,Ajustes!$L159,U$2),0) + U159</f>
        <v>274</v>
      </c>
      <c r="AH159">
        <f>IF(Ajustes!$G159&gt;0,INDEX($AA$4:$AL$323,Ajustes!$G159,V$2),0)+IF(Ajustes!$H159&gt;0,INDEX($AA$4:$AL$323,Ajustes!$H159,V$2),0)+IF(Ajustes!$I159&gt;0,INDEX($AA$4:$AL$323,Ajustes!$I159,V$2),0)+IF(Ajustes!$J159&gt;0,INDEX($AA$4:$AL$323,Ajustes!$J159,V$2),0)+IF(Ajustes!$K159&gt;0,INDEX($AA$5:$AL$324,Ajustes!$K159,V$2),0)+IF(Ajustes!$L159&gt;0,INDEX($AA$4:$AL$323,Ajustes!$L159,V$2),0) + V159</f>
        <v>224</v>
      </c>
      <c r="AI159">
        <f>IF(Ajustes!$G159&gt;0,INDEX($AA$4:$AL$323,Ajustes!$G159,W$2),0)+IF(Ajustes!$H159&gt;0,INDEX($AA$4:$AL$323,Ajustes!$H159,W$2),0)+IF(Ajustes!$I159&gt;0,INDEX($AA$4:$AL$323,Ajustes!$I159,W$2),0)+IF(Ajustes!$J159&gt;0,INDEX($AA$4:$AL$323,Ajustes!$J159,W$2),0)+IF(Ajustes!$K159&gt;0,INDEX($AA$5:$AL$324,Ajustes!$K159,W$2),0)+IF(Ajustes!$L159&gt;0,INDEX($AA$4:$AL$323,Ajustes!$L159,W$2),0) + W159</f>
        <v>219</v>
      </c>
      <c r="AJ159">
        <f>IF(Ajustes!$G159&gt;0,INDEX($AA$4:$AL$323,Ajustes!$G159,X$2),0)+IF(Ajustes!$H159&gt;0,INDEX($AA$4:$AL$323,Ajustes!$H159,X$2),0)+IF(Ajustes!$I159&gt;0,INDEX($AA$4:$AL$323,Ajustes!$I159,X$2),0)+IF(Ajustes!$J159&gt;0,INDEX($AA$4:$AL$323,Ajustes!$J159,X$2),0)+IF(Ajustes!$K159&gt;0,INDEX($AA$5:$AL$324,Ajustes!$K159,X$2),0)+IF(Ajustes!$L159&gt;0,INDEX($AA$4:$AL$323,Ajustes!$L159,X$2),0) + X159</f>
        <v>299</v>
      </c>
      <c r="AK159">
        <f>IF(Ajustes!$G159&gt;0,INDEX($AA$4:$AL$323,Ajustes!$G159,Y$2),0)+IF(Ajustes!$H159&gt;0,INDEX($AA$4:$AL$323,Ajustes!$H159,Y$2),0)+IF(Ajustes!$I159&gt;0,INDEX($AA$4:$AL$323,Ajustes!$I159,Y$2),0)+IF(Ajustes!$J159&gt;0,INDEX($AA$4:$AL$323,Ajustes!$J159,Y$2),0)+IF(Ajustes!$K159&gt;0,INDEX($AA$5:$AL$324,Ajustes!$K159,Y$2),0)+IF(Ajustes!$L159&gt;0,INDEX($AA$4:$AL$323,Ajustes!$L159,Y$2),0) + Y159</f>
        <v>599</v>
      </c>
      <c r="AL159">
        <f>IF(Ajustes!$G159&gt;0,INDEX($AA$4:$AL$323,Ajustes!$G159,Z$2),0)+IF(Ajustes!$H159&gt;0,INDEX($AA$4:$AL$323,Ajustes!$H159,Z$2),0)+IF(Ajustes!$I159&gt;0,INDEX($AA$4:$AL$323,Ajustes!$I159,Z$2),0)+IF(Ajustes!$J159&gt;0,INDEX($AA$4:$AL$323,Ajustes!$J159,Z$2),0)+IF(Ajustes!$K159&gt;0,INDEX($AA$5:$AL$324,Ajustes!$K159,Z$2),0)+IF(Ajustes!$L159&gt;0,INDEX($AA$4:$AL$323,Ajustes!$L159,Z$2),0) + Z159</f>
        <v>1113</v>
      </c>
      <c r="AM159" s="113">
        <f t="shared" si="39"/>
        <v>1475</v>
      </c>
      <c r="AN159" s="113">
        <f t="shared" si="39"/>
        <v>1369</v>
      </c>
      <c r="AO159" s="113">
        <f t="shared" si="39"/>
        <v>1138</v>
      </c>
      <c r="AP159" s="113">
        <f t="shared" si="39"/>
        <v>755</v>
      </c>
      <c r="AQ159" s="113">
        <f t="shared" si="42"/>
        <v>452</v>
      </c>
      <c r="AR159" s="113">
        <f t="shared" si="40"/>
        <v>341</v>
      </c>
      <c r="AS159" s="113">
        <f t="shared" si="40"/>
        <v>274</v>
      </c>
      <c r="AT159" s="113">
        <f t="shared" si="40"/>
        <v>224</v>
      </c>
      <c r="AU159" s="113">
        <f t="shared" si="40"/>
        <v>219</v>
      </c>
      <c r="AV159" s="113">
        <f t="shared" si="43"/>
        <v>299</v>
      </c>
      <c r="AW159" s="113">
        <f t="shared" si="41"/>
        <v>599</v>
      </c>
      <c r="AX159" s="113">
        <f t="shared" si="41"/>
        <v>1113</v>
      </c>
    </row>
    <row r="160" spans="1:50" x14ac:dyDescent="0.25">
      <c r="A160" s="113">
        <v>157</v>
      </c>
      <c r="B160" s="209"/>
      <c r="C160">
        <f>IFERROR(INDEX($BD$7:$BO$35,MATCH(Ajustes!$E$4:$E$323,$BC$7:$BC$35,0),$C$2:$N$2),1)</f>
        <v>1</v>
      </c>
      <c r="D160" s="113">
        <f>IFERROR(INDEX($BD$7:$BO$35,MATCH(Ajustes!$E$4:$E$323,$BC$7:$BC$35,0),$C$2:$N$2),1)</f>
        <v>1</v>
      </c>
      <c r="E160" s="113">
        <f>IFERROR(INDEX($BD$7:$BO$35,MATCH(Ajustes!$E$4:$E$323,$BC$7:$BC$35,0),$C$2:$N$2),1)</f>
        <v>1</v>
      </c>
      <c r="F160" s="113">
        <f>IFERROR(INDEX($BD$7:$BO$35,MATCH(Ajustes!$E$4:$E$323,$BC$7:$BC$35,0),$C$2:$N$2),1)</f>
        <v>1</v>
      </c>
      <c r="G160" s="113">
        <f>IFERROR(INDEX($BD$7:$BO$35,MATCH(Ajustes!$E$4:$E$323,$BC$7:$BC$35,0),$C$2:$N$2),1)</f>
        <v>1</v>
      </c>
      <c r="H160" s="113">
        <f>IFERROR(INDEX($BD$7:$BO$35,MATCH(Ajustes!$E$4:$E$323,$BC$7:$BC$35,0),$C$2:$N$2),1)</f>
        <v>1</v>
      </c>
      <c r="I160" s="113">
        <f>IFERROR(INDEX($BD$7:$BO$35,MATCH(Ajustes!$E$4:$E$323,$BC$7:$BC$35,0),$C$2:$N$2),1)</f>
        <v>1</v>
      </c>
      <c r="J160" s="113">
        <f>IFERROR(INDEX($BD$7:$BO$35,MATCH(Ajustes!$E$4:$E$323,$BC$7:$BC$35,0),$C$2:$N$2),1)</f>
        <v>1</v>
      </c>
      <c r="K160" s="113">
        <f>IFERROR(INDEX($BD$7:$BO$35,MATCH(Ajustes!$E$4:$E$323,$BC$7:$BC$35,0),$C$2:$N$2),1)</f>
        <v>1</v>
      </c>
      <c r="L160" s="113">
        <f>IFERROR(INDEX($BD$7:$BO$35,MATCH(Ajustes!$E$4:$E$323,$BC$7:$BC$35,0),$C$2:$N$2),1)</f>
        <v>1</v>
      </c>
      <c r="M160" s="113">
        <f>IFERROR(INDEX($BD$7:$BO$35,MATCH(Ajustes!$E$4:$E$323,$BC$7:$BC$35,0),$C$2:$N$2),1)</f>
        <v>1</v>
      </c>
      <c r="N160" s="113">
        <f>IFERROR(INDEX($BD$7:$BO$35,MATCH(Ajustes!$E$4:$E$323,$BC$7:$BC$35,0),$C$2:$N$2),1)</f>
        <v>1</v>
      </c>
      <c r="O160">
        <f>C160*Ajustes!AM160</f>
        <v>0</v>
      </c>
      <c r="P160">
        <f>D160*Ajustes!AN160</f>
        <v>0</v>
      </c>
      <c r="Q160">
        <f>E160*Ajustes!AO160</f>
        <v>0</v>
      </c>
      <c r="R160">
        <f>F160*Ajustes!AP160</f>
        <v>0</v>
      </c>
      <c r="S160">
        <f>G160*Ajustes!AQ160</f>
        <v>0</v>
      </c>
      <c r="T160">
        <f>H160*Ajustes!AR160</f>
        <v>0</v>
      </c>
      <c r="U160">
        <f>I160*Ajustes!AS160</f>
        <v>0</v>
      </c>
      <c r="V160">
        <f>J160*Ajustes!AT160</f>
        <v>0</v>
      </c>
      <c r="W160">
        <f>K160*Ajustes!AU160</f>
        <v>0</v>
      </c>
      <c r="X160">
        <f>L160*Ajustes!AV160</f>
        <v>0</v>
      </c>
      <c r="Y160">
        <f>M160*Ajustes!AW160</f>
        <v>0</v>
      </c>
      <c r="Z160">
        <f>N160*Ajustes!AX160</f>
        <v>0</v>
      </c>
      <c r="AA160">
        <f>IF(Ajustes!$G160&gt;0,INDEX($AA$4:$AL$323,Ajustes!$G160,O$2),0)+IF(Ajustes!$H160&gt;0,INDEX($AA$4:$AL$323,Ajustes!$H160,O$2),0)+IF(Ajustes!$I160&gt;0,INDEX($AA$4:$AL$323,Ajustes!$I160,O$2),0)+IF(Ajustes!$J160&gt;0,INDEX($AA$4:$AL$323,Ajustes!$J160,O$2),0)+IF(Ajustes!$K160&gt;0,INDEX($AA$5:$AL$324,Ajustes!$K160,O$2),0)+IF(Ajustes!$L160&gt;0,INDEX($AA$4:$AL$323,Ajustes!$L160,O$2),0) + O160</f>
        <v>0</v>
      </c>
      <c r="AB160">
        <f>IF(Ajustes!$G160&gt;0,INDEX($AA$4:$AL$323,Ajustes!$G160,P$2),0)+IF(Ajustes!$H160&gt;0,INDEX($AA$4:$AL$323,Ajustes!$H160,P$2),0)+IF(Ajustes!$I160&gt;0,INDEX($AA$4:$AL$323,Ajustes!$I160,P$2),0)+IF(Ajustes!$J160&gt;0,INDEX($AA$4:$AL$323,Ajustes!$J160,P$2),0)+IF(Ajustes!$K160&gt;0,INDEX($AA$5:$AL$324,Ajustes!$K160,P$2),0)+IF(Ajustes!$L160&gt;0,INDEX($AA$4:$AL$323,Ajustes!$L160,P$2),0) + P160</f>
        <v>0</v>
      </c>
      <c r="AC160">
        <f>IF(Ajustes!$G160&gt;0,INDEX($AA$4:$AL$323,Ajustes!$G160,Q$2),0)+IF(Ajustes!$H160&gt;0,INDEX($AA$4:$AL$323,Ajustes!$H160,Q$2),0)+IF(Ajustes!$I160&gt;0,INDEX($AA$4:$AL$323,Ajustes!$I160,Q$2),0)+IF(Ajustes!$J160&gt;0,INDEX($AA$4:$AL$323,Ajustes!$J160,Q$2),0)+IF(Ajustes!$K160&gt;0,INDEX($AA$5:$AL$324,Ajustes!$K160,Q$2),0)+IF(Ajustes!$L160&gt;0,INDEX($AA$4:$AL$323,Ajustes!$L160,Q$2),0) + Q160</f>
        <v>0</v>
      </c>
      <c r="AD160">
        <f>IF(Ajustes!$G160&gt;0,INDEX($AA$4:$AL$323,Ajustes!$G160,R$2),0)+IF(Ajustes!$H160&gt;0,INDEX($AA$4:$AL$323,Ajustes!$H160,R$2),0)+IF(Ajustes!$I160&gt;0,INDEX($AA$4:$AL$323,Ajustes!$I160,R$2),0)+IF(Ajustes!$J160&gt;0,INDEX($AA$4:$AL$323,Ajustes!$J160,R$2),0)+IF(Ajustes!$K160&gt;0,INDEX($AA$5:$AL$324,Ajustes!$K160,R$2),0)+IF(Ajustes!$L160&gt;0,INDEX($AA$4:$AL$323,Ajustes!$L160,R$2),0) + R160</f>
        <v>0</v>
      </c>
      <c r="AE160">
        <f>IF(Ajustes!$G160&gt;0,INDEX($AA$4:$AL$323,Ajustes!$G160,S$2),0)+IF(Ajustes!$H160&gt;0,INDEX($AA$4:$AL$323,Ajustes!$H160,S$2),0)+IF(Ajustes!$I160&gt;0,INDEX($AA$4:$AL$323,Ajustes!$I160,S$2),0)+IF(Ajustes!$J160&gt;0,INDEX($AA$4:$AL$323,Ajustes!$J160,S$2),0)+IF(Ajustes!$K160&gt;0,INDEX($AA$5:$AL$324,Ajustes!$K160,S$2),0)+IF(Ajustes!$L160&gt;0,INDEX($AA$4:$AL$323,Ajustes!$L160,S$2),0) + S160</f>
        <v>0</v>
      </c>
      <c r="AF160">
        <f>IF(Ajustes!$G160&gt;0,INDEX($AA$4:$AL$323,Ajustes!$G160,T$2),0)+IF(Ajustes!$H160&gt;0,INDEX($AA$4:$AL$323,Ajustes!$H160,T$2),0)+IF(Ajustes!$I160&gt;0,INDEX($AA$4:$AL$323,Ajustes!$I160,T$2),0)+IF(Ajustes!$J160&gt;0,INDEX($AA$4:$AL$323,Ajustes!$J160,T$2),0)+IF(Ajustes!$K160&gt;0,INDEX($AA$5:$AL$324,Ajustes!$K160,T$2),0)+IF(Ajustes!$L160&gt;0,INDEX($AA$4:$AL$323,Ajustes!$L160,T$2),0) + T160</f>
        <v>0</v>
      </c>
      <c r="AG160">
        <f>IF(Ajustes!$G160&gt;0,INDEX($AA$4:$AL$323,Ajustes!$G160,U$2),0)+IF(Ajustes!$H160&gt;0,INDEX($AA$4:$AL$323,Ajustes!$H160,U$2),0)+IF(Ajustes!$I160&gt;0,INDEX($AA$4:$AL$323,Ajustes!$I160,U$2),0)+IF(Ajustes!$J160&gt;0,INDEX($AA$4:$AL$323,Ajustes!$J160,U$2),0)+IF(Ajustes!$K160&gt;0,INDEX($AA$5:$AL$324,Ajustes!$K160,U$2),0)+IF(Ajustes!$L160&gt;0,INDEX($AA$4:$AL$323,Ajustes!$L160,U$2),0) + U160</f>
        <v>0</v>
      </c>
      <c r="AH160">
        <f>IF(Ajustes!$G160&gt;0,INDEX($AA$4:$AL$323,Ajustes!$G160,V$2),0)+IF(Ajustes!$H160&gt;0,INDEX($AA$4:$AL$323,Ajustes!$H160,V$2),0)+IF(Ajustes!$I160&gt;0,INDEX($AA$4:$AL$323,Ajustes!$I160,V$2),0)+IF(Ajustes!$J160&gt;0,INDEX($AA$4:$AL$323,Ajustes!$J160,V$2),0)+IF(Ajustes!$K160&gt;0,INDEX($AA$5:$AL$324,Ajustes!$K160,V$2),0)+IF(Ajustes!$L160&gt;0,INDEX($AA$4:$AL$323,Ajustes!$L160,V$2),0) + V160</f>
        <v>0</v>
      </c>
      <c r="AI160">
        <f>IF(Ajustes!$G160&gt;0,INDEX($AA$4:$AL$323,Ajustes!$G160,W$2),0)+IF(Ajustes!$H160&gt;0,INDEX($AA$4:$AL$323,Ajustes!$H160,W$2),0)+IF(Ajustes!$I160&gt;0,INDEX($AA$4:$AL$323,Ajustes!$I160,W$2),0)+IF(Ajustes!$J160&gt;0,INDEX($AA$4:$AL$323,Ajustes!$J160,W$2),0)+IF(Ajustes!$K160&gt;0,INDEX($AA$5:$AL$324,Ajustes!$K160,W$2),0)+IF(Ajustes!$L160&gt;0,INDEX($AA$4:$AL$323,Ajustes!$L160,W$2),0) + W160</f>
        <v>0</v>
      </c>
      <c r="AJ160">
        <f>IF(Ajustes!$G160&gt;0,INDEX($AA$4:$AL$323,Ajustes!$G160,X$2),0)+IF(Ajustes!$H160&gt;0,INDEX($AA$4:$AL$323,Ajustes!$H160,X$2),0)+IF(Ajustes!$I160&gt;0,INDEX($AA$4:$AL$323,Ajustes!$I160,X$2),0)+IF(Ajustes!$J160&gt;0,INDEX($AA$4:$AL$323,Ajustes!$J160,X$2),0)+IF(Ajustes!$K160&gt;0,INDEX($AA$5:$AL$324,Ajustes!$K160,X$2),0)+IF(Ajustes!$L160&gt;0,INDEX($AA$4:$AL$323,Ajustes!$L160,X$2),0) + X160</f>
        <v>0</v>
      </c>
      <c r="AK160">
        <f>IF(Ajustes!$G160&gt;0,INDEX($AA$4:$AL$323,Ajustes!$G160,Y$2),0)+IF(Ajustes!$H160&gt;0,INDEX($AA$4:$AL$323,Ajustes!$H160,Y$2),0)+IF(Ajustes!$I160&gt;0,INDEX($AA$4:$AL$323,Ajustes!$I160,Y$2),0)+IF(Ajustes!$J160&gt;0,INDEX($AA$4:$AL$323,Ajustes!$J160,Y$2),0)+IF(Ajustes!$K160&gt;0,INDEX($AA$5:$AL$324,Ajustes!$K160,Y$2),0)+IF(Ajustes!$L160&gt;0,INDEX($AA$4:$AL$323,Ajustes!$L160,Y$2),0) + Y160</f>
        <v>0</v>
      </c>
      <c r="AL160">
        <f>IF(Ajustes!$G160&gt;0,INDEX($AA$4:$AL$323,Ajustes!$G160,Z$2),0)+IF(Ajustes!$H160&gt;0,INDEX($AA$4:$AL$323,Ajustes!$H160,Z$2),0)+IF(Ajustes!$I160&gt;0,INDEX($AA$4:$AL$323,Ajustes!$I160,Z$2),0)+IF(Ajustes!$J160&gt;0,INDEX($AA$4:$AL$323,Ajustes!$J160,Z$2),0)+IF(Ajustes!$K160&gt;0,INDEX($AA$5:$AL$324,Ajustes!$K160,Z$2),0)+IF(Ajustes!$L160&gt;0,INDEX($AA$4:$AL$323,Ajustes!$L160,Z$2),0) + Z160</f>
        <v>0</v>
      </c>
      <c r="AM160" s="113">
        <f t="shared" si="39"/>
        <v>0</v>
      </c>
      <c r="AN160" s="113">
        <f t="shared" si="39"/>
        <v>0</v>
      </c>
      <c r="AO160" s="113">
        <f t="shared" si="39"/>
        <v>0</v>
      </c>
      <c r="AP160" s="113">
        <f t="shared" si="39"/>
        <v>0</v>
      </c>
      <c r="AQ160" s="113">
        <f t="shared" si="42"/>
        <v>0</v>
      </c>
      <c r="AR160" s="113">
        <f t="shared" si="40"/>
        <v>0</v>
      </c>
      <c r="AS160" s="113">
        <f t="shared" si="40"/>
        <v>0</v>
      </c>
      <c r="AT160" s="113">
        <f t="shared" si="40"/>
        <v>0</v>
      </c>
      <c r="AU160" s="113">
        <f t="shared" si="40"/>
        <v>0</v>
      </c>
      <c r="AV160" s="113">
        <f t="shared" si="43"/>
        <v>0</v>
      </c>
      <c r="AW160" s="113">
        <f t="shared" si="41"/>
        <v>0</v>
      </c>
      <c r="AX160" s="113">
        <f t="shared" si="41"/>
        <v>0</v>
      </c>
    </row>
    <row r="161" spans="1:50" x14ac:dyDescent="0.25">
      <c r="A161" s="113">
        <v>158</v>
      </c>
      <c r="B161" s="209" t="s">
        <v>613</v>
      </c>
      <c r="C161">
        <f>IFERROR(INDEX($BD$7:$BO$35,MATCH(Ajustes!$E$4:$E$323,$BC$7:$BC$35,0),$C$2:$N$2),1)</f>
        <v>1</v>
      </c>
      <c r="D161" s="113">
        <f>IFERROR(INDEX($BD$7:$BO$35,MATCH(Ajustes!$E$4:$E$323,$BC$7:$BC$35,0),$C$2:$N$2),1)</f>
        <v>1</v>
      </c>
      <c r="E161" s="113">
        <f>IFERROR(INDEX($BD$7:$BO$35,MATCH(Ajustes!$E$4:$E$323,$BC$7:$BC$35,0),$C$2:$N$2),1)</f>
        <v>1</v>
      </c>
      <c r="F161" s="113">
        <f>IFERROR(INDEX($BD$7:$BO$35,MATCH(Ajustes!$E$4:$E$323,$BC$7:$BC$35,0),$C$2:$N$2),1)</f>
        <v>1</v>
      </c>
      <c r="G161" s="113">
        <f>IFERROR(INDEX($BD$7:$BO$35,MATCH(Ajustes!$E$4:$E$323,$BC$7:$BC$35,0),$C$2:$N$2),1)</f>
        <v>1</v>
      </c>
      <c r="H161" s="113">
        <f>IFERROR(INDEX($BD$7:$BO$35,MATCH(Ajustes!$E$4:$E$323,$BC$7:$BC$35,0),$C$2:$N$2),1)</f>
        <v>1</v>
      </c>
      <c r="I161" s="113">
        <f>IFERROR(INDEX($BD$7:$BO$35,MATCH(Ajustes!$E$4:$E$323,$BC$7:$BC$35,0),$C$2:$N$2),1)</f>
        <v>1</v>
      </c>
      <c r="J161" s="113">
        <f>IFERROR(INDEX($BD$7:$BO$35,MATCH(Ajustes!$E$4:$E$323,$BC$7:$BC$35,0),$C$2:$N$2),1)</f>
        <v>1</v>
      </c>
      <c r="K161" s="113">
        <f>IFERROR(INDEX($BD$7:$BO$35,MATCH(Ajustes!$E$4:$E$323,$BC$7:$BC$35,0),$C$2:$N$2),1)</f>
        <v>1</v>
      </c>
      <c r="L161" s="113">
        <f>IFERROR(INDEX($BD$7:$BO$35,MATCH(Ajustes!$E$4:$E$323,$BC$7:$BC$35,0),$C$2:$N$2),1)</f>
        <v>1</v>
      </c>
      <c r="M161" s="113">
        <f>IFERROR(INDEX($BD$7:$BO$35,MATCH(Ajustes!$E$4:$E$323,$BC$7:$BC$35,0),$C$2:$N$2),1)</f>
        <v>1</v>
      </c>
      <c r="N161" s="113">
        <f>IFERROR(INDEX($BD$7:$BO$35,MATCH(Ajustes!$E$4:$E$323,$BC$7:$BC$35,0),$C$2:$N$2),1)</f>
        <v>1</v>
      </c>
      <c r="O161">
        <f>C161*Ajustes!AM161</f>
        <v>83</v>
      </c>
      <c r="P161">
        <f>D161*Ajustes!AN161</f>
        <v>83</v>
      </c>
      <c r="Q161">
        <f>E161*Ajustes!AO161</f>
        <v>87</v>
      </c>
      <c r="R161">
        <f>F161*Ajustes!AP161</f>
        <v>68</v>
      </c>
      <c r="S161">
        <f>G161*Ajustes!AQ161</f>
        <v>47</v>
      </c>
      <c r="T161">
        <f>H161*Ajustes!AR161</f>
        <v>40</v>
      </c>
      <c r="U161">
        <f>I161*Ajustes!AS161</f>
        <v>35</v>
      </c>
      <c r="V161">
        <f>J161*Ajustes!AT161</f>
        <v>30</v>
      </c>
      <c r="W161">
        <f>K161*Ajustes!AU161</f>
        <v>27</v>
      </c>
      <c r="X161">
        <f>L161*Ajustes!AV161</f>
        <v>33</v>
      </c>
      <c r="Y161">
        <f>M161*Ajustes!AW161</f>
        <v>51</v>
      </c>
      <c r="Z161">
        <f>N161*Ajustes!AX161</f>
        <v>79</v>
      </c>
      <c r="AA161">
        <f>IF(Ajustes!$G161&gt;0,INDEX($AA$4:$AL$323,Ajustes!$G161,O$2),0)+IF(Ajustes!$H161&gt;0,INDEX($AA$4:$AL$323,Ajustes!$H161,O$2),0)+IF(Ajustes!$I161&gt;0,INDEX($AA$4:$AL$323,Ajustes!$I161,O$2),0)+IF(Ajustes!$J161&gt;0,INDEX($AA$4:$AL$323,Ajustes!$J161,O$2),0)+IF(Ajustes!$K161&gt;0,INDEX($AA$5:$AL$324,Ajustes!$K161,O$2),0)+IF(Ajustes!$L161&gt;0,INDEX($AA$4:$AL$323,Ajustes!$L161,O$2),0) + O161</f>
        <v>83</v>
      </c>
      <c r="AB161">
        <f>IF(Ajustes!$G161&gt;0,INDEX($AA$4:$AL$323,Ajustes!$G161,P$2),0)+IF(Ajustes!$H161&gt;0,INDEX($AA$4:$AL$323,Ajustes!$H161,P$2),0)+IF(Ajustes!$I161&gt;0,INDEX($AA$4:$AL$323,Ajustes!$I161,P$2),0)+IF(Ajustes!$J161&gt;0,INDEX($AA$4:$AL$323,Ajustes!$J161,P$2),0)+IF(Ajustes!$K161&gt;0,INDEX($AA$5:$AL$324,Ajustes!$K161,P$2),0)+IF(Ajustes!$L161&gt;0,INDEX($AA$4:$AL$323,Ajustes!$L161,P$2),0) + P161</f>
        <v>83</v>
      </c>
      <c r="AC161">
        <f>IF(Ajustes!$G161&gt;0,INDEX($AA$4:$AL$323,Ajustes!$G161,Q$2),0)+IF(Ajustes!$H161&gt;0,INDEX($AA$4:$AL$323,Ajustes!$H161,Q$2),0)+IF(Ajustes!$I161&gt;0,INDEX($AA$4:$AL$323,Ajustes!$I161,Q$2),0)+IF(Ajustes!$J161&gt;0,INDEX($AA$4:$AL$323,Ajustes!$J161,Q$2),0)+IF(Ajustes!$K161&gt;0,INDEX($AA$5:$AL$324,Ajustes!$K161,Q$2),0)+IF(Ajustes!$L161&gt;0,INDEX($AA$4:$AL$323,Ajustes!$L161,Q$2),0) + Q161</f>
        <v>87</v>
      </c>
      <c r="AD161">
        <f>IF(Ajustes!$G161&gt;0,INDEX($AA$4:$AL$323,Ajustes!$G161,R$2),0)+IF(Ajustes!$H161&gt;0,INDEX($AA$4:$AL$323,Ajustes!$H161,R$2),0)+IF(Ajustes!$I161&gt;0,INDEX($AA$4:$AL$323,Ajustes!$I161,R$2),0)+IF(Ajustes!$J161&gt;0,INDEX($AA$4:$AL$323,Ajustes!$J161,R$2),0)+IF(Ajustes!$K161&gt;0,INDEX($AA$5:$AL$324,Ajustes!$K161,R$2),0)+IF(Ajustes!$L161&gt;0,INDEX($AA$4:$AL$323,Ajustes!$L161,R$2),0) + R161</f>
        <v>68</v>
      </c>
      <c r="AE161">
        <f>IF(Ajustes!$G161&gt;0,INDEX($AA$4:$AL$323,Ajustes!$G161,S$2),0)+IF(Ajustes!$H161&gt;0,INDEX($AA$4:$AL$323,Ajustes!$H161,S$2),0)+IF(Ajustes!$I161&gt;0,INDEX($AA$4:$AL$323,Ajustes!$I161,S$2),0)+IF(Ajustes!$J161&gt;0,INDEX($AA$4:$AL$323,Ajustes!$J161,S$2),0)+IF(Ajustes!$K161&gt;0,INDEX($AA$5:$AL$324,Ajustes!$K161,S$2),0)+IF(Ajustes!$L161&gt;0,INDEX($AA$4:$AL$323,Ajustes!$L161,S$2),0) + S161</f>
        <v>47</v>
      </c>
      <c r="AF161">
        <f>IF(Ajustes!$G161&gt;0,INDEX($AA$4:$AL$323,Ajustes!$G161,T$2),0)+IF(Ajustes!$H161&gt;0,INDEX($AA$4:$AL$323,Ajustes!$H161,T$2),0)+IF(Ajustes!$I161&gt;0,INDEX($AA$4:$AL$323,Ajustes!$I161,T$2),0)+IF(Ajustes!$J161&gt;0,INDEX($AA$4:$AL$323,Ajustes!$J161,T$2),0)+IF(Ajustes!$K161&gt;0,INDEX($AA$5:$AL$324,Ajustes!$K161,T$2),0)+IF(Ajustes!$L161&gt;0,INDEX($AA$4:$AL$323,Ajustes!$L161,T$2),0) + T161</f>
        <v>40</v>
      </c>
      <c r="AG161">
        <f>IF(Ajustes!$G161&gt;0,INDEX($AA$4:$AL$323,Ajustes!$G161,U$2),0)+IF(Ajustes!$H161&gt;0,INDEX($AA$4:$AL$323,Ajustes!$H161,U$2),0)+IF(Ajustes!$I161&gt;0,INDEX($AA$4:$AL$323,Ajustes!$I161,U$2),0)+IF(Ajustes!$J161&gt;0,INDEX($AA$4:$AL$323,Ajustes!$J161,U$2),0)+IF(Ajustes!$K161&gt;0,INDEX($AA$5:$AL$324,Ajustes!$K161,U$2),0)+IF(Ajustes!$L161&gt;0,INDEX($AA$4:$AL$323,Ajustes!$L161,U$2),0) + U161</f>
        <v>35</v>
      </c>
      <c r="AH161">
        <f>IF(Ajustes!$G161&gt;0,INDEX($AA$4:$AL$323,Ajustes!$G161,V$2),0)+IF(Ajustes!$H161&gt;0,INDEX($AA$4:$AL$323,Ajustes!$H161,V$2),0)+IF(Ajustes!$I161&gt;0,INDEX($AA$4:$AL$323,Ajustes!$I161,V$2),0)+IF(Ajustes!$J161&gt;0,INDEX($AA$4:$AL$323,Ajustes!$J161,V$2),0)+IF(Ajustes!$K161&gt;0,INDEX($AA$5:$AL$324,Ajustes!$K161,V$2),0)+IF(Ajustes!$L161&gt;0,INDEX($AA$4:$AL$323,Ajustes!$L161,V$2),0) + V161</f>
        <v>30</v>
      </c>
      <c r="AI161">
        <f>IF(Ajustes!$G161&gt;0,INDEX($AA$4:$AL$323,Ajustes!$G161,W$2),0)+IF(Ajustes!$H161&gt;0,INDEX($AA$4:$AL$323,Ajustes!$H161,W$2),0)+IF(Ajustes!$I161&gt;0,INDEX($AA$4:$AL$323,Ajustes!$I161,W$2),0)+IF(Ajustes!$J161&gt;0,INDEX($AA$4:$AL$323,Ajustes!$J161,W$2),0)+IF(Ajustes!$K161&gt;0,INDEX($AA$5:$AL$324,Ajustes!$K161,W$2),0)+IF(Ajustes!$L161&gt;0,INDEX($AA$4:$AL$323,Ajustes!$L161,W$2),0) + W161</f>
        <v>27</v>
      </c>
      <c r="AJ161">
        <f>IF(Ajustes!$G161&gt;0,INDEX($AA$4:$AL$323,Ajustes!$G161,X$2),0)+IF(Ajustes!$H161&gt;0,INDEX($AA$4:$AL$323,Ajustes!$H161,X$2),0)+IF(Ajustes!$I161&gt;0,INDEX($AA$4:$AL$323,Ajustes!$I161,X$2),0)+IF(Ajustes!$J161&gt;0,INDEX($AA$4:$AL$323,Ajustes!$J161,X$2),0)+IF(Ajustes!$K161&gt;0,INDEX($AA$5:$AL$324,Ajustes!$K161,X$2),0)+IF(Ajustes!$L161&gt;0,INDEX($AA$4:$AL$323,Ajustes!$L161,X$2),0) + X161</f>
        <v>33</v>
      </c>
      <c r="AK161">
        <f>IF(Ajustes!$G161&gt;0,INDEX($AA$4:$AL$323,Ajustes!$G161,Y$2),0)+IF(Ajustes!$H161&gt;0,INDEX($AA$4:$AL$323,Ajustes!$H161,Y$2),0)+IF(Ajustes!$I161&gt;0,INDEX($AA$4:$AL$323,Ajustes!$I161,Y$2),0)+IF(Ajustes!$J161&gt;0,INDEX($AA$4:$AL$323,Ajustes!$J161,Y$2),0)+IF(Ajustes!$K161&gt;0,INDEX($AA$5:$AL$324,Ajustes!$K161,Y$2),0)+IF(Ajustes!$L161&gt;0,INDEX($AA$4:$AL$323,Ajustes!$L161,Y$2),0) + Y161</f>
        <v>51</v>
      </c>
      <c r="AL161">
        <f>IF(Ajustes!$G161&gt;0,INDEX($AA$4:$AL$323,Ajustes!$G161,Z$2),0)+IF(Ajustes!$H161&gt;0,INDEX($AA$4:$AL$323,Ajustes!$H161,Z$2),0)+IF(Ajustes!$I161&gt;0,INDEX($AA$4:$AL$323,Ajustes!$I161,Z$2),0)+IF(Ajustes!$J161&gt;0,INDEX($AA$4:$AL$323,Ajustes!$J161,Z$2),0)+IF(Ajustes!$K161&gt;0,INDEX($AA$5:$AL$324,Ajustes!$K161,Z$2),0)+IF(Ajustes!$L161&gt;0,INDEX($AA$4:$AL$323,Ajustes!$L161,Z$2),0) + Z161</f>
        <v>79</v>
      </c>
      <c r="AM161" s="113">
        <f t="shared" si="39"/>
        <v>83</v>
      </c>
      <c r="AN161" s="113">
        <f t="shared" si="39"/>
        <v>83</v>
      </c>
      <c r="AO161" s="113">
        <f t="shared" si="39"/>
        <v>87</v>
      </c>
      <c r="AP161" s="113">
        <f t="shared" si="39"/>
        <v>68</v>
      </c>
      <c r="AQ161" s="113">
        <f t="shared" si="42"/>
        <v>47</v>
      </c>
      <c r="AR161" s="113">
        <f t="shared" si="40"/>
        <v>40</v>
      </c>
      <c r="AS161" s="113">
        <f t="shared" si="40"/>
        <v>35</v>
      </c>
      <c r="AT161" s="113">
        <f t="shared" si="40"/>
        <v>30</v>
      </c>
      <c r="AU161" s="113">
        <f t="shared" si="40"/>
        <v>27</v>
      </c>
      <c r="AV161" s="113">
        <f t="shared" si="43"/>
        <v>33</v>
      </c>
      <c r="AW161" s="113">
        <f t="shared" si="41"/>
        <v>51</v>
      </c>
      <c r="AX161" s="113">
        <f t="shared" si="41"/>
        <v>79</v>
      </c>
    </row>
    <row r="162" spans="1:50" x14ac:dyDescent="0.25">
      <c r="A162" s="113">
        <v>159</v>
      </c>
      <c r="B162" s="209"/>
      <c r="C162">
        <f>IFERROR(INDEX($BD$7:$BO$35,MATCH(Ajustes!$E$4:$E$323,$BC$7:$BC$35,0),$C$2:$N$2),1)</f>
        <v>1</v>
      </c>
      <c r="D162" s="113">
        <f>IFERROR(INDEX($BD$7:$BO$35,MATCH(Ajustes!$E$4:$E$323,$BC$7:$BC$35,0),$C$2:$N$2),1)</f>
        <v>1</v>
      </c>
      <c r="E162" s="113">
        <f>IFERROR(INDEX($BD$7:$BO$35,MATCH(Ajustes!$E$4:$E$323,$BC$7:$BC$35,0),$C$2:$N$2),1)</f>
        <v>1</v>
      </c>
      <c r="F162" s="113">
        <f>IFERROR(INDEX($BD$7:$BO$35,MATCH(Ajustes!$E$4:$E$323,$BC$7:$BC$35,0),$C$2:$N$2),1)</f>
        <v>1</v>
      </c>
      <c r="G162" s="113">
        <f>IFERROR(INDEX($BD$7:$BO$35,MATCH(Ajustes!$E$4:$E$323,$BC$7:$BC$35,0),$C$2:$N$2),1)</f>
        <v>1</v>
      </c>
      <c r="H162" s="113">
        <f>IFERROR(INDEX($BD$7:$BO$35,MATCH(Ajustes!$E$4:$E$323,$BC$7:$BC$35,0),$C$2:$N$2),1)</f>
        <v>1</v>
      </c>
      <c r="I162" s="113">
        <f>IFERROR(INDEX($BD$7:$BO$35,MATCH(Ajustes!$E$4:$E$323,$BC$7:$BC$35,0),$C$2:$N$2),1)</f>
        <v>1</v>
      </c>
      <c r="J162" s="113">
        <f>IFERROR(INDEX($BD$7:$BO$35,MATCH(Ajustes!$E$4:$E$323,$BC$7:$BC$35,0),$C$2:$N$2),1)</f>
        <v>1</v>
      </c>
      <c r="K162" s="113">
        <f>IFERROR(INDEX($BD$7:$BO$35,MATCH(Ajustes!$E$4:$E$323,$BC$7:$BC$35,0),$C$2:$N$2),1)</f>
        <v>1</v>
      </c>
      <c r="L162" s="113">
        <f>IFERROR(INDEX($BD$7:$BO$35,MATCH(Ajustes!$E$4:$E$323,$BC$7:$BC$35,0),$C$2:$N$2),1)</f>
        <v>1</v>
      </c>
      <c r="M162" s="113">
        <f>IFERROR(INDEX($BD$7:$BO$35,MATCH(Ajustes!$E$4:$E$323,$BC$7:$BC$35,0),$C$2:$N$2),1)</f>
        <v>1</v>
      </c>
      <c r="N162" s="113">
        <f>IFERROR(INDEX($BD$7:$BO$35,MATCH(Ajustes!$E$4:$E$323,$BC$7:$BC$35,0),$C$2:$N$2),1)</f>
        <v>1</v>
      </c>
      <c r="O162">
        <f>C162*Ajustes!AM162</f>
        <v>0</v>
      </c>
      <c r="P162">
        <f>D162*Ajustes!AN162</f>
        <v>0</v>
      </c>
      <c r="Q162">
        <f>E162*Ajustes!AO162</f>
        <v>0</v>
      </c>
      <c r="R162">
        <f>F162*Ajustes!AP162</f>
        <v>0</v>
      </c>
      <c r="S162">
        <f>G162*Ajustes!AQ162</f>
        <v>0</v>
      </c>
      <c r="T162">
        <f>H162*Ajustes!AR162</f>
        <v>0</v>
      </c>
      <c r="U162">
        <f>I162*Ajustes!AS162</f>
        <v>0</v>
      </c>
      <c r="V162">
        <f>J162*Ajustes!AT162</f>
        <v>0</v>
      </c>
      <c r="W162">
        <f>K162*Ajustes!AU162</f>
        <v>0</v>
      </c>
      <c r="X162">
        <f>L162*Ajustes!AV162</f>
        <v>0</v>
      </c>
      <c r="Y162">
        <f>M162*Ajustes!AW162</f>
        <v>0</v>
      </c>
      <c r="Z162">
        <f>N162*Ajustes!AX162</f>
        <v>0</v>
      </c>
      <c r="AA162">
        <f>IF(Ajustes!$G162&gt;0,INDEX($AA$4:$AL$323,Ajustes!$G162,O$2),0)+IF(Ajustes!$H162&gt;0,INDEX($AA$4:$AL$323,Ajustes!$H162,O$2),0)+IF(Ajustes!$I162&gt;0,INDEX($AA$4:$AL$323,Ajustes!$I162,O$2),0)+IF(Ajustes!$J162&gt;0,INDEX($AA$4:$AL$323,Ajustes!$J162,O$2),0)+IF(Ajustes!$K162&gt;0,INDEX($AA$5:$AL$324,Ajustes!$K162,O$2),0)+IF(Ajustes!$L162&gt;0,INDEX($AA$4:$AL$323,Ajustes!$L162,O$2),0) + O162</f>
        <v>0</v>
      </c>
      <c r="AB162">
        <f>IF(Ajustes!$G162&gt;0,INDEX($AA$4:$AL$323,Ajustes!$G162,P$2),0)+IF(Ajustes!$H162&gt;0,INDEX($AA$4:$AL$323,Ajustes!$H162,P$2),0)+IF(Ajustes!$I162&gt;0,INDEX($AA$4:$AL$323,Ajustes!$I162,P$2),0)+IF(Ajustes!$J162&gt;0,INDEX($AA$4:$AL$323,Ajustes!$J162,P$2),0)+IF(Ajustes!$K162&gt;0,INDEX($AA$5:$AL$324,Ajustes!$K162,P$2),0)+IF(Ajustes!$L162&gt;0,INDEX($AA$4:$AL$323,Ajustes!$L162,P$2),0) + P162</f>
        <v>0</v>
      </c>
      <c r="AC162">
        <f>IF(Ajustes!$G162&gt;0,INDEX($AA$4:$AL$323,Ajustes!$G162,Q$2),0)+IF(Ajustes!$H162&gt;0,INDEX($AA$4:$AL$323,Ajustes!$H162,Q$2),0)+IF(Ajustes!$I162&gt;0,INDEX($AA$4:$AL$323,Ajustes!$I162,Q$2),0)+IF(Ajustes!$J162&gt;0,INDEX($AA$4:$AL$323,Ajustes!$J162,Q$2),0)+IF(Ajustes!$K162&gt;0,INDEX($AA$5:$AL$324,Ajustes!$K162,Q$2),0)+IF(Ajustes!$L162&gt;0,INDEX($AA$4:$AL$323,Ajustes!$L162,Q$2),0) + Q162</f>
        <v>0</v>
      </c>
      <c r="AD162">
        <f>IF(Ajustes!$G162&gt;0,INDEX($AA$4:$AL$323,Ajustes!$G162,R$2),0)+IF(Ajustes!$H162&gt;0,INDEX($AA$4:$AL$323,Ajustes!$H162,R$2),0)+IF(Ajustes!$I162&gt;0,INDEX($AA$4:$AL$323,Ajustes!$I162,R$2),0)+IF(Ajustes!$J162&gt;0,INDEX($AA$4:$AL$323,Ajustes!$J162,R$2),0)+IF(Ajustes!$K162&gt;0,INDEX($AA$5:$AL$324,Ajustes!$K162,R$2),0)+IF(Ajustes!$L162&gt;0,INDEX($AA$4:$AL$323,Ajustes!$L162,R$2),0) + R162</f>
        <v>0</v>
      </c>
      <c r="AE162">
        <f>IF(Ajustes!$G162&gt;0,INDEX($AA$4:$AL$323,Ajustes!$G162,S$2),0)+IF(Ajustes!$H162&gt;0,INDEX($AA$4:$AL$323,Ajustes!$H162,S$2),0)+IF(Ajustes!$I162&gt;0,INDEX($AA$4:$AL$323,Ajustes!$I162,S$2),0)+IF(Ajustes!$J162&gt;0,INDEX($AA$4:$AL$323,Ajustes!$J162,S$2),0)+IF(Ajustes!$K162&gt;0,INDEX($AA$5:$AL$324,Ajustes!$K162,S$2),0)+IF(Ajustes!$L162&gt;0,INDEX($AA$4:$AL$323,Ajustes!$L162,S$2),0) + S162</f>
        <v>0</v>
      </c>
      <c r="AF162">
        <f>IF(Ajustes!$G162&gt;0,INDEX($AA$4:$AL$323,Ajustes!$G162,T$2),0)+IF(Ajustes!$H162&gt;0,INDEX($AA$4:$AL$323,Ajustes!$H162,T$2),0)+IF(Ajustes!$I162&gt;0,INDEX($AA$4:$AL$323,Ajustes!$I162,T$2),0)+IF(Ajustes!$J162&gt;0,INDEX($AA$4:$AL$323,Ajustes!$J162,T$2),0)+IF(Ajustes!$K162&gt;0,INDEX($AA$5:$AL$324,Ajustes!$K162,T$2),0)+IF(Ajustes!$L162&gt;0,INDEX($AA$4:$AL$323,Ajustes!$L162,T$2),0) + T162</f>
        <v>0</v>
      </c>
      <c r="AG162">
        <f>IF(Ajustes!$G162&gt;0,INDEX($AA$4:$AL$323,Ajustes!$G162,U$2),0)+IF(Ajustes!$H162&gt;0,INDEX($AA$4:$AL$323,Ajustes!$H162,U$2),0)+IF(Ajustes!$I162&gt;0,INDEX($AA$4:$AL$323,Ajustes!$I162,U$2),0)+IF(Ajustes!$J162&gt;0,INDEX($AA$4:$AL$323,Ajustes!$J162,U$2),0)+IF(Ajustes!$K162&gt;0,INDEX($AA$5:$AL$324,Ajustes!$K162,U$2),0)+IF(Ajustes!$L162&gt;0,INDEX($AA$4:$AL$323,Ajustes!$L162,U$2),0) + U162</f>
        <v>0</v>
      </c>
      <c r="AH162">
        <f>IF(Ajustes!$G162&gt;0,INDEX($AA$4:$AL$323,Ajustes!$G162,V$2),0)+IF(Ajustes!$H162&gt;0,INDEX($AA$4:$AL$323,Ajustes!$H162,V$2),0)+IF(Ajustes!$I162&gt;0,INDEX($AA$4:$AL$323,Ajustes!$I162,V$2),0)+IF(Ajustes!$J162&gt;0,INDEX($AA$4:$AL$323,Ajustes!$J162,V$2),0)+IF(Ajustes!$K162&gt;0,INDEX($AA$5:$AL$324,Ajustes!$K162,V$2),0)+IF(Ajustes!$L162&gt;0,INDEX($AA$4:$AL$323,Ajustes!$L162,V$2),0) + V162</f>
        <v>0</v>
      </c>
      <c r="AI162">
        <f>IF(Ajustes!$G162&gt;0,INDEX($AA$4:$AL$323,Ajustes!$G162,W$2),0)+IF(Ajustes!$H162&gt;0,INDEX($AA$4:$AL$323,Ajustes!$H162,W$2),0)+IF(Ajustes!$I162&gt;0,INDEX($AA$4:$AL$323,Ajustes!$I162,W$2),0)+IF(Ajustes!$J162&gt;0,INDEX($AA$4:$AL$323,Ajustes!$J162,W$2),0)+IF(Ajustes!$K162&gt;0,INDEX($AA$5:$AL$324,Ajustes!$K162,W$2),0)+IF(Ajustes!$L162&gt;0,INDEX($AA$4:$AL$323,Ajustes!$L162,W$2),0) + W162</f>
        <v>0</v>
      </c>
      <c r="AJ162">
        <f>IF(Ajustes!$G162&gt;0,INDEX($AA$4:$AL$323,Ajustes!$G162,X$2),0)+IF(Ajustes!$H162&gt;0,INDEX($AA$4:$AL$323,Ajustes!$H162,X$2),0)+IF(Ajustes!$I162&gt;0,INDEX($AA$4:$AL$323,Ajustes!$I162,X$2),0)+IF(Ajustes!$J162&gt;0,INDEX($AA$4:$AL$323,Ajustes!$J162,X$2),0)+IF(Ajustes!$K162&gt;0,INDEX($AA$5:$AL$324,Ajustes!$K162,X$2),0)+IF(Ajustes!$L162&gt;0,INDEX($AA$4:$AL$323,Ajustes!$L162,X$2),0) + X162</f>
        <v>0</v>
      </c>
      <c r="AK162">
        <f>IF(Ajustes!$G162&gt;0,INDEX($AA$4:$AL$323,Ajustes!$G162,Y$2),0)+IF(Ajustes!$H162&gt;0,INDEX($AA$4:$AL$323,Ajustes!$H162,Y$2),0)+IF(Ajustes!$I162&gt;0,INDEX($AA$4:$AL$323,Ajustes!$I162,Y$2),0)+IF(Ajustes!$J162&gt;0,INDEX($AA$4:$AL$323,Ajustes!$J162,Y$2),0)+IF(Ajustes!$K162&gt;0,INDEX($AA$5:$AL$324,Ajustes!$K162,Y$2),0)+IF(Ajustes!$L162&gt;0,INDEX($AA$4:$AL$323,Ajustes!$L162,Y$2),0) + Y162</f>
        <v>0</v>
      </c>
      <c r="AL162">
        <f>IF(Ajustes!$G162&gt;0,INDEX($AA$4:$AL$323,Ajustes!$G162,Z$2),0)+IF(Ajustes!$H162&gt;0,INDEX($AA$4:$AL$323,Ajustes!$H162,Z$2),0)+IF(Ajustes!$I162&gt;0,INDEX($AA$4:$AL$323,Ajustes!$I162,Z$2),0)+IF(Ajustes!$J162&gt;0,INDEX($AA$4:$AL$323,Ajustes!$J162,Z$2),0)+IF(Ajustes!$K162&gt;0,INDEX($AA$5:$AL$324,Ajustes!$K162,Z$2),0)+IF(Ajustes!$L162&gt;0,INDEX($AA$4:$AL$323,Ajustes!$L162,Z$2),0) + Z162</f>
        <v>0</v>
      </c>
      <c r="AM162" s="113">
        <f t="shared" si="39"/>
        <v>0</v>
      </c>
      <c r="AN162" s="113">
        <f t="shared" si="39"/>
        <v>0</v>
      </c>
      <c r="AO162" s="113">
        <f t="shared" si="39"/>
        <v>0</v>
      </c>
      <c r="AP162" s="113">
        <f t="shared" si="39"/>
        <v>0</v>
      </c>
      <c r="AQ162" s="113">
        <f t="shared" si="42"/>
        <v>0</v>
      </c>
      <c r="AR162" s="113">
        <f t="shared" si="40"/>
        <v>0</v>
      </c>
      <c r="AS162" s="113">
        <f t="shared" si="40"/>
        <v>0</v>
      </c>
      <c r="AT162" s="113">
        <f t="shared" si="40"/>
        <v>0</v>
      </c>
      <c r="AU162" s="113">
        <f t="shared" si="40"/>
        <v>0</v>
      </c>
      <c r="AV162" s="113">
        <f t="shared" si="43"/>
        <v>0</v>
      </c>
      <c r="AW162" s="113">
        <f t="shared" si="41"/>
        <v>0</v>
      </c>
      <c r="AX162" s="113">
        <f t="shared" si="41"/>
        <v>0</v>
      </c>
    </row>
    <row r="163" spans="1:50" x14ac:dyDescent="0.25">
      <c r="A163" s="113">
        <v>160</v>
      </c>
      <c r="B163" s="209" t="s">
        <v>614</v>
      </c>
      <c r="C163">
        <f>IFERROR(INDEX($BD$7:$BO$35,MATCH(Ajustes!$E$4:$E$323,$BC$7:$BC$35,0),$C$2:$N$2),1)</f>
        <v>1</v>
      </c>
      <c r="D163" s="113">
        <f>IFERROR(INDEX($BD$7:$BO$35,MATCH(Ajustes!$E$4:$E$323,$BC$7:$BC$35,0),$C$2:$N$2),1)</f>
        <v>1</v>
      </c>
      <c r="E163" s="113">
        <f>IFERROR(INDEX($BD$7:$BO$35,MATCH(Ajustes!$E$4:$E$323,$BC$7:$BC$35,0),$C$2:$N$2),1)</f>
        <v>1</v>
      </c>
      <c r="F163" s="113">
        <f>IFERROR(INDEX($BD$7:$BO$35,MATCH(Ajustes!$E$4:$E$323,$BC$7:$BC$35,0),$C$2:$N$2),1)</f>
        <v>1</v>
      </c>
      <c r="G163" s="113">
        <f>IFERROR(INDEX($BD$7:$BO$35,MATCH(Ajustes!$E$4:$E$323,$BC$7:$BC$35,0),$C$2:$N$2),1)</f>
        <v>1</v>
      </c>
      <c r="H163" s="113">
        <f>IFERROR(INDEX($BD$7:$BO$35,MATCH(Ajustes!$E$4:$E$323,$BC$7:$BC$35,0),$C$2:$N$2),1)</f>
        <v>1</v>
      </c>
      <c r="I163" s="113">
        <f>IFERROR(INDEX($BD$7:$BO$35,MATCH(Ajustes!$E$4:$E$323,$BC$7:$BC$35,0),$C$2:$N$2),1)</f>
        <v>1</v>
      </c>
      <c r="J163" s="113">
        <f>IFERROR(INDEX($BD$7:$BO$35,MATCH(Ajustes!$E$4:$E$323,$BC$7:$BC$35,0),$C$2:$N$2),1)</f>
        <v>1</v>
      </c>
      <c r="K163" s="113">
        <f>IFERROR(INDEX($BD$7:$BO$35,MATCH(Ajustes!$E$4:$E$323,$BC$7:$BC$35,0),$C$2:$N$2),1)</f>
        <v>1</v>
      </c>
      <c r="L163" s="113">
        <f>IFERROR(INDEX($BD$7:$BO$35,MATCH(Ajustes!$E$4:$E$323,$BC$7:$BC$35,0),$C$2:$N$2),1)</f>
        <v>1</v>
      </c>
      <c r="M163" s="113">
        <f>IFERROR(INDEX($BD$7:$BO$35,MATCH(Ajustes!$E$4:$E$323,$BC$7:$BC$35,0),$C$2:$N$2),1)</f>
        <v>1</v>
      </c>
      <c r="N163" s="113">
        <f>IFERROR(INDEX($BD$7:$BO$35,MATCH(Ajustes!$E$4:$E$323,$BC$7:$BC$35,0),$C$2:$N$2),1)</f>
        <v>1</v>
      </c>
      <c r="O163">
        <f>C163*Ajustes!AM163</f>
        <v>11</v>
      </c>
      <c r="P163">
        <f>D163*Ajustes!AN163</f>
        <v>11</v>
      </c>
      <c r="Q163">
        <f>E163*Ajustes!AO163</f>
        <v>11</v>
      </c>
      <c r="R163">
        <f>F163*Ajustes!AP163</f>
        <v>9</v>
      </c>
      <c r="S163">
        <f>G163*Ajustes!AQ163</f>
        <v>7</v>
      </c>
      <c r="T163">
        <f>H163*Ajustes!AR163</f>
        <v>6</v>
      </c>
      <c r="U163">
        <f>I163*Ajustes!AS163</f>
        <v>6</v>
      </c>
      <c r="V163">
        <f>J163*Ajustes!AT163</f>
        <v>5</v>
      </c>
      <c r="W163">
        <f>K163*Ajustes!AU163</f>
        <v>6</v>
      </c>
      <c r="X163">
        <f>L163*Ajustes!AV163</f>
        <v>7</v>
      </c>
      <c r="Y163">
        <f>M163*Ajustes!AW163</f>
        <v>7</v>
      </c>
      <c r="Z163">
        <f>N163*Ajustes!AX163</f>
        <v>9</v>
      </c>
      <c r="AA163">
        <f>IF(Ajustes!$G163&gt;0,INDEX($AA$4:$AL$323,Ajustes!$G163,O$2),0)+IF(Ajustes!$H163&gt;0,INDEX($AA$4:$AL$323,Ajustes!$H163,O$2),0)+IF(Ajustes!$I163&gt;0,INDEX($AA$4:$AL$323,Ajustes!$I163,O$2),0)+IF(Ajustes!$J163&gt;0,INDEX($AA$4:$AL$323,Ajustes!$J163,O$2),0)+IF(Ajustes!$K163&gt;0,INDEX($AA$5:$AL$324,Ajustes!$K163,O$2),0)+IF(Ajustes!$L163&gt;0,INDEX($AA$4:$AL$323,Ajustes!$L163,O$2),0) + O163</f>
        <v>11</v>
      </c>
      <c r="AB163">
        <f>IF(Ajustes!$G163&gt;0,INDEX($AA$4:$AL$323,Ajustes!$G163,P$2),0)+IF(Ajustes!$H163&gt;0,INDEX($AA$4:$AL$323,Ajustes!$H163,P$2),0)+IF(Ajustes!$I163&gt;0,INDEX($AA$4:$AL$323,Ajustes!$I163,P$2),0)+IF(Ajustes!$J163&gt;0,INDEX($AA$4:$AL$323,Ajustes!$J163,P$2),0)+IF(Ajustes!$K163&gt;0,INDEX($AA$5:$AL$324,Ajustes!$K163,P$2),0)+IF(Ajustes!$L163&gt;0,INDEX($AA$4:$AL$323,Ajustes!$L163,P$2),0) + P163</f>
        <v>11</v>
      </c>
      <c r="AC163">
        <f>IF(Ajustes!$G163&gt;0,INDEX($AA$4:$AL$323,Ajustes!$G163,Q$2),0)+IF(Ajustes!$H163&gt;0,INDEX($AA$4:$AL$323,Ajustes!$H163,Q$2),0)+IF(Ajustes!$I163&gt;0,INDEX($AA$4:$AL$323,Ajustes!$I163,Q$2),0)+IF(Ajustes!$J163&gt;0,INDEX($AA$4:$AL$323,Ajustes!$J163,Q$2),0)+IF(Ajustes!$K163&gt;0,INDEX($AA$5:$AL$324,Ajustes!$K163,Q$2),0)+IF(Ajustes!$L163&gt;0,INDEX($AA$4:$AL$323,Ajustes!$L163,Q$2),0) + Q163</f>
        <v>11</v>
      </c>
      <c r="AD163">
        <f>IF(Ajustes!$G163&gt;0,INDEX($AA$4:$AL$323,Ajustes!$G163,R$2),0)+IF(Ajustes!$H163&gt;0,INDEX($AA$4:$AL$323,Ajustes!$H163,R$2),0)+IF(Ajustes!$I163&gt;0,INDEX($AA$4:$AL$323,Ajustes!$I163,R$2),0)+IF(Ajustes!$J163&gt;0,INDEX($AA$4:$AL$323,Ajustes!$J163,R$2),0)+IF(Ajustes!$K163&gt;0,INDEX($AA$5:$AL$324,Ajustes!$K163,R$2),0)+IF(Ajustes!$L163&gt;0,INDEX($AA$4:$AL$323,Ajustes!$L163,R$2),0) + R163</f>
        <v>9</v>
      </c>
      <c r="AE163">
        <f>IF(Ajustes!$G163&gt;0,INDEX($AA$4:$AL$323,Ajustes!$G163,S$2),0)+IF(Ajustes!$H163&gt;0,INDEX($AA$4:$AL$323,Ajustes!$H163,S$2),0)+IF(Ajustes!$I163&gt;0,INDEX($AA$4:$AL$323,Ajustes!$I163,S$2),0)+IF(Ajustes!$J163&gt;0,INDEX($AA$4:$AL$323,Ajustes!$J163,S$2),0)+IF(Ajustes!$K163&gt;0,INDEX($AA$5:$AL$324,Ajustes!$K163,S$2),0)+IF(Ajustes!$L163&gt;0,INDEX($AA$4:$AL$323,Ajustes!$L163,S$2),0) + S163</f>
        <v>7</v>
      </c>
      <c r="AF163">
        <f>IF(Ajustes!$G163&gt;0,INDEX($AA$4:$AL$323,Ajustes!$G163,T$2),0)+IF(Ajustes!$H163&gt;0,INDEX($AA$4:$AL$323,Ajustes!$H163,T$2),0)+IF(Ajustes!$I163&gt;0,INDEX($AA$4:$AL$323,Ajustes!$I163,T$2),0)+IF(Ajustes!$J163&gt;0,INDEX($AA$4:$AL$323,Ajustes!$J163,T$2),0)+IF(Ajustes!$K163&gt;0,INDEX($AA$5:$AL$324,Ajustes!$K163,T$2),0)+IF(Ajustes!$L163&gt;0,INDEX($AA$4:$AL$323,Ajustes!$L163,T$2),0) + T163</f>
        <v>6</v>
      </c>
      <c r="AG163">
        <f>IF(Ajustes!$G163&gt;0,INDEX($AA$4:$AL$323,Ajustes!$G163,U$2),0)+IF(Ajustes!$H163&gt;0,INDEX($AA$4:$AL$323,Ajustes!$H163,U$2),0)+IF(Ajustes!$I163&gt;0,INDEX($AA$4:$AL$323,Ajustes!$I163,U$2),0)+IF(Ajustes!$J163&gt;0,INDEX($AA$4:$AL$323,Ajustes!$J163,U$2),0)+IF(Ajustes!$K163&gt;0,INDEX($AA$5:$AL$324,Ajustes!$K163,U$2),0)+IF(Ajustes!$L163&gt;0,INDEX($AA$4:$AL$323,Ajustes!$L163,U$2),0) + U163</f>
        <v>6</v>
      </c>
      <c r="AH163">
        <f>IF(Ajustes!$G163&gt;0,INDEX($AA$4:$AL$323,Ajustes!$G163,V$2),0)+IF(Ajustes!$H163&gt;0,INDEX($AA$4:$AL$323,Ajustes!$H163,V$2),0)+IF(Ajustes!$I163&gt;0,INDEX($AA$4:$AL$323,Ajustes!$I163,V$2),0)+IF(Ajustes!$J163&gt;0,INDEX($AA$4:$AL$323,Ajustes!$J163,V$2),0)+IF(Ajustes!$K163&gt;0,INDEX($AA$5:$AL$324,Ajustes!$K163,V$2),0)+IF(Ajustes!$L163&gt;0,INDEX($AA$4:$AL$323,Ajustes!$L163,V$2),0) + V163</f>
        <v>5</v>
      </c>
      <c r="AI163">
        <f>IF(Ajustes!$G163&gt;0,INDEX($AA$4:$AL$323,Ajustes!$G163,W$2),0)+IF(Ajustes!$H163&gt;0,INDEX($AA$4:$AL$323,Ajustes!$H163,W$2),0)+IF(Ajustes!$I163&gt;0,INDEX($AA$4:$AL$323,Ajustes!$I163,W$2),0)+IF(Ajustes!$J163&gt;0,INDEX($AA$4:$AL$323,Ajustes!$J163,W$2),0)+IF(Ajustes!$K163&gt;0,INDEX($AA$5:$AL$324,Ajustes!$K163,W$2),0)+IF(Ajustes!$L163&gt;0,INDEX($AA$4:$AL$323,Ajustes!$L163,W$2),0) + W163</f>
        <v>6</v>
      </c>
      <c r="AJ163">
        <f>IF(Ajustes!$G163&gt;0,INDEX($AA$4:$AL$323,Ajustes!$G163,X$2),0)+IF(Ajustes!$H163&gt;0,INDEX($AA$4:$AL$323,Ajustes!$H163,X$2),0)+IF(Ajustes!$I163&gt;0,INDEX($AA$4:$AL$323,Ajustes!$I163,X$2),0)+IF(Ajustes!$J163&gt;0,INDEX($AA$4:$AL$323,Ajustes!$J163,X$2),0)+IF(Ajustes!$K163&gt;0,INDEX($AA$5:$AL$324,Ajustes!$K163,X$2),0)+IF(Ajustes!$L163&gt;0,INDEX($AA$4:$AL$323,Ajustes!$L163,X$2),0) + X163</f>
        <v>7</v>
      </c>
      <c r="AK163">
        <f>IF(Ajustes!$G163&gt;0,INDEX($AA$4:$AL$323,Ajustes!$G163,Y$2),0)+IF(Ajustes!$H163&gt;0,INDEX($AA$4:$AL$323,Ajustes!$H163,Y$2),0)+IF(Ajustes!$I163&gt;0,INDEX($AA$4:$AL$323,Ajustes!$I163,Y$2),0)+IF(Ajustes!$J163&gt;0,INDEX($AA$4:$AL$323,Ajustes!$J163,Y$2),0)+IF(Ajustes!$K163&gt;0,INDEX($AA$5:$AL$324,Ajustes!$K163,Y$2),0)+IF(Ajustes!$L163&gt;0,INDEX($AA$4:$AL$323,Ajustes!$L163,Y$2),0) + Y163</f>
        <v>7</v>
      </c>
      <c r="AL163">
        <f>IF(Ajustes!$G163&gt;0,INDEX($AA$4:$AL$323,Ajustes!$G163,Z$2),0)+IF(Ajustes!$H163&gt;0,INDEX($AA$4:$AL$323,Ajustes!$H163,Z$2),0)+IF(Ajustes!$I163&gt;0,INDEX($AA$4:$AL$323,Ajustes!$I163,Z$2),0)+IF(Ajustes!$J163&gt;0,INDEX($AA$4:$AL$323,Ajustes!$J163,Z$2),0)+IF(Ajustes!$K163&gt;0,INDEX($AA$5:$AL$324,Ajustes!$K163,Z$2),0)+IF(Ajustes!$L163&gt;0,INDEX($AA$4:$AL$323,Ajustes!$L163,Z$2),0) + Z163</f>
        <v>9</v>
      </c>
      <c r="AM163" s="113">
        <f t="shared" si="39"/>
        <v>11</v>
      </c>
      <c r="AN163" s="113">
        <f t="shared" si="39"/>
        <v>11</v>
      </c>
      <c r="AO163" s="113">
        <f t="shared" si="39"/>
        <v>11</v>
      </c>
      <c r="AP163" s="113">
        <f t="shared" si="39"/>
        <v>9</v>
      </c>
      <c r="AQ163" s="113">
        <f t="shared" si="42"/>
        <v>7</v>
      </c>
      <c r="AR163" s="113">
        <f t="shared" si="40"/>
        <v>6</v>
      </c>
      <c r="AS163" s="113">
        <f t="shared" si="40"/>
        <v>6</v>
      </c>
      <c r="AT163" s="113">
        <f t="shared" si="40"/>
        <v>5</v>
      </c>
      <c r="AU163" s="113">
        <f t="shared" si="40"/>
        <v>6</v>
      </c>
      <c r="AV163" s="113">
        <f t="shared" si="43"/>
        <v>7</v>
      </c>
      <c r="AW163" s="113">
        <f t="shared" si="41"/>
        <v>7</v>
      </c>
      <c r="AX163" s="113">
        <f t="shared" si="41"/>
        <v>9</v>
      </c>
    </row>
    <row r="164" spans="1:50" x14ac:dyDescent="0.25">
      <c r="A164" s="113">
        <v>161</v>
      </c>
      <c r="B164" s="209" t="s">
        <v>615</v>
      </c>
      <c r="C164">
        <f>IFERROR(INDEX($BD$7:$BO$35,MATCH(Ajustes!$E$4:$E$323,$BC$7:$BC$35,0),$C$2:$N$2),1)</f>
        <v>1</v>
      </c>
      <c r="D164" s="113">
        <f>IFERROR(INDEX($BD$7:$BO$35,MATCH(Ajustes!$E$4:$E$323,$BC$7:$BC$35,0),$C$2:$N$2),1)</f>
        <v>1</v>
      </c>
      <c r="E164" s="113">
        <f>IFERROR(INDEX($BD$7:$BO$35,MATCH(Ajustes!$E$4:$E$323,$BC$7:$BC$35,0),$C$2:$N$2),1)</f>
        <v>1</v>
      </c>
      <c r="F164" s="113">
        <f>IFERROR(INDEX($BD$7:$BO$35,MATCH(Ajustes!$E$4:$E$323,$BC$7:$BC$35,0),$C$2:$N$2),1)</f>
        <v>1</v>
      </c>
      <c r="G164" s="113">
        <f>IFERROR(INDEX($BD$7:$BO$35,MATCH(Ajustes!$E$4:$E$323,$BC$7:$BC$35,0),$C$2:$N$2),1)</f>
        <v>1</v>
      </c>
      <c r="H164" s="113">
        <f>IFERROR(INDEX($BD$7:$BO$35,MATCH(Ajustes!$E$4:$E$323,$BC$7:$BC$35,0),$C$2:$N$2),1)</f>
        <v>1</v>
      </c>
      <c r="I164" s="113">
        <f>IFERROR(INDEX($BD$7:$BO$35,MATCH(Ajustes!$E$4:$E$323,$BC$7:$BC$35,0),$C$2:$N$2),1)</f>
        <v>1</v>
      </c>
      <c r="J164" s="113">
        <f>IFERROR(INDEX($BD$7:$BO$35,MATCH(Ajustes!$E$4:$E$323,$BC$7:$BC$35,0),$C$2:$N$2),1)</f>
        <v>1</v>
      </c>
      <c r="K164" s="113">
        <f>IFERROR(INDEX($BD$7:$BO$35,MATCH(Ajustes!$E$4:$E$323,$BC$7:$BC$35,0),$C$2:$N$2),1)</f>
        <v>1</v>
      </c>
      <c r="L164" s="113">
        <f>IFERROR(INDEX($BD$7:$BO$35,MATCH(Ajustes!$E$4:$E$323,$BC$7:$BC$35,0),$C$2:$N$2),1)</f>
        <v>1</v>
      </c>
      <c r="M164" s="113">
        <f>IFERROR(INDEX($BD$7:$BO$35,MATCH(Ajustes!$E$4:$E$323,$BC$7:$BC$35,0),$C$2:$N$2),1)</f>
        <v>1</v>
      </c>
      <c r="N164" s="113">
        <f>IFERROR(INDEX($BD$7:$BO$35,MATCH(Ajustes!$E$4:$E$323,$BC$7:$BC$35,0),$C$2:$N$2),1)</f>
        <v>1</v>
      </c>
      <c r="O164">
        <f>C164*Ajustes!AM164</f>
        <v>121</v>
      </c>
      <c r="P164">
        <f>D164*Ajustes!AN164</f>
        <v>128</v>
      </c>
      <c r="Q164">
        <f>E164*Ajustes!AO164</f>
        <v>109</v>
      </c>
      <c r="R164">
        <f>F164*Ajustes!AP164</f>
        <v>70</v>
      </c>
      <c r="S164">
        <f>G164*Ajustes!AQ164</f>
        <v>54</v>
      </c>
      <c r="T164">
        <f>H164*Ajustes!AR164</f>
        <v>50</v>
      </c>
      <c r="U164">
        <f>I164*Ajustes!AS164</f>
        <v>41</v>
      </c>
      <c r="V164">
        <f>J164*Ajustes!AT164</f>
        <v>34</v>
      </c>
      <c r="W164">
        <f>K164*Ajustes!AU164</f>
        <v>43</v>
      </c>
      <c r="X164">
        <f>L164*Ajustes!AV164</f>
        <v>57</v>
      </c>
      <c r="Y164">
        <f>M164*Ajustes!AW164</f>
        <v>65</v>
      </c>
      <c r="Z164">
        <f>N164*Ajustes!AX164</f>
        <v>86</v>
      </c>
      <c r="AA164">
        <f>IF(Ajustes!$G164&gt;0,INDEX($AA$4:$AL$323,Ajustes!$G164,O$2),0)+IF(Ajustes!$H164&gt;0,INDEX($AA$4:$AL$323,Ajustes!$H164,O$2),0)+IF(Ajustes!$I164&gt;0,INDEX($AA$4:$AL$323,Ajustes!$I164,O$2),0)+IF(Ajustes!$J164&gt;0,INDEX($AA$4:$AL$323,Ajustes!$J164,O$2),0)+IF(Ajustes!$K164&gt;0,INDEX($AA$5:$AL$324,Ajustes!$K164,O$2),0)+IF(Ajustes!$L164&gt;0,INDEX($AA$4:$AL$323,Ajustes!$L164,O$2),0) + O164</f>
        <v>177</v>
      </c>
      <c r="AB164">
        <f>IF(Ajustes!$G164&gt;0,INDEX($AA$4:$AL$323,Ajustes!$G164,P$2),0)+IF(Ajustes!$H164&gt;0,INDEX($AA$4:$AL$323,Ajustes!$H164,P$2),0)+IF(Ajustes!$I164&gt;0,INDEX($AA$4:$AL$323,Ajustes!$I164,P$2),0)+IF(Ajustes!$J164&gt;0,INDEX($AA$4:$AL$323,Ajustes!$J164,P$2),0)+IF(Ajustes!$K164&gt;0,INDEX($AA$5:$AL$324,Ajustes!$K164,P$2),0)+IF(Ajustes!$L164&gt;0,INDEX($AA$4:$AL$323,Ajustes!$L164,P$2),0) + P164</f>
        <v>185</v>
      </c>
      <c r="AC164">
        <f>IF(Ajustes!$G164&gt;0,INDEX($AA$4:$AL$323,Ajustes!$G164,Q$2),0)+IF(Ajustes!$H164&gt;0,INDEX($AA$4:$AL$323,Ajustes!$H164,Q$2),0)+IF(Ajustes!$I164&gt;0,INDEX($AA$4:$AL$323,Ajustes!$I164,Q$2),0)+IF(Ajustes!$J164&gt;0,INDEX($AA$4:$AL$323,Ajustes!$J164,Q$2),0)+IF(Ajustes!$K164&gt;0,INDEX($AA$5:$AL$324,Ajustes!$K164,Q$2),0)+IF(Ajustes!$L164&gt;0,INDEX($AA$4:$AL$323,Ajustes!$L164,Q$2),0) + Q164</f>
        <v>161</v>
      </c>
      <c r="AD164">
        <f>IF(Ajustes!$G164&gt;0,INDEX($AA$4:$AL$323,Ajustes!$G164,R$2),0)+IF(Ajustes!$H164&gt;0,INDEX($AA$4:$AL$323,Ajustes!$H164,R$2),0)+IF(Ajustes!$I164&gt;0,INDEX($AA$4:$AL$323,Ajustes!$I164,R$2),0)+IF(Ajustes!$J164&gt;0,INDEX($AA$4:$AL$323,Ajustes!$J164,R$2),0)+IF(Ajustes!$K164&gt;0,INDEX($AA$5:$AL$324,Ajustes!$K164,R$2),0)+IF(Ajustes!$L164&gt;0,INDEX($AA$4:$AL$323,Ajustes!$L164,R$2),0) + R164</f>
        <v>108</v>
      </c>
      <c r="AE164">
        <f>IF(Ajustes!$G164&gt;0,INDEX($AA$4:$AL$323,Ajustes!$G164,S$2),0)+IF(Ajustes!$H164&gt;0,INDEX($AA$4:$AL$323,Ajustes!$H164,S$2),0)+IF(Ajustes!$I164&gt;0,INDEX($AA$4:$AL$323,Ajustes!$I164,S$2),0)+IF(Ajustes!$J164&gt;0,INDEX($AA$4:$AL$323,Ajustes!$J164,S$2),0)+IF(Ajustes!$K164&gt;0,INDEX($AA$5:$AL$324,Ajustes!$K164,S$2),0)+IF(Ajustes!$L164&gt;0,INDEX($AA$4:$AL$323,Ajustes!$L164,S$2),0) + S164</f>
        <v>83</v>
      </c>
      <c r="AF164">
        <f>IF(Ajustes!$G164&gt;0,INDEX($AA$4:$AL$323,Ajustes!$G164,T$2),0)+IF(Ajustes!$H164&gt;0,INDEX($AA$4:$AL$323,Ajustes!$H164,T$2),0)+IF(Ajustes!$I164&gt;0,INDEX($AA$4:$AL$323,Ajustes!$I164,T$2),0)+IF(Ajustes!$J164&gt;0,INDEX($AA$4:$AL$323,Ajustes!$J164,T$2),0)+IF(Ajustes!$K164&gt;0,INDEX($AA$5:$AL$324,Ajustes!$K164,T$2),0)+IF(Ajustes!$L164&gt;0,INDEX($AA$4:$AL$323,Ajustes!$L164,T$2),0) + T164</f>
        <v>77</v>
      </c>
      <c r="AG164">
        <f>IF(Ajustes!$G164&gt;0,INDEX($AA$4:$AL$323,Ajustes!$G164,U$2),0)+IF(Ajustes!$H164&gt;0,INDEX($AA$4:$AL$323,Ajustes!$H164,U$2),0)+IF(Ajustes!$I164&gt;0,INDEX($AA$4:$AL$323,Ajustes!$I164,U$2),0)+IF(Ajustes!$J164&gt;0,INDEX($AA$4:$AL$323,Ajustes!$J164,U$2),0)+IF(Ajustes!$K164&gt;0,INDEX($AA$5:$AL$324,Ajustes!$K164,U$2),0)+IF(Ajustes!$L164&gt;0,INDEX($AA$4:$AL$323,Ajustes!$L164,U$2),0) + U164</f>
        <v>65</v>
      </c>
      <c r="AH164">
        <f>IF(Ajustes!$G164&gt;0,INDEX($AA$4:$AL$323,Ajustes!$G164,V$2),0)+IF(Ajustes!$H164&gt;0,INDEX($AA$4:$AL$323,Ajustes!$H164,V$2),0)+IF(Ajustes!$I164&gt;0,INDEX($AA$4:$AL$323,Ajustes!$I164,V$2),0)+IF(Ajustes!$J164&gt;0,INDEX($AA$4:$AL$323,Ajustes!$J164,V$2),0)+IF(Ajustes!$K164&gt;0,INDEX($AA$5:$AL$324,Ajustes!$K164,V$2),0)+IF(Ajustes!$L164&gt;0,INDEX($AA$4:$AL$323,Ajustes!$L164,V$2),0) + V164</f>
        <v>55</v>
      </c>
      <c r="AI164">
        <f>IF(Ajustes!$G164&gt;0,INDEX($AA$4:$AL$323,Ajustes!$G164,W$2),0)+IF(Ajustes!$H164&gt;0,INDEX($AA$4:$AL$323,Ajustes!$H164,W$2),0)+IF(Ajustes!$I164&gt;0,INDEX($AA$4:$AL$323,Ajustes!$I164,W$2),0)+IF(Ajustes!$J164&gt;0,INDEX($AA$4:$AL$323,Ajustes!$J164,W$2),0)+IF(Ajustes!$K164&gt;0,INDEX($AA$5:$AL$324,Ajustes!$K164,W$2),0)+IF(Ajustes!$L164&gt;0,INDEX($AA$4:$AL$323,Ajustes!$L164,W$2),0) + W164</f>
        <v>70</v>
      </c>
      <c r="AJ164">
        <f>IF(Ajustes!$G164&gt;0,INDEX($AA$4:$AL$323,Ajustes!$G164,X$2),0)+IF(Ajustes!$H164&gt;0,INDEX($AA$4:$AL$323,Ajustes!$H164,X$2),0)+IF(Ajustes!$I164&gt;0,INDEX($AA$4:$AL$323,Ajustes!$I164,X$2),0)+IF(Ajustes!$J164&gt;0,INDEX($AA$4:$AL$323,Ajustes!$J164,X$2),0)+IF(Ajustes!$K164&gt;0,INDEX($AA$5:$AL$324,Ajustes!$K164,X$2),0)+IF(Ajustes!$L164&gt;0,INDEX($AA$4:$AL$323,Ajustes!$L164,X$2),0) + X164</f>
        <v>91</v>
      </c>
      <c r="AK164">
        <f>IF(Ajustes!$G164&gt;0,INDEX($AA$4:$AL$323,Ajustes!$G164,Y$2),0)+IF(Ajustes!$H164&gt;0,INDEX($AA$4:$AL$323,Ajustes!$H164,Y$2),0)+IF(Ajustes!$I164&gt;0,INDEX($AA$4:$AL$323,Ajustes!$I164,Y$2),0)+IF(Ajustes!$J164&gt;0,INDEX($AA$4:$AL$323,Ajustes!$J164,Y$2),0)+IF(Ajustes!$K164&gt;0,INDEX($AA$5:$AL$324,Ajustes!$K164,Y$2),0)+IF(Ajustes!$L164&gt;0,INDEX($AA$4:$AL$323,Ajustes!$L164,Y$2),0) + Y164</f>
        <v>98</v>
      </c>
      <c r="AL164">
        <f>IF(Ajustes!$G164&gt;0,INDEX($AA$4:$AL$323,Ajustes!$G164,Z$2),0)+IF(Ajustes!$H164&gt;0,INDEX($AA$4:$AL$323,Ajustes!$H164,Z$2),0)+IF(Ajustes!$I164&gt;0,INDEX($AA$4:$AL$323,Ajustes!$I164,Z$2),0)+IF(Ajustes!$J164&gt;0,INDEX($AA$4:$AL$323,Ajustes!$J164,Z$2),0)+IF(Ajustes!$K164&gt;0,INDEX($AA$5:$AL$324,Ajustes!$K164,Z$2),0)+IF(Ajustes!$L164&gt;0,INDEX($AA$4:$AL$323,Ajustes!$L164,Z$2),0) + Z164</f>
        <v>130</v>
      </c>
      <c r="AM164" s="113">
        <f t="shared" si="39"/>
        <v>177</v>
      </c>
      <c r="AN164" s="113">
        <f t="shared" si="39"/>
        <v>185</v>
      </c>
      <c r="AO164" s="113">
        <f t="shared" si="39"/>
        <v>161</v>
      </c>
      <c r="AP164" s="113">
        <f t="shared" si="39"/>
        <v>108</v>
      </c>
      <c r="AQ164" s="113">
        <f t="shared" si="42"/>
        <v>83</v>
      </c>
      <c r="AR164" s="113">
        <f t="shared" si="40"/>
        <v>77</v>
      </c>
      <c r="AS164" s="113">
        <f t="shared" si="40"/>
        <v>65</v>
      </c>
      <c r="AT164" s="113">
        <f t="shared" si="40"/>
        <v>55</v>
      </c>
      <c r="AU164" s="113">
        <f t="shared" si="40"/>
        <v>70</v>
      </c>
      <c r="AV164" s="113">
        <f t="shared" si="43"/>
        <v>91</v>
      </c>
      <c r="AW164" s="113">
        <f t="shared" si="41"/>
        <v>98</v>
      </c>
      <c r="AX164" s="113">
        <f t="shared" si="41"/>
        <v>130</v>
      </c>
    </row>
    <row r="165" spans="1:50" x14ac:dyDescent="0.25">
      <c r="A165" s="113">
        <v>162</v>
      </c>
      <c r="B165" s="209"/>
      <c r="C165">
        <f>IFERROR(INDEX($BD$7:$BO$35,MATCH(Ajustes!$E$4:$E$323,$BC$7:$BC$35,0),$C$2:$N$2),1)</f>
        <v>1</v>
      </c>
      <c r="D165" s="113">
        <f>IFERROR(INDEX($BD$7:$BO$35,MATCH(Ajustes!$E$4:$E$323,$BC$7:$BC$35,0),$C$2:$N$2),1)</f>
        <v>1</v>
      </c>
      <c r="E165" s="113">
        <f>IFERROR(INDEX($BD$7:$BO$35,MATCH(Ajustes!$E$4:$E$323,$BC$7:$BC$35,0),$C$2:$N$2),1)</f>
        <v>1</v>
      </c>
      <c r="F165" s="113">
        <f>IFERROR(INDEX($BD$7:$BO$35,MATCH(Ajustes!$E$4:$E$323,$BC$7:$BC$35,0),$C$2:$N$2),1)</f>
        <v>1</v>
      </c>
      <c r="G165" s="113">
        <f>IFERROR(INDEX($BD$7:$BO$35,MATCH(Ajustes!$E$4:$E$323,$BC$7:$BC$35,0),$C$2:$N$2),1)</f>
        <v>1</v>
      </c>
      <c r="H165" s="113">
        <f>IFERROR(INDEX($BD$7:$BO$35,MATCH(Ajustes!$E$4:$E$323,$BC$7:$BC$35,0),$C$2:$N$2),1)</f>
        <v>1</v>
      </c>
      <c r="I165" s="113">
        <f>IFERROR(INDEX($BD$7:$BO$35,MATCH(Ajustes!$E$4:$E$323,$BC$7:$BC$35,0),$C$2:$N$2),1)</f>
        <v>1</v>
      </c>
      <c r="J165" s="113">
        <f>IFERROR(INDEX($BD$7:$BO$35,MATCH(Ajustes!$E$4:$E$323,$BC$7:$BC$35,0),$C$2:$N$2),1)</f>
        <v>1</v>
      </c>
      <c r="K165" s="113">
        <f>IFERROR(INDEX($BD$7:$BO$35,MATCH(Ajustes!$E$4:$E$323,$BC$7:$BC$35,0),$C$2:$N$2),1)</f>
        <v>1</v>
      </c>
      <c r="L165" s="113">
        <f>IFERROR(INDEX($BD$7:$BO$35,MATCH(Ajustes!$E$4:$E$323,$BC$7:$BC$35,0),$C$2:$N$2),1)</f>
        <v>1</v>
      </c>
      <c r="M165" s="113">
        <f>IFERROR(INDEX($BD$7:$BO$35,MATCH(Ajustes!$E$4:$E$323,$BC$7:$BC$35,0),$C$2:$N$2),1)</f>
        <v>1</v>
      </c>
      <c r="N165" s="113">
        <f>IFERROR(INDEX($BD$7:$BO$35,MATCH(Ajustes!$E$4:$E$323,$BC$7:$BC$35,0),$C$2:$N$2),1)</f>
        <v>1</v>
      </c>
      <c r="O165">
        <f>C165*Ajustes!AM165</f>
        <v>0</v>
      </c>
      <c r="P165">
        <f>D165*Ajustes!AN165</f>
        <v>0</v>
      </c>
      <c r="Q165">
        <f>E165*Ajustes!AO165</f>
        <v>0</v>
      </c>
      <c r="R165">
        <f>F165*Ajustes!AP165</f>
        <v>0</v>
      </c>
      <c r="S165">
        <f>G165*Ajustes!AQ165</f>
        <v>0</v>
      </c>
      <c r="T165">
        <f>H165*Ajustes!AR165</f>
        <v>0</v>
      </c>
      <c r="U165">
        <f>I165*Ajustes!AS165</f>
        <v>0</v>
      </c>
      <c r="V165">
        <f>J165*Ajustes!AT165</f>
        <v>0</v>
      </c>
      <c r="W165">
        <f>K165*Ajustes!AU165</f>
        <v>0</v>
      </c>
      <c r="X165">
        <f>L165*Ajustes!AV165</f>
        <v>0</v>
      </c>
      <c r="Y165">
        <f>M165*Ajustes!AW165</f>
        <v>0</v>
      </c>
      <c r="Z165">
        <f>N165*Ajustes!AX165</f>
        <v>0</v>
      </c>
      <c r="AA165">
        <f>IF(Ajustes!$G165&gt;0,INDEX($AA$4:$AL$323,Ajustes!$G165,O$2),0)+IF(Ajustes!$H165&gt;0,INDEX($AA$4:$AL$323,Ajustes!$H165,O$2),0)+IF(Ajustes!$I165&gt;0,INDEX($AA$4:$AL$323,Ajustes!$I165,O$2),0)+IF(Ajustes!$J165&gt;0,INDEX($AA$4:$AL$323,Ajustes!$J165,O$2),0)+IF(Ajustes!$K165&gt;0,INDEX($AA$5:$AL$324,Ajustes!$K165,O$2),0)+IF(Ajustes!$L165&gt;0,INDEX($AA$4:$AL$323,Ajustes!$L165,O$2),0) + O165</f>
        <v>0</v>
      </c>
      <c r="AB165">
        <f>IF(Ajustes!$G165&gt;0,INDEX($AA$4:$AL$323,Ajustes!$G165,P$2),0)+IF(Ajustes!$H165&gt;0,INDEX($AA$4:$AL$323,Ajustes!$H165,P$2),0)+IF(Ajustes!$I165&gt;0,INDEX($AA$4:$AL$323,Ajustes!$I165,P$2),0)+IF(Ajustes!$J165&gt;0,INDEX($AA$4:$AL$323,Ajustes!$J165,P$2),0)+IF(Ajustes!$K165&gt;0,INDEX($AA$5:$AL$324,Ajustes!$K165,P$2),0)+IF(Ajustes!$L165&gt;0,INDEX($AA$4:$AL$323,Ajustes!$L165,P$2),0) + P165</f>
        <v>0</v>
      </c>
      <c r="AC165">
        <f>IF(Ajustes!$G165&gt;0,INDEX($AA$4:$AL$323,Ajustes!$G165,Q$2),0)+IF(Ajustes!$H165&gt;0,INDEX($AA$4:$AL$323,Ajustes!$H165,Q$2),0)+IF(Ajustes!$I165&gt;0,INDEX($AA$4:$AL$323,Ajustes!$I165,Q$2),0)+IF(Ajustes!$J165&gt;0,INDEX($AA$4:$AL$323,Ajustes!$J165,Q$2),0)+IF(Ajustes!$K165&gt;0,INDEX($AA$5:$AL$324,Ajustes!$K165,Q$2),0)+IF(Ajustes!$L165&gt;0,INDEX($AA$4:$AL$323,Ajustes!$L165,Q$2),0) + Q165</f>
        <v>0</v>
      </c>
      <c r="AD165">
        <f>IF(Ajustes!$G165&gt;0,INDEX($AA$4:$AL$323,Ajustes!$G165,R$2),0)+IF(Ajustes!$H165&gt;0,INDEX($AA$4:$AL$323,Ajustes!$H165,R$2),0)+IF(Ajustes!$I165&gt;0,INDEX($AA$4:$AL$323,Ajustes!$I165,R$2),0)+IF(Ajustes!$J165&gt;0,INDEX($AA$4:$AL$323,Ajustes!$J165,R$2),0)+IF(Ajustes!$K165&gt;0,INDEX($AA$5:$AL$324,Ajustes!$K165,R$2),0)+IF(Ajustes!$L165&gt;0,INDEX($AA$4:$AL$323,Ajustes!$L165,R$2),0) + R165</f>
        <v>0</v>
      </c>
      <c r="AE165">
        <f>IF(Ajustes!$G165&gt;0,INDEX($AA$4:$AL$323,Ajustes!$G165,S$2),0)+IF(Ajustes!$H165&gt;0,INDEX($AA$4:$AL$323,Ajustes!$H165,S$2),0)+IF(Ajustes!$I165&gt;0,INDEX($AA$4:$AL$323,Ajustes!$I165,S$2),0)+IF(Ajustes!$J165&gt;0,INDEX($AA$4:$AL$323,Ajustes!$J165,S$2),0)+IF(Ajustes!$K165&gt;0,INDEX($AA$5:$AL$324,Ajustes!$K165,S$2),0)+IF(Ajustes!$L165&gt;0,INDEX($AA$4:$AL$323,Ajustes!$L165,S$2),0) + S165</f>
        <v>0</v>
      </c>
      <c r="AF165">
        <f>IF(Ajustes!$G165&gt;0,INDEX($AA$4:$AL$323,Ajustes!$G165,T$2),0)+IF(Ajustes!$H165&gt;0,INDEX($AA$4:$AL$323,Ajustes!$H165,T$2),0)+IF(Ajustes!$I165&gt;0,INDEX($AA$4:$AL$323,Ajustes!$I165,T$2),0)+IF(Ajustes!$J165&gt;0,INDEX($AA$4:$AL$323,Ajustes!$J165,T$2),0)+IF(Ajustes!$K165&gt;0,INDEX($AA$5:$AL$324,Ajustes!$K165,T$2),0)+IF(Ajustes!$L165&gt;0,INDEX($AA$4:$AL$323,Ajustes!$L165,T$2),0) + T165</f>
        <v>0</v>
      </c>
      <c r="AG165">
        <f>IF(Ajustes!$G165&gt;0,INDEX($AA$4:$AL$323,Ajustes!$G165,U$2),0)+IF(Ajustes!$H165&gt;0,INDEX($AA$4:$AL$323,Ajustes!$H165,U$2),0)+IF(Ajustes!$I165&gt;0,INDEX($AA$4:$AL$323,Ajustes!$I165,U$2),0)+IF(Ajustes!$J165&gt;0,INDEX($AA$4:$AL$323,Ajustes!$J165,U$2),0)+IF(Ajustes!$K165&gt;0,INDEX($AA$5:$AL$324,Ajustes!$K165,U$2),0)+IF(Ajustes!$L165&gt;0,INDEX($AA$4:$AL$323,Ajustes!$L165,U$2),0) + U165</f>
        <v>0</v>
      </c>
      <c r="AH165">
        <f>IF(Ajustes!$G165&gt;0,INDEX($AA$4:$AL$323,Ajustes!$G165,V$2),0)+IF(Ajustes!$H165&gt;0,INDEX($AA$4:$AL$323,Ajustes!$H165,V$2),0)+IF(Ajustes!$I165&gt;0,INDEX($AA$4:$AL$323,Ajustes!$I165,V$2),0)+IF(Ajustes!$J165&gt;0,INDEX($AA$4:$AL$323,Ajustes!$J165,V$2),0)+IF(Ajustes!$K165&gt;0,INDEX($AA$5:$AL$324,Ajustes!$K165,V$2),0)+IF(Ajustes!$L165&gt;0,INDEX($AA$4:$AL$323,Ajustes!$L165,V$2),0) + V165</f>
        <v>0</v>
      </c>
      <c r="AI165">
        <f>IF(Ajustes!$G165&gt;0,INDEX($AA$4:$AL$323,Ajustes!$G165,W$2),0)+IF(Ajustes!$H165&gt;0,INDEX($AA$4:$AL$323,Ajustes!$H165,W$2),0)+IF(Ajustes!$I165&gt;0,INDEX($AA$4:$AL$323,Ajustes!$I165,W$2),0)+IF(Ajustes!$J165&gt;0,INDEX($AA$4:$AL$323,Ajustes!$J165,W$2),0)+IF(Ajustes!$K165&gt;0,INDEX($AA$5:$AL$324,Ajustes!$K165,W$2),0)+IF(Ajustes!$L165&gt;0,INDEX($AA$4:$AL$323,Ajustes!$L165,W$2),0) + W165</f>
        <v>0</v>
      </c>
      <c r="AJ165">
        <f>IF(Ajustes!$G165&gt;0,INDEX($AA$4:$AL$323,Ajustes!$G165,X$2),0)+IF(Ajustes!$H165&gt;0,INDEX($AA$4:$AL$323,Ajustes!$H165,X$2),0)+IF(Ajustes!$I165&gt;0,INDEX($AA$4:$AL$323,Ajustes!$I165,X$2),0)+IF(Ajustes!$J165&gt;0,INDEX($AA$4:$AL$323,Ajustes!$J165,X$2),0)+IF(Ajustes!$K165&gt;0,INDEX($AA$5:$AL$324,Ajustes!$K165,X$2),0)+IF(Ajustes!$L165&gt;0,INDEX($AA$4:$AL$323,Ajustes!$L165,X$2),0) + X165</f>
        <v>0</v>
      </c>
      <c r="AK165">
        <f>IF(Ajustes!$G165&gt;0,INDEX($AA$4:$AL$323,Ajustes!$G165,Y$2),0)+IF(Ajustes!$H165&gt;0,INDEX($AA$4:$AL$323,Ajustes!$H165,Y$2),0)+IF(Ajustes!$I165&gt;0,INDEX($AA$4:$AL$323,Ajustes!$I165,Y$2),0)+IF(Ajustes!$J165&gt;0,INDEX($AA$4:$AL$323,Ajustes!$J165,Y$2),0)+IF(Ajustes!$K165&gt;0,INDEX($AA$5:$AL$324,Ajustes!$K165,Y$2),0)+IF(Ajustes!$L165&gt;0,INDEX($AA$4:$AL$323,Ajustes!$L165,Y$2),0) + Y165</f>
        <v>0</v>
      </c>
      <c r="AL165">
        <f>IF(Ajustes!$G165&gt;0,INDEX($AA$4:$AL$323,Ajustes!$G165,Z$2),0)+IF(Ajustes!$H165&gt;0,INDEX($AA$4:$AL$323,Ajustes!$H165,Z$2),0)+IF(Ajustes!$I165&gt;0,INDEX($AA$4:$AL$323,Ajustes!$I165,Z$2),0)+IF(Ajustes!$J165&gt;0,INDEX($AA$4:$AL$323,Ajustes!$J165,Z$2),0)+IF(Ajustes!$K165&gt;0,INDEX($AA$5:$AL$324,Ajustes!$K165,Z$2),0)+IF(Ajustes!$L165&gt;0,INDEX($AA$4:$AL$323,Ajustes!$L165,Z$2),0) + Z165</f>
        <v>0</v>
      </c>
      <c r="AM165" s="113">
        <f t="shared" si="39"/>
        <v>0</v>
      </c>
      <c r="AN165" s="113">
        <f t="shared" si="39"/>
        <v>0</v>
      </c>
      <c r="AO165" s="113">
        <f t="shared" si="39"/>
        <v>0</v>
      </c>
      <c r="AP165" s="113">
        <f t="shared" si="39"/>
        <v>0</v>
      </c>
      <c r="AQ165" s="113">
        <f t="shared" si="42"/>
        <v>0</v>
      </c>
      <c r="AR165" s="113">
        <f t="shared" si="40"/>
        <v>0</v>
      </c>
      <c r="AS165" s="113">
        <f t="shared" si="40"/>
        <v>0</v>
      </c>
      <c r="AT165" s="113">
        <f t="shared" si="40"/>
        <v>0</v>
      </c>
      <c r="AU165" s="113">
        <f t="shared" si="40"/>
        <v>0</v>
      </c>
      <c r="AV165" s="113">
        <f t="shared" si="43"/>
        <v>0</v>
      </c>
      <c r="AW165" s="113">
        <f t="shared" si="41"/>
        <v>0</v>
      </c>
      <c r="AX165" s="113">
        <f t="shared" si="41"/>
        <v>0</v>
      </c>
    </row>
    <row r="166" spans="1:50" x14ac:dyDescent="0.25">
      <c r="A166" s="113">
        <v>163</v>
      </c>
      <c r="B166" s="209"/>
      <c r="C166">
        <f>IFERROR(INDEX($BD$7:$BO$35,MATCH(Ajustes!$E$4:$E$323,$BC$7:$BC$35,0),$C$2:$N$2),1)</f>
        <v>1</v>
      </c>
      <c r="D166" s="113">
        <f>IFERROR(INDEX($BD$7:$BO$35,MATCH(Ajustes!$E$4:$E$323,$BC$7:$BC$35,0),$C$2:$N$2),1)</f>
        <v>1</v>
      </c>
      <c r="E166" s="113">
        <f>IFERROR(INDEX($BD$7:$BO$35,MATCH(Ajustes!$E$4:$E$323,$BC$7:$BC$35,0),$C$2:$N$2),1)</f>
        <v>1</v>
      </c>
      <c r="F166" s="113">
        <f>IFERROR(INDEX($BD$7:$BO$35,MATCH(Ajustes!$E$4:$E$323,$BC$7:$BC$35,0),$C$2:$N$2),1)</f>
        <v>1</v>
      </c>
      <c r="G166" s="113">
        <f>IFERROR(INDEX($BD$7:$BO$35,MATCH(Ajustes!$E$4:$E$323,$BC$7:$BC$35,0),$C$2:$N$2),1)</f>
        <v>1</v>
      </c>
      <c r="H166" s="113">
        <f>IFERROR(INDEX($BD$7:$BO$35,MATCH(Ajustes!$E$4:$E$323,$BC$7:$BC$35,0),$C$2:$N$2),1)</f>
        <v>1</v>
      </c>
      <c r="I166" s="113">
        <f>IFERROR(INDEX($BD$7:$BO$35,MATCH(Ajustes!$E$4:$E$323,$BC$7:$BC$35,0),$C$2:$N$2),1)</f>
        <v>1</v>
      </c>
      <c r="J166" s="113">
        <f>IFERROR(INDEX($BD$7:$BO$35,MATCH(Ajustes!$E$4:$E$323,$BC$7:$BC$35,0),$C$2:$N$2),1)</f>
        <v>1</v>
      </c>
      <c r="K166" s="113">
        <f>IFERROR(INDEX($BD$7:$BO$35,MATCH(Ajustes!$E$4:$E$323,$BC$7:$BC$35,0),$C$2:$N$2),1)</f>
        <v>1</v>
      </c>
      <c r="L166" s="113">
        <f>IFERROR(INDEX($BD$7:$BO$35,MATCH(Ajustes!$E$4:$E$323,$BC$7:$BC$35,0),$C$2:$N$2),1)</f>
        <v>1</v>
      </c>
      <c r="M166" s="113">
        <f>IFERROR(INDEX($BD$7:$BO$35,MATCH(Ajustes!$E$4:$E$323,$BC$7:$BC$35,0),$C$2:$N$2),1)</f>
        <v>1</v>
      </c>
      <c r="N166" s="113">
        <f>IFERROR(INDEX($BD$7:$BO$35,MATCH(Ajustes!$E$4:$E$323,$BC$7:$BC$35,0),$C$2:$N$2),1)</f>
        <v>1</v>
      </c>
      <c r="O166">
        <f>C166*Ajustes!AM166</f>
        <v>0</v>
      </c>
      <c r="P166">
        <f>D166*Ajustes!AN166</f>
        <v>0</v>
      </c>
      <c r="Q166">
        <f>E166*Ajustes!AO166</f>
        <v>0</v>
      </c>
      <c r="R166">
        <f>F166*Ajustes!AP166</f>
        <v>0</v>
      </c>
      <c r="S166">
        <f>G166*Ajustes!AQ166</f>
        <v>0</v>
      </c>
      <c r="T166">
        <f>H166*Ajustes!AR166</f>
        <v>0</v>
      </c>
      <c r="U166">
        <f>I166*Ajustes!AS166</f>
        <v>0</v>
      </c>
      <c r="V166">
        <f>J166*Ajustes!AT166</f>
        <v>0</v>
      </c>
      <c r="W166">
        <f>K166*Ajustes!AU166</f>
        <v>0</v>
      </c>
      <c r="X166">
        <f>L166*Ajustes!AV166</f>
        <v>0</v>
      </c>
      <c r="Y166">
        <f>M166*Ajustes!AW166</f>
        <v>0</v>
      </c>
      <c r="Z166">
        <f>N166*Ajustes!AX166</f>
        <v>0</v>
      </c>
      <c r="AA166">
        <f>IF(Ajustes!$G166&gt;0,INDEX($AA$4:$AL$323,Ajustes!$G166,O$2),0)+IF(Ajustes!$H166&gt;0,INDEX($AA$4:$AL$323,Ajustes!$H166,O$2),0)+IF(Ajustes!$I166&gt;0,INDEX($AA$4:$AL$323,Ajustes!$I166,O$2),0)+IF(Ajustes!$J166&gt;0,INDEX($AA$4:$AL$323,Ajustes!$J166,O$2),0)+IF(Ajustes!$K166&gt;0,INDEX($AA$5:$AL$324,Ajustes!$K166,O$2),0)+IF(Ajustes!$L166&gt;0,INDEX($AA$4:$AL$323,Ajustes!$L166,O$2),0) + O166</f>
        <v>0</v>
      </c>
      <c r="AB166">
        <f>IF(Ajustes!$G166&gt;0,INDEX($AA$4:$AL$323,Ajustes!$G166,P$2),0)+IF(Ajustes!$H166&gt;0,INDEX($AA$4:$AL$323,Ajustes!$H166,P$2),0)+IF(Ajustes!$I166&gt;0,INDEX($AA$4:$AL$323,Ajustes!$I166,P$2),0)+IF(Ajustes!$J166&gt;0,INDEX($AA$4:$AL$323,Ajustes!$J166,P$2),0)+IF(Ajustes!$K166&gt;0,INDEX($AA$5:$AL$324,Ajustes!$K166,P$2),0)+IF(Ajustes!$L166&gt;0,INDEX($AA$4:$AL$323,Ajustes!$L166,P$2),0) + P166</f>
        <v>0</v>
      </c>
      <c r="AC166">
        <f>IF(Ajustes!$G166&gt;0,INDEX($AA$4:$AL$323,Ajustes!$G166,Q$2),0)+IF(Ajustes!$H166&gt;0,INDEX($AA$4:$AL$323,Ajustes!$H166,Q$2),0)+IF(Ajustes!$I166&gt;0,INDEX($AA$4:$AL$323,Ajustes!$I166,Q$2),0)+IF(Ajustes!$J166&gt;0,INDEX($AA$4:$AL$323,Ajustes!$J166,Q$2),0)+IF(Ajustes!$K166&gt;0,INDEX($AA$5:$AL$324,Ajustes!$K166,Q$2),0)+IF(Ajustes!$L166&gt;0,INDEX($AA$4:$AL$323,Ajustes!$L166,Q$2),0) + Q166</f>
        <v>0</v>
      </c>
      <c r="AD166">
        <f>IF(Ajustes!$G166&gt;0,INDEX($AA$4:$AL$323,Ajustes!$G166,R$2),0)+IF(Ajustes!$H166&gt;0,INDEX($AA$4:$AL$323,Ajustes!$H166,R$2),0)+IF(Ajustes!$I166&gt;0,INDEX($AA$4:$AL$323,Ajustes!$I166,R$2),0)+IF(Ajustes!$J166&gt;0,INDEX($AA$4:$AL$323,Ajustes!$J166,R$2),0)+IF(Ajustes!$K166&gt;0,INDEX($AA$5:$AL$324,Ajustes!$K166,R$2),0)+IF(Ajustes!$L166&gt;0,INDEX($AA$4:$AL$323,Ajustes!$L166,R$2),0) + R166</f>
        <v>0</v>
      </c>
      <c r="AE166">
        <f>IF(Ajustes!$G166&gt;0,INDEX($AA$4:$AL$323,Ajustes!$G166,S$2),0)+IF(Ajustes!$H166&gt;0,INDEX($AA$4:$AL$323,Ajustes!$H166,S$2),0)+IF(Ajustes!$I166&gt;0,INDEX($AA$4:$AL$323,Ajustes!$I166,S$2),0)+IF(Ajustes!$J166&gt;0,INDEX($AA$4:$AL$323,Ajustes!$J166,S$2),0)+IF(Ajustes!$K166&gt;0,INDEX($AA$5:$AL$324,Ajustes!$K166,S$2),0)+IF(Ajustes!$L166&gt;0,INDEX($AA$4:$AL$323,Ajustes!$L166,S$2),0) + S166</f>
        <v>0</v>
      </c>
      <c r="AF166">
        <f>IF(Ajustes!$G166&gt;0,INDEX($AA$4:$AL$323,Ajustes!$G166,T$2),0)+IF(Ajustes!$H166&gt;0,INDEX($AA$4:$AL$323,Ajustes!$H166,T$2),0)+IF(Ajustes!$I166&gt;0,INDEX($AA$4:$AL$323,Ajustes!$I166,T$2),0)+IF(Ajustes!$J166&gt;0,INDEX($AA$4:$AL$323,Ajustes!$J166,T$2),0)+IF(Ajustes!$K166&gt;0,INDEX($AA$5:$AL$324,Ajustes!$K166,T$2),0)+IF(Ajustes!$L166&gt;0,INDEX($AA$4:$AL$323,Ajustes!$L166,T$2),0) + T166</f>
        <v>0</v>
      </c>
      <c r="AG166">
        <f>IF(Ajustes!$G166&gt;0,INDEX($AA$4:$AL$323,Ajustes!$G166,U$2),0)+IF(Ajustes!$H166&gt;0,INDEX($AA$4:$AL$323,Ajustes!$H166,U$2),0)+IF(Ajustes!$I166&gt;0,INDEX($AA$4:$AL$323,Ajustes!$I166,U$2),0)+IF(Ajustes!$J166&gt;0,INDEX($AA$4:$AL$323,Ajustes!$J166,U$2),0)+IF(Ajustes!$K166&gt;0,INDEX($AA$5:$AL$324,Ajustes!$K166,U$2),0)+IF(Ajustes!$L166&gt;0,INDEX($AA$4:$AL$323,Ajustes!$L166,U$2),0) + U166</f>
        <v>0</v>
      </c>
      <c r="AH166">
        <f>IF(Ajustes!$G166&gt;0,INDEX($AA$4:$AL$323,Ajustes!$G166,V$2),0)+IF(Ajustes!$H166&gt;0,INDEX($AA$4:$AL$323,Ajustes!$H166,V$2),0)+IF(Ajustes!$I166&gt;0,INDEX($AA$4:$AL$323,Ajustes!$I166,V$2),0)+IF(Ajustes!$J166&gt;0,INDEX($AA$4:$AL$323,Ajustes!$J166,V$2),0)+IF(Ajustes!$K166&gt;0,INDEX($AA$5:$AL$324,Ajustes!$K166,V$2),0)+IF(Ajustes!$L166&gt;0,INDEX($AA$4:$AL$323,Ajustes!$L166,V$2),0) + V166</f>
        <v>0</v>
      </c>
      <c r="AI166">
        <f>IF(Ajustes!$G166&gt;0,INDEX($AA$4:$AL$323,Ajustes!$G166,W$2),0)+IF(Ajustes!$H166&gt;0,INDEX($AA$4:$AL$323,Ajustes!$H166,W$2),0)+IF(Ajustes!$I166&gt;0,INDEX($AA$4:$AL$323,Ajustes!$I166,W$2),0)+IF(Ajustes!$J166&gt;0,INDEX($AA$4:$AL$323,Ajustes!$J166,W$2),0)+IF(Ajustes!$K166&gt;0,INDEX($AA$5:$AL$324,Ajustes!$K166,W$2),0)+IF(Ajustes!$L166&gt;0,INDEX($AA$4:$AL$323,Ajustes!$L166,W$2),0) + W166</f>
        <v>0</v>
      </c>
      <c r="AJ166">
        <f>IF(Ajustes!$G166&gt;0,INDEX($AA$4:$AL$323,Ajustes!$G166,X$2),0)+IF(Ajustes!$H166&gt;0,INDEX($AA$4:$AL$323,Ajustes!$H166,X$2),0)+IF(Ajustes!$I166&gt;0,INDEX($AA$4:$AL$323,Ajustes!$I166,X$2),0)+IF(Ajustes!$J166&gt;0,INDEX($AA$4:$AL$323,Ajustes!$J166,X$2),0)+IF(Ajustes!$K166&gt;0,INDEX($AA$5:$AL$324,Ajustes!$K166,X$2),0)+IF(Ajustes!$L166&gt;0,INDEX($AA$4:$AL$323,Ajustes!$L166,X$2),0) + X166</f>
        <v>0</v>
      </c>
      <c r="AK166">
        <f>IF(Ajustes!$G166&gt;0,INDEX($AA$4:$AL$323,Ajustes!$G166,Y$2),0)+IF(Ajustes!$H166&gt;0,INDEX($AA$4:$AL$323,Ajustes!$H166,Y$2),0)+IF(Ajustes!$I166&gt;0,INDEX($AA$4:$AL$323,Ajustes!$I166,Y$2),0)+IF(Ajustes!$J166&gt;0,INDEX($AA$4:$AL$323,Ajustes!$J166,Y$2),0)+IF(Ajustes!$K166&gt;0,INDEX($AA$5:$AL$324,Ajustes!$K166,Y$2),0)+IF(Ajustes!$L166&gt;0,INDEX($AA$4:$AL$323,Ajustes!$L166,Y$2),0) + Y166</f>
        <v>0</v>
      </c>
      <c r="AL166">
        <f>IF(Ajustes!$G166&gt;0,INDEX($AA$4:$AL$323,Ajustes!$G166,Z$2),0)+IF(Ajustes!$H166&gt;0,INDEX($AA$4:$AL$323,Ajustes!$H166,Z$2),0)+IF(Ajustes!$I166&gt;0,INDEX($AA$4:$AL$323,Ajustes!$I166,Z$2),0)+IF(Ajustes!$J166&gt;0,INDEX($AA$4:$AL$323,Ajustes!$J166,Z$2),0)+IF(Ajustes!$K166&gt;0,INDEX($AA$5:$AL$324,Ajustes!$K166,Z$2),0)+IF(Ajustes!$L166&gt;0,INDEX($AA$4:$AL$323,Ajustes!$L166,Z$2),0) + Z166</f>
        <v>0</v>
      </c>
      <c r="AM166" s="113">
        <f t="shared" si="39"/>
        <v>0</v>
      </c>
      <c r="AN166" s="113">
        <f t="shared" si="39"/>
        <v>0</v>
      </c>
      <c r="AO166" s="113">
        <f t="shared" si="39"/>
        <v>0</v>
      </c>
      <c r="AP166" s="113">
        <f t="shared" si="39"/>
        <v>0</v>
      </c>
      <c r="AQ166" s="113">
        <f t="shared" si="42"/>
        <v>0</v>
      </c>
      <c r="AR166" s="113">
        <f t="shared" si="40"/>
        <v>0</v>
      </c>
      <c r="AS166" s="113">
        <f t="shared" si="40"/>
        <v>0</v>
      </c>
      <c r="AT166" s="113">
        <f t="shared" si="40"/>
        <v>0</v>
      </c>
      <c r="AU166" s="113">
        <f t="shared" si="40"/>
        <v>0</v>
      </c>
      <c r="AV166" s="113">
        <f t="shared" si="43"/>
        <v>0</v>
      </c>
      <c r="AW166" s="113">
        <f t="shared" si="41"/>
        <v>0</v>
      </c>
      <c r="AX166" s="113">
        <f t="shared" si="41"/>
        <v>0</v>
      </c>
    </row>
    <row r="167" spans="1:50" x14ac:dyDescent="0.25">
      <c r="A167" s="113">
        <v>164</v>
      </c>
      <c r="B167" s="209" t="s">
        <v>615</v>
      </c>
      <c r="C167">
        <f>IFERROR(INDEX($BD$7:$BO$35,MATCH(Ajustes!$E$4:$E$323,$BC$7:$BC$35,0),$C$2:$N$2),1)</f>
        <v>1</v>
      </c>
      <c r="D167" s="113">
        <f>IFERROR(INDEX($BD$7:$BO$35,MATCH(Ajustes!$E$4:$E$323,$BC$7:$BC$35,0),$C$2:$N$2),1)</f>
        <v>1</v>
      </c>
      <c r="E167" s="113">
        <f>IFERROR(INDEX($BD$7:$BO$35,MATCH(Ajustes!$E$4:$E$323,$BC$7:$BC$35,0),$C$2:$N$2),1)</f>
        <v>1</v>
      </c>
      <c r="F167" s="113">
        <f>IFERROR(INDEX($BD$7:$BO$35,MATCH(Ajustes!$E$4:$E$323,$BC$7:$BC$35,0),$C$2:$N$2),1)</f>
        <v>1</v>
      </c>
      <c r="G167" s="113">
        <f>IFERROR(INDEX($BD$7:$BO$35,MATCH(Ajustes!$E$4:$E$323,$BC$7:$BC$35,0),$C$2:$N$2),1)</f>
        <v>1</v>
      </c>
      <c r="H167" s="113">
        <f>IFERROR(INDEX($BD$7:$BO$35,MATCH(Ajustes!$E$4:$E$323,$BC$7:$BC$35,0),$C$2:$N$2),1)</f>
        <v>1</v>
      </c>
      <c r="I167" s="113">
        <f>IFERROR(INDEX($BD$7:$BO$35,MATCH(Ajustes!$E$4:$E$323,$BC$7:$BC$35,0),$C$2:$N$2),1)</f>
        <v>1</v>
      </c>
      <c r="J167" s="113">
        <f>IFERROR(INDEX($BD$7:$BO$35,MATCH(Ajustes!$E$4:$E$323,$BC$7:$BC$35,0),$C$2:$N$2),1)</f>
        <v>1</v>
      </c>
      <c r="K167" s="113">
        <f>IFERROR(INDEX($BD$7:$BO$35,MATCH(Ajustes!$E$4:$E$323,$BC$7:$BC$35,0),$C$2:$N$2),1)</f>
        <v>1</v>
      </c>
      <c r="L167" s="113">
        <f>IFERROR(INDEX($BD$7:$BO$35,MATCH(Ajustes!$E$4:$E$323,$BC$7:$BC$35,0),$C$2:$N$2),1)</f>
        <v>1</v>
      </c>
      <c r="M167" s="113">
        <f>IFERROR(INDEX($BD$7:$BO$35,MATCH(Ajustes!$E$4:$E$323,$BC$7:$BC$35,0),$C$2:$N$2),1)</f>
        <v>1</v>
      </c>
      <c r="N167" s="113">
        <f>IFERROR(INDEX($BD$7:$BO$35,MATCH(Ajustes!$E$4:$E$323,$BC$7:$BC$35,0),$C$2:$N$2),1)</f>
        <v>1</v>
      </c>
      <c r="O167">
        <f>C167*Ajustes!AM167</f>
        <v>132</v>
      </c>
      <c r="P167">
        <f>D167*Ajustes!AN167</f>
        <v>139</v>
      </c>
      <c r="Q167">
        <f>E167*Ajustes!AO167</f>
        <v>120</v>
      </c>
      <c r="R167">
        <f>F167*Ajustes!AP167</f>
        <v>78</v>
      </c>
      <c r="S167">
        <f>G167*Ajustes!AQ167</f>
        <v>61</v>
      </c>
      <c r="T167">
        <f>H167*Ajustes!AR167</f>
        <v>57</v>
      </c>
      <c r="U167">
        <f>I167*Ajustes!AS167</f>
        <v>47</v>
      </c>
      <c r="V167">
        <f>J167*Ajustes!AT167</f>
        <v>39</v>
      </c>
      <c r="W167">
        <f>K167*Ajustes!AU167</f>
        <v>49</v>
      </c>
      <c r="X167">
        <f>L167*Ajustes!AV167</f>
        <v>64</v>
      </c>
      <c r="Y167">
        <f>M167*Ajustes!AW167</f>
        <v>71</v>
      </c>
      <c r="Z167">
        <f>N167*Ajustes!AX167</f>
        <v>95</v>
      </c>
      <c r="AA167">
        <f>IF(Ajustes!$G167&gt;0,INDEX($AA$4:$AL$323,Ajustes!$G167,O$2),0)+IF(Ajustes!$H167&gt;0,INDEX($AA$4:$AL$323,Ajustes!$H167,O$2),0)+IF(Ajustes!$I167&gt;0,INDEX($AA$4:$AL$323,Ajustes!$I167,O$2),0)+IF(Ajustes!$J167&gt;0,INDEX($AA$4:$AL$323,Ajustes!$J167,O$2),0)+IF(Ajustes!$K167&gt;0,INDEX($AA$5:$AL$324,Ajustes!$K167,O$2),0)+IF(Ajustes!$L167&gt;0,INDEX($AA$4:$AL$323,Ajustes!$L167,O$2),0) + O167</f>
        <v>132</v>
      </c>
      <c r="AB167">
        <f>IF(Ajustes!$G167&gt;0,INDEX($AA$4:$AL$323,Ajustes!$G167,P$2),0)+IF(Ajustes!$H167&gt;0,INDEX($AA$4:$AL$323,Ajustes!$H167,P$2),0)+IF(Ajustes!$I167&gt;0,INDEX($AA$4:$AL$323,Ajustes!$I167,P$2),0)+IF(Ajustes!$J167&gt;0,INDEX($AA$4:$AL$323,Ajustes!$J167,P$2),0)+IF(Ajustes!$K167&gt;0,INDEX($AA$5:$AL$324,Ajustes!$K167,P$2),0)+IF(Ajustes!$L167&gt;0,INDEX($AA$4:$AL$323,Ajustes!$L167,P$2),0) + P167</f>
        <v>139</v>
      </c>
      <c r="AC167">
        <f>IF(Ajustes!$G167&gt;0,INDEX($AA$4:$AL$323,Ajustes!$G167,Q$2),0)+IF(Ajustes!$H167&gt;0,INDEX($AA$4:$AL$323,Ajustes!$H167,Q$2),0)+IF(Ajustes!$I167&gt;0,INDEX($AA$4:$AL$323,Ajustes!$I167,Q$2),0)+IF(Ajustes!$J167&gt;0,INDEX($AA$4:$AL$323,Ajustes!$J167,Q$2),0)+IF(Ajustes!$K167&gt;0,INDEX($AA$5:$AL$324,Ajustes!$K167,Q$2),0)+IF(Ajustes!$L167&gt;0,INDEX($AA$4:$AL$323,Ajustes!$L167,Q$2),0) + Q167</f>
        <v>120</v>
      </c>
      <c r="AD167">
        <f>IF(Ajustes!$G167&gt;0,INDEX($AA$4:$AL$323,Ajustes!$G167,R$2),0)+IF(Ajustes!$H167&gt;0,INDEX($AA$4:$AL$323,Ajustes!$H167,R$2),0)+IF(Ajustes!$I167&gt;0,INDEX($AA$4:$AL$323,Ajustes!$I167,R$2),0)+IF(Ajustes!$J167&gt;0,INDEX($AA$4:$AL$323,Ajustes!$J167,R$2),0)+IF(Ajustes!$K167&gt;0,INDEX($AA$5:$AL$324,Ajustes!$K167,R$2),0)+IF(Ajustes!$L167&gt;0,INDEX($AA$4:$AL$323,Ajustes!$L167,R$2),0) + R167</f>
        <v>78</v>
      </c>
      <c r="AE167">
        <f>IF(Ajustes!$G167&gt;0,INDEX($AA$4:$AL$323,Ajustes!$G167,S$2),0)+IF(Ajustes!$H167&gt;0,INDEX($AA$4:$AL$323,Ajustes!$H167,S$2),0)+IF(Ajustes!$I167&gt;0,INDEX($AA$4:$AL$323,Ajustes!$I167,S$2),0)+IF(Ajustes!$J167&gt;0,INDEX($AA$4:$AL$323,Ajustes!$J167,S$2),0)+IF(Ajustes!$K167&gt;0,INDEX($AA$5:$AL$324,Ajustes!$K167,S$2),0)+IF(Ajustes!$L167&gt;0,INDEX($AA$4:$AL$323,Ajustes!$L167,S$2),0) + S167</f>
        <v>61</v>
      </c>
      <c r="AF167">
        <f>IF(Ajustes!$G167&gt;0,INDEX($AA$4:$AL$323,Ajustes!$G167,T$2),0)+IF(Ajustes!$H167&gt;0,INDEX($AA$4:$AL$323,Ajustes!$H167,T$2),0)+IF(Ajustes!$I167&gt;0,INDEX($AA$4:$AL$323,Ajustes!$I167,T$2),0)+IF(Ajustes!$J167&gt;0,INDEX($AA$4:$AL$323,Ajustes!$J167,T$2),0)+IF(Ajustes!$K167&gt;0,INDEX($AA$5:$AL$324,Ajustes!$K167,T$2),0)+IF(Ajustes!$L167&gt;0,INDEX($AA$4:$AL$323,Ajustes!$L167,T$2),0) + T167</f>
        <v>57</v>
      </c>
      <c r="AG167">
        <f>IF(Ajustes!$G167&gt;0,INDEX($AA$4:$AL$323,Ajustes!$G167,U$2),0)+IF(Ajustes!$H167&gt;0,INDEX($AA$4:$AL$323,Ajustes!$H167,U$2),0)+IF(Ajustes!$I167&gt;0,INDEX($AA$4:$AL$323,Ajustes!$I167,U$2),0)+IF(Ajustes!$J167&gt;0,INDEX($AA$4:$AL$323,Ajustes!$J167,U$2),0)+IF(Ajustes!$K167&gt;0,INDEX($AA$5:$AL$324,Ajustes!$K167,U$2),0)+IF(Ajustes!$L167&gt;0,INDEX($AA$4:$AL$323,Ajustes!$L167,U$2),0) + U167</f>
        <v>47</v>
      </c>
      <c r="AH167">
        <f>IF(Ajustes!$G167&gt;0,INDEX($AA$4:$AL$323,Ajustes!$G167,V$2),0)+IF(Ajustes!$H167&gt;0,INDEX($AA$4:$AL$323,Ajustes!$H167,V$2),0)+IF(Ajustes!$I167&gt;0,INDEX($AA$4:$AL$323,Ajustes!$I167,V$2),0)+IF(Ajustes!$J167&gt;0,INDEX($AA$4:$AL$323,Ajustes!$J167,V$2),0)+IF(Ajustes!$K167&gt;0,INDEX($AA$5:$AL$324,Ajustes!$K167,V$2),0)+IF(Ajustes!$L167&gt;0,INDEX($AA$4:$AL$323,Ajustes!$L167,V$2),0) + V167</f>
        <v>39</v>
      </c>
      <c r="AI167">
        <f>IF(Ajustes!$G167&gt;0,INDEX($AA$4:$AL$323,Ajustes!$G167,W$2),0)+IF(Ajustes!$H167&gt;0,INDEX($AA$4:$AL$323,Ajustes!$H167,W$2),0)+IF(Ajustes!$I167&gt;0,INDEX($AA$4:$AL$323,Ajustes!$I167,W$2),0)+IF(Ajustes!$J167&gt;0,INDEX($AA$4:$AL$323,Ajustes!$J167,W$2),0)+IF(Ajustes!$K167&gt;0,INDEX($AA$5:$AL$324,Ajustes!$K167,W$2),0)+IF(Ajustes!$L167&gt;0,INDEX($AA$4:$AL$323,Ajustes!$L167,W$2),0) + W167</f>
        <v>49</v>
      </c>
      <c r="AJ167">
        <f>IF(Ajustes!$G167&gt;0,INDEX($AA$4:$AL$323,Ajustes!$G167,X$2),0)+IF(Ajustes!$H167&gt;0,INDEX($AA$4:$AL$323,Ajustes!$H167,X$2),0)+IF(Ajustes!$I167&gt;0,INDEX($AA$4:$AL$323,Ajustes!$I167,X$2),0)+IF(Ajustes!$J167&gt;0,INDEX($AA$4:$AL$323,Ajustes!$J167,X$2),0)+IF(Ajustes!$K167&gt;0,INDEX($AA$5:$AL$324,Ajustes!$K167,X$2),0)+IF(Ajustes!$L167&gt;0,INDEX($AA$4:$AL$323,Ajustes!$L167,X$2),0) + X167</f>
        <v>64</v>
      </c>
      <c r="AK167">
        <f>IF(Ajustes!$G167&gt;0,INDEX($AA$4:$AL$323,Ajustes!$G167,Y$2),0)+IF(Ajustes!$H167&gt;0,INDEX($AA$4:$AL$323,Ajustes!$H167,Y$2),0)+IF(Ajustes!$I167&gt;0,INDEX($AA$4:$AL$323,Ajustes!$I167,Y$2),0)+IF(Ajustes!$J167&gt;0,INDEX($AA$4:$AL$323,Ajustes!$J167,Y$2),0)+IF(Ajustes!$K167&gt;0,INDEX($AA$5:$AL$324,Ajustes!$K167,Y$2),0)+IF(Ajustes!$L167&gt;0,INDEX($AA$4:$AL$323,Ajustes!$L167,Y$2),0) + Y167</f>
        <v>71</v>
      </c>
      <c r="AL167">
        <f>IF(Ajustes!$G167&gt;0,INDEX($AA$4:$AL$323,Ajustes!$G167,Z$2),0)+IF(Ajustes!$H167&gt;0,INDEX($AA$4:$AL$323,Ajustes!$H167,Z$2),0)+IF(Ajustes!$I167&gt;0,INDEX($AA$4:$AL$323,Ajustes!$I167,Z$2),0)+IF(Ajustes!$J167&gt;0,INDEX($AA$4:$AL$323,Ajustes!$J167,Z$2),0)+IF(Ajustes!$K167&gt;0,INDEX($AA$5:$AL$324,Ajustes!$K167,Z$2),0)+IF(Ajustes!$L167&gt;0,INDEX($AA$4:$AL$323,Ajustes!$L167,Z$2),0) + Z167</f>
        <v>95</v>
      </c>
      <c r="AM167" s="219">
        <f t="shared" ref="AM167:AX167" si="44">AM164-AM120-AM121</f>
        <v>132</v>
      </c>
      <c r="AN167" s="219">
        <f t="shared" si="44"/>
        <v>139</v>
      </c>
      <c r="AO167" s="219">
        <f t="shared" si="44"/>
        <v>120</v>
      </c>
      <c r="AP167" s="219">
        <f t="shared" si="44"/>
        <v>78</v>
      </c>
      <c r="AQ167" s="219">
        <f t="shared" si="44"/>
        <v>61</v>
      </c>
      <c r="AR167" s="219">
        <f t="shared" si="44"/>
        <v>56</v>
      </c>
      <c r="AS167" s="219">
        <f t="shared" si="44"/>
        <v>48</v>
      </c>
      <c r="AT167" s="219">
        <f t="shared" si="44"/>
        <v>40</v>
      </c>
      <c r="AU167" s="219">
        <f t="shared" si="44"/>
        <v>49</v>
      </c>
      <c r="AV167" s="219">
        <f t="shared" si="44"/>
        <v>65</v>
      </c>
      <c r="AW167" s="219">
        <f t="shared" si="44"/>
        <v>72</v>
      </c>
      <c r="AX167" s="219">
        <f t="shared" si="44"/>
        <v>95</v>
      </c>
    </row>
    <row r="168" spans="1:50" x14ac:dyDescent="0.25">
      <c r="A168" s="113">
        <v>165</v>
      </c>
      <c r="B168" s="209"/>
      <c r="C168">
        <f>IFERROR(INDEX($BD$7:$BO$35,MATCH(Ajustes!$E$4:$E$323,$BC$7:$BC$35,0),$C$2:$N$2),1)</f>
        <v>1</v>
      </c>
      <c r="D168" s="113">
        <f>IFERROR(INDEX($BD$7:$BO$35,MATCH(Ajustes!$E$4:$E$323,$BC$7:$BC$35,0),$C$2:$N$2),1)</f>
        <v>1</v>
      </c>
      <c r="E168" s="113">
        <f>IFERROR(INDEX($BD$7:$BO$35,MATCH(Ajustes!$E$4:$E$323,$BC$7:$BC$35,0),$C$2:$N$2),1)</f>
        <v>1</v>
      </c>
      <c r="F168" s="113">
        <f>IFERROR(INDEX($BD$7:$BO$35,MATCH(Ajustes!$E$4:$E$323,$BC$7:$BC$35,0),$C$2:$N$2),1)</f>
        <v>1</v>
      </c>
      <c r="G168" s="113">
        <f>IFERROR(INDEX($BD$7:$BO$35,MATCH(Ajustes!$E$4:$E$323,$BC$7:$BC$35,0),$C$2:$N$2),1)</f>
        <v>1</v>
      </c>
      <c r="H168" s="113">
        <f>IFERROR(INDEX($BD$7:$BO$35,MATCH(Ajustes!$E$4:$E$323,$BC$7:$BC$35,0),$C$2:$N$2),1)</f>
        <v>1</v>
      </c>
      <c r="I168" s="113">
        <f>IFERROR(INDEX($BD$7:$BO$35,MATCH(Ajustes!$E$4:$E$323,$BC$7:$BC$35,0),$C$2:$N$2),1)</f>
        <v>1</v>
      </c>
      <c r="J168" s="113">
        <f>IFERROR(INDEX($BD$7:$BO$35,MATCH(Ajustes!$E$4:$E$323,$BC$7:$BC$35,0),$C$2:$N$2),1)</f>
        <v>1</v>
      </c>
      <c r="K168" s="113">
        <f>IFERROR(INDEX($BD$7:$BO$35,MATCH(Ajustes!$E$4:$E$323,$BC$7:$BC$35,0),$C$2:$N$2),1)</f>
        <v>1</v>
      </c>
      <c r="L168" s="113">
        <f>IFERROR(INDEX($BD$7:$BO$35,MATCH(Ajustes!$E$4:$E$323,$BC$7:$BC$35,0),$C$2:$N$2),1)</f>
        <v>1</v>
      </c>
      <c r="M168" s="113">
        <f>IFERROR(INDEX($BD$7:$BO$35,MATCH(Ajustes!$E$4:$E$323,$BC$7:$BC$35,0),$C$2:$N$2),1)</f>
        <v>1</v>
      </c>
      <c r="N168" s="113">
        <f>IFERROR(INDEX($BD$7:$BO$35,MATCH(Ajustes!$E$4:$E$323,$BC$7:$BC$35,0),$C$2:$N$2),1)</f>
        <v>1</v>
      </c>
      <c r="O168">
        <f>C168*Ajustes!AM168</f>
        <v>0</v>
      </c>
      <c r="P168">
        <f>D168*Ajustes!AN168</f>
        <v>0</v>
      </c>
      <c r="Q168">
        <f>E168*Ajustes!AO168</f>
        <v>0</v>
      </c>
      <c r="R168">
        <f>F168*Ajustes!AP168</f>
        <v>0</v>
      </c>
      <c r="S168">
        <f>G168*Ajustes!AQ168</f>
        <v>0</v>
      </c>
      <c r="T168">
        <f>H168*Ajustes!AR168</f>
        <v>0</v>
      </c>
      <c r="U168">
        <f>I168*Ajustes!AS168</f>
        <v>0</v>
      </c>
      <c r="V168">
        <f>J168*Ajustes!AT168</f>
        <v>0</v>
      </c>
      <c r="W168">
        <f>K168*Ajustes!AU168</f>
        <v>0</v>
      </c>
      <c r="X168">
        <f>L168*Ajustes!AV168</f>
        <v>0</v>
      </c>
      <c r="Y168">
        <f>M168*Ajustes!AW168</f>
        <v>0</v>
      </c>
      <c r="Z168">
        <f>N168*Ajustes!AX168</f>
        <v>0</v>
      </c>
      <c r="AA168">
        <f>IF(Ajustes!$G168&gt;0,INDEX($AA$4:$AL$323,Ajustes!$G168,O$2),0)+IF(Ajustes!$H168&gt;0,INDEX($AA$4:$AL$323,Ajustes!$H168,O$2),0)+IF(Ajustes!$I168&gt;0,INDEX($AA$4:$AL$323,Ajustes!$I168,O$2),0)+IF(Ajustes!$J168&gt;0,INDEX($AA$4:$AL$323,Ajustes!$J168,O$2),0)+IF(Ajustes!$K168&gt;0,INDEX($AA$5:$AL$324,Ajustes!$K168,O$2),0)+IF(Ajustes!$L168&gt;0,INDEX($AA$4:$AL$323,Ajustes!$L168,O$2),0) + O168</f>
        <v>0</v>
      </c>
      <c r="AB168">
        <f>IF(Ajustes!$G168&gt;0,INDEX($AA$4:$AL$323,Ajustes!$G168,P$2),0)+IF(Ajustes!$H168&gt;0,INDEX($AA$4:$AL$323,Ajustes!$H168,P$2),0)+IF(Ajustes!$I168&gt;0,INDEX($AA$4:$AL$323,Ajustes!$I168,P$2),0)+IF(Ajustes!$J168&gt;0,INDEX($AA$4:$AL$323,Ajustes!$J168,P$2),0)+IF(Ajustes!$K168&gt;0,INDEX($AA$5:$AL$324,Ajustes!$K168,P$2),0)+IF(Ajustes!$L168&gt;0,INDEX($AA$4:$AL$323,Ajustes!$L168,P$2),0) + P168</f>
        <v>0</v>
      </c>
      <c r="AC168">
        <f>IF(Ajustes!$G168&gt;0,INDEX($AA$4:$AL$323,Ajustes!$G168,Q$2),0)+IF(Ajustes!$H168&gt;0,INDEX($AA$4:$AL$323,Ajustes!$H168,Q$2),0)+IF(Ajustes!$I168&gt;0,INDEX($AA$4:$AL$323,Ajustes!$I168,Q$2),0)+IF(Ajustes!$J168&gt;0,INDEX($AA$4:$AL$323,Ajustes!$J168,Q$2),0)+IF(Ajustes!$K168&gt;0,INDEX($AA$5:$AL$324,Ajustes!$K168,Q$2),0)+IF(Ajustes!$L168&gt;0,INDEX($AA$4:$AL$323,Ajustes!$L168,Q$2),0) + Q168</f>
        <v>0</v>
      </c>
      <c r="AD168">
        <f>IF(Ajustes!$G168&gt;0,INDEX($AA$4:$AL$323,Ajustes!$G168,R$2),0)+IF(Ajustes!$H168&gt;0,INDEX($AA$4:$AL$323,Ajustes!$H168,R$2),0)+IF(Ajustes!$I168&gt;0,INDEX($AA$4:$AL$323,Ajustes!$I168,R$2),0)+IF(Ajustes!$J168&gt;0,INDEX($AA$4:$AL$323,Ajustes!$J168,R$2),0)+IF(Ajustes!$K168&gt;0,INDEX($AA$5:$AL$324,Ajustes!$K168,R$2),0)+IF(Ajustes!$L168&gt;0,INDEX($AA$4:$AL$323,Ajustes!$L168,R$2),0) + R168</f>
        <v>0</v>
      </c>
      <c r="AE168">
        <f>IF(Ajustes!$G168&gt;0,INDEX($AA$4:$AL$323,Ajustes!$G168,S$2),0)+IF(Ajustes!$H168&gt;0,INDEX($AA$4:$AL$323,Ajustes!$H168,S$2),0)+IF(Ajustes!$I168&gt;0,INDEX($AA$4:$AL$323,Ajustes!$I168,S$2),0)+IF(Ajustes!$J168&gt;0,INDEX($AA$4:$AL$323,Ajustes!$J168,S$2),0)+IF(Ajustes!$K168&gt;0,INDEX($AA$5:$AL$324,Ajustes!$K168,S$2),0)+IF(Ajustes!$L168&gt;0,INDEX($AA$4:$AL$323,Ajustes!$L168,S$2),0) + S168</f>
        <v>0</v>
      </c>
      <c r="AF168">
        <f>IF(Ajustes!$G168&gt;0,INDEX($AA$4:$AL$323,Ajustes!$G168,T$2),0)+IF(Ajustes!$H168&gt;0,INDEX($AA$4:$AL$323,Ajustes!$H168,T$2),0)+IF(Ajustes!$I168&gt;0,INDEX($AA$4:$AL$323,Ajustes!$I168,T$2),0)+IF(Ajustes!$J168&gt;0,INDEX($AA$4:$AL$323,Ajustes!$J168,T$2),0)+IF(Ajustes!$K168&gt;0,INDEX($AA$5:$AL$324,Ajustes!$K168,T$2),0)+IF(Ajustes!$L168&gt;0,INDEX($AA$4:$AL$323,Ajustes!$L168,T$2),0) + T168</f>
        <v>0</v>
      </c>
      <c r="AG168">
        <f>IF(Ajustes!$G168&gt;0,INDEX($AA$4:$AL$323,Ajustes!$G168,U$2),0)+IF(Ajustes!$H168&gt;0,INDEX($AA$4:$AL$323,Ajustes!$H168,U$2),0)+IF(Ajustes!$I168&gt;0,INDEX($AA$4:$AL$323,Ajustes!$I168,U$2),0)+IF(Ajustes!$J168&gt;0,INDEX($AA$4:$AL$323,Ajustes!$J168,U$2),0)+IF(Ajustes!$K168&gt;0,INDEX($AA$5:$AL$324,Ajustes!$K168,U$2),0)+IF(Ajustes!$L168&gt;0,INDEX($AA$4:$AL$323,Ajustes!$L168,U$2),0) + U168</f>
        <v>0</v>
      </c>
      <c r="AH168">
        <f>IF(Ajustes!$G168&gt;0,INDEX($AA$4:$AL$323,Ajustes!$G168,V$2),0)+IF(Ajustes!$H168&gt;0,INDEX($AA$4:$AL$323,Ajustes!$H168,V$2),0)+IF(Ajustes!$I168&gt;0,INDEX($AA$4:$AL$323,Ajustes!$I168,V$2),0)+IF(Ajustes!$J168&gt;0,INDEX($AA$4:$AL$323,Ajustes!$J168,V$2),0)+IF(Ajustes!$K168&gt;0,INDEX($AA$5:$AL$324,Ajustes!$K168,V$2),0)+IF(Ajustes!$L168&gt;0,INDEX($AA$4:$AL$323,Ajustes!$L168,V$2),0) + V168</f>
        <v>0</v>
      </c>
      <c r="AI168">
        <f>IF(Ajustes!$G168&gt;0,INDEX($AA$4:$AL$323,Ajustes!$G168,W$2),0)+IF(Ajustes!$H168&gt;0,INDEX($AA$4:$AL$323,Ajustes!$H168,W$2),0)+IF(Ajustes!$I168&gt;0,INDEX($AA$4:$AL$323,Ajustes!$I168,W$2),0)+IF(Ajustes!$J168&gt;0,INDEX($AA$4:$AL$323,Ajustes!$J168,W$2),0)+IF(Ajustes!$K168&gt;0,INDEX($AA$5:$AL$324,Ajustes!$K168,W$2),0)+IF(Ajustes!$L168&gt;0,INDEX($AA$4:$AL$323,Ajustes!$L168,W$2),0) + W168</f>
        <v>0</v>
      </c>
      <c r="AJ168">
        <f>IF(Ajustes!$G168&gt;0,INDEX($AA$4:$AL$323,Ajustes!$G168,X$2),0)+IF(Ajustes!$H168&gt;0,INDEX($AA$4:$AL$323,Ajustes!$H168,X$2),0)+IF(Ajustes!$I168&gt;0,INDEX($AA$4:$AL$323,Ajustes!$I168,X$2),0)+IF(Ajustes!$J168&gt;0,INDEX($AA$4:$AL$323,Ajustes!$J168,X$2),0)+IF(Ajustes!$K168&gt;0,INDEX($AA$5:$AL$324,Ajustes!$K168,X$2),0)+IF(Ajustes!$L168&gt;0,INDEX($AA$4:$AL$323,Ajustes!$L168,X$2),0) + X168</f>
        <v>0</v>
      </c>
      <c r="AK168">
        <f>IF(Ajustes!$G168&gt;0,INDEX($AA$4:$AL$323,Ajustes!$G168,Y$2),0)+IF(Ajustes!$H168&gt;0,INDEX($AA$4:$AL$323,Ajustes!$H168,Y$2),0)+IF(Ajustes!$I168&gt;0,INDEX($AA$4:$AL$323,Ajustes!$I168,Y$2),0)+IF(Ajustes!$J168&gt;0,INDEX($AA$4:$AL$323,Ajustes!$J168,Y$2),0)+IF(Ajustes!$K168&gt;0,INDEX($AA$5:$AL$324,Ajustes!$K168,Y$2),0)+IF(Ajustes!$L168&gt;0,INDEX($AA$4:$AL$323,Ajustes!$L168,Y$2),0) + Y168</f>
        <v>0</v>
      </c>
      <c r="AL168">
        <f>IF(Ajustes!$G168&gt;0,INDEX($AA$4:$AL$323,Ajustes!$G168,Z$2),0)+IF(Ajustes!$H168&gt;0,INDEX($AA$4:$AL$323,Ajustes!$H168,Z$2),0)+IF(Ajustes!$I168&gt;0,INDEX($AA$4:$AL$323,Ajustes!$I168,Z$2),0)+IF(Ajustes!$J168&gt;0,INDEX($AA$4:$AL$323,Ajustes!$J168,Z$2),0)+IF(Ajustes!$K168&gt;0,INDEX($AA$5:$AL$324,Ajustes!$K168,Z$2),0)+IF(Ajustes!$L168&gt;0,INDEX($AA$4:$AL$323,Ajustes!$L168,Z$2),0) + Z168</f>
        <v>0</v>
      </c>
      <c r="AM168" s="113">
        <f t="shared" si="39"/>
        <v>0</v>
      </c>
      <c r="AN168" s="113">
        <f t="shared" si="39"/>
        <v>0</v>
      </c>
      <c r="AO168" s="113">
        <f t="shared" si="39"/>
        <v>0</v>
      </c>
      <c r="AP168" s="113">
        <f t="shared" si="39"/>
        <v>0</v>
      </c>
      <c r="AQ168" s="113">
        <f t="shared" si="42"/>
        <v>0</v>
      </c>
      <c r="AR168" s="113">
        <f t="shared" si="40"/>
        <v>0</v>
      </c>
      <c r="AS168" s="113">
        <f t="shared" si="40"/>
        <v>0</v>
      </c>
      <c r="AT168" s="113">
        <f t="shared" si="40"/>
        <v>0</v>
      </c>
      <c r="AU168" s="113">
        <f t="shared" si="40"/>
        <v>0</v>
      </c>
      <c r="AV168" s="113">
        <f t="shared" si="43"/>
        <v>0</v>
      </c>
      <c r="AW168" s="113">
        <f t="shared" si="41"/>
        <v>0</v>
      </c>
      <c r="AX168" s="113">
        <f t="shared" si="41"/>
        <v>0</v>
      </c>
    </row>
    <row r="169" spans="1:50" x14ac:dyDescent="0.25">
      <c r="A169" s="113">
        <v>166</v>
      </c>
      <c r="B169" s="209"/>
      <c r="C169">
        <f>IFERROR(INDEX($BD$7:$BO$35,MATCH(Ajustes!$E$4:$E$323,$BC$7:$BC$35,0),$C$2:$N$2),1)</f>
        <v>1</v>
      </c>
      <c r="D169" s="113">
        <f>IFERROR(INDEX($BD$7:$BO$35,MATCH(Ajustes!$E$4:$E$323,$BC$7:$BC$35,0),$C$2:$N$2),1)</f>
        <v>1</v>
      </c>
      <c r="E169" s="113">
        <f>IFERROR(INDEX($BD$7:$BO$35,MATCH(Ajustes!$E$4:$E$323,$BC$7:$BC$35,0),$C$2:$N$2),1)</f>
        <v>1</v>
      </c>
      <c r="F169" s="113">
        <f>IFERROR(INDEX($BD$7:$BO$35,MATCH(Ajustes!$E$4:$E$323,$BC$7:$BC$35,0),$C$2:$N$2),1)</f>
        <v>1</v>
      </c>
      <c r="G169" s="113">
        <f>IFERROR(INDEX($BD$7:$BO$35,MATCH(Ajustes!$E$4:$E$323,$BC$7:$BC$35,0),$C$2:$N$2),1)</f>
        <v>1</v>
      </c>
      <c r="H169" s="113">
        <f>IFERROR(INDEX($BD$7:$BO$35,MATCH(Ajustes!$E$4:$E$323,$BC$7:$BC$35,0),$C$2:$N$2),1)</f>
        <v>1</v>
      </c>
      <c r="I169" s="113">
        <f>IFERROR(INDEX($BD$7:$BO$35,MATCH(Ajustes!$E$4:$E$323,$BC$7:$BC$35,0),$C$2:$N$2),1)</f>
        <v>1</v>
      </c>
      <c r="J169" s="113">
        <f>IFERROR(INDEX($BD$7:$BO$35,MATCH(Ajustes!$E$4:$E$323,$BC$7:$BC$35,0),$C$2:$N$2),1)</f>
        <v>1</v>
      </c>
      <c r="K169" s="113">
        <f>IFERROR(INDEX($BD$7:$BO$35,MATCH(Ajustes!$E$4:$E$323,$BC$7:$BC$35,0),$C$2:$N$2),1)</f>
        <v>1</v>
      </c>
      <c r="L169" s="113">
        <f>IFERROR(INDEX($BD$7:$BO$35,MATCH(Ajustes!$E$4:$E$323,$BC$7:$BC$35,0),$C$2:$N$2),1)</f>
        <v>1</v>
      </c>
      <c r="M169" s="113">
        <f>IFERROR(INDEX($BD$7:$BO$35,MATCH(Ajustes!$E$4:$E$323,$BC$7:$BC$35,0),$C$2:$N$2),1)</f>
        <v>1</v>
      </c>
      <c r="N169" s="113">
        <f>IFERROR(INDEX($BD$7:$BO$35,MATCH(Ajustes!$E$4:$E$323,$BC$7:$BC$35,0),$C$2:$N$2),1)</f>
        <v>1</v>
      </c>
      <c r="O169">
        <f>C169*Ajustes!AM169</f>
        <v>0</v>
      </c>
      <c r="P169">
        <f>D169*Ajustes!AN169</f>
        <v>0</v>
      </c>
      <c r="Q169">
        <f>E169*Ajustes!AO169</f>
        <v>0</v>
      </c>
      <c r="R169">
        <f>F169*Ajustes!AP169</f>
        <v>0</v>
      </c>
      <c r="S169">
        <f>G169*Ajustes!AQ169</f>
        <v>0</v>
      </c>
      <c r="T169">
        <f>H169*Ajustes!AR169</f>
        <v>0</v>
      </c>
      <c r="U169">
        <f>I169*Ajustes!AS169</f>
        <v>0</v>
      </c>
      <c r="V169">
        <f>J169*Ajustes!AT169</f>
        <v>0</v>
      </c>
      <c r="W169">
        <f>K169*Ajustes!AU169</f>
        <v>0</v>
      </c>
      <c r="X169">
        <f>L169*Ajustes!AV169</f>
        <v>0</v>
      </c>
      <c r="Y169">
        <f>M169*Ajustes!AW169</f>
        <v>0</v>
      </c>
      <c r="Z169">
        <f>N169*Ajustes!AX169</f>
        <v>0</v>
      </c>
      <c r="AA169">
        <f>IF(Ajustes!$G169&gt;0,INDEX($AA$4:$AL$323,Ajustes!$G169,O$2),0)+IF(Ajustes!$H169&gt;0,INDEX($AA$4:$AL$323,Ajustes!$H169,O$2),0)+IF(Ajustes!$I169&gt;0,INDEX($AA$4:$AL$323,Ajustes!$I169,O$2),0)+IF(Ajustes!$J169&gt;0,INDEX($AA$4:$AL$323,Ajustes!$J169,O$2),0)+IF(Ajustes!$K169&gt;0,INDEX($AA$5:$AL$324,Ajustes!$K169,O$2),0)+IF(Ajustes!$L169&gt;0,INDEX($AA$4:$AL$323,Ajustes!$L169,O$2),0) + O169</f>
        <v>0</v>
      </c>
      <c r="AB169">
        <f>IF(Ajustes!$G169&gt;0,INDEX($AA$4:$AL$323,Ajustes!$G169,P$2),0)+IF(Ajustes!$H169&gt;0,INDEX($AA$4:$AL$323,Ajustes!$H169,P$2),0)+IF(Ajustes!$I169&gt;0,INDEX($AA$4:$AL$323,Ajustes!$I169,P$2),0)+IF(Ajustes!$J169&gt;0,INDEX($AA$4:$AL$323,Ajustes!$J169,P$2),0)+IF(Ajustes!$K169&gt;0,INDEX($AA$5:$AL$324,Ajustes!$K169,P$2),0)+IF(Ajustes!$L169&gt;0,INDEX($AA$4:$AL$323,Ajustes!$L169,P$2),0) + P169</f>
        <v>0</v>
      </c>
      <c r="AC169">
        <f>IF(Ajustes!$G169&gt;0,INDEX($AA$4:$AL$323,Ajustes!$G169,Q$2),0)+IF(Ajustes!$H169&gt;0,INDEX($AA$4:$AL$323,Ajustes!$H169,Q$2),0)+IF(Ajustes!$I169&gt;0,INDEX($AA$4:$AL$323,Ajustes!$I169,Q$2),0)+IF(Ajustes!$J169&gt;0,INDEX($AA$4:$AL$323,Ajustes!$J169,Q$2),0)+IF(Ajustes!$K169&gt;0,INDEX($AA$5:$AL$324,Ajustes!$K169,Q$2),0)+IF(Ajustes!$L169&gt;0,INDEX($AA$4:$AL$323,Ajustes!$L169,Q$2),0) + Q169</f>
        <v>0</v>
      </c>
      <c r="AD169">
        <f>IF(Ajustes!$G169&gt;0,INDEX($AA$4:$AL$323,Ajustes!$G169,R$2),0)+IF(Ajustes!$H169&gt;0,INDEX($AA$4:$AL$323,Ajustes!$H169,R$2),0)+IF(Ajustes!$I169&gt;0,INDEX($AA$4:$AL$323,Ajustes!$I169,R$2),0)+IF(Ajustes!$J169&gt;0,INDEX($AA$4:$AL$323,Ajustes!$J169,R$2),0)+IF(Ajustes!$K169&gt;0,INDEX($AA$5:$AL$324,Ajustes!$K169,R$2),0)+IF(Ajustes!$L169&gt;0,INDEX($AA$4:$AL$323,Ajustes!$L169,R$2),0) + R169</f>
        <v>0</v>
      </c>
      <c r="AE169">
        <f>IF(Ajustes!$G169&gt;0,INDEX($AA$4:$AL$323,Ajustes!$G169,S$2),0)+IF(Ajustes!$H169&gt;0,INDEX($AA$4:$AL$323,Ajustes!$H169,S$2),0)+IF(Ajustes!$I169&gt;0,INDEX($AA$4:$AL$323,Ajustes!$I169,S$2),0)+IF(Ajustes!$J169&gt;0,INDEX($AA$4:$AL$323,Ajustes!$J169,S$2),0)+IF(Ajustes!$K169&gt;0,INDEX($AA$5:$AL$324,Ajustes!$K169,S$2),0)+IF(Ajustes!$L169&gt;0,INDEX($AA$4:$AL$323,Ajustes!$L169,S$2),0) + S169</f>
        <v>0</v>
      </c>
      <c r="AF169">
        <f>IF(Ajustes!$G169&gt;0,INDEX($AA$4:$AL$323,Ajustes!$G169,T$2),0)+IF(Ajustes!$H169&gt;0,INDEX($AA$4:$AL$323,Ajustes!$H169,T$2),0)+IF(Ajustes!$I169&gt;0,INDEX($AA$4:$AL$323,Ajustes!$I169,T$2),0)+IF(Ajustes!$J169&gt;0,INDEX($AA$4:$AL$323,Ajustes!$J169,T$2),0)+IF(Ajustes!$K169&gt;0,INDEX($AA$5:$AL$324,Ajustes!$K169,T$2),0)+IF(Ajustes!$L169&gt;0,INDEX($AA$4:$AL$323,Ajustes!$L169,T$2),0) + T169</f>
        <v>0</v>
      </c>
      <c r="AG169">
        <f>IF(Ajustes!$G169&gt;0,INDEX($AA$4:$AL$323,Ajustes!$G169,U$2),0)+IF(Ajustes!$H169&gt;0,INDEX($AA$4:$AL$323,Ajustes!$H169,U$2),0)+IF(Ajustes!$I169&gt;0,INDEX($AA$4:$AL$323,Ajustes!$I169,U$2),0)+IF(Ajustes!$J169&gt;0,INDEX($AA$4:$AL$323,Ajustes!$J169,U$2),0)+IF(Ajustes!$K169&gt;0,INDEX($AA$5:$AL$324,Ajustes!$K169,U$2),0)+IF(Ajustes!$L169&gt;0,INDEX($AA$4:$AL$323,Ajustes!$L169,U$2),0) + U169</f>
        <v>0</v>
      </c>
      <c r="AH169">
        <f>IF(Ajustes!$G169&gt;0,INDEX($AA$4:$AL$323,Ajustes!$G169,V$2),0)+IF(Ajustes!$H169&gt;0,INDEX($AA$4:$AL$323,Ajustes!$H169,V$2),0)+IF(Ajustes!$I169&gt;0,INDEX($AA$4:$AL$323,Ajustes!$I169,V$2),0)+IF(Ajustes!$J169&gt;0,INDEX($AA$4:$AL$323,Ajustes!$J169,V$2),0)+IF(Ajustes!$K169&gt;0,INDEX($AA$5:$AL$324,Ajustes!$K169,V$2),0)+IF(Ajustes!$L169&gt;0,INDEX($AA$4:$AL$323,Ajustes!$L169,V$2),0) + V169</f>
        <v>0</v>
      </c>
      <c r="AI169">
        <f>IF(Ajustes!$G169&gt;0,INDEX($AA$4:$AL$323,Ajustes!$G169,W$2),0)+IF(Ajustes!$H169&gt;0,INDEX($AA$4:$AL$323,Ajustes!$H169,W$2),0)+IF(Ajustes!$I169&gt;0,INDEX($AA$4:$AL$323,Ajustes!$I169,W$2),0)+IF(Ajustes!$J169&gt;0,INDEX($AA$4:$AL$323,Ajustes!$J169,W$2),0)+IF(Ajustes!$K169&gt;0,INDEX($AA$5:$AL$324,Ajustes!$K169,W$2),0)+IF(Ajustes!$L169&gt;0,INDEX($AA$4:$AL$323,Ajustes!$L169,W$2),0) + W169</f>
        <v>0</v>
      </c>
      <c r="AJ169">
        <f>IF(Ajustes!$G169&gt;0,INDEX($AA$4:$AL$323,Ajustes!$G169,X$2),0)+IF(Ajustes!$H169&gt;0,INDEX($AA$4:$AL$323,Ajustes!$H169,X$2),0)+IF(Ajustes!$I169&gt;0,INDEX($AA$4:$AL$323,Ajustes!$I169,X$2),0)+IF(Ajustes!$J169&gt;0,INDEX($AA$4:$AL$323,Ajustes!$J169,X$2),0)+IF(Ajustes!$K169&gt;0,INDEX($AA$5:$AL$324,Ajustes!$K169,X$2),0)+IF(Ajustes!$L169&gt;0,INDEX($AA$4:$AL$323,Ajustes!$L169,X$2),0) + X169</f>
        <v>0</v>
      </c>
      <c r="AK169">
        <f>IF(Ajustes!$G169&gt;0,INDEX($AA$4:$AL$323,Ajustes!$G169,Y$2),0)+IF(Ajustes!$H169&gt;0,INDEX($AA$4:$AL$323,Ajustes!$H169,Y$2),0)+IF(Ajustes!$I169&gt;0,INDEX($AA$4:$AL$323,Ajustes!$I169,Y$2),0)+IF(Ajustes!$J169&gt;0,INDEX($AA$4:$AL$323,Ajustes!$J169,Y$2),0)+IF(Ajustes!$K169&gt;0,INDEX($AA$5:$AL$324,Ajustes!$K169,Y$2),0)+IF(Ajustes!$L169&gt;0,INDEX($AA$4:$AL$323,Ajustes!$L169,Y$2),0) + Y169</f>
        <v>0</v>
      </c>
      <c r="AL169">
        <f>IF(Ajustes!$G169&gt;0,INDEX($AA$4:$AL$323,Ajustes!$G169,Z$2),0)+IF(Ajustes!$H169&gt;0,INDEX($AA$4:$AL$323,Ajustes!$H169,Z$2),0)+IF(Ajustes!$I169&gt;0,INDEX($AA$4:$AL$323,Ajustes!$I169,Z$2),0)+IF(Ajustes!$J169&gt;0,INDEX($AA$4:$AL$323,Ajustes!$J169,Z$2),0)+IF(Ajustes!$K169&gt;0,INDEX($AA$5:$AL$324,Ajustes!$K169,Z$2),0)+IF(Ajustes!$L169&gt;0,INDEX($AA$4:$AL$323,Ajustes!$L169,Z$2),0) + Z169</f>
        <v>0</v>
      </c>
      <c r="AM169" s="113">
        <f t="shared" si="39"/>
        <v>0</v>
      </c>
      <c r="AN169" s="113">
        <f t="shared" si="39"/>
        <v>0</v>
      </c>
      <c r="AO169" s="113">
        <f t="shared" si="39"/>
        <v>0</v>
      </c>
      <c r="AP169" s="113">
        <f t="shared" si="39"/>
        <v>0</v>
      </c>
      <c r="AQ169" s="113">
        <f t="shared" si="42"/>
        <v>0</v>
      </c>
      <c r="AR169" s="113">
        <f t="shared" si="40"/>
        <v>0</v>
      </c>
      <c r="AS169" s="113">
        <f t="shared" si="40"/>
        <v>0</v>
      </c>
      <c r="AT169" s="113">
        <f t="shared" si="40"/>
        <v>0</v>
      </c>
      <c r="AU169" s="113">
        <f t="shared" si="40"/>
        <v>0</v>
      </c>
      <c r="AV169" s="113">
        <f t="shared" si="43"/>
        <v>0</v>
      </c>
      <c r="AW169" s="113">
        <f t="shared" si="41"/>
        <v>0</v>
      </c>
      <c r="AX169" s="113">
        <f t="shared" si="41"/>
        <v>0</v>
      </c>
    </row>
    <row r="170" spans="1:50" x14ac:dyDescent="0.25">
      <c r="A170" s="113">
        <v>167</v>
      </c>
      <c r="B170" s="209"/>
      <c r="C170">
        <f>IFERROR(INDEX($BD$7:$BO$35,MATCH(Ajustes!$E$4:$E$323,$BC$7:$BC$35,0),$C$2:$N$2),1)</f>
        <v>1</v>
      </c>
      <c r="D170" s="113">
        <f>IFERROR(INDEX($BD$7:$BO$35,MATCH(Ajustes!$E$4:$E$323,$BC$7:$BC$35,0),$C$2:$N$2),1)</f>
        <v>1</v>
      </c>
      <c r="E170" s="113">
        <f>IFERROR(INDEX($BD$7:$BO$35,MATCH(Ajustes!$E$4:$E$323,$BC$7:$BC$35,0),$C$2:$N$2),1)</f>
        <v>1</v>
      </c>
      <c r="F170" s="113">
        <f>IFERROR(INDEX($BD$7:$BO$35,MATCH(Ajustes!$E$4:$E$323,$BC$7:$BC$35,0),$C$2:$N$2),1)</f>
        <v>1</v>
      </c>
      <c r="G170" s="113">
        <f>IFERROR(INDEX($BD$7:$BO$35,MATCH(Ajustes!$E$4:$E$323,$BC$7:$BC$35,0),$C$2:$N$2),1)</f>
        <v>1</v>
      </c>
      <c r="H170" s="113">
        <f>IFERROR(INDEX($BD$7:$BO$35,MATCH(Ajustes!$E$4:$E$323,$BC$7:$BC$35,0),$C$2:$N$2),1)</f>
        <v>1</v>
      </c>
      <c r="I170" s="113">
        <f>IFERROR(INDEX($BD$7:$BO$35,MATCH(Ajustes!$E$4:$E$323,$BC$7:$BC$35,0),$C$2:$N$2),1)</f>
        <v>1</v>
      </c>
      <c r="J170" s="113">
        <f>IFERROR(INDEX($BD$7:$BO$35,MATCH(Ajustes!$E$4:$E$323,$BC$7:$BC$35,0),$C$2:$N$2),1)</f>
        <v>1</v>
      </c>
      <c r="K170" s="113">
        <f>IFERROR(INDEX($BD$7:$BO$35,MATCH(Ajustes!$E$4:$E$323,$BC$7:$BC$35,0),$C$2:$N$2),1)</f>
        <v>1</v>
      </c>
      <c r="L170" s="113">
        <f>IFERROR(INDEX($BD$7:$BO$35,MATCH(Ajustes!$E$4:$E$323,$BC$7:$BC$35,0),$C$2:$N$2),1)</f>
        <v>1</v>
      </c>
      <c r="M170" s="113">
        <f>IFERROR(INDEX($BD$7:$BO$35,MATCH(Ajustes!$E$4:$E$323,$BC$7:$BC$35,0),$C$2:$N$2),1)</f>
        <v>1</v>
      </c>
      <c r="N170" s="113">
        <f>IFERROR(INDEX($BD$7:$BO$35,MATCH(Ajustes!$E$4:$E$323,$BC$7:$BC$35,0),$C$2:$N$2),1)</f>
        <v>1</v>
      </c>
      <c r="O170">
        <f>C170*Ajustes!AM170</f>
        <v>0</v>
      </c>
      <c r="P170">
        <f>D170*Ajustes!AN170</f>
        <v>0</v>
      </c>
      <c r="Q170">
        <f>E170*Ajustes!AO170</f>
        <v>0</v>
      </c>
      <c r="R170">
        <f>F170*Ajustes!AP170</f>
        <v>0</v>
      </c>
      <c r="S170">
        <f>G170*Ajustes!AQ170</f>
        <v>0</v>
      </c>
      <c r="T170">
        <f>H170*Ajustes!AR170</f>
        <v>0</v>
      </c>
      <c r="U170">
        <f>I170*Ajustes!AS170</f>
        <v>0</v>
      </c>
      <c r="V170">
        <f>J170*Ajustes!AT170</f>
        <v>0</v>
      </c>
      <c r="W170">
        <f>K170*Ajustes!AU170</f>
        <v>0</v>
      </c>
      <c r="X170">
        <f>L170*Ajustes!AV170</f>
        <v>0</v>
      </c>
      <c r="Y170">
        <f>M170*Ajustes!AW170</f>
        <v>0</v>
      </c>
      <c r="Z170">
        <f>N170*Ajustes!AX170</f>
        <v>0</v>
      </c>
      <c r="AA170">
        <f>IF(Ajustes!$G170&gt;0,INDEX($AA$4:$AL$323,Ajustes!$G170,O$2),0)+IF(Ajustes!$H170&gt;0,INDEX($AA$4:$AL$323,Ajustes!$H170,O$2),0)+IF(Ajustes!$I170&gt;0,INDEX($AA$4:$AL$323,Ajustes!$I170,O$2),0)+IF(Ajustes!$J170&gt;0,INDEX($AA$4:$AL$323,Ajustes!$J170,O$2),0)+IF(Ajustes!$K170&gt;0,INDEX($AA$5:$AL$324,Ajustes!$K170,O$2),0)+IF(Ajustes!$L170&gt;0,INDEX($AA$4:$AL$323,Ajustes!$L170,O$2),0) + O170</f>
        <v>0</v>
      </c>
      <c r="AB170">
        <f>IF(Ajustes!$G170&gt;0,INDEX($AA$4:$AL$323,Ajustes!$G170,P$2),0)+IF(Ajustes!$H170&gt;0,INDEX($AA$4:$AL$323,Ajustes!$H170,P$2),0)+IF(Ajustes!$I170&gt;0,INDEX($AA$4:$AL$323,Ajustes!$I170,P$2),0)+IF(Ajustes!$J170&gt;0,INDEX($AA$4:$AL$323,Ajustes!$J170,P$2),0)+IF(Ajustes!$K170&gt;0,INDEX($AA$5:$AL$324,Ajustes!$K170,P$2),0)+IF(Ajustes!$L170&gt;0,INDEX($AA$4:$AL$323,Ajustes!$L170,P$2),0) + P170</f>
        <v>0</v>
      </c>
      <c r="AC170">
        <f>IF(Ajustes!$G170&gt;0,INDEX($AA$4:$AL$323,Ajustes!$G170,Q$2),0)+IF(Ajustes!$H170&gt;0,INDEX($AA$4:$AL$323,Ajustes!$H170,Q$2),0)+IF(Ajustes!$I170&gt;0,INDEX($AA$4:$AL$323,Ajustes!$I170,Q$2),0)+IF(Ajustes!$J170&gt;0,INDEX($AA$4:$AL$323,Ajustes!$J170,Q$2),0)+IF(Ajustes!$K170&gt;0,INDEX($AA$5:$AL$324,Ajustes!$K170,Q$2),0)+IF(Ajustes!$L170&gt;0,INDEX($AA$4:$AL$323,Ajustes!$L170,Q$2),0) + Q170</f>
        <v>0</v>
      </c>
      <c r="AD170">
        <f>IF(Ajustes!$G170&gt;0,INDEX($AA$4:$AL$323,Ajustes!$G170,R$2),0)+IF(Ajustes!$H170&gt;0,INDEX($AA$4:$AL$323,Ajustes!$H170,R$2),0)+IF(Ajustes!$I170&gt;0,INDEX($AA$4:$AL$323,Ajustes!$I170,R$2),0)+IF(Ajustes!$J170&gt;0,INDEX($AA$4:$AL$323,Ajustes!$J170,R$2),0)+IF(Ajustes!$K170&gt;0,INDEX($AA$5:$AL$324,Ajustes!$K170,R$2),0)+IF(Ajustes!$L170&gt;0,INDEX($AA$4:$AL$323,Ajustes!$L170,R$2),0) + R170</f>
        <v>0</v>
      </c>
      <c r="AE170">
        <f>IF(Ajustes!$G170&gt;0,INDEX($AA$4:$AL$323,Ajustes!$G170,S$2),0)+IF(Ajustes!$H170&gt;0,INDEX($AA$4:$AL$323,Ajustes!$H170,S$2),0)+IF(Ajustes!$I170&gt;0,INDEX($AA$4:$AL$323,Ajustes!$I170,S$2),0)+IF(Ajustes!$J170&gt;0,INDEX($AA$4:$AL$323,Ajustes!$J170,S$2),0)+IF(Ajustes!$K170&gt;0,INDEX($AA$5:$AL$324,Ajustes!$K170,S$2),0)+IF(Ajustes!$L170&gt;0,INDEX($AA$4:$AL$323,Ajustes!$L170,S$2),0) + S170</f>
        <v>0</v>
      </c>
      <c r="AF170">
        <f>IF(Ajustes!$G170&gt;0,INDEX($AA$4:$AL$323,Ajustes!$G170,T$2),0)+IF(Ajustes!$H170&gt;0,INDEX($AA$4:$AL$323,Ajustes!$H170,T$2),0)+IF(Ajustes!$I170&gt;0,INDEX($AA$4:$AL$323,Ajustes!$I170,T$2),0)+IF(Ajustes!$J170&gt;0,INDEX($AA$4:$AL$323,Ajustes!$J170,T$2),0)+IF(Ajustes!$K170&gt;0,INDEX($AA$5:$AL$324,Ajustes!$K170,T$2),0)+IF(Ajustes!$L170&gt;0,INDEX($AA$4:$AL$323,Ajustes!$L170,T$2),0) + T170</f>
        <v>0</v>
      </c>
      <c r="AG170">
        <f>IF(Ajustes!$G170&gt;0,INDEX($AA$4:$AL$323,Ajustes!$G170,U$2),0)+IF(Ajustes!$H170&gt;0,INDEX($AA$4:$AL$323,Ajustes!$H170,U$2),0)+IF(Ajustes!$I170&gt;0,INDEX($AA$4:$AL$323,Ajustes!$I170,U$2),0)+IF(Ajustes!$J170&gt;0,INDEX($AA$4:$AL$323,Ajustes!$J170,U$2),0)+IF(Ajustes!$K170&gt;0,INDEX($AA$5:$AL$324,Ajustes!$K170,U$2),0)+IF(Ajustes!$L170&gt;0,INDEX($AA$4:$AL$323,Ajustes!$L170,U$2),0) + U170</f>
        <v>0</v>
      </c>
      <c r="AH170">
        <f>IF(Ajustes!$G170&gt;0,INDEX($AA$4:$AL$323,Ajustes!$G170,V$2),0)+IF(Ajustes!$H170&gt;0,INDEX($AA$4:$AL$323,Ajustes!$H170,V$2),0)+IF(Ajustes!$I170&gt;0,INDEX($AA$4:$AL$323,Ajustes!$I170,V$2),0)+IF(Ajustes!$J170&gt;0,INDEX($AA$4:$AL$323,Ajustes!$J170,V$2),0)+IF(Ajustes!$K170&gt;0,INDEX($AA$5:$AL$324,Ajustes!$K170,V$2),0)+IF(Ajustes!$L170&gt;0,INDEX($AA$4:$AL$323,Ajustes!$L170,V$2),0) + V170</f>
        <v>0</v>
      </c>
      <c r="AI170">
        <f>IF(Ajustes!$G170&gt;0,INDEX($AA$4:$AL$323,Ajustes!$G170,W$2),0)+IF(Ajustes!$H170&gt;0,INDEX($AA$4:$AL$323,Ajustes!$H170,W$2),0)+IF(Ajustes!$I170&gt;0,INDEX($AA$4:$AL$323,Ajustes!$I170,W$2),0)+IF(Ajustes!$J170&gt;0,INDEX($AA$4:$AL$323,Ajustes!$J170,W$2),0)+IF(Ajustes!$K170&gt;0,INDEX($AA$5:$AL$324,Ajustes!$K170,W$2),0)+IF(Ajustes!$L170&gt;0,INDEX($AA$4:$AL$323,Ajustes!$L170,W$2),0) + W170</f>
        <v>0</v>
      </c>
      <c r="AJ170">
        <f>IF(Ajustes!$G170&gt;0,INDEX($AA$4:$AL$323,Ajustes!$G170,X$2),0)+IF(Ajustes!$H170&gt;0,INDEX($AA$4:$AL$323,Ajustes!$H170,X$2),0)+IF(Ajustes!$I170&gt;0,INDEX($AA$4:$AL$323,Ajustes!$I170,X$2),0)+IF(Ajustes!$J170&gt;0,INDEX($AA$4:$AL$323,Ajustes!$J170,X$2),0)+IF(Ajustes!$K170&gt;0,INDEX($AA$5:$AL$324,Ajustes!$K170,X$2),0)+IF(Ajustes!$L170&gt;0,INDEX($AA$4:$AL$323,Ajustes!$L170,X$2),0) + X170</f>
        <v>0</v>
      </c>
      <c r="AK170">
        <f>IF(Ajustes!$G170&gt;0,INDEX($AA$4:$AL$323,Ajustes!$G170,Y$2),0)+IF(Ajustes!$H170&gt;0,INDEX($AA$4:$AL$323,Ajustes!$H170,Y$2),0)+IF(Ajustes!$I170&gt;0,INDEX($AA$4:$AL$323,Ajustes!$I170,Y$2),0)+IF(Ajustes!$J170&gt;0,INDEX($AA$4:$AL$323,Ajustes!$J170,Y$2),0)+IF(Ajustes!$K170&gt;0,INDEX($AA$5:$AL$324,Ajustes!$K170,Y$2),0)+IF(Ajustes!$L170&gt;0,INDEX($AA$4:$AL$323,Ajustes!$L170,Y$2),0) + Y170</f>
        <v>0</v>
      </c>
      <c r="AL170">
        <f>IF(Ajustes!$G170&gt;0,INDEX($AA$4:$AL$323,Ajustes!$G170,Z$2),0)+IF(Ajustes!$H170&gt;0,INDEX($AA$4:$AL$323,Ajustes!$H170,Z$2),0)+IF(Ajustes!$I170&gt;0,INDEX($AA$4:$AL$323,Ajustes!$I170,Z$2),0)+IF(Ajustes!$J170&gt;0,INDEX($AA$4:$AL$323,Ajustes!$J170,Z$2),0)+IF(Ajustes!$K170&gt;0,INDEX($AA$5:$AL$324,Ajustes!$K170,Z$2),0)+IF(Ajustes!$L170&gt;0,INDEX($AA$4:$AL$323,Ajustes!$L170,Z$2),0) + Z170</f>
        <v>0</v>
      </c>
      <c r="AM170" s="113">
        <f t="shared" si="39"/>
        <v>0</v>
      </c>
      <c r="AN170" s="113">
        <f t="shared" si="39"/>
        <v>0</v>
      </c>
      <c r="AO170" s="113">
        <f t="shared" si="39"/>
        <v>0</v>
      </c>
      <c r="AP170" s="113">
        <f t="shared" si="39"/>
        <v>0</v>
      </c>
      <c r="AQ170" s="113">
        <f t="shared" si="42"/>
        <v>0</v>
      </c>
      <c r="AR170" s="113">
        <f t="shared" si="40"/>
        <v>0</v>
      </c>
      <c r="AS170" s="113">
        <f t="shared" si="40"/>
        <v>0</v>
      </c>
      <c r="AT170" s="113">
        <f t="shared" si="40"/>
        <v>0</v>
      </c>
      <c r="AU170" s="113">
        <f t="shared" si="40"/>
        <v>0</v>
      </c>
      <c r="AV170" s="113">
        <f t="shared" si="43"/>
        <v>0</v>
      </c>
      <c r="AW170" s="113">
        <f t="shared" si="41"/>
        <v>0</v>
      </c>
      <c r="AX170" s="113">
        <f t="shared" si="41"/>
        <v>0</v>
      </c>
    </row>
    <row r="171" spans="1:50" x14ac:dyDescent="0.25">
      <c r="A171" s="113">
        <v>168</v>
      </c>
      <c r="B171" s="209" t="s">
        <v>616</v>
      </c>
      <c r="C171">
        <f>IFERROR(INDEX($BD$7:$BO$35,MATCH(Ajustes!$E$4:$E$323,$BC$7:$BC$35,0),$C$2:$N$2),1)</f>
        <v>1</v>
      </c>
      <c r="D171" s="113">
        <f>IFERROR(INDEX($BD$7:$BO$35,MATCH(Ajustes!$E$4:$E$323,$BC$7:$BC$35,0),$C$2:$N$2),1)</f>
        <v>1</v>
      </c>
      <c r="E171" s="113">
        <f>IFERROR(INDEX($BD$7:$BO$35,MATCH(Ajustes!$E$4:$E$323,$BC$7:$BC$35,0),$C$2:$N$2),1)</f>
        <v>1</v>
      </c>
      <c r="F171" s="113">
        <f>IFERROR(INDEX($BD$7:$BO$35,MATCH(Ajustes!$E$4:$E$323,$BC$7:$BC$35,0),$C$2:$N$2),1)</f>
        <v>1</v>
      </c>
      <c r="G171" s="113">
        <f>IFERROR(INDEX($BD$7:$BO$35,MATCH(Ajustes!$E$4:$E$323,$BC$7:$BC$35,0),$C$2:$N$2),1)</f>
        <v>1</v>
      </c>
      <c r="H171" s="113">
        <f>IFERROR(INDEX($BD$7:$BO$35,MATCH(Ajustes!$E$4:$E$323,$BC$7:$BC$35,0),$C$2:$N$2),1)</f>
        <v>1</v>
      </c>
      <c r="I171" s="113">
        <f>IFERROR(INDEX($BD$7:$BO$35,MATCH(Ajustes!$E$4:$E$323,$BC$7:$BC$35,0),$C$2:$N$2),1)</f>
        <v>1</v>
      </c>
      <c r="J171" s="113">
        <f>IFERROR(INDEX($BD$7:$BO$35,MATCH(Ajustes!$E$4:$E$323,$BC$7:$BC$35,0),$C$2:$N$2),1)</f>
        <v>1</v>
      </c>
      <c r="K171" s="113">
        <f>IFERROR(INDEX($BD$7:$BO$35,MATCH(Ajustes!$E$4:$E$323,$BC$7:$BC$35,0),$C$2:$N$2),1)</f>
        <v>1</v>
      </c>
      <c r="L171" s="113">
        <f>IFERROR(INDEX($BD$7:$BO$35,MATCH(Ajustes!$E$4:$E$323,$BC$7:$BC$35,0),$C$2:$N$2),1)</f>
        <v>1</v>
      </c>
      <c r="M171" s="113">
        <f>IFERROR(INDEX($BD$7:$BO$35,MATCH(Ajustes!$E$4:$E$323,$BC$7:$BC$35,0),$C$2:$N$2),1)</f>
        <v>1</v>
      </c>
      <c r="N171" s="113">
        <f>IFERROR(INDEX($BD$7:$BO$35,MATCH(Ajustes!$E$4:$E$323,$BC$7:$BC$35,0),$C$2:$N$2),1)</f>
        <v>1</v>
      </c>
      <c r="O171">
        <f>C171*Ajustes!AM171</f>
        <v>3274</v>
      </c>
      <c r="P171">
        <f>D171*Ajustes!AN171</f>
        <v>3390</v>
      </c>
      <c r="Q171">
        <f>E171*Ajustes!AO171</f>
        <v>3410</v>
      </c>
      <c r="R171">
        <f>F171*Ajustes!AP171</f>
        <v>2728</v>
      </c>
      <c r="S171">
        <f>G171*Ajustes!AQ171</f>
        <v>1651</v>
      </c>
      <c r="T171">
        <f>H171*Ajustes!AR171</f>
        <v>1127</v>
      </c>
      <c r="U171">
        <f>I171*Ajustes!AS171</f>
        <v>962</v>
      </c>
      <c r="V171">
        <f>J171*Ajustes!AT171</f>
        <v>850</v>
      </c>
      <c r="W171">
        <f>K171*Ajustes!AU171</f>
        <v>760</v>
      </c>
      <c r="X171">
        <f>L171*Ajustes!AV171</f>
        <v>836</v>
      </c>
      <c r="Y171">
        <f>M171*Ajustes!AW171</f>
        <v>1358</v>
      </c>
      <c r="Z171">
        <f>N171*Ajustes!AX171</f>
        <v>2433</v>
      </c>
      <c r="AA171">
        <f>IF(Ajustes!$G171&gt;0,INDEX($AA$4:$AL$323,Ajustes!$G171,O$2),0)+IF(Ajustes!$H171&gt;0,INDEX($AA$4:$AL$323,Ajustes!$H171,O$2),0)+IF(Ajustes!$I171&gt;0,INDEX($AA$4:$AL$323,Ajustes!$I171,O$2),0)+IF(Ajustes!$J171&gt;0,INDEX($AA$4:$AL$323,Ajustes!$J171,O$2),0)+IF(Ajustes!$K171&gt;0,INDEX($AA$5:$AL$324,Ajustes!$K171,O$2),0)+IF(Ajustes!$L171&gt;0,INDEX($AA$4:$AL$323,Ajustes!$L171,O$2),0) + O171</f>
        <v>3274</v>
      </c>
      <c r="AB171">
        <f>IF(Ajustes!$G171&gt;0,INDEX($AA$4:$AL$323,Ajustes!$G171,P$2),0)+IF(Ajustes!$H171&gt;0,INDEX($AA$4:$AL$323,Ajustes!$H171,P$2),0)+IF(Ajustes!$I171&gt;0,INDEX($AA$4:$AL$323,Ajustes!$I171,P$2),0)+IF(Ajustes!$J171&gt;0,INDEX($AA$4:$AL$323,Ajustes!$J171,P$2),0)+IF(Ajustes!$K171&gt;0,INDEX($AA$5:$AL$324,Ajustes!$K171,P$2),0)+IF(Ajustes!$L171&gt;0,INDEX($AA$4:$AL$323,Ajustes!$L171,P$2),0) + P171</f>
        <v>3390</v>
      </c>
      <c r="AC171">
        <f>IF(Ajustes!$G171&gt;0,INDEX($AA$4:$AL$323,Ajustes!$G171,Q$2),0)+IF(Ajustes!$H171&gt;0,INDEX($AA$4:$AL$323,Ajustes!$H171,Q$2),0)+IF(Ajustes!$I171&gt;0,INDEX($AA$4:$AL$323,Ajustes!$I171,Q$2),0)+IF(Ajustes!$J171&gt;0,INDEX($AA$4:$AL$323,Ajustes!$J171,Q$2),0)+IF(Ajustes!$K171&gt;0,INDEX($AA$5:$AL$324,Ajustes!$K171,Q$2),0)+IF(Ajustes!$L171&gt;0,INDEX($AA$4:$AL$323,Ajustes!$L171,Q$2),0) + Q171</f>
        <v>3410</v>
      </c>
      <c r="AD171">
        <f>IF(Ajustes!$G171&gt;0,INDEX($AA$4:$AL$323,Ajustes!$G171,R$2),0)+IF(Ajustes!$H171&gt;0,INDEX($AA$4:$AL$323,Ajustes!$H171,R$2),0)+IF(Ajustes!$I171&gt;0,INDEX($AA$4:$AL$323,Ajustes!$I171,R$2),0)+IF(Ajustes!$J171&gt;0,INDEX($AA$4:$AL$323,Ajustes!$J171,R$2),0)+IF(Ajustes!$K171&gt;0,INDEX($AA$5:$AL$324,Ajustes!$K171,R$2),0)+IF(Ajustes!$L171&gt;0,INDEX($AA$4:$AL$323,Ajustes!$L171,R$2),0) + R171</f>
        <v>2728</v>
      </c>
      <c r="AE171">
        <f>IF(Ajustes!$G171&gt;0,INDEX($AA$4:$AL$323,Ajustes!$G171,S$2),0)+IF(Ajustes!$H171&gt;0,INDEX($AA$4:$AL$323,Ajustes!$H171,S$2),0)+IF(Ajustes!$I171&gt;0,INDEX($AA$4:$AL$323,Ajustes!$I171,S$2),0)+IF(Ajustes!$J171&gt;0,INDEX($AA$4:$AL$323,Ajustes!$J171,S$2),0)+IF(Ajustes!$K171&gt;0,INDEX($AA$5:$AL$324,Ajustes!$K171,S$2),0)+IF(Ajustes!$L171&gt;0,INDEX($AA$4:$AL$323,Ajustes!$L171,S$2),0) + S171</f>
        <v>1651</v>
      </c>
      <c r="AF171">
        <f>IF(Ajustes!$G171&gt;0,INDEX($AA$4:$AL$323,Ajustes!$G171,T$2),0)+IF(Ajustes!$H171&gt;0,INDEX($AA$4:$AL$323,Ajustes!$H171,T$2),0)+IF(Ajustes!$I171&gt;0,INDEX($AA$4:$AL$323,Ajustes!$I171,T$2),0)+IF(Ajustes!$J171&gt;0,INDEX($AA$4:$AL$323,Ajustes!$J171,T$2),0)+IF(Ajustes!$K171&gt;0,INDEX($AA$5:$AL$324,Ajustes!$K171,T$2),0)+IF(Ajustes!$L171&gt;0,INDEX($AA$4:$AL$323,Ajustes!$L171,T$2),0) + T171</f>
        <v>1127</v>
      </c>
      <c r="AG171">
        <f>IF(Ajustes!$G171&gt;0,INDEX($AA$4:$AL$323,Ajustes!$G171,U$2),0)+IF(Ajustes!$H171&gt;0,INDEX($AA$4:$AL$323,Ajustes!$H171,U$2),0)+IF(Ajustes!$I171&gt;0,INDEX($AA$4:$AL$323,Ajustes!$I171,U$2),0)+IF(Ajustes!$J171&gt;0,INDEX($AA$4:$AL$323,Ajustes!$J171,U$2),0)+IF(Ajustes!$K171&gt;0,INDEX($AA$5:$AL$324,Ajustes!$K171,U$2),0)+IF(Ajustes!$L171&gt;0,INDEX($AA$4:$AL$323,Ajustes!$L171,U$2),0) + U171</f>
        <v>962</v>
      </c>
      <c r="AH171">
        <f>IF(Ajustes!$G171&gt;0,INDEX($AA$4:$AL$323,Ajustes!$G171,V$2),0)+IF(Ajustes!$H171&gt;0,INDEX($AA$4:$AL$323,Ajustes!$H171,V$2),0)+IF(Ajustes!$I171&gt;0,INDEX($AA$4:$AL$323,Ajustes!$I171,V$2),0)+IF(Ajustes!$J171&gt;0,INDEX($AA$4:$AL$323,Ajustes!$J171,V$2),0)+IF(Ajustes!$K171&gt;0,INDEX($AA$5:$AL$324,Ajustes!$K171,V$2),0)+IF(Ajustes!$L171&gt;0,INDEX($AA$4:$AL$323,Ajustes!$L171,V$2),0) + V171</f>
        <v>850</v>
      </c>
      <c r="AI171">
        <f>IF(Ajustes!$G171&gt;0,INDEX($AA$4:$AL$323,Ajustes!$G171,W$2),0)+IF(Ajustes!$H171&gt;0,INDEX($AA$4:$AL$323,Ajustes!$H171,W$2),0)+IF(Ajustes!$I171&gt;0,INDEX($AA$4:$AL$323,Ajustes!$I171,W$2),0)+IF(Ajustes!$J171&gt;0,INDEX($AA$4:$AL$323,Ajustes!$J171,W$2),0)+IF(Ajustes!$K171&gt;0,INDEX($AA$5:$AL$324,Ajustes!$K171,W$2),0)+IF(Ajustes!$L171&gt;0,INDEX($AA$4:$AL$323,Ajustes!$L171,W$2),0) + W171</f>
        <v>760</v>
      </c>
      <c r="AJ171">
        <f>IF(Ajustes!$G171&gt;0,INDEX($AA$4:$AL$323,Ajustes!$G171,X$2),0)+IF(Ajustes!$H171&gt;0,INDEX($AA$4:$AL$323,Ajustes!$H171,X$2),0)+IF(Ajustes!$I171&gt;0,INDEX($AA$4:$AL$323,Ajustes!$I171,X$2),0)+IF(Ajustes!$J171&gt;0,INDEX($AA$4:$AL$323,Ajustes!$J171,X$2),0)+IF(Ajustes!$K171&gt;0,INDEX($AA$5:$AL$324,Ajustes!$K171,X$2),0)+IF(Ajustes!$L171&gt;0,INDEX($AA$4:$AL$323,Ajustes!$L171,X$2),0) + X171</f>
        <v>836</v>
      </c>
      <c r="AK171">
        <f>IF(Ajustes!$G171&gt;0,INDEX($AA$4:$AL$323,Ajustes!$G171,Y$2),0)+IF(Ajustes!$H171&gt;0,INDEX($AA$4:$AL$323,Ajustes!$H171,Y$2),0)+IF(Ajustes!$I171&gt;0,INDEX($AA$4:$AL$323,Ajustes!$I171,Y$2),0)+IF(Ajustes!$J171&gt;0,INDEX($AA$4:$AL$323,Ajustes!$J171,Y$2),0)+IF(Ajustes!$K171&gt;0,INDEX($AA$5:$AL$324,Ajustes!$K171,Y$2),0)+IF(Ajustes!$L171&gt;0,INDEX($AA$4:$AL$323,Ajustes!$L171,Y$2),0) + Y171</f>
        <v>1358</v>
      </c>
      <c r="AL171">
        <f>IF(Ajustes!$G171&gt;0,INDEX($AA$4:$AL$323,Ajustes!$G171,Z$2),0)+IF(Ajustes!$H171&gt;0,INDEX($AA$4:$AL$323,Ajustes!$H171,Z$2),0)+IF(Ajustes!$I171&gt;0,INDEX($AA$4:$AL$323,Ajustes!$I171,Z$2),0)+IF(Ajustes!$J171&gt;0,INDEX($AA$4:$AL$323,Ajustes!$J171,Z$2),0)+IF(Ajustes!$K171&gt;0,INDEX($AA$5:$AL$324,Ajustes!$K171,Z$2),0)+IF(Ajustes!$L171&gt;0,INDEX($AA$4:$AL$323,Ajustes!$L171,Z$2),0) + Z171</f>
        <v>2433</v>
      </c>
      <c r="AM171" s="113">
        <f t="shared" si="39"/>
        <v>3274</v>
      </c>
      <c r="AN171" s="113">
        <f t="shared" si="39"/>
        <v>3390</v>
      </c>
      <c r="AO171" s="113">
        <f t="shared" si="39"/>
        <v>3410</v>
      </c>
      <c r="AP171" s="113">
        <f t="shared" si="39"/>
        <v>2728</v>
      </c>
      <c r="AQ171" s="113">
        <f t="shared" si="42"/>
        <v>1651</v>
      </c>
      <c r="AR171" s="113">
        <f t="shared" si="40"/>
        <v>1127</v>
      </c>
      <c r="AS171" s="113">
        <f t="shared" si="40"/>
        <v>962</v>
      </c>
      <c r="AT171" s="113">
        <f t="shared" si="40"/>
        <v>850</v>
      </c>
      <c r="AU171" s="113">
        <f t="shared" si="40"/>
        <v>760</v>
      </c>
      <c r="AV171" s="113">
        <f t="shared" si="43"/>
        <v>836</v>
      </c>
      <c r="AW171" s="113">
        <f t="shared" si="41"/>
        <v>1358</v>
      </c>
      <c r="AX171" s="113">
        <f t="shared" si="41"/>
        <v>2433</v>
      </c>
    </row>
    <row r="172" spans="1:50" x14ac:dyDescent="0.25">
      <c r="A172" s="113">
        <v>169</v>
      </c>
      <c r="B172" s="209" t="s">
        <v>36</v>
      </c>
      <c r="C172">
        <f>IFERROR(INDEX($BD$7:$BO$35,MATCH(Ajustes!$E$4:$E$323,$BC$7:$BC$35,0),$C$2:$N$2),1)</f>
        <v>1</v>
      </c>
      <c r="D172" s="113">
        <f>IFERROR(INDEX($BD$7:$BO$35,MATCH(Ajustes!$E$4:$E$323,$BC$7:$BC$35,0),$C$2:$N$2),1)</f>
        <v>1</v>
      </c>
      <c r="E172" s="113">
        <f>IFERROR(INDEX($BD$7:$BO$35,MATCH(Ajustes!$E$4:$E$323,$BC$7:$BC$35,0),$C$2:$N$2),1)</f>
        <v>1</v>
      </c>
      <c r="F172" s="113">
        <f>IFERROR(INDEX($BD$7:$BO$35,MATCH(Ajustes!$E$4:$E$323,$BC$7:$BC$35,0),$C$2:$N$2),1)</f>
        <v>1</v>
      </c>
      <c r="G172" s="113">
        <f>IFERROR(INDEX($BD$7:$BO$35,MATCH(Ajustes!$E$4:$E$323,$BC$7:$BC$35,0),$C$2:$N$2),1)</f>
        <v>1</v>
      </c>
      <c r="H172" s="113">
        <f>IFERROR(INDEX($BD$7:$BO$35,MATCH(Ajustes!$E$4:$E$323,$BC$7:$BC$35,0),$C$2:$N$2),1)</f>
        <v>1</v>
      </c>
      <c r="I172" s="113">
        <f>IFERROR(INDEX($BD$7:$BO$35,MATCH(Ajustes!$E$4:$E$323,$BC$7:$BC$35,0),$C$2:$N$2),1)</f>
        <v>1</v>
      </c>
      <c r="J172" s="113">
        <f>IFERROR(INDEX($BD$7:$BO$35,MATCH(Ajustes!$E$4:$E$323,$BC$7:$BC$35,0),$C$2:$N$2),1)</f>
        <v>1</v>
      </c>
      <c r="K172" s="113">
        <f>IFERROR(INDEX($BD$7:$BO$35,MATCH(Ajustes!$E$4:$E$323,$BC$7:$BC$35,0),$C$2:$N$2),1)</f>
        <v>1</v>
      </c>
      <c r="L172" s="113">
        <f>IFERROR(INDEX($BD$7:$BO$35,MATCH(Ajustes!$E$4:$E$323,$BC$7:$BC$35,0),$C$2:$N$2),1)</f>
        <v>1</v>
      </c>
      <c r="M172" s="113">
        <f>IFERROR(INDEX($BD$7:$BO$35,MATCH(Ajustes!$E$4:$E$323,$BC$7:$BC$35,0),$C$2:$N$2),1)</f>
        <v>1</v>
      </c>
      <c r="N172" s="113">
        <f>IFERROR(INDEX($BD$7:$BO$35,MATCH(Ajustes!$E$4:$E$323,$BC$7:$BC$35,0),$C$2:$N$2),1)</f>
        <v>1</v>
      </c>
      <c r="O172">
        <f>C172*Ajustes!AM172</f>
        <v>3134</v>
      </c>
      <c r="P172">
        <f>D172*Ajustes!AN172</f>
        <v>3451</v>
      </c>
      <c r="Q172">
        <f>E172*Ajustes!AO172</f>
        <v>3519</v>
      </c>
      <c r="R172">
        <f>F172*Ajustes!AP172</f>
        <v>2934</v>
      </c>
      <c r="S172">
        <f>G172*Ajustes!AQ172</f>
        <v>1775</v>
      </c>
      <c r="T172">
        <f>H172*Ajustes!AR172</f>
        <v>1174</v>
      </c>
      <c r="U172">
        <f>I172*Ajustes!AS172</f>
        <v>988</v>
      </c>
      <c r="V172">
        <f>J172*Ajustes!AT172</f>
        <v>869</v>
      </c>
      <c r="W172">
        <f>K172*Ajustes!AU172</f>
        <v>759</v>
      </c>
      <c r="X172">
        <f>L172*Ajustes!AV172</f>
        <v>797</v>
      </c>
      <c r="Y172">
        <f>M172*Ajustes!AW172</f>
        <v>1215</v>
      </c>
      <c r="Z172">
        <f>N172*Ajustes!AX172</f>
        <v>2167</v>
      </c>
      <c r="AA172">
        <f>IF(Ajustes!$G172&gt;0,INDEX($AA$4:$AL$323,Ajustes!$G172,O$2),0)+IF(Ajustes!$H172&gt;0,INDEX($AA$4:$AL$323,Ajustes!$H172,O$2),0)+IF(Ajustes!$I172&gt;0,INDEX($AA$4:$AL$323,Ajustes!$I172,O$2),0)+IF(Ajustes!$J172&gt;0,INDEX($AA$4:$AL$323,Ajustes!$J172,O$2),0)+IF(Ajustes!$K172&gt;0,INDEX($AA$5:$AL$324,Ajustes!$K172,O$2),0)+IF(Ajustes!$L172&gt;0,INDEX($AA$4:$AL$323,Ajustes!$L172,O$2),0) + O172</f>
        <v>4692</v>
      </c>
      <c r="AB172">
        <f>IF(Ajustes!$G172&gt;0,INDEX($AA$4:$AL$323,Ajustes!$G172,P$2),0)+IF(Ajustes!$H172&gt;0,INDEX($AA$4:$AL$323,Ajustes!$H172,P$2),0)+IF(Ajustes!$I172&gt;0,INDEX($AA$4:$AL$323,Ajustes!$I172,P$2),0)+IF(Ajustes!$J172&gt;0,INDEX($AA$4:$AL$323,Ajustes!$J172,P$2),0)+IF(Ajustes!$K172&gt;0,INDEX($AA$5:$AL$324,Ajustes!$K172,P$2),0)+IF(Ajustes!$L172&gt;0,INDEX($AA$4:$AL$323,Ajustes!$L172,P$2),0) + P172</f>
        <v>4903</v>
      </c>
      <c r="AC172">
        <f>IF(Ajustes!$G172&gt;0,INDEX($AA$4:$AL$323,Ajustes!$G172,Q$2),0)+IF(Ajustes!$H172&gt;0,INDEX($AA$4:$AL$323,Ajustes!$H172,Q$2),0)+IF(Ajustes!$I172&gt;0,INDEX($AA$4:$AL$323,Ajustes!$I172,Q$2),0)+IF(Ajustes!$J172&gt;0,INDEX($AA$4:$AL$323,Ajustes!$J172,Q$2),0)+IF(Ajustes!$K172&gt;0,INDEX($AA$5:$AL$324,Ajustes!$K172,Q$2),0)+IF(Ajustes!$L172&gt;0,INDEX($AA$4:$AL$323,Ajustes!$L172,Q$2),0) + Q172</f>
        <v>4744</v>
      </c>
      <c r="AD172">
        <f>IF(Ajustes!$G172&gt;0,INDEX($AA$4:$AL$323,Ajustes!$G172,R$2),0)+IF(Ajustes!$H172&gt;0,INDEX($AA$4:$AL$323,Ajustes!$H172,R$2),0)+IF(Ajustes!$I172&gt;0,INDEX($AA$4:$AL$323,Ajustes!$I172,R$2),0)+IF(Ajustes!$J172&gt;0,INDEX($AA$4:$AL$323,Ajustes!$J172,R$2),0)+IF(Ajustes!$K172&gt;0,INDEX($AA$5:$AL$324,Ajustes!$K172,R$2),0)+IF(Ajustes!$L172&gt;0,INDEX($AA$4:$AL$323,Ajustes!$L172,R$2),0) + R172</f>
        <v>3757</v>
      </c>
      <c r="AE172">
        <f>IF(Ajustes!$G172&gt;0,INDEX($AA$4:$AL$323,Ajustes!$G172,S$2),0)+IF(Ajustes!$H172&gt;0,INDEX($AA$4:$AL$323,Ajustes!$H172,S$2),0)+IF(Ajustes!$I172&gt;0,INDEX($AA$4:$AL$323,Ajustes!$I172,S$2),0)+IF(Ajustes!$J172&gt;0,INDEX($AA$4:$AL$323,Ajustes!$J172,S$2),0)+IF(Ajustes!$K172&gt;0,INDEX($AA$5:$AL$324,Ajustes!$K172,S$2),0)+IF(Ajustes!$L172&gt;0,INDEX($AA$4:$AL$323,Ajustes!$L172,S$2),0) + S172</f>
        <v>2274</v>
      </c>
      <c r="AF172">
        <f>IF(Ajustes!$G172&gt;0,INDEX($AA$4:$AL$323,Ajustes!$G172,T$2),0)+IF(Ajustes!$H172&gt;0,INDEX($AA$4:$AL$323,Ajustes!$H172,T$2),0)+IF(Ajustes!$I172&gt;0,INDEX($AA$4:$AL$323,Ajustes!$I172,T$2),0)+IF(Ajustes!$J172&gt;0,INDEX($AA$4:$AL$323,Ajustes!$J172,T$2),0)+IF(Ajustes!$K172&gt;0,INDEX($AA$5:$AL$324,Ajustes!$K172,T$2),0)+IF(Ajustes!$L172&gt;0,INDEX($AA$4:$AL$323,Ajustes!$L172,T$2),0) + T172</f>
        <v>1555</v>
      </c>
      <c r="AG172">
        <f>IF(Ajustes!$G172&gt;0,INDEX($AA$4:$AL$323,Ajustes!$G172,U$2),0)+IF(Ajustes!$H172&gt;0,INDEX($AA$4:$AL$323,Ajustes!$H172,U$2),0)+IF(Ajustes!$I172&gt;0,INDEX($AA$4:$AL$323,Ajustes!$I172,U$2),0)+IF(Ajustes!$J172&gt;0,INDEX($AA$4:$AL$323,Ajustes!$J172,U$2),0)+IF(Ajustes!$K172&gt;0,INDEX($AA$5:$AL$324,Ajustes!$K172,U$2),0)+IF(Ajustes!$L172&gt;0,INDEX($AA$4:$AL$323,Ajustes!$L172,U$2),0) + U172</f>
        <v>1297</v>
      </c>
      <c r="AH172">
        <f>IF(Ajustes!$G172&gt;0,INDEX($AA$4:$AL$323,Ajustes!$G172,V$2),0)+IF(Ajustes!$H172&gt;0,INDEX($AA$4:$AL$323,Ajustes!$H172,V$2),0)+IF(Ajustes!$I172&gt;0,INDEX($AA$4:$AL$323,Ajustes!$I172,V$2),0)+IF(Ajustes!$J172&gt;0,INDEX($AA$4:$AL$323,Ajustes!$J172,V$2),0)+IF(Ajustes!$K172&gt;0,INDEX($AA$5:$AL$324,Ajustes!$K172,V$2),0)+IF(Ajustes!$L172&gt;0,INDEX($AA$4:$AL$323,Ajustes!$L172,V$2),0) + V172</f>
        <v>1123</v>
      </c>
      <c r="AI172">
        <f>IF(Ajustes!$G172&gt;0,INDEX($AA$4:$AL$323,Ajustes!$G172,W$2),0)+IF(Ajustes!$H172&gt;0,INDEX($AA$4:$AL$323,Ajustes!$H172,W$2),0)+IF(Ajustes!$I172&gt;0,INDEX($AA$4:$AL$323,Ajustes!$I172,W$2),0)+IF(Ajustes!$J172&gt;0,INDEX($AA$4:$AL$323,Ajustes!$J172,W$2),0)+IF(Ajustes!$K172&gt;0,INDEX($AA$5:$AL$324,Ajustes!$K172,W$2),0)+IF(Ajustes!$L172&gt;0,INDEX($AA$4:$AL$323,Ajustes!$L172,W$2),0) + W172</f>
        <v>1005</v>
      </c>
      <c r="AJ172">
        <f>IF(Ajustes!$G172&gt;0,INDEX($AA$4:$AL$323,Ajustes!$G172,X$2),0)+IF(Ajustes!$H172&gt;0,INDEX($AA$4:$AL$323,Ajustes!$H172,X$2),0)+IF(Ajustes!$I172&gt;0,INDEX($AA$4:$AL$323,Ajustes!$I172,X$2),0)+IF(Ajustes!$J172&gt;0,INDEX($AA$4:$AL$323,Ajustes!$J172,X$2),0)+IF(Ajustes!$K172&gt;0,INDEX($AA$5:$AL$324,Ajustes!$K172,X$2),0)+IF(Ajustes!$L172&gt;0,INDEX($AA$4:$AL$323,Ajustes!$L172,X$2),0) + X172</f>
        <v>1129</v>
      </c>
      <c r="AK172">
        <f>IF(Ajustes!$G172&gt;0,INDEX($AA$4:$AL$323,Ajustes!$G172,Y$2),0)+IF(Ajustes!$H172&gt;0,INDEX($AA$4:$AL$323,Ajustes!$H172,Y$2),0)+IF(Ajustes!$I172&gt;0,INDEX($AA$4:$AL$323,Ajustes!$I172,Y$2),0)+IF(Ajustes!$J172&gt;0,INDEX($AA$4:$AL$323,Ajustes!$J172,Y$2),0)+IF(Ajustes!$K172&gt;0,INDEX($AA$5:$AL$324,Ajustes!$K172,Y$2),0)+IF(Ajustes!$L172&gt;0,INDEX($AA$4:$AL$323,Ajustes!$L172,Y$2),0) + Y172</f>
        <v>1865</v>
      </c>
      <c r="AL172">
        <f>IF(Ajustes!$G172&gt;0,INDEX($AA$4:$AL$323,Ajustes!$G172,Z$2),0)+IF(Ajustes!$H172&gt;0,INDEX($AA$4:$AL$323,Ajustes!$H172,Z$2),0)+IF(Ajustes!$I172&gt;0,INDEX($AA$4:$AL$323,Ajustes!$I172,Z$2),0)+IF(Ajustes!$J172&gt;0,INDEX($AA$4:$AL$323,Ajustes!$J172,Z$2),0)+IF(Ajustes!$K172&gt;0,INDEX($AA$5:$AL$324,Ajustes!$K172,Z$2),0)+IF(Ajustes!$L172&gt;0,INDEX($AA$4:$AL$323,Ajustes!$L172,Z$2),0) + Z172</f>
        <v>3359</v>
      </c>
      <c r="AM172" s="113">
        <f t="shared" si="39"/>
        <v>4692</v>
      </c>
      <c r="AN172" s="113">
        <f t="shared" si="39"/>
        <v>4903</v>
      </c>
      <c r="AO172" s="113">
        <f t="shared" si="39"/>
        <v>4744</v>
      </c>
      <c r="AP172" s="113">
        <f t="shared" si="39"/>
        <v>3757</v>
      </c>
      <c r="AQ172" s="113">
        <f t="shared" si="42"/>
        <v>2274</v>
      </c>
      <c r="AR172" s="113">
        <f t="shared" si="40"/>
        <v>1555</v>
      </c>
      <c r="AS172" s="113">
        <f t="shared" si="40"/>
        <v>1297</v>
      </c>
      <c r="AT172" s="113">
        <f t="shared" si="40"/>
        <v>1123</v>
      </c>
      <c r="AU172" s="113">
        <f t="shared" si="40"/>
        <v>1005</v>
      </c>
      <c r="AV172" s="113">
        <f t="shared" si="43"/>
        <v>1129</v>
      </c>
      <c r="AW172" s="113">
        <f t="shared" si="41"/>
        <v>1865</v>
      </c>
      <c r="AX172" s="113">
        <f t="shared" si="41"/>
        <v>3359</v>
      </c>
    </row>
    <row r="173" spans="1:50" x14ac:dyDescent="0.25">
      <c r="A173" s="113">
        <v>170</v>
      </c>
      <c r="B173" s="209"/>
      <c r="C173">
        <f>IFERROR(INDEX($BD$7:$BO$35,MATCH(Ajustes!$E$4:$E$323,$BC$7:$BC$35,0),$C$2:$N$2),1)</f>
        <v>1</v>
      </c>
      <c r="D173" s="113">
        <f>IFERROR(INDEX($BD$7:$BO$35,MATCH(Ajustes!$E$4:$E$323,$BC$7:$BC$35,0),$C$2:$N$2),1)</f>
        <v>1</v>
      </c>
      <c r="E173" s="113">
        <f>IFERROR(INDEX($BD$7:$BO$35,MATCH(Ajustes!$E$4:$E$323,$BC$7:$BC$35,0),$C$2:$N$2),1)</f>
        <v>1</v>
      </c>
      <c r="F173" s="113">
        <f>IFERROR(INDEX($BD$7:$BO$35,MATCH(Ajustes!$E$4:$E$323,$BC$7:$BC$35,0),$C$2:$N$2),1)</f>
        <v>1</v>
      </c>
      <c r="G173" s="113">
        <f>IFERROR(INDEX($BD$7:$BO$35,MATCH(Ajustes!$E$4:$E$323,$BC$7:$BC$35,0),$C$2:$N$2),1)</f>
        <v>1</v>
      </c>
      <c r="H173" s="113">
        <f>IFERROR(INDEX($BD$7:$BO$35,MATCH(Ajustes!$E$4:$E$323,$BC$7:$BC$35,0),$C$2:$N$2),1)</f>
        <v>1</v>
      </c>
      <c r="I173" s="113">
        <f>IFERROR(INDEX($BD$7:$BO$35,MATCH(Ajustes!$E$4:$E$323,$BC$7:$BC$35,0),$C$2:$N$2),1)</f>
        <v>1</v>
      </c>
      <c r="J173" s="113">
        <f>IFERROR(INDEX($BD$7:$BO$35,MATCH(Ajustes!$E$4:$E$323,$BC$7:$BC$35,0),$C$2:$N$2),1)</f>
        <v>1</v>
      </c>
      <c r="K173" s="113">
        <f>IFERROR(INDEX($BD$7:$BO$35,MATCH(Ajustes!$E$4:$E$323,$BC$7:$BC$35,0),$C$2:$N$2),1)</f>
        <v>1</v>
      </c>
      <c r="L173" s="113">
        <f>IFERROR(INDEX($BD$7:$BO$35,MATCH(Ajustes!$E$4:$E$323,$BC$7:$BC$35,0),$C$2:$N$2),1)</f>
        <v>1</v>
      </c>
      <c r="M173" s="113">
        <f>IFERROR(INDEX($BD$7:$BO$35,MATCH(Ajustes!$E$4:$E$323,$BC$7:$BC$35,0),$C$2:$N$2),1)</f>
        <v>1</v>
      </c>
      <c r="N173" s="113">
        <f>IFERROR(INDEX($BD$7:$BO$35,MATCH(Ajustes!$E$4:$E$323,$BC$7:$BC$35,0),$C$2:$N$2),1)</f>
        <v>1</v>
      </c>
      <c r="O173">
        <f>C173*Ajustes!AM173</f>
        <v>0</v>
      </c>
      <c r="P173">
        <f>D173*Ajustes!AN173</f>
        <v>0</v>
      </c>
      <c r="Q173">
        <f>E173*Ajustes!AO173</f>
        <v>0</v>
      </c>
      <c r="R173">
        <f>F173*Ajustes!AP173</f>
        <v>0</v>
      </c>
      <c r="S173">
        <f>G173*Ajustes!AQ173</f>
        <v>0</v>
      </c>
      <c r="T173">
        <f>H173*Ajustes!AR173</f>
        <v>0</v>
      </c>
      <c r="U173">
        <f>I173*Ajustes!AS173</f>
        <v>0</v>
      </c>
      <c r="V173">
        <f>J173*Ajustes!AT173</f>
        <v>0</v>
      </c>
      <c r="W173">
        <f>K173*Ajustes!AU173</f>
        <v>0</v>
      </c>
      <c r="X173">
        <f>L173*Ajustes!AV173</f>
        <v>0</v>
      </c>
      <c r="Y173">
        <f>M173*Ajustes!AW173</f>
        <v>0</v>
      </c>
      <c r="Z173">
        <f>N173*Ajustes!AX173</f>
        <v>0</v>
      </c>
      <c r="AA173">
        <f>IF(Ajustes!$G173&gt;0,INDEX($AA$4:$AL$323,Ajustes!$G173,O$2),0)+IF(Ajustes!$H173&gt;0,INDEX($AA$4:$AL$323,Ajustes!$H173,O$2),0)+IF(Ajustes!$I173&gt;0,INDEX($AA$4:$AL$323,Ajustes!$I173,O$2),0)+IF(Ajustes!$J173&gt;0,INDEX($AA$4:$AL$323,Ajustes!$J173,O$2),0)+IF(Ajustes!$K173&gt;0,INDEX($AA$5:$AL$324,Ajustes!$K173,O$2),0)+IF(Ajustes!$L173&gt;0,INDEX($AA$4:$AL$323,Ajustes!$L173,O$2),0) + O173</f>
        <v>0</v>
      </c>
      <c r="AB173">
        <f>IF(Ajustes!$G173&gt;0,INDEX($AA$4:$AL$323,Ajustes!$G173,P$2),0)+IF(Ajustes!$H173&gt;0,INDEX($AA$4:$AL$323,Ajustes!$H173,P$2),0)+IF(Ajustes!$I173&gt;0,INDEX($AA$4:$AL$323,Ajustes!$I173,P$2),0)+IF(Ajustes!$J173&gt;0,INDEX($AA$4:$AL$323,Ajustes!$J173,P$2),0)+IF(Ajustes!$K173&gt;0,INDEX($AA$5:$AL$324,Ajustes!$K173,P$2),0)+IF(Ajustes!$L173&gt;0,INDEX($AA$4:$AL$323,Ajustes!$L173,P$2),0) + P173</f>
        <v>0</v>
      </c>
      <c r="AC173">
        <f>IF(Ajustes!$G173&gt;0,INDEX($AA$4:$AL$323,Ajustes!$G173,Q$2),0)+IF(Ajustes!$H173&gt;0,INDEX($AA$4:$AL$323,Ajustes!$H173,Q$2),0)+IF(Ajustes!$I173&gt;0,INDEX($AA$4:$AL$323,Ajustes!$I173,Q$2),0)+IF(Ajustes!$J173&gt;0,INDEX($AA$4:$AL$323,Ajustes!$J173,Q$2),0)+IF(Ajustes!$K173&gt;0,INDEX($AA$5:$AL$324,Ajustes!$K173,Q$2),0)+IF(Ajustes!$L173&gt;0,INDEX($AA$4:$AL$323,Ajustes!$L173,Q$2),0) + Q173</f>
        <v>0</v>
      </c>
      <c r="AD173">
        <f>IF(Ajustes!$G173&gt;0,INDEX($AA$4:$AL$323,Ajustes!$G173,R$2),0)+IF(Ajustes!$H173&gt;0,INDEX($AA$4:$AL$323,Ajustes!$H173,R$2),0)+IF(Ajustes!$I173&gt;0,INDEX($AA$4:$AL$323,Ajustes!$I173,R$2),0)+IF(Ajustes!$J173&gt;0,INDEX($AA$4:$AL$323,Ajustes!$J173,R$2),0)+IF(Ajustes!$K173&gt;0,INDEX($AA$5:$AL$324,Ajustes!$K173,R$2),0)+IF(Ajustes!$L173&gt;0,INDEX($AA$4:$AL$323,Ajustes!$L173,R$2),0) + R173</f>
        <v>0</v>
      </c>
      <c r="AE173">
        <f>IF(Ajustes!$G173&gt;0,INDEX($AA$4:$AL$323,Ajustes!$G173,S$2),0)+IF(Ajustes!$H173&gt;0,INDEX($AA$4:$AL$323,Ajustes!$H173,S$2),0)+IF(Ajustes!$I173&gt;0,INDEX($AA$4:$AL$323,Ajustes!$I173,S$2),0)+IF(Ajustes!$J173&gt;0,INDEX($AA$4:$AL$323,Ajustes!$J173,S$2),0)+IF(Ajustes!$K173&gt;0,INDEX($AA$5:$AL$324,Ajustes!$K173,S$2),0)+IF(Ajustes!$L173&gt;0,INDEX($AA$4:$AL$323,Ajustes!$L173,S$2),0) + S173</f>
        <v>0</v>
      </c>
      <c r="AF173">
        <f>IF(Ajustes!$G173&gt;0,INDEX($AA$4:$AL$323,Ajustes!$G173,T$2),0)+IF(Ajustes!$H173&gt;0,INDEX($AA$4:$AL$323,Ajustes!$H173,T$2),0)+IF(Ajustes!$I173&gt;0,INDEX($AA$4:$AL$323,Ajustes!$I173,T$2),0)+IF(Ajustes!$J173&gt;0,INDEX($AA$4:$AL$323,Ajustes!$J173,T$2),0)+IF(Ajustes!$K173&gt;0,INDEX($AA$5:$AL$324,Ajustes!$K173,T$2),0)+IF(Ajustes!$L173&gt;0,INDEX($AA$4:$AL$323,Ajustes!$L173,T$2),0) + T173</f>
        <v>0</v>
      </c>
      <c r="AG173">
        <f>IF(Ajustes!$G173&gt;0,INDEX($AA$4:$AL$323,Ajustes!$G173,U$2),0)+IF(Ajustes!$H173&gt;0,INDEX($AA$4:$AL$323,Ajustes!$H173,U$2),0)+IF(Ajustes!$I173&gt;0,INDEX($AA$4:$AL$323,Ajustes!$I173,U$2),0)+IF(Ajustes!$J173&gt;0,INDEX($AA$4:$AL$323,Ajustes!$J173,U$2),0)+IF(Ajustes!$K173&gt;0,INDEX($AA$5:$AL$324,Ajustes!$K173,U$2),0)+IF(Ajustes!$L173&gt;0,INDEX($AA$4:$AL$323,Ajustes!$L173,U$2),0) + U173</f>
        <v>0</v>
      </c>
      <c r="AH173">
        <f>IF(Ajustes!$G173&gt;0,INDEX($AA$4:$AL$323,Ajustes!$G173,V$2),0)+IF(Ajustes!$H173&gt;0,INDEX($AA$4:$AL$323,Ajustes!$H173,V$2),0)+IF(Ajustes!$I173&gt;0,INDEX($AA$4:$AL$323,Ajustes!$I173,V$2),0)+IF(Ajustes!$J173&gt;0,INDEX($AA$4:$AL$323,Ajustes!$J173,V$2),0)+IF(Ajustes!$K173&gt;0,INDEX($AA$5:$AL$324,Ajustes!$K173,V$2),0)+IF(Ajustes!$L173&gt;0,INDEX($AA$4:$AL$323,Ajustes!$L173,V$2),0) + V173</f>
        <v>0</v>
      </c>
      <c r="AI173">
        <f>IF(Ajustes!$G173&gt;0,INDEX($AA$4:$AL$323,Ajustes!$G173,W$2),0)+IF(Ajustes!$H173&gt;0,INDEX($AA$4:$AL$323,Ajustes!$H173,W$2),0)+IF(Ajustes!$I173&gt;0,INDEX($AA$4:$AL$323,Ajustes!$I173,W$2),0)+IF(Ajustes!$J173&gt;0,INDEX($AA$4:$AL$323,Ajustes!$J173,W$2),0)+IF(Ajustes!$K173&gt;0,INDEX($AA$5:$AL$324,Ajustes!$K173,W$2),0)+IF(Ajustes!$L173&gt;0,INDEX($AA$4:$AL$323,Ajustes!$L173,W$2),0) + W173</f>
        <v>0</v>
      </c>
      <c r="AJ173">
        <f>IF(Ajustes!$G173&gt;0,INDEX($AA$4:$AL$323,Ajustes!$G173,X$2),0)+IF(Ajustes!$H173&gt;0,INDEX($AA$4:$AL$323,Ajustes!$H173,X$2),0)+IF(Ajustes!$I173&gt;0,INDEX($AA$4:$AL$323,Ajustes!$I173,X$2),0)+IF(Ajustes!$J173&gt;0,INDEX($AA$4:$AL$323,Ajustes!$J173,X$2),0)+IF(Ajustes!$K173&gt;0,INDEX($AA$5:$AL$324,Ajustes!$K173,X$2),0)+IF(Ajustes!$L173&gt;0,INDEX($AA$4:$AL$323,Ajustes!$L173,X$2),0) + X173</f>
        <v>0</v>
      </c>
      <c r="AK173">
        <f>IF(Ajustes!$G173&gt;0,INDEX($AA$4:$AL$323,Ajustes!$G173,Y$2),0)+IF(Ajustes!$H173&gt;0,INDEX($AA$4:$AL$323,Ajustes!$H173,Y$2),0)+IF(Ajustes!$I173&gt;0,INDEX($AA$4:$AL$323,Ajustes!$I173,Y$2),0)+IF(Ajustes!$J173&gt;0,INDEX($AA$4:$AL$323,Ajustes!$J173,Y$2),0)+IF(Ajustes!$K173&gt;0,INDEX($AA$5:$AL$324,Ajustes!$K173,Y$2),0)+IF(Ajustes!$L173&gt;0,INDEX($AA$4:$AL$323,Ajustes!$L173,Y$2),0) + Y173</f>
        <v>0</v>
      </c>
      <c r="AL173">
        <f>IF(Ajustes!$G173&gt;0,INDEX($AA$4:$AL$323,Ajustes!$G173,Z$2),0)+IF(Ajustes!$H173&gt;0,INDEX($AA$4:$AL$323,Ajustes!$H173,Z$2),0)+IF(Ajustes!$I173&gt;0,INDEX($AA$4:$AL$323,Ajustes!$I173,Z$2),0)+IF(Ajustes!$J173&gt;0,INDEX($AA$4:$AL$323,Ajustes!$J173,Z$2),0)+IF(Ajustes!$K173&gt;0,INDEX($AA$5:$AL$324,Ajustes!$K173,Z$2),0)+IF(Ajustes!$L173&gt;0,INDEX($AA$4:$AL$323,Ajustes!$L173,Z$2),0) + Z173</f>
        <v>0</v>
      </c>
      <c r="AM173" s="113">
        <f t="shared" si="39"/>
        <v>0</v>
      </c>
      <c r="AN173" s="113">
        <f t="shared" si="39"/>
        <v>0</v>
      </c>
      <c r="AO173" s="113">
        <f t="shared" si="39"/>
        <v>0</v>
      </c>
      <c r="AP173" s="113">
        <f t="shared" si="39"/>
        <v>0</v>
      </c>
      <c r="AQ173" s="113">
        <f t="shared" si="42"/>
        <v>0</v>
      </c>
      <c r="AR173" s="113">
        <f t="shared" si="40"/>
        <v>0</v>
      </c>
      <c r="AS173" s="113">
        <f t="shared" si="40"/>
        <v>0</v>
      </c>
      <c r="AT173" s="113">
        <f t="shared" si="40"/>
        <v>0</v>
      </c>
      <c r="AU173" s="113">
        <f t="shared" si="40"/>
        <v>0</v>
      </c>
      <c r="AV173" s="113">
        <f t="shared" si="43"/>
        <v>0</v>
      </c>
      <c r="AW173" s="113">
        <f t="shared" si="41"/>
        <v>0</v>
      </c>
      <c r="AX173" s="113">
        <f t="shared" si="41"/>
        <v>0</v>
      </c>
    </row>
    <row r="174" spans="1:50" x14ac:dyDescent="0.25">
      <c r="A174" s="113">
        <v>171</v>
      </c>
      <c r="B174" s="209" t="s">
        <v>617</v>
      </c>
      <c r="C174">
        <f>IFERROR(INDEX($BD$7:$BO$35,MATCH(Ajustes!$E$4:$E$323,$BC$7:$BC$35,0),$C$2:$N$2),1)</f>
        <v>1</v>
      </c>
      <c r="D174" s="113">
        <f>IFERROR(INDEX($BD$7:$BO$35,MATCH(Ajustes!$E$4:$E$323,$BC$7:$BC$35,0),$C$2:$N$2),1)</f>
        <v>1</v>
      </c>
      <c r="E174" s="113">
        <f>IFERROR(INDEX($BD$7:$BO$35,MATCH(Ajustes!$E$4:$E$323,$BC$7:$BC$35,0),$C$2:$N$2),1)</f>
        <v>1</v>
      </c>
      <c r="F174" s="113">
        <f>IFERROR(INDEX($BD$7:$BO$35,MATCH(Ajustes!$E$4:$E$323,$BC$7:$BC$35,0),$C$2:$N$2),1)</f>
        <v>1</v>
      </c>
      <c r="G174" s="113">
        <f>IFERROR(INDEX($BD$7:$BO$35,MATCH(Ajustes!$E$4:$E$323,$BC$7:$BC$35,0),$C$2:$N$2),1)</f>
        <v>1</v>
      </c>
      <c r="H174" s="113">
        <f>IFERROR(INDEX($BD$7:$BO$35,MATCH(Ajustes!$E$4:$E$323,$BC$7:$BC$35,0),$C$2:$N$2),1)</f>
        <v>1</v>
      </c>
      <c r="I174" s="113">
        <f>IFERROR(INDEX($BD$7:$BO$35,MATCH(Ajustes!$E$4:$E$323,$BC$7:$BC$35,0),$C$2:$N$2),1)</f>
        <v>1</v>
      </c>
      <c r="J174" s="113">
        <f>IFERROR(INDEX($BD$7:$BO$35,MATCH(Ajustes!$E$4:$E$323,$BC$7:$BC$35,0),$C$2:$N$2),1)</f>
        <v>1</v>
      </c>
      <c r="K174" s="113">
        <f>IFERROR(INDEX($BD$7:$BO$35,MATCH(Ajustes!$E$4:$E$323,$BC$7:$BC$35,0),$C$2:$N$2),1)</f>
        <v>1</v>
      </c>
      <c r="L174" s="113">
        <f>IFERROR(INDEX($BD$7:$BO$35,MATCH(Ajustes!$E$4:$E$323,$BC$7:$BC$35,0),$C$2:$N$2),1)</f>
        <v>1</v>
      </c>
      <c r="M174" s="113">
        <f>IFERROR(INDEX($BD$7:$BO$35,MATCH(Ajustes!$E$4:$E$323,$BC$7:$BC$35,0),$C$2:$N$2),1)</f>
        <v>1</v>
      </c>
      <c r="N174" s="113">
        <f>IFERROR(INDEX($BD$7:$BO$35,MATCH(Ajustes!$E$4:$E$323,$BC$7:$BC$35,0),$C$2:$N$2),1)</f>
        <v>1</v>
      </c>
      <c r="O174">
        <f>C174*Ajustes!AM174</f>
        <v>111</v>
      </c>
      <c r="P174">
        <f>D174*Ajustes!AN174</f>
        <v>143</v>
      </c>
      <c r="Q174">
        <f>E174*Ajustes!AO174</f>
        <v>224</v>
      </c>
      <c r="R174">
        <f>F174*Ajustes!AP174</f>
        <v>196</v>
      </c>
      <c r="S174">
        <f>G174*Ajustes!AQ174</f>
        <v>66</v>
      </c>
      <c r="T174">
        <f>H174*Ajustes!AR174</f>
        <v>18</v>
      </c>
      <c r="U174">
        <f>I174*Ajustes!AS174</f>
        <v>11</v>
      </c>
      <c r="V174">
        <f>J174*Ajustes!AT174</f>
        <v>14</v>
      </c>
      <c r="W174">
        <f>K174*Ajustes!AU174</f>
        <v>21</v>
      </c>
      <c r="X174">
        <f>L174*Ajustes!AV174</f>
        <v>22</v>
      </c>
      <c r="Y174">
        <f>M174*Ajustes!AW174</f>
        <v>37</v>
      </c>
      <c r="Z174">
        <f>N174*Ajustes!AX174</f>
        <v>84</v>
      </c>
      <c r="AA174">
        <f>IF(Ajustes!$G174&gt;0,INDEX($AA$4:$AL$323,Ajustes!$G174,O$2),0)+IF(Ajustes!$H174&gt;0,INDEX($AA$4:$AL$323,Ajustes!$H174,O$2),0)+IF(Ajustes!$I174&gt;0,INDEX($AA$4:$AL$323,Ajustes!$I174,O$2),0)+IF(Ajustes!$J174&gt;0,INDEX($AA$4:$AL$323,Ajustes!$J174,O$2),0)+IF(Ajustes!$K174&gt;0,INDEX($AA$5:$AL$324,Ajustes!$K174,O$2),0)+IF(Ajustes!$L174&gt;0,INDEX($AA$4:$AL$323,Ajustes!$L174,O$2),0) + O174</f>
        <v>111</v>
      </c>
      <c r="AB174">
        <f>IF(Ajustes!$G174&gt;0,INDEX($AA$4:$AL$323,Ajustes!$G174,P$2),0)+IF(Ajustes!$H174&gt;0,INDEX($AA$4:$AL$323,Ajustes!$H174,P$2),0)+IF(Ajustes!$I174&gt;0,INDEX($AA$4:$AL$323,Ajustes!$I174,P$2),0)+IF(Ajustes!$J174&gt;0,INDEX($AA$4:$AL$323,Ajustes!$J174,P$2),0)+IF(Ajustes!$K174&gt;0,INDEX($AA$5:$AL$324,Ajustes!$K174,P$2),0)+IF(Ajustes!$L174&gt;0,INDEX($AA$4:$AL$323,Ajustes!$L174,P$2),0) + P174</f>
        <v>143</v>
      </c>
      <c r="AC174">
        <f>IF(Ajustes!$G174&gt;0,INDEX($AA$4:$AL$323,Ajustes!$G174,Q$2),0)+IF(Ajustes!$H174&gt;0,INDEX($AA$4:$AL$323,Ajustes!$H174,Q$2),0)+IF(Ajustes!$I174&gt;0,INDEX($AA$4:$AL$323,Ajustes!$I174,Q$2),0)+IF(Ajustes!$J174&gt;0,INDEX($AA$4:$AL$323,Ajustes!$J174,Q$2),0)+IF(Ajustes!$K174&gt;0,INDEX($AA$5:$AL$324,Ajustes!$K174,Q$2),0)+IF(Ajustes!$L174&gt;0,INDEX($AA$4:$AL$323,Ajustes!$L174,Q$2),0) + Q174</f>
        <v>224</v>
      </c>
      <c r="AD174">
        <f>IF(Ajustes!$G174&gt;0,INDEX($AA$4:$AL$323,Ajustes!$G174,R$2),0)+IF(Ajustes!$H174&gt;0,INDEX($AA$4:$AL$323,Ajustes!$H174,R$2),0)+IF(Ajustes!$I174&gt;0,INDEX($AA$4:$AL$323,Ajustes!$I174,R$2),0)+IF(Ajustes!$J174&gt;0,INDEX($AA$4:$AL$323,Ajustes!$J174,R$2),0)+IF(Ajustes!$K174&gt;0,INDEX($AA$5:$AL$324,Ajustes!$K174,R$2),0)+IF(Ajustes!$L174&gt;0,INDEX($AA$4:$AL$323,Ajustes!$L174,R$2),0) + R174</f>
        <v>196</v>
      </c>
      <c r="AE174">
        <f>IF(Ajustes!$G174&gt;0,INDEX($AA$4:$AL$323,Ajustes!$G174,S$2),0)+IF(Ajustes!$H174&gt;0,INDEX($AA$4:$AL$323,Ajustes!$H174,S$2),0)+IF(Ajustes!$I174&gt;0,INDEX($AA$4:$AL$323,Ajustes!$I174,S$2),0)+IF(Ajustes!$J174&gt;0,INDEX($AA$4:$AL$323,Ajustes!$J174,S$2),0)+IF(Ajustes!$K174&gt;0,INDEX($AA$5:$AL$324,Ajustes!$K174,S$2),0)+IF(Ajustes!$L174&gt;0,INDEX($AA$4:$AL$323,Ajustes!$L174,S$2),0) + S174</f>
        <v>66</v>
      </c>
      <c r="AF174">
        <f>IF(Ajustes!$G174&gt;0,INDEX($AA$4:$AL$323,Ajustes!$G174,T$2),0)+IF(Ajustes!$H174&gt;0,INDEX($AA$4:$AL$323,Ajustes!$H174,T$2),0)+IF(Ajustes!$I174&gt;0,INDEX($AA$4:$AL$323,Ajustes!$I174,T$2),0)+IF(Ajustes!$J174&gt;0,INDEX($AA$4:$AL$323,Ajustes!$J174,T$2),0)+IF(Ajustes!$K174&gt;0,INDEX($AA$5:$AL$324,Ajustes!$K174,T$2),0)+IF(Ajustes!$L174&gt;0,INDEX($AA$4:$AL$323,Ajustes!$L174,T$2),0) + T174</f>
        <v>18</v>
      </c>
      <c r="AG174">
        <f>IF(Ajustes!$G174&gt;0,INDEX($AA$4:$AL$323,Ajustes!$G174,U$2),0)+IF(Ajustes!$H174&gt;0,INDEX($AA$4:$AL$323,Ajustes!$H174,U$2),0)+IF(Ajustes!$I174&gt;0,INDEX($AA$4:$AL$323,Ajustes!$I174,U$2),0)+IF(Ajustes!$J174&gt;0,INDEX($AA$4:$AL$323,Ajustes!$J174,U$2),0)+IF(Ajustes!$K174&gt;0,INDEX($AA$5:$AL$324,Ajustes!$K174,U$2),0)+IF(Ajustes!$L174&gt;0,INDEX($AA$4:$AL$323,Ajustes!$L174,U$2),0) + U174</f>
        <v>11</v>
      </c>
      <c r="AH174">
        <f>IF(Ajustes!$G174&gt;0,INDEX($AA$4:$AL$323,Ajustes!$G174,V$2),0)+IF(Ajustes!$H174&gt;0,INDEX($AA$4:$AL$323,Ajustes!$H174,V$2),0)+IF(Ajustes!$I174&gt;0,INDEX($AA$4:$AL$323,Ajustes!$I174,V$2),0)+IF(Ajustes!$J174&gt;0,INDEX($AA$4:$AL$323,Ajustes!$J174,V$2),0)+IF(Ajustes!$K174&gt;0,INDEX($AA$5:$AL$324,Ajustes!$K174,V$2),0)+IF(Ajustes!$L174&gt;0,INDEX($AA$4:$AL$323,Ajustes!$L174,V$2),0) + V174</f>
        <v>14</v>
      </c>
      <c r="AI174">
        <f>IF(Ajustes!$G174&gt;0,INDEX($AA$4:$AL$323,Ajustes!$G174,W$2),0)+IF(Ajustes!$H174&gt;0,INDEX($AA$4:$AL$323,Ajustes!$H174,W$2),0)+IF(Ajustes!$I174&gt;0,INDEX($AA$4:$AL$323,Ajustes!$I174,W$2),0)+IF(Ajustes!$J174&gt;0,INDEX($AA$4:$AL$323,Ajustes!$J174,W$2),0)+IF(Ajustes!$K174&gt;0,INDEX($AA$5:$AL$324,Ajustes!$K174,W$2),0)+IF(Ajustes!$L174&gt;0,INDEX($AA$4:$AL$323,Ajustes!$L174,W$2),0) + W174</f>
        <v>21</v>
      </c>
      <c r="AJ174">
        <f>IF(Ajustes!$G174&gt;0,INDEX($AA$4:$AL$323,Ajustes!$G174,X$2),0)+IF(Ajustes!$H174&gt;0,INDEX($AA$4:$AL$323,Ajustes!$H174,X$2),0)+IF(Ajustes!$I174&gt;0,INDEX($AA$4:$AL$323,Ajustes!$I174,X$2),0)+IF(Ajustes!$J174&gt;0,INDEX($AA$4:$AL$323,Ajustes!$J174,X$2),0)+IF(Ajustes!$K174&gt;0,INDEX($AA$5:$AL$324,Ajustes!$K174,X$2),0)+IF(Ajustes!$L174&gt;0,INDEX($AA$4:$AL$323,Ajustes!$L174,X$2),0) + X174</f>
        <v>22</v>
      </c>
      <c r="AK174">
        <f>IF(Ajustes!$G174&gt;0,INDEX($AA$4:$AL$323,Ajustes!$G174,Y$2),0)+IF(Ajustes!$H174&gt;0,INDEX($AA$4:$AL$323,Ajustes!$H174,Y$2),0)+IF(Ajustes!$I174&gt;0,INDEX($AA$4:$AL$323,Ajustes!$I174,Y$2),0)+IF(Ajustes!$J174&gt;0,INDEX($AA$4:$AL$323,Ajustes!$J174,Y$2),0)+IF(Ajustes!$K174&gt;0,INDEX($AA$5:$AL$324,Ajustes!$K174,Y$2),0)+IF(Ajustes!$L174&gt;0,INDEX($AA$4:$AL$323,Ajustes!$L174,Y$2),0) + Y174</f>
        <v>37</v>
      </c>
      <c r="AL174">
        <f>IF(Ajustes!$G174&gt;0,INDEX($AA$4:$AL$323,Ajustes!$G174,Z$2),0)+IF(Ajustes!$H174&gt;0,INDEX($AA$4:$AL$323,Ajustes!$H174,Z$2),0)+IF(Ajustes!$I174&gt;0,INDEX($AA$4:$AL$323,Ajustes!$I174,Z$2),0)+IF(Ajustes!$J174&gt;0,INDEX($AA$4:$AL$323,Ajustes!$J174,Z$2),0)+IF(Ajustes!$K174&gt;0,INDEX($AA$5:$AL$324,Ajustes!$K174,Z$2),0)+IF(Ajustes!$L174&gt;0,INDEX($AA$4:$AL$323,Ajustes!$L174,Z$2),0) + Z174</f>
        <v>84</v>
      </c>
      <c r="AM174" s="113">
        <f t="shared" si="39"/>
        <v>111</v>
      </c>
      <c r="AN174" s="113">
        <f t="shared" si="39"/>
        <v>143</v>
      </c>
      <c r="AO174" s="113">
        <f t="shared" si="39"/>
        <v>224</v>
      </c>
      <c r="AP174" s="113">
        <f t="shared" si="39"/>
        <v>196</v>
      </c>
      <c r="AQ174" s="113">
        <f t="shared" si="42"/>
        <v>66</v>
      </c>
      <c r="AR174" s="113">
        <f t="shared" si="40"/>
        <v>18</v>
      </c>
      <c r="AS174" s="113">
        <f t="shared" si="40"/>
        <v>11</v>
      </c>
      <c r="AT174" s="113">
        <f t="shared" si="40"/>
        <v>14</v>
      </c>
      <c r="AU174" s="113">
        <f t="shared" si="40"/>
        <v>21</v>
      </c>
      <c r="AV174" s="113">
        <f t="shared" si="43"/>
        <v>22</v>
      </c>
      <c r="AW174" s="113">
        <f t="shared" si="41"/>
        <v>37</v>
      </c>
      <c r="AX174" s="113">
        <f t="shared" si="41"/>
        <v>84</v>
      </c>
    </row>
    <row r="175" spans="1:50" x14ac:dyDescent="0.25">
      <c r="A175" s="113">
        <v>172</v>
      </c>
      <c r="B175" s="209" t="s">
        <v>618</v>
      </c>
      <c r="C175">
        <f>IFERROR(INDEX($BD$7:$BO$35,MATCH(Ajustes!$E$4:$E$323,$BC$7:$BC$35,0),$C$2:$N$2),1)</f>
        <v>1</v>
      </c>
      <c r="D175" s="113">
        <f>IFERROR(INDEX($BD$7:$BO$35,MATCH(Ajustes!$E$4:$E$323,$BC$7:$BC$35,0),$C$2:$N$2),1)</f>
        <v>1</v>
      </c>
      <c r="E175" s="113">
        <f>IFERROR(INDEX($BD$7:$BO$35,MATCH(Ajustes!$E$4:$E$323,$BC$7:$BC$35,0),$C$2:$N$2),1)</f>
        <v>1</v>
      </c>
      <c r="F175" s="113">
        <f>IFERROR(INDEX($BD$7:$BO$35,MATCH(Ajustes!$E$4:$E$323,$BC$7:$BC$35,0),$C$2:$N$2),1)</f>
        <v>1</v>
      </c>
      <c r="G175" s="113">
        <f>IFERROR(INDEX($BD$7:$BO$35,MATCH(Ajustes!$E$4:$E$323,$BC$7:$BC$35,0),$C$2:$N$2),1)</f>
        <v>1</v>
      </c>
      <c r="H175" s="113">
        <f>IFERROR(INDEX($BD$7:$BO$35,MATCH(Ajustes!$E$4:$E$323,$BC$7:$BC$35,0),$C$2:$N$2),1)</f>
        <v>1</v>
      </c>
      <c r="I175" s="113">
        <f>IFERROR(INDEX($BD$7:$BO$35,MATCH(Ajustes!$E$4:$E$323,$BC$7:$BC$35,0),$C$2:$N$2),1)</f>
        <v>1</v>
      </c>
      <c r="J175" s="113">
        <f>IFERROR(INDEX($BD$7:$BO$35,MATCH(Ajustes!$E$4:$E$323,$BC$7:$BC$35,0),$C$2:$N$2),1)</f>
        <v>1</v>
      </c>
      <c r="K175" s="113">
        <f>IFERROR(INDEX($BD$7:$BO$35,MATCH(Ajustes!$E$4:$E$323,$BC$7:$BC$35,0),$C$2:$N$2),1)</f>
        <v>1</v>
      </c>
      <c r="L175" s="113">
        <f>IFERROR(INDEX($BD$7:$BO$35,MATCH(Ajustes!$E$4:$E$323,$BC$7:$BC$35,0),$C$2:$N$2),1)</f>
        <v>1</v>
      </c>
      <c r="M175" s="113">
        <f>IFERROR(INDEX($BD$7:$BO$35,MATCH(Ajustes!$E$4:$E$323,$BC$7:$BC$35,0),$C$2:$N$2),1)</f>
        <v>1</v>
      </c>
      <c r="N175" s="113">
        <f>IFERROR(INDEX($BD$7:$BO$35,MATCH(Ajustes!$E$4:$E$323,$BC$7:$BC$35,0),$C$2:$N$2),1)</f>
        <v>1</v>
      </c>
      <c r="O175">
        <f>C175*Ajustes!AM175</f>
        <v>32</v>
      </c>
      <c r="P175">
        <f>D175*Ajustes!AN175</f>
        <v>120</v>
      </c>
      <c r="Q175">
        <f>E175*Ajustes!AO175</f>
        <v>271</v>
      </c>
      <c r="R175">
        <f>F175*Ajustes!AP175</f>
        <v>315</v>
      </c>
      <c r="S175">
        <f>G175*Ajustes!AQ175</f>
        <v>181</v>
      </c>
      <c r="T175">
        <f>H175*Ajustes!AR175</f>
        <v>60</v>
      </c>
      <c r="U175">
        <f>I175*Ajustes!AS175</f>
        <v>29</v>
      </c>
      <c r="V175">
        <f>J175*Ajustes!AT175</f>
        <v>33</v>
      </c>
      <c r="W175">
        <f>K175*Ajustes!AU175</f>
        <v>28</v>
      </c>
      <c r="X175">
        <f>L175*Ajustes!AV175</f>
        <v>-11</v>
      </c>
      <c r="Y175">
        <f>M175*Ajustes!AW175</f>
        <v>-73</v>
      </c>
      <c r="Z175">
        <f>N175*Ajustes!AX175</f>
        <v>-58</v>
      </c>
      <c r="AA175">
        <f>IF(Ajustes!$G175&gt;0,INDEX($AA$4:$AL$323,Ajustes!$G175,O$2),0)+IF(Ajustes!$H175&gt;0,INDEX($AA$4:$AL$323,Ajustes!$H175,O$2),0)+IF(Ajustes!$I175&gt;0,INDEX($AA$4:$AL$323,Ajustes!$I175,O$2),0)+IF(Ajustes!$J175&gt;0,INDEX($AA$4:$AL$323,Ajustes!$J175,O$2),0)+IF(Ajustes!$K175&gt;0,INDEX($AA$5:$AL$324,Ajustes!$K175,O$2),0)+IF(Ajustes!$L175&gt;0,INDEX($AA$4:$AL$323,Ajustes!$L175,O$2),0) + O175</f>
        <v>4724</v>
      </c>
      <c r="AB175">
        <f>IF(Ajustes!$G175&gt;0,INDEX($AA$4:$AL$323,Ajustes!$G175,P$2),0)+IF(Ajustes!$H175&gt;0,INDEX($AA$4:$AL$323,Ajustes!$H175,P$2),0)+IF(Ajustes!$I175&gt;0,INDEX($AA$4:$AL$323,Ajustes!$I175,P$2),0)+IF(Ajustes!$J175&gt;0,INDEX($AA$4:$AL$323,Ajustes!$J175,P$2),0)+IF(Ajustes!$K175&gt;0,INDEX($AA$5:$AL$324,Ajustes!$K175,P$2),0)+IF(Ajustes!$L175&gt;0,INDEX($AA$4:$AL$323,Ajustes!$L175,P$2),0) + P175</f>
        <v>5023</v>
      </c>
      <c r="AC175">
        <f>IF(Ajustes!$G175&gt;0,INDEX($AA$4:$AL$323,Ajustes!$G175,Q$2),0)+IF(Ajustes!$H175&gt;0,INDEX($AA$4:$AL$323,Ajustes!$H175,Q$2),0)+IF(Ajustes!$I175&gt;0,INDEX($AA$4:$AL$323,Ajustes!$I175,Q$2),0)+IF(Ajustes!$J175&gt;0,INDEX($AA$4:$AL$323,Ajustes!$J175,Q$2),0)+IF(Ajustes!$K175&gt;0,INDEX($AA$5:$AL$324,Ajustes!$K175,Q$2),0)+IF(Ajustes!$L175&gt;0,INDEX($AA$4:$AL$323,Ajustes!$L175,Q$2),0) + Q175</f>
        <v>5015</v>
      </c>
      <c r="AD175">
        <f>IF(Ajustes!$G175&gt;0,INDEX($AA$4:$AL$323,Ajustes!$G175,R$2),0)+IF(Ajustes!$H175&gt;0,INDEX($AA$4:$AL$323,Ajustes!$H175,R$2),0)+IF(Ajustes!$I175&gt;0,INDEX($AA$4:$AL$323,Ajustes!$I175,R$2),0)+IF(Ajustes!$J175&gt;0,INDEX($AA$4:$AL$323,Ajustes!$J175,R$2),0)+IF(Ajustes!$K175&gt;0,INDEX($AA$5:$AL$324,Ajustes!$K175,R$2),0)+IF(Ajustes!$L175&gt;0,INDEX($AA$4:$AL$323,Ajustes!$L175,R$2),0) + R175</f>
        <v>4072</v>
      </c>
      <c r="AE175">
        <f>IF(Ajustes!$G175&gt;0,INDEX($AA$4:$AL$323,Ajustes!$G175,S$2),0)+IF(Ajustes!$H175&gt;0,INDEX($AA$4:$AL$323,Ajustes!$H175,S$2),0)+IF(Ajustes!$I175&gt;0,INDEX($AA$4:$AL$323,Ajustes!$I175,S$2),0)+IF(Ajustes!$J175&gt;0,INDEX($AA$4:$AL$323,Ajustes!$J175,S$2),0)+IF(Ajustes!$K175&gt;0,INDEX($AA$5:$AL$324,Ajustes!$K175,S$2),0)+IF(Ajustes!$L175&gt;0,INDEX($AA$4:$AL$323,Ajustes!$L175,S$2),0) + S175</f>
        <v>2455</v>
      </c>
      <c r="AF175">
        <f>IF(Ajustes!$G175&gt;0,INDEX($AA$4:$AL$323,Ajustes!$G175,T$2),0)+IF(Ajustes!$H175&gt;0,INDEX($AA$4:$AL$323,Ajustes!$H175,T$2),0)+IF(Ajustes!$I175&gt;0,INDEX($AA$4:$AL$323,Ajustes!$I175,T$2),0)+IF(Ajustes!$J175&gt;0,INDEX($AA$4:$AL$323,Ajustes!$J175,T$2),0)+IF(Ajustes!$K175&gt;0,INDEX($AA$5:$AL$324,Ajustes!$K175,T$2),0)+IF(Ajustes!$L175&gt;0,INDEX($AA$4:$AL$323,Ajustes!$L175,T$2),0) + T175</f>
        <v>1615</v>
      </c>
      <c r="AG175">
        <f>IF(Ajustes!$G175&gt;0,INDEX($AA$4:$AL$323,Ajustes!$G175,U$2),0)+IF(Ajustes!$H175&gt;0,INDEX($AA$4:$AL$323,Ajustes!$H175,U$2),0)+IF(Ajustes!$I175&gt;0,INDEX($AA$4:$AL$323,Ajustes!$I175,U$2),0)+IF(Ajustes!$J175&gt;0,INDEX($AA$4:$AL$323,Ajustes!$J175,U$2),0)+IF(Ajustes!$K175&gt;0,INDEX($AA$5:$AL$324,Ajustes!$K175,U$2),0)+IF(Ajustes!$L175&gt;0,INDEX($AA$4:$AL$323,Ajustes!$L175,U$2),0) + U175</f>
        <v>1326</v>
      </c>
      <c r="AH175">
        <f>IF(Ajustes!$G175&gt;0,INDEX($AA$4:$AL$323,Ajustes!$G175,V$2),0)+IF(Ajustes!$H175&gt;0,INDEX($AA$4:$AL$323,Ajustes!$H175,V$2),0)+IF(Ajustes!$I175&gt;0,INDEX($AA$4:$AL$323,Ajustes!$I175,V$2),0)+IF(Ajustes!$J175&gt;0,INDEX($AA$4:$AL$323,Ajustes!$J175,V$2),0)+IF(Ajustes!$K175&gt;0,INDEX($AA$5:$AL$324,Ajustes!$K175,V$2),0)+IF(Ajustes!$L175&gt;0,INDEX($AA$4:$AL$323,Ajustes!$L175,V$2),0) + V175</f>
        <v>1156</v>
      </c>
      <c r="AI175">
        <f>IF(Ajustes!$G175&gt;0,INDEX($AA$4:$AL$323,Ajustes!$G175,W$2),0)+IF(Ajustes!$H175&gt;0,INDEX($AA$4:$AL$323,Ajustes!$H175,W$2),0)+IF(Ajustes!$I175&gt;0,INDEX($AA$4:$AL$323,Ajustes!$I175,W$2),0)+IF(Ajustes!$J175&gt;0,INDEX($AA$4:$AL$323,Ajustes!$J175,W$2),0)+IF(Ajustes!$K175&gt;0,INDEX($AA$5:$AL$324,Ajustes!$K175,W$2),0)+IF(Ajustes!$L175&gt;0,INDEX($AA$4:$AL$323,Ajustes!$L175,W$2),0) + W175</f>
        <v>1033</v>
      </c>
      <c r="AJ175">
        <f>IF(Ajustes!$G175&gt;0,INDEX($AA$4:$AL$323,Ajustes!$G175,X$2),0)+IF(Ajustes!$H175&gt;0,INDEX($AA$4:$AL$323,Ajustes!$H175,X$2),0)+IF(Ajustes!$I175&gt;0,INDEX($AA$4:$AL$323,Ajustes!$I175,X$2),0)+IF(Ajustes!$J175&gt;0,INDEX($AA$4:$AL$323,Ajustes!$J175,X$2),0)+IF(Ajustes!$K175&gt;0,INDEX($AA$5:$AL$324,Ajustes!$K175,X$2),0)+IF(Ajustes!$L175&gt;0,INDEX($AA$4:$AL$323,Ajustes!$L175,X$2),0) + X175</f>
        <v>1118</v>
      </c>
      <c r="AK175">
        <f>IF(Ajustes!$G175&gt;0,INDEX($AA$4:$AL$323,Ajustes!$G175,Y$2),0)+IF(Ajustes!$H175&gt;0,INDEX($AA$4:$AL$323,Ajustes!$H175,Y$2),0)+IF(Ajustes!$I175&gt;0,INDEX($AA$4:$AL$323,Ajustes!$I175,Y$2),0)+IF(Ajustes!$J175&gt;0,INDEX($AA$4:$AL$323,Ajustes!$J175,Y$2),0)+IF(Ajustes!$K175&gt;0,INDEX($AA$5:$AL$324,Ajustes!$K175,Y$2),0)+IF(Ajustes!$L175&gt;0,INDEX($AA$4:$AL$323,Ajustes!$L175,Y$2),0) + Y175</f>
        <v>1792</v>
      </c>
      <c r="AL175">
        <f>IF(Ajustes!$G175&gt;0,INDEX($AA$4:$AL$323,Ajustes!$G175,Z$2),0)+IF(Ajustes!$H175&gt;0,INDEX($AA$4:$AL$323,Ajustes!$H175,Z$2),0)+IF(Ajustes!$I175&gt;0,INDEX($AA$4:$AL$323,Ajustes!$I175,Z$2),0)+IF(Ajustes!$J175&gt;0,INDEX($AA$4:$AL$323,Ajustes!$J175,Z$2),0)+IF(Ajustes!$K175&gt;0,INDEX($AA$5:$AL$324,Ajustes!$K175,Z$2),0)+IF(Ajustes!$L175&gt;0,INDEX($AA$4:$AL$323,Ajustes!$L175,Z$2),0) + Z175</f>
        <v>3301</v>
      </c>
      <c r="AM175" s="113">
        <f t="shared" si="39"/>
        <v>4724</v>
      </c>
      <c r="AN175" s="113">
        <f t="shared" si="39"/>
        <v>5023</v>
      </c>
      <c r="AO175" s="113">
        <f t="shared" si="39"/>
        <v>5015</v>
      </c>
      <c r="AP175" s="113">
        <f t="shared" si="39"/>
        <v>4072</v>
      </c>
      <c r="AQ175" s="113">
        <f t="shared" si="42"/>
        <v>2455</v>
      </c>
      <c r="AR175" s="113">
        <f t="shared" si="40"/>
        <v>1615</v>
      </c>
      <c r="AS175" s="113">
        <f t="shared" si="40"/>
        <v>1326</v>
      </c>
      <c r="AT175" s="113">
        <f t="shared" si="40"/>
        <v>1156</v>
      </c>
      <c r="AU175" s="113">
        <f t="shared" si="40"/>
        <v>1033</v>
      </c>
      <c r="AV175" s="113">
        <f t="shared" si="43"/>
        <v>1118</v>
      </c>
      <c r="AW175" s="113">
        <f t="shared" si="41"/>
        <v>1792</v>
      </c>
      <c r="AX175" s="113">
        <f t="shared" si="41"/>
        <v>3301</v>
      </c>
    </row>
    <row r="176" spans="1:50" x14ac:dyDescent="0.25">
      <c r="A176" s="113">
        <v>173</v>
      </c>
      <c r="B176" s="209" t="s">
        <v>619</v>
      </c>
      <c r="C176">
        <f>IFERROR(INDEX($BD$7:$BO$35,MATCH(Ajustes!$E$4:$E$323,$BC$7:$BC$35,0),$C$2:$N$2),1)</f>
        <v>1</v>
      </c>
      <c r="D176" s="113">
        <f>IFERROR(INDEX($BD$7:$BO$35,MATCH(Ajustes!$E$4:$E$323,$BC$7:$BC$35,0),$C$2:$N$2),1)</f>
        <v>1</v>
      </c>
      <c r="E176" s="113">
        <f>IFERROR(INDEX($BD$7:$BO$35,MATCH(Ajustes!$E$4:$E$323,$BC$7:$BC$35,0),$C$2:$N$2),1)</f>
        <v>1</v>
      </c>
      <c r="F176" s="113">
        <f>IFERROR(INDEX($BD$7:$BO$35,MATCH(Ajustes!$E$4:$E$323,$BC$7:$BC$35,0),$C$2:$N$2),1)</f>
        <v>1</v>
      </c>
      <c r="G176" s="113">
        <f>IFERROR(INDEX($BD$7:$BO$35,MATCH(Ajustes!$E$4:$E$323,$BC$7:$BC$35,0),$C$2:$N$2),1)</f>
        <v>1</v>
      </c>
      <c r="H176" s="113">
        <f>IFERROR(INDEX($BD$7:$BO$35,MATCH(Ajustes!$E$4:$E$323,$BC$7:$BC$35,0),$C$2:$N$2),1)</f>
        <v>1</v>
      </c>
      <c r="I176" s="113">
        <f>IFERROR(INDEX($BD$7:$BO$35,MATCH(Ajustes!$E$4:$E$323,$BC$7:$BC$35,0),$C$2:$N$2),1)</f>
        <v>1</v>
      </c>
      <c r="J176" s="113">
        <f>IFERROR(INDEX($BD$7:$BO$35,MATCH(Ajustes!$E$4:$E$323,$BC$7:$BC$35,0),$C$2:$N$2),1)</f>
        <v>1</v>
      </c>
      <c r="K176" s="113">
        <f>IFERROR(INDEX($BD$7:$BO$35,MATCH(Ajustes!$E$4:$E$323,$BC$7:$BC$35,0),$C$2:$N$2),1)</f>
        <v>1</v>
      </c>
      <c r="L176" s="113">
        <f>IFERROR(INDEX($BD$7:$BO$35,MATCH(Ajustes!$E$4:$E$323,$BC$7:$BC$35,0),$C$2:$N$2),1)</f>
        <v>1</v>
      </c>
      <c r="M176" s="113">
        <f>IFERROR(INDEX($BD$7:$BO$35,MATCH(Ajustes!$E$4:$E$323,$BC$7:$BC$35,0),$C$2:$N$2),1)</f>
        <v>1</v>
      </c>
      <c r="N176" s="113">
        <f>IFERROR(INDEX($BD$7:$BO$35,MATCH(Ajustes!$E$4:$E$323,$BC$7:$BC$35,0),$C$2:$N$2),1)</f>
        <v>1</v>
      </c>
      <c r="O176">
        <f>C176*Ajustes!AM176</f>
        <v>4720</v>
      </c>
      <c r="P176">
        <f>D176*Ajustes!AN176</f>
        <v>5041</v>
      </c>
      <c r="Q176">
        <f>E176*Ajustes!AO176</f>
        <v>5059</v>
      </c>
      <c r="R176">
        <f>F176*Ajustes!AP176</f>
        <v>4145</v>
      </c>
      <c r="S176">
        <f>G176*Ajustes!AQ176</f>
        <v>2508</v>
      </c>
      <c r="T176">
        <f>H176*Ajustes!AR176</f>
        <v>1636</v>
      </c>
      <c r="U176">
        <f>I176*Ajustes!AS176</f>
        <v>1339</v>
      </c>
      <c r="V176">
        <f>J176*Ajustes!AT176</f>
        <v>1168</v>
      </c>
      <c r="W176">
        <f>K176*Ajustes!AU176</f>
        <v>1044</v>
      </c>
      <c r="X176">
        <f>L176*Ajustes!AV176</f>
        <v>1119</v>
      </c>
      <c r="Y176">
        <f>M176*Ajustes!AW176</f>
        <v>1769</v>
      </c>
      <c r="Z176">
        <f>N176*Ajustes!AX176</f>
        <v>3279</v>
      </c>
      <c r="AA176">
        <f>IF(Ajustes!$G176&gt;0,INDEX($AA$4:$AL$323,Ajustes!$G176,O$2),0)+IF(Ajustes!$H176&gt;0,INDEX($AA$4:$AL$323,Ajustes!$H176,O$2),0)+IF(Ajustes!$I176&gt;0,INDEX($AA$4:$AL$323,Ajustes!$I176,O$2),0)+IF(Ajustes!$J176&gt;0,INDEX($AA$4:$AL$323,Ajustes!$J176,O$2),0)+IF(Ajustes!$K176&gt;0,INDEX($AA$5:$AL$324,Ajustes!$K176,O$2),0)+IF(Ajustes!$L176&gt;0,INDEX($AA$4:$AL$323,Ajustes!$L176,O$2),0) + O176</f>
        <v>4720</v>
      </c>
      <c r="AB176">
        <f>IF(Ajustes!$G176&gt;0,INDEX($AA$4:$AL$323,Ajustes!$G176,P$2),0)+IF(Ajustes!$H176&gt;0,INDEX($AA$4:$AL$323,Ajustes!$H176,P$2),0)+IF(Ajustes!$I176&gt;0,INDEX($AA$4:$AL$323,Ajustes!$I176,P$2),0)+IF(Ajustes!$J176&gt;0,INDEX($AA$4:$AL$323,Ajustes!$J176,P$2),0)+IF(Ajustes!$K176&gt;0,INDEX($AA$5:$AL$324,Ajustes!$K176,P$2),0)+IF(Ajustes!$L176&gt;0,INDEX($AA$4:$AL$323,Ajustes!$L176,P$2),0) + P176</f>
        <v>5041</v>
      </c>
      <c r="AC176">
        <f>IF(Ajustes!$G176&gt;0,INDEX($AA$4:$AL$323,Ajustes!$G176,Q$2),0)+IF(Ajustes!$H176&gt;0,INDEX($AA$4:$AL$323,Ajustes!$H176,Q$2),0)+IF(Ajustes!$I176&gt;0,INDEX($AA$4:$AL$323,Ajustes!$I176,Q$2),0)+IF(Ajustes!$J176&gt;0,INDEX($AA$4:$AL$323,Ajustes!$J176,Q$2),0)+IF(Ajustes!$K176&gt;0,INDEX($AA$5:$AL$324,Ajustes!$K176,Q$2),0)+IF(Ajustes!$L176&gt;0,INDEX($AA$4:$AL$323,Ajustes!$L176,Q$2),0) + Q176</f>
        <v>5059</v>
      </c>
      <c r="AD176">
        <f>IF(Ajustes!$G176&gt;0,INDEX($AA$4:$AL$323,Ajustes!$G176,R$2),0)+IF(Ajustes!$H176&gt;0,INDEX($AA$4:$AL$323,Ajustes!$H176,R$2),0)+IF(Ajustes!$I176&gt;0,INDEX($AA$4:$AL$323,Ajustes!$I176,R$2),0)+IF(Ajustes!$J176&gt;0,INDEX($AA$4:$AL$323,Ajustes!$J176,R$2),0)+IF(Ajustes!$K176&gt;0,INDEX($AA$5:$AL$324,Ajustes!$K176,R$2),0)+IF(Ajustes!$L176&gt;0,INDEX($AA$4:$AL$323,Ajustes!$L176,R$2),0) + R176</f>
        <v>4145</v>
      </c>
      <c r="AE176">
        <f>IF(Ajustes!$G176&gt;0,INDEX($AA$4:$AL$323,Ajustes!$G176,S$2),0)+IF(Ajustes!$H176&gt;0,INDEX($AA$4:$AL$323,Ajustes!$H176,S$2),0)+IF(Ajustes!$I176&gt;0,INDEX($AA$4:$AL$323,Ajustes!$I176,S$2),0)+IF(Ajustes!$J176&gt;0,INDEX($AA$4:$AL$323,Ajustes!$J176,S$2),0)+IF(Ajustes!$K176&gt;0,INDEX($AA$5:$AL$324,Ajustes!$K176,S$2),0)+IF(Ajustes!$L176&gt;0,INDEX($AA$4:$AL$323,Ajustes!$L176,S$2),0) + S176</f>
        <v>2508</v>
      </c>
      <c r="AF176">
        <f>IF(Ajustes!$G176&gt;0,INDEX($AA$4:$AL$323,Ajustes!$G176,T$2),0)+IF(Ajustes!$H176&gt;0,INDEX($AA$4:$AL$323,Ajustes!$H176,T$2),0)+IF(Ajustes!$I176&gt;0,INDEX($AA$4:$AL$323,Ajustes!$I176,T$2),0)+IF(Ajustes!$J176&gt;0,INDEX($AA$4:$AL$323,Ajustes!$J176,T$2),0)+IF(Ajustes!$K176&gt;0,INDEX($AA$5:$AL$324,Ajustes!$K176,T$2),0)+IF(Ajustes!$L176&gt;0,INDEX($AA$4:$AL$323,Ajustes!$L176,T$2),0) + T176</f>
        <v>1636</v>
      </c>
      <c r="AG176">
        <f>IF(Ajustes!$G176&gt;0,INDEX($AA$4:$AL$323,Ajustes!$G176,U$2),0)+IF(Ajustes!$H176&gt;0,INDEX($AA$4:$AL$323,Ajustes!$H176,U$2),0)+IF(Ajustes!$I176&gt;0,INDEX($AA$4:$AL$323,Ajustes!$I176,U$2),0)+IF(Ajustes!$J176&gt;0,INDEX($AA$4:$AL$323,Ajustes!$J176,U$2),0)+IF(Ajustes!$K176&gt;0,INDEX($AA$5:$AL$324,Ajustes!$K176,U$2),0)+IF(Ajustes!$L176&gt;0,INDEX($AA$4:$AL$323,Ajustes!$L176,U$2),0) + U176</f>
        <v>1339</v>
      </c>
      <c r="AH176">
        <f>IF(Ajustes!$G176&gt;0,INDEX($AA$4:$AL$323,Ajustes!$G176,V$2),0)+IF(Ajustes!$H176&gt;0,INDEX($AA$4:$AL$323,Ajustes!$H176,V$2),0)+IF(Ajustes!$I176&gt;0,INDEX($AA$4:$AL$323,Ajustes!$I176,V$2),0)+IF(Ajustes!$J176&gt;0,INDEX($AA$4:$AL$323,Ajustes!$J176,V$2),0)+IF(Ajustes!$K176&gt;0,INDEX($AA$5:$AL$324,Ajustes!$K176,V$2),0)+IF(Ajustes!$L176&gt;0,INDEX($AA$4:$AL$323,Ajustes!$L176,V$2),0) + V176</f>
        <v>1168</v>
      </c>
      <c r="AI176">
        <f>IF(Ajustes!$G176&gt;0,INDEX($AA$4:$AL$323,Ajustes!$G176,W$2),0)+IF(Ajustes!$H176&gt;0,INDEX($AA$4:$AL$323,Ajustes!$H176,W$2),0)+IF(Ajustes!$I176&gt;0,INDEX($AA$4:$AL$323,Ajustes!$I176,W$2),0)+IF(Ajustes!$J176&gt;0,INDEX($AA$4:$AL$323,Ajustes!$J176,W$2),0)+IF(Ajustes!$K176&gt;0,INDEX($AA$5:$AL$324,Ajustes!$K176,W$2),0)+IF(Ajustes!$L176&gt;0,INDEX($AA$4:$AL$323,Ajustes!$L176,W$2),0) + W176</f>
        <v>1044</v>
      </c>
      <c r="AJ176">
        <f>IF(Ajustes!$G176&gt;0,INDEX($AA$4:$AL$323,Ajustes!$G176,X$2),0)+IF(Ajustes!$H176&gt;0,INDEX($AA$4:$AL$323,Ajustes!$H176,X$2),0)+IF(Ajustes!$I176&gt;0,INDEX($AA$4:$AL$323,Ajustes!$I176,X$2),0)+IF(Ajustes!$J176&gt;0,INDEX($AA$4:$AL$323,Ajustes!$J176,X$2),0)+IF(Ajustes!$K176&gt;0,INDEX($AA$5:$AL$324,Ajustes!$K176,X$2),0)+IF(Ajustes!$L176&gt;0,INDEX($AA$4:$AL$323,Ajustes!$L176,X$2),0) + X176</f>
        <v>1119</v>
      </c>
      <c r="AK176">
        <f>IF(Ajustes!$G176&gt;0,INDEX($AA$4:$AL$323,Ajustes!$G176,Y$2),0)+IF(Ajustes!$H176&gt;0,INDEX($AA$4:$AL$323,Ajustes!$H176,Y$2),0)+IF(Ajustes!$I176&gt;0,INDEX($AA$4:$AL$323,Ajustes!$I176,Y$2),0)+IF(Ajustes!$J176&gt;0,INDEX($AA$4:$AL$323,Ajustes!$J176,Y$2),0)+IF(Ajustes!$K176&gt;0,INDEX($AA$5:$AL$324,Ajustes!$K176,Y$2),0)+IF(Ajustes!$L176&gt;0,INDEX($AA$4:$AL$323,Ajustes!$L176,Y$2),0) + Y176</f>
        <v>1769</v>
      </c>
      <c r="AL176">
        <f>IF(Ajustes!$G176&gt;0,INDEX($AA$4:$AL$323,Ajustes!$G176,Z$2),0)+IF(Ajustes!$H176&gt;0,INDEX($AA$4:$AL$323,Ajustes!$H176,Z$2),0)+IF(Ajustes!$I176&gt;0,INDEX($AA$4:$AL$323,Ajustes!$I176,Z$2),0)+IF(Ajustes!$J176&gt;0,INDEX($AA$4:$AL$323,Ajustes!$J176,Z$2),0)+IF(Ajustes!$K176&gt;0,INDEX($AA$5:$AL$324,Ajustes!$K176,Z$2),0)+IF(Ajustes!$L176&gt;0,INDEX($AA$4:$AL$323,Ajustes!$L176,Z$2),0) + Z176</f>
        <v>3279</v>
      </c>
      <c r="AM176" s="219">
        <f t="shared" ref="AM176:AX176" si="45">AM175</f>
        <v>4724</v>
      </c>
      <c r="AN176" s="219">
        <f t="shared" si="45"/>
        <v>5023</v>
      </c>
      <c r="AO176" s="219">
        <f t="shared" si="45"/>
        <v>5015</v>
      </c>
      <c r="AP176" s="219">
        <f t="shared" si="45"/>
        <v>4072</v>
      </c>
      <c r="AQ176" s="219">
        <f t="shared" si="45"/>
        <v>2455</v>
      </c>
      <c r="AR176" s="219">
        <f t="shared" si="45"/>
        <v>1615</v>
      </c>
      <c r="AS176" s="219">
        <f t="shared" si="45"/>
        <v>1326</v>
      </c>
      <c r="AT176" s="219">
        <f t="shared" si="45"/>
        <v>1156</v>
      </c>
      <c r="AU176" s="219">
        <f t="shared" si="45"/>
        <v>1033</v>
      </c>
      <c r="AV176" s="219">
        <f t="shared" si="45"/>
        <v>1118</v>
      </c>
      <c r="AW176" s="219">
        <f t="shared" si="45"/>
        <v>1792</v>
      </c>
      <c r="AX176" s="219">
        <f t="shared" si="45"/>
        <v>3301</v>
      </c>
    </row>
    <row r="177" spans="1:50" x14ac:dyDescent="0.25">
      <c r="A177" s="113">
        <v>174</v>
      </c>
      <c r="B177" s="209"/>
      <c r="C177">
        <f>IFERROR(INDEX($BD$7:$BO$35,MATCH(Ajustes!$E$4:$E$323,$BC$7:$BC$35,0),$C$2:$N$2),1)</f>
        <v>1</v>
      </c>
      <c r="D177" s="113">
        <f>IFERROR(INDEX($BD$7:$BO$35,MATCH(Ajustes!$E$4:$E$323,$BC$7:$BC$35,0),$C$2:$N$2),1)</f>
        <v>1</v>
      </c>
      <c r="E177" s="113">
        <f>IFERROR(INDEX($BD$7:$BO$35,MATCH(Ajustes!$E$4:$E$323,$BC$7:$BC$35,0),$C$2:$N$2),1)</f>
        <v>1</v>
      </c>
      <c r="F177" s="113">
        <f>IFERROR(INDEX($BD$7:$BO$35,MATCH(Ajustes!$E$4:$E$323,$BC$7:$BC$35,0),$C$2:$N$2),1)</f>
        <v>1</v>
      </c>
      <c r="G177" s="113">
        <f>IFERROR(INDEX($BD$7:$BO$35,MATCH(Ajustes!$E$4:$E$323,$BC$7:$BC$35,0),$C$2:$N$2),1)</f>
        <v>1</v>
      </c>
      <c r="H177" s="113">
        <f>IFERROR(INDEX($BD$7:$BO$35,MATCH(Ajustes!$E$4:$E$323,$BC$7:$BC$35,0),$C$2:$N$2),1)</f>
        <v>1</v>
      </c>
      <c r="I177" s="113">
        <f>IFERROR(INDEX($BD$7:$BO$35,MATCH(Ajustes!$E$4:$E$323,$BC$7:$BC$35,0),$C$2:$N$2),1)</f>
        <v>1</v>
      </c>
      <c r="J177" s="113">
        <f>IFERROR(INDEX($BD$7:$BO$35,MATCH(Ajustes!$E$4:$E$323,$BC$7:$BC$35,0),$C$2:$N$2),1)</f>
        <v>1</v>
      </c>
      <c r="K177" s="113">
        <f>IFERROR(INDEX($BD$7:$BO$35,MATCH(Ajustes!$E$4:$E$323,$BC$7:$BC$35,0),$C$2:$N$2),1)</f>
        <v>1</v>
      </c>
      <c r="L177" s="113">
        <f>IFERROR(INDEX($BD$7:$BO$35,MATCH(Ajustes!$E$4:$E$323,$BC$7:$BC$35,0),$C$2:$N$2),1)</f>
        <v>1</v>
      </c>
      <c r="M177" s="113">
        <f>IFERROR(INDEX($BD$7:$BO$35,MATCH(Ajustes!$E$4:$E$323,$BC$7:$BC$35,0),$C$2:$N$2),1)</f>
        <v>1</v>
      </c>
      <c r="N177" s="113">
        <f>IFERROR(INDEX($BD$7:$BO$35,MATCH(Ajustes!$E$4:$E$323,$BC$7:$BC$35,0),$C$2:$N$2),1)</f>
        <v>1</v>
      </c>
      <c r="O177">
        <f>C177*Ajustes!AM177</f>
        <v>0</v>
      </c>
      <c r="P177">
        <f>D177*Ajustes!AN177</f>
        <v>0</v>
      </c>
      <c r="Q177">
        <f>E177*Ajustes!AO177</f>
        <v>0</v>
      </c>
      <c r="R177">
        <f>F177*Ajustes!AP177</f>
        <v>0</v>
      </c>
      <c r="S177">
        <f>G177*Ajustes!AQ177</f>
        <v>0</v>
      </c>
      <c r="T177">
        <f>H177*Ajustes!AR177</f>
        <v>0</v>
      </c>
      <c r="U177">
        <f>I177*Ajustes!AS177</f>
        <v>0</v>
      </c>
      <c r="V177">
        <f>J177*Ajustes!AT177</f>
        <v>0</v>
      </c>
      <c r="W177">
        <f>K177*Ajustes!AU177</f>
        <v>0</v>
      </c>
      <c r="X177">
        <f>L177*Ajustes!AV177</f>
        <v>0</v>
      </c>
      <c r="Y177">
        <f>M177*Ajustes!AW177</f>
        <v>0</v>
      </c>
      <c r="Z177">
        <f>N177*Ajustes!AX177</f>
        <v>0</v>
      </c>
      <c r="AA177">
        <f>IF(Ajustes!$G177&gt;0,INDEX($AA$4:$AL$323,Ajustes!$G177,O$2),0)+IF(Ajustes!$H177&gt;0,INDEX($AA$4:$AL$323,Ajustes!$H177,O$2),0)+IF(Ajustes!$I177&gt;0,INDEX($AA$4:$AL$323,Ajustes!$I177,O$2),0)+IF(Ajustes!$J177&gt;0,INDEX($AA$4:$AL$323,Ajustes!$J177,O$2),0)+IF(Ajustes!$K177&gt;0,INDEX($AA$5:$AL$324,Ajustes!$K177,O$2),0)+IF(Ajustes!$L177&gt;0,INDEX($AA$4:$AL$323,Ajustes!$L177,O$2),0) + O177</f>
        <v>0</v>
      </c>
      <c r="AB177">
        <f>IF(Ajustes!$G177&gt;0,INDEX($AA$4:$AL$323,Ajustes!$G177,P$2),0)+IF(Ajustes!$H177&gt;0,INDEX($AA$4:$AL$323,Ajustes!$H177,P$2),0)+IF(Ajustes!$I177&gt;0,INDEX($AA$4:$AL$323,Ajustes!$I177,P$2),0)+IF(Ajustes!$J177&gt;0,INDEX($AA$4:$AL$323,Ajustes!$J177,P$2),0)+IF(Ajustes!$K177&gt;0,INDEX($AA$5:$AL$324,Ajustes!$K177,P$2),0)+IF(Ajustes!$L177&gt;0,INDEX($AA$4:$AL$323,Ajustes!$L177,P$2),0) + P177</f>
        <v>0</v>
      </c>
      <c r="AC177">
        <f>IF(Ajustes!$G177&gt;0,INDEX($AA$4:$AL$323,Ajustes!$G177,Q$2),0)+IF(Ajustes!$H177&gt;0,INDEX($AA$4:$AL$323,Ajustes!$H177,Q$2),0)+IF(Ajustes!$I177&gt;0,INDEX($AA$4:$AL$323,Ajustes!$I177,Q$2),0)+IF(Ajustes!$J177&gt;0,INDEX($AA$4:$AL$323,Ajustes!$J177,Q$2),0)+IF(Ajustes!$K177&gt;0,INDEX($AA$5:$AL$324,Ajustes!$K177,Q$2),0)+IF(Ajustes!$L177&gt;0,INDEX($AA$4:$AL$323,Ajustes!$L177,Q$2),0) + Q177</f>
        <v>0</v>
      </c>
      <c r="AD177">
        <f>IF(Ajustes!$G177&gt;0,INDEX($AA$4:$AL$323,Ajustes!$G177,R$2),0)+IF(Ajustes!$H177&gt;0,INDEX($AA$4:$AL$323,Ajustes!$H177,R$2),0)+IF(Ajustes!$I177&gt;0,INDEX($AA$4:$AL$323,Ajustes!$I177,R$2),0)+IF(Ajustes!$J177&gt;0,INDEX($AA$4:$AL$323,Ajustes!$J177,R$2),0)+IF(Ajustes!$K177&gt;0,INDEX($AA$5:$AL$324,Ajustes!$K177,R$2),0)+IF(Ajustes!$L177&gt;0,INDEX($AA$4:$AL$323,Ajustes!$L177,R$2),0) + R177</f>
        <v>0</v>
      </c>
      <c r="AE177">
        <f>IF(Ajustes!$G177&gt;0,INDEX($AA$4:$AL$323,Ajustes!$G177,S$2),0)+IF(Ajustes!$H177&gt;0,INDEX($AA$4:$AL$323,Ajustes!$H177,S$2),0)+IF(Ajustes!$I177&gt;0,INDEX($AA$4:$AL$323,Ajustes!$I177,S$2),0)+IF(Ajustes!$J177&gt;0,INDEX($AA$4:$AL$323,Ajustes!$J177,S$2),0)+IF(Ajustes!$K177&gt;0,INDEX($AA$5:$AL$324,Ajustes!$K177,S$2),0)+IF(Ajustes!$L177&gt;0,INDEX($AA$4:$AL$323,Ajustes!$L177,S$2),0) + S177</f>
        <v>0</v>
      </c>
      <c r="AF177">
        <f>IF(Ajustes!$G177&gt;0,INDEX($AA$4:$AL$323,Ajustes!$G177,T$2),0)+IF(Ajustes!$H177&gt;0,INDEX($AA$4:$AL$323,Ajustes!$H177,T$2),0)+IF(Ajustes!$I177&gt;0,INDEX($AA$4:$AL$323,Ajustes!$I177,T$2),0)+IF(Ajustes!$J177&gt;0,INDEX($AA$4:$AL$323,Ajustes!$J177,T$2),0)+IF(Ajustes!$K177&gt;0,INDEX($AA$5:$AL$324,Ajustes!$K177,T$2),0)+IF(Ajustes!$L177&gt;0,INDEX($AA$4:$AL$323,Ajustes!$L177,T$2),0) + T177</f>
        <v>0</v>
      </c>
      <c r="AG177">
        <f>IF(Ajustes!$G177&gt;0,INDEX($AA$4:$AL$323,Ajustes!$G177,U$2),0)+IF(Ajustes!$H177&gt;0,INDEX($AA$4:$AL$323,Ajustes!$H177,U$2),0)+IF(Ajustes!$I177&gt;0,INDEX($AA$4:$AL$323,Ajustes!$I177,U$2),0)+IF(Ajustes!$J177&gt;0,INDEX($AA$4:$AL$323,Ajustes!$J177,U$2),0)+IF(Ajustes!$K177&gt;0,INDEX($AA$5:$AL$324,Ajustes!$K177,U$2),0)+IF(Ajustes!$L177&gt;0,INDEX($AA$4:$AL$323,Ajustes!$L177,U$2),0) + U177</f>
        <v>0</v>
      </c>
      <c r="AH177">
        <f>IF(Ajustes!$G177&gt;0,INDEX($AA$4:$AL$323,Ajustes!$G177,V$2),0)+IF(Ajustes!$H177&gt;0,INDEX($AA$4:$AL$323,Ajustes!$H177,V$2),0)+IF(Ajustes!$I177&gt;0,INDEX($AA$4:$AL$323,Ajustes!$I177,V$2),0)+IF(Ajustes!$J177&gt;0,INDEX($AA$4:$AL$323,Ajustes!$J177,V$2),0)+IF(Ajustes!$K177&gt;0,INDEX($AA$5:$AL$324,Ajustes!$K177,V$2),0)+IF(Ajustes!$L177&gt;0,INDEX($AA$4:$AL$323,Ajustes!$L177,V$2),0) + V177</f>
        <v>0</v>
      </c>
      <c r="AI177">
        <f>IF(Ajustes!$G177&gt;0,INDEX($AA$4:$AL$323,Ajustes!$G177,W$2),0)+IF(Ajustes!$H177&gt;0,INDEX($AA$4:$AL$323,Ajustes!$H177,W$2),0)+IF(Ajustes!$I177&gt;0,INDEX($AA$4:$AL$323,Ajustes!$I177,W$2),0)+IF(Ajustes!$J177&gt;0,INDEX($AA$4:$AL$323,Ajustes!$J177,W$2),0)+IF(Ajustes!$K177&gt;0,INDEX($AA$5:$AL$324,Ajustes!$K177,W$2),0)+IF(Ajustes!$L177&gt;0,INDEX($AA$4:$AL$323,Ajustes!$L177,W$2),0) + W177</f>
        <v>0</v>
      </c>
      <c r="AJ177">
        <f>IF(Ajustes!$G177&gt;0,INDEX($AA$4:$AL$323,Ajustes!$G177,X$2),0)+IF(Ajustes!$H177&gt;0,INDEX($AA$4:$AL$323,Ajustes!$H177,X$2),0)+IF(Ajustes!$I177&gt;0,INDEX($AA$4:$AL$323,Ajustes!$I177,X$2),0)+IF(Ajustes!$J177&gt;0,INDEX($AA$4:$AL$323,Ajustes!$J177,X$2),0)+IF(Ajustes!$K177&gt;0,INDEX($AA$5:$AL$324,Ajustes!$K177,X$2),0)+IF(Ajustes!$L177&gt;0,INDEX($AA$4:$AL$323,Ajustes!$L177,X$2),0) + X177</f>
        <v>0</v>
      </c>
      <c r="AK177">
        <f>IF(Ajustes!$G177&gt;0,INDEX($AA$4:$AL$323,Ajustes!$G177,Y$2),0)+IF(Ajustes!$H177&gt;0,INDEX($AA$4:$AL$323,Ajustes!$H177,Y$2),0)+IF(Ajustes!$I177&gt;0,INDEX($AA$4:$AL$323,Ajustes!$I177,Y$2),0)+IF(Ajustes!$J177&gt;0,INDEX($AA$4:$AL$323,Ajustes!$J177,Y$2),0)+IF(Ajustes!$K177&gt;0,INDEX($AA$5:$AL$324,Ajustes!$K177,Y$2),0)+IF(Ajustes!$L177&gt;0,INDEX($AA$4:$AL$323,Ajustes!$L177,Y$2),0) + Y177</f>
        <v>0</v>
      </c>
      <c r="AL177">
        <f>IF(Ajustes!$G177&gt;0,INDEX($AA$4:$AL$323,Ajustes!$G177,Z$2),0)+IF(Ajustes!$H177&gt;0,INDEX($AA$4:$AL$323,Ajustes!$H177,Z$2),0)+IF(Ajustes!$I177&gt;0,INDEX($AA$4:$AL$323,Ajustes!$I177,Z$2),0)+IF(Ajustes!$J177&gt;0,INDEX($AA$4:$AL$323,Ajustes!$J177,Z$2),0)+IF(Ajustes!$K177&gt;0,INDEX($AA$5:$AL$324,Ajustes!$K177,Z$2),0)+IF(Ajustes!$L177&gt;0,INDEX($AA$4:$AL$323,Ajustes!$L177,Z$2),0) + Z177</f>
        <v>0</v>
      </c>
      <c r="AM177" s="113">
        <f t="shared" si="39"/>
        <v>0</v>
      </c>
      <c r="AN177" s="113">
        <f t="shared" si="39"/>
        <v>0</v>
      </c>
      <c r="AO177" s="113">
        <f t="shared" si="39"/>
        <v>0</v>
      </c>
      <c r="AP177" s="113">
        <f t="shared" si="39"/>
        <v>0</v>
      </c>
      <c r="AQ177" s="113">
        <f t="shared" si="42"/>
        <v>0</v>
      </c>
      <c r="AR177" s="113">
        <f t="shared" si="40"/>
        <v>0</v>
      </c>
      <c r="AS177" s="113">
        <f t="shared" si="40"/>
        <v>0</v>
      </c>
      <c r="AT177" s="113">
        <f t="shared" si="40"/>
        <v>0</v>
      </c>
      <c r="AU177" s="113">
        <f t="shared" si="40"/>
        <v>0</v>
      </c>
      <c r="AV177" s="113">
        <f t="shared" si="43"/>
        <v>0</v>
      </c>
      <c r="AW177" s="113">
        <f t="shared" si="41"/>
        <v>0</v>
      </c>
      <c r="AX177" s="113">
        <f t="shared" si="41"/>
        <v>0</v>
      </c>
    </row>
    <row r="178" spans="1:50" x14ac:dyDescent="0.25">
      <c r="A178" s="113">
        <v>175</v>
      </c>
      <c r="B178" s="209" t="s">
        <v>620</v>
      </c>
      <c r="C178">
        <f>IFERROR(INDEX($BD$7:$BO$35,MATCH(Ajustes!$E$4:$E$323,$BC$7:$BC$35,0),$C$2:$N$2),1)</f>
        <v>1</v>
      </c>
      <c r="D178" s="113">
        <f>IFERROR(INDEX($BD$7:$BO$35,MATCH(Ajustes!$E$4:$E$323,$BC$7:$BC$35,0),$C$2:$N$2),1)</f>
        <v>1</v>
      </c>
      <c r="E178" s="113">
        <f>IFERROR(INDEX($BD$7:$BO$35,MATCH(Ajustes!$E$4:$E$323,$BC$7:$BC$35,0),$C$2:$N$2),1)</f>
        <v>1</v>
      </c>
      <c r="F178" s="113">
        <f>IFERROR(INDEX($BD$7:$BO$35,MATCH(Ajustes!$E$4:$E$323,$BC$7:$BC$35,0),$C$2:$N$2),1)</f>
        <v>1</v>
      </c>
      <c r="G178" s="113">
        <f>IFERROR(INDEX($BD$7:$BO$35,MATCH(Ajustes!$E$4:$E$323,$BC$7:$BC$35,0),$C$2:$N$2),1)</f>
        <v>1</v>
      </c>
      <c r="H178" s="113">
        <f>IFERROR(INDEX($BD$7:$BO$35,MATCH(Ajustes!$E$4:$E$323,$BC$7:$BC$35,0),$C$2:$N$2),1)</f>
        <v>1</v>
      </c>
      <c r="I178" s="113">
        <f>IFERROR(INDEX($BD$7:$BO$35,MATCH(Ajustes!$E$4:$E$323,$BC$7:$BC$35,0),$C$2:$N$2),1)</f>
        <v>1</v>
      </c>
      <c r="J178" s="113">
        <f>IFERROR(INDEX($BD$7:$BO$35,MATCH(Ajustes!$E$4:$E$323,$BC$7:$BC$35,0),$C$2:$N$2),1)</f>
        <v>1</v>
      </c>
      <c r="K178" s="113">
        <f>IFERROR(INDEX($BD$7:$BO$35,MATCH(Ajustes!$E$4:$E$323,$BC$7:$BC$35,0),$C$2:$N$2),1)</f>
        <v>1</v>
      </c>
      <c r="L178" s="113">
        <f>IFERROR(INDEX($BD$7:$BO$35,MATCH(Ajustes!$E$4:$E$323,$BC$7:$BC$35,0),$C$2:$N$2),1)</f>
        <v>1</v>
      </c>
      <c r="M178" s="113">
        <f>IFERROR(INDEX($BD$7:$BO$35,MATCH(Ajustes!$E$4:$E$323,$BC$7:$BC$35,0),$C$2:$N$2),1)</f>
        <v>1</v>
      </c>
      <c r="N178" s="113">
        <f>IFERROR(INDEX($BD$7:$BO$35,MATCH(Ajustes!$E$4:$E$323,$BC$7:$BC$35,0),$C$2:$N$2),1)</f>
        <v>1</v>
      </c>
      <c r="O178">
        <f>C178*Ajustes!AM178</f>
        <v>0</v>
      </c>
      <c r="P178">
        <f>D178*Ajustes!AN178</f>
        <v>0</v>
      </c>
      <c r="Q178">
        <f>E178*Ajustes!AO178</f>
        <v>0</v>
      </c>
      <c r="R178">
        <f>F178*Ajustes!AP178</f>
        <v>0</v>
      </c>
      <c r="S178">
        <f>G178*Ajustes!AQ178</f>
        <v>0</v>
      </c>
      <c r="T178">
        <f>H178*Ajustes!AR178</f>
        <v>0</v>
      </c>
      <c r="U178">
        <f>I178*Ajustes!AS178</f>
        <v>0</v>
      </c>
      <c r="V178">
        <f>J178*Ajustes!AT178</f>
        <v>0</v>
      </c>
      <c r="W178">
        <f>K178*Ajustes!AU178</f>
        <v>0</v>
      </c>
      <c r="X178">
        <f>L178*Ajustes!AV178</f>
        <v>0</v>
      </c>
      <c r="Y178">
        <f>M178*Ajustes!AW178</f>
        <v>0</v>
      </c>
      <c r="Z178">
        <f>N178*Ajustes!AX178</f>
        <v>0</v>
      </c>
      <c r="AA178">
        <f>IF(Ajustes!$G178&gt;0,INDEX($AA$4:$AL$323,Ajustes!$G178,O$2),0)+IF(Ajustes!$H178&gt;0,INDEX($AA$4:$AL$323,Ajustes!$H178,O$2),0)+IF(Ajustes!$I178&gt;0,INDEX($AA$4:$AL$323,Ajustes!$I178,O$2),0)+IF(Ajustes!$J178&gt;0,INDEX($AA$4:$AL$323,Ajustes!$J178,O$2),0)+IF(Ajustes!$K178&gt;0,INDEX($AA$5:$AL$324,Ajustes!$K178,O$2),0)+IF(Ajustes!$L178&gt;0,INDEX($AA$4:$AL$323,Ajustes!$L178,O$2),0) + O178</f>
        <v>4720</v>
      </c>
      <c r="AB178">
        <f>IF(Ajustes!$G178&gt;0,INDEX($AA$4:$AL$323,Ajustes!$G178,P$2),0)+IF(Ajustes!$H178&gt;0,INDEX($AA$4:$AL$323,Ajustes!$H178,P$2),0)+IF(Ajustes!$I178&gt;0,INDEX($AA$4:$AL$323,Ajustes!$I178,P$2),0)+IF(Ajustes!$J178&gt;0,INDEX($AA$4:$AL$323,Ajustes!$J178,P$2),0)+IF(Ajustes!$K178&gt;0,INDEX($AA$5:$AL$324,Ajustes!$K178,P$2),0)+IF(Ajustes!$L178&gt;0,INDEX($AA$4:$AL$323,Ajustes!$L178,P$2),0) + P178</f>
        <v>5041</v>
      </c>
      <c r="AC178">
        <f>IF(Ajustes!$G178&gt;0,INDEX($AA$4:$AL$323,Ajustes!$G178,Q$2),0)+IF(Ajustes!$H178&gt;0,INDEX($AA$4:$AL$323,Ajustes!$H178,Q$2),0)+IF(Ajustes!$I178&gt;0,INDEX($AA$4:$AL$323,Ajustes!$I178,Q$2),0)+IF(Ajustes!$J178&gt;0,INDEX($AA$4:$AL$323,Ajustes!$J178,Q$2),0)+IF(Ajustes!$K178&gt;0,INDEX($AA$5:$AL$324,Ajustes!$K178,Q$2),0)+IF(Ajustes!$L178&gt;0,INDEX($AA$4:$AL$323,Ajustes!$L178,Q$2),0) + Q178</f>
        <v>5059</v>
      </c>
      <c r="AD178">
        <f>IF(Ajustes!$G178&gt;0,INDEX($AA$4:$AL$323,Ajustes!$G178,R$2),0)+IF(Ajustes!$H178&gt;0,INDEX($AA$4:$AL$323,Ajustes!$H178,R$2),0)+IF(Ajustes!$I178&gt;0,INDEX($AA$4:$AL$323,Ajustes!$I178,R$2),0)+IF(Ajustes!$J178&gt;0,INDEX($AA$4:$AL$323,Ajustes!$J178,R$2),0)+IF(Ajustes!$K178&gt;0,INDEX($AA$5:$AL$324,Ajustes!$K178,R$2),0)+IF(Ajustes!$L178&gt;0,INDEX($AA$4:$AL$323,Ajustes!$L178,R$2),0) + R178</f>
        <v>4145</v>
      </c>
      <c r="AE178">
        <f>IF(Ajustes!$G178&gt;0,INDEX($AA$4:$AL$323,Ajustes!$G178,S$2),0)+IF(Ajustes!$H178&gt;0,INDEX($AA$4:$AL$323,Ajustes!$H178,S$2),0)+IF(Ajustes!$I178&gt;0,INDEX($AA$4:$AL$323,Ajustes!$I178,S$2),0)+IF(Ajustes!$J178&gt;0,INDEX($AA$4:$AL$323,Ajustes!$J178,S$2),0)+IF(Ajustes!$K178&gt;0,INDEX($AA$5:$AL$324,Ajustes!$K178,S$2),0)+IF(Ajustes!$L178&gt;0,INDEX($AA$4:$AL$323,Ajustes!$L178,S$2),0) + S178</f>
        <v>2508</v>
      </c>
      <c r="AF178">
        <f>IF(Ajustes!$G178&gt;0,INDEX($AA$4:$AL$323,Ajustes!$G178,T$2),0)+IF(Ajustes!$H178&gt;0,INDEX($AA$4:$AL$323,Ajustes!$H178,T$2),0)+IF(Ajustes!$I178&gt;0,INDEX($AA$4:$AL$323,Ajustes!$I178,T$2),0)+IF(Ajustes!$J178&gt;0,INDEX($AA$4:$AL$323,Ajustes!$J178,T$2),0)+IF(Ajustes!$K178&gt;0,INDEX($AA$5:$AL$324,Ajustes!$K178,T$2),0)+IF(Ajustes!$L178&gt;0,INDEX($AA$4:$AL$323,Ajustes!$L178,T$2),0) + T178</f>
        <v>1636</v>
      </c>
      <c r="AG178">
        <f>IF(Ajustes!$G178&gt;0,INDEX($AA$4:$AL$323,Ajustes!$G178,U$2),0)+IF(Ajustes!$H178&gt;0,INDEX($AA$4:$AL$323,Ajustes!$H178,U$2),0)+IF(Ajustes!$I178&gt;0,INDEX($AA$4:$AL$323,Ajustes!$I178,U$2),0)+IF(Ajustes!$J178&gt;0,INDEX($AA$4:$AL$323,Ajustes!$J178,U$2),0)+IF(Ajustes!$K178&gt;0,INDEX($AA$5:$AL$324,Ajustes!$K178,U$2),0)+IF(Ajustes!$L178&gt;0,INDEX($AA$4:$AL$323,Ajustes!$L178,U$2),0) + U178</f>
        <v>1339</v>
      </c>
      <c r="AH178">
        <f>IF(Ajustes!$G178&gt;0,INDEX($AA$4:$AL$323,Ajustes!$G178,V$2),0)+IF(Ajustes!$H178&gt;0,INDEX($AA$4:$AL$323,Ajustes!$H178,V$2),0)+IF(Ajustes!$I178&gt;0,INDEX($AA$4:$AL$323,Ajustes!$I178,V$2),0)+IF(Ajustes!$J178&gt;0,INDEX($AA$4:$AL$323,Ajustes!$J178,V$2),0)+IF(Ajustes!$K178&gt;0,INDEX($AA$5:$AL$324,Ajustes!$K178,V$2),0)+IF(Ajustes!$L178&gt;0,INDEX($AA$4:$AL$323,Ajustes!$L178,V$2),0) + V178</f>
        <v>1168</v>
      </c>
      <c r="AI178">
        <f>IF(Ajustes!$G178&gt;0,INDEX($AA$4:$AL$323,Ajustes!$G178,W$2),0)+IF(Ajustes!$H178&gt;0,INDEX($AA$4:$AL$323,Ajustes!$H178,W$2),0)+IF(Ajustes!$I178&gt;0,INDEX($AA$4:$AL$323,Ajustes!$I178,W$2),0)+IF(Ajustes!$J178&gt;0,INDEX($AA$4:$AL$323,Ajustes!$J178,W$2),0)+IF(Ajustes!$K178&gt;0,INDEX($AA$5:$AL$324,Ajustes!$K178,W$2),0)+IF(Ajustes!$L178&gt;0,INDEX($AA$4:$AL$323,Ajustes!$L178,W$2),0) + W178</f>
        <v>1044</v>
      </c>
      <c r="AJ178">
        <f>IF(Ajustes!$G178&gt;0,INDEX($AA$4:$AL$323,Ajustes!$G178,X$2),0)+IF(Ajustes!$H178&gt;0,INDEX($AA$4:$AL$323,Ajustes!$H178,X$2),0)+IF(Ajustes!$I178&gt;0,INDEX($AA$4:$AL$323,Ajustes!$I178,X$2),0)+IF(Ajustes!$J178&gt;0,INDEX($AA$4:$AL$323,Ajustes!$J178,X$2),0)+IF(Ajustes!$K178&gt;0,INDEX($AA$5:$AL$324,Ajustes!$K178,X$2),0)+IF(Ajustes!$L178&gt;0,INDEX($AA$4:$AL$323,Ajustes!$L178,X$2),0) + X178</f>
        <v>1119</v>
      </c>
      <c r="AK178">
        <f>IF(Ajustes!$G178&gt;0,INDEX($AA$4:$AL$323,Ajustes!$G178,Y$2),0)+IF(Ajustes!$H178&gt;0,INDEX($AA$4:$AL$323,Ajustes!$H178,Y$2),0)+IF(Ajustes!$I178&gt;0,INDEX($AA$4:$AL$323,Ajustes!$I178,Y$2),0)+IF(Ajustes!$J178&gt;0,INDEX($AA$4:$AL$323,Ajustes!$J178,Y$2),0)+IF(Ajustes!$K178&gt;0,INDEX($AA$5:$AL$324,Ajustes!$K178,Y$2),0)+IF(Ajustes!$L178&gt;0,INDEX($AA$4:$AL$323,Ajustes!$L178,Y$2),0) + Y178</f>
        <v>1769</v>
      </c>
      <c r="AL178">
        <f>IF(Ajustes!$G178&gt;0,INDEX($AA$4:$AL$323,Ajustes!$G178,Z$2),0)+IF(Ajustes!$H178&gt;0,INDEX($AA$4:$AL$323,Ajustes!$H178,Z$2),0)+IF(Ajustes!$I178&gt;0,INDEX($AA$4:$AL$323,Ajustes!$I178,Z$2),0)+IF(Ajustes!$J178&gt;0,INDEX($AA$4:$AL$323,Ajustes!$J178,Z$2),0)+IF(Ajustes!$K178&gt;0,INDEX($AA$5:$AL$324,Ajustes!$K178,Z$2),0)+IF(Ajustes!$L178&gt;0,INDEX($AA$4:$AL$323,Ajustes!$L178,Z$2),0) + Z178</f>
        <v>3279</v>
      </c>
      <c r="AM178" s="113">
        <f t="shared" si="39"/>
        <v>4720</v>
      </c>
      <c r="AN178" s="113">
        <f t="shared" si="39"/>
        <v>5041</v>
      </c>
      <c r="AO178" s="113">
        <f t="shared" si="39"/>
        <v>5059</v>
      </c>
      <c r="AP178" s="113">
        <f t="shared" si="39"/>
        <v>4145</v>
      </c>
      <c r="AQ178" s="113">
        <f t="shared" si="42"/>
        <v>2508</v>
      </c>
      <c r="AR178" s="113">
        <f t="shared" si="40"/>
        <v>1636</v>
      </c>
      <c r="AS178" s="113">
        <f t="shared" si="40"/>
        <v>1339</v>
      </c>
      <c r="AT178" s="113">
        <f t="shared" si="40"/>
        <v>1168</v>
      </c>
      <c r="AU178" s="113">
        <f t="shared" si="40"/>
        <v>1044</v>
      </c>
      <c r="AV178" s="113">
        <f t="shared" si="43"/>
        <v>1119</v>
      </c>
      <c r="AW178" s="113">
        <f t="shared" si="41"/>
        <v>1769</v>
      </c>
      <c r="AX178" s="113">
        <f t="shared" si="41"/>
        <v>3279</v>
      </c>
    </row>
    <row r="179" spans="1:50" x14ac:dyDescent="0.25">
      <c r="A179" s="113">
        <v>176</v>
      </c>
      <c r="B179" s="209" t="s">
        <v>621</v>
      </c>
      <c r="C179">
        <f>IFERROR(INDEX($BD$7:$BO$35,MATCH(Ajustes!$E$4:$E$323,$BC$7:$BC$35,0),$C$2:$N$2),1)</f>
        <v>1</v>
      </c>
      <c r="D179" s="113">
        <f>IFERROR(INDEX($BD$7:$BO$35,MATCH(Ajustes!$E$4:$E$323,$BC$7:$BC$35,0),$C$2:$N$2),1)</f>
        <v>1</v>
      </c>
      <c r="E179" s="113">
        <f>IFERROR(INDEX($BD$7:$BO$35,MATCH(Ajustes!$E$4:$E$323,$BC$7:$BC$35,0),$C$2:$N$2),1)</f>
        <v>1</v>
      </c>
      <c r="F179" s="113">
        <f>IFERROR(INDEX($BD$7:$BO$35,MATCH(Ajustes!$E$4:$E$323,$BC$7:$BC$35,0),$C$2:$N$2),1)</f>
        <v>1</v>
      </c>
      <c r="G179" s="113">
        <f>IFERROR(INDEX($BD$7:$BO$35,MATCH(Ajustes!$E$4:$E$323,$BC$7:$BC$35,0),$C$2:$N$2),1)</f>
        <v>1</v>
      </c>
      <c r="H179" s="113">
        <f>IFERROR(INDEX($BD$7:$BO$35,MATCH(Ajustes!$E$4:$E$323,$BC$7:$BC$35,0),$C$2:$N$2),1)</f>
        <v>1</v>
      </c>
      <c r="I179" s="113">
        <f>IFERROR(INDEX($BD$7:$BO$35,MATCH(Ajustes!$E$4:$E$323,$BC$7:$BC$35,0),$C$2:$N$2),1)</f>
        <v>1</v>
      </c>
      <c r="J179" s="113">
        <f>IFERROR(INDEX($BD$7:$BO$35,MATCH(Ajustes!$E$4:$E$323,$BC$7:$BC$35,0),$C$2:$N$2),1)</f>
        <v>1</v>
      </c>
      <c r="K179" s="113">
        <f>IFERROR(INDEX($BD$7:$BO$35,MATCH(Ajustes!$E$4:$E$323,$BC$7:$BC$35,0),$C$2:$N$2),1)</f>
        <v>1</v>
      </c>
      <c r="L179" s="113">
        <f>IFERROR(INDEX($BD$7:$BO$35,MATCH(Ajustes!$E$4:$E$323,$BC$7:$BC$35,0),$C$2:$N$2),1)</f>
        <v>1</v>
      </c>
      <c r="M179" s="113">
        <f>IFERROR(INDEX($BD$7:$BO$35,MATCH(Ajustes!$E$4:$E$323,$BC$7:$BC$35,0),$C$2:$N$2),1)</f>
        <v>1</v>
      </c>
      <c r="N179" s="113">
        <f>IFERROR(INDEX($BD$7:$BO$35,MATCH(Ajustes!$E$4:$E$323,$BC$7:$BC$35,0),$C$2:$N$2),1)</f>
        <v>1</v>
      </c>
      <c r="O179">
        <f>C179*Ajustes!AM179</f>
        <v>4720</v>
      </c>
      <c r="P179">
        <f>D179*Ajustes!AN179</f>
        <v>5041</v>
      </c>
      <c r="Q179">
        <f>E179*Ajustes!AO179</f>
        <v>5059</v>
      </c>
      <c r="R179">
        <f>F179*Ajustes!AP179</f>
        <v>4145</v>
      </c>
      <c r="S179">
        <f>G179*Ajustes!AQ179</f>
        <v>2508</v>
      </c>
      <c r="T179">
        <f>H179*Ajustes!AR179</f>
        <v>1636</v>
      </c>
      <c r="U179">
        <f>I179*Ajustes!AS179</f>
        <v>1339</v>
      </c>
      <c r="V179">
        <f>J179*Ajustes!AT179</f>
        <v>1168</v>
      </c>
      <c r="W179">
        <f>K179*Ajustes!AU179</f>
        <v>1044</v>
      </c>
      <c r="X179">
        <f>L179*Ajustes!AV179</f>
        <v>1119</v>
      </c>
      <c r="Y179">
        <f>M179*Ajustes!AW179</f>
        <v>1769</v>
      </c>
      <c r="Z179">
        <f>N179*Ajustes!AX179</f>
        <v>3279</v>
      </c>
      <c r="AA179">
        <f>IF(Ajustes!$G179&gt;0,INDEX($AA$4:$AL$323,Ajustes!$G179,O$2),0)+IF(Ajustes!$H179&gt;0,INDEX($AA$4:$AL$323,Ajustes!$H179,O$2),0)+IF(Ajustes!$I179&gt;0,INDEX($AA$4:$AL$323,Ajustes!$I179,O$2),0)+IF(Ajustes!$J179&gt;0,INDEX($AA$4:$AL$323,Ajustes!$J179,O$2),0)+IF(Ajustes!$K179&gt;0,INDEX($AA$5:$AL$324,Ajustes!$K179,O$2),0)+IF(Ajustes!$L179&gt;0,INDEX($AA$4:$AL$323,Ajustes!$L179,O$2),0) + O179</f>
        <v>4720</v>
      </c>
      <c r="AB179">
        <f>IF(Ajustes!$G179&gt;0,INDEX($AA$4:$AL$323,Ajustes!$G179,P$2),0)+IF(Ajustes!$H179&gt;0,INDEX($AA$4:$AL$323,Ajustes!$H179,P$2),0)+IF(Ajustes!$I179&gt;0,INDEX($AA$4:$AL$323,Ajustes!$I179,P$2),0)+IF(Ajustes!$J179&gt;0,INDEX($AA$4:$AL$323,Ajustes!$J179,P$2),0)+IF(Ajustes!$K179&gt;0,INDEX($AA$5:$AL$324,Ajustes!$K179,P$2),0)+IF(Ajustes!$L179&gt;0,INDEX($AA$4:$AL$323,Ajustes!$L179,P$2),0) + P179</f>
        <v>5041</v>
      </c>
      <c r="AC179">
        <f>IF(Ajustes!$G179&gt;0,INDEX($AA$4:$AL$323,Ajustes!$G179,Q$2),0)+IF(Ajustes!$H179&gt;0,INDEX($AA$4:$AL$323,Ajustes!$H179,Q$2),0)+IF(Ajustes!$I179&gt;0,INDEX($AA$4:$AL$323,Ajustes!$I179,Q$2),0)+IF(Ajustes!$J179&gt;0,INDEX($AA$4:$AL$323,Ajustes!$J179,Q$2),0)+IF(Ajustes!$K179&gt;0,INDEX($AA$5:$AL$324,Ajustes!$K179,Q$2),0)+IF(Ajustes!$L179&gt;0,INDEX($AA$4:$AL$323,Ajustes!$L179,Q$2),0) + Q179</f>
        <v>5059</v>
      </c>
      <c r="AD179">
        <f>IF(Ajustes!$G179&gt;0,INDEX($AA$4:$AL$323,Ajustes!$G179,R$2),0)+IF(Ajustes!$H179&gt;0,INDEX($AA$4:$AL$323,Ajustes!$H179,R$2),0)+IF(Ajustes!$I179&gt;0,INDEX($AA$4:$AL$323,Ajustes!$I179,R$2),0)+IF(Ajustes!$J179&gt;0,INDEX($AA$4:$AL$323,Ajustes!$J179,R$2),0)+IF(Ajustes!$K179&gt;0,INDEX($AA$5:$AL$324,Ajustes!$K179,R$2),0)+IF(Ajustes!$L179&gt;0,INDEX($AA$4:$AL$323,Ajustes!$L179,R$2),0) + R179</f>
        <v>4145</v>
      </c>
      <c r="AE179">
        <f>IF(Ajustes!$G179&gt;0,INDEX($AA$4:$AL$323,Ajustes!$G179,S$2),0)+IF(Ajustes!$H179&gt;0,INDEX($AA$4:$AL$323,Ajustes!$H179,S$2),0)+IF(Ajustes!$I179&gt;0,INDEX($AA$4:$AL$323,Ajustes!$I179,S$2),0)+IF(Ajustes!$J179&gt;0,INDEX($AA$4:$AL$323,Ajustes!$J179,S$2),0)+IF(Ajustes!$K179&gt;0,INDEX($AA$5:$AL$324,Ajustes!$K179,S$2),0)+IF(Ajustes!$L179&gt;0,INDEX($AA$4:$AL$323,Ajustes!$L179,S$2),0) + S179</f>
        <v>2508</v>
      </c>
      <c r="AF179">
        <f>IF(Ajustes!$G179&gt;0,INDEX($AA$4:$AL$323,Ajustes!$G179,T$2),0)+IF(Ajustes!$H179&gt;0,INDEX($AA$4:$AL$323,Ajustes!$H179,T$2),0)+IF(Ajustes!$I179&gt;0,INDEX($AA$4:$AL$323,Ajustes!$I179,T$2),0)+IF(Ajustes!$J179&gt;0,INDEX($AA$4:$AL$323,Ajustes!$J179,T$2),0)+IF(Ajustes!$K179&gt;0,INDEX($AA$5:$AL$324,Ajustes!$K179,T$2),0)+IF(Ajustes!$L179&gt;0,INDEX($AA$4:$AL$323,Ajustes!$L179,T$2),0) + T179</f>
        <v>1636</v>
      </c>
      <c r="AG179">
        <f>IF(Ajustes!$G179&gt;0,INDEX($AA$4:$AL$323,Ajustes!$G179,U$2),0)+IF(Ajustes!$H179&gt;0,INDEX($AA$4:$AL$323,Ajustes!$H179,U$2),0)+IF(Ajustes!$I179&gt;0,INDEX($AA$4:$AL$323,Ajustes!$I179,U$2),0)+IF(Ajustes!$J179&gt;0,INDEX($AA$4:$AL$323,Ajustes!$J179,U$2),0)+IF(Ajustes!$K179&gt;0,INDEX($AA$5:$AL$324,Ajustes!$K179,U$2),0)+IF(Ajustes!$L179&gt;0,INDEX($AA$4:$AL$323,Ajustes!$L179,U$2),0) + U179</f>
        <v>1339</v>
      </c>
      <c r="AH179">
        <f>IF(Ajustes!$G179&gt;0,INDEX($AA$4:$AL$323,Ajustes!$G179,V$2),0)+IF(Ajustes!$H179&gt;0,INDEX($AA$4:$AL$323,Ajustes!$H179,V$2),0)+IF(Ajustes!$I179&gt;0,INDEX($AA$4:$AL$323,Ajustes!$I179,V$2),0)+IF(Ajustes!$J179&gt;0,INDEX($AA$4:$AL$323,Ajustes!$J179,V$2),0)+IF(Ajustes!$K179&gt;0,INDEX($AA$5:$AL$324,Ajustes!$K179,V$2),0)+IF(Ajustes!$L179&gt;0,INDEX($AA$4:$AL$323,Ajustes!$L179,V$2),0) + V179</f>
        <v>1168</v>
      </c>
      <c r="AI179">
        <f>IF(Ajustes!$G179&gt;0,INDEX($AA$4:$AL$323,Ajustes!$G179,W$2),0)+IF(Ajustes!$H179&gt;0,INDEX($AA$4:$AL$323,Ajustes!$H179,W$2),0)+IF(Ajustes!$I179&gt;0,INDEX($AA$4:$AL$323,Ajustes!$I179,W$2),0)+IF(Ajustes!$J179&gt;0,INDEX($AA$4:$AL$323,Ajustes!$J179,W$2),0)+IF(Ajustes!$K179&gt;0,INDEX($AA$5:$AL$324,Ajustes!$K179,W$2),0)+IF(Ajustes!$L179&gt;0,INDEX($AA$4:$AL$323,Ajustes!$L179,W$2),0) + W179</f>
        <v>1044</v>
      </c>
      <c r="AJ179">
        <f>IF(Ajustes!$G179&gt;0,INDEX($AA$4:$AL$323,Ajustes!$G179,X$2),0)+IF(Ajustes!$H179&gt;0,INDEX($AA$4:$AL$323,Ajustes!$H179,X$2),0)+IF(Ajustes!$I179&gt;0,INDEX($AA$4:$AL$323,Ajustes!$I179,X$2),0)+IF(Ajustes!$J179&gt;0,INDEX($AA$4:$AL$323,Ajustes!$J179,X$2),0)+IF(Ajustes!$K179&gt;0,INDEX($AA$5:$AL$324,Ajustes!$K179,X$2),0)+IF(Ajustes!$L179&gt;0,INDEX($AA$4:$AL$323,Ajustes!$L179,X$2),0) + X179</f>
        <v>1119</v>
      </c>
      <c r="AK179">
        <f>IF(Ajustes!$G179&gt;0,INDEX($AA$4:$AL$323,Ajustes!$G179,Y$2),0)+IF(Ajustes!$H179&gt;0,INDEX($AA$4:$AL$323,Ajustes!$H179,Y$2),0)+IF(Ajustes!$I179&gt;0,INDEX($AA$4:$AL$323,Ajustes!$I179,Y$2),0)+IF(Ajustes!$J179&gt;0,INDEX($AA$4:$AL$323,Ajustes!$J179,Y$2),0)+IF(Ajustes!$K179&gt;0,INDEX($AA$5:$AL$324,Ajustes!$K179,Y$2),0)+IF(Ajustes!$L179&gt;0,INDEX($AA$4:$AL$323,Ajustes!$L179,Y$2),0) + Y179</f>
        <v>1769</v>
      </c>
      <c r="AL179">
        <f>IF(Ajustes!$G179&gt;0,INDEX($AA$4:$AL$323,Ajustes!$G179,Z$2),0)+IF(Ajustes!$H179&gt;0,INDEX($AA$4:$AL$323,Ajustes!$H179,Z$2),0)+IF(Ajustes!$I179&gt;0,INDEX($AA$4:$AL$323,Ajustes!$I179,Z$2),0)+IF(Ajustes!$J179&gt;0,INDEX($AA$4:$AL$323,Ajustes!$J179,Z$2),0)+IF(Ajustes!$K179&gt;0,INDEX($AA$5:$AL$324,Ajustes!$K179,Z$2),0)+IF(Ajustes!$L179&gt;0,INDEX($AA$4:$AL$323,Ajustes!$L179,Z$2),0) + Z179</f>
        <v>3279</v>
      </c>
      <c r="AM179" s="219">
        <f t="shared" ref="AM179:AX179" si="46">AM176</f>
        <v>4724</v>
      </c>
      <c r="AN179" s="219">
        <f t="shared" si="46"/>
        <v>5023</v>
      </c>
      <c r="AO179" s="219">
        <f t="shared" si="46"/>
        <v>5015</v>
      </c>
      <c r="AP179" s="219">
        <f t="shared" si="46"/>
        <v>4072</v>
      </c>
      <c r="AQ179" s="219">
        <f t="shared" si="46"/>
        <v>2455</v>
      </c>
      <c r="AR179" s="219">
        <f t="shared" si="46"/>
        <v>1615</v>
      </c>
      <c r="AS179" s="219">
        <f t="shared" si="46"/>
        <v>1326</v>
      </c>
      <c r="AT179" s="219">
        <f t="shared" si="46"/>
        <v>1156</v>
      </c>
      <c r="AU179" s="219">
        <f t="shared" si="46"/>
        <v>1033</v>
      </c>
      <c r="AV179" s="219">
        <f t="shared" si="46"/>
        <v>1118</v>
      </c>
      <c r="AW179" s="219">
        <f t="shared" si="46"/>
        <v>1792</v>
      </c>
      <c r="AX179" s="219">
        <f t="shared" si="46"/>
        <v>3301</v>
      </c>
    </row>
    <row r="180" spans="1:50" x14ac:dyDescent="0.25">
      <c r="A180" s="113">
        <v>177</v>
      </c>
      <c r="B180" s="209"/>
      <c r="C180">
        <f>IFERROR(INDEX($BD$7:$BO$35,MATCH(Ajustes!$E$4:$E$323,$BC$7:$BC$35,0),$C$2:$N$2),1)</f>
        <v>1</v>
      </c>
      <c r="D180" s="113">
        <f>IFERROR(INDEX($BD$7:$BO$35,MATCH(Ajustes!$E$4:$E$323,$BC$7:$BC$35,0),$C$2:$N$2),1)</f>
        <v>1</v>
      </c>
      <c r="E180" s="113">
        <f>IFERROR(INDEX($BD$7:$BO$35,MATCH(Ajustes!$E$4:$E$323,$BC$7:$BC$35,0),$C$2:$N$2),1)</f>
        <v>1</v>
      </c>
      <c r="F180" s="113">
        <f>IFERROR(INDEX($BD$7:$BO$35,MATCH(Ajustes!$E$4:$E$323,$BC$7:$BC$35,0),$C$2:$N$2),1)</f>
        <v>1</v>
      </c>
      <c r="G180" s="113">
        <f>IFERROR(INDEX($BD$7:$BO$35,MATCH(Ajustes!$E$4:$E$323,$BC$7:$BC$35,0),$C$2:$N$2),1)</f>
        <v>1</v>
      </c>
      <c r="H180" s="113">
        <f>IFERROR(INDEX($BD$7:$BO$35,MATCH(Ajustes!$E$4:$E$323,$BC$7:$BC$35,0),$C$2:$N$2),1)</f>
        <v>1</v>
      </c>
      <c r="I180" s="113">
        <f>IFERROR(INDEX($BD$7:$BO$35,MATCH(Ajustes!$E$4:$E$323,$BC$7:$BC$35,0),$C$2:$N$2),1)</f>
        <v>1</v>
      </c>
      <c r="J180" s="113">
        <f>IFERROR(INDEX($BD$7:$BO$35,MATCH(Ajustes!$E$4:$E$323,$BC$7:$BC$35,0),$C$2:$N$2),1)</f>
        <v>1</v>
      </c>
      <c r="K180" s="113">
        <f>IFERROR(INDEX($BD$7:$BO$35,MATCH(Ajustes!$E$4:$E$323,$BC$7:$BC$35,0),$C$2:$N$2),1)</f>
        <v>1</v>
      </c>
      <c r="L180" s="113">
        <f>IFERROR(INDEX($BD$7:$BO$35,MATCH(Ajustes!$E$4:$E$323,$BC$7:$BC$35,0),$C$2:$N$2),1)</f>
        <v>1</v>
      </c>
      <c r="M180" s="113">
        <f>IFERROR(INDEX($BD$7:$BO$35,MATCH(Ajustes!$E$4:$E$323,$BC$7:$BC$35,0),$C$2:$N$2),1)</f>
        <v>1</v>
      </c>
      <c r="N180" s="113">
        <f>IFERROR(INDEX($BD$7:$BO$35,MATCH(Ajustes!$E$4:$E$323,$BC$7:$BC$35,0),$C$2:$N$2),1)</f>
        <v>1</v>
      </c>
      <c r="O180">
        <f>C180*Ajustes!AM180</f>
        <v>0</v>
      </c>
      <c r="P180">
        <f>D180*Ajustes!AN180</f>
        <v>0</v>
      </c>
      <c r="Q180">
        <f>E180*Ajustes!AO180</f>
        <v>0</v>
      </c>
      <c r="R180">
        <f>F180*Ajustes!AP180</f>
        <v>0</v>
      </c>
      <c r="S180">
        <f>G180*Ajustes!AQ180</f>
        <v>0</v>
      </c>
      <c r="T180">
        <f>H180*Ajustes!AR180</f>
        <v>0</v>
      </c>
      <c r="U180">
        <f>I180*Ajustes!AS180</f>
        <v>0</v>
      </c>
      <c r="V180">
        <f>J180*Ajustes!AT180</f>
        <v>0</v>
      </c>
      <c r="W180">
        <f>K180*Ajustes!AU180</f>
        <v>0</v>
      </c>
      <c r="X180">
        <f>L180*Ajustes!AV180</f>
        <v>0</v>
      </c>
      <c r="Y180">
        <f>M180*Ajustes!AW180</f>
        <v>0</v>
      </c>
      <c r="Z180">
        <f>N180*Ajustes!AX180</f>
        <v>0</v>
      </c>
      <c r="AA180">
        <f>IF(Ajustes!$G180&gt;0,INDEX($AA$4:$AL$323,Ajustes!$G180,O$2),0)+IF(Ajustes!$H180&gt;0,INDEX($AA$4:$AL$323,Ajustes!$H180,O$2),0)+IF(Ajustes!$I180&gt;0,INDEX($AA$4:$AL$323,Ajustes!$I180,O$2),0)+IF(Ajustes!$J180&gt;0,INDEX($AA$4:$AL$323,Ajustes!$J180,O$2),0)+IF(Ajustes!$K180&gt;0,INDEX($AA$5:$AL$324,Ajustes!$K180,O$2),0)+IF(Ajustes!$L180&gt;0,INDEX($AA$4:$AL$323,Ajustes!$L180,O$2),0) + O180</f>
        <v>0</v>
      </c>
      <c r="AB180">
        <f>IF(Ajustes!$G180&gt;0,INDEX($AA$4:$AL$323,Ajustes!$G180,P$2),0)+IF(Ajustes!$H180&gt;0,INDEX($AA$4:$AL$323,Ajustes!$H180,P$2),0)+IF(Ajustes!$I180&gt;0,INDEX($AA$4:$AL$323,Ajustes!$I180,P$2),0)+IF(Ajustes!$J180&gt;0,INDEX($AA$4:$AL$323,Ajustes!$J180,P$2),0)+IF(Ajustes!$K180&gt;0,INDEX($AA$5:$AL$324,Ajustes!$K180,P$2),0)+IF(Ajustes!$L180&gt;0,INDEX($AA$4:$AL$323,Ajustes!$L180,P$2),0) + P180</f>
        <v>0</v>
      </c>
      <c r="AC180">
        <f>IF(Ajustes!$G180&gt;0,INDEX($AA$4:$AL$323,Ajustes!$G180,Q$2),0)+IF(Ajustes!$H180&gt;0,INDEX($AA$4:$AL$323,Ajustes!$H180,Q$2),0)+IF(Ajustes!$I180&gt;0,INDEX($AA$4:$AL$323,Ajustes!$I180,Q$2),0)+IF(Ajustes!$J180&gt;0,INDEX($AA$4:$AL$323,Ajustes!$J180,Q$2),0)+IF(Ajustes!$K180&gt;0,INDEX($AA$5:$AL$324,Ajustes!$K180,Q$2),0)+IF(Ajustes!$L180&gt;0,INDEX($AA$4:$AL$323,Ajustes!$L180,Q$2),0) + Q180</f>
        <v>0</v>
      </c>
      <c r="AD180">
        <f>IF(Ajustes!$G180&gt;0,INDEX($AA$4:$AL$323,Ajustes!$G180,R$2),0)+IF(Ajustes!$H180&gt;0,INDEX($AA$4:$AL$323,Ajustes!$H180,R$2),0)+IF(Ajustes!$I180&gt;0,INDEX($AA$4:$AL$323,Ajustes!$I180,R$2),0)+IF(Ajustes!$J180&gt;0,INDEX($AA$4:$AL$323,Ajustes!$J180,R$2),0)+IF(Ajustes!$K180&gt;0,INDEX($AA$5:$AL$324,Ajustes!$K180,R$2),0)+IF(Ajustes!$L180&gt;0,INDEX($AA$4:$AL$323,Ajustes!$L180,R$2),0) + R180</f>
        <v>0</v>
      </c>
      <c r="AE180">
        <f>IF(Ajustes!$G180&gt;0,INDEX($AA$4:$AL$323,Ajustes!$G180,S$2),0)+IF(Ajustes!$H180&gt;0,INDEX($AA$4:$AL$323,Ajustes!$H180,S$2),0)+IF(Ajustes!$I180&gt;0,INDEX($AA$4:$AL$323,Ajustes!$I180,S$2),0)+IF(Ajustes!$J180&gt;0,INDEX($AA$4:$AL$323,Ajustes!$J180,S$2),0)+IF(Ajustes!$K180&gt;0,INDEX($AA$5:$AL$324,Ajustes!$K180,S$2),0)+IF(Ajustes!$L180&gt;0,INDEX($AA$4:$AL$323,Ajustes!$L180,S$2),0) + S180</f>
        <v>0</v>
      </c>
      <c r="AF180">
        <f>IF(Ajustes!$G180&gt;0,INDEX($AA$4:$AL$323,Ajustes!$G180,T$2),0)+IF(Ajustes!$H180&gt;0,INDEX($AA$4:$AL$323,Ajustes!$H180,T$2),0)+IF(Ajustes!$I180&gt;0,INDEX($AA$4:$AL$323,Ajustes!$I180,T$2),0)+IF(Ajustes!$J180&gt;0,INDEX($AA$4:$AL$323,Ajustes!$J180,T$2),0)+IF(Ajustes!$K180&gt;0,INDEX($AA$5:$AL$324,Ajustes!$K180,T$2),0)+IF(Ajustes!$L180&gt;0,INDEX($AA$4:$AL$323,Ajustes!$L180,T$2),0) + T180</f>
        <v>0</v>
      </c>
      <c r="AG180">
        <f>IF(Ajustes!$G180&gt;0,INDEX($AA$4:$AL$323,Ajustes!$G180,U$2),0)+IF(Ajustes!$H180&gt;0,INDEX($AA$4:$AL$323,Ajustes!$H180,U$2),0)+IF(Ajustes!$I180&gt;0,INDEX($AA$4:$AL$323,Ajustes!$I180,U$2),0)+IF(Ajustes!$J180&gt;0,INDEX($AA$4:$AL$323,Ajustes!$J180,U$2),0)+IF(Ajustes!$K180&gt;0,INDEX($AA$5:$AL$324,Ajustes!$K180,U$2),0)+IF(Ajustes!$L180&gt;0,INDEX($AA$4:$AL$323,Ajustes!$L180,U$2),0) + U180</f>
        <v>0</v>
      </c>
      <c r="AH180">
        <f>IF(Ajustes!$G180&gt;0,INDEX($AA$4:$AL$323,Ajustes!$G180,V$2),0)+IF(Ajustes!$H180&gt;0,INDEX($AA$4:$AL$323,Ajustes!$H180,V$2),0)+IF(Ajustes!$I180&gt;0,INDEX($AA$4:$AL$323,Ajustes!$I180,V$2),0)+IF(Ajustes!$J180&gt;0,INDEX($AA$4:$AL$323,Ajustes!$J180,V$2),0)+IF(Ajustes!$K180&gt;0,INDEX($AA$5:$AL$324,Ajustes!$K180,V$2),0)+IF(Ajustes!$L180&gt;0,INDEX($AA$4:$AL$323,Ajustes!$L180,V$2),0) + V180</f>
        <v>0</v>
      </c>
      <c r="AI180">
        <f>IF(Ajustes!$G180&gt;0,INDEX($AA$4:$AL$323,Ajustes!$G180,W$2),0)+IF(Ajustes!$H180&gt;0,INDEX($AA$4:$AL$323,Ajustes!$H180,W$2),0)+IF(Ajustes!$I180&gt;0,INDEX($AA$4:$AL$323,Ajustes!$I180,W$2),0)+IF(Ajustes!$J180&gt;0,INDEX($AA$4:$AL$323,Ajustes!$J180,W$2),0)+IF(Ajustes!$K180&gt;0,INDEX($AA$5:$AL$324,Ajustes!$K180,W$2),0)+IF(Ajustes!$L180&gt;0,INDEX($AA$4:$AL$323,Ajustes!$L180,W$2),0) + W180</f>
        <v>0</v>
      </c>
      <c r="AJ180">
        <f>IF(Ajustes!$G180&gt;0,INDEX($AA$4:$AL$323,Ajustes!$G180,X$2),0)+IF(Ajustes!$H180&gt;0,INDEX($AA$4:$AL$323,Ajustes!$H180,X$2),0)+IF(Ajustes!$I180&gt;0,INDEX($AA$4:$AL$323,Ajustes!$I180,X$2),0)+IF(Ajustes!$J180&gt;0,INDEX($AA$4:$AL$323,Ajustes!$J180,X$2),0)+IF(Ajustes!$K180&gt;0,INDEX($AA$5:$AL$324,Ajustes!$K180,X$2),0)+IF(Ajustes!$L180&gt;0,INDEX($AA$4:$AL$323,Ajustes!$L180,X$2),0) + X180</f>
        <v>0</v>
      </c>
      <c r="AK180">
        <f>IF(Ajustes!$G180&gt;0,INDEX($AA$4:$AL$323,Ajustes!$G180,Y$2),0)+IF(Ajustes!$H180&gt;0,INDEX($AA$4:$AL$323,Ajustes!$H180,Y$2),0)+IF(Ajustes!$I180&gt;0,INDEX($AA$4:$AL$323,Ajustes!$I180,Y$2),0)+IF(Ajustes!$J180&gt;0,INDEX($AA$4:$AL$323,Ajustes!$J180,Y$2),0)+IF(Ajustes!$K180&gt;0,INDEX($AA$5:$AL$324,Ajustes!$K180,Y$2),0)+IF(Ajustes!$L180&gt;0,INDEX($AA$4:$AL$323,Ajustes!$L180,Y$2),0) + Y180</f>
        <v>0</v>
      </c>
      <c r="AL180">
        <f>IF(Ajustes!$G180&gt;0,INDEX($AA$4:$AL$323,Ajustes!$G180,Z$2),0)+IF(Ajustes!$H180&gt;0,INDEX($AA$4:$AL$323,Ajustes!$H180,Z$2),0)+IF(Ajustes!$I180&gt;0,INDEX($AA$4:$AL$323,Ajustes!$I180,Z$2),0)+IF(Ajustes!$J180&gt;0,INDEX($AA$4:$AL$323,Ajustes!$J180,Z$2),0)+IF(Ajustes!$K180&gt;0,INDEX($AA$5:$AL$324,Ajustes!$K180,Z$2),0)+IF(Ajustes!$L180&gt;0,INDEX($AA$4:$AL$323,Ajustes!$L180,Z$2),0) + Z180</f>
        <v>0</v>
      </c>
      <c r="AM180" s="113">
        <f t="shared" si="39"/>
        <v>0</v>
      </c>
      <c r="AN180" s="113">
        <f t="shared" si="39"/>
        <v>0</v>
      </c>
      <c r="AO180" s="113">
        <f t="shared" si="39"/>
        <v>0</v>
      </c>
      <c r="AP180" s="113">
        <f t="shared" si="39"/>
        <v>0</v>
      </c>
      <c r="AQ180" s="113">
        <f t="shared" si="42"/>
        <v>0</v>
      </c>
      <c r="AR180" s="113">
        <f t="shared" si="40"/>
        <v>0</v>
      </c>
      <c r="AS180" s="113">
        <f t="shared" si="40"/>
        <v>0</v>
      </c>
      <c r="AT180" s="113">
        <f t="shared" si="40"/>
        <v>0</v>
      </c>
      <c r="AU180" s="113">
        <f t="shared" si="40"/>
        <v>0</v>
      </c>
      <c r="AV180" s="113">
        <f t="shared" si="43"/>
        <v>0</v>
      </c>
      <c r="AW180" s="113">
        <f t="shared" si="41"/>
        <v>0</v>
      </c>
      <c r="AX180" s="113">
        <f t="shared" si="41"/>
        <v>0</v>
      </c>
    </row>
    <row r="181" spans="1:50" x14ac:dyDescent="0.25">
      <c r="A181" s="113">
        <v>178</v>
      </c>
      <c r="B181" s="209" t="s">
        <v>622</v>
      </c>
      <c r="C181">
        <f>IFERROR(INDEX($BD$7:$BO$35,MATCH(Ajustes!$E$4:$E$323,$BC$7:$BC$35,0),$C$2:$N$2),1)</f>
        <v>1</v>
      </c>
      <c r="D181" s="113">
        <f>IFERROR(INDEX($BD$7:$BO$35,MATCH(Ajustes!$E$4:$E$323,$BC$7:$BC$35,0),$C$2:$N$2),1)</f>
        <v>1</v>
      </c>
      <c r="E181" s="113">
        <f>IFERROR(INDEX($BD$7:$BO$35,MATCH(Ajustes!$E$4:$E$323,$BC$7:$BC$35,0),$C$2:$N$2),1)</f>
        <v>1</v>
      </c>
      <c r="F181" s="113">
        <f>IFERROR(INDEX($BD$7:$BO$35,MATCH(Ajustes!$E$4:$E$323,$BC$7:$BC$35,0),$C$2:$N$2),1)</f>
        <v>1</v>
      </c>
      <c r="G181" s="113">
        <f>IFERROR(INDEX($BD$7:$BO$35,MATCH(Ajustes!$E$4:$E$323,$BC$7:$BC$35,0),$C$2:$N$2),1)</f>
        <v>1</v>
      </c>
      <c r="H181" s="113">
        <f>IFERROR(INDEX($BD$7:$BO$35,MATCH(Ajustes!$E$4:$E$323,$BC$7:$BC$35,0),$C$2:$N$2),1)</f>
        <v>1</v>
      </c>
      <c r="I181" s="113">
        <f>IFERROR(INDEX($BD$7:$BO$35,MATCH(Ajustes!$E$4:$E$323,$BC$7:$BC$35,0),$C$2:$N$2),1)</f>
        <v>1</v>
      </c>
      <c r="J181" s="113">
        <f>IFERROR(INDEX($BD$7:$BO$35,MATCH(Ajustes!$E$4:$E$323,$BC$7:$BC$35,0),$C$2:$N$2),1)</f>
        <v>1</v>
      </c>
      <c r="K181" s="113">
        <f>IFERROR(INDEX($BD$7:$BO$35,MATCH(Ajustes!$E$4:$E$323,$BC$7:$BC$35,0),$C$2:$N$2),1)</f>
        <v>1</v>
      </c>
      <c r="L181" s="113">
        <f>IFERROR(INDEX($BD$7:$BO$35,MATCH(Ajustes!$E$4:$E$323,$BC$7:$BC$35,0),$C$2:$N$2),1)</f>
        <v>1</v>
      </c>
      <c r="M181" s="113">
        <f>IFERROR(INDEX($BD$7:$BO$35,MATCH(Ajustes!$E$4:$E$323,$BC$7:$BC$35,0),$C$2:$N$2),1)</f>
        <v>1</v>
      </c>
      <c r="N181" s="113">
        <f>IFERROR(INDEX($BD$7:$BO$35,MATCH(Ajustes!$E$4:$E$323,$BC$7:$BC$35,0),$C$2:$N$2),1)</f>
        <v>1</v>
      </c>
      <c r="O181">
        <f>C181*Ajustes!AM181</f>
        <v>-2</v>
      </c>
      <c r="P181">
        <f>D181*Ajustes!AN181</f>
        <v>0</v>
      </c>
      <c r="Q181">
        <f>E181*Ajustes!AO181</f>
        <v>0</v>
      </c>
      <c r="R181">
        <f>F181*Ajustes!AP181</f>
        <v>-1</v>
      </c>
      <c r="S181">
        <f>G181*Ajustes!AQ181</f>
        <v>0</v>
      </c>
      <c r="T181">
        <f>H181*Ajustes!AR181</f>
        <v>0</v>
      </c>
      <c r="U181">
        <f>I181*Ajustes!AS181</f>
        <v>0</v>
      </c>
      <c r="V181">
        <f>J181*Ajustes!AT181</f>
        <v>0</v>
      </c>
      <c r="W181">
        <f>K181*Ajustes!AU181</f>
        <v>0</v>
      </c>
      <c r="X181">
        <f>L181*Ajustes!AV181</f>
        <v>0</v>
      </c>
      <c r="Y181">
        <f>M181*Ajustes!AW181</f>
        <v>0</v>
      </c>
      <c r="Z181">
        <f>N181*Ajustes!AX181</f>
        <v>-2</v>
      </c>
      <c r="AA181">
        <f>IF(Ajustes!$G181&gt;0,INDEX($AA$4:$AL$323,Ajustes!$G181,O$2),0)+IF(Ajustes!$H181&gt;0,INDEX($AA$4:$AL$323,Ajustes!$H181,O$2),0)+IF(Ajustes!$I181&gt;0,INDEX($AA$4:$AL$323,Ajustes!$I181,O$2),0)+IF(Ajustes!$J181&gt;0,INDEX($AA$4:$AL$323,Ajustes!$J181,O$2),0)+IF(Ajustes!$K181&gt;0,INDEX($AA$5:$AL$324,Ajustes!$K181,O$2),0)+IF(Ajustes!$L181&gt;0,INDEX($AA$4:$AL$323,Ajustes!$L181,O$2),0) + O181</f>
        <v>4718</v>
      </c>
      <c r="AB181">
        <f>IF(Ajustes!$G181&gt;0,INDEX($AA$4:$AL$323,Ajustes!$G181,P$2),0)+IF(Ajustes!$H181&gt;0,INDEX($AA$4:$AL$323,Ajustes!$H181,P$2),0)+IF(Ajustes!$I181&gt;0,INDEX($AA$4:$AL$323,Ajustes!$I181,P$2),0)+IF(Ajustes!$J181&gt;0,INDEX($AA$4:$AL$323,Ajustes!$J181,P$2),0)+IF(Ajustes!$K181&gt;0,INDEX($AA$5:$AL$324,Ajustes!$K181,P$2),0)+IF(Ajustes!$L181&gt;0,INDEX($AA$4:$AL$323,Ajustes!$L181,P$2),0) + P181</f>
        <v>5041</v>
      </c>
      <c r="AC181">
        <f>IF(Ajustes!$G181&gt;0,INDEX($AA$4:$AL$323,Ajustes!$G181,Q$2),0)+IF(Ajustes!$H181&gt;0,INDEX($AA$4:$AL$323,Ajustes!$H181,Q$2),0)+IF(Ajustes!$I181&gt;0,INDEX($AA$4:$AL$323,Ajustes!$I181,Q$2),0)+IF(Ajustes!$J181&gt;0,INDEX($AA$4:$AL$323,Ajustes!$J181,Q$2),0)+IF(Ajustes!$K181&gt;0,INDEX($AA$5:$AL$324,Ajustes!$K181,Q$2),0)+IF(Ajustes!$L181&gt;0,INDEX($AA$4:$AL$323,Ajustes!$L181,Q$2),0) + Q181</f>
        <v>5059</v>
      </c>
      <c r="AD181">
        <f>IF(Ajustes!$G181&gt;0,INDEX($AA$4:$AL$323,Ajustes!$G181,R$2),0)+IF(Ajustes!$H181&gt;0,INDEX($AA$4:$AL$323,Ajustes!$H181,R$2),0)+IF(Ajustes!$I181&gt;0,INDEX($AA$4:$AL$323,Ajustes!$I181,R$2),0)+IF(Ajustes!$J181&gt;0,INDEX($AA$4:$AL$323,Ajustes!$J181,R$2),0)+IF(Ajustes!$K181&gt;0,INDEX($AA$5:$AL$324,Ajustes!$K181,R$2),0)+IF(Ajustes!$L181&gt;0,INDEX($AA$4:$AL$323,Ajustes!$L181,R$2),0) + R181</f>
        <v>4144</v>
      </c>
      <c r="AE181">
        <f>IF(Ajustes!$G181&gt;0,INDEX($AA$4:$AL$323,Ajustes!$G181,S$2),0)+IF(Ajustes!$H181&gt;0,INDEX($AA$4:$AL$323,Ajustes!$H181,S$2),0)+IF(Ajustes!$I181&gt;0,INDEX($AA$4:$AL$323,Ajustes!$I181,S$2),0)+IF(Ajustes!$J181&gt;0,INDEX($AA$4:$AL$323,Ajustes!$J181,S$2),0)+IF(Ajustes!$K181&gt;0,INDEX($AA$5:$AL$324,Ajustes!$K181,S$2),0)+IF(Ajustes!$L181&gt;0,INDEX($AA$4:$AL$323,Ajustes!$L181,S$2),0) + S181</f>
        <v>2508</v>
      </c>
      <c r="AF181">
        <f>IF(Ajustes!$G181&gt;0,INDEX($AA$4:$AL$323,Ajustes!$G181,T$2),0)+IF(Ajustes!$H181&gt;0,INDEX($AA$4:$AL$323,Ajustes!$H181,T$2),0)+IF(Ajustes!$I181&gt;0,INDEX($AA$4:$AL$323,Ajustes!$I181,T$2),0)+IF(Ajustes!$J181&gt;0,INDEX($AA$4:$AL$323,Ajustes!$J181,T$2),0)+IF(Ajustes!$K181&gt;0,INDEX($AA$5:$AL$324,Ajustes!$K181,T$2),0)+IF(Ajustes!$L181&gt;0,INDEX($AA$4:$AL$323,Ajustes!$L181,T$2),0) + T181</f>
        <v>1636</v>
      </c>
      <c r="AG181">
        <f>IF(Ajustes!$G181&gt;0,INDEX($AA$4:$AL$323,Ajustes!$G181,U$2),0)+IF(Ajustes!$H181&gt;0,INDEX($AA$4:$AL$323,Ajustes!$H181,U$2),0)+IF(Ajustes!$I181&gt;0,INDEX($AA$4:$AL$323,Ajustes!$I181,U$2),0)+IF(Ajustes!$J181&gt;0,INDEX($AA$4:$AL$323,Ajustes!$J181,U$2),0)+IF(Ajustes!$K181&gt;0,INDEX($AA$5:$AL$324,Ajustes!$K181,U$2),0)+IF(Ajustes!$L181&gt;0,INDEX($AA$4:$AL$323,Ajustes!$L181,U$2),0) + U181</f>
        <v>1339</v>
      </c>
      <c r="AH181">
        <f>IF(Ajustes!$G181&gt;0,INDEX($AA$4:$AL$323,Ajustes!$G181,V$2),0)+IF(Ajustes!$H181&gt;0,INDEX($AA$4:$AL$323,Ajustes!$H181,V$2),0)+IF(Ajustes!$I181&gt;0,INDEX($AA$4:$AL$323,Ajustes!$I181,V$2),0)+IF(Ajustes!$J181&gt;0,INDEX($AA$4:$AL$323,Ajustes!$J181,V$2),0)+IF(Ajustes!$K181&gt;0,INDEX($AA$5:$AL$324,Ajustes!$K181,V$2),0)+IF(Ajustes!$L181&gt;0,INDEX($AA$4:$AL$323,Ajustes!$L181,V$2),0) + V181</f>
        <v>1168</v>
      </c>
      <c r="AI181">
        <f>IF(Ajustes!$G181&gt;0,INDEX($AA$4:$AL$323,Ajustes!$G181,W$2),0)+IF(Ajustes!$H181&gt;0,INDEX($AA$4:$AL$323,Ajustes!$H181,W$2),0)+IF(Ajustes!$I181&gt;0,INDEX($AA$4:$AL$323,Ajustes!$I181,W$2),0)+IF(Ajustes!$J181&gt;0,INDEX($AA$4:$AL$323,Ajustes!$J181,W$2),0)+IF(Ajustes!$K181&gt;0,INDEX($AA$5:$AL$324,Ajustes!$K181,W$2),0)+IF(Ajustes!$L181&gt;0,INDEX($AA$4:$AL$323,Ajustes!$L181,W$2),0) + W181</f>
        <v>1044</v>
      </c>
      <c r="AJ181">
        <f>IF(Ajustes!$G181&gt;0,INDEX($AA$4:$AL$323,Ajustes!$G181,X$2),0)+IF(Ajustes!$H181&gt;0,INDEX($AA$4:$AL$323,Ajustes!$H181,X$2),0)+IF(Ajustes!$I181&gt;0,INDEX($AA$4:$AL$323,Ajustes!$I181,X$2),0)+IF(Ajustes!$J181&gt;0,INDEX($AA$4:$AL$323,Ajustes!$J181,X$2),0)+IF(Ajustes!$K181&gt;0,INDEX($AA$5:$AL$324,Ajustes!$K181,X$2),0)+IF(Ajustes!$L181&gt;0,INDEX($AA$4:$AL$323,Ajustes!$L181,X$2),0) + X181</f>
        <v>1119</v>
      </c>
      <c r="AK181">
        <f>IF(Ajustes!$G181&gt;0,INDEX($AA$4:$AL$323,Ajustes!$G181,Y$2),0)+IF(Ajustes!$H181&gt;0,INDEX($AA$4:$AL$323,Ajustes!$H181,Y$2),0)+IF(Ajustes!$I181&gt;0,INDEX($AA$4:$AL$323,Ajustes!$I181,Y$2),0)+IF(Ajustes!$J181&gt;0,INDEX($AA$4:$AL$323,Ajustes!$J181,Y$2),0)+IF(Ajustes!$K181&gt;0,INDEX($AA$5:$AL$324,Ajustes!$K181,Y$2),0)+IF(Ajustes!$L181&gt;0,INDEX($AA$4:$AL$323,Ajustes!$L181,Y$2),0) + Y181</f>
        <v>1769</v>
      </c>
      <c r="AL181">
        <f>IF(Ajustes!$G181&gt;0,INDEX($AA$4:$AL$323,Ajustes!$G181,Z$2),0)+IF(Ajustes!$H181&gt;0,INDEX($AA$4:$AL$323,Ajustes!$H181,Z$2),0)+IF(Ajustes!$I181&gt;0,INDEX($AA$4:$AL$323,Ajustes!$I181,Z$2),0)+IF(Ajustes!$J181&gt;0,INDEX($AA$4:$AL$323,Ajustes!$J181,Z$2),0)+IF(Ajustes!$K181&gt;0,INDEX($AA$5:$AL$324,Ajustes!$K181,Z$2),0)+IF(Ajustes!$L181&gt;0,INDEX($AA$4:$AL$323,Ajustes!$L181,Z$2),0) + Z181</f>
        <v>3277</v>
      </c>
      <c r="AM181" s="113">
        <f t="shared" si="39"/>
        <v>4718</v>
      </c>
      <c r="AN181" s="113">
        <f t="shared" si="39"/>
        <v>5041</v>
      </c>
      <c r="AO181" s="113">
        <f t="shared" si="39"/>
        <v>5059</v>
      </c>
      <c r="AP181" s="113">
        <f t="shared" si="39"/>
        <v>4144</v>
      </c>
      <c r="AQ181" s="113">
        <f t="shared" si="42"/>
        <v>2508</v>
      </c>
      <c r="AR181" s="113">
        <f t="shared" si="40"/>
        <v>1636</v>
      </c>
      <c r="AS181" s="113">
        <f t="shared" si="40"/>
        <v>1339</v>
      </c>
      <c r="AT181" s="113">
        <f t="shared" si="40"/>
        <v>1168</v>
      </c>
      <c r="AU181" s="113">
        <f t="shared" si="40"/>
        <v>1044</v>
      </c>
      <c r="AV181" s="113">
        <f t="shared" si="43"/>
        <v>1119</v>
      </c>
      <c r="AW181" s="113">
        <f t="shared" si="41"/>
        <v>1769</v>
      </c>
      <c r="AX181" s="113">
        <f t="shared" si="41"/>
        <v>3277</v>
      </c>
    </row>
    <row r="182" spans="1:50" x14ac:dyDescent="0.25">
      <c r="A182" s="113">
        <v>179</v>
      </c>
      <c r="B182" s="209"/>
      <c r="C182">
        <f>IFERROR(INDEX($BD$7:$BO$35,MATCH(Ajustes!$E$4:$E$323,$BC$7:$BC$35,0),$C$2:$N$2),1)</f>
        <v>1</v>
      </c>
      <c r="D182" s="113">
        <f>IFERROR(INDEX($BD$7:$BO$35,MATCH(Ajustes!$E$4:$E$323,$BC$7:$BC$35,0),$C$2:$N$2),1)</f>
        <v>1</v>
      </c>
      <c r="E182" s="113">
        <f>IFERROR(INDEX($BD$7:$BO$35,MATCH(Ajustes!$E$4:$E$323,$BC$7:$BC$35,0),$C$2:$N$2),1)</f>
        <v>1</v>
      </c>
      <c r="F182" s="113">
        <f>IFERROR(INDEX($BD$7:$BO$35,MATCH(Ajustes!$E$4:$E$323,$BC$7:$BC$35,0),$C$2:$N$2),1)</f>
        <v>1</v>
      </c>
      <c r="G182" s="113">
        <f>IFERROR(INDEX($BD$7:$BO$35,MATCH(Ajustes!$E$4:$E$323,$BC$7:$BC$35,0),$C$2:$N$2),1)</f>
        <v>1</v>
      </c>
      <c r="H182" s="113">
        <f>IFERROR(INDEX($BD$7:$BO$35,MATCH(Ajustes!$E$4:$E$323,$BC$7:$BC$35,0),$C$2:$N$2),1)</f>
        <v>1</v>
      </c>
      <c r="I182" s="113">
        <f>IFERROR(INDEX($BD$7:$BO$35,MATCH(Ajustes!$E$4:$E$323,$BC$7:$BC$35,0),$C$2:$N$2),1)</f>
        <v>1</v>
      </c>
      <c r="J182" s="113">
        <f>IFERROR(INDEX($BD$7:$BO$35,MATCH(Ajustes!$E$4:$E$323,$BC$7:$BC$35,0),$C$2:$N$2),1)</f>
        <v>1</v>
      </c>
      <c r="K182" s="113">
        <f>IFERROR(INDEX($BD$7:$BO$35,MATCH(Ajustes!$E$4:$E$323,$BC$7:$BC$35,0),$C$2:$N$2),1)</f>
        <v>1</v>
      </c>
      <c r="L182" s="113">
        <f>IFERROR(INDEX($BD$7:$BO$35,MATCH(Ajustes!$E$4:$E$323,$BC$7:$BC$35,0),$C$2:$N$2),1)</f>
        <v>1</v>
      </c>
      <c r="M182" s="113">
        <f>IFERROR(INDEX($BD$7:$BO$35,MATCH(Ajustes!$E$4:$E$323,$BC$7:$BC$35,0),$C$2:$N$2),1)</f>
        <v>1</v>
      </c>
      <c r="N182" s="113">
        <f>IFERROR(INDEX($BD$7:$BO$35,MATCH(Ajustes!$E$4:$E$323,$BC$7:$BC$35,0),$C$2:$N$2),1)</f>
        <v>1</v>
      </c>
      <c r="O182">
        <f>C182*Ajustes!AM182</f>
        <v>0</v>
      </c>
      <c r="P182">
        <f>D182*Ajustes!AN182</f>
        <v>0</v>
      </c>
      <c r="Q182">
        <f>E182*Ajustes!AO182</f>
        <v>0</v>
      </c>
      <c r="R182">
        <f>F182*Ajustes!AP182</f>
        <v>0</v>
      </c>
      <c r="S182">
        <f>G182*Ajustes!AQ182</f>
        <v>0</v>
      </c>
      <c r="T182">
        <f>H182*Ajustes!AR182</f>
        <v>0</v>
      </c>
      <c r="U182">
        <f>I182*Ajustes!AS182</f>
        <v>0</v>
      </c>
      <c r="V182">
        <f>J182*Ajustes!AT182</f>
        <v>0</v>
      </c>
      <c r="W182">
        <f>K182*Ajustes!AU182</f>
        <v>0</v>
      </c>
      <c r="X182">
        <f>L182*Ajustes!AV182</f>
        <v>0</v>
      </c>
      <c r="Y182">
        <f>M182*Ajustes!AW182</f>
        <v>0</v>
      </c>
      <c r="Z182">
        <f>N182*Ajustes!AX182</f>
        <v>0</v>
      </c>
      <c r="AA182">
        <f>IF(Ajustes!$G182&gt;0,INDEX($AA$4:$AL$323,Ajustes!$G182,O$2),0)+IF(Ajustes!$H182&gt;0,INDEX($AA$4:$AL$323,Ajustes!$H182,O$2),0)+IF(Ajustes!$I182&gt;0,INDEX($AA$4:$AL$323,Ajustes!$I182,O$2),0)+IF(Ajustes!$J182&gt;0,INDEX($AA$4:$AL$323,Ajustes!$J182,O$2),0)+IF(Ajustes!$K182&gt;0,INDEX($AA$5:$AL$324,Ajustes!$K182,O$2),0)+IF(Ajustes!$L182&gt;0,INDEX($AA$4:$AL$323,Ajustes!$L182,O$2),0) + O182</f>
        <v>0</v>
      </c>
      <c r="AB182">
        <f>IF(Ajustes!$G182&gt;0,INDEX($AA$4:$AL$323,Ajustes!$G182,P$2),0)+IF(Ajustes!$H182&gt;0,INDEX($AA$4:$AL$323,Ajustes!$H182,P$2),0)+IF(Ajustes!$I182&gt;0,INDEX($AA$4:$AL$323,Ajustes!$I182,P$2),0)+IF(Ajustes!$J182&gt;0,INDEX($AA$4:$AL$323,Ajustes!$J182,P$2),0)+IF(Ajustes!$K182&gt;0,INDEX($AA$5:$AL$324,Ajustes!$K182,P$2),0)+IF(Ajustes!$L182&gt;0,INDEX($AA$4:$AL$323,Ajustes!$L182,P$2),0) + P182</f>
        <v>0</v>
      </c>
      <c r="AC182">
        <f>IF(Ajustes!$G182&gt;0,INDEX($AA$4:$AL$323,Ajustes!$G182,Q$2),0)+IF(Ajustes!$H182&gt;0,INDEX($AA$4:$AL$323,Ajustes!$H182,Q$2),0)+IF(Ajustes!$I182&gt;0,INDEX($AA$4:$AL$323,Ajustes!$I182,Q$2),0)+IF(Ajustes!$J182&gt;0,INDEX($AA$4:$AL$323,Ajustes!$J182,Q$2),0)+IF(Ajustes!$K182&gt;0,INDEX($AA$5:$AL$324,Ajustes!$K182,Q$2),0)+IF(Ajustes!$L182&gt;0,INDEX($AA$4:$AL$323,Ajustes!$L182,Q$2),0) + Q182</f>
        <v>0</v>
      </c>
      <c r="AD182">
        <f>IF(Ajustes!$G182&gt;0,INDEX($AA$4:$AL$323,Ajustes!$G182,R$2),0)+IF(Ajustes!$H182&gt;0,INDEX($AA$4:$AL$323,Ajustes!$H182,R$2),0)+IF(Ajustes!$I182&gt;0,INDEX($AA$4:$AL$323,Ajustes!$I182,R$2),0)+IF(Ajustes!$J182&gt;0,INDEX($AA$4:$AL$323,Ajustes!$J182,R$2),0)+IF(Ajustes!$K182&gt;0,INDEX($AA$5:$AL$324,Ajustes!$K182,R$2),0)+IF(Ajustes!$L182&gt;0,INDEX($AA$4:$AL$323,Ajustes!$L182,R$2),0) + R182</f>
        <v>0</v>
      </c>
      <c r="AE182">
        <f>IF(Ajustes!$G182&gt;0,INDEX($AA$4:$AL$323,Ajustes!$G182,S$2),0)+IF(Ajustes!$H182&gt;0,INDEX($AA$4:$AL$323,Ajustes!$H182,S$2),0)+IF(Ajustes!$I182&gt;0,INDEX($AA$4:$AL$323,Ajustes!$I182,S$2),0)+IF(Ajustes!$J182&gt;0,INDEX($AA$4:$AL$323,Ajustes!$J182,S$2),0)+IF(Ajustes!$K182&gt;0,INDEX($AA$5:$AL$324,Ajustes!$K182,S$2),0)+IF(Ajustes!$L182&gt;0,INDEX($AA$4:$AL$323,Ajustes!$L182,S$2),0) + S182</f>
        <v>0</v>
      </c>
      <c r="AF182">
        <f>IF(Ajustes!$G182&gt;0,INDEX($AA$4:$AL$323,Ajustes!$G182,T$2),0)+IF(Ajustes!$H182&gt;0,INDEX($AA$4:$AL$323,Ajustes!$H182,T$2),0)+IF(Ajustes!$I182&gt;0,INDEX($AA$4:$AL$323,Ajustes!$I182,T$2),0)+IF(Ajustes!$J182&gt;0,INDEX($AA$4:$AL$323,Ajustes!$J182,T$2),0)+IF(Ajustes!$K182&gt;0,INDEX($AA$5:$AL$324,Ajustes!$K182,T$2),0)+IF(Ajustes!$L182&gt;0,INDEX($AA$4:$AL$323,Ajustes!$L182,T$2),0) + T182</f>
        <v>0</v>
      </c>
      <c r="AG182">
        <f>IF(Ajustes!$G182&gt;0,INDEX($AA$4:$AL$323,Ajustes!$G182,U$2),0)+IF(Ajustes!$H182&gt;0,INDEX($AA$4:$AL$323,Ajustes!$H182,U$2),0)+IF(Ajustes!$I182&gt;0,INDEX($AA$4:$AL$323,Ajustes!$I182,U$2),0)+IF(Ajustes!$J182&gt;0,INDEX($AA$4:$AL$323,Ajustes!$J182,U$2),0)+IF(Ajustes!$K182&gt;0,INDEX($AA$5:$AL$324,Ajustes!$K182,U$2),0)+IF(Ajustes!$L182&gt;0,INDEX($AA$4:$AL$323,Ajustes!$L182,U$2),0) + U182</f>
        <v>0</v>
      </c>
      <c r="AH182">
        <f>IF(Ajustes!$G182&gt;0,INDEX($AA$4:$AL$323,Ajustes!$G182,V$2),0)+IF(Ajustes!$H182&gt;0,INDEX($AA$4:$AL$323,Ajustes!$H182,V$2),0)+IF(Ajustes!$I182&gt;0,INDEX($AA$4:$AL$323,Ajustes!$I182,V$2),0)+IF(Ajustes!$J182&gt;0,INDEX($AA$4:$AL$323,Ajustes!$J182,V$2),0)+IF(Ajustes!$K182&gt;0,INDEX($AA$5:$AL$324,Ajustes!$K182,V$2),0)+IF(Ajustes!$L182&gt;0,INDEX($AA$4:$AL$323,Ajustes!$L182,V$2),0) + V182</f>
        <v>0</v>
      </c>
      <c r="AI182">
        <f>IF(Ajustes!$G182&gt;0,INDEX($AA$4:$AL$323,Ajustes!$G182,W$2),0)+IF(Ajustes!$H182&gt;0,INDEX($AA$4:$AL$323,Ajustes!$H182,W$2),0)+IF(Ajustes!$I182&gt;0,INDEX($AA$4:$AL$323,Ajustes!$I182,W$2),0)+IF(Ajustes!$J182&gt;0,INDEX($AA$4:$AL$323,Ajustes!$J182,W$2),0)+IF(Ajustes!$K182&gt;0,INDEX($AA$5:$AL$324,Ajustes!$K182,W$2),0)+IF(Ajustes!$L182&gt;0,INDEX($AA$4:$AL$323,Ajustes!$L182,W$2),0) + W182</f>
        <v>0</v>
      </c>
      <c r="AJ182">
        <f>IF(Ajustes!$G182&gt;0,INDEX($AA$4:$AL$323,Ajustes!$G182,X$2),0)+IF(Ajustes!$H182&gt;0,INDEX($AA$4:$AL$323,Ajustes!$H182,X$2),0)+IF(Ajustes!$I182&gt;0,INDEX($AA$4:$AL$323,Ajustes!$I182,X$2),0)+IF(Ajustes!$J182&gt;0,INDEX($AA$4:$AL$323,Ajustes!$J182,X$2),0)+IF(Ajustes!$K182&gt;0,INDEX($AA$5:$AL$324,Ajustes!$K182,X$2),0)+IF(Ajustes!$L182&gt;0,INDEX($AA$4:$AL$323,Ajustes!$L182,X$2),0) + X182</f>
        <v>0</v>
      </c>
      <c r="AK182">
        <f>IF(Ajustes!$G182&gt;0,INDEX($AA$4:$AL$323,Ajustes!$G182,Y$2),0)+IF(Ajustes!$H182&gt;0,INDEX($AA$4:$AL$323,Ajustes!$H182,Y$2),0)+IF(Ajustes!$I182&gt;0,INDEX($AA$4:$AL$323,Ajustes!$I182,Y$2),0)+IF(Ajustes!$J182&gt;0,INDEX($AA$4:$AL$323,Ajustes!$J182,Y$2),0)+IF(Ajustes!$K182&gt;0,INDEX($AA$5:$AL$324,Ajustes!$K182,Y$2),0)+IF(Ajustes!$L182&gt;0,INDEX($AA$4:$AL$323,Ajustes!$L182,Y$2),0) + Y182</f>
        <v>0</v>
      </c>
      <c r="AL182">
        <f>IF(Ajustes!$G182&gt;0,INDEX($AA$4:$AL$323,Ajustes!$G182,Z$2),0)+IF(Ajustes!$H182&gt;0,INDEX($AA$4:$AL$323,Ajustes!$H182,Z$2),0)+IF(Ajustes!$I182&gt;0,INDEX($AA$4:$AL$323,Ajustes!$I182,Z$2),0)+IF(Ajustes!$J182&gt;0,INDEX($AA$4:$AL$323,Ajustes!$J182,Z$2),0)+IF(Ajustes!$K182&gt;0,INDEX($AA$5:$AL$324,Ajustes!$K182,Z$2),0)+IF(Ajustes!$L182&gt;0,INDEX($AA$4:$AL$323,Ajustes!$L182,Z$2),0) + Z182</f>
        <v>0</v>
      </c>
      <c r="AM182" s="113">
        <f t="shared" si="39"/>
        <v>0</v>
      </c>
      <c r="AN182" s="113">
        <f t="shared" si="39"/>
        <v>0</v>
      </c>
      <c r="AO182" s="113">
        <f t="shared" si="39"/>
        <v>0</v>
      </c>
      <c r="AP182" s="113">
        <f t="shared" si="39"/>
        <v>0</v>
      </c>
      <c r="AQ182" s="113">
        <f t="shared" si="42"/>
        <v>0</v>
      </c>
      <c r="AR182" s="113">
        <f t="shared" si="40"/>
        <v>0</v>
      </c>
      <c r="AS182" s="113">
        <f t="shared" si="40"/>
        <v>0</v>
      </c>
      <c r="AT182" s="113">
        <f t="shared" si="40"/>
        <v>0</v>
      </c>
      <c r="AU182" s="113">
        <f t="shared" si="40"/>
        <v>0</v>
      </c>
      <c r="AV182" s="113">
        <f t="shared" si="43"/>
        <v>0</v>
      </c>
      <c r="AW182" s="113">
        <f t="shared" si="41"/>
        <v>0</v>
      </c>
      <c r="AX182" s="113">
        <f t="shared" si="41"/>
        <v>0</v>
      </c>
    </row>
    <row r="183" spans="1:50" x14ac:dyDescent="0.25">
      <c r="A183" s="113">
        <v>180</v>
      </c>
      <c r="B183" s="209"/>
      <c r="C183">
        <f>IFERROR(INDEX($BD$7:$BO$35,MATCH(Ajustes!$E$4:$E$323,$BC$7:$BC$35,0),$C$2:$N$2),1)</f>
        <v>1</v>
      </c>
      <c r="D183" s="113">
        <f>IFERROR(INDEX($BD$7:$BO$35,MATCH(Ajustes!$E$4:$E$323,$BC$7:$BC$35,0),$C$2:$N$2),1)</f>
        <v>1</v>
      </c>
      <c r="E183" s="113">
        <f>IFERROR(INDEX($BD$7:$BO$35,MATCH(Ajustes!$E$4:$E$323,$BC$7:$BC$35,0),$C$2:$N$2),1)</f>
        <v>1</v>
      </c>
      <c r="F183" s="113">
        <f>IFERROR(INDEX($BD$7:$BO$35,MATCH(Ajustes!$E$4:$E$323,$BC$7:$BC$35,0),$C$2:$N$2),1)</f>
        <v>1</v>
      </c>
      <c r="G183" s="113">
        <f>IFERROR(INDEX($BD$7:$BO$35,MATCH(Ajustes!$E$4:$E$323,$BC$7:$BC$35,0),$C$2:$N$2),1)</f>
        <v>1</v>
      </c>
      <c r="H183" s="113">
        <f>IFERROR(INDEX($BD$7:$BO$35,MATCH(Ajustes!$E$4:$E$323,$BC$7:$BC$35,0),$C$2:$N$2),1)</f>
        <v>1</v>
      </c>
      <c r="I183" s="113">
        <f>IFERROR(INDEX($BD$7:$BO$35,MATCH(Ajustes!$E$4:$E$323,$BC$7:$BC$35,0),$C$2:$N$2),1)</f>
        <v>1</v>
      </c>
      <c r="J183" s="113">
        <f>IFERROR(INDEX($BD$7:$BO$35,MATCH(Ajustes!$E$4:$E$323,$BC$7:$BC$35,0),$C$2:$N$2),1)</f>
        <v>1</v>
      </c>
      <c r="K183" s="113">
        <f>IFERROR(INDEX($BD$7:$BO$35,MATCH(Ajustes!$E$4:$E$323,$BC$7:$BC$35,0),$C$2:$N$2),1)</f>
        <v>1</v>
      </c>
      <c r="L183" s="113">
        <f>IFERROR(INDEX($BD$7:$BO$35,MATCH(Ajustes!$E$4:$E$323,$BC$7:$BC$35,0),$C$2:$N$2),1)</f>
        <v>1</v>
      </c>
      <c r="M183" s="113">
        <f>IFERROR(INDEX($BD$7:$BO$35,MATCH(Ajustes!$E$4:$E$323,$BC$7:$BC$35,0),$C$2:$N$2),1)</f>
        <v>1</v>
      </c>
      <c r="N183" s="113">
        <f>IFERROR(INDEX($BD$7:$BO$35,MATCH(Ajustes!$E$4:$E$323,$BC$7:$BC$35,0),$C$2:$N$2),1)</f>
        <v>1</v>
      </c>
      <c r="O183">
        <f>C183*Ajustes!AM183</f>
        <v>0</v>
      </c>
      <c r="P183">
        <f>D183*Ajustes!AN183</f>
        <v>0</v>
      </c>
      <c r="Q183">
        <f>E183*Ajustes!AO183</f>
        <v>0</v>
      </c>
      <c r="R183">
        <f>F183*Ajustes!AP183</f>
        <v>0</v>
      </c>
      <c r="S183">
        <f>G183*Ajustes!AQ183</f>
        <v>0</v>
      </c>
      <c r="T183">
        <f>H183*Ajustes!AR183</f>
        <v>0</v>
      </c>
      <c r="U183">
        <f>I183*Ajustes!AS183</f>
        <v>0</v>
      </c>
      <c r="V183">
        <f>J183*Ajustes!AT183</f>
        <v>0</v>
      </c>
      <c r="W183">
        <f>K183*Ajustes!AU183</f>
        <v>0</v>
      </c>
      <c r="X183">
        <f>L183*Ajustes!AV183</f>
        <v>0</v>
      </c>
      <c r="Y183">
        <f>M183*Ajustes!AW183</f>
        <v>0</v>
      </c>
      <c r="Z183">
        <f>N183*Ajustes!AX183</f>
        <v>0</v>
      </c>
      <c r="AA183">
        <f>IF(Ajustes!$G183&gt;0,INDEX($AA$4:$AL$323,Ajustes!$G183,O$2),0)+IF(Ajustes!$H183&gt;0,INDEX($AA$4:$AL$323,Ajustes!$H183,O$2),0)+IF(Ajustes!$I183&gt;0,INDEX($AA$4:$AL$323,Ajustes!$I183,O$2),0)+IF(Ajustes!$J183&gt;0,INDEX($AA$4:$AL$323,Ajustes!$J183,O$2),0)+IF(Ajustes!$K183&gt;0,INDEX($AA$5:$AL$324,Ajustes!$K183,O$2),0)+IF(Ajustes!$L183&gt;0,INDEX($AA$4:$AL$323,Ajustes!$L183,O$2),0) + O183</f>
        <v>0</v>
      </c>
      <c r="AB183">
        <f>IF(Ajustes!$G183&gt;0,INDEX($AA$4:$AL$323,Ajustes!$G183,P$2),0)+IF(Ajustes!$H183&gt;0,INDEX($AA$4:$AL$323,Ajustes!$H183,P$2),0)+IF(Ajustes!$I183&gt;0,INDEX($AA$4:$AL$323,Ajustes!$I183,P$2),0)+IF(Ajustes!$J183&gt;0,INDEX($AA$4:$AL$323,Ajustes!$J183,P$2),0)+IF(Ajustes!$K183&gt;0,INDEX($AA$5:$AL$324,Ajustes!$K183,P$2),0)+IF(Ajustes!$L183&gt;0,INDEX($AA$4:$AL$323,Ajustes!$L183,P$2),0) + P183</f>
        <v>0</v>
      </c>
      <c r="AC183">
        <f>IF(Ajustes!$G183&gt;0,INDEX($AA$4:$AL$323,Ajustes!$G183,Q$2),0)+IF(Ajustes!$H183&gt;0,INDEX($AA$4:$AL$323,Ajustes!$H183,Q$2),0)+IF(Ajustes!$I183&gt;0,INDEX($AA$4:$AL$323,Ajustes!$I183,Q$2),0)+IF(Ajustes!$J183&gt;0,INDEX($AA$4:$AL$323,Ajustes!$J183,Q$2),0)+IF(Ajustes!$K183&gt;0,INDEX($AA$5:$AL$324,Ajustes!$K183,Q$2),0)+IF(Ajustes!$L183&gt;0,INDEX($AA$4:$AL$323,Ajustes!$L183,Q$2),0) + Q183</f>
        <v>0</v>
      </c>
      <c r="AD183">
        <f>IF(Ajustes!$G183&gt;0,INDEX($AA$4:$AL$323,Ajustes!$G183,R$2),0)+IF(Ajustes!$H183&gt;0,INDEX($AA$4:$AL$323,Ajustes!$H183,R$2),0)+IF(Ajustes!$I183&gt;0,INDEX($AA$4:$AL$323,Ajustes!$I183,R$2),0)+IF(Ajustes!$J183&gt;0,INDEX($AA$4:$AL$323,Ajustes!$J183,R$2),0)+IF(Ajustes!$K183&gt;0,INDEX($AA$5:$AL$324,Ajustes!$K183,R$2),0)+IF(Ajustes!$L183&gt;0,INDEX($AA$4:$AL$323,Ajustes!$L183,R$2),0) + R183</f>
        <v>0</v>
      </c>
      <c r="AE183">
        <f>IF(Ajustes!$G183&gt;0,INDEX($AA$4:$AL$323,Ajustes!$G183,S$2),0)+IF(Ajustes!$H183&gt;0,INDEX($AA$4:$AL$323,Ajustes!$H183,S$2),0)+IF(Ajustes!$I183&gt;0,INDEX($AA$4:$AL$323,Ajustes!$I183,S$2),0)+IF(Ajustes!$J183&gt;0,INDEX($AA$4:$AL$323,Ajustes!$J183,S$2),0)+IF(Ajustes!$K183&gt;0,INDEX($AA$5:$AL$324,Ajustes!$K183,S$2),0)+IF(Ajustes!$L183&gt;0,INDEX($AA$4:$AL$323,Ajustes!$L183,S$2),0) + S183</f>
        <v>0</v>
      </c>
      <c r="AF183">
        <f>IF(Ajustes!$G183&gt;0,INDEX($AA$4:$AL$323,Ajustes!$G183,T$2),0)+IF(Ajustes!$H183&gt;0,INDEX($AA$4:$AL$323,Ajustes!$H183,T$2),0)+IF(Ajustes!$I183&gt;0,INDEX($AA$4:$AL$323,Ajustes!$I183,T$2),0)+IF(Ajustes!$J183&gt;0,INDEX($AA$4:$AL$323,Ajustes!$J183,T$2),0)+IF(Ajustes!$K183&gt;0,INDEX($AA$5:$AL$324,Ajustes!$K183,T$2),0)+IF(Ajustes!$L183&gt;0,INDEX($AA$4:$AL$323,Ajustes!$L183,T$2),0) + T183</f>
        <v>0</v>
      </c>
      <c r="AG183">
        <f>IF(Ajustes!$G183&gt;0,INDEX($AA$4:$AL$323,Ajustes!$G183,U$2),0)+IF(Ajustes!$H183&gt;0,INDEX($AA$4:$AL$323,Ajustes!$H183,U$2),0)+IF(Ajustes!$I183&gt;0,INDEX($AA$4:$AL$323,Ajustes!$I183,U$2),0)+IF(Ajustes!$J183&gt;0,INDEX($AA$4:$AL$323,Ajustes!$J183,U$2),0)+IF(Ajustes!$K183&gt;0,INDEX($AA$5:$AL$324,Ajustes!$K183,U$2),0)+IF(Ajustes!$L183&gt;0,INDEX($AA$4:$AL$323,Ajustes!$L183,U$2),0) + U183</f>
        <v>0</v>
      </c>
      <c r="AH183">
        <f>IF(Ajustes!$G183&gt;0,INDEX($AA$4:$AL$323,Ajustes!$G183,V$2),0)+IF(Ajustes!$H183&gt;0,INDEX($AA$4:$AL$323,Ajustes!$H183,V$2),0)+IF(Ajustes!$I183&gt;0,INDEX($AA$4:$AL$323,Ajustes!$I183,V$2),0)+IF(Ajustes!$J183&gt;0,INDEX($AA$4:$AL$323,Ajustes!$J183,V$2),0)+IF(Ajustes!$K183&gt;0,INDEX($AA$5:$AL$324,Ajustes!$K183,V$2),0)+IF(Ajustes!$L183&gt;0,INDEX($AA$4:$AL$323,Ajustes!$L183,V$2),0) + V183</f>
        <v>0</v>
      </c>
      <c r="AI183">
        <f>IF(Ajustes!$G183&gt;0,INDEX($AA$4:$AL$323,Ajustes!$G183,W$2),0)+IF(Ajustes!$H183&gt;0,INDEX($AA$4:$AL$323,Ajustes!$H183,W$2),0)+IF(Ajustes!$I183&gt;0,INDEX($AA$4:$AL$323,Ajustes!$I183,W$2),0)+IF(Ajustes!$J183&gt;0,INDEX($AA$4:$AL$323,Ajustes!$J183,W$2),0)+IF(Ajustes!$K183&gt;0,INDEX($AA$5:$AL$324,Ajustes!$K183,W$2),0)+IF(Ajustes!$L183&gt;0,INDEX($AA$4:$AL$323,Ajustes!$L183,W$2),0) + W183</f>
        <v>0</v>
      </c>
      <c r="AJ183">
        <f>IF(Ajustes!$G183&gt;0,INDEX($AA$4:$AL$323,Ajustes!$G183,X$2),0)+IF(Ajustes!$H183&gt;0,INDEX($AA$4:$AL$323,Ajustes!$H183,X$2),0)+IF(Ajustes!$I183&gt;0,INDEX($AA$4:$AL$323,Ajustes!$I183,X$2),0)+IF(Ajustes!$J183&gt;0,INDEX($AA$4:$AL$323,Ajustes!$J183,X$2),0)+IF(Ajustes!$K183&gt;0,INDEX($AA$5:$AL$324,Ajustes!$K183,X$2),0)+IF(Ajustes!$L183&gt;0,INDEX($AA$4:$AL$323,Ajustes!$L183,X$2),0) + X183</f>
        <v>0</v>
      </c>
      <c r="AK183">
        <f>IF(Ajustes!$G183&gt;0,INDEX($AA$4:$AL$323,Ajustes!$G183,Y$2),0)+IF(Ajustes!$H183&gt;0,INDEX($AA$4:$AL$323,Ajustes!$H183,Y$2),0)+IF(Ajustes!$I183&gt;0,INDEX($AA$4:$AL$323,Ajustes!$I183,Y$2),0)+IF(Ajustes!$J183&gt;0,INDEX($AA$4:$AL$323,Ajustes!$J183,Y$2),0)+IF(Ajustes!$K183&gt;0,INDEX($AA$5:$AL$324,Ajustes!$K183,Y$2),0)+IF(Ajustes!$L183&gt;0,INDEX($AA$4:$AL$323,Ajustes!$L183,Y$2),0) + Y183</f>
        <v>0</v>
      </c>
      <c r="AL183">
        <f>IF(Ajustes!$G183&gt;0,INDEX($AA$4:$AL$323,Ajustes!$G183,Z$2),0)+IF(Ajustes!$H183&gt;0,INDEX($AA$4:$AL$323,Ajustes!$H183,Z$2),0)+IF(Ajustes!$I183&gt;0,INDEX($AA$4:$AL$323,Ajustes!$I183,Z$2),0)+IF(Ajustes!$J183&gt;0,INDEX($AA$4:$AL$323,Ajustes!$J183,Z$2),0)+IF(Ajustes!$K183&gt;0,INDEX($AA$5:$AL$324,Ajustes!$K183,Z$2),0)+IF(Ajustes!$L183&gt;0,INDEX($AA$4:$AL$323,Ajustes!$L183,Z$2),0) + Z183</f>
        <v>0</v>
      </c>
      <c r="AM183" s="113">
        <f t="shared" si="39"/>
        <v>0</v>
      </c>
      <c r="AN183" s="113">
        <f t="shared" si="39"/>
        <v>0</v>
      </c>
      <c r="AO183" s="113">
        <f t="shared" si="39"/>
        <v>0</v>
      </c>
      <c r="AP183" s="113">
        <f t="shared" si="39"/>
        <v>0</v>
      </c>
      <c r="AQ183" s="113">
        <f t="shared" si="42"/>
        <v>0</v>
      </c>
      <c r="AR183" s="113">
        <f t="shared" si="40"/>
        <v>0</v>
      </c>
      <c r="AS183" s="113">
        <f t="shared" si="40"/>
        <v>0</v>
      </c>
      <c r="AT183" s="113">
        <f t="shared" si="40"/>
        <v>0</v>
      </c>
      <c r="AU183" s="113">
        <f t="shared" si="40"/>
        <v>0</v>
      </c>
      <c r="AV183" s="113">
        <f t="shared" si="43"/>
        <v>0</v>
      </c>
      <c r="AW183" s="113">
        <f t="shared" si="41"/>
        <v>0</v>
      </c>
      <c r="AX183" s="113">
        <f t="shared" si="41"/>
        <v>0</v>
      </c>
    </row>
    <row r="184" spans="1:50" x14ac:dyDescent="0.25">
      <c r="A184" s="113">
        <v>181</v>
      </c>
      <c r="B184" s="209"/>
      <c r="C184">
        <f>IFERROR(INDEX($BD$7:$BO$35,MATCH(Ajustes!$E$4:$E$323,$BC$7:$BC$35,0),$C$2:$N$2),1)</f>
        <v>1</v>
      </c>
      <c r="D184" s="113">
        <f>IFERROR(INDEX($BD$7:$BO$35,MATCH(Ajustes!$E$4:$E$323,$BC$7:$BC$35,0),$C$2:$N$2),1)</f>
        <v>1</v>
      </c>
      <c r="E184" s="113">
        <f>IFERROR(INDEX($BD$7:$BO$35,MATCH(Ajustes!$E$4:$E$323,$BC$7:$BC$35,0),$C$2:$N$2),1)</f>
        <v>1</v>
      </c>
      <c r="F184" s="113">
        <f>IFERROR(INDEX($BD$7:$BO$35,MATCH(Ajustes!$E$4:$E$323,$BC$7:$BC$35,0),$C$2:$N$2),1)</f>
        <v>1</v>
      </c>
      <c r="G184" s="113">
        <f>IFERROR(INDEX($BD$7:$BO$35,MATCH(Ajustes!$E$4:$E$323,$BC$7:$BC$35,0),$C$2:$N$2),1)</f>
        <v>1</v>
      </c>
      <c r="H184" s="113">
        <f>IFERROR(INDEX($BD$7:$BO$35,MATCH(Ajustes!$E$4:$E$323,$BC$7:$BC$35,0),$C$2:$N$2),1)</f>
        <v>1</v>
      </c>
      <c r="I184" s="113">
        <f>IFERROR(INDEX($BD$7:$BO$35,MATCH(Ajustes!$E$4:$E$323,$BC$7:$BC$35,0),$C$2:$N$2),1)</f>
        <v>1</v>
      </c>
      <c r="J184" s="113">
        <f>IFERROR(INDEX($BD$7:$BO$35,MATCH(Ajustes!$E$4:$E$323,$BC$7:$BC$35,0),$C$2:$N$2),1)</f>
        <v>1</v>
      </c>
      <c r="K184" s="113">
        <f>IFERROR(INDEX($BD$7:$BO$35,MATCH(Ajustes!$E$4:$E$323,$BC$7:$BC$35,0),$C$2:$N$2),1)</f>
        <v>1</v>
      </c>
      <c r="L184" s="113">
        <f>IFERROR(INDEX($BD$7:$BO$35,MATCH(Ajustes!$E$4:$E$323,$BC$7:$BC$35,0),$C$2:$N$2),1)</f>
        <v>1</v>
      </c>
      <c r="M184" s="113">
        <f>IFERROR(INDEX($BD$7:$BO$35,MATCH(Ajustes!$E$4:$E$323,$BC$7:$BC$35,0),$C$2:$N$2),1)</f>
        <v>1</v>
      </c>
      <c r="N184" s="113">
        <f>IFERROR(INDEX($BD$7:$BO$35,MATCH(Ajustes!$E$4:$E$323,$BC$7:$BC$35,0),$C$2:$N$2),1)</f>
        <v>1</v>
      </c>
      <c r="O184">
        <f>C184*Ajustes!AM184</f>
        <v>0</v>
      </c>
      <c r="P184">
        <f>D184*Ajustes!AN184</f>
        <v>0</v>
      </c>
      <c r="Q184">
        <f>E184*Ajustes!AO184</f>
        <v>0</v>
      </c>
      <c r="R184">
        <f>F184*Ajustes!AP184</f>
        <v>0</v>
      </c>
      <c r="S184">
        <f>G184*Ajustes!AQ184</f>
        <v>0</v>
      </c>
      <c r="T184">
        <f>H184*Ajustes!AR184</f>
        <v>0</v>
      </c>
      <c r="U184">
        <f>I184*Ajustes!AS184</f>
        <v>0</v>
      </c>
      <c r="V184">
        <f>J184*Ajustes!AT184</f>
        <v>0</v>
      </c>
      <c r="W184">
        <f>K184*Ajustes!AU184</f>
        <v>0</v>
      </c>
      <c r="X184">
        <f>L184*Ajustes!AV184</f>
        <v>0</v>
      </c>
      <c r="Y184">
        <f>M184*Ajustes!AW184</f>
        <v>0</v>
      </c>
      <c r="Z184">
        <f>N184*Ajustes!AX184</f>
        <v>0</v>
      </c>
      <c r="AA184">
        <f>IF(Ajustes!$G184&gt;0,INDEX($AA$4:$AL$323,Ajustes!$G184,O$2),0)+IF(Ajustes!$H184&gt;0,INDEX($AA$4:$AL$323,Ajustes!$H184,O$2),0)+IF(Ajustes!$I184&gt;0,INDEX($AA$4:$AL$323,Ajustes!$I184,O$2),0)+IF(Ajustes!$J184&gt;0,INDEX($AA$4:$AL$323,Ajustes!$J184,O$2),0)+IF(Ajustes!$K184&gt;0,INDEX($AA$5:$AL$324,Ajustes!$K184,O$2),0)+IF(Ajustes!$L184&gt;0,INDEX($AA$4:$AL$323,Ajustes!$L184,O$2),0) + O184</f>
        <v>0</v>
      </c>
      <c r="AB184">
        <f>IF(Ajustes!$G184&gt;0,INDEX($AA$4:$AL$323,Ajustes!$G184,P$2),0)+IF(Ajustes!$H184&gt;0,INDEX($AA$4:$AL$323,Ajustes!$H184,P$2),0)+IF(Ajustes!$I184&gt;0,INDEX($AA$4:$AL$323,Ajustes!$I184,P$2),0)+IF(Ajustes!$J184&gt;0,INDEX($AA$4:$AL$323,Ajustes!$J184,P$2),0)+IF(Ajustes!$K184&gt;0,INDEX($AA$5:$AL$324,Ajustes!$K184,P$2),0)+IF(Ajustes!$L184&gt;0,INDEX($AA$4:$AL$323,Ajustes!$L184,P$2),0) + P184</f>
        <v>0</v>
      </c>
      <c r="AC184">
        <f>IF(Ajustes!$G184&gt;0,INDEX($AA$4:$AL$323,Ajustes!$G184,Q$2),0)+IF(Ajustes!$H184&gt;0,INDEX($AA$4:$AL$323,Ajustes!$H184,Q$2),0)+IF(Ajustes!$I184&gt;0,INDEX($AA$4:$AL$323,Ajustes!$I184,Q$2),0)+IF(Ajustes!$J184&gt;0,INDEX($AA$4:$AL$323,Ajustes!$J184,Q$2),0)+IF(Ajustes!$K184&gt;0,INDEX($AA$5:$AL$324,Ajustes!$K184,Q$2),0)+IF(Ajustes!$L184&gt;0,INDEX($AA$4:$AL$323,Ajustes!$L184,Q$2),0) + Q184</f>
        <v>0</v>
      </c>
      <c r="AD184">
        <f>IF(Ajustes!$G184&gt;0,INDEX($AA$4:$AL$323,Ajustes!$G184,R$2),0)+IF(Ajustes!$H184&gt;0,INDEX($AA$4:$AL$323,Ajustes!$H184,R$2),0)+IF(Ajustes!$I184&gt;0,INDEX($AA$4:$AL$323,Ajustes!$I184,R$2),0)+IF(Ajustes!$J184&gt;0,INDEX($AA$4:$AL$323,Ajustes!$J184,R$2),0)+IF(Ajustes!$K184&gt;0,INDEX($AA$5:$AL$324,Ajustes!$K184,R$2),0)+IF(Ajustes!$L184&gt;0,INDEX($AA$4:$AL$323,Ajustes!$L184,R$2),0) + R184</f>
        <v>0</v>
      </c>
      <c r="AE184">
        <f>IF(Ajustes!$G184&gt;0,INDEX($AA$4:$AL$323,Ajustes!$G184,S$2),0)+IF(Ajustes!$H184&gt;0,INDEX($AA$4:$AL$323,Ajustes!$H184,S$2),0)+IF(Ajustes!$I184&gt;0,INDEX($AA$4:$AL$323,Ajustes!$I184,S$2),0)+IF(Ajustes!$J184&gt;0,INDEX($AA$4:$AL$323,Ajustes!$J184,S$2),0)+IF(Ajustes!$K184&gt;0,INDEX($AA$5:$AL$324,Ajustes!$K184,S$2),0)+IF(Ajustes!$L184&gt;0,INDEX($AA$4:$AL$323,Ajustes!$L184,S$2),0) + S184</f>
        <v>0</v>
      </c>
      <c r="AF184">
        <f>IF(Ajustes!$G184&gt;0,INDEX($AA$4:$AL$323,Ajustes!$G184,T$2),0)+IF(Ajustes!$H184&gt;0,INDEX($AA$4:$AL$323,Ajustes!$H184,T$2),0)+IF(Ajustes!$I184&gt;0,INDEX($AA$4:$AL$323,Ajustes!$I184,T$2),0)+IF(Ajustes!$J184&gt;0,INDEX($AA$4:$AL$323,Ajustes!$J184,T$2),0)+IF(Ajustes!$K184&gt;0,INDEX($AA$5:$AL$324,Ajustes!$K184,T$2),0)+IF(Ajustes!$L184&gt;0,INDEX($AA$4:$AL$323,Ajustes!$L184,T$2),0) + T184</f>
        <v>0</v>
      </c>
      <c r="AG184">
        <f>IF(Ajustes!$G184&gt;0,INDEX($AA$4:$AL$323,Ajustes!$G184,U$2),0)+IF(Ajustes!$H184&gt;0,INDEX($AA$4:$AL$323,Ajustes!$H184,U$2),0)+IF(Ajustes!$I184&gt;0,INDEX($AA$4:$AL$323,Ajustes!$I184,U$2),0)+IF(Ajustes!$J184&gt;0,INDEX($AA$4:$AL$323,Ajustes!$J184,U$2),0)+IF(Ajustes!$K184&gt;0,INDEX($AA$5:$AL$324,Ajustes!$K184,U$2),0)+IF(Ajustes!$L184&gt;0,INDEX($AA$4:$AL$323,Ajustes!$L184,U$2),0) + U184</f>
        <v>0</v>
      </c>
      <c r="AH184">
        <f>IF(Ajustes!$G184&gt;0,INDEX($AA$4:$AL$323,Ajustes!$G184,V$2),0)+IF(Ajustes!$H184&gt;0,INDEX($AA$4:$AL$323,Ajustes!$H184,V$2),0)+IF(Ajustes!$I184&gt;0,INDEX($AA$4:$AL$323,Ajustes!$I184,V$2),0)+IF(Ajustes!$J184&gt;0,INDEX($AA$4:$AL$323,Ajustes!$J184,V$2),0)+IF(Ajustes!$K184&gt;0,INDEX($AA$5:$AL$324,Ajustes!$K184,V$2),0)+IF(Ajustes!$L184&gt;0,INDEX($AA$4:$AL$323,Ajustes!$L184,V$2),0) + V184</f>
        <v>0</v>
      </c>
      <c r="AI184">
        <f>IF(Ajustes!$G184&gt;0,INDEX($AA$4:$AL$323,Ajustes!$G184,W$2),0)+IF(Ajustes!$H184&gt;0,INDEX($AA$4:$AL$323,Ajustes!$H184,W$2),0)+IF(Ajustes!$I184&gt;0,INDEX($AA$4:$AL$323,Ajustes!$I184,W$2),0)+IF(Ajustes!$J184&gt;0,INDEX($AA$4:$AL$323,Ajustes!$J184,W$2),0)+IF(Ajustes!$K184&gt;0,INDEX($AA$5:$AL$324,Ajustes!$K184,W$2),0)+IF(Ajustes!$L184&gt;0,INDEX($AA$4:$AL$323,Ajustes!$L184,W$2),0) + W184</f>
        <v>0</v>
      </c>
      <c r="AJ184">
        <f>IF(Ajustes!$G184&gt;0,INDEX($AA$4:$AL$323,Ajustes!$G184,X$2),0)+IF(Ajustes!$H184&gt;0,INDEX($AA$4:$AL$323,Ajustes!$H184,X$2),0)+IF(Ajustes!$I184&gt;0,INDEX($AA$4:$AL$323,Ajustes!$I184,X$2),0)+IF(Ajustes!$J184&gt;0,INDEX($AA$4:$AL$323,Ajustes!$J184,X$2),0)+IF(Ajustes!$K184&gt;0,INDEX($AA$5:$AL$324,Ajustes!$K184,X$2),0)+IF(Ajustes!$L184&gt;0,INDEX($AA$4:$AL$323,Ajustes!$L184,X$2),0) + X184</f>
        <v>0</v>
      </c>
      <c r="AK184">
        <f>IF(Ajustes!$G184&gt;0,INDEX($AA$4:$AL$323,Ajustes!$G184,Y$2),0)+IF(Ajustes!$H184&gt;0,INDEX($AA$4:$AL$323,Ajustes!$H184,Y$2),0)+IF(Ajustes!$I184&gt;0,INDEX($AA$4:$AL$323,Ajustes!$I184,Y$2),0)+IF(Ajustes!$J184&gt;0,INDEX($AA$4:$AL$323,Ajustes!$J184,Y$2),0)+IF(Ajustes!$K184&gt;0,INDEX($AA$5:$AL$324,Ajustes!$K184,Y$2),0)+IF(Ajustes!$L184&gt;0,INDEX($AA$4:$AL$323,Ajustes!$L184,Y$2),0) + Y184</f>
        <v>0</v>
      </c>
      <c r="AL184">
        <f>IF(Ajustes!$G184&gt;0,INDEX($AA$4:$AL$323,Ajustes!$G184,Z$2),0)+IF(Ajustes!$H184&gt;0,INDEX($AA$4:$AL$323,Ajustes!$H184,Z$2),0)+IF(Ajustes!$I184&gt;0,INDEX($AA$4:$AL$323,Ajustes!$I184,Z$2),0)+IF(Ajustes!$J184&gt;0,INDEX($AA$4:$AL$323,Ajustes!$J184,Z$2),0)+IF(Ajustes!$K184&gt;0,INDEX($AA$5:$AL$324,Ajustes!$K184,Z$2),0)+IF(Ajustes!$L184&gt;0,INDEX($AA$4:$AL$323,Ajustes!$L184,Z$2),0) + Z184</f>
        <v>0</v>
      </c>
      <c r="AM184" s="113">
        <f t="shared" si="39"/>
        <v>0</v>
      </c>
      <c r="AN184" s="113">
        <f t="shared" si="39"/>
        <v>0</v>
      </c>
      <c r="AO184" s="113">
        <f t="shared" si="39"/>
        <v>0</v>
      </c>
      <c r="AP184" s="113">
        <f t="shared" si="39"/>
        <v>0</v>
      </c>
      <c r="AQ184" s="113">
        <f t="shared" si="42"/>
        <v>0</v>
      </c>
      <c r="AR184" s="113">
        <f t="shared" si="40"/>
        <v>0</v>
      </c>
      <c r="AS184" s="113">
        <f t="shared" si="40"/>
        <v>0</v>
      </c>
      <c r="AT184" s="113">
        <f t="shared" si="40"/>
        <v>0</v>
      </c>
      <c r="AU184" s="113">
        <f t="shared" si="40"/>
        <v>0</v>
      </c>
      <c r="AV184" s="113">
        <f t="shared" si="43"/>
        <v>0</v>
      </c>
      <c r="AW184" s="113">
        <f t="shared" si="41"/>
        <v>0</v>
      </c>
      <c r="AX184" s="113">
        <f t="shared" si="41"/>
        <v>0</v>
      </c>
    </row>
    <row r="185" spans="1:50" x14ac:dyDescent="0.25">
      <c r="A185" s="113">
        <v>182</v>
      </c>
      <c r="B185" s="209"/>
      <c r="C185">
        <f>IFERROR(INDEX($BD$7:$BO$35,MATCH(Ajustes!$E$4:$E$323,$BC$7:$BC$35,0),$C$2:$N$2),1)</f>
        <v>1</v>
      </c>
      <c r="D185" s="113">
        <f>IFERROR(INDEX($BD$7:$BO$35,MATCH(Ajustes!$E$4:$E$323,$BC$7:$BC$35,0),$C$2:$N$2),1)</f>
        <v>1</v>
      </c>
      <c r="E185" s="113">
        <f>IFERROR(INDEX($BD$7:$BO$35,MATCH(Ajustes!$E$4:$E$323,$BC$7:$BC$35,0),$C$2:$N$2),1)</f>
        <v>1</v>
      </c>
      <c r="F185" s="113">
        <f>IFERROR(INDEX($BD$7:$BO$35,MATCH(Ajustes!$E$4:$E$323,$BC$7:$BC$35,0),$C$2:$N$2),1)</f>
        <v>1</v>
      </c>
      <c r="G185" s="113">
        <f>IFERROR(INDEX($BD$7:$BO$35,MATCH(Ajustes!$E$4:$E$323,$BC$7:$BC$35,0),$C$2:$N$2),1)</f>
        <v>1</v>
      </c>
      <c r="H185" s="113">
        <f>IFERROR(INDEX($BD$7:$BO$35,MATCH(Ajustes!$E$4:$E$323,$BC$7:$BC$35,0),$C$2:$N$2),1)</f>
        <v>1</v>
      </c>
      <c r="I185" s="113">
        <f>IFERROR(INDEX($BD$7:$BO$35,MATCH(Ajustes!$E$4:$E$323,$BC$7:$BC$35,0),$C$2:$N$2),1)</f>
        <v>1</v>
      </c>
      <c r="J185" s="113">
        <f>IFERROR(INDEX($BD$7:$BO$35,MATCH(Ajustes!$E$4:$E$323,$BC$7:$BC$35,0),$C$2:$N$2),1)</f>
        <v>1</v>
      </c>
      <c r="K185" s="113">
        <f>IFERROR(INDEX($BD$7:$BO$35,MATCH(Ajustes!$E$4:$E$323,$BC$7:$BC$35,0),$C$2:$N$2),1)</f>
        <v>1</v>
      </c>
      <c r="L185" s="113">
        <f>IFERROR(INDEX($BD$7:$BO$35,MATCH(Ajustes!$E$4:$E$323,$BC$7:$BC$35,0),$C$2:$N$2),1)</f>
        <v>1</v>
      </c>
      <c r="M185" s="113">
        <f>IFERROR(INDEX($BD$7:$BO$35,MATCH(Ajustes!$E$4:$E$323,$BC$7:$BC$35,0),$C$2:$N$2),1)</f>
        <v>1</v>
      </c>
      <c r="N185" s="113">
        <f>IFERROR(INDEX($BD$7:$BO$35,MATCH(Ajustes!$E$4:$E$323,$BC$7:$BC$35,0),$C$2:$N$2),1)</f>
        <v>1</v>
      </c>
      <c r="O185">
        <f>C185*Ajustes!AM185</f>
        <v>0</v>
      </c>
      <c r="P185">
        <f>D185*Ajustes!AN185</f>
        <v>0</v>
      </c>
      <c r="Q185">
        <f>E185*Ajustes!AO185</f>
        <v>0</v>
      </c>
      <c r="R185">
        <f>F185*Ajustes!AP185</f>
        <v>0</v>
      </c>
      <c r="S185">
        <f>G185*Ajustes!AQ185</f>
        <v>0</v>
      </c>
      <c r="T185">
        <f>H185*Ajustes!AR185</f>
        <v>0</v>
      </c>
      <c r="U185">
        <f>I185*Ajustes!AS185</f>
        <v>0</v>
      </c>
      <c r="V185">
        <f>J185*Ajustes!AT185</f>
        <v>0</v>
      </c>
      <c r="W185">
        <f>K185*Ajustes!AU185</f>
        <v>0</v>
      </c>
      <c r="X185">
        <f>L185*Ajustes!AV185</f>
        <v>0</v>
      </c>
      <c r="Y185">
        <f>M185*Ajustes!AW185</f>
        <v>0</v>
      </c>
      <c r="Z185">
        <f>N185*Ajustes!AX185</f>
        <v>0</v>
      </c>
      <c r="AA185">
        <f>IF(Ajustes!$G185&gt;0,INDEX($AA$4:$AL$323,Ajustes!$G185,O$2),0)+IF(Ajustes!$H185&gt;0,INDEX($AA$4:$AL$323,Ajustes!$H185,O$2),0)+IF(Ajustes!$I185&gt;0,INDEX($AA$4:$AL$323,Ajustes!$I185,O$2),0)+IF(Ajustes!$J185&gt;0,INDEX($AA$4:$AL$323,Ajustes!$J185,O$2),0)+IF(Ajustes!$K185&gt;0,INDEX($AA$5:$AL$324,Ajustes!$K185,O$2),0)+IF(Ajustes!$L185&gt;0,INDEX($AA$4:$AL$323,Ajustes!$L185,O$2),0) + O185</f>
        <v>0</v>
      </c>
      <c r="AB185">
        <f>IF(Ajustes!$G185&gt;0,INDEX($AA$4:$AL$323,Ajustes!$G185,P$2),0)+IF(Ajustes!$H185&gt;0,INDEX($AA$4:$AL$323,Ajustes!$H185,P$2),0)+IF(Ajustes!$I185&gt;0,INDEX($AA$4:$AL$323,Ajustes!$I185,P$2),0)+IF(Ajustes!$J185&gt;0,INDEX($AA$4:$AL$323,Ajustes!$J185,P$2),0)+IF(Ajustes!$K185&gt;0,INDEX($AA$5:$AL$324,Ajustes!$K185,P$2),0)+IF(Ajustes!$L185&gt;0,INDEX($AA$4:$AL$323,Ajustes!$L185,P$2),0) + P185</f>
        <v>0</v>
      </c>
      <c r="AC185">
        <f>IF(Ajustes!$G185&gt;0,INDEX($AA$4:$AL$323,Ajustes!$G185,Q$2),0)+IF(Ajustes!$H185&gt;0,INDEX($AA$4:$AL$323,Ajustes!$H185,Q$2),0)+IF(Ajustes!$I185&gt;0,INDEX($AA$4:$AL$323,Ajustes!$I185,Q$2),0)+IF(Ajustes!$J185&gt;0,INDEX($AA$4:$AL$323,Ajustes!$J185,Q$2),0)+IF(Ajustes!$K185&gt;0,INDEX($AA$5:$AL$324,Ajustes!$K185,Q$2),0)+IF(Ajustes!$L185&gt;0,INDEX($AA$4:$AL$323,Ajustes!$L185,Q$2),0) + Q185</f>
        <v>0</v>
      </c>
      <c r="AD185">
        <f>IF(Ajustes!$G185&gt;0,INDEX($AA$4:$AL$323,Ajustes!$G185,R$2),0)+IF(Ajustes!$H185&gt;0,INDEX($AA$4:$AL$323,Ajustes!$H185,R$2),0)+IF(Ajustes!$I185&gt;0,INDEX($AA$4:$AL$323,Ajustes!$I185,R$2),0)+IF(Ajustes!$J185&gt;0,INDEX($AA$4:$AL$323,Ajustes!$J185,R$2),0)+IF(Ajustes!$K185&gt;0,INDEX($AA$5:$AL$324,Ajustes!$K185,R$2),0)+IF(Ajustes!$L185&gt;0,INDEX($AA$4:$AL$323,Ajustes!$L185,R$2),0) + R185</f>
        <v>0</v>
      </c>
      <c r="AE185">
        <f>IF(Ajustes!$G185&gt;0,INDEX($AA$4:$AL$323,Ajustes!$G185,S$2),0)+IF(Ajustes!$H185&gt;0,INDEX($AA$4:$AL$323,Ajustes!$H185,S$2),0)+IF(Ajustes!$I185&gt;0,INDEX($AA$4:$AL$323,Ajustes!$I185,S$2),0)+IF(Ajustes!$J185&gt;0,INDEX($AA$4:$AL$323,Ajustes!$J185,S$2),0)+IF(Ajustes!$K185&gt;0,INDEX($AA$5:$AL$324,Ajustes!$K185,S$2),0)+IF(Ajustes!$L185&gt;0,INDEX($AA$4:$AL$323,Ajustes!$L185,S$2),0) + S185</f>
        <v>0</v>
      </c>
      <c r="AF185">
        <f>IF(Ajustes!$G185&gt;0,INDEX($AA$4:$AL$323,Ajustes!$G185,T$2),0)+IF(Ajustes!$H185&gt;0,INDEX($AA$4:$AL$323,Ajustes!$H185,T$2),0)+IF(Ajustes!$I185&gt;0,INDEX($AA$4:$AL$323,Ajustes!$I185,T$2),0)+IF(Ajustes!$J185&gt;0,INDEX($AA$4:$AL$323,Ajustes!$J185,T$2),0)+IF(Ajustes!$K185&gt;0,INDEX($AA$5:$AL$324,Ajustes!$K185,T$2),0)+IF(Ajustes!$L185&gt;0,INDEX($AA$4:$AL$323,Ajustes!$L185,T$2),0) + T185</f>
        <v>0</v>
      </c>
      <c r="AG185">
        <f>IF(Ajustes!$G185&gt;0,INDEX($AA$4:$AL$323,Ajustes!$G185,U$2),0)+IF(Ajustes!$H185&gt;0,INDEX($AA$4:$AL$323,Ajustes!$H185,U$2),0)+IF(Ajustes!$I185&gt;0,INDEX($AA$4:$AL$323,Ajustes!$I185,U$2),0)+IF(Ajustes!$J185&gt;0,INDEX($AA$4:$AL$323,Ajustes!$J185,U$2),0)+IF(Ajustes!$K185&gt;0,INDEX($AA$5:$AL$324,Ajustes!$K185,U$2),0)+IF(Ajustes!$L185&gt;0,INDEX($AA$4:$AL$323,Ajustes!$L185,U$2),0) + U185</f>
        <v>0</v>
      </c>
      <c r="AH185">
        <f>IF(Ajustes!$G185&gt;0,INDEX($AA$4:$AL$323,Ajustes!$G185,V$2),0)+IF(Ajustes!$H185&gt;0,INDEX($AA$4:$AL$323,Ajustes!$H185,V$2),0)+IF(Ajustes!$I185&gt;0,INDEX($AA$4:$AL$323,Ajustes!$I185,V$2),0)+IF(Ajustes!$J185&gt;0,INDEX($AA$4:$AL$323,Ajustes!$J185,V$2),0)+IF(Ajustes!$K185&gt;0,INDEX($AA$5:$AL$324,Ajustes!$K185,V$2),0)+IF(Ajustes!$L185&gt;0,INDEX($AA$4:$AL$323,Ajustes!$L185,V$2),0) + V185</f>
        <v>0</v>
      </c>
      <c r="AI185">
        <f>IF(Ajustes!$G185&gt;0,INDEX($AA$4:$AL$323,Ajustes!$G185,W$2),0)+IF(Ajustes!$H185&gt;0,INDEX($AA$4:$AL$323,Ajustes!$H185,W$2),0)+IF(Ajustes!$I185&gt;0,INDEX($AA$4:$AL$323,Ajustes!$I185,W$2),0)+IF(Ajustes!$J185&gt;0,INDEX($AA$4:$AL$323,Ajustes!$J185,W$2),0)+IF(Ajustes!$K185&gt;0,INDEX($AA$5:$AL$324,Ajustes!$K185,W$2),0)+IF(Ajustes!$L185&gt;0,INDEX($AA$4:$AL$323,Ajustes!$L185,W$2),0) + W185</f>
        <v>0</v>
      </c>
      <c r="AJ185">
        <f>IF(Ajustes!$G185&gt;0,INDEX($AA$4:$AL$323,Ajustes!$G185,X$2),0)+IF(Ajustes!$H185&gt;0,INDEX($AA$4:$AL$323,Ajustes!$H185,X$2),0)+IF(Ajustes!$I185&gt;0,INDEX($AA$4:$AL$323,Ajustes!$I185,X$2),0)+IF(Ajustes!$J185&gt;0,INDEX($AA$4:$AL$323,Ajustes!$J185,X$2),0)+IF(Ajustes!$K185&gt;0,INDEX($AA$5:$AL$324,Ajustes!$K185,X$2),0)+IF(Ajustes!$L185&gt;0,INDEX($AA$4:$AL$323,Ajustes!$L185,X$2),0) + X185</f>
        <v>0</v>
      </c>
      <c r="AK185">
        <f>IF(Ajustes!$G185&gt;0,INDEX($AA$4:$AL$323,Ajustes!$G185,Y$2),0)+IF(Ajustes!$H185&gt;0,INDEX($AA$4:$AL$323,Ajustes!$H185,Y$2),0)+IF(Ajustes!$I185&gt;0,INDEX($AA$4:$AL$323,Ajustes!$I185,Y$2),0)+IF(Ajustes!$J185&gt;0,INDEX($AA$4:$AL$323,Ajustes!$J185,Y$2),0)+IF(Ajustes!$K185&gt;0,INDEX($AA$5:$AL$324,Ajustes!$K185,Y$2),0)+IF(Ajustes!$L185&gt;0,INDEX($AA$4:$AL$323,Ajustes!$L185,Y$2),0) + Y185</f>
        <v>0</v>
      </c>
      <c r="AL185">
        <f>IF(Ajustes!$G185&gt;0,INDEX($AA$4:$AL$323,Ajustes!$G185,Z$2),0)+IF(Ajustes!$H185&gt;0,INDEX($AA$4:$AL$323,Ajustes!$H185,Z$2),0)+IF(Ajustes!$I185&gt;0,INDEX($AA$4:$AL$323,Ajustes!$I185,Z$2),0)+IF(Ajustes!$J185&gt;0,INDEX($AA$4:$AL$323,Ajustes!$J185,Z$2),0)+IF(Ajustes!$K185&gt;0,INDEX($AA$5:$AL$324,Ajustes!$K185,Z$2),0)+IF(Ajustes!$L185&gt;0,INDEX($AA$4:$AL$323,Ajustes!$L185,Z$2),0) + Z185</f>
        <v>0</v>
      </c>
      <c r="AM185" s="113">
        <f t="shared" si="39"/>
        <v>0</v>
      </c>
      <c r="AN185" s="113">
        <f t="shared" si="39"/>
        <v>0</v>
      </c>
      <c r="AO185" s="113">
        <f t="shared" si="39"/>
        <v>0</v>
      </c>
      <c r="AP185" s="113">
        <f t="shared" si="39"/>
        <v>0</v>
      </c>
      <c r="AQ185" s="113">
        <f t="shared" si="42"/>
        <v>0</v>
      </c>
      <c r="AR185" s="113">
        <f t="shared" si="40"/>
        <v>0</v>
      </c>
      <c r="AS185" s="113">
        <f t="shared" si="40"/>
        <v>0</v>
      </c>
      <c r="AT185" s="113">
        <f t="shared" si="40"/>
        <v>0</v>
      </c>
      <c r="AU185" s="113">
        <f t="shared" si="40"/>
        <v>0</v>
      </c>
      <c r="AV185" s="113">
        <f t="shared" si="43"/>
        <v>0</v>
      </c>
      <c r="AW185" s="113">
        <f t="shared" si="41"/>
        <v>0</v>
      </c>
      <c r="AX185" s="113">
        <f t="shared" si="41"/>
        <v>0</v>
      </c>
    </row>
    <row r="186" spans="1:50" x14ac:dyDescent="0.25">
      <c r="A186" s="113">
        <v>183</v>
      </c>
      <c r="B186" s="209" t="s">
        <v>623</v>
      </c>
      <c r="C186">
        <f>IFERROR(INDEX($BD$7:$BO$35,MATCH(Ajustes!$E$4:$E$323,$BC$7:$BC$35,0),$C$2:$N$2),1)</f>
        <v>1</v>
      </c>
      <c r="D186" s="113">
        <f>IFERROR(INDEX($BD$7:$BO$35,MATCH(Ajustes!$E$4:$E$323,$BC$7:$BC$35,0),$C$2:$N$2),1)</f>
        <v>1</v>
      </c>
      <c r="E186" s="113">
        <f>IFERROR(INDEX($BD$7:$BO$35,MATCH(Ajustes!$E$4:$E$323,$BC$7:$BC$35,0),$C$2:$N$2),1)</f>
        <v>1</v>
      </c>
      <c r="F186" s="113">
        <f>IFERROR(INDEX($BD$7:$BO$35,MATCH(Ajustes!$E$4:$E$323,$BC$7:$BC$35,0),$C$2:$N$2),1)</f>
        <v>1</v>
      </c>
      <c r="G186" s="113">
        <f>IFERROR(INDEX($BD$7:$BO$35,MATCH(Ajustes!$E$4:$E$323,$BC$7:$BC$35,0),$C$2:$N$2),1)</f>
        <v>1</v>
      </c>
      <c r="H186" s="113">
        <f>IFERROR(INDEX($BD$7:$BO$35,MATCH(Ajustes!$E$4:$E$323,$BC$7:$BC$35,0),$C$2:$N$2),1)</f>
        <v>1</v>
      </c>
      <c r="I186" s="113">
        <f>IFERROR(INDEX($BD$7:$BO$35,MATCH(Ajustes!$E$4:$E$323,$BC$7:$BC$35,0),$C$2:$N$2),1)</f>
        <v>1</v>
      </c>
      <c r="J186" s="113">
        <f>IFERROR(INDEX($BD$7:$BO$35,MATCH(Ajustes!$E$4:$E$323,$BC$7:$BC$35,0),$C$2:$N$2),1)</f>
        <v>1</v>
      </c>
      <c r="K186" s="113">
        <f>IFERROR(INDEX($BD$7:$BO$35,MATCH(Ajustes!$E$4:$E$323,$BC$7:$BC$35,0),$C$2:$N$2),1)</f>
        <v>1</v>
      </c>
      <c r="L186" s="113">
        <f>IFERROR(INDEX($BD$7:$BO$35,MATCH(Ajustes!$E$4:$E$323,$BC$7:$BC$35,0),$C$2:$N$2),1)</f>
        <v>1</v>
      </c>
      <c r="M186" s="113">
        <f>IFERROR(INDEX($BD$7:$BO$35,MATCH(Ajustes!$E$4:$E$323,$BC$7:$BC$35,0),$C$2:$N$2),1)</f>
        <v>1</v>
      </c>
      <c r="N186" s="113">
        <f>IFERROR(INDEX($BD$7:$BO$35,MATCH(Ajustes!$E$4:$E$323,$BC$7:$BC$35,0),$C$2:$N$2),1)</f>
        <v>1</v>
      </c>
      <c r="O186">
        <f>C186*Ajustes!AM186</f>
        <v>15</v>
      </c>
      <c r="P186">
        <f>D186*Ajustes!AN186</f>
        <v>11</v>
      </c>
      <c r="Q186">
        <f>E186*Ajustes!AO186</f>
        <v>10</v>
      </c>
      <c r="R186">
        <f>F186*Ajustes!AP186</f>
        <v>7</v>
      </c>
      <c r="S186">
        <f>G186*Ajustes!AQ186</f>
        <v>5</v>
      </c>
      <c r="T186">
        <f>H186*Ajustes!AR186</f>
        <v>4</v>
      </c>
      <c r="U186">
        <f>I186*Ajustes!AS186</f>
        <v>4</v>
      </c>
      <c r="V186">
        <f>J186*Ajustes!AT186</f>
        <v>4</v>
      </c>
      <c r="W186">
        <f>K186*Ajustes!AU186</f>
        <v>4</v>
      </c>
      <c r="X186">
        <f>L186*Ajustes!AV186</f>
        <v>5</v>
      </c>
      <c r="Y186">
        <f>M186*Ajustes!AW186</f>
        <v>7</v>
      </c>
      <c r="Z186">
        <f>N186*Ajustes!AX186</f>
        <v>12</v>
      </c>
      <c r="AA186">
        <f>IF(Ajustes!$G186&gt;0,INDEX($AA$4:$AL$323,Ajustes!$G186,O$2),0)+IF(Ajustes!$H186&gt;0,INDEX($AA$4:$AL$323,Ajustes!$H186,O$2),0)+IF(Ajustes!$I186&gt;0,INDEX($AA$4:$AL$323,Ajustes!$I186,O$2),0)+IF(Ajustes!$J186&gt;0,INDEX($AA$4:$AL$323,Ajustes!$J186,O$2),0)+IF(Ajustes!$K186&gt;0,INDEX($AA$5:$AL$324,Ajustes!$K186,O$2),0)+IF(Ajustes!$L186&gt;0,INDEX($AA$4:$AL$323,Ajustes!$L186,O$2),0) + O186</f>
        <v>168</v>
      </c>
      <c r="AB186">
        <f>IF(Ajustes!$G186&gt;0,INDEX($AA$4:$AL$323,Ajustes!$G186,P$2),0)+IF(Ajustes!$H186&gt;0,INDEX($AA$4:$AL$323,Ajustes!$H186,P$2),0)+IF(Ajustes!$I186&gt;0,INDEX($AA$4:$AL$323,Ajustes!$I186,P$2),0)+IF(Ajustes!$J186&gt;0,INDEX($AA$4:$AL$323,Ajustes!$J186,P$2),0)+IF(Ajustes!$K186&gt;0,INDEX($AA$5:$AL$324,Ajustes!$K186,P$2),0)+IF(Ajustes!$L186&gt;0,INDEX($AA$4:$AL$323,Ajustes!$L186,P$2),0) + P186</f>
        <v>128</v>
      </c>
      <c r="AC186">
        <f>IF(Ajustes!$G186&gt;0,INDEX($AA$4:$AL$323,Ajustes!$G186,Q$2),0)+IF(Ajustes!$H186&gt;0,INDEX($AA$4:$AL$323,Ajustes!$H186,Q$2),0)+IF(Ajustes!$I186&gt;0,INDEX($AA$4:$AL$323,Ajustes!$I186,Q$2),0)+IF(Ajustes!$J186&gt;0,INDEX($AA$4:$AL$323,Ajustes!$J186,Q$2),0)+IF(Ajustes!$K186&gt;0,INDEX($AA$5:$AL$324,Ajustes!$K186,Q$2),0)+IF(Ajustes!$L186&gt;0,INDEX($AA$4:$AL$323,Ajustes!$L186,Q$2),0) + Q186</f>
        <v>115</v>
      </c>
      <c r="AD186">
        <f>IF(Ajustes!$G186&gt;0,INDEX($AA$4:$AL$323,Ajustes!$G186,R$2),0)+IF(Ajustes!$H186&gt;0,INDEX($AA$4:$AL$323,Ajustes!$H186,R$2),0)+IF(Ajustes!$I186&gt;0,INDEX($AA$4:$AL$323,Ajustes!$I186,R$2),0)+IF(Ajustes!$J186&gt;0,INDEX($AA$4:$AL$323,Ajustes!$J186,R$2),0)+IF(Ajustes!$K186&gt;0,INDEX($AA$5:$AL$324,Ajustes!$K186,R$2),0)+IF(Ajustes!$L186&gt;0,INDEX($AA$4:$AL$323,Ajustes!$L186,R$2),0) + R186</f>
        <v>83</v>
      </c>
      <c r="AE186">
        <f>IF(Ajustes!$G186&gt;0,INDEX($AA$4:$AL$323,Ajustes!$G186,S$2),0)+IF(Ajustes!$H186&gt;0,INDEX($AA$4:$AL$323,Ajustes!$H186,S$2),0)+IF(Ajustes!$I186&gt;0,INDEX($AA$4:$AL$323,Ajustes!$I186,S$2),0)+IF(Ajustes!$J186&gt;0,INDEX($AA$4:$AL$323,Ajustes!$J186,S$2),0)+IF(Ajustes!$K186&gt;0,INDEX($AA$5:$AL$324,Ajustes!$K186,S$2),0)+IF(Ajustes!$L186&gt;0,INDEX($AA$4:$AL$323,Ajustes!$L186,S$2),0) + S186</f>
        <v>62</v>
      </c>
      <c r="AF186">
        <f>IF(Ajustes!$G186&gt;0,INDEX($AA$4:$AL$323,Ajustes!$G186,T$2),0)+IF(Ajustes!$H186&gt;0,INDEX($AA$4:$AL$323,Ajustes!$H186,T$2),0)+IF(Ajustes!$I186&gt;0,INDEX($AA$4:$AL$323,Ajustes!$I186,T$2),0)+IF(Ajustes!$J186&gt;0,INDEX($AA$4:$AL$323,Ajustes!$J186,T$2),0)+IF(Ajustes!$K186&gt;0,INDEX($AA$5:$AL$324,Ajustes!$K186,T$2),0)+IF(Ajustes!$L186&gt;0,INDEX($AA$4:$AL$323,Ajustes!$L186,T$2),0) + T186</f>
        <v>53</v>
      </c>
      <c r="AG186">
        <f>IF(Ajustes!$G186&gt;0,INDEX($AA$4:$AL$323,Ajustes!$G186,U$2),0)+IF(Ajustes!$H186&gt;0,INDEX($AA$4:$AL$323,Ajustes!$H186,U$2),0)+IF(Ajustes!$I186&gt;0,INDEX($AA$4:$AL$323,Ajustes!$I186,U$2),0)+IF(Ajustes!$J186&gt;0,INDEX($AA$4:$AL$323,Ajustes!$J186,U$2),0)+IF(Ajustes!$K186&gt;0,INDEX($AA$5:$AL$324,Ajustes!$K186,U$2),0)+IF(Ajustes!$L186&gt;0,INDEX($AA$4:$AL$323,Ajustes!$L186,U$2),0) + U186</f>
        <v>47</v>
      </c>
      <c r="AH186">
        <f>IF(Ajustes!$G186&gt;0,INDEX($AA$4:$AL$323,Ajustes!$G186,V$2),0)+IF(Ajustes!$H186&gt;0,INDEX($AA$4:$AL$323,Ajustes!$H186,V$2),0)+IF(Ajustes!$I186&gt;0,INDEX($AA$4:$AL$323,Ajustes!$I186,V$2),0)+IF(Ajustes!$J186&gt;0,INDEX($AA$4:$AL$323,Ajustes!$J186,V$2),0)+IF(Ajustes!$K186&gt;0,INDEX($AA$5:$AL$324,Ajustes!$K186,V$2),0)+IF(Ajustes!$L186&gt;0,INDEX($AA$4:$AL$323,Ajustes!$L186,V$2),0) + V186</f>
        <v>42</v>
      </c>
      <c r="AI186">
        <f>IF(Ajustes!$G186&gt;0,INDEX($AA$4:$AL$323,Ajustes!$G186,W$2),0)+IF(Ajustes!$H186&gt;0,INDEX($AA$4:$AL$323,Ajustes!$H186,W$2),0)+IF(Ajustes!$I186&gt;0,INDEX($AA$4:$AL$323,Ajustes!$I186,W$2),0)+IF(Ajustes!$J186&gt;0,INDEX($AA$4:$AL$323,Ajustes!$J186,W$2),0)+IF(Ajustes!$K186&gt;0,INDEX($AA$5:$AL$324,Ajustes!$K186,W$2),0)+IF(Ajustes!$L186&gt;0,INDEX($AA$4:$AL$323,Ajustes!$L186,W$2),0) + W186</f>
        <v>42</v>
      </c>
      <c r="AJ186">
        <f>IF(Ajustes!$G186&gt;0,INDEX($AA$4:$AL$323,Ajustes!$G186,X$2),0)+IF(Ajustes!$H186&gt;0,INDEX($AA$4:$AL$323,Ajustes!$H186,X$2),0)+IF(Ajustes!$I186&gt;0,INDEX($AA$4:$AL$323,Ajustes!$I186,X$2),0)+IF(Ajustes!$J186&gt;0,INDEX($AA$4:$AL$323,Ajustes!$J186,X$2),0)+IF(Ajustes!$K186&gt;0,INDEX($AA$5:$AL$324,Ajustes!$K186,X$2),0)+IF(Ajustes!$L186&gt;0,INDEX($AA$4:$AL$323,Ajustes!$L186,X$2),0) + X186</f>
        <v>53</v>
      </c>
      <c r="AK186">
        <f>IF(Ajustes!$G186&gt;0,INDEX($AA$4:$AL$323,Ajustes!$G186,Y$2),0)+IF(Ajustes!$H186&gt;0,INDEX($AA$4:$AL$323,Ajustes!$H186,Y$2),0)+IF(Ajustes!$I186&gt;0,INDEX($AA$4:$AL$323,Ajustes!$I186,Y$2),0)+IF(Ajustes!$J186&gt;0,INDEX($AA$4:$AL$323,Ajustes!$J186,Y$2),0)+IF(Ajustes!$K186&gt;0,INDEX($AA$5:$AL$324,Ajustes!$K186,Y$2),0)+IF(Ajustes!$L186&gt;0,INDEX($AA$4:$AL$323,Ajustes!$L186,Y$2),0) + Y186</f>
        <v>86</v>
      </c>
      <c r="AL186">
        <f>IF(Ajustes!$G186&gt;0,INDEX($AA$4:$AL$323,Ajustes!$G186,Z$2),0)+IF(Ajustes!$H186&gt;0,INDEX($AA$4:$AL$323,Ajustes!$H186,Z$2),0)+IF(Ajustes!$I186&gt;0,INDEX($AA$4:$AL$323,Ajustes!$I186,Z$2),0)+IF(Ajustes!$J186&gt;0,INDEX($AA$4:$AL$323,Ajustes!$J186,Z$2),0)+IF(Ajustes!$K186&gt;0,INDEX($AA$5:$AL$324,Ajustes!$K186,Z$2),0)+IF(Ajustes!$L186&gt;0,INDEX($AA$4:$AL$323,Ajustes!$L186,Z$2),0) + Z186</f>
        <v>143</v>
      </c>
      <c r="AM186" s="113">
        <f t="shared" si="39"/>
        <v>168</v>
      </c>
      <c r="AN186" s="113">
        <f t="shared" si="39"/>
        <v>128</v>
      </c>
      <c r="AO186" s="113">
        <f t="shared" si="39"/>
        <v>115</v>
      </c>
      <c r="AP186" s="113">
        <f t="shared" si="39"/>
        <v>83</v>
      </c>
      <c r="AQ186" s="113">
        <f t="shared" si="42"/>
        <v>62</v>
      </c>
      <c r="AR186" s="113">
        <f t="shared" si="40"/>
        <v>53</v>
      </c>
      <c r="AS186" s="113">
        <f t="shared" si="40"/>
        <v>47</v>
      </c>
      <c r="AT186" s="113">
        <f t="shared" si="40"/>
        <v>42</v>
      </c>
      <c r="AU186" s="113">
        <f t="shared" si="40"/>
        <v>42</v>
      </c>
      <c r="AV186" s="113">
        <f t="shared" si="43"/>
        <v>53</v>
      </c>
      <c r="AW186" s="113">
        <f t="shared" si="41"/>
        <v>86</v>
      </c>
      <c r="AX186" s="113">
        <f t="shared" si="41"/>
        <v>143</v>
      </c>
    </row>
    <row r="187" spans="1:50" x14ac:dyDescent="0.25">
      <c r="A187" s="113">
        <v>184</v>
      </c>
      <c r="B187" s="209"/>
      <c r="C187">
        <f>IFERROR(INDEX($BD$7:$BO$35,MATCH(Ajustes!$E$4:$E$323,$BC$7:$BC$35,0),$C$2:$N$2),1)</f>
        <v>1</v>
      </c>
      <c r="D187" s="113">
        <f>IFERROR(INDEX($BD$7:$BO$35,MATCH(Ajustes!$E$4:$E$323,$BC$7:$BC$35,0),$C$2:$N$2),1)</f>
        <v>1</v>
      </c>
      <c r="E187" s="113">
        <f>IFERROR(INDEX($BD$7:$BO$35,MATCH(Ajustes!$E$4:$E$323,$BC$7:$BC$35,0),$C$2:$N$2),1)</f>
        <v>1</v>
      </c>
      <c r="F187" s="113">
        <f>IFERROR(INDEX($BD$7:$BO$35,MATCH(Ajustes!$E$4:$E$323,$BC$7:$BC$35,0),$C$2:$N$2),1)</f>
        <v>1</v>
      </c>
      <c r="G187" s="113">
        <f>IFERROR(INDEX($BD$7:$BO$35,MATCH(Ajustes!$E$4:$E$323,$BC$7:$BC$35,0),$C$2:$N$2),1)</f>
        <v>1</v>
      </c>
      <c r="H187" s="113">
        <f>IFERROR(INDEX($BD$7:$BO$35,MATCH(Ajustes!$E$4:$E$323,$BC$7:$BC$35,0),$C$2:$N$2),1)</f>
        <v>1</v>
      </c>
      <c r="I187" s="113">
        <f>IFERROR(INDEX($BD$7:$BO$35,MATCH(Ajustes!$E$4:$E$323,$BC$7:$BC$35,0),$C$2:$N$2),1)</f>
        <v>1</v>
      </c>
      <c r="J187" s="113">
        <f>IFERROR(INDEX($BD$7:$BO$35,MATCH(Ajustes!$E$4:$E$323,$BC$7:$BC$35,0),$C$2:$N$2),1)</f>
        <v>1</v>
      </c>
      <c r="K187" s="113">
        <f>IFERROR(INDEX($BD$7:$BO$35,MATCH(Ajustes!$E$4:$E$323,$BC$7:$BC$35,0),$C$2:$N$2),1)</f>
        <v>1</v>
      </c>
      <c r="L187" s="113">
        <f>IFERROR(INDEX($BD$7:$BO$35,MATCH(Ajustes!$E$4:$E$323,$BC$7:$BC$35,0),$C$2:$N$2),1)</f>
        <v>1</v>
      </c>
      <c r="M187" s="113">
        <f>IFERROR(INDEX($BD$7:$BO$35,MATCH(Ajustes!$E$4:$E$323,$BC$7:$BC$35,0),$C$2:$N$2),1)</f>
        <v>1</v>
      </c>
      <c r="N187" s="113">
        <f>IFERROR(INDEX($BD$7:$BO$35,MATCH(Ajustes!$E$4:$E$323,$BC$7:$BC$35,0),$C$2:$N$2),1)</f>
        <v>1</v>
      </c>
      <c r="O187">
        <f>C187*Ajustes!AM187</f>
        <v>0</v>
      </c>
      <c r="P187">
        <f>D187*Ajustes!AN187</f>
        <v>0</v>
      </c>
      <c r="Q187">
        <f>E187*Ajustes!AO187</f>
        <v>0</v>
      </c>
      <c r="R187">
        <f>F187*Ajustes!AP187</f>
        <v>0</v>
      </c>
      <c r="S187">
        <f>G187*Ajustes!AQ187</f>
        <v>0</v>
      </c>
      <c r="T187">
        <f>H187*Ajustes!AR187</f>
        <v>0</v>
      </c>
      <c r="U187">
        <f>I187*Ajustes!AS187</f>
        <v>0</v>
      </c>
      <c r="V187">
        <f>J187*Ajustes!AT187</f>
        <v>0</v>
      </c>
      <c r="W187">
        <f>K187*Ajustes!AU187</f>
        <v>0</v>
      </c>
      <c r="X187">
        <f>L187*Ajustes!AV187</f>
        <v>0</v>
      </c>
      <c r="Y187">
        <f>M187*Ajustes!AW187</f>
        <v>0</v>
      </c>
      <c r="Z187">
        <f>N187*Ajustes!AX187</f>
        <v>0</v>
      </c>
      <c r="AA187">
        <f>IF(Ajustes!$G187&gt;0,INDEX($AA$4:$AL$323,Ajustes!$G187,O$2),0)+IF(Ajustes!$H187&gt;0,INDEX($AA$4:$AL$323,Ajustes!$H187,O$2),0)+IF(Ajustes!$I187&gt;0,INDEX($AA$4:$AL$323,Ajustes!$I187,O$2),0)+IF(Ajustes!$J187&gt;0,INDEX($AA$4:$AL$323,Ajustes!$J187,O$2),0)+IF(Ajustes!$K187&gt;0,INDEX($AA$5:$AL$324,Ajustes!$K187,O$2),0)+IF(Ajustes!$L187&gt;0,INDEX($AA$4:$AL$323,Ajustes!$L187,O$2),0) + O187</f>
        <v>0</v>
      </c>
      <c r="AB187">
        <f>IF(Ajustes!$G187&gt;0,INDEX($AA$4:$AL$323,Ajustes!$G187,P$2),0)+IF(Ajustes!$H187&gt;0,INDEX($AA$4:$AL$323,Ajustes!$H187,P$2),0)+IF(Ajustes!$I187&gt;0,INDEX($AA$4:$AL$323,Ajustes!$I187,P$2),0)+IF(Ajustes!$J187&gt;0,INDEX($AA$4:$AL$323,Ajustes!$J187,P$2),0)+IF(Ajustes!$K187&gt;0,INDEX($AA$5:$AL$324,Ajustes!$K187,P$2),0)+IF(Ajustes!$L187&gt;0,INDEX($AA$4:$AL$323,Ajustes!$L187,P$2),0) + P187</f>
        <v>0</v>
      </c>
      <c r="AC187">
        <f>IF(Ajustes!$G187&gt;0,INDEX($AA$4:$AL$323,Ajustes!$G187,Q$2),0)+IF(Ajustes!$H187&gt;0,INDEX($AA$4:$AL$323,Ajustes!$H187,Q$2),0)+IF(Ajustes!$I187&gt;0,INDEX($AA$4:$AL$323,Ajustes!$I187,Q$2),0)+IF(Ajustes!$J187&gt;0,INDEX($AA$4:$AL$323,Ajustes!$J187,Q$2),0)+IF(Ajustes!$K187&gt;0,INDEX($AA$5:$AL$324,Ajustes!$K187,Q$2),0)+IF(Ajustes!$L187&gt;0,INDEX($AA$4:$AL$323,Ajustes!$L187,Q$2),0) + Q187</f>
        <v>0</v>
      </c>
      <c r="AD187">
        <f>IF(Ajustes!$G187&gt;0,INDEX($AA$4:$AL$323,Ajustes!$G187,R$2),0)+IF(Ajustes!$H187&gt;0,INDEX($AA$4:$AL$323,Ajustes!$H187,R$2),0)+IF(Ajustes!$I187&gt;0,INDEX($AA$4:$AL$323,Ajustes!$I187,R$2),0)+IF(Ajustes!$J187&gt;0,INDEX($AA$4:$AL$323,Ajustes!$J187,R$2),0)+IF(Ajustes!$K187&gt;0,INDEX($AA$5:$AL$324,Ajustes!$K187,R$2),0)+IF(Ajustes!$L187&gt;0,INDEX($AA$4:$AL$323,Ajustes!$L187,R$2),0) + R187</f>
        <v>0</v>
      </c>
      <c r="AE187">
        <f>IF(Ajustes!$G187&gt;0,INDEX($AA$4:$AL$323,Ajustes!$G187,S$2),0)+IF(Ajustes!$H187&gt;0,INDEX($AA$4:$AL$323,Ajustes!$H187,S$2),0)+IF(Ajustes!$I187&gt;0,INDEX($AA$4:$AL$323,Ajustes!$I187,S$2),0)+IF(Ajustes!$J187&gt;0,INDEX($AA$4:$AL$323,Ajustes!$J187,S$2),0)+IF(Ajustes!$K187&gt;0,INDEX($AA$5:$AL$324,Ajustes!$K187,S$2),0)+IF(Ajustes!$L187&gt;0,INDEX($AA$4:$AL$323,Ajustes!$L187,S$2),0) + S187</f>
        <v>0</v>
      </c>
      <c r="AF187">
        <f>IF(Ajustes!$G187&gt;0,INDEX($AA$4:$AL$323,Ajustes!$G187,T$2),0)+IF(Ajustes!$H187&gt;0,INDEX($AA$4:$AL$323,Ajustes!$H187,T$2),0)+IF(Ajustes!$I187&gt;0,INDEX($AA$4:$AL$323,Ajustes!$I187,T$2),0)+IF(Ajustes!$J187&gt;0,INDEX($AA$4:$AL$323,Ajustes!$J187,T$2),0)+IF(Ajustes!$K187&gt;0,INDEX($AA$5:$AL$324,Ajustes!$K187,T$2),0)+IF(Ajustes!$L187&gt;0,INDEX($AA$4:$AL$323,Ajustes!$L187,T$2),0) + T187</f>
        <v>0</v>
      </c>
      <c r="AG187">
        <f>IF(Ajustes!$G187&gt;0,INDEX($AA$4:$AL$323,Ajustes!$G187,U$2),0)+IF(Ajustes!$H187&gt;0,INDEX($AA$4:$AL$323,Ajustes!$H187,U$2),0)+IF(Ajustes!$I187&gt;0,INDEX($AA$4:$AL$323,Ajustes!$I187,U$2),0)+IF(Ajustes!$J187&gt;0,INDEX($AA$4:$AL$323,Ajustes!$J187,U$2),0)+IF(Ajustes!$K187&gt;0,INDEX($AA$5:$AL$324,Ajustes!$K187,U$2),0)+IF(Ajustes!$L187&gt;0,INDEX($AA$4:$AL$323,Ajustes!$L187,U$2),0) + U187</f>
        <v>0</v>
      </c>
      <c r="AH187">
        <f>IF(Ajustes!$G187&gt;0,INDEX($AA$4:$AL$323,Ajustes!$G187,V$2),0)+IF(Ajustes!$H187&gt;0,INDEX($AA$4:$AL$323,Ajustes!$H187,V$2),0)+IF(Ajustes!$I187&gt;0,INDEX($AA$4:$AL$323,Ajustes!$I187,V$2),0)+IF(Ajustes!$J187&gt;0,INDEX($AA$4:$AL$323,Ajustes!$J187,V$2),0)+IF(Ajustes!$K187&gt;0,INDEX($AA$5:$AL$324,Ajustes!$K187,V$2),0)+IF(Ajustes!$L187&gt;0,INDEX($AA$4:$AL$323,Ajustes!$L187,V$2),0) + V187</f>
        <v>0</v>
      </c>
      <c r="AI187">
        <f>IF(Ajustes!$G187&gt;0,INDEX($AA$4:$AL$323,Ajustes!$G187,W$2),0)+IF(Ajustes!$H187&gt;0,INDEX($AA$4:$AL$323,Ajustes!$H187,W$2),0)+IF(Ajustes!$I187&gt;0,INDEX($AA$4:$AL$323,Ajustes!$I187,W$2),0)+IF(Ajustes!$J187&gt;0,INDEX($AA$4:$AL$323,Ajustes!$J187,W$2),0)+IF(Ajustes!$K187&gt;0,INDEX($AA$5:$AL$324,Ajustes!$K187,W$2),0)+IF(Ajustes!$L187&gt;0,INDEX($AA$4:$AL$323,Ajustes!$L187,W$2),0) + W187</f>
        <v>0</v>
      </c>
      <c r="AJ187">
        <f>IF(Ajustes!$G187&gt;0,INDEX($AA$4:$AL$323,Ajustes!$G187,X$2),0)+IF(Ajustes!$H187&gt;0,INDEX($AA$4:$AL$323,Ajustes!$H187,X$2),0)+IF(Ajustes!$I187&gt;0,INDEX($AA$4:$AL$323,Ajustes!$I187,X$2),0)+IF(Ajustes!$J187&gt;0,INDEX($AA$4:$AL$323,Ajustes!$J187,X$2),0)+IF(Ajustes!$K187&gt;0,INDEX($AA$5:$AL$324,Ajustes!$K187,X$2),0)+IF(Ajustes!$L187&gt;0,INDEX($AA$4:$AL$323,Ajustes!$L187,X$2),0) + X187</f>
        <v>0</v>
      </c>
      <c r="AK187">
        <f>IF(Ajustes!$G187&gt;0,INDEX($AA$4:$AL$323,Ajustes!$G187,Y$2),0)+IF(Ajustes!$H187&gt;0,INDEX($AA$4:$AL$323,Ajustes!$H187,Y$2),0)+IF(Ajustes!$I187&gt;0,INDEX($AA$4:$AL$323,Ajustes!$I187,Y$2),0)+IF(Ajustes!$J187&gt;0,INDEX($AA$4:$AL$323,Ajustes!$J187,Y$2),0)+IF(Ajustes!$K187&gt;0,INDEX($AA$5:$AL$324,Ajustes!$K187,Y$2),0)+IF(Ajustes!$L187&gt;0,INDEX($AA$4:$AL$323,Ajustes!$L187,Y$2),0) + Y187</f>
        <v>0</v>
      </c>
      <c r="AL187">
        <f>IF(Ajustes!$G187&gt;0,INDEX($AA$4:$AL$323,Ajustes!$G187,Z$2),0)+IF(Ajustes!$H187&gt;0,INDEX($AA$4:$AL$323,Ajustes!$H187,Z$2),0)+IF(Ajustes!$I187&gt;0,INDEX($AA$4:$AL$323,Ajustes!$I187,Z$2),0)+IF(Ajustes!$J187&gt;0,INDEX($AA$4:$AL$323,Ajustes!$J187,Z$2),0)+IF(Ajustes!$K187&gt;0,INDEX($AA$5:$AL$324,Ajustes!$K187,Z$2),0)+IF(Ajustes!$L187&gt;0,INDEX($AA$4:$AL$323,Ajustes!$L187,Z$2),0) + Z187</f>
        <v>0</v>
      </c>
      <c r="AM187" s="113">
        <f t="shared" si="39"/>
        <v>0</v>
      </c>
      <c r="AN187" s="113">
        <f t="shared" si="39"/>
        <v>0</v>
      </c>
      <c r="AO187" s="113">
        <f t="shared" si="39"/>
        <v>0</v>
      </c>
      <c r="AP187" s="113">
        <f t="shared" si="39"/>
        <v>0</v>
      </c>
      <c r="AQ187" s="113">
        <f t="shared" si="42"/>
        <v>0</v>
      </c>
      <c r="AR187" s="113">
        <f t="shared" si="40"/>
        <v>0</v>
      </c>
      <c r="AS187" s="113">
        <f t="shared" si="40"/>
        <v>0</v>
      </c>
      <c r="AT187" s="113">
        <f t="shared" si="40"/>
        <v>0</v>
      </c>
      <c r="AU187" s="113">
        <f t="shared" si="40"/>
        <v>0</v>
      </c>
      <c r="AV187" s="113">
        <f t="shared" si="43"/>
        <v>0</v>
      </c>
      <c r="AW187" s="113">
        <f t="shared" si="41"/>
        <v>0</v>
      </c>
      <c r="AX187" s="113">
        <f t="shared" si="41"/>
        <v>0</v>
      </c>
    </row>
    <row r="188" spans="1:50" x14ac:dyDescent="0.25">
      <c r="A188" s="113">
        <v>185</v>
      </c>
      <c r="B188" s="209"/>
      <c r="C188">
        <f>IFERROR(INDEX($BD$7:$BO$35,MATCH(Ajustes!$E$4:$E$323,$BC$7:$BC$35,0),$C$2:$N$2),1)</f>
        <v>1</v>
      </c>
      <c r="D188" s="113">
        <f>IFERROR(INDEX($BD$7:$BO$35,MATCH(Ajustes!$E$4:$E$323,$BC$7:$BC$35,0),$C$2:$N$2),1)</f>
        <v>1</v>
      </c>
      <c r="E188" s="113">
        <f>IFERROR(INDEX($BD$7:$BO$35,MATCH(Ajustes!$E$4:$E$323,$BC$7:$BC$35,0),$C$2:$N$2),1)</f>
        <v>1</v>
      </c>
      <c r="F188" s="113">
        <f>IFERROR(INDEX($BD$7:$BO$35,MATCH(Ajustes!$E$4:$E$323,$BC$7:$BC$35,0),$C$2:$N$2),1)</f>
        <v>1</v>
      </c>
      <c r="G188" s="113">
        <f>IFERROR(INDEX($BD$7:$BO$35,MATCH(Ajustes!$E$4:$E$323,$BC$7:$BC$35,0),$C$2:$N$2),1)</f>
        <v>1</v>
      </c>
      <c r="H188" s="113">
        <f>IFERROR(INDEX($BD$7:$BO$35,MATCH(Ajustes!$E$4:$E$323,$BC$7:$BC$35,0),$C$2:$N$2),1)</f>
        <v>1</v>
      </c>
      <c r="I188" s="113">
        <f>IFERROR(INDEX($BD$7:$BO$35,MATCH(Ajustes!$E$4:$E$323,$BC$7:$BC$35,0),$C$2:$N$2),1)</f>
        <v>1</v>
      </c>
      <c r="J188" s="113">
        <f>IFERROR(INDEX($BD$7:$BO$35,MATCH(Ajustes!$E$4:$E$323,$BC$7:$BC$35,0),$C$2:$N$2),1)</f>
        <v>1</v>
      </c>
      <c r="K188" s="113">
        <f>IFERROR(INDEX($BD$7:$BO$35,MATCH(Ajustes!$E$4:$E$323,$BC$7:$BC$35,0),$C$2:$N$2),1)</f>
        <v>1</v>
      </c>
      <c r="L188" s="113">
        <f>IFERROR(INDEX($BD$7:$BO$35,MATCH(Ajustes!$E$4:$E$323,$BC$7:$BC$35,0),$C$2:$N$2),1)</f>
        <v>1</v>
      </c>
      <c r="M188" s="113">
        <f>IFERROR(INDEX($BD$7:$BO$35,MATCH(Ajustes!$E$4:$E$323,$BC$7:$BC$35,0),$C$2:$N$2),1)</f>
        <v>1</v>
      </c>
      <c r="N188" s="113">
        <f>IFERROR(INDEX($BD$7:$BO$35,MATCH(Ajustes!$E$4:$E$323,$BC$7:$BC$35,0),$C$2:$N$2),1)</f>
        <v>1</v>
      </c>
      <c r="O188">
        <f>C188*Ajustes!AM188</f>
        <v>0</v>
      </c>
      <c r="P188">
        <f>D188*Ajustes!AN188</f>
        <v>0</v>
      </c>
      <c r="Q188">
        <f>E188*Ajustes!AO188</f>
        <v>0</v>
      </c>
      <c r="R188">
        <f>F188*Ajustes!AP188</f>
        <v>0</v>
      </c>
      <c r="S188">
        <f>G188*Ajustes!AQ188</f>
        <v>0</v>
      </c>
      <c r="T188">
        <f>H188*Ajustes!AR188</f>
        <v>0</v>
      </c>
      <c r="U188">
        <f>I188*Ajustes!AS188</f>
        <v>0</v>
      </c>
      <c r="V188">
        <f>J188*Ajustes!AT188</f>
        <v>0</v>
      </c>
      <c r="W188">
        <f>K188*Ajustes!AU188</f>
        <v>0</v>
      </c>
      <c r="X188">
        <f>L188*Ajustes!AV188</f>
        <v>0</v>
      </c>
      <c r="Y188">
        <f>M188*Ajustes!AW188</f>
        <v>0</v>
      </c>
      <c r="Z188">
        <f>N188*Ajustes!AX188</f>
        <v>0</v>
      </c>
      <c r="AA188">
        <f>IF(Ajustes!$G188&gt;0,INDEX($AA$4:$AL$323,Ajustes!$G188,O$2),0)+IF(Ajustes!$H188&gt;0,INDEX($AA$4:$AL$323,Ajustes!$H188,O$2),0)+IF(Ajustes!$I188&gt;0,INDEX($AA$4:$AL$323,Ajustes!$I188,O$2),0)+IF(Ajustes!$J188&gt;0,INDEX($AA$4:$AL$323,Ajustes!$J188,O$2),0)+IF(Ajustes!$K188&gt;0,INDEX($AA$5:$AL$324,Ajustes!$K188,O$2),0)+IF(Ajustes!$L188&gt;0,INDEX($AA$4:$AL$323,Ajustes!$L188,O$2),0) + O188</f>
        <v>0</v>
      </c>
      <c r="AB188">
        <f>IF(Ajustes!$G188&gt;0,INDEX($AA$4:$AL$323,Ajustes!$G188,P$2),0)+IF(Ajustes!$H188&gt;0,INDEX($AA$4:$AL$323,Ajustes!$H188,P$2),0)+IF(Ajustes!$I188&gt;0,INDEX($AA$4:$AL$323,Ajustes!$I188,P$2),0)+IF(Ajustes!$J188&gt;0,INDEX($AA$4:$AL$323,Ajustes!$J188,P$2),0)+IF(Ajustes!$K188&gt;0,INDEX($AA$5:$AL$324,Ajustes!$K188,P$2),0)+IF(Ajustes!$L188&gt;0,INDEX($AA$4:$AL$323,Ajustes!$L188,P$2),0) + P188</f>
        <v>0</v>
      </c>
      <c r="AC188">
        <f>IF(Ajustes!$G188&gt;0,INDEX($AA$4:$AL$323,Ajustes!$G188,Q$2),0)+IF(Ajustes!$H188&gt;0,INDEX($AA$4:$AL$323,Ajustes!$H188,Q$2),0)+IF(Ajustes!$I188&gt;0,INDEX($AA$4:$AL$323,Ajustes!$I188,Q$2),0)+IF(Ajustes!$J188&gt;0,INDEX($AA$4:$AL$323,Ajustes!$J188,Q$2),0)+IF(Ajustes!$K188&gt;0,INDEX($AA$5:$AL$324,Ajustes!$K188,Q$2),0)+IF(Ajustes!$L188&gt;0,INDEX($AA$4:$AL$323,Ajustes!$L188,Q$2),0) + Q188</f>
        <v>0</v>
      </c>
      <c r="AD188">
        <f>IF(Ajustes!$G188&gt;0,INDEX($AA$4:$AL$323,Ajustes!$G188,R$2),0)+IF(Ajustes!$H188&gt;0,INDEX($AA$4:$AL$323,Ajustes!$H188,R$2),0)+IF(Ajustes!$I188&gt;0,INDEX($AA$4:$AL$323,Ajustes!$I188,R$2),0)+IF(Ajustes!$J188&gt;0,INDEX($AA$4:$AL$323,Ajustes!$J188,R$2),0)+IF(Ajustes!$K188&gt;0,INDEX($AA$5:$AL$324,Ajustes!$K188,R$2),0)+IF(Ajustes!$L188&gt;0,INDEX($AA$4:$AL$323,Ajustes!$L188,R$2),0) + R188</f>
        <v>0</v>
      </c>
      <c r="AE188">
        <f>IF(Ajustes!$G188&gt;0,INDEX($AA$4:$AL$323,Ajustes!$G188,S$2),0)+IF(Ajustes!$H188&gt;0,INDEX($AA$4:$AL$323,Ajustes!$H188,S$2),0)+IF(Ajustes!$I188&gt;0,INDEX($AA$4:$AL$323,Ajustes!$I188,S$2),0)+IF(Ajustes!$J188&gt;0,INDEX($AA$4:$AL$323,Ajustes!$J188,S$2),0)+IF(Ajustes!$K188&gt;0,INDEX($AA$5:$AL$324,Ajustes!$K188,S$2),0)+IF(Ajustes!$L188&gt;0,INDEX($AA$4:$AL$323,Ajustes!$L188,S$2),0) + S188</f>
        <v>0</v>
      </c>
      <c r="AF188">
        <f>IF(Ajustes!$G188&gt;0,INDEX($AA$4:$AL$323,Ajustes!$G188,T$2),0)+IF(Ajustes!$H188&gt;0,INDEX($AA$4:$AL$323,Ajustes!$H188,T$2),0)+IF(Ajustes!$I188&gt;0,INDEX($AA$4:$AL$323,Ajustes!$I188,T$2),0)+IF(Ajustes!$J188&gt;0,INDEX($AA$4:$AL$323,Ajustes!$J188,T$2),0)+IF(Ajustes!$K188&gt;0,INDEX($AA$5:$AL$324,Ajustes!$K188,T$2),0)+IF(Ajustes!$L188&gt;0,INDEX($AA$4:$AL$323,Ajustes!$L188,T$2),0) + T188</f>
        <v>0</v>
      </c>
      <c r="AG188">
        <f>IF(Ajustes!$G188&gt;0,INDEX($AA$4:$AL$323,Ajustes!$G188,U$2),0)+IF(Ajustes!$H188&gt;0,INDEX($AA$4:$AL$323,Ajustes!$H188,U$2),0)+IF(Ajustes!$I188&gt;0,INDEX($AA$4:$AL$323,Ajustes!$I188,U$2),0)+IF(Ajustes!$J188&gt;0,INDEX($AA$4:$AL$323,Ajustes!$J188,U$2),0)+IF(Ajustes!$K188&gt;0,INDEX($AA$5:$AL$324,Ajustes!$K188,U$2),0)+IF(Ajustes!$L188&gt;0,INDEX($AA$4:$AL$323,Ajustes!$L188,U$2),0) + U188</f>
        <v>0</v>
      </c>
      <c r="AH188">
        <f>IF(Ajustes!$G188&gt;0,INDEX($AA$4:$AL$323,Ajustes!$G188,V$2),0)+IF(Ajustes!$H188&gt;0,INDEX($AA$4:$AL$323,Ajustes!$H188,V$2),0)+IF(Ajustes!$I188&gt;0,INDEX($AA$4:$AL$323,Ajustes!$I188,V$2),0)+IF(Ajustes!$J188&gt;0,INDEX($AA$4:$AL$323,Ajustes!$J188,V$2),0)+IF(Ajustes!$K188&gt;0,INDEX($AA$5:$AL$324,Ajustes!$K188,V$2),0)+IF(Ajustes!$L188&gt;0,INDEX($AA$4:$AL$323,Ajustes!$L188,V$2),0) + V188</f>
        <v>0</v>
      </c>
      <c r="AI188">
        <f>IF(Ajustes!$G188&gt;0,INDEX($AA$4:$AL$323,Ajustes!$G188,W$2),0)+IF(Ajustes!$H188&gt;0,INDEX($AA$4:$AL$323,Ajustes!$H188,W$2),0)+IF(Ajustes!$I188&gt;0,INDEX($AA$4:$AL$323,Ajustes!$I188,W$2),0)+IF(Ajustes!$J188&gt;0,INDEX($AA$4:$AL$323,Ajustes!$J188,W$2),0)+IF(Ajustes!$K188&gt;0,INDEX($AA$5:$AL$324,Ajustes!$K188,W$2),0)+IF(Ajustes!$L188&gt;0,INDEX($AA$4:$AL$323,Ajustes!$L188,W$2),0) + W188</f>
        <v>0</v>
      </c>
      <c r="AJ188">
        <f>IF(Ajustes!$G188&gt;0,INDEX($AA$4:$AL$323,Ajustes!$G188,X$2),0)+IF(Ajustes!$H188&gt;0,INDEX($AA$4:$AL$323,Ajustes!$H188,X$2),0)+IF(Ajustes!$I188&gt;0,INDEX($AA$4:$AL$323,Ajustes!$I188,X$2),0)+IF(Ajustes!$J188&gt;0,INDEX($AA$4:$AL$323,Ajustes!$J188,X$2),0)+IF(Ajustes!$K188&gt;0,INDEX($AA$5:$AL$324,Ajustes!$K188,X$2),0)+IF(Ajustes!$L188&gt;0,INDEX($AA$4:$AL$323,Ajustes!$L188,X$2),0) + X188</f>
        <v>0</v>
      </c>
      <c r="AK188">
        <f>IF(Ajustes!$G188&gt;0,INDEX($AA$4:$AL$323,Ajustes!$G188,Y$2),0)+IF(Ajustes!$H188&gt;0,INDEX($AA$4:$AL$323,Ajustes!$H188,Y$2),0)+IF(Ajustes!$I188&gt;0,INDEX($AA$4:$AL$323,Ajustes!$I188,Y$2),0)+IF(Ajustes!$J188&gt;0,INDEX($AA$4:$AL$323,Ajustes!$J188,Y$2),0)+IF(Ajustes!$K188&gt;0,INDEX($AA$5:$AL$324,Ajustes!$K188,Y$2),0)+IF(Ajustes!$L188&gt;0,INDEX($AA$4:$AL$323,Ajustes!$L188,Y$2),0) + Y188</f>
        <v>0</v>
      </c>
      <c r="AL188">
        <f>IF(Ajustes!$G188&gt;0,INDEX($AA$4:$AL$323,Ajustes!$G188,Z$2),0)+IF(Ajustes!$H188&gt;0,INDEX($AA$4:$AL$323,Ajustes!$H188,Z$2),0)+IF(Ajustes!$I188&gt;0,INDEX($AA$4:$AL$323,Ajustes!$I188,Z$2),0)+IF(Ajustes!$J188&gt;0,INDEX($AA$4:$AL$323,Ajustes!$J188,Z$2),0)+IF(Ajustes!$K188&gt;0,INDEX($AA$5:$AL$324,Ajustes!$K188,Z$2),0)+IF(Ajustes!$L188&gt;0,INDEX($AA$4:$AL$323,Ajustes!$L188,Z$2),0) + Z188</f>
        <v>0</v>
      </c>
      <c r="AM188" s="113">
        <f t="shared" si="39"/>
        <v>0</v>
      </c>
      <c r="AN188" s="113">
        <f t="shared" si="39"/>
        <v>0</v>
      </c>
      <c r="AO188" s="113">
        <f t="shared" si="39"/>
        <v>0</v>
      </c>
      <c r="AP188" s="113">
        <f t="shared" si="39"/>
        <v>0</v>
      </c>
      <c r="AQ188" s="113">
        <f t="shared" si="42"/>
        <v>0</v>
      </c>
      <c r="AR188" s="113">
        <f t="shared" si="40"/>
        <v>0</v>
      </c>
      <c r="AS188" s="113">
        <f t="shared" si="40"/>
        <v>0</v>
      </c>
      <c r="AT188" s="113">
        <f t="shared" si="40"/>
        <v>0</v>
      </c>
      <c r="AU188" s="113">
        <f t="shared" si="40"/>
        <v>0</v>
      </c>
      <c r="AV188" s="113">
        <f t="shared" si="43"/>
        <v>0</v>
      </c>
      <c r="AW188" s="113">
        <f t="shared" si="41"/>
        <v>0</v>
      </c>
      <c r="AX188" s="113">
        <f t="shared" si="41"/>
        <v>0</v>
      </c>
    </row>
    <row r="189" spans="1:50" x14ac:dyDescent="0.25">
      <c r="A189" s="113">
        <v>186</v>
      </c>
      <c r="B189" s="209"/>
      <c r="C189">
        <f>IFERROR(INDEX($BD$7:$BO$35,MATCH(Ajustes!$E$4:$E$323,$BC$7:$BC$35,0),$C$2:$N$2),1)</f>
        <v>1</v>
      </c>
      <c r="D189" s="113">
        <f>IFERROR(INDEX($BD$7:$BO$35,MATCH(Ajustes!$E$4:$E$323,$BC$7:$BC$35,0),$C$2:$N$2),1)</f>
        <v>1</v>
      </c>
      <c r="E189" s="113">
        <f>IFERROR(INDEX($BD$7:$BO$35,MATCH(Ajustes!$E$4:$E$323,$BC$7:$BC$35,0),$C$2:$N$2),1)</f>
        <v>1</v>
      </c>
      <c r="F189" s="113">
        <f>IFERROR(INDEX($BD$7:$BO$35,MATCH(Ajustes!$E$4:$E$323,$BC$7:$BC$35,0),$C$2:$N$2),1)</f>
        <v>1</v>
      </c>
      <c r="G189" s="113">
        <f>IFERROR(INDEX($BD$7:$BO$35,MATCH(Ajustes!$E$4:$E$323,$BC$7:$BC$35,0),$C$2:$N$2),1)</f>
        <v>1</v>
      </c>
      <c r="H189" s="113">
        <f>IFERROR(INDEX($BD$7:$BO$35,MATCH(Ajustes!$E$4:$E$323,$BC$7:$BC$35,0),$C$2:$N$2),1)</f>
        <v>1</v>
      </c>
      <c r="I189" s="113">
        <f>IFERROR(INDEX($BD$7:$BO$35,MATCH(Ajustes!$E$4:$E$323,$BC$7:$BC$35,0),$C$2:$N$2),1)</f>
        <v>1</v>
      </c>
      <c r="J189" s="113">
        <f>IFERROR(INDEX($BD$7:$BO$35,MATCH(Ajustes!$E$4:$E$323,$BC$7:$BC$35,0),$C$2:$N$2),1)</f>
        <v>1</v>
      </c>
      <c r="K189" s="113">
        <f>IFERROR(INDEX($BD$7:$BO$35,MATCH(Ajustes!$E$4:$E$323,$BC$7:$BC$35,0),$C$2:$N$2),1)</f>
        <v>1</v>
      </c>
      <c r="L189" s="113">
        <f>IFERROR(INDEX($BD$7:$BO$35,MATCH(Ajustes!$E$4:$E$323,$BC$7:$BC$35,0),$C$2:$N$2),1)</f>
        <v>1</v>
      </c>
      <c r="M189" s="113">
        <f>IFERROR(INDEX($BD$7:$BO$35,MATCH(Ajustes!$E$4:$E$323,$BC$7:$BC$35,0),$C$2:$N$2),1)</f>
        <v>1</v>
      </c>
      <c r="N189" s="113">
        <f>IFERROR(INDEX($BD$7:$BO$35,MATCH(Ajustes!$E$4:$E$323,$BC$7:$BC$35,0),$C$2:$N$2),1)</f>
        <v>1</v>
      </c>
      <c r="O189">
        <f>C189*Ajustes!AM189</f>
        <v>0</v>
      </c>
      <c r="P189">
        <f>D189*Ajustes!AN189</f>
        <v>0</v>
      </c>
      <c r="Q189">
        <f>E189*Ajustes!AO189</f>
        <v>0</v>
      </c>
      <c r="R189">
        <f>F189*Ajustes!AP189</f>
        <v>0</v>
      </c>
      <c r="S189">
        <f>G189*Ajustes!AQ189</f>
        <v>0</v>
      </c>
      <c r="T189">
        <f>H189*Ajustes!AR189</f>
        <v>0</v>
      </c>
      <c r="U189">
        <f>I189*Ajustes!AS189</f>
        <v>0</v>
      </c>
      <c r="V189">
        <f>J189*Ajustes!AT189</f>
        <v>0</v>
      </c>
      <c r="W189">
        <f>K189*Ajustes!AU189</f>
        <v>0</v>
      </c>
      <c r="X189">
        <f>L189*Ajustes!AV189</f>
        <v>0</v>
      </c>
      <c r="Y189">
        <f>M189*Ajustes!AW189</f>
        <v>0</v>
      </c>
      <c r="Z189">
        <f>N189*Ajustes!AX189</f>
        <v>0</v>
      </c>
      <c r="AA189">
        <f>IF(Ajustes!$G189&gt;0,INDEX($AA$4:$AL$323,Ajustes!$G189,O$2),0)+IF(Ajustes!$H189&gt;0,INDEX($AA$4:$AL$323,Ajustes!$H189,O$2),0)+IF(Ajustes!$I189&gt;0,INDEX($AA$4:$AL$323,Ajustes!$I189,O$2),0)+IF(Ajustes!$J189&gt;0,INDEX($AA$4:$AL$323,Ajustes!$J189,O$2),0)+IF(Ajustes!$K189&gt;0,INDEX($AA$5:$AL$324,Ajustes!$K189,O$2),0)+IF(Ajustes!$L189&gt;0,INDEX($AA$4:$AL$323,Ajustes!$L189,O$2),0) + O189</f>
        <v>0</v>
      </c>
      <c r="AB189">
        <f>IF(Ajustes!$G189&gt;0,INDEX($AA$4:$AL$323,Ajustes!$G189,P$2),0)+IF(Ajustes!$H189&gt;0,INDEX($AA$4:$AL$323,Ajustes!$H189,P$2),0)+IF(Ajustes!$I189&gt;0,INDEX($AA$4:$AL$323,Ajustes!$I189,P$2),0)+IF(Ajustes!$J189&gt;0,INDEX($AA$4:$AL$323,Ajustes!$J189,P$2),0)+IF(Ajustes!$K189&gt;0,INDEX($AA$5:$AL$324,Ajustes!$K189,P$2),0)+IF(Ajustes!$L189&gt;0,INDEX($AA$4:$AL$323,Ajustes!$L189,P$2),0) + P189</f>
        <v>0</v>
      </c>
      <c r="AC189">
        <f>IF(Ajustes!$G189&gt;0,INDEX($AA$4:$AL$323,Ajustes!$G189,Q$2),0)+IF(Ajustes!$H189&gt;0,INDEX($AA$4:$AL$323,Ajustes!$H189,Q$2),0)+IF(Ajustes!$I189&gt;0,INDEX($AA$4:$AL$323,Ajustes!$I189,Q$2),0)+IF(Ajustes!$J189&gt;0,INDEX($AA$4:$AL$323,Ajustes!$J189,Q$2),0)+IF(Ajustes!$K189&gt;0,INDEX($AA$5:$AL$324,Ajustes!$K189,Q$2),0)+IF(Ajustes!$L189&gt;0,INDEX($AA$4:$AL$323,Ajustes!$L189,Q$2),0) + Q189</f>
        <v>0</v>
      </c>
      <c r="AD189">
        <f>IF(Ajustes!$G189&gt;0,INDEX($AA$4:$AL$323,Ajustes!$G189,R$2),0)+IF(Ajustes!$H189&gt;0,INDEX($AA$4:$AL$323,Ajustes!$H189,R$2),0)+IF(Ajustes!$I189&gt;0,INDEX($AA$4:$AL$323,Ajustes!$I189,R$2),0)+IF(Ajustes!$J189&gt;0,INDEX($AA$4:$AL$323,Ajustes!$J189,R$2),0)+IF(Ajustes!$K189&gt;0,INDEX($AA$5:$AL$324,Ajustes!$K189,R$2),0)+IF(Ajustes!$L189&gt;0,INDEX($AA$4:$AL$323,Ajustes!$L189,R$2),0) + R189</f>
        <v>0</v>
      </c>
      <c r="AE189">
        <f>IF(Ajustes!$G189&gt;0,INDEX($AA$4:$AL$323,Ajustes!$G189,S$2),0)+IF(Ajustes!$H189&gt;0,INDEX($AA$4:$AL$323,Ajustes!$H189,S$2),0)+IF(Ajustes!$I189&gt;0,INDEX($AA$4:$AL$323,Ajustes!$I189,S$2),0)+IF(Ajustes!$J189&gt;0,INDEX($AA$4:$AL$323,Ajustes!$J189,S$2),0)+IF(Ajustes!$K189&gt;0,INDEX($AA$5:$AL$324,Ajustes!$K189,S$2),0)+IF(Ajustes!$L189&gt;0,INDEX($AA$4:$AL$323,Ajustes!$L189,S$2),0) + S189</f>
        <v>0</v>
      </c>
      <c r="AF189">
        <f>IF(Ajustes!$G189&gt;0,INDEX($AA$4:$AL$323,Ajustes!$G189,T$2),0)+IF(Ajustes!$H189&gt;0,INDEX($AA$4:$AL$323,Ajustes!$H189,T$2),0)+IF(Ajustes!$I189&gt;0,INDEX($AA$4:$AL$323,Ajustes!$I189,T$2),0)+IF(Ajustes!$J189&gt;0,INDEX($AA$4:$AL$323,Ajustes!$J189,T$2),0)+IF(Ajustes!$K189&gt;0,INDEX($AA$5:$AL$324,Ajustes!$K189,T$2),0)+IF(Ajustes!$L189&gt;0,INDEX($AA$4:$AL$323,Ajustes!$L189,T$2),0) + T189</f>
        <v>0</v>
      </c>
      <c r="AG189">
        <f>IF(Ajustes!$G189&gt;0,INDEX($AA$4:$AL$323,Ajustes!$G189,U$2),0)+IF(Ajustes!$H189&gt;0,INDEX($AA$4:$AL$323,Ajustes!$H189,U$2),0)+IF(Ajustes!$I189&gt;0,INDEX($AA$4:$AL$323,Ajustes!$I189,U$2),0)+IF(Ajustes!$J189&gt;0,INDEX($AA$4:$AL$323,Ajustes!$J189,U$2),0)+IF(Ajustes!$K189&gt;0,INDEX($AA$5:$AL$324,Ajustes!$K189,U$2),0)+IF(Ajustes!$L189&gt;0,INDEX($AA$4:$AL$323,Ajustes!$L189,U$2),0) + U189</f>
        <v>0</v>
      </c>
      <c r="AH189">
        <f>IF(Ajustes!$G189&gt;0,INDEX($AA$4:$AL$323,Ajustes!$G189,V$2),0)+IF(Ajustes!$H189&gt;0,INDEX($AA$4:$AL$323,Ajustes!$H189,V$2),0)+IF(Ajustes!$I189&gt;0,INDEX($AA$4:$AL$323,Ajustes!$I189,V$2),0)+IF(Ajustes!$J189&gt;0,INDEX($AA$4:$AL$323,Ajustes!$J189,V$2),0)+IF(Ajustes!$K189&gt;0,INDEX($AA$5:$AL$324,Ajustes!$K189,V$2),0)+IF(Ajustes!$L189&gt;0,INDEX($AA$4:$AL$323,Ajustes!$L189,V$2),0) + V189</f>
        <v>0</v>
      </c>
      <c r="AI189">
        <f>IF(Ajustes!$G189&gt;0,INDEX($AA$4:$AL$323,Ajustes!$G189,W$2),0)+IF(Ajustes!$H189&gt;0,INDEX($AA$4:$AL$323,Ajustes!$H189,W$2),0)+IF(Ajustes!$I189&gt;0,INDEX($AA$4:$AL$323,Ajustes!$I189,W$2),0)+IF(Ajustes!$J189&gt;0,INDEX($AA$4:$AL$323,Ajustes!$J189,W$2),0)+IF(Ajustes!$K189&gt;0,INDEX($AA$5:$AL$324,Ajustes!$K189,W$2),0)+IF(Ajustes!$L189&gt;0,INDEX($AA$4:$AL$323,Ajustes!$L189,W$2),0) + W189</f>
        <v>0</v>
      </c>
      <c r="AJ189">
        <f>IF(Ajustes!$G189&gt;0,INDEX($AA$4:$AL$323,Ajustes!$G189,X$2),0)+IF(Ajustes!$H189&gt;0,INDEX($AA$4:$AL$323,Ajustes!$H189,X$2),0)+IF(Ajustes!$I189&gt;0,INDEX($AA$4:$AL$323,Ajustes!$I189,X$2),0)+IF(Ajustes!$J189&gt;0,INDEX($AA$4:$AL$323,Ajustes!$J189,X$2),0)+IF(Ajustes!$K189&gt;0,INDEX($AA$5:$AL$324,Ajustes!$K189,X$2),0)+IF(Ajustes!$L189&gt;0,INDEX($AA$4:$AL$323,Ajustes!$L189,X$2),0) + X189</f>
        <v>0</v>
      </c>
      <c r="AK189">
        <f>IF(Ajustes!$G189&gt;0,INDEX($AA$4:$AL$323,Ajustes!$G189,Y$2),0)+IF(Ajustes!$H189&gt;0,INDEX($AA$4:$AL$323,Ajustes!$H189,Y$2),0)+IF(Ajustes!$I189&gt;0,INDEX($AA$4:$AL$323,Ajustes!$I189,Y$2),0)+IF(Ajustes!$J189&gt;0,INDEX($AA$4:$AL$323,Ajustes!$J189,Y$2),0)+IF(Ajustes!$K189&gt;0,INDEX($AA$5:$AL$324,Ajustes!$K189,Y$2),0)+IF(Ajustes!$L189&gt;0,INDEX($AA$4:$AL$323,Ajustes!$L189,Y$2),0) + Y189</f>
        <v>0</v>
      </c>
      <c r="AL189">
        <f>IF(Ajustes!$G189&gt;0,INDEX($AA$4:$AL$323,Ajustes!$G189,Z$2),0)+IF(Ajustes!$H189&gt;0,INDEX($AA$4:$AL$323,Ajustes!$H189,Z$2),0)+IF(Ajustes!$I189&gt;0,INDEX($AA$4:$AL$323,Ajustes!$I189,Z$2),0)+IF(Ajustes!$J189&gt;0,INDEX($AA$4:$AL$323,Ajustes!$J189,Z$2),0)+IF(Ajustes!$K189&gt;0,INDEX($AA$5:$AL$324,Ajustes!$K189,Z$2),0)+IF(Ajustes!$L189&gt;0,INDEX($AA$4:$AL$323,Ajustes!$L189,Z$2),0) + Z189</f>
        <v>0</v>
      </c>
      <c r="AM189" s="113">
        <f t="shared" si="39"/>
        <v>0</v>
      </c>
      <c r="AN189" s="113">
        <f t="shared" si="39"/>
        <v>0</v>
      </c>
      <c r="AO189" s="113">
        <f t="shared" si="39"/>
        <v>0</v>
      </c>
      <c r="AP189" s="113">
        <f t="shared" si="39"/>
        <v>0</v>
      </c>
      <c r="AQ189" s="113">
        <f t="shared" si="42"/>
        <v>0</v>
      </c>
      <c r="AR189" s="113">
        <f t="shared" si="40"/>
        <v>0</v>
      </c>
      <c r="AS189" s="113">
        <f t="shared" si="40"/>
        <v>0</v>
      </c>
      <c r="AT189" s="113">
        <f t="shared" si="40"/>
        <v>0</v>
      </c>
      <c r="AU189" s="113">
        <f t="shared" si="40"/>
        <v>0</v>
      </c>
      <c r="AV189" s="113">
        <f t="shared" si="43"/>
        <v>0</v>
      </c>
      <c r="AW189" s="113">
        <f t="shared" si="41"/>
        <v>0</v>
      </c>
      <c r="AX189" s="113">
        <f t="shared" si="41"/>
        <v>0</v>
      </c>
    </row>
    <row r="190" spans="1:50" x14ac:dyDescent="0.25">
      <c r="A190" s="113">
        <v>187</v>
      </c>
      <c r="B190" s="209" t="s">
        <v>624</v>
      </c>
      <c r="C190">
        <f>IFERROR(INDEX($BD$7:$BO$35,MATCH(Ajustes!$E$4:$E$323,$BC$7:$BC$35,0),$C$2:$N$2),1)</f>
        <v>1</v>
      </c>
      <c r="D190" s="113">
        <f>IFERROR(INDEX($BD$7:$BO$35,MATCH(Ajustes!$E$4:$E$323,$BC$7:$BC$35,0),$C$2:$N$2),1)</f>
        <v>1</v>
      </c>
      <c r="E190" s="113">
        <f>IFERROR(INDEX($BD$7:$BO$35,MATCH(Ajustes!$E$4:$E$323,$BC$7:$BC$35,0),$C$2:$N$2),1)</f>
        <v>1</v>
      </c>
      <c r="F190" s="113">
        <f>IFERROR(INDEX($BD$7:$BO$35,MATCH(Ajustes!$E$4:$E$323,$BC$7:$BC$35,0),$C$2:$N$2),1)</f>
        <v>1</v>
      </c>
      <c r="G190" s="113">
        <f>IFERROR(INDEX($BD$7:$BO$35,MATCH(Ajustes!$E$4:$E$323,$BC$7:$BC$35,0),$C$2:$N$2),1)</f>
        <v>1</v>
      </c>
      <c r="H190" s="113">
        <f>IFERROR(INDEX($BD$7:$BO$35,MATCH(Ajustes!$E$4:$E$323,$BC$7:$BC$35,0),$C$2:$N$2),1)</f>
        <v>1</v>
      </c>
      <c r="I190" s="113">
        <f>IFERROR(INDEX($BD$7:$BO$35,MATCH(Ajustes!$E$4:$E$323,$BC$7:$BC$35,0),$C$2:$N$2),1)</f>
        <v>1</v>
      </c>
      <c r="J190" s="113">
        <f>IFERROR(INDEX($BD$7:$BO$35,MATCH(Ajustes!$E$4:$E$323,$BC$7:$BC$35,0),$C$2:$N$2),1)</f>
        <v>1</v>
      </c>
      <c r="K190" s="113">
        <f>IFERROR(INDEX($BD$7:$BO$35,MATCH(Ajustes!$E$4:$E$323,$BC$7:$BC$35,0),$C$2:$N$2),1)</f>
        <v>1</v>
      </c>
      <c r="L190" s="113">
        <f>IFERROR(INDEX($BD$7:$BO$35,MATCH(Ajustes!$E$4:$E$323,$BC$7:$BC$35,0),$C$2:$N$2),1)</f>
        <v>1</v>
      </c>
      <c r="M190" s="113">
        <f>IFERROR(INDEX($BD$7:$BO$35,MATCH(Ajustes!$E$4:$E$323,$BC$7:$BC$35,0),$C$2:$N$2),1)</f>
        <v>1</v>
      </c>
      <c r="N190" s="113">
        <f>IFERROR(INDEX($BD$7:$BO$35,MATCH(Ajustes!$E$4:$E$323,$BC$7:$BC$35,0),$C$2:$N$2),1)</f>
        <v>1</v>
      </c>
      <c r="O190">
        <f>C190*Ajustes!AM190</f>
        <v>122</v>
      </c>
      <c r="P190">
        <f>D190*Ajustes!AN190</f>
        <v>123</v>
      </c>
      <c r="Q190">
        <f>E190*Ajustes!AO190</f>
        <v>122</v>
      </c>
      <c r="R190">
        <f>F190*Ajustes!AP190</f>
        <v>101</v>
      </c>
      <c r="S190">
        <f>G190*Ajustes!AQ190</f>
        <v>87</v>
      </c>
      <c r="T190">
        <f>H190*Ajustes!AR190</f>
        <v>77</v>
      </c>
      <c r="U190">
        <f>I190*Ajustes!AS190</f>
        <v>68</v>
      </c>
      <c r="V190">
        <f>J190*Ajustes!AT190</f>
        <v>62</v>
      </c>
      <c r="W190">
        <f>K190*Ajustes!AU190</f>
        <v>61</v>
      </c>
      <c r="X190">
        <f>L190*Ajustes!AV190</f>
        <v>68</v>
      </c>
      <c r="Y190">
        <f>M190*Ajustes!AW190</f>
        <v>86</v>
      </c>
      <c r="Z190">
        <f>N190*Ajustes!AX190</f>
        <v>112</v>
      </c>
      <c r="AA190">
        <f>IF(Ajustes!$G190&gt;0,INDEX($AA$4:$AL$323,Ajustes!$G190,O$2),0)+IF(Ajustes!$H190&gt;0,INDEX($AA$4:$AL$323,Ajustes!$H190,O$2),0)+IF(Ajustes!$I190&gt;0,INDEX($AA$4:$AL$323,Ajustes!$I190,O$2),0)+IF(Ajustes!$J190&gt;0,INDEX($AA$4:$AL$323,Ajustes!$J190,O$2),0)+IF(Ajustes!$K190&gt;0,INDEX($AA$5:$AL$324,Ajustes!$K190,O$2),0)+IF(Ajustes!$L190&gt;0,INDEX($AA$4:$AL$323,Ajustes!$L190,O$2),0) + O190</f>
        <v>122</v>
      </c>
      <c r="AB190">
        <f>IF(Ajustes!$G190&gt;0,INDEX($AA$4:$AL$323,Ajustes!$G190,P$2),0)+IF(Ajustes!$H190&gt;0,INDEX($AA$4:$AL$323,Ajustes!$H190,P$2),0)+IF(Ajustes!$I190&gt;0,INDEX($AA$4:$AL$323,Ajustes!$I190,P$2),0)+IF(Ajustes!$J190&gt;0,INDEX($AA$4:$AL$323,Ajustes!$J190,P$2),0)+IF(Ajustes!$K190&gt;0,INDEX($AA$5:$AL$324,Ajustes!$K190,P$2),0)+IF(Ajustes!$L190&gt;0,INDEX($AA$4:$AL$323,Ajustes!$L190,P$2),0) + P190</f>
        <v>123</v>
      </c>
      <c r="AC190">
        <f>IF(Ajustes!$G190&gt;0,INDEX($AA$4:$AL$323,Ajustes!$G190,Q$2),0)+IF(Ajustes!$H190&gt;0,INDEX($AA$4:$AL$323,Ajustes!$H190,Q$2),0)+IF(Ajustes!$I190&gt;0,INDEX($AA$4:$AL$323,Ajustes!$I190,Q$2),0)+IF(Ajustes!$J190&gt;0,INDEX($AA$4:$AL$323,Ajustes!$J190,Q$2),0)+IF(Ajustes!$K190&gt;0,INDEX($AA$5:$AL$324,Ajustes!$K190,Q$2),0)+IF(Ajustes!$L190&gt;0,INDEX($AA$4:$AL$323,Ajustes!$L190,Q$2),0) + Q190</f>
        <v>122</v>
      </c>
      <c r="AD190">
        <f>IF(Ajustes!$G190&gt;0,INDEX($AA$4:$AL$323,Ajustes!$G190,R$2),0)+IF(Ajustes!$H190&gt;0,INDEX($AA$4:$AL$323,Ajustes!$H190,R$2),0)+IF(Ajustes!$I190&gt;0,INDEX($AA$4:$AL$323,Ajustes!$I190,R$2),0)+IF(Ajustes!$J190&gt;0,INDEX($AA$4:$AL$323,Ajustes!$J190,R$2),0)+IF(Ajustes!$K190&gt;0,INDEX($AA$5:$AL$324,Ajustes!$K190,R$2),0)+IF(Ajustes!$L190&gt;0,INDEX($AA$4:$AL$323,Ajustes!$L190,R$2),0) + R190</f>
        <v>101</v>
      </c>
      <c r="AE190">
        <f>IF(Ajustes!$G190&gt;0,INDEX($AA$4:$AL$323,Ajustes!$G190,S$2),0)+IF(Ajustes!$H190&gt;0,INDEX($AA$4:$AL$323,Ajustes!$H190,S$2),0)+IF(Ajustes!$I190&gt;0,INDEX($AA$4:$AL$323,Ajustes!$I190,S$2),0)+IF(Ajustes!$J190&gt;0,INDEX($AA$4:$AL$323,Ajustes!$J190,S$2),0)+IF(Ajustes!$K190&gt;0,INDEX($AA$5:$AL$324,Ajustes!$K190,S$2),0)+IF(Ajustes!$L190&gt;0,INDEX($AA$4:$AL$323,Ajustes!$L190,S$2),0) + S190</f>
        <v>87</v>
      </c>
      <c r="AF190">
        <f>IF(Ajustes!$G190&gt;0,INDEX($AA$4:$AL$323,Ajustes!$G190,T$2),0)+IF(Ajustes!$H190&gt;0,INDEX($AA$4:$AL$323,Ajustes!$H190,T$2),0)+IF(Ajustes!$I190&gt;0,INDEX($AA$4:$AL$323,Ajustes!$I190,T$2),0)+IF(Ajustes!$J190&gt;0,INDEX($AA$4:$AL$323,Ajustes!$J190,T$2),0)+IF(Ajustes!$K190&gt;0,INDEX($AA$5:$AL$324,Ajustes!$K190,T$2),0)+IF(Ajustes!$L190&gt;0,INDEX($AA$4:$AL$323,Ajustes!$L190,T$2),0) + T190</f>
        <v>77</v>
      </c>
      <c r="AG190">
        <f>IF(Ajustes!$G190&gt;0,INDEX($AA$4:$AL$323,Ajustes!$G190,U$2),0)+IF(Ajustes!$H190&gt;0,INDEX($AA$4:$AL$323,Ajustes!$H190,U$2),0)+IF(Ajustes!$I190&gt;0,INDEX($AA$4:$AL$323,Ajustes!$I190,U$2),0)+IF(Ajustes!$J190&gt;0,INDEX($AA$4:$AL$323,Ajustes!$J190,U$2),0)+IF(Ajustes!$K190&gt;0,INDEX($AA$5:$AL$324,Ajustes!$K190,U$2),0)+IF(Ajustes!$L190&gt;0,INDEX($AA$4:$AL$323,Ajustes!$L190,U$2),0) + U190</f>
        <v>68</v>
      </c>
      <c r="AH190">
        <f>IF(Ajustes!$G190&gt;0,INDEX($AA$4:$AL$323,Ajustes!$G190,V$2),0)+IF(Ajustes!$H190&gt;0,INDEX($AA$4:$AL$323,Ajustes!$H190,V$2),0)+IF(Ajustes!$I190&gt;0,INDEX($AA$4:$AL$323,Ajustes!$I190,V$2),0)+IF(Ajustes!$J190&gt;0,INDEX($AA$4:$AL$323,Ajustes!$J190,V$2),0)+IF(Ajustes!$K190&gt;0,INDEX($AA$5:$AL$324,Ajustes!$K190,V$2),0)+IF(Ajustes!$L190&gt;0,INDEX($AA$4:$AL$323,Ajustes!$L190,V$2),0) + V190</f>
        <v>62</v>
      </c>
      <c r="AI190">
        <f>IF(Ajustes!$G190&gt;0,INDEX($AA$4:$AL$323,Ajustes!$G190,W$2),0)+IF(Ajustes!$H190&gt;0,INDEX($AA$4:$AL$323,Ajustes!$H190,W$2),0)+IF(Ajustes!$I190&gt;0,INDEX($AA$4:$AL$323,Ajustes!$I190,W$2),0)+IF(Ajustes!$J190&gt;0,INDEX($AA$4:$AL$323,Ajustes!$J190,W$2),0)+IF(Ajustes!$K190&gt;0,INDEX($AA$5:$AL$324,Ajustes!$K190,W$2),0)+IF(Ajustes!$L190&gt;0,INDEX($AA$4:$AL$323,Ajustes!$L190,W$2),0) + W190</f>
        <v>61</v>
      </c>
      <c r="AJ190">
        <f>IF(Ajustes!$G190&gt;0,INDEX($AA$4:$AL$323,Ajustes!$G190,X$2),0)+IF(Ajustes!$H190&gt;0,INDEX($AA$4:$AL$323,Ajustes!$H190,X$2),0)+IF(Ajustes!$I190&gt;0,INDEX($AA$4:$AL$323,Ajustes!$I190,X$2),0)+IF(Ajustes!$J190&gt;0,INDEX($AA$4:$AL$323,Ajustes!$J190,X$2),0)+IF(Ajustes!$K190&gt;0,INDEX($AA$5:$AL$324,Ajustes!$K190,X$2),0)+IF(Ajustes!$L190&gt;0,INDEX($AA$4:$AL$323,Ajustes!$L190,X$2),0) + X190</f>
        <v>68</v>
      </c>
      <c r="AK190">
        <f>IF(Ajustes!$G190&gt;0,INDEX($AA$4:$AL$323,Ajustes!$G190,Y$2),0)+IF(Ajustes!$H190&gt;0,INDEX($AA$4:$AL$323,Ajustes!$H190,Y$2),0)+IF(Ajustes!$I190&gt;0,INDEX($AA$4:$AL$323,Ajustes!$I190,Y$2),0)+IF(Ajustes!$J190&gt;0,INDEX($AA$4:$AL$323,Ajustes!$J190,Y$2),0)+IF(Ajustes!$K190&gt;0,INDEX($AA$5:$AL$324,Ajustes!$K190,Y$2),0)+IF(Ajustes!$L190&gt;0,INDEX($AA$4:$AL$323,Ajustes!$L190,Y$2),0) + Y190</f>
        <v>86</v>
      </c>
      <c r="AL190">
        <f>IF(Ajustes!$G190&gt;0,INDEX($AA$4:$AL$323,Ajustes!$G190,Z$2),0)+IF(Ajustes!$H190&gt;0,INDEX($AA$4:$AL$323,Ajustes!$H190,Z$2),0)+IF(Ajustes!$I190&gt;0,INDEX($AA$4:$AL$323,Ajustes!$I190,Z$2),0)+IF(Ajustes!$J190&gt;0,INDEX($AA$4:$AL$323,Ajustes!$J190,Z$2),0)+IF(Ajustes!$K190&gt;0,INDEX($AA$5:$AL$324,Ajustes!$K190,Z$2),0)+IF(Ajustes!$L190&gt;0,INDEX($AA$4:$AL$323,Ajustes!$L190,Z$2),0) + Z190</f>
        <v>112</v>
      </c>
      <c r="AM190" s="113">
        <f t="shared" si="39"/>
        <v>122</v>
      </c>
      <c r="AN190" s="113">
        <f t="shared" si="39"/>
        <v>123</v>
      </c>
      <c r="AO190" s="113">
        <f t="shared" si="39"/>
        <v>122</v>
      </c>
      <c r="AP190" s="113">
        <f t="shared" si="39"/>
        <v>101</v>
      </c>
      <c r="AQ190" s="113">
        <f t="shared" si="42"/>
        <v>87</v>
      </c>
      <c r="AR190" s="113">
        <f t="shared" si="40"/>
        <v>77</v>
      </c>
      <c r="AS190" s="113">
        <f t="shared" si="40"/>
        <v>68</v>
      </c>
      <c r="AT190" s="113">
        <f t="shared" si="40"/>
        <v>62</v>
      </c>
      <c r="AU190" s="113">
        <f t="shared" si="40"/>
        <v>61</v>
      </c>
      <c r="AV190" s="113">
        <f t="shared" si="43"/>
        <v>68</v>
      </c>
      <c r="AW190" s="113">
        <f t="shared" si="41"/>
        <v>86</v>
      </c>
      <c r="AX190" s="113">
        <f t="shared" si="41"/>
        <v>112</v>
      </c>
    </row>
    <row r="191" spans="1:50" x14ac:dyDescent="0.25">
      <c r="A191" s="113">
        <v>188</v>
      </c>
      <c r="B191" s="209" t="s">
        <v>625</v>
      </c>
      <c r="C191">
        <f>IFERROR(INDEX($BD$7:$BO$35,MATCH(Ajustes!$E$4:$E$323,$BC$7:$BC$35,0),$C$2:$N$2),1)</f>
        <v>1</v>
      </c>
      <c r="D191" s="113">
        <f>IFERROR(INDEX($BD$7:$BO$35,MATCH(Ajustes!$E$4:$E$323,$BC$7:$BC$35,0),$C$2:$N$2),1)</f>
        <v>1</v>
      </c>
      <c r="E191" s="113">
        <f>IFERROR(INDEX($BD$7:$BO$35,MATCH(Ajustes!$E$4:$E$323,$BC$7:$BC$35,0),$C$2:$N$2),1)</f>
        <v>1</v>
      </c>
      <c r="F191" s="113">
        <f>IFERROR(INDEX($BD$7:$BO$35,MATCH(Ajustes!$E$4:$E$323,$BC$7:$BC$35,0),$C$2:$N$2),1)</f>
        <v>1</v>
      </c>
      <c r="G191" s="113">
        <f>IFERROR(INDEX($BD$7:$BO$35,MATCH(Ajustes!$E$4:$E$323,$BC$7:$BC$35,0),$C$2:$N$2),1)</f>
        <v>1</v>
      </c>
      <c r="H191" s="113">
        <f>IFERROR(INDEX($BD$7:$BO$35,MATCH(Ajustes!$E$4:$E$323,$BC$7:$BC$35,0),$C$2:$N$2),1)</f>
        <v>1</v>
      </c>
      <c r="I191" s="113">
        <f>IFERROR(INDEX($BD$7:$BO$35,MATCH(Ajustes!$E$4:$E$323,$BC$7:$BC$35,0),$C$2:$N$2),1)</f>
        <v>1</v>
      </c>
      <c r="J191" s="113">
        <f>IFERROR(INDEX($BD$7:$BO$35,MATCH(Ajustes!$E$4:$E$323,$BC$7:$BC$35,0),$C$2:$N$2),1)</f>
        <v>1</v>
      </c>
      <c r="K191" s="113">
        <f>IFERROR(INDEX($BD$7:$BO$35,MATCH(Ajustes!$E$4:$E$323,$BC$7:$BC$35,0),$C$2:$N$2),1)</f>
        <v>1</v>
      </c>
      <c r="L191" s="113">
        <f>IFERROR(INDEX($BD$7:$BO$35,MATCH(Ajustes!$E$4:$E$323,$BC$7:$BC$35,0),$C$2:$N$2),1)</f>
        <v>1</v>
      </c>
      <c r="M191" s="113">
        <f>IFERROR(INDEX($BD$7:$BO$35,MATCH(Ajustes!$E$4:$E$323,$BC$7:$BC$35,0),$C$2:$N$2),1)</f>
        <v>1</v>
      </c>
      <c r="N191" s="113">
        <f>IFERROR(INDEX($BD$7:$BO$35,MATCH(Ajustes!$E$4:$E$323,$BC$7:$BC$35,0),$C$2:$N$2),1)</f>
        <v>1</v>
      </c>
      <c r="O191">
        <f>C191*Ajustes!AM191</f>
        <v>826</v>
      </c>
      <c r="P191">
        <f>D191*Ajustes!AN191</f>
        <v>606</v>
      </c>
      <c r="Q191">
        <f>E191*Ajustes!AO191</f>
        <v>501</v>
      </c>
      <c r="R191">
        <f>F191*Ajustes!AP191</f>
        <v>344</v>
      </c>
      <c r="S191">
        <f>G191*Ajustes!AQ191</f>
        <v>209</v>
      </c>
      <c r="T191">
        <f>H191*Ajustes!AR191</f>
        <v>166</v>
      </c>
      <c r="U191">
        <f>I191*Ajustes!AS191</f>
        <v>140</v>
      </c>
      <c r="V191">
        <f>J191*Ajustes!AT191</f>
        <v>118</v>
      </c>
      <c r="W191">
        <f>K191*Ajustes!AU191</f>
        <v>108</v>
      </c>
      <c r="X191">
        <f>L191*Ajustes!AV191</f>
        <v>173</v>
      </c>
      <c r="Y191">
        <f>M191*Ajustes!AW191</f>
        <v>474</v>
      </c>
      <c r="Z191">
        <f>N191*Ajustes!AX191</f>
        <v>892</v>
      </c>
      <c r="AA191">
        <f>IF(Ajustes!$G191&gt;0,INDEX($AA$4:$AL$323,Ajustes!$G191,O$2),0)+IF(Ajustes!$H191&gt;0,INDEX($AA$4:$AL$323,Ajustes!$H191,O$2),0)+IF(Ajustes!$I191&gt;0,INDEX($AA$4:$AL$323,Ajustes!$I191,O$2),0)+IF(Ajustes!$J191&gt;0,INDEX($AA$4:$AL$323,Ajustes!$J191,O$2),0)+IF(Ajustes!$K191&gt;0,INDEX($AA$5:$AL$324,Ajustes!$K191,O$2),0)+IF(Ajustes!$L191&gt;0,INDEX($AA$4:$AL$323,Ajustes!$L191,O$2),0) + O191</f>
        <v>826</v>
      </c>
      <c r="AB191">
        <f>IF(Ajustes!$G191&gt;0,INDEX($AA$4:$AL$323,Ajustes!$G191,P$2),0)+IF(Ajustes!$H191&gt;0,INDEX($AA$4:$AL$323,Ajustes!$H191,P$2),0)+IF(Ajustes!$I191&gt;0,INDEX($AA$4:$AL$323,Ajustes!$I191,P$2),0)+IF(Ajustes!$J191&gt;0,INDEX($AA$4:$AL$323,Ajustes!$J191,P$2),0)+IF(Ajustes!$K191&gt;0,INDEX($AA$5:$AL$324,Ajustes!$K191,P$2),0)+IF(Ajustes!$L191&gt;0,INDEX($AA$4:$AL$323,Ajustes!$L191,P$2),0) + P191</f>
        <v>606</v>
      </c>
      <c r="AC191">
        <f>IF(Ajustes!$G191&gt;0,INDEX($AA$4:$AL$323,Ajustes!$G191,Q$2),0)+IF(Ajustes!$H191&gt;0,INDEX($AA$4:$AL$323,Ajustes!$H191,Q$2),0)+IF(Ajustes!$I191&gt;0,INDEX($AA$4:$AL$323,Ajustes!$I191,Q$2),0)+IF(Ajustes!$J191&gt;0,INDEX($AA$4:$AL$323,Ajustes!$J191,Q$2),0)+IF(Ajustes!$K191&gt;0,INDEX($AA$5:$AL$324,Ajustes!$K191,Q$2),0)+IF(Ajustes!$L191&gt;0,INDEX($AA$4:$AL$323,Ajustes!$L191,Q$2),0) + Q191</f>
        <v>501</v>
      </c>
      <c r="AD191">
        <f>IF(Ajustes!$G191&gt;0,INDEX($AA$4:$AL$323,Ajustes!$G191,R$2),0)+IF(Ajustes!$H191&gt;0,INDEX($AA$4:$AL$323,Ajustes!$H191,R$2),0)+IF(Ajustes!$I191&gt;0,INDEX($AA$4:$AL$323,Ajustes!$I191,R$2),0)+IF(Ajustes!$J191&gt;0,INDEX($AA$4:$AL$323,Ajustes!$J191,R$2),0)+IF(Ajustes!$K191&gt;0,INDEX($AA$5:$AL$324,Ajustes!$K191,R$2),0)+IF(Ajustes!$L191&gt;0,INDEX($AA$4:$AL$323,Ajustes!$L191,R$2),0) + R191</f>
        <v>344</v>
      </c>
      <c r="AE191">
        <f>IF(Ajustes!$G191&gt;0,INDEX($AA$4:$AL$323,Ajustes!$G191,S$2),0)+IF(Ajustes!$H191&gt;0,INDEX($AA$4:$AL$323,Ajustes!$H191,S$2),0)+IF(Ajustes!$I191&gt;0,INDEX($AA$4:$AL$323,Ajustes!$I191,S$2),0)+IF(Ajustes!$J191&gt;0,INDEX($AA$4:$AL$323,Ajustes!$J191,S$2),0)+IF(Ajustes!$K191&gt;0,INDEX($AA$5:$AL$324,Ajustes!$K191,S$2),0)+IF(Ajustes!$L191&gt;0,INDEX($AA$4:$AL$323,Ajustes!$L191,S$2),0) + S191</f>
        <v>209</v>
      </c>
      <c r="AF191">
        <f>IF(Ajustes!$G191&gt;0,INDEX($AA$4:$AL$323,Ajustes!$G191,T$2),0)+IF(Ajustes!$H191&gt;0,INDEX($AA$4:$AL$323,Ajustes!$H191,T$2),0)+IF(Ajustes!$I191&gt;0,INDEX($AA$4:$AL$323,Ajustes!$I191,T$2),0)+IF(Ajustes!$J191&gt;0,INDEX($AA$4:$AL$323,Ajustes!$J191,T$2),0)+IF(Ajustes!$K191&gt;0,INDEX($AA$5:$AL$324,Ajustes!$K191,T$2),0)+IF(Ajustes!$L191&gt;0,INDEX($AA$4:$AL$323,Ajustes!$L191,T$2),0) + T191</f>
        <v>166</v>
      </c>
      <c r="AG191">
        <f>IF(Ajustes!$G191&gt;0,INDEX($AA$4:$AL$323,Ajustes!$G191,U$2),0)+IF(Ajustes!$H191&gt;0,INDEX($AA$4:$AL$323,Ajustes!$H191,U$2),0)+IF(Ajustes!$I191&gt;0,INDEX($AA$4:$AL$323,Ajustes!$I191,U$2),0)+IF(Ajustes!$J191&gt;0,INDEX($AA$4:$AL$323,Ajustes!$J191,U$2),0)+IF(Ajustes!$K191&gt;0,INDEX($AA$5:$AL$324,Ajustes!$K191,U$2),0)+IF(Ajustes!$L191&gt;0,INDEX($AA$4:$AL$323,Ajustes!$L191,U$2),0) + U191</f>
        <v>140</v>
      </c>
      <c r="AH191">
        <f>IF(Ajustes!$G191&gt;0,INDEX($AA$4:$AL$323,Ajustes!$G191,V$2),0)+IF(Ajustes!$H191&gt;0,INDEX($AA$4:$AL$323,Ajustes!$H191,V$2),0)+IF(Ajustes!$I191&gt;0,INDEX($AA$4:$AL$323,Ajustes!$I191,V$2),0)+IF(Ajustes!$J191&gt;0,INDEX($AA$4:$AL$323,Ajustes!$J191,V$2),0)+IF(Ajustes!$K191&gt;0,INDEX($AA$5:$AL$324,Ajustes!$K191,V$2),0)+IF(Ajustes!$L191&gt;0,INDEX($AA$4:$AL$323,Ajustes!$L191,V$2),0) + V191</f>
        <v>118</v>
      </c>
      <c r="AI191">
        <f>IF(Ajustes!$G191&gt;0,INDEX($AA$4:$AL$323,Ajustes!$G191,W$2),0)+IF(Ajustes!$H191&gt;0,INDEX($AA$4:$AL$323,Ajustes!$H191,W$2),0)+IF(Ajustes!$I191&gt;0,INDEX($AA$4:$AL$323,Ajustes!$I191,W$2),0)+IF(Ajustes!$J191&gt;0,INDEX($AA$4:$AL$323,Ajustes!$J191,W$2),0)+IF(Ajustes!$K191&gt;0,INDEX($AA$5:$AL$324,Ajustes!$K191,W$2),0)+IF(Ajustes!$L191&gt;0,INDEX($AA$4:$AL$323,Ajustes!$L191,W$2),0) + W191</f>
        <v>108</v>
      </c>
      <c r="AJ191">
        <f>IF(Ajustes!$G191&gt;0,INDEX($AA$4:$AL$323,Ajustes!$G191,X$2),0)+IF(Ajustes!$H191&gt;0,INDEX($AA$4:$AL$323,Ajustes!$H191,X$2),0)+IF(Ajustes!$I191&gt;0,INDEX($AA$4:$AL$323,Ajustes!$I191,X$2),0)+IF(Ajustes!$J191&gt;0,INDEX($AA$4:$AL$323,Ajustes!$J191,X$2),0)+IF(Ajustes!$K191&gt;0,INDEX($AA$5:$AL$324,Ajustes!$K191,X$2),0)+IF(Ajustes!$L191&gt;0,INDEX($AA$4:$AL$323,Ajustes!$L191,X$2),0) + X191</f>
        <v>173</v>
      </c>
      <c r="AK191">
        <f>IF(Ajustes!$G191&gt;0,INDEX($AA$4:$AL$323,Ajustes!$G191,Y$2),0)+IF(Ajustes!$H191&gt;0,INDEX($AA$4:$AL$323,Ajustes!$H191,Y$2),0)+IF(Ajustes!$I191&gt;0,INDEX($AA$4:$AL$323,Ajustes!$I191,Y$2),0)+IF(Ajustes!$J191&gt;0,INDEX($AA$4:$AL$323,Ajustes!$J191,Y$2),0)+IF(Ajustes!$K191&gt;0,INDEX($AA$5:$AL$324,Ajustes!$K191,Y$2),0)+IF(Ajustes!$L191&gt;0,INDEX($AA$4:$AL$323,Ajustes!$L191,Y$2),0) + Y191</f>
        <v>474</v>
      </c>
      <c r="AL191">
        <f>IF(Ajustes!$G191&gt;0,INDEX($AA$4:$AL$323,Ajustes!$G191,Z$2),0)+IF(Ajustes!$H191&gt;0,INDEX($AA$4:$AL$323,Ajustes!$H191,Z$2),0)+IF(Ajustes!$I191&gt;0,INDEX($AA$4:$AL$323,Ajustes!$I191,Z$2),0)+IF(Ajustes!$J191&gt;0,INDEX($AA$4:$AL$323,Ajustes!$J191,Z$2),0)+IF(Ajustes!$K191&gt;0,INDEX($AA$5:$AL$324,Ajustes!$K191,Z$2),0)+IF(Ajustes!$L191&gt;0,INDEX($AA$4:$AL$323,Ajustes!$L191,Z$2),0) + Z191</f>
        <v>892</v>
      </c>
      <c r="AM191" s="113">
        <f t="shared" si="39"/>
        <v>826</v>
      </c>
      <c r="AN191" s="113">
        <f t="shared" si="39"/>
        <v>606</v>
      </c>
      <c r="AO191" s="113">
        <f t="shared" si="39"/>
        <v>501</v>
      </c>
      <c r="AP191" s="113">
        <f t="shared" si="39"/>
        <v>344</v>
      </c>
      <c r="AQ191" s="113">
        <f t="shared" si="42"/>
        <v>209</v>
      </c>
      <c r="AR191" s="113">
        <f t="shared" si="40"/>
        <v>166</v>
      </c>
      <c r="AS191" s="113">
        <f t="shared" si="40"/>
        <v>140</v>
      </c>
      <c r="AT191" s="113">
        <f t="shared" si="40"/>
        <v>118</v>
      </c>
      <c r="AU191" s="113">
        <f t="shared" si="40"/>
        <v>108</v>
      </c>
      <c r="AV191" s="113">
        <f t="shared" si="43"/>
        <v>173</v>
      </c>
      <c r="AW191" s="113">
        <f t="shared" si="41"/>
        <v>474</v>
      </c>
      <c r="AX191" s="113">
        <f t="shared" si="41"/>
        <v>892</v>
      </c>
    </row>
    <row r="192" spans="1:50" x14ac:dyDescent="0.25">
      <c r="A192" s="113">
        <v>189</v>
      </c>
      <c r="B192" s="209"/>
      <c r="C192">
        <f>IFERROR(INDEX($BD$7:$BO$35,MATCH(Ajustes!$E$4:$E$323,$BC$7:$BC$35,0),$C$2:$N$2),1)</f>
        <v>1</v>
      </c>
      <c r="D192" s="113">
        <f>IFERROR(INDEX($BD$7:$BO$35,MATCH(Ajustes!$E$4:$E$323,$BC$7:$BC$35,0),$C$2:$N$2),1)</f>
        <v>1</v>
      </c>
      <c r="E192" s="113">
        <f>IFERROR(INDEX($BD$7:$BO$35,MATCH(Ajustes!$E$4:$E$323,$BC$7:$BC$35,0),$C$2:$N$2),1)</f>
        <v>1</v>
      </c>
      <c r="F192" s="113">
        <f>IFERROR(INDEX($BD$7:$BO$35,MATCH(Ajustes!$E$4:$E$323,$BC$7:$BC$35,0),$C$2:$N$2),1)</f>
        <v>1</v>
      </c>
      <c r="G192" s="113">
        <f>IFERROR(INDEX($BD$7:$BO$35,MATCH(Ajustes!$E$4:$E$323,$BC$7:$BC$35,0),$C$2:$N$2),1)</f>
        <v>1</v>
      </c>
      <c r="H192" s="113">
        <f>IFERROR(INDEX($BD$7:$BO$35,MATCH(Ajustes!$E$4:$E$323,$BC$7:$BC$35,0),$C$2:$N$2),1)</f>
        <v>1</v>
      </c>
      <c r="I192" s="113">
        <f>IFERROR(INDEX($BD$7:$BO$35,MATCH(Ajustes!$E$4:$E$323,$BC$7:$BC$35,0),$C$2:$N$2),1)</f>
        <v>1</v>
      </c>
      <c r="J192" s="113">
        <f>IFERROR(INDEX($BD$7:$BO$35,MATCH(Ajustes!$E$4:$E$323,$BC$7:$BC$35,0),$C$2:$N$2),1)</f>
        <v>1</v>
      </c>
      <c r="K192" s="113">
        <f>IFERROR(INDEX($BD$7:$BO$35,MATCH(Ajustes!$E$4:$E$323,$BC$7:$BC$35,0),$C$2:$N$2),1)</f>
        <v>1</v>
      </c>
      <c r="L192" s="113">
        <f>IFERROR(INDEX($BD$7:$BO$35,MATCH(Ajustes!$E$4:$E$323,$BC$7:$BC$35,0),$C$2:$N$2),1)</f>
        <v>1</v>
      </c>
      <c r="M192" s="113">
        <f>IFERROR(INDEX($BD$7:$BO$35,MATCH(Ajustes!$E$4:$E$323,$BC$7:$BC$35,0),$C$2:$N$2),1)</f>
        <v>1</v>
      </c>
      <c r="N192" s="113">
        <f>IFERROR(INDEX($BD$7:$BO$35,MATCH(Ajustes!$E$4:$E$323,$BC$7:$BC$35,0),$C$2:$N$2),1)</f>
        <v>1</v>
      </c>
      <c r="O192">
        <f>C192*Ajustes!AM192</f>
        <v>0</v>
      </c>
      <c r="P192">
        <f>D192*Ajustes!AN192</f>
        <v>0</v>
      </c>
      <c r="Q192">
        <f>E192*Ajustes!AO192</f>
        <v>0</v>
      </c>
      <c r="R192">
        <f>F192*Ajustes!AP192</f>
        <v>0</v>
      </c>
      <c r="S192">
        <f>G192*Ajustes!AQ192</f>
        <v>0</v>
      </c>
      <c r="T192">
        <f>H192*Ajustes!AR192</f>
        <v>0</v>
      </c>
      <c r="U192">
        <f>I192*Ajustes!AS192</f>
        <v>0</v>
      </c>
      <c r="V192">
        <f>J192*Ajustes!AT192</f>
        <v>0</v>
      </c>
      <c r="W192">
        <f>K192*Ajustes!AU192</f>
        <v>0</v>
      </c>
      <c r="X192">
        <f>L192*Ajustes!AV192</f>
        <v>0</v>
      </c>
      <c r="Y192">
        <f>M192*Ajustes!AW192</f>
        <v>0</v>
      </c>
      <c r="Z192">
        <f>N192*Ajustes!AX192</f>
        <v>0</v>
      </c>
      <c r="AA192">
        <f>IF(Ajustes!$G192&gt;0,INDEX($AA$4:$AL$323,Ajustes!$G192,O$2),0)+IF(Ajustes!$H192&gt;0,INDEX($AA$4:$AL$323,Ajustes!$H192,O$2),0)+IF(Ajustes!$I192&gt;0,INDEX($AA$4:$AL$323,Ajustes!$I192,O$2),0)+IF(Ajustes!$J192&gt;0,INDEX($AA$4:$AL$323,Ajustes!$J192,O$2),0)+IF(Ajustes!$K192&gt;0,INDEX($AA$5:$AL$324,Ajustes!$K192,O$2),0)+IF(Ajustes!$L192&gt;0,INDEX($AA$4:$AL$323,Ajustes!$L192,O$2),0) + O192</f>
        <v>0</v>
      </c>
      <c r="AB192">
        <f>IF(Ajustes!$G192&gt;0,INDEX($AA$4:$AL$323,Ajustes!$G192,P$2),0)+IF(Ajustes!$H192&gt;0,INDEX($AA$4:$AL$323,Ajustes!$H192,P$2),0)+IF(Ajustes!$I192&gt;0,INDEX($AA$4:$AL$323,Ajustes!$I192,P$2),0)+IF(Ajustes!$J192&gt;0,INDEX($AA$4:$AL$323,Ajustes!$J192,P$2),0)+IF(Ajustes!$K192&gt;0,INDEX($AA$5:$AL$324,Ajustes!$K192,P$2),0)+IF(Ajustes!$L192&gt;0,INDEX($AA$4:$AL$323,Ajustes!$L192,P$2),0) + P192</f>
        <v>0</v>
      </c>
      <c r="AC192">
        <f>IF(Ajustes!$G192&gt;0,INDEX($AA$4:$AL$323,Ajustes!$G192,Q$2),0)+IF(Ajustes!$H192&gt;0,INDEX($AA$4:$AL$323,Ajustes!$H192,Q$2),0)+IF(Ajustes!$I192&gt;0,INDEX($AA$4:$AL$323,Ajustes!$I192,Q$2),0)+IF(Ajustes!$J192&gt;0,INDEX($AA$4:$AL$323,Ajustes!$J192,Q$2),0)+IF(Ajustes!$K192&gt;0,INDEX($AA$5:$AL$324,Ajustes!$K192,Q$2),0)+IF(Ajustes!$L192&gt;0,INDEX($AA$4:$AL$323,Ajustes!$L192,Q$2),0) + Q192</f>
        <v>0</v>
      </c>
      <c r="AD192">
        <f>IF(Ajustes!$G192&gt;0,INDEX($AA$4:$AL$323,Ajustes!$G192,R$2),0)+IF(Ajustes!$H192&gt;0,INDEX($AA$4:$AL$323,Ajustes!$H192,R$2),0)+IF(Ajustes!$I192&gt;0,INDEX($AA$4:$AL$323,Ajustes!$I192,R$2),0)+IF(Ajustes!$J192&gt;0,INDEX($AA$4:$AL$323,Ajustes!$J192,R$2),0)+IF(Ajustes!$K192&gt;0,INDEX($AA$5:$AL$324,Ajustes!$K192,R$2),0)+IF(Ajustes!$L192&gt;0,INDEX($AA$4:$AL$323,Ajustes!$L192,R$2),0) + R192</f>
        <v>0</v>
      </c>
      <c r="AE192">
        <f>IF(Ajustes!$G192&gt;0,INDEX($AA$4:$AL$323,Ajustes!$G192,S$2),0)+IF(Ajustes!$H192&gt;0,INDEX($AA$4:$AL$323,Ajustes!$H192,S$2),0)+IF(Ajustes!$I192&gt;0,INDEX($AA$4:$AL$323,Ajustes!$I192,S$2),0)+IF(Ajustes!$J192&gt;0,INDEX($AA$4:$AL$323,Ajustes!$J192,S$2),0)+IF(Ajustes!$K192&gt;0,INDEX($AA$5:$AL$324,Ajustes!$K192,S$2),0)+IF(Ajustes!$L192&gt;0,INDEX($AA$4:$AL$323,Ajustes!$L192,S$2),0) + S192</f>
        <v>0</v>
      </c>
      <c r="AF192">
        <f>IF(Ajustes!$G192&gt;0,INDEX($AA$4:$AL$323,Ajustes!$G192,T$2),0)+IF(Ajustes!$H192&gt;0,INDEX($AA$4:$AL$323,Ajustes!$H192,T$2),0)+IF(Ajustes!$I192&gt;0,INDEX($AA$4:$AL$323,Ajustes!$I192,T$2),0)+IF(Ajustes!$J192&gt;0,INDEX($AA$4:$AL$323,Ajustes!$J192,T$2),0)+IF(Ajustes!$K192&gt;0,INDEX($AA$5:$AL$324,Ajustes!$K192,T$2),0)+IF(Ajustes!$L192&gt;0,INDEX($AA$4:$AL$323,Ajustes!$L192,T$2),0) + T192</f>
        <v>0</v>
      </c>
      <c r="AG192">
        <f>IF(Ajustes!$G192&gt;0,INDEX($AA$4:$AL$323,Ajustes!$G192,U$2),0)+IF(Ajustes!$H192&gt;0,INDEX($AA$4:$AL$323,Ajustes!$H192,U$2),0)+IF(Ajustes!$I192&gt;0,INDEX($AA$4:$AL$323,Ajustes!$I192,U$2),0)+IF(Ajustes!$J192&gt;0,INDEX($AA$4:$AL$323,Ajustes!$J192,U$2),0)+IF(Ajustes!$K192&gt;0,INDEX($AA$5:$AL$324,Ajustes!$K192,U$2),0)+IF(Ajustes!$L192&gt;0,INDEX($AA$4:$AL$323,Ajustes!$L192,U$2),0) + U192</f>
        <v>0</v>
      </c>
      <c r="AH192">
        <f>IF(Ajustes!$G192&gt;0,INDEX($AA$4:$AL$323,Ajustes!$G192,V$2),0)+IF(Ajustes!$H192&gt;0,INDEX($AA$4:$AL$323,Ajustes!$H192,V$2),0)+IF(Ajustes!$I192&gt;0,INDEX($AA$4:$AL$323,Ajustes!$I192,V$2),0)+IF(Ajustes!$J192&gt;0,INDEX($AA$4:$AL$323,Ajustes!$J192,V$2),0)+IF(Ajustes!$K192&gt;0,INDEX($AA$5:$AL$324,Ajustes!$K192,V$2),0)+IF(Ajustes!$L192&gt;0,INDEX($AA$4:$AL$323,Ajustes!$L192,V$2),0) + V192</f>
        <v>0</v>
      </c>
      <c r="AI192">
        <f>IF(Ajustes!$G192&gt;0,INDEX($AA$4:$AL$323,Ajustes!$G192,W$2),0)+IF(Ajustes!$H192&gt;0,INDEX($AA$4:$AL$323,Ajustes!$H192,W$2),0)+IF(Ajustes!$I192&gt;0,INDEX($AA$4:$AL$323,Ajustes!$I192,W$2),0)+IF(Ajustes!$J192&gt;0,INDEX($AA$4:$AL$323,Ajustes!$J192,W$2),0)+IF(Ajustes!$K192&gt;0,INDEX($AA$5:$AL$324,Ajustes!$K192,W$2),0)+IF(Ajustes!$L192&gt;0,INDEX($AA$4:$AL$323,Ajustes!$L192,W$2),0) + W192</f>
        <v>0</v>
      </c>
      <c r="AJ192">
        <f>IF(Ajustes!$G192&gt;0,INDEX($AA$4:$AL$323,Ajustes!$G192,X$2),0)+IF(Ajustes!$H192&gt;0,INDEX($AA$4:$AL$323,Ajustes!$H192,X$2),0)+IF(Ajustes!$I192&gt;0,INDEX($AA$4:$AL$323,Ajustes!$I192,X$2),0)+IF(Ajustes!$J192&gt;0,INDEX($AA$4:$AL$323,Ajustes!$J192,X$2),0)+IF(Ajustes!$K192&gt;0,INDEX($AA$5:$AL$324,Ajustes!$K192,X$2),0)+IF(Ajustes!$L192&gt;0,INDEX($AA$4:$AL$323,Ajustes!$L192,X$2),0) + X192</f>
        <v>0</v>
      </c>
      <c r="AK192">
        <f>IF(Ajustes!$G192&gt;0,INDEX($AA$4:$AL$323,Ajustes!$G192,Y$2),0)+IF(Ajustes!$H192&gt;0,INDEX($AA$4:$AL$323,Ajustes!$H192,Y$2),0)+IF(Ajustes!$I192&gt;0,INDEX($AA$4:$AL$323,Ajustes!$I192,Y$2),0)+IF(Ajustes!$J192&gt;0,INDEX($AA$4:$AL$323,Ajustes!$J192,Y$2),0)+IF(Ajustes!$K192&gt;0,INDEX($AA$5:$AL$324,Ajustes!$K192,Y$2),0)+IF(Ajustes!$L192&gt;0,INDEX($AA$4:$AL$323,Ajustes!$L192,Y$2),0) + Y192</f>
        <v>0</v>
      </c>
      <c r="AL192">
        <f>IF(Ajustes!$G192&gt;0,INDEX($AA$4:$AL$323,Ajustes!$G192,Z$2),0)+IF(Ajustes!$H192&gt;0,INDEX($AA$4:$AL$323,Ajustes!$H192,Z$2),0)+IF(Ajustes!$I192&gt;0,INDEX($AA$4:$AL$323,Ajustes!$I192,Z$2),0)+IF(Ajustes!$J192&gt;0,INDEX($AA$4:$AL$323,Ajustes!$J192,Z$2),0)+IF(Ajustes!$K192&gt;0,INDEX($AA$5:$AL$324,Ajustes!$K192,Z$2),0)+IF(Ajustes!$L192&gt;0,INDEX($AA$4:$AL$323,Ajustes!$L192,Z$2),0) + Z192</f>
        <v>0</v>
      </c>
      <c r="AM192" s="113">
        <f t="shared" si="39"/>
        <v>0</v>
      </c>
      <c r="AN192" s="113">
        <f t="shared" si="39"/>
        <v>0</v>
      </c>
      <c r="AO192" s="113">
        <f t="shared" si="39"/>
        <v>0</v>
      </c>
      <c r="AP192" s="113">
        <f t="shared" si="39"/>
        <v>0</v>
      </c>
      <c r="AQ192" s="113">
        <f t="shared" si="42"/>
        <v>0</v>
      </c>
      <c r="AR192" s="113">
        <f t="shared" si="40"/>
        <v>0</v>
      </c>
      <c r="AS192" s="113">
        <f t="shared" si="40"/>
        <v>0</v>
      </c>
      <c r="AT192" s="113">
        <f t="shared" si="40"/>
        <v>0</v>
      </c>
      <c r="AU192" s="113">
        <f t="shared" si="40"/>
        <v>0</v>
      </c>
      <c r="AV192" s="113">
        <f t="shared" si="43"/>
        <v>0</v>
      </c>
      <c r="AW192" s="113">
        <f t="shared" si="41"/>
        <v>0</v>
      </c>
      <c r="AX192" s="113">
        <f t="shared" si="41"/>
        <v>0</v>
      </c>
    </row>
    <row r="193" spans="1:50" x14ac:dyDescent="0.25">
      <c r="A193" s="113">
        <v>190</v>
      </c>
      <c r="B193" s="209" t="s">
        <v>216</v>
      </c>
      <c r="C193">
        <f>IFERROR(INDEX($BD$7:$BO$35,MATCH(Ajustes!$E$4:$E$323,$BC$7:$BC$35,0),$C$2:$N$2),1)</f>
        <v>1</v>
      </c>
      <c r="D193" s="113">
        <f>IFERROR(INDEX($BD$7:$BO$35,MATCH(Ajustes!$E$4:$E$323,$BC$7:$BC$35,0),$C$2:$N$2),1)</f>
        <v>1</v>
      </c>
      <c r="E193" s="113">
        <f>IFERROR(INDEX($BD$7:$BO$35,MATCH(Ajustes!$E$4:$E$323,$BC$7:$BC$35,0),$C$2:$N$2),1)</f>
        <v>1</v>
      </c>
      <c r="F193" s="113">
        <f>IFERROR(INDEX($BD$7:$BO$35,MATCH(Ajustes!$E$4:$E$323,$BC$7:$BC$35,0),$C$2:$N$2),1)</f>
        <v>1</v>
      </c>
      <c r="G193" s="113">
        <f>IFERROR(INDEX($BD$7:$BO$35,MATCH(Ajustes!$E$4:$E$323,$BC$7:$BC$35,0),$C$2:$N$2),1)</f>
        <v>1</v>
      </c>
      <c r="H193" s="113">
        <f>IFERROR(INDEX($BD$7:$BO$35,MATCH(Ajustes!$E$4:$E$323,$BC$7:$BC$35,0),$C$2:$N$2),1)</f>
        <v>1</v>
      </c>
      <c r="I193" s="113">
        <f>IFERROR(INDEX($BD$7:$BO$35,MATCH(Ajustes!$E$4:$E$323,$BC$7:$BC$35,0),$C$2:$N$2),1)</f>
        <v>1</v>
      </c>
      <c r="J193" s="113">
        <f>IFERROR(INDEX($BD$7:$BO$35,MATCH(Ajustes!$E$4:$E$323,$BC$7:$BC$35,0),$C$2:$N$2),1)</f>
        <v>1</v>
      </c>
      <c r="K193" s="113">
        <f>IFERROR(INDEX($BD$7:$BO$35,MATCH(Ajustes!$E$4:$E$323,$BC$7:$BC$35,0),$C$2:$N$2),1)</f>
        <v>1</v>
      </c>
      <c r="L193" s="113">
        <f>IFERROR(INDEX($BD$7:$BO$35,MATCH(Ajustes!$E$4:$E$323,$BC$7:$BC$35,0),$C$2:$N$2),1)</f>
        <v>1</v>
      </c>
      <c r="M193" s="113">
        <f>IFERROR(INDEX($BD$7:$BO$35,MATCH(Ajustes!$E$4:$E$323,$BC$7:$BC$35,0),$C$2:$N$2),1)</f>
        <v>1</v>
      </c>
      <c r="N193" s="113">
        <f>IFERROR(INDEX($BD$7:$BO$35,MATCH(Ajustes!$E$4:$E$323,$BC$7:$BC$35,0),$C$2:$N$2),1)</f>
        <v>1</v>
      </c>
      <c r="O193">
        <f>C193*Ajustes!AM193</f>
        <v>654</v>
      </c>
      <c r="P193">
        <f>D193*Ajustes!AN193</f>
        <v>726</v>
      </c>
      <c r="Q193">
        <f>E193*Ajustes!AO193</f>
        <v>770</v>
      </c>
      <c r="R193">
        <f>F193*Ajustes!AP193</f>
        <v>680</v>
      </c>
      <c r="S193">
        <f>G193*Ajustes!AQ193</f>
        <v>440</v>
      </c>
      <c r="T193">
        <f>H193*Ajustes!AR193</f>
        <v>305</v>
      </c>
      <c r="U193">
        <f>I193*Ajustes!AS193</f>
        <v>263</v>
      </c>
      <c r="V193">
        <f>J193*Ajustes!AT193</f>
        <v>241</v>
      </c>
      <c r="W193">
        <f>K193*Ajustes!AU193</f>
        <v>236</v>
      </c>
      <c r="X193">
        <f>L193*Ajustes!AV193</f>
        <v>288</v>
      </c>
      <c r="Y193">
        <f>M193*Ajustes!AW193</f>
        <v>400</v>
      </c>
      <c r="Z193">
        <f>N193*Ajustes!AX193</f>
        <v>533</v>
      </c>
      <c r="AA193">
        <f>IF(Ajustes!$G193&gt;0,INDEX($AA$4:$AL$323,Ajustes!$G193,O$2),0)+IF(Ajustes!$H193&gt;0,INDEX($AA$4:$AL$323,Ajustes!$H193,O$2),0)+IF(Ajustes!$I193&gt;0,INDEX($AA$4:$AL$323,Ajustes!$I193,O$2),0)+IF(Ajustes!$J193&gt;0,INDEX($AA$4:$AL$323,Ajustes!$J193,O$2),0)+IF(Ajustes!$K193&gt;0,INDEX($AA$5:$AL$324,Ajustes!$K193,O$2),0)+IF(Ajustes!$L193&gt;0,INDEX($AA$4:$AL$323,Ajustes!$L193,O$2),0) + O193</f>
        <v>654</v>
      </c>
      <c r="AB193">
        <f>IF(Ajustes!$G193&gt;0,INDEX($AA$4:$AL$323,Ajustes!$G193,P$2),0)+IF(Ajustes!$H193&gt;0,INDEX($AA$4:$AL$323,Ajustes!$H193,P$2),0)+IF(Ajustes!$I193&gt;0,INDEX($AA$4:$AL$323,Ajustes!$I193,P$2),0)+IF(Ajustes!$J193&gt;0,INDEX($AA$4:$AL$323,Ajustes!$J193,P$2),0)+IF(Ajustes!$K193&gt;0,INDEX($AA$5:$AL$324,Ajustes!$K193,P$2),0)+IF(Ajustes!$L193&gt;0,INDEX($AA$4:$AL$323,Ajustes!$L193,P$2),0) + P193</f>
        <v>726</v>
      </c>
      <c r="AC193">
        <f>IF(Ajustes!$G193&gt;0,INDEX($AA$4:$AL$323,Ajustes!$G193,Q$2),0)+IF(Ajustes!$H193&gt;0,INDEX($AA$4:$AL$323,Ajustes!$H193,Q$2),0)+IF(Ajustes!$I193&gt;0,INDEX($AA$4:$AL$323,Ajustes!$I193,Q$2),0)+IF(Ajustes!$J193&gt;0,INDEX($AA$4:$AL$323,Ajustes!$J193,Q$2),0)+IF(Ajustes!$K193&gt;0,INDEX($AA$5:$AL$324,Ajustes!$K193,Q$2),0)+IF(Ajustes!$L193&gt;0,INDEX($AA$4:$AL$323,Ajustes!$L193,Q$2),0) + Q193</f>
        <v>770</v>
      </c>
      <c r="AD193">
        <f>IF(Ajustes!$G193&gt;0,INDEX($AA$4:$AL$323,Ajustes!$G193,R$2),0)+IF(Ajustes!$H193&gt;0,INDEX($AA$4:$AL$323,Ajustes!$H193,R$2),0)+IF(Ajustes!$I193&gt;0,INDEX($AA$4:$AL$323,Ajustes!$I193,R$2),0)+IF(Ajustes!$J193&gt;0,INDEX($AA$4:$AL$323,Ajustes!$J193,R$2),0)+IF(Ajustes!$K193&gt;0,INDEX($AA$5:$AL$324,Ajustes!$K193,R$2),0)+IF(Ajustes!$L193&gt;0,INDEX($AA$4:$AL$323,Ajustes!$L193,R$2),0) + R193</f>
        <v>680</v>
      </c>
      <c r="AE193">
        <f>IF(Ajustes!$G193&gt;0,INDEX($AA$4:$AL$323,Ajustes!$G193,S$2),0)+IF(Ajustes!$H193&gt;0,INDEX($AA$4:$AL$323,Ajustes!$H193,S$2),0)+IF(Ajustes!$I193&gt;0,INDEX($AA$4:$AL$323,Ajustes!$I193,S$2),0)+IF(Ajustes!$J193&gt;0,INDEX($AA$4:$AL$323,Ajustes!$J193,S$2),0)+IF(Ajustes!$K193&gt;0,INDEX($AA$5:$AL$324,Ajustes!$K193,S$2),0)+IF(Ajustes!$L193&gt;0,INDEX($AA$4:$AL$323,Ajustes!$L193,S$2),0) + S193</f>
        <v>440</v>
      </c>
      <c r="AF193">
        <f>IF(Ajustes!$G193&gt;0,INDEX($AA$4:$AL$323,Ajustes!$G193,T$2),0)+IF(Ajustes!$H193&gt;0,INDEX($AA$4:$AL$323,Ajustes!$H193,T$2),0)+IF(Ajustes!$I193&gt;0,INDEX($AA$4:$AL$323,Ajustes!$I193,T$2),0)+IF(Ajustes!$J193&gt;0,INDEX($AA$4:$AL$323,Ajustes!$J193,T$2),0)+IF(Ajustes!$K193&gt;0,INDEX($AA$5:$AL$324,Ajustes!$K193,T$2),0)+IF(Ajustes!$L193&gt;0,INDEX($AA$4:$AL$323,Ajustes!$L193,T$2),0) + T193</f>
        <v>305</v>
      </c>
      <c r="AG193">
        <f>IF(Ajustes!$G193&gt;0,INDEX($AA$4:$AL$323,Ajustes!$G193,U$2),0)+IF(Ajustes!$H193&gt;0,INDEX($AA$4:$AL$323,Ajustes!$H193,U$2),0)+IF(Ajustes!$I193&gt;0,INDEX($AA$4:$AL$323,Ajustes!$I193,U$2),0)+IF(Ajustes!$J193&gt;0,INDEX($AA$4:$AL$323,Ajustes!$J193,U$2),0)+IF(Ajustes!$K193&gt;0,INDEX($AA$5:$AL$324,Ajustes!$K193,U$2),0)+IF(Ajustes!$L193&gt;0,INDEX($AA$4:$AL$323,Ajustes!$L193,U$2),0) + U193</f>
        <v>263</v>
      </c>
      <c r="AH193">
        <f>IF(Ajustes!$G193&gt;0,INDEX($AA$4:$AL$323,Ajustes!$G193,V$2),0)+IF(Ajustes!$H193&gt;0,INDEX($AA$4:$AL$323,Ajustes!$H193,V$2),0)+IF(Ajustes!$I193&gt;0,INDEX($AA$4:$AL$323,Ajustes!$I193,V$2),0)+IF(Ajustes!$J193&gt;0,INDEX($AA$4:$AL$323,Ajustes!$J193,V$2),0)+IF(Ajustes!$K193&gt;0,INDEX($AA$5:$AL$324,Ajustes!$K193,V$2),0)+IF(Ajustes!$L193&gt;0,INDEX($AA$4:$AL$323,Ajustes!$L193,V$2),0) + V193</f>
        <v>241</v>
      </c>
      <c r="AI193">
        <f>IF(Ajustes!$G193&gt;0,INDEX($AA$4:$AL$323,Ajustes!$G193,W$2),0)+IF(Ajustes!$H193&gt;0,INDEX($AA$4:$AL$323,Ajustes!$H193,W$2),0)+IF(Ajustes!$I193&gt;0,INDEX($AA$4:$AL$323,Ajustes!$I193,W$2),0)+IF(Ajustes!$J193&gt;0,INDEX($AA$4:$AL$323,Ajustes!$J193,W$2),0)+IF(Ajustes!$K193&gt;0,INDEX($AA$5:$AL$324,Ajustes!$K193,W$2),0)+IF(Ajustes!$L193&gt;0,INDEX($AA$4:$AL$323,Ajustes!$L193,W$2),0) + W193</f>
        <v>236</v>
      </c>
      <c r="AJ193">
        <f>IF(Ajustes!$G193&gt;0,INDEX($AA$4:$AL$323,Ajustes!$G193,X$2),0)+IF(Ajustes!$H193&gt;0,INDEX($AA$4:$AL$323,Ajustes!$H193,X$2),0)+IF(Ajustes!$I193&gt;0,INDEX($AA$4:$AL$323,Ajustes!$I193,X$2),0)+IF(Ajustes!$J193&gt;0,INDEX($AA$4:$AL$323,Ajustes!$J193,X$2),0)+IF(Ajustes!$K193&gt;0,INDEX($AA$5:$AL$324,Ajustes!$K193,X$2),0)+IF(Ajustes!$L193&gt;0,INDEX($AA$4:$AL$323,Ajustes!$L193,X$2),0) + X193</f>
        <v>288</v>
      </c>
      <c r="AK193">
        <f>IF(Ajustes!$G193&gt;0,INDEX($AA$4:$AL$323,Ajustes!$G193,Y$2),0)+IF(Ajustes!$H193&gt;0,INDEX($AA$4:$AL$323,Ajustes!$H193,Y$2),0)+IF(Ajustes!$I193&gt;0,INDEX($AA$4:$AL$323,Ajustes!$I193,Y$2),0)+IF(Ajustes!$J193&gt;0,INDEX($AA$4:$AL$323,Ajustes!$J193,Y$2),0)+IF(Ajustes!$K193&gt;0,INDEX($AA$5:$AL$324,Ajustes!$K193,Y$2),0)+IF(Ajustes!$L193&gt;0,INDEX($AA$4:$AL$323,Ajustes!$L193,Y$2),0) + Y193</f>
        <v>400</v>
      </c>
      <c r="AL193">
        <f>IF(Ajustes!$G193&gt;0,INDEX($AA$4:$AL$323,Ajustes!$G193,Z$2),0)+IF(Ajustes!$H193&gt;0,INDEX($AA$4:$AL$323,Ajustes!$H193,Z$2),0)+IF(Ajustes!$I193&gt;0,INDEX($AA$4:$AL$323,Ajustes!$I193,Z$2),0)+IF(Ajustes!$J193&gt;0,INDEX($AA$4:$AL$323,Ajustes!$J193,Z$2),0)+IF(Ajustes!$K193&gt;0,INDEX($AA$5:$AL$324,Ajustes!$K193,Z$2),0)+IF(Ajustes!$L193&gt;0,INDEX($AA$4:$AL$323,Ajustes!$L193,Z$2),0) + Z193</f>
        <v>533</v>
      </c>
      <c r="AM193" s="113">
        <f t="shared" si="39"/>
        <v>654</v>
      </c>
      <c r="AN193" s="113">
        <f t="shared" si="39"/>
        <v>726</v>
      </c>
      <c r="AO193" s="113">
        <f t="shared" si="39"/>
        <v>770</v>
      </c>
      <c r="AP193" s="113">
        <f t="shared" si="39"/>
        <v>680</v>
      </c>
      <c r="AQ193" s="113">
        <f t="shared" si="42"/>
        <v>440</v>
      </c>
      <c r="AR193" s="113">
        <f t="shared" si="40"/>
        <v>305</v>
      </c>
      <c r="AS193" s="113">
        <f t="shared" si="40"/>
        <v>263</v>
      </c>
      <c r="AT193" s="113">
        <f t="shared" si="40"/>
        <v>241</v>
      </c>
      <c r="AU193" s="113">
        <f t="shared" si="40"/>
        <v>236</v>
      </c>
      <c r="AV193" s="113">
        <f t="shared" si="43"/>
        <v>288</v>
      </c>
      <c r="AW193" s="113">
        <f t="shared" si="41"/>
        <v>400</v>
      </c>
      <c r="AX193" s="113">
        <f t="shared" si="41"/>
        <v>533</v>
      </c>
    </row>
    <row r="194" spans="1:50" x14ac:dyDescent="0.25">
      <c r="A194" s="113">
        <v>191</v>
      </c>
      <c r="B194" s="209" t="s">
        <v>626</v>
      </c>
      <c r="C194">
        <f>IFERROR(INDEX($BD$7:$BO$35,MATCH(Ajustes!$E$4:$E$323,$BC$7:$BC$35,0),$C$2:$N$2),1)</f>
        <v>1</v>
      </c>
      <c r="D194" s="113">
        <f>IFERROR(INDEX($BD$7:$BO$35,MATCH(Ajustes!$E$4:$E$323,$BC$7:$BC$35,0),$C$2:$N$2),1)</f>
        <v>1</v>
      </c>
      <c r="E194" s="113">
        <f>IFERROR(INDEX($BD$7:$BO$35,MATCH(Ajustes!$E$4:$E$323,$BC$7:$BC$35,0),$C$2:$N$2),1)</f>
        <v>1</v>
      </c>
      <c r="F194" s="113">
        <f>IFERROR(INDEX($BD$7:$BO$35,MATCH(Ajustes!$E$4:$E$323,$BC$7:$BC$35,0),$C$2:$N$2),1)</f>
        <v>1</v>
      </c>
      <c r="G194" s="113">
        <f>IFERROR(INDEX($BD$7:$BO$35,MATCH(Ajustes!$E$4:$E$323,$BC$7:$BC$35,0),$C$2:$N$2),1)</f>
        <v>1</v>
      </c>
      <c r="H194" s="113">
        <f>IFERROR(INDEX($BD$7:$BO$35,MATCH(Ajustes!$E$4:$E$323,$BC$7:$BC$35,0),$C$2:$N$2),1)</f>
        <v>1</v>
      </c>
      <c r="I194" s="113">
        <f>IFERROR(INDEX($BD$7:$BO$35,MATCH(Ajustes!$E$4:$E$323,$BC$7:$BC$35,0),$C$2:$N$2),1)</f>
        <v>1</v>
      </c>
      <c r="J194" s="113">
        <f>IFERROR(INDEX($BD$7:$BO$35,MATCH(Ajustes!$E$4:$E$323,$BC$7:$BC$35,0),$C$2:$N$2),1)</f>
        <v>1</v>
      </c>
      <c r="K194" s="113">
        <f>IFERROR(INDEX($BD$7:$BO$35,MATCH(Ajustes!$E$4:$E$323,$BC$7:$BC$35,0),$C$2:$N$2),1)</f>
        <v>1</v>
      </c>
      <c r="L194" s="113">
        <f>IFERROR(INDEX($BD$7:$BO$35,MATCH(Ajustes!$E$4:$E$323,$BC$7:$BC$35,0),$C$2:$N$2),1)</f>
        <v>1</v>
      </c>
      <c r="M194" s="113">
        <f>IFERROR(INDEX($BD$7:$BO$35,MATCH(Ajustes!$E$4:$E$323,$BC$7:$BC$35,0),$C$2:$N$2),1)</f>
        <v>1</v>
      </c>
      <c r="N194" s="113">
        <f>IFERROR(INDEX($BD$7:$BO$35,MATCH(Ajustes!$E$4:$E$323,$BC$7:$BC$35,0),$C$2:$N$2),1)</f>
        <v>1</v>
      </c>
      <c r="O194">
        <f>C194*Ajustes!AM194</f>
        <v>165</v>
      </c>
      <c r="P194">
        <f>D194*Ajustes!AN194</f>
        <v>184</v>
      </c>
      <c r="Q194">
        <f>E194*Ajustes!AO194</f>
        <v>174</v>
      </c>
      <c r="R194">
        <f>F194*Ajustes!AP194</f>
        <v>125</v>
      </c>
      <c r="S194">
        <f>G194*Ajustes!AQ194</f>
        <v>70</v>
      </c>
      <c r="T194">
        <f>H194*Ajustes!AR194</f>
        <v>49</v>
      </c>
      <c r="U194">
        <f>I194*Ajustes!AS194</f>
        <v>39</v>
      </c>
      <c r="V194">
        <f>J194*Ajustes!AT194</f>
        <v>33</v>
      </c>
      <c r="W194">
        <f>K194*Ajustes!AU194</f>
        <v>30</v>
      </c>
      <c r="X194">
        <f>L194*Ajustes!AV194</f>
        <v>43</v>
      </c>
      <c r="Y194">
        <f>M194*Ajustes!AW194</f>
        <v>74</v>
      </c>
      <c r="Z194">
        <f>N194*Ajustes!AX194</f>
        <v>122</v>
      </c>
      <c r="AA194">
        <f>IF(Ajustes!$G194&gt;0,INDEX($AA$4:$AL$323,Ajustes!$G194,O$2),0)+IF(Ajustes!$H194&gt;0,INDEX($AA$4:$AL$323,Ajustes!$H194,O$2),0)+IF(Ajustes!$I194&gt;0,INDEX($AA$4:$AL$323,Ajustes!$I194,O$2),0)+IF(Ajustes!$J194&gt;0,INDEX($AA$4:$AL$323,Ajustes!$J194,O$2),0)+IF(Ajustes!$K194&gt;0,INDEX($AA$5:$AL$324,Ajustes!$K194,O$2),0)+IF(Ajustes!$L194&gt;0,INDEX($AA$4:$AL$323,Ajustes!$L194,O$2),0) + O194</f>
        <v>1600</v>
      </c>
      <c r="AB194">
        <f>IF(Ajustes!$G194&gt;0,INDEX($AA$4:$AL$323,Ajustes!$G194,P$2),0)+IF(Ajustes!$H194&gt;0,INDEX($AA$4:$AL$323,Ajustes!$H194,P$2),0)+IF(Ajustes!$I194&gt;0,INDEX($AA$4:$AL$323,Ajustes!$I194,P$2),0)+IF(Ajustes!$J194&gt;0,INDEX($AA$4:$AL$323,Ajustes!$J194,P$2),0)+IF(Ajustes!$K194&gt;0,INDEX($AA$5:$AL$324,Ajustes!$K194,P$2),0)+IF(Ajustes!$L194&gt;0,INDEX($AA$4:$AL$323,Ajustes!$L194,P$2),0) + P194</f>
        <v>1810</v>
      </c>
      <c r="AC194">
        <f>IF(Ajustes!$G194&gt;0,INDEX($AA$4:$AL$323,Ajustes!$G194,Q$2),0)+IF(Ajustes!$H194&gt;0,INDEX($AA$4:$AL$323,Ajustes!$H194,Q$2),0)+IF(Ajustes!$I194&gt;0,INDEX($AA$4:$AL$323,Ajustes!$I194,Q$2),0)+IF(Ajustes!$J194&gt;0,INDEX($AA$4:$AL$323,Ajustes!$J194,Q$2),0)+IF(Ajustes!$K194&gt;0,INDEX($AA$5:$AL$324,Ajustes!$K194,Q$2),0)+IF(Ajustes!$L194&gt;0,INDEX($AA$4:$AL$323,Ajustes!$L194,Q$2),0) + Q194</f>
        <v>1675</v>
      </c>
      <c r="AD194">
        <f>IF(Ajustes!$G194&gt;0,INDEX($AA$4:$AL$323,Ajustes!$G194,R$2),0)+IF(Ajustes!$H194&gt;0,INDEX($AA$4:$AL$323,Ajustes!$H194,R$2),0)+IF(Ajustes!$I194&gt;0,INDEX($AA$4:$AL$323,Ajustes!$I194,R$2),0)+IF(Ajustes!$J194&gt;0,INDEX($AA$4:$AL$323,Ajustes!$J194,R$2),0)+IF(Ajustes!$K194&gt;0,INDEX($AA$5:$AL$324,Ajustes!$K194,R$2),0)+IF(Ajustes!$L194&gt;0,INDEX($AA$4:$AL$323,Ajustes!$L194,R$2),0) + R194</f>
        <v>1187</v>
      </c>
      <c r="AE194">
        <f>IF(Ajustes!$G194&gt;0,INDEX($AA$4:$AL$323,Ajustes!$G194,S$2),0)+IF(Ajustes!$H194&gt;0,INDEX($AA$4:$AL$323,Ajustes!$H194,S$2),0)+IF(Ajustes!$I194&gt;0,INDEX($AA$4:$AL$323,Ajustes!$I194,S$2),0)+IF(Ajustes!$J194&gt;0,INDEX($AA$4:$AL$323,Ajustes!$J194,S$2),0)+IF(Ajustes!$K194&gt;0,INDEX($AA$5:$AL$324,Ajustes!$K194,S$2),0)+IF(Ajustes!$L194&gt;0,INDEX($AA$4:$AL$323,Ajustes!$L194,S$2),0) + S194</f>
        <v>632</v>
      </c>
      <c r="AF194">
        <f>IF(Ajustes!$G194&gt;0,INDEX($AA$4:$AL$323,Ajustes!$G194,T$2),0)+IF(Ajustes!$H194&gt;0,INDEX($AA$4:$AL$323,Ajustes!$H194,T$2),0)+IF(Ajustes!$I194&gt;0,INDEX($AA$4:$AL$323,Ajustes!$I194,T$2),0)+IF(Ajustes!$J194&gt;0,INDEX($AA$4:$AL$323,Ajustes!$J194,T$2),0)+IF(Ajustes!$K194&gt;0,INDEX($AA$5:$AL$324,Ajustes!$K194,T$2),0)+IF(Ajustes!$L194&gt;0,INDEX($AA$4:$AL$323,Ajustes!$L194,T$2),0) + T194</f>
        <v>439</v>
      </c>
      <c r="AG194">
        <f>IF(Ajustes!$G194&gt;0,INDEX($AA$4:$AL$323,Ajustes!$G194,U$2),0)+IF(Ajustes!$H194&gt;0,INDEX($AA$4:$AL$323,Ajustes!$H194,U$2),0)+IF(Ajustes!$I194&gt;0,INDEX($AA$4:$AL$323,Ajustes!$I194,U$2),0)+IF(Ajustes!$J194&gt;0,INDEX($AA$4:$AL$323,Ajustes!$J194,U$2),0)+IF(Ajustes!$K194&gt;0,INDEX($AA$5:$AL$324,Ajustes!$K194,U$2),0)+IF(Ajustes!$L194&gt;0,INDEX($AA$4:$AL$323,Ajustes!$L194,U$2),0) + U194</f>
        <v>333</v>
      </c>
      <c r="AH194">
        <f>IF(Ajustes!$G194&gt;0,INDEX($AA$4:$AL$323,Ajustes!$G194,V$2),0)+IF(Ajustes!$H194&gt;0,INDEX($AA$4:$AL$323,Ajustes!$H194,V$2),0)+IF(Ajustes!$I194&gt;0,INDEX($AA$4:$AL$323,Ajustes!$I194,V$2),0)+IF(Ajustes!$J194&gt;0,INDEX($AA$4:$AL$323,Ajustes!$J194,V$2),0)+IF(Ajustes!$K194&gt;0,INDEX($AA$5:$AL$324,Ajustes!$K194,V$2),0)+IF(Ajustes!$L194&gt;0,INDEX($AA$4:$AL$323,Ajustes!$L194,V$2),0) + V194</f>
        <v>260</v>
      </c>
      <c r="AI194">
        <f>IF(Ajustes!$G194&gt;0,INDEX($AA$4:$AL$323,Ajustes!$G194,W$2),0)+IF(Ajustes!$H194&gt;0,INDEX($AA$4:$AL$323,Ajustes!$H194,W$2),0)+IF(Ajustes!$I194&gt;0,INDEX($AA$4:$AL$323,Ajustes!$I194,W$2),0)+IF(Ajustes!$J194&gt;0,INDEX($AA$4:$AL$323,Ajustes!$J194,W$2),0)+IF(Ajustes!$K194&gt;0,INDEX($AA$5:$AL$324,Ajustes!$K194,W$2),0)+IF(Ajustes!$L194&gt;0,INDEX($AA$4:$AL$323,Ajustes!$L194,W$2),0) + W194</f>
        <v>246</v>
      </c>
      <c r="AJ194">
        <f>IF(Ajustes!$G194&gt;0,INDEX($AA$4:$AL$323,Ajustes!$G194,X$2),0)+IF(Ajustes!$H194&gt;0,INDEX($AA$4:$AL$323,Ajustes!$H194,X$2),0)+IF(Ajustes!$I194&gt;0,INDEX($AA$4:$AL$323,Ajustes!$I194,X$2),0)+IF(Ajustes!$J194&gt;0,INDEX($AA$4:$AL$323,Ajustes!$J194,X$2),0)+IF(Ajustes!$K194&gt;0,INDEX($AA$5:$AL$324,Ajustes!$K194,X$2),0)+IF(Ajustes!$L194&gt;0,INDEX($AA$4:$AL$323,Ajustes!$L194,X$2),0) + X194</f>
        <v>359</v>
      </c>
      <c r="AK194">
        <f>IF(Ajustes!$G194&gt;0,INDEX($AA$4:$AL$323,Ajustes!$G194,Y$2),0)+IF(Ajustes!$H194&gt;0,INDEX($AA$4:$AL$323,Ajustes!$H194,Y$2),0)+IF(Ajustes!$I194&gt;0,INDEX($AA$4:$AL$323,Ajustes!$I194,Y$2),0)+IF(Ajustes!$J194&gt;0,INDEX($AA$4:$AL$323,Ajustes!$J194,Y$2),0)+IF(Ajustes!$K194&gt;0,INDEX($AA$5:$AL$324,Ajustes!$K194,Y$2),0)+IF(Ajustes!$L194&gt;0,INDEX($AA$4:$AL$323,Ajustes!$L194,Y$2),0) + Y194</f>
        <v>644</v>
      </c>
      <c r="AL194">
        <f>IF(Ajustes!$G194&gt;0,INDEX($AA$4:$AL$323,Ajustes!$G194,Z$2),0)+IF(Ajustes!$H194&gt;0,INDEX($AA$4:$AL$323,Ajustes!$H194,Z$2),0)+IF(Ajustes!$I194&gt;0,INDEX($AA$4:$AL$323,Ajustes!$I194,Z$2),0)+IF(Ajustes!$J194&gt;0,INDEX($AA$4:$AL$323,Ajustes!$J194,Z$2),0)+IF(Ajustes!$K194&gt;0,INDEX($AA$5:$AL$324,Ajustes!$K194,Z$2),0)+IF(Ajustes!$L194&gt;0,INDEX($AA$4:$AL$323,Ajustes!$L194,Z$2),0) + Z194</f>
        <v>1186</v>
      </c>
      <c r="AM194" s="113">
        <f t="shared" si="39"/>
        <v>1600</v>
      </c>
      <c r="AN194" s="113">
        <f t="shared" si="39"/>
        <v>1810</v>
      </c>
      <c r="AO194" s="113">
        <f t="shared" si="39"/>
        <v>1675</v>
      </c>
      <c r="AP194" s="113">
        <f t="shared" si="39"/>
        <v>1187</v>
      </c>
      <c r="AQ194" s="113">
        <f t="shared" si="42"/>
        <v>632</v>
      </c>
      <c r="AR194" s="113">
        <f t="shared" si="40"/>
        <v>439</v>
      </c>
      <c r="AS194" s="113">
        <f t="shared" si="40"/>
        <v>333</v>
      </c>
      <c r="AT194" s="113">
        <f t="shared" si="40"/>
        <v>260</v>
      </c>
      <c r="AU194" s="113">
        <f t="shared" si="40"/>
        <v>246</v>
      </c>
      <c r="AV194" s="113">
        <f t="shared" si="43"/>
        <v>359</v>
      </c>
      <c r="AW194" s="113">
        <f t="shared" si="41"/>
        <v>644</v>
      </c>
      <c r="AX194" s="113">
        <f t="shared" si="41"/>
        <v>1186</v>
      </c>
    </row>
    <row r="195" spans="1:50" x14ac:dyDescent="0.25">
      <c r="A195" s="113">
        <v>192</v>
      </c>
      <c r="B195" s="209"/>
      <c r="C195">
        <f>IFERROR(INDEX($BD$7:$BO$35,MATCH(Ajustes!$E$4:$E$323,$BC$7:$BC$35,0),$C$2:$N$2),1)</f>
        <v>1</v>
      </c>
      <c r="D195" s="113">
        <f>IFERROR(INDEX($BD$7:$BO$35,MATCH(Ajustes!$E$4:$E$323,$BC$7:$BC$35,0),$C$2:$N$2),1)</f>
        <v>1</v>
      </c>
      <c r="E195" s="113">
        <f>IFERROR(INDEX($BD$7:$BO$35,MATCH(Ajustes!$E$4:$E$323,$BC$7:$BC$35,0),$C$2:$N$2),1)</f>
        <v>1</v>
      </c>
      <c r="F195" s="113">
        <f>IFERROR(INDEX($BD$7:$BO$35,MATCH(Ajustes!$E$4:$E$323,$BC$7:$BC$35,0),$C$2:$N$2),1)</f>
        <v>1</v>
      </c>
      <c r="G195" s="113">
        <f>IFERROR(INDEX($BD$7:$BO$35,MATCH(Ajustes!$E$4:$E$323,$BC$7:$BC$35,0),$C$2:$N$2),1)</f>
        <v>1</v>
      </c>
      <c r="H195" s="113">
        <f>IFERROR(INDEX($BD$7:$BO$35,MATCH(Ajustes!$E$4:$E$323,$BC$7:$BC$35,0),$C$2:$N$2),1)</f>
        <v>1</v>
      </c>
      <c r="I195" s="113">
        <f>IFERROR(INDEX($BD$7:$BO$35,MATCH(Ajustes!$E$4:$E$323,$BC$7:$BC$35,0),$C$2:$N$2),1)</f>
        <v>1</v>
      </c>
      <c r="J195" s="113">
        <f>IFERROR(INDEX($BD$7:$BO$35,MATCH(Ajustes!$E$4:$E$323,$BC$7:$BC$35,0),$C$2:$N$2),1)</f>
        <v>1</v>
      </c>
      <c r="K195" s="113">
        <f>IFERROR(INDEX($BD$7:$BO$35,MATCH(Ajustes!$E$4:$E$323,$BC$7:$BC$35,0),$C$2:$N$2),1)</f>
        <v>1</v>
      </c>
      <c r="L195" s="113">
        <f>IFERROR(INDEX($BD$7:$BO$35,MATCH(Ajustes!$E$4:$E$323,$BC$7:$BC$35,0),$C$2:$N$2),1)</f>
        <v>1</v>
      </c>
      <c r="M195" s="113">
        <f>IFERROR(INDEX($BD$7:$BO$35,MATCH(Ajustes!$E$4:$E$323,$BC$7:$BC$35,0),$C$2:$N$2),1)</f>
        <v>1</v>
      </c>
      <c r="N195" s="113">
        <f>IFERROR(INDEX($BD$7:$BO$35,MATCH(Ajustes!$E$4:$E$323,$BC$7:$BC$35,0),$C$2:$N$2),1)</f>
        <v>1</v>
      </c>
      <c r="O195">
        <f>C195*Ajustes!AM195</f>
        <v>0</v>
      </c>
      <c r="P195">
        <f>D195*Ajustes!AN195</f>
        <v>0</v>
      </c>
      <c r="Q195">
        <f>E195*Ajustes!AO195</f>
        <v>0</v>
      </c>
      <c r="R195">
        <f>F195*Ajustes!AP195</f>
        <v>0</v>
      </c>
      <c r="S195">
        <f>G195*Ajustes!AQ195</f>
        <v>0</v>
      </c>
      <c r="T195">
        <f>H195*Ajustes!AR195</f>
        <v>0</v>
      </c>
      <c r="U195">
        <f>I195*Ajustes!AS195</f>
        <v>0</v>
      </c>
      <c r="V195">
        <f>J195*Ajustes!AT195</f>
        <v>0</v>
      </c>
      <c r="W195">
        <f>K195*Ajustes!AU195</f>
        <v>0</v>
      </c>
      <c r="X195">
        <f>L195*Ajustes!AV195</f>
        <v>0</v>
      </c>
      <c r="Y195">
        <f>M195*Ajustes!AW195</f>
        <v>0</v>
      </c>
      <c r="Z195">
        <f>N195*Ajustes!AX195</f>
        <v>0</v>
      </c>
      <c r="AA195">
        <f>IF(Ajustes!$G195&gt;0,INDEX($AA$4:$AL$323,Ajustes!$G195,O$2),0)+IF(Ajustes!$H195&gt;0,INDEX($AA$4:$AL$323,Ajustes!$H195,O$2),0)+IF(Ajustes!$I195&gt;0,INDEX($AA$4:$AL$323,Ajustes!$I195,O$2),0)+IF(Ajustes!$J195&gt;0,INDEX($AA$4:$AL$323,Ajustes!$J195,O$2),0)+IF(Ajustes!$K195&gt;0,INDEX($AA$5:$AL$324,Ajustes!$K195,O$2),0)+IF(Ajustes!$L195&gt;0,INDEX($AA$4:$AL$323,Ajustes!$L195,O$2),0) + O195</f>
        <v>0</v>
      </c>
      <c r="AB195">
        <f>IF(Ajustes!$G195&gt;0,INDEX($AA$4:$AL$323,Ajustes!$G195,P$2),0)+IF(Ajustes!$H195&gt;0,INDEX($AA$4:$AL$323,Ajustes!$H195,P$2),0)+IF(Ajustes!$I195&gt;0,INDEX($AA$4:$AL$323,Ajustes!$I195,P$2),0)+IF(Ajustes!$J195&gt;0,INDEX($AA$4:$AL$323,Ajustes!$J195,P$2),0)+IF(Ajustes!$K195&gt;0,INDEX($AA$5:$AL$324,Ajustes!$K195,P$2),0)+IF(Ajustes!$L195&gt;0,INDEX($AA$4:$AL$323,Ajustes!$L195,P$2),0) + P195</f>
        <v>0</v>
      </c>
      <c r="AC195">
        <f>IF(Ajustes!$G195&gt;0,INDEX($AA$4:$AL$323,Ajustes!$G195,Q$2),0)+IF(Ajustes!$H195&gt;0,INDEX($AA$4:$AL$323,Ajustes!$H195,Q$2),0)+IF(Ajustes!$I195&gt;0,INDEX($AA$4:$AL$323,Ajustes!$I195,Q$2),0)+IF(Ajustes!$J195&gt;0,INDEX($AA$4:$AL$323,Ajustes!$J195,Q$2),0)+IF(Ajustes!$K195&gt;0,INDEX($AA$5:$AL$324,Ajustes!$K195,Q$2),0)+IF(Ajustes!$L195&gt;0,INDEX($AA$4:$AL$323,Ajustes!$L195,Q$2),0) + Q195</f>
        <v>0</v>
      </c>
      <c r="AD195">
        <f>IF(Ajustes!$G195&gt;0,INDEX($AA$4:$AL$323,Ajustes!$G195,R$2),0)+IF(Ajustes!$H195&gt;0,INDEX($AA$4:$AL$323,Ajustes!$H195,R$2),0)+IF(Ajustes!$I195&gt;0,INDEX($AA$4:$AL$323,Ajustes!$I195,R$2),0)+IF(Ajustes!$J195&gt;0,INDEX($AA$4:$AL$323,Ajustes!$J195,R$2),0)+IF(Ajustes!$K195&gt;0,INDEX($AA$5:$AL$324,Ajustes!$K195,R$2),0)+IF(Ajustes!$L195&gt;0,INDEX($AA$4:$AL$323,Ajustes!$L195,R$2),0) + R195</f>
        <v>0</v>
      </c>
      <c r="AE195">
        <f>IF(Ajustes!$G195&gt;0,INDEX($AA$4:$AL$323,Ajustes!$G195,S$2),0)+IF(Ajustes!$H195&gt;0,INDEX($AA$4:$AL$323,Ajustes!$H195,S$2),0)+IF(Ajustes!$I195&gt;0,INDEX($AA$4:$AL$323,Ajustes!$I195,S$2),0)+IF(Ajustes!$J195&gt;0,INDEX($AA$4:$AL$323,Ajustes!$J195,S$2),0)+IF(Ajustes!$K195&gt;0,INDEX($AA$5:$AL$324,Ajustes!$K195,S$2),0)+IF(Ajustes!$L195&gt;0,INDEX($AA$4:$AL$323,Ajustes!$L195,S$2),0) + S195</f>
        <v>0</v>
      </c>
      <c r="AF195">
        <f>IF(Ajustes!$G195&gt;0,INDEX($AA$4:$AL$323,Ajustes!$G195,T$2),0)+IF(Ajustes!$H195&gt;0,INDEX($AA$4:$AL$323,Ajustes!$H195,T$2),0)+IF(Ajustes!$I195&gt;0,INDEX($AA$4:$AL$323,Ajustes!$I195,T$2),0)+IF(Ajustes!$J195&gt;0,INDEX($AA$4:$AL$323,Ajustes!$J195,T$2),0)+IF(Ajustes!$K195&gt;0,INDEX($AA$5:$AL$324,Ajustes!$K195,T$2),0)+IF(Ajustes!$L195&gt;0,INDEX($AA$4:$AL$323,Ajustes!$L195,T$2),0) + T195</f>
        <v>0</v>
      </c>
      <c r="AG195">
        <f>IF(Ajustes!$G195&gt;0,INDEX($AA$4:$AL$323,Ajustes!$G195,U$2),0)+IF(Ajustes!$H195&gt;0,INDEX($AA$4:$AL$323,Ajustes!$H195,U$2),0)+IF(Ajustes!$I195&gt;0,INDEX($AA$4:$AL$323,Ajustes!$I195,U$2),0)+IF(Ajustes!$J195&gt;0,INDEX($AA$4:$AL$323,Ajustes!$J195,U$2),0)+IF(Ajustes!$K195&gt;0,INDEX($AA$5:$AL$324,Ajustes!$K195,U$2),0)+IF(Ajustes!$L195&gt;0,INDEX($AA$4:$AL$323,Ajustes!$L195,U$2),0) + U195</f>
        <v>0</v>
      </c>
      <c r="AH195">
        <f>IF(Ajustes!$G195&gt;0,INDEX($AA$4:$AL$323,Ajustes!$G195,V$2),0)+IF(Ajustes!$H195&gt;0,INDEX($AA$4:$AL$323,Ajustes!$H195,V$2),0)+IF(Ajustes!$I195&gt;0,INDEX($AA$4:$AL$323,Ajustes!$I195,V$2),0)+IF(Ajustes!$J195&gt;0,INDEX($AA$4:$AL$323,Ajustes!$J195,V$2),0)+IF(Ajustes!$K195&gt;0,INDEX($AA$5:$AL$324,Ajustes!$K195,V$2),0)+IF(Ajustes!$L195&gt;0,INDEX($AA$4:$AL$323,Ajustes!$L195,V$2),0) + V195</f>
        <v>0</v>
      </c>
      <c r="AI195">
        <f>IF(Ajustes!$G195&gt;0,INDEX($AA$4:$AL$323,Ajustes!$G195,W$2),0)+IF(Ajustes!$H195&gt;0,INDEX($AA$4:$AL$323,Ajustes!$H195,W$2),0)+IF(Ajustes!$I195&gt;0,INDEX($AA$4:$AL$323,Ajustes!$I195,W$2),0)+IF(Ajustes!$J195&gt;0,INDEX($AA$4:$AL$323,Ajustes!$J195,W$2),0)+IF(Ajustes!$K195&gt;0,INDEX($AA$5:$AL$324,Ajustes!$K195,W$2),0)+IF(Ajustes!$L195&gt;0,INDEX($AA$4:$AL$323,Ajustes!$L195,W$2),0) + W195</f>
        <v>0</v>
      </c>
      <c r="AJ195">
        <f>IF(Ajustes!$G195&gt;0,INDEX($AA$4:$AL$323,Ajustes!$G195,X$2),0)+IF(Ajustes!$H195&gt;0,INDEX($AA$4:$AL$323,Ajustes!$H195,X$2),0)+IF(Ajustes!$I195&gt;0,INDEX($AA$4:$AL$323,Ajustes!$I195,X$2),0)+IF(Ajustes!$J195&gt;0,INDEX($AA$4:$AL$323,Ajustes!$J195,X$2),0)+IF(Ajustes!$K195&gt;0,INDEX($AA$5:$AL$324,Ajustes!$K195,X$2),0)+IF(Ajustes!$L195&gt;0,INDEX($AA$4:$AL$323,Ajustes!$L195,X$2),0) + X195</f>
        <v>0</v>
      </c>
      <c r="AK195">
        <f>IF(Ajustes!$G195&gt;0,INDEX($AA$4:$AL$323,Ajustes!$G195,Y$2),0)+IF(Ajustes!$H195&gt;0,INDEX($AA$4:$AL$323,Ajustes!$H195,Y$2),0)+IF(Ajustes!$I195&gt;0,INDEX($AA$4:$AL$323,Ajustes!$I195,Y$2),0)+IF(Ajustes!$J195&gt;0,INDEX($AA$4:$AL$323,Ajustes!$J195,Y$2),0)+IF(Ajustes!$K195&gt;0,INDEX($AA$5:$AL$324,Ajustes!$K195,Y$2),0)+IF(Ajustes!$L195&gt;0,INDEX($AA$4:$AL$323,Ajustes!$L195,Y$2),0) + Y195</f>
        <v>0</v>
      </c>
      <c r="AL195">
        <f>IF(Ajustes!$G195&gt;0,INDEX($AA$4:$AL$323,Ajustes!$G195,Z$2),0)+IF(Ajustes!$H195&gt;0,INDEX($AA$4:$AL$323,Ajustes!$H195,Z$2),0)+IF(Ajustes!$I195&gt;0,INDEX($AA$4:$AL$323,Ajustes!$I195,Z$2),0)+IF(Ajustes!$J195&gt;0,INDEX($AA$4:$AL$323,Ajustes!$J195,Z$2),0)+IF(Ajustes!$K195&gt;0,INDEX($AA$5:$AL$324,Ajustes!$K195,Z$2),0)+IF(Ajustes!$L195&gt;0,INDEX($AA$4:$AL$323,Ajustes!$L195,Z$2),0) + Z195</f>
        <v>0</v>
      </c>
      <c r="AM195" s="113">
        <f t="shared" si="39"/>
        <v>0</v>
      </c>
      <c r="AN195" s="113">
        <f t="shared" si="39"/>
        <v>0</v>
      </c>
      <c r="AO195" s="113">
        <f t="shared" si="39"/>
        <v>0</v>
      </c>
      <c r="AP195" s="113">
        <f t="shared" si="39"/>
        <v>0</v>
      </c>
      <c r="AQ195" s="113">
        <f t="shared" si="42"/>
        <v>0</v>
      </c>
      <c r="AR195" s="113">
        <f t="shared" si="40"/>
        <v>0</v>
      </c>
      <c r="AS195" s="113">
        <f t="shared" si="40"/>
        <v>0</v>
      </c>
      <c r="AT195" s="113">
        <f t="shared" si="40"/>
        <v>0</v>
      </c>
      <c r="AU195" s="113">
        <f t="shared" si="40"/>
        <v>0</v>
      </c>
      <c r="AV195" s="113">
        <f t="shared" si="43"/>
        <v>0</v>
      </c>
      <c r="AW195" s="113">
        <f t="shared" si="41"/>
        <v>0</v>
      </c>
      <c r="AX195" s="113">
        <f t="shared" si="41"/>
        <v>0</v>
      </c>
    </row>
    <row r="196" spans="1:50" x14ac:dyDescent="0.25">
      <c r="A196" s="113">
        <v>193</v>
      </c>
      <c r="B196" s="209"/>
      <c r="C196">
        <f>IFERROR(INDEX($BD$7:$BO$35,MATCH(Ajustes!$E$4:$E$323,$BC$7:$BC$35,0),$C$2:$N$2),1)</f>
        <v>1</v>
      </c>
      <c r="D196" s="113">
        <f>IFERROR(INDEX($BD$7:$BO$35,MATCH(Ajustes!$E$4:$E$323,$BC$7:$BC$35,0),$C$2:$N$2),1)</f>
        <v>1</v>
      </c>
      <c r="E196" s="113">
        <f>IFERROR(INDEX($BD$7:$BO$35,MATCH(Ajustes!$E$4:$E$323,$BC$7:$BC$35,0),$C$2:$N$2),1)</f>
        <v>1</v>
      </c>
      <c r="F196" s="113">
        <f>IFERROR(INDEX($BD$7:$BO$35,MATCH(Ajustes!$E$4:$E$323,$BC$7:$BC$35,0),$C$2:$N$2),1)</f>
        <v>1</v>
      </c>
      <c r="G196" s="113">
        <f>IFERROR(INDEX($BD$7:$BO$35,MATCH(Ajustes!$E$4:$E$323,$BC$7:$BC$35,0),$C$2:$N$2),1)</f>
        <v>1</v>
      </c>
      <c r="H196" s="113">
        <f>IFERROR(INDEX($BD$7:$BO$35,MATCH(Ajustes!$E$4:$E$323,$BC$7:$BC$35,0),$C$2:$N$2),1)</f>
        <v>1</v>
      </c>
      <c r="I196" s="113">
        <f>IFERROR(INDEX($BD$7:$BO$35,MATCH(Ajustes!$E$4:$E$323,$BC$7:$BC$35,0),$C$2:$N$2),1)</f>
        <v>1</v>
      </c>
      <c r="J196" s="113">
        <f>IFERROR(INDEX($BD$7:$BO$35,MATCH(Ajustes!$E$4:$E$323,$BC$7:$BC$35,0),$C$2:$N$2),1)</f>
        <v>1</v>
      </c>
      <c r="K196" s="113">
        <f>IFERROR(INDEX($BD$7:$BO$35,MATCH(Ajustes!$E$4:$E$323,$BC$7:$BC$35,0),$C$2:$N$2),1)</f>
        <v>1</v>
      </c>
      <c r="L196" s="113">
        <f>IFERROR(INDEX($BD$7:$BO$35,MATCH(Ajustes!$E$4:$E$323,$BC$7:$BC$35,0),$C$2:$N$2),1)</f>
        <v>1</v>
      </c>
      <c r="M196" s="113">
        <f>IFERROR(INDEX($BD$7:$BO$35,MATCH(Ajustes!$E$4:$E$323,$BC$7:$BC$35,0),$C$2:$N$2),1)</f>
        <v>1</v>
      </c>
      <c r="N196" s="113">
        <f>IFERROR(INDEX($BD$7:$BO$35,MATCH(Ajustes!$E$4:$E$323,$BC$7:$BC$35,0),$C$2:$N$2),1)</f>
        <v>1</v>
      </c>
      <c r="O196">
        <f>C196*Ajustes!AM196</f>
        <v>0</v>
      </c>
      <c r="P196">
        <f>D196*Ajustes!AN196</f>
        <v>0</v>
      </c>
      <c r="Q196">
        <f>E196*Ajustes!AO196</f>
        <v>0</v>
      </c>
      <c r="R196">
        <f>F196*Ajustes!AP196</f>
        <v>0</v>
      </c>
      <c r="S196">
        <f>G196*Ajustes!AQ196</f>
        <v>0</v>
      </c>
      <c r="T196">
        <f>H196*Ajustes!AR196</f>
        <v>0</v>
      </c>
      <c r="U196">
        <f>I196*Ajustes!AS196</f>
        <v>0</v>
      </c>
      <c r="V196">
        <f>J196*Ajustes!AT196</f>
        <v>0</v>
      </c>
      <c r="W196">
        <f>K196*Ajustes!AU196</f>
        <v>0</v>
      </c>
      <c r="X196">
        <f>L196*Ajustes!AV196</f>
        <v>0</v>
      </c>
      <c r="Y196">
        <f>M196*Ajustes!AW196</f>
        <v>0</v>
      </c>
      <c r="Z196">
        <f>N196*Ajustes!AX196</f>
        <v>0</v>
      </c>
      <c r="AA196">
        <f>IF(Ajustes!$G196&gt;0,INDEX($AA$4:$AL$323,Ajustes!$G196,O$2),0)+IF(Ajustes!$H196&gt;0,INDEX($AA$4:$AL$323,Ajustes!$H196,O$2),0)+IF(Ajustes!$I196&gt;0,INDEX($AA$4:$AL$323,Ajustes!$I196,O$2),0)+IF(Ajustes!$J196&gt;0,INDEX($AA$4:$AL$323,Ajustes!$J196,O$2),0)+IF(Ajustes!$K196&gt;0,INDEX($AA$5:$AL$324,Ajustes!$K196,O$2),0)+IF(Ajustes!$L196&gt;0,INDEX($AA$4:$AL$323,Ajustes!$L196,O$2),0) + O196</f>
        <v>0</v>
      </c>
      <c r="AB196">
        <f>IF(Ajustes!$G196&gt;0,INDEX($AA$4:$AL$323,Ajustes!$G196,P$2),0)+IF(Ajustes!$H196&gt;0,INDEX($AA$4:$AL$323,Ajustes!$H196,P$2),0)+IF(Ajustes!$I196&gt;0,INDEX($AA$4:$AL$323,Ajustes!$I196,P$2),0)+IF(Ajustes!$J196&gt;0,INDEX($AA$4:$AL$323,Ajustes!$J196,P$2),0)+IF(Ajustes!$K196&gt;0,INDEX($AA$5:$AL$324,Ajustes!$K196,P$2),0)+IF(Ajustes!$L196&gt;0,INDEX($AA$4:$AL$323,Ajustes!$L196,P$2),0) + P196</f>
        <v>0</v>
      </c>
      <c r="AC196">
        <f>IF(Ajustes!$G196&gt;0,INDEX($AA$4:$AL$323,Ajustes!$G196,Q$2),0)+IF(Ajustes!$H196&gt;0,INDEX($AA$4:$AL$323,Ajustes!$H196,Q$2),0)+IF(Ajustes!$I196&gt;0,INDEX($AA$4:$AL$323,Ajustes!$I196,Q$2),0)+IF(Ajustes!$J196&gt;0,INDEX($AA$4:$AL$323,Ajustes!$J196,Q$2),0)+IF(Ajustes!$K196&gt;0,INDEX($AA$5:$AL$324,Ajustes!$K196,Q$2),0)+IF(Ajustes!$L196&gt;0,INDEX($AA$4:$AL$323,Ajustes!$L196,Q$2),0) + Q196</f>
        <v>0</v>
      </c>
      <c r="AD196">
        <f>IF(Ajustes!$G196&gt;0,INDEX($AA$4:$AL$323,Ajustes!$G196,R$2),0)+IF(Ajustes!$H196&gt;0,INDEX($AA$4:$AL$323,Ajustes!$H196,R$2),0)+IF(Ajustes!$I196&gt;0,INDEX($AA$4:$AL$323,Ajustes!$I196,R$2),0)+IF(Ajustes!$J196&gt;0,INDEX($AA$4:$AL$323,Ajustes!$J196,R$2),0)+IF(Ajustes!$K196&gt;0,INDEX($AA$5:$AL$324,Ajustes!$K196,R$2),0)+IF(Ajustes!$L196&gt;0,INDEX($AA$4:$AL$323,Ajustes!$L196,R$2),0) + R196</f>
        <v>0</v>
      </c>
      <c r="AE196">
        <f>IF(Ajustes!$G196&gt;0,INDEX($AA$4:$AL$323,Ajustes!$G196,S$2),0)+IF(Ajustes!$H196&gt;0,INDEX($AA$4:$AL$323,Ajustes!$H196,S$2),0)+IF(Ajustes!$I196&gt;0,INDEX($AA$4:$AL$323,Ajustes!$I196,S$2),0)+IF(Ajustes!$J196&gt;0,INDEX($AA$4:$AL$323,Ajustes!$J196,S$2),0)+IF(Ajustes!$K196&gt;0,INDEX($AA$5:$AL$324,Ajustes!$K196,S$2),0)+IF(Ajustes!$L196&gt;0,INDEX($AA$4:$AL$323,Ajustes!$L196,S$2),0) + S196</f>
        <v>0</v>
      </c>
      <c r="AF196">
        <f>IF(Ajustes!$G196&gt;0,INDEX($AA$4:$AL$323,Ajustes!$G196,T$2),0)+IF(Ajustes!$H196&gt;0,INDEX($AA$4:$AL$323,Ajustes!$H196,T$2),0)+IF(Ajustes!$I196&gt;0,INDEX($AA$4:$AL$323,Ajustes!$I196,T$2),0)+IF(Ajustes!$J196&gt;0,INDEX($AA$4:$AL$323,Ajustes!$J196,T$2),0)+IF(Ajustes!$K196&gt;0,INDEX($AA$5:$AL$324,Ajustes!$K196,T$2),0)+IF(Ajustes!$L196&gt;0,INDEX($AA$4:$AL$323,Ajustes!$L196,T$2),0) + T196</f>
        <v>0</v>
      </c>
      <c r="AG196">
        <f>IF(Ajustes!$G196&gt;0,INDEX($AA$4:$AL$323,Ajustes!$G196,U$2),0)+IF(Ajustes!$H196&gt;0,INDEX($AA$4:$AL$323,Ajustes!$H196,U$2),0)+IF(Ajustes!$I196&gt;0,INDEX($AA$4:$AL$323,Ajustes!$I196,U$2),0)+IF(Ajustes!$J196&gt;0,INDEX($AA$4:$AL$323,Ajustes!$J196,U$2),0)+IF(Ajustes!$K196&gt;0,INDEX($AA$5:$AL$324,Ajustes!$K196,U$2),0)+IF(Ajustes!$L196&gt;0,INDEX($AA$4:$AL$323,Ajustes!$L196,U$2),0) + U196</f>
        <v>0</v>
      </c>
      <c r="AH196">
        <f>IF(Ajustes!$G196&gt;0,INDEX($AA$4:$AL$323,Ajustes!$G196,V$2),0)+IF(Ajustes!$H196&gt;0,INDEX($AA$4:$AL$323,Ajustes!$H196,V$2),0)+IF(Ajustes!$I196&gt;0,INDEX($AA$4:$AL$323,Ajustes!$I196,V$2),0)+IF(Ajustes!$J196&gt;0,INDEX($AA$4:$AL$323,Ajustes!$J196,V$2),0)+IF(Ajustes!$K196&gt;0,INDEX($AA$5:$AL$324,Ajustes!$K196,V$2),0)+IF(Ajustes!$L196&gt;0,INDEX($AA$4:$AL$323,Ajustes!$L196,V$2),0) + V196</f>
        <v>0</v>
      </c>
      <c r="AI196">
        <f>IF(Ajustes!$G196&gt;0,INDEX($AA$4:$AL$323,Ajustes!$G196,W$2),0)+IF(Ajustes!$H196&gt;0,INDEX($AA$4:$AL$323,Ajustes!$H196,W$2),0)+IF(Ajustes!$I196&gt;0,INDEX($AA$4:$AL$323,Ajustes!$I196,W$2),0)+IF(Ajustes!$J196&gt;0,INDEX($AA$4:$AL$323,Ajustes!$J196,W$2),0)+IF(Ajustes!$K196&gt;0,INDEX($AA$5:$AL$324,Ajustes!$K196,W$2),0)+IF(Ajustes!$L196&gt;0,INDEX($AA$4:$AL$323,Ajustes!$L196,W$2),0) + W196</f>
        <v>0</v>
      </c>
      <c r="AJ196">
        <f>IF(Ajustes!$G196&gt;0,INDEX($AA$4:$AL$323,Ajustes!$G196,X$2),0)+IF(Ajustes!$H196&gt;0,INDEX($AA$4:$AL$323,Ajustes!$H196,X$2),0)+IF(Ajustes!$I196&gt;0,INDEX($AA$4:$AL$323,Ajustes!$I196,X$2),0)+IF(Ajustes!$J196&gt;0,INDEX($AA$4:$AL$323,Ajustes!$J196,X$2),0)+IF(Ajustes!$K196&gt;0,INDEX($AA$5:$AL$324,Ajustes!$K196,X$2),0)+IF(Ajustes!$L196&gt;0,INDEX($AA$4:$AL$323,Ajustes!$L196,X$2),0) + X196</f>
        <v>0</v>
      </c>
      <c r="AK196">
        <f>IF(Ajustes!$G196&gt;0,INDEX($AA$4:$AL$323,Ajustes!$G196,Y$2),0)+IF(Ajustes!$H196&gt;0,INDEX($AA$4:$AL$323,Ajustes!$H196,Y$2),0)+IF(Ajustes!$I196&gt;0,INDEX($AA$4:$AL$323,Ajustes!$I196,Y$2),0)+IF(Ajustes!$J196&gt;0,INDEX($AA$4:$AL$323,Ajustes!$J196,Y$2),0)+IF(Ajustes!$K196&gt;0,INDEX($AA$5:$AL$324,Ajustes!$K196,Y$2),0)+IF(Ajustes!$L196&gt;0,INDEX($AA$4:$AL$323,Ajustes!$L196,Y$2),0) + Y196</f>
        <v>0</v>
      </c>
      <c r="AL196">
        <f>IF(Ajustes!$G196&gt;0,INDEX($AA$4:$AL$323,Ajustes!$G196,Z$2),0)+IF(Ajustes!$H196&gt;0,INDEX($AA$4:$AL$323,Ajustes!$H196,Z$2),0)+IF(Ajustes!$I196&gt;0,INDEX($AA$4:$AL$323,Ajustes!$I196,Z$2),0)+IF(Ajustes!$J196&gt;0,INDEX($AA$4:$AL$323,Ajustes!$J196,Z$2),0)+IF(Ajustes!$K196&gt;0,INDEX($AA$5:$AL$324,Ajustes!$K196,Z$2),0)+IF(Ajustes!$L196&gt;0,INDEX($AA$4:$AL$323,Ajustes!$L196,Z$2),0) + Z196</f>
        <v>0</v>
      </c>
      <c r="AM196" s="113">
        <f t="shared" si="39"/>
        <v>0</v>
      </c>
      <c r="AN196" s="113">
        <f t="shared" si="39"/>
        <v>0</v>
      </c>
      <c r="AO196" s="113">
        <f t="shared" si="39"/>
        <v>0</v>
      </c>
      <c r="AP196" s="113">
        <f t="shared" si="39"/>
        <v>0</v>
      </c>
      <c r="AQ196" s="113">
        <f t="shared" si="42"/>
        <v>0</v>
      </c>
      <c r="AR196" s="113">
        <f t="shared" si="40"/>
        <v>0</v>
      </c>
      <c r="AS196" s="113">
        <f t="shared" si="40"/>
        <v>0</v>
      </c>
      <c r="AT196" s="113">
        <f t="shared" si="40"/>
        <v>0</v>
      </c>
      <c r="AU196" s="113">
        <f t="shared" si="40"/>
        <v>0</v>
      </c>
      <c r="AV196" s="113">
        <f t="shared" si="43"/>
        <v>0</v>
      </c>
      <c r="AW196" s="113">
        <f t="shared" si="41"/>
        <v>0</v>
      </c>
      <c r="AX196" s="113">
        <f t="shared" si="41"/>
        <v>0</v>
      </c>
    </row>
    <row r="197" spans="1:50" x14ac:dyDescent="0.25">
      <c r="A197" s="113">
        <v>194</v>
      </c>
      <c r="B197" s="209"/>
      <c r="C197">
        <f>IFERROR(INDEX($BD$7:$BO$35,MATCH(Ajustes!$E$4:$E$323,$BC$7:$BC$35,0),$C$2:$N$2),1)</f>
        <v>1</v>
      </c>
      <c r="D197" s="113">
        <f>IFERROR(INDEX($BD$7:$BO$35,MATCH(Ajustes!$E$4:$E$323,$BC$7:$BC$35,0),$C$2:$N$2),1)</f>
        <v>1</v>
      </c>
      <c r="E197" s="113">
        <f>IFERROR(INDEX($BD$7:$BO$35,MATCH(Ajustes!$E$4:$E$323,$BC$7:$BC$35,0),$C$2:$N$2),1)</f>
        <v>1</v>
      </c>
      <c r="F197" s="113">
        <f>IFERROR(INDEX($BD$7:$BO$35,MATCH(Ajustes!$E$4:$E$323,$BC$7:$BC$35,0),$C$2:$N$2),1)</f>
        <v>1</v>
      </c>
      <c r="G197" s="113">
        <f>IFERROR(INDEX($BD$7:$BO$35,MATCH(Ajustes!$E$4:$E$323,$BC$7:$BC$35,0),$C$2:$N$2),1)</f>
        <v>1</v>
      </c>
      <c r="H197" s="113">
        <f>IFERROR(INDEX($BD$7:$BO$35,MATCH(Ajustes!$E$4:$E$323,$BC$7:$BC$35,0),$C$2:$N$2),1)</f>
        <v>1</v>
      </c>
      <c r="I197" s="113">
        <f>IFERROR(INDEX($BD$7:$BO$35,MATCH(Ajustes!$E$4:$E$323,$BC$7:$BC$35,0),$C$2:$N$2),1)</f>
        <v>1</v>
      </c>
      <c r="J197" s="113">
        <f>IFERROR(INDEX($BD$7:$BO$35,MATCH(Ajustes!$E$4:$E$323,$BC$7:$BC$35,0),$C$2:$N$2),1)</f>
        <v>1</v>
      </c>
      <c r="K197" s="113">
        <f>IFERROR(INDEX($BD$7:$BO$35,MATCH(Ajustes!$E$4:$E$323,$BC$7:$BC$35,0),$C$2:$N$2),1)</f>
        <v>1</v>
      </c>
      <c r="L197" s="113">
        <f>IFERROR(INDEX($BD$7:$BO$35,MATCH(Ajustes!$E$4:$E$323,$BC$7:$BC$35,0),$C$2:$N$2),1)</f>
        <v>1</v>
      </c>
      <c r="M197" s="113">
        <f>IFERROR(INDEX($BD$7:$BO$35,MATCH(Ajustes!$E$4:$E$323,$BC$7:$BC$35,0),$C$2:$N$2),1)</f>
        <v>1</v>
      </c>
      <c r="N197" s="113">
        <f>IFERROR(INDEX($BD$7:$BO$35,MATCH(Ajustes!$E$4:$E$323,$BC$7:$BC$35,0),$C$2:$N$2),1)</f>
        <v>1</v>
      </c>
      <c r="O197">
        <f>C197*Ajustes!AM197</f>
        <v>0</v>
      </c>
      <c r="P197">
        <f>D197*Ajustes!AN197</f>
        <v>0</v>
      </c>
      <c r="Q197">
        <f>E197*Ajustes!AO197</f>
        <v>0</v>
      </c>
      <c r="R197">
        <f>F197*Ajustes!AP197</f>
        <v>0</v>
      </c>
      <c r="S197">
        <f>G197*Ajustes!AQ197</f>
        <v>0</v>
      </c>
      <c r="T197">
        <f>H197*Ajustes!AR197</f>
        <v>0</v>
      </c>
      <c r="U197">
        <f>I197*Ajustes!AS197</f>
        <v>0</v>
      </c>
      <c r="V197">
        <f>J197*Ajustes!AT197</f>
        <v>0</v>
      </c>
      <c r="W197">
        <f>K197*Ajustes!AU197</f>
        <v>0</v>
      </c>
      <c r="X197">
        <f>L197*Ajustes!AV197</f>
        <v>0</v>
      </c>
      <c r="Y197">
        <f>M197*Ajustes!AW197</f>
        <v>0</v>
      </c>
      <c r="Z197">
        <f>N197*Ajustes!AX197</f>
        <v>0</v>
      </c>
      <c r="AA197">
        <f>IF(Ajustes!$G197&gt;0,INDEX($AA$4:$AL$323,Ajustes!$G197,O$2),0)+IF(Ajustes!$H197&gt;0,INDEX($AA$4:$AL$323,Ajustes!$H197,O$2),0)+IF(Ajustes!$I197&gt;0,INDEX($AA$4:$AL$323,Ajustes!$I197,O$2),0)+IF(Ajustes!$J197&gt;0,INDEX($AA$4:$AL$323,Ajustes!$J197,O$2),0)+IF(Ajustes!$K197&gt;0,INDEX($AA$5:$AL$324,Ajustes!$K197,O$2),0)+IF(Ajustes!$L197&gt;0,INDEX($AA$4:$AL$323,Ajustes!$L197,O$2),0) + O197</f>
        <v>0</v>
      </c>
      <c r="AB197">
        <f>IF(Ajustes!$G197&gt;0,INDEX($AA$4:$AL$323,Ajustes!$G197,P$2),0)+IF(Ajustes!$H197&gt;0,INDEX($AA$4:$AL$323,Ajustes!$H197,P$2),0)+IF(Ajustes!$I197&gt;0,INDEX($AA$4:$AL$323,Ajustes!$I197,P$2),0)+IF(Ajustes!$J197&gt;0,INDEX($AA$4:$AL$323,Ajustes!$J197,P$2),0)+IF(Ajustes!$K197&gt;0,INDEX($AA$5:$AL$324,Ajustes!$K197,P$2),0)+IF(Ajustes!$L197&gt;0,INDEX($AA$4:$AL$323,Ajustes!$L197,P$2),0) + P197</f>
        <v>0</v>
      </c>
      <c r="AC197">
        <f>IF(Ajustes!$G197&gt;0,INDEX($AA$4:$AL$323,Ajustes!$G197,Q$2),0)+IF(Ajustes!$H197&gt;0,INDEX($AA$4:$AL$323,Ajustes!$H197,Q$2),0)+IF(Ajustes!$I197&gt;0,INDEX($AA$4:$AL$323,Ajustes!$I197,Q$2),0)+IF(Ajustes!$J197&gt;0,INDEX($AA$4:$AL$323,Ajustes!$J197,Q$2),0)+IF(Ajustes!$K197&gt;0,INDEX($AA$5:$AL$324,Ajustes!$K197,Q$2),0)+IF(Ajustes!$L197&gt;0,INDEX($AA$4:$AL$323,Ajustes!$L197,Q$2),0) + Q197</f>
        <v>0</v>
      </c>
      <c r="AD197">
        <f>IF(Ajustes!$G197&gt;0,INDEX($AA$4:$AL$323,Ajustes!$G197,R$2),0)+IF(Ajustes!$H197&gt;0,INDEX($AA$4:$AL$323,Ajustes!$H197,R$2),0)+IF(Ajustes!$I197&gt;0,INDEX($AA$4:$AL$323,Ajustes!$I197,R$2),0)+IF(Ajustes!$J197&gt;0,INDEX($AA$4:$AL$323,Ajustes!$J197,R$2),0)+IF(Ajustes!$K197&gt;0,INDEX($AA$5:$AL$324,Ajustes!$K197,R$2),0)+IF(Ajustes!$L197&gt;0,INDEX($AA$4:$AL$323,Ajustes!$L197,R$2),0) + R197</f>
        <v>0</v>
      </c>
      <c r="AE197">
        <f>IF(Ajustes!$G197&gt;0,INDEX($AA$4:$AL$323,Ajustes!$G197,S$2),0)+IF(Ajustes!$H197&gt;0,INDEX($AA$4:$AL$323,Ajustes!$H197,S$2),0)+IF(Ajustes!$I197&gt;0,INDEX($AA$4:$AL$323,Ajustes!$I197,S$2),0)+IF(Ajustes!$J197&gt;0,INDEX($AA$4:$AL$323,Ajustes!$J197,S$2),0)+IF(Ajustes!$K197&gt;0,INDEX($AA$5:$AL$324,Ajustes!$K197,S$2),0)+IF(Ajustes!$L197&gt;0,INDEX($AA$4:$AL$323,Ajustes!$L197,S$2),0) + S197</f>
        <v>0</v>
      </c>
      <c r="AF197">
        <f>IF(Ajustes!$G197&gt;0,INDEX($AA$4:$AL$323,Ajustes!$G197,T$2),0)+IF(Ajustes!$H197&gt;0,INDEX($AA$4:$AL$323,Ajustes!$H197,T$2),0)+IF(Ajustes!$I197&gt;0,INDEX($AA$4:$AL$323,Ajustes!$I197,T$2),0)+IF(Ajustes!$J197&gt;0,INDEX($AA$4:$AL$323,Ajustes!$J197,T$2),0)+IF(Ajustes!$K197&gt;0,INDEX($AA$5:$AL$324,Ajustes!$K197,T$2),0)+IF(Ajustes!$L197&gt;0,INDEX($AA$4:$AL$323,Ajustes!$L197,T$2),0) + T197</f>
        <v>0</v>
      </c>
      <c r="AG197">
        <f>IF(Ajustes!$G197&gt;0,INDEX($AA$4:$AL$323,Ajustes!$G197,U$2),0)+IF(Ajustes!$H197&gt;0,INDEX($AA$4:$AL$323,Ajustes!$H197,U$2),0)+IF(Ajustes!$I197&gt;0,INDEX($AA$4:$AL$323,Ajustes!$I197,U$2),0)+IF(Ajustes!$J197&gt;0,INDEX($AA$4:$AL$323,Ajustes!$J197,U$2),0)+IF(Ajustes!$K197&gt;0,INDEX($AA$5:$AL$324,Ajustes!$K197,U$2),0)+IF(Ajustes!$L197&gt;0,INDEX($AA$4:$AL$323,Ajustes!$L197,U$2),0) + U197</f>
        <v>0</v>
      </c>
      <c r="AH197">
        <f>IF(Ajustes!$G197&gt;0,INDEX($AA$4:$AL$323,Ajustes!$G197,V$2),0)+IF(Ajustes!$H197&gt;0,INDEX($AA$4:$AL$323,Ajustes!$H197,V$2),0)+IF(Ajustes!$I197&gt;0,INDEX($AA$4:$AL$323,Ajustes!$I197,V$2),0)+IF(Ajustes!$J197&gt;0,INDEX($AA$4:$AL$323,Ajustes!$J197,V$2),0)+IF(Ajustes!$K197&gt;0,INDEX($AA$5:$AL$324,Ajustes!$K197,V$2),0)+IF(Ajustes!$L197&gt;0,INDEX($AA$4:$AL$323,Ajustes!$L197,V$2),0) + V197</f>
        <v>0</v>
      </c>
      <c r="AI197">
        <f>IF(Ajustes!$G197&gt;0,INDEX($AA$4:$AL$323,Ajustes!$G197,W$2),0)+IF(Ajustes!$H197&gt;0,INDEX($AA$4:$AL$323,Ajustes!$H197,W$2),0)+IF(Ajustes!$I197&gt;0,INDEX($AA$4:$AL$323,Ajustes!$I197,W$2),0)+IF(Ajustes!$J197&gt;0,INDEX($AA$4:$AL$323,Ajustes!$J197,W$2),0)+IF(Ajustes!$K197&gt;0,INDEX($AA$5:$AL$324,Ajustes!$K197,W$2),0)+IF(Ajustes!$L197&gt;0,INDEX($AA$4:$AL$323,Ajustes!$L197,W$2),0) + W197</f>
        <v>0</v>
      </c>
      <c r="AJ197">
        <f>IF(Ajustes!$G197&gt;0,INDEX($AA$4:$AL$323,Ajustes!$G197,X$2),0)+IF(Ajustes!$H197&gt;0,INDEX($AA$4:$AL$323,Ajustes!$H197,X$2),0)+IF(Ajustes!$I197&gt;0,INDEX($AA$4:$AL$323,Ajustes!$I197,X$2),0)+IF(Ajustes!$J197&gt;0,INDEX($AA$4:$AL$323,Ajustes!$J197,X$2),0)+IF(Ajustes!$K197&gt;0,INDEX($AA$5:$AL$324,Ajustes!$K197,X$2),0)+IF(Ajustes!$L197&gt;0,INDEX($AA$4:$AL$323,Ajustes!$L197,X$2),0) + X197</f>
        <v>0</v>
      </c>
      <c r="AK197">
        <f>IF(Ajustes!$G197&gt;0,INDEX($AA$4:$AL$323,Ajustes!$G197,Y$2),0)+IF(Ajustes!$H197&gt;0,INDEX($AA$4:$AL$323,Ajustes!$H197,Y$2),0)+IF(Ajustes!$I197&gt;0,INDEX($AA$4:$AL$323,Ajustes!$I197,Y$2),0)+IF(Ajustes!$J197&gt;0,INDEX($AA$4:$AL$323,Ajustes!$J197,Y$2),0)+IF(Ajustes!$K197&gt;0,INDEX($AA$5:$AL$324,Ajustes!$K197,Y$2),0)+IF(Ajustes!$L197&gt;0,INDEX($AA$4:$AL$323,Ajustes!$L197,Y$2),0) + Y197</f>
        <v>0</v>
      </c>
      <c r="AL197">
        <f>IF(Ajustes!$G197&gt;0,INDEX($AA$4:$AL$323,Ajustes!$G197,Z$2),0)+IF(Ajustes!$H197&gt;0,INDEX($AA$4:$AL$323,Ajustes!$H197,Z$2),0)+IF(Ajustes!$I197&gt;0,INDEX($AA$4:$AL$323,Ajustes!$I197,Z$2),0)+IF(Ajustes!$J197&gt;0,INDEX($AA$4:$AL$323,Ajustes!$J197,Z$2),0)+IF(Ajustes!$K197&gt;0,INDEX($AA$5:$AL$324,Ajustes!$K197,Z$2),0)+IF(Ajustes!$L197&gt;0,INDEX($AA$4:$AL$323,Ajustes!$L197,Z$2),0) + Z197</f>
        <v>0</v>
      </c>
      <c r="AM197" s="113">
        <f t="shared" si="39"/>
        <v>0</v>
      </c>
      <c r="AN197" s="113">
        <f t="shared" si="39"/>
        <v>0</v>
      </c>
      <c r="AO197" s="113">
        <f t="shared" si="39"/>
        <v>0</v>
      </c>
      <c r="AP197" s="113">
        <f t="shared" si="39"/>
        <v>0</v>
      </c>
      <c r="AQ197" s="113">
        <f t="shared" si="42"/>
        <v>0</v>
      </c>
      <c r="AR197" s="113">
        <f t="shared" si="40"/>
        <v>0</v>
      </c>
      <c r="AS197" s="113">
        <f t="shared" si="40"/>
        <v>0</v>
      </c>
      <c r="AT197" s="113">
        <f t="shared" si="40"/>
        <v>0</v>
      </c>
      <c r="AU197" s="113">
        <f t="shared" si="40"/>
        <v>0</v>
      </c>
      <c r="AV197" s="113">
        <f t="shared" si="43"/>
        <v>0</v>
      </c>
      <c r="AW197" s="113">
        <f t="shared" si="41"/>
        <v>0</v>
      </c>
      <c r="AX197" s="113">
        <f t="shared" si="41"/>
        <v>0</v>
      </c>
    </row>
    <row r="198" spans="1:50" x14ac:dyDescent="0.25">
      <c r="A198" s="113">
        <v>195</v>
      </c>
      <c r="B198" s="209"/>
      <c r="C198">
        <f>IFERROR(INDEX($BD$7:$BO$35,MATCH(Ajustes!$E$4:$E$323,$BC$7:$BC$35,0),$C$2:$N$2),1)</f>
        <v>1</v>
      </c>
      <c r="D198" s="113">
        <f>IFERROR(INDEX($BD$7:$BO$35,MATCH(Ajustes!$E$4:$E$323,$BC$7:$BC$35,0),$C$2:$N$2),1)</f>
        <v>1</v>
      </c>
      <c r="E198" s="113">
        <f>IFERROR(INDEX($BD$7:$BO$35,MATCH(Ajustes!$E$4:$E$323,$BC$7:$BC$35,0),$C$2:$N$2),1)</f>
        <v>1</v>
      </c>
      <c r="F198" s="113">
        <f>IFERROR(INDEX($BD$7:$BO$35,MATCH(Ajustes!$E$4:$E$323,$BC$7:$BC$35,0),$C$2:$N$2),1)</f>
        <v>1</v>
      </c>
      <c r="G198" s="113">
        <f>IFERROR(INDEX($BD$7:$BO$35,MATCH(Ajustes!$E$4:$E$323,$BC$7:$BC$35,0),$C$2:$N$2),1)</f>
        <v>1</v>
      </c>
      <c r="H198" s="113">
        <f>IFERROR(INDEX($BD$7:$BO$35,MATCH(Ajustes!$E$4:$E$323,$BC$7:$BC$35,0),$C$2:$N$2),1)</f>
        <v>1</v>
      </c>
      <c r="I198" s="113">
        <f>IFERROR(INDEX($BD$7:$BO$35,MATCH(Ajustes!$E$4:$E$323,$BC$7:$BC$35,0),$C$2:$N$2),1)</f>
        <v>1</v>
      </c>
      <c r="J198" s="113">
        <f>IFERROR(INDEX($BD$7:$BO$35,MATCH(Ajustes!$E$4:$E$323,$BC$7:$BC$35,0),$C$2:$N$2),1)</f>
        <v>1</v>
      </c>
      <c r="K198" s="113">
        <f>IFERROR(INDEX($BD$7:$BO$35,MATCH(Ajustes!$E$4:$E$323,$BC$7:$BC$35,0),$C$2:$N$2),1)</f>
        <v>1</v>
      </c>
      <c r="L198" s="113">
        <f>IFERROR(INDEX($BD$7:$BO$35,MATCH(Ajustes!$E$4:$E$323,$BC$7:$BC$35,0),$C$2:$N$2),1)</f>
        <v>1</v>
      </c>
      <c r="M198" s="113">
        <f>IFERROR(INDEX($BD$7:$BO$35,MATCH(Ajustes!$E$4:$E$323,$BC$7:$BC$35,0),$C$2:$N$2),1)</f>
        <v>1</v>
      </c>
      <c r="N198" s="113">
        <f>IFERROR(INDEX($BD$7:$BO$35,MATCH(Ajustes!$E$4:$E$323,$BC$7:$BC$35,0),$C$2:$N$2),1)</f>
        <v>1</v>
      </c>
      <c r="O198">
        <f>C198*Ajustes!AM198</f>
        <v>0</v>
      </c>
      <c r="P198">
        <f>D198*Ajustes!AN198</f>
        <v>0</v>
      </c>
      <c r="Q198">
        <f>E198*Ajustes!AO198</f>
        <v>0</v>
      </c>
      <c r="R198">
        <f>F198*Ajustes!AP198</f>
        <v>0</v>
      </c>
      <c r="S198">
        <f>G198*Ajustes!AQ198</f>
        <v>0</v>
      </c>
      <c r="T198">
        <f>H198*Ajustes!AR198</f>
        <v>0</v>
      </c>
      <c r="U198">
        <f>I198*Ajustes!AS198</f>
        <v>0</v>
      </c>
      <c r="V198">
        <f>J198*Ajustes!AT198</f>
        <v>0</v>
      </c>
      <c r="W198">
        <f>K198*Ajustes!AU198</f>
        <v>0</v>
      </c>
      <c r="X198">
        <f>L198*Ajustes!AV198</f>
        <v>0</v>
      </c>
      <c r="Y198">
        <f>M198*Ajustes!AW198</f>
        <v>0</v>
      </c>
      <c r="Z198">
        <f>N198*Ajustes!AX198</f>
        <v>0</v>
      </c>
      <c r="AA198">
        <f>IF(Ajustes!$G198&gt;0,INDEX($AA$4:$AL$323,Ajustes!$G198,O$2),0)+IF(Ajustes!$H198&gt;0,INDEX($AA$4:$AL$323,Ajustes!$H198,O$2),0)+IF(Ajustes!$I198&gt;0,INDEX($AA$4:$AL$323,Ajustes!$I198,O$2),0)+IF(Ajustes!$J198&gt;0,INDEX($AA$4:$AL$323,Ajustes!$J198,O$2),0)+IF(Ajustes!$K198&gt;0,INDEX($AA$5:$AL$324,Ajustes!$K198,O$2),0)+IF(Ajustes!$L198&gt;0,INDEX($AA$4:$AL$323,Ajustes!$L198,O$2),0) + O198</f>
        <v>0</v>
      </c>
      <c r="AB198">
        <f>IF(Ajustes!$G198&gt;0,INDEX($AA$4:$AL$323,Ajustes!$G198,P$2),0)+IF(Ajustes!$H198&gt;0,INDEX($AA$4:$AL$323,Ajustes!$H198,P$2),0)+IF(Ajustes!$I198&gt;0,INDEX($AA$4:$AL$323,Ajustes!$I198,P$2),0)+IF(Ajustes!$J198&gt;0,INDEX($AA$4:$AL$323,Ajustes!$J198,P$2),0)+IF(Ajustes!$K198&gt;0,INDEX($AA$5:$AL$324,Ajustes!$K198,P$2),0)+IF(Ajustes!$L198&gt;0,INDEX($AA$4:$AL$323,Ajustes!$L198,P$2),0) + P198</f>
        <v>0</v>
      </c>
      <c r="AC198">
        <f>IF(Ajustes!$G198&gt;0,INDEX($AA$4:$AL$323,Ajustes!$G198,Q$2),0)+IF(Ajustes!$H198&gt;0,INDEX($AA$4:$AL$323,Ajustes!$H198,Q$2),0)+IF(Ajustes!$I198&gt;0,INDEX($AA$4:$AL$323,Ajustes!$I198,Q$2),0)+IF(Ajustes!$J198&gt;0,INDEX($AA$4:$AL$323,Ajustes!$J198,Q$2),0)+IF(Ajustes!$K198&gt;0,INDEX($AA$5:$AL$324,Ajustes!$K198,Q$2),0)+IF(Ajustes!$L198&gt;0,INDEX($AA$4:$AL$323,Ajustes!$L198,Q$2),0) + Q198</f>
        <v>0</v>
      </c>
      <c r="AD198">
        <f>IF(Ajustes!$G198&gt;0,INDEX($AA$4:$AL$323,Ajustes!$G198,R$2),0)+IF(Ajustes!$H198&gt;0,INDEX($AA$4:$AL$323,Ajustes!$H198,R$2),0)+IF(Ajustes!$I198&gt;0,INDEX($AA$4:$AL$323,Ajustes!$I198,R$2),0)+IF(Ajustes!$J198&gt;0,INDEX($AA$4:$AL$323,Ajustes!$J198,R$2),0)+IF(Ajustes!$K198&gt;0,INDEX($AA$5:$AL$324,Ajustes!$K198,R$2),0)+IF(Ajustes!$L198&gt;0,INDEX($AA$4:$AL$323,Ajustes!$L198,R$2),0) + R198</f>
        <v>0</v>
      </c>
      <c r="AE198">
        <f>IF(Ajustes!$G198&gt;0,INDEX($AA$4:$AL$323,Ajustes!$G198,S$2),0)+IF(Ajustes!$H198&gt;0,INDEX($AA$4:$AL$323,Ajustes!$H198,S$2),0)+IF(Ajustes!$I198&gt;0,INDEX($AA$4:$AL$323,Ajustes!$I198,S$2),0)+IF(Ajustes!$J198&gt;0,INDEX($AA$4:$AL$323,Ajustes!$J198,S$2),0)+IF(Ajustes!$K198&gt;0,INDEX($AA$5:$AL$324,Ajustes!$K198,S$2),0)+IF(Ajustes!$L198&gt;0,INDEX($AA$4:$AL$323,Ajustes!$L198,S$2),0) + S198</f>
        <v>0</v>
      </c>
      <c r="AF198">
        <f>IF(Ajustes!$G198&gt;0,INDEX($AA$4:$AL$323,Ajustes!$G198,T$2),0)+IF(Ajustes!$H198&gt;0,INDEX($AA$4:$AL$323,Ajustes!$H198,T$2),0)+IF(Ajustes!$I198&gt;0,INDEX($AA$4:$AL$323,Ajustes!$I198,T$2),0)+IF(Ajustes!$J198&gt;0,INDEX($AA$4:$AL$323,Ajustes!$J198,T$2),0)+IF(Ajustes!$K198&gt;0,INDEX($AA$5:$AL$324,Ajustes!$K198,T$2),0)+IF(Ajustes!$L198&gt;0,INDEX($AA$4:$AL$323,Ajustes!$L198,T$2),0) + T198</f>
        <v>0</v>
      </c>
      <c r="AG198">
        <f>IF(Ajustes!$G198&gt;0,INDEX($AA$4:$AL$323,Ajustes!$G198,U$2),0)+IF(Ajustes!$H198&gt;0,INDEX($AA$4:$AL$323,Ajustes!$H198,U$2),0)+IF(Ajustes!$I198&gt;0,INDEX($AA$4:$AL$323,Ajustes!$I198,U$2),0)+IF(Ajustes!$J198&gt;0,INDEX($AA$4:$AL$323,Ajustes!$J198,U$2),0)+IF(Ajustes!$K198&gt;0,INDEX($AA$5:$AL$324,Ajustes!$K198,U$2),0)+IF(Ajustes!$L198&gt;0,INDEX($AA$4:$AL$323,Ajustes!$L198,U$2),0) + U198</f>
        <v>0</v>
      </c>
      <c r="AH198">
        <f>IF(Ajustes!$G198&gt;0,INDEX($AA$4:$AL$323,Ajustes!$G198,V$2),0)+IF(Ajustes!$H198&gt;0,INDEX($AA$4:$AL$323,Ajustes!$H198,V$2),0)+IF(Ajustes!$I198&gt;0,INDEX($AA$4:$AL$323,Ajustes!$I198,V$2),0)+IF(Ajustes!$J198&gt;0,INDEX($AA$4:$AL$323,Ajustes!$J198,V$2),0)+IF(Ajustes!$K198&gt;0,INDEX($AA$5:$AL$324,Ajustes!$K198,V$2),0)+IF(Ajustes!$L198&gt;0,INDEX($AA$4:$AL$323,Ajustes!$L198,V$2),0) + V198</f>
        <v>0</v>
      </c>
      <c r="AI198">
        <f>IF(Ajustes!$G198&gt;0,INDEX($AA$4:$AL$323,Ajustes!$G198,W$2),0)+IF(Ajustes!$H198&gt;0,INDEX($AA$4:$AL$323,Ajustes!$H198,W$2),0)+IF(Ajustes!$I198&gt;0,INDEX($AA$4:$AL$323,Ajustes!$I198,W$2),0)+IF(Ajustes!$J198&gt;0,INDEX($AA$4:$AL$323,Ajustes!$J198,W$2),0)+IF(Ajustes!$K198&gt;0,INDEX($AA$5:$AL$324,Ajustes!$K198,W$2),0)+IF(Ajustes!$L198&gt;0,INDEX($AA$4:$AL$323,Ajustes!$L198,W$2),0) + W198</f>
        <v>0</v>
      </c>
      <c r="AJ198">
        <f>IF(Ajustes!$G198&gt;0,INDEX($AA$4:$AL$323,Ajustes!$G198,X$2),0)+IF(Ajustes!$H198&gt;0,INDEX($AA$4:$AL$323,Ajustes!$H198,X$2),0)+IF(Ajustes!$I198&gt;0,INDEX($AA$4:$AL$323,Ajustes!$I198,X$2),0)+IF(Ajustes!$J198&gt;0,INDEX($AA$4:$AL$323,Ajustes!$J198,X$2),0)+IF(Ajustes!$K198&gt;0,INDEX($AA$5:$AL$324,Ajustes!$K198,X$2),0)+IF(Ajustes!$L198&gt;0,INDEX($AA$4:$AL$323,Ajustes!$L198,X$2),0) + X198</f>
        <v>0</v>
      </c>
      <c r="AK198">
        <f>IF(Ajustes!$G198&gt;0,INDEX($AA$4:$AL$323,Ajustes!$G198,Y$2),0)+IF(Ajustes!$H198&gt;0,INDEX($AA$4:$AL$323,Ajustes!$H198,Y$2),0)+IF(Ajustes!$I198&gt;0,INDEX($AA$4:$AL$323,Ajustes!$I198,Y$2),0)+IF(Ajustes!$J198&gt;0,INDEX($AA$4:$AL$323,Ajustes!$J198,Y$2),0)+IF(Ajustes!$K198&gt;0,INDEX($AA$5:$AL$324,Ajustes!$K198,Y$2),0)+IF(Ajustes!$L198&gt;0,INDEX($AA$4:$AL$323,Ajustes!$L198,Y$2),0) + Y198</f>
        <v>0</v>
      </c>
      <c r="AL198">
        <f>IF(Ajustes!$G198&gt;0,INDEX($AA$4:$AL$323,Ajustes!$G198,Z$2),0)+IF(Ajustes!$H198&gt;0,INDEX($AA$4:$AL$323,Ajustes!$H198,Z$2),0)+IF(Ajustes!$I198&gt;0,INDEX($AA$4:$AL$323,Ajustes!$I198,Z$2),0)+IF(Ajustes!$J198&gt;0,INDEX($AA$4:$AL$323,Ajustes!$J198,Z$2),0)+IF(Ajustes!$K198&gt;0,INDEX($AA$5:$AL$324,Ajustes!$K198,Z$2),0)+IF(Ajustes!$L198&gt;0,INDEX($AA$4:$AL$323,Ajustes!$L198,Z$2),0) + Z198</f>
        <v>0</v>
      </c>
      <c r="AM198" s="113">
        <f t="shared" si="39"/>
        <v>0</v>
      </c>
      <c r="AN198" s="113">
        <f t="shared" si="39"/>
        <v>0</v>
      </c>
      <c r="AO198" s="113">
        <f t="shared" si="39"/>
        <v>0</v>
      </c>
      <c r="AP198" s="113">
        <f t="shared" si="39"/>
        <v>0</v>
      </c>
      <c r="AQ198" s="113">
        <f t="shared" si="42"/>
        <v>0</v>
      </c>
      <c r="AR198" s="113">
        <f t="shared" si="40"/>
        <v>0</v>
      </c>
      <c r="AS198" s="113">
        <f t="shared" si="40"/>
        <v>0</v>
      </c>
      <c r="AT198" s="113">
        <f t="shared" si="40"/>
        <v>0</v>
      </c>
      <c r="AU198" s="113">
        <f t="shared" si="40"/>
        <v>0</v>
      </c>
      <c r="AV198" s="113">
        <f t="shared" si="43"/>
        <v>0</v>
      </c>
      <c r="AW198" s="113">
        <f t="shared" si="41"/>
        <v>0</v>
      </c>
      <c r="AX198" s="113">
        <f t="shared" si="41"/>
        <v>0</v>
      </c>
    </row>
    <row r="199" spans="1:50" x14ac:dyDescent="0.25">
      <c r="A199" s="113">
        <v>196</v>
      </c>
      <c r="B199" s="209" t="s">
        <v>627</v>
      </c>
      <c r="C199">
        <f>IFERROR(INDEX($BD$7:$BO$35,MATCH(Ajustes!$E$4:$E$323,$BC$7:$BC$35,0),$C$2:$N$2),1)</f>
        <v>1</v>
      </c>
      <c r="D199" s="113">
        <f>IFERROR(INDEX($BD$7:$BO$35,MATCH(Ajustes!$E$4:$E$323,$BC$7:$BC$35,0),$C$2:$N$2),1)</f>
        <v>1</v>
      </c>
      <c r="E199" s="113">
        <f>IFERROR(INDEX($BD$7:$BO$35,MATCH(Ajustes!$E$4:$E$323,$BC$7:$BC$35,0),$C$2:$N$2),1)</f>
        <v>1</v>
      </c>
      <c r="F199" s="113">
        <f>IFERROR(INDEX($BD$7:$BO$35,MATCH(Ajustes!$E$4:$E$323,$BC$7:$BC$35,0),$C$2:$N$2),1)</f>
        <v>1</v>
      </c>
      <c r="G199" s="113">
        <f>IFERROR(INDEX($BD$7:$BO$35,MATCH(Ajustes!$E$4:$E$323,$BC$7:$BC$35,0),$C$2:$N$2),1)</f>
        <v>1</v>
      </c>
      <c r="H199" s="113">
        <f>IFERROR(INDEX($BD$7:$BO$35,MATCH(Ajustes!$E$4:$E$323,$BC$7:$BC$35,0),$C$2:$N$2),1)</f>
        <v>1</v>
      </c>
      <c r="I199" s="113">
        <f>IFERROR(INDEX($BD$7:$BO$35,MATCH(Ajustes!$E$4:$E$323,$BC$7:$BC$35,0),$C$2:$N$2),1)</f>
        <v>1</v>
      </c>
      <c r="J199" s="113">
        <f>IFERROR(INDEX($BD$7:$BO$35,MATCH(Ajustes!$E$4:$E$323,$BC$7:$BC$35,0),$C$2:$N$2),1)</f>
        <v>1</v>
      </c>
      <c r="K199" s="113">
        <f>IFERROR(INDEX($BD$7:$BO$35,MATCH(Ajustes!$E$4:$E$323,$BC$7:$BC$35,0),$C$2:$N$2),1)</f>
        <v>1</v>
      </c>
      <c r="L199" s="113">
        <f>IFERROR(INDEX($BD$7:$BO$35,MATCH(Ajustes!$E$4:$E$323,$BC$7:$BC$35,0),$C$2:$N$2),1)</f>
        <v>1</v>
      </c>
      <c r="M199" s="113">
        <f>IFERROR(INDEX($BD$7:$BO$35,MATCH(Ajustes!$E$4:$E$323,$BC$7:$BC$35,0),$C$2:$N$2),1)</f>
        <v>1</v>
      </c>
      <c r="N199" s="113">
        <f>IFERROR(INDEX($BD$7:$BO$35,MATCH(Ajustes!$E$4:$E$323,$BC$7:$BC$35,0),$C$2:$N$2),1)</f>
        <v>1</v>
      </c>
      <c r="O199">
        <f>C199*Ajustes!AM199</f>
        <v>63</v>
      </c>
      <c r="P199">
        <f>D199*Ajustes!AN199</f>
        <v>47</v>
      </c>
      <c r="Q199">
        <f>E199*Ajustes!AO199</f>
        <v>46</v>
      </c>
      <c r="R199">
        <f>F199*Ajustes!AP199</f>
        <v>37</v>
      </c>
      <c r="S199">
        <f>G199*Ajustes!AQ199</f>
        <v>26</v>
      </c>
      <c r="T199">
        <f>H199*Ajustes!AR199</f>
        <v>20</v>
      </c>
      <c r="U199">
        <f>I199*Ajustes!AS199</f>
        <v>18</v>
      </c>
      <c r="V199">
        <f>J199*Ajustes!AT199</f>
        <v>15</v>
      </c>
      <c r="W199">
        <f>K199*Ajustes!AU199</f>
        <v>15</v>
      </c>
      <c r="X199">
        <f>L199*Ajustes!AV199</f>
        <v>20</v>
      </c>
      <c r="Y199">
        <f>M199*Ajustes!AW199</f>
        <v>38</v>
      </c>
      <c r="Z199">
        <f>N199*Ajustes!AX199</f>
        <v>58</v>
      </c>
      <c r="AA199">
        <f>IF(Ajustes!$G199&gt;0,INDEX($AA$4:$AL$323,Ajustes!$G199,O$2),0)+IF(Ajustes!$H199&gt;0,INDEX($AA$4:$AL$323,Ajustes!$H199,O$2),0)+IF(Ajustes!$I199&gt;0,INDEX($AA$4:$AL$323,Ajustes!$I199,O$2),0)+IF(Ajustes!$J199&gt;0,INDEX($AA$4:$AL$323,Ajustes!$J199,O$2),0)+IF(Ajustes!$K199&gt;0,INDEX($AA$5:$AL$324,Ajustes!$K199,O$2),0)+IF(Ajustes!$L199&gt;0,INDEX($AA$4:$AL$323,Ajustes!$L199,O$2),0) + O199</f>
        <v>63</v>
      </c>
      <c r="AB199">
        <f>IF(Ajustes!$G199&gt;0,INDEX($AA$4:$AL$323,Ajustes!$G199,P$2),0)+IF(Ajustes!$H199&gt;0,INDEX($AA$4:$AL$323,Ajustes!$H199,P$2),0)+IF(Ajustes!$I199&gt;0,INDEX($AA$4:$AL$323,Ajustes!$I199,P$2),0)+IF(Ajustes!$J199&gt;0,INDEX($AA$4:$AL$323,Ajustes!$J199,P$2),0)+IF(Ajustes!$K199&gt;0,INDEX($AA$5:$AL$324,Ajustes!$K199,P$2),0)+IF(Ajustes!$L199&gt;0,INDEX($AA$4:$AL$323,Ajustes!$L199,P$2),0) + P199</f>
        <v>47</v>
      </c>
      <c r="AC199">
        <f>IF(Ajustes!$G199&gt;0,INDEX($AA$4:$AL$323,Ajustes!$G199,Q$2),0)+IF(Ajustes!$H199&gt;0,INDEX($AA$4:$AL$323,Ajustes!$H199,Q$2),0)+IF(Ajustes!$I199&gt;0,INDEX($AA$4:$AL$323,Ajustes!$I199,Q$2),0)+IF(Ajustes!$J199&gt;0,INDEX($AA$4:$AL$323,Ajustes!$J199,Q$2),0)+IF(Ajustes!$K199&gt;0,INDEX($AA$5:$AL$324,Ajustes!$K199,Q$2),0)+IF(Ajustes!$L199&gt;0,INDEX($AA$4:$AL$323,Ajustes!$L199,Q$2),0) + Q199</f>
        <v>46</v>
      </c>
      <c r="AD199">
        <f>IF(Ajustes!$G199&gt;0,INDEX($AA$4:$AL$323,Ajustes!$G199,R$2),0)+IF(Ajustes!$H199&gt;0,INDEX($AA$4:$AL$323,Ajustes!$H199,R$2),0)+IF(Ajustes!$I199&gt;0,INDEX($AA$4:$AL$323,Ajustes!$I199,R$2),0)+IF(Ajustes!$J199&gt;0,INDEX($AA$4:$AL$323,Ajustes!$J199,R$2),0)+IF(Ajustes!$K199&gt;0,INDEX($AA$5:$AL$324,Ajustes!$K199,R$2),0)+IF(Ajustes!$L199&gt;0,INDEX($AA$4:$AL$323,Ajustes!$L199,R$2),0) + R199</f>
        <v>37</v>
      </c>
      <c r="AE199">
        <f>IF(Ajustes!$G199&gt;0,INDEX($AA$4:$AL$323,Ajustes!$G199,S$2),0)+IF(Ajustes!$H199&gt;0,INDEX($AA$4:$AL$323,Ajustes!$H199,S$2),0)+IF(Ajustes!$I199&gt;0,INDEX($AA$4:$AL$323,Ajustes!$I199,S$2),0)+IF(Ajustes!$J199&gt;0,INDEX($AA$4:$AL$323,Ajustes!$J199,S$2),0)+IF(Ajustes!$K199&gt;0,INDEX($AA$5:$AL$324,Ajustes!$K199,S$2),0)+IF(Ajustes!$L199&gt;0,INDEX($AA$4:$AL$323,Ajustes!$L199,S$2),0) + S199</f>
        <v>26</v>
      </c>
      <c r="AF199">
        <f>IF(Ajustes!$G199&gt;0,INDEX($AA$4:$AL$323,Ajustes!$G199,T$2),0)+IF(Ajustes!$H199&gt;0,INDEX($AA$4:$AL$323,Ajustes!$H199,T$2),0)+IF(Ajustes!$I199&gt;0,INDEX($AA$4:$AL$323,Ajustes!$I199,T$2),0)+IF(Ajustes!$J199&gt;0,INDEX($AA$4:$AL$323,Ajustes!$J199,T$2),0)+IF(Ajustes!$K199&gt;0,INDEX($AA$5:$AL$324,Ajustes!$K199,T$2),0)+IF(Ajustes!$L199&gt;0,INDEX($AA$4:$AL$323,Ajustes!$L199,T$2),0) + T199</f>
        <v>20</v>
      </c>
      <c r="AG199">
        <f>IF(Ajustes!$G199&gt;0,INDEX($AA$4:$AL$323,Ajustes!$G199,U$2),0)+IF(Ajustes!$H199&gt;0,INDEX($AA$4:$AL$323,Ajustes!$H199,U$2),0)+IF(Ajustes!$I199&gt;0,INDEX($AA$4:$AL$323,Ajustes!$I199,U$2),0)+IF(Ajustes!$J199&gt;0,INDEX($AA$4:$AL$323,Ajustes!$J199,U$2),0)+IF(Ajustes!$K199&gt;0,INDEX($AA$5:$AL$324,Ajustes!$K199,U$2),0)+IF(Ajustes!$L199&gt;0,INDEX($AA$4:$AL$323,Ajustes!$L199,U$2),0) + U199</f>
        <v>18</v>
      </c>
      <c r="AH199">
        <f>IF(Ajustes!$G199&gt;0,INDEX($AA$4:$AL$323,Ajustes!$G199,V$2),0)+IF(Ajustes!$H199&gt;0,INDEX($AA$4:$AL$323,Ajustes!$H199,V$2),0)+IF(Ajustes!$I199&gt;0,INDEX($AA$4:$AL$323,Ajustes!$I199,V$2),0)+IF(Ajustes!$J199&gt;0,INDEX($AA$4:$AL$323,Ajustes!$J199,V$2),0)+IF(Ajustes!$K199&gt;0,INDEX($AA$5:$AL$324,Ajustes!$K199,V$2),0)+IF(Ajustes!$L199&gt;0,INDEX($AA$4:$AL$323,Ajustes!$L199,V$2),0) + V199</f>
        <v>15</v>
      </c>
      <c r="AI199">
        <f>IF(Ajustes!$G199&gt;0,INDEX($AA$4:$AL$323,Ajustes!$G199,W$2),0)+IF(Ajustes!$H199&gt;0,INDEX($AA$4:$AL$323,Ajustes!$H199,W$2),0)+IF(Ajustes!$I199&gt;0,INDEX($AA$4:$AL$323,Ajustes!$I199,W$2),0)+IF(Ajustes!$J199&gt;0,INDEX($AA$4:$AL$323,Ajustes!$J199,W$2),0)+IF(Ajustes!$K199&gt;0,INDEX($AA$5:$AL$324,Ajustes!$K199,W$2),0)+IF(Ajustes!$L199&gt;0,INDEX($AA$4:$AL$323,Ajustes!$L199,W$2),0) + W199</f>
        <v>15</v>
      </c>
      <c r="AJ199">
        <f>IF(Ajustes!$G199&gt;0,INDEX($AA$4:$AL$323,Ajustes!$G199,X$2),0)+IF(Ajustes!$H199&gt;0,INDEX($AA$4:$AL$323,Ajustes!$H199,X$2),0)+IF(Ajustes!$I199&gt;0,INDEX($AA$4:$AL$323,Ajustes!$I199,X$2),0)+IF(Ajustes!$J199&gt;0,INDEX($AA$4:$AL$323,Ajustes!$J199,X$2),0)+IF(Ajustes!$K199&gt;0,INDEX($AA$5:$AL$324,Ajustes!$K199,X$2),0)+IF(Ajustes!$L199&gt;0,INDEX($AA$4:$AL$323,Ajustes!$L199,X$2),0) + X199</f>
        <v>20</v>
      </c>
      <c r="AK199">
        <f>IF(Ajustes!$G199&gt;0,INDEX($AA$4:$AL$323,Ajustes!$G199,Y$2),0)+IF(Ajustes!$H199&gt;0,INDEX($AA$4:$AL$323,Ajustes!$H199,Y$2),0)+IF(Ajustes!$I199&gt;0,INDEX($AA$4:$AL$323,Ajustes!$I199,Y$2),0)+IF(Ajustes!$J199&gt;0,INDEX($AA$4:$AL$323,Ajustes!$J199,Y$2),0)+IF(Ajustes!$K199&gt;0,INDEX($AA$5:$AL$324,Ajustes!$K199,Y$2),0)+IF(Ajustes!$L199&gt;0,INDEX($AA$4:$AL$323,Ajustes!$L199,Y$2),0) + Y199</f>
        <v>38</v>
      </c>
      <c r="AL199">
        <f>IF(Ajustes!$G199&gt;0,INDEX($AA$4:$AL$323,Ajustes!$G199,Z$2),0)+IF(Ajustes!$H199&gt;0,INDEX($AA$4:$AL$323,Ajustes!$H199,Z$2),0)+IF(Ajustes!$I199&gt;0,INDEX($AA$4:$AL$323,Ajustes!$I199,Z$2),0)+IF(Ajustes!$J199&gt;0,INDEX($AA$4:$AL$323,Ajustes!$J199,Z$2),0)+IF(Ajustes!$K199&gt;0,INDEX($AA$5:$AL$324,Ajustes!$K199,Z$2),0)+IF(Ajustes!$L199&gt;0,INDEX($AA$4:$AL$323,Ajustes!$L199,Z$2),0) + Z199</f>
        <v>58</v>
      </c>
      <c r="AM199" s="113">
        <f t="shared" si="39"/>
        <v>63</v>
      </c>
      <c r="AN199" s="113">
        <f t="shared" si="39"/>
        <v>47</v>
      </c>
      <c r="AO199" s="113">
        <f t="shared" si="39"/>
        <v>46</v>
      </c>
      <c r="AP199" s="113">
        <f t="shared" si="39"/>
        <v>37</v>
      </c>
      <c r="AQ199" s="113">
        <f t="shared" si="42"/>
        <v>26</v>
      </c>
      <c r="AR199" s="113">
        <f t="shared" si="40"/>
        <v>20</v>
      </c>
      <c r="AS199" s="113">
        <f t="shared" si="40"/>
        <v>18</v>
      </c>
      <c r="AT199" s="113">
        <f t="shared" si="40"/>
        <v>15</v>
      </c>
      <c r="AU199" s="113">
        <f t="shared" si="40"/>
        <v>15</v>
      </c>
      <c r="AV199" s="113">
        <f t="shared" si="43"/>
        <v>20</v>
      </c>
      <c r="AW199" s="113">
        <f t="shared" si="41"/>
        <v>38</v>
      </c>
      <c r="AX199" s="113">
        <f t="shared" si="41"/>
        <v>58</v>
      </c>
    </row>
    <row r="200" spans="1:50" x14ac:dyDescent="0.25">
      <c r="A200" s="113">
        <v>197</v>
      </c>
      <c r="B200" s="209" t="s">
        <v>628</v>
      </c>
      <c r="C200">
        <f>IFERROR(INDEX($BD$7:$BO$35,MATCH(Ajustes!$E$4:$E$323,$BC$7:$BC$35,0),$C$2:$N$2),1)</f>
        <v>1</v>
      </c>
      <c r="D200" s="113">
        <f>IFERROR(INDEX($BD$7:$BO$35,MATCH(Ajustes!$E$4:$E$323,$BC$7:$BC$35,0),$C$2:$N$2),1)</f>
        <v>1</v>
      </c>
      <c r="E200" s="113">
        <f>IFERROR(INDEX($BD$7:$BO$35,MATCH(Ajustes!$E$4:$E$323,$BC$7:$BC$35,0),$C$2:$N$2),1)</f>
        <v>1</v>
      </c>
      <c r="F200" s="113">
        <f>IFERROR(INDEX($BD$7:$BO$35,MATCH(Ajustes!$E$4:$E$323,$BC$7:$BC$35,0),$C$2:$N$2),1)</f>
        <v>1</v>
      </c>
      <c r="G200" s="113">
        <f>IFERROR(INDEX($BD$7:$BO$35,MATCH(Ajustes!$E$4:$E$323,$BC$7:$BC$35,0),$C$2:$N$2),1)</f>
        <v>1</v>
      </c>
      <c r="H200" s="113">
        <f>IFERROR(INDEX($BD$7:$BO$35,MATCH(Ajustes!$E$4:$E$323,$BC$7:$BC$35,0),$C$2:$N$2),1)</f>
        <v>1</v>
      </c>
      <c r="I200" s="113">
        <f>IFERROR(INDEX($BD$7:$BO$35,MATCH(Ajustes!$E$4:$E$323,$BC$7:$BC$35,0),$C$2:$N$2),1)</f>
        <v>1</v>
      </c>
      <c r="J200" s="113">
        <f>IFERROR(INDEX($BD$7:$BO$35,MATCH(Ajustes!$E$4:$E$323,$BC$7:$BC$35,0),$C$2:$N$2),1)</f>
        <v>1</v>
      </c>
      <c r="K200" s="113">
        <f>IFERROR(INDEX($BD$7:$BO$35,MATCH(Ajustes!$E$4:$E$323,$BC$7:$BC$35,0),$C$2:$N$2),1)</f>
        <v>1</v>
      </c>
      <c r="L200" s="113">
        <f>IFERROR(INDEX($BD$7:$BO$35,MATCH(Ajustes!$E$4:$E$323,$BC$7:$BC$35,0),$C$2:$N$2),1)</f>
        <v>1</v>
      </c>
      <c r="M200" s="113">
        <f>IFERROR(INDEX($BD$7:$BO$35,MATCH(Ajustes!$E$4:$E$323,$BC$7:$BC$35,0),$C$2:$N$2),1)</f>
        <v>1</v>
      </c>
      <c r="N200" s="113">
        <f>IFERROR(INDEX($BD$7:$BO$35,MATCH(Ajustes!$E$4:$E$323,$BC$7:$BC$35,0),$C$2:$N$2),1)</f>
        <v>1</v>
      </c>
      <c r="O200">
        <f>C200*Ajustes!AM200</f>
        <v>65</v>
      </c>
      <c r="P200">
        <f>D200*Ajustes!AN200</f>
        <v>64</v>
      </c>
      <c r="Q200">
        <f>E200*Ajustes!AO200</f>
        <v>58</v>
      </c>
      <c r="R200">
        <f>F200*Ajustes!AP200</f>
        <v>43</v>
      </c>
      <c r="S200">
        <f>G200*Ajustes!AQ200</f>
        <v>33</v>
      </c>
      <c r="T200">
        <f>H200*Ajustes!AR200</f>
        <v>29</v>
      </c>
      <c r="U200">
        <f>I200*Ajustes!AS200</f>
        <v>25</v>
      </c>
      <c r="V200">
        <f>J200*Ajustes!AT200</f>
        <v>22</v>
      </c>
      <c r="W200">
        <f>K200*Ajustes!AU200</f>
        <v>22</v>
      </c>
      <c r="X200">
        <f>L200*Ajustes!AV200</f>
        <v>25</v>
      </c>
      <c r="Y200">
        <f>M200*Ajustes!AW200</f>
        <v>34</v>
      </c>
      <c r="Z200">
        <f>N200*Ajustes!AX200</f>
        <v>49</v>
      </c>
      <c r="AA200">
        <f>IF(Ajustes!$G200&gt;0,INDEX($AA$4:$AL$323,Ajustes!$G200,O$2),0)+IF(Ajustes!$H200&gt;0,INDEX($AA$4:$AL$323,Ajustes!$H200,O$2),0)+IF(Ajustes!$I200&gt;0,INDEX($AA$4:$AL$323,Ajustes!$I200,O$2),0)+IF(Ajustes!$J200&gt;0,INDEX($AA$4:$AL$323,Ajustes!$J200,O$2),0)+IF(Ajustes!$K200&gt;0,INDEX($AA$5:$AL$324,Ajustes!$K200,O$2),0)+IF(Ajustes!$L200&gt;0,INDEX($AA$4:$AL$323,Ajustes!$L200,O$2),0) + O200</f>
        <v>65</v>
      </c>
      <c r="AB200">
        <f>IF(Ajustes!$G200&gt;0,INDEX($AA$4:$AL$323,Ajustes!$G200,P$2),0)+IF(Ajustes!$H200&gt;0,INDEX($AA$4:$AL$323,Ajustes!$H200,P$2),0)+IF(Ajustes!$I200&gt;0,INDEX($AA$4:$AL$323,Ajustes!$I200,P$2),0)+IF(Ajustes!$J200&gt;0,INDEX($AA$4:$AL$323,Ajustes!$J200,P$2),0)+IF(Ajustes!$K200&gt;0,INDEX($AA$5:$AL$324,Ajustes!$K200,P$2),0)+IF(Ajustes!$L200&gt;0,INDEX($AA$4:$AL$323,Ajustes!$L200,P$2),0) + P200</f>
        <v>64</v>
      </c>
      <c r="AC200">
        <f>IF(Ajustes!$G200&gt;0,INDEX($AA$4:$AL$323,Ajustes!$G200,Q$2),0)+IF(Ajustes!$H200&gt;0,INDEX($AA$4:$AL$323,Ajustes!$H200,Q$2),0)+IF(Ajustes!$I200&gt;0,INDEX($AA$4:$AL$323,Ajustes!$I200,Q$2),0)+IF(Ajustes!$J200&gt;0,INDEX($AA$4:$AL$323,Ajustes!$J200,Q$2),0)+IF(Ajustes!$K200&gt;0,INDEX($AA$5:$AL$324,Ajustes!$K200,Q$2),0)+IF(Ajustes!$L200&gt;0,INDEX($AA$4:$AL$323,Ajustes!$L200,Q$2),0) + Q200</f>
        <v>58</v>
      </c>
      <c r="AD200">
        <f>IF(Ajustes!$G200&gt;0,INDEX($AA$4:$AL$323,Ajustes!$G200,R$2),0)+IF(Ajustes!$H200&gt;0,INDEX($AA$4:$AL$323,Ajustes!$H200,R$2),0)+IF(Ajustes!$I200&gt;0,INDEX($AA$4:$AL$323,Ajustes!$I200,R$2),0)+IF(Ajustes!$J200&gt;0,INDEX($AA$4:$AL$323,Ajustes!$J200,R$2),0)+IF(Ajustes!$K200&gt;0,INDEX($AA$5:$AL$324,Ajustes!$K200,R$2),0)+IF(Ajustes!$L200&gt;0,INDEX($AA$4:$AL$323,Ajustes!$L200,R$2),0) + R200</f>
        <v>43</v>
      </c>
      <c r="AE200">
        <f>IF(Ajustes!$G200&gt;0,INDEX($AA$4:$AL$323,Ajustes!$G200,S$2),0)+IF(Ajustes!$H200&gt;0,INDEX($AA$4:$AL$323,Ajustes!$H200,S$2),0)+IF(Ajustes!$I200&gt;0,INDEX($AA$4:$AL$323,Ajustes!$I200,S$2),0)+IF(Ajustes!$J200&gt;0,INDEX($AA$4:$AL$323,Ajustes!$J200,S$2),0)+IF(Ajustes!$K200&gt;0,INDEX($AA$5:$AL$324,Ajustes!$K200,S$2),0)+IF(Ajustes!$L200&gt;0,INDEX($AA$4:$AL$323,Ajustes!$L200,S$2),0) + S200</f>
        <v>33</v>
      </c>
      <c r="AF200">
        <f>IF(Ajustes!$G200&gt;0,INDEX($AA$4:$AL$323,Ajustes!$G200,T$2),0)+IF(Ajustes!$H200&gt;0,INDEX($AA$4:$AL$323,Ajustes!$H200,T$2),0)+IF(Ajustes!$I200&gt;0,INDEX($AA$4:$AL$323,Ajustes!$I200,T$2),0)+IF(Ajustes!$J200&gt;0,INDEX($AA$4:$AL$323,Ajustes!$J200,T$2),0)+IF(Ajustes!$K200&gt;0,INDEX($AA$5:$AL$324,Ajustes!$K200,T$2),0)+IF(Ajustes!$L200&gt;0,INDEX($AA$4:$AL$323,Ajustes!$L200,T$2),0) + T200</f>
        <v>29</v>
      </c>
      <c r="AG200">
        <f>IF(Ajustes!$G200&gt;0,INDEX($AA$4:$AL$323,Ajustes!$G200,U$2),0)+IF(Ajustes!$H200&gt;0,INDEX($AA$4:$AL$323,Ajustes!$H200,U$2),0)+IF(Ajustes!$I200&gt;0,INDEX($AA$4:$AL$323,Ajustes!$I200,U$2),0)+IF(Ajustes!$J200&gt;0,INDEX($AA$4:$AL$323,Ajustes!$J200,U$2),0)+IF(Ajustes!$K200&gt;0,INDEX($AA$5:$AL$324,Ajustes!$K200,U$2),0)+IF(Ajustes!$L200&gt;0,INDEX($AA$4:$AL$323,Ajustes!$L200,U$2),0) + U200</f>
        <v>25</v>
      </c>
      <c r="AH200">
        <f>IF(Ajustes!$G200&gt;0,INDEX($AA$4:$AL$323,Ajustes!$G200,V$2),0)+IF(Ajustes!$H200&gt;0,INDEX($AA$4:$AL$323,Ajustes!$H200,V$2),0)+IF(Ajustes!$I200&gt;0,INDEX($AA$4:$AL$323,Ajustes!$I200,V$2),0)+IF(Ajustes!$J200&gt;0,INDEX($AA$4:$AL$323,Ajustes!$J200,V$2),0)+IF(Ajustes!$K200&gt;0,INDEX($AA$5:$AL$324,Ajustes!$K200,V$2),0)+IF(Ajustes!$L200&gt;0,INDEX($AA$4:$AL$323,Ajustes!$L200,V$2),0) + V200</f>
        <v>22</v>
      </c>
      <c r="AI200">
        <f>IF(Ajustes!$G200&gt;0,INDEX($AA$4:$AL$323,Ajustes!$G200,W$2),0)+IF(Ajustes!$H200&gt;0,INDEX($AA$4:$AL$323,Ajustes!$H200,W$2),0)+IF(Ajustes!$I200&gt;0,INDEX($AA$4:$AL$323,Ajustes!$I200,W$2),0)+IF(Ajustes!$J200&gt;0,INDEX($AA$4:$AL$323,Ajustes!$J200,W$2),0)+IF(Ajustes!$K200&gt;0,INDEX($AA$5:$AL$324,Ajustes!$K200,W$2),0)+IF(Ajustes!$L200&gt;0,INDEX($AA$4:$AL$323,Ajustes!$L200,W$2),0) + W200</f>
        <v>22</v>
      </c>
      <c r="AJ200">
        <f>IF(Ajustes!$G200&gt;0,INDEX($AA$4:$AL$323,Ajustes!$G200,X$2),0)+IF(Ajustes!$H200&gt;0,INDEX($AA$4:$AL$323,Ajustes!$H200,X$2),0)+IF(Ajustes!$I200&gt;0,INDEX($AA$4:$AL$323,Ajustes!$I200,X$2),0)+IF(Ajustes!$J200&gt;0,INDEX($AA$4:$AL$323,Ajustes!$J200,X$2),0)+IF(Ajustes!$K200&gt;0,INDEX($AA$5:$AL$324,Ajustes!$K200,X$2),0)+IF(Ajustes!$L200&gt;0,INDEX($AA$4:$AL$323,Ajustes!$L200,X$2),0) + X200</f>
        <v>25</v>
      </c>
      <c r="AK200">
        <f>IF(Ajustes!$G200&gt;0,INDEX($AA$4:$AL$323,Ajustes!$G200,Y$2),0)+IF(Ajustes!$H200&gt;0,INDEX($AA$4:$AL$323,Ajustes!$H200,Y$2),0)+IF(Ajustes!$I200&gt;0,INDEX($AA$4:$AL$323,Ajustes!$I200,Y$2),0)+IF(Ajustes!$J200&gt;0,INDEX($AA$4:$AL$323,Ajustes!$J200,Y$2),0)+IF(Ajustes!$K200&gt;0,INDEX($AA$5:$AL$324,Ajustes!$K200,Y$2),0)+IF(Ajustes!$L200&gt;0,INDEX($AA$4:$AL$323,Ajustes!$L200,Y$2),0) + Y200</f>
        <v>34</v>
      </c>
      <c r="AL200">
        <f>IF(Ajustes!$G200&gt;0,INDEX($AA$4:$AL$323,Ajustes!$G200,Z$2),0)+IF(Ajustes!$H200&gt;0,INDEX($AA$4:$AL$323,Ajustes!$H200,Z$2),0)+IF(Ajustes!$I200&gt;0,INDEX($AA$4:$AL$323,Ajustes!$I200,Z$2),0)+IF(Ajustes!$J200&gt;0,INDEX($AA$4:$AL$323,Ajustes!$J200,Z$2),0)+IF(Ajustes!$K200&gt;0,INDEX($AA$5:$AL$324,Ajustes!$K200,Z$2),0)+IF(Ajustes!$L200&gt;0,INDEX($AA$4:$AL$323,Ajustes!$L200,Z$2),0) + Z200</f>
        <v>49</v>
      </c>
      <c r="AM200" s="113">
        <f t="shared" ref="AM200:AQ263" si="47">AA200</f>
        <v>65</v>
      </c>
      <c r="AN200" s="113">
        <f t="shared" si="47"/>
        <v>64</v>
      </c>
      <c r="AO200" s="113">
        <f t="shared" si="47"/>
        <v>58</v>
      </c>
      <c r="AP200" s="113">
        <f t="shared" si="47"/>
        <v>43</v>
      </c>
      <c r="AQ200" s="113">
        <f t="shared" si="47"/>
        <v>33</v>
      </c>
      <c r="AR200" s="113">
        <f t="shared" ref="AR200:AV263" si="48">AF200</f>
        <v>29</v>
      </c>
      <c r="AS200" s="113">
        <f t="shared" si="48"/>
        <v>25</v>
      </c>
      <c r="AT200" s="113">
        <f t="shared" si="48"/>
        <v>22</v>
      </c>
      <c r="AU200" s="113">
        <f t="shared" si="48"/>
        <v>22</v>
      </c>
      <c r="AV200" s="113">
        <f t="shared" si="43"/>
        <v>25</v>
      </c>
      <c r="AW200" s="113">
        <f t="shared" si="43"/>
        <v>34</v>
      </c>
      <c r="AX200" s="113">
        <f t="shared" si="43"/>
        <v>49</v>
      </c>
    </row>
    <row r="201" spans="1:50" x14ac:dyDescent="0.25">
      <c r="A201" s="113">
        <v>198</v>
      </c>
      <c r="B201" s="209" t="s">
        <v>629</v>
      </c>
      <c r="C201">
        <f>IFERROR(INDEX($BD$7:$BO$35,MATCH(Ajustes!$E$4:$E$323,$BC$7:$BC$35,0),$C$2:$N$2),1)</f>
        <v>1</v>
      </c>
      <c r="D201" s="113">
        <f>IFERROR(INDEX($BD$7:$BO$35,MATCH(Ajustes!$E$4:$E$323,$BC$7:$BC$35,0),$C$2:$N$2),1)</f>
        <v>1</v>
      </c>
      <c r="E201" s="113">
        <f>IFERROR(INDEX($BD$7:$BO$35,MATCH(Ajustes!$E$4:$E$323,$BC$7:$BC$35,0),$C$2:$N$2),1)</f>
        <v>1</v>
      </c>
      <c r="F201" s="113">
        <f>IFERROR(INDEX($BD$7:$BO$35,MATCH(Ajustes!$E$4:$E$323,$BC$7:$BC$35,0),$C$2:$N$2),1)</f>
        <v>1</v>
      </c>
      <c r="G201" s="113">
        <f>IFERROR(INDEX($BD$7:$BO$35,MATCH(Ajustes!$E$4:$E$323,$BC$7:$BC$35,0),$C$2:$N$2),1)</f>
        <v>1</v>
      </c>
      <c r="H201" s="113">
        <f>IFERROR(INDEX($BD$7:$BO$35,MATCH(Ajustes!$E$4:$E$323,$BC$7:$BC$35,0),$C$2:$N$2),1)</f>
        <v>1</v>
      </c>
      <c r="I201" s="113">
        <f>IFERROR(INDEX($BD$7:$BO$35,MATCH(Ajustes!$E$4:$E$323,$BC$7:$BC$35,0),$C$2:$N$2),1)</f>
        <v>1</v>
      </c>
      <c r="J201" s="113">
        <f>IFERROR(INDEX($BD$7:$BO$35,MATCH(Ajustes!$E$4:$E$323,$BC$7:$BC$35,0),$C$2:$N$2),1)</f>
        <v>1</v>
      </c>
      <c r="K201" s="113">
        <f>IFERROR(INDEX($BD$7:$BO$35,MATCH(Ajustes!$E$4:$E$323,$BC$7:$BC$35,0),$C$2:$N$2),1)</f>
        <v>1</v>
      </c>
      <c r="L201" s="113">
        <f>IFERROR(INDEX($BD$7:$BO$35,MATCH(Ajustes!$E$4:$E$323,$BC$7:$BC$35,0),$C$2:$N$2),1)</f>
        <v>1</v>
      </c>
      <c r="M201" s="113">
        <f>IFERROR(INDEX($BD$7:$BO$35,MATCH(Ajustes!$E$4:$E$323,$BC$7:$BC$35,0),$C$2:$N$2),1)</f>
        <v>1</v>
      </c>
      <c r="N201" s="113">
        <f>IFERROR(INDEX($BD$7:$BO$35,MATCH(Ajustes!$E$4:$E$323,$BC$7:$BC$35,0),$C$2:$N$2),1)</f>
        <v>1</v>
      </c>
      <c r="O201">
        <f>C201*Ajustes!AM201</f>
        <v>64</v>
      </c>
      <c r="P201">
        <f>D201*Ajustes!AN201</f>
        <v>61</v>
      </c>
      <c r="Q201">
        <f>E201*Ajustes!AO201</f>
        <v>56</v>
      </c>
      <c r="R201">
        <f>F201*Ajustes!AP201</f>
        <v>41</v>
      </c>
      <c r="S201">
        <f>G201*Ajustes!AQ201</f>
        <v>32</v>
      </c>
      <c r="T201">
        <f>H201*Ajustes!AR201</f>
        <v>27</v>
      </c>
      <c r="U201">
        <f>I201*Ajustes!AS201</f>
        <v>24</v>
      </c>
      <c r="V201">
        <f>J201*Ajustes!AT201</f>
        <v>22</v>
      </c>
      <c r="W201">
        <f>K201*Ajustes!AU201</f>
        <v>22</v>
      </c>
      <c r="X201">
        <f>L201*Ajustes!AV201</f>
        <v>26</v>
      </c>
      <c r="Y201">
        <f>M201*Ajustes!AW201</f>
        <v>36</v>
      </c>
      <c r="Z201">
        <f>N201*Ajustes!AX201</f>
        <v>53</v>
      </c>
      <c r="AA201">
        <f>IF(Ajustes!$G201&gt;0,INDEX($AA$4:$AL$323,Ajustes!$G201,O$2),0)+IF(Ajustes!$H201&gt;0,INDEX($AA$4:$AL$323,Ajustes!$H201,O$2),0)+IF(Ajustes!$I201&gt;0,INDEX($AA$4:$AL$323,Ajustes!$I201,O$2),0)+IF(Ajustes!$J201&gt;0,INDEX($AA$4:$AL$323,Ajustes!$J201,O$2),0)+IF(Ajustes!$K201&gt;0,INDEX($AA$5:$AL$324,Ajustes!$K201,O$2),0)+IF(Ajustes!$L201&gt;0,INDEX($AA$4:$AL$323,Ajustes!$L201,O$2),0) + O201</f>
        <v>129</v>
      </c>
      <c r="AB201">
        <f>IF(Ajustes!$G201&gt;0,INDEX($AA$4:$AL$323,Ajustes!$G201,P$2),0)+IF(Ajustes!$H201&gt;0,INDEX($AA$4:$AL$323,Ajustes!$H201,P$2),0)+IF(Ajustes!$I201&gt;0,INDEX($AA$4:$AL$323,Ajustes!$I201,P$2),0)+IF(Ajustes!$J201&gt;0,INDEX($AA$4:$AL$323,Ajustes!$J201,P$2),0)+IF(Ajustes!$K201&gt;0,INDEX($AA$5:$AL$324,Ajustes!$K201,P$2),0)+IF(Ajustes!$L201&gt;0,INDEX($AA$4:$AL$323,Ajustes!$L201,P$2),0) + P201</f>
        <v>125</v>
      </c>
      <c r="AC201">
        <f>IF(Ajustes!$G201&gt;0,INDEX($AA$4:$AL$323,Ajustes!$G201,Q$2),0)+IF(Ajustes!$H201&gt;0,INDEX($AA$4:$AL$323,Ajustes!$H201,Q$2),0)+IF(Ajustes!$I201&gt;0,INDEX($AA$4:$AL$323,Ajustes!$I201,Q$2),0)+IF(Ajustes!$J201&gt;0,INDEX($AA$4:$AL$323,Ajustes!$J201,Q$2),0)+IF(Ajustes!$K201&gt;0,INDEX($AA$5:$AL$324,Ajustes!$K201,Q$2),0)+IF(Ajustes!$L201&gt;0,INDEX($AA$4:$AL$323,Ajustes!$L201,Q$2),0) + Q201</f>
        <v>114</v>
      </c>
      <c r="AD201">
        <f>IF(Ajustes!$G201&gt;0,INDEX($AA$4:$AL$323,Ajustes!$G201,R$2),0)+IF(Ajustes!$H201&gt;0,INDEX($AA$4:$AL$323,Ajustes!$H201,R$2),0)+IF(Ajustes!$I201&gt;0,INDEX($AA$4:$AL$323,Ajustes!$I201,R$2),0)+IF(Ajustes!$J201&gt;0,INDEX($AA$4:$AL$323,Ajustes!$J201,R$2),0)+IF(Ajustes!$K201&gt;0,INDEX($AA$5:$AL$324,Ajustes!$K201,R$2),0)+IF(Ajustes!$L201&gt;0,INDEX($AA$4:$AL$323,Ajustes!$L201,R$2),0) + R201</f>
        <v>84</v>
      </c>
      <c r="AE201">
        <f>IF(Ajustes!$G201&gt;0,INDEX($AA$4:$AL$323,Ajustes!$G201,S$2),0)+IF(Ajustes!$H201&gt;0,INDEX($AA$4:$AL$323,Ajustes!$H201,S$2),0)+IF(Ajustes!$I201&gt;0,INDEX($AA$4:$AL$323,Ajustes!$I201,S$2),0)+IF(Ajustes!$J201&gt;0,INDEX($AA$4:$AL$323,Ajustes!$J201,S$2),0)+IF(Ajustes!$K201&gt;0,INDEX($AA$5:$AL$324,Ajustes!$K201,S$2),0)+IF(Ajustes!$L201&gt;0,INDEX($AA$4:$AL$323,Ajustes!$L201,S$2),0) + S201</f>
        <v>65</v>
      </c>
      <c r="AF201">
        <f>IF(Ajustes!$G201&gt;0,INDEX($AA$4:$AL$323,Ajustes!$G201,T$2),0)+IF(Ajustes!$H201&gt;0,INDEX($AA$4:$AL$323,Ajustes!$H201,T$2),0)+IF(Ajustes!$I201&gt;0,INDEX($AA$4:$AL$323,Ajustes!$I201,T$2),0)+IF(Ajustes!$J201&gt;0,INDEX($AA$4:$AL$323,Ajustes!$J201,T$2),0)+IF(Ajustes!$K201&gt;0,INDEX($AA$5:$AL$324,Ajustes!$K201,T$2),0)+IF(Ajustes!$L201&gt;0,INDEX($AA$4:$AL$323,Ajustes!$L201,T$2),0) + T201</f>
        <v>56</v>
      </c>
      <c r="AG201">
        <f>IF(Ajustes!$G201&gt;0,INDEX($AA$4:$AL$323,Ajustes!$G201,U$2),0)+IF(Ajustes!$H201&gt;0,INDEX($AA$4:$AL$323,Ajustes!$H201,U$2),0)+IF(Ajustes!$I201&gt;0,INDEX($AA$4:$AL$323,Ajustes!$I201,U$2),0)+IF(Ajustes!$J201&gt;0,INDEX($AA$4:$AL$323,Ajustes!$J201,U$2),0)+IF(Ajustes!$K201&gt;0,INDEX($AA$5:$AL$324,Ajustes!$K201,U$2),0)+IF(Ajustes!$L201&gt;0,INDEX($AA$4:$AL$323,Ajustes!$L201,U$2),0) + U201</f>
        <v>49</v>
      </c>
      <c r="AH201">
        <f>IF(Ajustes!$G201&gt;0,INDEX($AA$4:$AL$323,Ajustes!$G201,V$2),0)+IF(Ajustes!$H201&gt;0,INDEX($AA$4:$AL$323,Ajustes!$H201,V$2),0)+IF(Ajustes!$I201&gt;0,INDEX($AA$4:$AL$323,Ajustes!$I201,V$2),0)+IF(Ajustes!$J201&gt;0,INDEX($AA$4:$AL$323,Ajustes!$J201,V$2),0)+IF(Ajustes!$K201&gt;0,INDEX($AA$5:$AL$324,Ajustes!$K201,V$2),0)+IF(Ajustes!$L201&gt;0,INDEX($AA$4:$AL$323,Ajustes!$L201,V$2),0) + V201</f>
        <v>44</v>
      </c>
      <c r="AI201">
        <f>IF(Ajustes!$G201&gt;0,INDEX($AA$4:$AL$323,Ajustes!$G201,W$2),0)+IF(Ajustes!$H201&gt;0,INDEX($AA$4:$AL$323,Ajustes!$H201,W$2),0)+IF(Ajustes!$I201&gt;0,INDEX($AA$4:$AL$323,Ajustes!$I201,W$2),0)+IF(Ajustes!$J201&gt;0,INDEX($AA$4:$AL$323,Ajustes!$J201,W$2),0)+IF(Ajustes!$K201&gt;0,INDEX($AA$5:$AL$324,Ajustes!$K201,W$2),0)+IF(Ajustes!$L201&gt;0,INDEX($AA$4:$AL$323,Ajustes!$L201,W$2),0) + W201</f>
        <v>44</v>
      </c>
      <c r="AJ201">
        <f>IF(Ajustes!$G201&gt;0,INDEX($AA$4:$AL$323,Ajustes!$G201,X$2),0)+IF(Ajustes!$H201&gt;0,INDEX($AA$4:$AL$323,Ajustes!$H201,X$2),0)+IF(Ajustes!$I201&gt;0,INDEX($AA$4:$AL$323,Ajustes!$I201,X$2),0)+IF(Ajustes!$J201&gt;0,INDEX($AA$4:$AL$323,Ajustes!$J201,X$2),0)+IF(Ajustes!$K201&gt;0,INDEX($AA$5:$AL$324,Ajustes!$K201,X$2),0)+IF(Ajustes!$L201&gt;0,INDEX($AA$4:$AL$323,Ajustes!$L201,X$2),0) + X201</f>
        <v>51</v>
      </c>
      <c r="AK201">
        <f>IF(Ajustes!$G201&gt;0,INDEX($AA$4:$AL$323,Ajustes!$G201,Y$2),0)+IF(Ajustes!$H201&gt;0,INDEX($AA$4:$AL$323,Ajustes!$H201,Y$2),0)+IF(Ajustes!$I201&gt;0,INDEX($AA$4:$AL$323,Ajustes!$I201,Y$2),0)+IF(Ajustes!$J201&gt;0,INDEX($AA$4:$AL$323,Ajustes!$J201,Y$2),0)+IF(Ajustes!$K201&gt;0,INDEX($AA$5:$AL$324,Ajustes!$K201,Y$2),0)+IF(Ajustes!$L201&gt;0,INDEX($AA$4:$AL$323,Ajustes!$L201,Y$2),0) + Y201</f>
        <v>70</v>
      </c>
      <c r="AL201">
        <f>IF(Ajustes!$G201&gt;0,INDEX($AA$4:$AL$323,Ajustes!$G201,Z$2),0)+IF(Ajustes!$H201&gt;0,INDEX($AA$4:$AL$323,Ajustes!$H201,Z$2),0)+IF(Ajustes!$I201&gt;0,INDEX($AA$4:$AL$323,Ajustes!$I201,Z$2),0)+IF(Ajustes!$J201&gt;0,INDEX($AA$4:$AL$323,Ajustes!$J201,Z$2),0)+IF(Ajustes!$K201&gt;0,INDEX($AA$5:$AL$324,Ajustes!$K201,Z$2),0)+IF(Ajustes!$L201&gt;0,INDEX($AA$4:$AL$323,Ajustes!$L201,Z$2),0) + Z201</f>
        <v>102</v>
      </c>
      <c r="AM201" s="113">
        <f t="shared" si="47"/>
        <v>129</v>
      </c>
      <c r="AN201" s="113">
        <f t="shared" si="47"/>
        <v>125</v>
      </c>
      <c r="AO201" s="113">
        <f t="shared" si="47"/>
        <v>114</v>
      </c>
      <c r="AP201" s="113">
        <f t="shared" si="47"/>
        <v>84</v>
      </c>
      <c r="AQ201" s="113">
        <f t="shared" si="47"/>
        <v>65</v>
      </c>
      <c r="AR201" s="113">
        <f t="shared" si="48"/>
        <v>56</v>
      </c>
      <c r="AS201" s="113">
        <f t="shared" si="48"/>
        <v>49</v>
      </c>
      <c r="AT201" s="113">
        <f t="shared" si="48"/>
        <v>44</v>
      </c>
      <c r="AU201" s="113">
        <f t="shared" si="48"/>
        <v>44</v>
      </c>
      <c r="AV201" s="113">
        <f t="shared" si="43"/>
        <v>51</v>
      </c>
      <c r="AW201" s="113">
        <f t="shared" si="43"/>
        <v>70</v>
      </c>
      <c r="AX201" s="113">
        <f t="shared" si="43"/>
        <v>102</v>
      </c>
    </row>
    <row r="202" spans="1:50" x14ac:dyDescent="0.25">
      <c r="A202" s="113">
        <v>199</v>
      </c>
      <c r="B202" s="209" t="s">
        <v>630</v>
      </c>
      <c r="C202">
        <f>IFERROR(INDEX($BD$7:$BO$35,MATCH(Ajustes!$E$4:$E$323,$BC$7:$BC$35,0),$C$2:$N$2),1)</f>
        <v>1</v>
      </c>
      <c r="D202" s="113">
        <f>IFERROR(INDEX($BD$7:$BO$35,MATCH(Ajustes!$E$4:$E$323,$BC$7:$BC$35,0),$C$2:$N$2),1)</f>
        <v>1</v>
      </c>
      <c r="E202" s="113">
        <f>IFERROR(INDEX($BD$7:$BO$35,MATCH(Ajustes!$E$4:$E$323,$BC$7:$BC$35,0),$C$2:$N$2),1)</f>
        <v>1</v>
      </c>
      <c r="F202" s="113">
        <f>IFERROR(INDEX($BD$7:$BO$35,MATCH(Ajustes!$E$4:$E$323,$BC$7:$BC$35,0),$C$2:$N$2),1)</f>
        <v>1</v>
      </c>
      <c r="G202" s="113">
        <f>IFERROR(INDEX($BD$7:$BO$35,MATCH(Ajustes!$E$4:$E$323,$BC$7:$BC$35,0),$C$2:$N$2),1)</f>
        <v>1</v>
      </c>
      <c r="H202" s="113">
        <f>IFERROR(INDEX($BD$7:$BO$35,MATCH(Ajustes!$E$4:$E$323,$BC$7:$BC$35,0),$C$2:$N$2),1)</f>
        <v>1</v>
      </c>
      <c r="I202" s="113">
        <f>IFERROR(INDEX($BD$7:$BO$35,MATCH(Ajustes!$E$4:$E$323,$BC$7:$BC$35,0),$C$2:$N$2),1)</f>
        <v>1</v>
      </c>
      <c r="J202" s="113">
        <f>IFERROR(INDEX($BD$7:$BO$35,MATCH(Ajustes!$E$4:$E$323,$BC$7:$BC$35,0),$C$2:$N$2),1)</f>
        <v>1</v>
      </c>
      <c r="K202" s="113">
        <f>IFERROR(INDEX($BD$7:$BO$35,MATCH(Ajustes!$E$4:$E$323,$BC$7:$BC$35,0),$C$2:$N$2),1)</f>
        <v>1</v>
      </c>
      <c r="L202" s="113">
        <f>IFERROR(INDEX($BD$7:$BO$35,MATCH(Ajustes!$E$4:$E$323,$BC$7:$BC$35,0),$C$2:$N$2),1)</f>
        <v>1</v>
      </c>
      <c r="M202" s="113">
        <f>IFERROR(INDEX($BD$7:$BO$35,MATCH(Ajustes!$E$4:$E$323,$BC$7:$BC$35,0),$C$2:$N$2),1)</f>
        <v>1</v>
      </c>
      <c r="N202" s="113">
        <f>IFERROR(INDEX($BD$7:$BO$35,MATCH(Ajustes!$E$4:$E$323,$BC$7:$BC$35,0),$C$2:$N$2),1)</f>
        <v>1</v>
      </c>
      <c r="O202">
        <f>C202*Ajustes!AM202</f>
        <v>1139</v>
      </c>
      <c r="P202">
        <f>D202*Ajustes!AN202</f>
        <v>1143</v>
      </c>
      <c r="Q202">
        <f>E202*Ajustes!AO202</f>
        <v>1073</v>
      </c>
      <c r="R202">
        <f>F202*Ajustes!AP202</f>
        <v>780</v>
      </c>
      <c r="S202">
        <f>G202*Ajustes!AQ202</f>
        <v>551</v>
      </c>
      <c r="T202">
        <f>H202*Ajustes!AR202</f>
        <v>461</v>
      </c>
      <c r="U202">
        <f>I202*Ajustes!AS202</f>
        <v>389</v>
      </c>
      <c r="V202">
        <f>J202*Ajustes!AT202</f>
        <v>332</v>
      </c>
      <c r="W202">
        <f>K202*Ajustes!AU202</f>
        <v>338</v>
      </c>
      <c r="X202">
        <f>L202*Ajustes!AV202</f>
        <v>402</v>
      </c>
      <c r="Y202">
        <f>M202*Ajustes!AW202</f>
        <v>546</v>
      </c>
      <c r="Z202">
        <f>N202*Ajustes!AX202</f>
        <v>822</v>
      </c>
      <c r="AA202">
        <f>IF(Ajustes!$G202&gt;0,INDEX($AA$4:$AL$323,Ajustes!$G202,O$2),0)+IF(Ajustes!$H202&gt;0,INDEX($AA$4:$AL$323,Ajustes!$H202,O$2),0)+IF(Ajustes!$I202&gt;0,INDEX($AA$4:$AL$323,Ajustes!$I202,O$2),0)+IF(Ajustes!$J202&gt;0,INDEX($AA$4:$AL$323,Ajustes!$J202,O$2),0)+IF(Ajustes!$K202&gt;0,INDEX($AA$5:$AL$324,Ajustes!$K202,O$2),0)+IF(Ajustes!$L202&gt;0,INDEX($AA$4:$AL$323,Ajustes!$L202,O$2),0) + O202</f>
        <v>1139</v>
      </c>
      <c r="AB202">
        <f>IF(Ajustes!$G202&gt;0,INDEX($AA$4:$AL$323,Ajustes!$G202,P$2),0)+IF(Ajustes!$H202&gt;0,INDEX($AA$4:$AL$323,Ajustes!$H202,P$2),0)+IF(Ajustes!$I202&gt;0,INDEX($AA$4:$AL$323,Ajustes!$I202,P$2),0)+IF(Ajustes!$J202&gt;0,INDEX($AA$4:$AL$323,Ajustes!$J202,P$2),0)+IF(Ajustes!$K202&gt;0,INDEX($AA$5:$AL$324,Ajustes!$K202,P$2),0)+IF(Ajustes!$L202&gt;0,INDEX($AA$4:$AL$323,Ajustes!$L202,P$2),0) + P202</f>
        <v>1143</v>
      </c>
      <c r="AC202">
        <f>IF(Ajustes!$G202&gt;0,INDEX($AA$4:$AL$323,Ajustes!$G202,Q$2),0)+IF(Ajustes!$H202&gt;0,INDEX($AA$4:$AL$323,Ajustes!$H202,Q$2),0)+IF(Ajustes!$I202&gt;0,INDEX($AA$4:$AL$323,Ajustes!$I202,Q$2),0)+IF(Ajustes!$J202&gt;0,INDEX($AA$4:$AL$323,Ajustes!$J202,Q$2),0)+IF(Ajustes!$K202&gt;0,INDEX($AA$5:$AL$324,Ajustes!$K202,Q$2),0)+IF(Ajustes!$L202&gt;0,INDEX($AA$4:$AL$323,Ajustes!$L202,Q$2),0) + Q202</f>
        <v>1073</v>
      </c>
      <c r="AD202">
        <f>IF(Ajustes!$G202&gt;0,INDEX($AA$4:$AL$323,Ajustes!$G202,R$2),0)+IF(Ajustes!$H202&gt;0,INDEX($AA$4:$AL$323,Ajustes!$H202,R$2),0)+IF(Ajustes!$I202&gt;0,INDEX($AA$4:$AL$323,Ajustes!$I202,R$2),0)+IF(Ajustes!$J202&gt;0,INDEX($AA$4:$AL$323,Ajustes!$J202,R$2),0)+IF(Ajustes!$K202&gt;0,INDEX($AA$5:$AL$324,Ajustes!$K202,R$2),0)+IF(Ajustes!$L202&gt;0,INDEX($AA$4:$AL$323,Ajustes!$L202,R$2),0) + R202</f>
        <v>780</v>
      </c>
      <c r="AE202">
        <f>IF(Ajustes!$G202&gt;0,INDEX($AA$4:$AL$323,Ajustes!$G202,S$2),0)+IF(Ajustes!$H202&gt;0,INDEX($AA$4:$AL$323,Ajustes!$H202,S$2),0)+IF(Ajustes!$I202&gt;0,INDEX($AA$4:$AL$323,Ajustes!$I202,S$2),0)+IF(Ajustes!$J202&gt;0,INDEX($AA$4:$AL$323,Ajustes!$J202,S$2),0)+IF(Ajustes!$K202&gt;0,INDEX($AA$5:$AL$324,Ajustes!$K202,S$2),0)+IF(Ajustes!$L202&gt;0,INDEX($AA$4:$AL$323,Ajustes!$L202,S$2),0) + S202</f>
        <v>551</v>
      </c>
      <c r="AF202">
        <f>IF(Ajustes!$G202&gt;0,INDEX($AA$4:$AL$323,Ajustes!$G202,T$2),0)+IF(Ajustes!$H202&gt;0,INDEX($AA$4:$AL$323,Ajustes!$H202,T$2),0)+IF(Ajustes!$I202&gt;0,INDEX($AA$4:$AL$323,Ajustes!$I202,T$2),0)+IF(Ajustes!$J202&gt;0,INDEX($AA$4:$AL$323,Ajustes!$J202,T$2),0)+IF(Ajustes!$K202&gt;0,INDEX($AA$5:$AL$324,Ajustes!$K202,T$2),0)+IF(Ajustes!$L202&gt;0,INDEX($AA$4:$AL$323,Ajustes!$L202,T$2),0) + T202</f>
        <v>461</v>
      </c>
      <c r="AG202">
        <f>IF(Ajustes!$G202&gt;0,INDEX($AA$4:$AL$323,Ajustes!$G202,U$2),0)+IF(Ajustes!$H202&gt;0,INDEX($AA$4:$AL$323,Ajustes!$H202,U$2),0)+IF(Ajustes!$I202&gt;0,INDEX($AA$4:$AL$323,Ajustes!$I202,U$2),0)+IF(Ajustes!$J202&gt;0,INDEX($AA$4:$AL$323,Ajustes!$J202,U$2),0)+IF(Ajustes!$K202&gt;0,INDEX($AA$5:$AL$324,Ajustes!$K202,U$2),0)+IF(Ajustes!$L202&gt;0,INDEX($AA$4:$AL$323,Ajustes!$L202,U$2),0) + U202</f>
        <v>389</v>
      </c>
      <c r="AH202">
        <f>IF(Ajustes!$G202&gt;0,INDEX($AA$4:$AL$323,Ajustes!$G202,V$2),0)+IF(Ajustes!$H202&gt;0,INDEX($AA$4:$AL$323,Ajustes!$H202,V$2),0)+IF(Ajustes!$I202&gt;0,INDEX($AA$4:$AL$323,Ajustes!$I202,V$2),0)+IF(Ajustes!$J202&gt;0,INDEX($AA$4:$AL$323,Ajustes!$J202,V$2),0)+IF(Ajustes!$K202&gt;0,INDEX($AA$5:$AL$324,Ajustes!$K202,V$2),0)+IF(Ajustes!$L202&gt;0,INDEX($AA$4:$AL$323,Ajustes!$L202,V$2),0) + V202</f>
        <v>332</v>
      </c>
      <c r="AI202">
        <f>IF(Ajustes!$G202&gt;0,INDEX($AA$4:$AL$323,Ajustes!$G202,W$2),0)+IF(Ajustes!$H202&gt;0,INDEX($AA$4:$AL$323,Ajustes!$H202,W$2),0)+IF(Ajustes!$I202&gt;0,INDEX($AA$4:$AL$323,Ajustes!$I202,W$2),0)+IF(Ajustes!$J202&gt;0,INDEX($AA$4:$AL$323,Ajustes!$J202,W$2),0)+IF(Ajustes!$K202&gt;0,INDEX($AA$5:$AL$324,Ajustes!$K202,W$2),0)+IF(Ajustes!$L202&gt;0,INDEX($AA$4:$AL$323,Ajustes!$L202,W$2),0) + W202</f>
        <v>338</v>
      </c>
      <c r="AJ202">
        <f>IF(Ajustes!$G202&gt;0,INDEX($AA$4:$AL$323,Ajustes!$G202,X$2),0)+IF(Ajustes!$H202&gt;0,INDEX($AA$4:$AL$323,Ajustes!$H202,X$2),0)+IF(Ajustes!$I202&gt;0,INDEX($AA$4:$AL$323,Ajustes!$I202,X$2),0)+IF(Ajustes!$J202&gt;0,INDEX($AA$4:$AL$323,Ajustes!$J202,X$2),0)+IF(Ajustes!$K202&gt;0,INDEX($AA$5:$AL$324,Ajustes!$K202,X$2),0)+IF(Ajustes!$L202&gt;0,INDEX($AA$4:$AL$323,Ajustes!$L202,X$2),0) + X202</f>
        <v>402</v>
      </c>
      <c r="AK202">
        <f>IF(Ajustes!$G202&gt;0,INDEX($AA$4:$AL$323,Ajustes!$G202,Y$2),0)+IF(Ajustes!$H202&gt;0,INDEX($AA$4:$AL$323,Ajustes!$H202,Y$2),0)+IF(Ajustes!$I202&gt;0,INDEX($AA$4:$AL$323,Ajustes!$I202,Y$2),0)+IF(Ajustes!$J202&gt;0,INDEX($AA$4:$AL$323,Ajustes!$J202,Y$2),0)+IF(Ajustes!$K202&gt;0,INDEX($AA$5:$AL$324,Ajustes!$K202,Y$2),0)+IF(Ajustes!$L202&gt;0,INDEX($AA$4:$AL$323,Ajustes!$L202,Y$2),0) + Y202</f>
        <v>546</v>
      </c>
      <c r="AL202">
        <f>IF(Ajustes!$G202&gt;0,INDEX($AA$4:$AL$323,Ajustes!$G202,Z$2),0)+IF(Ajustes!$H202&gt;0,INDEX($AA$4:$AL$323,Ajustes!$H202,Z$2),0)+IF(Ajustes!$I202&gt;0,INDEX($AA$4:$AL$323,Ajustes!$I202,Z$2),0)+IF(Ajustes!$J202&gt;0,INDEX($AA$4:$AL$323,Ajustes!$J202,Z$2),0)+IF(Ajustes!$K202&gt;0,INDEX($AA$5:$AL$324,Ajustes!$K202,Z$2),0)+IF(Ajustes!$L202&gt;0,INDEX($AA$4:$AL$323,Ajustes!$L202,Z$2),0) + Z202</f>
        <v>822</v>
      </c>
      <c r="AM202" s="113">
        <f t="shared" si="47"/>
        <v>1139</v>
      </c>
      <c r="AN202" s="113">
        <f t="shared" si="47"/>
        <v>1143</v>
      </c>
      <c r="AO202" s="113">
        <f t="shared" si="47"/>
        <v>1073</v>
      </c>
      <c r="AP202" s="113">
        <f t="shared" si="47"/>
        <v>780</v>
      </c>
      <c r="AQ202" s="113">
        <f t="shared" si="47"/>
        <v>551</v>
      </c>
      <c r="AR202" s="113">
        <f t="shared" si="48"/>
        <v>461</v>
      </c>
      <c r="AS202" s="113">
        <f t="shared" si="48"/>
        <v>389</v>
      </c>
      <c r="AT202" s="113">
        <f t="shared" si="48"/>
        <v>332</v>
      </c>
      <c r="AU202" s="113">
        <f t="shared" si="48"/>
        <v>338</v>
      </c>
      <c r="AV202" s="113">
        <f t="shared" si="43"/>
        <v>402</v>
      </c>
      <c r="AW202" s="113">
        <f t="shared" si="43"/>
        <v>546</v>
      </c>
      <c r="AX202" s="113">
        <f t="shared" si="43"/>
        <v>822</v>
      </c>
    </row>
    <row r="203" spans="1:50" x14ac:dyDescent="0.25">
      <c r="A203" s="113">
        <v>200</v>
      </c>
      <c r="B203" s="209"/>
      <c r="C203">
        <f>IFERROR(INDEX($BD$7:$BO$35,MATCH(Ajustes!$E$4:$E$323,$BC$7:$BC$35,0),$C$2:$N$2),1)</f>
        <v>1</v>
      </c>
      <c r="D203" s="113">
        <f>IFERROR(INDEX($BD$7:$BO$35,MATCH(Ajustes!$E$4:$E$323,$BC$7:$BC$35,0),$C$2:$N$2),1)</f>
        <v>1</v>
      </c>
      <c r="E203" s="113">
        <f>IFERROR(INDEX($BD$7:$BO$35,MATCH(Ajustes!$E$4:$E$323,$BC$7:$BC$35,0),$C$2:$N$2),1)</f>
        <v>1</v>
      </c>
      <c r="F203" s="113">
        <f>IFERROR(INDEX($BD$7:$BO$35,MATCH(Ajustes!$E$4:$E$323,$BC$7:$BC$35,0),$C$2:$N$2),1)</f>
        <v>1</v>
      </c>
      <c r="G203" s="113">
        <f>IFERROR(INDEX($BD$7:$BO$35,MATCH(Ajustes!$E$4:$E$323,$BC$7:$BC$35,0),$C$2:$N$2),1)</f>
        <v>1</v>
      </c>
      <c r="H203" s="113">
        <f>IFERROR(INDEX($BD$7:$BO$35,MATCH(Ajustes!$E$4:$E$323,$BC$7:$BC$35,0),$C$2:$N$2),1)</f>
        <v>1</v>
      </c>
      <c r="I203" s="113">
        <f>IFERROR(INDEX($BD$7:$BO$35,MATCH(Ajustes!$E$4:$E$323,$BC$7:$BC$35,0),$C$2:$N$2),1)</f>
        <v>1</v>
      </c>
      <c r="J203" s="113">
        <f>IFERROR(INDEX($BD$7:$BO$35,MATCH(Ajustes!$E$4:$E$323,$BC$7:$BC$35,0),$C$2:$N$2),1)</f>
        <v>1</v>
      </c>
      <c r="K203" s="113">
        <f>IFERROR(INDEX($BD$7:$BO$35,MATCH(Ajustes!$E$4:$E$323,$BC$7:$BC$35,0),$C$2:$N$2),1)</f>
        <v>1</v>
      </c>
      <c r="L203" s="113">
        <f>IFERROR(INDEX($BD$7:$BO$35,MATCH(Ajustes!$E$4:$E$323,$BC$7:$BC$35,0),$C$2:$N$2),1)</f>
        <v>1</v>
      </c>
      <c r="M203" s="113">
        <f>IFERROR(INDEX($BD$7:$BO$35,MATCH(Ajustes!$E$4:$E$323,$BC$7:$BC$35,0),$C$2:$N$2),1)</f>
        <v>1</v>
      </c>
      <c r="N203" s="113">
        <f>IFERROR(INDEX($BD$7:$BO$35,MATCH(Ajustes!$E$4:$E$323,$BC$7:$BC$35,0),$C$2:$N$2),1)</f>
        <v>1</v>
      </c>
      <c r="O203">
        <f>C203*Ajustes!AM203</f>
        <v>0</v>
      </c>
      <c r="P203">
        <f>D203*Ajustes!AN203</f>
        <v>0</v>
      </c>
      <c r="Q203">
        <f>E203*Ajustes!AO203</f>
        <v>0</v>
      </c>
      <c r="R203">
        <f>F203*Ajustes!AP203</f>
        <v>0</v>
      </c>
      <c r="S203">
        <f>G203*Ajustes!AQ203</f>
        <v>0</v>
      </c>
      <c r="T203">
        <f>H203*Ajustes!AR203</f>
        <v>0</v>
      </c>
      <c r="U203">
        <f>I203*Ajustes!AS203</f>
        <v>0</v>
      </c>
      <c r="V203">
        <f>J203*Ajustes!AT203</f>
        <v>0</v>
      </c>
      <c r="W203">
        <f>K203*Ajustes!AU203</f>
        <v>0</v>
      </c>
      <c r="X203">
        <f>L203*Ajustes!AV203</f>
        <v>0</v>
      </c>
      <c r="Y203">
        <f>M203*Ajustes!AW203</f>
        <v>0</v>
      </c>
      <c r="Z203">
        <f>N203*Ajustes!AX203</f>
        <v>0</v>
      </c>
      <c r="AA203">
        <f>IF(Ajustes!$G203&gt;0,INDEX($AA$4:$AL$323,Ajustes!$G203,O$2),0)+IF(Ajustes!$H203&gt;0,INDEX($AA$4:$AL$323,Ajustes!$H203,O$2),0)+IF(Ajustes!$I203&gt;0,INDEX($AA$4:$AL$323,Ajustes!$I203,O$2),0)+IF(Ajustes!$J203&gt;0,INDEX($AA$4:$AL$323,Ajustes!$J203,O$2),0)+IF(Ajustes!$K203&gt;0,INDEX($AA$5:$AL$324,Ajustes!$K203,O$2),0)+IF(Ajustes!$L203&gt;0,INDEX($AA$4:$AL$323,Ajustes!$L203,O$2),0) + O203</f>
        <v>0</v>
      </c>
      <c r="AB203">
        <f>IF(Ajustes!$G203&gt;0,INDEX($AA$4:$AL$323,Ajustes!$G203,P$2),0)+IF(Ajustes!$H203&gt;0,INDEX($AA$4:$AL$323,Ajustes!$H203,P$2),0)+IF(Ajustes!$I203&gt;0,INDEX($AA$4:$AL$323,Ajustes!$I203,P$2),0)+IF(Ajustes!$J203&gt;0,INDEX($AA$4:$AL$323,Ajustes!$J203,P$2),0)+IF(Ajustes!$K203&gt;0,INDEX($AA$5:$AL$324,Ajustes!$K203,P$2),0)+IF(Ajustes!$L203&gt;0,INDEX($AA$4:$AL$323,Ajustes!$L203,P$2),0) + P203</f>
        <v>0</v>
      </c>
      <c r="AC203">
        <f>IF(Ajustes!$G203&gt;0,INDEX($AA$4:$AL$323,Ajustes!$G203,Q$2),0)+IF(Ajustes!$H203&gt;0,INDEX($AA$4:$AL$323,Ajustes!$H203,Q$2),0)+IF(Ajustes!$I203&gt;0,INDEX($AA$4:$AL$323,Ajustes!$I203,Q$2),0)+IF(Ajustes!$J203&gt;0,INDEX($AA$4:$AL$323,Ajustes!$J203,Q$2),0)+IF(Ajustes!$K203&gt;0,INDEX($AA$5:$AL$324,Ajustes!$K203,Q$2),0)+IF(Ajustes!$L203&gt;0,INDEX($AA$4:$AL$323,Ajustes!$L203,Q$2),0) + Q203</f>
        <v>0</v>
      </c>
      <c r="AD203">
        <f>IF(Ajustes!$G203&gt;0,INDEX($AA$4:$AL$323,Ajustes!$G203,R$2),0)+IF(Ajustes!$H203&gt;0,INDEX($AA$4:$AL$323,Ajustes!$H203,R$2),0)+IF(Ajustes!$I203&gt;0,INDEX($AA$4:$AL$323,Ajustes!$I203,R$2),0)+IF(Ajustes!$J203&gt;0,INDEX($AA$4:$AL$323,Ajustes!$J203,R$2),0)+IF(Ajustes!$K203&gt;0,INDEX($AA$5:$AL$324,Ajustes!$K203,R$2),0)+IF(Ajustes!$L203&gt;0,INDEX($AA$4:$AL$323,Ajustes!$L203,R$2),0) + R203</f>
        <v>0</v>
      </c>
      <c r="AE203">
        <f>IF(Ajustes!$G203&gt;0,INDEX($AA$4:$AL$323,Ajustes!$G203,S$2),0)+IF(Ajustes!$H203&gt;0,INDEX($AA$4:$AL$323,Ajustes!$H203,S$2),0)+IF(Ajustes!$I203&gt;0,INDEX($AA$4:$AL$323,Ajustes!$I203,S$2),0)+IF(Ajustes!$J203&gt;0,INDEX($AA$4:$AL$323,Ajustes!$J203,S$2),0)+IF(Ajustes!$K203&gt;0,INDEX($AA$5:$AL$324,Ajustes!$K203,S$2),0)+IF(Ajustes!$L203&gt;0,INDEX($AA$4:$AL$323,Ajustes!$L203,S$2),0) + S203</f>
        <v>0</v>
      </c>
      <c r="AF203">
        <f>IF(Ajustes!$G203&gt;0,INDEX($AA$4:$AL$323,Ajustes!$G203,T$2),0)+IF(Ajustes!$H203&gt;0,INDEX($AA$4:$AL$323,Ajustes!$H203,T$2),0)+IF(Ajustes!$I203&gt;0,INDEX($AA$4:$AL$323,Ajustes!$I203,T$2),0)+IF(Ajustes!$J203&gt;0,INDEX($AA$4:$AL$323,Ajustes!$J203,T$2),0)+IF(Ajustes!$K203&gt;0,INDEX($AA$5:$AL$324,Ajustes!$K203,T$2),0)+IF(Ajustes!$L203&gt;0,INDEX($AA$4:$AL$323,Ajustes!$L203,T$2),0) + T203</f>
        <v>0</v>
      </c>
      <c r="AG203">
        <f>IF(Ajustes!$G203&gt;0,INDEX($AA$4:$AL$323,Ajustes!$G203,U$2),0)+IF(Ajustes!$H203&gt;0,INDEX($AA$4:$AL$323,Ajustes!$H203,U$2),0)+IF(Ajustes!$I203&gt;0,INDEX($AA$4:$AL$323,Ajustes!$I203,U$2),0)+IF(Ajustes!$J203&gt;0,INDEX($AA$4:$AL$323,Ajustes!$J203,U$2),0)+IF(Ajustes!$K203&gt;0,INDEX($AA$5:$AL$324,Ajustes!$K203,U$2),0)+IF(Ajustes!$L203&gt;0,INDEX($AA$4:$AL$323,Ajustes!$L203,U$2),0) + U203</f>
        <v>0</v>
      </c>
      <c r="AH203">
        <f>IF(Ajustes!$G203&gt;0,INDEX($AA$4:$AL$323,Ajustes!$G203,V$2),0)+IF(Ajustes!$H203&gt;0,INDEX($AA$4:$AL$323,Ajustes!$H203,V$2),0)+IF(Ajustes!$I203&gt;0,INDEX($AA$4:$AL$323,Ajustes!$I203,V$2),0)+IF(Ajustes!$J203&gt;0,INDEX($AA$4:$AL$323,Ajustes!$J203,V$2),0)+IF(Ajustes!$K203&gt;0,INDEX($AA$5:$AL$324,Ajustes!$K203,V$2),0)+IF(Ajustes!$L203&gt;0,INDEX($AA$4:$AL$323,Ajustes!$L203,V$2),0) + V203</f>
        <v>0</v>
      </c>
      <c r="AI203">
        <f>IF(Ajustes!$G203&gt;0,INDEX($AA$4:$AL$323,Ajustes!$G203,W$2),0)+IF(Ajustes!$H203&gt;0,INDEX($AA$4:$AL$323,Ajustes!$H203,W$2),0)+IF(Ajustes!$I203&gt;0,INDEX($AA$4:$AL$323,Ajustes!$I203,W$2),0)+IF(Ajustes!$J203&gt;0,INDEX($AA$4:$AL$323,Ajustes!$J203,W$2),0)+IF(Ajustes!$K203&gt;0,INDEX($AA$5:$AL$324,Ajustes!$K203,W$2),0)+IF(Ajustes!$L203&gt;0,INDEX($AA$4:$AL$323,Ajustes!$L203,W$2),0) + W203</f>
        <v>0</v>
      </c>
      <c r="AJ203">
        <f>IF(Ajustes!$G203&gt;0,INDEX($AA$4:$AL$323,Ajustes!$G203,X$2),0)+IF(Ajustes!$H203&gt;0,INDEX($AA$4:$AL$323,Ajustes!$H203,X$2),0)+IF(Ajustes!$I203&gt;0,INDEX($AA$4:$AL$323,Ajustes!$I203,X$2),0)+IF(Ajustes!$J203&gt;0,INDEX($AA$4:$AL$323,Ajustes!$J203,X$2),0)+IF(Ajustes!$K203&gt;0,INDEX($AA$5:$AL$324,Ajustes!$K203,X$2),0)+IF(Ajustes!$L203&gt;0,INDEX($AA$4:$AL$323,Ajustes!$L203,X$2),0) + X203</f>
        <v>0</v>
      </c>
      <c r="AK203">
        <f>IF(Ajustes!$G203&gt;0,INDEX($AA$4:$AL$323,Ajustes!$G203,Y$2),0)+IF(Ajustes!$H203&gt;0,INDEX($AA$4:$AL$323,Ajustes!$H203,Y$2),0)+IF(Ajustes!$I203&gt;0,INDEX($AA$4:$AL$323,Ajustes!$I203,Y$2),0)+IF(Ajustes!$J203&gt;0,INDEX($AA$4:$AL$323,Ajustes!$J203,Y$2),0)+IF(Ajustes!$K203&gt;0,INDEX($AA$5:$AL$324,Ajustes!$K203,Y$2),0)+IF(Ajustes!$L203&gt;0,INDEX($AA$4:$AL$323,Ajustes!$L203,Y$2),0) + Y203</f>
        <v>0</v>
      </c>
      <c r="AL203">
        <f>IF(Ajustes!$G203&gt;0,INDEX($AA$4:$AL$323,Ajustes!$G203,Z$2),0)+IF(Ajustes!$H203&gt;0,INDEX($AA$4:$AL$323,Ajustes!$H203,Z$2),0)+IF(Ajustes!$I203&gt;0,INDEX($AA$4:$AL$323,Ajustes!$I203,Z$2),0)+IF(Ajustes!$J203&gt;0,INDEX($AA$4:$AL$323,Ajustes!$J203,Z$2),0)+IF(Ajustes!$K203&gt;0,INDEX($AA$5:$AL$324,Ajustes!$K203,Z$2),0)+IF(Ajustes!$L203&gt;0,INDEX($AA$4:$AL$323,Ajustes!$L203,Z$2),0) + Z203</f>
        <v>0</v>
      </c>
      <c r="AM203" s="113">
        <f t="shared" si="47"/>
        <v>0</v>
      </c>
      <c r="AN203" s="113">
        <f t="shared" si="47"/>
        <v>0</v>
      </c>
      <c r="AO203" s="113">
        <f t="shared" si="47"/>
        <v>0</v>
      </c>
      <c r="AP203" s="113">
        <f t="shared" si="47"/>
        <v>0</v>
      </c>
      <c r="AQ203" s="113">
        <f t="shared" ref="AQ203:AQ263" si="49">AE203</f>
        <v>0</v>
      </c>
      <c r="AR203" s="113">
        <f t="shared" si="48"/>
        <v>0</v>
      </c>
      <c r="AS203" s="113">
        <f t="shared" si="48"/>
        <v>0</v>
      </c>
      <c r="AT203" s="113">
        <f t="shared" si="48"/>
        <v>0</v>
      </c>
      <c r="AU203" s="113">
        <f t="shared" si="48"/>
        <v>0</v>
      </c>
      <c r="AV203" s="113">
        <f t="shared" si="43"/>
        <v>0</v>
      </c>
      <c r="AW203" s="113">
        <f t="shared" si="43"/>
        <v>0</v>
      </c>
      <c r="AX203" s="113">
        <f t="shared" si="43"/>
        <v>0</v>
      </c>
    </row>
    <row r="204" spans="1:50" x14ac:dyDescent="0.25">
      <c r="A204" s="113">
        <v>201</v>
      </c>
      <c r="B204" s="209" t="s">
        <v>631</v>
      </c>
      <c r="C204">
        <f>IFERROR(INDEX($BD$7:$BO$35,MATCH(Ajustes!$E$4:$E$323,$BC$7:$BC$35,0),$C$2:$N$2),1)</f>
        <v>1</v>
      </c>
      <c r="D204" s="113">
        <f>IFERROR(INDEX($BD$7:$BO$35,MATCH(Ajustes!$E$4:$E$323,$BC$7:$BC$35,0),$C$2:$N$2),1)</f>
        <v>1</v>
      </c>
      <c r="E204" s="113">
        <f>IFERROR(INDEX($BD$7:$BO$35,MATCH(Ajustes!$E$4:$E$323,$BC$7:$BC$35,0),$C$2:$N$2),1)</f>
        <v>1</v>
      </c>
      <c r="F204" s="113">
        <f>IFERROR(INDEX($BD$7:$BO$35,MATCH(Ajustes!$E$4:$E$323,$BC$7:$BC$35,0),$C$2:$N$2),1)</f>
        <v>1</v>
      </c>
      <c r="G204" s="113">
        <f>IFERROR(INDEX($BD$7:$BO$35,MATCH(Ajustes!$E$4:$E$323,$BC$7:$BC$35,0),$C$2:$N$2),1)</f>
        <v>1</v>
      </c>
      <c r="H204" s="113">
        <f>IFERROR(INDEX($BD$7:$BO$35,MATCH(Ajustes!$E$4:$E$323,$BC$7:$BC$35,0),$C$2:$N$2),1)</f>
        <v>1</v>
      </c>
      <c r="I204" s="113">
        <f>IFERROR(INDEX($BD$7:$BO$35,MATCH(Ajustes!$E$4:$E$323,$BC$7:$BC$35,0),$C$2:$N$2),1)</f>
        <v>1</v>
      </c>
      <c r="J204" s="113">
        <f>IFERROR(INDEX($BD$7:$BO$35,MATCH(Ajustes!$E$4:$E$323,$BC$7:$BC$35,0),$C$2:$N$2),1)</f>
        <v>1</v>
      </c>
      <c r="K204" s="113">
        <f>IFERROR(INDEX($BD$7:$BO$35,MATCH(Ajustes!$E$4:$E$323,$BC$7:$BC$35,0),$C$2:$N$2),1)</f>
        <v>1</v>
      </c>
      <c r="L204" s="113">
        <f>IFERROR(INDEX($BD$7:$BO$35,MATCH(Ajustes!$E$4:$E$323,$BC$7:$BC$35,0),$C$2:$N$2),1)</f>
        <v>1</v>
      </c>
      <c r="M204" s="113">
        <f>IFERROR(INDEX($BD$7:$BO$35,MATCH(Ajustes!$E$4:$E$323,$BC$7:$BC$35,0),$C$2:$N$2),1)</f>
        <v>1</v>
      </c>
      <c r="N204" s="113">
        <f>IFERROR(INDEX($BD$7:$BO$35,MATCH(Ajustes!$E$4:$E$323,$BC$7:$BC$35,0),$C$2:$N$2),1)</f>
        <v>1</v>
      </c>
      <c r="O204">
        <f>C204*Ajustes!AM204</f>
        <v>25</v>
      </c>
      <c r="P204">
        <f>D204*Ajustes!AN204</f>
        <v>25</v>
      </c>
      <c r="Q204">
        <f>E204*Ajustes!AO204</f>
        <v>23</v>
      </c>
      <c r="R204">
        <f>F204*Ajustes!AP204</f>
        <v>18</v>
      </c>
      <c r="S204">
        <f>G204*Ajustes!AQ204</f>
        <v>12</v>
      </c>
      <c r="T204">
        <f>H204*Ajustes!AR204</f>
        <v>9</v>
      </c>
      <c r="U204">
        <f>I204*Ajustes!AS204</f>
        <v>7</v>
      </c>
      <c r="V204">
        <f>J204*Ajustes!AT204</f>
        <v>6</v>
      </c>
      <c r="W204">
        <f>K204*Ajustes!AU204</f>
        <v>7</v>
      </c>
      <c r="X204">
        <f>L204*Ajustes!AV204</f>
        <v>8</v>
      </c>
      <c r="Y204">
        <f>M204*Ajustes!AW204</f>
        <v>12</v>
      </c>
      <c r="Z204">
        <f>N204*Ajustes!AX204</f>
        <v>18</v>
      </c>
      <c r="AA204">
        <f>IF(Ajustes!$G204&gt;0,INDEX($AA$4:$AL$323,Ajustes!$G204,O$2),0)+IF(Ajustes!$H204&gt;0,INDEX($AA$4:$AL$323,Ajustes!$H204,O$2),0)+IF(Ajustes!$I204&gt;0,INDEX($AA$4:$AL$323,Ajustes!$I204,O$2),0)+IF(Ajustes!$J204&gt;0,INDEX($AA$4:$AL$323,Ajustes!$J204,O$2),0)+IF(Ajustes!$K204&gt;0,INDEX($AA$5:$AL$324,Ajustes!$K204,O$2),0)+IF(Ajustes!$L204&gt;0,INDEX($AA$4:$AL$323,Ajustes!$L204,O$2),0) + O204</f>
        <v>25</v>
      </c>
      <c r="AB204">
        <f>IF(Ajustes!$G204&gt;0,INDEX($AA$4:$AL$323,Ajustes!$G204,P$2),0)+IF(Ajustes!$H204&gt;0,INDEX($AA$4:$AL$323,Ajustes!$H204,P$2),0)+IF(Ajustes!$I204&gt;0,INDEX($AA$4:$AL$323,Ajustes!$I204,P$2),0)+IF(Ajustes!$J204&gt;0,INDEX($AA$4:$AL$323,Ajustes!$J204,P$2),0)+IF(Ajustes!$K204&gt;0,INDEX($AA$5:$AL$324,Ajustes!$K204,P$2),0)+IF(Ajustes!$L204&gt;0,INDEX($AA$4:$AL$323,Ajustes!$L204,P$2),0) + P204</f>
        <v>25</v>
      </c>
      <c r="AC204">
        <f>IF(Ajustes!$G204&gt;0,INDEX($AA$4:$AL$323,Ajustes!$G204,Q$2),0)+IF(Ajustes!$H204&gt;0,INDEX($AA$4:$AL$323,Ajustes!$H204,Q$2),0)+IF(Ajustes!$I204&gt;0,INDEX($AA$4:$AL$323,Ajustes!$I204,Q$2),0)+IF(Ajustes!$J204&gt;0,INDEX($AA$4:$AL$323,Ajustes!$J204,Q$2),0)+IF(Ajustes!$K204&gt;0,INDEX($AA$5:$AL$324,Ajustes!$K204,Q$2),0)+IF(Ajustes!$L204&gt;0,INDEX($AA$4:$AL$323,Ajustes!$L204,Q$2),0) + Q204</f>
        <v>23</v>
      </c>
      <c r="AD204">
        <f>IF(Ajustes!$G204&gt;0,INDEX($AA$4:$AL$323,Ajustes!$G204,R$2),0)+IF(Ajustes!$H204&gt;0,INDEX($AA$4:$AL$323,Ajustes!$H204,R$2),0)+IF(Ajustes!$I204&gt;0,INDEX($AA$4:$AL$323,Ajustes!$I204,R$2),0)+IF(Ajustes!$J204&gt;0,INDEX($AA$4:$AL$323,Ajustes!$J204,R$2),0)+IF(Ajustes!$K204&gt;0,INDEX($AA$5:$AL$324,Ajustes!$K204,R$2),0)+IF(Ajustes!$L204&gt;0,INDEX($AA$4:$AL$323,Ajustes!$L204,R$2),0) + R204</f>
        <v>18</v>
      </c>
      <c r="AE204">
        <f>IF(Ajustes!$G204&gt;0,INDEX($AA$4:$AL$323,Ajustes!$G204,S$2),0)+IF(Ajustes!$H204&gt;0,INDEX($AA$4:$AL$323,Ajustes!$H204,S$2),0)+IF(Ajustes!$I204&gt;0,INDEX($AA$4:$AL$323,Ajustes!$I204,S$2),0)+IF(Ajustes!$J204&gt;0,INDEX($AA$4:$AL$323,Ajustes!$J204,S$2),0)+IF(Ajustes!$K204&gt;0,INDEX($AA$5:$AL$324,Ajustes!$K204,S$2),0)+IF(Ajustes!$L204&gt;0,INDEX($AA$4:$AL$323,Ajustes!$L204,S$2),0) + S204</f>
        <v>12</v>
      </c>
      <c r="AF204">
        <f>IF(Ajustes!$G204&gt;0,INDEX($AA$4:$AL$323,Ajustes!$G204,T$2),0)+IF(Ajustes!$H204&gt;0,INDEX($AA$4:$AL$323,Ajustes!$H204,T$2),0)+IF(Ajustes!$I204&gt;0,INDEX($AA$4:$AL$323,Ajustes!$I204,T$2),0)+IF(Ajustes!$J204&gt;0,INDEX($AA$4:$AL$323,Ajustes!$J204,T$2),0)+IF(Ajustes!$K204&gt;0,INDEX($AA$5:$AL$324,Ajustes!$K204,T$2),0)+IF(Ajustes!$L204&gt;0,INDEX($AA$4:$AL$323,Ajustes!$L204,T$2),0) + T204</f>
        <v>9</v>
      </c>
      <c r="AG204">
        <f>IF(Ajustes!$G204&gt;0,INDEX($AA$4:$AL$323,Ajustes!$G204,U$2),0)+IF(Ajustes!$H204&gt;0,INDEX($AA$4:$AL$323,Ajustes!$H204,U$2),0)+IF(Ajustes!$I204&gt;0,INDEX($AA$4:$AL$323,Ajustes!$I204,U$2),0)+IF(Ajustes!$J204&gt;0,INDEX($AA$4:$AL$323,Ajustes!$J204,U$2),0)+IF(Ajustes!$K204&gt;0,INDEX($AA$5:$AL$324,Ajustes!$K204,U$2),0)+IF(Ajustes!$L204&gt;0,INDEX($AA$4:$AL$323,Ajustes!$L204,U$2),0) + U204</f>
        <v>7</v>
      </c>
      <c r="AH204">
        <f>IF(Ajustes!$G204&gt;0,INDEX($AA$4:$AL$323,Ajustes!$G204,V$2),0)+IF(Ajustes!$H204&gt;0,INDEX($AA$4:$AL$323,Ajustes!$H204,V$2),0)+IF(Ajustes!$I204&gt;0,INDEX($AA$4:$AL$323,Ajustes!$I204,V$2),0)+IF(Ajustes!$J204&gt;0,INDEX($AA$4:$AL$323,Ajustes!$J204,V$2),0)+IF(Ajustes!$K204&gt;0,INDEX($AA$5:$AL$324,Ajustes!$K204,V$2),0)+IF(Ajustes!$L204&gt;0,INDEX($AA$4:$AL$323,Ajustes!$L204,V$2),0) + V204</f>
        <v>6</v>
      </c>
      <c r="AI204">
        <f>IF(Ajustes!$G204&gt;0,INDEX($AA$4:$AL$323,Ajustes!$G204,W$2),0)+IF(Ajustes!$H204&gt;0,INDEX($AA$4:$AL$323,Ajustes!$H204,W$2),0)+IF(Ajustes!$I204&gt;0,INDEX($AA$4:$AL$323,Ajustes!$I204,W$2),0)+IF(Ajustes!$J204&gt;0,INDEX($AA$4:$AL$323,Ajustes!$J204,W$2),0)+IF(Ajustes!$K204&gt;0,INDEX($AA$5:$AL$324,Ajustes!$K204,W$2),0)+IF(Ajustes!$L204&gt;0,INDEX($AA$4:$AL$323,Ajustes!$L204,W$2),0) + W204</f>
        <v>7</v>
      </c>
      <c r="AJ204">
        <f>IF(Ajustes!$G204&gt;0,INDEX($AA$4:$AL$323,Ajustes!$G204,X$2),0)+IF(Ajustes!$H204&gt;0,INDEX($AA$4:$AL$323,Ajustes!$H204,X$2),0)+IF(Ajustes!$I204&gt;0,INDEX($AA$4:$AL$323,Ajustes!$I204,X$2),0)+IF(Ajustes!$J204&gt;0,INDEX($AA$4:$AL$323,Ajustes!$J204,X$2),0)+IF(Ajustes!$K204&gt;0,INDEX($AA$5:$AL$324,Ajustes!$K204,X$2),0)+IF(Ajustes!$L204&gt;0,INDEX($AA$4:$AL$323,Ajustes!$L204,X$2),0) + X204</f>
        <v>8</v>
      </c>
      <c r="AK204">
        <f>IF(Ajustes!$G204&gt;0,INDEX($AA$4:$AL$323,Ajustes!$G204,Y$2),0)+IF(Ajustes!$H204&gt;0,INDEX($AA$4:$AL$323,Ajustes!$H204,Y$2),0)+IF(Ajustes!$I204&gt;0,INDEX($AA$4:$AL$323,Ajustes!$I204,Y$2),0)+IF(Ajustes!$J204&gt;0,INDEX($AA$4:$AL$323,Ajustes!$J204,Y$2),0)+IF(Ajustes!$K204&gt;0,INDEX($AA$5:$AL$324,Ajustes!$K204,Y$2),0)+IF(Ajustes!$L204&gt;0,INDEX($AA$4:$AL$323,Ajustes!$L204,Y$2),0) + Y204</f>
        <v>12</v>
      </c>
      <c r="AL204">
        <f>IF(Ajustes!$G204&gt;0,INDEX($AA$4:$AL$323,Ajustes!$G204,Z$2),0)+IF(Ajustes!$H204&gt;0,INDEX($AA$4:$AL$323,Ajustes!$H204,Z$2),0)+IF(Ajustes!$I204&gt;0,INDEX($AA$4:$AL$323,Ajustes!$I204,Z$2),0)+IF(Ajustes!$J204&gt;0,INDEX($AA$4:$AL$323,Ajustes!$J204,Z$2),0)+IF(Ajustes!$K204&gt;0,INDEX($AA$5:$AL$324,Ajustes!$K204,Z$2),0)+IF(Ajustes!$L204&gt;0,INDEX($AA$4:$AL$323,Ajustes!$L204,Z$2),0) + Z204</f>
        <v>18</v>
      </c>
      <c r="AM204" s="113">
        <f t="shared" si="47"/>
        <v>25</v>
      </c>
      <c r="AN204" s="113">
        <f t="shared" si="47"/>
        <v>25</v>
      </c>
      <c r="AO204" s="113">
        <f t="shared" si="47"/>
        <v>23</v>
      </c>
      <c r="AP204" s="113">
        <f t="shared" si="47"/>
        <v>18</v>
      </c>
      <c r="AQ204" s="113">
        <f t="shared" si="49"/>
        <v>12</v>
      </c>
      <c r="AR204" s="113">
        <f t="shared" si="48"/>
        <v>9</v>
      </c>
      <c r="AS204" s="113">
        <f t="shared" si="48"/>
        <v>7</v>
      </c>
      <c r="AT204" s="113">
        <f t="shared" si="48"/>
        <v>6</v>
      </c>
      <c r="AU204" s="113">
        <f t="shared" si="48"/>
        <v>7</v>
      </c>
      <c r="AV204" s="113">
        <f t="shared" si="43"/>
        <v>8</v>
      </c>
      <c r="AW204" s="113">
        <f t="shared" si="43"/>
        <v>12</v>
      </c>
      <c r="AX204" s="113">
        <f t="shared" si="43"/>
        <v>18</v>
      </c>
    </row>
    <row r="205" spans="1:50" x14ac:dyDescent="0.25">
      <c r="A205" s="113">
        <v>202</v>
      </c>
      <c r="B205" s="209" t="s">
        <v>606</v>
      </c>
      <c r="C205">
        <f>IFERROR(INDEX($BD$7:$BO$35,MATCH(Ajustes!$E$4:$E$323,$BC$7:$BC$35,0),$C$2:$N$2),1)</f>
        <v>1</v>
      </c>
      <c r="D205" s="113">
        <f>IFERROR(INDEX($BD$7:$BO$35,MATCH(Ajustes!$E$4:$E$323,$BC$7:$BC$35,0),$C$2:$N$2),1)</f>
        <v>1</v>
      </c>
      <c r="E205" s="113">
        <f>IFERROR(INDEX($BD$7:$BO$35,MATCH(Ajustes!$E$4:$E$323,$BC$7:$BC$35,0),$C$2:$N$2),1)</f>
        <v>1</v>
      </c>
      <c r="F205" s="113">
        <f>IFERROR(INDEX($BD$7:$BO$35,MATCH(Ajustes!$E$4:$E$323,$BC$7:$BC$35,0),$C$2:$N$2),1)</f>
        <v>1</v>
      </c>
      <c r="G205" s="113">
        <f>IFERROR(INDEX($BD$7:$BO$35,MATCH(Ajustes!$E$4:$E$323,$BC$7:$BC$35,0),$C$2:$N$2),1)</f>
        <v>1</v>
      </c>
      <c r="H205" s="113">
        <f>IFERROR(INDEX($BD$7:$BO$35,MATCH(Ajustes!$E$4:$E$323,$BC$7:$BC$35,0),$C$2:$N$2),1)</f>
        <v>1</v>
      </c>
      <c r="I205" s="113">
        <f>IFERROR(INDEX($BD$7:$BO$35,MATCH(Ajustes!$E$4:$E$323,$BC$7:$BC$35,0),$C$2:$N$2),1)</f>
        <v>1</v>
      </c>
      <c r="J205" s="113">
        <f>IFERROR(INDEX($BD$7:$BO$35,MATCH(Ajustes!$E$4:$E$323,$BC$7:$BC$35,0),$C$2:$N$2),1)</f>
        <v>1</v>
      </c>
      <c r="K205" s="113">
        <f>IFERROR(INDEX($BD$7:$BO$35,MATCH(Ajustes!$E$4:$E$323,$BC$7:$BC$35,0),$C$2:$N$2),1)</f>
        <v>1</v>
      </c>
      <c r="L205" s="113">
        <f>IFERROR(INDEX($BD$7:$BO$35,MATCH(Ajustes!$E$4:$E$323,$BC$7:$BC$35,0),$C$2:$N$2),1)</f>
        <v>1</v>
      </c>
      <c r="M205" s="113">
        <f>IFERROR(INDEX($BD$7:$BO$35,MATCH(Ajustes!$E$4:$E$323,$BC$7:$BC$35,0),$C$2:$N$2),1)</f>
        <v>1</v>
      </c>
      <c r="N205" s="113">
        <f>IFERROR(INDEX($BD$7:$BO$35,MATCH(Ajustes!$E$4:$E$323,$BC$7:$BC$35,0),$C$2:$N$2),1)</f>
        <v>1</v>
      </c>
      <c r="O205">
        <f>C205*Ajustes!AM205</f>
        <v>10</v>
      </c>
      <c r="P205">
        <f>D205*Ajustes!AN205</f>
        <v>9</v>
      </c>
      <c r="Q205">
        <f>E205*Ajustes!AO205</f>
        <v>9</v>
      </c>
      <c r="R205">
        <f>F205*Ajustes!AP205</f>
        <v>7</v>
      </c>
      <c r="S205">
        <f>G205*Ajustes!AQ205</f>
        <v>5</v>
      </c>
      <c r="T205">
        <f>H205*Ajustes!AR205</f>
        <v>3</v>
      </c>
      <c r="U205">
        <f>I205*Ajustes!AS205</f>
        <v>3</v>
      </c>
      <c r="V205">
        <f>J205*Ajustes!AT205</f>
        <v>2</v>
      </c>
      <c r="W205">
        <f>K205*Ajustes!AU205</f>
        <v>3</v>
      </c>
      <c r="X205">
        <f>L205*Ajustes!AV205</f>
        <v>3</v>
      </c>
      <c r="Y205">
        <f>M205*Ajustes!AW205</f>
        <v>5</v>
      </c>
      <c r="Z205">
        <f>N205*Ajustes!AX205</f>
        <v>8</v>
      </c>
      <c r="AA205">
        <f>IF(Ajustes!$G205&gt;0,INDEX($AA$4:$AL$323,Ajustes!$G205,O$2),0)+IF(Ajustes!$H205&gt;0,INDEX($AA$4:$AL$323,Ajustes!$H205,O$2),0)+IF(Ajustes!$I205&gt;0,INDEX($AA$4:$AL$323,Ajustes!$I205,O$2),0)+IF(Ajustes!$J205&gt;0,INDEX($AA$4:$AL$323,Ajustes!$J205,O$2),0)+IF(Ajustes!$K205&gt;0,INDEX($AA$5:$AL$324,Ajustes!$K205,O$2),0)+IF(Ajustes!$L205&gt;0,INDEX($AA$4:$AL$323,Ajustes!$L205,O$2),0) + O205</f>
        <v>10</v>
      </c>
      <c r="AB205">
        <f>IF(Ajustes!$G205&gt;0,INDEX($AA$4:$AL$323,Ajustes!$G205,P$2),0)+IF(Ajustes!$H205&gt;0,INDEX($AA$4:$AL$323,Ajustes!$H205,P$2),0)+IF(Ajustes!$I205&gt;0,INDEX($AA$4:$AL$323,Ajustes!$I205,P$2),0)+IF(Ajustes!$J205&gt;0,INDEX($AA$4:$AL$323,Ajustes!$J205,P$2),0)+IF(Ajustes!$K205&gt;0,INDEX($AA$5:$AL$324,Ajustes!$K205,P$2),0)+IF(Ajustes!$L205&gt;0,INDEX($AA$4:$AL$323,Ajustes!$L205,P$2),0) + P205</f>
        <v>9</v>
      </c>
      <c r="AC205">
        <f>IF(Ajustes!$G205&gt;0,INDEX($AA$4:$AL$323,Ajustes!$G205,Q$2),0)+IF(Ajustes!$H205&gt;0,INDEX($AA$4:$AL$323,Ajustes!$H205,Q$2),0)+IF(Ajustes!$I205&gt;0,INDEX($AA$4:$AL$323,Ajustes!$I205,Q$2),0)+IF(Ajustes!$J205&gt;0,INDEX($AA$4:$AL$323,Ajustes!$J205,Q$2),0)+IF(Ajustes!$K205&gt;0,INDEX($AA$5:$AL$324,Ajustes!$K205,Q$2),0)+IF(Ajustes!$L205&gt;0,INDEX($AA$4:$AL$323,Ajustes!$L205,Q$2),0) + Q205</f>
        <v>9</v>
      </c>
      <c r="AD205">
        <f>IF(Ajustes!$G205&gt;0,INDEX($AA$4:$AL$323,Ajustes!$G205,R$2),0)+IF(Ajustes!$H205&gt;0,INDEX($AA$4:$AL$323,Ajustes!$H205,R$2),0)+IF(Ajustes!$I205&gt;0,INDEX($AA$4:$AL$323,Ajustes!$I205,R$2),0)+IF(Ajustes!$J205&gt;0,INDEX($AA$4:$AL$323,Ajustes!$J205,R$2),0)+IF(Ajustes!$K205&gt;0,INDEX($AA$5:$AL$324,Ajustes!$K205,R$2),0)+IF(Ajustes!$L205&gt;0,INDEX($AA$4:$AL$323,Ajustes!$L205,R$2),0) + R205</f>
        <v>7</v>
      </c>
      <c r="AE205">
        <f>IF(Ajustes!$G205&gt;0,INDEX($AA$4:$AL$323,Ajustes!$G205,S$2),0)+IF(Ajustes!$H205&gt;0,INDEX($AA$4:$AL$323,Ajustes!$H205,S$2),0)+IF(Ajustes!$I205&gt;0,INDEX($AA$4:$AL$323,Ajustes!$I205,S$2),0)+IF(Ajustes!$J205&gt;0,INDEX($AA$4:$AL$323,Ajustes!$J205,S$2),0)+IF(Ajustes!$K205&gt;0,INDEX($AA$5:$AL$324,Ajustes!$K205,S$2),0)+IF(Ajustes!$L205&gt;0,INDEX($AA$4:$AL$323,Ajustes!$L205,S$2),0) + S205</f>
        <v>5</v>
      </c>
      <c r="AF205">
        <f>IF(Ajustes!$G205&gt;0,INDEX($AA$4:$AL$323,Ajustes!$G205,T$2),0)+IF(Ajustes!$H205&gt;0,INDEX($AA$4:$AL$323,Ajustes!$H205,T$2),0)+IF(Ajustes!$I205&gt;0,INDEX($AA$4:$AL$323,Ajustes!$I205,T$2),0)+IF(Ajustes!$J205&gt;0,INDEX($AA$4:$AL$323,Ajustes!$J205,T$2),0)+IF(Ajustes!$K205&gt;0,INDEX($AA$5:$AL$324,Ajustes!$K205,T$2),0)+IF(Ajustes!$L205&gt;0,INDEX($AA$4:$AL$323,Ajustes!$L205,T$2),0) + T205</f>
        <v>3</v>
      </c>
      <c r="AG205">
        <f>IF(Ajustes!$G205&gt;0,INDEX($AA$4:$AL$323,Ajustes!$G205,U$2),0)+IF(Ajustes!$H205&gt;0,INDEX($AA$4:$AL$323,Ajustes!$H205,U$2),0)+IF(Ajustes!$I205&gt;0,INDEX($AA$4:$AL$323,Ajustes!$I205,U$2),0)+IF(Ajustes!$J205&gt;0,INDEX($AA$4:$AL$323,Ajustes!$J205,U$2),0)+IF(Ajustes!$K205&gt;0,INDEX($AA$5:$AL$324,Ajustes!$K205,U$2),0)+IF(Ajustes!$L205&gt;0,INDEX($AA$4:$AL$323,Ajustes!$L205,U$2),0) + U205</f>
        <v>3</v>
      </c>
      <c r="AH205">
        <f>IF(Ajustes!$G205&gt;0,INDEX($AA$4:$AL$323,Ajustes!$G205,V$2),0)+IF(Ajustes!$H205&gt;0,INDEX($AA$4:$AL$323,Ajustes!$H205,V$2),0)+IF(Ajustes!$I205&gt;0,INDEX($AA$4:$AL$323,Ajustes!$I205,V$2),0)+IF(Ajustes!$J205&gt;0,INDEX($AA$4:$AL$323,Ajustes!$J205,V$2),0)+IF(Ajustes!$K205&gt;0,INDEX($AA$5:$AL$324,Ajustes!$K205,V$2),0)+IF(Ajustes!$L205&gt;0,INDEX($AA$4:$AL$323,Ajustes!$L205,V$2),0) + V205</f>
        <v>2</v>
      </c>
      <c r="AI205">
        <f>IF(Ajustes!$G205&gt;0,INDEX($AA$4:$AL$323,Ajustes!$G205,W$2),0)+IF(Ajustes!$H205&gt;0,INDEX($AA$4:$AL$323,Ajustes!$H205,W$2),0)+IF(Ajustes!$I205&gt;0,INDEX($AA$4:$AL$323,Ajustes!$I205,W$2),0)+IF(Ajustes!$J205&gt;0,INDEX($AA$4:$AL$323,Ajustes!$J205,W$2),0)+IF(Ajustes!$K205&gt;0,INDEX($AA$5:$AL$324,Ajustes!$K205,W$2),0)+IF(Ajustes!$L205&gt;0,INDEX($AA$4:$AL$323,Ajustes!$L205,W$2),0) + W205</f>
        <v>3</v>
      </c>
      <c r="AJ205">
        <f>IF(Ajustes!$G205&gt;0,INDEX($AA$4:$AL$323,Ajustes!$G205,X$2),0)+IF(Ajustes!$H205&gt;0,INDEX($AA$4:$AL$323,Ajustes!$H205,X$2),0)+IF(Ajustes!$I205&gt;0,INDEX($AA$4:$AL$323,Ajustes!$I205,X$2),0)+IF(Ajustes!$J205&gt;0,INDEX($AA$4:$AL$323,Ajustes!$J205,X$2),0)+IF(Ajustes!$K205&gt;0,INDEX($AA$5:$AL$324,Ajustes!$K205,X$2),0)+IF(Ajustes!$L205&gt;0,INDEX($AA$4:$AL$323,Ajustes!$L205,X$2),0) + X205</f>
        <v>3</v>
      </c>
      <c r="AK205">
        <f>IF(Ajustes!$G205&gt;0,INDEX($AA$4:$AL$323,Ajustes!$G205,Y$2),0)+IF(Ajustes!$H205&gt;0,INDEX($AA$4:$AL$323,Ajustes!$H205,Y$2),0)+IF(Ajustes!$I205&gt;0,INDEX($AA$4:$AL$323,Ajustes!$I205,Y$2),0)+IF(Ajustes!$J205&gt;0,INDEX($AA$4:$AL$323,Ajustes!$J205,Y$2),0)+IF(Ajustes!$K205&gt;0,INDEX($AA$5:$AL$324,Ajustes!$K205,Y$2),0)+IF(Ajustes!$L205&gt;0,INDEX($AA$4:$AL$323,Ajustes!$L205,Y$2),0) + Y205</f>
        <v>5</v>
      </c>
      <c r="AL205">
        <f>IF(Ajustes!$G205&gt;0,INDEX($AA$4:$AL$323,Ajustes!$G205,Z$2),0)+IF(Ajustes!$H205&gt;0,INDEX($AA$4:$AL$323,Ajustes!$H205,Z$2),0)+IF(Ajustes!$I205&gt;0,INDEX($AA$4:$AL$323,Ajustes!$I205,Z$2),0)+IF(Ajustes!$J205&gt;0,INDEX($AA$4:$AL$323,Ajustes!$J205,Z$2),0)+IF(Ajustes!$K205&gt;0,INDEX($AA$5:$AL$324,Ajustes!$K205,Z$2),0)+IF(Ajustes!$L205&gt;0,INDEX($AA$4:$AL$323,Ajustes!$L205,Z$2),0) + Z205</f>
        <v>8</v>
      </c>
      <c r="AM205" s="113">
        <f t="shared" si="47"/>
        <v>10</v>
      </c>
      <c r="AN205" s="113">
        <f t="shared" si="47"/>
        <v>9</v>
      </c>
      <c r="AO205" s="113">
        <f t="shared" si="47"/>
        <v>9</v>
      </c>
      <c r="AP205" s="113">
        <f t="shared" si="47"/>
        <v>7</v>
      </c>
      <c r="AQ205" s="113">
        <f t="shared" si="49"/>
        <v>5</v>
      </c>
      <c r="AR205" s="113">
        <f t="shared" si="48"/>
        <v>3</v>
      </c>
      <c r="AS205" s="113">
        <f t="shared" si="48"/>
        <v>3</v>
      </c>
      <c r="AT205" s="113">
        <f t="shared" si="48"/>
        <v>2</v>
      </c>
      <c r="AU205" s="113">
        <f t="shared" si="48"/>
        <v>3</v>
      </c>
      <c r="AV205" s="113">
        <f t="shared" si="43"/>
        <v>3</v>
      </c>
      <c r="AW205" s="113">
        <f t="shared" si="43"/>
        <v>5</v>
      </c>
      <c r="AX205" s="113">
        <f t="shared" si="43"/>
        <v>8</v>
      </c>
    </row>
    <row r="206" spans="1:50" x14ac:dyDescent="0.25">
      <c r="A206" s="113">
        <v>203</v>
      </c>
      <c r="B206" s="209" t="s">
        <v>632</v>
      </c>
      <c r="C206">
        <f>IFERROR(INDEX($BD$7:$BO$35,MATCH(Ajustes!$E$4:$E$323,$BC$7:$BC$35,0),$C$2:$N$2),1)</f>
        <v>1</v>
      </c>
      <c r="D206" s="113">
        <f>IFERROR(INDEX($BD$7:$BO$35,MATCH(Ajustes!$E$4:$E$323,$BC$7:$BC$35,0),$C$2:$N$2),1)</f>
        <v>1</v>
      </c>
      <c r="E206" s="113">
        <f>IFERROR(INDEX($BD$7:$BO$35,MATCH(Ajustes!$E$4:$E$323,$BC$7:$BC$35,0),$C$2:$N$2),1)</f>
        <v>1</v>
      </c>
      <c r="F206" s="113">
        <f>IFERROR(INDEX($BD$7:$BO$35,MATCH(Ajustes!$E$4:$E$323,$BC$7:$BC$35,0),$C$2:$N$2),1)</f>
        <v>1</v>
      </c>
      <c r="G206" s="113">
        <f>IFERROR(INDEX($BD$7:$BO$35,MATCH(Ajustes!$E$4:$E$323,$BC$7:$BC$35,0),$C$2:$N$2),1)</f>
        <v>1</v>
      </c>
      <c r="H206" s="113">
        <f>IFERROR(INDEX($BD$7:$BO$35,MATCH(Ajustes!$E$4:$E$323,$BC$7:$BC$35,0),$C$2:$N$2),1)</f>
        <v>1</v>
      </c>
      <c r="I206" s="113">
        <f>IFERROR(INDEX($BD$7:$BO$35,MATCH(Ajustes!$E$4:$E$323,$BC$7:$BC$35,0),$C$2:$N$2),1)</f>
        <v>1</v>
      </c>
      <c r="J206" s="113">
        <f>IFERROR(INDEX($BD$7:$BO$35,MATCH(Ajustes!$E$4:$E$323,$BC$7:$BC$35,0),$C$2:$N$2),1)</f>
        <v>1</v>
      </c>
      <c r="K206" s="113">
        <f>IFERROR(INDEX($BD$7:$BO$35,MATCH(Ajustes!$E$4:$E$323,$BC$7:$BC$35,0),$C$2:$N$2),1)</f>
        <v>1</v>
      </c>
      <c r="L206" s="113">
        <f>IFERROR(INDEX($BD$7:$BO$35,MATCH(Ajustes!$E$4:$E$323,$BC$7:$BC$35,0),$C$2:$N$2),1)</f>
        <v>1</v>
      </c>
      <c r="M206" s="113">
        <f>IFERROR(INDEX($BD$7:$BO$35,MATCH(Ajustes!$E$4:$E$323,$BC$7:$BC$35,0),$C$2:$N$2),1)</f>
        <v>1</v>
      </c>
      <c r="N206" s="113">
        <f>IFERROR(INDEX($BD$7:$BO$35,MATCH(Ajustes!$E$4:$E$323,$BC$7:$BC$35,0),$C$2:$N$2),1)</f>
        <v>1</v>
      </c>
      <c r="O206">
        <f>C206*Ajustes!AM206</f>
        <v>17</v>
      </c>
      <c r="P206">
        <f>D206*Ajustes!AN206</f>
        <v>17</v>
      </c>
      <c r="Q206">
        <f>E206*Ajustes!AO206</f>
        <v>16</v>
      </c>
      <c r="R206">
        <f>F206*Ajustes!AP206</f>
        <v>12</v>
      </c>
      <c r="S206">
        <f>G206*Ajustes!AQ206</f>
        <v>9</v>
      </c>
      <c r="T206">
        <f>H206*Ajustes!AR206</f>
        <v>6</v>
      </c>
      <c r="U206">
        <f>I206*Ajustes!AS206</f>
        <v>6</v>
      </c>
      <c r="V206">
        <f>J206*Ajustes!AT206</f>
        <v>5</v>
      </c>
      <c r="W206">
        <f>K206*Ajustes!AU206</f>
        <v>4</v>
      </c>
      <c r="X206">
        <f>L206*Ajustes!AV206</f>
        <v>6</v>
      </c>
      <c r="Y206">
        <f>M206*Ajustes!AW206</f>
        <v>8</v>
      </c>
      <c r="Z206">
        <f>N206*Ajustes!AX206</f>
        <v>13</v>
      </c>
      <c r="AA206">
        <f>IF(Ajustes!$G206&gt;0,INDEX($AA$4:$AL$323,Ajustes!$G206,O$2),0)+IF(Ajustes!$H206&gt;0,INDEX($AA$4:$AL$323,Ajustes!$H206,O$2),0)+IF(Ajustes!$I206&gt;0,INDEX($AA$4:$AL$323,Ajustes!$I206,O$2),0)+IF(Ajustes!$J206&gt;0,INDEX($AA$4:$AL$323,Ajustes!$J206,O$2),0)+IF(Ajustes!$K206&gt;0,INDEX($AA$5:$AL$324,Ajustes!$K206,O$2),0)+IF(Ajustes!$L206&gt;0,INDEX($AA$4:$AL$323,Ajustes!$L206,O$2),0) + O206</f>
        <v>42</v>
      </c>
      <c r="AB206">
        <f>IF(Ajustes!$G206&gt;0,INDEX($AA$4:$AL$323,Ajustes!$G206,P$2),0)+IF(Ajustes!$H206&gt;0,INDEX($AA$4:$AL$323,Ajustes!$H206,P$2),0)+IF(Ajustes!$I206&gt;0,INDEX($AA$4:$AL$323,Ajustes!$I206,P$2),0)+IF(Ajustes!$J206&gt;0,INDEX($AA$4:$AL$323,Ajustes!$J206,P$2),0)+IF(Ajustes!$K206&gt;0,INDEX($AA$5:$AL$324,Ajustes!$K206,P$2),0)+IF(Ajustes!$L206&gt;0,INDEX($AA$4:$AL$323,Ajustes!$L206,P$2),0) + P206</f>
        <v>42</v>
      </c>
      <c r="AC206">
        <f>IF(Ajustes!$G206&gt;0,INDEX($AA$4:$AL$323,Ajustes!$G206,Q$2),0)+IF(Ajustes!$H206&gt;0,INDEX($AA$4:$AL$323,Ajustes!$H206,Q$2),0)+IF(Ajustes!$I206&gt;0,INDEX($AA$4:$AL$323,Ajustes!$I206,Q$2),0)+IF(Ajustes!$J206&gt;0,INDEX($AA$4:$AL$323,Ajustes!$J206,Q$2),0)+IF(Ajustes!$K206&gt;0,INDEX($AA$5:$AL$324,Ajustes!$K206,Q$2),0)+IF(Ajustes!$L206&gt;0,INDEX($AA$4:$AL$323,Ajustes!$L206,Q$2),0) + Q206</f>
        <v>39</v>
      </c>
      <c r="AD206">
        <f>IF(Ajustes!$G206&gt;0,INDEX($AA$4:$AL$323,Ajustes!$G206,R$2),0)+IF(Ajustes!$H206&gt;0,INDEX($AA$4:$AL$323,Ajustes!$H206,R$2),0)+IF(Ajustes!$I206&gt;0,INDEX($AA$4:$AL$323,Ajustes!$I206,R$2),0)+IF(Ajustes!$J206&gt;0,INDEX($AA$4:$AL$323,Ajustes!$J206,R$2),0)+IF(Ajustes!$K206&gt;0,INDEX($AA$5:$AL$324,Ajustes!$K206,R$2),0)+IF(Ajustes!$L206&gt;0,INDEX($AA$4:$AL$323,Ajustes!$L206,R$2),0) + R206</f>
        <v>30</v>
      </c>
      <c r="AE206">
        <f>IF(Ajustes!$G206&gt;0,INDEX($AA$4:$AL$323,Ajustes!$G206,S$2),0)+IF(Ajustes!$H206&gt;0,INDEX($AA$4:$AL$323,Ajustes!$H206,S$2),0)+IF(Ajustes!$I206&gt;0,INDEX($AA$4:$AL$323,Ajustes!$I206,S$2),0)+IF(Ajustes!$J206&gt;0,INDEX($AA$4:$AL$323,Ajustes!$J206,S$2),0)+IF(Ajustes!$K206&gt;0,INDEX($AA$5:$AL$324,Ajustes!$K206,S$2),0)+IF(Ajustes!$L206&gt;0,INDEX($AA$4:$AL$323,Ajustes!$L206,S$2),0) + S206</f>
        <v>21</v>
      </c>
      <c r="AF206">
        <f>IF(Ajustes!$G206&gt;0,INDEX($AA$4:$AL$323,Ajustes!$G206,T$2),0)+IF(Ajustes!$H206&gt;0,INDEX($AA$4:$AL$323,Ajustes!$H206,T$2),0)+IF(Ajustes!$I206&gt;0,INDEX($AA$4:$AL$323,Ajustes!$I206,T$2),0)+IF(Ajustes!$J206&gt;0,INDEX($AA$4:$AL$323,Ajustes!$J206,T$2),0)+IF(Ajustes!$K206&gt;0,INDEX($AA$5:$AL$324,Ajustes!$K206,T$2),0)+IF(Ajustes!$L206&gt;0,INDEX($AA$4:$AL$323,Ajustes!$L206,T$2),0) + T206</f>
        <v>15</v>
      </c>
      <c r="AG206">
        <f>IF(Ajustes!$G206&gt;0,INDEX($AA$4:$AL$323,Ajustes!$G206,U$2),0)+IF(Ajustes!$H206&gt;0,INDEX($AA$4:$AL$323,Ajustes!$H206,U$2),0)+IF(Ajustes!$I206&gt;0,INDEX($AA$4:$AL$323,Ajustes!$I206,U$2),0)+IF(Ajustes!$J206&gt;0,INDEX($AA$4:$AL$323,Ajustes!$J206,U$2),0)+IF(Ajustes!$K206&gt;0,INDEX($AA$5:$AL$324,Ajustes!$K206,U$2),0)+IF(Ajustes!$L206&gt;0,INDEX($AA$4:$AL$323,Ajustes!$L206,U$2),0) + U206</f>
        <v>13</v>
      </c>
      <c r="AH206">
        <f>IF(Ajustes!$G206&gt;0,INDEX($AA$4:$AL$323,Ajustes!$G206,V$2),0)+IF(Ajustes!$H206&gt;0,INDEX($AA$4:$AL$323,Ajustes!$H206,V$2),0)+IF(Ajustes!$I206&gt;0,INDEX($AA$4:$AL$323,Ajustes!$I206,V$2),0)+IF(Ajustes!$J206&gt;0,INDEX($AA$4:$AL$323,Ajustes!$J206,V$2),0)+IF(Ajustes!$K206&gt;0,INDEX($AA$5:$AL$324,Ajustes!$K206,V$2),0)+IF(Ajustes!$L206&gt;0,INDEX($AA$4:$AL$323,Ajustes!$L206,V$2),0) + V206</f>
        <v>11</v>
      </c>
      <c r="AI206">
        <f>IF(Ajustes!$G206&gt;0,INDEX($AA$4:$AL$323,Ajustes!$G206,W$2),0)+IF(Ajustes!$H206&gt;0,INDEX($AA$4:$AL$323,Ajustes!$H206,W$2),0)+IF(Ajustes!$I206&gt;0,INDEX($AA$4:$AL$323,Ajustes!$I206,W$2),0)+IF(Ajustes!$J206&gt;0,INDEX($AA$4:$AL$323,Ajustes!$J206,W$2),0)+IF(Ajustes!$K206&gt;0,INDEX($AA$5:$AL$324,Ajustes!$K206,W$2),0)+IF(Ajustes!$L206&gt;0,INDEX($AA$4:$AL$323,Ajustes!$L206,W$2),0) + W206</f>
        <v>11</v>
      </c>
      <c r="AJ206">
        <f>IF(Ajustes!$G206&gt;0,INDEX($AA$4:$AL$323,Ajustes!$G206,X$2),0)+IF(Ajustes!$H206&gt;0,INDEX($AA$4:$AL$323,Ajustes!$H206,X$2),0)+IF(Ajustes!$I206&gt;0,INDEX($AA$4:$AL$323,Ajustes!$I206,X$2),0)+IF(Ajustes!$J206&gt;0,INDEX($AA$4:$AL$323,Ajustes!$J206,X$2),0)+IF(Ajustes!$K206&gt;0,INDEX($AA$5:$AL$324,Ajustes!$K206,X$2),0)+IF(Ajustes!$L206&gt;0,INDEX($AA$4:$AL$323,Ajustes!$L206,X$2),0) + X206</f>
        <v>14</v>
      </c>
      <c r="AK206">
        <f>IF(Ajustes!$G206&gt;0,INDEX($AA$4:$AL$323,Ajustes!$G206,Y$2),0)+IF(Ajustes!$H206&gt;0,INDEX($AA$4:$AL$323,Ajustes!$H206,Y$2),0)+IF(Ajustes!$I206&gt;0,INDEX($AA$4:$AL$323,Ajustes!$I206,Y$2),0)+IF(Ajustes!$J206&gt;0,INDEX($AA$4:$AL$323,Ajustes!$J206,Y$2),0)+IF(Ajustes!$K206&gt;0,INDEX($AA$5:$AL$324,Ajustes!$K206,Y$2),0)+IF(Ajustes!$L206&gt;0,INDEX($AA$4:$AL$323,Ajustes!$L206,Y$2),0) + Y206</f>
        <v>20</v>
      </c>
      <c r="AL206">
        <f>IF(Ajustes!$G206&gt;0,INDEX($AA$4:$AL$323,Ajustes!$G206,Z$2),0)+IF(Ajustes!$H206&gt;0,INDEX($AA$4:$AL$323,Ajustes!$H206,Z$2),0)+IF(Ajustes!$I206&gt;0,INDEX($AA$4:$AL$323,Ajustes!$I206,Z$2),0)+IF(Ajustes!$J206&gt;0,INDEX($AA$4:$AL$323,Ajustes!$J206,Z$2),0)+IF(Ajustes!$K206&gt;0,INDEX($AA$5:$AL$324,Ajustes!$K206,Z$2),0)+IF(Ajustes!$L206&gt;0,INDEX($AA$4:$AL$323,Ajustes!$L206,Z$2),0) + Z206</f>
        <v>31</v>
      </c>
      <c r="AM206" s="113">
        <f t="shared" si="47"/>
        <v>42</v>
      </c>
      <c r="AN206" s="113">
        <f t="shared" si="47"/>
        <v>42</v>
      </c>
      <c r="AO206" s="113">
        <f t="shared" si="47"/>
        <v>39</v>
      </c>
      <c r="AP206" s="113">
        <f t="shared" si="47"/>
        <v>30</v>
      </c>
      <c r="AQ206" s="113">
        <f t="shared" si="49"/>
        <v>21</v>
      </c>
      <c r="AR206" s="113">
        <f t="shared" si="48"/>
        <v>15</v>
      </c>
      <c r="AS206" s="113">
        <f t="shared" si="48"/>
        <v>13</v>
      </c>
      <c r="AT206" s="113">
        <f t="shared" si="48"/>
        <v>11</v>
      </c>
      <c r="AU206" s="113">
        <f t="shared" si="48"/>
        <v>11</v>
      </c>
      <c r="AV206" s="113">
        <f t="shared" si="43"/>
        <v>14</v>
      </c>
      <c r="AW206" s="113">
        <f t="shared" si="43"/>
        <v>20</v>
      </c>
      <c r="AX206" s="113">
        <f t="shared" si="43"/>
        <v>31</v>
      </c>
    </row>
    <row r="207" spans="1:50" x14ac:dyDescent="0.25">
      <c r="A207" s="113">
        <v>204</v>
      </c>
      <c r="B207" s="209" t="s">
        <v>633</v>
      </c>
      <c r="C207">
        <f>IFERROR(INDEX($BD$7:$BO$35,MATCH(Ajustes!$E$4:$E$323,$BC$7:$BC$35,0),$C$2:$N$2),1)</f>
        <v>1</v>
      </c>
      <c r="D207" s="113">
        <f>IFERROR(INDEX($BD$7:$BO$35,MATCH(Ajustes!$E$4:$E$323,$BC$7:$BC$35,0),$C$2:$N$2),1)</f>
        <v>1</v>
      </c>
      <c r="E207" s="113">
        <f>IFERROR(INDEX($BD$7:$BO$35,MATCH(Ajustes!$E$4:$E$323,$BC$7:$BC$35,0),$C$2:$N$2),1)</f>
        <v>1</v>
      </c>
      <c r="F207" s="113">
        <f>IFERROR(INDEX($BD$7:$BO$35,MATCH(Ajustes!$E$4:$E$323,$BC$7:$BC$35,0),$C$2:$N$2),1)</f>
        <v>1</v>
      </c>
      <c r="G207" s="113">
        <f>IFERROR(INDEX($BD$7:$BO$35,MATCH(Ajustes!$E$4:$E$323,$BC$7:$BC$35,0),$C$2:$N$2),1)</f>
        <v>1</v>
      </c>
      <c r="H207" s="113">
        <f>IFERROR(INDEX($BD$7:$BO$35,MATCH(Ajustes!$E$4:$E$323,$BC$7:$BC$35,0),$C$2:$N$2),1)</f>
        <v>1</v>
      </c>
      <c r="I207" s="113">
        <f>IFERROR(INDEX($BD$7:$BO$35,MATCH(Ajustes!$E$4:$E$323,$BC$7:$BC$35,0),$C$2:$N$2),1)</f>
        <v>1</v>
      </c>
      <c r="J207" s="113">
        <f>IFERROR(INDEX($BD$7:$BO$35,MATCH(Ajustes!$E$4:$E$323,$BC$7:$BC$35,0),$C$2:$N$2),1)</f>
        <v>1</v>
      </c>
      <c r="K207" s="113">
        <f>IFERROR(INDEX($BD$7:$BO$35,MATCH(Ajustes!$E$4:$E$323,$BC$7:$BC$35,0),$C$2:$N$2),1)</f>
        <v>1</v>
      </c>
      <c r="L207" s="113">
        <f>IFERROR(INDEX($BD$7:$BO$35,MATCH(Ajustes!$E$4:$E$323,$BC$7:$BC$35,0),$C$2:$N$2),1)</f>
        <v>1</v>
      </c>
      <c r="M207" s="113">
        <f>IFERROR(INDEX($BD$7:$BO$35,MATCH(Ajustes!$E$4:$E$323,$BC$7:$BC$35,0),$C$2:$N$2),1)</f>
        <v>1</v>
      </c>
      <c r="N207" s="113">
        <f>IFERROR(INDEX($BD$7:$BO$35,MATCH(Ajustes!$E$4:$E$323,$BC$7:$BC$35,0),$C$2:$N$2),1)</f>
        <v>1</v>
      </c>
      <c r="O207">
        <f>C207*Ajustes!AM207</f>
        <v>528</v>
      </c>
      <c r="P207">
        <f>D207*Ajustes!AN207</f>
        <v>987</v>
      </c>
      <c r="Q207">
        <f>E207*Ajustes!AO207</f>
        <v>1505</v>
      </c>
      <c r="R207">
        <f>F207*Ajustes!AP207</f>
        <v>1863</v>
      </c>
      <c r="S207">
        <f>G207*Ajustes!AQ207</f>
        <v>1991</v>
      </c>
      <c r="T207">
        <f>H207*Ajustes!AR207</f>
        <v>1578</v>
      </c>
      <c r="U207">
        <f>I207*Ajustes!AS207</f>
        <v>1164</v>
      </c>
      <c r="V207">
        <f>J207*Ajustes!AT207</f>
        <v>786</v>
      </c>
      <c r="W207">
        <f>K207*Ajustes!AU207</f>
        <v>455</v>
      </c>
      <c r="X207">
        <f>L207*Ajustes!AV207</f>
        <v>275</v>
      </c>
      <c r="Y207">
        <f>M207*Ajustes!AW207</f>
        <v>198</v>
      </c>
      <c r="Z207">
        <f>N207*Ajustes!AX207</f>
        <v>230</v>
      </c>
      <c r="AA207">
        <f>IF(Ajustes!$G207&gt;0,INDEX($AA$4:$AL$323,Ajustes!$G207,O$2),0)+IF(Ajustes!$H207&gt;0,INDEX($AA$4:$AL$323,Ajustes!$H207,O$2),0)+IF(Ajustes!$I207&gt;0,INDEX($AA$4:$AL$323,Ajustes!$I207,O$2),0)+IF(Ajustes!$J207&gt;0,INDEX($AA$4:$AL$323,Ajustes!$J207,O$2),0)+IF(Ajustes!$K207&gt;0,INDEX($AA$5:$AL$324,Ajustes!$K207,O$2),0)+IF(Ajustes!$L207&gt;0,INDEX($AA$4:$AL$323,Ajustes!$L207,O$2),0) + O207</f>
        <v>528</v>
      </c>
      <c r="AB207">
        <f>IF(Ajustes!$G207&gt;0,INDEX($AA$4:$AL$323,Ajustes!$G207,P$2),0)+IF(Ajustes!$H207&gt;0,INDEX($AA$4:$AL$323,Ajustes!$H207,P$2),0)+IF(Ajustes!$I207&gt;0,INDEX($AA$4:$AL$323,Ajustes!$I207,P$2),0)+IF(Ajustes!$J207&gt;0,INDEX($AA$4:$AL$323,Ajustes!$J207,P$2),0)+IF(Ajustes!$K207&gt;0,INDEX($AA$5:$AL$324,Ajustes!$K207,P$2),0)+IF(Ajustes!$L207&gt;0,INDEX($AA$4:$AL$323,Ajustes!$L207,P$2),0) + P207</f>
        <v>987</v>
      </c>
      <c r="AC207">
        <f>IF(Ajustes!$G207&gt;0,INDEX($AA$4:$AL$323,Ajustes!$G207,Q$2),0)+IF(Ajustes!$H207&gt;0,INDEX($AA$4:$AL$323,Ajustes!$H207,Q$2),0)+IF(Ajustes!$I207&gt;0,INDEX($AA$4:$AL$323,Ajustes!$I207,Q$2),0)+IF(Ajustes!$J207&gt;0,INDEX($AA$4:$AL$323,Ajustes!$J207,Q$2),0)+IF(Ajustes!$K207&gt;0,INDEX($AA$5:$AL$324,Ajustes!$K207,Q$2),0)+IF(Ajustes!$L207&gt;0,INDEX($AA$4:$AL$323,Ajustes!$L207,Q$2),0) + Q207</f>
        <v>1505</v>
      </c>
      <c r="AD207">
        <f>IF(Ajustes!$G207&gt;0,INDEX($AA$4:$AL$323,Ajustes!$G207,R$2),0)+IF(Ajustes!$H207&gt;0,INDEX($AA$4:$AL$323,Ajustes!$H207,R$2),0)+IF(Ajustes!$I207&gt;0,INDEX($AA$4:$AL$323,Ajustes!$I207,R$2),0)+IF(Ajustes!$J207&gt;0,INDEX($AA$4:$AL$323,Ajustes!$J207,R$2),0)+IF(Ajustes!$K207&gt;0,INDEX($AA$5:$AL$324,Ajustes!$K207,R$2),0)+IF(Ajustes!$L207&gt;0,INDEX($AA$4:$AL$323,Ajustes!$L207,R$2),0) + R207</f>
        <v>1863</v>
      </c>
      <c r="AE207">
        <f>IF(Ajustes!$G207&gt;0,INDEX($AA$4:$AL$323,Ajustes!$G207,S$2),0)+IF(Ajustes!$H207&gt;0,INDEX($AA$4:$AL$323,Ajustes!$H207,S$2),0)+IF(Ajustes!$I207&gt;0,INDEX($AA$4:$AL$323,Ajustes!$I207,S$2),0)+IF(Ajustes!$J207&gt;0,INDEX($AA$4:$AL$323,Ajustes!$J207,S$2),0)+IF(Ajustes!$K207&gt;0,INDEX($AA$5:$AL$324,Ajustes!$K207,S$2),0)+IF(Ajustes!$L207&gt;0,INDEX($AA$4:$AL$323,Ajustes!$L207,S$2),0) + S207</f>
        <v>1991</v>
      </c>
      <c r="AF207">
        <f>IF(Ajustes!$G207&gt;0,INDEX($AA$4:$AL$323,Ajustes!$G207,T$2),0)+IF(Ajustes!$H207&gt;0,INDEX($AA$4:$AL$323,Ajustes!$H207,T$2),0)+IF(Ajustes!$I207&gt;0,INDEX($AA$4:$AL$323,Ajustes!$I207,T$2),0)+IF(Ajustes!$J207&gt;0,INDEX($AA$4:$AL$323,Ajustes!$J207,T$2),0)+IF(Ajustes!$K207&gt;0,INDEX($AA$5:$AL$324,Ajustes!$K207,T$2),0)+IF(Ajustes!$L207&gt;0,INDEX($AA$4:$AL$323,Ajustes!$L207,T$2),0) + T207</f>
        <v>1578</v>
      </c>
      <c r="AG207">
        <f>IF(Ajustes!$G207&gt;0,INDEX($AA$4:$AL$323,Ajustes!$G207,U$2),0)+IF(Ajustes!$H207&gt;0,INDEX($AA$4:$AL$323,Ajustes!$H207,U$2),0)+IF(Ajustes!$I207&gt;0,INDEX($AA$4:$AL$323,Ajustes!$I207,U$2),0)+IF(Ajustes!$J207&gt;0,INDEX($AA$4:$AL$323,Ajustes!$J207,U$2),0)+IF(Ajustes!$K207&gt;0,INDEX($AA$5:$AL$324,Ajustes!$K207,U$2),0)+IF(Ajustes!$L207&gt;0,INDEX($AA$4:$AL$323,Ajustes!$L207,U$2),0) + U207</f>
        <v>1164</v>
      </c>
      <c r="AH207">
        <f>IF(Ajustes!$G207&gt;0,INDEX($AA$4:$AL$323,Ajustes!$G207,V$2),0)+IF(Ajustes!$H207&gt;0,INDEX($AA$4:$AL$323,Ajustes!$H207,V$2),0)+IF(Ajustes!$I207&gt;0,INDEX($AA$4:$AL$323,Ajustes!$I207,V$2),0)+IF(Ajustes!$J207&gt;0,INDEX($AA$4:$AL$323,Ajustes!$J207,V$2),0)+IF(Ajustes!$K207&gt;0,INDEX($AA$5:$AL$324,Ajustes!$K207,V$2),0)+IF(Ajustes!$L207&gt;0,INDEX($AA$4:$AL$323,Ajustes!$L207,V$2),0) + V207</f>
        <v>786</v>
      </c>
      <c r="AI207">
        <f>IF(Ajustes!$G207&gt;0,INDEX($AA$4:$AL$323,Ajustes!$G207,W$2),0)+IF(Ajustes!$H207&gt;0,INDEX($AA$4:$AL$323,Ajustes!$H207,W$2),0)+IF(Ajustes!$I207&gt;0,INDEX($AA$4:$AL$323,Ajustes!$I207,W$2),0)+IF(Ajustes!$J207&gt;0,INDEX($AA$4:$AL$323,Ajustes!$J207,W$2),0)+IF(Ajustes!$K207&gt;0,INDEX($AA$5:$AL$324,Ajustes!$K207,W$2),0)+IF(Ajustes!$L207&gt;0,INDEX($AA$4:$AL$323,Ajustes!$L207,W$2),0) + W207</f>
        <v>455</v>
      </c>
      <c r="AJ207">
        <f>IF(Ajustes!$G207&gt;0,INDEX($AA$4:$AL$323,Ajustes!$G207,X$2),0)+IF(Ajustes!$H207&gt;0,INDEX($AA$4:$AL$323,Ajustes!$H207,X$2),0)+IF(Ajustes!$I207&gt;0,INDEX($AA$4:$AL$323,Ajustes!$I207,X$2),0)+IF(Ajustes!$J207&gt;0,INDEX($AA$4:$AL$323,Ajustes!$J207,X$2),0)+IF(Ajustes!$K207&gt;0,INDEX($AA$5:$AL$324,Ajustes!$K207,X$2),0)+IF(Ajustes!$L207&gt;0,INDEX($AA$4:$AL$323,Ajustes!$L207,X$2),0) + X207</f>
        <v>275</v>
      </c>
      <c r="AK207">
        <f>IF(Ajustes!$G207&gt;0,INDEX($AA$4:$AL$323,Ajustes!$G207,Y$2),0)+IF(Ajustes!$H207&gt;0,INDEX($AA$4:$AL$323,Ajustes!$H207,Y$2),0)+IF(Ajustes!$I207&gt;0,INDEX($AA$4:$AL$323,Ajustes!$I207,Y$2),0)+IF(Ajustes!$J207&gt;0,INDEX($AA$4:$AL$323,Ajustes!$J207,Y$2),0)+IF(Ajustes!$K207&gt;0,INDEX($AA$5:$AL$324,Ajustes!$K207,Y$2),0)+IF(Ajustes!$L207&gt;0,INDEX($AA$4:$AL$323,Ajustes!$L207,Y$2),0) + Y207</f>
        <v>198</v>
      </c>
      <c r="AL207">
        <f>IF(Ajustes!$G207&gt;0,INDEX($AA$4:$AL$323,Ajustes!$G207,Z$2),0)+IF(Ajustes!$H207&gt;0,INDEX($AA$4:$AL$323,Ajustes!$H207,Z$2),0)+IF(Ajustes!$I207&gt;0,INDEX($AA$4:$AL$323,Ajustes!$I207,Z$2),0)+IF(Ajustes!$J207&gt;0,INDEX($AA$4:$AL$323,Ajustes!$J207,Z$2),0)+IF(Ajustes!$K207&gt;0,INDEX($AA$5:$AL$324,Ajustes!$K207,Z$2),0)+IF(Ajustes!$L207&gt;0,INDEX($AA$4:$AL$323,Ajustes!$L207,Z$2),0) + Z207</f>
        <v>230</v>
      </c>
      <c r="AM207" s="113">
        <f t="shared" si="47"/>
        <v>528</v>
      </c>
      <c r="AN207" s="113">
        <f t="shared" si="47"/>
        <v>987</v>
      </c>
      <c r="AO207" s="113">
        <f t="shared" si="47"/>
        <v>1505</v>
      </c>
      <c r="AP207" s="113">
        <f t="shared" si="47"/>
        <v>1863</v>
      </c>
      <c r="AQ207" s="113">
        <f t="shared" si="49"/>
        <v>1991</v>
      </c>
      <c r="AR207" s="113">
        <f t="shared" si="48"/>
        <v>1578</v>
      </c>
      <c r="AS207" s="113">
        <f t="shared" si="48"/>
        <v>1164</v>
      </c>
      <c r="AT207" s="113">
        <f t="shared" si="48"/>
        <v>786</v>
      </c>
      <c r="AU207" s="113">
        <f t="shared" si="48"/>
        <v>455</v>
      </c>
      <c r="AV207" s="113">
        <f t="shared" si="43"/>
        <v>275</v>
      </c>
      <c r="AW207" s="113">
        <f t="shared" si="43"/>
        <v>198</v>
      </c>
      <c r="AX207" s="113">
        <f t="shared" si="43"/>
        <v>230</v>
      </c>
    </row>
    <row r="208" spans="1:50" x14ac:dyDescent="0.25">
      <c r="A208" s="113">
        <v>205</v>
      </c>
      <c r="B208" s="209" t="s">
        <v>634</v>
      </c>
      <c r="C208">
        <f>IFERROR(INDEX($BD$7:$BO$35,MATCH(Ajustes!$E$4:$E$323,$BC$7:$BC$35,0),$C$2:$N$2),1)</f>
        <v>1</v>
      </c>
      <c r="D208" s="113">
        <f>IFERROR(INDEX($BD$7:$BO$35,MATCH(Ajustes!$E$4:$E$323,$BC$7:$BC$35,0),$C$2:$N$2),1)</f>
        <v>1</v>
      </c>
      <c r="E208" s="113">
        <f>IFERROR(INDEX($BD$7:$BO$35,MATCH(Ajustes!$E$4:$E$323,$BC$7:$BC$35,0),$C$2:$N$2),1)</f>
        <v>1</v>
      </c>
      <c r="F208" s="113">
        <f>IFERROR(INDEX($BD$7:$BO$35,MATCH(Ajustes!$E$4:$E$323,$BC$7:$BC$35,0),$C$2:$N$2),1)</f>
        <v>1</v>
      </c>
      <c r="G208" s="113">
        <f>IFERROR(INDEX($BD$7:$BO$35,MATCH(Ajustes!$E$4:$E$323,$BC$7:$BC$35,0),$C$2:$N$2),1)</f>
        <v>1</v>
      </c>
      <c r="H208" s="113">
        <f>IFERROR(INDEX($BD$7:$BO$35,MATCH(Ajustes!$E$4:$E$323,$BC$7:$BC$35,0),$C$2:$N$2),1)</f>
        <v>1</v>
      </c>
      <c r="I208" s="113">
        <f>IFERROR(INDEX($BD$7:$BO$35,MATCH(Ajustes!$E$4:$E$323,$BC$7:$BC$35,0),$C$2:$N$2),1)</f>
        <v>1</v>
      </c>
      <c r="J208" s="113">
        <f>IFERROR(INDEX($BD$7:$BO$35,MATCH(Ajustes!$E$4:$E$323,$BC$7:$BC$35,0),$C$2:$N$2),1)</f>
        <v>1</v>
      </c>
      <c r="K208" s="113">
        <f>IFERROR(INDEX($BD$7:$BO$35,MATCH(Ajustes!$E$4:$E$323,$BC$7:$BC$35,0),$C$2:$N$2),1)</f>
        <v>1</v>
      </c>
      <c r="L208" s="113">
        <f>IFERROR(INDEX($BD$7:$BO$35,MATCH(Ajustes!$E$4:$E$323,$BC$7:$BC$35,0),$C$2:$N$2),1)</f>
        <v>1</v>
      </c>
      <c r="M208" s="113">
        <f>IFERROR(INDEX($BD$7:$BO$35,MATCH(Ajustes!$E$4:$E$323,$BC$7:$BC$35,0),$C$2:$N$2),1)</f>
        <v>1</v>
      </c>
      <c r="N208" s="113">
        <f>IFERROR(INDEX($BD$7:$BO$35,MATCH(Ajustes!$E$4:$E$323,$BC$7:$BC$35,0),$C$2:$N$2),1)</f>
        <v>1</v>
      </c>
      <c r="O208">
        <f>C208*Ajustes!AM208</f>
        <v>219</v>
      </c>
      <c r="P208">
        <f>D208*Ajustes!AN208</f>
        <v>241</v>
      </c>
      <c r="Q208">
        <f>E208*Ajustes!AO208</f>
        <v>239</v>
      </c>
      <c r="R208">
        <f>F208*Ajustes!AP208</f>
        <v>190</v>
      </c>
      <c r="S208">
        <f>G208*Ajustes!AQ208</f>
        <v>119</v>
      </c>
      <c r="T208">
        <f>H208*Ajustes!AR208</f>
        <v>87</v>
      </c>
      <c r="U208">
        <f>I208*Ajustes!AS208</f>
        <v>68</v>
      </c>
      <c r="V208">
        <f>J208*Ajustes!AT208</f>
        <v>54</v>
      </c>
      <c r="W208">
        <f>K208*Ajustes!AU208</f>
        <v>47</v>
      </c>
      <c r="X208">
        <f>L208*Ajustes!AV208</f>
        <v>61</v>
      </c>
      <c r="Y208">
        <f>M208*Ajustes!AW208</f>
        <v>100</v>
      </c>
      <c r="Z208">
        <f>N208*Ajustes!AX208</f>
        <v>161</v>
      </c>
      <c r="AA208">
        <f>IF(Ajustes!$G208&gt;0,INDEX($AA$4:$AL$323,Ajustes!$G208,O$2),0)+IF(Ajustes!$H208&gt;0,INDEX($AA$4:$AL$323,Ajustes!$H208,O$2),0)+IF(Ajustes!$I208&gt;0,INDEX($AA$4:$AL$323,Ajustes!$I208,O$2),0)+IF(Ajustes!$J208&gt;0,INDEX($AA$4:$AL$323,Ajustes!$J208,O$2),0)+IF(Ajustes!$K208&gt;0,INDEX($AA$5:$AL$324,Ajustes!$K208,O$2),0)+IF(Ajustes!$L208&gt;0,INDEX($AA$4:$AL$323,Ajustes!$L208,O$2),0) + O208</f>
        <v>219</v>
      </c>
      <c r="AB208">
        <f>IF(Ajustes!$G208&gt;0,INDEX($AA$4:$AL$323,Ajustes!$G208,P$2),0)+IF(Ajustes!$H208&gt;0,INDEX($AA$4:$AL$323,Ajustes!$H208,P$2),0)+IF(Ajustes!$I208&gt;0,INDEX($AA$4:$AL$323,Ajustes!$I208,P$2),0)+IF(Ajustes!$J208&gt;0,INDEX($AA$4:$AL$323,Ajustes!$J208,P$2),0)+IF(Ajustes!$K208&gt;0,INDEX($AA$5:$AL$324,Ajustes!$K208,P$2),0)+IF(Ajustes!$L208&gt;0,INDEX($AA$4:$AL$323,Ajustes!$L208,P$2),0) + P208</f>
        <v>241</v>
      </c>
      <c r="AC208">
        <f>IF(Ajustes!$G208&gt;0,INDEX($AA$4:$AL$323,Ajustes!$G208,Q$2),0)+IF(Ajustes!$H208&gt;0,INDEX($AA$4:$AL$323,Ajustes!$H208,Q$2),0)+IF(Ajustes!$I208&gt;0,INDEX($AA$4:$AL$323,Ajustes!$I208,Q$2),0)+IF(Ajustes!$J208&gt;0,INDEX($AA$4:$AL$323,Ajustes!$J208,Q$2),0)+IF(Ajustes!$K208&gt;0,INDEX($AA$5:$AL$324,Ajustes!$K208,Q$2),0)+IF(Ajustes!$L208&gt;0,INDEX($AA$4:$AL$323,Ajustes!$L208,Q$2),0) + Q208</f>
        <v>239</v>
      </c>
      <c r="AD208">
        <f>IF(Ajustes!$G208&gt;0,INDEX($AA$4:$AL$323,Ajustes!$G208,R$2),0)+IF(Ajustes!$H208&gt;0,INDEX($AA$4:$AL$323,Ajustes!$H208,R$2),0)+IF(Ajustes!$I208&gt;0,INDEX($AA$4:$AL$323,Ajustes!$I208,R$2),0)+IF(Ajustes!$J208&gt;0,INDEX($AA$4:$AL$323,Ajustes!$J208,R$2),0)+IF(Ajustes!$K208&gt;0,INDEX($AA$5:$AL$324,Ajustes!$K208,R$2),0)+IF(Ajustes!$L208&gt;0,INDEX($AA$4:$AL$323,Ajustes!$L208,R$2),0) + R208</f>
        <v>190</v>
      </c>
      <c r="AE208">
        <f>IF(Ajustes!$G208&gt;0,INDEX($AA$4:$AL$323,Ajustes!$G208,S$2),0)+IF(Ajustes!$H208&gt;0,INDEX($AA$4:$AL$323,Ajustes!$H208,S$2),0)+IF(Ajustes!$I208&gt;0,INDEX($AA$4:$AL$323,Ajustes!$I208,S$2),0)+IF(Ajustes!$J208&gt;0,INDEX($AA$4:$AL$323,Ajustes!$J208,S$2),0)+IF(Ajustes!$K208&gt;0,INDEX($AA$5:$AL$324,Ajustes!$K208,S$2),0)+IF(Ajustes!$L208&gt;0,INDEX($AA$4:$AL$323,Ajustes!$L208,S$2),0) + S208</f>
        <v>119</v>
      </c>
      <c r="AF208">
        <f>IF(Ajustes!$G208&gt;0,INDEX($AA$4:$AL$323,Ajustes!$G208,T$2),0)+IF(Ajustes!$H208&gt;0,INDEX($AA$4:$AL$323,Ajustes!$H208,T$2),0)+IF(Ajustes!$I208&gt;0,INDEX($AA$4:$AL$323,Ajustes!$I208,T$2),0)+IF(Ajustes!$J208&gt;0,INDEX($AA$4:$AL$323,Ajustes!$J208,T$2),0)+IF(Ajustes!$K208&gt;0,INDEX($AA$5:$AL$324,Ajustes!$K208,T$2),0)+IF(Ajustes!$L208&gt;0,INDEX($AA$4:$AL$323,Ajustes!$L208,T$2),0) + T208</f>
        <v>87</v>
      </c>
      <c r="AG208">
        <f>IF(Ajustes!$G208&gt;0,INDEX($AA$4:$AL$323,Ajustes!$G208,U$2),0)+IF(Ajustes!$H208&gt;0,INDEX($AA$4:$AL$323,Ajustes!$H208,U$2),0)+IF(Ajustes!$I208&gt;0,INDEX($AA$4:$AL$323,Ajustes!$I208,U$2),0)+IF(Ajustes!$J208&gt;0,INDEX($AA$4:$AL$323,Ajustes!$J208,U$2),0)+IF(Ajustes!$K208&gt;0,INDEX($AA$5:$AL$324,Ajustes!$K208,U$2),0)+IF(Ajustes!$L208&gt;0,INDEX($AA$4:$AL$323,Ajustes!$L208,U$2),0) + U208</f>
        <v>68</v>
      </c>
      <c r="AH208">
        <f>IF(Ajustes!$G208&gt;0,INDEX($AA$4:$AL$323,Ajustes!$G208,V$2),0)+IF(Ajustes!$H208&gt;0,INDEX($AA$4:$AL$323,Ajustes!$H208,V$2),0)+IF(Ajustes!$I208&gt;0,INDEX($AA$4:$AL$323,Ajustes!$I208,V$2),0)+IF(Ajustes!$J208&gt;0,INDEX($AA$4:$AL$323,Ajustes!$J208,V$2),0)+IF(Ajustes!$K208&gt;0,INDEX($AA$5:$AL$324,Ajustes!$K208,V$2),0)+IF(Ajustes!$L208&gt;0,INDEX($AA$4:$AL$323,Ajustes!$L208,V$2),0) + V208</f>
        <v>54</v>
      </c>
      <c r="AI208">
        <f>IF(Ajustes!$G208&gt;0,INDEX($AA$4:$AL$323,Ajustes!$G208,W$2),0)+IF(Ajustes!$H208&gt;0,INDEX($AA$4:$AL$323,Ajustes!$H208,W$2),0)+IF(Ajustes!$I208&gt;0,INDEX($AA$4:$AL$323,Ajustes!$I208,W$2),0)+IF(Ajustes!$J208&gt;0,INDEX($AA$4:$AL$323,Ajustes!$J208,W$2),0)+IF(Ajustes!$K208&gt;0,INDEX($AA$5:$AL$324,Ajustes!$K208,W$2),0)+IF(Ajustes!$L208&gt;0,INDEX($AA$4:$AL$323,Ajustes!$L208,W$2),0) + W208</f>
        <v>47</v>
      </c>
      <c r="AJ208">
        <f>IF(Ajustes!$G208&gt;0,INDEX($AA$4:$AL$323,Ajustes!$G208,X$2),0)+IF(Ajustes!$H208&gt;0,INDEX($AA$4:$AL$323,Ajustes!$H208,X$2),0)+IF(Ajustes!$I208&gt;0,INDEX($AA$4:$AL$323,Ajustes!$I208,X$2),0)+IF(Ajustes!$J208&gt;0,INDEX($AA$4:$AL$323,Ajustes!$J208,X$2),0)+IF(Ajustes!$K208&gt;0,INDEX($AA$5:$AL$324,Ajustes!$K208,X$2),0)+IF(Ajustes!$L208&gt;0,INDEX($AA$4:$AL$323,Ajustes!$L208,X$2),0) + X208</f>
        <v>61</v>
      </c>
      <c r="AK208">
        <f>IF(Ajustes!$G208&gt;0,INDEX($AA$4:$AL$323,Ajustes!$G208,Y$2),0)+IF(Ajustes!$H208&gt;0,INDEX($AA$4:$AL$323,Ajustes!$H208,Y$2),0)+IF(Ajustes!$I208&gt;0,INDEX($AA$4:$AL$323,Ajustes!$I208,Y$2),0)+IF(Ajustes!$J208&gt;0,INDEX($AA$4:$AL$323,Ajustes!$J208,Y$2),0)+IF(Ajustes!$K208&gt;0,INDEX($AA$5:$AL$324,Ajustes!$K208,Y$2),0)+IF(Ajustes!$L208&gt;0,INDEX($AA$4:$AL$323,Ajustes!$L208,Y$2),0) + Y208</f>
        <v>100</v>
      </c>
      <c r="AL208">
        <f>IF(Ajustes!$G208&gt;0,INDEX($AA$4:$AL$323,Ajustes!$G208,Z$2),0)+IF(Ajustes!$H208&gt;0,INDEX($AA$4:$AL$323,Ajustes!$H208,Z$2),0)+IF(Ajustes!$I208&gt;0,INDEX($AA$4:$AL$323,Ajustes!$I208,Z$2),0)+IF(Ajustes!$J208&gt;0,INDEX($AA$4:$AL$323,Ajustes!$J208,Z$2),0)+IF(Ajustes!$K208&gt;0,INDEX($AA$5:$AL$324,Ajustes!$K208,Z$2),0)+IF(Ajustes!$L208&gt;0,INDEX($AA$4:$AL$323,Ajustes!$L208,Z$2),0) + Z208</f>
        <v>161</v>
      </c>
      <c r="AM208" s="113">
        <f t="shared" si="47"/>
        <v>219</v>
      </c>
      <c r="AN208" s="113">
        <f t="shared" si="47"/>
        <v>241</v>
      </c>
      <c r="AO208" s="113">
        <f t="shared" si="47"/>
        <v>239</v>
      </c>
      <c r="AP208" s="113">
        <f t="shared" si="47"/>
        <v>190</v>
      </c>
      <c r="AQ208" s="113">
        <f t="shared" si="49"/>
        <v>119</v>
      </c>
      <c r="AR208" s="113">
        <f t="shared" si="48"/>
        <v>87</v>
      </c>
      <c r="AS208" s="113">
        <f t="shared" si="48"/>
        <v>68</v>
      </c>
      <c r="AT208" s="113">
        <f t="shared" si="48"/>
        <v>54</v>
      </c>
      <c r="AU208" s="113">
        <f t="shared" si="48"/>
        <v>47</v>
      </c>
      <c r="AV208" s="113">
        <f t="shared" si="43"/>
        <v>61</v>
      </c>
      <c r="AW208" s="113">
        <f t="shared" si="43"/>
        <v>100</v>
      </c>
      <c r="AX208" s="113">
        <f t="shared" si="43"/>
        <v>161</v>
      </c>
    </row>
    <row r="209" spans="1:50" x14ac:dyDescent="0.25">
      <c r="A209" s="113">
        <v>206</v>
      </c>
      <c r="B209" s="209" t="s">
        <v>635</v>
      </c>
      <c r="C209">
        <f>IFERROR(INDEX($BD$7:$BO$35,MATCH(Ajustes!$E$4:$E$323,$BC$7:$BC$35,0),$C$2:$N$2),1)</f>
        <v>1</v>
      </c>
      <c r="D209" s="113">
        <f>IFERROR(INDEX($BD$7:$BO$35,MATCH(Ajustes!$E$4:$E$323,$BC$7:$BC$35,0),$C$2:$N$2),1)</f>
        <v>1</v>
      </c>
      <c r="E209" s="113">
        <f>IFERROR(INDEX($BD$7:$BO$35,MATCH(Ajustes!$E$4:$E$323,$BC$7:$BC$35,0),$C$2:$N$2),1)</f>
        <v>1</v>
      </c>
      <c r="F209" s="113">
        <f>IFERROR(INDEX($BD$7:$BO$35,MATCH(Ajustes!$E$4:$E$323,$BC$7:$BC$35,0),$C$2:$N$2),1)</f>
        <v>1</v>
      </c>
      <c r="G209" s="113">
        <f>IFERROR(INDEX($BD$7:$BO$35,MATCH(Ajustes!$E$4:$E$323,$BC$7:$BC$35,0),$C$2:$N$2),1)</f>
        <v>1</v>
      </c>
      <c r="H209" s="113">
        <f>IFERROR(INDEX($BD$7:$BO$35,MATCH(Ajustes!$E$4:$E$323,$BC$7:$BC$35,0),$C$2:$N$2),1)</f>
        <v>1</v>
      </c>
      <c r="I209" s="113">
        <f>IFERROR(INDEX($BD$7:$BO$35,MATCH(Ajustes!$E$4:$E$323,$BC$7:$BC$35,0),$C$2:$N$2),1)</f>
        <v>1</v>
      </c>
      <c r="J209" s="113">
        <f>IFERROR(INDEX($BD$7:$BO$35,MATCH(Ajustes!$E$4:$E$323,$BC$7:$BC$35,0),$C$2:$N$2),1)</f>
        <v>1</v>
      </c>
      <c r="K209" s="113">
        <f>IFERROR(INDEX($BD$7:$BO$35,MATCH(Ajustes!$E$4:$E$323,$BC$7:$BC$35,0),$C$2:$N$2),1)</f>
        <v>1</v>
      </c>
      <c r="L209" s="113">
        <f>IFERROR(INDEX($BD$7:$BO$35,MATCH(Ajustes!$E$4:$E$323,$BC$7:$BC$35,0),$C$2:$N$2),1)</f>
        <v>1</v>
      </c>
      <c r="M209" s="113">
        <f>IFERROR(INDEX($BD$7:$BO$35,MATCH(Ajustes!$E$4:$E$323,$BC$7:$BC$35,0),$C$2:$N$2),1)</f>
        <v>1</v>
      </c>
      <c r="N209" s="113">
        <f>IFERROR(INDEX($BD$7:$BO$35,MATCH(Ajustes!$E$4:$E$323,$BC$7:$BC$35,0),$C$2:$N$2),1)</f>
        <v>1</v>
      </c>
      <c r="O209">
        <f>C209*Ajustes!AM209</f>
        <v>80</v>
      </c>
      <c r="P209">
        <f>D209*Ajustes!AN209</f>
        <v>83</v>
      </c>
      <c r="Q209">
        <f>E209*Ajustes!AO209</f>
        <v>79</v>
      </c>
      <c r="R209">
        <f>F209*Ajustes!AP209</f>
        <v>64</v>
      </c>
      <c r="S209">
        <f>G209*Ajustes!AQ209</f>
        <v>43</v>
      </c>
      <c r="T209">
        <f>H209*Ajustes!AR209</f>
        <v>34</v>
      </c>
      <c r="U209">
        <f>I209*Ajustes!AS209</f>
        <v>29</v>
      </c>
      <c r="V209">
        <f>J209*Ajustes!AT209</f>
        <v>26</v>
      </c>
      <c r="W209">
        <f>K209*Ajustes!AU209</f>
        <v>25</v>
      </c>
      <c r="X209">
        <f>L209*Ajustes!AV209</f>
        <v>28</v>
      </c>
      <c r="Y209">
        <f>M209*Ajustes!AW209</f>
        <v>39</v>
      </c>
      <c r="Z209">
        <f>N209*Ajustes!AX209</f>
        <v>58</v>
      </c>
      <c r="AA209">
        <f>IF(Ajustes!$G209&gt;0,INDEX($AA$4:$AL$323,Ajustes!$G209,O$2),0)+IF(Ajustes!$H209&gt;0,INDEX($AA$4:$AL$323,Ajustes!$H209,O$2),0)+IF(Ajustes!$I209&gt;0,INDEX($AA$4:$AL$323,Ajustes!$I209,O$2),0)+IF(Ajustes!$J209&gt;0,INDEX($AA$4:$AL$323,Ajustes!$J209,O$2),0)+IF(Ajustes!$K209&gt;0,INDEX($AA$5:$AL$324,Ajustes!$K209,O$2),0)+IF(Ajustes!$L209&gt;0,INDEX($AA$4:$AL$323,Ajustes!$L209,O$2),0) + O209</f>
        <v>610</v>
      </c>
      <c r="AB209">
        <f>IF(Ajustes!$G209&gt;0,INDEX($AA$4:$AL$323,Ajustes!$G209,P$2),0)+IF(Ajustes!$H209&gt;0,INDEX($AA$4:$AL$323,Ajustes!$H209,P$2),0)+IF(Ajustes!$I209&gt;0,INDEX($AA$4:$AL$323,Ajustes!$I209,P$2),0)+IF(Ajustes!$J209&gt;0,INDEX($AA$4:$AL$323,Ajustes!$J209,P$2),0)+IF(Ajustes!$K209&gt;0,INDEX($AA$5:$AL$324,Ajustes!$K209,P$2),0)+IF(Ajustes!$L209&gt;0,INDEX($AA$4:$AL$323,Ajustes!$L209,P$2),0) + P209</f>
        <v>615</v>
      </c>
      <c r="AC209">
        <f>IF(Ajustes!$G209&gt;0,INDEX($AA$4:$AL$323,Ajustes!$G209,Q$2),0)+IF(Ajustes!$H209&gt;0,INDEX($AA$4:$AL$323,Ajustes!$H209,Q$2),0)+IF(Ajustes!$I209&gt;0,INDEX($AA$4:$AL$323,Ajustes!$I209,Q$2),0)+IF(Ajustes!$J209&gt;0,INDEX($AA$4:$AL$323,Ajustes!$J209,Q$2),0)+IF(Ajustes!$K209&gt;0,INDEX($AA$5:$AL$324,Ajustes!$K209,Q$2),0)+IF(Ajustes!$L209&gt;0,INDEX($AA$4:$AL$323,Ajustes!$L209,Q$2),0) + Q209</f>
        <v>578</v>
      </c>
      <c r="AD209">
        <f>IF(Ajustes!$G209&gt;0,INDEX($AA$4:$AL$323,Ajustes!$G209,R$2),0)+IF(Ajustes!$H209&gt;0,INDEX($AA$4:$AL$323,Ajustes!$H209,R$2),0)+IF(Ajustes!$I209&gt;0,INDEX($AA$4:$AL$323,Ajustes!$I209,R$2),0)+IF(Ajustes!$J209&gt;0,INDEX($AA$4:$AL$323,Ajustes!$J209,R$2),0)+IF(Ajustes!$K209&gt;0,INDEX($AA$5:$AL$324,Ajustes!$K209,R$2),0)+IF(Ajustes!$L209&gt;0,INDEX($AA$4:$AL$323,Ajustes!$L209,R$2),0) + R209</f>
        <v>439</v>
      </c>
      <c r="AE209">
        <f>IF(Ajustes!$G209&gt;0,INDEX($AA$4:$AL$323,Ajustes!$G209,S$2),0)+IF(Ajustes!$H209&gt;0,INDEX($AA$4:$AL$323,Ajustes!$H209,S$2),0)+IF(Ajustes!$I209&gt;0,INDEX($AA$4:$AL$323,Ajustes!$I209,S$2),0)+IF(Ajustes!$J209&gt;0,INDEX($AA$4:$AL$323,Ajustes!$J209,S$2),0)+IF(Ajustes!$K209&gt;0,INDEX($AA$5:$AL$324,Ajustes!$K209,S$2),0)+IF(Ajustes!$L209&gt;0,INDEX($AA$4:$AL$323,Ajustes!$L209,S$2),0) + S209</f>
        <v>300</v>
      </c>
      <c r="AF209">
        <f>IF(Ajustes!$G209&gt;0,INDEX($AA$4:$AL$323,Ajustes!$G209,T$2),0)+IF(Ajustes!$H209&gt;0,INDEX($AA$4:$AL$323,Ajustes!$H209,T$2),0)+IF(Ajustes!$I209&gt;0,INDEX($AA$4:$AL$323,Ajustes!$I209,T$2),0)+IF(Ajustes!$J209&gt;0,INDEX($AA$4:$AL$323,Ajustes!$J209,T$2),0)+IF(Ajustes!$K209&gt;0,INDEX($AA$5:$AL$324,Ajustes!$K209,T$2),0)+IF(Ajustes!$L209&gt;0,INDEX($AA$4:$AL$323,Ajustes!$L209,T$2),0) + T209</f>
        <v>235</v>
      </c>
      <c r="AG209">
        <f>IF(Ajustes!$G209&gt;0,INDEX($AA$4:$AL$323,Ajustes!$G209,U$2),0)+IF(Ajustes!$H209&gt;0,INDEX($AA$4:$AL$323,Ajustes!$H209,U$2),0)+IF(Ajustes!$I209&gt;0,INDEX($AA$4:$AL$323,Ajustes!$I209,U$2),0)+IF(Ajustes!$J209&gt;0,INDEX($AA$4:$AL$323,Ajustes!$J209,U$2),0)+IF(Ajustes!$K209&gt;0,INDEX($AA$5:$AL$324,Ajustes!$K209,U$2),0)+IF(Ajustes!$L209&gt;0,INDEX($AA$4:$AL$323,Ajustes!$L209,U$2),0) + U209</f>
        <v>195</v>
      </c>
      <c r="AH209">
        <f>IF(Ajustes!$G209&gt;0,INDEX($AA$4:$AL$323,Ajustes!$G209,V$2),0)+IF(Ajustes!$H209&gt;0,INDEX($AA$4:$AL$323,Ajustes!$H209,V$2),0)+IF(Ajustes!$I209&gt;0,INDEX($AA$4:$AL$323,Ajustes!$I209,V$2),0)+IF(Ajustes!$J209&gt;0,INDEX($AA$4:$AL$323,Ajustes!$J209,V$2),0)+IF(Ajustes!$K209&gt;0,INDEX($AA$5:$AL$324,Ajustes!$K209,V$2),0)+IF(Ajustes!$L209&gt;0,INDEX($AA$4:$AL$323,Ajustes!$L209,V$2),0) + V209</f>
        <v>161</v>
      </c>
      <c r="AI209">
        <f>IF(Ajustes!$G209&gt;0,INDEX($AA$4:$AL$323,Ajustes!$G209,W$2),0)+IF(Ajustes!$H209&gt;0,INDEX($AA$4:$AL$323,Ajustes!$H209,W$2),0)+IF(Ajustes!$I209&gt;0,INDEX($AA$4:$AL$323,Ajustes!$I209,W$2),0)+IF(Ajustes!$J209&gt;0,INDEX($AA$4:$AL$323,Ajustes!$J209,W$2),0)+IF(Ajustes!$K209&gt;0,INDEX($AA$5:$AL$324,Ajustes!$K209,W$2),0)+IF(Ajustes!$L209&gt;0,INDEX($AA$4:$AL$323,Ajustes!$L209,W$2),0) + W209</f>
        <v>148</v>
      </c>
      <c r="AJ209">
        <f>IF(Ajustes!$G209&gt;0,INDEX($AA$4:$AL$323,Ajustes!$G209,X$2),0)+IF(Ajustes!$H209&gt;0,INDEX($AA$4:$AL$323,Ajustes!$H209,X$2),0)+IF(Ajustes!$I209&gt;0,INDEX($AA$4:$AL$323,Ajustes!$I209,X$2),0)+IF(Ajustes!$J209&gt;0,INDEX($AA$4:$AL$323,Ajustes!$J209,X$2),0)+IF(Ajustes!$K209&gt;0,INDEX($AA$5:$AL$324,Ajustes!$K209,X$2),0)+IF(Ajustes!$L209&gt;0,INDEX($AA$4:$AL$323,Ajustes!$L209,X$2),0) + X209</f>
        <v>180</v>
      </c>
      <c r="AK209">
        <f>IF(Ajustes!$G209&gt;0,INDEX($AA$4:$AL$323,Ajustes!$G209,Y$2),0)+IF(Ajustes!$H209&gt;0,INDEX($AA$4:$AL$323,Ajustes!$H209,Y$2),0)+IF(Ajustes!$I209&gt;0,INDEX($AA$4:$AL$323,Ajustes!$I209,Y$2),0)+IF(Ajustes!$J209&gt;0,INDEX($AA$4:$AL$323,Ajustes!$J209,Y$2),0)+IF(Ajustes!$K209&gt;0,INDEX($AA$5:$AL$324,Ajustes!$K209,Y$2),0)+IF(Ajustes!$L209&gt;0,INDEX($AA$4:$AL$323,Ajustes!$L209,Y$2),0) + Y209</f>
        <v>263</v>
      </c>
      <c r="AL209">
        <f>IF(Ajustes!$G209&gt;0,INDEX($AA$4:$AL$323,Ajustes!$G209,Z$2),0)+IF(Ajustes!$H209&gt;0,INDEX($AA$4:$AL$323,Ajustes!$H209,Z$2),0)+IF(Ajustes!$I209&gt;0,INDEX($AA$4:$AL$323,Ajustes!$I209,Z$2),0)+IF(Ajustes!$J209&gt;0,INDEX($AA$4:$AL$323,Ajustes!$J209,Z$2),0)+IF(Ajustes!$K209&gt;0,INDEX($AA$5:$AL$324,Ajustes!$K209,Z$2),0)+IF(Ajustes!$L209&gt;0,INDEX($AA$4:$AL$323,Ajustes!$L209,Z$2),0) + Z209</f>
        <v>434</v>
      </c>
      <c r="AM209" s="113">
        <f t="shared" si="47"/>
        <v>610</v>
      </c>
      <c r="AN209" s="113">
        <f t="shared" si="47"/>
        <v>615</v>
      </c>
      <c r="AO209" s="113">
        <f t="shared" si="47"/>
        <v>578</v>
      </c>
      <c r="AP209" s="113">
        <f t="shared" si="47"/>
        <v>439</v>
      </c>
      <c r="AQ209" s="113">
        <f t="shared" si="49"/>
        <v>300</v>
      </c>
      <c r="AR209" s="113">
        <f t="shared" si="48"/>
        <v>235</v>
      </c>
      <c r="AS209" s="113">
        <f t="shared" si="48"/>
        <v>195</v>
      </c>
      <c r="AT209" s="113">
        <f t="shared" si="48"/>
        <v>161</v>
      </c>
      <c r="AU209" s="113">
        <f t="shared" si="48"/>
        <v>148</v>
      </c>
      <c r="AV209" s="113">
        <f t="shared" si="43"/>
        <v>180</v>
      </c>
      <c r="AW209" s="113">
        <f t="shared" si="43"/>
        <v>263</v>
      </c>
      <c r="AX209" s="113">
        <f t="shared" si="43"/>
        <v>434</v>
      </c>
    </row>
    <row r="210" spans="1:50" x14ac:dyDescent="0.25">
      <c r="A210" s="113">
        <v>207</v>
      </c>
      <c r="B210" s="209" t="s">
        <v>256</v>
      </c>
      <c r="C210">
        <f>IFERROR(INDEX($BD$7:$BO$35,MATCH(Ajustes!$E$4:$E$323,$BC$7:$BC$35,0),$C$2:$N$2),1)</f>
        <v>1</v>
      </c>
      <c r="D210" s="113">
        <f>IFERROR(INDEX($BD$7:$BO$35,MATCH(Ajustes!$E$4:$E$323,$BC$7:$BC$35,0),$C$2:$N$2),1)</f>
        <v>1</v>
      </c>
      <c r="E210" s="113">
        <f>IFERROR(INDEX($BD$7:$BO$35,MATCH(Ajustes!$E$4:$E$323,$BC$7:$BC$35,0),$C$2:$N$2),1)</f>
        <v>1</v>
      </c>
      <c r="F210" s="113">
        <f>IFERROR(INDEX($BD$7:$BO$35,MATCH(Ajustes!$E$4:$E$323,$BC$7:$BC$35,0),$C$2:$N$2),1)</f>
        <v>1</v>
      </c>
      <c r="G210" s="113">
        <f>IFERROR(INDEX($BD$7:$BO$35,MATCH(Ajustes!$E$4:$E$323,$BC$7:$BC$35,0),$C$2:$N$2),1)</f>
        <v>1</v>
      </c>
      <c r="H210" s="113">
        <f>IFERROR(INDEX($BD$7:$BO$35,MATCH(Ajustes!$E$4:$E$323,$BC$7:$BC$35,0),$C$2:$N$2),1)</f>
        <v>1</v>
      </c>
      <c r="I210" s="113">
        <f>IFERROR(INDEX($BD$7:$BO$35,MATCH(Ajustes!$E$4:$E$323,$BC$7:$BC$35,0),$C$2:$N$2),1)</f>
        <v>1</v>
      </c>
      <c r="J210" s="113">
        <f>IFERROR(INDEX($BD$7:$BO$35,MATCH(Ajustes!$E$4:$E$323,$BC$7:$BC$35,0),$C$2:$N$2),1)</f>
        <v>1</v>
      </c>
      <c r="K210" s="113">
        <f>IFERROR(INDEX($BD$7:$BO$35,MATCH(Ajustes!$E$4:$E$323,$BC$7:$BC$35,0),$C$2:$N$2),1)</f>
        <v>1</v>
      </c>
      <c r="L210" s="113">
        <f>IFERROR(INDEX($BD$7:$BO$35,MATCH(Ajustes!$E$4:$E$323,$BC$7:$BC$35,0),$C$2:$N$2),1)</f>
        <v>1</v>
      </c>
      <c r="M210" s="113">
        <f>IFERROR(INDEX($BD$7:$BO$35,MATCH(Ajustes!$E$4:$E$323,$BC$7:$BC$35,0),$C$2:$N$2),1)</f>
        <v>1</v>
      </c>
      <c r="N210" s="113">
        <f>IFERROR(INDEX($BD$7:$BO$35,MATCH(Ajustes!$E$4:$E$323,$BC$7:$BC$35,0),$C$2:$N$2),1)</f>
        <v>1</v>
      </c>
      <c r="O210">
        <f>C210*Ajustes!AM210</f>
        <v>10</v>
      </c>
      <c r="P210">
        <f>D210*Ajustes!AN210</f>
        <v>11</v>
      </c>
      <c r="Q210">
        <f>E210*Ajustes!AO210</f>
        <v>11</v>
      </c>
      <c r="R210">
        <f>F210*Ajustes!AP210</f>
        <v>9</v>
      </c>
      <c r="S210">
        <f>G210*Ajustes!AQ210</f>
        <v>7</v>
      </c>
      <c r="T210">
        <f>H210*Ajustes!AR210</f>
        <v>5</v>
      </c>
      <c r="U210">
        <f>I210*Ajustes!AS210</f>
        <v>4</v>
      </c>
      <c r="V210">
        <f>J210*Ajustes!AT210</f>
        <v>3</v>
      </c>
      <c r="W210">
        <f>K210*Ajustes!AU210</f>
        <v>3</v>
      </c>
      <c r="X210">
        <f>L210*Ajustes!AV210</f>
        <v>3</v>
      </c>
      <c r="Y210">
        <f>M210*Ajustes!AW210</f>
        <v>5</v>
      </c>
      <c r="Z210">
        <f>N210*Ajustes!AX210</f>
        <v>7</v>
      </c>
      <c r="AA210">
        <f>IF(Ajustes!$G210&gt;0,INDEX($AA$4:$AL$323,Ajustes!$G210,O$2),0)+IF(Ajustes!$H210&gt;0,INDEX($AA$4:$AL$323,Ajustes!$H210,O$2),0)+IF(Ajustes!$I210&gt;0,INDEX($AA$4:$AL$323,Ajustes!$I210,O$2),0)+IF(Ajustes!$J210&gt;0,INDEX($AA$4:$AL$323,Ajustes!$J210,O$2),0)+IF(Ajustes!$K210&gt;0,INDEX($AA$5:$AL$324,Ajustes!$K210,O$2),0)+IF(Ajustes!$L210&gt;0,INDEX($AA$4:$AL$323,Ajustes!$L210,O$2),0) + O210</f>
        <v>620</v>
      </c>
      <c r="AB210">
        <f>IF(Ajustes!$G210&gt;0,INDEX($AA$4:$AL$323,Ajustes!$G210,P$2),0)+IF(Ajustes!$H210&gt;0,INDEX($AA$4:$AL$323,Ajustes!$H210,P$2),0)+IF(Ajustes!$I210&gt;0,INDEX($AA$4:$AL$323,Ajustes!$I210,P$2),0)+IF(Ajustes!$J210&gt;0,INDEX($AA$4:$AL$323,Ajustes!$J210,P$2),0)+IF(Ajustes!$K210&gt;0,INDEX($AA$5:$AL$324,Ajustes!$K210,P$2),0)+IF(Ajustes!$L210&gt;0,INDEX($AA$4:$AL$323,Ajustes!$L210,P$2),0) + P210</f>
        <v>626</v>
      </c>
      <c r="AC210">
        <f>IF(Ajustes!$G210&gt;0,INDEX($AA$4:$AL$323,Ajustes!$G210,Q$2),0)+IF(Ajustes!$H210&gt;0,INDEX($AA$4:$AL$323,Ajustes!$H210,Q$2),0)+IF(Ajustes!$I210&gt;0,INDEX($AA$4:$AL$323,Ajustes!$I210,Q$2),0)+IF(Ajustes!$J210&gt;0,INDEX($AA$4:$AL$323,Ajustes!$J210,Q$2),0)+IF(Ajustes!$K210&gt;0,INDEX($AA$5:$AL$324,Ajustes!$K210,Q$2),0)+IF(Ajustes!$L210&gt;0,INDEX($AA$4:$AL$323,Ajustes!$L210,Q$2),0) + Q210</f>
        <v>589</v>
      </c>
      <c r="AD210">
        <f>IF(Ajustes!$G210&gt;0,INDEX($AA$4:$AL$323,Ajustes!$G210,R$2),0)+IF(Ajustes!$H210&gt;0,INDEX($AA$4:$AL$323,Ajustes!$H210,R$2),0)+IF(Ajustes!$I210&gt;0,INDEX($AA$4:$AL$323,Ajustes!$I210,R$2),0)+IF(Ajustes!$J210&gt;0,INDEX($AA$4:$AL$323,Ajustes!$J210,R$2),0)+IF(Ajustes!$K210&gt;0,INDEX($AA$5:$AL$324,Ajustes!$K210,R$2),0)+IF(Ajustes!$L210&gt;0,INDEX($AA$4:$AL$323,Ajustes!$L210,R$2),0) + R210</f>
        <v>448</v>
      </c>
      <c r="AE210">
        <f>IF(Ajustes!$G210&gt;0,INDEX($AA$4:$AL$323,Ajustes!$G210,S$2),0)+IF(Ajustes!$H210&gt;0,INDEX($AA$4:$AL$323,Ajustes!$H210,S$2),0)+IF(Ajustes!$I210&gt;0,INDEX($AA$4:$AL$323,Ajustes!$I210,S$2),0)+IF(Ajustes!$J210&gt;0,INDEX($AA$4:$AL$323,Ajustes!$J210,S$2),0)+IF(Ajustes!$K210&gt;0,INDEX($AA$5:$AL$324,Ajustes!$K210,S$2),0)+IF(Ajustes!$L210&gt;0,INDEX($AA$4:$AL$323,Ajustes!$L210,S$2),0) + S210</f>
        <v>307</v>
      </c>
      <c r="AF210">
        <f>IF(Ajustes!$G210&gt;0,INDEX($AA$4:$AL$323,Ajustes!$G210,T$2),0)+IF(Ajustes!$H210&gt;0,INDEX($AA$4:$AL$323,Ajustes!$H210,T$2),0)+IF(Ajustes!$I210&gt;0,INDEX($AA$4:$AL$323,Ajustes!$I210,T$2),0)+IF(Ajustes!$J210&gt;0,INDEX($AA$4:$AL$323,Ajustes!$J210,T$2),0)+IF(Ajustes!$K210&gt;0,INDEX($AA$5:$AL$324,Ajustes!$K210,T$2),0)+IF(Ajustes!$L210&gt;0,INDEX($AA$4:$AL$323,Ajustes!$L210,T$2),0) + T210</f>
        <v>240</v>
      </c>
      <c r="AG210">
        <f>IF(Ajustes!$G210&gt;0,INDEX($AA$4:$AL$323,Ajustes!$G210,U$2),0)+IF(Ajustes!$H210&gt;0,INDEX($AA$4:$AL$323,Ajustes!$H210,U$2),0)+IF(Ajustes!$I210&gt;0,INDEX($AA$4:$AL$323,Ajustes!$I210,U$2),0)+IF(Ajustes!$J210&gt;0,INDEX($AA$4:$AL$323,Ajustes!$J210,U$2),0)+IF(Ajustes!$K210&gt;0,INDEX($AA$5:$AL$324,Ajustes!$K210,U$2),0)+IF(Ajustes!$L210&gt;0,INDEX($AA$4:$AL$323,Ajustes!$L210,U$2),0) + U210</f>
        <v>199</v>
      </c>
      <c r="AH210">
        <f>IF(Ajustes!$G210&gt;0,INDEX($AA$4:$AL$323,Ajustes!$G210,V$2),0)+IF(Ajustes!$H210&gt;0,INDEX($AA$4:$AL$323,Ajustes!$H210,V$2),0)+IF(Ajustes!$I210&gt;0,INDEX($AA$4:$AL$323,Ajustes!$I210,V$2),0)+IF(Ajustes!$J210&gt;0,INDEX($AA$4:$AL$323,Ajustes!$J210,V$2),0)+IF(Ajustes!$K210&gt;0,INDEX($AA$5:$AL$324,Ajustes!$K210,V$2),0)+IF(Ajustes!$L210&gt;0,INDEX($AA$4:$AL$323,Ajustes!$L210,V$2),0) + V210</f>
        <v>164</v>
      </c>
      <c r="AI210">
        <f>IF(Ajustes!$G210&gt;0,INDEX($AA$4:$AL$323,Ajustes!$G210,W$2),0)+IF(Ajustes!$H210&gt;0,INDEX($AA$4:$AL$323,Ajustes!$H210,W$2),0)+IF(Ajustes!$I210&gt;0,INDEX($AA$4:$AL$323,Ajustes!$I210,W$2),0)+IF(Ajustes!$J210&gt;0,INDEX($AA$4:$AL$323,Ajustes!$J210,W$2),0)+IF(Ajustes!$K210&gt;0,INDEX($AA$5:$AL$324,Ajustes!$K210,W$2),0)+IF(Ajustes!$L210&gt;0,INDEX($AA$4:$AL$323,Ajustes!$L210,W$2),0) + W210</f>
        <v>151</v>
      </c>
      <c r="AJ210">
        <f>IF(Ajustes!$G210&gt;0,INDEX($AA$4:$AL$323,Ajustes!$G210,X$2),0)+IF(Ajustes!$H210&gt;0,INDEX($AA$4:$AL$323,Ajustes!$H210,X$2),0)+IF(Ajustes!$I210&gt;0,INDEX($AA$4:$AL$323,Ajustes!$I210,X$2),0)+IF(Ajustes!$J210&gt;0,INDEX($AA$4:$AL$323,Ajustes!$J210,X$2),0)+IF(Ajustes!$K210&gt;0,INDEX($AA$5:$AL$324,Ajustes!$K210,X$2),0)+IF(Ajustes!$L210&gt;0,INDEX($AA$4:$AL$323,Ajustes!$L210,X$2),0) + X210</f>
        <v>183</v>
      </c>
      <c r="AK210">
        <f>IF(Ajustes!$G210&gt;0,INDEX($AA$4:$AL$323,Ajustes!$G210,Y$2),0)+IF(Ajustes!$H210&gt;0,INDEX($AA$4:$AL$323,Ajustes!$H210,Y$2),0)+IF(Ajustes!$I210&gt;0,INDEX($AA$4:$AL$323,Ajustes!$I210,Y$2),0)+IF(Ajustes!$J210&gt;0,INDEX($AA$4:$AL$323,Ajustes!$J210,Y$2),0)+IF(Ajustes!$K210&gt;0,INDEX($AA$5:$AL$324,Ajustes!$K210,Y$2),0)+IF(Ajustes!$L210&gt;0,INDEX($AA$4:$AL$323,Ajustes!$L210,Y$2),0) + Y210</f>
        <v>268</v>
      </c>
      <c r="AL210">
        <f>IF(Ajustes!$G210&gt;0,INDEX($AA$4:$AL$323,Ajustes!$G210,Z$2),0)+IF(Ajustes!$H210&gt;0,INDEX($AA$4:$AL$323,Ajustes!$H210,Z$2),0)+IF(Ajustes!$I210&gt;0,INDEX($AA$4:$AL$323,Ajustes!$I210,Z$2),0)+IF(Ajustes!$J210&gt;0,INDEX($AA$4:$AL$323,Ajustes!$J210,Z$2),0)+IF(Ajustes!$K210&gt;0,INDEX($AA$5:$AL$324,Ajustes!$K210,Z$2),0)+IF(Ajustes!$L210&gt;0,INDEX($AA$4:$AL$323,Ajustes!$L210,Z$2),0) + Z210</f>
        <v>441</v>
      </c>
      <c r="AM210" s="113">
        <f t="shared" si="47"/>
        <v>620</v>
      </c>
      <c r="AN210" s="113">
        <f t="shared" si="47"/>
        <v>626</v>
      </c>
      <c r="AO210" s="113">
        <f t="shared" si="47"/>
        <v>589</v>
      </c>
      <c r="AP210" s="113">
        <f t="shared" si="47"/>
        <v>448</v>
      </c>
      <c r="AQ210" s="113">
        <f t="shared" si="49"/>
        <v>307</v>
      </c>
      <c r="AR210" s="113">
        <f t="shared" si="48"/>
        <v>240</v>
      </c>
      <c r="AS210" s="113">
        <f t="shared" si="48"/>
        <v>199</v>
      </c>
      <c r="AT210" s="113">
        <f t="shared" si="48"/>
        <v>164</v>
      </c>
      <c r="AU210" s="113">
        <f t="shared" si="48"/>
        <v>151</v>
      </c>
      <c r="AV210" s="113">
        <f t="shared" si="43"/>
        <v>183</v>
      </c>
      <c r="AW210" s="113">
        <f t="shared" si="43"/>
        <v>268</v>
      </c>
      <c r="AX210" s="113">
        <f t="shared" si="43"/>
        <v>441</v>
      </c>
    </row>
    <row r="211" spans="1:50" x14ac:dyDescent="0.25">
      <c r="A211" s="113">
        <v>208</v>
      </c>
      <c r="B211" s="209"/>
      <c r="C211">
        <f>IFERROR(INDEX($BD$7:$BO$35,MATCH(Ajustes!$E$4:$E$323,$BC$7:$BC$35,0),$C$2:$N$2),1)</f>
        <v>1</v>
      </c>
      <c r="D211" s="113">
        <f>IFERROR(INDEX($BD$7:$BO$35,MATCH(Ajustes!$E$4:$E$323,$BC$7:$BC$35,0),$C$2:$N$2),1)</f>
        <v>1</v>
      </c>
      <c r="E211" s="113">
        <f>IFERROR(INDEX($BD$7:$BO$35,MATCH(Ajustes!$E$4:$E$323,$BC$7:$BC$35,0),$C$2:$N$2),1)</f>
        <v>1</v>
      </c>
      <c r="F211" s="113">
        <f>IFERROR(INDEX($BD$7:$BO$35,MATCH(Ajustes!$E$4:$E$323,$BC$7:$BC$35,0),$C$2:$N$2),1)</f>
        <v>1</v>
      </c>
      <c r="G211" s="113">
        <f>IFERROR(INDEX($BD$7:$BO$35,MATCH(Ajustes!$E$4:$E$323,$BC$7:$BC$35,0),$C$2:$N$2),1)</f>
        <v>1</v>
      </c>
      <c r="H211" s="113">
        <f>IFERROR(INDEX($BD$7:$BO$35,MATCH(Ajustes!$E$4:$E$323,$BC$7:$BC$35,0),$C$2:$N$2),1)</f>
        <v>1</v>
      </c>
      <c r="I211" s="113">
        <f>IFERROR(INDEX($BD$7:$BO$35,MATCH(Ajustes!$E$4:$E$323,$BC$7:$BC$35,0),$C$2:$N$2),1)</f>
        <v>1</v>
      </c>
      <c r="J211" s="113">
        <f>IFERROR(INDEX($BD$7:$BO$35,MATCH(Ajustes!$E$4:$E$323,$BC$7:$BC$35,0),$C$2:$N$2),1)</f>
        <v>1</v>
      </c>
      <c r="K211" s="113">
        <f>IFERROR(INDEX($BD$7:$BO$35,MATCH(Ajustes!$E$4:$E$323,$BC$7:$BC$35,0),$C$2:$N$2),1)</f>
        <v>1</v>
      </c>
      <c r="L211" s="113">
        <f>IFERROR(INDEX($BD$7:$BO$35,MATCH(Ajustes!$E$4:$E$323,$BC$7:$BC$35,0),$C$2:$N$2),1)</f>
        <v>1</v>
      </c>
      <c r="M211" s="113">
        <f>IFERROR(INDEX($BD$7:$BO$35,MATCH(Ajustes!$E$4:$E$323,$BC$7:$BC$35,0),$C$2:$N$2),1)</f>
        <v>1</v>
      </c>
      <c r="N211" s="113">
        <f>IFERROR(INDEX($BD$7:$BO$35,MATCH(Ajustes!$E$4:$E$323,$BC$7:$BC$35,0),$C$2:$N$2),1)</f>
        <v>1</v>
      </c>
      <c r="O211">
        <f>C211*Ajustes!AM211</f>
        <v>0</v>
      </c>
      <c r="P211">
        <f>D211*Ajustes!AN211</f>
        <v>0</v>
      </c>
      <c r="Q211">
        <f>E211*Ajustes!AO211</f>
        <v>0</v>
      </c>
      <c r="R211">
        <f>F211*Ajustes!AP211</f>
        <v>0</v>
      </c>
      <c r="S211">
        <f>G211*Ajustes!AQ211</f>
        <v>0</v>
      </c>
      <c r="T211">
        <f>H211*Ajustes!AR211</f>
        <v>0</v>
      </c>
      <c r="U211">
        <f>I211*Ajustes!AS211</f>
        <v>0</v>
      </c>
      <c r="V211">
        <f>J211*Ajustes!AT211</f>
        <v>0</v>
      </c>
      <c r="W211">
        <f>K211*Ajustes!AU211</f>
        <v>0</v>
      </c>
      <c r="X211">
        <f>L211*Ajustes!AV211</f>
        <v>0</v>
      </c>
      <c r="Y211">
        <f>M211*Ajustes!AW211</f>
        <v>0</v>
      </c>
      <c r="Z211">
        <f>N211*Ajustes!AX211</f>
        <v>0</v>
      </c>
      <c r="AA211">
        <f>IF(Ajustes!$G211&gt;0,INDEX($AA$4:$AL$323,Ajustes!$G211,O$2),0)+IF(Ajustes!$H211&gt;0,INDEX($AA$4:$AL$323,Ajustes!$H211,O$2),0)+IF(Ajustes!$I211&gt;0,INDEX($AA$4:$AL$323,Ajustes!$I211,O$2),0)+IF(Ajustes!$J211&gt;0,INDEX($AA$4:$AL$323,Ajustes!$J211,O$2),0)+IF(Ajustes!$K211&gt;0,INDEX($AA$5:$AL$324,Ajustes!$K211,O$2),0)+IF(Ajustes!$L211&gt;0,INDEX($AA$4:$AL$323,Ajustes!$L211,O$2),0) + O211</f>
        <v>0</v>
      </c>
      <c r="AB211">
        <f>IF(Ajustes!$G211&gt;0,INDEX($AA$4:$AL$323,Ajustes!$G211,P$2),0)+IF(Ajustes!$H211&gt;0,INDEX($AA$4:$AL$323,Ajustes!$H211,P$2),0)+IF(Ajustes!$I211&gt;0,INDEX($AA$4:$AL$323,Ajustes!$I211,P$2),0)+IF(Ajustes!$J211&gt;0,INDEX($AA$4:$AL$323,Ajustes!$J211,P$2),0)+IF(Ajustes!$K211&gt;0,INDEX($AA$5:$AL$324,Ajustes!$K211,P$2),0)+IF(Ajustes!$L211&gt;0,INDEX($AA$4:$AL$323,Ajustes!$L211,P$2),0) + P211</f>
        <v>0</v>
      </c>
      <c r="AC211">
        <f>IF(Ajustes!$G211&gt;0,INDEX($AA$4:$AL$323,Ajustes!$G211,Q$2),0)+IF(Ajustes!$H211&gt;0,INDEX($AA$4:$AL$323,Ajustes!$H211,Q$2),0)+IF(Ajustes!$I211&gt;0,INDEX($AA$4:$AL$323,Ajustes!$I211,Q$2),0)+IF(Ajustes!$J211&gt;0,INDEX($AA$4:$AL$323,Ajustes!$J211,Q$2),0)+IF(Ajustes!$K211&gt;0,INDEX($AA$5:$AL$324,Ajustes!$K211,Q$2),0)+IF(Ajustes!$L211&gt;0,INDEX($AA$4:$AL$323,Ajustes!$L211,Q$2),0) + Q211</f>
        <v>0</v>
      </c>
      <c r="AD211">
        <f>IF(Ajustes!$G211&gt;0,INDEX($AA$4:$AL$323,Ajustes!$G211,R$2),0)+IF(Ajustes!$H211&gt;0,INDEX($AA$4:$AL$323,Ajustes!$H211,R$2),0)+IF(Ajustes!$I211&gt;0,INDEX($AA$4:$AL$323,Ajustes!$I211,R$2),0)+IF(Ajustes!$J211&gt;0,INDEX($AA$4:$AL$323,Ajustes!$J211,R$2),0)+IF(Ajustes!$K211&gt;0,INDEX($AA$5:$AL$324,Ajustes!$K211,R$2),0)+IF(Ajustes!$L211&gt;0,INDEX($AA$4:$AL$323,Ajustes!$L211,R$2),0) + R211</f>
        <v>0</v>
      </c>
      <c r="AE211">
        <f>IF(Ajustes!$G211&gt;0,INDEX($AA$4:$AL$323,Ajustes!$G211,S$2),0)+IF(Ajustes!$H211&gt;0,INDEX($AA$4:$AL$323,Ajustes!$H211,S$2),0)+IF(Ajustes!$I211&gt;0,INDEX($AA$4:$AL$323,Ajustes!$I211,S$2),0)+IF(Ajustes!$J211&gt;0,INDEX($AA$4:$AL$323,Ajustes!$J211,S$2),0)+IF(Ajustes!$K211&gt;0,INDEX($AA$5:$AL$324,Ajustes!$K211,S$2),0)+IF(Ajustes!$L211&gt;0,INDEX($AA$4:$AL$323,Ajustes!$L211,S$2),0) + S211</f>
        <v>0</v>
      </c>
      <c r="AF211">
        <f>IF(Ajustes!$G211&gt;0,INDEX($AA$4:$AL$323,Ajustes!$G211,T$2),0)+IF(Ajustes!$H211&gt;0,INDEX($AA$4:$AL$323,Ajustes!$H211,T$2),0)+IF(Ajustes!$I211&gt;0,INDEX($AA$4:$AL$323,Ajustes!$I211,T$2),0)+IF(Ajustes!$J211&gt;0,INDEX($AA$4:$AL$323,Ajustes!$J211,T$2),0)+IF(Ajustes!$K211&gt;0,INDEX($AA$5:$AL$324,Ajustes!$K211,T$2),0)+IF(Ajustes!$L211&gt;0,INDEX($AA$4:$AL$323,Ajustes!$L211,T$2),0) + T211</f>
        <v>0</v>
      </c>
      <c r="AG211">
        <f>IF(Ajustes!$G211&gt;0,INDEX($AA$4:$AL$323,Ajustes!$G211,U$2),0)+IF(Ajustes!$H211&gt;0,INDEX($AA$4:$AL$323,Ajustes!$H211,U$2),0)+IF(Ajustes!$I211&gt;0,INDEX($AA$4:$AL$323,Ajustes!$I211,U$2),0)+IF(Ajustes!$J211&gt;0,INDEX($AA$4:$AL$323,Ajustes!$J211,U$2),0)+IF(Ajustes!$K211&gt;0,INDEX($AA$5:$AL$324,Ajustes!$K211,U$2),0)+IF(Ajustes!$L211&gt;0,INDEX($AA$4:$AL$323,Ajustes!$L211,U$2),0) + U211</f>
        <v>0</v>
      </c>
      <c r="AH211">
        <f>IF(Ajustes!$G211&gt;0,INDEX($AA$4:$AL$323,Ajustes!$G211,V$2),0)+IF(Ajustes!$H211&gt;0,INDEX($AA$4:$AL$323,Ajustes!$H211,V$2),0)+IF(Ajustes!$I211&gt;0,INDEX($AA$4:$AL$323,Ajustes!$I211,V$2),0)+IF(Ajustes!$J211&gt;0,INDEX($AA$4:$AL$323,Ajustes!$J211,V$2),0)+IF(Ajustes!$K211&gt;0,INDEX($AA$5:$AL$324,Ajustes!$K211,V$2),0)+IF(Ajustes!$L211&gt;0,INDEX($AA$4:$AL$323,Ajustes!$L211,V$2),0) + V211</f>
        <v>0</v>
      </c>
      <c r="AI211">
        <f>IF(Ajustes!$G211&gt;0,INDEX($AA$4:$AL$323,Ajustes!$G211,W$2),0)+IF(Ajustes!$H211&gt;0,INDEX($AA$4:$AL$323,Ajustes!$H211,W$2),0)+IF(Ajustes!$I211&gt;0,INDEX($AA$4:$AL$323,Ajustes!$I211,W$2),0)+IF(Ajustes!$J211&gt;0,INDEX($AA$4:$AL$323,Ajustes!$J211,W$2),0)+IF(Ajustes!$K211&gt;0,INDEX($AA$5:$AL$324,Ajustes!$K211,W$2),0)+IF(Ajustes!$L211&gt;0,INDEX($AA$4:$AL$323,Ajustes!$L211,W$2),0) + W211</f>
        <v>0</v>
      </c>
      <c r="AJ211">
        <f>IF(Ajustes!$G211&gt;0,INDEX($AA$4:$AL$323,Ajustes!$G211,X$2),0)+IF(Ajustes!$H211&gt;0,INDEX($AA$4:$AL$323,Ajustes!$H211,X$2),0)+IF(Ajustes!$I211&gt;0,INDEX($AA$4:$AL$323,Ajustes!$I211,X$2),0)+IF(Ajustes!$J211&gt;0,INDEX($AA$4:$AL$323,Ajustes!$J211,X$2),0)+IF(Ajustes!$K211&gt;0,INDEX($AA$5:$AL$324,Ajustes!$K211,X$2),0)+IF(Ajustes!$L211&gt;0,INDEX($AA$4:$AL$323,Ajustes!$L211,X$2),0) + X211</f>
        <v>0</v>
      </c>
      <c r="AK211">
        <f>IF(Ajustes!$G211&gt;0,INDEX($AA$4:$AL$323,Ajustes!$G211,Y$2),0)+IF(Ajustes!$H211&gt;0,INDEX($AA$4:$AL$323,Ajustes!$H211,Y$2),0)+IF(Ajustes!$I211&gt;0,INDEX($AA$4:$AL$323,Ajustes!$I211,Y$2),0)+IF(Ajustes!$J211&gt;0,INDEX($AA$4:$AL$323,Ajustes!$J211,Y$2),0)+IF(Ajustes!$K211&gt;0,INDEX($AA$5:$AL$324,Ajustes!$K211,Y$2),0)+IF(Ajustes!$L211&gt;0,INDEX($AA$4:$AL$323,Ajustes!$L211,Y$2),0) + Y211</f>
        <v>0</v>
      </c>
      <c r="AL211">
        <f>IF(Ajustes!$G211&gt;0,INDEX($AA$4:$AL$323,Ajustes!$G211,Z$2),0)+IF(Ajustes!$H211&gt;0,INDEX($AA$4:$AL$323,Ajustes!$H211,Z$2),0)+IF(Ajustes!$I211&gt;0,INDEX($AA$4:$AL$323,Ajustes!$I211,Z$2),0)+IF(Ajustes!$J211&gt;0,INDEX($AA$4:$AL$323,Ajustes!$J211,Z$2),0)+IF(Ajustes!$K211&gt;0,INDEX($AA$5:$AL$324,Ajustes!$K211,Z$2),0)+IF(Ajustes!$L211&gt;0,INDEX($AA$4:$AL$323,Ajustes!$L211,Z$2),0) + Z211</f>
        <v>0</v>
      </c>
      <c r="AM211" s="113">
        <f t="shared" si="47"/>
        <v>0</v>
      </c>
      <c r="AN211" s="113">
        <f t="shared" si="47"/>
        <v>0</v>
      </c>
      <c r="AO211" s="113">
        <f t="shared" si="47"/>
        <v>0</v>
      </c>
      <c r="AP211" s="113">
        <f t="shared" si="47"/>
        <v>0</v>
      </c>
      <c r="AQ211" s="113">
        <f t="shared" si="49"/>
        <v>0</v>
      </c>
      <c r="AR211" s="113">
        <f t="shared" si="48"/>
        <v>0</v>
      </c>
      <c r="AS211" s="113">
        <f t="shared" si="48"/>
        <v>0</v>
      </c>
      <c r="AT211" s="113">
        <f t="shared" si="48"/>
        <v>0</v>
      </c>
      <c r="AU211" s="113">
        <f t="shared" si="48"/>
        <v>0</v>
      </c>
      <c r="AV211" s="113">
        <f t="shared" si="48"/>
        <v>0</v>
      </c>
      <c r="AW211" s="113">
        <f t="shared" ref="AW211:AX274" si="50">AK211</f>
        <v>0</v>
      </c>
      <c r="AX211" s="113">
        <f t="shared" si="50"/>
        <v>0</v>
      </c>
    </row>
    <row r="212" spans="1:50" x14ac:dyDescent="0.25">
      <c r="A212" s="113">
        <v>209</v>
      </c>
      <c r="B212" s="209" t="s">
        <v>636</v>
      </c>
      <c r="C212">
        <f>IFERROR(INDEX($BD$7:$BO$35,MATCH(Ajustes!$E$4:$E$323,$BC$7:$BC$35,0),$C$2:$N$2),1)</f>
        <v>1</v>
      </c>
      <c r="D212" s="113">
        <f>IFERROR(INDEX($BD$7:$BO$35,MATCH(Ajustes!$E$4:$E$323,$BC$7:$BC$35,0),$C$2:$N$2),1)</f>
        <v>1</v>
      </c>
      <c r="E212" s="113">
        <f>IFERROR(INDEX($BD$7:$BO$35,MATCH(Ajustes!$E$4:$E$323,$BC$7:$BC$35,0),$C$2:$N$2),1)</f>
        <v>1</v>
      </c>
      <c r="F212" s="113">
        <f>IFERROR(INDEX($BD$7:$BO$35,MATCH(Ajustes!$E$4:$E$323,$BC$7:$BC$35,0),$C$2:$N$2),1)</f>
        <v>1</v>
      </c>
      <c r="G212" s="113">
        <f>IFERROR(INDEX($BD$7:$BO$35,MATCH(Ajustes!$E$4:$E$323,$BC$7:$BC$35,0),$C$2:$N$2),1)</f>
        <v>1</v>
      </c>
      <c r="H212" s="113">
        <f>IFERROR(INDEX($BD$7:$BO$35,MATCH(Ajustes!$E$4:$E$323,$BC$7:$BC$35,0),$C$2:$N$2),1)</f>
        <v>1</v>
      </c>
      <c r="I212" s="113">
        <f>IFERROR(INDEX($BD$7:$BO$35,MATCH(Ajustes!$E$4:$E$323,$BC$7:$BC$35,0),$C$2:$N$2),1)</f>
        <v>1</v>
      </c>
      <c r="J212" s="113">
        <f>IFERROR(INDEX($BD$7:$BO$35,MATCH(Ajustes!$E$4:$E$323,$BC$7:$BC$35,0),$C$2:$N$2),1)</f>
        <v>1</v>
      </c>
      <c r="K212" s="113">
        <f>IFERROR(INDEX($BD$7:$BO$35,MATCH(Ajustes!$E$4:$E$323,$BC$7:$BC$35,0),$C$2:$N$2),1)</f>
        <v>1</v>
      </c>
      <c r="L212" s="113">
        <f>IFERROR(INDEX($BD$7:$BO$35,MATCH(Ajustes!$E$4:$E$323,$BC$7:$BC$35,0),$C$2:$N$2),1)</f>
        <v>1</v>
      </c>
      <c r="M212" s="113">
        <f>IFERROR(INDEX($BD$7:$BO$35,MATCH(Ajustes!$E$4:$E$323,$BC$7:$BC$35,0),$C$2:$N$2),1)</f>
        <v>1</v>
      </c>
      <c r="N212" s="113">
        <f>IFERROR(INDEX($BD$7:$BO$35,MATCH(Ajustes!$E$4:$E$323,$BC$7:$BC$35,0),$C$2:$N$2),1)</f>
        <v>1</v>
      </c>
      <c r="O212">
        <f>C212*Ajustes!AM212</f>
        <v>483</v>
      </c>
      <c r="P212">
        <f>D212*Ajustes!AN212</f>
        <v>534</v>
      </c>
      <c r="Q212">
        <f>E212*Ajustes!AO212</f>
        <v>534</v>
      </c>
      <c r="R212">
        <f>F212*Ajustes!AP212</f>
        <v>409</v>
      </c>
      <c r="S212">
        <f>G212*Ajustes!AQ212</f>
        <v>258</v>
      </c>
      <c r="T212">
        <f>H212*Ajustes!AR212</f>
        <v>193</v>
      </c>
      <c r="U212">
        <f>I212*Ajustes!AS212</f>
        <v>152</v>
      </c>
      <c r="V212">
        <f>J212*Ajustes!AT212</f>
        <v>120</v>
      </c>
      <c r="W212">
        <f>K212*Ajustes!AU212</f>
        <v>104</v>
      </c>
      <c r="X212">
        <f>L212*Ajustes!AV212</f>
        <v>128</v>
      </c>
      <c r="Y212">
        <f>M212*Ajustes!AW212</f>
        <v>214</v>
      </c>
      <c r="Z212">
        <f>N212*Ajustes!AX212</f>
        <v>354</v>
      </c>
      <c r="AA212">
        <f>IF(Ajustes!$G212&gt;0,INDEX($AA$4:$AL$323,Ajustes!$G212,O$2),0)+IF(Ajustes!$H212&gt;0,INDEX($AA$4:$AL$323,Ajustes!$H212,O$2),0)+IF(Ajustes!$I212&gt;0,INDEX($AA$4:$AL$323,Ajustes!$I212,O$2),0)+IF(Ajustes!$J212&gt;0,INDEX($AA$4:$AL$323,Ajustes!$J212,O$2),0)+IF(Ajustes!$K212&gt;0,INDEX($AA$5:$AL$324,Ajustes!$K212,O$2),0)+IF(Ajustes!$L212&gt;0,INDEX($AA$4:$AL$323,Ajustes!$L212,O$2),0) + O212</f>
        <v>756</v>
      </c>
      <c r="AB212">
        <f>IF(Ajustes!$G212&gt;0,INDEX($AA$4:$AL$323,Ajustes!$G212,P$2),0)+IF(Ajustes!$H212&gt;0,INDEX($AA$4:$AL$323,Ajustes!$H212,P$2),0)+IF(Ajustes!$I212&gt;0,INDEX($AA$4:$AL$323,Ajustes!$I212,P$2),0)+IF(Ajustes!$J212&gt;0,INDEX($AA$4:$AL$323,Ajustes!$J212,P$2),0)+IF(Ajustes!$K212&gt;0,INDEX($AA$5:$AL$324,Ajustes!$K212,P$2),0)+IF(Ajustes!$L212&gt;0,INDEX($AA$4:$AL$323,Ajustes!$L212,P$2),0) + P212</f>
        <v>833</v>
      </c>
      <c r="AC212">
        <f>IF(Ajustes!$G212&gt;0,INDEX($AA$4:$AL$323,Ajustes!$G212,Q$2),0)+IF(Ajustes!$H212&gt;0,INDEX($AA$4:$AL$323,Ajustes!$H212,Q$2),0)+IF(Ajustes!$I212&gt;0,INDEX($AA$4:$AL$323,Ajustes!$I212,Q$2),0)+IF(Ajustes!$J212&gt;0,INDEX($AA$4:$AL$323,Ajustes!$J212,Q$2),0)+IF(Ajustes!$K212&gt;0,INDEX($AA$5:$AL$324,Ajustes!$K212,Q$2),0)+IF(Ajustes!$L212&gt;0,INDEX($AA$4:$AL$323,Ajustes!$L212,Q$2),0) + Q212</f>
        <v>833</v>
      </c>
      <c r="AD212">
        <f>IF(Ajustes!$G212&gt;0,INDEX($AA$4:$AL$323,Ajustes!$G212,R$2),0)+IF(Ajustes!$H212&gt;0,INDEX($AA$4:$AL$323,Ajustes!$H212,R$2),0)+IF(Ajustes!$I212&gt;0,INDEX($AA$4:$AL$323,Ajustes!$I212,R$2),0)+IF(Ajustes!$J212&gt;0,INDEX($AA$4:$AL$323,Ajustes!$J212,R$2),0)+IF(Ajustes!$K212&gt;0,INDEX($AA$5:$AL$324,Ajustes!$K212,R$2),0)+IF(Ajustes!$L212&gt;0,INDEX($AA$4:$AL$323,Ajustes!$L212,R$2),0) + R212</f>
        <v>643</v>
      </c>
      <c r="AE212">
        <f>IF(Ajustes!$G212&gt;0,INDEX($AA$4:$AL$323,Ajustes!$G212,S$2),0)+IF(Ajustes!$H212&gt;0,INDEX($AA$4:$AL$323,Ajustes!$H212,S$2),0)+IF(Ajustes!$I212&gt;0,INDEX($AA$4:$AL$323,Ajustes!$I212,S$2),0)+IF(Ajustes!$J212&gt;0,INDEX($AA$4:$AL$323,Ajustes!$J212,S$2),0)+IF(Ajustes!$K212&gt;0,INDEX($AA$5:$AL$324,Ajustes!$K212,S$2),0)+IF(Ajustes!$L212&gt;0,INDEX($AA$4:$AL$323,Ajustes!$L212,S$2),0) + S212</f>
        <v>406</v>
      </c>
      <c r="AF212">
        <f>IF(Ajustes!$G212&gt;0,INDEX($AA$4:$AL$323,Ajustes!$G212,T$2),0)+IF(Ajustes!$H212&gt;0,INDEX($AA$4:$AL$323,Ajustes!$H212,T$2),0)+IF(Ajustes!$I212&gt;0,INDEX($AA$4:$AL$323,Ajustes!$I212,T$2),0)+IF(Ajustes!$J212&gt;0,INDEX($AA$4:$AL$323,Ajustes!$J212,T$2),0)+IF(Ajustes!$K212&gt;0,INDEX($AA$5:$AL$324,Ajustes!$K212,T$2),0)+IF(Ajustes!$L212&gt;0,INDEX($AA$4:$AL$323,Ajustes!$L212,T$2),0) + T212</f>
        <v>302</v>
      </c>
      <c r="AG212">
        <f>IF(Ajustes!$G212&gt;0,INDEX($AA$4:$AL$323,Ajustes!$G212,U$2),0)+IF(Ajustes!$H212&gt;0,INDEX($AA$4:$AL$323,Ajustes!$H212,U$2),0)+IF(Ajustes!$I212&gt;0,INDEX($AA$4:$AL$323,Ajustes!$I212,U$2),0)+IF(Ajustes!$J212&gt;0,INDEX($AA$4:$AL$323,Ajustes!$J212,U$2),0)+IF(Ajustes!$K212&gt;0,INDEX($AA$5:$AL$324,Ajustes!$K212,U$2),0)+IF(Ajustes!$L212&gt;0,INDEX($AA$4:$AL$323,Ajustes!$L212,U$2),0) + U212</f>
        <v>237</v>
      </c>
      <c r="AH212">
        <f>IF(Ajustes!$G212&gt;0,INDEX($AA$4:$AL$323,Ajustes!$G212,V$2),0)+IF(Ajustes!$H212&gt;0,INDEX($AA$4:$AL$323,Ajustes!$H212,V$2),0)+IF(Ajustes!$I212&gt;0,INDEX($AA$4:$AL$323,Ajustes!$I212,V$2),0)+IF(Ajustes!$J212&gt;0,INDEX($AA$4:$AL$323,Ajustes!$J212,V$2),0)+IF(Ajustes!$K212&gt;0,INDEX($AA$5:$AL$324,Ajustes!$K212,V$2),0)+IF(Ajustes!$L212&gt;0,INDEX($AA$4:$AL$323,Ajustes!$L212,V$2),0) + V212</f>
        <v>187</v>
      </c>
      <c r="AI212">
        <f>IF(Ajustes!$G212&gt;0,INDEX($AA$4:$AL$323,Ajustes!$G212,W$2),0)+IF(Ajustes!$H212&gt;0,INDEX($AA$4:$AL$323,Ajustes!$H212,W$2),0)+IF(Ajustes!$I212&gt;0,INDEX($AA$4:$AL$323,Ajustes!$I212,W$2),0)+IF(Ajustes!$J212&gt;0,INDEX($AA$4:$AL$323,Ajustes!$J212,W$2),0)+IF(Ajustes!$K212&gt;0,INDEX($AA$5:$AL$324,Ajustes!$K212,W$2),0)+IF(Ajustes!$L212&gt;0,INDEX($AA$4:$AL$323,Ajustes!$L212,W$2),0) + W212</f>
        <v>162</v>
      </c>
      <c r="AJ212">
        <f>IF(Ajustes!$G212&gt;0,INDEX($AA$4:$AL$323,Ajustes!$G212,X$2),0)+IF(Ajustes!$H212&gt;0,INDEX($AA$4:$AL$323,Ajustes!$H212,X$2),0)+IF(Ajustes!$I212&gt;0,INDEX($AA$4:$AL$323,Ajustes!$I212,X$2),0)+IF(Ajustes!$J212&gt;0,INDEX($AA$4:$AL$323,Ajustes!$J212,X$2),0)+IF(Ajustes!$K212&gt;0,INDEX($AA$5:$AL$324,Ajustes!$K212,X$2),0)+IF(Ajustes!$L212&gt;0,INDEX($AA$4:$AL$323,Ajustes!$L212,X$2),0) + X212</f>
        <v>204</v>
      </c>
      <c r="AK212">
        <f>IF(Ajustes!$G212&gt;0,INDEX($AA$4:$AL$323,Ajustes!$G212,Y$2),0)+IF(Ajustes!$H212&gt;0,INDEX($AA$4:$AL$323,Ajustes!$H212,Y$2),0)+IF(Ajustes!$I212&gt;0,INDEX($AA$4:$AL$323,Ajustes!$I212,Y$2),0)+IF(Ajustes!$J212&gt;0,INDEX($AA$4:$AL$323,Ajustes!$J212,Y$2),0)+IF(Ajustes!$K212&gt;0,INDEX($AA$5:$AL$324,Ajustes!$K212,Y$2),0)+IF(Ajustes!$L212&gt;0,INDEX($AA$4:$AL$323,Ajustes!$L212,Y$2),0) + Y212</f>
        <v>339</v>
      </c>
      <c r="AL212">
        <f>IF(Ajustes!$G212&gt;0,INDEX($AA$4:$AL$323,Ajustes!$G212,Z$2),0)+IF(Ajustes!$H212&gt;0,INDEX($AA$4:$AL$323,Ajustes!$H212,Z$2),0)+IF(Ajustes!$I212&gt;0,INDEX($AA$4:$AL$323,Ajustes!$I212,Z$2),0)+IF(Ajustes!$J212&gt;0,INDEX($AA$4:$AL$323,Ajustes!$J212,Z$2),0)+IF(Ajustes!$K212&gt;0,INDEX($AA$5:$AL$324,Ajustes!$K212,Z$2),0)+IF(Ajustes!$L212&gt;0,INDEX($AA$4:$AL$323,Ajustes!$L212,Z$2),0) + Z212</f>
        <v>555</v>
      </c>
      <c r="AM212" s="113">
        <f t="shared" si="47"/>
        <v>756</v>
      </c>
      <c r="AN212" s="113">
        <f t="shared" si="47"/>
        <v>833</v>
      </c>
      <c r="AO212" s="113">
        <f t="shared" si="47"/>
        <v>833</v>
      </c>
      <c r="AP212" s="113">
        <f t="shared" si="47"/>
        <v>643</v>
      </c>
      <c r="AQ212" s="113">
        <f t="shared" si="49"/>
        <v>406</v>
      </c>
      <c r="AR212" s="113">
        <f t="shared" si="48"/>
        <v>302</v>
      </c>
      <c r="AS212" s="113">
        <f t="shared" si="48"/>
        <v>237</v>
      </c>
      <c r="AT212" s="113">
        <f t="shared" si="48"/>
        <v>187</v>
      </c>
      <c r="AU212" s="113">
        <f t="shared" si="48"/>
        <v>162</v>
      </c>
      <c r="AV212" s="113">
        <f t="shared" si="48"/>
        <v>204</v>
      </c>
      <c r="AW212" s="113">
        <f t="shared" si="50"/>
        <v>339</v>
      </c>
      <c r="AX212" s="113">
        <f t="shared" si="50"/>
        <v>555</v>
      </c>
    </row>
    <row r="213" spans="1:50" x14ac:dyDescent="0.25">
      <c r="A213" s="113">
        <v>210</v>
      </c>
      <c r="B213" s="209"/>
      <c r="C213">
        <f>IFERROR(INDEX($BD$7:$BO$35,MATCH(Ajustes!$E$4:$E$323,$BC$7:$BC$35,0),$C$2:$N$2),1)</f>
        <v>1</v>
      </c>
      <c r="D213" s="113">
        <f>IFERROR(INDEX($BD$7:$BO$35,MATCH(Ajustes!$E$4:$E$323,$BC$7:$BC$35,0),$C$2:$N$2),1)</f>
        <v>1</v>
      </c>
      <c r="E213" s="113">
        <f>IFERROR(INDEX($BD$7:$BO$35,MATCH(Ajustes!$E$4:$E$323,$BC$7:$BC$35,0),$C$2:$N$2),1)</f>
        <v>1</v>
      </c>
      <c r="F213" s="113">
        <f>IFERROR(INDEX($BD$7:$BO$35,MATCH(Ajustes!$E$4:$E$323,$BC$7:$BC$35,0),$C$2:$N$2),1)</f>
        <v>1</v>
      </c>
      <c r="G213" s="113">
        <f>IFERROR(INDEX($BD$7:$BO$35,MATCH(Ajustes!$E$4:$E$323,$BC$7:$BC$35,0),$C$2:$N$2),1)</f>
        <v>1</v>
      </c>
      <c r="H213" s="113">
        <f>IFERROR(INDEX($BD$7:$BO$35,MATCH(Ajustes!$E$4:$E$323,$BC$7:$BC$35,0),$C$2:$N$2),1)</f>
        <v>1</v>
      </c>
      <c r="I213" s="113">
        <f>IFERROR(INDEX($BD$7:$BO$35,MATCH(Ajustes!$E$4:$E$323,$BC$7:$BC$35,0),$C$2:$N$2),1)</f>
        <v>1</v>
      </c>
      <c r="J213" s="113">
        <f>IFERROR(INDEX($BD$7:$BO$35,MATCH(Ajustes!$E$4:$E$323,$BC$7:$BC$35,0),$C$2:$N$2),1)</f>
        <v>1</v>
      </c>
      <c r="K213" s="113">
        <f>IFERROR(INDEX($BD$7:$BO$35,MATCH(Ajustes!$E$4:$E$323,$BC$7:$BC$35,0),$C$2:$N$2),1)</f>
        <v>1</v>
      </c>
      <c r="L213" s="113">
        <f>IFERROR(INDEX($BD$7:$BO$35,MATCH(Ajustes!$E$4:$E$323,$BC$7:$BC$35,0),$C$2:$N$2),1)</f>
        <v>1</v>
      </c>
      <c r="M213" s="113">
        <f>IFERROR(INDEX($BD$7:$BO$35,MATCH(Ajustes!$E$4:$E$323,$BC$7:$BC$35,0),$C$2:$N$2),1)</f>
        <v>1</v>
      </c>
      <c r="N213" s="113">
        <f>IFERROR(INDEX($BD$7:$BO$35,MATCH(Ajustes!$E$4:$E$323,$BC$7:$BC$35,0),$C$2:$N$2),1)</f>
        <v>1</v>
      </c>
      <c r="O213">
        <f>C213*Ajustes!AM213</f>
        <v>0</v>
      </c>
      <c r="P213">
        <f>D213*Ajustes!AN213</f>
        <v>0</v>
      </c>
      <c r="Q213">
        <f>E213*Ajustes!AO213</f>
        <v>0</v>
      </c>
      <c r="R213">
        <f>F213*Ajustes!AP213</f>
        <v>0</v>
      </c>
      <c r="S213">
        <f>G213*Ajustes!AQ213</f>
        <v>0</v>
      </c>
      <c r="T213">
        <f>H213*Ajustes!AR213</f>
        <v>0</v>
      </c>
      <c r="U213">
        <f>I213*Ajustes!AS213</f>
        <v>0</v>
      </c>
      <c r="V213">
        <f>J213*Ajustes!AT213</f>
        <v>0</v>
      </c>
      <c r="W213">
        <f>K213*Ajustes!AU213</f>
        <v>0</v>
      </c>
      <c r="X213">
        <f>L213*Ajustes!AV213</f>
        <v>0</v>
      </c>
      <c r="Y213">
        <f>M213*Ajustes!AW213</f>
        <v>0</v>
      </c>
      <c r="Z213">
        <f>N213*Ajustes!AX213</f>
        <v>0</v>
      </c>
      <c r="AA213">
        <f>IF(Ajustes!$G213&gt;0,INDEX($AA$4:$AL$323,Ajustes!$G213,O$2),0)+IF(Ajustes!$H213&gt;0,INDEX($AA$4:$AL$323,Ajustes!$H213,O$2),0)+IF(Ajustes!$I213&gt;0,INDEX($AA$4:$AL$323,Ajustes!$I213,O$2),0)+IF(Ajustes!$J213&gt;0,INDEX($AA$4:$AL$323,Ajustes!$J213,O$2),0)+IF(Ajustes!$K213&gt;0,INDEX($AA$5:$AL$324,Ajustes!$K213,O$2),0)+IF(Ajustes!$L213&gt;0,INDEX($AA$4:$AL$323,Ajustes!$L213,O$2),0) + O213</f>
        <v>0</v>
      </c>
      <c r="AB213">
        <f>IF(Ajustes!$G213&gt;0,INDEX($AA$4:$AL$323,Ajustes!$G213,P$2),0)+IF(Ajustes!$H213&gt;0,INDEX($AA$4:$AL$323,Ajustes!$H213,P$2),0)+IF(Ajustes!$I213&gt;0,INDEX($AA$4:$AL$323,Ajustes!$I213,P$2),0)+IF(Ajustes!$J213&gt;0,INDEX($AA$4:$AL$323,Ajustes!$J213,P$2),0)+IF(Ajustes!$K213&gt;0,INDEX($AA$5:$AL$324,Ajustes!$K213,P$2),0)+IF(Ajustes!$L213&gt;0,INDEX($AA$4:$AL$323,Ajustes!$L213,P$2),0) + P213</f>
        <v>0</v>
      </c>
      <c r="AC213">
        <f>IF(Ajustes!$G213&gt;0,INDEX($AA$4:$AL$323,Ajustes!$G213,Q$2),0)+IF(Ajustes!$H213&gt;0,INDEX($AA$4:$AL$323,Ajustes!$H213,Q$2),0)+IF(Ajustes!$I213&gt;0,INDEX($AA$4:$AL$323,Ajustes!$I213,Q$2),0)+IF(Ajustes!$J213&gt;0,INDEX($AA$4:$AL$323,Ajustes!$J213,Q$2),0)+IF(Ajustes!$K213&gt;0,INDEX($AA$5:$AL$324,Ajustes!$K213,Q$2),0)+IF(Ajustes!$L213&gt;0,INDEX($AA$4:$AL$323,Ajustes!$L213,Q$2),0) + Q213</f>
        <v>0</v>
      </c>
      <c r="AD213">
        <f>IF(Ajustes!$G213&gt;0,INDEX($AA$4:$AL$323,Ajustes!$G213,R$2),0)+IF(Ajustes!$H213&gt;0,INDEX($AA$4:$AL$323,Ajustes!$H213,R$2),0)+IF(Ajustes!$I213&gt;0,INDEX($AA$4:$AL$323,Ajustes!$I213,R$2),0)+IF(Ajustes!$J213&gt;0,INDEX($AA$4:$AL$323,Ajustes!$J213,R$2),0)+IF(Ajustes!$K213&gt;0,INDEX($AA$5:$AL$324,Ajustes!$K213,R$2),0)+IF(Ajustes!$L213&gt;0,INDEX($AA$4:$AL$323,Ajustes!$L213,R$2),0) + R213</f>
        <v>0</v>
      </c>
      <c r="AE213">
        <f>IF(Ajustes!$G213&gt;0,INDEX($AA$4:$AL$323,Ajustes!$G213,S$2),0)+IF(Ajustes!$H213&gt;0,INDEX($AA$4:$AL$323,Ajustes!$H213,S$2),0)+IF(Ajustes!$I213&gt;0,INDEX($AA$4:$AL$323,Ajustes!$I213,S$2),0)+IF(Ajustes!$J213&gt;0,INDEX($AA$4:$AL$323,Ajustes!$J213,S$2),0)+IF(Ajustes!$K213&gt;0,INDEX($AA$5:$AL$324,Ajustes!$K213,S$2),0)+IF(Ajustes!$L213&gt;0,INDEX($AA$4:$AL$323,Ajustes!$L213,S$2),0) + S213</f>
        <v>0</v>
      </c>
      <c r="AF213">
        <f>IF(Ajustes!$G213&gt;0,INDEX($AA$4:$AL$323,Ajustes!$G213,T$2),0)+IF(Ajustes!$H213&gt;0,INDEX($AA$4:$AL$323,Ajustes!$H213,T$2),0)+IF(Ajustes!$I213&gt;0,INDEX($AA$4:$AL$323,Ajustes!$I213,T$2),0)+IF(Ajustes!$J213&gt;0,INDEX($AA$4:$AL$323,Ajustes!$J213,T$2),0)+IF(Ajustes!$K213&gt;0,INDEX($AA$5:$AL$324,Ajustes!$K213,T$2),0)+IF(Ajustes!$L213&gt;0,INDEX($AA$4:$AL$323,Ajustes!$L213,T$2),0) + T213</f>
        <v>0</v>
      </c>
      <c r="AG213">
        <f>IF(Ajustes!$G213&gt;0,INDEX($AA$4:$AL$323,Ajustes!$G213,U$2),0)+IF(Ajustes!$H213&gt;0,INDEX($AA$4:$AL$323,Ajustes!$H213,U$2),0)+IF(Ajustes!$I213&gt;0,INDEX($AA$4:$AL$323,Ajustes!$I213,U$2),0)+IF(Ajustes!$J213&gt;0,INDEX($AA$4:$AL$323,Ajustes!$J213,U$2),0)+IF(Ajustes!$K213&gt;0,INDEX($AA$5:$AL$324,Ajustes!$K213,U$2),0)+IF(Ajustes!$L213&gt;0,INDEX($AA$4:$AL$323,Ajustes!$L213,U$2),0) + U213</f>
        <v>0</v>
      </c>
      <c r="AH213">
        <f>IF(Ajustes!$G213&gt;0,INDEX($AA$4:$AL$323,Ajustes!$G213,V$2),0)+IF(Ajustes!$H213&gt;0,INDEX($AA$4:$AL$323,Ajustes!$H213,V$2),0)+IF(Ajustes!$I213&gt;0,INDEX($AA$4:$AL$323,Ajustes!$I213,V$2),0)+IF(Ajustes!$J213&gt;0,INDEX($AA$4:$AL$323,Ajustes!$J213,V$2),0)+IF(Ajustes!$K213&gt;0,INDEX($AA$5:$AL$324,Ajustes!$K213,V$2),0)+IF(Ajustes!$L213&gt;0,INDEX($AA$4:$AL$323,Ajustes!$L213,V$2),0) + V213</f>
        <v>0</v>
      </c>
      <c r="AI213">
        <f>IF(Ajustes!$G213&gt;0,INDEX($AA$4:$AL$323,Ajustes!$G213,W$2),0)+IF(Ajustes!$H213&gt;0,INDEX($AA$4:$AL$323,Ajustes!$H213,W$2),0)+IF(Ajustes!$I213&gt;0,INDEX($AA$4:$AL$323,Ajustes!$I213,W$2),0)+IF(Ajustes!$J213&gt;0,INDEX($AA$4:$AL$323,Ajustes!$J213,W$2),0)+IF(Ajustes!$K213&gt;0,INDEX($AA$5:$AL$324,Ajustes!$K213,W$2),0)+IF(Ajustes!$L213&gt;0,INDEX($AA$4:$AL$323,Ajustes!$L213,W$2),0) + W213</f>
        <v>0</v>
      </c>
      <c r="AJ213">
        <f>IF(Ajustes!$G213&gt;0,INDEX($AA$4:$AL$323,Ajustes!$G213,X$2),0)+IF(Ajustes!$H213&gt;0,INDEX($AA$4:$AL$323,Ajustes!$H213,X$2),0)+IF(Ajustes!$I213&gt;0,INDEX($AA$4:$AL$323,Ajustes!$I213,X$2),0)+IF(Ajustes!$J213&gt;0,INDEX($AA$4:$AL$323,Ajustes!$J213,X$2),0)+IF(Ajustes!$K213&gt;0,INDEX($AA$5:$AL$324,Ajustes!$K213,X$2),0)+IF(Ajustes!$L213&gt;0,INDEX($AA$4:$AL$323,Ajustes!$L213,X$2),0) + X213</f>
        <v>0</v>
      </c>
      <c r="AK213">
        <f>IF(Ajustes!$G213&gt;0,INDEX($AA$4:$AL$323,Ajustes!$G213,Y$2),0)+IF(Ajustes!$H213&gt;0,INDEX($AA$4:$AL$323,Ajustes!$H213,Y$2),0)+IF(Ajustes!$I213&gt;0,INDEX($AA$4:$AL$323,Ajustes!$I213,Y$2),0)+IF(Ajustes!$J213&gt;0,INDEX($AA$4:$AL$323,Ajustes!$J213,Y$2),0)+IF(Ajustes!$K213&gt;0,INDEX($AA$5:$AL$324,Ajustes!$K213,Y$2),0)+IF(Ajustes!$L213&gt;0,INDEX($AA$4:$AL$323,Ajustes!$L213,Y$2),0) + Y213</f>
        <v>0</v>
      </c>
      <c r="AL213">
        <f>IF(Ajustes!$G213&gt;0,INDEX($AA$4:$AL$323,Ajustes!$G213,Z$2),0)+IF(Ajustes!$H213&gt;0,INDEX($AA$4:$AL$323,Ajustes!$H213,Z$2),0)+IF(Ajustes!$I213&gt;0,INDEX($AA$4:$AL$323,Ajustes!$I213,Z$2),0)+IF(Ajustes!$J213&gt;0,INDEX($AA$4:$AL$323,Ajustes!$J213,Z$2),0)+IF(Ajustes!$K213&gt;0,INDEX($AA$5:$AL$324,Ajustes!$K213,Z$2),0)+IF(Ajustes!$L213&gt;0,INDEX($AA$4:$AL$323,Ajustes!$L213,Z$2),0) + Z213</f>
        <v>0</v>
      </c>
      <c r="AM213" s="113">
        <f t="shared" si="47"/>
        <v>0</v>
      </c>
      <c r="AN213" s="113">
        <f t="shared" si="47"/>
        <v>0</v>
      </c>
      <c r="AO213" s="113">
        <f t="shared" si="47"/>
        <v>0</v>
      </c>
      <c r="AP213" s="113">
        <f t="shared" si="47"/>
        <v>0</v>
      </c>
      <c r="AQ213" s="113">
        <f t="shared" si="49"/>
        <v>0</v>
      </c>
      <c r="AR213" s="113">
        <f t="shared" si="48"/>
        <v>0</v>
      </c>
      <c r="AS213" s="113">
        <f t="shared" si="48"/>
        <v>0</v>
      </c>
      <c r="AT213" s="113">
        <f t="shared" si="48"/>
        <v>0</v>
      </c>
      <c r="AU213" s="113">
        <f t="shared" si="48"/>
        <v>0</v>
      </c>
      <c r="AV213" s="113">
        <f t="shared" si="48"/>
        <v>0</v>
      </c>
      <c r="AW213" s="113">
        <f t="shared" si="50"/>
        <v>0</v>
      </c>
      <c r="AX213" s="113">
        <f t="shared" si="50"/>
        <v>0</v>
      </c>
    </row>
    <row r="214" spans="1:50" x14ac:dyDescent="0.25">
      <c r="A214" s="113">
        <v>211</v>
      </c>
      <c r="B214" s="209" t="s">
        <v>44</v>
      </c>
      <c r="C214">
        <f>IFERROR(INDEX($BD$7:$BO$35,MATCH(Ajustes!$E$4:$E$323,$BC$7:$BC$35,0),$C$2:$N$2),1)</f>
        <v>1</v>
      </c>
      <c r="D214" s="113">
        <f>IFERROR(INDEX($BD$7:$BO$35,MATCH(Ajustes!$E$4:$E$323,$BC$7:$BC$35,0),$C$2:$N$2),1)</f>
        <v>1</v>
      </c>
      <c r="E214" s="113">
        <f>IFERROR(INDEX($BD$7:$BO$35,MATCH(Ajustes!$E$4:$E$323,$BC$7:$BC$35,0),$C$2:$N$2),1)</f>
        <v>1</v>
      </c>
      <c r="F214" s="113">
        <f>IFERROR(INDEX($BD$7:$BO$35,MATCH(Ajustes!$E$4:$E$323,$BC$7:$BC$35,0),$C$2:$N$2),1)</f>
        <v>1</v>
      </c>
      <c r="G214" s="113">
        <f>IFERROR(INDEX($BD$7:$BO$35,MATCH(Ajustes!$E$4:$E$323,$BC$7:$BC$35,0),$C$2:$N$2),1)</f>
        <v>1</v>
      </c>
      <c r="H214" s="113">
        <f>IFERROR(INDEX($BD$7:$BO$35,MATCH(Ajustes!$E$4:$E$323,$BC$7:$BC$35,0),$C$2:$N$2),1)</f>
        <v>1</v>
      </c>
      <c r="I214" s="113">
        <f>IFERROR(INDEX($BD$7:$BO$35,MATCH(Ajustes!$E$4:$E$323,$BC$7:$BC$35,0),$C$2:$N$2),1)</f>
        <v>1</v>
      </c>
      <c r="J214" s="113">
        <f>IFERROR(INDEX($BD$7:$BO$35,MATCH(Ajustes!$E$4:$E$323,$BC$7:$BC$35,0),$C$2:$N$2),1)</f>
        <v>1</v>
      </c>
      <c r="K214" s="113">
        <f>IFERROR(INDEX($BD$7:$BO$35,MATCH(Ajustes!$E$4:$E$323,$BC$7:$BC$35,0),$C$2:$N$2),1)</f>
        <v>1</v>
      </c>
      <c r="L214" s="113">
        <f>IFERROR(INDEX($BD$7:$BO$35,MATCH(Ajustes!$E$4:$E$323,$BC$7:$BC$35,0),$C$2:$N$2),1)</f>
        <v>1</v>
      </c>
      <c r="M214" s="113">
        <f>IFERROR(INDEX($BD$7:$BO$35,MATCH(Ajustes!$E$4:$E$323,$BC$7:$BC$35,0),$C$2:$N$2),1)</f>
        <v>1</v>
      </c>
      <c r="N214" s="113">
        <f>IFERROR(INDEX($BD$7:$BO$35,MATCH(Ajustes!$E$4:$E$323,$BC$7:$BC$35,0),$C$2:$N$2),1)</f>
        <v>1</v>
      </c>
      <c r="O214">
        <f>C214*Ajustes!AM214</f>
        <v>341</v>
      </c>
      <c r="P214">
        <f>D214*Ajustes!AN214</f>
        <v>297</v>
      </c>
      <c r="Q214">
        <f>E214*Ajustes!AO214</f>
        <v>262</v>
      </c>
      <c r="R214">
        <f>F214*Ajustes!AP214</f>
        <v>183</v>
      </c>
      <c r="S214">
        <f>G214*Ajustes!AQ214</f>
        <v>132</v>
      </c>
      <c r="T214">
        <f>H214*Ajustes!AR214</f>
        <v>109</v>
      </c>
      <c r="U214">
        <f>I214*Ajustes!AS214</f>
        <v>93</v>
      </c>
      <c r="V214">
        <f>J214*Ajustes!AT214</f>
        <v>78</v>
      </c>
      <c r="W214">
        <f>K214*Ajustes!AU214</f>
        <v>78</v>
      </c>
      <c r="X214">
        <f>L214*Ajustes!AV214</f>
        <v>95</v>
      </c>
      <c r="Y214">
        <f>M214*Ajustes!AW214</f>
        <v>144</v>
      </c>
      <c r="Z214">
        <f>N214*Ajustes!AX214</f>
        <v>250</v>
      </c>
      <c r="AA214">
        <f>IF(Ajustes!$G214&gt;0,INDEX($AA$4:$AL$323,Ajustes!$G214,O$2),0)+IF(Ajustes!$H214&gt;0,INDEX($AA$4:$AL$323,Ajustes!$H214,O$2),0)+IF(Ajustes!$I214&gt;0,INDEX($AA$4:$AL$323,Ajustes!$I214,O$2),0)+IF(Ajustes!$J214&gt;0,INDEX($AA$4:$AL$323,Ajustes!$J214,O$2),0)+IF(Ajustes!$K214&gt;0,INDEX($AA$5:$AL$324,Ajustes!$K214,O$2),0)+IF(Ajustes!$L214&gt;0,INDEX($AA$4:$AL$323,Ajustes!$L214,O$2),0) + O214</f>
        <v>595</v>
      </c>
      <c r="AB214">
        <f>IF(Ajustes!$G214&gt;0,INDEX($AA$4:$AL$323,Ajustes!$G214,P$2),0)+IF(Ajustes!$H214&gt;0,INDEX($AA$4:$AL$323,Ajustes!$H214,P$2),0)+IF(Ajustes!$I214&gt;0,INDEX($AA$4:$AL$323,Ajustes!$I214,P$2),0)+IF(Ajustes!$J214&gt;0,INDEX($AA$4:$AL$323,Ajustes!$J214,P$2),0)+IF(Ajustes!$K214&gt;0,INDEX($AA$5:$AL$324,Ajustes!$K214,P$2),0)+IF(Ajustes!$L214&gt;0,INDEX($AA$4:$AL$323,Ajustes!$L214,P$2),0) + P214</f>
        <v>527</v>
      </c>
      <c r="AC214">
        <f>IF(Ajustes!$G214&gt;0,INDEX($AA$4:$AL$323,Ajustes!$G214,Q$2),0)+IF(Ajustes!$H214&gt;0,INDEX($AA$4:$AL$323,Ajustes!$H214,Q$2),0)+IF(Ajustes!$I214&gt;0,INDEX($AA$4:$AL$323,Ajustes!$I214,Q$2),0)+IF(Ajustes!$J214&gt;0,INDEX($AA$4:$AL$323,Ajustes!$J214,Q$2),0)+IF(Ajustes!$K214&gt;0,INDEX($AA$5:$AL$324,Ajustes!$K214,Q$2),0)+IF(Ajustes!$L214&gt;0,INDEX($AA$4:$AL$323,Ajustes!$L214,Q$2),0) + Q214</f>
        <v>466</v>
      </c>
      <c r="AD214">
        <f>IF(Ajustes!$G214&gt;0,INDEX($AA$4:$AL$323,Ajustes!$G214,R$2),0)+IF(Ajustes!$H214&gt;0,INDEX($AA$4:$AL$323,Ajustes!$H214,R$2),0)+IF(Ajustes!$I214&gt;0,INDEX($AA$4:$AL$323,Ajustes!$I214,R$2),0)+IF(Ajustes!$J214&gt;0,INDEX($AA$4:$AL$323,Ajustes!$J214,R$2),0)+IF(Ajustes!$K214&gt;0,INDEX($AA$5:$AL$324,Ajustes!$K214,R$2),0)+IF(Ajustes!$L214&gt;0,INDEX($AA$4:$AL$323,Ajustes!$L214,R$2),0) + R214</f>
        <v>322</v>
      </c>
      <c r="AE214">
        <f>IF(Ajustes!$G214&gt;0,INDEX($AA$4:$AL$323,Ajustes!$G214,S$2),0)+IF(Ajustes!$H214&gt;0,INDEX($AA$4:$AL$323,Ajustes!$H214,S$2),0)+IF(Ajustes!$I214&gt;0,INDEX($AA$4:$AL$323,Ajustes!$I214,S$2),0)+IF(Ajustes!$J214&gt;0,INDEX($AA$4:$AL$323,Ajustes!$J214,S$2),0)+IF(Ajustes!$K214&gt;0,INDEX($AA$5:$AL$324,Ajustes!$K214,S$2),0)+IF(Ajustes!$L214&gt;0,INDEX($AA$4:$AL$323,Ajustes!$L214,S$2),0) + S214</f>
        <v>237</v>
      </c>
      <c r="AF214">
        <f>IF(Ajustes!$G214&gt;0,INDEX($AA$4:$AL$323,Ajustes!$G214,T$2),0)+IF(Ajustes!$H214&gt;0,INDEX($AA$4:$AL$323,Ajustes!$H214,T$2),0)+IF(Ajustes!$I214&gt;0,INDEX($AA$4:$AL$323,Ajustes!$I214,T$2),0)+IF(Ajustes!$J214&gt;0,INDEX($AA$4:$AL$323,Ajustes!$J214,T$2),0)+IF(Ajustes!$K214&gt;0,INDEX($AA$5:$AL$324,Ajustes!$K214,T$2),0)+IF(Ajustes!$L214&gt;0,INDEX($AA$4:$AL$323,Ajustes!$L214,T$2),0) + T214</f>
        <v>198</v>
      </c>
      <c r="AG214">
        <f>IF(Ajustes!$G214&gt;0,INDEX($AA$4:$AL$323,Ajustes!$G214,U$2),0)+IF(Ajustes!$H214&gt;0,INDEX($AA$4:$AL$323,Ajustes!$H214,U$2),0)+IF(Ajustes!$I214&gt;0,INDEX($AA$4:$AL$323,Ajustes!$I214,U$2),0)+IF(Ajustes!$J214&gt;0,INDEX($AA$4:$AL$323,Ajustes!$J214,U$2),0)+IF(Ajustes!$K214&gt;0,INDEX($AA$5:$AL$324,Ajustes!$K214,U$2),0)+IF(Ajustes!$L214&gt;0,INDEX($AA$4:$AL$323,Ajustes!$L214,U$2),0) + U214</f>
        <v>167</v>
      </c>
      <c r="AH214">
        <f>IF(Ajustes!$G214&gt;0,INDEX($AA$4:$AL$323,Ajustes!$G214,V$2),0)+IF(Ajustes!$H214&gt;0,INDEX($AA$4:$AL$323,Ajustes!$H214,V$2),0)+IF(Ajustes!$I214&gt;0,INDEX($AA$4:$AL$323,Ajustes!$I214,V$2),0)+IF(Ajustes!$J214&gt;0,INDEX($AA$4:$AL$323,Ajustes!$J214,V$2),0)+IF(Ajustes!$K214&gt;0,INDEX($AA$5:$AL$324,Ajustes!$K214,V$2),0)+IF(Ajustes!$L214&gt;0,INDEX($AA$4:$AL$323,Ajustes!$L214,V$2),0) + V214</f>
        <v>142</v>
      </c>
      <c r="AI214">
        <f>IF(Ajustes!$G214&gt;0,INDEX($AA$4:$AL$323,Ajustes!$G214,W$2),0)+IF(Ajustes!$H214&gt;0,INDEX($AA$4:$AL$323,Ajustes!$H214,W$2),0)+IF(Ajustes!$I214&gt;0,INDEX($AA$4:$AL$323,Ajustes!$I214,W$2),0)+IF(Ajustes!$J214&gt;0,INDEX($AA$4:$AL$323,Ajustes!$J214,W$2),0)+IF(Ajustes!$K214&gt;0,INDEX($AA$5:$AL$324,Ajustes!$K214,W$2),0)+IF(Ajustes!$L214&gt;0,INDEX($AA$4:$AL$323,Ajustes!$L214,W$2),0) + W214</f>
        <v>145</v>
      </c>
      <c r="AJ214">
        <f>IF(Ajustes!$G214&gt;0,INDEX($AA$4:$AL$323,Ajustes!$G214,X$2),0)+IF(Ajustes!$H214&gt;0,INDEX($AA$4:$AL$323,Ajustes!$H214,X$2),0)+IF(Ajustes!$I214&gt;0,INDEX($AA$4:$AL$323,Ajustes!$I214,X$2),0)+IF(Ajustes!$J214&gt;0,INDEX($AA$4:$AL$323,Ajustes!$J214,X$2),0)+IF(Ajustes!$K214&gt;0,INDEX($AA$5:$AL$324,Ajustes!$K214,X$2),0)+IF(Ajustes!$L214&gt;0,INDEX($AA$4:$AL$323,Ajustes!$L214,X$2),0) + X214</f>
        <v>174</v>
      </c>
      <c r="AK214">
        <f>IF(Ajustes!$G214&gt;0,INDEX($AA$4:$AL$323,Ajustes!$G214,Y$2),0)+IF(Ajustes!$H214&gt;0,INDEX($AA$4:$AL$323,Ajustes!$H214,Y$2),0)+IF(Ajustes!$I214&gt;0,INDEX($AA$4:$AL$323,Ajustes!$I214,Y$2),0)+IF(Ajustes!$J214&gt;0,INDEX($AA$4:$AL$323,Ajustes!$J214,Y$2),0)+IF(Ajustes!$K214&gt;0,INDEX($AA$5:$AL$324,Ajustes!$K214,Y$2),0)+IF(Ajustes!$L214&gt;0,INDEX($AA$4:$AL$323,Ajustes!$L214,Y$2),0) + Y214</f>
        <v>255</v>
      </c>
      <c r="AL214">
        <f>IF(Ajustes!$G214&gt;0,INDEX($AA$4:$AL$323,Ajustes!$G214,Z$2),0)+IF(Ajustes!$H214&gt;0,INDEX($AA$4:$AL$323,Ajustes!$H214,Z$2),0)+IF(Ajustes!$I214&gt;0,INDEX($AA$4:$AL$323,Ajustes!$I214,Z$2),0)+IF(Ajustes!$J214&gt;0,INDEX($AA$4:$AL$323,Ajustes!$J214,Z$2),0)+IF(Ajustes!$K214&gt;0,INDEX($AA$5:$AL$324,Ajustes!$K214,Z$2),0)+IF(Ajustes!$L214&gt;0,INDEX($AA$4:$AL$323,Ajustes!$L214,Z$2),0) + Z214</f>
        <v>432</v>
      </c>
      <c r="AM214" s="113">
        <f t="shared" si="47"/>
        <v>595</v>
      </c>
      <c r="AN214" s="113">
        <f t="shared" si="47"/>
        <v>527</v>
      </c>
      <c r="AO214" s="113">
        <f t="shared" si="47"/>
        <v>466</v>
      </c>
      <c r="AP214" s="113">
        <f t="shared" si="47"/>
        <v>322</v>
      </c>
      <c r="AQ214" s="113">
        <f t="shared" si="49"/>
        <v>237</v>
      </c>
      <c r="AR214" s="113">
        <f t="shared" si="48"/>
        <v>198</v>
      </c>
      <c r="AS214" s="113">
        <f t="shared" si="48"/>
        <v>167</v>
      </c>
      <c r="AT214" s="113">
        <f t="shared" si="48"/>
        <v>142</v>
      </c>
      <c r="AU214" s="113">
        <f t="shared" si="48"/>
        <v>145</v>
      </c>
      <c r="AV214" s="113">
        <f t="shared" ref="AV214:AX277" si="51">AJ214</f>
        <v>174</v>
      </c>
      <c r="AW214" s="113">
        <f t="shared" si="50"/>
        <v>255</v>
      </c>
      <c r="AX214" s="113">
        <f t="shared" si="50"/>
        <v>432</v>
      </c>
    </row>
    <row r="215" spans="1:50" x14ac:dyDescent="0.25">
      <c r="A215" s="113">
        <v>212</v>
      </c>
      <c r="B215" s="209"/>
      <c r="C215">
        <f>IFERROR(INDEX($BD$7:$BO$35,MATCH(Ajustes!$E$4:$E$323,$BC$7:$BC$35,0),$C$2:$N$2),1)</f>
        <v>1</v>
      </c>
      <c r="D215" s="113">
        <f>IFERROR(INDEX($BD$7:$BO$35,MATCH(Ajustes!$E$4:$E$323,$BC$7:$BC$35,0),$C$2:$N$2),1)</f>
        <v>1</v>
      </c>
      <c r="E215" s="113">
        <f>IFERROR(INDEX($BD$7:$BO$35,MATCH(Ajustes!$E$4:$E$323,$BC$7:$BC$35,0),$C$2:$N$2),1)</f>
        <v>1</v>
      </c>
      <c r="F215" s="113">
        <f>IFERROR(INDEX($BD$7:$BO$35,MATCH(Ajustes!$E$4:$E$323,$BC$7:$BC$35,0),$C$2:$N$2),1)</f>
        <v>1</v>
      </c>
      <c r="G215" s="113">
        <f>IFERROR(INDEX($BD$7:$BO$35,MATCH(Ajustes!$E$4:$E$323,$BC$7:$BC$35,0),$C$2:$N$2),1)</f>
        <v>1</v>
      </c>
      <c r="H215" s="113">
        <f>IFERROR(INDEX($BD$7:$BO$35,MATCH(Ajustes!$E$4:$E$323,$BC$7:$BC$35,0),$C$2:$N$2),1)</f>
        <v>1</v>
      </c>
      <c r="I215" s="113">
        <f>IFERROR(INDEX($BD$7:$BO$35,MATCH(Ajustes!$E$4:$E$323,$BC$7:$BC$35,0),$C$2:$N$2),1)</f>
        <v>1</v>
      </c>
      <c r="J215" s="113">
        <f>IFERROR(INDEX($BD$7:$BO$35,MATCH(Ajustes!$E$4:$E$323,$BC$7:$BC$35,0),$C$2:$N$2),1)</f>
        <v>1</v>
      </c>
      <c r="K215" s="113">
        <f>IFERROR(INDEX($BD$7:$BO$35,MATCH(Ajustes!$E$4:$E$323,$BC$7:$BC$35,0),$C$2:$N$2),1)</f>
        <v>1</v>
      </c>
      <c r="L215" s="113">
        <f>IFERROR(INDEX($BD$7:$BO$35,MATCH(Ajustes!$E$4:$E$323,$BC$7:$BC$35,0),$C$2:$N$2),1)</f>
        <v>1</v>
      </c>
      <c r="M215" s="113">
        <f>IFERROR(INDEX($BD$7:$BO$35,MATCH(Ajustes!$E$4:$E$323,$BC$7:$BC$35,0),$C$2:$N$2),1)</f>
        <v>1</v>
      </c>
      <c r="N215" s="113">
        <f>IFERROR(INDEX($BD$7:$BO$35,MATCH(Ajustes!$E$4:$E$323,$BC$7:$BC$35,0),$C$2:$N$2),1)</f>
        <v>1</v>
      </c>
      <c r="O215">
        <f>C215*Ajustes!AM215</f>
        <v>0</v>
      </c>
      <c r="P215">
        <f>D215*Ajustes!AN215</f>
        <v>0</v>
      </c>
      <c r="Q215">
        <f>E215*Ajustes!AO215</f>
        <v>0</v>
      </c>
      <c r="R215">
        <f>F215*Ajustes!AP215</f>
        <v>0</v>
      </c>
      <c r="S215">
        <f>G215*Ajustes!AQ215</f>
        <v>0</v>
      </c>
      <c r="T215">
        <f>H215*Ajustes!AR215</f>
        <v>0</v>
      </c>
      <c r="U215">
        <f>I215*Ajustes!AS215</f>
        <v>0</v>
      </c>
      <c r="V215">
        <f>J215*Ajustes!AT215</f>
        <v>0</v>
      </c>
      <c r="W215">
        <f>K215*Ajustes!AU215</f>
        <v>0</v>
      </c>
      <c r="X215">
        <f>L215*Ajustes!AV215</f>
        <v>0</v>
      </c>
      <c r="Y215">
        <f>M215*Ajustes!AW215</f>
        <v>0</v>
      </c>
      <c r="Z215">
        <f>N215*Ajustes!AX215</f>
        <v>0</v>
      </c>
      <c r="AA215">
        <f>IF(Ajustes!$G215&gt;0,INDEX($AA$4:$AL$323,Ajustes!$G215,O$2),0)+IF(Ajustes!$H215&gt;0,INDEX($AA$4:$AL$323,Ajustes!$H215,O$2),0)+IF(Ajustes!$I215&gt;0,INDEX($AA$4:$AL$323,Ajustes!$I215,O$2),0)+IF(Ajustes!$J215&gt;0,INDEX($AA$4:$AL$323,Ajustes!$J215,O$2),0)+IF(Ajustes!$K215&gt;0,INDEX($AA$5:$AL$324,Ajustes!$K215,O$2),0)+IF(Ajustes!$L215&gt;0,INDEX($AA$4:$AL$323,Ajustes!$L215,O$2),0) + O215</f>
        <v>0</v>
      </c>
      <c r="AB215">
        <f>IF(Ajustes!$G215&gt;0,INDEX($AA$4:$AL$323,Ajustes!$G215,P$2),0)+IF(Ajustes!$H215&gt;0,INDEX($AA$4:$AL$323,Ajustes!$H215,P$2),0)+IF(Ajustes!$I215&gt;0,INDEX($AA$4:$AL$323,Ajustes!$I215,P$2),0)+IF(Ajustes!$J215&gt;0,INDEX($AA$4:$AL$323,Ajustes!$J215,P$2),0)+IF(Ajustes!$K215&gt;0,INDEX($AA$5:$AL$324,Ajustes!$K215,P$2),0)+IF(Ajustes!$L215&gt;0,INDEX($AA$4:$AL$323,Ajustes!$L215,P$2),0) + P215</f>
        <v>0</v>
      </c>
      <c r="AC215">
        <f>IF(Ajustes!$G215&gt;0,INDEX($AA$4:$AL$323,Ajustes!$G215,Q$2),0)+IF(Ajustes!$H215&gt;0,INDEX($AA$4:$AL$323,Ajustes!$H215,Q$2),0)+IF(Ajustes!$I215&gt;0,INDEX($AA$4:$AL$323,Ajustes!$I215,Q$2),0)+IF(Ajustes!$J215&gt;0,INDEX($AA$4:$AL$323,Ajustes!$J215,Q$2),0)+IF(Ajustes!$K215&gt;0,INDEX($AA$5:$AL$324,Ajustes!$K215,Q$2),0)+IF(Ajustes!$L215&gt;0,INDEX($AA$4:$AL$323,Ajustes!$L215,Q$2),0) + Q215</f>
        <v>0</v>
      </c>
      <c r="AD215">
        <f>IF(Ajustes!$G215&gt;0,INDEX($AA$4:$AL$323,Ajustes!$G215,R$2),0)+IF(Ajustes!$H215&gt;0,INDEX($AA$4:$AL$323,Ajustes!$H215,R$2),0)+IF(Ajustes!$I215&gt;0,INDEX($AA$4:$AL$323,Ajustes!$I215,R$2),0)+IF(Ajustes!$J215&gt;0,INDEX($AA$4:$AL$323,Ajustes!$J215,R$2),0)+IF(Ajustes!$K215&gt;0,INDEX($AA$5:$AL$324,Ajustes!$K215,R$2),0)+IF(Ajustes!$L215&gt;0,INDEX($AA$4:$AL$323,Ajustes!$L215,R$2),0) + R215</f>
        <v>0</v>
      </c>
      <c r="AE215">
        <f>IF(Ajustes!$G215&gt;0,INDEX($AA$4:$AL$323,Ajustes!$G215,S$2),0)+IF(Ajustes!$H215&gt;0,INDEX($AA$4:$AL$323,Ajustes!$H215,S$2),0)+IF(Ajustes!$I215&gt;0,INDEX($AA$4:$AL$323,Ajustes!$I215,S$2),0)+IF(Ajustes!$J215&gt;0,INDEX($AA$4:$AL$323,Ajustes!$J215,S$2),0)+IF(Ajustes!$K215&gt;0,INDEX($AA$5:$AL$324,Ajustes!$K215,S$2),0)+IF(Ajustes!$L215&gt;0,INDEX($AA$4:$AL$323,Ajustes!$L215,S$2),0) + S215</f>
        <v>0</v>
      </c>
      <c r="AF215">
        <f>IF(Ajustes!$G215&gt;0,INDEX($AA$4:$AL$323,Ajustes!$G215,T$2),0)+IF(Ajustes!$H215&gt;0,INDEX($AA$4:$AL$323,Ajustes!$H215,T$2),0)+IF(Ajustes!$I215&gt;0,INDEX($AA$4:$AL$323,Ajustes!$I215,T$2),0)+IF(Ajustes!$J215&gt;0,INDEX($AA$4:$AL$323,Ajustes!$J215,T$2),0)+IF(Ajustes!$K215&gt;0,INDEX($AA$5:$AL$324,Ajustes!$K215,T$2),0)+IF(Ajustes!$L215&gt;0,INDEX($AA$4:$AL$323,Ajustes!$L215,T$2),0) + T215</f>
        <v>0</v>
      </c>
      <c r="AG215">
        <f>IF(Ajustes!$G215&gt;0,INDEX($AA$4:$AL$323,Ajustes!$G215,U$2),0)+IF(Ajustes!$H215&gt;0,INDEX($AA$4:$AL$323,Ajustes!$H215,U$2),0)+IF(Ajustes!$I215&gt;0,INDEX($AA$4:$AL$323,Ajustes!$I215,U$2),0)+IF(Ajustes!$J215&gt;0,INDEX($AA$4:$AL$323,Ajustes!$J215,U$2),0)+IF(Ajustes!$K215&gt;0,INDEX($AA$5:$AL$324,Ajustes!$K215,U$2),0)+IF(Ajustes!$L215&gt;0,INDEX($AA$4:$AL$323,Ajustes!$L215,U$2),0) + U215</f>
        <v>0</v>
      </c>
      <c r="AH215">
        <f>IF(Ajustes!$G215&gt;0,INDEX($AA$4:$AL$323,Ajustes!$G215,V$2),0)+IF(Ajustes!$H215&gt;0,INDEX($AA$4:$AL$323,Ajustes!$H215,V$2),0)+IF(Ajustes!$I215&gt;0,INDEX($AA$4:$AL$323,Ajustes!$I215,V$2),0)+IF(Ajustes!$J215&gt;0,INDEX($AA$4:$AL$323,Ajustes!$J215,V$2),0)+IF(Ajustes!$K215&gt;0,INDEX($AA$5:$AL$324,Ajustes!$K215,V$2),0)+IF(Ajustes!$L215&gt;0,INDEX($AA$4:$AL$323,Ajustes!$L215,V$2),0) + V215</f>
        <v>0</v>
      </c>
      <c r="AI215">
        <f>IF(Ajustes!$G215&gt;0,INDEX($AA$4:$AL$323,Ajustes!$G215,W$2),0)+IF(Ajustes!$H215&gt;0,INDEX($AA$4:$AL$323,Ajustes!$H215,W$2),0)+IF(Ajustes!$I215&gt;0,INDEX($AA$4:$AL$323,Ajustes!$I215,W$2),0)+IF(Ajustes!$J215&gt;0,INDEX($AA$4:$AL$323,Ajustes!$J215,W$2),0)+IF(Ajustes!$K215&gt;0,INDEX($AA$5:$AL$324,Ajustes!$K215,W$2),0)+IF(Ajustes!$L215&gt;0,INDEX($AA$4:$AL$323,Ajustes!$L215,W$2),0) + W215</f>
        <v>0</v>
      </c>
      <c r="AJ215">
        <f>IF(Ajustes!$G215&gt;0,INDEX($AA$4:$AL$323,Ajustes!$G215,X$2),0)+IF(Ajustes!$H215&gt;0,INDEX($AA$4:$AL$323,Ajustes!$H215,X$2),0)+IF(Ajustes!$I215&gt;0,INDEX($AA$4:$AL$323,Ajustes!$I215,X$2),0)+IF(Ajustes!$J215&gt;0,INDEX($AA$4:$AL$323,Ajustes!$J215,X$2),0)+IF(Ajustes!$K215&gt;0,INDEX($AA$5:$AL$324,Ajustes!$K215,X$2),0)+IF(Ajustes!$L215&gt;0,INDEX($AA$4:$AL$323,Ajustes!$L215,X$2),0) + X215</f>
        <v>0</v>
      </c>
      <c r="AK215">
        <f>IF(Ajustes!$G215&gt;0,INDEX($AA$4:$AL$323,Ajustes!$G215,Y$2),0)+IF(Ajustes!$H215&gt;0,INDEX($AA$4:$AL$323,Ajustes!$H215,Y$2),0)+IF(Ajustes!$I215&gt;0,INDEX($AA$4:$AL$323,Ajustes!$I215,Y$2),0)+IF(Ajustes!$J215&gt;0,INDEX($AA$4:$AL$323,Ajustes!$J215,Y$2),0)+IF(Ajustes!$K215&gt;0,INDEX($AA$5:$AL$324,Ajustes!$K215,Y$2),0)+IF(Ajustes!$L215&gt;0,INDEX($AA$4:$AL$323,Ajustes!$L215,Y$2),0) + Y215</f>
        <v>0</v>
      </c>
      <c r="AL215">
        <f>IF(Ajustes!$G215&gt;0,INDEX($AA$4:$AL$323,Ajustes!$G215,Z$2),0)+IF(Ajustes!$H215&gt;0,INDEX($AA$4:$AL$323,Ajustes!$H215,Z$2),0)+IF(Ajustes!$I215&gt;0,INDEX($AA$4:$AL$323,Ajustes!$I215,Z$2),0)+IF(Ajustes!$J215&gt;0,INDEX($AA$4:$AL$323,Ajustes!$J215,Z$2),0)+IF(Ajustes!$K215&gt;0,INDEX($AA$5:$AL$324,Ajustes!$K215,Z$2),0)+IF(Ajustes!$L215&gt;0,INDEX($AA$4:$AL$323,Ajustes!$L215,Z$2),0) + Z215</f>
        <v>0</v>
      </c>
      <c r="AM215" s="113">
        <f t="shared" si="47"/>
        <v>0</v>
      </c>
      <c r="AN215" s="113">
        <f t="shared" si="47"/>
        <v>0</v>
      </c>
      <c r="AO215" s="113">
        <f t="shared" si="47"/>
        <v>0</v>
      </c>
      <c r="AP215" s="113">
        <f t="shared" si="47"/>
        <v>0</v>
      </c>
      <c r="AQ215" s="113">
        <f t="shared" si="49"/>
        <v>0</v>
      </c>
      <c r="AR215" s="113">
        <f t="shared" si="48"/>
        <v>0</v>
      </c>
      <c r="AS215" s="113">
        <f t="shared" si="48"/>
        <v>0</v>
      </c>
      <c r="AT215" s="113">
        <f t="shared" si="48"/>
        <v>0</v>
      </c>
      <c r="AU215" s="113">
        <f t="shared" si="48"/>
        <v>0</v>
      </c>
      <c r="AV215" s="113">
        <f t="shared" si="51"/>
        <v>0</v>
      </c>
      <c r="AW215" s="113">
        <f t="shared" si="50"/>
        <v>0</v>
      </c>
      <c r="AX215" s="113">
        <f t="shared" si="50"/>
        <v>0</v>
      </c>
    </row>
    <row r="216" spans="1:50" x14ac:dyDescent="0.25">
      <c r="A216" s="113">
        <v>213</v>
      </c>
      <c r="B216" s="209"/>
      <c r="C216">
        <f>IFERROR(INDEX($BD$7:$BO$35,MATCH(Ajustes!$E$4:$E$323,$BC$7:$BC$35,0),$C$2:$N$2),1)</f>
        <v>1</v>
      </c>
      <c r="D216" s="113">
        <f>IFERROR(INDEX($BD$7:$BO$35,MATCH(Ajustes!$E$4:$E$323,$BC$7:$BC$35,0),$C$2:$N$2),1)</f>
        <v>1</v>
      </c>
      <c r="E216" s="113">
        <f>IFERROR(INDEX($BD$7:$BO$35,MATCH(Ajustes!$E$4:$E$323,$BC$7:$BC$35,0),$C$2:$N$2),1)</f>
        <v>1</v>
      </c>
      <c r="F216" s="113">
        <f>IFERROR(INDEX($BD$7:$BO$35,MATCH(Ajustes!$E$4:$E$323,$BC$7:$BC$35,0),$C$2:$N$2),1)</f>
        <v>1</v>
      </c>
      <c r="G216" s="113">
        <f>IFERROR(INDEX($BD$7:$BO$35,MATCH(Ajustes!$E$4:$E$323,$BC$7:$BC$35,0),$C$2:$N$2),1)</f>
        <v>1</v>
      </c>
      <c r="H216" s="113">
        <f>IFERROR(INDEX($BD$7:$BO$35,MATCH(Ajustes!$E$4:$E$323,$BC$7:$BC$35,0),$C$2:$N$2),1)</f>
        <v>1</v>
      </c>
      <c r="I216" s="113">
        <f>IFERROR(INDEX($BD$7:$BO$35,MATCH(Ajustes!$E$4:$E$323,$BC$7:$BC$35,0),$C$2:$N$2),1)</f>
        <v>1</v>
      </c>
      <c r="J216" s="113">
        <f>IFERROR(INDEX($BD$7:$BO$35,MATCH(Ajustes!$E$4:$E$323,$BC$7:$BC$35,0),$C$2:$N$2),1)</f>
        <v>1</v>
      </c>
      <c r="K216" s="113">
        <f>IFERROR(INDEX($BD$7:$BO$35,MATCH(Ajustes!$E$4:$E$323,$BC$7:$BC$35,0),$C$2:$N$2),1)</f>
        <v>1</v>
      </c>
      <c r="L216" s="113">
        <f>IFERROR(INDEX($BD$7:$BO$35,MATCH(Ajustes!$E$4:$E$323,$BC$7:$BC$35,0),$C$2:$N$2),1)</f>
        <v>1</v>
      </c>
      <c r="M216" s="113">
        <f>IFERROR(INDEX($BD$7:$BO$35,MATCH(Ajustes!$E$4:$E$323,$BC$7:$BC$35,0),$C$2:$N$2),1)</f>
        <v>1</v>
      </c>
      <c r="N216" s="113">
        <f>IFERROR(INDEX($BD$7:$BO$35,MATCH(Ajustes!$E$4:$E$323,$BC$7:$BC$35,0),$C$2:$N$2),1)</f>
        <v>1</v>
      </c>
      <c r="O216">
        <f>C216*Ajustes!AM216</f>
        <v>0</v>
      </c>
      <c r="P216">
        <f>D216*Ajustes!AN216</f>
        <v>0</v>
      </c>
      <c r="Q216">
        <f>E216*Ajustes!AO216</f>
        <v>0</v>
      </c>
      <c r="R216">
        <f>F216*Ajustes!AP216</f>
        <v>0</v>
      </c>
      <c r="S216">
        <f>G216*Ajustes!AQ216</f>
        <v>0</v>
      </c>
      <c r="T216">
        <f>H216*Ajustes!AR216</f>
        <v>0</v>
      </c>
      <c r="U216">
        <f>I216*Ajustes!AS216</f>
        <v>0</v>
      </c>
      <c r="V216">
        <f>J216*Ajustes!AT216</f>
        <v>0</v>
      </c>
      <c r="W216">
        <f>K216*Ajustes!AU216</f>
        <v>0</v>
      </c>
      <c r="X216">
        <f>L216*Ajustes!AV216</f>
        <v>0</v>
      </c>
      <c r="Y216">
        <f>M216*Ajustes!AW216</f>
        <v>0</v>
      </c>
      <c r="Z216">
        <f>N216*Ajustes!AX216</f>
        <v>0</v>
      </c>
      <c r="AA216">
        <f>IF(Ajustes!$G216&gt;0,INDEX($AA$4:$AL$323,Ajustes!$G216,O$2),0)+IF(Ajustes!$H216&gt;0,INDEX($AA$4:$AL$323,Ajustes!$H216,O$2),0)+IF(Ajustes!$I216&gt;0,INDEX($AA$4:$AL$323,Ajustes!$I216,O$2),0)+IF(Ajustes!$J216&gt;0,INDEX($AA$4:$AL$323,Ajustes!$J216,O$2),0)+IF(Ajustes!$K216&gt;0,INDEX($AA$5:$AL$324,Ajustes!$K216,O$2),0)+IF(Ajustes!$L216&gt;0,INDEX($AA$4:$AL$323,Ajustes!$L216,O$2),0) + O216</f>
        <v>0</v>
      </c>
      <c r="AB216">
        <f>IF(Ajustes!$G216&gt;0,INDEX($AA$4:$AL$323,Ajustes!$G216,P$2),0)+IF(Ajustes!$H216&gt;0,INDEX($AA$4:$AL$323,Ajustes!$H216,P$2),0)+IF(Ajustes!$I216&gt;0,INDEX($AA$4:$AL$323,Ajustes!$I216,P$2),0)+IF(Ajustes!$J216&gt;0,INDEX($AA$4:$AL$323,Ajustes!$J216,P$2),0)+IF(Ajustes!$K216&gt;0,INDEX($AA$5:$AL$324,Ajustes!$K216,P$2),0)+IF(Ajustes!$L216&gt;0,INDEX($AA$4:$AL$323,Ajustes!$L216,P$2),0) + P216</f>
        <v>0</v>
      </c>
      <c r="AC216">
        <f>IF(Ajustes!$G216&gt;0,INDEX($AA$4:$AL$323,Ajustes!$G216,Q$2),0)+IF(Ajustes!$H216&gt;0,INDEX($AA$4:$AL$323,Ajustes!$H216,Q$2),0)+IF(Ajustes!$I216&gt;0,INDEX($AA$4:$AL$323,Ajustes!$I216,Q$2),0)+IF(Ajustes!$J216&gt;0,INDEX($AA$4:$AL$323,Ajustes!$J216,Q$2),0)+IF(Ajustes!$K216&gt;0,INDEX($AA$5:$AL$324,Ajustes!$K216,Q$2),0)+IF(Ajustes!$L216&gt;0,INDEX($AA$4:$AL$323,Ajustes!$L216,Q$2),0) + Q216</f>
        <v>0</v>
      </c>
      <c r="AD216">
        <f>IF(Ajustes!$G216&gt;0,INDEX($AA$4:$AL$323,Ajustes!$G216,R$2),0)+IF(Ajustes!$H216&gt;0,INDEX($AA$4:$AL$323,Ajustes!$H216,R$2),0)+IF(Ajustes!$I216&gt;0,INDEX($AA$4:$AL$323,Ajustes!$I216,R$2),0)+IF(Ajustes!$J216&gt;0,INDEX($AA$4:$AL$323,Ajustes!$J216,R$2),0)+IF(Ajustes!$K216&gt;0,INDEX($AA$5:$AL$324,Ajustes!$K216,R$2),0)+IF(Ajustes!$L216&gt;0,INDEX($AA$4:$AL$323,Ajustes!$L216,R$2),0) + R216</f>
        <v>0</v>
      </c>
      <c r="AE216">
        <f>IF(Ajustes!$G216&gt;0,INDEX($AA$4:$AL$323,Ajustes!$G216,S$2),0)+IF(Ajustes!$H216&gt;0,INDEX($AA$4:$AL$323,Ajustes!$H216,S$2),0)+IF(Ajustes!$I216&gt;0,INDEX($AA$4:$AL$323,Ajustes!$I216,S$2),0)+IF(Ajustes!$J216&gt;0,INDEX($AA$4:$AL$323,Ajustes!$J216,S$2),0)+IF(Ajustes!$K216&gt;0,INDEX($AA$5:$AL$324,Ajustes!$K216,S$2),0)+IF(Ajustes!$L216&gt;0,INDEX($AA$4:$AL$323,Ajustes!$L216,S$2),0) + S216</f>
        <v>0</v>
      </c>
      <c r="AF216">
        <f>IF(Ajustes!$G216&gt;0,INDEX($AA$4:$AL$323,Ajustes!$G216,T$2),0)+IF(Ajustes!$H216&gt;0,INDEX($AA$4:$AL$323,Ajustes!$H216,T$2),0)+IF(Ajustes!$I216&gt;0,INDEX($AA$4:$AL$323,Ajustes!$I216,T$2),0)+IF(Ajustes!$J216&gt;0,INDEX($AA$4:$AL$323,Ajustes!$J216,T$2),0)+IF(Ajustes!$K216&gt;0,INDEX($AA$5:$AL$324,Ajustes!$K216,T$2),0)+IF(Ajustes!$L216&gt;0,INDEX($AA$4:$AL$323,Ajustes!$L216,T$2),0) + T216</f>
        <v>0</v>
      </c>
      <c r="AG216">
        <f>IF(Ajustes!$G216&gt;0,INDEX($AA$4:$AL$323,Ajustes!$G216,U$2),0)+IF(Ajustes!$H216&gt;0,INDEX($AA$4:$AL$323,Ajustes!$H216,U$2),0)+IF(Ajustes!$I216&gt;0,INDEX($AA$4:$AL$323,Ajustes!$I216,U$2),0)+IF(Ajustes!$J216&gt;0,INDEX($AA$4:$AL$323,Ajustes!$J216,U$2),0)+IF(Ajustes!$K216&gt;0,INDEX($AA$5:$AL$324,Ajustes!$K216,U$2),0)+IF(Ajustes!$L216&gt;0,INDEX($AA$4:$AL$323,Ajustes!$L216,U$2),0) + U216</f>
        <v>0</v>
      </c>
      <c r="AH216">
        <f>IF(Ajustes!$G216&gt;0,INDEX($AA$4:$AL$323,Ajustes!$G216,V$2),0)+IF(Ajustes!$H216&gt;0,INDEX($AA$4:$AL$323,Ajustes!$H216,V$2),0)+IF(Ajustes!$I216&gt;0,INDEX($AA$4:$AL$323,Ajustes!$I216,V$2),0)+IF(Ajustes!$J216&gt;0,INDEX($AA$4:$AL$323,Ajustes!$J216,V$2),0)+IF(Ajustes!$K216&gt;0,INDEX($AA$5:$AL$324,Ajustes!$K216,V$2),0)+IF(Ajustes!$L216&gt;0,INDEX($AA$4:$AL$323,Ajustes!$L216,V$2),0) + V216</f>
        <v>0</v>
      </c>
      <c r="AI216">
        <f>IF(Ajustes!$G216&gt;0,INDEX($AA$4:$AL$323,Ajustes!$G216,W$2),0)+IF(Ajustes!$H216&gt;0,INDEX($AA$4:$AL$323,Ajustes!$H216,W$2),0)+IF(Ajustes!$I216&gt;0,INDEX($AA$4:$AL$323,Ajustes!$I216,W$2),0)+IF(Ajustes!$J216&gt;0,INDEX($AA$4:$AL$323,Ajustes!$J216,W$2),0)+IF(Ajustes!$K216&gt;0,INDEX($AA$5:$AL$324,Ajustes!$K216,W$2),0)+IF(Ajustes!$L216&gt;0,INDEX($AA$4:$AL$323,Ajustes!$L216,W$2),0) + W216</f>
        <v>0</v>
      </c>
      <c r="AJ216">
        <f>IF(Ajustes!$G216&gt;0,INDEX($AA$4:$AL$323,Ajustes!$G216,X$2),0)+IF(Ajustes!$H216&gt;0,INDEX($AA$4:$AL$323,Ajustes!$H216,X$2),0)+IF(Ajustes!$I216&gt;0,INDEX($AA$4:$AL$323,Ajustes!$I216,X$2),0)+IF(Ajustes!$J216&gt;0,INDEX($AA$4:$AL$323,Ajustes!$J216,X$2),0)+IF(Ajustes!$K216&gt;0,INDEX($AA$5:$AL$324,Ajustes!$K216,X$2),0)+IF(Ajustes!$L216&gt;0,INDEX($AA$4:$AL$323,Ajustes!$L216,X$2),0) + X216</f>
        <v>0</v>
      </c>
      <c r="AK216">
        <f>IF(Ajustes!$G216&gt;0,INDEX($AA$4:$AL$323,Ajustes!$G216,Y$2),0)+IF(Ajustes!$H216&gt;0,INDEX($AA$4:$AL$323,Ajustes!$H216,Y$2),0)+IF(Ajustes!$I216&gt;0,INDEX($AA$4:$AL$323,Ajustes!$I216,Y$2),0)+IF(Ajustes!$J216&gt;0,INDEX($AA$4:$AL$323,Ajustes!$J216,Y$2),0)+IF(Ajustes!$K216&gt;0,INDEX($AA$5:$AL$324,Ajustes!$K216,Y$2),0)+IF(Ajustes!$L216&gt;0,INDEX($AA$4:$AL$323,Ajustes!$L216,Y$2),0) + Y216</f>
        <v>0</v>
      </c>
      <c r="AL216">
        <f>IF(Ajustes!$G216&gt;0,INDEX($AA$4:$AL$323,Ajustes!$G216,Z$2),0)+IF(Ajustes!$H216&gt;0,INDEX($AA$4:$AL$323,Ajustes!$H216,Z$2),0)+IF(Ajustes!$I216&gt;0,INDEX($AA$4:$AL$323,Ajustes!$I216,Z$2),0)+IF(Ajustes!$J216&gt;0,INDEX($AA$4:$AL$323,Ajustes!$J216,Z$2),0)+IF(Ajustes!$K216&gt;0,INDEX($AA$5:$AL$324,Ajustes!$K216,Z$2),0)+IF(Ajustes!$L216&gt;0,INDEX($AA$4:$AL$323,Ajustes!$L216,Z$2),0) + Z216</f>
        <v>0</v>
      </c>
      <c r="AM216" s="113">
        <f t="shared" si="47"/>
        <v>0</v>
      </c>
      <c r="AN216" s="113">
        <f t="shared" si="47"/>
        <v>0</v>
      </c>
      <c r="AO216" s="113">
        <f t="shared" si="47"/>
        <v>0</v>
      </c>
      <c r="AP216" s="113">
        <f t="shared" si="47"/>
        <v>0</v>
      </c>
      <c r="AQ216" s="113">
        <f t="shared" si="49"/>
        <v>0</v>
      </c>
      <c r="AR216" s="113">
        <f t="shared" si="48"/>
        <v>0</v>
      </c>
      <c r="AS216" s="113">
        <f t="shared" si="48"/>
        <v>0</v>
      </c>
      <c r="AT216" s="113">
        <f t="shared" si="48"/>
        <v>0</v>
      </c>
      <c r="AU216" s="113">
        <f t="shared" si="48"/>
        <v>0</v>
      </c>
      <c r="AV216" s="113">
        <f t="shared" si="51"/>
        <v>0</v>
      </c>
      <c r="AW216" s="113">
        <f t="shared" si="50"/>
        <v>0</v>
      </c>
      <c r="AX216" s="113">
        <f t="shared" si="50"/>
        <v>0</v>
      </c>
    </row>
    <row r="217" spans="1:50" x14ac:dyDescent="0.25">
      <c r="A217" s="113">
        <v>214</v>
      </c>
      <c r="B217" s="209"/>
      <c r="C217">
        <f>IFERROR(INDEX($BD$7:$BO$35,MATCH(Ajustes!$E$4:$E$323,$BC$7:$BC$35,0),$C$2:$N$2),1)</f>
        <v>1</v>
      </c>
      <c r="D217" s="113">
        <f>IFERROR(INDEX($BD$7:$BO$35,MATCH(Ajustes!$E$4:$E$323,$BC$7:$BC$35,0),$C$2:$N$2),1)</f>
        <v>1</v>
      </c>
      <c r="E217" s="113">
        <f>IFERROR(INDEX($BD$7:$BO$35,MATCH(Ajustes!$E$4:$E$323,$BC$7:$BC$35,0),$C$2:$N$2),1)</f>
        <v>1</v>
      </c>
      <c r="F217" s="113">
        <f>IFERROR(INDEX($BD$7:$BO$35,MATCH(Ajustes!$E$4:$E$323,$BC$7:$BC$35,0),$C$2:$N$2),1)</f>
        <v>1</v>
      </c>
      <c r="G217" s="113">
        <f>IFERROR(INDEX($BD$7:$BO$35,MATCH(Ajustes!$E$4:$E$323,$BC$7:$BC$35,0),$C$2:$N$2),1)</f>
        <v>1</v>
      </c>
      <c r="H217" s="113">
        <f>IFERROR(INDEX($BD$7:$BO$35,MATCH(Ajustes!$E$4:$E$323,$BC$7:$BC$35,0),$C$2:$N$2),1)</f>
        <v>1</v>
      </c>
      <c r="I217" s="113">
        <f>IFERROR(INDEX($BD$7:$BO$35,MATCH(Ajustes!$E$4:$E$323,$BC$7:$BC$35,0),$C$2:$N$2),1)</f>
        <v>1</v>
      </c>
      <c r="J217" s="113">
        <f>IFERROR(INDEX($BD$7:$BO$35,MATCH(Ajustes!$E$4:$E$323,$BC$7:$BC$35,0),$C$2:$N$2),1)</f>
        <v>1</v>
      </c>
      <c r="K217" s="113">
        <f>IFERROR(INDEX($BD$7:$BO$35,MATCH(Ajustes!$E$4:$E$323,$BC$7:$BC$35,0),$C$2:$N$2),1)</f>
        <v>1</v>
      </c>
      <c r="L217" s="113">
        <f>IFERROR(INDEX($BD$7:$BO$35,MATCH(Ajustes!$E$4:$E$323,$BC$7:$BC$35,0),$C$2:$N$2),1)</f>
        <v>1</v>
      </c>
      <c r="M217" s="113">
        <f>IFERROR(INDEX($BD$7:$BO$35,MATCH(Ajustes!$E$4:$E$323,$BC$7:$BC$35,0),$C$2:$N$2),1)</f>
        <v>1</v>
      </c>
      <c r="N217" s="113">
        <f>IFERROR(INDEX($BD$7:$BO$35,MATCH(Ajustes!$E$4:$E$323,$BC$7:$BC$35,0),$C$2:$N$2),1)</f>
        <v>1</v>
      </c>
      <c r="O217">
        <f>C217*Ajustes!AM217</f>
        <v>0</v>
      </c>
      <c r="P217">
        <f>D217*Ajustes!AN217</f>
        <v>0</v>
      </c>
      <c r="Q217">
        <f>E217*Ajustes!AO217</f>
        <v>0</v>
      </c>
      <c r="R217">
        <f>F217*Ajustes!AP217</f>
        <v>0</v>
      </c>
      <c r="S217">
        <f>G217*Ajustes!AQ217</f>
        <v>0</v>
      </c>
      <c r="T217">
        <f>H217*Ajustes!AR217</f>
        <v>0</v>
      </c>
      <c r="U217">
        <f>I217*Ajustes!AS217</f>
        <v>0</v>
      </c>
      <c r="V217">
        <f>J217*Ajustes!AT217</f>
        <v>0</v>
      </c>
      <c r="W217">
        <f>K217*Ajustes!AU217</f>
        <v>0</v>
      </c>
      <c r="X217">
        <f>L217*Ajustes!AV217</f>
        <v>0</v>
      </c>
      <c r="Y217">
        <f>M217*Ajustes!AW217</f>
        <v>0</v>
      </c>
      <c r="Z217">
        <f>N217*Ajustes!AX217</f>
        <v>0</v>
      </c>
      <c r="AA217">
        <f>IF(Ajustes!$G217&gt;0,INDEX($AA$4:$AL$323,Ajustes!$G217,O$2),0)+IF(Ajustes!$H217&gt;0,INDEX($AA$4:$AL$323,Ajustes!$H217,O$2),0)+IF(Ajustes!$I217&gt;0,INDEX($AA$4:$AL$323,Ajustes!$I217,O$2),0)+IF(Ajustes!$J217&gt;0,INDEX($AA$4:$AL$323,Ajustes!$J217,O$2),0)+IF(Ajustes!$K217&gt;0,INDEX($AA$5:$AL$324,Ajustes!$K217,O$2),0)+IF(Ajustes!$L217&gt;0,INDEX($AA$4:$AL$323,Ajustes!$L217,O$2),0) + O217</f>
        <v>0</v>
      </c>
      <c r="AB217">
        <f>IF(Ajustes!$G217&gt;0,INDEX($AA$4:$AL$323,Ajustes!$G217,P$2),0)+IF(Ajustes!$H217&gt;0,INDEX($AA$4:$AL$323,Ajustes!$H217,P$2),0)+IF(Ajustes!$I217&gt;0,INDEX($AA$4:$AL$323,Ajustes!$I217,P$2),0)+IF(Ajustes!$J217&gt;0,INDEX($AA$4:$AL$323,Ajustes!$J217,P$2),0)+IF(Ajustes!$K217&gt;0,INDEX($AA$5:$AL$324,Ajustes!$K217,P$2),0)+IF(Ajustes!$L217&gt;0,INDEX($AA$4:$AL$323,Ajustes!$L217,P$2),0) + P217</f>
        <v>0</v>
      </c>
      <c r="AC217">
        <f>IF(Ajustes!$G217&gt;0,INDEX($AA$4:$AL$323,Ajustes!$G217,Q$2),0)+IF(Ajustes!$H217&gt;0,INDEX($AA$4:$AL$323,Ajustes!$H217,Q$2),0)+IF(Ajustes!$I217&gt;0,INDEX($AA$4:$AL$323,Ajustes!$I217,Q$2),0)+IF(Ajustes!$J217&gt;0,INDEX($AA$4:$AL$323,Ajustes!$J217,Q$2),0)+IF(Ajustes!$K217&gt;0,INDEX($AA$5:$AL$324,Ajustes!$K217,Q$2),0)+IF(Ajustes!$L217&gt;0,INDEX($AA$4:$AL$323,Ajustes!$L217,Q$2),0) + Q217</f>
        <v>0</v>
      </c>
      <c r="AD217">
        <f>IF(Ajustes!$G217&gt;0,INDEX($AA$4:$AL$323,Ajustes!$G217,R$2),0)+IF(Ajustes!$H217&gt;0,INDEX($AA$4:$AL$323,Ajustes!$H217,R$2),0)+IF(Ajustes!$I217&gt;0,INDEX($AA$4:$AL$323,Ajustes!$I217,R$2),0)+IF(Ajustes!$J217&gt;0,INDEX($AA$4:$AL$323,Ajustes!$J217,R$2),0)+IF(Ajustes!$K217&gt;0,INDEX($AA$5:$AL$324,Ajustes!$K217,R$2),0)+IF(Ajustes!$L217&gt;0,INDEX($AA$4:$AL$323,Ajustes!$L217,R$2),0) + R217</f>
        <v>0</v>
      </c>
      <c r="AE217">
        <f>IF(Ajustes!$G217&gt;0,INDEX($AA$4:$AL$323,Ajustes!$G217,S$2),0)+IF(Ajustes!$H217&gt;0,INDEX($AA$4:$AL$323,Ajustes!$H217,S$2),0)+IF(Ajustes!$I217&gt;0,INDEX($AA$4:$AL$323,Ajustes!$I217,S$2),0)+IF(Ajustes!$J217&gt;0,INDEX($AA$4:$AL$323,Ajustes!$J217,S$2),0)+IF(Ajustes!$K217&gt;0,INDEX($AA$5:$AL$324,Ajustes!$K217,S$2),0)+IF(Ajustes!$L217&gt;0,INDEX($AA$4:$AL$323,Ajustes!$L217,S$2),0) + S217</f>
        <v>0</v>
      </c>
      <c r="AF217">
        <f>IF(Ajustes!$G217&gt;0,INDEX($AA$4:$AL$323,Ajustes!$G217,T$2),0)+IF(Ajustes!$H217&gt;0,INDEX($AA$4:$AL$323,Ajustes!$H217,T$2),0)+IF(Ajustes!$I217&gt;0,INDEX($AA$4:$AL$323,Ajustes!$I217,T$2),0)+IF(Ajustes!$J217&gt;0,INDEX($AA$4:$AL$323,Ajustes!$J217,T$2),0)+IF(Ajustes!$K217&gt;0,INDEX($AA$5:$AL$324,Ajustes!$K217,T$2),0)+IF(Ajustes!$L217&gt;0,INDEX($AA$4:$AL$323,Ajustes!$L217,T$2),0) + T217</f>
        <v>0</v>
      </c>
      <c r="AG217">
        <f>IF(Ajustes!$G217&gt;0,INDEX($AA$4:$AL$323,Ajustes!$G217,U$2),0)+IF(Ajustes!$H217&gt;0,INDEX($AA$4:$AL$323,Ajustes!$H217,U$2),0)+IF(Ajustes!$I217&gt;0,INDEX($AA$4:$AL$323,Ajustes!$I217,U$2),0)+IF(Ajustes!$J217&gt;0,INDEX($AA$4:$AL$323,Ajustes!$J217,U$2),0)+IF(Ajustes!$K217&gt;0,INDEX($AA$5:$AL$324,Ajustes!$K217,U$2),0)+IF(Ajustes!$L217&gt;0,INDEX($AA$4:$AL$323,Ajustes!$L217,U$2),0) + U217</f>
        <v>0</v>
      </c>
      <c r="AH217">
        <f>IF(Ajustes!$G217&gt;0,INDEX($AA$4:$AL$323,Ajustes!$G217,V$2),0)+IF(Ajustes!$H217&gt;0,INDEX($AA$4:$AL$323,Ajustes!$H217,V$2),0)+IF(Ajustes!$I217&gt;0,INDEX($AA$4:$AL$323,Ajustes!$I217,V$2),0)+IF(Ajustes!$J217&gt;0,INDEX($AA$4:$AL$323,Ajustes!$J217,V$2),0)+IF(Ajustes!$K217&gt;0,INDEX($AA$5:$AL$324,Ajustes!$K217,V$2),0)+IF(Ajustes!$L217&gt;0,INDEX($AA$4:$AL$323,Ajustes!$L217,V$2),0) + V217</f>
        <v>0</v>
      </c>
      <c r="AI217">
        <f>IF(Ajustes!$G217&gt;0,INDEX($AA$4:$AL$323,Ajustes!$G217,W$2),0)+IF(Ajustes!$H217&gt;0,INDEX($AA$4:$AL$323,Ajustes!$H217,W$2),0)+IF(Ajustes!$I217&gt;0,INDEX($AA$4:$AL$323,Ajustes!$I217,W$2),0)+IF(Ajustes!$J217&gt;0,INDEX($AA$4:$AL$323,Ajustes!$J217,W$2),0)+IF(Ajustes!$K217&gt;0,INDEX($AA$5:$AL$324,Ajustes!$K217,W$2),0)+IF(Ajustes!$L217&gt;0,INDEX($AA$4:$AL$323,Ajustes!$L217,W$2),0) + W217</f>
        <v>0</v>
      </c>
      <c r="AJ217">
        <f>IF(Ajustes!$G217&gt;0,INDEX($AA$4:$AL$323,Ajustes!$G217,X$2),0)+IF(Ajustes!$H217&gt;0,INDEX($AA$4:$AL$323,Ajustes!$H217,X$2),0)+IF(Ajustes!$I217&gt;0,INDEX($AA$4:$AL$323,Ajustes!$I217,X$2),0)+IF(Ajustes!$J217&gt;0,INDEX($AA$4:$AL$323,Ajustes!$J217,X$2),0)+IF(Ajustes!$K217&gt;0,INDEX($AA$5:$AL$324,Ajustes!$K217,X$2),0)+IF(Ajustes!$L217&gt;0,INDEX($AA$4:$AL$323,Ajustes!$L217,X$2),0) + X217</f>
        <v>0</v>
      </c>
      <c r="AK217">
        <f>IF(Ajustes!$G217&gt;0,INDEX($AA$4:$AL$323,Ajustes!$G217,Y$2),0)+IF(Ajustes!$H217&gt;0,INDEX($AA$4:$AL$323,Ajustes!$H217,Y$2),0)+IF(Ajustes!$I217&gt;0,INDEX($AA$4:$AL$323,Ajustes!$I217,Y$2),0)+IF(Ajustes!$J217&gt;0,INDEX($AA$4:$AL$323,Ajustes!$J217,Y$2),0)+IF(Ajustes!$K217&gt;0,INDEX($AA$5:$AL$324,Ajustes!$K217,Y$2),0)+IF(Ajustes!$L217&gt;0,INDEX($AA$4:$AL$323,Ajustes!$L217,Y$2),0) + Y217</f>
        <v>0</v>
      </c>
      <c r="AL217">
        <f>IF(Ajustes!$G217&gt;0,INDEX($AA$4:$AL$323,Ajustes!$G217,Z$2),0)+IF(Ajustes!$H217&gt;0,INDEX($AA$4:$AL$323,Ajustes!$H217,Z$2),0)+IF(Ajustes!$I217&gt;0,INDEX($AA$4:$AL$323,Ajustes!$I217,Z$2),0)+IF(Ajustes!$J217&gt;0,INDEX($AA$4:$AL$323,Ajustes!$J217,Z$2),0)+IF(Ajustes!$K217&gt;0,INDEX($AA$5:$AL$324,Ajustes!$K217,Z$2),0)+IF(Ajustes!$L217&gt;0,INDEX($AA$4:$AL$323,Ajustes!$L217,Z$2),0) + Z217</f>
        <v>0</v>
      </c>
      <c r="AM217" s="113">
        <f t="shared" si="47"/>
        <v>0</v>
      </c>
      <c r="AN217" s="113">
        <f t="shared" si="47"/>
        <v>0</v>
      </c>
      <c r="AO217" s="113">
        <f t="shared" si="47"/>
        <v>0</v>
      </c>
      <c r="AP217" s="113">
        <f t="shared" si="47"/>
        <v>0</v>
      </c>
      <c r="AQ217" s="113">
        <f t="shared" si="49"/>
        <v>0</v>
      </c>
      <c r="AR217" s="113">
        <f t="shared" si="48"/>
        <v>0</v>
      </c>
      <c r="AS217" s="113">
        <f t="shared" si="48"/>
        <v>0</v>
      </c>
      <c r="AT217" s="113">
        <f t="shared" si="48"/>
        <v>0</v>
      </c>
      <c r="AU217" s="113">
        <f t="shared" si="48"/>
        <v>0</v>
      </c>
      <c r="AV217" s="113">
        <f t="shared" si="51"/>
        <v>0</v>
      </c>
      <c r="AW217" s="113">
        <f t="shared" si="50"/>
        <v>0</v>
      </c>
      <c r="AX217" s="113">
        <f t="shared" si="50"/>
        <v>0</v>
      </c>
    </row>
    <row r="218" spans="1:50" x14ac:dyDescent="0.25">
      <c r="A218" s="113">
        <v>215</v>
      </c>
      <c r="B218" s="209" t="s">
        <v>187</v>
      </c>
      <c r="C218">
        <f>IFERROR(INDEX($BD$7:$BO$35,MATCH(Ajustes!$E$4:$E$323,$BC$7:$BC$35,0),$C$2:$N$2),1)</f>
        <v>1</v>
      </c>
      <c r="D218" s="113">
        <f>IFERROR(INDEX($BD$7:$BO$35,MATCH(Ajustes!$E$4:$E$323,$BC$7:$BC$35,0),$C$2:$N$2),1)</f>
        <v>1</v>
      </c>
      <c r="E218" s="113">
        <f>IFERROR(INDEX($BD$7:$BO$35,MATCH(Ajustes!$E$4:$E$323,$BC$7:$BC$35,0),$C$2:$N$2),1)</f>
        <v>1</v>
      </c>
      <c r="F218" s="113">
        <f>IFERROR(INDEX($BD$7:$BO$35,MATCH(Ajustes!$E$4:$E$323,$BC$7:$BC$35,0),$C$2:$N$2),1)</f>
        <v>1</v>
      </c>
      <c r="G218" s="113">
        <f>IFERROR(INDEX($BD$7:$BO$35,MATCH(Ajustes!$E$4:$E$323,$BC$7:$BC$35,0),$C$2:$N$2),1)</f>
        <v>1</v>
      </c>
      <c r="H218" s="113">
        <f>IFERROR(INDEX($BD$7:$BO$35,MATCH(Ajustes!$E$4:$E$323,$BC$7:$BC$35,0),$C$2:$N$2),1)</f>
        <v>1</v>
      </c>
      <c r="I218" s="113">
        <f>IFERROR(INDEX($BD$7:$BO$35,MATCH(Ajustes!$E$4:$E$323,$BC$7:$BC$35,0),$C$2:$N$2),1)</f>
        <v>1</v>
      </c>
      <c r="J218" s="113">
        <f>IFERROR(INDEX($BD$7:$BO$35,MATCH(Ajustes!$E$4:$E$323,$BC$7:$BC$35,0),$C$2:$N$2),1)</f>
        <v>1</v>
      </c>
      <c r="K218" s="113">
        <f>IFERROR(INDEX($BD$7:$BO$35,MATCH(Ajustes!$E$4:$E$323,$BC$7:$BC$35,0),$C$2:$N$2),1)</f>
        <v>1</v>
      </c>
      <c r="L218" s="113">
        <f>IFERROR(INDEX($BD$7:$BO$35,MATCH(Ajustes!$E$4:$E$323,$BC$7:$BC$35,0),$C$2:$N$2),1)</f>
        <v>1</v>
      </c>
      <c r="M218" s="113">
        <f>IFERROR(INDEX($BD$7:$BO$35,MATCH(Ajustes!$E$4:$E$323,$BC$7:$BC$35,0),$C$2:$N$2),1)</f>
        <v>1</v>
      </c>
      <c r="N218" s="113">
        <f>IFERROR(INDEX($BD$7:$BO$35,MATCH(Ajustes!$E$4:$E$323,$BC$7:$BC$35,0),$C$2:$N$2),1)</f>
        <v>1</v>
      </c>
      <c r="O218">
        <f>C218*Ajustes!AM218</f>
        <v>181</v>
      </c>
      <c r="P218">
        <f>D218*Ajustes!AN218</f>
        <v>236</v>
      </c>
      <c r="Q218">
        <f>E218*Ajustes!AO218</f>
        <v>177</v>
      </c>
      <c r="R218">
        <f>F218*Ajustes!AP218</f>
        <v>185</v>
      </c>
      <c r="S218">
        <f>G218*Ajustes!AQ218</f>
        <v>251</v>
      </c>
      <c r="T218">
        <f>H218*Ajustes!AR218</f>
        <v>278</v>
      </c>
      <c r="U218">
        <f>I218*Ajustes!AS218</f>
        <v>356</v>
      </c>
      <c r="V218">
        <f>J218*Ajustes!AT218</f>
        <v>383</v>
      </c>
      <c r="W218">
        <f>K218*Ajustes!AU218</f>
        <v>434</v>
      </c>
      <c r="X218">
        <f>L218*Ajustes!AV218</f>
        <v>382</v>
      </c>
      <c r="Y218">
        <f>M218*Ajustes!AW218</f>
        <v>236</v>
      </c>
      <c r="Z218">
        <f>N218*Ajustes!AX218</f>
        <v>185</v>
      </c>
      <c r="AA218">
        <f>IF(Ajustes!$G218&gt;0,INDEX($AA$4:$AL$323,Ajustes!$G218,O$2),0)+IF(Ajustes!$H218&gt;0,INDEX($AA$4:$AL$323,Ajustes!$H218,O$2),0)+IF(Ajustes!$I218&gt;0,INDEX($AA$4:$AL$323,Ajustes!$I218,O$2),0)+IF(Ajustes!$J218&gt;0,INDEX($AA$4:$AL$323,Ajustes!$J218,O$2),0)+IF(Ajustes!$K218&gt;0,INDEX($AA$5:$AL$324,Ajustes!$K218,O$2),0)+IF(Ajustes!$L218&gt;0,INDEX($AA$4:$AL$323,Ajustes!$L218,O$2),0) + O218</f>
        <v>181</v>
      </c>
      <c r="AB218">
        <f>IF(Ajustes!$G218&gt;0,INDEX($AA$4:$AL$323,Ajustes!$G218,P$2),0)+IF(Ajustes!$H218&gt;0,INDEX($AA$4:$AL$323,Ajustes!$H218,P$2),0)+IF(Ajustes!$I218&gt;0,INDEX($AA$4:$AL$323,Ajustes!$I218,P$2),0)+IF(Ajustes!$J218&gt;0,INDEX($AA$4:$AL$323,Ajustes!$J218,P$2),0)+IF(Ajustes!$K218&gt;0,INDEX($AA$5:$AL$324,Ajustes!$K218,P$2),0)+IF(Ajustes!$L218&gt;0,INDEX($AA$4:$AL$323,Ajustes!$L218,P$2),0) + P218</f>
        <v>236</v>
      </c>
      <c r="AC218">
        <f>IF(Ajustes!$G218&gt;0,INDEX($AA$4:$AL$323,Ajustes!$G218,Q$2),0)+IF(Ajustes!$H218&gt;0,INDEX($AA$4:$AL$323,Ajustes!$H218,Q$2),0)+IF(Ajustes!$I218&gt;0,INDEX($AA$4:$AL$323,Ajustes!$I218,Q$2),0)+IF(Ajustes!$J218&gt;0,INDEX($AA$4:$AL$323,Ajustes!$J218,Q$2),0)+IF(Ajustes!$K218&gt;0,INDEX($AA$5:$AL$324,Ajustes!$K218,Q$2),0)+IF(Ajustes!$L218&gt;0,INDEX($AA$4:$AL$323,Ajustes!$L218,Q$2),0) + Q218</f>
        <v>177</v>
      </c>
      <c r="AD218">
        <f>IF(Ajustes!$G218&gt;0,INDEX($AA$4:$AL$323,Ajustes!$G218,R$2),0)+IF(Ajustes!$H218&gt;0,INDEX($AA$4:$AL$323,Ajustes!$H218,R$2),0)+IF(Ajustes!$I218&gt;0,INDEX($AA$4:$AL$323,Ajustes!$I218,R$2),0)+IF(Ajustes!$J218&gt;0,INDEX($AA$4:$AL$323,Ajustes!$J218,R$2),0)+IF(Ajustes!$K218&gt;0,INDEX($AA$5:$AL$324,Ajustes!$K218,R$2),0)+IF(Ajustes!$L218&gt;0,INDEX($AA$4:$AL$323,Ajustes!$L218,R$2),0) + R218</f>
        <v>185</v>
      </c>
      <c r="AE218">
        <f>IF(Ajustes!$G218&gt;0,INDEX($AA$4:$AL$323,Ajustes!$G218,S$2),0)+IF(Ajustes!$H218&gt;0,INDEX($AA$4:$AL$323,Ajustes!$H218,S$2),0)+IF(Ajustes!$I218&gt;0,INDEX($AA$4:$AL$323,Ajustes!$I218,S$2),0)+IF(Ajustes!$J218&gt;0,INDEX($AA$4:$AL$323,Ajustes!$J218,S$2),0)+IF(Ajustes!$K218&gt;0,INDEX($AA$5:$AL$324,Ajustes!$K218,S$2),0)+IF(Ajustes!$L218&gt;0,INDEX($AA$4:$AL$323,Ajustes!$L218,S$2),0) + S218</f>
        <v>251</v>
      </c>
      <c r="AF218">
        <f>IF(Ajustes!$G218&gt;0,INDEX($AA$4:$AL$323,Ajustes!$G218,T$2),0)+IF(Ajustes!$H218&gt;0,INDEX($AA$4:$AL$323,Ajustes!$H218,T$2),0)+IF(Ajustes!$I218&gt;0,INDEX($AA$4:$AL$323,Ajustes!$I218,T$2),0)+IF(Ajustes!$J218&gt;0,INDEX($AA$4:$AL$323,Ajustes!$J218,T$2),0)+IF(Ajustes!$K218&gt;0,INDEX($AA$5:$AL$324,Ajustes!$K218,T$2),0)+IF(Ajustes!$L218&gt;0,INDEX($AA$4:$AL$323,Ajustes!$L218,T$2),0) + T218</f>
        <v>278</v>
      </c>
      <c r="AG218">
        <f>IF(Ajustes!$G218&gt;0,INDEX($AA$4:$AL$323,Ajustes!$G218,U$2),0)+IF(Ajustes!$H218&gt;0,INDEX($AA$4:$AL$323,Ajustes!$H218,U$2),0)+IF(Ajustes!$I218&gt;0,INDEX($AA$4:$AL$323,Ajustes!$I218,U$2),0)+IF(Ajustes!$J218&gt;0,INDEX($AA$4:$AL$323,Ajustes!$J218,U$2),0)+IF(Ajustes!$K218&gt;0,INDEX($AA$5:$AL$324,Ajustes!$K218,U$2),0)+IF(Ajustes!$L218&gt;0,INDEX($AA$4:$AL$323,Ajustes!$L218,U$2),0) + U218</f>
        <v>356</v>
      </c>
      <c r="AH218">
        <f>IF(Ajustes!$G218&gt;0,INDEX($AA$4:$AL$323,Ajustes!$G218,V$2),0)+IF(Ajustes!$H218&gt;0,INDEX($AA$4:$AL$323,Ajustes!$H218,V$2),0)+IF(Ajustes!$I218&gt;0,INDEX($AA$4:$AL$323,Ajustes!$I218,V$2),0)+IF(Ajustes!$J218&gt;0,INDEX($AA$4:$AL$323,Ajustes!$J218,V$2),0)+IF(Ajustes!$K218&gt;0,INDEX($AA$5:$AL$324,Ajustes!$K218,V$2),0)+IF(Ajustes!$L218&gt;0,INDEX($AA$4:$AL$323,Ajustes!$L218,V$2),0) + V218</f>
        <v>383</v>
      </c>
      <c r="AI218">
        <f>IF(Ajustes!$G218&gt;0,INDEX($AA$4:$AL$323,Ajustes!$G218,W$2),0)+IF(Ajustes!$H218&gt;0,INDEX($AA$4:$AL$323,Ajustes!$H218,W$2),0)+IF(Ajustes!$I218&gt;0,INDEX($AA$4:$AL$323,Ajustes!$I218,W$2),0)+IF(Ajustes!$J218&gt;0,INDEX($AA$4:$AL$323,Ajustes!$J218,W$2),0)+IF(Ajustes!$K218&gt;0,INDEX($AA$5:$AL$324,Ajustes!$K218,W$2),0)+IF(Ajustes!$L218&gt;0,INDEX($AA$4:$AL$323,Ajustes!$L218,W$2),0) + W218</f>
        <v>434</v>
      </c>
      <c r="AJ218">
        <f>IF(Ajustes!$G218&gt;0,INDEX($AA$4:$AL$323,Ajustes!$G218,X$2),0)+IF(Ajustes!$H218&gt;0,INDEX($AA$4:$AL$323,Ajustes!$H218,X$2),0)+IF(Ajustes!$I218&gt;0,INDEX($AA$4:$AL$323,Ajustes!$I218,X$2),0)+IF(Ajustes!$J218&gt;0,INDEX($AA$4:$AL$323,Ajustes!$J218,X$2),0)+IF(Ajustes!$K218&gt;0,INDEX($AA$5:$AL$324,Ajustes!$K218,X$2),0)+IF(Ajustes!$L218&gt;0,INDEX($AA$4:$AL$323,Ajustes!$L218,X$2),0) + X218</f>
        <v>382</v>
      </c>
      <c r="AK218">
        <f>IF(Ajustes!$G218&gt;0,INDEX($AA$4:$AL$323,Ajustes!$G218,Y$2),0)+IF(Ajustes!$H218&gt;0,INDEX($AA$4:$AL$323,Ajustes!$H218,Y$2),0)+IF(Ajustes!$I218&gt;0,INDEX($AA$4:$AL$323,Ajustes!$I218,Y$2),0)+IF(Ajustes!$J218&gt;0,INDEX($AA$4:$AL$323,Ajustes!$J218,Y$2),0)+IF(Ajustes!$K218&gt;0,INDEX($AA$5:$AL$324,Ajustes!$K218,Y$2),0)+IF(Ajustes!$L218&gt;0,INDEX($AA$4:$AL$323,Ajustes!$L218,Y$2),0) + Y218</f>
        <v>236</v>
      </c>
      <c r="AL218">
        <f>IF(Ajustes!$G218&gt;0,INDEX($AA$4:$AL$323,Ajustes!$G218,Z$2),0)+IF(Ajustes!$H218&gt;0,INDEX($AA$4:$AL$323,Ajustes!$H218,Z$2),0)+IF(Ajustes!$I218&gt;0,INDEX($AA$4:$AL$323,Ajustes!$I218,Z$2),0)+IF(Ajustes!$J218&gt;0,INDEX($AA$4:$AL$323,Ajustes!$J218,Z$2),0)+IF(Ajustes!$K218&gt;0,INDEX($AA$5:$AL$324,Ajustes!$K218,Z$2),0)+IF(Ajustes!$L218&gt;0,INDEX($AA$4:$AL$323,Ajustes!$L218,Z$2),0) + Z218</f>
        <v>185</v>
      </c>
      <c r="AM218" s="113">
        <f t="shared" si="47"/>
        <v>181</v>
      </c>
      <c r="AN218" s="113">
        <f t="shared" si="47"/>
        <v>236</v>
      </c>
      <c r="AO218" s="113">
        <f t="shared" si="47"/>
        <v>177</v>
      </c>
      <c r="AP218" s="113">
        <f t="shared" si="47"/>
        <v>185</v>
      </c>
      <c r="AQ218" s="113">
        <f t="shared" si="49"/>
        <v>251</v>
      </c>
      <c r="AR218" s="113">
        <f t="shared" si="48"/>
        <v>278</v>
      </c>
      <c r="AS218" s="113">
        <f t="shared" si="48"/>
        <v>356</v>
      </c>
      <c r="AT218" s="113">
        <f t="shared" si="48"/>
        <v>383</v>
      </c>
      <c r="AU218" s="113">
        <f t="shared" si="48"/>
        <v>434</v>
      </c>
      <c r="AV218" s="113">
        <f t="shared" si="51"/>
        <v>382</v>
      </c>
      <c r="AW218" s="113">
        <f t="shared" si="50"/>
        <v>236</v>
      </c>
      <c r="AX218" s="113">
        <f t="shared" si="50"/>
        <v>185</v>
      </c>
    </row>
    <row r="219" spans="1:50" x14ac:dyDescent="0.25">
      <c r="A219" s="113">
        <v>216</v>
      </c>
      <c r="B219" s="209" t="s">
        <v>189</v>
      </c>
      <c r="C219">
        <f>IFERROR(INDEX($BD$7:$BO$35,MATCH(Ajustes!$E$4:$E$323,$BC$7:$BC$35,0),$C$2:$N$2),1)</f>
        <v>1</v>
      </c>
      <c r="D219" s="113">
        <f>IFERROR(INDEX($BD$7:$BO$35,MATCH(Ajustes!$E$4:$E$323,$BC$7:$BC$35,0),$C$2:$N$2),1)</f>
        <v>1</v>
      </c>
      <c r="E219" s="113">
        <f>IFERROR(INDEX($BD$7:$BO$35,MATCH(Ajustes!$E$4:$E$323,$BC$7:$BC$35,0),$C$2:$N$2),1)</f>
        <v>1</v>
      </c>
      <c r="F219" s="113">
        <f>IFERROR(INDEX($BD$7:$BO$35,MATCH(Ajustes!$E$4:$E$323,$BC$7:$BC$35,0),$C$2:$N$2),1)</f>
        <v>1</v>
      </c>
      <c r="G219" s="113">
        <f>IFERROR(INDEX($BD$7:$BO$35,MATCH(Ajustes!$E$4:$E$323,$BC$7:$BC$35,0),$C$2:$N$2),1)</f>
        <v>1</v>
      </c>
      <c r="H219" s="113">
        <f>IFERROR(INDEX($BD$7:$BO$35,MATCH(Ajustes!$E$4:$E$323,$BC$7:$BC$35,0),$C$2:$N$2),1)</f>
        <v>1</v>
      </c>
      <c r="I219" s="113">
        <f>IFERROR(INDEX($BD$7:$BO$35,MATCH(Ajustes!$E$4:$E$323,$BC$7:$BC$35,0),$C$2:$N$2),1)</f>
        <v>1</v>
      </c>
      <c r="J219" s="113">
        <f>IFERROR(INDEX($BD$7:$BO$35,MATCH(Ajustes!$E$4:$E$323,$BC$7:$BC$35,0),$C$2:$N$2),1)</f>
        <v>1</v>
      </c>
      <c r="K219" s="113">
        <f>IFERROR(INDEX($BD$7:$BO$35,MATCH(Ajustes!$E$4:$E$323,$BC$7:$BC$35,0),$C$2:$N$2),1)</f>
        <v>1</v>
      </c>
      <c r="L219" s="113">
        <f>IFERROR(INDEX($BD$7:$BO$35,MATCH(Ajustes!$E$4:$E$323,$BC$7:$BC$35,0),$C$2:$N$2),1)</f>
        <v>1</v>
      </c>
      <c r="M219" s="113">
        <f>IFERROR(INDEX($BD$7:$BO$35,MATCH(Ajustes!$E$4:$E$323,$BC$7:$BC$35,0),$C$2:$N$2),1)</f>
        <v>1</v>
      </c>
      <c r="N219" s="113">
        <f>IFERROR(INDEX($BD$7:$BO$35,MATCH(Ajustes!$E$4:$E$323,$BC$7:$BC$35,0),$C$2:$N$2),1)</f>
        <v>1</v>
      </c>
      <c r="O219">
        <f>C219*Ajustes!AM219</f>
        <v>17</v>
      </c>
      <c r="P219">
        <f>D219*Ajustes!AN219</f>
        <v>22</v>
      </c>
      <c r="Q219">
        <f>E219*Ajustes!AO219</f>
        <v>17</v>
      </c>
      <c r="R219">
        <f>F219*Ajustes!AP219</f>
        <v>20</v>
      </c>
      <c r="S219">
        <f>G219*Ajustes!AQ219</f>
        <v>28</v>
      </c>
      <c r="T219">
        <f>H219*Ajustes!AR219</f>
        <v>31</v>
      </c>
      <c r="U219">
        <f>I219*Ajustes!AS219</f>
        <v>37</v>
      </c>
      <c r="V219">
        <f>J219*Ajustes!AT219</f>
        <v>38</v>
      </c>
      <c r="W219">
        <f>K219*Ajustes!AU219</f>
        <v>45</v>
      </c>
      <c r="X219">
        <f>L219*Ajustes!AV219</f>
        <v>47</v>
      </c>
      <c r="Y219">
        <f>M219*Ajustes!AW219</f>
        <v>29</v>
      </c>
      <c r="Z219">
        <f>N219*Ajustes!AX219</f>
        <v>19</v>
      </c>
      <c r="AA219">
        <f>IF(Ajustes!$G219&gt;0,INDEX($AA$4:$AL$323,Ajustes!$G219,O$2),0)+IF(Ajustes!$H219&gt;0,INDEX($AA$4:$AL$323,Ajustes!$H219,O$2),0)+IF(Ajustes!$I219&gt;0,INDEX($AA$4:$AL$323,Ajustes!$I219,O$2),0)+IF(Ajustes!$J219&gt;0,INDEX($AA$4:$AL$323,Ajustes!$J219,O$2),0)+IF(Ajustes!$K219&gt;0,INDEX($AA$5:$AL$324,Ajustes!$K219,O$2),0)+IF(Ajustes!$L219&gt;0,INDEX($AA$4:$AL$323,Ajustes!$L219,O$2),0) + O219</f>
        <v>226</v>
      </c>
      <c r="AB219">
        <f>IF(Ajustes!$G219&gt;0,INDEX($AA$4:$AL$323,Ajustes!$G219,P$2),0)+IF(Ajustes!$H219&gt;0,INDEX($AA$4:$AL$323,Ajustes!$H219,P$2),0)+IF(Ajustes!$I219&gt;0,INDEX($AA$4:$AL$323,Ajustes!$I219,P$2),0)+IF(Ajustes!$J219&gt;0,INDEX($AA$4:$AL$323,Ajustes!$J219,P$2),0)+IF(Ajustes!$K219&gt;0,INDEX($AA$5:$AL$324,Ajustes!$K219,P$2),0)+IF(Ajustes!$L219&gt;0,INDEX($AA$4:$AL$323,Ajustes!$L219,P$2),0) + P219</f>
        <v>283</v>
      </c>
      <c r="AC219">
        <f>IF(Ajustes!$G219&gt;0,INDEX($AA$4:$AL$323,Ajustes!$G219,Q$2),0)+IF(Ajustes!$H219&gt;0,INDEX($AA$4:$AL$323,Ajustes!$H219,Q$2),0)+IF(Ajustes!$I219&gt;0,INDEX($AA$4:$AL$323,Ajustes!$I219,Q$2),0)+IF(Ajustes!$J219&gt;0,INDEX($AA$4:$AL$323,Ajustes!$J219,Q$2),0)+IF(Ajustes!$K219&gt;0,INDEX($AA$5:$AL$324,Ajustes!$K219,Q$2),0)+IF(Ajustes!$L219&gt;0,INDEX($AA$4:$AL$323,Ajustes!$L219,Q$2),0) + Q219</f>
        <v>228</v>
      </c>
      <c r="AD219">
        <f>IF(Ajustes!$G219&gt;0,INDEX($AA$4:$AL$323,Ajustes!$G219,R$2),0)+IF(Ajustes!$H219&gt;0,INDEX($AA$4:$AL$323,Ajustes!$H219,R$2),0)+IF(Ajustes!$I219&gt;0,INDEX($AA$4:$AL$323,Ajustes!$I219,R$2),0)+IF(Ajustes!$J219&gt;0,INDEX($AA$4:$AL$323,Ajustes!$J219,R$2),0)+IF(Ajustes!$K219&gt;0,INDEX($AA$5:$AL$324,Ajustes!$K219,R$2),0)+IF(Ajustes!$L219&gt;0,INDEX($AA$4:$AL$323,Ajustes!$L219,R$2),0) + R219</f>
        <v>212</v>
      </c>
      <c r="AE219">
        <f>IF(Ajustes!$G219&gt;0,INDEX($AA$4:$AL$323,Ajustes!$G219,S$2),0)+IF(Ajustes!$H219&gt;0,INDEX($AA$4:$AL$323,Ajustes!$H219,S$2),0)+IF(Ajustes!$I219&gt;0,INDEX($AA$4:$AL$323,Ajustes!$I219,S$2),0)+IF(Ajustes!$J219&gt;0,INDEX($AA$4:$AL$323,Ajustes!$J219,S$2),0)+IF(Ajustes!$K219&gt;0,INDEX($AA$5:$AL$324,Ajustes!$K219,S$2),0)+IF(Ajustes!$L219&gt;0,INDEX($AA$4:$AL$323,Ajustes!$L219,S$2),0) + S219</f>
        <v>279</v>
      </c>
      <c r="AF219">
        <f>IF(Ajustes!$G219&gt;0,INDEX($AA$4:$AL$323,Ajustes!$G219,T$2),0)+IF(Ajustes!$H219&gt;0,INDEX($AA$4:$AL$323,Ajustes!$H219,T$2),0)+IF(Ajustes!$I219&gt;0,INDEX($AA$4:$AL$323,Ajustes!$I219,T$2),0)+IF(Ajustes!$J219&gt;0,INDEX($AA$4:$AL$323,Ajustes!$J219,T$2),0)+IF(Ajustes!$K219&gt;0,INDEX($AA$5:$AL$324,Ajustes!$K219,T$2),0)+IF(Ajustes!$L219&gt;0,INDEX($AA$4:$AL$323,Ajustes!$L219,T$2),0) + T219</f>
        <v>305</v>
      </c>
      <c r="AG219">
        <f>IF(Ajustes!$G219&gt;0,INDEX($AA$4:$AL$323,Ajustes!$G219,U$2),0)+IF(Ajustes!$H219&gt;0,INDEX($AA$4:$AL$323,Ajustes!$H219,U$2),0)+IF(Ajustes!$I219&gt;0,INDEX($AA$4:$AL$323,Ajustes!$I219,U$2),0)+IF(Ajustes!$J219&gt;0,INDEX($AA$4:$AL$323,Ajustes!$J219,U$2),0)+IF(Ajustes!$K219&gt;0,INDEX($AA$5:$AL$324,Ajustes!$K219,U$2),0)+IF(Ajustes!$L219&gt;0,INDEX($AA$4:$AL$323,Ajustes!$L219,U$2),0) + U219</f>
        <v>366</v>
      </c>
      <c r="AH219">
        <f>IF(Ajustes!$G219&gt;0,INDEX($AA$4:$AL$323,Ajustes!$G219,V$2),0)+IF(Ajustes!$H219&gt;0,INDEX($AA$4:$AL$323,Ajustes!$H219,V$2),0)+IF(Ajustes!$I219&gt;0,INDEX($AA$4:$AL$323,Ajustes!$I219,V$2),0)+IF(Ajustes!$J219&gt;0,INDEX($AA$4:$AL$323,Ajustes!$J219,V$2),0)+IF(Ajustes!$K219&gt;0,INDEX($AA$5:$AL$324,Ajustes!$K219,V$2),0)+IF(Ajustes!$L219&gt;0,INDEX($AA$4:$AL$323,Ajustes!$L219,V$2),0) + V219</f>
        <v>384</v>
      </c>
      <c r="AI219">
        <f>IF(Ajustes!$G219&gt;0,INDEX($AA$4:$AL$323,Ajustes!$G219,W$2),0)+IF(Ajustes!$H219&gt;0,INDEX($AA$4:$AL$323,Ajustes!$H219,W$2),0)+IF(Ajustes!$I219&gt;0,INDEX($AA$4:$AL$323,Ajustes!$I219,W$2),0)+IF(Ajustes!$J219&gt;0,INDEX($AA$4:$AL$323,Ajustes!$J219,W$2),0)+IF(Ajustes!$K219&gt;0,INDEX($AA$5:$AL$324,Ajustes!$K219,W$2),0)+IF(Ajustes!$L219&gt;0,INDEX($AA$4:$AL$323,Ajustes!$L219,W$2),0) + W219</f>
        <v>460</v>
      </c>
      <c r="AJ219">
        <f>IF(Ajustes!$G219&gt;0,INDEX($AA$4:$AL$323,Ajustes!$G219,X$2),0)+IF(Ajustes!$H219&gt;0,INDEX($AA$4:$AL$323,Ajustes!$H219,X$2),0)+IF(Ajustes!$I219&gt;0,INDEX($AA$4:$AL$323,Ajustes!$I219,X$2),0)+IF(Ajustes!$J219&gt;0,INDEX($AA$4:$AL$323,Ajustes!$J219,X$2),0)+IF(Ajustes!$K219&gt;0,INDEX($AA$5:$AL$324,Ajustes!$K219,X$2),0)+IF(Ajustes!$L219&gt;0,INDEX($AA$4:$AL$323,Ajustes!$L219,X$2),0) + X219</f>
        <v>474</v>
      </c>
      <c r="AK219">
        <f>IF(Ajustes!$G219&gt;0,INDEX($AA$4:$AL$323,Ajustes!$G219,Y$2),0)+IF(Ajustes!$H219&gt;0,INDEX($AA$4:$AL$323,Ajustes!$H219,Y$2),0)+IF(Ajustes!$I219&gt;0,INDEX($AA$4:$AL$323,Ajustes!$I219,Y$2),0)+IF(Ajustes!$J219&gt;0,INDEX($AA$4:$AL$323,Ajustes!$J219,Y$2),0)+IF(Ajustes!$K219&gt;0,INDEX($AA$5:$AL$324,Ajustes!$K219,Y$2),0)+IF(Ajustes!$L219&gt;0,INDEX($AA$4:$AL$323,Ajustes!$L219,Y$2),0) + Y219</f>
        <v>311</v>
      </c>
      <c r="AL219">
        <f>IF(Ajustes!$G219&gt;0,INDEX($AA$4:$AL$323,Ajustes!$G219,Z$2),0)+IF(Ajustes!$H219&gt;0,INDEX($AA$4:$AL$323,Ajustes!$H219,Z$2),0)+IF(Ajustes!$I219&gt;0,INDEX($AA$4:$AL$323,Ajustes!$I219,Z$2),0)+IF(Ajustes!$J219&gt;0,INDEX($AA$4:$AL$323,Ajustes!$J219,Z$2),0)+IF(Ajustes!$K219&gt;0,INDEX($AA$5:$AL$324,Ajustes!$K219,Z$2),0)+IF(Ajustes!$L219&gt;0,INDEX($AA$4:$AL$323,Ajustes!$L219,Z$2),0) + Z219</f>
        <v>223</v>
      </c>
      <c r="AM219" s="113">
        <f t="shared" si="47"/>
        <v>226</v>
      </c>
      <c r="AN219" s="113">
        <f t="shared" si="47"/>
        <v>283</v>
      </c>
      <c r="AO219" s="113">
        <f t="shared" si="47"/>
        <v>228</v>
      </c>
      <c r="AP219" s="113">
        <f t="shared" si="47"/>
        <v>212</v>
      </c>
      <c r="AQ219" s="113">
        <f t="shared" si="49"/>
        <v>279</v>
      </c>
      <c r="AR219" s="113">
        <f t="shared" si="48"/>
        <v>305</v>
      </c>
      <c r="AS219" s="113">
        <f t="shared" si="48"/>
        <v>366</v>
      </c>
      <c r="AT219" s="113">
        <f t="shared" si="48"/>
        <v>384</v>
      </c>
      <c r="AU219" s="113">
        <f t="shared" si="48"/>
        <v>460</v>
      </c>
      <c r="AV219" s="113">
        <f t="shared" si="51"/>
        <v>474</v>
      </c>
      <c r="AW219" s="113">
        <f t="shared" si="50"/>
        <v>311</v>
      </c>
      <c r="AX219" s="113">
        <f t="shared" si="50"/>
        <v>223</v>
      </c>
    </row>
    <row r="220" spans="1:50" x14ac:dyDescent="0.25">
      <c r="A220" s="113">
        <v>217</v>
      </c>
      <c r="B220" s="209" t="s">
        <v>637</v>
      </c>
      <c r="C220">
        <f>IFERROR(INDEX($BD$7:$BO$35,MATCH(Ajustes!$E$4:$E$323,$BC$7:$BC$35,0),$C$2:$N$2),1)</f>
        <v>1</v>
      </c>
      <c r="D220" s="113">
        <f>IFERROR(INDEX($BD$7:$BO$35,MATCH(Ajustes!$E$4:$E$323,$BC$7:$BC$35,0),$C$2:$N$2),1)</f>
        <v>1</v>
      </c>
      <c r="E220" s="113">
        <f>IFERROR(INDEX($BD$7:$BO$35,MATCH(Ajustes!$E$4:$E$323,$BC$7:$BC$35,0),$C$2:$N$2),1)</f>
        <v>1</v>
      </c>
      <c r="F220" s="113">
        <f>IFERROR(INDEX($BD$7:$BO$35,MATCH(Ajustes!$E$4:$E$323,$BC$7:$BC$35,0),$C$2:$N$2),1)</f>
        <v>1</v>
      </c>
      <c r="G220" s="113">
        <f>IFERROR(INDEX($BD$7:$BO$35,MATCH(Ajustes!$E$4:$E$323,$BC$7:$BC$35,0),$C$2:$N$2),1)</f>
        <v>1</v>
      </c>
      <c r="H220" s="113">
        <f>IFERROR(INDEX($BD$7:$BO$35,MATCH(Ajustes!$E$4:$E$323,$BC$7:$BC$35,0),$C$2:$N$2),1)</f>
        <v>1</v>
      </c>
      <c r="I220" s="113">
        <f>IFERROR(INDEX($BD$7:$BO$35,MATCH(Ajustes!$E$4:$E$323,$BC$7:$BC$35,0),$C$2:$N$2),1)</f>
        <v>1</v>
      </c>
      <c r="J220" s="113">
        <f>IFERROR(INDEX($BD$7:$BO$35,MATCH(Ajustes!$E$4:$E$323,$BC$7:$BC$35,0),$C$2:$N$2),1)</f>
        <v>1</v>
      </c>
      <c r="K220" s="113">
        <f>IFERROR(INDEX($BD$7:$BO$35,MATCH(Ajustes!$E$4:$E$323,$BC$7:$BC$35,0),$C$2:$N$2),1)</f>
        <v>1</v>
      </c>
      <c r="L220" s="113">
        <f>IFERROR(INDEX($BD$7:$BO$35,MATCH(Ajustes!$E$4:$E$323,$BC$7:$BC$35,0),$C$2:$N$2),1)</f>
        <v>1</v>
      </c>
      <c r="M220" s="113">
        <f>IFERROR(INDEX($BD$7:$BO$35,MATCH(Ajustes!$E$4:$E$323,$BC$7:$BC$35,0),$C$2:$N$2),1)</f>
        <v>1</v>
      </c>
      <c r="N220" s="113">
        <f>IFERROR(INDEX($BD$7:$BO$35,MATCH(Ajustes!$E$4:$E$323,$BC$7:$BC$35,0),$C$2:$N$2),1)</f>
        <v>1</v>
      </c>
      <c r="O220">
        <f>C220*Ajustes!AM220</f>
        <v>86</v>
      </c>
      <c r="P220">
        <f>D220*Ajustes!AN220</f>
        <v>111</v>
      </c>
      <c r="Q220">
        <f>E220*Ajustes!AO220</f>
        <v>87</v>
      </c>
      <c r="R220">
        <f>F220*Ajustes!AP220</f>
        <v>98</v>
      </c>
      <c r="S220">
        <f>G220*Ajustes!AQ220</f>
        <v>146</v>
      </c>
      <c r="T220">
        <f>H220*Ajustes!AR220</f>
        <v>163</v>
      </c>
      <c r="U220">
        <f>I220*Ajustes!AS220</f>
        <v>191</v>
      </c>
      <c r="V220">
        <f>J220*Ajustes!AT220</f>
        <v>197</v>
      </c>
      <c r="W220">
        <f>K220*Ajustes!AU220</f>
        <v>224</v>
      </c>
      <c r="X220">
        <f>L220*Ajustes!AV220</f>
        <v>235</v>
      </c>
      <c r="Y220">
        <f>M220*Ajustes!AW220</f>
        <v>143</v>
      </c>
      <c r="Z220">
        <f>N220*Ajustes!AX220</f>
        <v>102</v>
      </c>
      <c r="AA220">
        <f>IF(Ajustes!$G220&gt;0,INDEX($AA$4:$AL$323,Ajustes!$G220,O$2),0)+IF(Ajustes!$H220&gt;0,INDEX($AA$4:$AL$323,Ajustes!$H220,O$2),0)+IF(Ajustes!$I220&gt;0,INDEX($AA$4:$AL$323,Ajustes!$I220,O$2),0)+IF(Ajustes!$J220&gt;0,INDEX($AA$4:$AL$323,Ajustes!$J220,O$2),0)+IF(Ajustes!$K220&gt;0,INDEX($AA$5:$AL$324,Ajustes!$K220,O$2),0)+IF(Ajustes!$L220&gt;0,INDEX($AA$4:$AL$323,Ajustes!$L220,O$2),0) + O220</f>
        <v>493</v>
      </c>
      <c r="AB220">
        <f>IF(Ajustes!$G220&gt;0,INDEX($AA$4:$AL$323,Ajustes!$G220,P$2),0)+IF(Ajustes!$H220&gt;0,INDEX($AA$4:$AL$323,Ajustes!$H220,P$2),0)+IF(Ajustes!$I220&gt;0,INDEX($AA$4:$AL$323,Ajustes!$I220,P$2),0)+IF(Ajustes!$J220&gt;0,INDEX($AA$4:$AL$323,Ajustes!$J220,P$2),0)+IF(Ajustes!$K220&gt;0,INDEX($AA$5:$AL$324,Ajustes!$K220,P$2),0)+IF(Ajustes!$L220&gt;0,INDEX($AA$4:$AL$323,Ajustes!$L220,P$2),0) + P220</f>
        <v>630</v>
      </c>
      <c r="AC220">
        <f>IF(Ajustes!$G220&gt;0,INDEX($AA$4:$AL$323,Ajustes!$G220,Q$2),0)+IF(Ajustes!$H220&gt;0,INDEX($AA$4:$AL$323,Ajustes!$H220,Q$2),0)+IF(Ajustes!$I220&gt;0,INDEX($AA$4:$AL$323,Ajustes!$I220,Q$2),0)+IF(Ajustes!$J220&gt;0,INDEX($AA$4:$AL$323,Ajustes!$J220,Q$2),0)+IF(Ajustes!$K220&gt;0,INDEX($AA$5:$AL$324,Ajustes!$K220,Q$2),0)+IF(Ajustes!$L220&gt;0,INDEX($AA$4:$AL$323,Ajustes!$L220,Q$2),0) + Q220</f>
        <v>492</v>
      </c>
      <c r="AD220">
        <f>IF(Ajustes!$G220&gt;0,INDEX($AA$4:$AL$323,Ajustes!$G220,R$2),0)+IF(Ajustes!$H220&gt;0,INDEX($AA$4:$AL$323,Ajustes!$H220,R$2),0)+IF(Ajustes!$I220&gt;0,INDEX($AA$4:$AL$323,Ajustes!$I220,R$2),0)+IF(Ajustes!$J220&gt;0,INDEX($AA$4:$AL$323,Ajustes!$J220,R$2),0)+IF(Ajustes!$K220&gt;0,INDEX($AA$5:$AL$324,Ajustes!$K220,R$2),0)+IF(Ajustes!$L220&gt;0,INDEX($AA$4:$AL$323,Ajustes!$L220,R$2),0) + R220</f>
        <v>495</v>
      </c>
      <c r="AE220">
        <f>IF(Ajustes!$G220&gt;0,INDEX($AA$4:$AL$323,Ajustes!$G220,S$2),0)+IF(Ajustes!$H220&gt;0,INDEX($AA$4:$AL$323,Ajustes!$H220,S$2),0)+IF(Ajustes!$I220&gt;0,INDEX($AA$4:$AL$323,Ajustes!$I220,S$2),0)+IF(Ajustes!$J220&gt;0,INDEX($AA$4:$AL$323,Ajustes!$J220,S$2),0)+IF(Ajustes!$K220&gt;0,INDEX($AA$5:$AL$324,Ajustes!$K220,S$2),0)+IF(Ajustes!$L220&gt;0,INDEX($AA$4:$AL$323,Ajustes!$L220,S$2),0) + S220</f>
        <v>676</v>
      </c>
      <c r="AF220">
        <f>IF(Ajustes!$G220&gt;0,INDEX($AA$4:$AL$323,Ajustes!$G220,T$2),0)+IF(Ajustes!$H220&gt;0,INDEX($AA$4:$AL$323,Ajustes!$H220,T$2),0)+IF(Ajustes!$I220&gt;0,INDEX($AA$4:$AL$323,Ajustes!$I220,T$2),0)+IF(Ajustes!$J220&gt;0,INDEX($AA$4:$AL$323,Ajustes!$J220,T$2),0)+IF(Ajustes!$K220&gt;0,INDEX($AA$5:$AL$324,Ajustes!$K220,T$2),0)+IF(Ajustes!$L220&gt;0,INDEX($AA$4:$AL$323,Ajustes!$L220,T$2),0) + T220</f>
        <v>746</v>
      </c>
      <c r="AG220">
        <f>IF(Ajustes!$G220&gt;0,INDEX($AA$4:$AL$323,Ajustes!$G220,U$2),0)+IF(Ajustes!$H220&gt;0,INDEX($AA$4:$AL$323,Ajustes!$H220,U$2),0)+IF(Ajustes!$I220&gt;0,INDEX($AA$4:$AL$323,Ajustes!$I220,U$2),0)+IF(Ajustes!$J220&gt;0,INDEX($AA$4:$AL$323,Ajustes!$J220,U$2),0)+IF(Ajustes!$K220&gt;0,INDEX($AA$5:$AL$324,Ajustes!$K220,U$2),0)+IF(Ajustes!$L220&gt;0,INDEX($AA$4:$AL$323,Ajustes!$L220,U$2),0) + U220</f>
        <v>913</v>
      </c>
      <c r="AH220">
        <f>IF(Ajustes!$G220&gt;0,INDEX($AA$4:$AL$323,Ajustes!$G220,V$2),0)+IF(Ajustes!$H220&gt;0,INDEX($AA$4:$AL$323,Ajustes!$H220,V$2),0)+IF(Ajustes!$I220&gt;0,INDEX($AA$4:$AL$323,Ajustes!$I220,V$2),0)+IF(Ajustes!$J220&gt;0,INDEX($AA$4:$AL$323,Ajustes!$J220,V$2),0)+IF(Ajustes!$K220&gt;0,INDEX($AA$5:$AL$324,Ajustes!$K220,V$2),0)+IF(Ajustes!$L220&gt;0,INDEX($AA$4:$AL$323,Ajustes!$L220,V$2),0) + V220</f>
        <v>964</v>
      </c>
      <c r="AI220">
        <f>IF(Ajustes!$G220&gt;0,INDEX($AA$4:$AL$323,Ajustes!$G220,W$2),0)+IF(Ajustes!$H220&gt;0,INDEX($AA$4:$AL$323,Ajustes!$H220,W$2),0)+IF(Ajustes!$I220&gt;0,INDEX($AA$4:$AL$323,Ajustes!$I220,W$2),0)+IF(Ajustes!$J220&gt;0,INDEX($AA$4:$AL$323,Ajustes!$J220,W$2),0)+IF(Ajustes!$K220&gt;0,INDEX($AA$5:$AL$324,Ajustes!$K220,W$2),0)+IF(Ajustes!$L220&gt;0,INDEX($AA$4:$AL$323,Ajustes!$L220,W$2),0) + W220</f>
        <v>1118</v>
      </c>
      <c r="AJ220">
        <f>IF(Ajustes!$G220&gt;0,INDEX($AA$4:$AL$323,Ajustes!$G220,X$2),0)+IF(Ajustes!$H220&gt;0,INDEX($AA$4:$AL$323,Ajustes!$H220,X$2),0)+IF(Ajustes!$I220&gt;0,INDEX($AA$4:$AL$323,Ajustes!$I220,X$2),0)+IF(Ajustes!$J220&gt;0,INDEX($AA$4:$AL$323,Ajustes!$J220,X$2),0)+IF(Ajustes!$K220&gt;0,INDEX($AA$5:$AL$324,Ajustes!$K220,X$2),0)+IF(Ajustes!$L220&gt;0,INDEX($AA$4:$AL$323,Ajustes!$L220,X$2),0) + X220</f>
        <v>1091</v>
      </c>
      <c r="AK220">
        <f>IF(Ajustes!$G220&gt;0,INDEX($AA$4:$AL$323,Ajustes!$G220,Y$2),0)+IF(Ajustes!$H220&gt;0,INDEX($AA$4:$AL$323,Ajustes!$H220,Y$2),0)+IF(Ajustes!$I220&gt;0,INDEX($AA$4:$AL$323,Ajustes!$I220,Y$2),0)+IF(Ajustes!$J220&gt;0,INDEX($AA$4:$AL$323,Ajustes!$J220,Y$2),0)+IF(Ajustes!$K220&gt;0,INDEX($AA$5:$AL$324,Ajustes!$K220,Y$2),0)+IF(Ajustes!$L220&gt;0,INDEX($AA$4:$AL$323,Ajustes!$L220,Y$2),0) + Y220</f>
        <v>690</v>
      </c>
      <c r="AL220">
        <f>IF(Ajustes!$G220&gt;0,INDEX($AA$4:$AL$323,Ajustes!$G220,Z$2),0)+IF(Ajustes!$H220&gt;0,INDEX($AA$4:$AL$323,Ajustes!$H220,Z$2),0)+IF(Ajustes!$I220&gt;0,INDEX($AA$4:$AL$323,Ajustes!$I220,Z$2),0)+IF(Ajustes!$J220&gt;0,INDEX($AA$4:$AL$323,Ajustes!$J220,Z$2),0)+IF(Ajustes!$K220&gt;0,INDEX($AA$5:$AL$324,Ajustes!$K220,Z$2),0)+IF(Ajustes!$L220&gt;0,INDEX($AA$4:$AL$323,Ajustes!$L220,Z$2),0) + Z220</f>
        <v>510</v>
      </c>
      <c r="AM220" s="113">
        <f t="shared" si="47"/>
        <v>493</v>
      </c>
      <c r="AN220" s="113">
        <f t="shared" si="47"/>
        <v>630</v>
      </c>
      <c r="AO220" s="113">
        <f t="shared" si="47"/>
        <v>492</v>
      </c>
      <c r="AP220" s="113">
        <f t="shared" si="47"/>
        <v>495</v>
      </c>
      <c r="AQ220" s="113">
        <f t="shared" si="49"/>
        <v>676</v>
      </c>
      <c r="AR220" s="113">
        <f t="shared" si="48"/>
        <v>746</v>
      </c>
      <c r="AS220" s="113">
        <f t="shared" si="48"/>
        <v>913</v>
      </c>
      <c r="AT220" s="113">
        <f t="shared" si="48"/>
        <v>964</v>
      </c>
      <c r="AU220" s="113">
        <f t="shared" si="48"/>
        <v>1118</v>
      </c>
      <c r="AV220" s="113">
        <f t="shared" si="51"/>
        <v>1091</v>
      </c>
      <c r="AW220" s="113">
        <f t="shared" si="50"/>
        <v>690</v>
      </c>
      <c r="AX220" s="113">
        <f t="shared" si="50"/>
        <v>510</v>
      </c>
    </row>
    <row r="221" spans="1:50" x14ac:dyDescent="0.25">
      <c r="A221" s="113">
        <v>218</v>
      </c>
      <c r="B221" s="209"/>
      <c r="C221">
        <f>IFERROR(INDEX($BD$7:$BO$35,MATCH(Ajustes!$E$4:$E$323,$BC$7:$BC$35,0),$C$2:$N$2),1)</f>
        <v>1</v>
      </c>
      <c r="D221" s="113">
        <f>IFERROR(INDEX($BD$7:$BO$35,MATCH(Ajustes!$E$4:$E$323,$BC$7:$BC$35,0),$C$2:$N$2),1)</f>
        <v>1</v>
      </c>
      <c r="E221" s="113">
        <f>IFERROR(INDEX($BD$7:$BO$35,MATCH(Ajustes!$E$4:$E$323,$BC$7:$BC$35,0),$C$2:$N$2),1)</f>
        <v>1</v>
      </c>
      <c r="F221" s="113">
        <f>IFERROR(INDEX($BD$7:$BO$35,MATCH(Ajustes!$E$4:$E$323,$BC$7:$BC$35,0),$C$2:$N$2),1)</f>
        <v>1</v>
      </c>
      <c r="G221" s="113">
        <f>IFERROR(INDEX($BD$7:$BO$35,MATCH(Ajustes!$E$4:$E$323,$BC$7:$BC$35,0),$C$2:$N$2),1)</f>
        <v>1</v>
      </c>
      <c r="H221" s="113">
        <f>IFERROR(INDEX($BD$7:$BO$35,MATCH(Ajustes!$E$4:$E$323,$BC$7:$BC$35,0),$C$2:$N$2),1)</f>
        <v>1</v>
      </c>
      <c r="I221" s="113">
        <f>IFERROR(INDEX($BD$7:$BO$35,MATCH(Ajustes!$E$4:$E$323,$BC$7:$BC$35,0),$C$2:$N$2),1)</f>
        <v>1</v>
      </c>
      <c r="J221" s="113">
        <f>IFERROR(INDEX($BD$7:$BO$35,MATCH(Ajustes!$E$4:$E$323,$BC$7:$BC$35,0),$C$2:$N$2),1)</f>
        <v>1</v>
      </c>
      <c r="K221" s="113">
        <f>IFERROR(INDEX($BD$7:$BO$35,MATCH(Ajustes!$E$4:$E$323,$BC$7:$BC$35,0),$C$2:$N$2),1)</f>
        <v>1</v>
      </c>
      <c r="L221" s="113">
        <f>IFERROR(INDEX($BD$7:$BO$35,MATCH(Ajustes!$E$4:$E$323,$BC$7:$BC$35,0),$C$2:$N$2),1)</f>
        <v>1</v>
      </c>
      <c r="M221" s="113">
        <f>IFERROR(INDEX($BD$7:$BO$35,MATCH(Ajustes!$E$4:$E$323,$BC$7:$BC$35,0),$C$2:$N$2),1)</f>
        <v>1</v>
      </c>
      <c r="N221" s="113">
        <f>IFERROR(INDEX($BD$7:$BO$35,MATCH(Ajustes!$E$4:$E$323,$BC$7:$BC$35,0),$C$2:$N$2),1)</f>
        <v>1</v>
      </c>
      <c r="O221">
        <f>C221*Ajustes!AM221</f>
        <v>0</v>
      </c>
      <c r="P221">
        <f>D221*Ajustes!AN221</f>
        <v>0</v>
      </c>
      <c r="Q221">
        <f>E221*Ajustes!AO221</f>
        <v>0</v>
      </c>
      <c r="R221">
        <f>F221*Ajustes!AP221</f>
        <v>0</v>
      </c>
      <c r="S221">
        <f>G221*Ajustes!AQ221</f>
        <v>0</v>
      </c>
      <c r="T221">
        <f>H221*Ajustes!AR221</f>
        <v>0</v>
      </c>
      <c r="U221">
        <f>I221*Ajustes!AS221</f>
        <v>0</v>
      </c>
      <c r="V221">
        <f>J221*Ajustes!AT221</f>
        <v>0</v>
      </c>
      <c r="W221">
        <f>K221*Ajustes!AU221</f>
        <v>0</v>
      </c>
      <c r="X221">
        <f>L221*Ajustes!AV221</f>
        <v>0</v>
      </c>
      <c r="Y221">
        <f>M221*Ajustes!AW221</f>
        <v>0</v>
      </c>
      <c r="Z221">
        <f>N221*Ajustes!AX221</f>
        <v>0</v>
      </c>
      <c r="AA221">
        <f>IF(Ajustes!$G221&gt;0,INDEX($AA$4:$AL$323,Ajustes!$G221,O$2),0)+IF(Ajustes!$H221&gt;0,INDEX($AA$4:$AL$323,Ajustes!$H221,O$2),0)+IF(Ajustes!$I221&gt;0,INDEX($AA$4:$AL$323,Ajustes!$I221,O$2),0)+IF(Ajustes!$J221&gt;0,INDEX($AA$4:$AL$323,Ajustes!$J221,O$2),0)+IF(Ajustes!$K221&gt;0,INDEX($AA$5:$AL$324,Ajustes!$K221,O$2),0)+IF(Ajustes!$L221&gt;0,INDEX($AA$4:$AL$323,Ajustes!$L221,O$2),0) + O221</f>
        <v>0</v>
      </c>
      <c r="AB221">
        <f>IF(Ajustes!$G221&gt;0,INDEX($AA$4:$AL$323,Ajustes!$G221,P$2),0)+IF(Ajustes!$H221&gt;0,INDEX($AA$4:$AL$323,Ajustes!$H221,P$2),0)+IF(Ajustes!$I221&gt;0,INDEX($AA$4:$AL$323,Ajustes!$I221,P$2),0)+IF(Ajustes!$J221&gt;0,INDEX($AA$4:$AL$323,Ajustes!$J221,P$2),0)+IF(Ajustes!$K221&gt;0,INDEX($AA$5:$AL$324,Ajustes!$K221,P$2),0)+IF(Ajustes!$L221&gt;0,INDEX($AA$4:$AL$323,Ajustes!$L221,P$2),0) + P221</f>
        <v>0</v>
      </c>
      <c r="AC221">
        <f>IF(Ajustes!$G221&gt;0,INDEX($AA$4:$AL$323,Ajustes!$G221,Q$2),0)+IF(Ajustes!$H221&gt;0,INDEX($AA$4:$AL$323,Ajustes!$H221,Q$2),0)+IF(Ajustes!$I221&gt;0,INDEX($AA$4:$AL$323,Ajustes!$I221,Q$2),0)+IF(Ajustes!$J221&gt;0,INDEX($AA$4:$AL$323,Ajustes!$J221,Q$2),0)+IF(Ajustes!$K221&gt;0,INDEX($AA$5:$AL$324,Ajustes!$K221,Q$2),0)+IF(Ajustes!$L221&gt;0,INDEX($AA$4:$AL$323,Ajustes!$L221,Q$2),0) + Q221</f>
        <v>0</v>
      </c>
      <c r="AD221">
        <f>IF(Ajustes!$G221&gt;0,INDEX($AA$4:$AL$323,Ajustes!$G221,R$2),0)+IF(Ajustes!$H221&gt;0,INDEX($AA$4:$AL$323,Ajustes!$H221,R$2),0)+IF(Ajustes!$I221&gt;0,INDEX($AA$4:$AL$323,Ajustes!$I221,R$2),0)+IF(Ajustes!$J221&gt;0,INDEX($AA$4:$AL$323,Ajustes!$J221,R$2),0)+IF(Ajustes!$K221&gt;0,INDEX($AA$5:$AL$324,Ajustes!$K221,R$2),0)+IF(Ajustes!$L221&gt;0,INDEX($AA$4:$AL$323,Ajustes!$L221,R$2),0) + R221</f>
        <v>0</v>
      </c>
      <c r="AE221">
        <f>IF(Ajustes!$G221&gt;0,INDEX($AA$4:$AL$323,Ajustes!$G221,S$2),0)+IF(Ajustes!$H221&gt;0,INDEX($AA$4:$AL$323,Ajustes!$H221,S$2),0)+IF(Ajustes!$I221&gt;0,INDEX($AA$4:$AL$323,Ajustes!$I221,S$2),0)+IF(Ajustes!$J221&gt;0,INDEX($AA$4:$AL$323,Ajustes!$J221,S$2),0)+IF(Ajustes!$K221&gt;0,INDEX($AA$5:$AL$324,Ajustes!$K221,S$2),0)+IF(Ajustes!$L221&gt;0,INDEX($AA$4:$AL$323,Ajustes!$L221,S$2),0) + S221</f>
        <v>0</v>
      </c>
      <c r="AF221">
        <f>IF(Ajustes!$G221&gt;0,INDEX($AA$4:$AL$323,Ajustes!$G221,T$2),0)+IF(Ajustes!$H221&gt;0,INDEX($AA$4:$AL$323,Ajustes!$H221,T$2),0)+IF(Ajustes!$I221&gt;0,INDEX($AA$4:$AL$323,Ajustes!$I221,T$2),0)+IF(Ajustes!$J221&gt;0,INDEX($AA$4:$AL$323,Ajustes!$J221,T$2),0)+IF(Ajustes!$K221&gt;0,INDEX($AA$5:$AL$324,Ajustes!$K221,T$2),0)+IF(Ajustes!$L221&gt;0,INDEX($AA$4:$AL$323,Ajustes!$L221,T$2),0) + T221</f>
        <v>0</v>
      </c>
      <c r="AG221">
        <f>IF(Ajustes!$G221&gt;0,INDEX($AA$4:$AL$323,Ajustes!$G221,U$2),0)+IF(Ajustes!$H221&gt;0,INDEX($AA$4:$AL$323,Ajustes!$H221,U$2),0)+IF(Ajustes!$I221&gt;0,INDEX($AA$4:$AL$323,Ajustes!$I221,U$2),0)+IF(Ajustes!$J221&gt;0,INDEX($AA$4:$AL$323,Ajustes!$J221,U$2),0)+IF(Ajustes!$K221&gt;0,INDEX($AA$5:$AL$324,Ajustes!$K221,U$2),0)+IF(Ajustes!$L221&gt;0,INDEX($AA$4:$AL$323,Ajustes!$L221,U$2),0) + U221</f>
        <v>0</v>
      </c>
      <c r="AH221">
        <f>IF(Ajustes!$G221&gt;0,INDEX($AA$4:$AL$323,Ajustes!$G221,V$2),0)+IF(Ajustes!$H221&gt;0,INDEX($AA$4:$AL$323,Ajustes!$H221,V$2),0)+IF(Ajustes!$I221&gt;0,INDEX($AA$4:$AL$323,Ajustes!$I221,V$2),0)+IF(Ajustes!$J221&gt;0,INDEX($AA$4:$AL$323,Ajustes!$J221,V$2),0)+IF(Ajustes!$K221&gt;0,INDEX($AA$5:$AL$324,Ajustes!$K221,V$2),0)+IF(Ajustes!$L221&gt;0,INDEX($AA$4:$AL$323,Ajustes!$L221,V$2),0) + V221</f>
        <v>0</v>
      </c>
      <c r="AI221">
        <f>IF(Ajustes!$G221&gt;0,INDEX($AA$4:$AL$323,Ajustes!$G221,W$2),0)+IF(Ajustes!$H221&gt;0,INDEX($AA$4:$AL$323,Ajustes!$H221,W$2),0)+IF(Ajustes!$I221&gt;0,INDEX($AA$4:$AL$323,Ajustes!$I221,W$2),0)+IF(Ajustes!$J221&gt;0,INDEX($AA$4:$AL$323,Ajustes!$J221,W$2),0)+IF(Ajustes!$K221&gt;0,INDEX($AA$5:$AL$324,Ajustes!$K221,W$2),0)+IF(Ajustes!$L221&gt;0,INDEX($AA$4:$AL$323,Ajustes!$L221,W$2),0) + W221</f>
        <v>0</v>
      </c>
      <c r="AJ221">
        <f>IF(Ajustes!$G221&gt;0,INDEX($AA$4:$AL$323,Ajustes!$G221,X$2),0)+IF(Ajustes!$H221&gt;0,INDEX($AA$4:$AL$323,Ajustes!$H221,X$2),0)+IF(Ajustes!$I221&gt;0,INDEX($AA$4:$AL$323,Ajustes!$I221,X$2),0)+IF(Ajustes!$J221&gt;0,INDEX($AA$4:$AL$323,Ajustes!$J221,X$2),0)+IF(Ajustes!$K221&gt;0,INDEX($AA$5:$AL$324,Ajustes!$K221,X$2),0)+IF(Ajustes!$L221&gt;0,INDEX($AA$4:$AL$323,Ajustes!$L221,X$2),0) + X221</f>
        <v>0</v>
      </c>
      <c r="AK221">
        <f>IF(Ajustes!$G221&gt;0,INDEX($AA$4:$AL$323,Ajustes!$G221,Y$2),0)+IF(Ajustes!$H221&gt;0,INDEX($AA$4:$AL$323,Ajustes!$H221,Y$2),0)+IF(Ajustes!$I221&gt;0,INDEX($AA$4:$AL$323,Ajustes!$I221,Y$2),0)+IF(Ajustes!$J221&gt;0,INDEX($AA$4:$AL$323,Ajustes!$J221,Y$2),0)+IF(Ajustes!$K221&gt;0,INDEX($AA$5:$AL$324,Ajustes!$K221,Y$2),0)+IF(Ajustes!$L221&gt;0,INDEX($AA$4:$AL$323,Ajustes!$L221,Y$2),0) + Y221</f>
        <v>0</v>
      </c>
      <c r="AL221">
        <f>IF(Ajustes!$G221&gt;0,INDEX($AA$4:$AL$323,Ajustes!$G221,Z$2),0)+IF(Ajustes!$H221&gt;0,INDEX($AA$4:$AL$323,Ajustes!$H221,Z$2),0)+IF(Ajustes!$I221&gt;0,INDEX($AA$4:$AL$323,Ajustes!$I221,Z$2),0)+IF(Ajustes!$J221&gt;0,INDEX($AA$4:$AL$323,Ajustes!$J221,Z$2),0)+IF(Ajustes!$K221&gt;0,INDEX($AA$5:$AL$324,Ajustes!$K221,Z$2),0)+IF(Ajustes!$L221&gt;0,INDEX($AA$4:$AL$323,Ajustes!$L221,Z$2),0) + Z221</f>
        <v>0</v>
      </c>
      <c r="AM221" s="113">
        <f t="shared" si="47"/>
        <v>0</v>
      </c>
      <c r="AN221" s="113">
        <f t="shared" si="47"/>
        <v>0</v>
      </c>
      <c r="AO221" s="113">
        <f t="shared" si="47"/>
        <v>0</v>
      </c>
      <c r="AP221" s="113">
        <f t="shared" si="47"/>
        <v>0</v>
      </c>
      <c r="AQ221" s="113">
        <f t="shared" si="49"/>
        <v>0</v>
      </c>
      <c r="AR221" s="113">
        <f t="shared" si="48"/>
        <v>0</v>
      </c>
      <c r="AS221" s="113">
        <f t="shared" si="48"/>
        <v>0</v>
      </c>
      <c r="AT221" s="113">
        <f t="shared" si="48"/>
        <v>0</v>
      </c>
      <c r="AU221" s="113">
        <f t="shared" si="48"/>
        <v>0</v>
      </c>
      <c r="AV221" s="113">
        <f t="shared" si="51"/>
        <v>0</v>
      </c>
      <c r="AW221" s="113">
        <f t="shared" si="50"/>
        <v>0</v>
      </c>
      <c r="AX221" s="113">
        <f t="shared" si="50"/>
        <v>0</v>
      </c>
    </row>
    <row r="222" spans="1:50" x14ac:dyDescent="0.25">
      <c r="A222" s="113">
        <v>219</v>
      </c>
      <c r="B222" s="209"/>
      <c r="C222">
        <f>IFERROR(INDEX($BD$7:$BO$35,MATCH(Ajustes!$E$4:$E$323,$BC$7:$BC$35,0),$C$2:$N$2),1)</f>
        <v>1</v>
      </c>
      <c r="D222" s="113">
        <f>IFERROR(INDEX($BD$7:$BO$35,MATCH(Ajustes!$E$4:$E$323,$BC$7:$BC$35,0),$C$2:$N$2),1)</f>
        <v>1</v>
      </c>
      <c r="E222" s="113">
        <f>IFERROR(INDEX($BD$7:$BO$35,MATCH(Ajustes!$E$4:$E$323,$BC$7:$BC$35,0),$C$2:$N$2),1)</f>
        <v>1</v>
      </c>
      <c r="F222" s="113">
        <f>IFERROR(INDEX($BD$7:$BO$35,MATCH(Ajustes!$E$4:$E$323,$BC$7:$BC$35,0),$C$2:$N$2),1)</f>
        <v>1</v>
      </c>
      <c r="G222" s="113">
        <f>IFERROR(INDEX($BD$7:$BO$35,MATCH(Ajustes!$E$4:$E$323,$BC$7:$BC$35,0),$C$2:$N$2),1)</f>
        <v>1</v>
      </c>
      <c r="H222" s="113">
        <f>IFERROR(INDEX($BD$7:$BO$35,MATCH(Ajustes!$E$4:$E$323,$BC$7:$BC$35,0),$C$2:$N$2),1)</f>
        <v>1</v>
      </c>
      <c r="I222" s="113">
        <f>IFERROR(INDEX($BD$7:$BO$35,MATCH(Ajustes!$E$4:$E$323,$BC$7:$BC$35,0),$C$2:$N$2),1)</f>
        <v>1</v>
      </c>
      <c r="J222" s="113">
        <f>IFERROR(INDEX($BD$7:$BO$35,MATCH(Ajustes!$E$4:$E$323,$BC$7:$BC$35,0),$C$2:$N$2),1)</f>
        <v>1</v>
      </c>
      <c r="K222" s="113">
        <f>IFERROR(INDEX($BD$7:$BO$35,MATCH(Ajustes!$E$4:$E$323,$BC$7:$BC$35,0),$C$2:$N$2),1)</f>
        <v>1</v>
      </c>
      <c r="L222" s="113">
        <f>IFERROR(INDEX($BD$7:$BO$35,MATCH(Ajustes!$E$4:$E$323,$BC$7:$BC$35,0),$C$2:$N$2),1)</f>
        <v>1</v>
      </c>
      <c r="M222" s="113">
        <f>IFERROR(INDEX($BD$7:$BO$35,MATCH(Ajustes!$E$4:$E$323,$BC$7:$BC$35,0),$C$2:$N$2),1)</f>
        <v>1</v>
      </c>
      <c r="N222" s="113">
        <f>IFERROR(INDEX($BD$7:$BO$35,MATCH(Ajustes!$E$4:$E$323,$BC$7:$BC$35,0),$C$2:$N$2),1)</f>
        <v>1</v>
      </c>
      <c r="O222">
        <f>C222*Ajustes!AM222</f>
        <v>0</v>
      </c>
      <c r="P222">
        <f>D222*Ajustes!AN222</f>
        <v>0</v>
      </c>
      <c r="Q222">
        <f>E222*Ajustes!AO222</f>
        <v>0</v>
      </c>
      <c r="R222">
        <f>F222*Ajustes!AP222</f>
        <v>0</v>
      </c>
      <c r="S222">
        <f>G222*Ajustes!AQ222</f>
        <v>0</v>
      </c>
      <c r="T222">
        <f>H222*Ajustes!AR222</f>
        <v>0</v>
      </c>
      <c r="U222">
        <f>I222*Ajustes!AS222</f>
        <v>0</v>
      </c>
      <c r="V222">
        <f>J222*Ajustes!AT222</f>
        <v>0</v>
      </c>
      <c r="W222">
        <f>K222*Ajustes!AU222</f>
        <v>0</v>
      </c>
      <c r="X222">
        <f>L222*Ajustes!AV222</f>
        <v>0</v>
      </c>
      <c r="Y222">
        <f>M222*Ajustes!AW222</f>
        <v>0</v>
      </c>
      <c r="Z222">
        <f>N222*Ajustes!AX222</f>
        <v>0</v>
      </c>
      <c r="AA222">
        <f>IF(Ajustes!$G222&gt;0,INDEX($AA$4:$AL$323,Ajustes!$G222,O$2),0)+IF(Ajustes!$H222&gt;0,INDEX($AA$4:$AL$323,Ajustes!$H222,O$2),0)+IF(Ajustes!$I222&gt;0,INDEX($AA$4:$AL$323,Ajustes!$I222,O$2),0)+IF(Ajustes!$J222&gt;0,INDEX($AA$4:$AL$323,Ajustes!$J222,O$2),0)+IF(Ajustes!$K222&gt;0,INDEX($AA$5:$AL$324,Ajustes!$K222,O$2),0)+IF(Ajustes!$L222&gt;0,INDEX($AA$4:$AL$323,Ajustes!$L222,O$2),0) + O222</f>
        <v>0</v>
      </c>
      <c r="AB222">
        <f>IF(Ajustes!$G222&gt;0,INDEX($AA$4:$AL$323,Ajustes!$G222,P$2),0)+IF(Ajustes!$H222&gt;0,INDEX($AA$4:$AL$323,Ajustes!$H222,P$2),0)+IF(Ajustes!$I222&gt;0,INDEX($AA$4:$AL$323,Ajustes!$I222,P$2),0)+IF(Ajustes!$J222&gt;0,INDEX($AA$4:$AL$323,Ajustes!$J222,P$2),0)+IF(Ajustes!$K222&gt;0,INDEX($AA$5:$AL$324,Ajustes!$K222,P$2),0)+IF(Ajustes!$L222&gt;0,INDEX($AA$4:$AL$323,Ajustes!$L222,P$2),0) + P222</f>
        <v>0</v>
      </c>
      <c r="AC222">
        <f>IF(Ajustes!$G222&gt;0,INDEX($AA$4:$AL$323,Ajustes!$G222,Q$2),0)+IF(Ajustes!$H222&gt;0,INDEX($AA$4:$AL$323,Ajustes!$H222,Q$2),0)+IF(Ajustes!$I222&gt;0,INDEX($AA$4:$AL$323,Ajustes!$I222,Q$2),0)+IF(Ajustes!$J222&gt;0,INDEX($AA$4:$AL$323,Ajustes!$J222,Q$2),0)+IF(Ajustes!$K222&gt;0,INDEX($AA$5:$AL$324,Ajustes!$K222,Q$2),0)+IF(Ajustes!$L222&gt;0,INDEX($AA$4:$AL$323,Ajustes!$L222,Q$2),0) + Q222</f>
        <v>0</v>
      </c>
      <c r="AD222">
        <f>IF(Ajustes!$G222&gt;0,INDEX($AA$4:$AL$323,Ajustes!$G222,R$2),0)+IF(Ajustes!$H222&gt;0,INDEX($AA$4:$AL$323,Ajustes!$H222,R$2),0)+IF(Ajustes!$I222&gt;0,INDEX($AA$4:$AL$323,Ajustes!$I222,R$2),0)+IF(Ajustes!$J222&gt;0,INDEX($AA$4:$AL$323,Ajustes!$J222,R$2),0)+IF(Ajustes!$K222&gt;0,INDEX($AA$5:$AL$324,Ajustes!$K222,R$2),0)+IF(Ajustes!$L222&gt;0,INDEX($AA$4:$AL$323,Ajustes!$L222,R$2),0) + R222</f>
        <v>0</v>
      </c>
      <c r="AE222">
        <f>IF(Ajustes!$G222&gt;0,INDEX($AA$4:$AL$323,Ajustes!$G222,S$2),0)+IF(Ajustes!$H222&gt;0,INDEX($AA$4:$AL$323,Ajustes!$H222,S$2),0)+IF(Ajustes!$I222&gt;0,INDEX($AA$4:$AL$323,Ajustes!$I222,S$2),0)+IF(Ajustes!$J222&gt;0,INDEX($AA$4:$AL$323,Ajustes!$J222,S$2),0)+IF(Ajustes!$K222&gt;0,INDEX($AA$5:$AL$324,Ajustes!$K222,S$2),0)+IF(Ajustes!$L222&gt;0,INDEX($AA$4:$AL$323,Ajustes!$L222,S$2),0) + S222</f>
        <v>0</v>
      </c>
      <c r="AF222">
        <f>IF(Ajustes!$G222&gt;0,INDEX($AA$4:$AL$323,Ajustes!$G222,T$2),0)+IF(Ajustes!$H222&gt;0,INDEX($AA$4:$AL$323,Ajustes!$H222,T$2),0)+IF(Ajustes!$I222&gt;0,INDEX($AA$4:$AL$323,Ajustes!$I222,T$2),0)+IF(Ajustes!$J222&gt;0,INDEX($AA$4:$AL$323,Ajustes!$J222,T$2),0)+IF(Ajustes!$K222&gt;0,INDEX($AA$5:$AL$324,Ajustes!$K222,T$2),0)+IF(Ajustes!$L222&gt;0,INDEX($AA$4:$AL$323,Ajustes!$L222,T$2),0) + T222</f>
        <v>0</v>
      </c>
      <c r="AG222">
        <f>IF(Ajustes!$G222&gt;0,INDEX($AA$4:$AL$323,Ajustes!$G222,U$2),0)+IF(Ajustes!$H222&gt;0,INDEX($AA$4:$AL$323,Ajustes!$H222,U$2),0)+IF(Ajustes!$I222&gt;0,INDEX($AA$4:$AL$323,Ajustes!$I222,U$2),0)+IF(Ajustes!$J222&gt;0,INDEX($AA$4:$AL$323,Ajustes!$J222,U$2),0)+IF(Ajustes!$K222&gt;0,INDEX($AA$5:$AL$324,Ajustes!$K222,U$2),0)+IF(Ajustes!$L222&gt;0,INDEX($AA$4:$AL$323,Ajustes!$L222,U$2),0) + U222</f>
        <v>0</v>
      </c>
      <c r="AH222">
        <f>IF(Ajustes!$G222&gt;0,INDEX($AA$4:$AL$323,Ajustes!$G222,V$2),0)+IF(Ajustes!$H222&gt;0,INDEX($AA$4:$AL$323,Ajustes!$H222,V$2),0)+IF(Ajustes!$I222&gt;0,INDEX($AA$4:$AL$323,Ajustes!$I222,V$2),0)+IF(Ajustes!$J222&gt;0,INDEX($AA$4:$AL$323,Ajustes!$J222,V$2),0)+IF(Ajustes!$K222&gt;0,INDEX($AA$5:$AL$324,Ajustes!$K222,V$2),0)+IF(Ajustes!$L222&gt;0,INDEX($AA$4:$AL$323,Ajustes!$L222,V$2),0) + V222</f>
        <v>0</v>
      </c>
      <c r="AI222">
        <f>IF(Ajustes!$G222&gt;0,INDEX($AA$4:$AL$323,Ajustes!$G222,W$2),0)+IF(Ajustes!$H222&gt;0,INDEX($AA$4:$AL$323,Ajustes!$H222,W$2),0)+IF(Ajustes!$I222&gt;0,INDEX($AA$4:$AL$323,Ajustes!$I222,W$2),0)+IF(Ajustes!$J222&gt;0,INDEX($AA$4:$AL$323,Ajustes!$J222,W$2),0)+IF(Ajustes!$K222&gt;0,INDEX($AA$5:$AL$324,Ajustes!$K222,W$2),0)+IF(Ajustes!$L222&gt;0,INDEX($AA$4:$AL$323,Ajustes!$L222,W$2),0) + W222</f>
        <v>0</v>
      </c>
      <c r="AJ222">
        <f>IF(Ajustes!$G222&gt;0,INDEX($AA$4:$AL$323,Ajustes!$G222,X$2),0)+IF(Ajustes!$H222&gt;0,INDEX($AA$4:$AL$323,Ajustes!$H222,X$2),0)+IF(Ajustes!$I222&gt;0,INDEX($AA$4:$AL$323,Ajustes!$I222,X$2),0)+IF(Ajustes!$J222&gt;0,INDEX($AA$4:$AL$323,Ajustes!$J222,X$2),0)+IF(Ajustes!$K222&gt;0,INDEX($AA$5:$AL$324,Ajustes!$K222,X$2),0)+IF(Ajustes!$L222&gt;0,INDEX($AA$4:$AL$323,Ajustes!$L222,X$2),0) + X222</f>
        <v>0</v>
      </c>
      <c r="AK222">
        <f>IF(Ajustes!$G222&gt;0,INDEX($AA$4:$AL$323,Ajustes!$G222,Y$2),0)+IF(Ajustes!$H222&gt;0,INDEX($AA$4:$AL$323,Ajustes!$H222,Y$2),0)+IF(Ajustes!$I222&gt;0,INDEX($AA$4:$AL$323,Ajustes!$I222,Y$2),0)+IF(Ajustes!$J222&gt;0,INDEX($AA$4:$AL$323,Ajustes!$J222,Y$2),0)+IF(Ajustes!$K222&gt;0,INDEX($AA$5:$AL$324,Ajustes!$K222,Y$2),0)+IF(Ajustes!$L222&gt;0,INDEX($AA$4:$AL$323,Ajustes!$L222,Y$2),0) + Y222</f>
        <v>0</v>
      </c>
      <c r="AL222">
        <f>IF(Ajustes!$G222&gt;0,INDEX($AA$4:$AL$323,Ajustes!$G222,Z$2),0)+IF(Ajustes!$H222&gt;0,INDEX($AA$4:$AL$323,Ajustes!$H222,Z$2),0)+IF(Ajustes!$I222&gt;0,INDEX($AA$4:$AL$323,Ajustes!$I222,Z$2),0)+IF(Ajustes!$J222&gt;0,INDEX($AA$4:$AL$323,Ajustes!$J222,Z$2),0)+IF(Ajustes!$K222&gt;0,INDEX($AA$5:$AL$324,Ajustes!$K222,Z$2),0)+IF(Ajustes!$L222&gt;0,INDEX($AA$4:$AL$323,Ajustes!$L222,Z$2),0) + Z222</f>
        <v>0</v>
      </c>
      <c r="AM222" s="113">
        <f t="shared" si="47"/>
        <v>0</v>
      </c>
      <c r="AN222" s="113">
        <f t="shared" si="47"/>
        <v>0</v>
      </c>
      <c r="AO222" s="113">
        <f t="shared" si="47"/>
        <v>0</v>
      </c>
      <c r="AP222" s="113">
        <f t="shared" si="47"/>
        <v>0</v>
      </c>
      <c r="AQ222" s="113">
        <f t="shared" si="49"/>
        <v>0</v>
      </c>
      <c r="AR222" s="113">
        <f t="shared" si="48"/>
        <v>0</v>
      </c>
      <c r="AS222" s="113">
        <f t="shared" si="48"/>
        <v>0</v>
      </c>
      <c r="AT222" s="113">
        <f t="shared" si="48"/>
        <v>0</v>
      </c>
      <c r="AU222" s="113">
        <f t="shared" si="48"/>
        <v>0</v>
      </c>
      <c r="AV222" s="113">
        <f t="shared" si="51"/>
        <v>0</v>
      </c>
      <c r="AW222" s="113">
        <f t="shared" si="50"/>
        <v>0</v>
      </c>
      <c r="AX222" s="113">
        <f t="shared" si="50"/>
        <v>0</v>
      </c>
    </row>
    <row r="223" spans="1:50" x14ac:dyDescent="0.25">
      <c r="A223" s="113">
        <v>220</v>
      </c>
      <c r="B223" s="209" t="s">
        <v>638</v>
      </c>
      <c r="C223">
        <f>IFERROR(INDEX($BD$7:$BO$35,MATCH(Ajustes!$E$4:$E$323,$BC$7:$BC$35,0),$C$2:$N$2),1)</f>
        <v>1</v>
      </c>
      <c r="D223" s="113">
        <f>IFERROR(INDEX($BD$7:$BO$35,MATCH(Ajustes!$E$4:$E$323,$BC$7:$BC$35,0),$C$2:$N$2),1)</f>
        <v>1</v>
      </c>
      <c r="E223" s="113">
        <f>IFERROR(INDEX($BD$7:$BO$35,MATCH(Ajustes!$E$4:$E$323,$BC$7:$BC$35,0),$C$2:$N$2),1)</f>
        <v>1</v>
      </c>
      <c r="F223" s="113">
        <f>IFERROR(INDEX($BD$7:$BO$35,MATCH(Ajustes!$E$4:$E$323,$BC$7:$BC$35,0),$C$2:$N$2),1)</f>
        <v>1</v>
      </c>
      <c r="G223" s="113">
        <f>IFERROR(INDEX($BD$7:$BO$35,MATCH(Ajustes!$E$4:$E$323,$BC$7:$BC$35,0),$C$2:$N$2),1)</f>
        <v>1</v>
      </c>
      <c r="H223" s="113">
        <f>IFERROR(INDEX($BD$7:$BO$35,MATCH(Ajustes!$E$4:$E$323,$BC$7:$BC$35,0),$C$2:$N$2),1)</f>
        <v>1</v>
      </c>
      <c r="I223" s="113">
        <f>IFERROR(INDEX($BD$7:$BO$35,MATCH(Ajustes!$E$4:$E$323,$BC$7:$BC$35,0),$C$2:$N$2),1)</f>
        <v>1</v>
      </c>
      <c r="J223" s="113">
        <f>IFERROR(INDEX($BD$7:$BO$35,MATCH(Ajustes!$E$4:$E$323,$BC$7:$BC$35,0),$C$2:$N$2),1)</f>
        <v>1</v>
      </c>
      <c r="K223" s="113">
        <f>IFERROR(INDEX($BD$7:$BO$35,MATCH(Ajustes!$E$4:$E$323,$BC$7:$BC$35,0),$C$2:$N$2),1)</f>
        <v>1</v>
      </c>
      <c r="L223" s="113">
        <f>IFERROR(INDEX($BD$7:$BO$35,MATCH(Ajustes!$E$4:$E$323,$BC$7:$BC$35,0),$C$2:$N$2),1)</f>
        <v>1</v>
      </c>
      <c r="M223" s="113">
        <f>IFERROR(INDEX($BD$7:$BO$35,MATCH(Ajustes!$E$4:$E$323,$BC$7:$BC$35,0),$C$2:$N$2),1)</f>
        <v>1</v>
      </c>
      <c r="N223" s="113">
        <f>IFERROR(INDEX($BD$7:$BO$35,MATCH(Ajustes!$E$4:$E$323,$BC$7:$BC$35,0),$C$2:$N$2),1)</f>
        <v>1</v>
      </c>
      <c r="O223">
        <f>C223*Ajustes!AM223</f>
        <v>25</v>
      </c>
      <c r="P223">
        <f>D223*Ajustes!AN223</f>
        <v>24</v>
      </c>
      <c r="Q223">
        <f>E223*Ajustes!AO223</f>
        <v>20</v>
      </c>
      <c r="R223">
        <f>F223*Ajustes!AP223</f>
        <v>26</v>
      </c>
      <c r="S223">
        <f>G223*Ajustes!AQ223</f>
        <v>41</v>
      </c>
      <c r="T223">
        <f>H223*Ajustes!AR223</f>
        <v>49</v>
      </c>
      <c r="U223">
        <f>I223*Ajustes!AS223</f>
        <v>55</v>
      </c>
      <c r="V223">
        <f>J223*Ajustes!AT223</f>
        <v>48</v>
      </c>
      <c r="W223">
        <f>K223*Ajustes!AU223</f>
        <v>53</v>
      </c>
      <c r="X223">
        <f>L223*Ajustes!AV223</f>
        <v>63</v>
      </c>
      <c r="Y223">
        <f>M223*Ajustes!AW223</f>
        <v>44</v>
      </c>
      <c r="Z223">
        <f>N223*Ajustes!AX223</f>
        <v>33</v>
      </c>
      <c r="AA223">
        <f>IF(Ajustes!$G223&gt;0,INDEX($AA$4:$AL$323,Ajustes!$G223,O$2),0)+IF(Ajustes!$H223&gt;0,INDEX($AA$4:$AL$323,Ajustes!$H223,O$2),0)+IF(Ajustes!$I223&gt;0,INDEX($AA$4:$AL$323,Ajustes!$I223,O$2),0)+IF(Ajustes!$J223&gt;0,INDEX($AA$4:$AL$323,Ajustes!$J223,O$2),0)+IF(Ajustes!$K223&gt;0,INDEX($AA$5:$AL$324,Ajustes!$K223,O$2),0)+IF(Ajustes!$L223&gt;0,INDEX($AA$4:$AL$323,Ajustes!$L223,O$2),0) + O223</f>
        <v>59</v>
      </c>
      <c r="AB223">
        <f>IF(Ajustes!$G223&gt;0,INDEX($AA$4:$AL$323,Ajustes!$G223,P$2),0)+IF(Ajustes!$H223&gt;0,INDEX($AA$4:$AL$323,Ajustes!$H223,P$2),0)+IF(Ajustes!$I223&gt;0,INDEX($AA$4:$AL$323,Ajustes!$I223,P$2),0)+IF(Ajustes!$J223&gt;0,INDEX($AA$4:$AL$323,Ajustes!$J223,P$2),0)+IF(Ajustes!$K223&gt;0,INDEX($AA$5:$AL$324,Ajustes!$K223,P$2),0)+IF(Ajustes!$L223&gt;0,INDEX($AA$4:$AL$323,Ajustes!$L223,P$2),0) + P223</f>
        <v>58</v>
      </c>
      <c r="AC223">
        <f>IF(Ajustes!$G223&gt;0,INDEX($AA$4:$AL$323,Ajustes!$G223,Q$2),0)+IF(Ajustes!$H223&gt;0,INDEX($AA$4:$AL$323,Ajustes!$H223,Q$2),0)+IF(Ajustes!$I223&gt;0,INDEX($AA$4:$AL$323,Ajustes!$I223,Q$2),0)+IF(Ajustes!$J223&gt;0,INDEX($AA$4:$AL$323,Ajustes!$J223,Q$2),0)+IF(Ajustes!$K223&gt;0,INDEX($AA$5:$AL$324,Ajustes!$K223,Q$2),0)+IF(Ajustes!$L223&gt;0,INDEX($AA$4:$AL$323,Ajustes!$L223,Q$2),0) + Q223</f>
        <v>49</v>
      </c>
      <c r="AD223">
        <f>IF(Ajustes!$G223&gt;0,INDEX($AA$4:$AL$323,Ajustes!$G223,R$2),0)+IF(Ajustes!$H223&gt;0,INDEX($AA$4:$AL$323,Ajustes!$H223,R$2),0)+IF(Ajustes!$I223&gt;0,INDEX($AA$4:$AL$323,Ajustes!$I223,R$2),0)+IF(Ajustes!$J223&gt;0,INDEX($AA$4:$AL$323,Ajustes!$J223,R$2),0)+IF(Ajustes!$K223&gt;0,INDEX($AA$5:$AL$324,Ajustes!$K223,R$2),0)+IF(Ajustes!$L223&gt;0,INDEX($AA$4:$AL$323,Ajustes!$L223,R$2),0) + R223</f>
        <v>62</v>
      </c>
      <c r="AE223">
        <f>IF(Ajustes!$G223&gt;0,INDEX($AA$4:$AL$323,Ajustes!$G223,S$2),0)+IF(Ajustes!$H223&gt;0,INDEX($AA$4:$AL$323,Ajustes!$H223,S$2),0)+IF(Ajustes!$I223&gt;0,INDEX($AA$4:$AL$323,Ajustes!$I223,S$2),0)+IF(Ajustes!$J223&gt;0,INDEX($AA$4:$AL$323,Ajustes!$J223,S$2),0)+IF(Ajustes!$K223&gt;0,INDEX($AA$5:$AL$324,Ajustes!$K223,S$2),0)+IF(Ajustes!$L223&gt;0,INDEX($AA$4:$AL$323,Ajustes!$L223,S$2),0) + S223</f>
        <v>96</v>
      </c>
      <c r="AF223">
        <f>IF(Ajustes!$G223&gt;0,INDEX($AA$4:$AL$323,Ajustes!$G223,T$2),0)+IF(Ajustes!$H223&gt;0,INDEX($AA$4:$AL$323,Ajustes!$H223,T$2),0)+IF(Ajustes!$I223&gt;0,INDEX($AA$4:$AL$323,Ajustes!$I223,T$2),0)+IF(Ajustes!$J223&gt;0,INDEX($AA$4:$AL$323,Ajustes!$J223,T$2),0)+IF(Ajustes!$K223&gt;0,INDEX($AA$5:$AL$324,Ajustes!$K223,T$2),0)+IF(Ajustes!$L223&gt;0,INDEX($AA$4:$AL$323,Ajustes!$L223,T$2),0) + T223</f>
        <v>118</v>
      </c>
      <c r="AG223">
        <f>IF(Ajustes!$G223&gt;0,INDEX($AA$4:$AL$323,Ajustes!$G223,U$2),0)+IF(Ajustes!$H223&gt;0,INDEX($AA$4:$AL$323,Ajustes!$H223,U$2),0)+IF(Ajustes!$I223&gt;0,INDEX($AA$4:$AL$323,Ajustes!$I223,U$2),0)+IF(Ajustes!$J223&gt;0,INDEX($AA$4:$AL$323,Ajustes!$J223,U$2),0)+IF(Ajustes!$K223&gt;0,INDEX($AA$5:$AL$324,Ajustes!$K223,U$2),0)+IF(Ajustes!$L223&gt;0,INDEX($AA$4:$AL$323,Ajustes!$L223,U$2),0) + U223</f>
        <v>132</v>
      </c>
      <c r="AH223">
        <f>IF(Ajustes!$G223&gt;0,INDEX($AA$4:$AL$323,Ajustes!$G223,V$2),0)+IF(Ajustes!$H223&gt;0,INDEX($AA$4:$AL$323,Ajustes!$H223,V$2),0)+IF(Ajustes!$I223&gt;0,INDEX($AA$4:$AL$323,Ajustes!$I223,V$2),0)+IF(Ajustes!$J223&gt;0,INDEX($AA$4:$AL$323,Ajustes!$J223,V$2),0)+IF(Ajustes!$K223&gt;0,INDEX($AA$5:$AL$324,Ajustes!$K223,V$2),0)+IF(Ajustes!$L223&gt;0,INDEX($AA$4:$AL$323,Ajustes!$L223,V$2),0) + V223</f>
        <v>119</v>
      </c>
      <c r="AI223">
        <f>IF(Ajustes!$G223&gt;0,INDEX($AA$4:$AL$323,Ajustes!$G223,W$2),0)+IF(Ajustes!$H223&gt;0,INDEX($AA$4:$AL$323,Ajustes!$H223,W$2),0)+IF(Ajustes!$I223&gt;0,INDEX($AA$4:$AL$323,Ajustes!$I223,W$2),0)+IF(Ajustes!$J223&gt;0,INDEX($AA$4:$AL$323,Ajustes!$J223,W$2),0)+IF(Ajustes!$K223&gt;0,INDEX($AA$5:$AL$324,Ajustes!$K223,W$2),0)+IF(Ajustes!$L223&gt;0,INDEX($AA$4:$AL$323,Ajustes!$L223,W$2),0) + W223</f>
        <v>132</v>
      </c>
      <c r="AJ223">
        <f>IF(Ajustes!$G223&gt;0,INDEX($AA$4:$AL$323,Ajustes!$G223,X$2),0)+IF(Ajustes!$H223&gt;0,INDEX($AA$4:$AL$323,Ajustes!$H223,X$2),0)+IF(Ajustes!$I223&gt;0,INDEX($AA$4:$AL$323,Ajustes!$I223,X$2),0)+IF(Ajustes!$J223&gt;0,INDEX($AA$4:$AL$323,Ajustes!$J223,X$2),0)+IF(Ajustes!$K223&gt;0,INDEX($AA$5:$AL$324,Ajustes!$K223,X$2),0)+IF(Ajustes!$L223&gt;0,INDEX($AA$4:$AL$323,Ajustes!$L223,X$2),0) + X223</f>
        <v>147</v>
      </c>
      <c r="AK223">
        <f>IF(Ajustes!$G223&gt;0,INDEX($AA$4:$AL$323,Ajustes!$G223,Y$2),0)+IF(Ajustes!$H223&gt;0,INDEX($AA$4:$AL$323,Ajustes!$H223,Y$2),0)+IF(Ajustes!$I223&gt;0,INDEX($AA$4:$AL$323,Ajustes!$I223,Y$2),0)+IF(Ajustes!$J223&gt;0,INDEX($AA$4:$AL$323,Ajustes!$J223,Y$2),0)+IF(Ajustes!$K223&gt;0,INDEX($AA$5:$AL$324,Ajustes!$K223,Y$2),0)+IF(Ajustes!$L223&gt;0,INDEX($AA$4:$AL$323,Ajustes!$L223,Y$2),0) + Y223</f>
        <v>103</v>
      </c>
      <c r="AL223">
        <f>IF(Ajustes!$G223&gt;0,INDEX($AA$4:$AL$323,Ajustes!$G223,Z$2),0)+IF(Ajustes!$H223&gt;0,INDEX($AA$4:$AL$323,Ajustes!$H223,Z$2),0)+IF(Ajustes!$I223&gt;0,INDEX($AA$4:$AL$323,Ajustes!$I223,Z$2),0)+IF(Ajustes!$J223&gt;0,INDEX($AA$4:$AL$323,Ajustes!$J223,Z$2),0)+IF(Ajustes!$K223&gt;0,INDEX($AA$5:$AL$324,Ajustes!$K223,Z$2),0)+IF(Ajustes!$L223&gt;0,INDEX($AA$4:$AL$323,Ajustes!$L223,Z$2),0) + Z223</f>
        <v>77</v>
      </c>
      <c r="AM223" s="113">
        <f t="shared" si="47"/>
        <v>59</v>
      </c>
      <c r="AN223" s="113">
        <f t="shared" si="47"/>
        <v>58</v>
      </c>
      <c r="AO223" s="113">
        <f t="shared" si="47"/>
        <v>49</v>
      </c>
      <c r="AP223" s="113">
        <f t="shared" si="47"/>
        <v>62</v>
      </c>
      <c r="AQ223" s="113">
        <f t="shared" si="49"/>
        <v>96</v>
      </c>
      <c r="AR223" s="113">
        <f t="shared" si="48"/>
        <v>118</v>
      </c>
      <c r="AS223" s="113">
        <f t="shared" si="48"/>
        <v>132</v>
      </c>
      <c r="AT223" s="113">
        <f t="shared" si="48"/>
        <v>119</v>
      </c>
      <c r="AU223" s="113">
        <f t="shared" si="48"/>
        <v>132</v>
      </c>
      <c r="AV223" s="113">
        <f t="shared" si="51"/>
        <v>147</v>
      </c>
      <c r="AW223" s="113">
        <f t="shared" si="50"/>
        <v>103</v>
      </c>
      <c r="AX223" s="113">
        <f t="shared" si="50"/>
        <v>77</v>
      </c>
    </row>
    <row r="224" spans="1:50" x14ac:dyDescent="0.25">
      <c r="A224" s="113">
        <v>221</v>
      </c>
      <c r="B224" s="209"/>
      <c r="C224">
        <f>IFERROR(INDEX($BD$7:$BO$35,MATCH(Ajustes!$E$4:$E$323,$BC$7:$BC$35,0),$C$2:$N$2),1)</f>
        <v>1</v>
      </c>
      <c r="D224" s="113">
        <f>IFERROR(INDEX($BD$7:$BO$35,MATCH(Ajustes!$E$4:$E$323,$BC$7:$BC$35,0),$C$2:$N$2),1)</f>
        <v>1</v>
      </c>
      <c r="E224" s="113">
        <f>IFERROR(INDEX($BD$7:$BO$35,MATCH(Ajustes!$E$4:$E$323,$BC$7:$BC$35,0),$C$2:$N$2),1)</f>
        <v>1</v>
      </c>
      <c r="F224" s="113">
        <f>IFERROR(INDEX($BD$7:$BO$35,MATCH(Ajustes!$E$4:$E$323,$BC$7:$BC$35,0),$C$2:$N$2),1)</f>
        <v>1</v>
      </c>
      <c r="G224" s="113">
        <f>IFERROR(INDEX($BD$7:$BO$35,MATCH(Ajustes!$E$4:$E$323,$BC$7:$BC$35,0),$C$2:$N$2),1)</f>
        <v>1</v>
      </c>
      <c r="H224" s="113">
        <f>IFERROR(INDEX($BD$7:$BO$35,MATCH(Ajustes!$E$4:$E$323,$BC$7:$BC$35,0),$C$2:$N$2),1)</f>
        <v>1</v>
      </c>
      <c r="I224" s="113">
        <f>IFERROR(INDEX($BD$7:$BO$35,MATCH(Ajustes!$E$4:$E$323,$BC$7:$BC$35,0),$C$2:$N$2),1)</f>
        <v>1</v>
      </c>
      <c r="J224" s="113">
        <f>IFERROR(INDEX($BD$7:$BO$35,MATCH(Ajustes!$E$4:$E$323,$BC$7:$BC$35,0),$C$2:$N$2),1)</f>
        <v>1</v>
      </c>
      <c r="K224" s="113">
        <f>IFERROR(INDEX($BD$7:$BO$35,MATCH(Ajustes!$E$4:$E$323,$BC$7:$BC$35,0),$C$2:$N$2),1)</f>
        <v>1</v>
      </c>
      <c r="L224" s="113">
        <f>IFERROR(INDEX($BD$7:$BO$35,MATCH(Ajustes!$E$4:$E$323,$BC$7:$BC$35,0),$C$2:$N$2),1)</f>
        <v>1</v>
      </c>
      <c r="M224" s="113">
        <f>IFERROR(INDEX($BD$7:$BO$35,MATCH(Ajustes!$E$4:$E$323,$BC$7:$BC$35,0),$C$2:$N$2),1)</f>
        <v>1</v>
      </c>
      <c r="N224" s="113">
        <f>IFERROR(INDEX($BD$7:$BO$35,MATCH(Ajustes!$E$4:$E$323,$BC$7:$BC$35,0),$C$2:$N$2),1)</f>
        <v>1</v>
      </c>
      <c r="O224">
        <f>C224*Ajustes!AM224</f>
        <v>0</v>
      </c>
      <c r="P224">
        <f>D224*Ajustes!AN224</f>
        <v>0</v>
      </c>
      <c r="Q224">
        <f>E224*Ajustes!AO224</f>
        <v>0</v>
      </c>
      <c r="R224">
        <f>F224*Ajustes!AP224</f>
        <v>0</v>
      </c>
      <c r="S224">
        <f>G224*Ajustes!AQ224</f>
        <v>0</v>
      </c>
      <c r="T224">
        <f>H224*Ajustes!AR224</f>
        <v>0</v>
      </c>
      <c r="U224">
        <f>I224*Ajustes!AS224</f>
        <v>0</v>
      </c>
      <c r="V224">
        <f>J224*Ajustes!AT224</f>
        <v>0</v>
      </c>
      <c r="W224">
        <f>K224*Ajustes!AU224</f>
        <v>0</v>
      </c>
      <c r="X224">
        <f>L224*Ajustes!AV224</f>
        <v>0</v>
      </c>
      <c r="Y224">
        <f>M224*Ajustes!AW224</f>
        <v>0</v>
      </c>
      <c r="Z224">
        <f>N224*Ajustes!AX224</f>
        <v>0</v>
      </c>
      <c r="AA224">
        <f>IF(Ajustes!$G224&gt;0,INDEX($AA$4:$AL$323,Ajustes!$G224,O$2),0)+IF(Ajustes!$H224&gt;0,INDEX($AA$4:$AL$323,Ajustes!$H224,O$2),0)+IF(Ajustes!$I224&gt;0,INDEX($AA$4:$AL$323,Ajustes!$I224,O$2),0)+IF(Ajustes!$J224&gt;0,INDEX($AA$4:$AL$323,Ajustes!$J224,O$2),0)+IF(Ajustes!$K224&gt;0,INDEX($AA$5:$AL$324,Ajustes!$K224,O$2),0)+IF(Ajustes!$L224&gt;0,INDEX($AA$4:$AL$323,Ajustes!$L224,O$2),0) + O224</f>
        <v>0</v>
      </c>
      <c r="AB224">
        <f>IF(Ajustes!$G224&gt;0,INDEX($AA$4:$AL$323,Ajustes!$G224,P$2),0)+IF(Ajustes!$H224&gt;0,INDEX($AA$4:$AL$323,Ajustes!$H224,P$2),0)+IF(Ajustes!$I224&gt;0,INDEX($AA$4:$AL$323,Ajustes!$I224,P$2),0)+IF(Ajustes!$J224&gt;0,INDEX($AA$4:$AL$323,Ajustes!$J224,P$2),0)+IF(Ajustes!$K224&gt;0,INDEX($AA$5:$AL$324,Ajustes!$K224,P$2),0)+IF(Ajustes!$L224&gt;0,INDEX($AA$4:$AL$323,Ajustes!$L224,P$2),0) + P224</f>
        <v>0</v>
      </c>
      <c r="AC224">
        <f>IF(Ajustes!$G224&gt;0,INDEX($AA$4:$AL$323,Ajustes!$G224,Q$2),0)+IF(Ajustes!$H224&gt;0,INDEX($AA$4:$AL$323,Ajustes!$H224,Q$2),0)+IF(Ajustes!$I224&gt;0,INDEX($AA$4:$AL$323,Ajustes!$I224,Q$2),0)+IF(Ajustes!$J224&gt;0,INDEX($AA$4:$AL$323,Ajustes!$J224,Q$2),0)+IF(Ajustes!$K224&gt;0,INDEX($AA$5:$AL$324,Ajustes!$K224,Q$2),0)+IF(Ajustes!$L224&gt;0,INDEX($AA$4:$AL$323,Ajustes!$L224,Q$2),0) + Q224</f>
        <v>0</v>
      </c>
      <c r="AD224">
        <f>IF(Ajustes!$G224&gt;0,INDEX($AA$4:$AL$323,Ajustes!$G224,R$2),0)+IF(Ajustes!$H224&gt;0,INDEX($AA$4:$AL$323,Ajustes!$H224,R$2),0)+IF(Ajustes!$I224&gt;0,INDEX($AA$4:$AL$323,Ajustes!$I224,R$2),0)+IF(Ajustes!$J224&gt;0,INDEX($AA$4:$AL$323,Ajustes!$J224,R$2),0)+IF(Ajustes!$K224&gt;0,INDEX($AA$5:$AL$324,Ajustes!$K224,R$2),0)+IF(Ajustes!$L224&gt;0,INDEX($AA$4:$AL$323,Ajustes!$L224,R$2),0) + R224</f>
        <v>0</v>
      </c>
      <c r="AE224">
        <f>IF(Ajustes!$G224&gt;0,INDEX($AA$4:$AL$323,Ajustes!$G224,S$2),0)+IF(Ajustes!$H224&gt;0,INDEX($AA$4:$AL$323,Ajustes!$H224,S$2),0)+IF(Ajustes!$I224&gt;0,INDEX($AA$4:$AL$323,Ajustes!$I224,S$2),0)+IF(Ajustes!$J224&gt;0,INDEX($AA$4:$AL$323,Ajustes!$J224,S$2),0)+IF(Ajustes!$K224&gt;0,INDEX($AA$5:$AL$324,Ajustes!$K224,S$2),0)+IF(Ajustes!$L224&gt;0,INDEX($AA$4:$AL$323,Ajustes!$L224,S$2),0) + S224</f>
        <v>0</v>
      </c>
      <c r="AF224">
        <f>IF(Ajustes!$G224&gt;0,INDEX($AA$4:$AL$323,Ajustes!$G224,T$2),0)+IF(Ajustes!$H224&gt;0,INDEX($AA$4:$AL$323,Ajustes!$H224,T$2),0)+IF(Ajustes!$I224&gt;0,INDEX($AA$4:$AL$323,Ajustes!$I224,T$2),0)+IF(Ajustes!$J224&gt;0,INDEX($AA$4:$AL$323,Ajustes!$J224,T$2),0)+IF(Ajustes!$K224&gt;0,INDEX($AA$5:$AL$324,Ajustes!$K224,T$2),0)+IF(Ajustes!$L224&gt;0,INDEX($AA$4:$AL$323,Ajustes!$L224,T$2),0) + T224</f>
        <v>0</v>
      </c>
      <c r="AG224">
        <f>IF(Ajustes!$G224&gt;0,INDEX($AA$4:$AL$323,Ajustes!$G224,U$2),0)+IF(Ajustes!$H224&gt;0,INDEX($AA$4:$AL$323,Ajustes!$H224,U$2),0)+IF(Ajustes!$I224&gt;0,INDEX($AA$4:$AL$323,Ajustes!$I224,U$2),0)+IF(Ajustes!$J224&gt;0,INDEX($AA$4:$AL$323,Ajustes!$J224,U$2),0)+IF(Ajustes!$K224&gt;0,INDEX($AA$5:$AL$324,Ajustes!$K224,U$2),0)+IF(Ajustes!$L224&gt;0,INDEX($AA$4:$AL$323,Ajustes!$L224,U$2),0) + U224</f>
        <v>0</v>
      </c>
      <c r="AH224">
        <f>IF(Ajustes!$G224&gt;0,INDEX($AA$4:$AL$323,Ajustes!$G224,V$2),0)+IF(Ajustes!$H224&gt;0,INDEX($AA$4:$AL$323,Ajustes!$H224,V$2),0)+IF(Ajustes!$I224&gt;0,INDEX($AA$4:$AL$323,Ajustes!$I224,V$2),0)+IF(Ajustes!$J224&gt;0,INDEX($AA$4:$AL$323,Ajustes!$J224,V$2),0)+IF(Ajustes!$K224&gt;0,INDEX($AA$5:$AL$324,Ajustes!$K224,V$2),0)+IF(Ajustes!$L224&gt;0,INDEX($AA$4:$AL$323,Ajustes!$L224,V$2),0) + V224</f>
        <v>0</v>
      </c>
      <c r="AI224">
        <f>IF(Ajustes!$G224&gt;0,INDEX($AA$4:$AL$323,Ajustes!$G224,W$2),0)+IF(Ajustes!$H224&gt;0,INDEX($AA$4:$AL$323,Ajustes!$H224,W$2),0)+IF(Ajustes!$I224&gt;0,INDEX($AA$4:$AL$323,Ajustes!$I224,W$2),0)+IF(Ajustes!$J224&gt;0,INDEX($AA$4:$AL$323,Ajustes!$J224,W$2),0)+IF(Ajustes!$K224&gt;0,INDEX($AA$5:$AL$324,Ajustes!$K224,W$2),0)+IF(Ajustes!$L224&gt;0,INDEX($AA$4:$AL$323,Ajustes!$L224,W$2),0) + W224</f>
        <v>0</v>
      </c>
      <c r="AJ224">
        <f>IF(Ajustes!$G224&gt;0,INDEX($AA$4:$AL$323,Ajustes!$G224,X$2),0)+IF(Ajustes!$H224&gt;0,INDEX($AA$4:$AL$323,Ajustes!$H224,X$2),0)+IF(Ajustes!$I224&gt;0,INDEX($AA$4:$AL$323,Ajustes!$I224,X$2),0)+IF(Ajustes!$J224&gt;0,INDEX($AA$4:$AL$323,Ajustes!$J224,X$2),0)+IF(Ajustes!$K224&gt;0,INDEX($AA$5:$AL$324,Ajustes!$K224,X$2),0)+IF(Ajustes!$L224&gt;0,INDEX($AA$4:$AL$323,Ajustes!$L224,X$2),0) + X224</f>
        <v>0</v>
      </c>
      <c r="AK224">
        <f>IF(Ajustes!$G224&gt;0,INDEX($AA$4:$AL$323,Ajustes!$G224,Y$2),0)+IF(Ajustes!$H224&gt;0,INDEX($AA$4:$AL$323,Ajustes!$H224,Y$2),0)+IF(Ajustes!$I224&gt;0,INDEX($AA$4:$AL$323,Ajustes!$I224,Y$2),0)+IF(Ajustes!$J224&gt;0,INDEX($AA$4:$AL$323,Ajustes!$J224,Y$2),0)+IF(Ajustes!$K224&gt;0,INDEX($AA$5:$AL$324,Ajustes!$K224,Y$2),0)+IF(Ajustes!$L224&gt;0,INDEX($AA$4:$AL$323,Ajustes!$L224,Y$2),0) + Y224</f>
        <v>0</v>
      </c>
      <c r="AL224">
        <f>IF(Ajustes!$G224&gt;0,INDEX($AA$4:$AL$323,Ajustes!$G224,Z$2),0)+IF(Ajustes!$H224&gt;0,INDEX($AA$4:$AL$323,Ajustes!$H224,Z$2),0)+IF(Ajustes!$I224&gt;0,INDEX($AA$4:$AL$323,Ajustes!$I224,Z$2),0)+IF(Ajustes!$J224&gt;0,INDEX($AA$4:$AL$323,Ajustes!$J224,Z$2),0)+IF(Ajustes!$K224&gt;0,INDEX($AA$5:$AL$324,Ajustes!$K224,Z$2),0)+IF(Ajustes!$L224&gt;0,INDEX($AA$4:$AL$323,Ajustes!$L224,Z$2),0) + Z224</f>
        <v>0</v>
      </c>
      <c r="AM224" s="113">
        <f t="shared" si="47"/>
        <v>0</v>
      </c>
      <c r="AN224" s="113">
        <f t="shared" si="47"/>
        <v>0</v>
      </c>
      <c r="AO224" s="113">
        <f t="shared" si="47"/>
        <v>0</v>
      </c>
      <c r="AP224" s="113">
        <f t="shared" si="47"/>
        <v>0</v>
      </c>
      <c r="AQ224" s="113">
        <f t="shared" si="49"/>
        <v>0</v>
      </c>
      <c r="AR224" s="113">
        <f t="shared" si="48"/>
        <v>0</v>
      </c>
      <c r="AS224" s="113">
        <f t="shared" si="48"/>
        <v>0</v>
      </c>
      <c r="AT224" s="113">
        <f t="shared" si="48"/>
        <v>0</v>
      </c>
      <c r="AU224" s="113">
        <f t="shared" si="48"/>
        <v>0</v>
      </c>
      <c r="AV224" s="113">
        <f t="shared" si="51"/>
        <v>0</v>
      </c>
      <c r="AW224" s="113">
        <f t="shared" si="50"/>
        <v>0</v>
      </c>
      <c r="AX224" s="113">
        <f t="shared" si="50"/>
        <v>0</v>
      </c>
    </row>
    <row r="225" spans="1:50" x14ac:dyDescent="0.25">
      <c r="A225" s="113">
        <v>222</v>
      </c>
      <c r="B225" s="209" t="s">
        <v>175</v>
      </c>
      <c r="C225">
        <f>IFERROR(INDEX($BD$7:$BO$35,MATCH(Ajustes!$E$4:$E$323,$BC$7:$BC$35,0),$C$2:$N$2),1)</f>
        <v>1</v>
      </c>
      <c r="D225" s="113">
        <f>IFERROR(INDEX($BD$7:$BO$35,MATCH(Ajustes!$E$4:$E$323,$BC$7:$BC$35,0),$C$2:$N$2),1)</f>
        <v>1</v>
      </c>
      <c r="E225" s="113">
        <f>IFERROR(INDEX($BD$7:$BO$35,MATCH(Ajustes!$E$4:$E$323,$BC$7:$BC$35,0),$C$2:$N$2),1)</f>
        <v>1</v>
      </c>
      <c r="F225" s="113">
        <f>IFERROR(INDEX($BD$7:$BO$35,MATCH(Ajustes!$E$4:$E$323,$BC$7:$BC$35,0),$C$2:$N$2),1)</f>
        <v>1</v>
      </c>
      <c r="G225" s="113">
        <f>IFERROR(INDEX($BD$7:$BO$35,MATCH(Ajustes!$E$4:$E$323,$BC$7:$BC$35,0),$C$2:$N$2),1)</f>
        <v>1</v>
      </c>
      <c r="H225" s="113">
        <f>IFERROR(INDEX($BD$7:$BO$35,MATCH(Ajustes!$E$4:$E$323,$BC$7:$BC$35,0),$C$2:$N$2),1)</f>
        <v>1</v>
      </c>
      <c r="I225" s="113">
        <f>IFERROR(INDEX($BD$7:$BO$35,MATCH(Ajustes!$E$4:$E$323,$BC$7:$BC$35,0),$C$2:$N$2),1)</f>
        <v>1</v>
      </c>
      <c r="J225" s="113">
        <f>IFERROR(INDEX($BD$7:$BO$35,MATCH(Ajustes!$E$4:$E$323,$BC$7:$BC$35,0),$C$2:$N$2),1)</f>
        <v>1</v>
      </c>
      <c r="K225" s="113">
        <f>IFERROR(INDEX($BD$7:$BO$35,MATCH(Ajustes!$E$4:$E$323,$BC$7:$BC$35,0),$C$2:$N$2),1)</f>
        <v>1</v>
      </c>
      <c r="L225" s="113">
        <f>IFERROR(INDEX($BD$7:$BO$35,MATCH(Ajustes!$E$4:$E$323,$BC$7:$BC$35,0),$C$2:$N$2),1)</f>
        <v>1</v>
      </c>
      <c r="M225" s="113">
        <f>IFERROR(INDEX($BD$7:$BO$35,MATCH(Ajustes!$E$4:$E$323,$BC$7:$BC$35,0),$C$2:$N$2),1)</f>
        <v>1</v>
      </c>
      <c r="N225" s="113">
        <f>IFERROR(INDEX($BD$7:$BO$35,MATCH(Ajustes!$E$4:$E$323,$BC$7:$BC$35,0),$C$2:$N$2),1)</f>
        <v>1</v>
      </c>
      <c r="O225">
        <f>C225*Ajustes!AM225</f>
        <v>221</v>
      </c>
      <c r="P225">
        <f>D225*Ajustes!AN225</f>
        <v>242</v>
      </c>
      <c r="Q225">
        <f>E225*Ajustes!AO225</f>
        <v>207</v>
      </c>
      <c r="R225">
        <f>F225*Ajustes!AP225</f>
        <v>229</v>
      </c>
      <c r="S225">
        <f>G225*Ajustes!AQ225</f>
        <v>329</v>
      </c>
      <c r="T225">
        <f>H225*Ajustes!AR225</f>
        <v>393</v>
      </c>
      <c r="U225">
        <f>I225*Ajustes!AS225</f>
        <v>337</v>
      </c>
      <c r="V225">
        <f>J225*Ajustes!AT225</f>
        <v>284</v>
      </c>
      <c r="W225">
        <f>K225*Ajustes!AU225</f>
        <v>311</v>
      </c>
      <c r="X225">
        <f>L225*Ajustes!AV225</f>
        <v>435</v>
      </c>
      <c r="Y225">
        <f>M225*Ajustes!AW225</f>
        <v>334</v>
      </c>
      <c r="Z225">
        <f>N225*Ajustes!AX225</f>
        <v>251</v>
      </c>
      <c r="AA225">
        <f>IF(Ajustes!$G225&gt;0,INDEX($AA$4:$AL$323,Ajustes!$G225,O$2),0)+IF(Ajustes!$H225&gt;0,INDEX($AA$4:$AL$323,Ajustes!$H225,O$2),0)+IF(Ajustes!$I225&gt;0,INDEX($AA$4:$AL$323,Ajustes!$I225,O$2),0)+IF(Ajustes!$J225&gt;0,INDEX($AA$4:$AL$323,Ajustes!$J225,O$2),0)+IF(Ajustes!$K225&gt;0,INDEX($AA$5:$AL$324,Ajustes!$K225,O$2),0)+IF(Ajustes!$L225&gt;0,INDEX($AA$4:$AL$323,Ajustes!$L225,O$2),0) + O225</f>
        <v>1143</v>
      </c>
      <c r="AB225">
        <f>IF(Ajustes!$G225&gt;0,INDEX($AA$4:$AL$323,Ajustes!$G225,P$2),0)+IF(Ajustes!$H225&gt;0,INDEX($AA$4:$AL$323,Ajustes!$H225,P$2),0)+IF(Ajustes!$I225&gt;0,INDEX($AA$4:$AL$323,Ajustes!$I225,P$2),0)+IF(Ajustes!$J225&gt;0,INDEX($AA$4:$AL$323,Ajustes!$J225,P$2),0)+IF(Ajustes!$K225&gt;0,INDEX($AA$5:$AL$324,Ajustes!$K225,P$2),0)+IF(Ajustes!$L225&gt;0,INDEX($AA$4:$AL$323,Ajustes!$L225,P$2),0) + P225</f>
        <v>1265</v>
      </c>
      <c r="AC225">
        <f>IF(Ajustes!$G225&gt;0,INDEX($AA$4:$AL$323,Ajustes!$G225,Q$2),0)+IF(Ajustes!$H225&gt;0,INDEX($AA$4:$AL$323,Ajustes!$H225,Q$2),0)+IF(Ajustes!$I225&gt;0,INDEX($AA$4:$AL$323,Ajustes!$I225,Q$2),0)+IF(Ajustes!$J225&gt;0,INDEX($AA$4:$AL$323,Ajustes!$J225,Q$2),0)+IF(Ajustes!$K225&gt;0,INDEX($AA$5:$AL$324,Ajustes!$K225,Q$2),0)+IF(Ajustes!$L225&gt;0,INDEX($AA$4:$AL$323,Ajustes!$L225,Q$2),0) + Q225</f>
        <v>1101</v>
      </c>
      <c r="AD225">
        <f>IF(Ajustes!$G225&gt;0,INDEX($AA$4:$AL$323,Ajustes!$G225,R$2),0)+IF(Ajustes!$H225&gt;0,INDEX($AA$4:$AL$323,Ajustes!$H225,R$2),0)+IF(Ajustes!$I225&gt;0,INDEX($AA$4:$AL$323,Ajustes!$I225,R$2),0)+IF(Ajustes!$J225&gt;0,INDEX($AA$4:$AL$323,Ajustes!$J225,R$2),0)+IF(Ajustes!$K225&gt;0,INDEX($AA$5:$AL$324,Ajustes!$K225,R$2),0)+IF(Ajustes!$L225&gt;0,INDEX($AA$4:$AL$323,Ajustes!$L225,R$2),0) + R225</f>
        <v>1021</v>
      </c>
      <c r="AE225">
        <f>IF(Ajustes!$G225&gt;0,INDEX($AA$4:$AL$323,Ajustes!$G225,S$2),0)+IF(Ajustes!$H225&gt;0,INDEX($AA$4:$AL$323,Ajustes!$H225,S$2),0)+IF(Ajustes!$I225&gt;0,INDEX($AA$4:$AL$323,Ajustes!$I225,S$2),0)+IF(Ajustes!$J225&gt;0,INDEX($AA$4:$AL$323,Ajustes!$J225,S$2),0)+IF(Ajustes!$K225&gt;0,INDEX($AA$5:$AL$324,Ajustes!$K225,S$2),0)+IF(Ajustes!$L225&gt;0,INDEX($AA$4:$AL$323,Ajustes!$L225,S$2),0) + S225</f>
        <v>1325</v>
      </c>
      <c r="AF225">
        <f>IF(Ajustes!$G225&gt;0,INDEX($AA$4:$AL$323,Ajustes!$G225,T$2),0)+IF(Ajustes!$H225&gt;0,INDEX($AA$4:$AL$323,Ajustes!$H225,T$2),0)+IF(Ajustes!$I225&gt;0,INDEX($AA$4:$AL$323,Ajustes!$I225,T$2),0)+IF(Ajustes!$J225&gt;0,INDEX($AA$4:$AL$323,Ajustes!$J225,T$2),0)+IF(Ajustes!$K225&gt;0,INDEX($AA$5:$AL$324,Ajustes!$K225,T$2),0)+IF(Ajustes!$L225&gt;0,INDEX($AA$4:$AL$323,Ajustes!$L225,T$2),0) + T225</f>
        <v>1575</v>
      </c>
      <c r="AG225">
        <f>IF(Ajustes!$G225&gt;0,INDEX($AA$4:$AL$323,Ajustes!$G225,U$2),0)+IF(Ajustes!$H225&gt;0,INDEX($AA$4:$AL$323,Ajustes!$H225,U$2),0)+IF(Ajustes!$I225&gt;0,INDEX($AA$4:$AL$323,Ajustes!$I225,U$2),0)+IF(Ajustes!$J225&gt;0,INDEX($AA$4:$AL$323,Ajustes!$J225,U$2),0)+IF(Ajustes!$K225&gt;0,INDEX($AA$5:$AL$324,Ajustes!$K225,U$2),0)+IF(Ajustes!$L225&gt;0,INDEX($AA$4:$AL$323,Ajustes!$L225,U$2),0) + U225</f>
        <v>1524</v>
      </c>
      <c r="AH225">
        <f>IF(Ajustes!$G225&gt;0,INDEX($AA$4:$AL$323,Ajustes!$G225,V$2),0)+IF(Ajustes!$H225&gt;0,INDEX($AA$4:$AL$323,Ajustes!$H225,V$2),0)+IF(Ajustes!$I225&gt;0,INDEX($AA$4:$AL$323,Ajustes!$I225,V$2),0)+IF(Ajustes!$J225&gt;0,INDEX($AA$4:$AL$323,Ajustes!$J225,V$2),0)+IF(Ajustes!$K225&gt;0,INDEX($AA$5:$AL$324,Ajustes!$K225,V$2),0)+IF(Ajustes!$L225&gt;0,INDEX($AA$4:$AL$323,Ajustes!$L225,V$2),0) + V225</f>
        <v>1264</v>
      </c>
      <c r="AI225">
        <f>IF(Ajustes!$G225&gt;0,INDEX($AA$4:$AL$323,Ajustes!$G225,W$2),0)+IF(Ajustes!$H225&gt;0,INDEX($AA$4:$AL$323,Ajustes!$H225,W$2),0)+IF(Ajustes!$I225&gt;0,INDEX($AA$4:$AL$323,Ajustes!$I225,W$2),0)+IF(Ajustes!$J225&gt;0,INDEX($AA$4:$AL$323,Ajustes!$J225,W$2),0)+IF(Ajustes!$K225&gt;0,INDEX($AA$5:$AL$324,Ajustes!$K225,W$2),0)+IF(Ajustes!$L225&gt;0,INDEX($AA$4:$AL$323,Ajustes!$L225,W$2),0) + W225</f>
        <v>1467</v>
      </c>
      <c r="AJ225">
        <f>IF(Ajustes!$G225&gt;0,INDEX($AA$4:$AL$323,Ajustes!$G225,X$2),0)+IF(Ajustes!$H225&gt;0,INDEX($AA$4:$AL$323,Ajustes!$H225,X$2),0)+IF(Ajustes!$I225&gt;0,INDEX($AA$4:$AL$323,Ajustes!$I225,X$2),0)+IF(Ajustes!$J225&gt;0,INDEX($AA$4:$AL$323,Ajustes!$J225,X$2),0)+IF(Ajustes!$K225&gt;0,INDEX($AA$5:$AL$324,Ajustes!$K225,X$2),0)+IF(Ajustes!$L225&gt;0,INDEX($AA$4:$AL$323,Ajustes!$L225,X$2),0) + X225</f>
        <v>1935</v>
      </c>
      <c r="AK225">
        <f>IF(Ajustes!$G225&gt;0,INDEX($AA$4:$AL$323,Ajustes!$G225,Y$2),0)+IF(Ajustes!$H225&gt;0,INDEX($AA$4:$AL$323,Ajustes!$H225,Y$2),0)+IF(Ajustes!$I225&gt;0,INDEX($AA$4:$AL$323,Ajustes!$I225,Y$2),0)+IF(Ajustes!$J225&gt;0,INDEX($AA$4:$AL$323,Ajustes!$J225,Y$2),0)+IF(Ajustes!$K225&gt;0,INDEX($AA$5:$AL$324,Ajustes!$K225,Y$2),0)+IF(Ajustes!$L225&gt;0,INDEX($AA$4:$AL$323,Ajustes!$L225,Y$2),0) + Y225</f>
        <v>1462</v>
      </c>
      <c r="AL225">
        <f>IF(Ajustes!$G225&gt;0,INDEX($AA$4:$AL$323,Ajustes!$G225,Z$2),0)+IF(Ajustes!$H225&gt;0,INDEX($AA$4:$AL$323,Ajustes!$H225,Z$2),0)+IF(Ajustes!$I225&gt;0,INDEX($AA$4:$AL$323,Ajustes!$I225,Z$2),0)+IF(Ajustes!$J225&gt;0,INDEX($AA$4:$AL$323,Ajustes!$J225,Z$2),0)+IF(Ajustes!$K225&gt;0,INDEX($AA$5:$AL$324,Ajustes!$K225,Z$2),0)+IF(Ajustes!$L225&gt;0,INDEX($AA$4:$AL$323,Ajustes!$L225,Z$2),0) + Z225</f>
        <v>1160</v>
      </c>
      <c r="AM225" s="113">
        <f t="shared" si="47"/>
        <v>1143</v>
      </c>
      <c r="AN225" s="113">
        <f t="shared" si="47"/>
        <v>1265</v>
      </c>
      <c r="AO225" s="113">
        <f t="shared" si="47"/>
        <v>1101</v>
      </c>
      <c r="AP225" s="113">
        <f t="shared" si="47"/>
        <v>1021</v>
      </c>
      <c r="AQ225" s="113">
        <f t="shared" si="49"/>
        <v>1325</v>
      </c>
      <c r="AR225" s="113">
        <f t="shared" si="48"/>
        <v>1575</v>
      </c>
      <c r="AS225" s="113">
        <f t="shared" si="48"/>
        <v>1524</v>
      </c>
      <c r="AT225" s="113">
        <f t="shared" si="48"/>
        <v>1264</v>
      </c>
      <c r="AU225" s="113">
        <f t="shared" si="48"/>
        <v>1467</v>
      </c>
      <c r="AV225" s="113">
        <f t="shared" si="51"/>
        <v>1935</v>
      </c>
      <c r="AW225" s="113">
        <f t="shared" si="50"/>
        <v>1462</v>
      </c>
      <c r="AX225" s="113">
        <f t="shared" si="50"/>
        <v>1160</v>
      </c>
    </row>
    <row r="226" spans="1:50" x14ac:dyDescent="0.25">
      <c r="A226" s="113">
        <v>223</v>
      </c>
      <c r="B226" s="209"/>
      <c r="C226">
        <f>IFERROR(INDEX($BD$7:$BO$35,MATCH(Ajustes!$E$4:$E$323,$BC$7:$BC$35,0),$C$2:$N$2),1)</f>
        <v>1</v>
      </c>
      <c r="D226" s="113">
        <f>IFERROR(INDEX($BD$7:$BO$35,MATCH(Ajustes!$E$4:$E$323,$BC$7:$BC$35,0),$C$2:$N$2),1)</f>
        <v>1</v>
      </c>
      <c r="E226" s="113">
        <f>IFERROR(INDEX($BD$7:$BO$35,MATCH(Ajustes!$E$4:$E$323,$BC$7:$BC$35,0),$C$2:$N$2),1)</f>
        <v>1</v>
      </c>
      <c r="F226" s="113">
        <f>IFERROR(INDEX($BD$7:$BO$35,MATCH(Ajustes!$E$4:$E$323,$BC$7:$BC$35,0),$C$2:$N$2),1)</f>
        <v>1</v>
      </c>
      <c r="G226" s="113">
        <f>IFERROR(INDEX($BD$7:$BO$35,MATCH(Ajustes!$E$4:$E$323,$BC$7:$BC$35,0),$C$2:$N$2),1)</f>
        <v>1</v>
      </c>
      <c r="H226" s="113">
        <f>IFERROR(INDEX($BD$7:$BO$35,MATCH(Ajustes!$E$4:$E$323,$BC$7:$BC$35,0),$C$2:$N$2),1)</f>
        <v>1</v>
      </c>
      <c r="I226" s="113">
        <f>IFERROR(INDEX($BD$7:$BO$35,MATCH(Ajustes!$E$4:$E$323,$BC$7:$BC$35,0),$C$2:$N$2),1)</f>
        <v>1</v>
      </c>
      <c r="J226" s="113">
        <f>IFERROR(INDEX($BD$7:$BO$35,MATCH(Ajustes!$E$4:$E$323,$BC$7:$BC$35,0),$C$2:$N$2),1)</f>
        <v>1</v>
      </c>
      <c r="K226" s="113">
        <f>IFERROR(INDEX($BD$7:$BO$35,MATCH(Ajustes!$E$4:$E$323,$BC$7:$BC$35,0),$C$2:$N$2),1)</f>
        <v>1</v>
      </c>
      <c r="L226" s="113">
        <f>IFERROR(INDEX($BD$7:$BO$35,MATCH(Ajustes!$E$4:$E$323,$BC$7:$BC$35,0),$C$2:$N$2),1)</f>
        <v>1</v>
      </c>
      <c r="M226" s="113">
        <f>IFERROR(INDEX($BD$7:$BO$35,MATCH(Ajustes!$E$4:$E$323,$BC$7:$BC$35,0),$C$2:$N$2),1)</f>
        <v>1</v>
      </c>
      <c r="N226" s="113">
        <f>IFERROR(INDEX($BD$7:$BO$35,MATCH(Ajustes!$E$4:$E$323,$BC$7:$BC$35,0),$C$2:$N$2),1)</f>
        <v>1</v>
      </c>
      <c r="O226">
        <f>C226*Ajustes!AM226</f>
        <v>0</v>
      </c>
      <c r="P226">
        <f>D226*Ajustes!AN226</f>
        <v>0</v>
      </c>
      <c r="Q226">
        <f>E226*Ajustes!AO226</f>
        <v>0</v>
      </c>
      <c r="R226">
        <f>F226*Ajustes!AP226</f>
        <v>0</v>
      </c>
      <c r="S226">
        <f>G226*Ajustes!AQ226</f>
        <v>0</v>
      </c>
      <c r="T226">
        <f>H226*Ajustes!AR226</f>
        <v>0</v>
      </c>
      <c r="U226">
        <f>I226*Ajustes!AS226</f>
        <v>0</v>
      </c>
      <c r="V226">
        <f>J226*Ajustes!AT226</f>
        <v>0</v>
      </c>
      <c r="W226">
        <f>K226*Ajustes!AU226</f>
        <v>0</v>
      </c>
      <c r="X226">
        <f>L226*Ajustes!AV226</f>
        <v>0</v>
      </c>
      <c r="Y226">
        <f>M226*Ajustes!AW226</f>
        <v>0</v>
      </c>
      <c r="Z226">
        <f>N226*Ajustes!AX226</f>
        <v>0</v>
      </c>
      <c r="AA226">
        <f>IF(Ajustes!$G226&gt;0,INDEX($AA$4:$AL$323,Ajustes!$G226,O$2),0)+IF(Ajustes!$H226&gt;0,INDEX($AA$4:$AL$323,Ajustes!$H226,O$2),0)+IF(Ajustes!$I226&gt;0,INDEX($AA$4:$AL$323,Ajustes!$I226,O$2),0)+IF(Ajustes!$J226&gt;0,INDEX($AA$4:$AL$323,Ajustes!$J226,O$2),0)+IF(Ajustes!$K226&gt;0,INDEX($AA$5:$AL$324,Ajustes!$K226,O$2),0)+IF(Ajustes!$L226&gt;0,INDEX($AA$4:$AL$323,Ajustes!$L226,O$2),0) + O226</f>
        <v>0</v>
      </c>
      <c r="AB226">
        <f>IF(Ajustes!$G226&gt;0,INDEX($AA$4:$AL$323,Ajustes!$G226,P$2),0)+IF(Ajustes!$H226&gt;0,INDEX($AA$4:$AL$323,Ajustes!$H226,P$2),0)+IF(Ajustes!$I226&gt;0,INDEX($AA$4:$AL$323,Ajustes!$I226,P$2),0)+IF(Ajustes!$J226&gt;0,INDEX($AA$4:$AL$323,Ajustes!$J226,P$2),0)+IF(Ajustes!$K226&gt;0,INDEX($AA$5:$AL$324,Ajustes!$K226,P$2),0)+IF(Ajustes!$L226&gt;0,INDEX($AA$4:$AL$323,Ajustes!$L226,P$2),0) + P226</f>
        <v>0</v>
      </c>
      <c r="AC226">
        <f>IF(Ajustes!$G226&gt;0,INDEX($AA$4:$AL$323,Ajustes!$G226,Q$2),0)+IF(Ajustes!$H226&gt;0,INDEX($AA$4:$AL$323,Ajustes!$H226,Q$2),0)+IF(Ajustes!$I226&gt;0,INDEX($AA$4:$AL$323,Ajustes!$I226,Q$2),0)+IF(Ajustes!$J226&gt;0,INDEX($AA$4:$AL$323,Ajustes!$J226,Q$2),0)+IF(Ajustes!$K226&gt;0,INDEX($AA$5:$AL$324,Ajustes!$K226,Q$2),0)+IF(Ajustes!$L226&gt;0,INDEX($AA$4:$AL$323,Ajustes!$L226,Q$2),0) + Q226</f>
        <v>0</v>
      </c>
      <c r="AD226">
        <f>IF(Ajustes!$G226&gt;0,INDEX($AA$4:$AL$323,Ajustes!$G226,R$2),0)+IF(Ajustes!$H226&gt;0,INDEX($AA$4:$AL$323,Ajustes!$H226,R$2),0)+IF(Ajustes!$I226&gt;0,INDEX($AA$4:$AL$323,Ajustes!$I226,R$2),0)+IF(Ajustes!$J226&gt;0,INDEX($AA$4:$AL$323,Ajustes!$J226,R$2),0)+IF(Ajustes!$K226&gt;0,INDEX($AA$5:$AL$324,Ajustes!$K226,R$2),0)+IF(Ajustes!$L226&gt;0,INDEX($AA$4:$AL$323,Ajustes!$L226,R$2),0) + R226</f>
        <v>0</v>
      </c>
      <c r="AE226">
        <f>IF(Ajustes!$G226&gt;0,INDEX($AA$4:$AL$323,Ajustes!$G226,S$2),0)+IF(Ajustes!$H226&gt;0,INDEX($AA$4:$AL$323,Ajustes!$H226,S$2),0)+IF(Ajustes!$I226&gt;0,INDEX($AA$4:$AL$323,Ajustes!$I226,S$2),0)+IF(Ajustes!$J226&gt;0,INDEX($AA$4:$AL$323,Ajustes!$J226,S$2),0)+IF(Ajustes!$K226&gt;0,INDEX($AA$5:$AL$324,Ajustes!$K226,S$2),0)+IF(Ajustes!$L226&gt;0,INDEX($AA$4:$AL$323,Ajustes!$L226,S$2),0) + S226</f>
        <v>0</v>
      </c>
      <c r="AF226">
        <f>IF(Ajustes!$G226&gt;0,INDEX($AA$4:$AL$323,Ajustes!$G226,T$2),0)+IF(Ajustes!$H226&gt;0,INDEX($AA$4:$AL$323,Ajustes!$H226,T$2),0)+IF(Ajustes!$I226&gt;0,INDEX($AA$4:$AL$323,Ajustes!$I226,T$2),0)+IF(Ajustes!$J226&gt;0,INDEX($AA$4:$AL$323,Ajustes!$J226,T$2),0)+IF(Ajustes!$K226&gt;0,INDEX($AA$5:$AL$324,Ajustes!$K226,T$2),0)+IF(Ajustes!$L226&gt;0,INDEX($AA$4:$AL$323,Ajustes!$L226,T$2),0) + T226</f>
        <v>0</v>
      </c>
      <c r="AG226">
        <f>IF(Ajustes!$G226&gt;0,INDEX($AA$4:$AL$323,Ajustes!$G226,U$2),0)+IF(Ajustes!$H226&gt;0,INDEX($AA$4:$AL$323,Ajustes!$H226,U$2),0)+IF(Ajustes!$I226&gt;0,INDEX($AA$4:$AL$323,Ajustes!$I226,U$2),0)+IF(Ajustes!$J226&gt;0,INDEX($AA$4:$AL$323,Ajustes!$J226,U$2),0)+IF(Ajustes!$K226&gt;0,INDEX($AA$5:$AL$324,Ajustes!$K226,U$2),0)+IF(Ajustes!$L226&gt;0,INDEX($AA$4:$AL$323,Ajustes!$L226,U$2),0) + U226</f>
        <v>0</v>
      </c>
      <c r="AH226">
        <f>IF(Ajustes!$G226&gt;0,INDEX($AA$4:$AL$323,Ajustes!$G226,V$2),0)+IF(Ajustes!$H226&gt;0,INDEX($AA$4:$AL$323,Ajustes!$H226,V$2),0)+IF(Ajustes!$I226&gt;0,INDEX($AA$4:$AL$323,Ajustes!$I226,V$2),0)+IF(Ajustes!$J226&gt;0,INDEX($AA$4:$AL$323,Ajustes!$J226,V$2),0)+IF(Ajustes!$K226&gt;0,INDEX($AA$5:$AL$324,Ajustes!$K226,V$2),0)+IF(Ajustes!$L226&gt;0,INDEX($AA$4:$AL$323,Ajustes!$L226,V$2),0) + V226</f>
        <v>0</v>
      </c>
      <c r="AI226">
        <f>IF(Ajustes!$G226&gt;0,INDEX($AA$4:$AL$323,Ajustes!$G226,W$2),0)+IF(Ajustes!$H226&gt;0,INDEX($AA$4:$AL$323,Ajustes!$H226,W$2),0)+IF(Ajustes!$I226&gt;0,INDEX($AA$4:$AL$323,Ajustes!$I226,W$2),0)+IF(Ajustes!$J226&gt;0,INDEX($AA$4:$AL$323,Ajustes!$J226,W$2),0)+IF(Ajustes!$K226&gt;0,INDEX($AA$5:$AL$324,Ajustes!$K226,W$2),0)+IF(Ajustes!$L226&gt;0,INDEX($AA$4:$AL$323,Ajustes!$L226,W$2),0) + W226</f>
        <v>0</v>
      </c>
      <c r="AJ226">
        <f>IF(Ajustes!$G226&gt;0,INDEX($AA$4:$AL$323,Ajustes!$G226,X$2),0)+IF(Ajustes!$H226&gt;0,INDEX($AA$4:$AL$323,Ajustes!$H226,X$2),0)+IF(Ajustes!$I226&gt;0,INDEX($AA$4:$AL$323,Ajustes!$I226,X$2),0)+IF(Ajustes!$J226&gt;0,INDEX($AA$4:$AL$323,Ajustes!$J226,X$2),0)+IF(Ajustes!$K226&gt;0,INDEX($AA$5:$AL$324,Ajustes!$K226,X$2),0)+IF(Ajustes!$L226&gt;0,INDEX($AA$4:$AL$323,Ajustes!$L226,X$2),0) + X226</f>
        <v>0</v>
      </c>
      <c r="AK226">
        <f>IF(Ajustes!$G226&gt;0,INDEX($AA$4:$AL$323,Ajustes!$G226,Y$2),0)+IF(Ajustes!$H226&gt;0,INDEX($AA$4:$AL$323,Ajustes!$H226,Y$2),0)+IF(Ajustes!$I226&gt;0,INDEX($AA$4:$AL$323,Ajustes!$I226,Y$2),0)+IF(Ajustes!$J226&gt;0,INDEX($AA$4:$AL$323,Ajustes!$J226,Y$2),0)+IF(Ajustes!$K226&gt;0,INDEX($AA$5:$AL$324,Ajustes!$K226,Y$2),0)+IF(Ajustes!$L226&gt;0,INDEX($AA$4:$AL$323,Ajustes!$L226,Y$2),0) + Y226</f>
        <v>0</v>
      </c>
      <c r="AL226">
        <f>IF(Ajustes!$G226&gt;0,INDEX($AA$4:$AL$323,Ajustes!$G226,Z$2),0)+IF(Ajustes!$H226&gt;0,INDEX($AA$4:$AL$323,Ajustes!$H226,Z$2),0)+IF(Ajustes!$I226&gt;0,INDEX($AA$4:$AL$323,Ajustes!$I226,Z$2),0)+IF(Ajustes!$J226&gt;0,INDEX($AA$4:$AL$323,Ajustes!$J226,Z$2),0)+IF(Ajustes!$K226&gt;0,INDEX($AA$5:$AL$324,Ajustes!$K226,Z$2),0)+IF(Ajustes!$L226&gt;0,INDEX($AA$4:$AL$323,Ajustes!$L226,Z$2),0) + Z226</f>
        <v>0</v>
      </c>
      <c r="AM226" s="113">
        <f t="shared" si="47"/>
        <v>0</v>
      </c>
      <c r="AN226" s="113">
        <f t="shared" si="47"/>
        <v>0</v>
      </c>
      <c r="AO226" s="113">
        <f t="shared" si="47"/>
        <v>0</v>
      </c>
      <c r="AP226" s="113">
        <f t="shared" si="47"/>
        <v>0</v>
      </c>
      <c r="AQ226" s="113">
        <f t="shared" si="49"/>
        <v>0</v>
      </c>
      <c r="AR226" s="113">
        <f t="shared" si="48"/>
        <v>0</v>
      </c>
      <c r="AS226" s="113">
        <f t="shared" si="48"/>
        <v>0</v>
      </c>
      <c r="AT226" s="113">
        <f t="shared" si="48"/>
        <v>0</v>
      </c>
      <c r="AU226" s="113">
        <f t="shared" si="48"/>
        <v>0</v>
      </c>
      <c r="AV226" s="113">
        <f t="shared" si="51"/>
        <v>0</v>
      </c>
      <c r="AW226" s="113">
        <f t="shared" si="50"/>
        <v>0</v>
      </c>
      <c r="AX226" s="113">
        <f t="shared" si="50"/>
        <v>0</v>
      </c>
    </row>
    <row r="227" spans="1:50" x14ac:dyDescent="0.25">
      <c r="A227" s="113">
        <v>224</v>
      </c>
      <c r="B227" s="209"/>
      <c r="C227">
        <f>IFERROR(INDEX($BD$7:$BO$35,MATCH(Ajustes!$E$4:$E$323,$BC$7:$BC$35,0),$C$2:$N$2),1)</f>
        <v>1</v>
      </c>
      <c r="D227" s="113">
        <f>IFERROR(INDEX($BD$7:$BO$35,MATCH(Ajustes!$E$4:$E$323,$BC$7:$BC$35,0),$C$2:$N$2),1)</f>
        <v>1</v>
      </c>
      <c r="E227" s="113">
        <f>IFERROR(INDEX($BD$7:$BO$35,MATCH(Ajustes!$E$4:$E$323,$BC$7:$BC$35,0),$C$2:$N$2),1)</f>
        <v>1</v>
      </c>
      <c r="F227" s="113">
        <f>IFERROR(INDEX($BD$7:$BO$35,MATCH(Ajustes!$E$4:$E$323,$BC$7:$BC$35,0),$C$2:$N$2),1)</f>
        <v>1</v>
      </c>
      <c r="G227" s="113">
        <f>IFERROR(INDEX($BD$7:$BO$35,MATCH(Ajustes!$E$4:$E$323,$BC$7:$BC$35,0),$C$2:$N$2),1)</f>
        <v>1</v>
      </c>
      <c r="H227" s="113">
        <f>IFERROR(INDEX($BD$7:$BO$35,MATCH(Ajustes!$E$4:$E$323,$BC$7:$BC$35,0),$C$2:$N$2),1)</f>
        <v>1</v>
      </c>
      <c r="I227" s="113">
        <f>IFERROR(INDEX($BD$7:$BO$35,MATCH(Ajustes!$E$4:$E$323,$BC$7:$BC$35,0),$C$2:$N$2),1)</f>
        <v>1</v>
      </c>
      <c r="J227" s="113">
        <f>IFERROR(INDEX($BD$7:$BO$35,MATCH(Ajustes!$E$4:$E$323,$BC$7:$BC$35,0),$C$2:$N$2),1)</f>
        <v>1</v>
      </c>
      <c r="K227" s="113">
        <f>IFERROR(INDEX($BD$7:$BO$35,MATCH(Ajustes!$E$4:$E$323,$BC$7:$BC$35,0),$C$2:$N$2),1)</f>
        <v>1</v>
      </c>
      <c r="L227" s="113">
        <f>IFERROR(INDEX($BD$7:$BO$35,MATCH(Ajustes!$E$4:$E$323,$BC$7:$BC$35,0),$C$2:$N$2),1)</f>
        <v>1</v>
      </c>
      <c r="M227" s="113">
        <f>IFERROR(INDEX($BD$7:$BO$35,MATCH(Ajustes!$E$4:$E$323,$BC$7:$BC$35,0),$C$2:$N$2),1)</f>
        <v>1</v>
      </c>
      <c r="N227" s="113">
        <f>IFERROR(INDEX($BD$7:$BO$35,MATCH(Ajustes!$E$4:$E$323,$BC$7:$BC$35,0),$C$2:$N$2),1)</f>
        <v>1</v>
      </c>
      <c r="O227">
        <f>C227*Ajustes!AM227</f>
        <v>0</v>
      </c>
      <c r="P227">
        <f>D227*Ajustes!AN227</f>
        <v>0</v>
      </c>
      <c r="Q227">
        <f>E227*Ajustes!AO227</f>
        <v>0</v>
      </c>
      <c r="R227">
        <f>F227*Ajustes!AP227</f>
        <v>0</v>
      </c>
      <c r="S227">
        <f>G227*Ajustes!AQ227</f>
        <v>0</v>
      </c>
      <c r="T227">
        <f>H227*Ajustes!AR227</f>
        <v>0</v>
      </c>
      <c r="U227">
        <f>I227*Ajustes!AS227</f>
        <v>0</v>
      </c>
      <c r="V227">
        <f>J227*Ajustes!AT227</f>
        <v>0</v>
      </c>
      <c r="W227">
        <f>K227*Ajustes!AU227</f>
        <v>0</v>
      </c>
      <c r="X227">
        <f>L227*Ajustes!AV227</f>
        <v>0</v>
      </c>
      <c r="Y227">
        <f>M227*Ajustes!AW227</f>
        <v>0</v>
      </c>
      <c r="Z227">
        <f>N227*Ajustes!AX227</f>
        <v>0</v>
      </c>
      <c r="AA227">
        <f>IF(Ajustes!$G227&gt;0,INDEX($AA$4:$AL$323,Ajustes!$G227,O$2),0)+IF(Ajustes!$H227&gt;0,INDEX($AA$4:$AL$323,Ajustes!$H227,O$2),0)+IF(Ajustes!$I227&gt;0,INDEX($AA$4:$AL$323,Ajustes!$I227,O$2),0)+IF(Ajustes!$J227&gt;0,INDEX($AA$4:$AL$323,Ajustes!$J227,O$2),0)+IF(Ajustes!$K227&gt;0,INDEX($AA$5:$AL$324,Ajustes!$K227,O$2),0)+IF(Ajustes!$L227&gt;0,INDEX($AA$4:$AL$323,Ajustes!$L227,O$2),0) + O227</f>
        <v>0</v>
      </c>
      <c r="AB227">
        <f>IF(Ajustes!$G227&gt;0,INDEX($AA$4:$AL$323,Ajustes!$G227,P$2),0)+IF(Ajustes!$H227&gt;0,INDEX($AA$4:$AL$323,Ajustes!$H227,P$2),0)+IF(Ajustes!$I227&gt;0,INDEX($AA$4:$AL$323,Ajustes!$I227,P$2),0)+IF(Ajustes!$J227&gt;0,INDEX($AA$4:$AL$323,Ajustes!$J227,P$2),0)+IF(Ajustes!$K227&gt;0,INDEX($AA$5:$AL$324,Ajustes!$K227,P$2),0)+IF(Ajustes!$L227&gt;0,INDEX($AA$4:$AL$323,Ajustes!$L227,P$2),0) + P227</f>
        <v>0</v>
      </c>
      <c r="AC227">
        <f>IF(Ajustes!$G227&gt;0,INDEX($AA$4:$AL$323,Ajustes!$G227,Q$2),0)+IF(Ajustes!$H227&gt;0,INDEX($AA$4:$AL$323,Ajustes!$H227,Q$2),0)+IF(Ajustes!$I227&gt;0,INDEX($AA$4:$AL$323,Ajustes!$I227,Q$2),0)+IF(Ajustes!$J227&gt;0,INDEX($AA$4:$AL$323,Ajustes!$J227,Q$2),0)+IF(Ajustes!$K227&gt;0,INDEX($AA$5:$AL$324,Ajustes!$K227,Q$2),0)+IF(Ajustes!$L227&gt;0,INDEX($AA$4:$AL$323,Ajustes!$L227,Q$2),0) + Q227</f>
        <v>0</v>
      </c>
      <c r="AD227">
        <f>IF(Ajustes!$G227&gt;0,INDEX($AA$4:$AL$323,Ajustes!$G227,R$2),0)+IF(Ajustes!$H227&gt;0,INDEX($AA$4:$AL$323,Ajustes!$H227,R$2),0)+IF(Ajustes!$I227&gt;0,INDEX($AA$4:$AL$323,Ajustes!$I227,R$2),0)+IF(Ajustes!$J227&gt;0,INDEX($AA$4:$AL$323,Ajustes!$J227,R$2),0)+IF(Ajustes!$K227&gt;0,INDEX($AA$5:$AL$324,Ajustes!$K227,R$2),0)+IF(Ajustes!$L227&gt;0,INDEX($AA$4:$AL$323,Ajustes!$L227,R$2),0) + R227</f>
        <v>0</v>
      </c>
      <c r="AE227">
        <f>IF(Ajustes!$G227&gt;0,INDEX($AA$4:$AL$323,Ajustes!$G227,S$2),0)+IF(Ajustes!$H227&gt;0,INDEX($AA$4:$AL$323,Ajustes!$H227,S$2),0)+IF(Ajustes!$I227&gt;0,INDEX($AA$4:$AL$323,Ajustes!$I227,S$2),0)+IF(Ajustes!$J227&gt;0,INDEX($AA$4:$AL$323,Ajustes!$J227,S$2),0)+IF(Ajustes!$K227&gt;0,INDEX($AA$5:$AL$324,Ajustes!$K227,S$2),0)+IF(Ajustes!$L227&gt;0,INDEX($AA$4:$AL$323,Ajustes!$L227,S$2),0) + S227</f>
        <v>0</v>
      </c>
      <c r="AF227">
        <f>IF(Ajustes!$G227&gt;0,INDEX($AA$4:$AL$323,Ajustes!$G227,T$2),0)+IF(Ajustes!$H227&gt;0,INDEX($AA$4:$AL$323,Ajustes!$H227,T$2),0)+IF(Ajustes!$I227&gt;0,INDEX($AA$4:$AL$323,Ajustes!$I227,T$2),0)+IF(Ajustes!$J227&gt;0,INDEX($AA$4:$AL$323,Ajustes!$J227,T$2),0)+IF(Ajustes!$K227&gt;0,INDEX($AA$5:$AL$324,Ajustes!$K227,T$2),0)+IF(Ajustes!$L227&gt;0,INDEX($AA$4:$AL$323,Ajustes!$L227,T$2),0) + T227</f>
        <v>0</v>
      </c>
      <c r="AG227">
        <f>IF(Ajustes!$G227&gt;0,INDEX($AA$4:$AL$323,Ajustes!$G227,U$2),0)+IF(Ajustes!$H227&gt;0,INDEX($AA$4:$AL$323,Ajustes!$H227,U$2),0)+IF(Ajustes!$I227&gt;0,INDEX($AA$4:$AL$323,Ajustes!$I227,U$2),0)+IF(Ajustes!$J227&gt;0,INDEX($AA$4:$AL$323,Ajustes!$J227,U$2),0)+IF(Ajustes!$K227&gt;0,INDEX($AA$5:$AL$324,Ajustes!$K227,U$2),0)+IF(Ajustes!$L227&gt;0,INDEX($AA$4:$AL$323,Ajustes!$L227,U$2),0) + U227</f>
        <v>0</v>
      </c>
      <c r="AH227">
        <f>IF(Ajustes!$G227&gt;0,INDEX($AA$4:$AL$323,Ajustes!$G227,V$2),0)+IF(Ajustes!$H227&gt;0,INDEX($AA$4:$AL$323,Ajustes!$H227,V$2),0)+IF(Ajustes!$I227&gt;0,INDEX($AA$4:$AL$323,Ajustes!$I227,V$2),0)+IF(Ajustes!$J227&gt;0,INDEX($AA$4:$AL$323,Ajustes!$J227,V$2),0)+IF(Ajustes!$K227&gt;0,INDEX($AA$5:$AL$324,Ajustes!$K227,V$2),0)+IF(Ajustes!$L227&gt;0,INDEX($AA$4:$AL$323,Ajustes!$L227,V$2),0) + V227</f>
        <v>0</v>
      </c>
      <c r="AI227">
        <f>IF(Ajustes!$G227&gt;0,INDEX($AA$4:$AL$323,Ajustes!$G227,W$2),0)+IF(Ajustes!$H227&gt;0,INDEX($AA$4:$AL$323,Ajustes!$H227,W$2),0)+IF(Ajustes!$I227&gt;0,INDEX($AA$4:$AL$323,Ajustes!$I227,W$2),0)+IF(Ajustes!$J227&gt;0,INDEX($AA$4:$AL$323,Ajustes!$J227,W$2),0)+IF(Ajustes!$K227&gt;0,INDEX($AA$5:$AL$324,Ajustes!$K227,W$2),0)+IF(Ajustes!$L227&gt;0,INDEX($AA$4:$AL$323,Ajustes!$L227,W$2),0) + W227</f>
        <v>0</v>
      </c>
      <c r="AJ227">
        <f>IF(Ajustes!$G227&gt;0,INDEX($AA$4:$AL$323,Ajustes!$G227,X$2),0)+IF(Ajustes!$H227&gt;0,INDEX($AA$4:$AL$323,Ajustes!$H227,X$2),0)+IF(Ajustes!$I227&gt;0,INDEX($AA$4:$AL$323,Ajustes!$I227,X$2),0)+IF(Ajustes!$J227&gt;0,INDEX($AA$4:$AL$323,Ajustes!$J227,X$2),0)+IF(Ajustes!$K227&gt;0,INDEX($AA$5:$AL$324,Ajustes!$K227,X$2),0)+IF(Ajustes!$L227&gt;0,INDEX($AA$4:$AL$323,Ajustes!$L227,X$2),0) + X227</f>
        <v>0</v>
      </c>
      <c r="AK227">
        <f>IF(Ajustes!$G227&gt;0,INDEX($AA$4:$AL$323,Ajustes!$G227,Y$2),0)+IF(Ajustes!$H227&gt;0,INDEX($AA$4:$AL$323,Ajustes!$H227,Y$2),0)+IF(Ajustes!$I227&gt;0,INDEX($AA$4:$AL$323,Ajustes!$I227,Y$2),0)+IF(Ajustes!$J227&gt;0,INDEX($AA$4:$AL$323,Ajustes!$J227,Y$2),0)+IF(Ajustes!$K227&gt;0,INDEX($AA$5:$AL$324,Ajustes!$K227,Y$2),0)+IF(Ajustes!$L227&gt;0,INDEX($AA$4:$AL$323,Ajustes!$L227,Y$2),0) + Y227</f>
        <v>0</v>
      </c>
      <c r="AL227">
        <f>IF(Ajustes!$G227&gt;0,INDEX($AA$4:$AL$323,Ajustes!$G227,Z$2),0)+IF(Ajustes!$H227&gt;0,INDEX($AA$4:$AL$323,Ajustes!$H227,Z$2),0)+IF(Ajustes!$I227&gt;0,INDEX($AA$4:$AL$323,Ajustes!$I227,Z$2),0)+IF(Ajustes!$J227&gt;0,INDEX($AA$4:$AL$323,Ajustes!$J227,Z$2),0)+IF(Ajustes!$K227&gt;0,INDEX($AA$5:$AL$324,Ajustes!$K227,Z$2),0)+IF(Ajustes!$L227&gt;0,INDEX($AA$4:$AL$323,Ajustes!$L227,Z$2),0) + Z227</f>
        <v>0</v>
      </c>
      <c r="AM227" s="113">
        <f t="shared" si="47"/>
        <v>0</v>
      </c>
      <c r="AN227" s="113">
        <f t="shared" si="47"/>
        <v>0</v>
      </c>
      <c r="AO227" s="113">
        <f t="shared" si="47"/>
        <v>0</v>
      </c>
      <c r="AP227" s="113">
        <f t="shared" si="47"/>
        <v>0</v>
      </c>
      <c r="AQ227" s="113">
        <f t="shared" si="49"/>
        <v>0</v>
      </c>
      <c r="AR227" s="113">
        <f t="shared" si="48"/>
        <v>0</v>
      </c>
      <c r="AS227" s="113">
        <f t="shared" si="48"/>
        <v>0</v>
      </c>
      <c r="AT227" s="113">
        <f t="shared" si="48"/>
        <v>0</v>
      </c>
      <c r="AU227" s="113">
        <f t="shared" si="48"/>
        <v>0</v>
      </c>
      <c r="AV227" s="113">
        <f t="shared" si="51"/>
        <v>0</v>
      </c>
      <c r="AW227" s="113">
        <f t="shared" si="50"/>
        <v>0</v>
      </c>
      <c r="AX227" s="113">
        <f t="shared" si="50"/>
        <v>0</v>
      </c>
    </row>
    <row r="228" spans="1:50" x14ac:dyDescent="0.25">
      <c r="A228" s="113">
        <v>225</v>
      </c>
      <c r="B228" s="209" t="s">
        <v>639</v>
      </c>
      <c r="C228">
        <f>IFERROR(INDEX($BD$7:$BO$35,MATCH(Ajustes!$E$4:$E$323,$BC$7:$BC$35,0),$C$2:$N$2),1)</f>
        <v>1</v>
      </c>
      <c r="D228" s="113">
        <f>IFERROR(INDEX($BD$7:$BO$35,MATCH(Ajustes!$E$4:$E$323,$BC$7:$BC$35,0),$C$2:$N$2),1)</f>
        <v>1</v>
      </c>
      <c r="E228" s="113">
        <f>IFERROR(INDEX($BD$7:$BO$35,MATCH(Ajustes!$E$4:$E$323,$BC$7:$BC$35,0),$C$2:$N$2),1)</f>
        <v>1</v>
      </c>
      <c r="F228" s="113">
        <f>IFERROR(INDEX($BD$7:$BO$35,MATCH(Ajustes!$E$4:$E$323,$BC$7:$BC$35,0),$C$2:$N$2),1)</f>
        <v>1</v>
      </c>
      <c r="G228" s="113">
        <f>IFERROR(INDEX($BD$7:$BO$35,MATCH(Ajustes!$E$4:$E$323,$BC$7:$BC$35,0),$C$2:$N$2),1)</f>
        <v>1</v>
      </c>
      <c r="H228" s="113">
        <f>IFERROR(INDEX($BD$7:$BO$35,MATCH(Ajustes!$E$4:$E$323,$BC$7:$BC$35,0),$C$2:$N$2),1)</f>
        <v>1</v>
      </c>
      <c r="I228" s="113">
        <f>IFERROR(INDEX($BD$7:$BO$35,MATCH(Ajustes!$E$4:$E$323,$BC$7:$BC$35,0),$C$2:$N$2),1)</f>
        <v>1</v>
      </c>
      <c r="J228" s="113">
        <f>IFERROR(INDEX($BD$7:$BO$35,MATCH(Ajustes!$E$4:$E$323,$BC$7:$BC$35,0),$C$2:$N$2),1)</f>
        <v>1</v>
      </c>
      <c r="K228" s="113">
        <f>IFERROR(INDEX($BD$7:$BO$35,MATCH(Ajustes!$E$4:$E$323,$BC$7:$BC$35,0),$C$2:$N$2),1)</f>
        <v>1</v>
      </c>
      <c r="L228" s="113">
        <f>IFERROR(INDEX($BD$7:$BO$35,MATCH(Ajustes!$E$4:$E$323,$BC$7:$BC$35,0),$C$2:$N$2),1)</f>
        <v>1</v>
      </c>
      <c r="M228" s="113">
        <f>IFERROR(INDEX($BD$7:$BO$35,MATCH(Ajustes!$E$4:$E$323,$BC$7:$BC$35,0),$C$2:$N$2),1)</f>
        <v>1</v>
      </c>
      <c r="N228" s="113">
        <f>IFERROR(INDEX($BD$7:$BO$35,MATCH(Ajustes!$E$4:$E$323,$BC$7:$BC$35,0),$C$2:$N$2),1)</f>
        <v>1</v>
      </c>
      <c r="O228">
        <f>C228*Ajustes!AM228</f>
        <v>379</v>
      </c>
      <c r="P228">
        <f>D228*Ajustes!AN228</f>
        <v>470</v>
      </c>
      <c r="Q228">
        <f>E228*Ajustes!AO228</f>
        <v>506</v>
      </c>
      <c r="R228">
        <f>F228*Ajustes!AP228</f>
        <v>370</v>
      </c>
      <c r="S228">
        <f>G228*Ajustes!AQ228</f>
        <v>183</v>
      </c>
      <c r="T228">
        <f>H228*Ajustes!AR228</f>
        <v>72</v>
      </c>
      <c r="U228">
        <f>I228*Ajustes!AS228</f>
        <v>39</v>
      </c>
      <c r="V228">
        <f>J228*Ajustes!AT228</f>
        <v>25</v>
      </c>
      <c r="W228">
        <f>K228*Ajustes!AU228</f>
        <v>20</v>
      </c>
      <c r="X228">
        <f>L228*Ajustes!AV228</f>
        <v>31</v>
      </c>
      <c r="Y228">
        <f>M228*Ajustes!AW228</f>
        <v>76</v>
      </c>
      <c r="Z228">
        <f>N228*Ajustes!AX228</f>
        <v>212</v>
      </c>
      <c r="AA228">
        <f>IF(Ajustes!$G228&gt;0,INDEX($AA$4:$AL$323,Ajustes!$G228,O$2),0)+IF(Ajustes!$H228&gt;0,INDEX($AA$4:$AL$323,Ajustes!$H228,O$2),0)+IF(Ajustes!$I228&gt;0,INDEX($AA$4:$AL$323,Ajustes!$I228,O$2),0)+IF(Ajustes!$J228&gt;0,INDEX($AA$4:$AL$323,Ajustes!$J228,O$2),0)+IF(Ajustes!$K228&gt;0,INDEX($AA$5:$AL$324,Ajustes!$K228,O$2),0)+IF(Ajustes!$L228&gt;0,INDEX($AA$4:$AL$323,Ajustes!$L228,O$2),0) + O228</f>
        <v>379</v>
      </c>
      <c r="AB228">
        <f>IF(Ajustes!$G228&gt;0,INDEX($AA$4:$AL$323,Ajustes!$G228,P$2),0)+IF(Ajustes!$H228&gt;0,INDEX($AA$4:$AL$323,Ajustes!$H228,P$2),0)+IF(Ajustes!$I228&gt;0,INDEX($AA$4:$AL$323,Ajustes!$I228,P$2),0)+IF(Ajustes!$J228&gt;0,INDEX($AA$4:$AL$323,Ajustes!$J228,P$2),0)+IF(Ajustes!$K228&gt;0,INDEX($AA$5:$AL$324,Ajustes!$K228,P$2),0)+IF(Ajustes!$L228&gt;0,INDEX($AA$4:$AL$323,Ajustes!$L228,P$2),0) + P228</f>
        <v>470</v>
      </c>
      <c r="AC228">
        <f>IF(Ajustes!$G228&gt;0,INDEX($AA$4:$AL$323,Ajustes!$G228,Q$2),0)+IF(Ajustes!$H228&gt;0,INDEX($AA$4:$AL$323,Ajustes!$H228,Q$2),0)+IF(Ajustes!$I228&gt;0,INDEX($AA$4:$AL$323,Ajustes!$I228,Q$2),0)+IF(Ajustes!$J228&gt;0,INDEX($AA$4:$AL$323,Ajustes!$J228,Q$2),0)+IF(Ajustes!$K228&gt;0,INDEX($AA$5:$AL$324,Ajustes!$K228,Q$2),0)+IF(Ajustes!$L228&gt;0,INDEX($AA$4:$AL$323,Ajustes!$L228,Q$2),0) + Q228</f>
        <v>506</v>
      </c>
      <c r="AD228">
        <f>IF(Ajustes!$G228&gt;0,INDEX($AA$4:$AL$323,Ajustes!$G228,R$2),0)+IF(Ajustes!$H228&gt;0,INDEX($AA$4:$AL$323,Ajustes!$H228,R$2),0)+IF(Ajustes!$I228&gt;0,INDEX($AA$4:$AL$323,Ajustes!$I228,R$2),0)+IF(Ajustes!$J228&gt;0,INDEX($AA$4:$AL$323,Ajustes!$J228,R$2),0)+IF(Ajustes!$K228&gt;0,INDEX($AA$5:$AL$324,Ajustes!$K228,R$2),0)+IF(Ajustes!$L228&gt;0,INDEX($AA$4:$AL$323,Ajustes!$L228,R$2),0) + R228</f>
        <v>370</v>
      </c>
      <c r="AE228">
        <f>IF(Ajustes!$G228&gt;0,INDEX($AA$4:$AL$323,Ajustes!$G228,S$2),0)+IF(Ajustes!$H228&gt;0,INDEX($AA$4:$AL$323,Ajustes!$H228,S$2),0)+IF(Ajustes!$I228&gt;0,INDEX($AA$4:$AL$323,Ajustes!$I228,S$2),0)+IF(Ajustes!$J228&gt;0,INDEX($AA$4:$AL$323,Ajustes!$J228,S$2),0)+IF(Ajustes!$K228&gt;0,INDEX($AA$5:$AL$324,Ajustes!$K228,S$2),0)+IF(Ajustes!$L228&gt;0,INDEX($AA$4:$AL$323,Ajustes!$L228,S$2),0) + S228</f>
        <v>183</v>
      </c>
      <c r="AF228">
        <f>IF(Ajustes!$G228&gt;0,INDEX($AA$4:$AL$323,Ajustes!$G228,T$2),0)+IF(Ajustes!$H228&gt;0,INDEX($AA$4:$AL$323,Ajustes!$H228,T$2),0)+IF(Ajustes!$I228&gt;0,INDEX($AA$4:$AL$323,Ajustes!$I228,T$2),0)+IF(Ajustes!$J228&gt;0,INDEX($AA$4:$AL$323,Ajustes!$J228,T$2),0)+IF(Ajustes!$K228&gt;0,INDEX($AA$5:$AL$324,Ajustes!$K228,T$2),0)+IF(Ajustes!$L228&gt;0,INDEX($AA$4:$AL$323,Ajustes!$L228,T$2),0) + T228</f>
        <v>72</v>
      </c>
      <c r="AG228">
        <f>IF(Ajustes!$G228&gt;0,INDEX($AA$4:$AL$323,Ajustes!$G228,U$2),0)+IF(Ajustes!$H228&gt;0,INDEX($AA$4:$AL$323,Ajustes!$H228,U$2),0)+IF(Ajustes!$I228&gt;0,INDEX($AA$4:$AL$323,Ajustes!$I228,U$2),0)+IF(Ajustes!$J228&gt;0,INDEX($AA$4:$AL$323,Ajustes!$J228,U$2),0)+IF(Ajustes!$K228&gt;0,INDEX($AA$5:$AL$324,Ajustes!$K228,U$2),0)+IF(Ajustes!$L228&gt;0,INDEX($AA$4:$AL$323,Ajustes!$L228,U$2),0) + U228</f>
        <v>39</v>
      </c>
      <c r="AH228">
        <f>IF(Ajustes!$G228&gt;0,INDEX($AA$4:$AL$323,Ajustes!$G228,V$2),0)+IF(Ajustes!$H228&gt;0,INDEX($AA$4:$AL$323,Ajustes!$H228,V$2),0)+IF(Ajustes!$I228&gt;0,INDEX($AA$4:$AL$323,Ajustes!$I228,V$2),0)+IF(Ajustes!$J228&gt;0,INDEX($AA$4:$AL$323,Ajustes!$J228,V$2),0)+IF(Ajustes!$K228&gt;0,INDEX($AA$5:$AL$324,Ajustes!$K228,V$2),0)+IF(Ajustes!$L228&gt;0,INDEX($AA$4:$AL$323,Ajustes!$L228,V$2),0) + V228</f>
        <v>25</v>
      </c>
      <c r="AI228">
        <f>IF(Ajustes!$G228&gt;0,INDEX($AA$4:$AL$323,Ajustes!$G228,W$2),0)+IF(Ajustes!$H228&gt;0,INDEX($AA$4:$AL$323,Ajustes!$H228,W$2),0)+IF(Ajustes!$I228&gt;0,INDEX($AA$4:$AL$323,Ajustes!$I228,W$2),0)+IF(Ajustes!$J228&gt;0,INDEX($AA$4:$AL$323,Ajustes!$J228,W$2),0)+IF(Ajustes!$K228&gt;0,INDEX($AA$5:$AL$324,Ajustes!$K228,W$2),0)+IF(Ajustes!$L228&gt;0,INDEX($AA$4:$AL$323,Ajustes!$L228,W$2),0) + W228</f>
        <v>20</v>
      </c>
      <c r="AJ228">
        <f>IF(Ajustes!$G228&gt;0,INDEX($AA$4:$AL$323,Ajustes!$G228,X$2),0)+IF(Ajustes!$H228&gt;0,INDEX($AA$4:$AL$323,Ajustes!$H228,X$2),0)+IF(Ajustes!$I228&gt;0,INDEX($AA$4:$AL$323,Ajustes!$I228,X$2),0)+IF(Ajustes!$J228&gt;0,INDEX($AA$4:$AL$323,Ajustes!$J228,X$2),0)+IF(Ajustes!$K228&gt;0,INDEX($AA$5:$AL$324,Ajustes!$K228,X$2),0)+IF(Ajustes!$L228&gt;0,INDEX($AA$4:$AL$323,Ajustes!$L228,X$2),0) + X228</f>
        <v>31</v>
      </c>
      <c r="AK228">
        <f>IF(Ajustes!$G228&gt;0,INDEX($AA$4:$AL$323,Ajustes!$G228,Y$2),0)+IF(Ajustes!$H228&gt;0,INDEX($AA$4:$AL$323,Ajustes!$H228,Y$2),0)+IF(Ajustes!$I228&gt;0,INDEX($AA$4:$AL$323,Ajustes!$I228,Y$2),0)+IF(Ajustes!$J228&gt;0,INDEX($AA$4:$AL$323,Ajustes!$J228,Y$2),0)+IF(Ajustes!$K228&gt;0,INDEX($AA$5:$AL$324,Ajustes!$K228,Y$2),0)+IF(Ajustes!$L228&gt;0,INDEX($AA$4:$AL$323,Ajustes!$L228,Y$2),0) + Y228</f>
        <v>76</v>
      </c>
      <c r="AL228">
        <f>IF(Ajustes!$G228&gt;0,INDEX($AA$4:$AL$323,Ajustes!$G228,Z$2),0)+IF(Ajustes!$H228&gt;0,INDEX($AA$4:$AL$323,Ajustes!$H228,Z$2),0)+IF(Ajustes!$I228&gt;0,INDEX($AA$4:$AL$323,Ajustes!$I228,Z$2),0)+IF(Ajustes!$J228&gt;0,INDEX($AA$4:$AL$323,Ajustes!$J228,Z$2),0)+IF(Ajustes!$K228&gt;0,INDEX($AA$5:$AL$324,Ajustes!$K228,Z$2),0)+IF(Ajustes!$L228&gt;0,INDEX($AA$4:$AL$323,Ajustes!$L228,Z$2),0) + Z228</f>
        <v>212</v>
      </c>
      <c r="AM228" s="113">
        <f t="shared" si="47"/>
        <v>379</v>
      </c>
      <c r="AN228" s="113">
        <f t="shared" si="47"/>
        <v>470</v>
      </c>
      <c r="AO228" s="113">
        <f t="shared" si="47"/>
        <v>506</v>
      </c>
      <c r="AP228" s="113">
        <f t="shared" si="47"/>
        <v>370</v>
      </c>
      <c r="AQ228" s="113">
        <f t="shared" si="49"/>
        <v>183</v>
      </c>
      <c r="AR228" s="113">
        <f t="shared" si="48"/>
        <v>72</v>
      </c>
      <c r="AS228" s="113">
        <f t="shared" si="48"/>
        <v>39</v>
      </c>
      <c r="AT228" s="113">
        <f t="shared" si="48"/>
        <v>25</v>
      </c>
      <c r="AU228" s="113">
        <f t="shared" si="48"/>
        <v>20</v>
      </c>
      <c r="AV228" s="113">
        <f t="shared" si="51"/>
        <v>31</v>
      </c>
      <c r="AW228" s="113">
        <f t="shared" si="50"/>
        <v>76</v>
      </c>
      <c r="AX228" s="113">
        <f t="shared" si="50"/>
        <v>212</v>
      </c>
    </row>
    <row r="229" spans="1:50" x14ac:dyDescent="0.25">
      <c r="A229" s="113">
        <v>226</v>
      </c>
      <c r="B229" s="209"/>
      <c r="C229">
        <f>IFERROR(INDEX($BD$7:$BO$35,MATCH(Ajustes!$E$4:$E$323,$BC$7:$BC$35,0),$C$2:$N$2),1)</f>
        <v>1</v>
      </c>
      <c r="D229" s="113">
        <f>IFERROR(INDEX($BD$7:$BO$35,MATCH(Ajustes!$E$4:$E$323,$BC$7:$BC$35,0),$C$2:$N$2),1)</f>
        <v>1</v>
      </c>
      <c r="E229" s="113">
        <f>IFERROR(INDEX($BD$7:$BO$35,MATCH(Ajustes!$E$4:$E$323,$BC$7:$BC$35,0),$C$2:$N$2),1)</f>
        <v>1</v>
      </c>
      <c r="F229" s="113">
        <f>IFERROR(INDEX($BD$7:$BO$35,MATCH(Ajustes!$E$4:$E$323,$BC$7:$BC$35,0),$C$2:$N$2),1)</f>
        <v>1</v>
      </c>
      <c r="G229" s="113">
        <f>IFERROR(INDEX($BD$7:$BO$35,MATCH(Ajustes!$E$4:$E$323,$BC$7:$BC$35,0),$C$2:$N$2),1)</f>
        <v>1</v>
      </c>
      <c r="H229" s="113">
        <f>IFERROR(INDEX($BD$7:$BO$35,MATCH(Ajustes!$E$4:$E$323,$BC$7:$BC$35,0),$C$2:$N$2),1)</f>
        <v>1</v>
      </c>
      <c r="I229" s="113">
        <f>IFERROR(INDEX($BD$7:$BO$35,MATCH(Ajustes!$E$4:$E$323,$BC$7:$BC$35,0),$C$2:$N$2),1)</f>
        <v>1</v>
      </c>
      <c r="J229" s="113">
        <f>IFERROR(INDEX($BD$7:$BO$35,MATCH(Ajustes!$E$4:$E$323,$BC$7:$BC$35,0),$C$2:$N$2),1)</f>
        <v>1</v>
      </c>
      <c r="K229" s="113">
        <f>IFERROR(INDEX($BD$7:$BO$35,MATCH(Ajustes!$E$4:$E$323,$BC$7:$BC$35,0),$C$2:$N$2),1)</f>
        <v>1</v>
      </c>
      <c r="L229" s="113">
        <f>IFERROR(INDEX($BD$7:$BO$35,MATCH(Ajustes!$E$4:$E$323,$BC$7:$BC$35,0),$C$2:$N$2),1)</f>
        <v>1</v>
      </c>
      <c r="M229" s="113">
        <f>IFERROR(INDEX($BD$7:$BO$35,MATCH(Ajustes!$E$4:$E$323,$BC$7:$BC$35,0),$C$2:$N$2),1)</f>
        <v>1</v>
      </c>
      <c r="N229" s="113">
        <f>IFERROR(INDEX($BD$7:$BO$35,MATCH(Ajustes!$E$4:$E$323,$BC$7:$BC$35,0),$C$2:$N$2),1)</f>
        <v>1</v>
      </c>
      <c r="O229">
        <f>C229*Ajustes!AM229</f>
        <v>0</v>
      </c>
      <c r="P229">
        <f>D229*Ajustes!AN229</f>
        <v>0</v>
      </c>
      <c r="Q229">
        <f>E229*Ajustes!AO229</f>
        <v>0</v>
      </c>
      <c r="R229">
        <f>F229*Ajustes!AP229</f>
        <v>0</v>
      </c>
      <c r="S229">
        <f>G229*Ajustes!AQ229</f>
        <v>0</v>
      </c>
      <c r="T229">
        <f>H229*Ajustes!AR229</f>
        <v>0</v>
      </c>
      <c r="U229">
        <f>I229*Ajustes!AS229</f>
        <v>0</v>
      </c>
      <c r="V229">
        <f>J229*Ajustes!AT229</f>
        <v>0</v>
      </c>
      <c r="W229">
        <f>K229*Ajustes!AU229</f>
        <v>0</v>
      </c>
      <c r="X229">
        <f>L229*Ajustes!AV229</f>
        <v>0</v>
      </c>
      <c r="Y229">
        <f>M229*Ajustes!AW229</f>
        <v>0</v>
      </c>
      <c r="Z229">
        <f>N229*Ajustes!AX229</f>
        <v>0</v>
      </c>
      <c r="AA229">
        <f>IF(Ajustes!$G229&gt;0,INDEX($AA$4:$AL$323,Ajustes!$G229,O$2),0)+IF(Ajustes!$H229&gt;0,INDEX($AA$4:$AL$323,Ajustes!$H229,O$2),0)+IF(Ajustes!$I229&gt;0,INDEX($AA$4:$AL$323,Ajustes!$I229,O$2),0)+IF(Ajustes!$J229&gt;0,INDEX($AA$4:$AL$323,Ajustes!$J229,O$2),0)+IF(Ajustes!$K229&gt;0,INDEX($AA$5:$AL$324,Ajustes!$K229,O$2),0)+IF(Ajustes!$L229&gt;0,INDEX($AA$4:$AL$323,Ajustes!$L229,O$2),0) + O229</f>
        <v>0</v>
      </c>
      <c r="AB229">
        <f>IF(Ajustes!$G229&gt;0,INDEX($AA$4:$AL$323,Ajustes!$G229,P$2),0)+IF(Ajustes!$H229&gt;0,INDEX($AA$4:$AL$323,Ajustes!$H229,P$2),0)+IF(Ajustes!$I229&gt;0,INDEX($AA$4:$AL$323,Ajustes!$I229,P$2),0)+IF(Ajustes!$J229&gt;0,INDEX($AA$4:$AL$323,Ajustes!$J229,P$2),0)+IF(Ajustes!$K229&gt;0,INDEX($AA$5:$AL$324,Ajustes!$K229,P$2),0)+IF(Ajustes!$L229&gt;0,INDEX($AA$4:$AL$323,Ajustes!$L229,P$2),0) + P229</f>
        <v>0</v>
      </c>
      <c r="AC229">
        <f>IF(Ajustes!$G229&gt;0,INDEX($AA$4:$AL$323,Ajustes!$G229,Q$2),0)+IF(Ajustes!$H229&gt;0,INDEX($AA$4:$AL$323,Ajustes!$H229,Q$2),0)+IF(Ajustes!$I229&gt;0,INDEX($AA$4:$AL$323,Ajustes!$I229,Q$2),0)+IF(Ajustes!$J229&gt;0,INDEX($AA$4:$AL$323,Ajustes!$J229,Q$2),0)+IF(Ajustes!$K229&gt;0,INDEX($AA$5:$AL$324,Ajustes!$K229,Q$2),0)+IF(Ajustes!$L229&gt;0,INDEX($AA$4:$AL$323,Ajustes!$L229,Q$2),0) + Q229</f>
        <v>0</v>
      </c>
      <c r="AD229">
        <f>IF(Ajustes!$G229&gt;0,INDEX($AA$4:$AL$323,Ajustes!$G229,R$2),0)+IF(Ajustes!$H229&gt;0,INDEX($AA$4:$AL$323,Ajustes!$H229,R$2),0)+IF(Ajustes!$I229&gt;0,INDEX($AA$4:$AL$323,Ajustes!$I229,R$2),0)+IF(Ajustes!$J229&gt;0,INDEX($AA$4:$AL$323,Ajustes!$J229,R$2),0)+IF(Ajustes!$K229&gt;0,INDEX($AA$5:$AL$324,Ajustes!$K229,R$2),0)+IF(Ajustes!$L229&gt;0,INDEX($AA$4:$AL$323,Ajustes!$L229,R$2),0) + R229</f>
        <v>0</v>
      </c>
      <c r="AE229">
        <f>IF(Ajustes!$G229&gt;0,INDEX($AA$4:$AL$323,Ajustes!$G229,S$2),0)+IF(Ajustes!$H229&gt;0,INDEX($AA$4:$AL$323,Ajustes!$H229,S$2),0)+IF(Ajustes!$I229&gt;0,INDEX($AA$4:$AL$323,Ajustes!$I229,S$2),0)+IF(Ajustes!$J229&gt;0,INDEX($AA$4:$AL$323,Ajustes!$J229,S$2),0)+IF(Ajustes!$K229&gt;0,INDEX($AA$5:$AL$324,Ajustes!$K229,S$2),0)+IF(Ajustes!$L229&gt;0,INDEX($AA$4:$AL$323,Ajustes!$L229,S$2),0) + S229</f>
        <v>0</v>
      </c>
      <c r="AF229">
        <f>IF(Ajustes!$G229&gt;0,INDEX($AA$4:$AL$323,Ajustes!$G229,T$2),0)+IF(Ajustes!$H229&gt;0,INDEX($AA$4:$AL$323,Ajustes!$H229,T$2),0)+IF(Ajustes!$I229&gt;0,INDEX($AA$4:$AL$323,Ajustes!$I229,T$2),0)+IF(Ajustes!$J229&gt;0,INDEX($AA$4:$AL$323,Ajustes!$J229,T$2),0)+IF(Ajustes!$K229&gt;0,INDEX($AA$5:$AL$324,Ajustes!$K229,T$2),0)+IF(Ajustes!$L229&gt;0,INDEX($AA$4:$AL$323,Ajustes!$L229,T$2),0) + T229</f>
        <v>0</v>
      </c>
      <c r="AG229">
        <f>IF(Ajustes!$G229&gt;0,INDEX($AA$4:$AL$323,Ajustes!$G229,U$2),0)+IF(Ajustes!$H229&gt;0,INDEX($AA$4:$AL$323,Ajustes!$H229,U$2),0)+IF(Ajustes!$I229&gt;0,INDEX($AA$4:$AL$323,Ajustes!$I229,U$2),0)+IF(Ajustes!$J229&gt;0,INDEX($AA$4:$AL$323,Ajustes!$J229,U$2),0)+IF(Ajustes!$K229&gt;0,INDEX($AA$5:$AL$324,Ajustes!$K229,U$2),0)+IF(Ajustes!$L229&gt;0,INDEX($AA$4:$AL$323,Ajustes!$L229,U$2),0) + U229</f>
        <v>0</v>
      </c>
      <c r="AH229">
        <f>IF(Ajustes!$G229&gt;0,INDEX($AA$4:$AL$323,Ajustes!$G229,V$2),0)+IF(Ajustes!$H229&gt;0,INDEX($AA$4:$AL$323,Ajustes!$H229,V$2),0)+IF(Ajustes!$I229&gt;0,INDEX($AA$4:$AL$323,Ajustes!$I229,V$2),0)+IF(Ajustes!$J229&gt;0,INDEX($AA$4:$AL$323,Ajustes!$J229,V$2),0)+IF(Ajustes!$K229&gt;0,INDEX($AA$5:$AL$324,Ajustes!$K229,V$2),0)+IF(Ajustes!$L229&gt;0,INDEX($AA$4:$AL$323,Ajustes!$L229,V$2),0) + V229</f>
        <v>0</v>
      </c>
      <c r="AI229">
        <f>IF(Ajustes!$G229&gt;0,INDEX($AA$4:$AL$323,Ajustes!$G229,W$2),0)+IF(Ajustes!$H229&gt;0,INDEX($AA$4:$AL$323,Ajustes!$H229,W$2),0)+IF(Ajustes!$I229&gt;0,INDEX($AA$4:$AL$323,Ajustes!$I229,W$2),0)+IF(Ajustes!$J229&gt;0,INDEX($AA$4:$AL$323,Ajustes!$J229,W$2),0)+IF(Ajustes!$K229&gt;0,INDEX($AA$5:$AL$324,Ajustes!$K229,W$2),0)+IF(Ajustes!$L229&gt;0,INDEX($AA$4:$AL$323,Ajustes!$L229,W$2),0) + W229</f>
        <v>0</v>
      </c>
      <c r="AJ229">
        <f>IF(Ajustes!$G229&gt;0,INDEX($AA$4:$AL$323,Ajustes!$G229,X$2),0)+IF(Ajustes!$H229&gt;0,INDEX($AA$4:$AL$323,Ajustes!$H229,X$2),0)+IF(Ajustes!$I229&gt;0,INDEX($AA$4:$AL$323,Ajustes!$I229,X$2),0)+IF(Ajustes!$J229&gt;0,INDEX($AA$4:$AL$323,Ajustes!$J229,X$2),0)+IF(Ajustes!$K229&gt;0,INDEX($AA$5:$AL$324,Ajustes!$K229,X$2),0)+IF(Ajustes!$L229&gt;0,INDEX($AA$4:$AL$323,Ajustes!$L229,X$2),0) + X229</f>
        <v>0</v>
      </c>
      <c r="AK229">
        <f>IF(Ajustes!$G229&gt;0,INDEX($AA$4:$AL$323,Ajustes!$G229,Y$2),0)+IF(Ajustes!$H229&gt;0,INDEX($AA$4:$AL$323,Ajustes!$H229,Y$2),0)+IF(Ajustes!$I229&gt;0,INDEX($AA$4:$AL$323,Ajustes!$I229,Y$2),0)+IF(Ajustes!$J229&gt;0,INDEX($AA$4:$AL$323,Ajustes!$J229,Y$2),0)+IF(Ajustes!$K229&gt;0,INDEX($AA$5:$AL$324,Ajustes!$K229,Y$2),0)+IF(Ajustes!$L229&gt;0,INDEX($AA$4:$AL$323,Ajustes!$L229,Y$2),0) + Y229</f>
        <v>0</v>
      </c>
      <c r="AL229">
        <f>IF(Ajustes!$G229&gt;0,INDEX($AA$4:$AL$323,Ajustes!$G229,Z$2),0)+IF(Ajustes!$H229&gt;0,INDEX($AA$4:$AL$323,Ajustes!$H229,Z$2),0)+IF(Ajustes!$I229&gt;0,INDEX($AA$4:$AL$323,Ajustes!$I229,Z$2),0)+IF(Ajustes!$J229&gt;0,INDEX($AA$4:$AL$323,Ajustes!$J229,Z$2),0)+IF(Ajustes!$K229&gt;0,INDEX($AA$5:$AL$324,Ajustes!$K229,Z$2),0)+IF(Ajustes!$L229&gt;0,INDEX($AA$4:$AL$323,Ajustes!$L229,Z$2),0) + Z229</f>
        <v>0</v>
      </c>
      <c r="AM229" s="113">
        <f t="shared" si="47"/>
        <v>0</v>
      </c>
      <c r="AN229" s="113">
        <f t="shared" si="47"/>
        <v>0</v>
      </c>
      <c r="AO229" s="113">
        <f t="shared" si="47"/>
        <v>0</v>
      </c>
      <c r="AP229" s="113">
        <f t="shared" si="47"/>
        <v>0</v>
      </c>
      <c r="AQ229" s="113">
        <f t="shared" si="49"/>
        <v>0</v>
      </c>
      <c r="AR229" s="113">
        <f t="shared" si="48"/>
        <v>0</v>
      </c>
      <c r="AS229" s="113">
        <f t="shared" si="48"/>
        <v>0</v>
      </c>
      <c r="AT229" s="113">
        <f t="shared" si="48"/>
        <v>0</v>
      </c>
      <c r="AU229" s="113">
        <f t="shared" si="48"/>
        <v>0</v>
      </c>
      <c r="AV229" s="113">
        <f t="shared" si="51"/>
        <v>0</v>
      </c>
      <c r="AW229" s="113">
        <f t="shared" si="50"/>
        <v>0</v>
      </c>
      <c r="AX229" s="113">
        <f t="shared" si="50"/>
        <v>0</v>
      </c>
    </row>
    <row r="230" spans="1:50" x14ac:dyDescent="0.25">
      <c r="A230" s="113">
        <v>227</v>
      </c>
      <c r="B230" s="209" t="s">
        <v>640</v>
      </c>
      <c r="C230">
        <f>IFERROR(INDEX($BD$7:$BO$35,MATCH(Ajustes!$E$4:$E$323,$BC$7:$BC$35,0),$C$2:$N$2),1)</f>
        <v>1</v>
      </c>
      <c r="D230" s="113">
        <f>IFERROR(INDEX($BD$7:$BO$35,MATCH(Ajustes!$E$4:$E$323,$BC$7:$BC$35,0),$C$2:$N$2),1)</f>
        <v>1</v>
      </c>
      <c r="E230" s="113">
        <f>IFERROR(INDEX($BD$7:$BO$35,MATCH(Ajustes!$E$4:$E$323,$BC$7:$BC$35,0),$C$2:$N$2),1)</f>
        <v>1</v>
      </c>
      <c r="F230" s="113">
        <f>IFERROR(INDEX($BD$7:$BO$35,MATCH(Ajustes!$E$4:$E$323,$BC$7:$BC$35,0),$C$2:$N$2),1)</f>
        <v>1</v>
      </c>
      <c r="G230" s="113">
        <f>IFERROR(INDEX($BD$7:$BO$35,MATCH(Ajustes!$E$4:$E$323,$BC$7:$BC$35,0),$C$2:$N$2),1)</f>
        <v>1</v>
      </c>
      <c r="H230" s="113">
        <f>IFERROR(INDEX($BD$7:$BO$35,MATCH(Ajustes!$E$4:$E$323,$BC$7:$BC$35,0),$C$2:$N$2),1)</f>
        <v>1</v>
      </c>
      <c r="I230" s="113">
        <f>IFERROR(INDEX($BD$7:$BO$35,MATCH(Ajustes!$E$4:$E$323,$BC$7:$BC$35,0),$C$2:$N$2),1)</f>
        <v>1</v>
      </c>
      <c r="J230" s="113">
        <f>IFERROR(INDEX($BD$7:$BO$35,MATCH(Ajustes!$E$4:$E$323,$BC$7:$BC$35,0),$C$2:$N$2),1)</f>
        <v>1</v>
      </c>
      <c r="K230" s="113">
        <f>IFERROR(INDEX($BD$7:$BO$35,MATCH(Ajustes!$E$4:$E$323,$BC$7:$BC$35,0),$C$2:$N$2),1)</f>
        <v>1</v>
      </c>
      <c r="L230" s="113">
        <f>IFERROR(INDEX($BD$7:$BO$35,MATCH(Ajustes!$E$4:$E$323,$BC$7:$BC$35,0),$C$2:$N$2),1)</f>
        <v>1</v>
      </c>
      <c r="M230" s="113">
        <f>IFERROR(INDEX($BD$7:$BO$35,MATCH(Ajustes!$E$4:$E$323,$BC$7:$BC$35,0),$C$2:$N$2),1)</f>
        <v>1</v>
      </c>
      <c r="N230" s="113">
        <f>IFERROR(INDEX($BD$7:$BO$35,MATCH(Ajustes!$E$4:$E$323,$BC$7:$BC$35,0),$C$2:$N$2),1)</f>
        <v>1</v>
      </c>
      <c r="O230">
        <f>C230*Ajustes!AM230</f>
        <v>1456</v>
      </c>
      <c r="P230">
        <f>D230*Ajustes!AN230</f>
        <v>1620</v>
      </c>
      <c r="Q230">
        <f>E230*Ajustes!AO230</f>
        <v>1615</v>
      </c>
      <c r="R230">
        <f>F230*Ajustes!AP230</f>
        <v>1285</v>
      </c>
      <c r="S230">
        <f>G230*Ajustes!AQ230</f>
        <v>883</v>
      </c>
      <c r="T230">
        <f>H230*Ajustes!AR230</f>
        <v>661</v>
      </c>
      <c r="U230">
        <f>I230*Ajustes!AS230</f>
        <v>528</v>
      </c>
      <c r="V230">
        <f>J230*Ajustes!AT230</f>
        <v>449</v>
      </c>
      <c r="W230">
        <f>K230*Ajustes!AU230</f>
        <v>412</v>
      </c>
      <c r="X230">
        <f>L230*Ajustes!AV230</f>
        <v>481</v>
      </c>
      <c r="Y230">
        <f>M230*Ajustes!AW230</f>
        <v>708</v>
      </c>
      <c r="Z230">
        <f>N230*Ajustes!AX230</f>
        <v>1096</v>
      </c>
      <c r="AA230">
        <f>IF(Ajustes!$G230&gt;0,INDEX($AA$4:$AL$323,Ajustes!$G230,O$2),0)+IF(Ajustes!$H230&gt;0,INDEX($AA$4:$AL$323,Ajustes!$H230,O$2),0)+IF(Ajustes!$I230&gt;0,INDEX($AA$4:$AL$323,Ajustes!$I230,O$2),0)+IF(Ajustes!$J230&gt;0,INDEX($AA$4:$AL$323,Ajustes!$J230,O$2),0)+IF(Ajustes!$K230&gt;0,INDEX($AA$5:$AL$324,Ajustes!$K230,O$2),0)+IF(Ajustes!$L230&gt;0,INDEX($AA$4:$AL$323,Ajustes!$L230,O$2),0) + O230</f>
        <v>1456</v>
      </c>
      <c r="AB230">
        <f>IF(Ajustes!$G230&gt;0,INDEX($AA$4:$AL$323,Ajustes!$G230,P$2),0)+IF(Ajustes!$H230&gt;0,INDEX($AA$4:$AL$323,Ajustes!$H230,P$2),0)+IF(Ajustes!$I230&gt;0,INDEX($AA$4:$AL$323,Ajustes!$I230,P$2),0)+IF(Ajustes!$J230&gt;0,INDEX($AA$4:$AL$323,Ajustes!$J230,P$2),0)+IF(Ajustes!$K230&gt;0,INDEX($AA$5:$AL$324,Ajustes!$K230,P$2),0)+IF(Ajustes!$L230&gt;0,INDEX($AA$4:$AL$323,Ajustes!$L230,P$2),0) + P230</f>
        <v>1620</v>
      </c>
      <c r="AC230">
        <f>IF(Ajustes!$G230&gt;0,INDEX($AA$4:$AL$323,Ajustes!$G230,Q$2),0)+IF(Ajustes!$H230&gt;0,INDEX($AA$4:$AL$323,Ajustes!$H230,Q$2),0)+IF(Ajustes!$I230&gt;0,INDEX($AA$4:$AL$323,Ajustes!$I230,Q$2),0)+IF(Ajustes!$J230&gt;0,INDEX($AA$4:$AL$323,Ajustes!$J230,Q$2),0)+IF(Ajustes!$K230&gt;0,INDEX($AA$5:$AL$324,Ajustes!$K230,Q$2),0)+IF(Ajustes!$L230&gt;0,INDEX($AA$4:$AL$323,Ajustes!$L230,Q$2),0) + Q230</f>
        <v>1615</v>
      </c>
      <c r="AD230">
        <f>IF(Ajustes!$G230&gt;0,INDEX($AA$4:$AL$323,Ajustes!$G230,R$2),0)+IF(Ajustes!$H230&gt;0,INDEX($AA$4:$AL$323,Ajustes!$H230,R$2),0)+IF(Ajustes!$I230&gt;0,INDEX($AA$4:$AL$323,Ajustes!$I230,R$2),0)+IF(Ajustes!$J230&gt;0,INDEX($AA$4:$AL$323,Ajustes!$J230,R$2),0)+IF(Ajustes!$K230&gt;0,INDEX($AA$5:$AL$324,Ajustes!$K230,R$2),0)+IF(Ajustes!$L230&gt;0,INDEX($AA$4:$AL$323,Ajustes!$L230,R$2),0) + R230</f>
        <v>1285</v>
      </c>
      <c r="AE230">
        <f>IF(Ajustes!$G230&gt;0,INDEX($AA$4:$AL$323,Ajustes!$G230,S$2),0)+IF(Ajustes!$H230&gt;0,INDEX($AA$4:$AL$323,Ajustes!$H230,S$2),0)+IF(Ajustes!$I230&gt;0,INDEX($AA$4:$AL$323,Ajustes!$I230,S$2),0)+IF(Ajustes!$J230&gt;0,INDEX($AA$4:$AL$323,Ajustes!$J230,S$2),0)+IF(Ajustes!$K230&gt;0,INDEX($AA$5:$AL$324,Ajustes!$K230,S$2),0)+IF(Ajustes!$L230&gt;0,INDEX($AA$4:$AL$323,Ajustes!$L230,S$2),0) + S230</f>
        <v>883</v>
      </c>
      <c r="AF230">
        <f>IF(Ajustes!$G230&gt;0,INDEX($AA$4:$AL$323,Ajustes!$G230,T$2),0)+IF(Ajustes!$H230&gt;0,INDEX($AA$4:$AL$323,Ajustes!$H230,T$2),0)+IF(Ajustes!$I230&gt;0,INDEX($AA$4:$AL$323,Ajustes!$I230,T$2),0)+IF(Ajustes!$J230&gt;0,INDEX($AA$4:$AL$323,Ajustes!$J230,T$2),0)+IF(Ajustes!$K230&gt;0,INDEX($AA$5:$AL$324,Ajustes!$K230,T$2),0)+IF(Ajustes!$L230&gt;0,INDEX($AA$4:$AL$323,Ajustes!$L230,T$2),0) + T230</f>
        <v>661</v>
      </c>
      <c r="AG230">
        <f>IF(Ajustes!$G230&gt;0,INDEX($AA$4:$AL$323,Ajustes!$G230,U$2),0)+IF(Ajustes!$H230&gt;0,INDEX($AA$4:$AL$323,Ajustes!$H230,U$2),0)+IF(Ajustes!$I230&gt;0,INDEX($AA$4:$AL$323,Ajustes!$I230,U$2),0)+IF(Ajustes!$J230&gt;0,INDEX($AA$4:$AL$323,Ajustes!$J230,U$2),0)+IF(Ajustes!$K230&gt;0,INDEX($AA$5:$AL$324,Ajustes!$K230,U$2),0)+IF(Ajustes!$L230&gt;0,INDEX($AA$4:$AL$323,Ajustes!$L230,U$2),0) + U230</f>
        <v>528</v>
      </c>
      <c r="AH230">
        <f>IF(Ajustes!$G230&gt;0,INDEX($AA$4:$AL$323,Ajustes!$G230,V$2),0)+IF(Ajustes!$H230&gt;0,INDEX($AA$4:$AL$323,Ajustes!$H230,V$2),0)+IF(Ajustes!$I230&gt;0,INDEX($AA$4:$AL$323,Ajustes!$I230,V$2),0)+IF(Ajustes!$J230&gt;0,INDEX($AA$4:$AL$323,Ajustes!$J230,V$2),0)+IF(Ajustes!$K230&gt;0,INDEX($AA$5:$AL$324,Ajustes!$K230,V$2),0)+IF(Ajustes!$L230&gt;0,INDEX($AA$4:$AL$323,Ajustes!$L230,V$2),0) + V230</f>
        <v>449</v>
      </c>
      <c r="AI230">
        <f>IF(Ajustes!$G230&gt;0,INDEX($AA$4:$AL$323,Ajustes!$G230,W$2),0)+IF(Ajustes!$H230&gt;0,INDEX($AA$4:$AL$323,Ajustes!$H230,W$2),0)+IF(Ajustes!$I230&gt;0,INDEX($AA$4:$AL$323,Ajustes!$I230,W$2),0)+IF(Ajustes!$J230&gt;0,INDEX($AA$4:$AL$323,Ajustes!$J230,W$2),0)+IF(Ajustes!$K230&gt;0,INDEX($AA$5:$AL$324,Ajustes!$K230,W$2),0)+IF(Ajustes!$L230&gt;0,INDEX($AA$4:$AL$323,Ajustes!$L230,W$2),0) + W230</f>
        <v>412</v>
      </c>
      <c r="AJ230">
        <f>IF(Ajustes!$G230&gt;0,INDEX($AA$4:$AL$323,Ajustes!$G230,X$2),0)+IF(Ajustes!$H230&gt;0,INDEX($AA$4:$AL$323,Ajustes!$H230,X$2),0)+IF(Ajustes!$I230&gt;0,INDEX($AA$4:$AL$323,Ajustes!$I230,X$2),0)+IF(Ajustes!$J230&gt;0,INDEX($AA$4:$AL$323,Ajustes!$J230,X$2),0)+IF(Ajustes!$K230&gt;0,INDEX($AA$5:$AL$324,Ajustes!$K230,X$2),0)+IF(Ajustes!$L230&gt;0,INDEX($AA$4:$AL$323,Ajustes!$L230,X$2),0) + X230</f>
        <v>481</v>
      </c>
      <c r="AK230">
        <f>IF(Ajustes!$G230&gt;0,INDEX($AA$4:$AL$323,Ajustes!$G230,Y$2),0)+IF(Ajustes!$H230&gt;0,INDEX($AA$4:$AL$323,Ajustes!$H230,Y$2),0)+IF(Ajustes!$I230&gt;0,INDEX($AA$4:$AL$323,Ajustes!$I230,Y$2),0)+IF(Ajustes!$J230&gt;0,INDEX($AA$4:$AL$323,Ajustes!$J230,Y$2),0)+IF(Ajustes!$K230&gt;0,INDEX($AA$5:$AL$324,Ajustes!$K230,Y$2),0)+IF(Ajustes!$L230&gt;0,INDEX($AA$4:$AL$323,Ajustes!$L230,Y$2),0) + Y230</f>
        <v>708</v>
      </c>
      <c r="AL230">
        <f>IF(Ajustes!$G230&gt;0,INDEX($AA$4:$AL$323,Ajustes!$G230,Z$2),0)+IF(Ajustes!$H230&gt;0,INDEX($AA$4:$AL$323,Ajustes!$H230,Z$2),0)+IF(Ajustes!$I230&gt;0,INDEX($AA$4:$AL$323,Ajustes!$I230,Z$2),0)+IF(Ajustes!$J230&gt;0,INDEX($AA$4:$AL$323,Ajustes!$J230,Z$2),0)+IF(Ajustes!$K230&gt;0,INDEX($AA$5:$AL$324,Ajustes!$K230,Z$2),0)+IF(Ajustes!$L230&gt;0,INDEX($AA$4:$AL$323,Ajustes!$L230,Z$2),0) + Z230</f>
        <v>1096</v>
      </c>
      <c r="AM230" s="113">
        <f t="shared" si="47"/>
        <v>1456</v>
      </c>
      <c r="AN230" s="113">
        <f t="shared" si="47"/>
        <v>1620</v>
      </c>
      <c r="AO230" s="113">
        <f t="shared" si="47"/>
        <v>1615</v>
      </c>
      <c r="AP230" s="113">
        <f t="shared" si="47"/>
        <v>1285</v>
      </c>
      <c r="AQ230" s="113">
        <f t="shared" si="49"/>
        <v>883</v>
      </c>
      <c r="AR230" s="113">
        <f t="shared" si="48"/>
        <v>661</v>
      </c>
      <c r="AS230" s="113">
        <f t="shared" si="48"/>
        <v>528</v>
      </c>
      <c r="AT230" s="113">
        <f t="shared" si="48"/>
        <v>449</v>
      </c>
      <c r="AU230" s="113">
        <f t="shared" si="48"/>
        <v>412</v>
      </c>
      <c r="AV230" s="113">
        <f t="shared" si="51"/>
        <v>481</v>
      </c>
      <c r="AW230" s="113">
        <f t="shared" si="50"/>
        <v>708</v>
      </c>
      <c r="AX230" s="113">
        <f t="shared" si="50"/>
        <v>1096</v>
      </c>
    </row>
    <row r="231" spans="1:50" x14ac:dyDescent="0.25">
      <c r="A231" s="113">
        <v>228</v>
      </c>
      <c r="B231" s="209" t="s">
        <v>641</v>
      </c>
      <c r="C231">
        <f>IFERROR(INDEX($BD$7:$BO$35,MATCH(Ajustes!$E$4:$E$323,$BC$7:$BC$35,0),$C$2:$N$2),1)</f>
        <v>1</v>
      </c>
      <c r="D231" s="113">
        <f>IFERROR(INDEX($BD$7:$BO$35,MATCH(Ajustes!$E$4:$E$323,$BC$7:$BC$35,0),$C$2:$N$2),1)</f>
        <v>1</v>
      </c>
      <c r="E231" s="113">
        <f>IFERROR(INDEX($BD$7:$BO$35,MATCH(Ajustes!$E$4:$E$323,$BC$7:$BC$35,0),$C$2:$N$2),1)</f>
        <v>1</v>
      </c>
      <c r="F231" s="113">
        <f>IFERROR(INDEX($BD$7:$BO$35,MATCH(Ajustes!$E$4:$E$323,$BC$7:$BC$35,0),$C$2:$N$2),1)</f>
        <v>1</v>
      </c>
      <c r="G231" s="113">
        <f>IFERROR(INDEX($BD$7:$BO$35,MATCH(Ajustes!$E$4:$E$323,$BC$7:$BC$35,0),$C$2:$N$2),1)</f>
        <v>1</v>
      </c>
      <c r="H231" s="113">
        <f>IFERROR(INDEX($BD$7:$BO$35,MATCH(Ajustes!$E$4:$E$323,$BC$7:$BC$35,0),$C$2:$N$2),1)</f>
        <v>1</v>
      </c>
      <c r="I231" s="113">
        <f>IFERROR(INDEX($BD$7:$BO$35,MATCH(Ajustes!$E$4:$E$323,$BC$7:$BC$35,0),$C$2:$N$2),1)</f>
        <v>1</v>
      </c>
      <c r="J231" s="113">
        <f>IFERROR(INDEX($BD$7:$BO$35,MATCH(Ajustes!$E$4:$E$323,$BC$7:$BC$35,0),$C$2:$N$2),1)</f>
        <v>1</v>
      </c>
      <c r="K231" s="113">
        <f>IFERROR(INDEX($BD$7:$BO$35,MATCH(Ajustes!$E$4:$E$323,$BC$7:$BC$35,0),$C$2:$N$2),1)</f>
        <v>1</v>
      </c>
      <c r="L231" s="113">
        <f>IFERROR(INDEX($BD$7:$BO$35,MATCH(Ajustes!$E$4:$E$323,$BC$7:$BC$35,0),$C$2:$N$2),1)</f>
        <v>1</v>
      </c>
      <c r="M231" s="113">
        <f>IFERROR(INDEX($BD$7:$BO$35,MATCH(Ajustes!$E$4:$E$323,$BC$7:$BC$35,0),$C$2:$N$2),1)</f>
        <v>1</v>
      </c>
      <c r="N231" s="113">
        <f>IFERROR(INDEX($BD$7:$BO$35,MATCH(Ajustes!$E$4:$E$323,$BC$7:$BC$35,0),$C$2:$N$2),1)</f>
        <v>1</v>
      </c>
      <c r="O231">
        <f>C231*Ajustes!AM231</f>
        <v>1590</v>
      </c>
      <c r="P231">
        <f>D231*Ajustes!AN231</f>
        <v>1771</v>
      </c>
      <c r="Q231">
        <f>E231*Ajustes!AO231</f>
        <v>1763</v>
      </c>
      <c r="R231">
        <f>F231*Ajustes!AP231</f>
        <v>1403</v>
      </c>
      <c r="S231">
        <f>G231*Ajustes!AQ231</f>
        <v>965</v>
      </c>
      <c r="T231">
        <f>H231*Ajustes!AR231</f>
        <v>722</v>
      </c>
      <c r="U231">
        <f>I231*Ajustes!AS231</f>
        <v>577</v>
      </c>
      <c r="V231">
        <f>J231*Ajustes!AT231</f>
        <v>490</v>
      </c>
      <c r="W231">
        <f>K231*Ajustes!AU231</f>
        <v>451</v>
      </c>
      <c r="X231">
        <f>L231*Ajustes!AV231</f>
        <v>527</v>
      </c>
      <c r="Y231">
        <f>M231*Ajustes!AW231</f>
        <v>773</v>
      </c>
      <c r="Z231">
        <f>N231*Ajustes!AX231</f>
        <v>1197</v>
      </c>
      <c r="AA231">
        <f>IF(Ajustes!$G231&gt;0,INDEX($AA$4:$AL$323,Ajustes!$G231,O$2),0)+IF(Ajustes!$H231&gt;0,INDEX($AA$4:$AL$323,Ajustes!$H231,O$2),0)+IF(Ajustes!$I231&gt;0,INDEX($AA$4:$AL$323,Ajustes!$I231,O$2),0)+IF(Ajustes!$J231&gt;0,INDEX($AA$4:$AL$323,Ajustes!$J231,O$2),0)+IF(Ajustes!$K231&gt;0,INDEX($AA$5:$AL$324,Ajustes!$K231,O$2),0)+IF(Ajustes!$L231&gt;0,INDEX($AA$4:$AL$323,Ajustes!$L231,O$2),0) + O231</f>
        <v>1590</v>
      </c>
      <c r="AB231">
        <f>IF(Ajustes!$G231&gt;0,INDEX($AA$4:$AL$323,Ajustes!$G231,P$2),0)+IF(Ajustes!$H231&gt;0,INDEX($AA$4:$AL$323,Ajustes!$H231,P$2),0)+IF(Ajustes!$I231&gt;0,INDEX($AA$4:$AL$323,Ajustes!$I231,P$2),0)+IF(Ajustes!$J231&gt;0,INDEX($AA$4:$AL$323,Ajustes!$J231,P$2),0)+IF(Ajustes!$K231&gt;0,INDEX($AA$5:$AL$324,Ajustes!$K231,P$2),0)+IF(Ajustes!$L231&gt;0,INDEX($AA$4:$AL$323,Ajustes!$L231,P$2),0) + P231</f>
        <v>1771</v>
      </c>
      <c r="AC231">
        <f>IF(Ajustes!$G231&gt;0,INDEX($AA$4:$AL$323,Ajustes!$G231,Q$2),0)+IF(Ajustes!$H231&gt;0,INDEX($AA$4:$AL$323,Ajustes!$H231,Q$2),0)+IF(Ajustes!$I231&gt;0,INDEX($AA$4:$AL$323,Ajustes!$I231,Q$2),0)+IF(Ajustes!$J231&gt;0,INDEX($AA$4:$AL$323,Ajustes!$J231,Q$2),0)+IF(Ajustes!$K231&gt;0,INDEX($AA$5:$AL$324,Ajustes!$K231,Q$2),0)+IF(Ajustes!$L231&gt;0,INDEX($AA$4:$AL$323,Ajustes!$L231,Q$2),0) + Q231</f>
        <v>1763</v>
      </c>
      <c r="AD231">
        <f>IF(Ajustes!$G231&gt;0,INDEX($AA$4:$AL$323,Ajustes!$G231,R$2),0)+IF(Ajustes!$H231&gt;0,INDEX($AA$4:$AL$323,Ajustes!$H231,R$2),0)+IF(Ajustes!$I231&gt;0,INDEX($AA$4:$AL$323,Ajustes!$I231,R$2),0)+IF(Ajustes!$J231&gt;0,INDEX($AA$4:$AL$323,Ajustes!$J231,R$2),0)+IF(Ajustes!$K231&gt;0,INDEX($AA$5:$AL$324,Ajustes!$K231,R$2),0)+IF(Ajustes!$L231&gt;0,INDEX($AA$4:$AL$323,Ajustes!$L231,R$2),0) + R231</f>
        <v>1403</v>
      </c>
      <c r="AE231">
        <f>IF(Ajustes!$G231&gt;0,INDEX($AA$4:$AL$323,Ajustes!$G231,S$2),0)+IF(Ajustes!$H231&gt;0,INDEX($AA$4:$AL$323,Ajustes!$H231,S$2),0)+IF(Ajustes!$I231&gt;0,INDEX($AA$4:$AL$323,Ajustes!$I231,S$2),0)+IF(Ajustes!$J231&gt;0,INDEX($AA$4:$AL$323,Ajustes!$J231,S$2),0)+IF(Ajustes!$K231&gt;0,INDEX($AA$5:$AL$324,Ajustes!$K231,S$2),0)+IF(Ajustes!$L231&gt;0,INDEX($AA$4:$AL$323,Ajustes!$L231,S$2),0) + S231</f>
        <v>965</v>
      </c>
      <c r="AF231">
        <f>IF(Ajustes!$G231&gt;0,INDEX($AA$4:$AL$323,Ajustes!$G231,T$2),0)+IF(Ajustes!$H231&gt;0,INDEX($AA$4:$AL$323,Ajustes!$H231,T$2),0)+IF(Ajustes!$I231&gt;0,INDEX($AA$4:$AL$323,Ajustes!$I231,T$2),0)+IF(Ajustes!$J231&gt;0,INDEX($AA$4:$AL$323,Ajustes!$J231,T$2),0)+IF(Ajustes!$K231&gt;0,INDEX($AA$5:$AL$324,Ajustes!$K231,T$2),0)+IF(Ajustes!$L231&gt;0,INDEX($AA$4:$AL$323,Ajustes!$L231,T$2),0) + T231</f>
        <v>722</v>
      </c>
      <c r="AG231">
        <f>IF(Ajustes!$G231&gt;0,INDEX($AA$4:$AL$323,Ajustes!$G231,U$2),0)+IF(Ajustes!$H231&gt;0,INDEX($AA$4:$AL$323,Ajustes!$H231,U$2),0)+IF(Ajustes!$I231&gt;0,INDEX($AA$4:$AL$323,Ajustes!$I231,U$2),0)+IF(Ajustes!$J231&gt;0,INDEX($AA$4:$AL$323,Ajustes!$J231,U$2),0)+IF(Ajustes!$K231&gt;0,INDEX($AA$5:$AL$324,Ajustes!$K231,U$2),0)+IF(Ajustes!$L231&gt;0,INDEX($AA$4:$AL$323,Ajustes!$L231,U$2),0) + U231</f>
        <v>577</v>
      </c>
      <c r="AH231">
        <f>IF(Ajustes!$G231&gt;0,INDEX($AA$4:$AL$323,Ajustes!$G231,V$2),0)+IF(Ajustes!$H231&gt;0,INDEX($AA$4:$AL$323,Ajustes!$H231,V$2),0)+IF(Ajustes!$I231&gt;0,INDEX($AA$4:$AL$323,Ajustes!$I231,V$2),0)+IF(Ajustes!$J231&gt;0,INDEX($AA$4:$AL$323,Ajustes!$J231,V$2),0)+IF(Ajustes!$K231&gt;0,INDEX($AA$5:$AL$324,Ajustes!$K231,V$2),0)+IF(Ajustes!$L231&gt;0,INDEX($AA$4:$AL$323,Ajustes!$L231,V$2),0) + V231</f>
        <v>490</v>
      </c>
      <c r="AI231">
        <f>IF(Ajustes!$G231&gt;0,INDEX($AA$4:$AL$323,Ajustes!$G231,W$2),0)+IF(Ajustes!$H231&gt;0,INDEX($AA$4:$AL$323,Ajustes!$H231,W$2),0)+IF(Ajustes!$I231&gt;0,INDEX($AA$4:$AL$323,Ajustes!$I231,W$2),0)+IF(Ajustes!$J231&gt;0,INDEX($AA$4:$AL$323,Ajustes!$J231,W$2),0)+IF(Ajustes!$K231&gt;0,INDEX($AA$5:$AL$324,Ajustes!$K231,W$2),0)+IF(Ajustes!$L231&gt;0,INDEX($AA$4:$AL$323,Ajustes!$L231,W$2),0) + W231</f>
        <v>451</v>
      </c>
      <c r="AJ231">
        <f>IF(Ajustes!$G231&gt;0,INDEX($AA$4:$AL$323,Ajustes!$G231,X$2),0)+IF(Ajustes!$H231&gt;0,INDEX($AA$4:$AL$323,Ajustes!$H231,X$2),0)+IF(Ajustes!$I231&gt;0,INDEX($AA$4:$AL$323,Ajustes!$I231,X$2),0)+IF(Ajustes!$J231&gt;0,INDEX($AA$4:$AL$323,Ajustes!$J231,X$2),0)+IF(Ajustes!$K231&gt;0,INDEX($AA$5:$AL$324,Ajustes!$K231,X$2),0)+IF(Ajustes!$L231&gt;0,INDEX($AA$4:$AL$323,Ajustes!$L231,X$2),0) + X231</f>
        <v>527</v>
      </c>
      <c r="AK231">
        <f>IF(Ajustes!$G231&gt;0,INDEX($AA$4:$AL$323,Ajustes!$G231,Y$2),0)+IF(Ajustes!$H231&gt;0,INDEX($AA$4:$AL$323,Ajustes!$H231,Y$2),0)+IF(Ajustes!$I231&gt;0,INDEX($AA$4:$AL$323,Ajustes!$I231,Y$2),0)+IF(Ajustes!$J231&gt;0,INDEX($AA$4:$AL$323,Ajustes!$J231,Y$2),0)+IF(Ajustes!$K231&gt;0,INDEX($AA$5:$AL$324,Ajustes!$K231,Y$2),0)+IF(Ajustes!$L231&gt;0,INDEX($AA$4:$AL$323,Ajustes!$L231,Y$2),0) + Y231</f>
        <v>773</v>
      </c>
      <c r="AL231">
        <f>IF(Ajustes!$G231&gt;0,INDEX($AA$4:$AL$323,Ajustes!$G231,Z$2),0)+IF(Ajustes!$H231&gt;0,INDEX($AA$4:$AL$323,Ajustes!$H231,Z$2),0)+IF(Ajustes!$I231&gt;0,INDEX($AA$4:$AL$323,Ajustes!$I231,Z$2),0)+IF(Ajustes!$J231&gt;0,INDEX($AA$4:$AL$323,Ajustes!$J231,Z$2),0)+IF(Ajustes!$K231&gt;0,INDEX($AA$5:$AL$324,Ajustes!$K231,Z$2),0)+IF(Ajustes!$L231&gt;0,INDEX($AA$4:$AL$323,Ajustes!$L231,Z$2),0) + Z231</f>
        <v>1197</v>
      </c>
      <c r="AM231" s="113">
        <f t="shared" si="47"/>
        <v>1590</v>
      </c>
      <c r="AN231" s="113">
        <f t="shared" si="47"/>
        <v>1771</v>
      </c>
      <c r="AO231" s="113">
        <f t="shared" si="47"/>
        <v>1763</v>
      </c>
      <c r="AP231" s="113">
        <f t="shared" si="47"/>
        <v>1403</v>
      </c>
      <c r="AQ231" s="113">
        <f t="shared" si="49"/>
        <v>965</v>
      </c>
      <c r="AR231" s="113">
        <f t="shared" si="48"/>
        <v>722</v>
      </c>
      <c r="AS231" s="113">
        <f t="shared" si="48"/>
        <v>577</v>
      </c>
      <c r="AT231" s="113">
        <f t="shared" si="48"/>
        <v>490</v>
      </c>
      <c r="AU231" s="113">
        <f t="shared" si="48"/>
        <v>451</v>
      </c>
      <c r="AV231" s="113">
        <f t="shared" si="51"/>
        <v>527</v>
      </c>
      <c r="AW231" s="113">
        <f t="shared" si="50"/>
        <v>773</v>
      </c>
      <c r="AX231" s="113">
        <f t="shared" si="50"/>
        <v>1197</v>
      </c>
    </row>
    <row r="232" spans="1:50" x14ac:dyDescent="0.25">
      <c r="A232" s="113">
        <v>229</v>
      </c>
      <c r="B232" s="209" t="s">
        <v>642</v>
      </c>
      <c r="C232">
        <f>IFERROR(INDEX($BD$7:$BO$35,MATCH(Ajustes!$E$4:$E$323,$BC$7:$BC$35,0),$C$2:$N$2),1)</f>
        <v>1</v>
      </c>
      <c r="D232" s="113">
        <f>IFERROR(INDEX($BD$7:$BO$35,MATCH(Ajustes!$E$4:$E$323,$BC$7:$BC$35,0),$C$2:$N$2),1)</f>
        <v>1</v>
      </c>
      <c r="E232" s="113">
        <f>IFERROR(INDEX($BD$7:$BO$35,MATCH(Ajustes!$E$4:$E$323,$BC$7:$BC$35,0),$C$2:$N$2),1)</f>
        <v>1</v>
      </c>
      <c r="F232" s="113">
        <f>IFERROR(INDEX($BD$7:$BO$35,MATCH(Ajustes!$E$4:$E$323,$BC$7:$BC$35,0),$C$2:$N$2),1)</f>
        <v>1</v>
      </c>
      <c r="G232" s="113">
        <f>IFERROR(INDEX($BD$7:$BO$35,MATCH(Ajustes!$E$4:$E$323,$BC$7:$BC$35,0),$C$2:$N$2),1)</f>
        <v>1</v>
      </c>
      <c r="H232" s="113">
        <f>IFERROR(INDEX($BD$7:$BO$35,MATCH(Ajustes!$E$4:$E$323,$BC$7:$BC$35,0),$C$2:$N$2),1)</f>
        <v>1</v>
      </c>
      <c r="I232" s="113">
        <f>IFERROR(INDEX($BD$7:$BO$35,MATCH(Ajustes!$E$4:$E$323,$BC$7:$BC$35,0),$C$2:$N$2),1)</f>
        <v>1</v>
      </c>
      <c r="J232" s="113">
        <f>IFERROR(INDEX($BD$7:$BO$35,MATCH(Ajustes!$E$4:$E$323,$BC$7:$BC$35,0),$C$2:$N$2),1)</f>
        <v>1</v>
      </c>
      <c r="K232" s="113">
        <f>IFERROR(INDEX($BD$7:$BO$35,MATCH(Ajustes!$E$4:$E$323,$BC$7:$BC$35,0),$C$2:$N$2),1)</f>
        <v>1</v>
      </c>
      <c r="L232" s="113">
        <f>IFERROR(INDEX($BD$7:$BO$35,MATCH(Ajustes!$E$4:$E$323,$BC$7:$BC$35,0),$C$2:$N$2),1)</f>
        <v>1</v>
      </c>
      <c r="M232" s="113">
        <f>IFERROR(INDEX($BD$7:$BO$35,MATCH(Ajustes!$E$4:$E$323,$BC$7:$BC$35,0),$C$2:$N$2),1)</f>
        <v>1</v>
      </c>
      <c r="N232" s="113">
        <f>IFERROR(INDEX($BD$7:$BO$35,MATCH(Ajustes!$E$4:$E$323,$BC$7:$BC$35,0),$C$2:$N$2),1)</f>
        <v>1</v>
      </c>
      <c r="O232">
        <f>C232*Ajustes!AM232</f>
        <v>3700</v>
      </c>
      <c r="P232">
        <f>D232*Ajustes!AN232</f>
        <v>4305</v>
      </c>
      <c r="Q232">
        <f>E232*Ajustes!AO232</f>
        <v>4469</v>
      </c>
      <c r="R232">
        <f>F232*Ajustes!AP232</f>
        <v>3568</v>
      </c>
      <c r="S232">
        <f>G232*Ajustes!AQ232</f>
        <v>2289</v>
      </c>
      <c r="T232">
        <f>H232*Ajustes!AR232</f>
        <v>1476</v>
      </c>
      <c r="U232">
        <f>I232*Ajustes!AS232</f>
        <v>1050</v>
      </c>
      <c r="V232">
        <f>J232*Ajustes!AT232</f>
        <v>810</v>
      </c>
      <c r="W232">
        <f>K232*Ajustes!AU232</f>
        <v>704</v>
      </c>
      <c r="X232">
        <f>L232*Ajustes!AV232</f>
        <v>889</v>
      </c>
      <c r="Y232">
        <f>M232*Ajustes!AW232</f>
        <v>1491</v>
      </c>
      <c r="Z232">
        <f>N232*Ajustes!AX232</f>
        <v>2585</v>
      </c>
      <c r="AA232">
        <f>IF(Ajustes!$G232&gt;0,INDEX($AA$4:$AL$323,Ajustes!$G232,O$2),0)+IF(Ajustes!$H232&gt;0,INDEX($AA$4:$AL$323,Ajustes!$H232,O$2),0)+IF(Ajustes!$I232&gt;0,INDEX($AA$4:$AL$323,Ajustes!$I232,O$2),0)+IF(Ajustes!$J232&gt;0,INDEX($AA$4:$AL$323,Ajustes!$J232,O$2),0)+IF(Ajustes!$K232&gt;0,INDEX($AA$5:$AL$324,Ajustes!$K232,O$2),0)+IF(Ajustes!$L232&gt;0,INDEX($AA$4:$AL$323,Ajustes!$L232,O$2),0) + O232</f>
        <v>3700</v>
      </c>
      <c r="AB232">
        <f>IF(Ajustes!$G232&gt;0,INDEX($AA$4:$AL$323,Ajustes!$G232,P$2),0)+IF(Ajustes!$H232&gt;0,INDEX($AA$4:$AL$323,Ajustes!$H232,P$2),0)+IF(Ajustes!$I232&gt;0,INDEX($AA$4:$AL$323,Ajustes!$I232,P$2),0)+IF(Ajustes!$J232&gt;0,INDEX($AA$4:$AL$323,Ajustes!$J232,P$2),0)+IF(Ajustes!$K232&gt;0,INDEX($AA$5:$AL$324,Ajustes!$K232,P$2),0)+IF(Ajustes!$L232&gt;0,INDEX($AA$4:$AL$323,Ajustes!$L232,P$2),0) + P232</f>
        <v>4305</v>
      </c>
      <c r="AC232">
        <f>IF(Ajustes!$G232&gt;0,INDEX($AA$4:$AL$323,Ajustes!$G232,Q$2),0)+IF(Ajustes!$H232&gt;0,INDEX($AA$4:$AL$323,Ajustes!$H232,Q$2),0)+IF(Ajustes!$I232&gt;0,INDEX($AA$4:$AL$323,Ajustes!$I232,Q$2),0)+IF(Ajustes!$J232&gt;0,INDEX($AA$4:$AL$323,Ajustes!$J232,Q$2),0)+IF(Ajustes!$K232&gt;0,INDEX($AA$5:$AL$324,Ajustes!$K232,Q$2),0)+IF(Ajustes!$L232&gt;0,INDEX($AA$4:$AL$323,Ajustes!$L232,Q$2),0) + Q232</f>
        <v>4469</v>
      </c>
      <c r="AD232">
        <f>IF(Ajustes!$G232&gt;0,INDEX($AA$4:$AL$323,Ajustes!$G232,R$2),0)+IF(Ajustes!$H232&gt;0,INDEX($AA$4:$AL$323,Ajustes!$H232,R$2),0)+IF(Ajustes!$I232&gt;0,INDEX($AA$4:$AL$323,Ajustes!$I232,R$2),0)+IF(Ajustes!$J232&gt;0,INDEX($AA$4:$AL$323,Ajustes!$J232,R$2),0)+IF(Ajustes!$K232&gt;0,INDEX($AA$5:$AL$324,Ajustes!$K232,R$2),0)+IF(Ajustes!$L232&gt;0,INDEX($AA$4:$AL$323,Ajustes!$L232,R$2),0) + R232</f>
        <v>3568</v>
      </c>
      <c r="AE232">
        <f>IF(Ajustes!$G232&gt;0,INDEX($AA$4:$AL$323,Ajustes!$G232,S$2),0)+IF(Ajustes!$H232&gt;0,INDEX($AA$4:$AL$323,Ajustes!$H232,S$2),0)+IF(Ajustes!$I232&gt;0,INDEX($AA$4:$AL$323,Ajustes!$I232,S$2),0)+IF(Ajustes!$J232&gt;0,INDEX($AA$4:$AL$323,Ajustes!$J232,S$2),0)+IF(Ajustes!$K232&gt;0,INDEX($AA$5:$AL$324,Ajustes!$K232,S$2),0)+IF(Ajustes!$L232&gt;0,INDEX($AA$4:$AL$323,Ajustes!$L232,S$2),0) + S232</f>
        <v>2289</v>
      </c>
      <c r="AF232">
        <f>IF(Ajustes!$G232&gt;0,INDEX($AA$4:$AL$323,Ajustes!$G232,T$2),0)+IF(Ajustes!$H232&gt;0,INDEX($AA$4:$AL$323,Ajustes!$H232,T$2),0)+IF(Ajustes!$I232&gt;0,INDEX($AA$4:$AL$323,Ajustes!$I232,T$2),0)+IF(Ajustes!$J232&gt;0,INDEX($AA$4:$AL$323,Ajustes!$J232,T$2),0)+IF(Ajustes!$K232&gt;0,INDEX($AA$5:$AL$324,Ajustes!$K232,T$2),0)+IF(Ajustes!$L232&gt;0,INDEX($AA$4:$AL$323,Ajustes!$L232,T$2),0) + T232</f>
        <v>1476</v>
      </c>
      <c r="AG232">
        <f>IF(Ajustes!$G232&gt;0,INDEX($AA$4:$AL$323,Ajustes!$G232,U$2),0)+IF(Ajustes!$H232&gt;0,INDEX($AA$4:$AL$323,Ajustes!$H232,U$2),0)+IF(Ajustes!$I232&gt;0,INDEX($AA$4:$AL$323,Ajustes!$I232,U$2),0)+IF(Ajustes!$J232&gt;0,INDEX($AA$4:$AL$323,Ajustes!$J232,U$2),0)+IF(Ajustes!$K232&gt;0,INDEX($AA$5:$AL$324,Ajustes!$K232,U$2),0)+IF(Ajustes!$L232&gt;0,INDEX($AA$4:$AL$323,Ajustes!$L232,U$2),0) + U232</f>
        <v>1050</v>
      </c>
      <c r="AH232">
        <f>IF(Ajustes!$G232&gt;0,INDEX($AA$4:$AL$323,Ajustes!$G232,V$2),0)+IF(Ajustes!$H232&gt;0,INDEX($AA$4:$AL$323,Ajustes!$H232,V$2),0)+IF(Ajustes!$I232&gt;0,INDEX($AA$4:$AL$323,Ajustes!$I232,V$2),0)+IF(Ajustes!$J232&gt;0,INDEX($AA$4:$AL$323,Ajustes!$J232,V$2),0)+IF(Ajustes!$K232&gt;0,INDEX($AA$5:$AL$324,Ajustes!$K232,V$2),0)+IF(Ajustes!$L232&gt;0,INDEX($AA$4:$AL$323,Ajustes!$L232,V$2),0) + V232</f>
        <v>810</v>
      </c>
      <c r="AI232">
        <f>IF(Ajustes!$G232&gt;0,INDEX($AA$4:$AL$323,Ajustes!$G232,W$2),0)+IF(Ajustes!$H232&gt;0,INDEX($AA$4:$AL$323,Ajustes!$H232,W$2),0)+IF(Ajustes!$I232&gt;0,INDEX($AA$4:$AL$323,Ajustes!$I232,W$2),0)+IF(Ajustes!$J232&gt;0,INDEX($AA$4:$AL$323,Ajustes!$J232,W$2),0)+IF(Ajustes!$K232&gt;0,INDEX($AA$5:$AL$324,Ajustes!$K232,W$2),0)+IF(Ajustes!$L232&gt;0,INDEX($AA$4:$AL$323,Ajustes!$L232,W$2),0) + W232</f>
        <v>704</v>
      </c>
      <c r="AJ232">
        <f>IF(Ajustes!$G232&gt;0,INDEX($AA$4:$AL$323,Ajustes!$G232,X$2),0)+IF(Ajustes!$H232&gt;0,INDEX($AA$4:$AL$323,Ajustes!$H232,X$2),0)+IF(Ajustes!$I232&gt;0,INDEX($AA$4:$AL$323,Ajustes!$I232,X$2),0)+IF(Ajustes!$J232&gt;0,INDEX($AA$4:$AL$323,Ajustes!$J232,X$2),0)+IF(Ajustes!$K232&gt;0,INDEX($AA$5:$AL$324,Ajustes!$K232,X$2),0)+IF(Ajustes!$L232&gt;0,INDEX($AA$4:$AL$323,Ajustes!$L232,X$2),0) + X232</f>
        <v>889</v>
      </c>
      <c r="AK232">
        <f>IF(Ajustes!$G232&gt;0,INDEX($AA$4:$AL$323,Ajustes!$G232,Y$2),0)+IF(Ajustes!$H232&gt;0,INDEX($AA$4:$AL$323,Ajustes!$H232,Y$2),0)+IF(Ajustes!$I232&gt;0,INDEX($AA$4:$AL$323,Ajustes!$I232,Y$2),0)+IF(Ajustes!$J232&gt;0,INDEX($AA$4:$AL$323,Ajustes!$J232,Y$2),0)+IF(Ajustes!$K232&gt;0,INDEX($AA$5:$AL$324,Ajustes!$K232,Y$2),0)+IF(Ajustes!$L232&gt;0,INDEX($AA$4:$AL$323,Ajustes!$L232,Y$2),0) + Y232</f>
        <v>1491</v>
      </c>
      <c r="AL232">
        <f>IF(Ajustes!$G232&gt;0,INDEX($AA$4:$AL$323,Ajustes!$G232,Z$2),0)+IF(Ajustes!$H232&gt;0,INDEX($AA$4:$AL$323,Ajustes!$H232,Z$2),0)+IF(Ajustes!$I232&gt;0,INDEX($AA$4:$AL$323,Ajustes!$I232,Z$2),0)+IF(Ajustes!$J232&gt;0,INDEX($AA$4:$AL$323,Ajustes!$J232,Z$2),0)+IF(Ajustes!$K232&gt;0,INDEX($AA$5:$AL$324,Ajustes!$K232,Z$2),0)+IF(Ajustes!$L232&gt;0,INDEX($AA$4:$AL$323,Ajustes!$L232,Z$2),0) + Z232</f>
        <v>2585</v>
      </c>
      <c r="AM232" s="113">
        <f t="shared" si="47"/>
        <v>3700</v>
      </c>
      <c r="AN232" s="113">
        <f t="shared" si="47"/>
        <v>4305</v>
      </c>
      <c r="AO232" s="113">
        <f t="shared" si="47"/>
        <v>4469</v>
      </c>
      <c r="AP232" s="113">
        <f t="shared" si="47"/>
        <v>3568</v>
      </c>
      <c r="AQ232" s="113">
        <f t="shared" si="49"/>
        <v>2289</v>
      </c>
      <c r="AR232" s="113">
        <f t="shared" si="48"/>
        <v>1476</v>
      </c>
      <c r="AS232" s="113">
        <f t="shared" si="48"/>
        <v>1050</v>
      </c>
      <c r="AT232" s="113">
        <f t="shared" si="48"/>
        <v>810</v>
      </c>
      <c r="AU232" s="113">
        <f t="shared" si="48"/>
        <v>704</v>
      </c>
      <c r="AV232" s="113">
        <f t="shared" si="51"/>
        <v>889</v>
      </c>
      <c r="AW232" s="113">
        <f t="shared" si="50"/>
        <v>1491</v>
      </c>
      <c r="AX232" s="113">
        <f t="shared" si="50"/>
        <v>2585</v>
      </c>
    </row>
    <row r="233" spans="1:50" x14ac:dyDescent="0.25">
      <c r="A233" s="113">
        <v>230</v>
      </c>
      <c r="B233" s="209" t="s">
        <v>643</v>
      </c>
      <c r="C233">
        <f>IFERROR(INDEX($BD$7:$BO$35,MATCH(Ajustes!$E$4:$E$323,$BC$7:$BC$35,0),$C$2:$N$2),1)</f>
        <v>1</v>
      </c>
      <c r="D233" s="113">
        <f>IFERROR(INDEX($BD$7:$BO$35,MATCH(Ajustes!$E$4:$E$323,$BC$7:$BC$35,0),$C$2:$N$2),1)</f>
        <v>1</v>
      </c>
      <c r="E233" s="113">
        <f>IFERROR(INDEX($BD$7:$BO$35,MATCH(Ajustes!$E$4:$E$323,$BC$7:$BC$35,0),$C$2:$N$2),1)</f>
        <v>1</v>
      </c>
      <c r="F233" s="113">
        <f>IFERROR(INDEX($BD$7:$BO$35,MATCH(Ajustes!$E$4:$E$323,$BC$7:$BC$35,0),$C$2:$N$2),1)</f>
        <v>1</v>
      </c>
      <c r="G233" s="113">
        <f>IFERROR(INDEX($BD$7:$BO$35,MATCH(Ajustes!$E$4:$E$323,$BC$7:$BC$35,0),$C$2:$N$2),1)</f>
        <v>1</v>
      </c>
      <c r="H233" s="113">
        <f>IFERROR(INDEX($BD$7:$BO$35,MATCH(Ajustes!$E$4:$E$323,$BC$7:$BC$35,0),$C$2:$N$2),1)</f>
        <v>1</v>
      </c>
      <c r="I233" s="113">
        <f>IFERROR(INDEX($BD$7:$BO$35,MATCH(Ajustes!$E$4:$E$323,$BC$7:$BC$35,0),$C$2:$N$2),1)</f>
        <v>1</v>
      </c>
      <c r="J233" s="113">
        <f>IFERROR(INDEX($BD$7:$BO$35,MATCH(Ajustes!$E$4:$E$323,$BC$7:$BC$35,0),$C$2:$N$2),1)</f>
        <v>1</v>
      </c>
      <c r="K233" s="113">
        <f>IFERROR(INDEX($BD$7:$BO$35,MATCH(Ajustes!$E$4:$E$323,$BC$7:$BC$35,0),$C$2:$N$2),1)</f>
        <v>1</v>
      </c>
      <c r="L233" s="113">
        <f>IFERROR(INDEX($BD$7:$BO$35,MATCH(Ajustes!$E$4:$E$323,$BC$7:$BC$35,0),$C$2:$N$2),1)</f>
        <v>1</v>
      </c>
      <c r="M233" s="113">
        <f>IFERROR(INDEX($BD$7:$BO$35,MATCH(Ajustes!$E$4:$E$323,$BC$7:$BC$35,0),$C$2:$N$2),1)</f>
        <v>1</v>
      </c>
      <c r="N233" s="113">
        <f>IFERROR(INDEX($BD$7:$BO$35,MATCH(Ajustes!$E$4:$E$323,$BC$7:$BC$35,0),$C$2:$N$2),1)</f>
        <v>1</v>
      </c>
      <c r="O233">
        <f>C233*Ajustes!AM233</f>
        <v>3728</v>
      </c>
      <c r="P233">
        <f>D233*Ajustes!AN233</f>
        <v>4324</v>
      </c>
      <c r="Q233">
        <f>E233*Ajustes!AO233</f>
        <v>4500</v>
      </c>
      <c r="R233">
        <f>F233*Ajustes!AP233</f>
        <v>3582</v>
      </c>
      <c r="S233">
        <f>G233*Ajustes!AQ233</f>
        <v>2297</v>
      </c>
      <c r="T233">
        <f>H233*Ajustes!AR233</f>
        <v>1482</v>
      </c>
      <c r="U233">
        <f>I233*Ajustes!AS233</f>
        <v>1057</v>
      </c>
      <c r="V233">
        <f>J233*Ajustes!AT233</f>
        <v>816</v>
      </c>
      <c r="W233">
        <f>K233*Ajustes!AU233</f>
        <v>709</v>
      </c>
      <c r="X233">
        <f>L233*Ajustes!AV233</f>
        <v>895</v>
      </c>
      <c r="Y233">
        <f>M233*Ajustes!AW233</f>
        <v>1495</v>
      </c>
      <c r="Z233">
        <f>N233*Ajustes!AX233</f>
        <v>2602</v>
      </c>
      <c r="AA233">
        <f>IF(Ajustes!$G233&gt;0,INDEX($AA$4:$AL$323,Ajustes!$G233,O$2),0)+IF(Ajustes!$H233&gt;0,INDEX($AA$4:$AL$323,Ajustes!$H233,O$2),0)+IF(Ajustes!$I233&gt;0,INDEX($AA$4:$AL$323,Ajustes!$I233,O$2),0)+IF(Ajustes!$J233&gt;0,INDEX($AA$4:$AL$323,Ajustes!$J233,O$2),0)+IF(Ajustes!$K233&gt;0,INDEX($AA$5:$AL$324,Ajustes!$K233,O$2),0)+IF(Ajustes!$L233&gt;0,INDEX($AA$4:$AL$323,Ajustes!$L233,O$2),0) + O233</f>
        <v>3728</v>
      </c>
      <c r="AB233">
        <f>IF(Ajustes!$G233&gt;0,INDEX($AA$4:$AL$323,Ajustes!$G233,P$2),0)+IF(Ajustes!$H233&gt;0,INDEX($AA$4:$AL$323,Ajustes!$H233,P$2),0)+IF(Ajustes!$I233&gt;0,INDEX($AA$4:$AL$323,Ajustes!$I233,P$2),0)+IF(Ajustes!$J233&gt;0,INDEX($AA$4:$AL$323,Ajustes!$J233,P$2),0)+IF(Ajustes!$K233&gt;0,INDEX($AA$5:$AL$324,Ajustes!$K233,P$2),0)+IF(Ajustes!$L233&gt;0,INDEX($AA$4:$AL$323,Ajustes!$L233,P$2),0) + P233</f>
        <v>4324</v>
      </c>
      <c r="AC233">
        <f>IF(Ajustes!$G233&gt;0,INDEX($AA$4:$AL$323,Ajustes!$G233,Q$2),0)+IF(Ajustes!$H233&gt;0,INDEX($AA$4:$AL$323,Ajustes!$H233,Q$2),0)+IF(Ajustes!$I233&gt;0,INDEX($AA$4:$AL$323,Ajustes!$I233,Q$2),0)+IF(Ajustes!$J233&gt;0,INDEX($AA$4:$AL$323,Ajustes!$J233,Q$2),0)+IF(Ajustes!$K233&gt;0,INDEX($AA$5:$AL$324,Ajustes!$K233,Q$2),0)+IF(Ajustes!$L233&gt;0,INDEX($AA$4:$AL$323,Ajustes!$L233,Q$2),0) + Q233</f>
        <v>4500</v>
      </c>
      <c r="AD233">
        <f>IF(Ajustes!$G233&gt;0,INDEX($AA$4:$AL$323,Ajustes!$G233,R$2),0)+IF(Ajustes!$H233&gt;0,INDEX($AA$4:$AL$323,Ajustes!$H233,R$2),0)+IF(Ajustes!$I233&gt;0,INDEX($AA$4:$AL$323,Ajustes!$I233,R$2),0)+IF(Ajustes!$J233&gt;0,INDEX($AA$4:$AL$323,Ajustes!$J233,R$2),0)+IF(Ajustes!$K233&gt;0,INDEX($AA$5:$AL$324,Ajustes!$K233,R$2),0)+IF(Ajustes!$L233&gt;0,INDEX($AA$4:$AL$323,Ajustes!$L233,R$2),0) + R233</f>
        <v>3582</v>
      </c>
      <c r="AE233">
        <f>IF(Ajustes!$G233&gt;0,INDEX($AA$4:$AL$323,Ajustes!$G233,S$2),0)+IF(Ajustes!$H233&gt;0,INDEX($AA$4:$AL$323,Ajustes!$H233,S$2),0)+IF(Ajustes!$I233&gt;0,INDEX($AA$4:$AL$323,Ajustes!$I233,S$2),0)+IF(Ajustes!$J233&gt;0,INDEX($AA$4:$AL$323,Ajustes!$J233,S$2),0)+IF(Ajustes!$K233&gt;0,INDEX($AA$5:$AL$324,Ajustes!$K233,S$2),0)+IF(Ajustes!$L233&gt;0,INDEX($AA$4:$AL$323,Ajustes!$L233,S$2),0) + S233</f>
        <v>2297</v>
      </c>
      <c r="AF233">
        <f>IF(Ajustes!$G233&gt;0,INDEX($AA$4:$AL$323,Ajustes!$G233,T$2),0)+IF(Ajustes!$H233&gt;0,INDEX($AA$4:$AL$323,Ajustes!$H233,T$2),0)+IF(Ajustes!$I233&gt;0,INDEX($AA$4:$AL$323,Ajustes!$I233,T$2),0)+IF(Ajustes!$J233&gt;0,INDEX($AA$4:$AL$323,Ajustes!$J233,T$2),0)+IF(Ajustes!$K233&gt;0,INDEX($AA$5:$AL$324,Ajustes!$K233,T$2),0)+IF(Ajustes!$L233&gt;0,INDEX($AA$4:$AL$323,Ajustes!$L233,T$2),0) + T233</f>
        <v>1482</v>
      </c>
      <c r="AG233">
        <f>IF(Ajustes!$G233&gt;0,INDEX($AA$4:$AL$323,Ajustes!$G233,U$2),0)+IF(Ajustes!$H233&gt;0,INDEX($AA$4:$AL$323,Ajustes!$H233,U$2),0)+IF(Ajustes!$I233&gt;0,INDEX($AA$4:$AL$323,Ajustes!$I233,U$2),0)+IF(Ajustes!$J233&gt;0,INDEX($AA$4:$AL$323,Ajustes!$J233,U$2),0)+IF(Ajustes!$K233&gt;0,INDEX($AA$5:$AL$324,Ajustes!$K233,U$2),0)+IF(Ajustes!$L233&gt;0,INDEX($AA$4:$AL$323,Ajustes!$L233,U$2),0) + U233</f>
        <v>1057</v>
      </c>
      <c r="AH233">
        <f>IF(Ajustes!$G233&gt;0,INDEX($AA$4:$AL$323,Ajustes!$G233,V$2),0)+IF(Ajustes!$H233&gt;0,INDEX($AA$4:$AL$323,Ajustes!$H233,V$2),0)+IF(Ajustes!$I233&gt;0,INDEX($AA$4:$AL$323,Ajustes!$I233,V$2),0)+IF(Ajustes!$J233&gt;0,INDEX($AA$4:$AL$323,Ajustes!$J233,V$2),0)+IF(Ajustes!$K233&gt;0,INDEX($AA$5:$AL$324,Ajustes!$K233,V$2),0)+IF(Ajustes!$L233&gt;0,INDEX($AA$4:$AL$323,Ajustes!$L233,V$2),0) + V233</f>
        <v>816</v>
      </c>
      <c r="AI233">
        <f>IF(Ajustes!$G233&gt;0,INDEX($AA$4:$AL$323,Ajustes!$G233,W$2),0)+IF(Ajustes!$H233&gt;0,INDEX($AA$4:$AL$323,Ajustes!$H233,W$2),0)+IF(Ajustes!$I233&gt;0,INDEX($AA$4:$AL$323,Ajustes!$I233,W$2),0)+IF(Ajustes!$J233&gt;0,INDEX($AA$4:$AL$323,Ajustes!$J233,W$2),0)+IF(Ajustes!$K233&gt;0,INDEX($AA$5:$AL$324,Ajustes!$K233,W$2),0)+IF(Ajustes!$L233&gt;0,INDEX($AA$4:$AL$323,Ajustes!$L233,W$2),0) + W233</f>
        <v>709</v>
      </c>
      <c r="AJ233">
        <f>IF(Ajustes!$G233&gt;0,INDEX($AA$4:$AL$323,Ajustes!$G233,X$2),0)+IF(Ajustes!$H233&gt;0,INDEX($AA$4:$AL$323,Ajustes!$H233,X$2),0)+IF(Ajustes!$I233&gt;0,INDEX($AA$4:$AL$323,Ajustes!$I233,X$2),0)+IF(Ajustes!$J233&gt;0,INDEX($AA$4:$AL$323,Ajustes!$J233,X$2),0)+IF(Ajustes!$K233&gt;0,INDEX($AA$5:$AL$324,Ajustes!$K233,X$2),0)+IF(Ajustes!$L233&gt;0,INDEX($AA$4:$AL$323,Ajustes!$L233,X$2),0) + X233</f>
        <v>895</v>
      </c>
      <c r="AK233">
        <f>IF(Ajustes!$G233&gt;0,INDEX($AA$4:$AL$323,Ajustes!$G233,Y$2),0)+IF(Ajustes!$H233&gt;0,INDEX($AA$4:$AL$323,Ajustes!$H233,Y$2),0)+IF(Ajustes!$I233&gt;0,INDEX($AA$4:$AL$323,Ajustes!$I233,Y$2),0)+IF(Ajustes!$J233&gt;0,INDEX($AA$4:$AL$323,Ajustes!$J233,Y$2),0)+IF(Ajustes!$K233&gt;0,INDEX($AA$5:$AL$324,Ajustes!$K233,Y$2),0)+IF(Ajustes!$L233&gt;0,INDEX($AA$4:$AL$323,Ajustes!$L233,Y$2),0) + Y233</f>
        <v>1495</v>
      </c>
      <c r="AL233">
        <f>IF(Ajustes!$G233&gt;0,INDEX($AA$4:$AL$323,Ajustes!$G233,Z$2),0)+IF(Ajustes!$H233&gt;0,INDEX($AA$4:$AL$323,Ajustes!$H233,Z$2),0)+IF(Ajustes!$I233&gt;0,INDEX($AA$4:$AL$323,Ajustes!$I233,Z$2),0)+IF(Ajustes!$J233&gt;0,INDEX($AA$4:$AL$323,Ajustes!$J233,Z$2),0)+IF(Ajustes!$K233&gt;0,INDEX($AA$5:$AL$324,Ajustes!$K233,Z$2),0)+IF(Ajustes!$L233&gt;0,INDEX($AA$4:$AL$323,Ajustes!$L233,Z$2),0) + Z233</f>
        <v>2602</v>
      </c>
      <c r="AM233" s="113">
        <f t="shared" si="47"/>
        <v>3728</v>
      </c>
      <c r="AN233" s="113">
        <f t="shared" si="47"/>
        <v>4324</v>
      </c>
      <c r="AO233" s="113">
        <f t="shared" si="47"/>
        <v>4500</v>
      </c>
      <c r="AP233" s="113">
        <f t="shared" si="47"/>
        <v>3582</v>
      </c>
      <c r="AQ233" s="113">
        <f t="shared" si="49"/>
        <v>2297</v>
      </c>
      <c r="AR233" s="113">
        <f t="shared" si="48"/>
        <v>1482</v>
      </c>
      <c r="AS233" s="113">
        <f t="shared" si="48"/>
        <v>1057</v>
      </c>
      <c r="AT233" s="113">
        <f t="shared" si="48"/>
        <v>816</v>
      </c>
      <c r="AU233" s="113">
        <f t="shared" si="48"/>
        <v>709</v>
      </c>
      <c r="AV233" s="113">
        <f t="shared" si="51"/>
        <v>895</v>
      </c>
      <c r="AW233" s="113">
        <f t="shared" si="50"/>
        <v>1495</v>
      </c>
      <c r="AX233" s="113">
        <f t="shared" si="50"/>
        <v>2602</v>
      </c>
    </row>
    <row r="234" spans="1:50" x14ac:dyDescent="0.25">
      <c r="A234" s="113">
        <v>231</v>
      </c>
      <c r="B234" s="209"/>
      <c r="C234">
        <f>IFERROR(INDEX($BD$7:$BO$35,MATCH(Ajustes!$E$4:$E$323,$BC$7:$BC$35,0),$C$2:$N$2),1)</f>
        <v>1</v>
      </c>
      <c r="D234" s="113">
        <f>IFERROR(INDEX($BD$7:$BO$35,MATCH(Ajustes!$E$4:$E$323,$BC$7:$BC$35,0),$C$2:$N$2),1)</f>
        <v>1</v>
      </c>
      <c r="E234" s="113">
        <f>IFERROR(INDEX($BD$7:$BO$35,MATCH(Ajustes!$E$4:$E$323,$BC$7:$BC$35,0),$C$2:$N$2),1)</f>
        <v>1</v>
      </c>
      <c r="F234" s="113">
        <f>IFERROR(INDEX($BD$7:$BO$35,MATCH(Ajustes!$E$4:$E$323,$BC$7:$BC$35,0),$C$2:$N$2),1)</f>
        <v>1</v>
      </c>
      <c r="G234" s="113">
        <f>IFERROR(INDEX($BD$7:$BO$35,MATCH(Ajustes!$E$4:$E$323,$BC$7:$BC$35,0),$C$2:$N$2),1)</f>
        <v>1</v>
      </c>
      <c r="H234" s="113">
        <f>IFERROR(INDEX($BD$7:$BO$35,MATCH(Ajustes!$E$4:$E$323,$BC$7:$BC$35,0),$C$2:$N$2),1)</f>
        <v>1</v>
      </c>
      <c r="I234" s="113">
        <f>IFERROR(INDEX($BD$7:$BO$35,MATCH(Ajustes!$E$4:$E$323,$BC$7:$BC$35,0),$C$2:$N$2),1)</f>
        <v>1</v>
      </c>
      <c r="J234" s="113">
        <f>IFERROR(INDEX($BD$7:$BO$35,MATCH(Ajustes!$E$4:$E$323,$BC$7:$BC$35,0),$C$2:$N$2),1)</f>
        <v>1</v>
      </c>
      <c r="K234" s="113">
        <f>IFERROR(INDEX($BD$7:$BO$35,MATCH(Ajustes!$E$4:$E$323,$BC$7:$BC$35,0),$C$2:$N$2),1)</f>
        <v>1</v>
      </c>
      <c r="L234" s="113">
        <f>IFERROR(INDEX($BD$7:$BO$35,MATCH(Ajustes!$E$4:$E$323,$BC$7:$BC$35,0),$C$2:$N$2),1)</f>
        <v>1</v>
      </c>
      <c r="M234" s="113">
        <f>IFERROR(INDEX($BD$7:$BO$35,MATCH(Ajustes!$E$4:$E$323,$BC$7:$BC$35,0),$C$2:$N$2),1)</f>
        <v>1</v>
      </c>
      <c r="N234" s="113">
        <f>IFERROR(INDEX($BD$7:$BO$35,MATCH(Ajustes!$E$4:$E$323,$BC$7:$BC$35,0),$C$2:$N$2),1)</f>
        <v>1</v>
      </c>
      <c r="O234">
        <f>C234*Ajustes!AM234</f>
        <v>0</v>
      </c>
      <c r="P234">
        <f>D234*Ajustes!AN234</f>
        <v>0</v>
      </c>
      <c r="Q234">
        <f>E234*Ajustes!AO234</f>
        <v>0</v>
      </c>
      <c r="R234">
        <f>F234*Ajustes!AP234</f>
        <v>0</v>
      </c>
      <c r="S234">
        <f>G234*Ajustes!AQ234</f>
        <v>0</v>
      </c>
      <c r="T234">
        <f>H234*Ajustes!AR234</f>
        <v>0</v>
      </c>
      <c r="U234">
        <f>I234*Ajustes!AS234</f>
        <v>0</v>
      </c>
      <c r="V234">
        <f>J234*Ajustes!AT234</f>
        <v>0</v>
      </c>
      <c r="W234">
        <f>K234*Ajustes!AU234</f>
        <v>0</v>
      </c>
      <c r="X234">
        <f>L234*Ajustes!AV234</f>
        <v>0</v>
      </c>
      <c r="Y234">
        <f>M234*Ajustes!AW234</f>
        <v>0</v>
      </c>
      <c r="Z234">
        <f>N234*Ajustes!AX234</f>
        <v>0</v>
      </c>
      <c r="AA234">
        <f>IF(Ajustes!$G234&gt;0,INDEX($AA$4:$AL$323,Ajustes!$G234,O$2),0)+IF(Ajustes!$H234&gt;0,INDEX($AA$4:$AL$323,Ajustes!$H234,O$2),0)+IF(Ajustes!$I234&gt;0,INDEX($AA$4:$AL$323,Ajustes!$I234,O$2),0)+IF(Ajustes!$J234&gt;0,INDEX($AA$4:$AL$323,Ajustes!$J234,O$2),0)+IF(Ajustes!$K234&gt;0,INDEX($AA$5:$AL$324,Ajustes!$K234,O$2),0)+IF(Ajustes!$L234&gt;0,INDEX($AA$4:$AL$323,Ajustes!$L234,O$2),0) + O234</f>
        <v>0</v>
      </c>
      <c r="AB234">
        <f>IF(Ajustes!$G234&gt;0,INDEX($AA$4:$AL$323,Ajustes!$G234,P$2),0)+IF(Ajustes!$H234&gt;0,INDEX($AA$4:$AL$323,Ajustes!$H234,P$2),0)+IF(Ajustes!$I234&gt;0,INDEX($AA$4:$AL$323,Ajustes!$I234,P$2),0)+IF(Ajustes!$J234&gt;0,INDEX($AA$4:$AL$323,Ajustes!$J234,P$2),0)+IF(Ajustes!$K234&gt;0,INDEX($AA$5:$AL$324,Ajustes!$K234,P$2),0)+IF(Ajustes!$L234&gt;0,INDEX($AA$4:$AL$323,Ajustes!$L234,P$2),0) + P234</f>
        <v>0</v>
      </c>
      <c r="AC234">
        <f>IF(Ajustes!$G234&gt;0,INDEX($AA$4:$AL$323,Ajustes!$G234,Q$2),0)+IF(Ajustes!$H234&gt;0,INDEX($AA$4:$AL$323,Ajustes!$H234,Q$2),0)+IF(Ajustes!$I234&gt;0,INDEX($AA$4:$AL$323,Ajustes!$I234,Q$2),0)+IF(Ajustes!$J234&gt;0,INDEX($AA$4:$AL$323,Ajustes!$J234,Q$2),0)+IF(Ajustes!$K234&gt;0,INDEX($AA$5:$AL$324,Ajustes!$K234,Q$2),0)+IF(Ajustes!$L234&gt;0,INDEX($AA$4:$AL$323,Ajustes!$L234,Q$2),0) + Q234</f>
        <v>0</v>
      </c>
      <c r="AD234">
        <f>IF(Ajustes!$G234&gt;0,INDEX($AA$4:$AL$323,Ajustes!$G234,R$2),0)+IF(Ajustes!$H234&gt;0,INDEX($AA$4:$AL$323,Ajustes!$H234,R$2),0)+IF(Ajustes!$I234&gt;0,INDEX($AA$4:$AL$323,Ajustes!$I234,R$2),0)+IF(Ajustes!$J234&gt;0,INDEX($AA$4:$AL$323,Ajustes!$J234,R$2),0)+IF(Ajustes!$K234&gt;0,INDEX($AA$5:$AL$324,Ajustes!$K234,R$2),0)+IF(Ajustes!$L234&gt;0,INDEX($AA$4:$AL$323,Ajustes!$L234,R$2),0) + R234</f>
        <v>0</v>
      </c>
      <c r="AE234">
        <f>IF(Ajustes!$G234&gt;0,INDEX($AA$4:$AL$323,Ajustes!$G234,S$2),0)+IF(Ajustes!$H234&gt;0,INDEX($AA$4:$AL$323,Ajustes!$H234,S$2),0)+IF(Ajustes!$I234&gt;0,INDEX($AA$4:$AL$323,Ajustes!$I234,S$2),0)+IF(Ajustes!$J234&gt;0,INDEX($AA$4:$AL$323,Ajustes!$J234,S$2),0)+IF(Ajustes!$K234&gt;0,INDEX($AA$5:$AL$324,Ajustes!$K234,S$2),0)+IF(Ajustes!$L234&gt;0,INDEX($AA$4:$AL$323,Ajustes!$L234,S$2),0) + S234</f>
        <v>0</v>
      </c>
      <c r="AF234">
        <f>IF(Ajustes!$G234&gt;0,INDEX($AA$4:$AL$323,Ajustes!$G234,T$2),0)+IF(Ajustes!$H234&gt;0,INDEX($AA$4:$AL$323,Ajustes!$H234,T$2),0)+IF(Ajustes!$I234&gt;0,INDEX($AA$4:$AL$323,Ajustes!$I234,T$2),0)+IF(Ajustes!$J234&gt;0,INDEX($AA$4:$AL$323,Ajustes!$J234,T$2),0)+IF(Ajustes!$K234&gt;0,INDEX($AA$5:$AL$324,Ajustes!$K234,T$2),0)+IF(Ajustes!$L234&gt;0,INDEX($AA$4:$AL$323,Ajustes!$L234,T$2),0) + T234</f>
        <v>0</v>
      </c>
      <c r="AG234">
        <f>IF(Ajustes!$G234&gt;0,INDEX($AA$4:$AL$323,Ajustes!$G234,U$2),0)+IF(Ajustes!$H234&gt;0,INDEX($AA$4:$AL$323,Ajustes!$H234,U$2),0)+IF(Ajustes!$I234&gt;0,INDEX($AA$4:$AL$323,Ajustes!$I234,U$2),0)+IF(Ajustes!$J234&gt;0,INDEX($AA$4:$AL$323,Ajustes!$J234,U$2),0)+IF(Ajustes!$K234&gt;0,INDEX($AA$5:$AL$324,Ajustes!$K234,U$2),0)+IF(Ajustes!$L234&gt;0,INDEX($AA$4:$AL$323,Ajustes!$L234,U$2),0) + U234</f>
        <v>0</v>
      </c>
      <c r="AH234">
        <f>IF(Ajustes!$G234&gt;0,INDEX($AA$4:$AL$323,Ajustes!$G234,V$2),0)+IF(Ajustes!$H234&gt;0,INDEX($AA$4:$AL$323,Ajustes!$H234,V$2),0)+IF(Ajustes!$I234&gt;0,INDEX($AA$4:$AL$323,Ajustes!$I234,V$2),0)+IF(Ajustes!$J234&gt;0,INDEX($AA$4:$AL$323,Ajustes!$J234,V$2),0)+IF(Ajustes!$K234&gt;0,INDEX($AA$5:$AL$324,Ajustes!$K234,V$2),0)+IF(Ajustes!$L234&gt;0,INDEX($AA$4:$AL$323,Ajustes!$L234,V$2),0) + V234</f>
        <v>0</v>
      </c>
      <c r="AI234">
        <f>IF(Ajustes!$G234&gt;0,INDEX($AA$4:$AL$323,Ajustes!$G234,W$2),0)+IF(Ajustes!$H234&gt;0,INDEX($AA$4:$AL$323,Ajustes!$H234,W$2),0)+IF(Ajustes!$I234&gt;0,INDEX($AA$4:$AL$323,Ajustes!$I234,W$2),0)+IF(Ajustes!$J234&gt;0,INDEX($AA$4:$AL$323,Ajustes!$J234,W$2),0)+IF(Ajustes!$K234&gt;0,INDEX($AA$5:$AL$324,Ajustes!$K234,W$2),0)+IF(Ajustes!$L234&gt;0,INDEX($AA$4:$AL$323,Ajustes!$L234,W$2),0) + W234</f>
        <v>0</v>
      </c>
      <c r="AJ234">
        <f>IF(Ajustes!$G234&gt;0,INDEX($AA$4:$AL$323,Ajustes!$G234,X$2),0)+IF(Ajustes!$H234&gt;0,INDEX($AA$4:$AL$323,Ajustes!$H234,X$2),0)+IF(Ajustes!$I234&gt;0,INDEX($AA$4:$AL$323,Ajustes!$I234,X$2),0)+IF(Ajustes!$J234&gt;0,INDEX($AA$4:$AL$323,Ajustes!$J234,X$2),0)+IF(Ajustes!$K234&gt;0,INDEX($AA$5:$AL$324,Ajustes!$K234,X$2),0)+IF(Ajustes!$L234&gt;0,INDEX($AA$4:$AL$323,Ajustes!$L234,X$2),0) + X234</f>
        <v>0</v>
      </c>
      <c r="AK234">
        <f>IF(Ajustes!$G234&gt;0,INDEX($AA$4:$AL$323,Ajustes!$G234,Y$2),0)+IF(Ajustes!$H234&gt;0,INDEX($AA$4:$AL$323,Ajustes!$H234,Y$2),0)+IF(Ajustes!$I234&gt;0,INDEX($AA$4:$AL$323,Ajustes!$I234,Y$2),0)+IF(Ajustes!$J234&gt;0,INDEX($AA$4:$AL$323,Ajustes!$J234,Y$2),0)+IF(Ajustes!$K234&gt;0,INDEX($AA$5:$AL$324,Ajustes!$K234,Y$2),0)+IF(Ajustes!$L234&gt;0,INDEX($AA$4:$AL$323,Ajustes!$L234,Y$2),0) + Y234</f>
        <v>0</v>
      </c>
      <c r="AL234">
        <f>IF(Ajustes!$G234&gt;0,INDEX($AA$4:$AL$323,Ajustes!$G234,Z$2),0)+IF(Ajustes!$H234&gt;0,INDEX($AA$4:$AL$323,Ajustes!$H234,Z$2),0)+IF(Ajustes!$I234&gt;0,INDEX($AA$4:$AL$323,Ajustes!$I234,Z$2),0)+IF(Ajustes!$J234&gt;0,INDEX($AA$4:$AL$323,Ajustes!$J234,Z$2),0)+IF(Ajustes!$K234&gt;0,INDEX($AA$5:$AL$324,Ajustes!$K234,Z$2),0)+IF(Ajustes!$L234&gt;0,INDEX($AA$4:$AL$323,Ajustes!$L234,Z$2),0) + Z234</f>
        <v>0</v>
      </c>
      <c r="AM234" s="113">
        <f t="shared" si="47"/>
        <v>0</v>
      </c>
      <c r="AN234" s="113">
        <f t="shared" si="47"/>
        <v>0</v>
      </c>
      <c r="AO234" s="113">
        <f t="shared" si="47"/>
        <v>0</v>
      </c>
      <c r="AP234" s="113">
        <f t="shared" si="47"/>
        <v>0</v>
      </c>
      <c r="AQ234" s="113">
        <f t="shared" si="49"/>
        <v>0</v>
      </c>
      <c r="AR234" s="113">
        <f t="shared" si="48"/>
        <v>0</v>
      </c>
      <c r="AS234" s="113">
        <f t="shared" si="48"/>
        <v>0</v>
      </c>
      <c r="AT234" s="113">
        <f t="shared" si="48"/>
        <v>0</v>
      </c>
      <c r="AU234" s="113">
        <f t="shared" si="48"/>
        <v>0</v>
      </c>
      <c r="AV234" s="113">
        <f t="shared" si="51"/>
        <v>0</v>
      </c>
      <c r="AW234" s="113">
        <f t="shared" si="50"/>
        <v>0</v>
      </c>
      <c r="AX234" s="113">
        <f t="shared" si="50"/>
        <v>0</v>
      </c>
    </row>
    <row r="235" spans="1:50" x14ac:dyDescent="0.25">
      <c r="A235" s="113">
        <v>232</v>
      </c>
      <c r="B235" s="209"/>
      <c r="C235">
        <f>IFERROR(INDEX($BD$7:$BO$35,MATCH(Ajustes!$E$4:$E$323,$BC$7:$BC$35,0),$C$2:$N$2),1)</f>
        <v>1</v>
      </c>
      <c r="D235" s="113">
        <f>IFERROR(INDEX($BD$7:$BO$35,MATCH(Ajustes!$E$4:$E$323,$BC$7:$BC$35,0),$C$2:$N$2),1)</f>
        <v>1</v>
      </c>
      <c r="E235" s="113">
        <f>IFERROR(INDEX($BD$7:$BO$35,MATCH(Ajustes!$E$4:$E$323,$BC$7:$BC$35,0),$C$2:$N$2),1)</f>
        <v>1</v>
      </c>
      <c r="F235" s="113">
        <f>IFERROR(INDEX($BD$7:$BO$35,MATCH(Ajustes!$E$4:$E$323,$BC$7:$BC$35,0),$C$2:$N$2),1)</f>
        <v>1</v>
      </c>
      <c r="G235" s="113">
        <f>IFERROR(INDEX($BD$7:$BO$35,MATCH(Ajustes!$E$4:$E$323,$BC$7:$BC$35,0),$C$2:$N$2),1)</f>
        <v>1</v>
      </c>
      <c r="H235" s="113">
        <f>IFERROR(INDEX($BD$7:$BO$35,MATCH(Ajustes!$E$4:$E$323,$BC$7:$BC$35,0),$C$2:$N$2),1)</f>
        <v>1</v>
      </c>
      <c r="I235" s="113">
        <f>IFERROR(INDEX($BD$7:$BO$35,MATCH(Ajustes!$E$4:$E$323,$BC$7:$BC$35,0),$C$2:$N$2),1)</f>
        <v>1</v>
      </c>
      <c r="J235" s="113">
        <f>IFERROR(INDEX($BD$7:$BO$35,MATCH(Ajustes!$E$4:$E$323,$BC$7:$BC$35,0),$C$2:$N$2),1)</f>
        <v>1</v>
      </c>
      <c r="K235" s="113">
        <f>IFERROR(INDEX($BD$7:$BO$35,MATCH(Ajustes!$E$4:$E$323,$BC$7:$BC$35,0),$C$2:$N$2),1)</f>
        <v>1</v>
      </c>
      <c r="L235" s="113">
        <f>IFERROR(INDEX($BD$7:$BO$35,MATCH(Ajustes!$E$4:$E$323,$BC$7:$BC$35,0),$C$2:$N$2),1)</f>
        <v>1</v>
      </c>
      <c r="M235" s="113">
        <f>IFERROR(INDEX($BD$7:$BO$35,MATCH(Ajustes!$E$4:$E$323,$BC$7:$BC$35,0),$C$2:$N$2),1)</f>
        <v>1</v>
      </c>
      <c r="N235" s="113">
        <f>IFERROR(INDEX($BD$7:$BO$35,MATCH(Ajustes!$E$4:$E$323,$BC$7:$BC$35,0),$C$2:$N$2),1)</f>
        <v>1</v>
      </c>
      <c r="O235">
        <f>C235*Ajustes!AM235</f>
        <v>0</v>
      </c>
      <c r="P235">
        <f>D235*Ajustes!AN235</f>
        <v>0</v>
      </c>
      <c r="Q235">
        <f>E235*Ajustes!AO235</f>
        <v>0</v>
      </c>
      <c r="R235">
        <f>F235*Ajustes!AP235</f>
        <v>0</v>
      </c>
      <c r="S235">
        <f>G235*Ajustes!AQ235</f>
        <v>0</v>
      </c>
      <c r="T235">
        <f>H235*Ajustes!AR235</f>
        <v>0</v>
      </c>
      <c r="U235">
        <f>I235*Ajustes!AS235</f>
        <v>0</v>
      </c>
      <c r="V235">
        <f>J235*Ajustes!AT235</f>
        <v>0</v>
      </c>
      <c r="W235">
        <f>K235*Ajustes!AU235</f>
        <v>0</v>
      </c>
      <c r="X235">
        <f>L235*Ajustes!AV235</f>
        <v>0</v>
      </c>
      <c r="Y235">
        <f>M235*Ajustes!AW235</f>
        <v>0</v>
      </c>
      <c r="Z235">
        <f>N235*Ajustes!AX235</f>
        <v>0</v>
      </c>
      <c r="AA235">
        <f>IF(Ajustes!$G235&gt;0,INDEX($AA$4:$AL$323,Ajustes!$G235,O$2),0)+IF(Ajustes!$H235&gt;0,INDEX($AA$4:$AL$323,Ajustes!$H235,O$2),0)+IF(Ajustes!$I235&gt;0,INDEX($AA$4:$AL$323,Ajustes!$I235,O$2),0)+IF(Ajustes!$J235&gt;0,INDEX($AA$4:$AL$323,Ajustes!$J235,O$2),0)+IF(Ajustes!$K235&gt;0,INDEX($AA$5:$AL$324,Ajustes!$K235,O$2),0)+IF(Ajustes!$L235&gt;0,INDEX($AA$4:$AL$323,Ajustes!$L235,O$2),0) + O235</f>
        <v>0</v>
      </c>
      <c r="AB235">
        <f>IF(Ajustes!$G235&gt;0,INDEX($AA$4:$AL$323,Ajustes!$G235,P$2),0)+IF(Ajustes!$H235&gt;0,INDEX($AA$4:$AL$323,Ajustes!$H235,P$2),0)+IF(Ajustes!$I235&gt;0,INDEX($AA$4:$AL$323,Ajustes!$I235,P$2),0)+IF(Ajustes!$J235&gt;0,INDEX($AA$4:$AL$323,Ajustes!$J235,P$2),0)+IF(Ajustes!$K235&gt;0,INDEX($AA$5:$AL$324,Ajustes!$K235,P$2),0)+IF(Ajustes!$L235&gt;0,INDEX($AA$4:$AL$323,Ajustes!$L235,P$2),0) + P235</f>
        <v>0</v>
      </c>
      <c r="AC235">
        <f>IF(Ajustes!$G235&gt;0,INDEX($AA$4:$AL$323,Ajustes!$G235,Q$2),0)+IF(Ajustes!$H235&gt;0,INDEX($AA$4:$AL$323,Ajustes!$H235,Q$2),0)+IF(Ajustes!$I235&gt;0,INDEX($AA$4:$AL$323,Ajustes!$I235,Q$2),0)+IF(Ajustes!$J235&gt;0,INDEX($AA$4:$AL$323,Ajustes!$J235,Q$2),0)+IF(Ajustes!$K235&gt;0,INDEX($AA$5:$AL$324,Ajustes!$K235,Q$2),0)+IF(Ajustes!$L235&gt;0,INDEX($AA$4:$AL$323,Ajustes!$L235,Q$2),0) + Q235</f>
        <v>0</v>
      </c>
      <c r="AD235">
        <f>IF(Ajustes!$G235&gt;0,INDEX($AA$4:$AL$323,Ajustes!$G235,R$2),0)+IF(Ajustes!$H235&gt;0,INDEX($AA$4:$AL$323,Ajustes!$H235,R$2),0)+IF(Ajustes!$I235&gt;0,INDEX($AA$4:$AL$323,Ajustes!$I235,R$2),0)+IF(Ajustes!$J235&gt;0,INDEX($AA$4:$AL$323,Ajustes!$J235,R$2),0)+IF(Ajustes!$K235&gt;0,INDEX($AA$5:$AL$324,Ajustes!$K235,R$2),0)+IF(Ajustes!$L235&gt;0,INDEX($AA$4:$AL$323,Ajustes!$L235,R$2),0) + R235</f>
        <v>0</v>
      </c>
      <c r="AE235">
        <f>IF(Ajustes!$G235&gt;0,INDEX($AA$4:$AL$323,Ajustes!$G235,S$2),0)+IF(Ajustes!$H235&gt;0,INDEX($AA$4:$AL$323,Ajustes!$H235,S$2),0)+IF(Ajustes!$I235&gt;0,INDEX($AA$4:$AL$323,Ajustes!$I235,S$2),0)+IF(Ajustes!$J235&gt;0,INDEX($AA$4:$AL$323,Ajustes!$J235,S$2),0)+IF(Ajustes!$K235&gt;0,INDEX($AA$5:$AL$324,Ajustes!$K235,S$2),0)+IF(Ajustes!$L235&gt;0,INDEX($AA$4:$AL$323,Ajustes!$L235,S$2),0) + S235</f>
        <v>0</v>
      </c>
      <c r="AF235">
        <f>IF(Ajustes!$G235&gt;0,INDEX($AA$4:$AL$323,Ajustes!$G235,T$2),0)+IF(Ajustes!$H235&gt;0,INDEX($AA$4:$AL$323,Ajustes!$H235,T$2),0)+IF(Ajustes!$I235&gt;0,INDEX($AA$4:$AL$323,Ajustes!$I235,T$2),0)+IF(Ajustes!$J235&gt;0,INDEX($AA$4:$AL$323,Ajustes!$J235,T$2),0)+IF(Ajustes!$K235&gt;0,INDEX($AA$5:$AL$324,Ajustes!$K235,T$2),0)+IF(Ajustes!$L235&gt;0,INDEX($AA$4:$AL$323,Ajustes!$L235,T$2),0) + T235</f>
        <v>0</v>
      </c>
      <c r="AG235">
        <f>IF(Ajustes!$G235&gt;0,INDEX($AA$4:$AL$323,Ajustes!$G235,U$2),0)+IF(Ajustes!$H235&gt;0,INDEX($AA$4:$AL$323,Ajustes!$H235,U$2),0)+IF(Ajustes!$I235&gt;0,INDEX($AA$4:$AL$323,Ajustes!$I235,U$2),0)+IF(Ajustes!$J235&gt;0,INDEX($AA$4:$AL$323,Ajustes!$J235,U$2),0)+IF(Ajustes!$K235&gt;0,INDEX($AA$5:$AL$324,Ajustes!$K235,U$2),0)+IF(Ajustes!$L235&gt;0,INDEX($AA$4:$AL$323,Ajustes!$L235,U$2),0) + U235</f>
        <v>0</v>
      </c>
      <c r="AH235">
        <f>IF(Ajustes!$G235&gt;0,INDEX($AA$4:$AL$323,Ajustes!$G235,V$2),0)+IF(Ajustes!$H235&gt;0,INDEX($AA$4:$AL$323,Ajustes!$H235,V$2),0)+IF(Ajustes!$I235&gt;0,INDEX($AA$4:$AL$323,Ajustes!$I235,V$2),0)+IF(Ajustes!$J235&gt;0,INDEX($AA$4:$AL$323,Ajustes!$J235,V$2),0)+IF(Ajustes!$K235&gt;0,INDEX($AA$5:$AL$324,Ajustes!$K235,V$2),0)+IF(Ajustes!$L235&gt;0,INDEX($AA$4:$AL$323,Ajustes!$L235,V$2),0) + V235</f>
        <v>0</v>
      </c>
      <c r="AI235">
        <f>IF(Ajustes!$G235&gt;0,INDEX($AA$4:$AL$323,Ajustes!$G235,W$2),0)+IF(Ajustes!$H235&gt;0,INDEX($AA$4:$AL$323,Ajustes!$H235,W$2),0)+IF(Ajustes!$I235&gt;0,INDEX($AA$4:$AL$323,Ajustes!$I235,W$2),0)+IF(Ajustes!$J235&gt;0,INDEX($AA$4:$AL$323,Ajustes!$J235,W$2),0)+IF(Ajustes!$K235&gt;0,INDEX($AA$5:$AL$324,Ajustes!$K235,W$2),0)+IF(Ajustes!$L235&gt;0,INDEX($AA$4:$AL$323,Ajustes!$L235,W$2),0) + W235</f>
        <v>0</v>
      </c>
      <c r="AJ235">
        <f>IF(Ajustes!$G235&gt;0,INDEX($AA$4:$AL$323,Ajustes!$G235,X$2),0)+IF(Ajustes!$H235&gt;0,INDEX($AA$4:$AL$323,Ajustes!$H235,X$2),0)+IF(Ajustes!$I235&gt;0,INDEX($AA$4:$AL$323,Ajustes!$I235,X$2),0)+IF(Ajustes!$J235&gt;0,INDEX($AA$4:$AL$323,Ajustes!$J235,X$2),0)+IF(Ajustes!$K235&gt;0,INDEX($AA$5:$AL$324,Ajustes!$K235,X$2),0)+IF(Ajustes!$L235&gt;0,INDEX($AA$4:$AL$323,Ajustes!$L235,X$2),0) + X235</f>
        <v>0</v>
      </c>
      <c r="AK235">
        <f>IF(Ajustes!$G235&gt;0,INDEX($AA$4:$AL$323,Ajustes!$G235,Y$2),0)+IF(Ajustes!$H235&gt;0,INDEX($AA$4:$AL$323,Ajustes!$H235,Y$2),0)+IF(Ajustes!$I235&gt;0,INDEX($AA$4:$AL$323,Ajustes!$I235,Y$2),0)+IF(Ajustes!$J235&gt;0,INDEX($AA$4:$AL$323,Ajustes!$J235,Y$2),0)+IF(Ajustes!$K235&gt;0,INDEX($AA$5:$AL$324,Ajustes!$K235,Y$2),0)+IF(Ajustes!$L235&gt;0,INDEX($AA$4:$AL$323,Ajustes!$L235,Y$2),0) + Y235</f>
        <v>0</v>
      </c>
      <c r="AL235">
        <f>IF(Ajustes!$G235&gt;0,INDEX($AA$4:$AL$323,Ajustes!$G235,Z$2),0)+IF(Ajustes!$H235&gt;0,INDEX($AA$4:$AL$323,Ajustes!$H235,Z$2),0)+IF(Ajustes!$I235&gt;0,INDEX($AA$4:$AL$323,Ajustes!$I235,Z$2),0)+IF(Ajustes!$J235&gt;0,INDEX($AA$4:$AL$323,Ajustes!$J235,Z$2),0)+IF(Ajustes!$K235&gt;0,INDEX($AA$5:$AL$324,Ajustes!$K235,Z$2),0)+IF(Ajustes!$L235&gt;0,INDEX($AA$4:$AL$323,Ajustes!$L235,Z$2),0) + Z235</f>
        <v>0</v>
      </c>
      <c r="AM235" s="113">
        <f t="shared" si="47"/>
        <v>0</v>
      </c>
      <c r="AN235" s="113">
        <f t="shared" si="47"/>
        <v>0</v>
      </c>
      <c r="AO235" s="113">
        <f t="shared" si="47"/>
        <v>0</v>
      </c>
      <c r="AP235" s="113">
        <f t="shared" si="47"/>
        <v>0</v>
      </c>
      <c r="AQ235" s="113">
        <f t="shared" si="49"/>
        <v>0</v>
      </c>
      <c r="AR235" s="113">
        <f t="shared" si="48"/>
        <v>0</v>
      </c>
      <c r="AS235" s="113">
        <f t="shared" si="48"/>
        <v>0</v>
      </c>
      <c r="AT235" s="113">
        <f t="shared" si="48"/>
        <v>0</v>
      </c>
      <c r="AU235" s="113">
        <f t="shared" si="48"/>
        <v>0</v>
      </c>
      <c r="AV235" s="113">
        <f t="shared" si="51"/>
        <v>0</v>
      </c>
      <c r="AW235" s="113">
        <f t="shared" si="50"/>
        <v>0</v>
      </c>
      <c r="AX235" s="113">
        <f t="shared" si="50"/>
        <v>0</v>
      </c>
    </row>
    <row r="236" spans="1:50" x14ac:dyDescent="0.25">
      <c r="A236" s="113">
        <v>233</v>
      </c>
      <c r="B236" s="209"/>
      <c r="C236">
        <f>IFERROR(INDEX($BD$7:$BO$35,MATCH(Ajustes!$E$4:$E$323,$BC$7:$BC$35,0),$C$2:$N$2),1)</f>
        <v>1</v>
      </c>
      <c r="D236" s="113">
        <f>IFERROR(INDEX($BD$7:$BO$35,MATCH(Ajustes!$E$4:$E$323,$BC$7:$BC$35,0),$C$2:$N$2),1)</f>
        <v>1</v>
      </c>
      <c r="E236" s="113">
        <f>IFERROR(INDEX($BD$7:$BO$35,MATCH(Ajustes!$E$4:$E$323,$BC$7:$BC$35,0),$C$2:$N$2),1)</f>
        <v>1</v>
      </c>
      <c r="F236" s="113">
        <f>IFERROR(INDEX($BD$7:$BO$35,MATCH(Ajustes!$E$4:$E$323,$BC$7:$BC$35,0),$C$2:$N$2),1)</f>
        <v>1</v>
      </c>
      <c r="G236" s="113">
        <f>IFERROR(INDEX($BD$7:$BO$35,MATCH(Ajustes!$E$4:$E$323,$BC$7:$BC$35,0),$C$2:$N$2),1)</f>
        <v>1</v>
      </c>
      <c r="H236" s="113">
        <f>IFERROR(INDEX($BD$7:$BO$35,MATCH(Ajustes!$E$4:$E$323,$BC$7:$BC$35,0),$C$2:$N$2),1)</f>
        <v>1</v>
      </c>
      <c r="I236" s="113">
        <f>IFERROR(INDEX($BD$7:$BO$35,MATCH(Ajustes!$E$4:$E$323,$BC$7:$BC$35,0),$C$2:$N$2),1)</f>
        <v>1</v>
      </c>
      <c r="J236" s="113">
        <f>IFERROR(INDEX($BD$7:$BO$35,MATCH(Ajustes!$E$4:$E$323,$BC$7:$BC$35,0),$C$2:$N$2),1)</f>
        <v>1</v>
      </c>
      <c r="K236" s="113">
        <f>IFERROR(INDEX($BD$7:$BO$35,MATCH(Ajustes!$E$4:$E$323,$BC$7:$BC$35,0),$C$2:$N$2),1)</f>
        <v>1</v>
      </c>
      <c r="L236" s="113">
        <f>IFERROR(INDEX($BD$7:$BO$35,MATCH(Ajustes!$E$4:$E$323,$BC$7:$BC$35,0),$C$2:$N$2),1)</f>
        <v>1</v>
      </c>
      <c r="M236" s="113">
        <f>IFERROR(INDEX($BD$7:$BO$35,MATCH(Ajustes!$E$4:$E$323,$BC$7:$BC$35,0),$C$2:$N$2),1)</f>
        <v>1</v>
      </c>
      <c r="N236" s="113">
        <f>IFERROR(INDEX($BD$7:$BO$35,MATCH(Ajustes!$E$4:$E$323,$BC$7:$BC$35,0),$C$2:$N$2),1)</f>
        <v>1</v>
      </c>
      <c r="O236">
        <f>C236*Ajustes!AM236</f>
        <v>0</v>
      </c>
      <c r="P236">
        <f>D236*Ajustes!AN236</f>
        <v>0</v>
      </c>
      <c r="Q236">
        <f>E236*Ajustes!AO236</f>
        <v>0</v>
      </c>
      <c r="R236">
        <f>F236*Ajustes!AP236</f>
        <v>0</v>
      </c>
      <c r="S236">
        <f>G236*Ajustes!AQ236</f>
        <v>0</v>
      </c>
      <c r="T236">
        <f>H236*Ajustes!AR236</f>
        <v>0</v>
      </c>
      <c r="U236">
        <f>I236*Ajustes!AS236</f>
        <v>0</v>
      </c>
      <c r="V236">
        <f>J236*Ajustes!AT236</f>
        <v>0</v>
      </c>
      <c r="W236">
        <f>K236*Ajustes!AU236</f>
        <v>0</v>
      </c>
      <c r="X236">
        <f>L236*Ajustes!AV236</f>
        <v>0</v>
      </c>
      <c r="Y236">
        <f>M236*Ajustes!AW236</f>
        <v>0</v>
      </c>
      <c r="Z236">
        <f>N236*Ajustes!AX236</f>
        <v>0</v>
      </c>
      <c r="AA236">
        <f>IF(Ajustes!$G236&gt;0,INDEX($AA$4:$AL$323,Ajustes!$G236,O$2),0)+IF(Ajustes!$H236&gt;0,INDEX($AA$4:$AL$323,Ajustes!$H236,O$2),0)+IF(Ajustes!$I236&gt;0,INDEX($AA$4:$AL$323,Ajustes!$I236,O$2),0)+IF(Ajustes!$J236&gt;0,INDEX($AA$4:$AL$323,Ajustes!$J236,O$2),0)+IF(Ajustes!$K236&gt;0,INDEX($AA$5:$AL$324,Ajustes!$K236,O$2),0)+IF(Ajustes!$L236&gt;0,INDEX($AA$4:$AL$323,Ajustes!$L236,O$2),0) + O236</f>
        <v>0</v>
      </c>
      <c r="AB236">
        <f>IF(Ajustes!$G236&gt;0,INDEX($AA$4:$AL$323,Ajustes!$G236,P$2),0)+IF(Ajustes!$H236&gt;0,INDEX($AA$4:$AL$323,Ajustes!$H236,P$2),0)+IF(Ajustes!$I236&gt;0,INDEX($AA$4:$AL$323,Ajustes!$I236,P$2),0)+IF(Ajustes!$J236&gt;0,INDEX($AA$4:$AL$323,Ajustes!$J236,P$2),0)+IF(Ajustes!$K236&gt;0,INDEX($AA$5:$AL$324,Ajustes!$K236,P$2),0)+IF(Ajustes!$L236&gt;0,INDEX($AA$4:$AL$323,Ajustes!$L236,P$2),0) + P236</f>
        <v>0</v>
      </c>
      <c r="AC236">
        <f>IF(Ajustes!$G236&gt;0,INDEX($AA$4:$AL$323,Ajustes!$G236,Q$2),0)+IF(Ajustes!$H236&gt;0,INDEX($AA$4:$AL$323,Ajustes!$H236,Q$2),0)+IF(Ajustes!$I236&gt;0,INDEX($AA$4:$AL$323,Ajustes!$I236,Q$2),0)+IF(Ajustes!$J236&gt;0,INDEX($AA$4:$AL$323,Ajustes!$J236,Q$2),0)+IF(Ajustes!$K236&gt;0,INDEX($AA$5:$AL$324,Ajustes!$K236,Q$2),0)+IF(Ajustes!$L236&gt;0,INDEX($AA$4:$AL$323,Ajustes!$L236,Q$2),0) + Q236</f>
        <v>0</v>
      </c>
      <c r="AD236">
        <f>IF(Ajustes!$G236&gt;0,INDEX($AA$4:$AL$323,Ajustes!$G236,R$2),0)+IF(Ajustes!$H236&gt;0,INDEX($AA$4:$AL$323,Ajustes!$H236,R$2),0)+IF(Ajustes!$I236&gt;0,INDEX($AA$4:$AL$323,Ajustes!$I236,R$2),0)+IF(Ajustes!$J236&gt;0,INDEX($AA$4:$AL$323,Ajustes!$J236,R$2),0)+IF(Ajustes!$K236&gt;0,INDEX($AA$5:$AL$324,Ajustes!$K236,R$2),0)+IF(Ajustes!$L236&gt;0,INDEX($AA$4:$AL$323,Ajustes!$L236,R$2),0) + R236</f>
        <v>0</v>
      </c>
      <c r="AE236">
        <f>IF(Ajustes!$G236&gt;0,INDEX($AA$4:$AL$323,Ajustes!$G236,S$2),0)+IF(Ajustes!$H236&gt;0,INDEX($AA$4:$AL$323,Ajustes!$H236,S$2),0)+IF(Ajustes!$I236&gt;0,INDEX($AA$4:$AL$323,Ajustes!$I236,S$2),0)+IF(Ajustes!$J236&gt;0,INDEX($AA$4:$AL$323,Ajustes!$J236,S$2),0)+IF(Ajustes!$K236&gt;0,INDEX($AA$5:$AL$324,Ajustes!$K236,S$2),0)+IF(Ajustes!$L236&gt;0,INDEX($AA$4:$AL$323,Ajustes!$L236,S$2),0) + S236</f>
        <v>0</v>
      </c>
      <c r="AF236">
        <f>IF(Ajustes!$G236&gt;0,INDEX($AA$4:$AL$323,Ajustes!$G236,T$2),0)+IF(Ajustes!$H236&gt;0,INDEX($AA$4:$AL$323,Ajustes!$H236,T$2),0)+IF(Ajustes!$I236&gt;0,INDEX($AA$4:$AL$323,Ajustes!$I236,T$2),0)+IF(Ajustes!$J236&gt;0,INDEX($AA$4:$AL$323,Ajustes!$J236,T$2),0)+IF(Ajustes!$K236&gt;0,INDEX($AA$5:$AL$324,Ajustes!$K236,T$2),0)+IF(Ajustes!$L236&gt;0,INDEX($AA$4:$AL$323,Ajustes!$L236,T$2),0) + T236</f>
        <v>0</v>
      </c>
      <c r="AG236">
        <f>IF(Ajustes!$G236&gt;0,INDEX($AA$4:$AL$323,Ajustes!$G236,U$2),0)+IF(Ajustes!$H236&gt;0,INDEX($AA$4:$AL$323,Ajustes!$H236,U$2),0)+IF(Ajustes!$I236&gt;0,INDEX($AA$4:$AL$323,Ajustes!$I236,U$2),0)+IF(Ajustes!$J236&gt;0,INDEX($AA$4:$AL$323,Ajustes!$J236,U$2),0)+IF(Ajustes!$K236&gt;0,INDEX($AA$5:$AL$324,Ajustes!$K236,U$2),0)+IF(Ajustes!$L236&gt;0,INDEX($AA$4:$AL$323,Ajustes!$L236,U$2),0) + U236</f>
        <v>0</v>
      </c>
      <c r="AH236">
        <f>IF(Ajustes!$G236&gt;0,INDEX($AA$4:$AL$323,Ajustes!$G236,V$2),0)+IF(Ajustes!$H236&gt;0,INDEX($AA$4:$AL$323,Ajustes!$H236,V$2),0)+IF(Ajustes!$I236&gt;0,INDEX($AA$4:$AL$323,Ajustes!$I236,V$2),0)+IF(Ajustes!$J236&gt;0,INDEX($AA$4:$AL$323,Ajustes!$J236,V$2),0)+IF(Ajustes!$K236&gt;0,INDEX($AA$5:$AL$324,Ajustes!$K236,V$2),0)+IF(Ajustes!$L236&gt;0,INDEX($AA$4:$AL$323,Ajustes!$L236,V$2),0) + V236</f>
        <v>0</v>
      </c>
      <c r="AI236">
        <f>IF(Ajustes!$G236&gt;0,INDEX($AA$4:$AL$323,Ajustes!$G236,W$2),0)+IF(Ajustes!$H236&gt;0,INDEX($AA$4:$AL$323,Ajustes!$H236,W$2),0)+IF(Ajustes!$I236&gt;0,INDEX($AA$4:$AL$323,Ajustes!$I236,W$2),0)+IF(Ajustes!$J236&gt;0,INDEX($AA$4:$AL$323,Ajustes!$J236,W$2),0)+IF(Ajustes!$K236&gt;0,INDEX($AA$5:$AL$324,Ajustes!$K236,W$2),0)+IF(Ajustes!$L236&gt;0,INDEX($AA$4:$AL$323,Ajustes!$L236,W$2),0) + W236</f>
        <v>0</v>
      </c>
      <c r="AJ236">
        <f>IF(Ajustes!$G236&gt;0,INDEX($AA$4:$AL$323,Ajustes!$G236,X$2),0)+IF(Ajustes!$H236&gt;0,INDEX($AA$4:$AL$323,Ajustes!$H236,X$2),0)+IF(Ajustes!$I236&gt;0,INDEX($AA$4:$AL$323,Ajustes!$I236,X$2),0)+IF(Ajustes!$J236&gt;0,INDEX($AA$4:$AL$323,Ajustes!$J236,X$2),0)+IF(Ajustes!$K236&gt;0,INDEX($AA$5:$AL$324,Ajustes!$K236,X$2),0)+IF(Ajustes!$L236&gt;0,INDEX($AA$4:$AL$323,Ajustes!$L236,X$2),0) + X236</f>
        <v>0</v>
      </c>
      <c r="AK236">
        <f>IF(Ajustes!$G236&gt;0,INDEX($AA$4:$AL$323,Ajustes!$G236,Y$2),0)+IF(Ajustes!$H236&gt;0,INDEX($AA$4:$AL$323,Ajustes!$H236,Y$2),0)+IF(Ajustes!$I236&gt;0,INDEX($AA$4:$AL$323,Ajustes!$I236,Y$2),0)+IF(Ajustes!$J236&gt;0,INDEX($AA$4:$AL$323,Ajustes!$J236,Y$2),0)+IF(Ajustes!$K236&gt;0,INDEX($AA$5:$AL$324,Ajustes!$K236,Y$2),0)+IF(Ajustes!$L236&gt;0,INDEX($AA$4:$AL$323,Ajustes!$L236,Y$2),0) + Y236</f>
        <v>0</v>
      </c>
      <c r="AL236">
        <f>IF(Ajustes!$G236&gt;0,INDEX($AA$4:$AL$323,Ajustes!$G236,Z$2),0)+IF(Ajustes!$H236&gt;0,INDEX($AA$4:$AL$323,Ajustes!$H236,Z$2),0)+IF(Ajustes!$I236&gt;0,INDEX($AA$4:$AL$323,Ajustes!$I236,Z$2),0)+IF(Ajustes!$J236&gt;0,INDEX($AA$4:$AL$323,Ajustes!$J236,Z$2),0)+IF(Ajustes!$K236&gt;0,INDEX($AA$5:$AL$324,Ajustes!$K236,Z$2),0)+IF(Ajustes!$L236&gt;0,INDEX($AA$4:$AL$323,Ajustes!$L236,Z$2),0) + Z236</f>
        <v>0</v>
      </c>
      <c r="AM236" s="113">
        <f t="shared" si="47"/>
        <v>0</v>
      </c>
      <c r="AN236" s="113">
        <f t="shared" si="47"/>
        <v>0</v>
      </c>
      <c r="AO236" s="113">
        <f t="shared" si="47"/>
        <v>0</v>
      </c>
      <c r="AP236" s="113">
        <f t="shared" si="47"/>
        <v>0</v>
      </c>
      <c r="AQ236" s="113">
        <f t="shared" si="49"/>
        <v>0</v>
      </c>
      <c r="AR236" s="113">
        <f t="shared" si="48"/>
        <v>0</v>
      </c>
      <c r="AS236" s="113">
        <f t="shared" si="48"/>
        <v>0</v>
      </c>
      <c r="AT236" s="113">
        <f t="shared" si="48"/>
        <v>0</v>
      </c>
      <c r="AU236" s="113">
        <f t="shared" si="48"/>
        <v>0</v>
      </c>
      <c r="AV236" s="113">
        <f t="shared" si="51"/>
        <v>0</v>
      </c>
      <c r="AW236" s="113">
        <f t="shared" si="50"/>
        <v>0</v>
      </c>
      <c r="AX236" s="113">
        <f t="shared" si="50"/>
        <v>0</v>
      </c>
    </row>
    <row r="237" spans="1:50" x14ac:dyDescent="0.25">
      <c r="A237" s="113">
        <v>234</v>
      </c>
      <c r="B237" s="209"/>
      <c r="C237">
        <f>IFERROR(INDEX($BD$7:$BO$35,MATCH(Ajustes!$E$4:$E$323,$BC$7:$BC$35,0),$C$2:$N$2),1)</f>
        <v>1</v>
      </c>
      <c r="D237" s="113">
        <f>IFERROR(INDEX($BD$7:$BO$35,MATCH(Ajustes!$E$4:$E$323,$BC$7:$BC$35,0),$C$2:$N$2),1)</f>
        <v>1</v>
      </c>
      <c r="E237" s="113">
        <f>IFERROR(INDEX($BD$7:$BO$35,MATCH(Ajustes!$E$4:$E$323,$BC$7:$BC$35,0),$C$2:$N$2),1)</f>
        <v>1</v>
      </c>
      <c r="F237" s="113">
        <f>IFERROR(INDEX($BD$7:$BO$35,MATCH(Ajustes!$E$4:$E$323,$BC$7:$BC$35,0),$C$2:$N$2),1)</f>
        <v>1</v>
      </c>
      <c r="G237" s="113">
        <f>IFERROR(INDEX($BD$7:$BO$35,MATCH(Ajustes!$E$4:$E$323,$BC$7:$BC$35,0),$C$2:$N$2),1)</f>
        <v>1</v>
      </c>
      <c r="H237" s="113">
        <f>IFERROR(INDEX($BD$7:$BO$35,MATCH(Ajustes!$E$4:$E$323,$BC$7:$BC$35,0),$C$2:$N$2),1)</f>
        <v>1</v>
      </c>
      <c r="I237" s="113">
        <f>IFERROR(INDEX($BD$7:$BO$35,MATCH(Ajustes!$E$4:$E$323,$BC$7:$BC$35,0),$C$2:$N$2),1)</f>
        <v>1</v>
      </c>
      <c r="J237" s="113">
        <f>IFERROR(INDEX($BD$7:$BO$35,MATCH(Ajustes!$E$4:$E$323,$BC$7:$BC$35,0),$C$2:$N$2),1)</f>
        <v>1</v>
      </c>
      <c r="K237" s="113">
        <f>IFERROR(INDEX($BD$7:$BO$35,MATCH(Ajustes!$E$4:$E$323,$BC$7:$BC$35,0),$C$2:$N$2),1)</f>
        <v>1</v>
      </c>
      <c r="L237" s="113">
        <f>IFERROR(INDEX($BD$7:$BO$35,MATCH(Ajustes!$E$4:$E$323,$BC$7:$BC$35,0),$C$2:$N$2),1)</f>
        <v>1</v>
      </c>
      <c r="M237" s="113">
        <f>IFERROR(INDEX($BD$7:$BO$35,MATCH(Ajustes!$E$4:$E$323,$BC$7:$BC$35,0),$C$2:$N$2),1)</f>
        <v>1</v>
      </c>
      <c r="N237" s="113">
        <f>IFERROR(INDEX($BD$7:$BO$35,MATCH(Ajustes!$E$4:$E$323,$BC$7:$BC$35,0),$C$2:$N$2),1)</f>
        <v>1</v>
      </c>
      <c r="O237">
        <f>C237*Ajustes!AM237</f>
        <v>0</v>
      </c>
      <c r="P237">
        <f>D237*Ajustes!AN237</f>
        <v>0</v>
      </c>
      <c r="Q237">
        <f>E237*Ajustes!AO237</f>
        <v>0</v>
      </c>
      <c r="R237">
        <f>F237*Ajustes!AP237</f>
        <v>0</v>
      </c>
      <c r="S237">
        <f>G237*Ajustes!AQ237</f>
        <v>0</v>
      </c>
      <c r="T237">
        <f>H237*Ajustes!AR237</f>
        <v>0</v>
      </c>
      <c r="U237">
        <f>I237*Ajustes!AS237</f>
        <v>0</v>
      </c>
      <c r="V237">
        <f>J237*Ajustes!AT237</f>
        <v>0</v>
      </c>
      <c r="W237">
        <f>K237*Ajustes!AU237</f>
        <v>0</v>
      </c>
      <c r="X237">
        <f>L237*Ajustes!AV237</f>
        <v>0</v>
      </c>
      <c r="Y237">
        <f>M237*Ajustes!AW237</f>
        <v>0</v>
      </c>
      <c r="Z237">
        <f>N237*Ajustes!AX237</f>
        <v>0</v>
      </c>
      <c r="AA237">
        <f>IF(Ajustes!$G237&gt;0,INDEX($AA$4:$AL$323,Ajustes!$G237,O$2),0)+IF(Ajustes!$H237&gt;0,INDEX($AA$4:$AL$323,Ajustes!$H237,O$2),0)+IF(Ajustes!$I237&gt;0,INDEX($AA$4:$AL$323,Ajustes!$I237,O$2),0)+IF(Ajustes!$J237&gt;0,INDEX($AA$4:$AL$323,Ajustes!$J237,O$2),0)+IF(Ajustes!$K237&gt;0,INDEX($AA$5:$AL$324,Ajustes!$K237,O$2),0)+IF(Ajustes!$L237&gt;0,INDEX($AA$4:$AL$323,Ajustes!$L237,O$2),0) + O237</f>
        <v>0</v>
      </c>
      <c r="AB237">
        <f>IF(Ajustes!$G237&gt;0,INDEX($AA$4:$AL$323,Ajustes!$G237,P$2),0)+IF(Ajustes!$H237&gt;0,INDEX($AA$4:$AL$323,Ajustes!$H237,P$2),0)+IF(Ajustes!$I237&gt;0,INDEX($AA$4:$AL$323,Ajustes!$I237,P$2),0)+IF(Ajustes!$J237&gt;0,INDEX($AA$4:$AL$323,Ajustes!$J237,P$2),0)+IF(Ajustes!$K237&gt;0,INDEX($AA$5:$AL$324,Ajustes!$K237,P$2),0)+IF(Ajustes!$L237&gt;0,INDEX($AA$4:$AL$323,Ajustes!$L237,P$2),0) + P237</f>
        <v>0</v>
      </c>
      <c r="AC237">
        <f>IF(Ajustes!$G237&gt;0,INDEX($AA$4:$AL$323,Ajustes!$G237,Q$2),0)+IF(Ajustes!$H237&gt;0,INDEX($AA$4:$AL$323,Ajustes!$H237,Q$2),0)+IF(Ajustes!$I237&gt;0,INDEX($AA$4:$AL$323,Ajustes!$I237,Q$2),0)+IF(Ajustes!$J237&gt;0,INDEX($AA$4:$AL$323,Ajustes!$J237,Q$2),0)+IF(Ajustes!$K237&gt;0,INDEX($AA$5:$AL$324,Ajustes!$K237,Q$2),0)+IF(Ajustes!$L237&gt;0,INDEX($AA$4:$AL$323,Ajustes!$L237,Q$2),0) + Q237</f>
        <v>0</v>
      </c>
      <c r="AD237">
        <f>IF(Ajustes!$G237&gt;0,INDEX($AA$4:$AL$323,Ajustes!$G237,R$2),0)+IF(Ajustes!$H237&gt;0,INDEX($AA$4:$AL$323,Ajustes!$H237,R$2),0)+IF(Ajustes!$I237&gt;0,INDEX($AA$4:$AL$323,Ajustes!$I237,R$2),0)+IF(Ajustes!$J237&gt;0,INDEX($AA$4:$AL$323,Ajustes!$J237,R$2),0)+IF(Ajustes!$K237&gt;0,INDEX($AA$5:$AL$324,Ajustes!$K237,R$2),0)+IF(Ajustes!$L237&gt;0,INDEX($AA$4:$AL$323,Ajustes!$L237,R$2),0) + R237</f>
        <v>0</v>
      </c>
      <c r="AE237">
        <f>IF(Ajustes!$G237&gt;0,INDEX($AA$4:$AL$323,Ajustes!$G237,S$2),0)+IF(Ajustes!$H237&gt;0,INDEX($AA$4:$AL$323,Ajustes!$H237,S$2),0)+IF(Ajustes!$I237&gt;0,INDEX($AA$4:$AL$323,Ajustes!$I237,S$2),0)+IF(Ajustes!$J237&gt;0,INDEX($AA$4:$AL$323,Ajustes!$J237,S$2),0)+IF(Ajustes!$K237&gt;0,INDEX($AA$5:$AL$324,Ajustes!$K237,S$2),0)+IF(Ajustes!$L237&gt;0,INDEX($AA$4:$AL$323,Ajustes!$L237,S$2),0) + S237</f>
        <v>0</v>
      </c>
      <c r="AF237">
        <f>IF(Ajustes!$G237&gt;0,INDEX($AA$4:$AL$323,Ajustes!$G237,T$2),0)+IF(Ajustes!$H237&gt;0,INDEX($AA$4:$AL$323,Ajustes!$H237,T$2),0)+IF(Ajustes!$I237&gt;0,INDEX($AA$4:$AL$323,Ajustes!$I237,T$2),0)+IF(Ajustes!$J237&gt;0,INDEX($AA$4:$AL$323,Ajustes!$J237,T$2),0)+IF(Ajustes!$K237&gt;0,INDEX($AA$5:$AL$324,Ajustes!$K237,T$2),0)+IF(Ajustes!$L237&gt;0,INDEX($AA$4:$AL$323,Ajustes!$L237,T$2),0) + T237</f>
        <v>0</v>
      </c>
      <c r="AG237">
        <f>IF(Ajustes!$G237&gt;0,INDEX($AA$4:$AL$323,Ajustes!$G237,U$2),0)+IF(Ajustes!$H237&gt;0,INDEX($AA$4:$AL$323,Ajustes!$H237,U$2),0)+IF(Ajustes!$I237&gt;0,INDEX($AA$4:$AL$323,Ajustes!$I237,U$2),0)+IF(Ajustes!$J237&gt;0,INDEX($AA$4:$AL$323,Ajustes!$J237,U$2),0)+IF(Ajustes!$K237&gt;0,INDEX($AA$5:$AL$324,Ajustes!$K237,U$2),0)+IF(Ajustes!$L237&gt;0,INDEX($AA$4:$AL$323,Ajustes!$L237,U$2),0) + U237</f>
        <v>0</v>
      </c>
      <c r="AH237">
        <f>IF(Ajustes!$G237&gt;0,INDEX($AA$4:$AL$323,Ajustes!$G237,V$2),0)+IF(Ajustes!$H237&gt;0,INDEX($AA$4:$AL$323,Ajustes!$H237,V$2),0)+IF(Ajustes!$I237&gt;0,INDEX($AA$4:$AL$323,Ajustes!$I237,V$2),0)+IF(Ajustes!$J237&gt;0,INDEX($AA$4:$AL$323,Ajustes!$J237,V$2),0)+IF(Ajustes!$K237&gt;0,INDEX($AA$5:$AL$324,Ajustes!$K237,V$2),0)+IF(Ajustes!$L237&gt;0,INDEX($AA$4:$AL$323,Ajustes!$L237,V$2),0) + V237</f>
        <v>0</v>
      </c>
      <c r="AI237">
        <f>IF(Ajustes!$G237&gt;0,INDEX($AA$4:$AL$323,Ajustes!$G237,W$2),0)+IF(Ajustes!$H237&gt;0,INDEX($AA$4:$AL$323,Ajustes!$H237,W$2),0)+IF(Ajustes!$I237&gt;0,INDEX($AA$4:$AL$323,Ajustes!$I237,W$2),0)+IF(Ajustes!$J237&gt;0,INDEX($AA$4:$AL$323,Ajustes!$J237,W$2),0)+IF(Ajustes!$K237&gt;0,INDEX($AA$5:$AL$324,Ajustes!$K237,W$2),0)+IF(Ajustes!$L237&gt;0,INDEX($AA$4:$AL$323,Ajustes!$L237,W$2),0) + W237</f>
        <v>0</v>
      </c>
      <c r="AJ237">
        <f>IF(Ajustes!$G237&gt;0,INDEX($AA$4:$AL$323,Ajustes!$G237,X$2),0)+IF(Ajustes!$H237&gt;0,INDEX($AA$4:$AL$323,Ajustes!$H237,X$2),0)+IF(Ajustes!$I237&gt;0,INDEX($AA$4:$AL$323,Ajustes!$I237,X$2),0)+IF(Ajustes!$J237&gt;0,INDEX($AA$4:$AL$323,Ajustes!$J237,X$2),0)+IF(Ajustes!$K237&gt;0,INDEX($AA$5:$AL$324,Ajustes!$K237,X$2),0)+IF(Ajustes!$L237&gt;0,INDEX($AA$4:$AL$323,Ajustes!$L237,X$2),0) + X237</f>
        <v>0</v>
      </c>
      <c r="AK237">
        <f>IF(Ajustes!$G237&gt;0,INDEX($AA$4:$AL$323,Ajustes!$G237,Y$2),0)+IF(Ajustes!$H237&gt;0,INDEX($AA$4:$AL$323,Ajustes!$H237,Y$2),0)+IF(Ajustes!$I237&gt;0,INDEX($AA$4:$AL$323,Ajustes!$I237,Y$2),0)+IF(Ajustes!$J237&gt;0,INDEX($AA$4:$AL$323,Ajustes!$J237,Y$2),0)+IF(Ajustes!$K237&gt;0,INDEX($AA$5:$AL$324,Ajustes!$K237,Y$2),0)+IF(Ajustes!$L237&gt;0,INDEX($AA$4:$AL$323,Ajustes!$L237,Y$2),0) + Y237</f>
        <v>0</v>
      </c>
      <c r="AL237">
        <f>IF(Ajustes!$G237&gt;0,INDEX($AA$4:$AL$323,Ajustes!$G237,Z$2),0)+IF(Ajustes!$H237&gt;0,INDEX($AA$4:$AL$323,Ajustes!$H237,Z$2),0)+IF(Ajustes!$I237&gt;0,INDEX($AA$4:$AL$323,Ajustes!$I237,Z$2),0)+IF(Ajustes!$J237&gt;0,INDEX($AA$4:$AL$323,Ajustes!$J237,Z$2),0)+IF(Ajustes!$K237&gt;0,INDEX($AA$5:$AL$324,Ajustes!$K237,Z$2),0)+IF(Ajustes!$L237&gt;0,INDEX($AA$4:$AL$323,Ajustes!$L237,Z$2),0) + Z237</f>
        <v>0</v>
      </c>
      <c r="AM237" s="113">
        <f t="shared" si="47"/>
        <v>0</v>
      </c>
      <c r="AN237" s="113">
        <f t="shared" si="47"/>
        <v>0</v>
      </c>
      <c r="AO237" s="113">
        <f t="shared" si="47"/>
        <v>0</v>
      </c>
      <c r="AP237" s="113">
        <f t="shared" si="47"/>
        <v>0</v>
      </c>
      <c r="AQ237" s="113">
        <f t="shared" si="49"/>
        <v>0</v>
      </c>
      <c r="AR237" s="113">
        <f t="shared" si="48"/>
        <v>0</v>
      </c>
      <c r="AS237" s="113">
        <f t="shared" si="48"/>
        <v>0</v>
      </c>
      <c r="AT237" s="113">
        <f t="shared" si="48"/>
        <v>0</v>
      </c>
      <c r="AU237" s="113">
        <f t="shared" si="48"/>
        <v>0</v>
      </c>
      <c r="AV237" s="113">
        <f t="shared" si="51"/>
        <v>0</v>
      </c>
      <c r="AW237" s="113">
        <f t="shared" si="50"/>
        <v>0</v>
      </c>
      <c r="AX237" s="113">
        <f t="shared" si="50"/>
        <v>0</v>
      </c>
    </row>
    <row r="238" spans="1:50" x14ac:dyDescent="0.25">
      <c r="A238" s="113">
        <v>235</v>
      </c>
      <c r="B238" s="209"/>
      <c r="C238">
        <f>IFERROR(INDEX($BD$7:$BO$35,MATCH(Ajustes!$E$4:$E$323,$BC$7:$BC$35,0),$C$2:$N$2),1)</f>
        <v>1</v>
      </c>
      <c r="D238" s="113">
        <f>IFERROR(INDEX($BD$7:$BO$35,MATCH(Ajustes!$E$4:$E$323,$BC$7:$BC$35,0),$C$2:$N$2),1)</f>
        <v>1</v>
      </c>
      <c r="E238" s="113">
        <f>IFERROR(INDEX($BD$7:$BO$35,MATCH(Ajustes!$E$4:$E$323,$BC$7:$BC$35,0),$C$2:$N$2),1)</f>
        <v>1</v>
      </c>
      <c r="F238" s="113">
        <f>IFERROR(INDEX($BD$7:$BO$35,MATCH(Ajustes!$E$4:$E$323,$BC$7:$BC$35,0),$C$2:$N$2),1)</f>
        <v>1</v>
      </c>
      <c r="G238" s="113">
        <f>IFERROR(INDEX($BD$7:$BO$35,MATCH(Ajustes!$E$4:$E$323,$BC$7:$BC$35,0),$C$2:$N$2),1)</f>
        <v>1</v>
      </c>
      <c r="H238" s="113">
        <f>IFERROR(INDEX($BD$7:$BO$35,MATCH(Ajustes!$E$4:$E$323,$BC$7:$BC$35,0),$C$2:$N$2),1)</f>
        <v>1</v>
      </c>
      <c r="I238" s="113">
        <f>IFERROR(INDEX($BD$7:$BO$35,MATCH(Ajustes!$E$4:$E$323,$BC$7:$BC$35,0),$C$2:$N$2),1)</f>
        <v>1</v>
      </c>
      <c r="J238" s="113">
        <f>IFERROR(INDEX($BD$7:$BO$35,MATCH(Ajustes!$E$4:$E$323,$BC$7:$BC$35,0),$C$2:$N$2),1)</f>
        <v>1</v>
      </c>
      <c r="K238" s="113">
        <f>IFERROR(INDEX($BD$7:$BO$35,MATCH(Ajustes!$E$4:$E$323,$BC$7:$BC$35,0),$C$2:$N$2),1)</f>
        <v>1</v>
      </c>
      <c r="L238" s="113">
        <f>IFERROR(INDEX($BD$7:$BO$35,MATCH(Ajustes!$E$4:$E$323,$BC$7:$BC$35,0),$C$2:$N$2),1)</f>
        <v>1</v>
      </c>
      <c r="M238" s="113">
        <f>IFERROR(INDEX($BD$7:$BO$35,MATCH(Ajustes!$E$4:$E$323,$BC$7:$BC$35,0),$C$2:$N$2),1)</f>
        <v>1</v>
      </c>
      <c r="N238" s="113">
        <f>IFERROR(INDEX($BD$7:$BO$35,MATCH(Ajustes!$E$4:$E$323,$BC$7:$BC$35,0),$C$2:$N$2),1)</f>
        <v>1</v>
      </c>
      <c r="O238">
        <f>C238*Ajustes!AM238</f>
        <v>0</v>
      </c>
      <c r="P238">
        <f>D238*Ajustes!AN238</f>
        <v>0</v>
      </c>
      <c r="Q238">
        <f>E238*Ajustes!AO238</f>
        <v>0</v>
      </c>
      <c r="R238">
        <f>F238*Ajustes!AP238</f>
        <v>0</v>
      </c>
      <c r="S238">
        <f>G238*Ajustes!AQ238</f>
        <v>0</v>
      </c>
      <c r="T238">
        <f>H238*Ajustes!AR238</f>
        <v>0</v>
      </c>
      <c r="U238">
        <f>I238*Ajustes!AS238</f>
        <v>0</v>
      </c>
      <c r="V238">
        <f>J238*Ajustes!AT238</f>
        <v>0</v>
      </c>
      <c r="W238">
        <f>K238*Ajustes!AU238</f>
        <v>0</v>
      </c>
      <c r="X238">
        <f>L238*Ajustes!AV238</f>
        <v>0</v>
      </c>
      <c r="Y238">
        <f>M238*Ajustes!AW238</f>
        <v>0</v>
      </c>
      <c r="Z238">
        <f>N238*Ajustes!AX238</f>
        <v>0</v>
      </c>
      <c r="AA238">
        <f>IF(Ajustes!$G238&gt;0,INDEX($AA$4:$AL$323,Ajustes!$G238,O$2),0)+IF(Ajustes!$H238&gt;0,INDEX($AA$4:$AL$323,Ajustes!$H238,O$2),0)+IF(Ajustes!$I238&gt;0,INDEX($AA$4:$AL$323,Ajustes!$I238,O$2),0)+IF(Ajustes!$J238&gt;0,INDEX($AA$4:$AL$323,Ajustes!$J238,O$2),0)+IF(Ajustes!$K238&gt;0,INDEX($AA$5:$AL$324,Ajustes!$K238,O$2),0)+IF(Ajustes!$L238&gt;0,INDEX($AA$4:$AL$323,Ajustes!$L238,O$2),0) + O238</f>
        <v>0</v>
      </c>
      <c r="AB238">
        <f>IF(Ajustes!$G238&gt;0,INDEX($AA$4:$AL$323,Ajustes!$G238,P$2),0)+IF(Ajustes!$H238&gt;0,INDEX($AA$4:$AL$323,Ajustes!$H238,P$2),0)+IF(Ajustes!$I238&gt;0,INDEX($AA$4:$AL$323,Ajustes!$I238,P$2),0)+IF(Ajustes!$J238&gt;0,INDEX($AA$4:$AL$323,Ajustes!$J238,P$2),0)+IF(Ajustes!$K238&gt;0,INDEX($AA$5:$AL$324,Ajustes!$K238,P$2),0)+IF(Ajustes!$L238&gt;0,INDEX($AA$4:$AL$323,Ajustes!$L238,P$2),0) + P238</f>
        <v>0</v>
      </c>
      <c r="AC238">
        <f>IF(Ajustes!$G238&gt;0,INDEX($AA$4:$AL$323,Ajustes!$G238,Q$2),0)+IF(Ajustes!$H238&gt;0,INDEX($AA$4:$AL$323,Ajustes!$H238,Q$2),0)+IF(Ajustes!$I238&gt;0,INDEX($AA$4:$AL$323,Ajustes!$I238,Q$2),0)+IF(Ajustes!$J238&gt;0,INDEX($AA$4:$AL$323,Ajustes!$J238,Q$2),0)+IF(Ajustes!$K238&gt;0,INDEX($AA$5:$AL$324,Ajustes!$K238,Q$2),0)+IF(Ajustes!$L238&gt;0,INDEX($AA$4:$AL$323,Ajustes!$L238,Q$2),0) + Q238</f>
        <v>0</v>
      </c>
      <c r="AD238">
        <f>IF(Ajustes!$G238&gt;0,INDEX($AA$4:$AL$323,Ajustes!$G238,R$2),0)+IF(Ajustes!$H238&gt;0,INDEX($AA$4:$AL$323,Ajustes!$H238,R$2),0)+IF(Ajustes!$I238&gt;0,INDEX($AA$4:$AL$323,Ajustes!$I238,R$2),0)+IF(Ajustes!$J238&gt;0,INDEX($AA$4:$AL$323,Ajustes!$J238,R$2),0)+IF(Ajustes!$K238&gt;0,INDEX($AA$5:$AL$324,Ajustes!$K238,R$2),0)+IF(Ajustes!$L238&gt;0,INDEX($AA$4:$AL$323,Ajustes!$L238,R$2),0) + R238</f>
        <v>0</v>
      </c>
      <c r="AE238">
        <f>IF(Ajustes!$G238&gt;0,INDEX($AA$4:$AL$323,Ajustes!$G238,S$2),0)+IF(Ajustes!$H238&gt;0,INDEX($AA$4:$AL$323,Ajustes!$H238,S$2),0)+IF(Ajustes!$I238&gt;0,INDEX($AA$4:$AL$323,Ajustes!$I238,S$2),0)+IF(Ajustes!$J238&gt;0,INDEX($AA$4:$AL$323,Ajustes!$J238,S$2),0)+IF(Ajustes!$K238&gt;0,INDEX($AA$5:$AL$324,Ajustes!$K238,S$2),0)+IF(Ajustes!$L238&gt;0,INDEX($AA$4:$AL$323,Ajustes!$L238,S$2),0) + S238</f>
        <v>0</v>
      </c>
      <c r="AF238">
        <f>IF(Ajustes!$G238&gt;0,INDEX($AA$4:$AL$323,Ajustes!$G238,T$2),0)+IF(Ajustes!$H238&gt;0,INDEX($AA$4:$AL$323,Ajustes!$H238,T$2),0)+IF(Ajustes!$I238&gt;0,INDEX($AA$4:$AL$323,Ajustes!$I238,T$2),0)+IF(Ajustes!$J238&gt;0,INDEX($AA$4:$AL$323,Ajustes!$J238,T$2),0)+IF(Ajustes!$K238&gt;0,INDEX($AA$5:$AL$324,Ajustes!$K238,T$2),0)+IF(Ajustes!$L238&gt;0,INDEX($AA$4:$AL$323,Ajustes!$L238,T$2),0) + T238</f>
        <v>0</v>
      </c>
      <c r="AG238">
        <f>IF(Ajustes!$G238&gt;0,INDEX($AA$4:$AL$323,Ajustes!$G238,U$2),0)+IF(Ajustes!$H238&gt;0,INDEX($AA$4:$AL$323,Ajustes!$H238,U$2),0)+IF(Ajustes!$I238&gt;0,INDEX($AA$4:$AL$323,Ajustes!$I238,U$2),0)+IF(Ajustes!$J238&gt;0,INDEX($AA$4:$AL$323,Ajustes!$J238,U$2),0)+IF(Ajustes!$K238&gt;0,INDEX($AA$5:$AL$324,Ajustes!$K238,U$2),0)+IF(Ajustes!$L238&gt;0,INDEX($AA$4:$AL$323,Ajustes!$L238,U$2),0) + U238</f>
        <v>0</v>
      </c>
      <c r="AH238">
        <f>IF(Ajustes!$G238&gt;0,INDEX($AA$4:$AL$323,Ajustes!$G238,V$2),0)+IF(Ajustes!$H238&gt;0,INDEX($AA$4:$AL$323,Ajustes!$H238,V$2),0)+IF(Ajustes!$I238&gt;0,INDEX($AA$4:$AL$323,Ajustes!$I238,V$2),0)+IF(Ajustes!$J238&gt;0,INDEX($AA$4:$AL$323,Ajustes!$J238,V$2),0)+IF(Ajustes!$K238&gt;0,INDEX($AA$5:$AL$324,Ajustes!$K238,V$2),0)+IF(Ajustes!$L238&gt;0,INDEX($AA$4:$AL$323,Ajustes!$L238,V$2),0) + V238</f>
        <v>0</v>
      </c>
      <c r="AI238">
        <f>IF(Ajustes!$G238&gt;0,INDEX($AA$4:$AL$323,Ajustes!$G238,W$2),0)+IF(Ajustes!$H238&gt;0,INDEX($AA$4:$AL$323,Ajustes!$H238,W$2),0)+IF(Ajustes!$I238&gt;0,INDEX($AA$4:$AL$323,Ajustes!$I238,W$2),0)+IF(Ajustes!$J238&gt;0,INDEX($AA$4:$AL$323,Ajustes!$J238,W$2),0)+IF(Ajustes!$K238&gt;0,INDEX($AA$5:$AL$324,Ajustes!$K238,W$2),0)+IF(Ajustes!$L238&gt;0,INDEX($AA$4:$AL$323,Ajustes!$L238,W$2),0) + W238</f>
        <v>0</v>
      </c>
      <c r="AJ238">
        <f>IF(Ajustes!$G238&gt;0,INDEX($AA$4:$AL$323,Ajustes!$G238,X$2),0)+IF(Ajustes!$H238&gt;0,INDEX($AA$4:$AL$323,Ajustes!$H238,X$2),0)+IF(Ajustes!$I238&gt;0,INDEX($AA$4:$AL$323,Ajustes!$I238,X$2),0)+IF(Ajustes!$J238&gt;0,INDEX($AA$4:$AL$323,Ajustes!$J238,X$2),0)+IF(Ajustes!$K238&gt;0,INDEX($AA$5:$AL$324,Ajustes!$K238,X$2),0)+IF(Ajustes!$L238&gt;0,INDEX($AA$4:$AL$323,Ajustes!$L238,X$2),0) + X238</f>
        <v>0</v>
      </c>
      <c r="AK238">
        <f>IF(Ajustes!$G238&gt;0,INDEX($AA$4:$AL$323,Ajustes!$G238,Y$2),0)+IF(Ajustes!$H238&gt;0,INDEX($AA$4:$AL$323,Ajustes!$H238,Y$2),0)+IF(Ajustes!$I238&gt;0,INDEX($AA$4:$AL$323,Ajustes!$I238,Y$2),0)+IF(Ajustes!$J238&gt;0,INDEX($AA$4:$AL$323,Ajustes!$J238,Y$2),0)+IF(Ajustes!$K238&gt;0,INDEX($AA$5:$AL$324,Ajustes!$K238,Y$2),0)+IF(Ajustes!$L238&gt;0,INDEX($AA$4:$AL$323,Ajustes!$L238,Y$2),0) + Y238</f>
        <v>0</v>
      </c>
      <c r="AL238">
        <f>IF(Ajustes!$G238&gt;0,INDEX($AA$4:$AL$323,Ajustes!$G238,Z$2),0)+IF(Ajustes!$H238&gt;0,INDEX($AA$4:$AL$323,Ajustes!$H238,Z$2),0)+IF(Ajustes!$I238&gt;0,INDEX($AA$4:$AL$323,Ajustes!$I238,Z$2),0)+IF(Ajustes!$J238&gt;0,INDEX($AA$4:$AL$323,Ajustes!$J238,Z$2),0)+IF(Ajustes!$K238&gt;0,INDEX($AA$5:$AL$324,Ajustes!$K238,Z$2),0)+IF(Ajustes!$L238&gt;0,INDEX($AA$4:$AL$323,Ajustes!$L238,Z$2),0) + Z238</f>
        <v>0</v>
      </c>
      <c r="AM238" s="113">
        <f t="shared" si="47"/>
        <v>0</v>
      </c>
      <c r="AN238" s="113">
        <f t="shared" si="47"/>
        <v>0</v>
      </c>
      <c r="AO238" s="113">
        <f t="shared" si="47"/>
        <v>0</v>
      </c>
      <c r="AP238" s="113">
        <f t="shared" si="47"/>
        <v>0</v>
      </c>
      <c r="AQ238" s="113">
        <f t="shared" si="49"/>
        <v>0</v>
      </c>
      <c r="AR238" s="113">
        <f t="shared" si="48"/>
        <v>0</v>
      </c>
      <c r="AS238" s="113">
        <f t="shared" si="48"/>
        <v>0</v>
      </c>
      <c r="AT238" s="113">
        <f t="shared" si="48"/>
        <v>0</v>
      </c>
      <c r="AU238" s="113">
        <f t="shared" si="48"/>
        <v>0</v>
      </c>
      <c r="AV238" s="113">
        <f t="shared" si="51"/>
        <v>0</v>
      </c>
      <c r="AW238" s="113">
        <f t="shared" si="50"/>
        <v>0</v>
      </c>
      <c r="AX238" s="113">
        <f t="shared" si="50"/>
        <v>0</v>
      </c>
    </row>
    <row r="239" spans="1:50" x14ac:dyDescent="0.25">
      <c r="A239" s="113">
        <v>236</v>
      </c>
      <c r="B239" s="209"/>
      <c r="C239">
        <f>IFERROR(INDEX($BD$7:$BO$35,MATCH(Ajustes!$E$4:$E$323,$BC$7:$BC$35,0),$C$2:$N$2),1)</f>
        <v>1</v>
      </c>
      <c r="D239" s="113">
        <f>IFERROR(INDEX($BD$7:$BO$35,MATCH(Ajustes!$E$4:$E$323,$BC$7:$BC$35,0),$C$2:$N$2),1)</f>
        <v>1</v>
      </c>
      <c r="E239" s="113">
        <f>IFERROR(INDEX($BD$7:$BO$35,MATCH(Ajustes!$E$4:$E$323,$BC$7:$BC$35,0),$C$2:$N$2),1)</f>
        <v>1</v>
      </c>
      <c r="F239" s="113">
        <f>IFERROR(INDEX($BD$7:$BO$35,MATCH(Ajustes!$E$4:$E$323,$BC$7:$BC$35,0),$C$2:$N$2),1)</f>
        <v>1</v>
      </c>
      <c r="G239" s="113">
        <f>IFERROR(INDEX($BD$7:$BO$35,MATCH(Ajustes!$E$4:$E$323,$BC$7:$BC$35,0),$C$2:$N$2),1)</f>
        <v>1</v>
      </c>
      <c r="H239" s="113">
        <f>IFERROR(INDEX($BD$7:$BO$35,MATCH(Ajustes!$E$4:$E$323,$BC$7:$BC$35,0),$C$2:$N$2),1)</f>
        <v>1</v>
      </c>
      <c r="I239" s="113">
        <f>IFERROR(INDEX($BD$7:$BO$35,MATCH(Ajustes!$E$4:$E$323,$BC$7:$BC$35,0),$C$2:$N$2),1)</f>
        <v>1</v>
      </c>
      <c r="J239" s="113">
        <f>IFERROR(INDEX($BD$7:$BO$35,MATCH(Ajustes!$E$4:$E$323,$BC$7:$BC$35,0),$C$2:$N$2),1)</f>
        <v>1</v>
      </c>
      <c r="K239" s="113">
        <f>IFERROR(INDEX($BD$7:$BO$35,MATCH(Ajustes!$E$4:$E$323,$BC$7:$BC$35,0),$C$2:$N$2),1)</f>
        <v>1</v>
      </c>
      <c r="L239" s="113">
        <f>IFERROR(INDEX($BD$7:$BO$35,MATCH(Ajustes!$E$4:$E$323,$BC$7:$BC$35,0),$C$2:$N$2),1)</f>
        <v>1</v>
      </c>
      <c r="M239" s="113">
        <f>IFERROR(INDEX($BD$7:$BO$35,MATCH(Ajustes!$E$4:$E$323,$BC$7:$BC$35,0),$C$2:$N$2),1)</f>
        <v>1</v>
      </c>
      <c r="N239" s="113">
        <f>IFERROR(INDEX($BD$7:$BO$35,MATCH(Ajustes!$E$4:$E$323,$BC$7:$BC$35,0),$C$2:$N$2),1)</f>
        <v>1</v>
      </c>
      <c r="O239">
        <f>C239*Ajustes!AM239</f>
        <v>0</v>
      </c>
      <c r="P239">
        <f>D239*Ajustes!AN239</f>
        <v>0</v>
      </c>
      <c r="Q239">
        <f>E239*Ajustes!AO239</f>
        <v>0</v>
      </c>
      <c r="R239">
        <f>F239*Ajustes!AP239</f>
        <v>0</v>
      </c>
      <c r="S239">
        <f>G239*Ajustes!AQ239</f>
        <v>0</v>
      </c>
      <c r="T239">
        <f>H239*Ajustes!AR239</f>
        <v>0</v>
      </c>
      <c r="U239">
        <f>I239*Ajustes!AS239</f>
        <v>0</v>
      </c>
      <c r="V239">
        <f>J239*Ajustes!AT239</f>
        <v>0</v>
      </c>
      <c r="W239">
        <f>K239*Ajustes!AU239</f>
        <v>0</v>
      </c>
      <c r="X239">
        <f>L239*Ajustes!AV239</f>
        <v>0</v>
      </c>
      <c r="Y239">
        <f>M239*Ajustes!AW239</f>
        <v>0</v>
      </c>
      <c r="Z239">
        <f>N239*Ajustes!AX239</f>
        <v>0</v>
      </c>
      <c r="AA239">
        <f>IF(Ajustes!$G239&gt;0,INDEX($AA$4:$AL$323,Ajustes!$G239,O$2),0)+IF(Ajustes!$H239&gt;0,INDEX($AA$4:$AL$323,Ajustes!$H239,O$2),0)+IF(Ajustes!$I239&gt;0,INDEX($AA$4:$AL$323,Ajustes!$I239,O$2),0)+IF(Ajustes!$J239&gt;0,INDEX($AA$4:$AL$323,Ajustes!$J239,O$2),0)+IF(Ajustes!$K239&gt;0,INDEX($AA$5:$AL$324,Ajustes!$K239,O$2),0)+IF(Ajustes!$L239&gt;0,INDEX($AA$4:$AL$323,Ajustes!$L239,O$2),0) + O239</f>
        <v>0</v>
      </c>
      <c r="AB239">
        <f>IF(Ajustes!$G239&gt;0,INDEX($AA$4:$AL$323,Ajustes!$G239,P$2),0)+IF(Ajustes!$H239&gt;0,INDEX($AA$4:$AL$323,Ajustes!$H239,P$2),0)+IF(Ajustes!$I239&gt;0,INDEX($AA$4:$AL$323,Ajustes!$I239,P$2),0)+IF(Ajustes!$J239&gt;0,INDEX($AA$4:$AL$323,Ajustes!$J239,P$2),0)+IF(Ajustes!$K239&gt;0,INDEX($AA$5:$AL$324,Ajustes!$K239,P$2),0)+IF(Ajustes!$L239&gt;0,INDEX($AA$4:$AL$323,Ajustes!$L239,P$2),0) + P239</f>
        <v>0</v>
      </c>
      <c r="AC239">
        <f>IF(Ajustes!$G239&gt;0,INDEX($AA$4:$AL$323,Ajustes!$G239,Q$2),0)+IF(Ajustes!$H239&gt;0,INDEX($AA$4:$AL$323,Ajustes!$H239,Q$2),0)+IF(Ajustes!$I239&gt;0,INDEX($AA$4:$AL$323,Ajustes!$I239,Q$2),0)+IF(Ajustes!$J239&gt;0,INDEX($AA$4:$AL$323,Ajustes!$J239,Q$2),0)+IF(Ajustes!$K239&gt;0,INDEX($AA$5:$AL$324,Ajustes!$K239,Q$2),0)+IF(Ajustes!$L239&gt;0,INDEX($AA$4:$AL$323,Ajustes!$L239,Q$2),0) + Q239</f>
        <v>0</v>
      </c>
      <c r="AD239">
        <f>IF(Ajustes!$G239&gt;0,INDEX($AA$4:$AL$323,Ajustes!$G239,R$2),0)+IF(Ajustes!$H239&gt;0,INDEX($AA$4:$AL$323,Ajustes!$H239,R$2),0)+IF(Ajustes!$I239&gt;0,INDEX($AA$4:$AL$323,Ajustes!$I239,R$2),0)+IF(Ajustes!$J239&gt;0,INDEX($AA$4:$AL$323,Ajustes!$J239,R$2),0)+IF(Ajustes!$K239&gt;0,INDEX($AA$5:$AL$324,Ajustes!$K239,R$2),0)+IF(Ajustes!$L239&gt;0,INDEX($AA$4:$AL$323,Ajustes!$L239,R$2),0) + R239</f>
        <v>0</v>
      </c>
      <c r="AE239">
        <f>IF(Ajustes!$G239&gt;0,INDEX($AA$4:$AL$323,Ajustes!$G239,S$2),0)+IF(Ajustes!$H239&gt;0,INDEX($AA$4:$AL$323,Ajustes!$H239,S$2),0)+IF(Ajustes!$I239&gt;0,INDEX($AA$4:$AL$323,Ajustes!$I239,S$2),0)+IF(Ajustes!$J239&gt;0,INDEX($AA$4:$AL$323,Ajustes!$J239,S$2),0)+IF(Ajustes!$K239&gt;0,INDEX($AA$5:$AL$324,Ajustes!$K239,S$2),0)+IF(Ajustes!$L239&gt;0,INDEX($AA$4:$AL$323,Ajustes!$L239,S$2),0) + S239</f>
        <v>0</v>
      </c>
      <c r="AF239">
        <f>IF(Ajustes!$G239&gt;0,INDEX($AA$4:$AL$323,Ajustes!$G239,T$2),0)+IF(Ajustes!$H239&gt;0,INDEX($AA$4:$AL$323,Ajustes!$H239,T$2),0)+IF(Ajustes!$I239&gt;0,INDEX($AA$4:$AL$323,Ajustes!$I239,T$2),0)+IF(Ajustes!$J239&gt;0,INDEX($AA$4:$AL$323,Ajustes!$J239,T$2),0)+IF(Ajustes!$K239&gt;0,INDEX($AA$5:$AL$324,Ajustes!$K239,T$2),0)+IF(Ajustes!$L239&gt;0,INDEX($AA$4:$AL$323,Ajustes!$L239,T$2),0) + T239</f>
        <v>0</v>
      </c>
      <c r="AG239">
        <f>IF(Ajustes!$G239&gt;0,INDEX($AA$4:$AL$323,Ajustes!$G239,U$2),0)+IF(Ajustes!$H239&gt;0,INDEX($AA$4:$AL$323,Ajustes!$H239,U$2),0)+IF(Ajustes!$I239&gt;0,INDEX($AA$4:$AL$323,Ajustes!$I239,U$2),0)+IF(Ajustes!$J239&gt;0,INDEX($AA$4:$AL$323,Ajustes!$J239,U$2),0)+IF(Ajustes!$K239&gt;0,INDEX($AA$5:$AL$324,Ajustes!$K239,U$2),0)+IF(Ajustes!$L239&gt;0,INDEX($AA$4:$AL$323,Ajustes!$L239,U$2),0) + U239</f>
        <v>0</v>
      </c>
      <c r="AH239">
        <f>IF(Ajustes!$G239&gt;0,INDEX($AA$4:$AL$323,Ajustes!$G239,V$2),0)+IF(Ajustes!$H239&gt;0,INDEX($AA$4:$AL$323,Ajustes!$H239,V$2),0)+IF(Ajustes!$I239&gt;0,INDEX($AA$4:$AL$323,Ajustes!$I239,V$2),0)+IF(Ajustes!$J239&gt;0,INDEX($AA$4:$AL$323,Ajustes!$J239,V$2),0)+IF(Ajustes!$K239&gt;0,INDEX($AA$5:$AL$324,Ajustes!$K239,V$2),0)+IF(Ajustes!$L239&gt;0,INDEX($AA$4:$AL$323,Ajustes!$L239,V$2),0) + V239</f>
        <v>0</v>
      </c>
      <c r="AI239">
        <f>IF(Ajustes!$G239&gt;0,INDEX($AA$4:$AL$323,Ajustes!$G239,W$2),0)+IF(Ajustes!$H239&gt;0,INDEX($AA$4:$AL$323,Ajustes!$H239,W$2),0)+IF(Ajustes!$I239&gt;0,INDEX($AA$4:$AL$323,Ajustes!$I239,W$2),0)+IF(Ajustes!$J239&gt;0,INDEX($AA$4:$AL$323,Ajustes!$J239,W$2),0)+IF(Ajustes!$K239&gt;0,INDEX($AA$5:$AL$324,Ajustes!$K239,W$2),0)+IF(Ajustes!$L239&gt;0,INDEX($AA$4:$AL$323,Ajustes!$L239,W$2),0) + W239</f>
        <v>0</v>
      </c>
      <c r="AJ239">
        <f>IF(Ajustes!$G239&gt;0,INDEX($AA$4:$AL$323,Ajustes!$G239,X$2),0)+IF(Ajustes!$H239&gt;0,INDEX($AA$4:$AL$323,Ajustes!$H239,X$2),0)+IF(Ajustes!$I239&gt;0,INDEX($AA$4:$AL$323,Ajustes!$I239,X$2),0)+IF(Ajustes!$J239&gt;0,INDEX($AA$4:$AL$323,Ajustes!$J239,X$2),0)+IF(Ajustes!$K239&gt;0,INDEX($AA$5:$AL$324,Ajustes!$K239,X$2),0)+IF(Ajustes!$L239&gt;0,INDEX($AA$4:$AL$323,Ajustes!$L239,X$2),0) + X239</f>
        <v>0</v>
      </c>
      <c r="AK239">
        <f>IF(Ajustes!$G239&gt;0,INDEX($AA$4:$AL$323,Ajustes!$G239,Y$2),0)+IF(Ajustes!$H239&gt;0,INDEX($AA$4:$AL$323,Ajustes!$H239,Y$2),0)+IF(Ajustes!$I239&gt;0,INDEX($AA$4:$AL$323,Ajustes!$I239,Y$2),0)+IF(Ajustes!$J239&gt;0,INDEX($AA$4:$AL$323,Ajustes!$J239,Y$2),0)+IF(Ajustes!$K239&gt;0,INDEX($AA$5:$AL$324,Ajustes!$K239,Y$2),0)+IF(Ajustes!$L239&gt;0,INDEX($AA$4:$AL$323,Ajustes!$L239,Y$2),0) + Y239</f>
        <v>0</v>
      </c>
      <c r="AL239">
        <f>IF(Ajustes!$G239&gt;0,INDEX($AA$4:$AL$323,Ajustes!$G239,Z$2),0)+IF(Ajustes!$H239&gt;0,INDEX($AA$4:$AL$323,Ajustes!$H239,Z$2),0)+IF(Ajustes!$I239&gt;0,INDEX($AA$4:$AL$323,Ajustes!$I239,Z$2),0)+IF(Ajustes!$J239&gt;0,INDEX($AA$4:$AL$323,Ajustes!$J239,Z$2),0)+IF(Ajustes!$K239&gt;0,INDEX($AA$5:$AL$324,Ajustes!$K239,Z$2),0)+IF(Ajustes!$L239&gt;0,INDEX($AA$4:$AL$323,Ajustes!$L239,Z$2),0) + Z239</f>
        <v>0</v>
      </c>
      <c r="AM239" s="113">
        <f t="shared" si="47"/>
        <v>0</v>
      </c>
      <c r="AN239" s="113">
        <f t="shared" si="47"/>
        <v>0</v>
      </c>
      <c r="AO239" s="113">
        <f t="shared" si="47"/>
        <v>0</v>
      </c>
      <c r="AP239" s="113">
        <f t="shared" si="47"/>
        <v>0</v>
      </c>
      <c r="AQ239" s="113">
        <f t="shared" si="49"/>
        <v>0</v>
      </c>
      <c r="AR239" s="113">
        <f t="shared" si="48"/>
        <v>0</v>
      </c>
      <c r="AS239" s="113">
        <f t="shared" si="48"/>
        <v>0</v>
      </c>
      <c r="AT239" s="113">
        <f t="shared" si="48"/>
        <v>0</v>
      </c>
      <c r="AU239" s="113">
        <f t="shared" si="48"/>
        <v>0</v>
      </c>
      <c r="AV239" s="113">
        <f t="shared" si="51"/>
        <v>0</v>
      </c>
      <c r="AW239" s="113">
        <f t="shared" si="50"/>
        <v>0</v>
      </c>
      <c r="AX239" s="113">
        <f t="shared" si="50"/>
        <v>0</v>
      </c>
    </row>
    <row r="240" spans="1:50" x14ac:dyDescent="0.25">
      <c r="A240" s="113">
        <v>237</v>
      </c>
      <c r="B240" s="209" t="s">
        <v>82</v>
      </c>
      <c r="C240">
        <f>IFERROR(INDEX($BD$7:$BO$35,MATCH(Ajustes!$E$4:$E$323,$BC$7:$BC$35,0),$C$2:$N$2),1)</f>
        <v>1</v>
      </c>
      <c r="D240" s="113">
        <f>IFERROR(INDEX($BD$7:$BO$35,MATCH(Ajustes!$E$4:$E$323,$BC$7:$BC$35,0),$C$2:$N$2),1)</f>
        <v>1</v>
      </c>
      <c r="E240" s="113">
        <f>IFERROR(INDEX($BD$7:$BO$35,MATCH(Ajustes!$E$4:$E$323,$BC$7:$BC$35,0),$C$2:$N$2),1)</f>
        <v>1</v>
      </c>
      <c r="F240" s="113">
        <f>IFERROR(INDEX($BD$7:$BO$35,MATCH(Ajustes!$E$4:$E$323,$BC$7:$BC$35,0),$C$2:$N$2),1)</f>
        <v>1</v>
      </c>
      <c r="G240" s="113">
        <f>IFERROR(INDEX($BD$7:$BO$35,MATCH(Ajustes!$E$4:$E$323,$BC$7:$BC$35,0),$C$2:$N$2),1)</f>
        <v>1</v>
      </c>
      <c r="H240" s="113">
        <f>IFERROR(INDEX($BD$7:$BO$35,MATCH(Ajustes!$E$4:$E$323,$BC$7:$BC$35,0),$C$2:$N$2),1)</f>
        <v>1</v>
      </c>
      <c r="I240" s="113">
        <f>IFERROR(INDEX($BD$7:$BO$35,MATCH(Ajustes!$E$4:$E$323,$BC$7:$BC$35,0),$C$2:$N$2),1)</f>
        <v>1</v>
      </c>
      <c r="J240" s="113">
        <f>IFERROR(INDEX($BD$7:$BO$35,MATCH(Ajustes!$E$4:$E$323,$BC$7:$BC$35,0),$C$2:$N$2),1)</f>
        <v>1</v>
      </c>
      <c r="K240" s="113">
        <f>IFERROR(INDEX($BD$7:$BO$35,MATCH(Ajustes!$E$4:$E$323,$BC$7:$BC$35,0),$C$2:$N$2),1)</f>
        <v>1</v>
      </c>
      <c r="L240" s="113">
        <f>IFERROR(INDEX($BD$7:$BO$35,MATCH(Ajustes!$E$4:$E$323,$BC$7:$BC$35,0),$C$2:$N$2),1)</f>
        <v>1</v>
      </c>
      <c r="M240" s="113">
        <f>IFERROR(INDEX($BD$7:$BO$35,MATCH(Ajustes!$E$4:$E$323,$BC$7:$BC$35,0),$C$2:$N$2),1)</f>
        <v>1</v>
      </c>
      <c r="N240" s="113">
        <f>IFERROR(INDEX($BD$7:$BO$35,MATCH(Ajustes!$E$4:$E$323,$BC$7:$BC$35,0),$C$2:$N$2),1)</f>
        <v>1</v>
      </c>
      <c r="O240">
        <f>C240*Ajustes!AM240</f>
        <v>575</v>
      </c>
      <c r="P240">
        <f>D240*Ajustes!AN240</f>
        <v>609</v>
      </c>
      <c r="Q240">
        <f>E240*Ajustes!AO240</f>
        <v>511</v>
      </c>
      <c r="R240">
        <f>F240*Ajustes!AP240</f>
        <v>337</v>
      </c>
      <c r="S240">
        <f>G240*Ajustes!AQ240</f>
        <v>267</v>
      </c>
      <c r="T240">
        <f>H240*Ajustes!AR240</f>
        <v>269</v>
      </c>
      <c r="U240">
        <f>I240*Ajustes!AS240</f>
        <v>211</v>
      </c>
      <c r="V240">
        <f>J240*Ajustes!AT240</f>
        <v>178</v>
      </c>
      <c r="W240">
        <f>K240*Ajustes!AU240</f>
        <v>186</v>
      </c>
      <c r="X240">
        <f>L240*Ajustes!AV240</f>
        <v>225</v>
      </c>
      <c r="Y240">
        <f>M240*Ajustes!AW240</f>
        <v>240</v>
      </c>
      <c r="Z240">
        <f>N240*Ajustes!AX240</f>
        <v>382</v>
      </c>
      <c r="AA240">
        <f>IF(Ajustes!$G240&gt;0,INDEX($AA$4:$AL$323,Ajustes!$G240,O$2),0)+IF(Ajustes!$H240&gt;0,INDEX($AA$4:$AL$323,Ajustes!$H240,O$2),0)+IF(Ajustes!$I240&gt;0,INDEX($AA$4:$AL$323,Ajustes!$I240,O$2),0)+IF(Ajustes!$J240&gt;0,INDEX($AA$4:$AL$323,Ajustes!$J240,O$2),0)+IF(Ajustes!$K240&gt;0,INDEX($AA$5:$AL$324,Ajustes!$K240,O$2),0)+IF(Ajustes!$L240&gt;0,INDEX($AA$4:$AL$323,Ajustes!$L240,O$2),0) + O240</f>
        <v>752</v>
      </c>
      <c r="AB240">
        <f>IF(Ajustes!$G240&gt;0,INDEX($AA$4:$AL$323,Ajustes!$G240,P$2),0)+IF(Ajustes!$H240&gt;0,INDEX($AA$4:$AL$323,Ajustes!$H240,P$2),0)+IF(Ajustes!$I240&gt;0,INDEX($AA$4:$AL$323,Ajustes!$I240,P$2),0)+IF(Ajustes!$J240&gt;0,INDEX($AA$4:$AL$323,Ajustes!$J240,P$2),0)+IF(Ajustes!$K240&gt;0,INDEX($AA$5:$AL$324,Ajustes!$K240,P$2),0)+IF(Ajustes!$L240&gt;0,INDEX($AA$4:$AL$323,Ajustes!$L240,P$2),0) + P240</f>
        <v>794</v>
      </c>
      <c r="AC240">
        <f>IF(Ajustes!$G240&gt;0,INDEX($AA$4:$AL$323,Ajustes!$G240,Q$2),0)+IF(Ajustes!$H240&gt;0,INDEX($AA$4:$AL$323,Ajustes!$H240,Q$2),0)+IF(Ajustes!$I240&gt;0,INDEX($AA$4:$AL$323,Ajustes!$I240,Q$2),0)+IF(Ajustes!$J240&gt;0,INDEX($AA$4:$AL$323,Ajustes!$J240,Q$2),0)+IF(Ajustes!$K240&gt;0,INDEX($AA$5:$AL$324,Ajustes!$K240,Q$2),0)+IF(Ajustes!$L240&gt;0,INDEX($AA$4:$AL$323,Ajustes!$L240,Q$2),0) + Q240</f>
        <v>672</v>
      </c>
      <c r="AD240">
        <f>IF(Ajustes!$G240&gt;0,INDEX($AA$4:$AL$323,Ajustes!$G240,R$2),0)+IF(Ajustes!$H240&gt;0,INDEX($AA$4:$AL$323,Ajustes!$H240,R$2),0)+IF(Ajustes!$I240&gt;0,INDEX($AA$4:$AL$323,Ajustes!$I240,R$2),0)+IF(Ajustes!$J240&gt;0,INDEX($AA$4:$AL$323,Ajustes!$J240,R$2),0)+IF(Ajustes!$K240&gt;0,INDEX($AA$5:$AL$324,Ajustes!$K240,R$2),0)+IF(Ajustes!$L240&gt;0,INDEX($AA$4:$AL$323,Ajustes!$L240,R$2),0) + R240</f>
        <v>445</v>
      </c>
      <c r="AE240">
        <f>IF(Ajustes!$G240&gt;0,INDEX($AA$4:$AL$323,Ajustes!$G240,S$2),0)+IF(Ajustes!$H240&gt;0,INDEX($AA$4:$AL$323,Ajustes!$H240,S$2),0)+IF(Ajustes!$I240&gt;0,INDEX($AA$4:$AL$323,Ajustes!$I240,S$2),0)+IF(Ajustes!$J240&gt;0,INDEX($AA$4:$AL$323,Ajustes!$J240,S$2),0)+IF(Ajustes!$K240&gt;0,INDEX($AA$5:$AL$324,Ajustes!$K240,S$2),0)+IF(Ajustes!$L240&gt;0,INDEX($AA$4:$AL$323,Ajustes!$L240,S$2),0) + S240</f>
        <v>350</v>
      </c>
      <c r="AF240">
        <f>IF(Ajustes!$G240&gt;0,INDEX($AA$4:$AL$323,Ajustes!$G240,T$2),0)+IF(Ajustes!$H240&gt;0,INDEX($AA$4:$AL$323,Ajustes!$H240,T$2),0)+IF(Ajustes!$I240&gt;0,INDEX($AA$4:$AL$323,Ajustes!$I240,T$2),0)+IF(Ajustes!$J240&gt;0,INDEX($AA$4:$AL$323,Ajustes!$J240,T$2),0)+IF(Ajustes!$K240&gt;0,INDEX($AA$5:$AL$324,Ajustes!$K240,T$2),0)+IF(Ajustes!$L240&gt;0,INDEX($AA$4:$AL$323,Ajustes!$L240,T$2),0) + T240</f>
        <v>346</v>
      </c>
      <c r="AG240">
        <f>IF(Ajustes!$G240&gt;0,INDEX($AA$4:$AL$323,Ajustes!$G240,U$2),0)+IF(Ajustes!$H240&gt;0,INDEX($AA$4:$AL$323,Ajustes!$H240,U$2),0)+IF(Ajustes!$I240&gt;0,INDEX($AA$4:$AL$323,Ajustes!$I240,U$2),0)+IF(Ajustes!$J240&gt;0,INDEX($AA$4:$AL$323,Ajustes!$J240,U$2),0)+IF(Ajustes!$K240&gt;0,INDEX($AA$5:$AL$324,Ajustes!$K240,U$2),0)+IF(Ajustes!$L240&gt;0,INDEX($AA$4:$AL$323,Ajustes!$L240,U$2),0) + U240</f>
        <v>276</v>
      </c>
      <c r="AH240">
        <f>IF(Ajustes!$G240&gt;0,INDEX($AA$4:$AL$323,Ajustes!$G240,V$2),0)+IF(Ajustes!$H240&gt;0,INDEX($AA$4:$AL$323,Ajustes!$H240,V$2),0)+IF(Ajustes!$I240&gt;0,INDEX($AA$4:$AL$323,Ajustes!$I240,V$2),0)+IF(Ajustes!$J240&gt;0,INDEX($AA$4:$AL$323,Ajustes!$J240,V$2),0)+IF(Ajustes!$K240&gt;0,INDEX($AA$5:$AL$324,Ajustes!$K240,V$2),0)+IF(Ajustes!$L240&gt;0,INDEX($AA$4:$AL$323,Ajustes!$L240,V$2),0) + V240</f>
        <v>233</v>
      </c>
      <c r="AI240">
        <f>IF(Ajustes!$G240&gt;0,INDEX($AA$4:$AL$323,Ajustes!$G240,W$2),0)+IF(Ajustes!$H240&gt;0,INDEX($AA$4:$AL$323,Ajustes!$H240,W$2),0)+IF(Ajustes!$I240&gt;0,INDEX($AA$4:$AL$323,Ajustes!$I240,W$2),0)+IF(Ajustes!$J240&gt;0,INDEX($AA$4:$AL$323,Ajustes!$J240,W$2),0)+IF(Ajustes!$K240&gt;0,INDEX($AA$5:$AL$324,Ajustes!$K240,W$2),0)+IF(Ajustes!$L240&gt;0,INDEX($AA$4:$AL$323,Ajustes!$L240,W$2),0) + W240</f>
        <v>256</v>
      </c>
      <c r="AJ240">
        <f>IF(Ajustes!$G240&gt;0,INDEX($AA$4:$AL$323,Ajustes!$G240,X$2),0)+IF(Ajustes!$H240&gt;0,INDEX($AA$4:$AL$323,Ajustes!$H240,X$2),0)+IF(Ajustes!$I240&gt;0,INDEX($AA$4:$AL$323,Ajustes!$I240,X$2),0)+IF(Ajustes!$J240&gt;0,INDEX($AA$4:$AL$323,Ajustes!$J240,X$2),0)+IF(Ajustes!$K240&gt;0,INDEX($AA$5:$AL$324,Ajustes!$K240,X$2),0)+IF(Ajustes!$L240&gt;0,INDEX($AA$4:$AL$323,Ajustes!$L240,X$2),0) + X240</f>
        <v>316</v>
      </c>
      <c r="AK240">
        <f>IF(Ajustes!$G240&gt;0,INDEX($AA$4:$AL$323,Ajustes!$G240,Y$2),0)+IF(Ajustes!$H240&gt;0,INDEX($AA$4:$AL$323,Ajustes!$H240,Y$2),0)+IF(Ajustes!$I240&gt;0,INDEX($AA$4:$AL$323,Ajustes!$I240,Y$2),0)+IF(Ajustes!$J240&gt;0,INDEX($AA$4:$AL$323,Ajustes!$J240,Y$2),0)+IF(Ajustes!$K240&gt;0,INDEX($AA$5:$AL$324,Ajustes!$K240,Y$2),0)+IF(Ajustes!$L240&gt;0,INDEX($AA$4:$AL$323,Ajustes!$L240,Y$2),0) + Y240</f>
        <v>338</v>
      </c>
      <c r="AL240">
        <f>IF(Ajustes!$G240&gt;0,INDEX($AA$4:$AL$323,Ajustes!$G240,Z$2),0)+IF(Ajustes!$H240&gt;0,INDEX($AA$4:$AL$323,Ajustes!$H240,Z$2),0)+IF(Ajustes!$I240&gt;0,INDEX($AA$4:$AL$323,Ajustes!$I240,Z$2),0)+IF(Ajustes!$J240&gt;0,INDEX($AA$4:$AL$323,Ajustes!$J240,Z$2),0)+IF(Ajustes!$K240&gt;0,INDEX($AA$5:$AL$324,Ajustes!$K240,Z$2),0)+IF(Ajustes!$L240&gt;0,INDEX($AA$4:$AL$323,Ajustes!$L240,Z$2),0) + Z240</f>
        <v>512</v>
      </c>
      <c r="AM240" s="113">
        <f t="shared" si="47"/>
        <v>752</v>
      </c>
      <c r="AN240" s="113">
        <f t="shared" si="47"/>
        <v>794</v>
      </c>
      <c r="AO240" s="113">
        <f t="shared" si="47"/>
        <v>672</v>
      </c>
      <c r="AP240" s="113">
        <f t="shared" si="47"/>
        <v>445</v>
      </c>
      <c r="AQ240" s="113">
        <f t="shared" si="49"/>
        <v>350</v>
      </c>
      <c r="AR240" s="113">
        <f t="shared" si="48"/>
        <v>346</v>
      </c>
      <c r="AS240" s="113">
        <f t="shared" si="48"/>
        <v>276</v>
      </c>
      <c r="AT240" s="113">
        <f t="shared" si="48"/>
        <v>233</v>
      </c>
      <c r="AU240" s="113">
        <f t="shared" si="48"/>
        <v>256</v>
      </c>
      <c r="AV240" s="113">
        <f t="shared" si="51"/>
        <v>316</v>
      </c>
      <c r="AW240" s="113">
        <f t="shared" si="50"/>
        <v>338</v>
      </c>
      <c r="AX240" s="113">
        <f t="shared" si="50"/>
        <v>512</v>
      </c>
    </row>
    <row r="241" spans="1:50" x14ac:dyDescent="0.25">
      <c r="A241" s="113">
        <v>238</v>
      </c>
      <c r="B241" s="209" t="s">
        <v>554</v>
      </c>
      <c r="C241">
        <f>IFERROR(INDEX($BD$7:$BO$35,MATCH(Ajustes!$E$4:$E$323,$BC$7:$BC$35,0),$C$2:$N$2),1)</f>
        <v>1</v>
      </c>
      <c r="D241" s="113">
        <f>IFERROR(INDEX($BD$7:$BO$35,MATCH(Ajustes!$E$4:$E$323,$BC$7:$BC$35,0),$C$2:$N$2),1)</f>
        <v>1</v>
      </c>
      <c r="E241" s="113">
        <f>IFERROR(INDEX($BD$7:$BO$35,MATCH(Ajustes!$E$4:$E$323,$BC$7:$BC$35,0),$C$2:$N$2),1)</f>
        <v>1</v>
      </c>
      <c r="F241" s="113">
        <f>IFERROR(INDEX($BD$7:$BO$35,MATCH(Ajustes!$E$4:$E$323,$BC$7:$BC$35,0),$C$2:$N$2),1)</f>
        <v>1</v>
      </c>
      <c r="G241" s="113">
        <f>IFERROR(INDEX($BD$7:$BO$35,MATCH(Ajustes!$E$4:$E$323,$BC$7:$BC$35,0),$C$2:$N$2),1)</f>
        <v>1</v>
      </c>
      <c r="H241" s="113">
        <f>IFERROR(INDEX($BD$7:$BO$35,MATCH(Ajustes!$E$4:$E$323,$BC$7:$BC$35,0),$C$2:$N$2),1)</f>
        <v>1</v>
      </c>
      <c r="I241" s="113">
        <f>IFERROR(INDEX($BD$7:$BO$35,MATCH(Ajustes!$E$4:$E$323,$BC$7:$BC$35,0),$C$2:$N$2),1)</f>
        <v>1</v>
      </c>
      <c r="J241" s="113">
        <f>IFERROR(INDEX($BD$7:$BO$35,MATCH(Ajustes!$E$4:$E$323,$BC$7:$BC$35,0),$C$2:$N$2),1)</f>
        <v>1</v>
      </c>
      <c r="K241" s="113">
        <f>IFERROR(INDEX($BD$7:$BO$35,MATCH(Ajustes!$E$4:$E$323,$BC$7:$BC$35,0),$C$2:$N$2),1)</f>
        <v>1</v>
      </c>
      <c r="L241" s="113">
        <f>IFERROR(INDEX($BD$7:$BO$35,MATCH(Ajustes!$E$4:$E$323,$BC$7:$BC$35,0),$C$2:$N$2),1)</f>
        <v>1</v>
      </c>
      <c r="M241" s="113">
        <f>IFERROR(INDEX($BD$7:$BO$35,MATCH(Ajustes!$E$4:$E$323,$BC$7:$BC$35,0),$C$2:$N$2),1)</f>
        <v>1</v>
      </c>
      <c r="N241" s="113">
        <f>IFERROR(INDEX($BD$7:$BO$35,MATCH(Ajustes!$E$4:$E$323,$BC$7:$BC$35,0),$C$2:$N$2),1)</f>
        <v>1</v>
      </c>
      <c r="O241">
        <f>C241*Ajustes!AM241</f>
        <v>83</v>
      </c>
      <c r="P241">
        <f>D241*Ajustes!AN241</f>
        <v>91</v>
      </c>
      <c r="Q241">
        <f>E241*Ajustes!AO241</f>
        <v>79</v>
      </c>
      <c r="R241">
        <f>F241*Ajustes!AP241</f>
        <v>56</v>
      </c>
      <c r="S241">
        <f>G241*Ajustes!AQ241</f>
        <v>45</v>
      </c>
      <c r="T241">
        <f>H241*Ajustes!AR241</f>
        <v>44</v>
      </c>
      <c r="U241">
        <f>I241*Ajustes!AS241</f>
        <v>34</v>
      </c>
      <c r="V241">
        <f>J241*Ajustes!AT241</f>
        <v>30</v>
      </c>
      <c r="W241">
        <f>K241*Ajustes!AU241</f>
        <v>31</v>
      </c>
      <c r="X241">
        <f>L241*Ajustes!AV241</f>
        <v>34</v>
      </c>
      <c r="Y241">
        <f>M241*Ajustes!AW241</f>
        <v>38</v>
      </c>
      <c r="Z241">
        <f>N241*Ajustes!AX241</f>
        <v>54</v>
      </c>
      <c r="AA241">
        <f>IF(Ajustes!$G241&gt;0,INDEX($AA$4:$AL$323,Ajustes!$G241,O$2),0)+IF(Ajustes!$H241&gt;0,INDEX($AA$4:$AL$323,Ajustes!$H241,O$2),0)+IF(Ajustes!$I241&gt;0,INDEX($AA$4:$AL$323,Ajustes!$I241,O$2),0)+IF(Ajustes!$J241&gt;0,INDEX($AA$4:$AL$323,Ajustes!$J241,O$2),0)+IF(Ajustes!$K241&gt;0,INDEX($AA$5:$AL$324,Ajustes!$K241,O$2),0)+IF(Ajustes!$L241&gt;0,INDEX($AA$4:$AL$323,Ajustes!$L241,O$2),0) + O241</f>
        <v>835</v>
      </c>
      <c r="AB241">
        <f>IF(Ajustes!$G241&gt;0,INDEX($AA$4:$AL$323,Ajustes!$G241,P$2),0)+IF(Ajustes!$H241&gt;0,INDEX($AA$4:$AL$323,Ajustes!$H241,P$2),0)+IF(Ajustes!$I241&gt;0,INDEX($AA$4:$AL$323,Ajustes!$I241,P$2),0)+IF(Ajustes!$J241&gt;0,INDEX($AA$4:$AL$323,Ajustes!$J241,P$2),0)+IF(Ajustes!$K241&gt;0,INDEX($AA$5:$AL$324,Ajustes!$K241,P$2),0)+IF(Ajustes!$L241&gt;0,INDEX($AA$4:$AL$323,Ajustes!$L241,P$2),0) + P241</f>
        <v>885</v>
      </c>
      <c r="AC241">
        <f>IF(Ajustes!$G241&gt;0,INDEX($AA$4:$AL$323,Ajustes!$G241,Q$2),0)+IF(Ajustes!$H241&gt;0,INDEX($AA$4:$AL$323,Ajustes!$H241,Q$2),0)+IF(Ajustes!$I241&gt;0,INDEX($AA$4:$AL$323,Ajustes!$I241,Q$2),0)+IF(Ajustes!$J241&gt;0,INDEX($AA$4:$AL$323,Ajustes!$J241,Q$2),0)+IF(Ajustes!$K241&gt;0,INDEX($AA$5:$AL$324,Ajustes!$K241,Q$2),0)+IF(Ajustes!$L241&gt;0,INDEX($AA$4:$AL$323,Ajustes!$L241,Q$2),0) + Q241</f>
        <v>751</v>
      </c>
      <c r="AD241">
        <f>IF(Ajustes!$G241&gt;0,INDEX($AA$4:$AL$323,Ajustes!$G241,R$2),0)+IF(Ajustes!$H241&gt;0,INDEX($AA$4:$AL$323,Ajustes!$H241,R$2),0)+IF(Ajustes!$I241&gt;0,INDEX($AA$4:$AL$323,Ajustes!$I241,R$2),0)+IF(Ajustes!$J241&gt;0,INDEX($AA$4:$AL$323,Ajustes!$J241,R$2),0)+IF(Ajustes!$K241&gt;0,INDEX($AA$5:$AL$324,Ajustes!$K241,R$2),0)+IF(Ajustes!$L241&gt;0,INDEX($AA$4:$AL$323,Ajustes!$L241,R$2),0) + R241</f>
        <v>501</v>
      </c>
      <c r="AE241">
        <f>IF(Ajustes!$G241&gt;0,INDEX($AA$4:$AL$323,Ajustes!$G241,S$2),0)+IF(Ajustes!$H241&gt;0,INDEX($AA$4:$AL$323,Ajustes!$H241,S$2),0)+IF(Ajustes!$I241&gt;0,INDEX($AA$4:$AL$323,Ajustes!$I241,S$2),0)+IF(Ajustes!$J241&gt;0,INDEX($AA$4:$AL$323,Ajustes!$J241,S$2),0)+IF(Ajustes!$K241&gt;0,INDEX($AA$5:$AL$324,Ajustes!$K241,S$2),0)+IF(Ajustes!$L241&gt;0,INDEX($AA$4:$AL$323,Ajustes!$L241,S$2),0) + S241</f>
        <v>395</v>
      </c>
      <c r="AF241">
        <f>IF(Ajustes!$G241&gt;0,INDEX($AA$4:$AL$323,Ajustes!$G241,T$2),0)+IF(Ajustes!$H241&gt;0,INDEX($AA$4:$AL$323,Ajustes!$H241,T$2),0)+IF(Ajustes!$I241&gt;0,INDEX($AA$4:$AL$323,Ajustes!$I241,T$2),0)+IF(Ajustes!$J241&gt;0,INDEX($AA$4:$AL$323,Ajustes!$J241,T$2),0)+IF(Ajustes!$K241&gt;0,INDEX($AA$5:$AL$324,Ajustes!$K241,T$2),0)+IF(Ajustes!$L241&gt;0,INDEX($AA$4:$AL$323,Ajustes!$L241,T$2),0) + T241</f>
        <v>390</v>
      </c>
      <c r="AG241">
        <f>IF(Ajustes!$G241&gt;0,INDEX($AA$4:$AL$323,Ajustes!$G241,U$2),0)+IF(Ajustes!$H241&gt;0,INDEX($AA$4:$AL$323,Ajustes!$H241,U$2),0)+IF(Ajustes!$I241&gt;0,INDEX($AA$4:$AL$323,Ajustes!$I241,U$2),0)+IF(Ajustes!$J241&gt;0,INDEX($AA$4:$AL$323,Ajustes!$J241,U$2),0)+IF(Ajustes!$K241&gt;0,INDEX($AA$5:$AL$324,Ajustes!$K241,U$2),0)+IF(Ajustes!$L241&gt;0,INDEX($AA$4:$AL$323,Ajustes!$L241,U$2),0) + U241</f>
        <v>310</v>
      </c>
      <c r="AH241">
        <f>IF(Ajustes!$G241&gt;0,INDEX($AA$4:$AL$323,Ajustes!$G241,V$2),0)+IF(Ajustes!$H241&gt;0,INDEX($AA$4:$AL$323,Ajustes!$H241,V$2),0)+IF(Ajustes!$I241&gt;0,INDEX($AA$4:$AL$323,Ajustes!$I241,V$2),0)+IF(Ajustes!$J241&gt;0,INDEX($AA$4:$AL$323,Ajustes!$J241,V$2),0)+IF(Ajustes!$K241&gt;0,INDEX($AA$5:$AL$324,Ajustes!$K241,V$2),0)+IF(Ajustes!$L241&gt;0,INDEX($AA$4:$AL$323,Ajustes!$L241,V$2),0) + V241</f>
        <v>263</v>
      </c>
      <c r="AI241">
        <f>IF(Ajustes!$G241&gt;0,INDEX($AA$4:$AL$323,Ajustes!$G241,W$2),0)+IF(Ajustes!$H241&gt;0,INDEX($AA$4:$AL$323,Ajustes!$H241,W$2),0)+IF(Ajustes!$I241&gt;0,INDEX($AA$4:$AL$323,Ajustes!$I241,W$2),0)+IF(Ajustes!$J241&gt;0,INDEX($AA$4:$AL$323,Ajustes!$J241,W$2),0)+IF(Ajustes!$K241&gt;0,INDEX($AA$5:$AL$324,Ajustes!$K241,W$2),0)+IF(Ajustes!$L241&gt;0,INDEX($AA$4:$AL$323,Ajustes!$L241,W$2),0) + W241</f>
        <v>287</v>
      </c>
      <c r="AJ241">
        <f>IF(Ajustes!$G241&gt;0,INDEX($AA$4:$AL$323,Ajustes!$G241,X$2),0)+IF(Ajustes!$H241&gt;0,INDEX($AA$4:$AL$323,Ajustes!$H241,X$2),0)+IF(Ajustes!$I241&gt;0,INDEX($AA$4:$AL$323,Ajustes!$I241,X$2),0)+IF(Ajustes!$J241&gt;0,INDEX($AA$4:$AL$323,Ajustes!$J241,X$2),0)+IF(Ajustes!$K241&gt;0,INDEX($AA$5:$AL$324,Ajustes!$K241,X$2),0)+IF(Ajustes!$L241&gt;0,INDEX($AA$4:$AL$323,Ajustes!$L241,X$2),0) + X241</f>
        <v>350</v>
      </c>
      <c r="AK241">
        <f>IF(Ajustes!$G241&gt;0,INDEX($AA$4:$AL$323,Ajustes!$G241,Y$2),0)+IF(Ajustes!$H241&gt;0,INDEX($AA$4:$AL$323,Ajustes!$H241,Y$2),0)+IF(Ajustes!$I241&gt;0,INDEX($AA$4:$AL$323,Ajustes!$I241,Y$2),0)+IF(Ajustes!$J241&gt;0,INDEX($AA$4:$AL$323,Ajustes!$J241,Y$2),0)+IF(Ajustes!$K241&gt;0,INDEX($AA$5:$AL$324,Ajustes!$K241,Y$2),0)+IF(Ajustes!$L241&gt;0,INDEX($AA$4:$AL$323,Ajustes!$L241,Y$2),0) + Y241</f>
        <v>376</v>
      </c>
      <c r="AL241">
        <f>IF(Ajustes!$G241&gt;0,INDEX($AA$4:$AL$323,Ajustes!$G241,Z$2),0)+IF(Ajustes!$H241&gt;0,INDEX($AA$4:$AL$323,Ajustes!$H241,Z$2),0)+IF(Ajustes!$I241&gt;0,INDEX($AA$4:$AL$323,Ajustes!$I241,Z$2),0)+IF(Ajustes!$J241&gt;0,INDEX($AA$4:$AL$323,Ajustes!$J241,Z$2),0)+IF(Ajustes!$K241&gt;0,INDEX($AA$5:$AL$324,Ajustes!$K241,Z$2),0)+IF(Ajustes!$L241&gt;0,INDEX($AA$4:$AL$323,Ajustes!$L241,Z$2),0) + Z241</f>
        <v>566</v>
      </c>
      <c r="AM241" s="113">
        <f t="shared" si="47"/>
        <v>835</v>
      </c>
      <c r="AN241" s="113">
        <f t="shared" si="47"/>
        <v>885</v>
      </c>
      <c r="AO241" s="113">
        <f t="shared" si="47"/>
        <v>751</v>
      </c>
      <c r="AP241" s="113">
        <f t="shared" si="47"/>
        <v>501</v>
      </c>
      <c r="AQ241" s="113">
        <f t="shared" si="49"/>
        <v>395</v>
      </c>
      <c r="AR241" s="113">
        <f t="shared" si="48"/>
        <v>390</v>
      </c>
      <c r="AS241" s="113">
        <f t="shared" si="48"/>
        <v>310</v>
      </c>
      <c r="AT241" s="113">
        <f t="shared" si="48"/>
        <v>263</v>
      </c>
      <c r="AU241" s="113">
        <f t="shared" si="48"/>
        <v>287</v>
      </c>
      <c r="AV241" s="113">
        <f t="shared" si="51"/>
        <v>350</v>
      </c>
      <c r="AW241" s="113">
        <f t="shared" si="50"/>
        <v>376</v>
      </c>
      <c r="AX241" s="113">
        <f t="shared" si="50"/>
        <v>566</v>
      </c>
    </row>
    <row r="242" spans="1:50" x14ac:dyDescent="0.25">
      <c r="A242" s="113">
        <v>239</v>
      </c>
      <c r="B242" s="209" t="s">
        <v>555</v>
      </c>
      <c r="C242">
        <f>IFERROR(INDEX($BD$7:$BO$35,MATCH(Ajustes!$E$4:$E$323,$BC$7:$BC$35,0),$C$2:$N$2),1)</f>
        <v>1</v>
      </c>
      <c r="D242" s="113">
        <f>IFERROR(INDEX($BD$7:$BO$35,MATCH(Ajustes!$E$4:$E$323,$BC$7:$BC$35,0),$C$2:$N$2),1)</f>
        <v>1</v>
      </c>
      <c r="E242" s="113">
        <f>IFERROR(INDEX($BD$7:$BO$35,MATCH(Ajustes!$E$4:$E$323,$BC$7:$BC$35,0),$C$2:$N$2),1)</f>
        <v>1</v>
      </c>
      <c r="F242" s="113">
        <f>IFERROR(INDEX($BD$7:$BO$35,MATCH(Ajustes!$E$4:$E$323,$BC$7:$BC$35,0),$C$2:$N$2),1)</f>
        <v>1</v>
      </c>
      <c r="G242" s="113">
        <f>IFERROR(INDEX($BD$7:$BO$35,MATCH(Ajustes!$E$4:$E$323,$BC$7:$BC$35,0),$C$2:$N$2),1)</f>
        <v>1</v>
      </c>
      <c r="H242" s="113">
        <f>IFERROR(INDEX($BD$7:$BO$35,MATCH(Ajustes!$E$4:$E$323,$BC$7:$BC$35,0),$C$2:$N$2),1)</f>
        <v>1</v>
      </c>
      <c r="I242" s="113">
        <f>IFERROR(INDEX($BD$7:$BO$35,MATCH(Ajustes!$E$4:$E$323,$BC$7:$BC$35,0),$C$2:$N$2),1)</f>
        <v>1</v>
      </c>
      <c r="J242" s="113">
        <f>IFERROR(INDEX($BD$7:$BO$35,MATCH(Ajustes!$E$4:$E$323,$BC$7:$BC$35,0),$C$2:$N$2),1)</f>
        <v>1</v>
      </c>
      <c r="K242" s="113">
        <f>IFERROR(INDEX($BD$7:$BO$35,MATCH(Ajustes!$E$4:$E$323,$BC$7:$BC$35,0),$C$2:$N$2),1)</f>
        <v>1</v>
      </c>
      <c r="L242" s="113">
        <f>IFERROR(INDEX($BD$7:$BO$35,MATCH(Ajustes!$E$4:$E$323,$BC$7:$BC$35,0),$C$2:$N$2),1)</f>
        <v>1</v>
      </c>
      <c r="M242" s="113">
        <f>IFERROR(INDEX($BD$7:$BO$35,MATCH(Ajustes!$E$4:$E$323,$BC$7:$BC$35,0),$C$2:$N$2),1)</f>
        <v>1</v>
      </c>
      <c r="N242" s="113">
        <f>IFERROR(INDEX($BD$7:$BO$35,MATCH(Ajustes!$E$4:$E$323,$BC$7:$BC$35,0),$C$2:$N$2),1)</f>
        <v>1</v>
      </c>
      <c r="O242">
        <f>C242*Ajustes!AM242</f>
        <v>87</v>
      </c>
      <c r="P242">
        <f>D242*Ajustes!AN242</f>
        <v>92</v>
      </c>
      <c r="Q242">
        <f>E242*Ajustes!AO242</f>
        <v>83</v>
      </c>
      <c r="R242">
        <f>F242*Ajustes!AP242</f>
        <v>70</v>
      </c>
      <c r="S242">
        <f>G242*Ajustes!AQ242</f>
        <v>60</v>
      </c>
      <c r="T242">
        <f>H242*Ajustes!AR242</f>
        <v>58</v>
      </c>
      <c r="U242">
        <f>I242*Ajustes!AS242</f>
        <v>52</v>
      </c>
      <c r="V242">
        <f>J242*Ajustes!AT242</f>
        <v>46</v>
      </c>
      <c r="W242">
        <f>K242*Ajustes!AU242</f>
        <v>40</v>
      </c>
      <c r="X242">
        <f>L242*Ajustes!AV242</f>
        <v>39</v>
      </c>
      <c r="Y242">
        <f>M242*Ajustes!AW242</f>
        <v>43</v>
      </c>
      <c r="Z242">
        <f>N242*Ajustes!AX242</f>
        <v>65</v>
      </c>
      <c r="AA242">
        <f>IF(Ajustes!$G242&gt;0,INDEX($AA$4:$AL$323,Ajustes!$G242,O$2),0)+IF(Ajustes!$H242&gt;0,INDEX($AA$4:$AL$323,Ajustes!$H242,O$2),0)+IF(Ajustes!$I242&gt;0,INDEX($AA$4:$AL$323,Ajustes!$I242,O$2),0)+IF(Ajustes!$J242&gt;0,INDEX($AA$4:$AL$323,Ajustes!$J242,O$2),0)+IF(Ajustes!$K242&gt;0,INDEX($AA$5:$AL$324,Ajustes!$K242,O$2),0)+IF(Ajustes!$L242&gt;0,INDEX($AA$4:$AL$323,Ajustes!$L242,O$2),0) + O242</f>
        <v>922</v>
      </c>
      <c r="AB242">
        <f>IF(Ajustes!$G242&gt;0,INDEX($AA$4:$AL$323,Ajustes!$G242,P$2),0)+IF(Ajustes!$H242&gt;0,INDEX($AA$4:$AL$323,Ajustes!$H242,P$2),0)+IF(Ajustes!$I242&gt;0,INDEX($AA$4:$AL$323,Ajustes!$I242,P$2),0)+IF(Ajustes!$J242&gt;0,INDEX($AA$4:$AL$323,Ajustes!$J242,P$2),0)+IF(Ajustes!$K242&gt;0,INDEX($AA$5:$AL$324,Ajustes!$K242,P$2),0)+IF(Ajustes!$L242&gt;0,INDEX($AA$4:$AL$323,Ajustes!$L242,P$2),0) + P242</f>
        <v>977</v>
      </c>
      <c r="AC242">
        <f>IF(Ajustes!$G242&gt;0,INDEX($AA$4:$AL$323,Ajustes!$G242,Q$2),0)+IF(Ajustes!$H242&gt;0,INDEX($AA$4:$AL$323,Ajustes!$H242,Q$2),0)+IF(Ajustes!$I242&gt;0,INDEX($AA$4:$AL$323,Ajustes!$I242,Q$2),0)+IF(Ajustes!$J242&gt;0,INDEX($AA$4:$AL$323,Ajustes!$J242,Q$2),0)+IF(Ajustes!$K242&gt;0,INDEX($AA$5:$AL$324,Ajustes!$K242,Q$2),0)+IF(Ajustes!$L242&gt;0,INDEX($AA$4:$AL$323,Ajustes!$L242,Q$2),0) + Q242</f>
        <v>834</v>
      </c>
      <c r="AD242">
        <f>IF(Ajustes!$G242&gt;0,INDEX($AA$4:$AL$323,Ajustes!$G242,R$2),0)+IF(Ajustes!$H242&gt;0,INDEX($AA$4:$AL$323,Ajustes!$H242,R$2),0)+IF(Ajustes!$I242&gt;0,INDEX($AA$4:$AL$323,Ajustes!$I242,R$2),0)+IF(Ajustes!$J242&gt;0,INDEX($AA$4:$AL$323,Ajustes!$J242,R$2),0)+IF(Ajustes!$K242&gt;0,INDEX($AA$5:$AL$324,Ajustes!$K242,R$2),0)+IF(Ajustes!$L242&gt;0,INDEX($AA$4:$AL$323,Ajustes!$L242,R$2),0) + R242</f>
        <v>571</v>
      </c>
      <c r="AE242">
        <f>IF(Ajustes!$G242&gt;0,INDEX($AA$4:$AL$323,Ajustes!$G242,S$2),0)+IF(Ajustes!$H242&gt;0,INDEX($AA$4:$AL$323,Ajustes!$H242,S$2),0)+IF(Ajustes!$I242&gt;0,INDEX($AA$4:$AL$323,Ajustes!$I242,S$2),0)+IF(Ajustes!$J242&gt;0,INDEX($AA$4:$AL$323,Ajustes!$J242,S$2),0)+IF(Ajustes!$K242&gt;0,INDEX($AA$5:$AL$324,Ajustes!$K242,S$2),0)+IF(Ajustes!$L242&gt;0,INDEX($AA$4:$AL$323,Ajustes!$L242,S$2),0) + S242</f>
        <v>455</v>
      </c>
      <c r="AF242">
        <f>IF(Ajustes!$G242&gt;0,INDEX($AA$4:$AL$323,Ajustes!$G242,T$2),0)+IF(Ajustes!$H242&gt;0,INDEX($AA$4:$AL$323,Ajustes!$H242,T$2),0)+IF(Ajustes!$I242&gt;0,INDEX($AA$4:$AL$323,Ajustes!$I242,T$2),0)+IF(Ajustes!$J242&gt;0,INDEX($AA$4:$AL$323,Ajustes!$J242,T$2),0)+IF(Ajustes!$K242&gt;0,INDEX($AA$5:$AL$324,Ajustes!$K242,T$2),0)+IF(Ajustes!$L242&gt;0,INDEX($AA$4:$AL$323,Ajustes!$L242,T$2),0) + T242</f>
        <v>448</v>
      </c>
      <c r="AG242">
        <f>IF(Ajustes!$G242&gt;0,INDEX($AA$4:$AL$323,Ajustes!$G242,U$2),0)+IF(Ajustes!$H242&gt;0,INDEX($AA$4:$AL$323,Ajustes!$H242,U$2),0)+IF(Ajustes!$I242&gt;0,INDEX($AA$4:$AL$323,Ajustes!$I242,U$2),0)+IF(Ajustes!$J242&gt;0,INDEX($AA$4:$AL$323,Ajustes!$J242,U$2),0)+IF(Ajustes!$K242&gt;0,INDEX($AA$5:$AL$324,Ajustes!$K242,U$2),0)+IF(Ajustes!$L242&gt;0,INDEX($AA$4:$AL$323,Ajustes!$L242,U$2),0) + U242</f>
        <v>362</v>
      </c>
      <c r="AH242">
        <f>IF(Ajustes!$G242&gt;0,INDEX($AA$4:$AL$323,Ajustes!$G242,V$2),0)+IF(Ajustes!$H242&gt;0,INDEX($AA$4:$AL$323,Ajustes!$H242,V$2),0)+IF(Ajustes!$I242&gt;0,INDEX($AA$4:$AL$323,Ajustes!$I242,V$2),0)+IF(Ajustes!$J242&gt;0,INDEX($AA$4:$AL$323,Ajustes!$J242,V$2),0)+IF(Ajustes!$K242&gt;0,INDEX($AA$5:$AL$324,Ajustes!$K242,V$2),0)+IF(Ajustes!$L242&gt;0,INDEX($AA$4:$AL$323,Ajustes!$L242,V$2),0) + V242</f>
        <v>309</v>
      </c>
      <c r="AI242">
        <f>IF(Ajustes!$G242&gt;0,INDEX($AA$4:$AL$323,Ajustes!$G242,W$2),0)+IF(Ajustes!$H242&gt;0,INDEX($AA$4:$AL$323,Ajustes!$H242,W$2),0)+IF(Ajustes!$I242&gt;0,INDEX($AA$4:$AL$323,Ajustes!$I242,W$2),0)+IF(Ajustes!$J242&gt;0,INDEX($AA$4:$AL$323,Ajustes!$J242,W$2),0)+IF(Ajustes!$K242&gt;0,INDEX($AA$5:$AL$324,Ajustes!$K242,W$2),0)+IF(Ajustes!$L242&gt;0,INDEX($AA$4:$AL$323,Ajustes!$L242,W$2),0) + W242</f>
        <v>327</v>
      </c>
      <c r="AJ242">
        <f>IF(Ajustes!$G242&gt;0,INDEX($AA$4:$AL$323,Ajustes!$G242,X$2),0)+IF(Ajustes!$H242&gt;0,INDEX($AA$4:$AL$323,Ajustes!$H242,X$2),0)+IF(Ajustes!$I242&gt;0,INDEX($AA$4:$AL$323,Ajustes!$I242,X$2),0)+IF(Ajustes!$J242&gt;0,INDEX($AA$4:$AL$323,Ajustes!$J242,X$2),0)+IF(Ajustes!$K242&gt;0,INDEX($AA$5:$AL$324,Ajustes!$K242,X$2),0)+IF(Ajustes!$L242&gt;0,INDEX($AA$4:$AL$323,Ajustes!$L242,X$2),0) + X242</f>
        <v>389</v>
      </c>
      <c r="AK242">
        <f>IF(Ajustes!$G242&gt;0,INDEX($AA$4:$AL$323,Ajustes!$G242,Y$2),0)+IF(Ajustes!$H242&gt;0,INDEX($AA$4:$AL$323,Ajustes!$H242,Y$2),0)+IF(Ajustes!$I242&gt;0,INDEX($AA$4:$AL$323,Ajustes!$I242,Y$2),0)+IF(Ajustes!$J242&gt;0,INDEX($AA$4:$AL$323,Ajustes!$J242,Y$2),0)+IF(Ajustes!$K242&gt;0,INDEX($AA$5:$AL$324,Ajustes!$K242,Y$2),0)+IF(Ajustes!$L242&gt;0,INDEX($AA$4:$AL$323,Ajustes!$L242,Y$2),0) + Y242</f>
        <v>419</v>
      </c>
      <c r="AL242">
        <f>IF(Ajustes!$G242&gt;0,INDEX($AA$4:$AL$323,Ajustes!$G242,Z$2),0)+IF(Ajustes!$H242&gt;0,INDEX($AA$4:$AL$323,Ajustes!$H242,Z$2),0)+IF(Ajustes!$I242&gt;0,INDEX($AA$4:$AL$323,Ajustes!$I242,Z$2),0)+IF(Ajustes!$J242&gt;0,INDEX($AA$4:$AL$323,Ajustes!$J242,Z$2),0)+IF(Ajustes!$K242&gt;0,INDEX($AA$5:$AL$324,Ajustes!$K242,Z$2),0)+IF(Ajustes!$L242&gt;0,INDEX($AA$4:$AL$323,Ajustes!$L242,Z$2),0) + Z242</f>
        <v>631</v>
      </c>
      <c r="AM242" s="113">
        <f t="shared" si="47"/>
        <v>922</v>
      </c>
      <c r="AN242" s="113">
        <f t="shared" si="47"/>
        <v>977</v>
      </c>
      <c r="AO242" s="113">
        <f t="shared" si="47"/>
        <v>834</v>
      </c>
      <c r="AP242" s="113">
        <f t="shared" si="47"/>
        <v>571</v>
      </c>
      <c r="AQ242" s="113">
        <f t="shared" si="49"/>
        <v>455</v>
      </c>
      <c r="AR242" s="113">
        <f t="shared" si="48"/>
        <v>448</v>
      </c>
      <c r="AS242" s="113">
        <f t="shared" si="48"/>
        <v>362</v>
      </c>
      <c r="AT242" s="113">
        <f t="shared" si="48"/>
        <v>309</v>
      </c>
      <c r="AU242" s="113">
        <f t="shared" si="48"/>
        <v>327</v>
      </c>
      <c r="AV242" s="113">
        <f t="shared" si="51"/>
        <v>389</v>
      </c>
      <c r="AW242" s="113">
        <f t="shared" si="50"/>
        <v>419</v>
      </c>
      <c r="AX242" s="113">
        <f t="shared" si="50"/>
        <v>631</v>
      </c>
    </row>
    <row r="243" spans="1:50" x14ac:dyDescent="0.25">
      <c r="A243" s="113">
        <v>240</v>
      </c>
      <c r="B243" s="209" t="s">
        <v>556</v>
      </c>
      <c r="C243">
        <f>IFERROR(INDEX($BD$7:$BO$35,MATCH(Ajustes!$E$4:$E$323,$BC$7:$BC$35,0),$C$2:$N$2),1)</f>
        <v>1</v>
      </c>
      <c r="D243" s="113">
        <f>IFERROR(INDEX($BD$7:$BO$35,MATCH(Ajustes!$E$4:$E$323,$BC$7:$BC$35,0),$C$2:$N$2),1)</f>
        <v>1</v>
      </c>
      <c r="E243" s="113">
        <f>IFERROR(INDEX($BD$7:$BO$35,MATCH(Ajustes!$E$4:$E$323,$BC$7:$BC$35,0),$C$2:$N$2),1)</f>
        <v>1</v>
      </c>
      <c r="F243" s="113">
        <f>IFERROR(INDEX($BD$7:$BO$35,MATCH(Ajustes!$E$4:$E$323,$BC$7:$BC$35,0),$C$2:$N$2),1)</f>
        <v>1</v>
      </c>
      <c r="G243" s="113">
        <f>IFERROR(INDEX($BD$7:$BO$35,MATCH(Ajustes!$E$4:$E$323,$BC$7:$BC$35,0),$C$2:$N$2),1)</f>
        <v>1</v>
      </c>
      <c r="H243" s="113">
        <f>IFERROR(INDEX($BD$7:$BO$35,MATCH(Ajustes!$E$4:$E$323,$BC$7:$BC$35,0),$C$2:$N$2),1)</f>
        <v>1</v>
      </c>
      <c r="I243" s="113">
        <f>IFERROR(INDEX($BD$7:$BO$35,MATCH(Ajustes!$E$4:$E$323,$BC$7:$BC$35,0),$C$2:$N$2),1)</f>
        <v>1</v>
      </c>
      <c r="J243" s="113">
        <f>IFERROR(INDEX($BD$7:$BO$35,MATCH(Ajustes!$E$4:$E$323,$BC$7:$BC$35,0),$C$2:$N$2),1)</f>
        <v>1</v>
      </c>
      <c r="K243" s="113">
        <f>IFERROR(INDEX($BD$7:$BO$35,MATCH(Ajustes!$E$4:$E$323,$BC$7:$BC$35,0),$C$2:$N$2),1)</f>
        <v>1</v>
      </c>
      <c r="L243" s="113">
        <f>IFERROR(INDEX($BD$7:$BO$35,MATCH(Ajustes!$E$4:$E$323,$BC$7:$BC$35,0),$C$2:$N$2),1)</f>
        <v>1</v>
      </c>
      <c r="M243" s="113">
        <f>IFERROR(INDEX($BD$7:$BO$35,MATCH(Ajustes!$E$4:$E$323,$BC$7:$BC$35,0),$C$2:$N$2),1)</f>
        <v>1</v>
      </c>
      <c r="N243" s="113">
        <f>IFERROR(INDEX($BD$7:$BO$35,MATCH(Ajustes!$E$4:$E$323,$BC$7:$BC$35,0),$C$2:$N$2),1)</f>
        <v>1</v>
      </c>
      <c r="O243">
        <f>C243*Ajustes!AM243</f>
        <v>249</v>
      </c>
      <c r="P243">
        <f>D243*Ajustes!AN243</f>
        <v>267</v>
      </c>
      <c r="Q243">
        <f>E243*Ajustes!AO243</f>
        <v>240</v>
      </c>
      <c r="R243">
        <f>F243*Ajustes!AP243</f>
        <v>162</v>
      </c>
      <c r="S243">
        <f>G243*Ajustes!AQ243</f>
        <v>127</v>
      </c>
      <c r="T243">
        <f>H243*Ajustes!AR243</f>
        <v>121</v>
      </c>
      <c r="U243">
        <f>I243*Ajustes!AS243</f>
        <v>104</v>
      </c>
      <c r="V243">
        <f>J243*Ajustes!AT243</f>
        <v>94</v>
      </c>
      <c r="W243">
        <f>K243*Ajustes!AU243</f>
        <v>103</v>
      </c>
      <c r="X243">
        <f>L243*Ajustes!AV243</f>
        <v>117</v>
      </c>
      <c r="Y243">
        <f>M243*Ajustes!AW243</f>
        <v>121</v>
      </c>
      <c r="Z243">
        <f>N243*Ajustes!AX243</f>
        <v>175</v>
      </c>
      <c r="AA243">
        <f>IF(Ajustes!$G243&gt;0,INDEX($AA$4:$AL$323,Ajustes!$G243,O$2),0)+IF(Ajustes!$H243&gt;0,INDEX($AA$4:$AL$323,Ajustes!$H243,O$2),0)+IF(Ajustes!$I243&gt;0,INDEX($AA$4:$AL$323,Ajustes!$I243,O$2),0)+IF(Ajustes!$J243&gt;0,INDEX($AA$4:$AL$323,Ajustes!$J243,O$2),0)+IF(Ajustes!$K243&gt;0,INDEX($AA$5:$AL$324,Ajustes!$K243,O$2),0)+IF(Ajustes!$L243&gt;0,INDEX($AA$4:$AL$323,Ajustes!$L243,O$2),0) + O243</f>
        <v>1171</v>
      </c>
      <c r="AB243">
        <f>IF(Ajustes!$G243&gt;0,INDEX($AA$4:$AL$323,Ajustes!$G243,P$2),0)+IF(Ajustes!$H243&gt;0,INDEX($AA$4:$AL$323,Ajustes!$H243,P$2),0)+IF(Ajustes!$I243&gt;0,INDEX($AA$4:$AL$323,Ajustes!$I243,P$2),0)+IF(Ajustes!$J243&gt;0,INDEX($AA$4:$AL$323,Ajustes!$J243,P$2),0)+IF(Ajustes!$K243&gt;0,INDEX($AA$5:$AL$324,Ajustes!$K243,P$2),0)+IF(Ajustes!$L243&gt;0,INDEX($AA$4:$AL$323,Ajustes!$L243,P$2),0) + P243</f>
        <v>1244</v>
      </c>
      <c r="AC243">
        <f>IF(Ajustes!$G243&gt;0,INDEX($AA$4:$AL$323,Ajustes!$G243,Q$2),0)+IF(Ajustes!$H243&gt;0,INDEX($AA$4:$AL$323,Ajustes!$H243,Q$2),0)+IF(Ajustes!$I243&gt;0,INDEX($AA$4:$AL$323,Ajustes!$I243,Q$2),0)+IF(Ajustes!$J243&gt;0,INDEX($AA$4:$AL$323,Ajustes!$J243,Q$2),0)+IF(Ajustes!$K243&gt;0,INDEX($AA$5:$AL$324,Ajustes!$K243,Q$2),0)+IF(Ajustes!$L243&gt;0,INDEX($AA$4:$AL$323,Ajustes!$L243,Q$2),0) + Q243</f>
        <v>1074</v>
      </c>
      <c r="AD243">
        <f>IF(Ajustes!$G243&gt;0,INDEX($AA$4:$AL$323,Ajustes!$G243,R$2),0)+IF(Ajustes!$H243&gt;0,INDEX($AA$4:$AL$323,Ajustes!$H243,R$2),0)+IF(Ajustes!$I243&gt;0,INDEX($AA$4:$AL$323,Ajustes!$I243,R$2),0)+IF(Ajustes!$J243&gt;0,INDEX($AA$4:$AL$323,Ajustes!$J243,R$2),0)+IF(Ajustes!$K243&gt;0,INDEX($AA$5:$AL$324,Ajustes!$K243,R$2),0)+IF(Ajustes!$L243&gt;0,INDEX($AA$4:$AL$323,Ajustes!$L243,R$2),0) + R243</f>
        <v>733</v>
      </c>
      <c r="AE243">
        <f>IF(Ajustes!$G243&gt;0,INDEX($AA$4:$AL$323,Ajustes!$G243,S$2),0)+IF(Ajustes!$H243&gt;0,INDEX($AA$4:$AL$323,Ajustes!$H243,S$2),0)+IF(Ajustes!$I243&gt;0,INDEX($AA$4:$AL$323,Ajustes!$I243,S$2),0)+IF(Ajustes!$J243&gt;0,INDEX($AA$4:$AL$323,Ajustes!$J243,S$2),0)+IF(Ajustes!$K243&gt;0,INDEX($AA$5:$AL$324,Ajustes!$K243,S$2),0)+IF(Ajustes!$L243&gt;0,INDEX($AA$4:$AL$323,Ajustes!$L243,S$2),0) + S243</f>
        <v>582</v>
      </c>
      <c r="AF243">
        <f>IF(Ajustes!$G243&gt;0,INDEX($AA$4:$AL$323,Ajustes!$G243,T$2),0)+IF(Ajustes!$H243&gt;0,INDEX($AA$4:$AL$323,Ajustes!$H243,T$2),0)+IF(Ajustes!$I243&gt;0,INDEX($AA$4:$AL$323,Ajustes!$I243,T$2),0)+IF(Ajustes!$J243&gt;0,INDEX($AA$4:$AL$323,Ajustes!$J243,T$2),0)+IF(Ajustes!$K243&gt;0,INDEX($AA$5:$AL$324,Ajustes!$K243,T$2),0)+IF(Ajustes!$L243&gt;0,INDEX($AA$4:$AL$323,Ajustes!$L243,T$2),0) + T243</f>
        <v>569</v>
      </c>
      <c r="AG243">
        <f>IF(Ajustes!$G243&gt;0,INDEX($AA$4:$AL$323,Ajustes!$G243,U$2),0)+IF(Ajustes!$H243&gt;0,INDEX($AA$4:$AL$323,Ajustes!$H243,U$2),0)+IF(Ajustes!$I243&gt;0,INDEX($AA$4:$AL$323,Ajustes!$I243,U$2),0)+IF(Ajustes!$J243&gt;0,INDEX($AA$4:$AL$323,Ajustes!$J243,U$2),0)+IF(Ajustes!$K243&gt;0,INDEX($AA$5:$AL$324,Ajustes!$K243,U$2),0)+IF(Ajustes!$L243&gt;0,INDEX($AA$4:$AL$323,Ajustes!$L243,U$2),0) + U243</f>
        <v>466</v>
      </c>
      <c r="AH243">
        <f>IF(Ajustes!$G243&gt;0,INDEX($AA$4:$AL$323,Ajustes!$G243,V$2),0)+IF(Ajustes!$H243&gt;0,INDEX($AA$4:$AL$323,Ajustes!$H243,V$2),0)+IF(Ajustes!$I243&gt;0,INDEX($AA$4:$AL$323,Ajustes!$I243,V$2),0)+IF(Ajustes!$J243&gt;0,INDEX($AA$4:$AL$323,Ajustes!$J243,V$2),0)+IF(Ajustes!$K243&gt;0,INDEX($AA$5:$AL$324,Ajustes!$K243,V$2),0)+IF(Ajustes!$L243&gt;0,INDEX($AA$4:$AL$323,Ajustes!$L243,V$2),0) + V243</f>
        <v>403</v>
      </c>
      <c r="AI243">
        <f>IF(Ajustes!$G243&gt;0,INDEX($AA$4:$AL$323,Ajustes!$G243,W$2),0)+IF(Ajustes!$H243&gt;0,INDEX($AA$4:$AL$323,Ajustes!$H243,W$2),0)+IF(Ajustes!$I243&gt;0,INDEX($AA$4:$AL$323,Ajustes!$I243,W$2),0)+IF(Ajustes!$J243&gt;0,INDEX($AA$4:$AL$323,Ajustes!$J243,W$2),0)+IF(Ajustes!$K243&gt;0,INDEX($AA$5:$AL$324,Ajustes!$K243,W$2),0)+IF(Ajustes!$L243&gt;0,INDEX($AA$4:$AL$323,Ajustes!$L243,W$2),0) + W243</f>
        <v>430</v>
      </c>
      <c r="AJ243">
        <f>IF(Ajustes!$G243&gt;0,INDEX($AA$4:$AL$323,Ajustes!$G243,X$2),0)+IF(Ajustes!$H243&gt;0,INDEX($AA$4:$AL$323,Ajustes!$H243,X$2),0)+IF(Ajustes!$I243&gt;0,INDEX($AA$4:$AL$323,Ajustes!$I243,X$2),0)+IF(Ajustes!$J243&gt;0,INDEX($AA$4:$AL$323,Ajustes!$J243,X$2),0)+IF(Ajustes!$K243&gt;0,INDEX($AA$5:$AL$324,Ajustes!$K243,X$2),0)+IF(Ajustes!$L243&gt;0,INDEX($AA$4:$AL$323,Ajustes!$L243,X$2),0) + X243</f>
        <v>506</v>
      </c>
      <c r="AK243">
        <f>IF(Ajustes!$G243&gt;0,INDEX($AA$4:$AL$323,Ajustes!$G243,Y$2),0)+IF(Ajustes!$H243&gt;0,INDEX($AA$4:$AL$323,Ajustes!$H243,Y$2),0)+IF(Ajustes!$I243&gt;0,INDEX($AA$4:$AL$323,Ajustes!$I243,Y$2),0)+IF(Ajustes!$J243&gt;0,INDEX($AA$4:$AL$323,Ajustes!$J243,Y$2),0)+IF(Ajustes!$K243&gt;0,INDEX($AA$5:$AL$324,Ajustes!$K243,Y$2),0)+IF(Ajustes!$L243&gt;0,INDEX($AA$4:$AL$323,Ajustes!$L243,Y$2),0) + Y243</f>
        <v>540</v>
      </c>
      <c r="AL243">
        <f>IF(Ajustes!$G243&gt;0,INDEX($AA$4:$AL$323,Ajustes!$G243,Z$2),0)+IF(Ajustes!$H243&gt;0,INDEX($AA$4:$AL$323,Ajustes!$H243,Z$2),0)+IF(Ajustes!$I243&gt;0,INDEX($AA$4:$AL$323,Ajustes!$I243,Z$2),0)+IF(Ajustes!$J243&gt;0,INDEX($AA$4:$AL$323,Ajustes!$J243,Z$2),0)+IF(Ajustes!$K243&gt;0,INDEX($AA$5:$AL$324,Ajustes!$K243,Z$2),0)+IF(Ajustes!$L243&gt;0,INDEX($AA$4:$AL$323,Ajustes!$L243,Z$2),0) + Z243</f>
        <v>806</v>
      </c>
      <c r="AM243" s="113">
        <f t="shared" si="47"/>
        <v>1171</v>
      </c>
      <c r="AN243" s="113">
        <f t="shared" si="47"/>
        <v>1244</v>
      </c>
      <c r="AO243" s="113">
        <f t="shared" si="47"/>
        <v>1074</v>
      </c>
      <c r="AP243" s="113">
        <f t="shared" si="47"/>
        <v>733</v>
      </c>
      <c r="AQ243" s="113">
        <f t="shared" si="49"/>
        <v>582</v>
      </c>
      <c r="AR243" s="113">
        <f t="shared" si="48"/>
        <v>569</v>
      </c>
      <c r="AS243" s="113">
        <f t="shared" si="48"/>
        <v>466</v>
      </c>
      <c r="AT243" s="113">
        <f t="shared" si="48"/>
        <v>403</v>
      </c>
      <c r="AU243" s="113">
        <f t="shared" si="48"/>
        <v>430</v>
      </c>
      <c r="AV243" s="113">
        <f t="shared" si="51"/>
        <v>506</v>
      </c>
      <c r="AW243" s="113">
        <f t="shared" si="50"/>
        <v>540</v>
      </c>
      <c r="AX243" s="113">
        <f t="shared" si="50"/>
        <v>806</v>
      </c>
    </row>
    <row r="244" spans="1:50" x14ac:dyDescent="0.25">
      <c r="A244" s="113">
        <v>241</v>
      </c>
      <c r="B244" s="209" t="s">
        <v>644</v>
      </c>
      <c r="C244">
        <f>IFERROR(INDEX($BD$7:$BO$35,MATCH(Ajustes!$E$4:$E$323,$BC$7:$BC$35,0),$C$2:$N$2),1)</f>
        <v>1</v>
      </c>
      <c r="D244" s="113">
        <f>IFERROR(INDEX($BD$7:$BO$35,MATCH(Ajustes!$E$4:$E$323,$BC$7:$BC$35,0),$C$2:$N$2),1)</f>
        <v>1</v>
      </c>
      <c r="E244" s="113">
        <f>IFERROR(INDEX($BD$7:$BO$35,MATCH(Ajustes!$E$4:$E$323,$BC$7:$BC$35,0),$C$2:$N$2),1)</f>
        <v>1</v>
      </c>
      <c r="F244" s="113">
        <f>IFERROR(INDEX($BD$7:$BO$35,MATCH(Ajustes!$E$4:$E$323,$BC$7:$BC$35,0),$C$2:$N$2),1)</f>
        <v>1</v>
      </c>
      <c r="G244" s="113">
        <f>IFERROR(INDEX($BD$7:$BO$35,MATCH(Ajustes!$E$4:$E$323,$BC$7:$BC$35,0),$C$2:$N$2),1)</f>
        <v>1</v>
      </c>
      <c r="H244" s="113">
        <f>IFERROR(INDEX($BD$7:$BO$35,MATCH(Ajustes!$E$4:$E$323,$BC$7:$BC$35,0),$C$2:$N$2),1)</f>
        <v>1</v>
      </c>
      <c r="I244" s="113">
        <f>IFERROR(INDEX($BD$7:$BO$35,MATCH(Ajustes!$E$4:$E$323,$BC$7:$BC$35,0),$C$2:$N$2),1)</f>
        <v>1</v>
      </c>
      <c r="J244" s="113">
        <f>IFERROR(INDEX($BD$7:$BO$35,MATCH(Ajustes!$E$4:$E$323,$BC$7:$BC$35,0),$C$2:$N$2),1)</f>
        <v>1</v>
      </c>
      <c r="K244" s="113">
        <f>IFERROR(INDEX($BD$7:$BO$35,MATCH(Ajustes!$E$4:$E$323,$BC$7:$BC$35,0),$C$2:$N$2),1)</f>
        <v>1</v>
      </c>
      <c r="L244" s="113">
        <f>IFERROR(INDEX($BD$7:$BO$35,MATCH(Ajustes!$E$4:$E$323,$BC$7:$BC$35,0),$C$2:$N$2),1)</f>
        <v>1</v>
      </c>
      <c r="M244" s="113">
        <f>IFERROR(INDEX($BD$7:$BO$35,MATCH(Ajustes!$E$4:$E$323,$BC$7:$BC$35,0),$C$2:$N$2),1)</f>
        <v>1</v>
      </c>
      <c r="N244" s="113">
        <f>IFERROR(INDEX($BD$7:$BO$35,MATCH(Ajustes!$E$4:$E$323,$BC$7:$BC$35,0),$C$2:$N$2),1)</f>
        <v>1</v>
      </c>
      <c r="O244">
        <f>C244*Ajustes!AM244</f>
        <v>22</v>
      </c>
      <c r="P244">
        <f>D244*Ajustes!AN244</f>
        <v>23</v>
      </c>
      <c r="Q244">
        <f>E244*Ajustes!AO244</f>
        <v>23</v>
      </c>
      <c r="R244">
        <f>F244*Ajustes!AP244</f>
        <v>20</v>
      </c>
      <c r="S244">
        <f>G244*Ajustes!AQ244</f>
        <v>15</v>
      </c>
      <c r="T244">
        <f>H244*Ajustes!AR244</f>
        <v>13</v>
      </c>
      <c r="U244">
        <f>I244*Ajustes!AS244</f>
        <v>12</v>
      </c>
      <c r="V244">
        <f>J244*Ajustes!AT244</f>
        <v>10</v>
      </c>
      <c r="W244">
        <f>K244*Ajustes!AU244</f>
        <v>11</v>
      </c>
      <c r="X244">
        <f>L244*Ajustes!AV244</f>
        <v>12</v>
      </c>
      <c r="Y244">
        <f>M244*Ajustes!AW244</f>
        <v>15</v>
      </c>
      <c r="Z244">
        <f>N244*Ajustes!AX244</f>
        <v>18</v>
      </c>
      <c r="AA244">
        <f>IF(Ajustes!$G244&gt;0,INDEX($AA$4:$AL$323,Ajustes!$G244,O$2),0)+IF(Ajustes!$H244&gt;0,INDEX($AA$4:$AL$323,Ajustes!$H244,O$2),0)+IF(Ajustes!$I244&gt;0,INDEX($AA$4:$AL$323,Ajustes!$I244,O$2),0)+IF(Ajustes!$J244&gt;0,INDEX($AA$4:$AL$323,Ajustes!$J244,O$2),0)+IF(Ajustes!$K244&gt;0,INDEX($AA$5:$AL$324,Ajustes!$K244,O$2),0)+IF(Ajustes!$L244&gt;0,INDEX($AA$4:$AL$323,Ajustes!$L244,O$2),0) + O244</f>
        <v>265</v>
      </c>
      <c r="AB244">
        <f>IF(Ajustes!$G244&gt;0,INDEX($AA$4:$AL$323,Ajustes!$G244,P$2),0)+IF(Ajustes!$H244&gt;0,INDEX($AA$4:$AL$323,Ajustes!$H244,P$2),0)+IF(Ajustes!$I244&gt;0,INDEX($AA$4:$AL$323,Ajustes!$I244,P$2),0)+IF(Ajustes!$J244&gt;0,INDEX($AA$4:$AL$323,Ajustes!$J244,P$2),0)+IF(Ajustes!$K244&gt;0,INDEX($AA$5:$AL$324,Ajustes!$K244,P$2),0)+IF(Ajustes!$L244&gt;0,INDEX($AA$4:$AL$323,Ajustes!$L244,P$2),0) + P244</f>
        <v>286</v>
      </c>
      <c r="AC244">
        <f>IF(Ajustes!$G244&gt;0,INDEX($AA$4:$AL$323,Ajustes!$G244,Q$2),0)+IF(Ajustes!$H244&gt;0,INDEX($AA$4:$AL$323,Ajustes!$H244,Q$2),0)+IF(Ajustes!$I244&gt;0,INDEX($AA$4:$AL$323,Ajustes!$I244,Q$2),0)+IF(Ajustes!$J244&gt;0,INDEX($AA$4:$AL$323,Ajustes!$J244,Q$2),0)+IF(Ajustes!$K244&gt;0,INDEX($AA$5:$AL$324,Ajustes!$K244,Q$2),0)+IF(Ajustes!$L244&gt;0,INDEX($AA$4:$AL$323,Ajustes!$L244,Q$2),0) + Q244</f>
        <v>287</v>
      </c>
      <c r="AD244">
        <f>IF(Ajustes!$G244&gt;0,INDEX($AA$4:$AL$323,Ajustes!$G244,R$2),0)+IF(Ajustes!$H244&gt;0,INDEX($AA$4:$AL$323,Ajustes!$H244,R$2),0)+IF(Ajustes!$I244&gt;0,INDEX($AA$4:$AL$323,Ajustes!$I244,R$2),0)+IF(Ajustes!$J244&gt;0,INDEX($AA$4:$AL$323,Ajustes!$J244,R$2),0)+IF(Ajustes!$K244&gt;0,INDEX($AA$5:$AL$324,Ajustes!$K244,R$2),0)+IF(Ajustes!$L244&gt;0,INDEX($AA$4:$AL$323,Ajustes!$L244,R$2),0) + R244</f>
        <v>232</v>
      </c>
      <c r="AE244">
        <f>IF(Ajustes!$G244&gt;0,INDEX($AA$4:$AL$323,Ajustes!$G244,S$2),0)+IF(Ajustes!$H244&gt;0,INDEX($AA$4:$AL$323,Ajustes!$H244,S$2),0)+IF(Ajustes!$I244&gt;0,INDEX($AA$4:$AL$323,Ajustes!$I244,S$2),0)+IF(Ajustes!$J244&gt;0,INDEX($AA$4:$AL$323,Ajustes!$J244,S$2),0)+IF(Ajustes!$K244&gt;0,INDEX($AA$5:$AL$324,Ajustes!$K244,S$2),0)+IF(Ajustes!$L244&gt;0,INDEX($AA$4:$AL$323,Ajustes!$L244,S$2),0) + S244</f>
        <v>180</v>
      </c>
      <c r="AF244">
        <f>IF(Ajustes!$G244&gt;0,INDEX($AA$4:$AL$323,Ajustes!$G244,T$2),0)+IF(Ajustes!$H244&gt;0,INDEX($AA$4:$AL$323,Ajustes!$H244,T$2),0)+IF(Ajustes!$I244&gt;0,INDEX($AA$4:$AL$323,Ajustes!$I244,T$2),0)+IF(Ajustes!$J244&gt;0,INDEX($AA$4:$AL$323,Ajustes!$J244,T$2),0)+IF(Ajustes!$K244&gt;0,INDEX($AA$5:$AL$324,Ajustes!$K244,T$2),0)+IF(Ajustes!$L244&gt;0,INDEX($AA$4:$AL$323,Ajustes!$L244,T$2),0) + T244</f>
        <v>157</v>
      </c>
      <c r="AG244">
        <f>IF(Ajustes!$G244&gt;0,INDEX($AA$4:$AL$323,Ajustes!$G244,U$2),0)+IF(Ajustes!$H244&gt;0,INDEX($AA$4:$AL$323,Ajustes!$H244,U$2),0)+IF(Ajustes!$I244&gt;0,INDEX($AA$4:$AL$323,Ajustes!$I244,U$2),0)+IF(Ajustes!$J244&gt;0,INDEX($AA$4:$AL$323,Ajustes!$J244,U$2),0)+IF(Ajustes!$K244&gt;0,INDEX($AA$5:$AL$324,Ajustes!$K244,U$2),0)+IF(Ajustes!$L244&gt;0,INDEX($AA$4:$AL$323,Ajustes!$L244,U$2),0) + U244</f>
        <v>140</v>
      </c>
      <c r="AH244">
        <f>IF(Ajustes!$G244&gt;0,INDEX($AA$4:$AL$323,Ajustes!$G244,V$2),0)+IF(Ajustes!$H244&gt;0,INDEX($AA$4:$AL$323,Ajustes!$H244,V$2),0)+IF(Ajustes!$I244&gt;0,INDEX($AA$4:$AL$323,Ajustes!$I244,V$2),0)+IF(Ajustes!$J244&gt;0,INDEX($AA$4:$AL$323,Ajustes!$J244,V$2),0)+IF(Ajustes!$K244&gt;0,INDEX($AA$5:$AL$324,Ajustes!$K244,V$2),0)+IF(Ajustes!$L244&gt;0,INDEX($AA$4:$AL$323,Ajustes!$L244,V$2),0) + V244</f>
        <v>129</v>
      </c>
      <c r="AI244">
        <f>IF(Ajustes!$G244&gt;0,INDEX($AA$4:$AL$323,Ajustes!$G244,W$2),0)+IF(Ajustes!$H244&gt;0,INDEX($AA$4:$AL$323,Ajustes!$H244,W$2),0)+IF(Ajustes!$I244&gt;0,INDEX($AA$4:$AL$323,Ajustes!$I244,W$2),0)+IF(Ajustes!$J244&gt;0,INDEX($AA$4:$AL$323,Ajustes!$J244,W$2),0)+IF(Ajustes!$K244&gt;0,INDEX($AA$5:$AL$324,Ajustes!$K244,W$2),0)+IF(Ajustes!$L244&gt;0,INDEX($AA$4:$AL$323,Ajustes!$L244,W$2),0) + W244</f>
        <v>133</v>
      </c>
      <c r="AJ244">
        <f>IF(Ajustes!$G244&gt;0,INDEX($AA$4:$AL$323,Ajustes!$G244,X$2),0)+IF(Ajustes!$H244&gt;0,INDEX($AA$4:$AL$323,Ajustes!$H244,X$2),0)+IF(Ajustes!$I244&gt;0,INDEX($AA$4:$AL$323,Ajustes!$I244,X$2),0)+IF(Ajustes!$J244&gt;0,INDEX($AA$4:$AL$323,Ajustes!$J244,X$2),0)+IF(Ajustes!$K244&gt;0,INDEX($AA$5:$AL$324,Ajustes!$K244,X$2),0)+IF(Ajustes!$L244&gt;0,INDEX($AA$4:$AL$323,Ajustes!$L244,X$2),0) + X244</f>
        <v>152</v>
      </c>
      <c r="AK244">
        <f>IF(Ajustes!$G244&gt;0,INDEX($AA$4:$AL$323,Ajustes!$G244,Y$2),0)+IF(Ajustes!$H244&gt;0,INDEX($AA$4:$AL$323,Ajustes!$H244,Y$2),0)+IF(Ajustes!$I244&gt;0,INDEX($AA$4:$AL$323,Ajustes!$I244,Y$2),0)+IF(Ajustes!$J244&gt;0,INDEX($AA$4:$AL$323,Ajustes!$J244,Y$2),0)+IF(Ajustes!$K244&gt;0,INDEX($AA$5:$AL$324,Ajustes!$K244,Y$2),0)+IF(Ajustes!$L244&gt;0,INDEX($AA$4:$AL$323,Ajustes!$L244,Y$2),0) + Y244</f>
        <v>180</v>
      </c>
      <c r="AL244">
        <f>IF(Ajustes!$G244&gt;0,INDEX($AA$4:$AL$323,Ajustes!$G244,Z$2),0)+IF(Ajustes!$H244&gt;0,INDEX($AA$4:$AL$323,Ajustes!$H244,Z$2),0)+IF(Ajustes!$I244&gt;0,INDEX($AA$4:$AL$323,Ajustes!$I244,Z$2),0)+IF(Ajustes!$J244&gt;0,INDEX($AA$4:$AL$323,Ajustes!$J244,Z$2),0)+IF(Ajustes!$K244&gt;0,INDEX($AA$5:$AL$324,Ajustes!$K244,Z$2),0)+IF(Ajustes!$L244&gt;0,INDEX($AA$4:$AL$323,Ajustes!$L244,Z$2),0) + Z244</f>
        <v>224</v>
      </c>
      <c r="AM244" s="113">
        <f t="shared" si="47"/>
        <v>265</v>
      </c>
      <c r="AN244" s="113">
        <f t="shared" si="47"/>
        <v>286</v>
      </c>
      <c r="AO244" s="113">
        <f t="shared" si="47"/>
        <v>287</v>
      </c>
      <c r="AP244" s="113">
        <f t="shared" si="47"/>
        <v>232</v>
      </c>
      <c r="AQ244" s="113">
        <f t="shared" si="49"/>
        <v>180</v>
      </c>
      <c r="AR244" s="113">
        <f t="shared" si="48"/>
        <v>157</v>
      </c>
      <c r="AS244" s="113">
        <f t="shared" si="48"/>
        <v>140</v>
      </c>
      <c r="AT244" s="113">
        <f t="shared" si="48"/>
        <v>129</v>
      </c>
      <c r="AU244" s="113">
        <f t="shared" si="48"/>
        <v>133</v>
      </c>
      <c r="AV244" s="113">
        <f t="shared" si="51"/>
        <v>152</v>
      </c>
      <c r="AW244" s="113">
        <f t="shared" si="50"/>
        <v>180</v>
      </c>
      <c r="AX244" s="113">
        <f t="shared" si="50"/>
        <v>224</v>
      </c>
    </row>
    <row r="245" spans="1:50" x14ac:dyDescent="0.25">
      <c r="A245" s="113">
        <v>242</v>
      </c>
      <c r="B245" s="209" t="s">
        <v>260</v>
      </c>
      <c r="C245">
        <f>IFERROR(INDEX($BD$7:$BO$35,MATCH(Ajustes!$E$4:$E$323,$BC$7:$BC$35,0),$C$2:$N$2),1)</f>
        <v>1</v>
      </c>
      <c r="D245" s="113">
        <f>IFERROR(INDEX($BD$7:$BO$35,MATCH(Ajustes!$E$4:$E$323,$BC$7:$BC$35,0),$C$2:$N$2),1)</f>
        <v>1</v>
      </c>
      <c r="E245" s="113">
        <f>IFERROR(INDEX($BD$7:$BO$35,MATCH(Ajustes!$E$4:$E$323,$BC$7:$BC$35,0),$C$2:$N$2),1)</f>
        <v>1</v>
      </c>
      <c r="F245" s="113">
        <f>IFERROR(INDEX($BD$7:$BO$35,MATCH(Ajustes!$E$4:$E$323,$BC$7:$BC$35,0),$C$2:$N$2),1)</f>
        <v>1</v>
      </c>
      <c r="G245" s="113">
        <f>IFERROR(INDEX($BD$7:$BO$35,MATCH(Ajustes!$E$4:$E$323,$BC$7:$BC$35,0),$C$2:$N$2),1)</f>
        <v>1</v>
      </c>
      <c r="H245" s="113">
        <f>IFERROR(INDEX($BD$7:$BO$35,MATCH(Ajustes!$E$4:$E$323,$BC$7:$BC$35,0),$C$2:$N$2),1)</f>
        <v>1</v>
      </c>
      <c r="I245" s="113">
        <f>IFERROR(INDEX($BD$7:$BO$35,MATCH(Ajustes!$E$4:$E$323,$BC$7:$BC$35,0),$C$2:$N$2),1)</f>
        <v>1</v>
      </c>
      <c r="J245" s="113">
        <f>IFERROR(INDEX($BD$7:$BO$35,MATCH(Ajustes!$E$4:$E$323,$BC$7:$BC$35,0),$C$2:$N$2),1)</f>
        <v>1</v>
      </c>
      <c r="K245" s="113">
        <f>IFERROR(INDEX($BD$7:$BO$35,MATCH(Ajustes!$E$4:$E$323,$BC$7:$BC$35,0),$C$2:$N$2),1)</f>
        <v>1</v>
      </c>
      <c r="L245" s="113">
        <f>IFERROR(INDEX($BD$7:$BO$35,MATCH(Ajustes!$E$4:$E$323,$BC$7:$BC$35,0),$C$2:$N$2),1)</f>
        <v>1</v>
      </c>
      <c r="M245" s="113">
        <f>IFERROR(INDEX($BD$7:$BO$35,MATCH(Ajustes!$E$4:$E$323,$BC$7:$BC$35,0),$C$2:$N$2),1)</f>
        <v>1</v>
      </c>
      <c r="N245" s="113">
        <f>IFERROR(INDEX($BD$7:$BO$35,MATCH(Ajustes!$E$4:$E$323,$BC$7:$BC$35,0),$C$2:$N$2),1)</f>
        <v>1</v>
      </c>
      <c r="O245">
        <f>C245*Ajustes!AM245</f>
        <v>85</v>
      </c>
      <c r="P245">
        <f>D245*Ajustes!AN245</f>
        <v>95</v>
      </c>
      <c r="Q245">
        <f>E245*Ajustes!AO245</f>
        <v>78</v>
      </c>
      <c r="R245">
        <f>F245*Ajustes!AP245</f>
        <v>50</v>
      </c>
      <c r="S245">
        <f>G245*Ajustes!AQ245</f>
        <v>36</v>
      </c>
      <c r="T245">
        <f>H245*Ajustes!AR245</f>
        <v>37</v>
      </c>
      <c r="U245">
        <f>I245*Ajustes!AS245</f>
        <v>28</v>
      </c>
      <c r="V245">
        <f>J245*Ajustes!AT245</f>
        <v>24</v>
      </c>
      <c r="W245">
        <f>K245*Ajustes!AU245</f>
        <v>25</v>
      </c>
      <c r="X245">
        <f>L245*Ajustes!AV245</f>
        <v>31</v>
      </c>
      <c r="Y245">
        <f>M245*Ajustes!AW245</f>
        <v>34</v>
      </c>
      <c r="Z245">
        <f>N245*Ajustes!AX245</f>
        <v>53</v>
      </c>
      <c r="AA245">
        <f>IF(Ajustes!$G245&gt;0,INDEX($AA$4:$AL$323,Ajustes!$G245,O$2),0)+IF(Ajustes!$H245&gt;0,INDEX($AA$4:$AL$323,Ajustes!$H245,O$2),0)+IF(Ajustes!$I245&gt;0,INDEX($AA$4:$AL$323,Ajustes!$I245,O$2),0)+IF(Ajustes!$J245&gt;0,INDEX($AA$4:$AL$323,Ajustes!$J245,O$2),0)+IF(Ajustes!$K245&gt;0,INDEX($AA$5:$AL$324,Ajustes!$K245,O$2),0)+IF(Ajustes!$L245&gt;0,INDEX($AA$4:$AL$323,Ajustes!$L245,O$2),0) + O245</f>
        <v>1256</v>
      </c>
      <c r="AB245">
        <f>IF(Ajustes!$G245&gt;0,INDEX($AA$4:$AL$323,Ajustes!$G245,P$2),0)+IF(Ajustes!$H245&gt;0,INDEX($AA$4:$AL$323,Ajustes!$H245,P$2),0)+IF(Ajustes!$I245&gt;0,INDEX($AA$4:$AL$323,Ajustes!$I245,P$2),0)+IF(Ajustes!$J245&gt;0,INDEX($AA$4:$AL$323,Ajustes!$J245,P$2),0)+IF(Ajustes!$K245&gt;0,INDEX($AA$5:$AL$324,Ajustes!$K245,P$2),0)+IF(Ajustes!$L245&gt;0,INDEX($AA$4:$AL$323,Ajustes!$L245,P$2),0) + P245</f>
        <v>1339</v>
      </c>
      <c r="AC245">
        <f>IF(Ajustes!$G245&gt;0,INDEX($AA$4:$AL$323,Ajustes!$G245,Q$2),0)+IF(Ajustes!$H245&gt;0,INDEX($AA$4:$AL$323,Ajustes!$H245,Q$2),0)+IF(Ajustes!$I245&gt;0,INDEX($AA$4:$AL$323,Ajustes!$I245,Q$2),0)+IF(Ajustes!$J245&gt;0,INDEX($AA$4:$AL$323,Ajustes!$J245,Q$2),0)+IF(Ajustes!$K245&gt;0,INDEX($AA$5:$AL$324,Ajustes!$K245,Q$2),0)+IF(Ajustes!$L245&gt;0,INDEX($AA$4:$AL$323,Ajustes!$L245,Q$2),0) + Q245</f>
        <v>1152</v>
      </c>
      <c r="AD245">
        <f>IF(Ajustes!$G245&gt;0,INDEX($AA$4:$AL$323,Ajustes!$G245,R$2),0)+IF(Ajustes!$H245&gt;0,INDEX($AA$4:$AL$323,Ajustes!$H245,R$2),0)+IF(Ajustes!$I245&gt;0,INDEX($AA$4:$AL$323,Ajustes!$I245,R$2),0)+IF(Ajustes!$J245&gt;0,INDEX($AA$4:$AL$323,Ajustes!$J245,R$2),0)+IF(Ajustes!$K245&gt;0,INDEX($AA$5:$AL$324,Ajustes!$K245,R$2),0)+IF(Ajustes!$L245&gt;0,INDEX($AA$4:$AL$323,Ajustes!$L245,R$2),0) + R245</f>
        <v>783</v>
      </c>
      <c r="AE245">
        <f>IF(Ajustes!$G245&gt;0,INDEX($AA$4:$AL$323,Ajustes!$G245,S$2),0)+IF(Ajustes!$H245&gt;0,INDEX($AA$4:$AL$323,Ajustes!$H245,S$2),0)+IF(Ajustes!$I245&gt;0,INDEX($AA$4:$AL$323,Ajustes!$I245,S$2),0)+IF(Ajustes!$J245&gt;0,INDEX($AA$4:$AL$323,Ajustes!$J245,S$2),0)+IF(Ajustes!$K245&gt;0,INDEX($AA$5:$AL$324,Ajustes!$K245,S$2),0)+IF(Ajustes!$L245&gt;0,INDEX($AA$4:$AL$323,Ajustes!$L245,S$2),0) + S245</f>
        <v>618</v>
      </c>
      <c r="AF245">
        <f>IF(Ajustes!$G245&gt;0,INDEX($AA$4:$AL$323,Ajustes!$G245,T$2),0)+IF(Ajustes!$H245&gt;0,INDEX($AA$4:$AL$323,Ajustes!$H245,T$2),0)+IF(Ajustes!$I245&gt;0,INDEX($AA$4:$AL$323,Ajustes!$I245,T$2),0)+IF(Ajustes!$J245&gt;0,INDEX($AA$4:$AL$323,Ajustes!$J245,T$2),0)+IF(Ajustes!$K245&gt;0,INDEX($AA$5:$AL$324,Ajustes!$K245,T$2),0)+IF(Ajustes!$L245&gt;0,INDEX($AA$4:$AL$323,Ajustes!$L245,T$2),0) + T245</f>
        <v>606</v>
      </c>
      <c r="AG245">
        <f>IF(Ajustes!$G245&gt;0,INDEX($AA$4:$AL$323,Ajustes!$G245,U$2),0)+IF(Ajustes!$H245&gt;0,INDEX($AA$4:$AL$323,Ajustes!$H245,U$2),0)+IF(Ajustes!$I245&gt;0,INDEX($AA$4:$AL$323,Ajustes!$I245,U$2),0)+IF(Ajustes!$J245&gt;0,INDEX($AA$4:$AL$323,Ajustes!$J245,U$2),0)+IF(Ajustes!$K245&gt;0,INDEX($AA$5:$AL$324,Ajustes!$K245,U$2),0)+IF(Ajustes!$L245&gt;0,INDEX($AA$4:$AL$323,Ajustes!$L245,U$2),0) + U245</f>
        <v>494</v>
      </c>
      <c r="AH245">
        <f>IF(Ajustes!$G245&gt;0,INDEX($AA$4:$AL$323,Ajustes!$G245,V$2),0)+IF(Ajustes!$H245&gt;0,INDEX($AA$4:$AL$323,Ajustes!$H245,V$2),0)+IF(Ajustes!$I245&gt;0,INDEX($AA$4:$AL$323,Ajustes!$I245,V$2),0)+IF(Ajustes!$J245&gt;0,INDEX($AA$4:$AL$323,Ajustes!$J245,V$2),0)+IF(Ajustes!$K245&gt;0,INDEX($AA$5:$AL$324,Ajustes!$K245,V$2),0)+IF(Ajustes!$L245&gt;0,INDEX($AA$4:$AL$323,Ajustes!$L245,V$2),0) + V245</f>
        <v>427</v>
      </c>
      <c r="AI245">
        <f>IF(Ajustes!$G245&gt;0,INDEX($AA$4:$AL$323,Ajustes!$G245,W$2),0)+IF(Ajustes!$H245&gt;0,INDEX($AA$4:$AL$323,Ajustes!$H245,W$2),0)+IF(Ajustes!$I245&gt;0,INDEX($AA$4:$AL$323,Ajustes!$I245,W$2),0)+IF(Ajustes!$J245&gt;0,INDEX($AA$4:$AL$323,Ajustes!$J245,W$2),0)+IF(Ajustes!$K245&gt;0,INDEX($AA$5:$AL$324,Ajustes!$K245,W$2),0)+IF(Ajustes!$L245&gt;0,INDEX($AA$4:$AL$323,Ajustes!$L245,W$2),0) + W245</f>
        <v>455</v>
      </c>
      <c r="AJ245">
        <f>IF(Ajustes!$G245&gt;0,INDEX($AA$4:$AL$323,Ajustes!$G245,X$2),0)+IF(Ajustes!$H245&gt;0,INDEX($AA$4:$AL$323,Ajustes!$H245,X$2),0)+IF(Ajustes!$I245&gt;0,INDEX($AA$4:$AL$323,Ajustes!$I245,X$2),0)+IF(Ajustes!$J245&gt;0,INDEX($AA$4:$AL$323,Ajustes!$J245,X$2),0)+IF(Ajustes!$K245&gt;0,INDEX($AA$5:$AL$324,Ajustes!$K245,X$2),0)+IF(Ajustes!$L245&gt;0,INDEX($AA$4:$AL$323,Ajustes!$L245,X$2),0) + X245</f>
        <v>537</v>
      </c>
      <c r="AK245">
        <f>IF(Ajustes!$G245&gt;0,INDEX($AA$4:$AL$323,Ajustes!$G245,Y$2),0)+IF(Ajustes!$H245&gt;0,INDEX($AA$4:$AL$323,Ajustes!$H245,Y$2),0)+IF(Ajustes!$I245&gt;0,INDEX($AA$4:$AL$323,Ajustes!$I245,Y$2),0)+IF(Ajustes!$J245&gt;0,INDEX($AA$4:$AL$323,Ajustes!$J245,Y$2),0)+IF(Ajustes!$K245&gt;0,INDEX($AA$5:$AL$324,Ajustes!$K245,Y$2),0)+IF(Ajustes!$L245&gt;0,INDEX($AA$4:$AL$323,Ajustes!$L245,Y$2),0) + Y245</f>
        <v>574</v>
      </c>
      <c r="AL245">
        <f>IF(Ajustes!$G245&gt;0,INDEX($AA$4:$AL$323,Ajustes!$G245,Z$2),0)+IF(Ajustes!$H245&gt;0,INDEX($AA$4:$AL$323,Ajustes!$H245,Z$2),0)+IF(Ajustes!$I245&gt;0,INDEX($AA$4:$AL$323,Ajustes!$I245,Z$2),0)+IF(Ajustes!$J245&gt;0,INDEX($AA$4:$AL$323,Ajustes!$J245,Z$2),0)+IF(Ajustes!$K245&gt;0,INDEX($AA$5:$AL$324,Ajustes!$K245,Z$2),0)+IF(Ajustes!$L245&gt;0,INDEX($AA$4:$AL$323,Ajustes!$L245,Z$2),0) + Z245</f>
        <v>859</v>
      </c>
      <c r="AM245" s="113">
        <f t="shared" si="47"/>
        <v>1256</v>
      </c>
      <c r="AN245" s="113">
        <f t="shared" si="47"/>
        <v>1339</v>
      </c>
      <c r="AO245" s="113">
        <f t="shared" si="47"/>
        <v>1152</v>
      </c>
      <c r="AP245" s="113">
        <f t="shared" si="47"/>
        <v>783</v>
      </c>
      <c r="AQ245" s="113">
        <f t="shared" si="49"/>
        <v>618</v>
      </c>
      <c r="AR245" s="113">
        <f t="shared" si="48"/>
        <v>606</v>
      </c>
      <c r="AS245" s="113">
        <f t="shared" si="48"/>
        <v>494</v>
      </c>
      <c r="AT245" s="113">
        <f t="shared" si="48"/>
        <v>427</v>
      </c>
      <c r="AU245" s="113">
        <f t="shared" si="48"/>
        <v>455</v>
      </c>
      <c r="AV245" s="113">
        <f t="shared" si="51"/>
        <v>537</v>
      </c>
      <c r="AW245" s="113">
        <f t="shared" si="50"/>
        <v>574</v>
      </c>
      <c r="AX245" s="113">
        <f t="shared" si="50"/>
        <v>859</v>
      </c>
    </row>
    <row r="246" spans="1:50" x14ac:dyDescent="0.25">
      <c r="A246" s="113">
        <v>243</v>
      </c>
      <c r="B246" s="209" t="s">
        <v>557</v>
      </c>
      <c r="C246">
        <f>IFERROR(INDEX($BD$7:$BO$35,MATCH(Ajustes!$E$4:$E$323,$BC$7:$BC$35,0),$C$2:$N$2),1)</f>
        <v>1</v>
      </c>
      <c r="D246" s="113">
        <f>IFERROR(INDEX($BD$7:$BO$35,MATCH(Ajustes!$E$4:$E$323,$BC$7:$BC$35,0),$C$2:$N$2),1)</f>
        <v>1</v>
      </c>
      <c r="E246" s="113">
        <f>IFERROR(INDEX($BD$7:$BO$35,MATCH(Ajustes!$E$4:$E$323,$BC$7:$BC$35,0),$C$2:$N$2),1)</f>
        <v>1</v>
      </c>
      <c r="F246" s="113">
        <f>IFERROR(INDEX($BD$7:$BO$35,MATCH(Ajustes!$E$4:$E$323,$BC$7:$BC$35,0),$C$2:$N$2),1)</f>
        <v>1</v>
      </c>
      <c r="G246" s="113">
        <f>IFERROR(INDEX($BD$7:$BO$35,MATCH(Ajustes!$E$4:$E$323,$BC$7:$BC$35,0),$C$2:$N$2),1)</f>
        <v>1</v>
      </c>
      <c r="H246" s="113">
        <f>IFERROR(INDEX($BD$7:$BO$35,MATCH(Ajustes!$E$4:$E$323,$BC$7:$BC$35,0),$C$2:$N$2),1)</f>
        <v>1</v>
      </c>
      <c r="I246" s="113">
        <f>IFERROR(INDEX($BD$7:$BO$35,MATCH(Ajustes!$E$4:$E$323,$BC$7:$BC$35,0),$C$2:$N$2),1)</f>
        <v>1</v>
      </c>
      <c r="J246" s="113">
        <f>IFERROR(INDEX($BD$7:$BO$35,MATCH(Ajustes!$E$4:$E$323,$BC$7:$BC$35,0),$C$2:$N$2),1)</f>
        <v>1</v>
      </c>
      <c r="K246" s="113">
        <f>IFERROR(INDEX($BD$7:$BO$35,MATCH(Ajustes!$E$4:$E$323,$BC$7:$BC$35,0),$C$2:$N$2),1)</f>
        <v>1</v>
      </c>
      <c r="L246" s="113">
        <f>IFERROR(INDEX($BD$7:$BO$35,MATCH(Ajustes!$E$4:$E$323,$BC$7:$BC$35,0),$C$2:$N$2),1)</f>
        <v>1</v>
      </c>
      <c r="M246" s="113">
        <f>IFERROR(INDEX($BD$7:$BO$35,MATCH(Ajustes!$E$4:$E$323,$BC$7:$BC$35,0),$C$2:$N$2),1)</f>
        <v>1</v>
      </c>
      <c r="N246" s="113">
        <f>IFERROR(INDEX($BD$7:$BO$35,MATCH(Ajustes!$E$4:$E$323,$BC$7:$BC$35,0),$C$2:$N$2),1)</f>
        <v>1</v>
      </c>
      <c r="O246">
        <f>C246*Ajustes!AM246</f>
        <v>58</v>
      </c>
      <c r="P246">
        <f>D246*Ajustes!AN246</f>
        <v>89</v>
      </c>
      <c r="Q246">
        <f>E246*Ajustes!AO246</f>
        <v>90</v>
      </c>
      <c r="R246">
        <f>F246*Ajustes!AP246</f>
        <v>73</v>
      </c>
      <c r="S246">
        <f>G246*Ajustes!AQ246</f>
        <v>44</v>
      </c>
      <c r="T246">
        <f>H246*Ajustes!AR246</f>
        <v>47</v>
      </c>
      <c r="U246">
        <f>I246*Ajustes!AS246</f>
        <v>39</v>
      </c>
      <c r="V246">
        <f>J246*Ajustes!AT246</f>
        <v>35</v>
      </c>
      <c r="W246">
        <f>K246*Ajustes!AU246</f>
        <v>29</v>
      </c>
      <c r="X246">
        <f>L246*Ajustes!AV246</f>
        <v>34</v>
      </c>
      <c r="Y246">
        <f>M246*Ajustes!AW246</f>
        <v>33</v>
      </c>
      <c r="Z246">
        <f>N246*Ajustes!AX246</f>
        <v>39</v>
      </c>
      <c r="AA246">
        <f>IF(Ajustes!$G246&gt;0,INDEX($AA$4:$AL$323,Ajustes!$G246,O$2),0)+IF(Ajustes!$H246&gt;0,INDEX($AA$4:$AL$323,Ajustes!$H246,O$2),0)+IF(Ajustes!$I246&gt;0,INDEX($AA$4:$AL$323,Ajustes!$I246,O$2),0)+IF(Ajustes!$J246&gt;0,INDEX($AA$4:$AL$323,Ajustes!$J246,O$2),0)+IF(Ajustes!$K246&gt;0,INDEX($AA$5:$AL$324,Ajustes!$K246,O$2),0)+IF(Ajustes!$L246&gt;0,INDEX($AA$4:$AL$323,Ajustes!$L246,O$2),0) + O246</f>
        <v>1314</v>
      </c>
      <c r="AB246">
        <f>IF(Ajustes!$G246&gt;0,INDEX($AA$4:$AL$323,Ajustes!$G246,P$2),0)+IF(Ajustes!$H246&gt;0,INDEX($AA$4:$AL$323,Ajustes!$H246,P$2),0)+IF(Ajustes!$I246&gt;0,INDEX($AA$4:$AL$323,Ajustes!$I246,P$2),0)+IF(Ajustes!$J246&gt;0,INDEX($AA$4:$AL$323,Ajustes!$J246,P$2),0)+IF(Ajustes!$K246&gt;0,INDEX($AA$5:$AL$324,Ajustes!$K246,P$2),0)+IF(Ajustes!$L246&gt;0,INDEX($AA$4:$AL$323,Ajustes!$L246,P$2),0) + P246</f>
        <v>1428</v>
      </c>
      <c r="AC246">
        <f>IF(Ajustes!$G246&gt;0,INDEX($AA$4:$AL$323,Ajustes!$G246,Q$2),0)+IF(Ajustes!$H246&gt;0,INDEX($AA$4:$AL$323,Ajustes!$H246,Q$2),0)+IF(Ajustes!$I246&gt;0,INDEX($AA$4:$AL$323,Ajustes!$I246,Q$2),0)+IF(Ajustes!$J246&gt;0,INDEX($AA$4:$AL$323,Ajustes!$J246,Q$2),0)+IF(Ajustes!$K246&gt;0,INDEX($AA$5:$AL$324,Ajustes!$K246,Q$2),0)+IF(Ajustes!$L246&gt;0,INDEX($AA$4:$AL$323,Ajustes!$L246,Q$2),0) + Q246</f>
        <v>1242</v>
      </c>
      <c r="AD246">
        <f>IF(Ajustes!$G246&gt;0,INDEX($AA$4:$AL$323,Ajustes!$G246,R$2),0)+IF(Ajustes!$H246&gt;0,INDEX($AA$4:$AL$323,Ajustes!$H246,R$2),0)+IF(Ajustes!$I246&gt;0,INDEX($AA$4:$AL$323,Ajustes!$I246,R$2),0)+IF(Ajustes!$J246&gt;0,INDEX($AA$4:$AL$323,Ajustes!$J246,R$2),0)+IF(Ajustes!$K246&gt;0,INDEX($AA$5:$AL$324,Ajustes!$K246,R$2),0)+IF(Ajustes!$L246&gt;0,INDEX($AA$4:$AL$323,Ajustes!$L246,R$2),0) + R246</f>
        <v>856</v>
      </c>
      <c r="AE246">
        <f>IF(Ajustes!$G246&gt;0,INDEX($AA$4:$AL$323,Ajustes!$G246,S$2),0)+IF(Ajustes!$H246&gt;0,INDEX($AA$4:$AL$323,Ajustes!$H246,S$2),0)+IF(Ajustes!$I246&gt;0,INDEX($AA$4:$AL$323,Ajustes!$I246,S$2),0)+IF(Ajustes!$J246&gt;0,INDEX($AA$4:$AL$323,Ajustes!$J246,S$2),0)+IF(Ajustes!$K246&gt;0,INDEX($AA$5:$AL$324,Ajustes!$K246,S$2),0)+IF(Ajustes!$L246&gt;0,INDEX($AA$4:$AL$323,Ajustes!$L246,S$2),0) + S246</f>
        <v>662</v>
      </c>
      <c r="AF246">
        <f>IF(Ajustes!$G246&gt;0,INDEX($AA$4:$AL$323,Ajustes!$G246,T$2),0)+IF(Ajustes!$H246&gt;0,INDEX($AA$4:$AL$323,Ajustes!$H246,T$2),0)+IF(Ajustes!$I246&gt;0,INDEX($AA$4:$AL$323,Ajustes!$I246,T$2),0)+IF(Ajustes!$J246&gt;0,INDEX($AA$4:$AL$323,Ajustes!$J246,T$2),0)+IF(Ajustes!$K246&gt;0,INDEX($AA$5:$AL$324,Ajustes!$K246,T$2),0)+IF(Ajustes!$L246&gt;0,INDEX($AA$4:$AL$323,Ajustes!$L246,T$2),0) + T246</f>
        <v>653</v>
      </c>
      <c r="AG246">
        <f>IF(Ajustes!$G246&gt;0,INDEX($AA$4:$AL$323,Ajustes!$G246,U$2),0)+IF(Ajustes!$H246&gt;0,INDEX($AA$4:$AL$323,Ajustes!$H246,U$2),0)+IF(Ajustes!$I246&gt;0,INDEX($AA$4:$AL$323,Ajustes!$I246,U$2),0)+IF(Ajustes!$J246&gt;0,INDEX($AA$4:$AL$323,Ajustes!$J246,U$2),0)+IF(Ajustes!$K246&gt;0,INDEX($AA$5:$AL$324,Ajustes!$K246,U$2),0)+IF(Ajustes!$L246&gt;0,INDEX($AA$4:$AL$323,Ajustes!$L246,U$2),0) + U246</f>
        <v>533</v>
      </c>
      <c r="AH246">
        <f>IF(Ajustes!$G246&gt;0,INDEX($AA$4:$AL$323,Ajustes!$G246,V$2),0)+IF(Ajustes!$H246&gt;0,INDEX($AA$4:$AL$323,Ajustes!$H246,V$2),0)+IF(Ajustes!$I246&gt;0,INDEX($AA$4:$AL$323,Ajustes!$I246,V$2),0)+IF(Ajustes!$J246&gt;0,INDEX($AA$4:$AL$323,Ajustes!$J246,V$2),0)+IF(Ajustes!$K246&gt;0,INDEX($AA$5:$AL$324,Ajustes!$K246,V$2),0)+IF(Ajustes!$L246&gt;0,INDEX($AA$4:$AL$323,Ajustes!$L246,V$2),0) + V246</f>
        <v>462</v>
      </c>
      <c r="AI246">
        <f>IF(Ajustes!$G246&gt;0,INDEX($AA$4:$AL$323,Ajustes!$G246,W$2),0)+IF(Ajustes!$H246&gt;0,INDEX($AA$4:$AL$323,Ajustes!$H246,W$2),0)+IF(Ajustes!$I246&gt;0,INDEX($AA$4:$AL$323,Ajustes!$I246,W$2),0)+IF(Ajustes!$J246&gt;0,INDEX($AA$4:$AL$323,Ajustes!$J246,W$2),0)+IF(Ajustes!$K246&gt;0,INDEX($AA$5:$AL$324,Ajustes!$K246,W$2),0)+IF(Ajustes!$L246&gt;0,INDEX($AA$4:$AL$323,Ajustes!$L246,W$2),0) + W246</f>
        <v>484</v>
      </c>
      <c r="AJ246">
        <f>IF(Ajustes!$G246&gt;0,INDEX($AA$4:$AL$323,Ajustes!$G246,X$2),0)+IF(Ajustes!$H246&gt;0,INDEX($AA$4:$AL$323,Ajustes!$H246,X$2),0)+IF(Ajustes!$I246&gt;0,INDEX($AA$4:$AL$323,Ajustes!$I246,X$2),0)+IF(Ajustes!$J246&gt;0,INDEX($AA$4:$AL$323,Ajustes!$J246,X$2),0)+IF(Ajustes!$K246&gt;0,INDEX($AA$5:$AL$324,Ajustes!$K246,X$2),0)+IF(Ajustes!$L246&gt;0,INDEX($AA$4:$AL$323,Ajustes!$L246,X$2),0) + X246</f>
        <v>571</v>
      </c>
      <c r="AK246">
        <f>IF(Ajustes!$G246&gt;0,INDEX($AA$4:$AL$323,Ajustes!$G246,Y$2),0)+IF(Ajustes!$H246&gt;0,INDEX($AA$4:$AL$323,Ajustes!$H246,Y$2),0)+IF(Ajustes!$I246&gt;0,INDEX($AA$4:$AL$323,Ajustes!$I246,Y$2),0)+IF(Ajustes!$J246&gt;0,INDEX($AA$4:$AL$323,Ajustes!$J246,Y$2),0)+IF(Ajustes!$K246&gt;0,INDEX($AA$5:$AL$324,Ajustes!$K246,Y$2),0)+IF(Ajustes!$L246&gt;0,INDEX($AA$4:$AL$323,Ajustes!$L246,Y$2),0) + Y246</f>
        <v>607</v>
      </c>
      <c r="AL246">
        <f>IF(Ajustes!$G246&gt;0,INDEX($AA$4:$AL$323,Ajustes!$G246,Z$2),0)+IF(Ajustes!$H246&gt;0,INDEX($AA$4:$AL$323,Ajustes!$H246,Z$2),0)+IF(Ajustes!$I246&gt;0,INDEX($AA$4:$AL$323,Ajustes!$I246,Z$2),0)+IF(Ajustes!$J246&gt;0,INDEX($AA$4:$AL$323,Ajustes!$J246,Z$2),0)+IF(Ajustes!$K246&gt;0,INDEX($AA$5:$AL$324,Ajustes!$K246,Z$2),0)+IF(Ajustes!$L246&gt;0,INDEX($AA$4:$AL$323,Ajustes!$L246,Z$2),0) + Z246</f>
        <v>898</v>
      </c>
      <c r="AM246" s="113">
        <f t="shared" si="47"/>
        <v>1314</v>
      </c>
      <c r="AN246" s="113">
        <f t="shared" si="47"/>
        <v>1428</v>
      </c>
      <c r="AO246" s="113">
        <f t="shared" si="47"/>
        <v>1242</v>
      </c>
      <c r="AP246" s="113">
        <f t="shared" si="47"/>
        <v>856</v>
      </c>
      <c r="AQ246" s="113">
        <f t="shared" si="49"/>
        <v>662</v>
      </c>
      <c r="AR246" s="113">
        <f t="shared" si="48"/>
        <v>653</v>
      </c>
      <c r="AS246" s="113">
        <f t="shared" si="48"/>
        <v>533</v>
      </c>
      <c r="AT246" s="113">
        <f t="shared" si="48"/>
        <v>462</v>
      </c>
      <c r="AU246" s="113">
        <f t="shared" si="48"/>
        <v>484</v>
      </c>
      <c r="AV246" s="113">
        <f t="shared" si="51"/>
        <v>571</v>
      </c>
      <c r="AW246" s="113">
        <f t="shared" si="50"/>
        <v>607</v>
      </c>
      <c r="AX246" s="113">
        <f t="shared" si="50"/>
        <v>898</v>
      </c>
    </row>
    <row r="247" spans="1:50" x14ac:dyDescent="0.25">
      <c r="A247" s="113">
        <v>244</v>
      </c>
      <c r="B247" s="209" t="s">
        <v>558</v>
      </c>
      <c r="C247">
        <f>IFERROR(INDEX($BD$7:$BO$35,MATCH(Ajustes!$E$4:$E$323,$BC$7:$BC$35,0),$C$2:$N$2),1)</f>
        <v>1</v>
      </c>
      <c r="D247" s="113">
        <f>IFERROR(INDEX($BD$7:$BO$35,MATCH(Ajustes!$E$4:$E$323,$BC$7:$BC$35,0),$C$2:$N$2),1)</f>
        <v>1</v>
      </c>
      <c r="E247" s="113">
        <f>IFERROR(INDEX($BD$7:$BO$35,MATCH(Ajustes!$E$4:$E$323,$BC$7:$BC$35,0),$C$2:$N$2),1)</f>
        <v>1</v>
      </c>
      <c r="F247" s="113">
        <f>IFERROR(INDEX($BD$7:$BO$35,MATCH(Ajustes!$E$4:$E$323,$BC$7:$BC$35,0),$C$2:$N$2),1)</f>
        <v>1</v>
      </c>
      <c r="G247" s="113">
        <f>IFERROR(INDEX($BD$7:$BO$35,MATCH(Ajustes!$E$4:$E$323,$BC$7:$BC$35,0),$C$2:$N$2),1)</f>
        <v>1</v>
      </c>
      <c r="H247" s="113">
        <f>IFERROR(INDEX($BD$7:$BO$35,MATCH(Ajustes!$E$4:$E$323,$BC$7:$BC$35,0),$C$2:$N$2),1)</f>
        <v>1</v>
      </c>
      <c r="I247" s="113">
        <f>IFERROR(INDEX($BD$7:$BO$35,MATCH(Ajustes!$E$4:$E$323,$BC$7:$BC$35,0),$C$2:$N$2),1)</f>
        <v>1</v>
      </c>
      <c r="J247" s="113">
        <f>IFERROR(INDEX($BD$7:$BO$35,MATCH(Ajustes!$E$4:$E$323,$BC$7:$BC$35,0),$C$2:$N$2),1)</f>
        <v>1</v>
      </c>
      <c r="K247" s="113">
        <f>IFERROR(INDEX($BD$7:$BO$35,MATCH(Ajustes!$E$4:$E$323,$BC$7:$BC$35,0),$C$2:$N$2),1)</f>
        <v>1</v>
      </c>
      <c r="L247" s="113">
        <f>IFERROR(INDEX($BD$7:$BO$35,MATCH(Ajustes!$E$4:$E$323,$BC$7:$BC$35,0),$C$2:$N$2),1)</f>
        <v>1</v>
      </c>
      <c r="M247" s="113">
        <f>IFERROR(INDEX($BD$7:$BO$35,MATCH(Ajustes!$E$4:$E$323,$BC$7:$BC$35,0),$C$2:$N$2),1)</f>
        <v>1</v>
      </c>
      <c r="N247" s="113">
        <f>IFERROR(INDEX($BD$7:$BO$35,MATCH(Ajustes!$E$4:$E$323,$BC$7:$BC$35,0),$C$2:$N$2),1)</f>
        <v>1</v>
      </c>
      <c r="O247">
        <f>C247*Ajustes!AM247</f>
        <v>10278</v>
      </c>
      <c r="P247">
        <f>D247*Ajustes!AN247</f>
        <v>10851</v>
      </c>
      <c r="Q247">
        <f>E247*Ajustes!AO247</f>
        <v>10248</v>
      </c>
      <c r="R247">
        <f>F247*Ajustes!AP247</f>
        <v>7640</v>
      </c>
      <c r="S247">
        <f>G247*Ajustes!AQ247</f>
        <v>5311</v>
      </c>
      <c r="T247">
        <f>H247*Ajustes!AR247</f>
        <v>4456</v>
      </c>
      <c r="U247">
        <f>I247*Ajustes!AS247</f>
        <v>3645</v>
      </c>
      <c r="V247">
        <f>J247*Ajustes!AT247</f>
        <v>3069</v>
      </c>
      <c r="W247">
        <f>K247*Ajustes!AU247</f>
        <v>2970</v>
      </c>
      <c r="X247">
        <f>L247*Ajustes!AV247</f>
        <v>3447</v>
      </c>
      <c r="Y247">
        <f>M247*Ajustes!AW247</f>
        <v>4525</v>
      </c>
      <c r="Z247">
        <f>N247*Ajustes!AX247</f>
        <v>7180</v>
      </c>
      <c r="AA247">
        <f>IF(Ajustes!$G247&gt;0,INDEX($AA$4:$AL$323,Ajustes!$G247,O$2),0)+IF(Ajustes!$H247&gt;0,INDEX($AA$4:$AL$323,Ajustes!$H247,O$2),0)+IF(Ajustes!$I247&gt;0,INDEX($AA$4:$AL$323,Ajustes!$I247,O$2),0)+IF(Ajustes!$J247&gt;0,INDEX($AA$4:$AL$323,Ajustes!$J247,O$2),0)+IF(Ajustes!$K247&gt;0,INDEX($AA$5:$AL$324,Ajustes!$K247,O$2),0)+IF(Ajustes!$L247&gt;0,INDEX($AA$4:$AL$323,Ajustes!$L247,O$2),0) + O247</f>
        <v>10278</v>
      </c>
      <c r="AB247">
        <f>IF(Ajustes!$G247&gt;0,INDEX($AA$4:$AL$323,Ajustes!$G247,P$2),0)+IF(Ajustes!$H247&gt;0,INDEX($AA$4:$AL$323,Ajustes!$H247,P$2),0)+IF(Ajustes!$I247&gt;0,INDEX($AA$4:$AL$323,Ajustes!$I247,P$2),0)+IF(Ajustes!$J247&gt;0,INDEX($AA$4:$AL$323,Ajustes!$J247,P$2),0)+IF(Ajustes!$K247&gt;0,INDEX($AA$5:$AL$324,Ajustes!$K247,P$2),0)+IF(Ajustes!$L247&gt;0,INDEX($AA$4:$AL$323,Ajustes!$L247,P$2),0) + P247</f>
        <v>10851</v>
      </c>
      <c r="AC247">
        <f>IF(Ajustes!$G247&gt;0,INDEX($AA$4:$AL$323,Ajustes!$G247,Q$2),0)+IF(Ajustes!$H247&gt;0,INDEX($AA$4:$AL$323,Ajustes!$H247,Q$2),0)+IF(Ajustes!$I247&gt;0,INDEX($AA$4:$AL$323,Ajustes!$I247,Q$2),0)+IF(Ajustes!$J247&gt;0,INDEX($AA$4:$AL$323,Ajustes!$J247,Q$2),0)+IF(Ajustes!$K247&gt;0,INDEX($AA$5:$AL$324,Ajustes!$K247,Q$2),0)+IF(Ajustes!$L247&gt;0,INDEX($AA$4:$AL$323,Ajustes!$L247,Q$2),0) + Q247</f>
        <v>10248</v>
      </c>
      <c r="AD247">
        <f>IF(Ajustes!$G247&gt;0,INDEX($AA$4:$AL$323,Ajustes!$G247,R$2),0)+IF(Ajustes!$H247&gt;0,INDEX($AA$4:$AL$323,Ajustes!$H247,R$2),0)+IF(Ajustes!$I247&gt;0,INDEX($AA$4:$AL$323,Ajustes!$I247,R$2),0)+IF(Ajustes!$J247&gt;0,INDEX($AA$4:$AL$323,Ajustes!$J247,R$2),0)+IF(Ajustes!$K247&gt;0,INDEX($AA$5:$AL$324,Ajustes!$K247,R$2),0)+IF(Ajustes!$L247&gt;0,INDEX($AA$4:$AL$323,Ajustes!$L247,R$2),0) + R247</f>
        <v>7640</v>
      </c>
      <c r="AE247">
        <f>IF(Ajustes!$G247&gt;0,INDEX($AA$4:$AL$323,Ajustes!$G247,S$2),0)+IF(Ajustes!$H247&gt;0,INDEX($AA$4:$AL$323,Ajustes!$H247,S$2),0)+IF(Ajustes!$I247&gt;0,INDEX($AA$4:$AL$323,Ajustes!$I247,S$2),0)+IF(Ajustes!$J247&gt;0,INDEX($AA$4:$AL$323,Ajustes!$J247,S$2),0)+IF(Ajustes!$K247&gt;0,INDEX($AA$5:$AL$324,Ajustes!$K247,S$2),0)+IF(Ajustes!$L247&gt;0,INDEX($AA$4:$AL$323,Ajustes!$L247,S$2),0) + S247</f>
        <v>5311</v>
      </c>
      <c r="AF247">
        <f>IF(Ajustes!$G247&gt;0,INDEX($AA$4:$AL$323,Ajustes!$G247,T$2),0)+IF(Ajustes!$H247&gt;0,INDEX($AA$4:$AL$323,Ajustes!$H247,T$2),0)+IF(Ajustes!$I247&gt;0,INDEX($AA$4:$AL$323,Ajustes!$I247,T$2),0)+IF(Ajustes!$J247&gt;0,INDEX($AA$4:$AL$323,Ajustes!$J247,T$2),0)+IF(Ajustes!$K247&gt;0,INDEX($AA$5:$AL$324,Ajustes!$K247,T$2),0)+IF(Ajustes!$L247&gt;0,INDEX($AA$4:$AL$323,Ajustes!$L247,T$2),0) + T247</f>
        <v>4456</v>
      </c>
      <c r="AG247">
        <f>IF(Ajustes!$G247&gt;0,INDEX($AA$4:$AL$323,Ajustes!$G247,U$2),0)+IF(Ajustes!$H247&gt;0,INDEX($AA$4:$AL$323,Ajustes!$H247,U$2),0)+IF(Ajustes!$I247&gt;0,INDEX($AA$4:$AL$323,Ajustes!$I247,U$2),0)+IF(Ajustes!$J247&gt;0,INDEX($AA$4:$AL$323,Ajustes!$J247,U$2),0)+IF(Ajustes!$K247&gt;0,INDEX($AA$5:$AL$324,Ajustes!$K247,U$2),0)+IF(Ajustes!$L247&gt;0,INDEX($AA$4:$AL$323,Ajustes!$L247,U$2),0) + U247</f>
        <v>3645</v>
      </c>
      <c r="AH247">
        <f>IF(Ajustes!$G247&gt;0,INDEX($AA$4:$AL$323,Ajustes!$G247,V$2),0)+IF(Ajustes!$H247&gt;0,INDEX($AA$4:$AL$323,Ajustes!$H247,V$2),0)+IF(Ajustes!$I247&gt;0,INDEX($AA$4:$AL$323,Ajustes!$I247,V$2),0)+IF(Ajustes!$J247&gt;0,INDEX($AA$4:$AL$323,Ajustes!$J247,V$2),0)+IF(Ajustes!$K247&gt;0,INDEX($AA$5:$AL$324,Ajustes!$K247,V$2),0)+IF(Ajustes!$L247&gt;0,INDEX($AA$4:$AL$323,Ajustes!$L247,V$2),0) + V247</f>
        <v>3069</v>
      </c>
      <c r="AI247">
        <f>IF(Ajustes!$G247&gt;0,INDEX($AA$4:$AL$323,Ajustes!$G247,W$2),0)+IF(Ajustes!$H247&gt;0,INDEX($AA$4:$AL$323,Ajustes!$H247,W$2),0)+IF(Ajustes!$I247&gt;0,INDEX($AA$4:$AL$323,Ajustes!$I247,W$2),0)+IF(Ajustes!$J247&gt;0,INDEX($AA$4:$AL$323,Ajustes!$J247,W$2),0)+IF(Ajustes!$K247&gt;0,INDEX($AA$5:$AL$324,Ajustes!$K247,W$2),0)+IF(Ajustes!$L247&gt;0,INDEX($AA$4:$AL$323,Ajustes!$L247,W$2),0) + W247</f>
        <v>2970</v>
      </c>
      <c r="AJ247">
        <f>IF(Ajustes!$G247&gt;0,INDEX($AA$4:$AL$323,Ajustes!$G247,X$2),0)+IF(Ajustes!$H247&gt;0,INDEX($AA$4:$AL$323,Ajustes!$H247,X$2),0)+IF(Ajustes!$I247&gt;0,INDEX($AA$4:$AL$323,Ajustes!$I247,X$2),0)+IF(Ajustes!$J247&gt;0,INDEX($AA$4:$AL$323,Ajustes!$J247,X$2),0)+IF(Ajustes!$K247&gt;0,INDEX($AA$5:$AL$324,Ajustes!$K247,X$2),0)+IF(Ajustes!$L247&gt;0,INDEX($AA$4:$AL$323,Ajustes!$L247,X$2),0) + X247</f>
        <v>3447</v>
      </c>
      <c r="AK247">
        <f>IF(Ajustes!$G247&gt;0,INDEX($AA$4:$AL$323,Ajustes!$G247,Y$2),0)+IF(Ajustes!$H247&gt;0,INDEX($AA$4:$AL$323,Ajustes!$H247,Y$2),0)+IF(Ajustes!$I247&gt;0,INDEX($AA$4:$AL$323,Ajustes!$I247,Y$2),0)+IF(Ajustes!$J247&gt;0,INDEX($AA$4:$AL$323,Ajustes!$J247,Y$2),0)+IF(Ajustes!$K247&gt;0,INDEX($AA$5:$AL$324,Ajustes!$K247,Y$2),0)+IF(Ajustes!$L247&gt;0,INDEX($AA$4:$AL$323,Ajustes!$L247,Y$2),0) + Y247</f>
        <v>4525</v>
      </c>
      <c r="AL247">
        <f>IF(Ajustes!$G247&gt;0,INDEX($AA$4:$AL$323,Ajustes!$G247,Z$2),0)+IF(Ajustes!$H247&gt;0,INDEX($AA$4:$AL$323,Ajustes!$H247,Z$2),0)+IF(Ajustes!$I247&gt;0,INDEX($AA$4:$AL$323,Ajustes!$I247,Z$2),0)+IF(Ajustes!$J247&gt;0,INDEX($AA$4:$AL$323,Ajustes!$J247,Z$2),0)+IF(Ajustes!$K247&gt;0,INDEX($AA$5:$AL$324,Ajustes!$K247,Z$2),0)+IF(Ajustes!$L247&gt;0,INDEX($AA$4:$AL$323,Ajustes!$L247,Z$2),0) + Z247</f>
        <v>7180</v>
      </c>
      <c r="AM247" s="219">
        <f>AM37+AM246</f>
        <v>10278</v>
      </c>
      <c r="AN247" s="219">
        <f t="shared" ref="AN247:AX247" si="52">AN37+AN246</f>
        <v>10852</v>
      </c>
      <c r="AO247" s="219">
        <f t="shared" si="52"/>
        <v>10248</v>
      </c>
      <c r="AP247" s="219">
        <f t="shared" si="52"/>
        <v>7641</v>
      </c>
      <c r="AQ247" s="219">
        <f t="shared" si="52"/>
        <v>5310</v>
      </c>
      <c r="AR247" s="219">
        <f t="shared" si="52"/>
        <v>4455</v>
      </c>
      <c r="AS247" s="219">
        <f t="shared" si="52"/>
        <v>3645</v>
      </c>
      <c r="AT247" s="219">
        <f t="shared" si="52"/>
        <v>3070</v>
      </c>
      <c r="AU247" s="219">
        <f t="shared" si="52"/>
        <v>2970</v>
      </c>
      <c r="AV247" s="219">
        <f t="shared" si="52"/>
        <v>3447</v>
      </c>
      <c r="AW247" s="219">
        <f t="shared" si="52"/>
        <v>4524</v>
      </c>
      <c r="AX247" s="219">
        <f t="shared" si="52"/>
        <v>7181</v>
      </c>
    </row>
    <row r="248" spans="1:50" x14ac:dyDescent="0.25">
      <c r="A248" s="113">
        <v>245</v>
      </c>
      <c r="B248" s="209" t="s">
        <v>559</v>
      </c>
      <c r="C248">
        <f>IFERROR(INDEX($BD$7:$BO$35,MATCH(Ajustes!$E$4:$E$323,$BC$7:$BC$35,0),$C$2:$N$2),1)</f>
        <v>1</v>
      </c>
      <c r="D248" s="113">
        <f>IFERROR(INDEX($BD$7:$BO$35,MATCH(Ajustes!$E$4:$E$323,$BC$7:$BC$35,0),$C$2:$N$2),1)</f>
        <v>1</v>
      </c>
      <c r="E248" s="113">
        <f>IFERROR(INDEX($BD$7:$BO$35,MATCH(Ajustes!$E$4:$E$323,$BC$7:$BC$35,0),$C$2:$N$2),1)</f>
        <v>1</v>
      </c>
      <c r="F248" s="113">
        <f>IFERROR(INDEX($BD$7:$BO$35,MATCH(Ajustes!$E$4:$E$323,$BC$7:$BC$35,0),$C$2:$N$2),1)</f>
        <v>1</v>
      </c>
      <c r="G248" s="113">
        <f>IFERROR(INDEX($BD$7:$BO$35,MATCH(Ajustes!$E$4:$E$323,$BC$7:$BC$35,0),$C$2:$N$2),1)</f>
        <v>1</v>
      </c>
      <c r="H248" s="113">
        <f>IFERROR(INDEX($BD$7:$BO$35,MATCH(Ajustes!$E$4:$E$323,$BC$7:$BC$35,0),$C$2:$N$2),1)</f>
        <v>1</v>
      </c>
      <c r="I248" s="113">
        <f>IFERROR(INDEX($BD$7:$BO$35,MATCH(Ajustes!$E$4:$E$323,$BC$7:$BC$35,0),$C$2:$N$2),1)</f>
        <v>1</v>
      </c>
      <c r="J248" s="113">
        <f>IFERROR(INDEX($BD$7:$BO$35,MATCH(Ajustes!$E$4:$E$323,$BC$7:$BC$35,0),$C$2:$N$2),1)</f>
        <v>1</v>
      </c>
      <c r="K248" s="113">
        <f>IFERROR(INDEX($BD$7:$BO$35,MATCH(Ajustes!$E$4:$E$323,$BC$7:$BC$35,0),$C$2:$N$2),1)</f>
        <v>1</v>
      </c>
      <c r="L248" s="113">
        <f>IFERROR(INDEX($BD$7:$BO$35,MATCH(Ajustes!$E$4:$E$323,$BC$7:$BC$35,0),$C$2:$N$2),1)</f>
        <v>1</v>
      </c>
      <c r="M248" s="113">
        <f>IFERROR(INDEX($BD$7:$BO$35,MATCH(Ajustes!$E$4:$E$323,$BC$7:$BC$35,0),$C$2:$N$2),1)</f>
        <v>1</v>
      </c>
      <c r="N248" s="113">
        <f>IFERROR(INDEX($BD$7:$BO$35,MATCH(Ajustes!$E$4:$E$323,$BC$7:$BC$35,0),$C$2:$N$2),1)</f>
        <v>1</v>
      </c>
      <c r="O248">
        <f>C248*Ajustes!AM248</f>
        <v>150</v>
      </c>
      <c r="P248">
        <f>D248*Ajustes!AN248</f>
        <v>174</v>
      </c>
      <c r="Q248">
        <f>E248*Ajustes!AO248</f>
        <v>141</v>
      </c>
      <c r="R248">
        <f>F248*Ajustes!AP248</f>
        <v>132</v>
      </c>
      <c r="S248">
        <f>G248*Ajustes!AQ248</f>
        <v>130</v>
      </c>
      <c r="T248">
        <f>H248*Ajustes!AR248</f>
        <v>141</v>
      </c>
      <c r="U248">
        <f>I248*Ajustes!AS248</f>
        <v>140</v>
      </c>
      <c r="V248">
        <f>J248*Ajustes!AT248</f>
        <v>149</v>
      </c>
      <c r="W248">
        <f>K248*Ajustes!AU248</f>
        <v>133</v>
      </c>
      <c r="X248">
        <f>L248*Ajustes!AV248</f>
        <v>121</v>
      </c>
      <c r="Y248">
        <f>M248*Ajustes!AW248</f>
        <v>111</v>
      </c>
      <c r="Z248">
        <f>N248*Ajustes!AX248</f>
        <v>105</v>
      </c>
      <c r="AA248">
        <f>IF(Ajustes!$G248&gt;0,INDEX($AA$4:$AL$323,Ajustes!$G248,O$2),0)+IF(Ajustes!$H248&gt;0,INDEX($AA$4:$AL$323,Ajustes!$H248,O$2),0)+IF(Ajustes!$I248&gt;0,INDEX($AA$4:$AL$323,Ajustes!$I248,O$2),0)+IF(Ajustes!$J248&gt;0,INDEX($AA$4:$AL$323,Ajustes!$J248,O$2),0)+IF(Ajustes!$K248&gt;0,INDEX($AA$5:$AL$324,Ajustes!$K248,O$2),0)+IF(Ajustes!$L248&gt;0,INDEX($AA$4:$AL$323,Ajustes!$L248,O$2),0) + O248</f>
        <v>10693</v>
      </c>
      <c r="AB248">
        <f>IF(Ajustes!$G248&gt;0,INDEX($AA$4:$AL$323,Ajustes!$G248,P$2),0)+IF(Ajustes!$H248&gt;0,INDEX($AA$4:$AL$323,Ajustes!$H248,P$2),0)+IF(Ajustes!$I248&gt;0,INDEX($AA$4:$AL$323,Ajustes!$I248,P$2),0)+IF(Ajustes!$J248&gt;0,INDEX($AA$4:$AL$323,Ajustes!$J248,P$2),0)+IF(Ajustes!$K248&gt;0,INDEX($AA$5:$AL$324,Ajustes!$K248,P$2),0)+IF(Ajustes!$L248&gt;0,INDEX($AA$4:$AL$323,Ajustes!$L248,P$2),0) + P248</f>
        <v>11311</v>
      </c>
      <c r="AC248">
        <f>IF(Ajustes!$G248&gt;0,INDEX($AA$4:$AL$323,Ajustes!$G248,Q$2),0)+IF(Ajustes!$H248&gt;0,INDEX($AA$4:$AL$323,Ajustes!$H248,Q$2),0)+IF(Ajustes!$I248&gt;0,INDEX($AA$4:$AL$323,Ajustes!$I248,Q$2),0)+IF(Ajustes!$J248&gt;0,INDEX($AA$4:$AL$323,Ajustes!$J248,Q$2),0)+IF(Ajustes!$K248&gt;0,INDEX($AA$5:$AL$324,Ajustes!$K248,Q$2),0)+IF(Ajustes!$L248&gt;0,INDEX($AA$4:$AL$323,Ajustes!$L248,Q$2),0) + Q248</f>
        <v>10676</v>
      </c>
      <c r="AD248">
        <f>IF(Ajustes!$G248&gt;0,INDEX($AA$4:$AL$323,Ajustes!$G248,R$2),0)+IF(Ajustes!$H248&gt;0,INDEX($AA$4:$AL$323,Ajustes!$H248,R$2),0)+IF(Ajustes!$I248&gt;0,INDEX($AA$4:$AL$323,Ajustes!$I248,R$2),0)+IF(Ajustes!$J248&gt;0,INDEX($AA$4:$AL$323,Ajustes!$J248,R$2),0)+IF(Ajustes!$K248&gt;0,INDEX($AA$5:$AL$324,Ajustes!$K248,R$2),0)+IF(Ajustes!$L248&gt;0,INDEX($AA$4:$AL$323,Ajustes!$L248,R$2),0) + R248</f>
        <v>8004</v>
      </c>
      <c r="AE248">
        <f>IF(Ajustes!$G248&gt;0,INDEX($AA$4:$AL$323,Ajustes!$G248,S$2),0)+IF(Ajustes!$H248&gt;0,INDEX($AA$4:$AL$323,Ajustes!$H248,S$2),0)+IF(Ajustes!$I248&gt;0,INDEX($AA$4:$AL$323,Ajustes!$I248,S$2),0)+IF(Ajustes!$J248&gt;0,INDEX($AA$4:$AL$323,Ajustes!$J248,S$2),0)+IF(Ajustes!$K248&gt;0,INDEX($AA$5:$AL$324,Ajustes!$K248,S$2),0)+IF(Ajustes!$L248&gt;0,INDEX($AA$4:$AL$323,Ajustes!$L248,S$2),0) + S248</f>
        <v>5621</v>
      </c>
      <c r="AF248">
        <f>IF(Ajustes!$G248&gt;0,INDEX($AA$4:$AL$323,Ajustes!$G248,T$2),0)+IF(Ajustes!$H248&gt;0,INDEX($AA$4:$AL$323,Ajustes!$H248,T$2),0)+IF(Ajustes!$I248&gt;0,INDEX($AA$4:$AL$323,Ajustes!$I248,T$2),0)+IF(Ajustes!$J248&gt;0,INDEX($AA$4:$AL$323,Ajustes!$J248,T$2),0)+IF(Ajustes!$K248&gt;0,INDEX($AA$5:$AL$324,Ajustes!$K248,T$2),0)+IF(Ajustes!$L248&gt;0,INDEX($AA$4:$AL$323,Ajustes!$L248,T$2),0) + T248</f>
        <v>4754</v>
      </c>
      <c r="AG248">
        <f>IF(Ajustes!$G248&gt;0,INDEX($AA$4:$AL$323,Ajustes!$G248,U$2),0)+IF(Ajustes!$H248&gt;0,INDEX($AA$4:$AL$323,Ajustes!$H248,U$2),0)+IF(Ajustes!$I248&gt;0,INDEX($AA$4:$AL$323,Ajustes!$I248,U$2),0)+IF(Ajustes!$J248&gt;0,INDEX($AA$4:$AL$323,Ajustes!$J248,U$2),0)+IF(Ajustes!$K248&gt;0,INDEX($AA$5:$AL$324,Ajustes!$K248,U$2),0)+IF(Ajustes!$L248&gt;0,INDEX($AA$4:$AL$323,Ajustes!$L248,U$2),0) + U248</f>
        <v>3925</v>
      </c>
      <c r="AH248">
        <f>IF(Ajustes!$G248&gt;0,INDEX($AA$4:$AL$323,Ajustes!$G248,V$2),0)+IF(Ajustes!$H248&gt;0,INDEX($AA$4:$AL$323,Ajustes!$H248,V$2),0)+IF(Ajustes!$I248&gt;0,INDEX($AA$4:$AL$323,Ajustes!$I248,V$2),0)+IF(Ajustes!$J248&gt;0,INDEX($AA$4:$AL$323,Ajustes!$J248,V$2),0)+IF(Ajustes!$K248&gt;0,INDEX($AA$5:$AL$324,Ajustes!$K248,V$2),0)+IF(Ajustes!$L248&gt;0,INDEX($AA$4:$AL$323,Ajustes!$L248,V$2),0) + V248</f>
        <v>3347</v>
      </c>
      <c r="AI248">
        <f>IF(Ajustes!$G248&gt;0,INDEX($AA$4:$AL$323,Ajustes!$G248,W$2),0)+IF(Ajustes!$H248&gt;0,INDEX($AA$4:$AL$323,Ajustes!$H248,W$2),0)+IF(Ajustes!$I248&gt;0,INDEX($AA$4:$AL$323,Ajustes!$I248,W$2),0)+IF(Ajustes!$J248&gt;0,INDEX($AA$4:$AL$323,Ajustes!$J248,W$2),0)+IF(Ajustes!$K248&gt;0,INDEX($AA$5:$AL$324,Ajustes!$K248,W$2),0)+IF(Ajustes!$L248&gt;0,INDEX($AA$4:$AL$323,Ajustes!$L248,W$2),0) + W248</f>
        <v>3236</v>
      </c>
      <c r="AJ248">
        <f>IF(Ajustes!$G248&gt;0,INDEX($AA$4:$AL$323,Ajustes!$G248,X$2),0)+IF(Ajustes!$H248&gt;0,INDEX($AA$4:$AL$323,Ajustes!$H248,X$2),0)+IF(Ajustes!$I248&gt;0,INDEX($AA$4:$AL$323,Ajustes!$I248,X$2),0)+IF(Ajustes!$J248&gt;0,INDEX($AA$4:$AL$323,Ajustes!$J248,X$2),0)+IF(Ajustes!$K248&gt;0,INDEX($AA$5:$AL$324,Ajustes!$K248,X$2),0)+IF(Ajustes!$L248&gt;0,INDEX($AA$4:$AL$323,Ajustes!$L248,X$2),0) + X248</f>
        <v>3720</v>
      </c>
      <c r="AK248">
        <f>IF(Ajustes!$G248&gt;0,INDEX($AA$4:$AL$323,Ajustes!$G248,Y$2),0)+IF(Ajustes!$H248&gt;0,INDEX($AA$4:$AL$323,Ajustes!$H248,Y$2),0)+IF(Ajustes!$I248&gt;0,INDEX($AA$4:$AL$323,Ajustes!$I248,Y$2),0)+IF(Ajustes!$J248&gt;0,INDEX($AA$4:$AL$323,Ajustes!$J248,Y$2),0)+IF(Ajustes!$K248&gt;0,INDEX($AA$5:$AL$324,Ajustes!$K248,Y$2),0)+IF(Ajustes!$L248&gt;0,INDEX($AA$4:$AL$323,Ajustes!$L248,Y$2),0) + Y248</f>
        <v>4816</v>
      </c>
      <c r="AL248">
        <f>IF(Ajustes!$G248&gt;0,INDEX($AA$4:$AL$323,Ajustes!$G248,Z$2),0)+IF(Ajustes!$H248&gt;0,INDEX($AA$4:$AL$323,Ajustes!$H248,Z$2),0)+IF(Ajustes!$I248&gt;0,INDEX($AA$4:$AL$323,Ajustes!$I248,Z$2),0)+IF(Ajustes!$J248&gt;0,INDEX($AA$4:$AL$323,Ajustes!$J248,Z$2),0)+IF(Ajustes!$K248&gt;0,INDEX($AA$5:$AL$324,Ajustes!$K248,Z$2),0)+IF(Ajustes!$L248&gt;0,INDEX($AA$4:$AL$323,Ajustes!$L248,Z$2),0) + Z248</f>
        <v>7509</v>
      </c>
      <c r="AM248" s="113">
        <f t="shared" si="47"/>
        <v>10693</v>
      </c>
      <c r="AN248" s="113">
        <f t="shared" si="47"/>
        <v>11311</v>
      </c>
      <c r="AO248" s="113">
        <f t="shared" si="47"/>
        <v>10676</v>
      </c>
      <c r="AP248" s="113">
        <f t="shared" si="47"/>
        <v>8004</v>
      </c>
      <c r="AQ248" s="113">
        <f t="shared" si="49"/>
        <v>5621</v>
      </c>
      <c r="AR248" s="113">
        <f t="shared" si="48"/>
        <v>4754</v>
      </c>
      <c r="AS248" s="113">
        <f t="shared" si="48"/>
        <v>3925</v>
      </c>
      <c r="AT248" s="113">
        <f t="shared" si="48"/>
        <v>3347</v>
      </c>
      <c r="AU248" s="113">
        <f t="shared" si="48"/>
        <v>3236</v>
      </c>
      <c r="AV248" s="113">
        <f t="shared" si="51"/>
        <v>3720</v>
      </c>
      <c r="AW248" s="113">
        <f t="shared" si="50"/>
        <v>4816</v>
      </c>
      <c r="AX248" s="113">
        <f t="shared" si="50"/>
        <v>7509</v>
      </c>
    </row>
    <row r="249" spans="1:50" x14ac:dyDescent="0.25">
      <c r="A249" s="113">
        <v>246</v>
      </c>
      <c r="B249" s="209" t="s">
        <v>560</v>
      </c>
      <c r="C249">
        <f>IFERROR(INDEX($BD$7:$BO$35,MATCH(Ajustes!$E$4:$E$323,$BC$7:$BC$35,0),$C$2:$N$2),1)</f>
        <v>1</v>
      </c>
      <c r="D249" s="113">
        <f>IFERROR(INDEX($BD$7:$BO$35,MATCH(Ajustes!$E$4:$E$323,$BC$7:$BC$35,0),$C$2:$N$2),1)</f>
        <v>1</v>
      </c>
      <c r="E249" s="113">
        <f>IFERROR(INDEX($BD$7:$BO$35,MATCH(Ajustes!$E$4:$E$323,$BC$7:$BC$35,0),$C$2:$N$2),1)</f>
        <v>1</v>
      </c>
      <c r="F249" s="113">
        <f>IFERROR(INDEX($BD$7:$BO$35,MATCH(Ajustes!$E$4:$E$323,$BC$7:$BC$35,0),$C$2:$N$2),1)</f>
        <v>1</v>
      </c>
      <c r="G249" s="113">
        <f>IFERROR(INDEX($BD$7:$BO$35,MATCH(Ajustes!$E$4:$E$323,$BC$7:$BC$35,0),$C$2:$N$2),1)</f>
        <v>1</v>
      </c>
      <c r="H249" s="113">
        <f>IFERROR(INDEX($BD$7:$BO$35,MATCH(Ajustes!$E$4:$E$323,$BC$7:$BC$35,0),$C$2:$N$2),1)</f>
        <v>1</v>
      </c>
      <c r="I249" s="113">
        <f>IFERROR(INDEX($BD$7:$BO$35,MATCH(Ajustes!$E$4:$E$323,$BC$7:$BC$35,0),$C$2:$N$2),1)</f>
        <v>1</v>
      </c>
      <c r="J249" s="113">
        <f>IFERROR(INDEX($BD$7:$BO$35,MATCH(Ajustes!$E$4:$E$323,$BC$7:$BC$35,0),$C$2:$N$2),1)</f>
        <v>1</v>
      </c>
      <c r="K249" s="113">
        <f>IFERROR(INDEX($BD$7:$BO$35,MATCH(Ajustes!$E$4:$E$323,$BC$7:$BC$35,0),$C$2:$N$2),1)</f>
        <v>1</v>
      </c>
      <c r="L249" s="113">
        <f>IFERROR(INDEX($BD$7:$BO$35,MATCH(Ajustes!$E$4:$E$323,$BC$7:$BC$35,0),$C$2:$N$2),1)</f>
        <v>1</v>
      </c>
      <c r="M249" s="113">
        <f>IFERROR(INDEX($BD$7:$BO$35,MATCH(Ajustes!$E$4:$E$323,$BC$7:$BC$35,0),$C$2:$N$2),1)</f>
        <v>1</v>
      </c>
      <c r="N249" s="113">
        <f>IFERROR(INDEX($BD$7:$BO$35,MATCH(Ajustes!$E$4:$E$323,$BC$7:$BC$35,0),$C$2:$N$2),1)</f>
        <v>1</v>
      </c>
      <c r="O249">
        <f>C249*Ajustes!AM249</f>
        <v>866</v>
      </c>
      <c r="P249">
        <f>D249*Ajustes!AN249</f>
        <v>1122</v>
      </c>
      <c r="Q249">
        <f>E249*Ajustes!AO249</f>
        <v>1100</v>
      </c>
      <c r="R249">
        <f>F249*Ajustes!AP249</f>
        <v>1038</v>
      </c>
      <c r="S249">
        <f>G249*Ajustes!AQ249</f>
        <v>887</v>
      </c>
      <c r="T249">
        <f>H249*Ajustes!AR249</f>
        <v>887</v>
      </c>
      <c r="U249">
        <f>I249*Ajustes!AS249</f>
        <v>714</v>
      </c>
      <c r="V249">
        <f>J249*Ajustes!AT249</f>
        <v>607</v>
      </c>
      <c r="W249">
        <f>K249*Ajustes!AU249</f>
        <v>606</v>
      </c>
      <c r="X249">
        <f>L249*Ajustes!AV249</f>
        <v>660</v>
      </c>
      <c r="Y249">
        <f>M249*Ajustes!AW249</f>
        <v>657</v>
      </c>
      <c r="Z249">
        <f>N249*Ajustes!AX249</f>
        <v>652</v>
      </c>
      <c r="AA249">
        <f>IF(Ajustes!$G249&gt;0,INDEX($AA$4:$AL$323,Ajustes!$G249,O$2),0)+IF(Ajustes!$H249&gt;0,INDEX($AA$4:$AL$323,Ajustes!$H249,O$2),0)+IF(Ajustes!$I249&gt;0,INDEX($AA$4:$AL$323,Ajustes!$I249,O$2),0)+IF(Ajustes!$J249&gt;0,INDEX($AA$4:$AL$323,Ajustes!$J249,O$2),0)+IF(Ajustes!$K249&gt;0,INDEX($AA$5:$AL$324,Ajustes!$K249,O$2),0)+IF(Ajustes!$L249&gt;0,INDEX($AA$4:$AL$323,Ajustes!$L249,O$2),0) + O249</f>
        <v>11559</v>
      </c>
      <c r="AB249">
        <f>IF(Ajustes!$G249&gt;0,INDEX($AA$4:$AL$323,Ajustes!$G249,P$2),0)+IF(Ajustes!$H249&gt;0,INDEX($AA$4:$AL$323,Ajustes!$H249,P$2),0)+IF(Ajustes!$I249&gt;0,INDEX($AA$4:$AL$323,Ajustes!$I249,P$2),0)+IF(Ajustes!$J249&gt;0,INDEX($AA$4:$AL$323,Ajustes!$J249,P$2),0)+IF(Ajustes!$K249&gt;0,INDEX($AA$5:$AL$324,Ajustes!$K249,P$2),0)+IF(Ajustes!$L249&gt;0,INDEX($AA$4:$AL$323,Ajustes!$L249,P$2),0) + P249</f>
        <v>12433</v>
      </c>
      <c r="AC249">
        <f>IF(Ajustes!$G249&gt;0,INDEX($AA$4:$AL$323,Ajustes!$G249,Q$2),0)+IF(Ajustes!$H249&gt;0,INDEX($AA$4:$AL$323,Ajustes!$H249,Q$2),0)+IF(Ajustes!$I249&gt;0,INDEX($AA$4:$AL$323,Ajustes!$I249,Q$2),0)+IF(Ajustes!$J249&gt;0,INDEX($AA$4:$AL$323,Ajustes!$J249,Q$2),0)+IF(Ajustes!$K249&gt;0,INDEX($AA$5:$AL$324,Ajustes!$K249,Q$2),0)+IF(Ajustes!$L249&gt;0,INDEX($AA$4:$AL$323,Ajustes!$L249,Q$2),0) + Q249</f>
        <v>11776</v>
      </c>
      <c r="AD249">
        <f>IF(Ajustes!$G249&gt;0,INDEX($AA$4:$AL$323,Ajustes!$G249,R$2),0)+IF(Ajustes!$H249&gt;0,INDEX($AA$4:$AL$323,Ajustes!$H249,R$2),0)+IF(Ajustes!$I249&gt;0,INDEX($AA$4:$AL$323,Ajustes!$I249,R$2),0)+IF(Ajustes!$J249&gt;0,INDEX($AA$4:$AL$323,Ajustes!$J249,R$2),0)+IF(Ajustes!$K249&gt;0,INDEX($AA$5:$AL$324,Ajustes!$K249,R$2),0)+IF(Ajustes!$L249&gt;0,INDEX($AA$4:$AL$323,Ajustes!$L249,R$2),0) + R249</f>
        <v>9042</v>
      </c>
      <c r="AE249">
        <f>IF(Ajustes!$G249&gt;0,INDEX($AA$4:$AL$323,Ajustes!$G249,S$2),0)+IF(Ajustes!$H249&gt;0,INDEX($AA$4:$AL$323,Ajustes!$H249,S$2),0)+IF(Ajustes!$I249&gt;0,INDEX($AA$4:$AL$323,Ajustes!$I249,S$2),0)+IF(Ajustes!$J249&gt;0,INDEX($AA$4:$AL$323,Ajustes!$J249,S$2),0)+IF(Ajustes!$K249&gt;0,INDEX($AA$5:$AL$324,Ajustes!$K249,S$2),0)+IF(Ajustes!$L249&gt;0,INDEX($AA$4:$AL$323,Ajustes!$L249,S$2),0) + S249</f>
        <v>6508</v>
      </c>
      <c r="AF249">
        <f>IF(Ajustes!$G249&gt;0,INDEX($AA$4:$AL$323,Ajustes!$G249,T$2),0)+IF(Ajustes!$H249&gt;0,INDEX($AA$4:$AL$323,Ajustes!$H249,T$2),0)+IF(Ajustes!$I249&gt;0,INDEX($AA$4:$AL$323,Ajustes!$I249,T$2),0)+IF(Ajustes!$J249&gt;0,INDEX($AA$4:$AL$323,Ajustes!$J249,T$2),0)+IF(Ajustes!$K249&gt;0,INDEX($AA$5:$AL$324,Ajustes!$K249,T$2),0)+IF(Ajustes!$L249&gt;0,INDEX($AA$4:$AL$323,Ajustes!$L249,T$2),0) + T249</f>
        <v>5641</v>
      </c>
      <c r="AG249">
        <f>IF(Ajustes!$G249&gt;0,INDEX($AA$4:$AL$323,Ajustes!$G249,U$2),0)+IF(Ajustes!$H249&gt;0,INDEX($AA$4:$AL$323,Ajustes!$H249,U$2),0)+IF(Ajustes!$I249&gt;0,INDEX($AA$4:$AL$323,Ajustes!$I249,U$2),0)+IF(Ajustes!$J249&gt;0,INDEX($AA$4:$AL$323,Ajustes!$J249,U$2),0)+IF(Ajustes!$K249&gt;0,INDEX($AA$5:$AL$324,Ajustes!$K249,U$2),0)+IF(Ajustes!$L249&gt;0,INDEX($AA$4:$AL$323,Ajustes!$L249,U$2),0) + U249</f>
        <v>4639</v>
      </c>
      <c r="AH249">
        <f>IF(Ajustes!$G249&gt;0,INDEX($AA$4:$AL$323,Ajustes!$G249,V$2),0)+IF(Ajustes!$H249&gt;0,INDEX($AA$4:$AL$323,Ajustes!$H249,V$2),0)+IF(Ajustes!$I249&gt;0,INDEX($AA$4:$AL$323,Ajustes!$I249,V$2),0)+IF(Ajustes!$J249&gt;0,INDEX($AA$4:$AL$323,Ajustes!$J249,V$2),0)+IF(Ajustes!$K249&gt;0,INDEX($AA$5:$AL$324,Ajustes!$K249,V$2),0)+IF(Ajustes!$L249&gt;0,INDEX($AA$4:$AL$323,Ajustes!$L249,V$2),0) + V249</f>
        <v>3954</v>
      </c>
      <c r="AI249">
        <f>IF(Ajustes!$G249&gt;0,INDEX($AA$4:$AL$323,Ajustes!$G249,W$2),0)+IF(Ajustes!$H249&gt;0,INDEX($AA$4:$AL$323,Ajustes!$H249,W$2),0)+IF(Ajustes!$I249&gt;0,INDEX($AA$4:$AL$323,Ajustes!$I249,W$2),0)+IF(Ajustes!$J249&gt;0,INDEX($AA$4:$AL$323,Ajustes!$J249,W$2),0)+IF(Ajustes!$K249&gt;0,INDEX($AA$5:$AL$324,Ajustes!$K249,W$2),0)+IF(Ajustes!$L249&gt;0,INDEX($AA$4:$AL$323,Ajustes!$L249,W$2),0) + W249</f>
        <v>3842</v>
      </c>
      <c r="AJ249">
        <f>IF(Ajustes!$G249&gt;0,INDEX($AA$4:$AL$323,Ajustes!$G249,X$2),0)+IF(Ajustes!$H249&gt;0,INDEX($AA$4:$AL$323,Ajustes!$H249,X$2),0)+IF(Ajustes!$I249&gt;0,INDEX($AA$4:$AL$323,Ajustes!$I249,X$2),0)+IF(Ajustes!$J249&gt;0,INDEX($AA$4:$AL$323,Ajustes!$J249,X$2),0)+IF(Ajustes!$K249&gt;0,INDEX($AA$5:$AL$324,Ajustes!$K249,X$2),0)+IF(Ajustes!$L249&gt;0,INDEX($AA$4:$AL$323,Ajustes!$L249,X$2),0) + X249</f>
        <v>4380</v>
      </c>
      <c r="AK249">
        <f>IF(Ajustes!$G249&gt;0,INDEX($AA$4:$AL$323,Ajustes!$G249,Y$2),0)+IF(Ajustes!$H249&gt;0,INDEX($AA$4:$AL$323,Ajustes!$H249,Y$2),0)+IF(Ajustes!$I249&gt;0,INDEX($AA$4:$AL$323,Ajustes!$I249,Y$2),0)+IF(Ajustes!$J249&gt;0,INDEX($AA$4:$AL$323,Ajustes!$J249,Y$2),0)+IF(Ajustes!$K249&gt;0,INDEX($AA$5:$AL$324,Ajustes!$K249,Y$2),0)+IF(Ajustes!$L249&gt;0,INDEX($AA$4:$AL$323,Ajustes!$L249,Y$2),0) + Y249</f>
        <v>5473</v>
      </c>
      <c r="AL249">
        <f>IF(Ajustes!$G249&gt;0,INDEX($AA$4:$AL$323,Ajustes!$G249,Z$2),0)+IF(Ajustes!$H249&gt;0,INDEX($AA$4:$AL$323,Ajustes!$H249,Z$2),0)+IF(Ajustes!$I249&gt;0,INDEX($AA$4:$AL$323,Ajustes!$I249,Z$2),0)+IF(Ajustes!$J249&gt;0,INDEX($AA$4:$AL$323,Ajustes!$J249,Z$2),0)+IF(Ajustes!$K249&gt;0,INDEX($AA$5:$AL$324,Ajustes!$K249,Z$2),0)+IF(Ajustes!$L249&gt;0,INDEX($AA$4:$AL$323,Ajustes!$L249,Z$2),0) + Z249</f>
        <v>8161</v>
      </c>
      <c r="AM249" s="113">
        <f t="shared" si="47"/>
        <v>11559</v>
      </c>
      <c r="AN249" s="113">
        <f t="shared" si="47"/>
        <v>12433</v>
      </c>
      <c r="AO249" s="113">
        <f t="shared" si="47"/>
        <v>11776</v>
      </c>
      <c r="AP249" s="113">
        <f t="shared" si="47"/>
        <v>9042</v>
      </c>
      <c r="AQ249" s="113">
        <f t="shared" si="49"/>
        <v>6508</v>
      </c>
      <c r="AR249" s="113">
        <f t="shared" si="48"/>
        <v>5641</v>
      </c>
      <c r="AS249" s="113">
        <f t="shared" si="48"/>
        <v>4639</v>
      </c>
      <c r="AT249" s="113">
        <f t="shared" si="48"/>
        <v>3954</v>
      </c>
      <c r="AU249" s="113">
        <f t="shared" si="48"/>
        <v>3842</v>
      </c>
      <c r="AV249" s="113">
        <f t="shared" si="51"/>
        <v>4380</v>
      </c>
      <c r="AW249" s="113">
        <f t="shared" si="50"/>
        <v>5473</v>
      </c>
      <c r="AX249" s="113">
        <f t="shared" si="50"/>
        <v>8161</v>
      </c>
    </row>
    <row r="250" spans="1:50" x14ac:dyDescent="0.25">
      <c r="A250" s="113">
        <v>247</v>
      </c>
      <c r="B250" s="209" t="s">
        <v>645</v>
      </c>
      <c r="C250">
        <f>IFERROR(INDEX($BD$7:$BO$35,MATCH(Ajustes!$E$4:$E$323,$BC$7:$BC$35,0),$C$2:$N$2),1)</f>
        <v>1</v>
      </c>
      <c r="D250" s="113">
        <f>IFERROR(INDEX($BD$7:$BO$35,MATCH(Ajustes!$E$4:$E$323,$BC$7:$BC$35,0),$C$2:$N$2),1)</f>
        <v>1</v>
      </c>
      <c r="E250" s="113">
        <f>IFERROR(INDEX($BD$7:$BO$35,MATCH(Ajustes!$E$4:$E$323,$BC$7:$BC$35,0),$C$2:$N$2),1)</f>
        <v>1</v>
      </c>
      <c r="F250" s="113">
        <f>IFERROR(INDEX($BD$7:$BO$35,MATCH(Ajustes!$E$4:$E$323,$BC$7:$BC$35,0),$C$2:$N$2),1)</f>
        <v>1</v>
      </c>
      <c r="G250" s="113">
        <f>IFERROR(INDEX($BD$7:$BO$35,MATCH(Ajustes!$E$4:$E$323,$BC$7:$BC$35,0),$C$2:$N$2),1)</f>
        <v>1</v>
      </c>
      <c r="H250" s="113">
        <f>IFERROR(INDEX($BD$7:$BO$35,MATCH(Ajustes!$E$4:$E$323,$BC$7:$BC$35,0),$C$2:$N$2),1)</f>
        <v>1</v>
      </c>
      <c r="I250" s="113">
        <f>IFERROR(INDEX($BD$7:$BO$35,MATCH(Ajustes!$E$4:$E$323,$BC$7:$BC$35,0),$C$2:$N$2),1)</f>
        <v>1</v>
      </c>
      <c r="J250" s="113">
        <f>IFERROR(INDEX($BD$7:$BO$35,MATCH(Ajustes!$E$4:$E$323,$BC$7:$BC$35,0),$C$2:$N$2),1)</f>
        <v>1</v>
      </c>
      <c r="K250" s="113">
        <f>IFERROR(INDEX($BD$7:$BO$35,MATCH(Ajustes!$E$4:$E$323,$BC$7:$BC$35,0),$C$2:$N$2),1)</f>
        <v>1</v>
      </c>
      <c r="L250" s="113">
        <f>IFERROR(INDEX($BD$7:$BO$35,MATCH(Ajustes!$E$4:$E$323,$BC$7:$BC$35,0),$C$2:$N$2),1)</f>
        <v>1</v>
      </c>
      <c r="M250" s="113">
        <f>IFERROR(INDEX($BD$7:$BO$35,MATCH(Ajustes!$E$4:$E$323,$BC$7:$BC$35,0),$C$2:$N$2),1)</f>
        <v>1</v>
      </c>
      <c r="N250" s="113">
        <f>IFERROR(INDEX($BD$7:$BO$35,MATCH(Ajustes!$E$4:$E$323,$BC$7:$BC$35,0),$C$2:$N$2),1)</f>
        <v>1</v>
      </c>
      <c r="O250">
        <f>C250*Ajustes!AM250</f>
        <v>289</v>
      </c>
      <c r="P250">
        <f>D250*Ajustes!AN250</f>
        <v>323</v>
      </c>
      <c r="Q250">
        <f>E250*Ajustes!AO250</f>
        <v>328</v>
      </c>
      <c r="R250">
        <f>F250*Ajustes!AP250</f>
        <v>253</v>
      </c>
      <c r="S250">
        <f>G250*Ajustes!AQ250</f>
        <v>177</v>
      </c>
      <c r="T250">
        <f>H250*Ajustes!AR250</f>
        <v>139</v>
      </c>
      <c r="U250">
        <f>I250*Ajustes!AS250</f>
        <v>116</v>
      </c>
      <c r="V250">
        <f>J250*Ajustes!AT250</f>
        <v>101</v>
      </c>
      <c r="W250">
        <f>K250*Ajustes!AU250</f>
        <v>103</v>
      </c>
      <c r="X250">
        <f>L250*Ajustes!AV250</f>
        <v>128</v>
      </c>
      <c r="Y250">
        <f>M250*Ajustes!AW250</f>
        <v>166</v>
      </c>
      <c r="Z250">
        <f>N250*Ajustes!AX250</f>
        <v>231</v>
      </c>
      <c r="AA250">
        <f>IF(Ajustes!$G250&gt;0,INDEX($AA$4:$AL$323,Ajustes!$G250,O$2),0)+IF(Ajustes!$H250&gt;0,INDEX($AA$4:$AL$323,Ajustes!$H250,O$2),0)+IF(Ajustes!$I250&gt;0,INDEX($AA$4:$AL$323,Ajustes!$I250,O$2),0)+IF(Ajustes!$J250&gt;0,INDEX($AA$4:$AL$323,Ajustes!$J250,O$2),0)+IF(Ajustes!$K250&gt;0,INDEX($AA$5:$AL$324,Ajustes!$K250,O$2),0)+IF(Ajustes!$L250&gt;0,INDEX($AA$4:$AL$323,Ajustes!$L250,O$2),0) + O250</f>
        <v>289</v>
      </c>
      <c r="AB250">
        <f>IF(Ajustes!$G250&gt;0,INDEX($AA$4:$AL$323,Ajustes!$G250,P$2),0)+IF(Ajustes!$H250&gt;0,INDEX($AA$4:$AL$323,Ajustes!$H250,P$2),0)+IF(Ajustes!$I250&gt;0,INDEX($AA$4:$AL$323,Ajustes!$I250,P$2),0)+IF(Ajustes!$J250&gt;0,INDEX($AA$4:$AL$323,Ajustes!$J250,P$2),0)+IF(Ajustes!$K250&gt;0,INDEX($AA$5:$AL$324,Ajustes!$K250,P$2),0)+IF(Ajustes!$L250&gt;0,INDEX($AA$4:$AL$323,Ajustes!$L250,P$2),0) + P250</f>
        <v>323</v>
      </c>
      <c r="AC250">
        <f>IF(Ajustes!$G250&gt;0,INDEX($AA$4:$AL$323,Ajustes!$G250,Q$2),0)+IF(Ajustes!$H250&gt;0,INDEX($AA$4:$AL$323,Ajustes!$H250,Q$2),0)+IF(Ajustes!$I250&gt;0,INDEX($AA$4:$AL$323,Ajustes!$I250,Q$2),0)+IF(Ajustes!$J250&gt;0,INDEX($AA$4:$AL$323,Ajustes!$J250,Q$2),0)+IF(Ajustes!$K250&gt;0,INDEX($AA$5:$AL$324,Ajustes!$K250,Q$2),0)+IF(Ajustes!$L250&gt;0,INDEX($AA$4:$AL$323,Ajustes!$L250,Q$2),0) + Q250</f>
        <v>328</v>
      </c>
      <c r="AD250">
        <f>IF(Ajustes!$G250&gt;0,INDEX($AA$4:$AL$323,Ajustes!$G250,R$2),0)+IF(Ajustes!$H250&gt;0,INDEX($AA$4:$AL$323,Ajustes!$H250,R$2),0)+IF(Ajustes!$I250&gt;0,INDEX($AA$4:$AL$323,Ajustes!$I250,R$2),0)+IF(Ajustes!$J250&gt;0,INDEX($AA$4:$AL$323,Ajustes!$J250,R$2),0)+IF(Ajustes!$K250&gt;0,INDEX($AA$5:$AL$324,Ajustes!$K250,R$2),0)+IF(Ajustes!$L250&gt;0,INDEX($AA$4:$AL$323,Ajustes!$L250,R$2),0) + R250</f>
        <v>253</v>
      </c>
      <c r="AE250">
        <f>IF(Ajustes!$G250&gt;0,INDEX($AA$4:$AL$323,Ajustes!$G250,S$2),0)+IF(Ajustes!$H250&gt;0,INDEX($AA$4:$AL$323,Ajustes!$H250,S$2),0)+IF(Ajustes!$I250&gt;0,INDEX($AA$4:$AL$323,Ajustes!$I250,S$2),0)+IF(Ajustes!$J250&gt;0,INDEX($AA$4:$AL$323,Ajustes!$J250,S$2),0)+IF(Ajustes!$K250&gt;0,INDEX($AA$5:$AL$324,Ajustes!$K250,S$2),0)+IF(Ajustes!$L250&gt;0,INDEX($AA$4:$AL$323,Ajustes!$L250,S$2),0) + S250</f>
        <v>177</v>
      </c>
      <c r="AF250">
        <f>IF(Ajustes!$G250&gt;0,INDEX($AA$4:$AL$323,Ajustes!$G250,T$2),0)+IF(Ajustes!$H250&gt;0,INDEX($AA$4:$AL$323,Ajustes!$H250,T$2),0)+IF(Ajustes!$I250&gt;0,INDEX($AA$4:$AL$323,Ajustes!$I250,T$2),0)+IF(Ajustes!$J250&gt;0,INDEX($AA$4:$AL$323,Ajustes!$J250,T$2),0)+IF(Ajustes!$K250&gt;0,INDEX($AA$5:$AL$324,Ajustes!$K250,T$2),0)+IF(Ajustes!$L250&gt;0,INDEX($AA$4:$AL$323,Ajustes!$L250,T$2),0) + T250</f>
        <v>139</v>
      </c>
      <c r="AG250">
        <f>IF(Ajustes!$G250&gt;0,INDEX($AA$4:$AL$323,Ajustes!$G250,U$2),0)+IF(Ajustes!$H250&gt;0,INDEX($AA$4:$AL$323,Ajustes!$H250,U$2),0)+IF(Ajustes!$I250&gt;0,INDEX($AA$4:$AL$323,Ajustes!$I250,U$2),0)+IF(Ajustes!$J250&gt;0,INDEX($AA$4:$AL$323,Ajustes!$J250,U$2),0)+IF(Ajustes!$K250&gt;0,INDEX($AA$5:$AL$324,Ajustes!$K250,U$2),0)+IF(Ajustes!$L250&gt;0,INDEX($AA$4:$AL$323,Ajustes!$L250,U$2),0) + U250</f>
        <v>116</v>
      </c>
      <c r="AH250">
        <f>IF(Ajustes!$G250&gt;0,INDEX($AA$4:$AL$323,Ajustes!$G250,V$2),0)+IF(Ajustes!$H250&gt;0,INDEX($AA$4:$AL$323,Ajustes!$H250,V$2),0)+IF(Ajustes!$I250&gt;0,INDEX($AA$4:$AL$323,Ajustes!$I250,V$2),0)+IF(Ajustes!$J250&gt;0,INDEX($AA$4:$AL$323,Ajustes!$J250,V$2),0)+IF(Ajustes!$K250&gt;0,INDEX($AA$5:$AL$324,Ajustes!$K250,V$2),0)+IF(Ajustes!$L250&gt;0,INDEX($AA$4:$AL$323,Ajustes!$L250,V$2),0) + V250</f>
        <v>101</v>
      </c>
      <c r="AI250">
        <f>IF(Ajustes!$G250&gt;0,INDEX($AA$4:$AL$323,Ajustes!$G250,W$2),0)+IF(Ajustes!$H250&gt;0,INDEX($AA$4:$AL$323,Ajustes!$H250,W$2),0)+IF(Ajustes!$I250&gt;0,INDEX($AA$4:$AL$323,Ajustes!$I250,W$2),0)+IF(Ajustes!$J250&gt;0,INDEX($AA$4:$AL$323,Ajustes!$J250,W$2),0)+IF(Ajustes!$K250&gt;0,INDEX($AA$5:$AL$324,Ajustes!$K250,W$2),0)+IF(Ajustes!$L250&gt;0,INDEX($AA$4:$AL$323,Ajustes!$L250,W$2),0) + W250</f>
        <v>103</v>
      </c>
      <c r="AJ250">
        <f>IF(Ajustes!$G250&gt;0,INDEX($AA$4:$AL$323,Ajustes!$G250,X$2),0)+IF(Ajustes!$H250&gt;0,INDEX($AA$4:$AL$323,Ajustes!$H250,X$2),0)+IF(Ajustes!$I250&gt;0,INDEX($AA$4:$AL$323,Ajustes!$I250,X$2),0)+IF(Ajustes!$J250&gt;0,INDEX($AA$4:$AL$323,Ajustes!$J250,X$2),0)+IF(Ajustes!$K250&gt;0,INDEX($AA$5:$AL$324,Ajustes!$K250,X$2),0)+IF(Ajustes!$L250&gt;0,INDEX($AA$4:$AL$323,Ajustes!$L250,X$2),0) + X250</f>
        <v>128</v>
      </c>
      <c r="AK250">
        <f>IF(Ajustes!$G250&gt;0,INDEX($AA$4:$AL$323,Ajustes!$G250,Y$2),0)+IF(Ajustes!$H250&gt;0,INDEX($AA$4:$AL$323,Ajustes!$H250,Y$2),0)+IF(Ajustes!$I250&gt;0,INDEX($AA$4:$AL$323,Ajustes!$I250,Y$2),0)+IF(Ajustes!$J250&gt;0,INDEX($AA$4:$AL$323,Ajustes!$J250,Y$2),0)+IF(Ajustes!$K250&gt;0,INDEX($AA$5:$AL$324,Ajustes!$K250,Y$2),0)+IF(Ajustes!$L250&gt;0,INDEX($AA$4:$AL$323,Ajustes!$L250,Y$2),0) + Y250</f>
        <v>166</v>
      </c>
      <c r="AL250">
        <f>IF(Ajustes!$G250&gt;0,INDEX($AA$4:$AL$323,Ajustes!$G250,Z$2),0)+IF(Ajustes!$H250&gt;0,INDEX($AA$4:$AL$323,Ajustes!$H250,Z$2),0)+IF(Ajustes!$I250&gt;0,INDEX($AA$4:$AL$323,Ajustes!$I250,Z$2),0)+IF(Ajustes!$J250&gt;0,INDEX($AA$4:$AL$323,Ajustes!$J250,Z$2),0)+IF(Ajustes!$K250&gt;0,INDEX($AA$5:$AL$324,Ajustes!$K250,Z$2),0)+IF(Ajustes!$L250&gt;0,INDEX($AA$4:$AL$323,Ajustes!$L250,Z$2),0) + Z250</f>
        <v>231</v>
      </c>
      <c r="AM250" s="113">
        <f t="shared" si="47"/>
        <v>289</v>
      </c>
      <c r="AN250" s="113">
        <f t="shared" si="47"/>
        <v>323</v>
      </c>
      <c r="AO250" s="113">
        <f t="shared" si="47"/>
        <v>328</v>
      </c>
      <c r="AP250" s="113">
        <f t="shared" si="47"/>
        <v>253</v>
      </c>
      <c r="AQ250" s="113">
        <f t="shared" si="49"/>
        <v>177</v>
      </c>
      <c r="AR250" s="113">
        <f t="shared" si="48"/>
        <v>139</v>
      </c>
      <c r="AS250" s="113">
        <f t="shared" si="48"/>
        <v>116</v>
      </c>
      <c r="AT250" s="113">
        <f t="shared" si="48"/>
        <v>101</v>
      </c>
      <c r="AU250" s="113">
        <f t="shared" si="48"/>
        <v>103</v>
      </c>
      <c r="AV250" s="113">
        <f t="shared" si="51"/>
        <v>128</v>
      </c>
      <c r="AW250" s="113">
        <f t="shared" si="50"/>
        <v>166</v>
      </c>
      <c r="AX250" s="113">
        <f t="shared" si="50"/>
        <v>231</v>
      </c>
    </row>
    <row r="251" spans="1:50" x14ac:dyDescent="0.25">
      <c r="A251" s="113">
        <v>248</v>
      </c>
      <c r="B251" s="209" t="s">
        <v>646</v>
      </c>
      <c r="C251">
        <f>IFERROR(INDEX($BD$7:$BO$35,MATCH(Ajustes!$E$4:$E$323,$BC$7:$BC$35,0),$C$2:$N$2),1)</f>
        <v>1</v>
      </c>
      <c r="D251" s="113">
        <f>IFERROR(INDEX($BD$7:$BO$35,MATCH(Ajustes!$E$4:$E$323,$BC$7:$BC$35,0),$C$2:$N$2),1)</f>
        <v>1</v>
      </c>
      <c r="E251" s="113">
        <f>IFERROR(INDEX($BD$7:$BO$35,MATCH(Ajustes!$E$4:$E$323,$BC$7:$BC$35,0),$C$2:$N$2),1)</f>
        <v>1</v>
      </c>
      <c r="F251" s="113">
        <f>IFERROR(INDEX($BD$7:$BO$35,MATCH(Ajustes!$E$4:$E$323,$BC$7:$BC$35,0),$C$2:$N$2),1)</f>
        <v>1</v>
      </c>
      <c r="G251" s="113">
        <f>IFERROR(INDEX($BD$7:$BO$35,MATCH(Ajustes!$E$4:$E$323,$BC$7:$BC$35,0),$C$2:$N$2),1)</f>
        <v>1</v>
      </c>
      <c r="H251" s="113">
        <f>IFERROR(INDEX($BD$7:$BO$35,MATCH(Ajustes!$E$4:$E$323,$BC$7:$BC$35,0),$C$2:$N$2),1)</f>
        <v>1</v>
      </c>
      <c r="I251" s="113">
        <f>IFERROR(INDEX($BD$7:$BO$35,MATCH(Ajustes!$E$4:$E$323,$BC$7:$BC$35,0),$C$2:$N$2),1)</f>
        <v>1</v>
      </c>
      <c r="J251" s="113">
        <f>IFERROR(INDEX($BD$7:$BO$35,MATCH(Ajustes!$E$4:$E$323,$BC$7:$BC$35,0),$C$2:$N$2),1)</f>
        <v>1</v>
      </c>
      <c r="K251" s="113">
        <f>IFERROR(INDEX($BD$7:$BO$35,MATCH(Ajustes!$E$4:$E$323,$BC$7:$BC$35,0),$C$2:$N$2),1)</f>
        <v>1</v>
      </c>
      <c r="L251" s="113">
        <f>IFERROR(INDEX($BD$7:$BO$35,MATCH(Ajustes!$E$4:$E$323,$BC$7:$BC$35,0),$C$2:$N$2),1)</f>
        <v>1</v>
      </c>
      <c r="M251" s="113">
        <f>IFERROR(INDEX($BD$7:$BO$35,MATCH(Ajustes!$E$4:$E$323,$BC$7:$BC$35,0),$C$2:$N$2),1)</f>
        <v>1</v>
      </c>
      <c r="N251" s="113">
        <f>IFERROR(INDEX($BD$7:$BO$35,MATCH(Ajustes!$E$4:$E$323,$BC$7:$BC$35,0),$C$2:$N$2),1)</f>
        <v>1</v>
      </c>
      <c r="O251">
        <f>C251*Ajustes!AM251</f>
        <v>12</v>
      </c>
      <c r="P251">
        <f>D251*Ajustes!AN251</f>
        <v>13</v>
      </c>
      <c r="Q251">
        <f>E251*Ajustes!AO251</f>
        <v>13</v>
      </c>
      <c r="R251">
        <f>F251*Ajustes!AP251</f>
        <v>10</v>
      </c>
      <c r="S251">
        <f>G251*Ajustes!AQ251</f>
        <v>7</v>
      </c>
      <c r="T251">
        <f>H251*Ajustes!AR251</f>
        <v>6</v>
      </c>
      <c r="U251">
        <f>I251*Ajustes!AS251</f>
        <v>5</v>
      </c>
      <c r="V251">
        <f>J251*Ajustes!AT251</f>
        <v>4</v>
      </c>
      <c r="W251">
        <f>K251*Ajustes!AU251</f>
        <v>4</v>
      </c>
      <c r="X251">
        <f>L251*Ajustes!AV251</f>
        <v>5</v>
      </c>
      <c r="Y251">
        <f>M251*Ajustes!AW251</f>
        <v>7</v>
      </c>
      <c r="Z251">
        <f>N251*Ajustes!AX251</f>
        <v>10</v>
      </c>
      <c r="AA251">
        <f>IF(Ajustes!$G251&gt;0,INDEX($AA$4:$AL$323,Ajustes!$G251,O$2),0)+IF(Ajustes!$H251&gt;0,INDEX($AA$4:$AL$323,Ajustes!$H251,O$2),0)+IF(Ajustes!$I251&gt;0,INDEX($AA$4:$AL$323,Ajustes!$I251,O$2),0)+IF(Ajustes!$J251&gt;0,INDEX($AA$4:$AL$323,Ajustes!$J251,O$2),0)+IF(Ajustes!$K251&gt;0,INDEX($AA$5:$AL$324,Ajustes!$K251,O$2),0)+IF(Ajustes!$L251&gt;0,INDEX($AA$4:$AL$323,Ajustes!$L251,O$2),0) + O251</f>
        <v>301</v>
      </c>
      <c r="AB251">
        <f>IF(Ajustes!$G251&gt;0,INDEX($AA$4:$AL$323,Ajustes!$G251,P$2),0)+IF(Ajustes!$H251&gt;0,INDEX($AA$4:$AL$323,Ajustes!$H251,P$2),0)+IF(Ajustes!$I251&gt;0,INDEX($AA$4:$AL$323,Ajustes!$I251,P$2),0)+IF(Ajustes!$J251&gt;0,INDEX($AA$4:$AL$323,Ajustes!$J251,P$2),0)+IF(Ajustes!$K251&gt;0,INDEX($AA$5:$AL$324,Ajustes!$K251,P$2),0)+IF(Ajustes!$L251&gt;0,INDEX($AA$4:$AL$323,Ajustes!$L251,P$2),0) + P251</f>
        <v>336</v>
      </c>
      <c r="AC251">
        <f>IF(Ajustes!$G251&gt;0,INDEX($AA$4:$AL$323,Ajustes!$G251,Q$2),0)+IF(Ajustes!$H251&gt;0,INDEX($AA$4:$AL$323,Ajustes!$H251,Q$2),0)+IF(Ajustes!$I251&gt;0,INDEX($AA$4:$AL$323,Ajustes!$I251,Q$2),0)+IF(Ajustes!$J251&gt;0,INDEX($AA$4:$AL$323,Ajustes!$J251,Q$2),0)+IF(Ajustes!$K251&gt;0,INDEX($AA$5:$AL$324,Ajustes!$K251,Q$2),0)+IF(Ajustes!$L251&gt;0,INDEX($AA$4:$AL$323,Ajustes!$L251,Q$2),0) + Q251</f>
        <v>341</v>
      </c>
      <c r="AD251">
        <f>IF(Ajustes!$G251&gt;0,INDEX($AA$4:$AL$323,Ajustes!$G251,R$2),0)+IF(Ajustes!$H251&gt;0,INDEX($AA$4:$AL$323,Ajustes!$H251,R$2),0)+IF(Ajustes!$I251&gt;0,INDEX($AA$4:$AL$323,Ajustes!$I251,R$2),0)+IF(Ajustes!$J251&gt;0,INDEX($AA$4:$AL$323,Ajustes!$J251,R$2),0)+IF(Ajustes!$K251&gt;0,INDEX($AA$5:$AL$324,Ajustes!$K251,R$2),0)+IF(Ajustes!$L251&gt;0,INDEX($AA$4:$AL$323,Ajustes!$L251,R$2),0) + R251</f>
        <v>263</v>
      </c>
      <c r="AE251">
        <f>IF(Ajustes!$G251&gt;0,INDEX($AA$4:$AL$323,Ajustes!$G251,S$2),0)+IF(Ajustes!$H251&gt;0,INDEX($AA$4:$AL$323,Ajustes!$H251,S$2),0)+IF(Ajustes!$I251&gt;0,INDEX($AA$4:$AL$323,Ajustes!$I251,S$2),0)+IF(Ajustes!$J251&gt;0,INDEX($AA$4:$AL$323,Ajustes!$J251,S$2),0)+IF(Ajustes!$K251&gt;0,INDEX($AA$5:$AL$324,Ajustes!$K251,S$2),0)+IF(Ajustes!$L251&gt;0,INDEX($AA$4:$AL$323,Ajustes!$L251,S$2),0) + S251</f>
        <v>184</v>
      </c>
      <c r="AF251">
        <f>IF(Ajustes!$G251&gt;0,INDEX($AA$4:$AL$323,Ajustes!$G251,T$2),0)+IF(Ajustes!$H251&gt;0,INDEX($AA$4:$AL$323,Ajustes!$H251,T$2),0)+IF(Ajustes!$I251&gt;0,INDEX($AA$4:$AL$323,Ajustes!$I251,T$2),0)+IF(Ajustes!$J251&gt;0,INDEX($AA$4:$AL$323,Ajustes!$J251,T$2),0)+IF(Ajustes!$K251&gt;0,INDEX($AA$5:$AL$324,Ajustes!$K251,T$2),0)+IF(Ajustes!$L251&gt;0,INDEX($AA$4:$AL$323,Ajustes!$L251,T$2),0) + T251</f>
        <v>145</v>
      </c>
      <c r="AG251">
        <f>IF(Ajustes!$G251&gt;0,INDEX($AA$4:$AL$323,Ajustes!$G251,U$2),0)+IF(Ajustes!$H251&gt;0,INDEX($AA$4:$AL$323,Ajustes!$H251,U$2),0)+IF(Ajustes!$I251&gt;0,INDEX($AA$4:$AL$323,Ajustes!$I251,U$2),0)+IF(Ajustes!$J251&gt;0,INDEX($AA$4:$AL$323,Ajustes!$J251,U$2),0)+IF(Ajustes!$K251&gt;0,INDEX($AA$5:$AL$324,Ajustes!$K251,U$2),0)+IF(Ajustes!$L251&gt;0,INDEX($AA$4:$AL$323,Ajustes!$L251,U$2),0) + U251</f>
        <v>121</v>
      </c>
      <c r="AH251">
        <f>IF(Ajustes!$G251&gt;0,INDEX($AA$4:$AL$323,Ajustes!$G251,V$2),0)+IF(Ajustes!$H251&gt;0,INDEX($AA$4:$AL$323,Ajustes!$H251,V$2),0)+IF(Ajustes!$I251&gt;0,INDEX($AA$4:$AL$323,Ajustes!$I251,V$2),0)+IF(Ajustes!$J251&gt;0,INDEX($AA$4:$AL$323,Ajustes!$J251,V$2),0)+IF(Ajustes!$K251&gt;0,INDEX($AA$5:$AL$324,Ajustes!$K251,V$2),0)+IF(Ajustes!$L251&gt;0,INDEX($AA$4:$AL$323,Ajustes!$L251,V$2),0) + V251</f>
        <v>105</v>
      </c>
      <c r="AI251">
        <f>IF(Ajustes!$G251&gt;0,INDEX($AA$4:$AL$323,Ajustes!$G251,W$2),0)+IF(Ajustes!$H251&gt;0,INDEX($AA$4:$AL$323,Ajustes!$H251,W$2),0)+IF(Ajustes!$I251&gt;0,INDEX($AA$4:$AL$323,Ajustes!$I251,W$2),0)+IF(Ajustes!$J251&gt;0,INDEX($AA$4:$AL$323,Ajustes!$J251,W$2),0)+IF(Ajustes!$K251&gt;0,INDEX($AA$5:$AL$324,Ajustes!$K251,W$2),0)+IF(Ajustes!$L251&gt;0,INDEX($AA$4:$AL$323,Ajustes!$L251,W$2),0) + W251</f>
        <v>107</v>
      </c>
      <c r="AJ251">
        <f>IF(Ajustes!$G251&gt;0,INDEX($AA$4:$AL$323,Ajustes!$G251,X$2),0)+IF(Ajustes!$H251&gt;0,INDEX($AA$4:$AL$323,Ajustes!$H251,X$2),0)+IF(Ajustes!$I251&gt;0,INDEX($AA$4:$AL$323,Ajustes!$I251,X$2),0)+IF(Ajustes!$J251&gt;0,INDEX($AA$4:$AL$323,Ajustes!$J251,X$2),0)+IF(Ajustes!$K251&gt;0,INDEX($AA$5:$AL$324,Ajustes!$K251,X$2),0)+IF(Ajustes!$L251&gt;0,INDEX($AA$4:$AL$323,Ajustes!$L251,X$2),0) + X251</f>
        <v>133</v>
      </c>
      <c r="AK251">
        <f>IF(Ajustes!$G251&gt;0,INDEX($AA$4:$AL$323,Ajustes!$G251,Y$2),0)+IF(Ajustes!$H251&gt;0,INDEX($AA$4:$AL$323,Ajustes!$H251,Y$2),0)+IF(Ajustes!$I251&gt;0,INDEX($AA$4:$AL$323,Ajustes!$I251,Y$2),0)+IF(Ajustes!$J251&gt;0,INDEX($AA$4:$AL$323,Ajustes!$J251,Y$2),0)+IF(Ajustes!$K251&gt;0,INDEX($AA$5:$AL$324,Ajustes!$K251,Y$2),0)+IF(Ajustes!$L251&gt;0,INDEX($AA$4:$AL$323,Ajustes!$L251,Y$2),0) + Y251</f>
        <v>173</v>
      </c>
      <c r="AL251">
        <f>IF(Ajustes!$G251&gt;0,INDEX($AA$4:$AL$323,Ajustes!$G251,Z$2),0)+IF(Ajustes!$H251&gt;0,INDEX($AA$4:$AL$323,Ajustes!$H251,Z$2),0)+IF(Ajustes!$I251&gt;0,INDEX($AA$4:$AL$323,Ajustes!$I251,Z$2),0)+IF(Ajustes!$J251&gt;0,INDEX($AA$4:$AL$323,Ajustes!$J251,Z$2),0)+IF(Ajustes!$K251&gt;0,INDEX($AA$5:$AL$324,Ajustes!$K251,Z$2),0)+IF(Ajustes!$L251&gt;0,INDEX($AA$4:$AL$323,Ajustes!$L251,Z$2),0) + Z251</f>
        <v>241</v>
      </c>
      <c r="AM251" s="113">
        <f t="shared" si="47"/>
        <v>301</v>
      </c>
      <c r="AN251" s="113">
        <f t="shared" si="47"/>
        <v>336</v>
      </c>
      <c r="AO251" s="113">
        <f t="shared" si="47"/>
        <v>341</v>
      </c>
      <c r="AP251" s="113">
        <f t="shared" si="47"/>
        <v>263</v>
      </c>
      <c r="AQ251" s="113">
        <f t="shared" si="49"/>
        <v>184</v>
      </c>
      <c r="AR251" s="113">
        <f t="shared" si="48"/>
        <v>145</v>
      </c>
      <c r="AS251" s="113">
        <f t="shared" si="48"/>
        <v>121</v>
      </c>
      <c r="AT251" s="113">
        <f t="shared" si="48"/>
        <v>105</v>
      </c>
      <c r="AU251" s="113">
        <f t="shared" si="48"/>
        <v>107</v>
      </c>
      <c r="AV251" s="113">
        <f t="shared" si="51"/>
        <v>133</v>
      </c>
      <c r="AW251" s="113">
        <f t="shared" si="50"/>
        <v>173</v>
      </c>
      <c r="AX251" s="113">
        <f t="shared" si="50"/>
        <v>241</v>
      </c>
    </row>
    <row r="252" spans="1:50" x14ac:dyDescent="0.25">
      <c r="A252" s="113">
        <v>249</v>
      </c>
      <c r="B252" s="209" t="s">
        <v>647</v>
      </c>
      <c r="C252">
        <f>IFERROR(INDEX($BD$7:$BO$35,MATCH(Ajustes!$E$4:$E$323,$BC$7:$BC$35,0),$C$2:$N$2),1)</f>
        <v>1</v>
      </c>
      <c r="D252" s="113">
        <f>IFERROR(INDEX($BD$7:$BO$35,MATCH(Ajustes!$E$4:$E$323,$BC$7:$BC$35,0),$C$2:$N$2),1)</f>
        <v>1</v>
      </c>
      <c r="E252" s="113">
        <f>IFERROR(INDEX($BD$7:$BO$35,MATCH(Ajustes!$E$4:$E$323,$BC$7:$BC$35,0),$C$2:$N$2),1)</f>
        <v>1</v>
      </c>
      <c r="F252" s="113">
        <f>IFERROR(INDEX($BD$7:$BO$35,MATCH(Ajustes!$E$4:$E$323,$BC$7:$BC$35,0),$C$2:$N$2),1)</f>
        <v>1</v>
      </c>
      <c r="G252" s="113">
        <f>IFERROR(INDEX($BD$7:$BO$35,MATCH(Ajustes!$E$4:$E$323,$BC$7:$BC$35,0),$C$2:$N$2),1)</f>
        <v>1</v>
      </c>
      <c r="H252" s="113">
        <f>IFERROR(INDEX($BD$7:$BO$35,MATCH(Ajustes!$E$4:$E$323,$BC$7:$BC$35,0),$C$2:$N$2),1)</f>
        <v>1</v>
      </c>
      <c r="I252" s="113">
        <f>IFERROR(INDEX($BD$7:$BO$35,MATCH(Ajustes!$E$4:$E$323,$BC$7:$BC$35,0),$C$2:$N$2),1)</f>
        <v>1</v>
      </c>
      <c r="J252" s="113">
        <f>IFERROR(INDEX($BD$7:$BO$35,MATCH(Ajustes!$E$4:$E$323,$BC$7:$BC$35,0),$C$2:$N$2),1)</f>
        <v>1</v>
      </c>
      <c r="K252" s="113">
        <f>IFERROR(INDEX($BD$7:$BO$35,MATCH(Ajustes!$E$4:$E$323,$BC$7:$BC$35,0),$C$2:$N$2),1)</f>
        <v>1</v>
      </c>
      <c r="L252" s="113">
        <f>IFERROR(INDEX($BD$7:$BO$35,MATCH(Ajustes!$E$4:$E$323,$BC$7:$BC$35,0),$C$2:$N$2),1)</f>
        <v>1</v>
      </c>
      <c r="M252" s="113">
        <f>IFERROR(INDEX($BD$7:$BO$35,MATCH(Ajustes!$E$4:$E$323,$BC$7:$BC$35,0),$C$2:$N$2),1)</f>
        <v>1</v>
      </c>
      <c r="N252" s="113">
        <f>IFERROR(INDEX($BD$7:$BO$35,MATCH(Ajustes!$E$4:$E$323,$BC$7:$BC$35,0),$C$2:$N$2),1)</f>
        <v>1</v>
      </c>
      <c r="O252">
        <f>C252*Ajustes!AM252</f>
        <v>6</v>
      </c>
      <c r="P252">
        <f>D252*Ajustes!AN252</f>
        <v>6</v>
      </c>
      <c r="Q252">
        <f>E252*Ajustes!AO252</f>
        <v>5</v>
      </c>
      <c r="R252">
        <f>F252*Ajustes!AP252</f>
        <v>5</v>
      </c>
      <c r="S252">
        <f>G252*Ajustes!AQ252</f>
        <v>4</v>
      </c>
      <c r="T252">
        <f>H252*Ajustes!AR252</f>
        <v>5</v>
      </c>
      <c r="U252">
        <f>I252*Ajustes!AS252</f>
        <v>4</v>
      </c>
      <c r="V252">
        <f>J252*Ajustes!AT252</f>
        <v>3</v>
      </c>
      <c r="W252">
        <f>K252*Ajustes!AU252</f>
        <v>3</v>
      </c>
      <c r="X252">
        <f>L252*Ajustes!AV252</f>
        <v>4</v>
      </c>
      <c r="Y252">
        <f>M252*Ajustes!AW252</f>
        <v>4</v>
      </c>
      <c r="Z252">
        <f>N252*Ajustes!AX252</f>
        <v>4</v>
      </c>
      <c r="AA252">
        <f>IF(Ajustes!$G252&gt;0,INDEX($AA$4:$AL$323,Ajustes!$G252,O$2),0)+IF(Ajustes!$H252&gt;0,INDEX($AA$4:$AL$323,Ajustes!$H252,O$2),0)+IF(Ajustes!$I252&gt;0,INDEX($AA$4:$AL$323,Ajustes!$I252,O$2),0)+IF(Ajustes!$J252&gt;0,INDEX($AA$4:$AL$323,Ajustes!$J252,O$2),0)+IF(Ajustes!$K252&gt;0,INDEX($AA$5:$AL$324,Ajustes!$K252,O$2),0)+IF(Ajustes!$L252&gt;0,INDEX($AA$4:$AL$323,Ajustes!$L252,O$2),0) + O252</f>
        <v>512</v>
      </c>
      <c r="AB252">
        <f>IF(Ajustes!$G252&gt;0,INDEX($AA$4:$AL$323,Ajustes!$G252,P$2),0)+IF(Ajustes!$H252&gt;0,INDEX($AA$4:$AL$323,Ajustes!$H252,P$2),0)+IF(Ajustes!$I252&gt;0,INDEX($AA$4:$AL$323,Ajustes!$I252,P$2),0)+IF(Ajustes!$J252&gt;0,INDEX($AA$4:$AL$323,Ajustes!$J252,P$2),0)+IF(Ajustes!$K252&gt;0,INDEX($AA$5:$AL$324,Ajustes!$K252,P$2),0)+IF(Ajustes!$L252&gt;0,INDEX($AA$4:$AL$323,Ajustes!$L252,P$2),0) + P252</f>
        <v>553</v>
      </c>
      <c r="AC252">
        <f>IF(Ajustes!$G252&gt;0,INDEX($AA$4:$AL$323,Ajustes!$G252,Q$2),0)+IF(Ajustes!$H252&gt;0,INDEX($AA$4:$AL$323,Ajustes!$H252,Q$2),0)+IF(Ajustes!$I252&gt;0,INDEX($AA$4:$AL$323,Ajustes!$I252,Q$2),0)+IF(Ajustes!$J252&gt;0,INDEX($AA$4:$AL$323,Ajustes!$J252,Q$2),0)+IF(Ajustes!$K252&gt;0,INDEX($AA$5:$AL$324,Ajustes!$K252,Q$2),0)+IF(Ajustes!$L252&gt;0,INDEX($AA$4:$AL$323,Ajustes!$L252,Q$2),0) + Q252</f>
        <v>458</v>
      </c>
      <c r="AD252">
        <f>IF(Ajustes!$G252&gt;0,INDEX($AA$4:$AL$323,Ajustes!$G252,R$2),0)+IF(Ajustes!$H252&gt;0,INDEX($AA$4:$AL$323,Ajustes!$H252,R$2),0)+IF(Ajustes!$I252&gt;0,INDEX($AA$4:$AL$323,Ajustes!$I252,R$2),0)+IF(Ajustes!$J252&gt;0,INDEX($AA$4:$AL$323,Ajustes!$J252,R$2),0)+IF(Ajustes!$K252&gt;0,INDEX($AA$5:$AL$324,Ajustes!$K252,R$2),0)+IF(Ajustes!$L252&gt;0,INDEX($AA$4:$AL$323,Ajustes!$L252,R$2),0) + R252</f>
        <v>331</v>
      </c>
      <c r="AE252">
        <f>IF(Ajustes!$G252&gt;0,INDEX($AA$4:$AL$323,Ajustes!$G252,S$2),0)+IF(Ajustes!$H252&gt;0,INDEX($AA$4:$AL$323,Ajustes!$H252,S$2),0)+IF(Ajustes!$I252&gt;0,INDEX($AA$4:$AL$323,Ajustes!$I252,S$2),0)+IF(Ajustes!$J252&gt;0,INDEX($AA$4:$AL$323,Ajustes!$J252,S$2),0)+IF(Ajustes!$K252&gt;0,INDEX($AA$5:$AL$324,Ajustes!$K252,S$2),0)+IF(Ajustes!$L252&gt;0,INDEX($AA$4:$AL$323,Ajustes!$L252,S$2),0) + S252</f>
        <v>305</v>
      </c>
      <c r="AF252">
        <f>IF(Ajustes!$G252&gt;0,INDEX($AA$4:$AL$323,Ajustes!$G252,T$2),0)+IF(Ajustes!$H252&gt;0,INDEX($AA$4:$AL$323,Ajustes!$H252,T$2),0)+IF(Ajustes!$I252&gt;0,INDEX($AA$4:$AL$323,Ajustes!$I252,T$2),0)+IF(Ajustes!$J252&gt;0,INDEX($AA$4:$AL$323,Ajustes!$J252,T$2),0)+IF(Ajustes!$K252&gt;0,INDEX($AA$5:$AL$324,Ajustes!$K252,T$2),0)+IF(Ajustes!$L252&gt;0,INDEX($AA$4:$AL$323,Ajustes!$L252,T$2),0) + T252</f>
        <v>319</v>
      </c>
      <c r="AG252">
        <f>IF(Ajustes!$G252&gt;0,INDEX($AA$4:$AL$323,Ajustes!$G252,U$2),0)+IF(Ajustes!$H252&gt;0,INDEX($AA$4:$AL$323,Ajustes!$H252,U$2),0)+IF(Ajustes!$I252&gt;0,INDEX($AA$4:$AL$323,Ajustes!$I252,U$2),0)+IF(Ajustes!$J252&gt;0,INDEX($AA$4:$AL$323,Ajustes!$J252,U$2),0)+IF(Ajustes!$K252&gt;0,INDEX($AA$5:$AL$324,Ajustes!$K252,U$2),0)+IF(Ajustes!$L252&gt;0,INDEX($AA$4:$AL$323,Ajustes!$L252,U$2),0) + U252</f>
        <v>281</v>
      </c>
      <c r="AH252">
        <f>IF(Ajustes!$G252&gt;0,INDEX($AA$4:$AL$323,Ajustes!$G252,V$2),0)+IF(Ajustes!$H252&gt;0,INDEX($AA$4:$AL$323,Ajustes!$H252,V$2),0)+IF(Ajustes!$I252&gt;0,INDEX($AA$4:$AL$323,Ajustes!$I252,V$2),0)+IF(Ajustes!$J252&gt;0,INDEX($AA$4:$AL$323,Ajustes!$J252,V$2),0)+IF(Ajustes!$K252&gt;0,INDEX($AA$5:$AL$324,Ajustes!$K252,V$2),0)+IF(Ajustes!$L252&gt;0,INDEX($AA$4:$AL$323,Ajustes!$L252,V$2),0) + V252</f>
        <v>232</v>
      </c>
      <c r="AI252">
        <f>IF(Ajustes!$G252&gt;0,INDEX($AA$4:$AL$323,Ajustes!$G252,W$2),0)+IF(Ajustes!$H252&gt;0,INDEX($AA$4:$AL$323,Ajustes!$H252,W$2),0)+IF(Ajustes!$I252&gt;0,INDEX($AA$4:$AL$323,Ajustes!$I252,W$2),0)+IF(Ajustes!$J252&gt;0,INDEX($AA$4:$AL$323,Ajustes!$J252,W$2),0)+IF(Ajustes!$K252&gt;0,INDEX($AA$5:$AL$324,Ajustes!$K252,W$2),0)+IF(Ajustes!$L252&gt;0,INDEX($AA$4:$AL$323,Ajustes!$L252,W$2),0) + W252</f>
        <v>258</v>
      </c>
      <c r="AJ252">
        <f>IF(Ajustes!$G252&gt;0,INDEX($AA$4:$AL$323,Ajustes!$G252,X$2),0)+IF(Ajustes!$H252&gt;0,INDEX($AA$4:$AL$323,Ajustes!$H252,X$2),0)+IF(Ajustes!$I252&gt;0,INDEX($AA$4:$AL$323,Ajustes!$I252,X$2),0)+IF(Ajustes!$J252&gt;0,INDEX($AA$4:$AL$323,Ajustes!$J252,X$2),0)+IF(Ajustes!$K252&gt;0,INDEX($AA$5:$AL$324,Ajustes!$K252,X$2),0)+IF(Ajustes!$L252&gt;0,INDEX($AA$4:$AL$323,Ajustes!$L252,X$2),0) + X252</f>
        <v>309</v>
      </c>
      <c r="AK252">
        <f>IF(Ajustes!$G252&gt;0,INDEX($AA$4:$AL$323,Ajustes!$G252,Y$2),0)+IF(Ajustes!$H252&gt;0,INDEX($AA$4:$AL$323,Ajustes!$H252,Y$2),0)+IF(Ajustes!$I252&gt;0,INDEX($AA$4:$AL$323,Ajustes!$I252,Y$2),0)+IF(Ajustes!$J252&gt;0,INDEX($AA$4:$AL$323,Ajustes!$J252,Y$2),0)+IF(Ajustes!$K252&gt;0,INDEX($AA$5:$AL$324,Ajustes!$K252,Y$2),0)+IF(Ajustes!$L252&gt;0,INDEX($AA$4:$AL$323,Ajustes!$L252,Y$2),0) + Y252</f>
        <v>286</v>
      </c>
      <c r="AL252">
        <f>IF(Ajustes!$G252&gt;0,INDEX($AA$4:$AL$323,Ajustes!$G252,Z$2),0)+IF(Ajustes!$H252&gt;0,INDEX($AA$4:$AL$323,Ajustes!$H252,Z$2),0)+IF(Ajustes!$I252&gt;0,INDEX($AA$4:$AL$323,Ajustes!$I252,Z$2),0)+IF(Ajustes!$J252&gt;0,INDEX($AA$4:$AL$323,Ajustes!$J252,Z$2),0)+IF(Ajustes!$K252&gt;0,INDEX($AA$5:$AL$324,Ajustes!$K252,Z$2),0)+IF(Ajustes!$L252&gt;0,INDEX($AA$4:$AL$323,Ajustes!$L252,Z$2),0) + Z252</f>
        <v>355</v>
      </c>
      <c r="AM252" s="113">
        <f t="shared" si="47"/>
        <v>512</v>
      </c>
      <c r="AN252" s="113">
        <f t="shared" si="47"/>
        <v>553</v>
      </c>
      <c r="AO252" s="113">
        <f t="shared" si="47"/>
        <v>458</v>
      </c>
      <c r="AP252" s="113">
        <f t="shared" si="47"/>
        <v>331</v>
      </c>
      <c r="AQ252" s="113">
        <f t="shared" si="49"/>
        <v>305</v>
      </c>
      <c r="AR252" s="113">
        <f t="shared" si="48"/>
        <v>319</v>
      </c>
      <c r="AS252" s="113">
        <f t="shared" si="48"/>
        <v>281</v>
      </c>
      <c r="AT252" s="113">
        <f t="shared" si="48"/>
        <v>232</v>
      </c>
      <c r="AU252" s="113">
        <f t="shared" si="48"/>
        <v>258</v>
      </c>
      <c r="AV252" s="113">
        <f t="shared" si="51"/>
        <v>309</v>
      </c>
      <c r="AW252" s="113">
        <f t="shared" si="50"/>
        <v>286</v>
      </c>
      <c r="AX252" s="113">
        <f t="shared" si="50"/>
        <v>355</v>
      </c>
    </row>
    <row r="253" spans="1:50" x14ac:dyDescent="0.25">
      <c r="A253" s="113">
        <v>250</v>
      </c>
      <c r="B253" s="209"/>
      <c r="C253">
        <f>IFERROR(INDEX($BD$7:$BO$35,MATCH(Ajustes!$E$4:$E$323,$BC$7:$BC$35,0),$C$2:$N$2),1)</f>
        <v>1</v>
      </c>
      <c r="D253" s="113">
        <f>IFERROR(INDEX($BD$7:$BO$35,MATCH(Ajustes!$E$4:$E$323,$BC$7:$BC$35,0),$C$2:$N$2),1)</f>
        <v>1</v>
      </c>
      <c r="E253" s="113">
        <f>IFERROR(INDEX($BD$7:$BO$35,MATCH(Ajustes!$E$4:$E$323,$BC$7:$BC$35,0),$C$2:$N$2),1)</f>
        <v>1</v>
      </c>
      <c r="F253" s="113">
        <f>IFERROR(INDEX($BD$7:$BO$35,MATCH(Ajustes!$E$4:$E$323,$BC$7:$BC$35,0),$C$2:$N$2),1)</f>
        <v>1</v>
      </c>
      <c r="G253" s="113">
        <f>IFERROR(INDEX($BD$7:$BO$35,MATCH(Ajustes!$E$4:$E$323,$BC$7:$BC$35,0),$C$2:$N$2),1)</f>
        <v>1</v>
      </c>
      <c r="H253" s="113">
        <f>IFERROR(INDEX($BD$7:$BO$35,MATCH(Ajustes!$E$4:$E$323,$BC$7:$BC$35,0),$C$2:$N$2),1)</f>
        <v>1</v>
      </c>
      <c r="I253" s="113">
        <f>IFERROR(INDEX($BD$7:$BO$35,MATCH(Ajustes!$E$4:$E$323,$BC$7:$BC$35,0),$C$2:$N$2),1)</f>
        <v>1</v>
      </c>
      <c r="J253" s="113">
        <f>IFERROR(INDEX($BD$7:$BO$35,MATCH(Ajustes!$E$4:$E$323,$BC$7:$BC$35,0),$C$2:$N$2),1)</f>
        <v>1</v>
      </c>
      <c r="K253" s="113">
        <f>IFERROR(INDEX($BD$7:$BO$35,MATCH(Ajustes!$E$4:$E$323,$BC$7:$BC$35,0),$C$2:$N$2),1)</f>
        <v>1</v>
      </c>
      <c r="L253" s="113">
        <f>IFERROR(INDEX($BD$7:$BO$35,MATCH(Ajustes!$E$4:$E$323,$BC$7:$BC$35,0),$C$2:$N$2),1)</f>
        <v>1</v>
      </c>
      <c r="M253" s="113">
        <f>IFERROR(INDEX($BD$7:$BO$35,MATCH(Ajustes!$E$4:$E$323,$BC$7:$BC$35,0),$C$2:$N$2),1)</f>
        <v>1</v>
      </c>
      <c r="N253" s="113">
        <f>IFERROR(INDEX($BD$7:$BO$35,MATCH(Ajustes!$E$4:$E$323,$BC$7:$BC$35,0),$C$2:$N$2),1)</f>
        <v>1</v>
      </c>
      <c r="O253">
        <f>C253*Ajustes!AM253</f>
        <v>0</v>
      </c>
      <c r="P253">
        <f>D253*Ajustes!AN253</f>
        <v>0</v>
      </c>
      <c r="Q253">
        <f>E253*Ajustes!AO253</f>
        <v>0</v>
      </c>
      <c r="R253">
        <f>F253*Ajustes!AP253</f>
        <v>0</v>
      </c>
      <c r="S253">
        <f>G253*Ajustes!AQ253</f>
        <v>0</v>
      </c>
      <c r="T253">
        <f>H253*Ajustes!AR253</f>
        <v>0</v>
      </c>
      <c r="U253">
        <f>I253*Ajustes!AS253</f>
        <v>0</v>
      </c>
      <c r="V253">
        <f>J253*Ajustes!AT253</f>
        <v>0</v>
      </c>
      <c r="W253">
        <f>K253*Ajustes!AU253</f>
        <v>0</v>
      </c>
      <c r="X253">
        <f>L253*Ajustes!AV253</f>
        <v>0</v>
      </c>
      <c r="Y253">
        <f>M253*Ajustes!AW253</f>
        <v>0</v>
      </c>
      <c r="Z253">
        <f>N253*Ajustes!AX253</f>
        <v>0</v>
      </c>
      <c r="AA253">
        <f>IF(Ajustes!$G253&gt;0,INDEX($AA$4:$AL$323,Ajustes!$G253,O$2),0)+IF(Ajustes!$H253&gt;0,INDEX($AA$4:$AL$323,Ajustes!$H253,O$2),0)+IF(Ajustes!$I253&gt;0,INDEX($AA$4:$AL$323,Ajustes!$I253,O$2),0)+IF(Ajustes!$J253&gt;0,INDEX($AA$4:$AL$323,Ajustes!$J253,O$2),0)+IF(Ajustes!$K253&gt;0,INDEX($AA$5:$AL$324,Ajustes!$K253,O$2),0)+IF(Ajustes!$L253&gt;0,INDEX($AA$4:$AL$323,Ajustes!$L253,O$2),0) + O253</f>
        <v>0</v>
      </c>
      <c r="AB253">
        <f>IF(Ajustes!$G253&gt;0,INDEX($AA$4:$AL$323,Ajustes!$G253,P$2),0)+IF(Ajustes!$H253&gt;0,INDEX($AA$4:$AL$323,Ajustes!$H253,P$2),0)+IF(Ajustes!$I253&gt;0,INDEX($AA$4:$AL$323,Ajustes!$I253,P$2),0)+IF(Ajustes!$J253&gt;0,INDEX($AA$4:$AL$323,Ajustes!$J253,P$2),0)+IF(Ajustes!$K253&gt;0,INDEX($AA$5:$AL$324,Ajustes!$K253,P$2),0)+IF(Ajustes!$L253&gt;0,INDEX($AA$4:$AL$323,Ajustes!$L253,P$2),0) + P253</f>
        <v>0</v>
      </c>
      <c r="AC253">
        <f>IF(Ajustes!$G253&gt;0,INDEX($AA$4:$AL$323,Ajustes!$G253,Q$2),0)+IF(Ajustes!$H253&gt;0,INDEX($AA$4:$AL$323,Ajustes!$H253,Q$2),0)+IF(Ajustes!$I253&gt;0,INDEX($AA$4:$AL$323,Ajustes!$I253,Q$2),0)+IF(Ajustes!$J253&gt;0,INDEX($AA$4:$AL$323,Ajustes!$J253,Q$2),0)+IF(Ajustes!$K253&gt;0,INDEX($AA$5:$AL$324,Ajustes!$K253,Q$2),0)+IF(Ajustes!$L253&gt;0,INDEX($AA$4:$AL$323,Ajustes!$L253,Q$2),0) + Q253</f>
        <v>0</v>
      </c>
      <c r="AD253">
        <f>IF(Ajustes!$G253&gt;0,INDEX($AA$4:$AL$323,Ajustes!$G253,R$2),0)+IF(Ajustes!$H253&gt;0,INDEX($AA$4:$AL$323,Ajustes!$H253,R$2),0)+IF(Ajustes!$I253&gt;0,INDEX($AA$4:$AL$323,Ajustes!$I253,R$2),0)+IF(Ajustes!$J253&gt;0,INDEX($AA$4:$AL$323,Ajustes!$J253,R$2),0)+IF(Ajustes!$K253&gt;0,INDEX($AA$5:$AL$324,Ajustes!$K253,R$2),0)+IF(Ajustes!$L253&gt;0,INDEX($AA$4:$AL$323,Ajustes!$L253,R$2),0) + R253</f>
        <v>0</v>
      </c>
      <c r="AE253">
        <f>IF(Ajustes!$G253&gt;0,INDEX($AA$4:$AL$323,Ajustes!$G253,S$2),0)+IF(Ajustes!$H253&gt;0,INDEX($AA$4:$AL$323,Ajustes!$H253,S$2),0)+IF(Ajustes!$I253&gt;0,INDEX($AA$4:$AL$323,Ajustes!$I253,S$2),0)+IF(Ajustes!$J253&gt;0,INDEX($AA$4:$AL$323,Ajustes!$J253,S$2),0)+IF(Ajustes!$K253&gt;0,INDEX($AA$5:$AL$324,Ajustes!$K253,S$2),0)+IF(Ajustes!$L253&gt;0,INDEX($AA$4:$AL$323,Ajustes!$L253,S$2),0) + S253</f>
        <v>0</v>
      </c>
      <c r="AF253">
        <f>IF(Ajustes!$G253&gt;0,INDEX($AA$4:$AL$323,Ajustes!$G253,T$2),0)+IF(Ajustes!$H253&gt;0,INDEX($AA$4:$AL$323,Ajustes!$H253,T$2),0)+IF(Ajustes!$I253&gt;0,INDEX($AA$4:$AL$323,Ajustes!$I253,T$2),0)+IF(Ajustes!$J253&gt;0,INDEX($AA$4:$AL$323,Ajustes!$J253,T$2),0)+IF(Ajustes!$K253&gt;0,INDEX($AA$5:$AL$324,Ajustes!$K253,T$2),0)+IF(Ajustes!$L253&gt;0,INDEX($AA$4:$AL$323,Ajustes!$L253,T$2),0) + T253</f>
        <v>0</v>
      </c>
      <c r="AG253">
        <f>IF(Ajustes!$G253&gt;0,INDEX($AA$4:$AL$323,Ajustes!$G253,U$2),0)+IF(Ajustes!$H253&gt;0,INDEX($AA$4:$AL$323,Ajustes!$H253,U$2),0)+IF(Ajustes!$I253&gt;0,INDEX($AA$4:$AL$323,Ajustes!$I253,U$2),0)+IF(Ajustes!$J253&gt;0,INDEX($AA$4:$AL$323,Ajustes!$J253,U$2),0)+IF(Ajustes!$K253&gt;0,INDEX($AA$5:$AL$324,Ajustes!$K253,U$2),0)+IF(Ajustes!$L253&gt;0,INDEX($AA$4:$AL$323,Ajustes!$L253,U$2),0) + U253</f>
        <v>0</v>
      </c>
      <c r="AH253">
        <f>IF(Ajustes!$G253&gt;0,INDEX($AA$4:$AL$323,Ajustes!$G253,V$2),0)+IF(Ajustes!$H253&gt;0,INDEX($AA$4:$AL$323,Ajustes!$H253,V$2),0)+IF(Ajustes!$I253&gt;0,INDEX($AA$4:$AL$323,Ajustes!$I253,V$2),0)+IF(Ajustes!$J253&gt;0,INDEX($AA$4:$AL$323,Ajustes!$J253,V$2),0)+IF(Ajustes!$K253&gt;0,INDEX($AA$5:$AL$324,Ajustes!$K253,V$2),0)+IF(Ajustes!$L253&gt;0,INDEX($AA$4:$AL$323,Ajustes!$L253,V$2),0) + V253</f>
        <v>0</v>
      </c>
      <c r="AI253">
        <f>IF(Ajustes!$G253&gt;0,INDEX($AA$4:$AL$323,Ajustes!$G253,W$2),0)+IF(Ajustes!$H253&gt;0,INDEX($AA$4:$AL$323,Ajustes!$H253,W$2),0)+IF(Ajustes!$I253&gt;0,INDEX($AA$4:$AL$323,Ajustes!$I253,W$2),0)+IF(Ajustes!$J253&gt;0,INDEX($AA$4:$AL$323,Ajustes!$J253,W$2),0)+IF(Ajustes!$K253&gt;0,INDEX($AA$5:$AL$324,Ajustes!$K253,W$2),0)+IF(Ajustes!$L253&gt;0,INDEX($AA$4:$AL$323,Ajustes!$L253,W$2),0) + W253</f>
        <v>0</v>
      </c>
      <c r="AJ253">
        <f>IF(Ajustes!$G253&gt;0,INDEX($AA$4:$AL$323,Ajustes!$G253,X$2),0)+IF(Ajustes!$H253&gt;0,INDEX($AA$4:$AL$323,Ajustes!$H253,X$2),0)+IF(Ajustes!$I253&gt;0,INDEX($AA$4:$AL$323,Ajustes!$I253,X$2),0)+IF(Ajustes!$J253&gt;0,INDEX($AA$4:$AL$323,Ajustes!$J253,X$2),0)+IF(Ajustes!$K253&gt;0,INDEX($AA$5:$AL$324,Ajustes!$K253,X$2),0)+IF(Ajustes!$L253&gt;0,INDEX($AA$4:$AL$323,Ajustes!$L253,X$2),0) + X253</f>
        <v>0</v>
      </c>
      <c r="AK253">
        <f>IF(Ajustes!$G253&gt;0,INDEX($AA$4:$AL$323,Ajustes!$G253,Y$2),0)+IF(Ajustes!$H253&gt;0,INDEX($AA$4:$AL$323,Ajustes!$H253,Y$2),0)+IF(Ajustes!$I253&gt;0,INDEX($AA$4:$AL$323,Ajustes!$I253,Y$2),0)+IF(Ajustes!$J253&gt;0,INDEX($AA$4:$AL$323,Ajustes!$J253,Y$2),0)+IF(Ajustes!$K253&gt;0,INDEX($AA$5:$AL$324,Ajustes!$K253,Y$2),0)+IF(Ajustes!$L253&gt;0,INDEX($AA$4:$AL$323,Ajustes!$L253,Y$2),0) + Y253</f>
        <v>0</v>
      </c>
      <c r="AL253">
        <f>IF(Ajustes!$G253&gt;0,INDEX($AA$4:$AL$323,Ajustes!$G253,Z$2),0)+IF(Ajustes!$H253&gt;0,INDEX($AA$4:$AL$323,Ajustes!$H253,Z$2),0)+IF(Ajustes!$I253&gt;0,INDEX($AA$4:$AL$323,Ajustes!$I253,Z$2),0)+IF(Ajustes!$J253&gt;0,INDEX($AA$4:$AL$323,Ajustes!$J253,Z$2),0)+IF(Ajustes!$K253&gt;0,INDEX($AA$5:$AL$324,Ajustes!$K253,Z$2),0)+IF(Ajustes!$L253&gt;0,INDEX($AA$4:$AL$323,Ajustes!$L253,Z$2),0) + Z253</f>
        <v>0</v>
      </c>
      <c r="AM253" s="113">
        <f t="shared" si="47"/>
        <v>0</v>
      </c>
      <c r="AN253" s="113">
        <f t="shared" si="47"/>
        <v>0</v>
      </c>
      <c r="AO253" s="113">
        <f t="shared" si="47"/>
        <v>0</v>
      </c>
      <c r="AP253" s="113">
        <f t="shared" si="47"/>
        <v>0</v>
      </c>
      <c r="AQ253" s="113">
        <f t="shared" si="49"/>
        <v>0</v>
      </c>
      <c r="AR253" s="113">
        <f t="shared" si="48"/>
        <v>0</v>
      </c>
      <c r="AS253" s="113">
        <f t="shared" si="48"/>
        <v>0</v>
      </c>
      <c r="AT253" s="113">
        <f t="shared" si="48"/>
        <v>0</v>
      </c>
      <c r="AU253" s="113">
        <f t="shared" si="48"/>
        <v>0</v>
      </c>
      <c r="AV253" s="113">
        <f t="shared" si="51"/>
        <v>0</v>
      </c>
      <c r="AW253" s="113">
        <f t="shared" si="50"/>
        <v>0</v>
      </c>
      <c r="AX253" s="113">
        <f t="shared" si="50"/>
        <v>0</v>
      </c>
    </row>
    <row r="254" spans="1:50" x14ac:dyDescent="0.25">
      <c r="A254" s="113">
        <v>251</v>
      </c>
      <c r="B254" s="209" t="s">
        <v>648</v>
      </c>
      <c r="C254">
        <f>IFERROR(INDEX($BD$7:$BO$35,MATCH(Ajustes!$E$4:$E$323,$BC$7:$BC$35,0),$C$2:$N$2),1)</f>
        <v>1</v>
      </c>
      <c r="D254" s="113">
        <f>IFERROR(INDEX($BD$7:$BO$35,MATCH(Ajustes!$E$4:$E$323,$BC$7:$BC$35,0),$C$2:$N$2),1)</f>
        <v>1</v>
      </c>
      <c r="E254" s="113">
        <f>IFERROR(INDEX($BD$7:$BO$35,MATCH(Ajustes!$E$4:$E$323,$BC$7:$BC$35,0),$C$2:$N$2),1)</f>
        <v>1</v>
      </c>
      <c r="F254" s="113">
        <f>IFERROR(INDEX($BD$7:$BO$35,MATCH(Ajustes!$E$4:$E$323,$BC$7:$BC$35,0),$C$2:$N$2),1)</f>
        <v>1</v>
      </c>
      <c r="G254" s="113">
        <f>IFERROR(INDEX($BD$7:$BO$35,MATCH(Ajustes!$E$4:$E$323,$BC$7:$BC$35,0),$C$2:$N$2),1)</f>
        <v>1</v>
      </c>
      <c r="H254" s="113">
        <f>IFERROR(INDEX($BD$7:$BO$35,MATCH(Ajustes!$E$4:$E$323,$BC$7:$BC$35,0),$C$2:$N$2),1)</f>
        <v>1</v>
      </c>
      <c r="I254" s="113">
        <f>IFERROR(INDEX($BD$7:$BO$35,MATCH(Ajustes!$E$4:$E$323,$BC$7:$BC$35,0),$C$2:$N$2),1)</f>
        <v>1</v>
      </c>
      <c r="J254" s="113">
        <f>IFERROR(INDEX($BD$7:$BO$35,MATCH(Ajustes!$E$4:$E$323,$BC$7:$BC$35,0),$C$2:$N$2),1)</f>
        <v>1</v>
      </c>
      <c r="K254" s="113">
        <f>IFERROR(INDEX($BD$7:$BO$35,MATCH(Ajustes!$E$4:$E$323,$BC$7:$BC$35,0),$C$2:$N$2),1)</f>
        <v>1</v>
      </c>
      <c r="L254" s="113">
        <f>IFERROR(INDEX($BD$7:$BO$35,MATCH(Ajustes!$E$4:$E$323,$BC$7:$BC$35,0),$C$2:$N$2),1)</f>
        <v>1</v>
      </c>
      <c r="M254" s="113">
        <f>IFERROR(INDEX($BD$7:$BO$35,MATCH(Ajustes!$E$4:$E$323,$BC$7:$BC$35,0),$C$2:$N$2),1)</f>
        <v>1</v>
      </c>
      <c r="N254" s="113">
        <f>IFERROR(INDEX($BD$7:$BO$35,MATCH(Ajustes!$E$4:$E$323,$BC$7:$BC$35,0),$C$2:$N$2),1)</f>
        <v>1</v>
      </c>
      <c r="O254">
        <f>C254*Ajustes!AM254</f>
        <v>129</v>
      </c>
      <c r="P254">
        <f>D254*Ajustes!AN254</f>
        <v>126</v>
      </c>
      <c r="Q254">
        <f>E254*Ajustes!AO254</f>
        <v>123</v>
      </c>
      <c r="R254">
        <f>F254*Ajustes!AP254</f>
        <v>91</v>
      </c>
      <c r="S254">
        <f>G254*Ajustes!AQ254</f>
        <v>56</v>
      </c>
      <c r="T254">
        <f>H254*Ajustes!AR254</f>
        <v>43</v>
      </c>
      <c r="U254">
        <f>I254*Ajustes!AS254</f>
        <v>33</v>
      </c>
      <c r="V254">
        <f>J254*Ajustes!AT254</f>
        <v>27</v>
      </c>
      <c r="W254">
        <f>K254*Ajustes!AU254</f>
        <v>22</v>
      </c>
      <c r="X254">
        <f>L254*Ajustes!AV254</f>
        <v>28</v>
      </c>
      <c r="Y254">
        <f>M254*Ajustes!AW254</f>
        <v>49</v>
      </c>
      <c r="Z254">
        <f>N254*Ajustes!AX254</f>
        <v>96</v>
      </c>
      <c r="AA254">
        <f>IF(Ajustes!$G254&gt;0,INDEX($AA$4:$AL$323,Ajustes!$G254,O$2),0)+IF(Ajustes!$H254&gt;0,INDEX($AA$4:$AL$323,Ajustes!$H254,O$2),0)+IF(Ajustes!$I254&gt;0,INDEX($AA$4:$AL$323,Ajustes!$I254,O$2),0)+IF(Ajustes!$J254&gt;0,INDEX($AA$4:$AL$323,Ajustes!$J254,O$2),0)+IF(Ajustes!$K254&gt;0,INDEX($AA$5:$AL$324,Ajustes!$K254,O$2),0)+IF(Ajustes!$L254&gt;0,INDEX($AA$4:$AL$323,Ajustes!$L254,O$2),0) + O254</f>
        <v>322</v>
      </c>
      <c r="AB254">
        <f>IF(Ajustes!$G254&gt;0,INDEX($AA$4:$AL$323,Ajustes!$G254,P$2),0)+IF(Ajustes!$H254&gt;0,INDEX($AA$4:$AL$323,Ajustes!$H254,P$2),0)+IF(Ajustes!$I254&gt;0,INDEX($AA$4:$AL$323,Ajustes!$I254,P$2),0)+IF(Ajustes!$J254&gt;0,INDEX($AA$4:$AL$323,Ajustes!$J254,P$2),0)+IF(Ajustes!$K254&gt;0,INDEX($AA$5:$AL$324,Ajustes!$K254,P$2),0)+IF(Ajustes!$L254&gt;0,INDEX($AA$4:$AL$323,Ajustes!$L254,P$2),0) + P254</f>
        <v>322</v>
      </c>
      <c r="AC254">
        <f>IF(Ajustes!$G254&gt;0,INDEX($AA$4:$AL$323,Ajustes!$G254,Q$2),0)+IF(Ajustes!$H254&gt;0,INDEX($AA$4:$AL$323,Ajustes!$H254,Q$2),0)+IF(Ajustes!$I254&gt;0,INDEX($AA$4:$AL$323,Ajustes!$I254,Q$2),0)+IF(Ajustes!$J254&gt;0,INDEX($AA$4:$AL$323,Ajustes!$J254,Q$2),0)+IF(Ajustes!$K254&gt;0,INDEX($AA$5:$AL$324,Ajustes!$K254,Q$2),0)+IF(Ajustes!$L254&gt;0,INDEX($AA$4:$AL$323,Ajustes!$L254,Q$2),0) + Q254</f>
        <v>322</v>
      </c>
      <c r="AD254">
        <f>IF(Ajustes!$G254&gt;0,INDEX($AA$4:$AL$323,Ajustes!$G254,R$2),0)+IF(Ajustes!$H254&gt;0,INDEX($AA$4:$AL$323,Ajustes!$H254,R$2),0)+IF(Ajustes!$I254&gt;0,INDEX($AA$4:$AL$323,Ajustes!$I254,R$2),0)+IF(Ajustes!$J254&gt;0,INDEX($AA$4:$AL$323,Ajustes!$J254,R$2),0)+IF(Ajustes!$K254&gt;0,INDEX($AA$5:$AL$324,Ajustes!$K254,R$2),0)+IF(Ajustes!$L254&gt;0,INDEX($AA$4:$AL$323,Ajustes!$L254,R$2),0) + R254</f>
        <v>241</v>
      </c>
      <c r="AE254">
        <f>IF(Ajustes!$G254&gt;0,INDEX($AA$4:$AL$323,Ajustes!$G254,S$2),0)+IF(Ajustes!$H254&gt;0,INDEX($AA$4:$AL$323,Ajustes!$H254,S$2),0)+IF(Ajustes!$I254&gt;0,INDEX($AA$4:$AL$323,Ajustes!$I254,S$2),0)+IF(Ajustes!$J254&gt;0,INDEX($AA$4:$AL$323,Ajustes!$J254,S$2),0)+IF(Ajustes!$K254&gt;0,INDEX($AA$5:$AL$324,Ajustes!$K254,S$2),0)+IF(Ajustes!$L254&gt;0,INDEX($AA$4:$AL$323,Ajustes!$L254,S$2),0) + S254</f>
        <v>152</v>
      </c>
      <c r="AF254">
        <f>IF(Ajustes!$G254&gt;0,INDEX($AA$4:$AL$323,Ajustes!$G254,T$2),0)+IF(Ajustes!$H254&gt;0,INDEX($AA$4:$AL$323,Ajustes!$H254,T$2),0)+IF(Ajustes!$I254&gt;0,INDEX($AA$4:$AL$323,Ajustes!$I254,T$2),0)+IF(Ajustes!$J254&gt;0,INDEX($AA$4:$AL$323,Ajustes!$J254,T$2),0)+IF(Ajustes!$K254&gt;0,INDEX($AA$5:$AL$324,Ajustes!$K254,T$2),0)+IF(Ajustes!$L254&gt;0,INDEX($AA$4:$AL$323,Ajustes!$L254,T$2),0) + T254</f>
        <v>116</v>
      </c>
      <c r="AG254">
        <f>IF(Ajustes!$G254&gt;0,INDEX($AA$4:$AL$323,Ajustes!$G254,U$2),0)+IF(Ajustes!$H254&gt;0,INDEX($AA$4:$AL$323,Ajustes!$H254,U$2),0)+IF(Ajustes!$I254&gt;0,INDEX($AA$4:$AL$323,Ajustes!$I254,U$2),0)+IF(Ajustes!$J254&gt;0,INDEX($AA$4:$AL$323,Ajustes!$J254,U$2),0)+IF(Ajustes!$K254&gt;0,INDEX($AA$5:$AL$324,Ajustes!$K254,U$2),0)+IF(Ajustes!$L254&gt;0,INDEX($AA$4:$AL$323,Ajustes!$L254,U$2),0) + U254</f>
        <v>91</v>
      </c>
      <c r="AH254">
        <f>IF(Ajustes!$G254&gt;0,INDEX($AA$4:$AL$323,Ajustes!$G254,V$2),0)+IF(Ajustes!$H254&gt;0,INDEX($AA$4:$AL$323,Ajustes!$H254,V$2),0)+IF(Ajustes!$I254&gt;0,INDEX($AA$4:$AL$323,Ajustes!$I254,V$2),0)+IF(Ajustes!$J254&gt;0,INDEX($AA$4:$AL$323,Ajustes!$J254,V$2),0)+IF(Ajustes!$K254&gt;0,INDEX($AA$5:$AL$324,Ajustes!$K254,V$2),0)+IF(Ajustes!$L254&gt;0,INDEX($AA$4:$AL$323,Ajustes!$L254,V$2),0) + V254</f>
        <v>72</v>
      </c>
      <c r="AI254">
        <f>IF(Ajustes!$G254&gt;0,INDEX($AA$4:$AL$323,Ajustes!$G254,W$2),0)+IF(Ajustes!$H254&gt;0,INDEX($AA$4:$AL$323,Ajustes!$H254,W$2),0)+IF(Ajustes!$I254&gt;0,INDEX($AA$4:$AL$323,Ajustes!$I254,W$2),0)+IF(Ajustes!$J254&gt;0,INDEX($AA$4:$AL$323,Ajustes!$J254,W$2),0)+IF(Ajustes!$K254&gt;0,INDEX($AA$5:$AL$324,Ajustes!$K254,W$2),0)+IF(Ajustes!$L254&gt;0,INDEX($AA$4:$AL$323,Ajustes!$L254,W$2),0) + W254</f>
        <v>61</v>
      </c>
      <c r="AJ254">
        <f>IF(Ajustes!$G254&gt;0,INDEX($AA$4:$AL$323,Ajustes!$G254,X$2),0)+IF(Ajustes!$H254&gt;0,INDEX($AA$4:$AL$323,Ajustes!$H254,X$2),0)+IF(Ajustes!$I254&gt;0,INDEX($AA$4:$AL$323,Ajustes!$I254,X$2),0)+IF(Ajustes!$J254&gt;0,INDEX($AA$4:$AL$323,Ajustes!$J254,X$2),0)+IF(Ajustes!$K254&gt;0,INDEX($AA$5:$AL$324,Ajustes!$K254,X$2),0)+IF(Ajustes!$L254&gt;0,INDEX($AA$4:$AL$323,Ajustes!$L254,X$2),0) + X254</f>
        <v>74</v>
      </c>
      <c r="AK254">
        <f>IF(Ajustes!$G254&gt;0,INDEX($AA$4:$AL$323,Ajustes!$G254,Y$2),0)+IF(Ajustes!$H254&gt;0,INDEX($AA$4:$AL$323,Ajustes!$H254,Y$2),0)+IF(Ajustes!$I254&gt;0,INDEX($AA$4:$AL$323,Ajustes!$I254,Y$2),0)+IF(Ajustes!$J254&gt;0,INDEX($AA$4:$AL$323,Ajustes!$J254,Y$2),0)+IF(Ajustes!$K254&gt;0,INDEX($AA$5:$AL$324,Ajustes!$K254,Y$2),0)+IF(Ajustes!$L254&gt;0,INDEX($AA$4:$AL$323,Ajustes!$L254,Y$2),0) + Y254</f>
        <v>127</v>
      </c>
      <c r="AL254">
        <f>IF(Ajustes!$G254&gt;0,INDEX($AA$4:$AL$323,Ajustes!$G254,Z$2),0)+IF(Ajustes!$H254&gt;0,INDEX($AA$4:$AL$323,Ajustes!$H254,Z$2),0)+IF(Ajustes!$I254&gt;0,INDEX($AA$4:$AL$323,Ajustes!$I254,Z$2),0)+IF(Ajustes!$J254&gt;0,INDEX($AA$4:$AL$323,Ajustes!$J254,Z$2),0)+IF(Ajustes!$K254&gt;0,INDEX($AA$5:$AL$324,Ajustes!$K254,Z$2),0)+IF(Ajustes!$L254&gt;0,INDEX($AA$4:$AL$323,Ajustes!$L254,Z$2),0) + Z254</f>
        <v>242</v>
      </c>
      <c r="AM254" s="113">
        <f t="shared" si="47"/>
        <v>322</v>
      </c>
      <c r="AN254" s="113">
        <f t="shared" si="47"/>
        <v>322</v>
      </c>
      <c r="AO254" s="113">
        <f t="shared" si="47"/>
        <v>322</v>
      </c>
      <c r="AP254" s="113">
        <f t="shared" si="47"/>
        <v>241</v>
      </c>
      <c r="AQ254" s="113">
        <f t="shared" si="49"/>
        <v>152</v>
      </c>
      <c r="AR254" s="113">
        <f t="shared" si="48"/>
        <v>116</v>
      </c>
      <c r="AS254" s="113">
        <f t="shared" si="48"/>
        <v>91</v>
      </c>
      <c r="AT254" s="113">
        <f t="shared" si="48"/>
        <v>72</v>
      </c>
      <c r="AU254" s="113">
        <f t="shared" si="48"/>
        <v>61</v>
      </c>
      <c r="AV254" s="113">
        <f t="shared" si="51"/>
        <v>74</v>
      </c>
      <c r="AW254" s="113">
        <f t="shared" si="50"/>
        <v>127</v>
      </c>
      <c r="AX254" s="113">
        <f t="shared" si="50"/>
        <v>242</v>
      </c>
    </row>
    <row r="255" spans="1:50" x14ac:dyDescent="0.25">
      <c r="A255" s="113">
        <v>252</v>
      </c>
      <c r="B255" s="209" t="s">
        <v>266</v>
      </c>
      <c r="C255">
        <f>IFERROR(INDEX($BD$7:$BO$35,MATCH(Ajustes!$E$4:$E$323,$BC$7:$BC$35,0),$C$2:$N$2),1)</f>
        <v>1</v>
      </c>
      <c r="D255" s="113">
        <f>IFERROR(INDEX($BD$7:$BO$35,MATCH(Ajustes!$E$4:$E$323,$BC$7:$BC$35,0),$C$2:$N$2),1)</f>
        <v>1</v>
      </c>
      <c r="E255" s="113">
        <f>IFERROR(INDEX($BD$7:$BO$35,MATCH(Ajustes!$E$4:$E$323,$BC$7:$BC$35,0),$C$2:$N$2),1)</f>
        <v>1</v>
      </c>
      <c r="F255" s="113">
        <f>IFERROR(INDEX($BD$7:$BO$35,MATCH(Ajustes!$E$4:$E$323,$BC$7:$BC$35,0),$C$2:$N$2),1)</f>
        <v>1</v>
      </c>
      <c r="G255" s="113">
        <f>IFERROR(INDEX($BD$7:$BO$35,MATCH(Ajustes!$E$4:$E$323,$BC$7:$BC$35,0),$C$2:$N$2),1)</f>
        <v>1</v>
      </c>
      <c r="H255" s="113">
        <f>IFERROR(INDEX($BD$7:$BO$35,MATCH(Ajustes!$E$4:$E$323,$BC$7:$BC$35,0),$C$2:$N$2),1)</f>
        <v>1</v>
      </c>
      <c r="I255" s="113">
        <f>IFERROR(INDEX($BD$7:$BO$35,MATCH(Ajustes!$E$4:$E$323,$BC$7:$BC$35,0),$C$2:$N$2),1)</f>
        <v>1</v>
      </c>
      <c r="J255" s="113">
        <f>IFERROR(INDEX($BD$7:$BO$35,MATCH(Ajustes!$E$4:$E$323,$BC$7:$BC$35,0),$C$2:$N$2),1)</f>
        <v>1</v>
      </c>
      <c r="K255" s="113">
        <f>IFERROR(INDEX($BD$7:$BO$35,MATCH(Ajustes!$E$4:$E$323,$BC$7:$BC$35,0),$C$2:$N$2),1)</f>
        <v>1</v>
      </c>
      <c r="L255" s="113">
        <f>IFERROR(INDEX($BD$7:$BO$35,MATCH(Ajustes!$E$4:$E$323,$BC$7:$BC$35,0),$C$2:$N$2),1)</f>
        <v>1</v>
      </c>
      <c r="M255" s="113">
        <f>IFERROR(INDEX($BD$7:$BO$35,MATCH(Ajustes!$E$4:$E$323,$BC$7:$BC$35,0),$C$2:$N$2),1)</f>
        <v>1</v>
      </c>
      <c r="N255" s="113">
        <f>IFERROR(INDEX($BD$7:$BO$35,MATCH(Ajustes!$E$4:$E$323,$BC$7:$BC$35,0),$C$2:$N$2),1)</f>
        <v>1</v>
      </c>
      <c r="O255">
        <f>C255*Ajustes!AM255</f>
        <v>0</v>
      </c>
      <c r="P255">
        <f>D255*Ajustes!AN255</f>
        <v>0</v>
      </c>
      <c r="Q255">
        <f>E255*Ajustes!AO255</f>
        <v>0</v>
      </c>
      <c r="R255">
        <f>F255*Ajustes!AP255</f>
        <v>0</v>
      </c>
      <c r="S255">
        <f>G255*Ajustes!AQ255</f>
        <v>0</v>
      </c>
      <c r="T255">
        <f>H255*Ajustes!AR255</f>
        <v>0</v>
      </c>
      <c r="U255">
        <f>I255*Ajustes!AS255</f>
        <v>0</v>
      </c>
      <c r="V255">
        <f>J255*Ajustes!AT255</f>
        <v>0</v>
      </c>
      <c r="W255">
        <f>K255*Ajustes!AU255</f>
        <v>0</v>
      </c>
      <c r="X255">
        <f>L255*Ajustes!AV255</f>
        <v>0</v>
      </c>
      <c r="Y255">
        <f>M255*Ajustes!AW255</f>
        <v>0</v>
      </c>
      <c r="Z255">
        <f>N255*Ajustes!AX255</f>
        <v>0</v>
      </c>
      <c r="AA255">
        <f>IF(Ajustes!$G255&gt;0,INDEX($AA$4:$AL$323,Ajustes!$G255,O$2),0)+IF(Ajustes!$H255&gt;0,INDEX($AA$4:$AL$323,Ajustes!$H255,O$2),0)+IF(Ajustes!$I255&gt;0,INDEX($AA$4:$AL$323,Ajustes!$I255,O$2),0)+IF(Ajustes!$J255&gt;0,INDEX($AA$4:$AL$323,Ajustes!$J255,O$2),0)+IF(Ajustes!$K255&gt;0,INDEX($AA$5:$AL$324,Ajustes!$K255,O$2),0)+IF(Ajustes!$L255&gt;0,INDEX($AA$4:$AL$323,Ajustes!$L255,O$2),0) + O255</f>
        <v>102</v>
      </c>
      <c r="AB255">
        <f>IF(Ajustes!$G255&gt;0,INDEX($AA$4:$AL$323,Ajustes!$G255,P$2),0)+IF(Ajustes!$H255&gt;0,INDEX($AA$4:$AL$323,Ajustes!$H255,P$2),0)+IF(Ajustes!$I255&gt;0,INDEX($AA$4:$AL$323,Ajustes!$I255,P$2),0)+IF(Ajustes!$J255&gt;0,INDEX($AA$4:$AL$323,Ajustes!$J255,P$2),0)+IF(Ajustes!$K255&gt;0,INDEX($AA$5:$AL$324,Ajustes!$K255,P$2),0)+IF(Ajustes!$L255&gt;0,INDEX($AA$4:$AL$323,Ajustes!$L255,P$2),0) + P255</f>
        <v>115</v>
      </c>
      <c r="AC255">
        <f>IF(Ajustes!$G255&gt;0,INDEX($AA$4:$AL$323,Ajustes!$G255,Q$2),0)+IF(Ajustes!$H255&gt;0,INDEX($AA$4:$AL$323,Ajustes!$H255,Q$2),0)+IF(Ajustes!$I255&gt;0,INDEX($AA$4:$AL$323,Ajustes!$I255,Q$2),0)+IF(Ajustes!$J255&gt;0,INDEX($AA$4:$AL$323,Ajustes!$J255,Q$2),0)+IF(Ajustes!$K255&gt;0,INDEX($AA$5:$AL$324,Ajustes!$K255,Q$2),0)+IF(Ajustes!$L255&gt;0,INDEX($AA$4:$AL$323,Ajustes!$L255,Q$2),0) + Q255</f>
        <v>113</v>
      </c>
      <c r="AD255">
        <f>IF(Ajustes!$G255&gt;0,INDEX($AA$4:$AL$323,Ajustes!$G255,R$2),0)+IF(Ajustes!$H255&gt;0,INDEX($AA$4:$AL$323,Ajustes!$H255,R$2),0)+IF(Ajustes!$I255&gt;0,INDEX($AA$4:$AL$323,Ajustes!$I255,R$2),0)+IF(Ajustes!$J255&gt;0,INDEX($AA$4:$AL$323,Ajustes!$J255,R$2),0)+IF(Ajustes!$K255&gt;0,INDEX($AA$5:$AL$324,Ajustes!$K255,R$2),0)+IF(Ajustes!$L255&gt;0,INDEX($AA$4:$AL$323,Ajustes!$L255,R$2),0) + R255</f>
        <v>89</v>
      </c>
      <c r="AE255">
        <f>IF(Ajustes!$G255&gt;0,INDEX($AA$4:$AL$323,Ajustes!$G255,S$2),0)+IF(Ajustes!$H255&gt;0,INDEX($AA$4:$AL$323,Ajustes!$H255,S$2),0)+IF(Ajustes!$I255&gt;0,INDEX($AA$4:$AL$323,Ajustes!$I255,S$2),0)+IF(Ajustes!$J255&gt;0,INDEX($AA$4:$AL$323,Ajustes!$J255,S$2),0)+IF(Ajustes!$K255&gt;0,INDEX($AA$5:$AL$324,Ajustes!$K255,S$2),0)+IF(Ajustes!$L255&gt;0,INDEX($AA$4:$AL$323,Ajustes!$L255,S$2),0) + S255</f>
        <v>66</v>
      </c>
      <c r="AF255">
        <f>IF(Ajustes!$G255&gt;0,INDEX($AA$4:$AL$323,Ajustes!$G255,T$2),0)+IF(Ajustes!$H255&gt;0,INDEX($AA$4:$AL$323,Ajustes!$H255,T$2),0)+IF(Ajustes!$I255&gt;0,INDEX($AA$4:$AL$323,Ajustes!$I255,T$2),0)+IF(Ajustes!$J255&gt;0,INDEX($AA$4:$AL$323,Ajustes!$J255,T$2),0)+IF(Ajustes!$K255&gt;0,INDEX($AA$5:$AL$324,Ajustes!$K255,T$2),0)+IF(Ajustes!$L255&gt;0,INDEX($AA$4:$AL$323,Ajustes!$L255,T$2),0) + T255</f>
        <v>56</v>
      </c>
      <c r="AG255">
        <f>IF(Ajustes!$G255&gt;0,INDEX($AA$4:$AL$323,Ajustes!$G255,U$2),0)+IF(Ajustes!$H255&gt;0,INDEX($AA$4:$AL$323,Ajustes!$H255,U$2),0)+IF(Ajustes!$I255&gt;0,INDEX($AA$4:$AL$323,Ajustes!$I255,U$2),0)+IF(Ajustes!$J255&gt;0,INDEX($AA$4:$AL$323,Ajustes!$J255,U$2),0)+IF(Ajustes!$K255&gt;0,INDEX($AA$5:$AL$324,Ajustes!$K255,U$2),0)+IF(Ajustes!$L255&gt;0,INDEX($AA$4:$AL$323,Ajustes!$L255,U$2),0) + U255</f>
        <v>51</v>
      </c>
      <c r="AH255">
        <f>IF(Ajustes!$G255&gt;0,INDEX($AA$4:$AL$323,Ajustes!$G255,V$2),0)+IF(Ajustes!$H255&gt;0,INDEX($AA$4:$AL$323,Ajustes!$H255,V$2),0)+IF(Ajustes!$I255&gt;0,INDEX($AA$4:$AL$323,Ajustes!$I255,V$2),0)+IF(Ajustes!$J255&gt;0,INDEX($AA$4:$AL$323,Ajustes!$J255,V$2),0)+IF(Ajustes!$K255&gt;0,INDEX($AA$5:$AL$324,Ajustes!$K255,V$2),0)+IF(Ajustes!$L255&gt;0,INDEX($AA$4:$AL$323,Ajustes!$L255,V$2),0) + V255</f>
        <v>47</v>
      </c>
      <c r="AI255">
        <f>IF(Ajustes!$G255&gt;0,INDEX($AA$4:$AL$323,Ajustes!$G255,W$2),0)+IF(Ajustes!$H255&gt;0,INDEX($AA$4:$AL$323,Ajustes!$H255,W$2),0)+IF(Ajustes!$I255&gt;0,INDEX($AA$4:$AL$323,Ajustes!$I255,W$2),0)+IF(Ajustes!$J255&gt;0,INDEX($AA$4:$AL$323,Ajustes!$J255,W$2),0)+IF(Ajustes!$K255&gt;0,INDEX($AA$5:$AL$324,Ajustes!$K255,W$2),0)+IF(Ajustes!$L255&gt;0,INDEX($AA$4:$AL$323,Ajustes!$L255,W$2),0) + W255</f>
        <v>48</v>
      </c>
      <c r="AJ255">
        <f>IF(Ajustes!$G255&gt;0,INDEX($AA$4:$AL$323,Ajustes!$G255,X$2),0)+IF(Ajustes!$H255&gt;0,INDEX($AA$4:$AL$323,Ajustes!$H255,X$2),0)+IF(Ajustes!$I255&gt;0,INDEX($AA$4:$AL$323,Ajustes!$I255,X$2),0)+IF(Ajustes!$J255&gt;0,INDEX($AA$4:$AL$323,Ajustes!$J255,X$2),0)+IF(Ajustes!$K255&gt;0,INDEX($AA$5:$AL$324,Ajustes!$K255,X$2),0)+IF(Ajustes!$L255&gt;0,INDEX($AA$4:$AL$323,Ajustes!$L255,X$2),0) + X255</f>
        <v>52</v>
      </c>
      <c r="AK255">
        <f>IF(Ajustes!$G255&gt;0,INDEX($AA$4:$AL$323,Ajustes!$G255,Y$2),0)+IF(Ajustes!$H255&gt;0,INDEX($AA$4:$AL$323,Ajustes!$H255,Y$2),0)+IF(Ajustes!$I255&gt;0,INDEX($AA$4:$AL$323,Ajustes!$I255,Y$2),0)+IF(Ajustes!$J255&gt;0,INDEX($AA$4:$AL$323,Ajustes!$J255,Y$2),0)+IF(Ajustes!$K255&gt;0,INDEX($AA$5:$AL$324,Ajustes!$K255,Y$2),0)+IF(Ajustes!$L255&gt;0,INDEX($AA$4:$AL$323,Ajustes!$L255,Y$2),0) + Y255</f>
        <v>61</v>
      </c>
      <c r="AL255">
        <f>IF(Ajustes!$G255&gt;0,INDEX($AA$4:$AL$323,Ajustes!$G255,Z$2),0)+IF(Ajustes!$H255&gt;0,INDEX($AA$4:$AL$323,Ajustes!$H255,Z$2),0)+IF(Ajustes!$I255&gt;0,INDEX($AA$4:$AL$323,Ajustes!$I255,Z$2),0)+IF(Ajustes!$J255&gt;0,INDEX($AA$4:$AL$323,Ajustes!$J255,Z$2),0)+IF(Ajustes!$K255&gt;0,INDEX($AA$5:$AL$324,Ajustes!$K255,Z$2),0)+IF(Ajustes!$L255&gt;0,INDEX($AA$4:$AL$323,Ajustes!$L255,Z$2),0) + Z255</f>
        <v>80</v>
      </c>
      <c r="AM255" s="113">
        <f t="shared" si="47"/>
        <v>102</v>
      </c>
      <c r="AN255" s="113">
        <f t="shared" si="47"/>
        <v>115</v>
      </c>
      <c r="AO255" s="113">
        <f t="shared" si="47"/>
        <v>113</v>
      </c>
      <c r="AP255" s="113">
        <f t="shared" si="47"/>
        <v>89</v>
      </c>
      <c r="AQ255" s="113">
        <f t="shared" si="49"/>
        <v>66</v>
      </c>
      <c r="AR255" s="113">
        <f t="shared" si="48"/>
        <v>56</v>
      </c>
      <c r="AS255" s="113">
        <f t="shared" si="48"/>
        <v>51</v>
      </c>
      <c r="AT255" s="113">
        <f t="shared" si="48"/>
        <v>47</v>
      </c>
      <c r="AU255" s="113">
        <f t="shared" si="48"/>
        <v>48</v>
      </c>
      <c r="AV255" s="113">
        <f t="shared" si="51"/>
        <v>52</v>
      </c>
      <c r="AW255" s="113">
        <f t="shared" si="50"/>
        <v>61</v>
      </c>
      <c r="AX255" s="113">
        <f t="shared" si="50"/>
        <v>80</v>
      </c>
    </row>
    <row r="256" spans="1:50" x14ac:dyDescent="0.25">
      <c r="A256" s="113">
        <v>253</v>
      </c>
      <c r="B256" s="209" t="s">
        <v>231</v>
      </c>
      <c r="C256">
        <f>IFERROR(INDEX($BD$7:$BO$35,MATCH(Ajustes!$E$4:$E$323,$BC$7:$BC$35,0),$C$2:$N$2),1)</f>
        <v>1</v>
      </c>
      <c r="D256" s="113">
        <f>IFERROR(INDEX($BD$7:$BO$35,MATCH(Ajustes!$E$4:$E$323,$BC$7:$BC$35,0),$C$2:$N$2),1)</f>
        <v>1</v>
      </c>
      <c r="E256" s="113">
        <f>IFERROR(INDEX($BD$7:$BO$35,MATCH(Ajustes!$E$4:$E$323,$BC$7:$BC$35,0),$C$2:$N$2),1)</f>
        <v>1</v>
      </c>
      <c r="F256" s="113">
        <f>IFERROR(INDEX($BD$7:$BO$35,MATCH(Ajustes!$E$4:$E$323,$BC$7:$BC$35,0),$C$2:$N$2),1)</f>
        <v>1</v>
      </c>
      <c r="G256" s="113">
        <f>IFERROR(INDEX($BD$7:$BO$35,MATCH(Ajustes!$E$4:$E$323,$BC$7:$BC$35,0),$C$2:$N$2),1)</f>
        <v>1</v>
      </c>
      <c r="H256" s="113">
        <f>IFERROR(INDEX($BD$7:$BO$35,MATCH(Ajustes!$E$4:$E$323,$BC$7:$BC$35,0),$C$2:$N$2),1)</f>
        <v>1</v>
      </c>
      <c r="I256" s="113">
        <f>IFERROR(INDEX($BD$7:$BO$35,MATCH(Ajustes!$E$4:$E$323,$BC$7:$BC$35,0),$C$2:$N$2),1)</f>
        <v>1</v>
      </c>
      <c r="J256" s="113">
        <f>IFERROR(INDEX($BD$7:$BO$35,MATCH(Ajustes!$E$4:$E$323,$BC$7:$BC$35,0),$C$2:$N$2),1)</f>
        <v>1</v>
      </c>
      <c r="K256" s="113">
        <f>IFERROR(INDEX($BD$7:$BO$35,MATCH(Ajustes!$E$4:$E$323,$BC$7:$BC$35,0),$C$2:$N$2),1)</f>
        <v>1</v>
      </c>
      <c r="L256" s="113">
        <f>IFERROR(INDEX($BD$7:$BO$35,MATCH(Ajustes!$E$4:$E$323,$BC$7:$BC$35,0),$C$2:$N$2),1)</f>
        <v>1</v>
      </c>
      <c r="M256" s="113">
        <f>IFERROR(INDEX($BD$7:$BO$35,MATCH(Ajustes!$E$4:$E$323,$BC$7:$BC$35,0),$C$2:$N$2),1)</f>
        <v>1</v>
      </c>
      <c r="N256" s="113">
        <f>IFERROR(INDEX($BD$7:$BO$35,MATCH(Ajustes!$E$4:$E$323,$BC$7:$BC$35,0),$C$2:$N$2),1)</f>
        <v>1</v>
      </c>
      <c r="O256">
        <f>C256*Ajustes!AM256</f>
        <v>159</v>
      </c>
      <c r="P256">
        <f>D256*Ajustes!AN256</f>
        <v>186</v>
      </c>
      <c r="Q256">
        <f>E256*Ajustes!AO256</f>
        <v>189</v>
      </c>
      <c r="R256">
        <f>F256*Ajustes!AP256</f>
        <v>156</v>
      </c>
      <c r="S256">
        <f>G256*Ajustes!AQ256</f>
        <v>78</v>
      </c>
      <c r="T256">
        <f>H256*Ajustes!AR256</f>
        <v>43</v>
      </c>
      <c r="U256">
        <f>I256*Ajustes!AS256</f>
        <v>32</v>
      </c>
      <c r="V256">
        <f>J256*Ajustes!AT256</f>
        <v>25</v>
      </c>
      <c r="W256">
        <f>K256*Ajustes!AU256</f>
        <v>23</v>
      </c>
      <c r="X256">
        <f>L256*Ajustes!AV256</f>
        <v>27</v>
      </c>
      <c r="Y256">
        <f>M256*Ajustes!AW256</f>
        <v>54</v>
      </c>
      <c r="Z256">
        <f>N256*Ajustes!AX256</f>
        <v>120</v>
      </c>
      <c r="AA256">
        <f>IF(Ajustes!$G256&gt;0,INDEX($AA$4:$AL$323,Ajustes!$G256,O$2),0)+IF(Ajustes!$H256&gt;0,INDEX($AA$4:$AL$323,Ajustes!$H256,O$2),0)+IF(Ajustes!$I256&gt;0,INDEX($AA$4:$AL$323,Ajustes!$I256,O$2),0)+IF(Ajustes!$J256&gt;0,INDEX($AA$4:$AL$323,Ajustes!$J256,O$2),0)+IF(Ajustes!$K256&gt;0,INDEX($AA$5:$AL$324,Ajustes!$K256,O$2),0)+IF(Ajustes!$L256&gt;0,INDEX($AA$4:$AL$323,Ajustes!$L256,O$2),0) + O256</f>
        <v>1759</v>
      </c>
      <c r="AB256">
        <f>IF(Ajustes!$G256&gt;0,INDEX($AA$4:$AL$323,Ajustes!$G256,P$2),0)+IF(Ajustes!$H256&gt;0,INDEX($AA$4:$AL$323,Ajustes!$H256,P$2),0)+IF(Ajustes!$I256&gt;0,INDEX($AA$4:$AL$323,Ajustes!$I256,P$2),0)+IF(Ajustes!$J256&gt;0,INDEX($AA$4:$AL$323,Ajustes!$J256,P$2),0)+IF(Ajustes!$K256&gt;0,INDEX($AA$5:$AL$324,Ajustes!$K256,P$2),0)+IF(Ajustes!$L256&gt;0,INDEX($AA$4:$AL$323,Ajustes!$L256,P$2),0) + P256</f>
        <v>1996</v>
      </c>
      <c r="AC256">
        <f>IF(Ajustes!$G256&gt;0,INDEX($AA$4:$AL$323,Ajustes!$G256,Q$2),0)+IF(Ajustes!$H256&gt;0,INDEX($AA$4:$AL$323,Ajustes!$H256,Q$2),0)+IF(Ajustes!$I256&gt;0,INDEX($AA$4:$AL$323,Ajustes!$I256,Q$2),0)+IF(Ajustes!$J256&gt;0,INDEX($AA$4:$AL$323,Ajustes!$J256,Q$2),0)+IF(Ajustes!$K256&gt;0,INDEX($AA$5:$AL$324,Ajustes!$K256,Q$2),0)+IF(Ajustes!$L256&gt;0,INDEX($AA$4:$AL$323,Ajustes!$L256,Q$2),0) + Q256</f>
        <v>1864</v>
      </c>
      <c r="AD256">
        <f>IF(Ajustes!$G256&gt;0,INDEX($AA$4:$AL$323,Ajustes!$G256,R$2),0)+IF(Ajustes!$H256&gt;0,INDEX($AA$4:$AL$323,Ajustes!$H256,R$2),0)+IF(Ajustes!$I256&gt;0,INDEX($AA$4:$AL$323,Ajustes!$I256,R$2),0)+IF(Ajustes!$J256&gt;0,INDEX($AA$4:$AL$323,Ajustes!$J256,R$2),0)+IF(Ajustes!$K256&gt;0,INDEX($AA$5:$AL$324,Ajustes!$K256,R$2),0)+IF(Ajustes!$L256&gt;0,INDEX($AA$4:$AL$323,Ajustes!$L256,R$2),0) + R256</f>
        <v>1343</v>
      </c>
      <c r="AE256">
        <f>IF(Ajustes!$G256&gt;0,INDEX($AA$4:$AL$323,Ajustes!$G256,S$2),0)+IF(Ajustes!$H256&gt;0,INDEX($AA$4:$AL$323,Ajustes!$H256,S$2),0)+IF(Ajustes!$I256&gt;0,INDEX($AA$4:$AL$323,Ajustes!$I256,S$2),0)+IF(Ajustes!$J256&gt;0,INDEX($AA$4:$AL$323,Ajustes!$J256,S$2),0)+IF(Ajustes!$K256&gt;0,INDEX($AA$5:$AL$324,Ajustes!$K256,S$2),0)+IF(Ajustes!$L256&gt;0,INDEX($AA$4:$AL$323,Ajustes!$L256,S$2),0) + S256</f>
        <v>710</v>
      </c>
      <c r="AF256">
        <f>IF(Ajustes!$G256&gt;0,INDEX($AA$4:$AL$323,Ajustes!$G256,T$2),0)+IF(Ajustes!$H256&gt;0,INDEX($AA$4:$AL$323,Ajustes!$H256,T$2),0)+IF(Ajustes!$I256&gt;0,INDEX($AA$4:$AL$323,Ajustes!$I256,T$2),0)+IF(Ajustes!$J256&gt;0,INDEX($AA$4:$AL$323,Ajustes!$J256,T$2),0)+IF(Ajustes!$K256&gt;0,INDEX($AA$5:$AL$324,Ajustes!$K256,T$2),0)+IF(Ajustes!$L256&gt;0,INDEX($AA$4:$AL$323,Ajustes!$L256,T$2),0) + T256</f>
        <v>482</v>
      </c>
      <c r="AG256">
        <f>IF(Ajustes!$G256&gt;0,INDEX($AA$4:$AL$323,Ajustes!$G256,U$2),0)+IF(Ajustes!$H256&gt;0,INDEX($AA$4:$AL$323,Ajustes!$H256,U$2),0)+IF(Ajustes!$I256&gt;0,INDEX($AA$4:$AL$323,Ajustes!$I256,U$2),0)+IF(Ajustes!$J256&gt;0,INDEX($AA$4:$AL$323,Ajustes!$J256,U$2),0)+IF(Ajustes!$K256&gt;0,INDEX($AA$5:$AL$324,Ajustes!$K256,U$2),0)+IF(Ajustes!$L256&gt;0,INDEX($AA$4:$AL$323,Ajustes!$L256,U$2),0) + U256</f>
        <v>365</v>
      </c>
      <c r="AH256">
        <f>IF(Ajustes!$G256&gt;0,INDEX($AA$4:$AL$323,Ajustes!$G256,V$2),0)+IF(Ajustes!$H256&gt;0,INDEX($AA$4:$AL$323,Ajustes!$H256,V$2),0)+IF(Ajustes!$I256&gt;0,INDEX($AA$4:$AL$323,Ajustes!$I256,V$2),0)+IF(Ajustes!$J256&gt;0,INDEX($AA$4:$AL$323,Ajustes!$J256,V$2),0)+IF(Ajustes!$K256&gt;0,INDEX($AA$5:$AL$324,Ajustes!$K256,V$2),0)+IF(Ajustes!$L256&gt;0,INDEX($AA$4:$AL$323,Ajustes!$L256,V$2),0) + V256</f>
        <v>285</v>
      </c>
      <c r="AI256">
        <f>IF(Ajustes!$G256&gt;0,INDEX($AA$4:$AL$323,Ajustes!$G256,W$2),0)+IF(Ajustes!$H256&gt;0,INDEX($AA$4:$AL$323,Ajustes!$H256,W$2),0)+IF(Ajustes!$I256&gt;0,INDEX($AA$4:$AL$323,Ajustes!$I256,W$2),0)+IF(Ajustes!$J256&gt;0,INDEX($AA$4:$AL$323,Ajustes!$J256,W$2),0)+IF(Ajustes!$K256&gt;0,INDEX($AA$5:$AL$324,Ajustes!$K256,W$2),0)+IF(Ajustes!$L256&gt;0,INDEX($AA$4:$AL$323,Ajustes!$L256,W$2),0) + W256</f>
        <v>269</v>
      </c>
      <c r="AJ256">
        <f>IF(Ajustes!$G256&gt;0,INDEX($AA$4:$AL$323,Ajustes!$G256,X$2),0)+IF(Ajustes!$H256&gt;0,INDEX($AA$4:$AL$323,Ajustes!$H256,X$2),0)+IF(Ajustes!$I256&gt;0,INDEX($AA$4:$AL$323,Ajustes!$I256,X$2),0)+IF(Ajustes!$J256&gt;0,INDEX($AA$4:$AL$323,Ajustes!$J256,X$2),0)+IF(Ajustes!$K256&gt;0,INDEX($AA$5:$AL$324,Ajustes!$K256,X$2),0)+IF(Ajustes!$L256&gt;0,INDEX($AA$4:$AL$323,Ajustes!$L256,X$2),0) + X256</f>
        <v>386</v>
      </c>
      <c r="AK256">
        <f>IF(Ajustes!$G256&gt;0,INDEX($AA$4:$AL$323,Ajustes!$G256,Y$2),0)+IF(Ajustes!$H256&gt;0,INDEX($AA$4:$AL$323,Ajustes!$H256,Y$2),0)+IF(Ajustes!$I256&gt;0,INDEX($AA$4:$AL$323,Ajustes!$I256,Y$2),0)+IF(Ajustes!$J256&gt;0,INDEX($AA$4:$AL$323,Ajustes!$J256,Y$2),0)+IF(Ajustes!$K256&gt;0,INDEX($AA$5:$AL$324,Ajustes!$K256,Y$2),0)+IF(Ajustes!$L256&gt;0,INDEX($AA$4:$AL$323,Ajustes!$L256,Y$2),0) + Y256</f>
        <v>698</v>
      </c>
      <c r="AL256">
        <f>IF(Ajustes!$G256&gt;0,INDEX($AA$4:$AL$323,Ajustes!$G256,Z$2),0)+IF(Ajustes!$H256&gt;0,INDEX($AA$4:$AL$323,Ajustes!$H256,Z$2),0)+IF(Ajustes!$I256&gt;0,INDEX($AA$4:$AL$323,Ajustes!$I256,Z$2),0)+IF(Ajustes!$J256&gt;0,INDEX($AA$4:$AL$323,Ajustes!$J256,Z$2),0)+IF(Ajustes!$K256&gt;0,INDEX($AA$5:$AL$324,Ajustes!$K256,Z$2),0)+IF(Ajustes!$L256&gt;0,INDEX($AA$4:$AL$323,Ajustes!$L256,Z$2),0) + Z256</f>
        <v>1306</v>
      </c>
      <c r="AM256" s="113">
        <f t="shared" si="47"/>
        <v>1759</v>
      </c>
      <c r="AN256" s="113">
        <f t="shared" si="47"/>
        <v>1996</v>
      </c>
      <c r="AO256" s="113">
        <f t="shared" si="47"/>
        <v>1864</v>
      </c>
      <c r="AP256" s="113">
        <f t="shared" si="47"/>
        <v>1343</v>
      </c>
      <c r="AQ256" s="113">
        <f t="shared" si="49"/>
        <v>710</v>
      </c>
      <c r="AR256" s="113">
        <f t="shared" si="48"/>
        <v>482</v>
      </c>
      <c r="AS256" s="113">
        <f t="shared" si="48"/>
        <v>365</v>
      </c>
      <c r="AT256" s="113">
        <f t="shared" si="48"/>
        <v>285</v>
      </c>
      <c r="AU256" s="113">
        <f t="shared" si="48"/>
        <v>269</v>
      </c>
      <c r="AV256" s="113">
        <f t="shared" si="51"/>
        <v>386</v>
      </c>
      <c r="AW256" s="113">
        <f t="shared" si="50"/>
        <v>698</v>
      </c>
      <c r="AX256" s="113">
        <f t="shared" si="50"/>
        <v>1306</v>
      </c>
    </row>
    <row r="257" spans="1:50" x14ac:dyDescent="0.25">
      <c r="A257" s="113">
        <v>254</v>
      </c>
      <c r="B257" s="209" t="s">
        <v>649</v>
      </c>
      <c r="C257">
        <f>IFERROR(INDEX($BD$7:$BO$35,MATCH(Ajustes!$E$4:$E$323,$BC$7:$BC$35,0),$C$2:$N$2),1)</f>
        <v>1</v>
      </c>
      <c r="D257" s="113">
        <f>IFERROR(INDEX($BD$7:$BO$35,MATCH(Ajustes!$E$4:$E$323,$BC$7:$BC$35,0),$C$2:$N$2),1)</f>
        <v>1</v>
      </c>
      <c r="E257" s="113">
        <f>IFERROR(INDEX($BD$7:$BO$35,MATCH(Ajustes!$E$4:$E$323,$BC$7:$BC$35,0),$C$2:$N$2),1)</f>
        <v>1</v>
      </c>
      <c r="F257" s="113">
        <f>IFERROR(INDEX($BD$7:$BO$35,MATCH(Ajustes!$E$4:$E$323,$BC$7:$BC$35,0),$C$2:$N$2),1)</f>
        <v>1</v>
      </c>
      <c r="G257" s="113">
        <f>IFERROR(INDEX($BD$7:$BO$35,MATCH(Ajustes!$E$4:$E$323,$BC$7:$BC$35,0),$C$2:$N$2),1)</f>
        <v>1</v>
      </c>
      <c r="H257" s="113">
        <f>IFERROR(INDEX($BD$7:$BO$35,MATCH(Ajustes!$E$4:$E$323,$BC$7:$BC$35,0),$C$2:$N$2),1)</f>
        <v>1</v>
      </c>
      <c r="I257" s="113">
        <f>IFERROR(INDEX($BD$7:$BO$35,MATCH(Ajustes!$E$4:$E$323,$BC$7:$BC$35,0),$C$2:$N$2),1)</f>
        <v>1</v>
      </c>
      <c r="J257" s="113">
        <f>IFERROR(INDEX($BD$7:$BO$35,MATCH(Ajustes!$E$4:$E$323,$BC$7:$BC$35,0),$C$2:$N$2),1)</f>
        <v>1</v>
      </c>
      <c r="K257" s="113">
        <f>IFERROR(INDEX($BD$7:$BO$35,MATCH(Ajustes!$E$4:$E$323,$BC$7:$BC$35,0),$C$2:$N$2),1)</f>
        <v>1</v>
      </c>
      <c r="L257" s="113">
        <f>IFERROR(INDEX($BD$7:$BO$35,MATCH(Ajustes!$E$4:$E$323,$BC$7:$BC$35,0),$C$2:$N$2),1)</f>
        <v>1</v>
      </c>
      <c r="M257" s="113">
        <f>IFERROR(INDEX($BD$7:$BO$35,MATCH(Ajustes!$E$4:$E$323,$BC$7:$BC$35,0),$C$2:$N$2),1)</f>
        <v>1</v>
      </c>
      <c r="N257" s="113">
        <f>IFERROR(INDEX($BD$7:$BO$35,MATCH(Ajustes!$E$4:$E$323,$BC$7:$BC$35,0),$C$2:$N$2),1)</f>
        <v>1</v>
      </c>
      <c r="O257">
        <f>C257*Ajustes!AM257</f>
        <v>158</v>
      </c>
      <c r="P257">
        <f>D257*Ajustes!AN257</f>
        <v>159</v>
      </c>
      <c r="Q257">
        <f>E257*Ajustes!AO257</f>
        <v>159</v>
      </c>
      <c r="R257">
        <f>F257*Ajustes!AP257</f>
        <v>132</v>
      </c>
      <c r="S257">
        <f>G257*Ajustes!AQ257</f>
        <v>80</v>
      </c>
      <c r="T257">
        <f>H257*Ajustes!AR257</f>
        <v>55</v>
      </c>
      <c r="U257">
        <f>I257*Ajustes!AS257</f>
        <v>55</v>
      </c>
      <c r="V257">
        <f>J257*Ajustes!AT257</f>
        <v>44</v>
      </c>
      <c r="W257">
        <f>K257*Ajustes!AU257</f>
        <v>30</v>
      </c>
      <c r="X257">
        <f>L257*Ajustes!AV257</f>
        <v>36</v>
      </c>
      <c r="Y257">
        <f>M257*Ajustes!AW257</f>
        <v>96</v>
      </c>
      <c r="Z257">
        <f>N257*Ajustes!AX257</f>
        <v>201</v>
      </c>
      <c r="AA257">
        <f>IF(Ajustes!$G257&gt;0,INDEX($AA$4:$AL$323,Ajustes!$G257,O$2),0)+IF(Ajustes!$H257&gt;0,INDEX($AA$4:$AL$323,Ajustes!$H257,O$2),0)+IF(Ajustes!$I257&gt;0,INDEX($AA$4:$AL$323,Ajustes!$I257,O$2),0)+IF(Ajustes!$J257&gt;0,INDEX($AA$4:$AL$323,Ajustes!$J257,O$2),0)+IF(Ajustes!$K257&gt;0,INDEX($AA$5:$AL$324,Ajustes!$K257,O$2),0)+IF(Ajustes!$L257&gt;0,INDEX($AA$4:$AL$323,Ajustes!$L257,O$2),0) + O257</f>
        <v>158</v>
      </c>
      <c r="AB257">
        <f>IF(Ajustes!$G257&gt;0,INDEX($AA$4:$AL$323,Ajustes!$G257,P$2),0)+IF(Ajustes!$H257&gt;0,INDEX($AA$4:$AL$323,Ajustes!$H257,P$2),0)+IF(Ajustes!$I257&gt;0,INDEX($AA$4:$AL$323,Ajustes!$I257,P$2),0)+IF(Ajustes!$J257&gt;0,INDEX($AA$4:$AL$323,Ajustes!$J257,P$2),0)+IF(Ajustes!$K257&gt;0,INDEX($AA$5:$AL$324,Ajustes!$K257,P$2),0)+IF(Ajustes!$L257&gt;0,INDEX($AA$4:$AL$323,Ajustes!$L257,P$2),0) + P257</f>
        <v>159</v>
      </c>
      <c r="AC257">
        <f>IF(Ajustes!$G257&gt;0,INDEX($AA$4:$AL$323,Ajustes!$G257,Q$2),0)+IF(Ajustes!$H257&gt;0,INDEX($AA$4:$AL$323,Ajustes!$H257,Q$2),0)+IF(Ajustes!$I257&gt;0,INDEX($AA$4:$AL$323,Ajustes!$I257,Q$2),0)+IF(Ajustes!$J257&gt;0,INDEX($AA$4:$AL$323,Ajustes!$J257,Q$2),0)+IF(Ajustes!$K257&gt;0,INDEX($AA$5:$AL$324,Ajustes!$K257,Q$2),0)+IF(Ajustes!$L257&gt;0,INDEX($AA$4:$AL$323,Ajustes!$L257,Q$2),0) + Q257</f>
        <v>159</v>
      </c>
      <c r="AD257">
        <f>IF(Ajustes!$G257&gt;0,INDEX($AA$4:$AL$323,Ajustes!$G257,R$2),0)+IF(Ajustes!$H257&gt;0,INDEX($AA$4:$AL$323,Ajustes!$H257,R$2),0)+IF(Ajustes!$I257&gt;0,INDEX($AA$4:$AL$323,Ajustes!$I257,R$2),0)+IF(Ajustes!$J257&gt;0,INDEX($AA$4:$AL$323,Ajustes!$J257,R$2),0)+IF(Ajustes!$K257&gt;0,INDEX($AA$5:$AL$324,Ajustes!$K257,R$2),0)+IF(Ajustes!$L257&gt;0,INDEX($AA$4:$AL$323,Ajustes!$L257,R$2),0) + R257</f>
        <v>132</v>
      </c>
      <c r="AE257">
        <f>IF(Ajustes!$G257&gt;0,INDEX($AA$4:$AL$323,Ajustes!$G257,S$2),0)+IF(Ajustes!$H257&gt;0,INDEX($AA$4:$AL$323,Ajustes!$H257,S$2),0)+IF(Ajustes!$I257&gt;0,INDEX($AA$4:$AL$323,Ajustes!$I257,S$2),0)+IF(Ajustes!$J257&gt;0,INDEX($AA$4:$AL$323,Ajustes!$J257,S$2),0)+IF(Ajustes!$K257&gt;0,INDEX($AA$5:$AL$324,Ajustes!$K257,S$2),0)+IF(Ajustes!$L257&gt;0,INDEX($AA$4:$AL$323,Ajustes!$L257,S$2),0) + S257</f>
        <v>80</v>
      </c>
      <c r="AF257">
        <f>IF(Ajustes!$G257&gt;0,INDEX($AA$4:$AL$323,Ajustes!$G257,T$2),0)+IF(Ajustes!$H257&gt;0,INDEX($AA$4:$AL$323,Ajustes!$H257,T$2),0)+IF(Ajustes!$I257&gt;0,INDEX($AA$4:$AL$323,Ajustes!$I257,T$2),0)+IF(Ajustes!$J257&gt;0,INDEX($AA$4:$AL$323,Ajustes!$J257,T$2),0)+IF(Ajustes!$K257&gt;0,INDEX($AA$5:$AL$324,Ajustes!$K257,T$2),0)+IF(Ajustes!$L257&gt;0,INDEX($AA$4:$AL$323,Ajustes!$L257,T$2),0) + T257</f>
        <v>55</v>
      </c>
      <c r="AG257">
        <f>IF(Ajustes!$G257&gt;0,INDEX($AA$4:$AL$323,Ajustes!$G257,U$2),0)+IF(Ajustes!$H257&gt;0,INDEX($AA$4:$AL$323,Ajustes!$H257,U$2),0)+IF(Ajustes!$I257&gt;0,INDEX($AA$4:$AL$323,Ajustes!$I257,U$2),0)+IF(Ajustes!$J257&gt;0,INDEX($AA$4:$AL$323,Ajustes!$J257,U$2),0)+IF(Ajustes!$K257&gt;0,INDEX($AA$5:$AL$324,Ajustes!$K257,U$2),0)+IF(Ajustes!$L257&gt;0,INDEX($AA$4:$AL$323,Ajustes!$L257,U$2),0) + U257</f>
        <v>55</v>
      </c>
      <c r="AH257">
        <f>IF(Ajustes!$G257&gt;0,INDEX($AA$4:$AL$323,Ajustes!$G257,V$2),0)+IF(Ajustes!$H257&gt;0,INDEX($AA$4:$AL$323,Ajustes!$H257,V$2),0)+IF(Ajustes!$I257&gt;0,INDEX($AA$4:$AL$323,Ajustes!$I257,V$2),0)+IF(Ajustes!$J257&gt;0,INDEX($AA$4:$AL$323,Ajustes!$J257,V$2),0)+IF(Ajustes!$K257&gt;0,INDEX($AA$5:$AL$324,Ajustes!$K257,V$2),0)+IF(Ajustes!$L257&gt;0,INDEX($AA$4:$AL$323,Ajustes!$L257,V$2),0) + V257</f>
        <v>44</v>
      </c>
      <c r="AI257">
        <f>IF(Ajustes!$G257&gt;0,INDEX($AA$4:$AL$323,Ajustes!$G257,W$2),0)+IF(Ajustes!$H257&gt;0,INDEX($AA$4:$AL$323,Ajustes!$H257,W$2),0)+IF(Ajustes!$I257&gt;0,INDEX($AA$4:$AL$323,Ajustes!$I257,W$2),0)+IF(Ajustes!$J257&gt;0,INDEX($AA$4:$AL$323,Ajustes!$J257,W$2),0)+IF(Ajustes!$K257&gt;0,INDEX($AA$5:$AL$324,Ajustes!$K257,W$2),0)+IF(Ajustes!$L257&gt;0,INDEX($AA$4:$AL$323,Ajustes!$L257,W$2),0) + W257</f>
        <v>30</v>
      </c>
      <c r="AJ257">
        <f>IF(Ajustes!$G257&gt;0,INDEX($AA$4:$AL$323,Ajustes!$G257,X$2),0)+IF(Ajustes!$H257&gt;0,INDEX($AA$4:$AL$323,Ajustes!$H257,X$2),0)+IF(Ajustes!$I257&gt;0,INDEX($AA$4:$AL$323,Ajustes!$I257,X$2),0)+IF(Ajustes!$J257&gt;0,INDEX($AA$4:$AL$323,Ajustes!$J257,X$2),0)+IF(Ajustes!$K257&gt;0,INDEX($AA$5:$AL$324,Ajustes!$K257,X$2),0)+IF(Ajustes!$L257&gt;0,INDEX($AA$4:$AL$323,Ajustes!$L257,X$2),0) + X257</f>
        <v>36</v>
      </c>
      <c r="AK257">
        <f>IF(Ajustes!$G257&gt;0,INDEX($AA$4:$AL$323,Ajustes!$G257,Y$2),0)+IF(Ajustes!$H257&gt;0,INDEX($AA$4:$AL$323,Ajustes!$H257,Y$2),0)+IF(Ajustes!$I257&gt;0,INDEX($AA$4:$AL$323,Ajustes!$I257,Y$2),0)+IF(Ajustes!$J257&gt;0,INDEX($AA$4:$AL$323,Ajustes!$J257,Y$2),0)+IF(Ajustes!$K257&gt;0,INDEX($AA$5:$AL$324,Ajustes!$K257,Y$2),0)+IF(Ajustes!$L257&gt;0,INDEX($AA$4:$AL$323,Ajustes!$L257,Y$2),0) + Y257</f>
        <v>96</v>
      </c>
      <c r="AL257">
        <f>IF(Ajustes!$G257&gt;0,INDEX($AA$4:$AL$323,Ajustes!$G257,Z$2),0)+IF(Ajustes!$H257&gt;0,INDEX($AA$4:$AL$323,Ajustes!$H257,Z$2),0)+IF(Ajustes!$I257&gt;0,INDEX($AA$4:$AL$323,Ajustes!$I257,Z$2),0)+IF(Ajustes!$J257&gt;0,INDEX($AA$4:$AL$323,Ajustes!$J257,Z$2),0)+IF(Ajustes!$K257&gt;0,INDEX($AA$5:$AL$324,Ajustes!$K257,Z$2),0)+IF(Ajustes!$L257&gt;0,INDEX($AA$4:$AL$323,Ajustes!$L257,Z$2),0) + Z257</f>
        <v>201</v>
      </c>
      <c r="AM257" s="113">
        <f t="shared" si="47"/>
        <v>158</v>
      </c>
      <c r="AN257" s="113">
        <f t="shared" si="47"/>
        <v>159</v>
      </c>
      <c r="AO257" s="113">
        <f t="shared" si="47"/>
        <v>159</v>
      </c>
      <c r="AP257" s="113">
        <f t="shared" si="47"/>
        <v>132</v>
      </c>
      <c r="AQ257" s="113">
        <f t="shared" si="49"/>
        <v>80</v>
      </c>
      <c r="AR257" s="113">
        <f t="shared" si="48"/>
        <v>55</v>
      </c>
      <c r="AS257" s="113">
        <f t="shared" si="48"/>
        <v>55</v>
      </c>
      <c r="AT257" s="113">
        <f t="shared" si="48"/>
        <v>44</v>
      </c>
      <c r="AU257" s="113">
        <f t="shared" si="48"/>
        <v>30</v>
      </c>
      <c r="AV257" s="113">
        <f t="shared" si="51"/>
        <v>36</v>
      </c>
      <c r="AW257" s="113">
        <f t="shared" si="50"/>
        <v>96</v>
      </c>
      <c r="AX257" s="113">
        <f t="shared" si="50"/>
        <v>201</v>
      </c>
    </row>
    <row r="258" spans="1:50" x14ac:dyDescent="0.25">
      <c r="A258" s="113">
        <v>255</v>
      </c>
      <c r="B258" s="209" t="s">
        <v>650</v>
      </c>
      <c r="C258">
        <f>IFERROR(INDEX($BD$7:$BO$35,MATCH(Ajustes!$E$4:$E$323,$BC$7:$BC$35,0),$C$2:$N$2),1)</f>
        <v>1</v>
      </c>
      <c r="D258" s="113">
        <f>IFERROR(INDEX($BD$7:$BO$35,MATCH(Ajustes!$E$4:$E$323,$BC$7:$BC$35,0),$C$2:$N$2),1)</f>
        <v>1</v>
      </c>
      <c r="E258" s="113">
        <f>IFERROR(INDEX($BD$7:$BO$35,MATCH(Ajustes!$E$4:$E$323,$BC$7:$BC$35,0),$C$2:$N$2),1)</f>
        <v>1</v>
      </c>
      <c r="F258" s="113">
        <f>IFERROR(INDEX($BD$7:$BO$35,MATCH(Ajustes!$E$4:$E$323,$BC$7:$BC$35,0),$C$2:$N$2),1)</f>
        <v>1</v>
      </c>
      <c r="G258" s="113">
        <f>IFERROR(INDEX($BD$7:$BO$35,MATCH(Ajustes!$E$4:$E$323,$BC$7:$BC$35,0),$C$2:$N$2),1)</f>
        <v>1</v>
      </c>
      <c r="H258" s="113">
        <f>IFERROR(INDEX($BD$7:$BO$35,MATCH(Ajustes!$E$4:$E$323,$BC$7:$BC$35,0),$C$2:$N$2),1)</f>
        <v>1</v>
      </c>
      <c r="I258" s="113">
        <f>IFERROR(INDEX($BD$7:$BO$35,MATCH(Ajustes!$E$4:$E$323,$BC$7:$BC$35,0),$C$2:$N$2),1)</f>
        <v>1</v>
      </c>
      <c r="J258" s="113">
        <f>IFERROR(INDEX($BD$7:$BO$35,MATCH(Ajustes!$E$4:$E$323,$BC$7:$BC$35,0),$C$2:$N$2),1)</f>
        <v>1</v>
      </c>
      <c r="K258" s="113">
        <f>IFERROR(INDEX($BD$7:$BO$35,MATCH(Ajustes!$E$4:$E$323,$BC$7:$BC$35,0),$C$2:$N$2),1)</f>
        <v>1</v>
      </c>
      <c r="L258" s="113">
        <f>IFERROR(INDEX($BD$7:$BO$35,MATCH(Ajustes!$E$4:$E$323,$BC$7:$BC$35,0),$C$2:$N$2),1)</f>
        <v>1</v>
      </c>
      <c r="M258" s="113">
        <f>IFERROR(INDEX($BD$7:$BO$35,MATCH(Ajustes!$E$4:$E$323,$BC$7:$BC$35,0),$C$2:$N$2),1)</f>
        <v>1</v>
      </c>
      <c r="N258" s="113">
        <f>IFERROR(INDEX($BD$7:$BO$35,MATCH(Ajustes!$E$4:$E$323,$BC$7:$BC$35,0),$C$2:$N$2),1)</f>
        <v>1</v>
      </c>
      <c r="O258">
        <f>C258*Ajustes!AM258</f>
        <v>347</v>
      </c>
      <c r="P258">
        <f>D258*Ajustes!AN258</f>
        <v>235</v>
      </c>
      <c r="Q258">
        <f>E258*Ajustes!AO258</f>
        <v>213</v>
      </c>
      <c r="R258">
        <f>F258*Ajustes!AP258</f>
        <v>134</v>
      </c>
      <c r="S258">
        <f>G258*Ajustes!AQ258</f>
        <v>71</v>
      </c>
      <c r="T258">
        <f>H258*Ajustes!AR258</f>
        <v>53</v>
      </c>
      <c r="U258">
        <f>I258*Ajustes!AS258</f>
        <v>44</v>
      </c>
      <c r="V258">
        <f>J258*Ajustes!AT258</f>
        <v>37</v>
      </c>
      <c r="W258">
        <f>K258*Ajustes!AU258</f>
        <v>35</v>
      </c>
      <c r="X258">
        <f>L258*Ajustes!AV258</f>
        <v>68</v>
      </c>
      <c r="Y258">
        <f>M258*Ajustes!AW258</f>
        <v>201</v>
      </c>
      <c r="Z258">
        <f>N258*Ajustes!AX258</f>
        <v>360</v>
      </c>
      <c r="AA258">
        <f>IF(Ajustes!$G258&gt;0,INDEX($AA$4:$AL$323,Ajustes!$G258,O$2),0)+IF(Ajustes!$H258&gt;0,INDEX($AA$4:$AL$323,Ajustes!$H258,O$2),0)+IF(Ajustes!$I258&gt;0,INDEX($AA$4:$AL$323,Ajustes!$I258,O$2),0)+IF(Ajustes!$J258&gt;0,INDEX($AA$4:$AL$323,Ajustes!$J258,O$2),0)+IF(Ajustes!$K258&gt;0,INDEX($AA$5:$AL$324,Ajustes!$K258,O$2),0)+IF(Ajustes!$L258&gt;0,INDEX($AA$4:$AL$323,Ajustes!$L258,O$2),0) + O258</f>
        <v>347</v>
      </c>
      <c r="AB258">
        <f>IF(Ajustes!$G258&gt;0,INDEX($AA$4:$AL$323,Ajustes!$G258,P$2),0)+IF(Ajustes!$H258&gt;0,INDEX($AA$4:$AL$323,Ajustes!$H258,P$2),0)+IF(Ajustes!$I258&gt;0,INDEX($AA$4:$AL$323,Ajustes!$I258,P$2),0)+IF(Ajustes!$J258&gt;0,INDEX($AA$4:$AL$323,Ajustes!$J258,P$2),0)+IF(Ajustes!$K258&gt;0,INDEX($AA$5:$AL$324,Ajustes!$K258,P$2),0)+IF(Ajustes!$L258&gt;0,INDEX($AA$4:$AL$323,Ajustes!$L258,P$2),0) + P258</f>
        <v>235</v>
      </c>
      <c r="AC258">
        <f>IF(Ajustes!$G258&gt;0,INDEX($AA$4:$AL$323,Ajustes!$G258,Q$2),0)+IF(Ajustes!$H258&gt;0,INDEX($AA$4:$AL$323,Ajustes!$H258,Q$2),0)+IF(Ajustes!$I258&gt;0,INDEX($AA$4:$AL$323,Ajustes!$I258,Q$2),0)+IF(Ajustes!$J258&gt;0,INDEX($AA$4:$AL$323,Ajustes!$J258,Q$2),0)+IF(Ajustes!$K258&gt;0,INDEX($AA$5:$AL$324,Ajustes!$K258,Q$2),0)+IF(Ajustes!$L258&gt;0,INDEX($AA$4:$AL$323,Ajustes!$L258,Q$2),0) + Q258</f>
        <v>213</v>
      </c>
      <c r="AD258">
        <f>IF(Ajustes!$G258&gt;0,INDEX($AA$4:$AL$323,Ajustes!$G258,R$2),0)+IF(Ajustes!$H258&gt;0,INDEX($AA$4:$AL$323,Ajustes!$H258,R$2),0)+IF(Ajustes!$I258&gt;0,INDEX($AA$4:$AL$323,Ajustes!$I258,R$2),0)+IF(Ajustes!$J258&gt;0,INDEX($AA$4:$AL$323,Ajustes!$J258,R$2),0)+IF(Ajustes!$K258&gt;0,INDEX($AA$5:$AL$324,Ajustes!$K258,R$2),0)+IF(Ajustes!$L258&gt;0,INDEX($AA$4:$AL$323,Ajustes!$L258,R$2),0) + R258</f>
        <v>134</v>
      </c>
      <c r="AE258">
        <f>IF(Ajustes!$G258&gt;0,INDEX($AA$4:$AL$323,Ajustes!$G258,S$2),0)+IF(Ajustes!$H258&gt;0,INDEX($AA$4:$AL$323,Ajustes!$H258,S$2),0)+IF(Ajustes!$I258&gt;0,INDEX($AA$4:$AL$323,Ajustes!$I258,S$2),0)+IF(Ajustes!$J258&gt;0,INDEX($AA$4:$AL$323,Ajustes!$J258,S$2),0)+IF(Ajustes!$K258&gt;0,INDEX($AA$5:$AL$324,Ajustes!$K258,S$2),0)+IF(Ajustes!$L258&gt;0,INDEX($AA$4:$AL$323,Ajustes!$L258,S$2),0) + S258</f>
        <v>71</v>
      </c>
      <c r="AF258">
        <f>IF(Ajustes!$G258&gt;0,INDEX($AA$4:$AL$323,Ajustes!$G258,T$2),0)+IF(Ajustes!$H258&gt;0,INDEX($AA$4:$AL$323,Ajustes!$H258,T$2),0)+IF(Ajustes!$I258&gt;0,INDEX($AA$4:$AL$323,Ajustes!$I258,T$2),0)+IF(Ajustes!$J258&gt;0,INDEX($AA$4:$AL$323,Ajustes!$J258,T$2),0)+IF(Ajustes!$K258&gt;0,INDEX($AA$5:$AL$324,Ajustes!$K258,T$2),0)+IF(Ajustes!$L258&gt;0,INDEX($AA$4:$AL$323,Ajustes!$L258,T$2),0) + T258</f>
        <v>53</v>
      </c>
      <c r="AG258">
        <f>IF(Ajustes!$G258&gt;0,INDEX($AA$4:$AL$323,Ajustes!$G258,U$2),0)+IF(Ajustes!$H258&gt;0,INDEX($AA$4:$AL$323,Ajustes!$H258,U$2),0)+IF(Ajustes!$I258&gt;0,INDEX($AA$4:$AL$323,Ajustes!$I258,U$2),0)+IF(Ajustes!$J258&gt;0,INDEX($AA$4:$AL$323,Ajustes!$J258,U$2),0)+IF(Ajustes!$K258&gt;0,INDEX($AA$5:$AL$324,Ajustes!$K258,U$2),0)+IF(Ajustes!$L258&gt;0,INDEX($AA$4:$AL$323,Ajustes!$L258,U$2),0) + U258</f>
        <v>44</v>
      </c>
      <c r="AH258">
        <f>IF(Ajustes!$G258&gt;0,INDEX($AA$4:$AL$323,Ajustes!$G258,V$2),0)+IF(Ajustes!$H258&gt;0,INDEX($AA$4:$AL$323,Ajustes!$H258,V$2),0)+IF(Ajustes!$I258&gt;0,INDEX($AA$4:$AL$323,Ajustes!$I258,V$2),0)+IF(Ajustes!$J258&gt;0,INDEX($AA$4:$AL$323,Ajustes!$J258,V$2),0)+IF(Ajustes!$K258&gt;0,INDEX($AA$5:$AL$324,Ajustes!$K258,V$2),0)+IF(Ajustes!$L258&gt;0,INDEX($AA$4:$AL$323,Ajustes!$L258,V$2),0) + V258</f>
        <v>37</v>
      </c>
      <c r="AI258">
        <f>IF(Ajustes!$G258&gt;0,INDEX($AA$4:$AL$323,Ajustes!$G258,W$2),0)+IF(Ajustes!$H258&gt;0,INDEX($AA$4:$AL$323,Ajustes!$H258,W$2),0)+IF(Ajustes!$I258&gt;0,INDEX($AA$4:$AL$323,Ajustes!$I258,W$2),0)+IF(Ajustes!$J258&gt;0,INDEX($AA$4:$AL$323,Ajustes!$J258,W$2),0)+IF(Ajustes!$K258&gt;0,INDEX($AA$5:$AL$324,Ajustes!$K258,W$2),0)+IF(Ajustes!$L258&gt;0,INDEX($AA$4:$AL$323,Ajustes!$L258,W$2),0) + W258</f>
        <v>35</v>
      </c>
      <c r="AJ258">
        <f>IF(Ajustes!$G258&gt;0,INDEX($AA$4:$AL$323,Ajustes!$G258,X$2),0)+IF(Ajustes!$H258&gt;0,INDEX($AA$4:$AL$323,Ajustes!$H258,X$2),0)+IF(Ajustes!$I258&gt;0,INDEX($AA$4:$AL$323,Ajustes!$I258,X$2),0)+IF(Ajustes!$J258&gt;0,INDEX($AA$4:$AL$323,Ajustes!$J258,X$2),0)+IF(Ajustes!$K258&gt;0,INDEX($AA$5:$AL$324,Ajustes!$K258,X$2),0)+IF(Ajustes!$L258&gt;0,INDEX($AA$4:$AL$323,Ajustes!$L258,X$2),0) + X258</f>
        <v>68</v>
      </c>
      <c r="AK258">
        <f>IF(Ajustes!$G258&gt;0,INDEX($AA$4:$AL$323,Ajustes!$G258,Y$2),0)+IF(Ajustes!$H258&gt;0,INDEX($AA$4:$AL$323,Ajustes!$H258,Y$2),0)+IF(Ajustes!$I258&gt;0,INDEX($AA$4:$AL$323,Ajustes!$I258,Y$2),0)+IF(Ajustes!$J258&gt;0,INDEX($AA$4:$AL$323,Ajustes!$J258,Y$2),0)+IF(Ajustes!$K258&gt;0,INDEX($AA$5:$AL$324,Ajustes!$K258,Y$2),0)+IF(Ajustes!$L258&gt;0,INDEX($AA$4:$AL$323,Ajustes!$L258,Y$2),0) + Y258</f>
        <v>201</v>
      </c>
      <c r="AL258">
        <f>IF(Ajustes!$G258&gt;0,INDEX($AA$4:$AL$323,Ajustes!$G258,Z$2),0)+IF(Ajustes!$H258&gt;0,INDEX($AA$4:$AL$323,Ajustes!$H258,Z$2),0)+IF(Ajustes!$I258&gt;0,INDEX($AA$4:$AL$323,Ajustes!$I258,Z$2),0)+IF(Ajustes!$J258&gt;0,INDEX($AA$4:$AL$323,Ajustes!$J258,Z$2),0)+IF(Ajustes!$K258&gt;0,INDEX($AA$5:$AL$324,Ajustes!$K258,Z$2),0)+IF(Ajustes!$L258&gt;0,INDEX($AA$4:$AL$323,Ajustes!$L258,Z$2),0) + Z258</f>
        <v>360</v>
      </c>
      <c r="AM258" s="113">
        <f t="shared" si="47"/>
        <v>347</v>
      </c>
      <c r="AN258" s="113">
        <f t="shared" si="47"/>
        <v>235</v>
      </c>
      <c r="AO258" s="113">
        <f t="shared" si="47"/>
        <v>213</v>
      </c>
      <c r="AP258" s="113">
        <f t="shared" si="47"/>
        <v>134</v>
      </c>
      <c r="AQ258" s="113">
        <f t="shared" si="49"/>
        <v>71</v>
      </c>
      <c r="AR258" s="113">
        <f t="shared" si="48"/>
        <v>53</v>
      </c>
      <c r="AS258" s="113">
        <f t="shared" si="48"/>
        <v>44</v>
      </c>
      <c r="AT258" s="113">
        <f t="shared" si="48"/>
        <v>37</v>
      </c>
      <c r="AU258" s="113">
        <f t="shared" si="48"/>
        <v>35</v>
      </c>
      <c r="AV258" s="113">
        <f t="shared" si="51"/>
        <v>68</v>
      </c>
      <c r="AW258" s="113">
        <f t="shared" si="50"/>
        <v>201</v>
      </c>
      <c r="AX258" s="113">
        <f t="shared" si="50"/>
        <v>360</v>
      </c>
    </row>
    <row r="259" spans="1:50" x14ac:dyDescent="0.25">
      <c r="A259" s="113">
        <v>256</v>
      </c>
      <c r="B259" s="209"/>
      <c r="C259">
        <f>IFERROR(INDEX($BD$7:$BO$35,MATCH(Ajustes!$E$4:$E$323,$BC$7:$BC$35,0),$C$2:$N$2),1)</f>
        <v>1</v>
      </c>
      <c r="D259" s="113">
        <f>IFERROR(INDEX($BD$7:$BO$35,MATCH(Ajustes!$E$4:$E$323,$BC$7:$BC$35,0),$C$2:$N$2),1)</f>
        <v>1</v>
      </c>
      <c r="E259" s="113">
        <f>IFERROR(INDEX($BD$7:$BO$35,MATCH(Ajustes!$E$4:$E$323,$BC$7:$BC$35,0),$C$2:$N$2),1)</f>
        <v>1</v>
      </c>
      <c r="F259" s="113">
        <f>IFERROR(INDEX($BD$7:$BO$35,MATCH(Ajustes!$E$4:$E$323,$BC$7:$BC$35,0),$C$2:$N$2),1)</f>
        <v>1</v>
      </c>
      <c r="G259" s="113">
        <f>IFERROR(INDEX($BD$7:$BO$35,MATCH(Ajustes!$E$4:$E$323,$BC$7:$BC$35,0),$C$2:$N$2),1)</f>
        <v>1</v>
      </c>
      <c r="H259" s="113">
        <f>IFERROR(INDEX($BD$7:$BO$35,MATCH(Ajustes!$E$4:$E$323,$BC$7:$BC$35,0),$C$2:$N$2),1)</f>
        <v>1</v>
      </c>
      <c r="I259" s="113">
        <f>IFERROR(INDEX($BD$7:$BO$35,MATCH(Ajustes!$E$4:$E$323,$BC$7:$BC$35,0),$C$2:$N$2),1)</f>
        <v>1</v>
      </c>
      <c r="J259" s="113">
        <f>IFERROR(INDEX($BD$7:$BO$35,MATCH(Ajustes!$E$4:$E$323,$BC$7:$BC$35,0),$C$2:$N$2),1)</f>
        <v>1</v>
      </c>
      <c r="K259" s="113">
        <f>IFERROR(INDEX($BD$7:$BO$35,MATCH(Ajustes!$E$4:$E$323,$BC$7:$BC$35,0),$C$2:$N$2),1)</f>
        <v>1</v>
      </c>
      <c r="L259" s="113">
        <f>IFERROR(INDEX($BD$7:$BO$35,MATCH(Ajustes!$E$4:$E$323,$BC$7:$BC$35,0),$C$2:$N$2),1)</f>
        <v>1</v>
      </c>
      <c r="M259" s="113">
        <f>IFERROR(INDEX($BD$7:$BO$35,MATCH(Ajustes!$E$4:$E$323,$BC$7:$BC$35,0),$C$2:$N$2),1)</f>
        <v>1</v>
      </c>
      <c r="N259" s="113">
        <f>IFERROR(INDEX($BD$7:$BO$35,MATCH(Ajustes!$E$4:$E$323,$BC$7:$BC$35,0),$C$2:$N$2),1)</f>
        <v>1</v>
      </c>
      <c r="O259">
        <f>C259*Ajustes!AM259</f>
        <v>0</v>
      </c>
      <c r="P259">
        <f>D259*Ajustes!AN259</f>
        <v>0</v>
      </c>
      <c r="Q259">
        <f>E259*Ajustes!AO259</f>
        <v>0</v>
      </c>
      <c r="R259">
        <f>F259*Ajustes!AP259</f>
        <v>0</v>
      </c>
      <c r="S259">
        <f>G259*Ajustes!AQ259</f>
        <v>0</v>
      </c>
      <c r="T259">
        <f>H259*Ajustes!AR259</f>
        <v>0</v>
      </c>
      <c r="U259">
        <f>I259*Ajustes!AS259</f>
        <v>0</v>
      </c>
      <c r="V259">
        <f>J259*Ajustes!AT259</f>
        <v>0</v>
      </c>
      <c r="W259">
        <f>K259*Ajustes!AU259</f>
        <v>0</v>
      </c>
      <c r="X259">
        <f>L259*Ajustes!AV259</f>
        <v>0</v>
      </c>
      <c r="Y259">
        <f>M259*Ajustes!AW259</f>
        <v>0</v>
      </c>
      <c r="Z259">
        <f>N259*Ajustes!AX259</f>
        <v>0</v>
      </c>
      <c r="AA259">
        <f>IF(Ajustes!$G259&gt;0,INDEX($AA$4:$AL$323,Ajustes!$G259,O$2),0)+IF(Ajustes!$H259&gt;0,INDEX($AA$4:$AL$323,Ajustes!$H259,O$2),0)+IF(Ajustes!$I259&gt;0,INDEX($AA$4:$AL$323,Ajustes!$I259,O$2),0)+IF(Ajustes!$J259&gt;0,INDEX($AA$4:$AL$323,Ajustes!$J259,O$2),0)+IF(Ajustes!$K259&gt;0,INDEX($AA$5:$AL$324,Ajustes!$K259,O$2),0)+IF(Ajustes!$L259&gt;0,INDEX($AA$4:$AL$323,Ajustes!$L259,O$2),0) + O259</f>
        <v>0</v>
      </c>
      <c r="AB259">
        <f>IF(Ajustes!$G259&gt;0,INDEX($AA$4:$AL$323,Ajustes!$G259,P$2),0)+IF(Ajustes!$H259&gt;0,INDEX($AA$4:$AL$323,Ajustes!$H259,P$2),0)+IF(Ajustes!$I259&gt;0,INDEX($AA$4:$AL$323,Ajustes!$I259,P$2),0)+IF(Ajustes!$J259&gt;0,INDEX($AA$4:$AL$323,Ajustes!$J259,P$2),0)+IF(Ajustes!$K259&gt;0,INDEX($AA$5:$AL$324,Ajustes!$K259,P$2),0)+IF(Ajustes!$L259&gt;0,INDEX($AA$4:$AL$323,Ajustes!$L259,P$2),0) + P259</f>
        <v>0</v>
      </c>
      <c r="AC259">
        <f>IF(Ajustes!$G259&gt;0,INDEX($AA$4:$AL$323,Ajustes!$G259,Q$2),0)+IF(Ajustes!$H259&gt;0,INDEX($AA$4:$AL$323,Ajustes!$H259,Q$2),0)+IF(Ajustes!$I259&gt;0,INDEX($AA$4:$AL$323,Ajustes!$I259,Q$2),0)+IF(Ajustes!$J259&gt;0,INDEX($AA$4:$AL$323,Ajustes!$J259,Q$2),0)+IF(Ajustes!$K259&gt;0,INDEX($AA$5:$AL$324,Ajustes!$K259,Q$2),0)+IF(Ajustes!$L259&gt;0,INDEX($AA$4:$AL$323,Ajustes!$L259,Q$2),0) + Q259</f>
        <v>0</v>
      </c>
      <c r="AD259">
        <f>IF(Ajustes!$G259&gt;0,INDEX($AA$4:$AL$323,Ajustes!$G259,R$2),0)+IF(Ajustes!$H259&gt;0,INDEX($AA$4:$AL$323,Ajustes!$H259,R$2),0)+IF(Ajustes!$I259&gt;0,INDEX($AA$4:$AL$323,Ajustes!$I259,R$2),0)+IF(Ajustes!$J259&gt;0,INDEX($AA$4:$AL$323,Ajustes!$J259,R$2),0)+IF(Ajustes!$K259&gt;0,INDEX($AA$5:$AL$324,Ajustes!$K259,R$2),0)+IF(Ajustes!$L259&gt;0,INDEX($AA$4:$AL$323,Ajustes!$L259,R$2),0) + R259</f>
        <v>0</v>
      </c>
      <c r="AE259">
        <f>IF(Ajustes!$G259&gt;0,INDEX($AA$4:$AL$323,Ajustes!$G259,S$2),0)+IF(Ajustes!$H259&gt;0,INDEX($AA$4:$AL$323,Ajustes!$H259,S$2),0)+IF(Ajustes!$I259&gt;0,INDEX($AA$4:$AL$323,Ajustes!$I259,S$2),0)+IF(Ajustes!$J259&gt;0,INDEX($AA$4:$AL$323,Ajustes!$J259,S$2),0)+IF(Ajustes!$K259&gt;0,INDEX($AA$5:$AL$324,Ajustes!$K259,S$2),0)+IF(Ajustes!$L259&gt;0,INDEX($AA$4:$AL$323,Ajustes!$L259,S$2),0) + S259</f>
        <v>0</v>
      </c>
      <c r="AF259">
        <f>IF(Ajustes!$G259&gt;0,INDEX($AA$4:$AL$323,Ajustes!$G259,T$2),0)+IF(Ajustes!$H259&gt;0,INDEX($AA$4:$AL$323,Ajustes!$H259,T$2),0)+IF(Ajustes!$I259&gt;0,INDEX($AA$4:$AL$323,Ajustes!$I259,T$2),0)+IF(Ajustes!$J259&gt;0,INDEX($AA$4:$AL$323,Ajustes!$J259,T$2),0)+IF(Ajustes!$K259&gt;0,INDEX($AA$5:$AL$324,Ajustes!$K259,T$2),0)+IF(Ajustes!$L259&gt;0,INDEX($AA$4:$AL$323,Ajustes!$L259,T$2),0) + T259</f>
        <v>0</v>
      </c>
      <c r="AG259">
        <f>IF(Ajustes!$G259&gt;0,INDEX($AA$4:$AL$323,Ajustes!$G259,U$2),0)+IF(Ajustes!$H259&gt;0,INDEX($AA$4:$AL$323,Ajustes!$H259,U$2),0)+IF(Ajustes!$I259&gt;0,INDEX($AA$4:$AL$323,Ajustes!$I259,U$2),0)+IF(Ajustes!$J259&gt;0,INDEX($AA$4:$AL$323,Ajustes!$J259,U$2),0)+IF(Ajustes!$K259&gt;0,INDEX($AA$5:$AL$324,Ajustes!$K259,U$2),0)+IF(Ajustes!$L259&gt;0,INDEX($AA$4:$AL$323,Ajustes!$L259,U$2),0) + U259</f>
        <v>0</v>
      </c>
      <c r="AH259">
        <f>IF(Ajustes!$G259&gt;0,INDEX($AA$4:$AL$323,Ajustes!$G259,V$2),0)+IF(Ajustes!$H259&gt;0,INDEX($AA$4:$AL$323,Ajustes!$H259,V$2),0)+IF(Ajustes!$I259&gt;0,INDEX($AA$4:$AL$323,Ajustes!$I259,V$2),0)+IF(Ajustes!$J259&gt;0,INDEX($AA$4:$AL$323,Ajustes!$J259,V$2),0)+IF(Ajustes!$K259&gt;0,INDEX($AA$5:$AL$324,Ajustes!$K259,V$2),0)+IF(Ajustes!$L259&gt;0,INDEX($AA$4:$AL$323,Ajustes!$L259,V$2),0) + V259</f>
        <v>0</v>
      </c>
      <c r="AI259">
        <f>IF(Ajustes!$G259&gt;0,INDEX($AA$4:$AL$323,Ajustes!$G259,W$2),0)+IF(Ajustes!$H259&gt;0,INDEX($AA$4:$AL$323,Ajustes!$H259,W$2),0)+IF(Ajustes!$I259&gt;0,INDEX($AA$4:$AL$323,Ajustes!$I259,W$2),0)+IF(Ajustes!$J259&gt;0,INDEX($AA$4:$AL$323,Ajustes!$J259,W$2),0)+IF(Ajustes!$K259&gt;0,INDEX($AA$5:$AL$324,Ajustes!$K259,W$2),0)+IF(Ajustes!$L259&gt;0,INDEX($AA$4:$AL$323,Ajustes!$L259,W$2),0) + W259</f>
        <v>0</v>
      </c>
      <c r="AJ259">
        <f>IF(Ajustes!$G259&gt;0,INDEX($AA$4:$AL$323,Ajustes!$G259,X$2),0)+IF(Ajustes!$H259&gt;0,INDEX($AA$4:$AL$323,Ajustes!$H259,X$2),0)+IF(Ajustes!$I259&gt;0,INDEX($AA$4:$AL$323,Ajustes!$I259,X$2),0)+IF(Ajustes!$J259&gt;0,INDEX($AA$4:$AL$323,Ajustes!$J259,X$2),0)+IF(Ajustes!$K259&gt;0,INDEX($AA$5:$AL$324,Ajustes!$K259,X$2),0)+IF(Ajustes!$L259&gt;0,INDEX($AA$4:$AL$323,Ajustes!$L259,X$2),0) + X259</f>
        <v>0</v>
      </c>
      <c r="AK259">
        <f>IF(Ajustes!$G259&gt;0,INDEX($AA$4:$AL$323,Ajustes!$G259,Y$2),0)+IF(Ajustes!$H259&gt;0,INDEX($AA$4:$AL$323,Ajustes!$H259,Y$2),0)+IF(Ajustes!$I259&gt;0,INDEX($AA$4:$AL$323,Ajustes!$I259,Y$2),0)+IF(Ajustes!$J259&gt;0,INDEX($AA$4:$AL$323,Ajustes!$J259,Y$2),0)+IF(Ajustes!$K259&gt;0,INDEX($AA$5:$AL$324,Ajustes!$K259,Y$2),0)+IF(Ajustes!$L259&gt;0,INDEX($AA$4:$AL$323,Ajustes!$L259,Y$2),0) + Y259</f>
        <v>0</v>
      </c>
      <c r="AL259">
        <f>IF(Ajustes!$G259&gt;0,INDEX($AA$4:$AL$323,Ajustes!$G259,Z$2),0)+IF(Ajustes!$H259&gt;0,INDEX($AA$4:$AL$323,Ajustes!$H259,Z$2),0)+IF(Ajustes!$I259&gt;0,INDEX($AA$4:$AL$323,Ajustes!$I259,Z$2),0)+IF(Ajustes!$J259&gt;0,INDEX($AA$4:$AL$323,Ajustes!$J259,Z$2),0)+IF(Ajustes!$K259&gt;0,INDEX($AA$5:$AL$324,Ajustes!$K259,Z$2),0)+IF(Ajustes!$L259&gt;0,INDEX($AA$4:$AL$323,Ajustes!$L259,Z$2),0) + Z259</f>
        <v>0</v>
      </c>
      <c r="AM259" s="113">
        <f t="shared" si="47"/>
        <v>0</v>
      </c>
      <c r="AN259" s="113">
        <f t="shared" si="47"/>
        <v>0</v>
      </c>
      <c r="AO259" s="113">
        <f t="shared" si="47"/>
        <v>0</v>
      </c>
      <c r="AP259" s="113">
        <f t="shared" si="47"/>
        <v>0</v>
      </c>
      <c r="AQ259" s="113">
        <f t="shared" si="49"/>
        <v>0</v>
      </c>
      <c r="AR259" s="113">
        <f t="shared" si="48"/>
        <v>0</v>
      </c>
      <c r="AS259" s="113">
        <f t="shared" si="48"/>
        <v>0</v>
      </c>
      <c r="AT259" s="113">
        <f t="shared" si="48"/>
        <v>0</v>
      </c>
      <c r="AU259" s="113">
        <f t="shared" si="48"/>
        <v>0</v>
      </c>
      <c r="AV259" s="113">
        <f t="shared" si="51"/>
        <v>0</v>
      </c>
      <c r="AW259" s="113">
        <f t="shared" si="50"/>
        <v>0</v>
      </c>
      <c r="AX259" s="113">
        <f t="shared" si="50"/>
        <v>0</v>
      </c>
    </row>
    <row r="260" spans="1:50" x14ac:dyDescent="0.25">
      <c r="A260" s="113">
        <v>257</v>
      </c>
      <c r="B260" s="209" t="s">
        <v>651</v>
      </c>
      <c r="C260">
        <f>IFERROR(INDEX($BD$7:$BO$35,MATCH(Ajustes!$E$4:$E$323,$BC$7:$BC$35,0),$C$2:$N$2),1)</f>
        <v>1</v>
      </c>
      <c r="D260" s="113">
        <f>IFERROR(INDEX($BD$7:$BO$35,MATCH(Ajustes!$E$4:$E$323,$BC$7:$BC$35,0),$C$2:$N$2),1)</f>
        <v>1</v>
      </c>
      <c r="E260" s="113">
        <f>IFERROR(INDEX($BD$7:$BO$35,MATCH(Ajustes!$E$4:$E$323,$BC$7:$BC$35,0),$C$2:$N$2),1)</f>
        <v>1</v>
      </c>
      <c r="F260" s="113">
        <f>IFERROR(INDEX($BD$7:$BO$35,MATCH(Ajustes!$E$4:$E$323,$BC$7:$BC$35,0),$C$2:$N$2),1)</f>
        <v>1</v>
      </c>
      <c r="G260" s="113">
        <f>IFERROR(INDEX($BD$7:$BO$35,MATCH(Ajustes!$E$4:$E$323,$BC$7:$BC$35,0),$C$2:$N$2),1)</f>
        <v>1</v>
      </c>
      <c r="H260" s="113">
        <f>IFERROR(INDEX($BD$7:$BO$35,MATCH(Ajustes!$E$4:$E$323,$BC$7:$BC$35,0),$C$2:$N$2),1)</f>
        <v>1</v>
      </c>
      <c r="I260" s="113">
        <f>IFERROR(INDEX($BD$7:$BO$35,MATCH(Ajustes!$E$4:$E$323,$BC$7:$BC$35,0),$C$2:$N$2),1)</f>
        <v>1</v>
      </c>
      <c r="J260" s="113">
        <f>IFERROR(INDEX($BD$7:$BO$35,MATCH(Ajustes!$E$4:$E$323,$BC$7:$BC$35,0),$C$2:$N$2),1)</f>
        <v>1</v>
      </c>
      <c r="K260" s="113">
        <f>IFERROR(INDEX($BD$7:$BO$35,MATCH(Ajustes!$E$4:$E$323,$BC$7:$BC$35,0),$C$2:$N$2),1)</f>
        <v>1</v>
      </c>
      <c r="L260" s="113">
        <f>IFERROR(INDEX($BD$7:$BO$35,MATCH(Ajustes!$E$4:$E$323,$BC$7:$BC$35,0),$C$2:$N$2),1)</f>
        <v>1</v>
      </c>
      <c r="M260" s="113">
        <f>IFERROR(INDEX($BD$7:$BO$35,MATCH(Ajustes!$E$4:$E$323,$BC$7:$BC$35,0),$C$2:$N$2),1)</f>
        <v>1</v>
      </c>
      <c r="N260" s="113">
        <f>IFERROR(INDEX($BD$7:$BO$35,MATCH(Ajustes!$E$4:$E$323,$BC$7:$BC$35,0),$C$2:$N$2),1)</f>
        <v>1</v>
      </c>
      <c r="O260">
        <f>C260*Ajustes!AM260</f>
        <v>1366</v>
      </c>
      <c r="P260">
        <f>D260*Ajustes!AN260</f>
        <v>1523</v>
      </c>
      <c r="Q260">
        <f>E260*Ajustes!AO260</f>
        <v>1505</v>
      </c>
      <c r="R260">
        <f>F260*Ajustes!AP260</f>
        <v>1043</v>
      </c>
      <c r="S260">
        <f>G260*Ajustes!AQ260</f>
        <v>479</v>
      </c>
      <c r="T260">
        <f>H260*Ajustes!AR260</f>
        <v>301</v>
      </c>
      <c r="U260">
        <f>I260*Ajustes!AS260</f>
        <v>235</v>
      </c>
      <c r="V260">
        <f>J260*Ajustes!AT260</f>
        <v>197</v>
      </c>
      <c r="W260">
        <f>K260*Ajustes!AU260</f>
        <v>190</v>
      </c>
      <c r="X260">
        <f>L260*Ajustes!AV260</f>
        <v>249</v>
      </c>
      <c r="Y260">
        <f>M260*Ajustes!AW260</f>
        <v>499</v>
      </c>
      <c r="Z260">
        <f>N260*Ajustes!AX260</f>
        <v>1026</v>
      </c>
      <c r="AA260">
        <f>IF(Ajustes!$G260&gt;0,INDEX($AA$4:$AL$323,Ajustes!$G260,O$2),0)+IF(Ajustes!$H260&gt;0,INDEX($AA$4:$AL$323,Ajustes!$H260,O$2),0)+IF(Ajustes!$I260&gt;0,INDEX($AA$4:$AL$323,Ajustes!$I260,O$2),0)+IF(Ajustes!$J260&gt;0,INDEX($AA$4:$AL$323,Ajustes!$J260,O$2),0)+IF(Ajustes!$K260&gt;0,INDEX($AA$5:$AL$324,Ajustes!$K260,O$2),0)+IF(Ajustes!$L260&gt;0,INDEX($AA$4:$AL$323,Ajustes!$L260,O$2),0) + O260</f>
        <v>3125</v>
      </c>
      <c r="AB260">
        <f>IF(Ajustes!$G260&gt;0,INDEX($AA$4:$AL$323,Ajustes!$G260,P$2),0)+IF(Ajustes!$H260&gt;0,INDEX($AA$4:$AL$323,Ajustes!$H260,P$2),0)+IF(Ajustes!$I260&gt;0,INDEX($AA$4:$AL$323,Ajustes!$I260,P$2),0)+IF(Ajustes!$J260&gt;0,INDEX($AA$4:$AL$323,Ajustes!$J260,P$2),0)+IF(Ajustes!$K260&gt;0,INDEX($AA$5:$AL$324,Ajustes!$K260,P$2),0)+IF(Ajustes!$L260&gt;0,INDEX($AA$4:$AL$323,Ajustes!$L260,P$2),0) + P260</f>
        <v>3519</v>
      </c>
      <c r="AC260">
        <f>IF(Ajustes!$G260&gt;0,INDEX($AA$4:$AL$323,Ajustes!$G260,Q$2),0)+IF(Ajustes!$H260&gt;0,INDEX($AA$4:$AL$323,Ajustes!$H260,Q$2),0)+IF(Ajustes!$I260&gt;0,INDEX($AA$4:$AL$323,Ajustes!$I260,Q$2),0)+IF(Ajustes!$J260&gt;0,INDEX($AA$4:$AL$323,Ajustes!$J260,Q$2),0)+IF(Ajustes!$K260&gt;0,INDEX($AA$5:$AL$324,Ajustes!$K260,Q$2),0)+IF(Ajustes!$L260&gt;0,INDEX($AA$4:$AL$323,Ajustes!$L260,Q$2),0) + Q260</f>
        <v>3369</v>
      </c>
      <c r="AD260">
        <f>IF(Ajustes!$G260&gt;0,INDEX($AA$4:$AL$323,Ajustes!$G260,R$2),0)+IF(Ajustes!$H260&gt;0,INDEX($AA$4:$AL$323,Ajustes!$H260,R$2),0)+IF(Ajustes!$I260&gt;0,INDEX($AA$4:$AL$323,Ajustes!$I260,R$2),0)+IF(Ajustes!$J260&gt;0,INDEX($AA$4:$AL$323,Ajustes!$J260,R$2),0)+IF(Ajustes!$K260&gt;0,INDEX($AA$5:$AL$324,Ajustes!$K260,R$2),0)+IF(Ajustes!$L260&gt;0,INDEX($AA$4:$AL$323,Ajustes!$L260,R$2),0) + R260</f>
        <v>2386</v>
      </c>
      <c r="AE260">
        <f>IF(Ajustes!$G260&gt;0,INDEX($AA$4:$AL$323,Ajustes!$G260,S$2),0)+IF(Ajustes!$H260&gt;0,INDEX($AA$4:$AL$323,Ajustes!$H260,S$2),0)+IF(Ajustes!$I260&gt;0,INDEX($AA$4:$AL$323,Ajustes!$I260,S$2),0)+IF(Ajustes!$J260&gt;0,INDEX($AA$4:$AL$323,Ajustes!$J260,S$2),0)+IF(Ajustes!$K260&gt;0,INDEX($AA$5:$AL$324,Ajustes!$K260,S$2),0)+IF(Ajustes!$L260&gt;0,INDEX($AA$4:$AL$323,Ajustes!$L260,S$2),0) + S260</f>
        <v>1189</v>
      </c>
      <c r="AF260">
        <f>IF(Ajustes!$G260&gt;0,INDEX($AA$4:$AL$323,Ajustes!$G260,T$2),0)+IF(Ajustes!$H260&gt;0,INDEX($AA$4:$AL$323,Ajustes!$H260,T$2),0)+IF(Ajustes!$I260&gt;0,INDEX($AA$4:$AL$323,Ajustes!$I260,T$2),0)+IF(Ajustes!$J260&gt;0,INDEX($AA$4:$AL$323,Ajustes!$J260,T$2),0)+IF(Ajustes!$K260&gt;0,INDEX($AA$5:$AL$324,Ajustes!$K260,T$2),0)+IF(Ajustes!$L260&gt;0,INDEX($AA$4:$AL$323,Ajustes!$L260,T$2),0) + T260</f>
        <v>783</v>
      </c>
      <c r="AG260">
        <f>IF(Ajustes!$G260&gt;0,INDEX($AA$4:$AL$323,Ajustes!$G260,U$2),0)+IF(Ajustes!$H260&gt;0,INDEX($AA$4:$AL$323,Ajustes!$H260,U$2),0)+IF(Ajustes!$I260&gt;0,INDEX($AA$4:$AL$323,Ajustes!$I260,U$2),0)+IF(Ajustes!$J260&gt;0,INDEX($AA$4:$AL$323,Ajustes!$J260,U$2),0)+IF(Ajustes!$K260&gt;0,INDEX($AA$5:$AL$324,Ajustes!$K260,U$2),0)+IF(Ajustes!$L260&gt;0,INDEX($AA$4:$AL$323,Ajustes!$L260,U$2),0) + U260</f>
        <v>600</v>
      </c>
      <c r="AH260">
        <f>IF(Ajustes!$G260&gt;0,INDEX($AA$4:$AL$323,Ajustes!$G260,V$2),0)+IF(Ajustes!$H260&gt;0,INDEX($AA$4:$AL$323,Ajustes!$H260,V$2),0)+IF(Ajustes!$I260&gt;0,INDEX($AA$4:$AL$323,Ajustes!$I260,V$2),0)+IF(Ajustes!$J260&gt;0,INDEX($AA$4:$AL$323,Ajustes!$J260,V$2),0)+IF(Ajustes!$K260&gt;0,INDEX($AA$5:$AL$324,Ajustes!$K260,V$2),0)+IF(Ajustes!$L260&gt;0,INDEX($AA$4:$AL$323,Ajustes!$L260,V$2),0) + V260</f>
        <v>482</v>
      </c>
      <c r="AI260">
        <f>IF(Ajustes!$G260&gt;0,INDEX($AA$4:$AL$323,Ajustes!$G260,W$2),0)+IF(Ajustes!$H260&gt;0,INDEX($AA$4:$AL$323,Ajustes!$H260,W$2),0)+IF(Ajustes!$I260&gt;0,INDEX($AA$4:$AL$323,Ajustes!$I260,W$2),0)+IF(Ajustes!$J260&gt;0,INDEX($AA$4:$AL$323,Ajustes!$J260,W$2),0)+IF(Ajustes!$K260&gt;0,INDEX($AA$5:$AL$324,Ajustes!$K260,W$2),0)+IF(Ajustes!$L260&gt;0,INDEX($AA$4:$AL$323,Ajustes!$L260,W$2),0) + W260</f>
        <v>459</v>
      </c>
      <c r="AJ260">
        <f>IF(Ajustes!$G260&gt;0,INDEX($AA$4:$AL$323,Ajustes!$G260,X$2),0)+IF(Ajustes!$H260&gt;0,INDEX($AA$4:$AL$323,Ajustes!$H260,X$2),0)+IF(Ajustes!$I260&gt;0,INDEX($AA$4:$AL$323,Ajustes!$I260,X$2),0)+IF(Ajustes!$J260&gt;0,INDEX($AA$4:$AL$323,Ajustes!$J260,X$2),0)+IF(Ajustes!$K260&gt;0,INDEX($AA$5:$AL$324,Ajustes!$K260,X$2),0)+IF(Ajustes!$L260&gt;0,INDEX($AA$4:$AL$323,Ajustes!$L260,X$2),0) + X260</f>
        <v>635</v>
      </c>
      <c r="AK260">
        <f>IF(Ajustes!$G260&gt;0,INDEX($AA$4:$AL$323,Ajustes!$G260,Y$2),0)+IF(Ajustes!$H260&gt;0,INDEX($AA$4:$AL$323,Ajustes!$H260,Y$2),0)+IF(Ajustes!$I260&gt;0,INDEX($AA$4:$AL$323,Ajustes!$I260,Y$2),0)+IF(Ajustes!$J260&gt;0,INDEX($AA$4:$AL$323,Ajustes!$J260,Y$2),0)+IF(Ajustes!$K260&gt;0,INDEX($AA$5:$AL$324,Ajustes!$K260,Y$2),0)+IF(Ajustes!$L260&gt;0,INDEX($AA$4:$AL$323,Ajustes!$L260,Y$2),0) + Y260</f>
        <v>1197</v>
      </c>
      <c r="AL260">
        <f>IF(Ajustes!$G260&gt;0,INDEX($AA$4:$AL$323,Ajustes!$G260,Z$2),0)+IF(Ajustes!$H260&gt;0,INDEX($AA$4:$AL$323,Ajustes!$H260,Z$2),0)+IF(Ajustes!$I260&gt;0,INDEX($AA$4:$AL$323,Ajustes!$I260,Z$2),0)+IF(Ajustes!$J260&gt;0,INDEX($AA$4:$AL$323,Ajustes!$J260,Z$2),0)+IF(Ajustes!$K260&gt;0,INDEX($AA$5:$AL$324,Ajustes!$K260,Z$2),0)+IF(Ajustes!$L260&gt;0,INDEX($AA$4:$AL$323,Ajustes!$L260,Z$2),0) + Z260</f>
        <v>2332</v>
      </c>
      <c r="AM260" s="113">
        <f t="shared" si="47"/>
        <v>3125</v>
      </c>
      <c r="AN260" s="113">
        <f t="shared" si="47"/>
        <v>3519</v>
      </c>
      <c r="AO260" s="113">
        <f t="shared" si="47"/>
        <v>3369</v>
      </c>
      <c r="AP260" s="113">
        <f t="shared" si="47"/>
        <v>2386</v>
      </c>
      <c r="AQ260" s="113">
        <f t="shared" si="49"/>
        <v>1189</v>
      </c>
      <c r="AR260" s="113">
        <f t="shared" si="48"/>
        <v>783</v>
      </c>
      <c r="AS260" s="113">
        <f t="shared" si="48"/>
        <v>600</v>
      </c>
      <c r="AT260" s="113">
        <f t="shared" si="48"/>
        <v>482</v>
      </c>
      <c r="AU260" s="113">
        <f t="shared" si="48"/>
        <v>459</v>
      </c>
      <c r="AV260" s="113">
        <f t="shared" si="51"/>
        <v>635</v>
      </c>
      <c r="AW260" s="113">
        <f t="shared" si="50"/>
        <v>1197</v>
      </c>
      <c r="AX260" s="113">
        <f t="shared" si="50"/>
        <v>2332</v>
      </c>
    </row>
    <row r="261" spans="1:50" x14ac:dyDescent="0.25">
      <c r="A261" s="113">
        <v>258</v>
      </c>
      <c r="B261" s="209" t="s">
        <v>652</v>
      </c>
      <c r="C261">
        <f>IFERROR(INDEX($BD$7:$BO$35,MATCH(Ajustes!$E$4:$E$323,$BC$7:$BC$35,0),$C$2:$N$2),1)</f>
        <v>1</v>
      </c>
      <c r="D261" s="113">
        <f>IFERROR(INDEX($BD$7:$BO$35,MATCH(Ajustes!$E$4:$E$323,$BC$7:$BC$35,0),$C$2:$N$2),1)</f>
        <v>1</v>
      </c>
      <c r="E261" s="113">
        <f>IFERROR(INDEX($BD$7:$BO$35,MATCH(Ajustes!$E$4:$E$323,$BC$7:$BC$35,0),$C$2:$N$2),1)</f>
        <v>1</v>
      </c>
      <c r="F261" s="113">
        <f>IFERROR(INDEX($BD$7:$BO$35,MATCH(Ajustes!$E$4:$E$323,$BC$7:$BC$35,0),$C$2:$N$2),1)</f>
        <v>1</v>
      </c>
      <c r="G261" s="113">
        <f>IFERROR(INDEX($BD$7:$BO$35,MATCH(Ajustes!$E$4:$E$323,$BC$7:$BC$35,0),$C$2:$N$2),1)</f>
        <v>1</v>
      </c>
      <c r="H261" s="113">
        <f>IFERROR(INDEX($BD$7:$BO$35,MATCH(Ajustes!$E$4:$E$323,$BC$7:$BC$35,0),$C$2:$N$2),1)</f>
        <v>1</v>
      </c>
      <c r="I261" s="113">
        <f>IFERROR(INDEX($BD$7:$BO$35,MATCH(Ajustes!$E$4:$E$323,$BC$7:$BC$35,0),$C$2:$N$2),1)</f>
        <v>1</v>
      </c>
      <c r="J261" s="113">
        <f>IFERROR(INDEX($BD$7:$BO$35,MATCH(Ajustes!$E$4:$E$323,$BC$7:$BC$35,0),$C$2:$N$2),1)</f>
        <v>1</v>
      </c>
      <c r="K261" s="113">
        <f>IFERROR(INDEX($BD$7:$BO$35,MATCH(Ajustes!$E$4:$E$323,$BC$7:$BC$35,0),$C$2:$N$2),1)</f>
        <v>1</v>
      </c>
      <c r="L261" s="113">
        <f>IFERROR(INDEX($BD$7:$BO$35,MATCH(Ajustes!$E$4:$E$323,$BC$7:$BC$35,0),$C$2:$N$2),1)</f>
        <v>1</v>
      </c>
      <c r="M261" s="113">
        <f>IFERROR(INDEX($BD$7:$BO$35,MATCH(Ajustes!$E$4:$E$323,$BC$7:$BC$35,0),$C$2:$N$2),1)</f>
        <v>1</v>
      </c>
      <c r="N261" s="113">
        <f>IFERROR(INDEX($BD$7:$BO$35,MATCH(Ajustes!$E$4:$E$323,$BC$7:$BC$35,0),$C$2:$N$2),1)</f>
        <v>1</v>
      </c>
      <c r="O261">
        <f>C261*Ajustes!AM261</f>
        <v>415</v>
      </c>
      <c r="P261">
        <f>D261*Ajustes!AN261</f>
        <v>286</v>
      </c>
      <c r="Q261">
        <f>E261*Ajustes!AO261</f>
        <v>249</v>
      </c>
      <c r="R261">
        <f>F261*Ajustes!AP261</f>
        <v>158</v>
      </c>
      <c r="S261">
        <f>G261*Ajustes!AQ261</f>
        <v>84</v>
      </c>
      <c r="T261">
        <f>H261*Ajustes!AR261</f>
        <v>63</v>
      </c>
      <c r="U261">
        <f>I261*Ajustes!AS261</f>
        <v>53</v>
      </c>
      <c r="V261">
        <f>J261*Ajustes!AT261</f>
        <v>44</v>
      </c>
      <c r="W261">
        <f>K261*Ajustes!AU261</f>
        <v>43</v>
      </c>
      <c r="X261">
        <f>L261*Ajustes!AV261</f>
        <v>79</v>
      </c>
      <c r="Y261">
        <f>M261*Ajustes!AW261</f>
        <v>236</v>
      </c>
      <c r="Z261">
        <f>N261*Ajustes!AX261</f>
        <v>430</v>
      </c>
      <c r="AA261">
        <f>IF(Ajustes!$G261&gt;0,INDEX($AA$4:$AL$323,Ajustes!$G261,O$2),0)+IF(Ajustes!$H261&gt;0,INDEX($AA$4:$AL$323,Ajustes!$H261,O$2),0)+IF(Ajustes!$I261&gt;0,INDEX($AA$4:$AL$323,Ajustes!$I261,O$2),0)+IF(Ajustes!$J261&gt;0,INDEX($AA$4:$AL$323,Ajustes!$J261,O$2),0)+IF(Ajustes!$K261&gt;0,INDEX($AA$5:$AL$324,Ajustes!$K261,O$2),0)+IF(Ajustes!$L261&gt;0,INDEX($AA$4:$AL$323,Ajustes!$L261,O$2),0) + O261</f>
        <v>415</v>
      </c>
      <c r="AB261">
        <f>IF(Ajustes!$G261&gt;0,INDEX($AA$4:$AL$323,Ajustes!$G261,P$2),0)+IF(Ajustes!$H261&gt;0,INDEX($AA$4:$AL$323,Ajustes!$H261,P$2),0)+IF(Ajustes!$I261&gt;0,INDEX($AA$4:$AL$323,Ajustes!$I261,P$2),0)+IF(Ajustes!$J261&gt;0,INDEX($AA$4:$AL$323,Ajustes!$J261,P$2),0)+IF(Ajustes!$K261&gt;0,INDEX($AA$5:$AL$324,Ajustes!$K261,P$2),0)+IF(Ajustes!$L261&gt;0,INDEX($AA$4:$AL$323,Ajustes!$L261,P$2),0) + P261</f>
        <v>286</v>
      </c>
      <c r="AC261">
        <f>IF(Ajustes!$G261&gt;0,INDEX($AA$4:$AL$323,Ajustes!$G261,Q$2),0)+IF(Ajustes!$H261&gt;0,INDEX($AA$4:$AL$323,Ajustes!$H261,Q$2),0)+IF(Ajustes!$I261&gt;0,INDEX($AA$4:$AL$323,Ajustes!$I261,Q$2),0)+IF(Ajustes!$J261&gt;0,INDEX($AA$4:$AL$323,Ajustes!$J261,Q$2),0)+IF(Ajustes!$K261&gt;0,INDEX($AA$5:$AL$324,Ajustes!$K261,Q$2),0)+IF(Ajustes!$L261&gt;0,INDEX($AA$4:$AL$323,Ajustes!$L261,Q$2),0) + Q261</f>
        <v>249</v>
      </c>
      <c r="AD261">
        <f>IF(Ajustes!$G261&gt;0,INDEX($AA$4:$AL$323,Ajustes!$G261,R$2),0)+IF(Ajustes!$H261&gt;0,INDEX($AA$4:$AL$323,Ajustes!$H261,R$2),0)+IF(Ajustes!$I261&gt;0,INDEX($AA$4:$AL$323,Ajustes!$I261,R$2),0)+IF(Ajustes!$J261&gt;0,INDEX($AA$4:$AL$323,Ajustes!$J261,R$2),0)+IF(Ajustes!$K261&gt;0,INDEX($AA$5:$AL$324,Ajustes!$K261,R$2),0)+IF(Ajustes!$L261&gt;0,INDEX($AA$4:$AL$323,Ajustes!$L261,R$2),0) + R261</f>
        <v>158</v>
      </c>
      <c r="AE261">
        <f>IF(Ajustes!$G261&gt;0,INDEX($AA$4:$AL$323,Ajustes!$G261,S$2),0)+IF(Ajustes!$H261&gt;0,INDEX($AA$4:$AL$323,Ajustes!$H261,S$2),0)+IF(Ajustes!$I261&gt;0,INDEX($AA$4:$AL$323,Ajustes!$I261,S$2),0)+IF(Ajustes!$J261&gt;0,INDEX($AA$4:$AL$323,Ajustes!$J261,S$2),0)+IF(Ajustes!$K261&gt;0,INDEX($AA$5:$AL$324,Ajustes!$K261,S$2),0)+IF(Ajustes!$L261&gt;0,INDEX($AA$4:$AL$323,Ajustes!$L261,S$2),0) + S261</f>
        <v>84</v>
      </c>
      <c r="AF261">
        <f>IF(Ajustes!$G261&gt;0,INDEX($AA$4:$AL$323,Ajustes!$G261,T$2),0)+IF(Ajustes!$H261&gt;0,INDEX($AA$4:$AL$323,Ajustes!$H261,T$2),0)+IF(Ajustes!$I261&gt;0,INDEX($AA$4:$AL$323,Ajustes!$I261,T$2),0)+IF(Ajustes!$J261&gt;0,INDEX($AA$4:$AL$323,Ajustes!$J261,T$2),0)+IF(Ajustes!$K261&gt;0,INDEX($AA$5:$AL$324,Ajustes!$K261,T$2),0)+IF(Ajustes!$L261&gt;0,INDEX($AA$4:$AL$323,Ajustes!$L261,T$2),0) + T261</f>
        <v>63</v>
      </c>
      <c r="AG261">
        <f>IF(Ajustes!$G261&gt;0,INDEX($AA$4:$AL$323,Ajustes!$G261,U$2),0)+IF(Ajustes!$H261&gt;0,INDEX($AA$4:$AL$323,Ajustes!$H261,U$2),0)+IF(Ajustes!$I261&gt;0,INDEX($AA$4:$AL$323,Ajustes!$I261,U$2),0)+IF(Ajustes!$J261&gt;0,INDEX($AA$4:$AL$323,Ajustes!$J261,U$2),0)+IF(Ajustes!$K261&gt;0,INDEX($AA$5:$AL$324,Ajustes!$K261,U$2),0)+IF(Ajustes!$L261&gt;0,INDEX($AA$4:$AL$323,Ajustes!$L261,U$2),0) + U261</f>
        <v>53</v>
      </c>
      <c r="AH261">
        <f>IF(Ajustes!$G261&gt;0,INDEX($AA$4:$AL$323,Ajustes!$G261,V$2),0)+IF(Ajustes!$H261&gt;0,INDEX($AA$4:$AL$323,Ajustes!$H261,V$2),0)+IF(Ajustes!$I261&gt;0,INDEX($AA$4:$AL$323,Ajustes!$I261,V$2),0)+IF(Ajustes!$J261&gt;0,INDEX($AA$4:$AL$323,Ajustes!$J261,V$2),0)+IF(Ajustes!$K261&gt;0,INDEX($AA$5:$AL$324,Ajustes!$K261,V$2),0)+IF(Ajustes!$L261&gt;0,INDEX($AA$4:$AL$323,Ajustes!$L261,V$2),0) + V261</f>
        <v>44</v>
      </c>
      <c r="AI261">
        <f>IF(Ajustes!$G261&gt;0,INDEX($AA$4:$AL$323,Ajustes!$G261,W$2),0)+IF(Ajustes!$H261&gt;0,INDEX($AA$4:$AL$323,Ajustes!$H261,W$2),0)+IF(Ajustes!$I261&gt;0,INDEX($AA$4:$AL$323,Ajustes!$I261,W$2),0)+IF(Ajustes!$J261&gt;0,INDEX($AA$4:$AL$323,Ajustes!$J261,W$2),0)+IF(Ajustes!$K261&gt;0,INDEX($AA$5:$AL$324,Ajustes!$K261,W$2),0)+IF(Ajustes!$L261&gt;0,INDEX($AA$4:$AL$323,Ajustes!$L261,W$2),0) + W261</f>
        <v>43</v>
      </c>
      <c r="AJ261">
        <f>IF(Ajustes!$G261&gt;0,INDEX($AA$4:$AL$323,Ajustes!$G261,X$2),0)+IF(Ajustes!$H261&gt;0,INDEX($AA$4:$AL$323,Ajustes!$H261,X$2),0)+IF(Ajustes!$I261&gt;0,INDEX($AA$4:$AL$323,Ajustes!$I261,X$2),0)+IF(Ajustes!$J261&gt;0,INDEX($AA$4:$AL$323,Ajustes!$J261,X$2),0)+IF(Ajustes!$K261&gt;0,INDEX($AA$5:$AL$324,Ajustes!$K261,X$2),0)+IF(Ajustes!$L261&gt;0,INDEX($AA$4:$AL$323,Ajustes!$L261,X$2),0) + X261</f>
        <v>79</v>
      </c>
      <c r="AK261">
        <f>IF(Ajustes!$G261&gt;0,INDEX($AA$4:$AL$323,Ajustes!$G261,Y$2),0)+IF(Ajustes!$H261&gt;0,INDEX($AA$4:$AL$323,Ajustes!$H261,Y$2),0)+IF(Ajustes!$I261&gt;0,INDEX($AA$4:$AL$323,Ajustes!$I261,Y$2),0)+IF(Ajustes!$J261&gt;0,INDEX($AA$4:$AL$323,Ajustes!$J261,Y$2),0)+IF(Ajustes!$K261&gt;0,INDEX($AA$5:$AL$324,Ajustes!$K261,Y$2),0)+IF(Ajustes!$L261&gt;0,INDEX($AA$4:$AL$323,Ajustes!$L261,Y$2),0) + Y261</f>
        <v>236</v>
      </c>
      <c r="AL261">
        <f>IF(Ajustes!$G261&gt;0,INDEX($AA$4:$AL$323,Ajustes!$G261,Z$2),0)+IF(Ajustes!$H261&gt;0,INDEX($AA$4:$AL$323,Ajustes!$H261,Z$2),0)+IF(Ajustes!$I261&gt;0,INDEX($AA$4:$AL$323,Ajustes!$I261,Z$2),0)+IF(Ajustes!$J261&gt;0,INDEX($AA$4:$AL$323,Ajustes!$J261,Z$2),0)+IF(Ajustes!$K261&gt;0,INDEX($AA$5:$AL$324,Ajustes!$K261,Z$2),0)+IF(Ajustes!$L261&gt;0,INDEX($AA$4:$AL$323,Ajustes!$L261,Z$2),0) + Z261</f>
        <v>430</v>
      </c>
      <c r="AM261" s="113">
        <f t="shared" si="47"/>
        <v>415</v>
      </c>
      <c r="AN261" s="113">
        <f t="shared" si="47"/>
        <v>286</v>
      </c>
      <c r="AO261" s="113">
        <f t="shared" si="47"/>
        <v>249</v>
      </c>
      <c r="AP261" s="113">
        <f t="shared" si="47"/>
        <v>158</v>
      </c>
      <c r="AQ261" s="113">
        <f t="shared" si="49"/>
        <v>84</v>
      </c>
      <c r="AR261" s="113">
        <f t="shared" si="48"/>
        <v>63</v>
      </c>
      <c r="AS261" s="113">
        <f t="shared" si="48"/>
        <v>53</v>
      </c>
      <c r="AT261" s="113">
        <f t="shared" si="48"/>
        <v>44</v>
      </c>
      <c r="AU261" s="113">
        <f t="shared" si="48"/>
        <v>43</v>
      </c>
      <c r="AV261" s="113">
        <f t="shared" si="51"/>
        <v>79</v>
      </c>
      <c r="AW261" s="113">
        <f t="shared" si="50"/>
        <v>236</v>
      </c>
      <c r="AX261" s="113">
        <f t="shared" si="50"/>
        <v>430</v>
      </c>
    </row>
    <row r="262" spans="1:50" x14ac:dyDescent="0.25">
      <c r="A262" s="113">
        <v>259</v>
      </c>
      <c r="B262" s="209" t="s">
        <v>653</v>
      </c>
      <c r="C262">
        <f>IFERROR(INDEX($BD$7:$BO$35,MATCH(Ajustes!$E$4:$E$323,$BC$7:$BC$35,0),$C$2:$N$2),1)</f>
        <v>1</v>
      </c>
      <c r="D262" s="113">
        <f>IFERROR(INDEX($BD$7:$BO$35,MATCH(Ajustes!$E$4:$E$323,$BC$7:$BC$35,0),$C$2:$N$2),1)</f>
        <v>1</v>
      </c>
      <c r="E262" s="113">
        <f>IFERROR(INDEX($BD$7:$BO$35,MATCH(Ajustes!$E$4:$E$323,$BC$7:$BC$35,0),$C$2:$N$2),1)</f>
        <v>1</v>
      </c>
      <c r="F262" s="113">
        <f>IFERROR(INDEX($BD$7:$BO$35,MATCH(Ajustes!$E$4:$E$323,$BC$7:$BC$35,0),$C$2:$N$2),1)</f>
        <v>1</v>
      </c>
      <c r="G262" s="113">
        <f>IFERROR(INDEX($BD$7:$BO$35,MATCH(Ajustes!$E$4:$E$323,$BC$7:$BC$35,0),$C$2:$N$2),1)</f>
        <v>1</v>
      </c>
      <c r="H262" s="113">
        <f>IFERROR(INDEX($BD$7:$BO$35,MATCH(Ajustes!$E$4:$E$323,$BC$7:$BC$35,0),$C$2:$N$2),1)</f>
        <v>1</v>
      </c>
      <c r="I262" s="113">
        <f>IFERROR(INDEX($BD$7:$BO$35,MATCH(Ajustes!$E$4:$E$323,$BC$7:$BC$35,0),$C$2:$N$2),1)</f>
        <v>1</v>
      </c>
      <c r="J262" s="113">
        <f>IFERROR(INDEX($BD$7:$BO$35,MATCH(Ajustes!$E$4:$E$323,$BC$7:$BC$35,0),$C$2:$N$2),1)</f>
        <v>1</v>
      </c>
      <c r="K262" s="113">
        <f>IFERROR(INDEX($BD$7:$BO$35,MATCH(Ajustes!$E$4:$E$323,$BC$7:$BC$35,0),$C$2:$N$2),1)</f>
        <v>1</v>
      </c>
      <c r="L262" s="113">
        <f>IFERROR(INDEX($BD$7:$BO$35,MATCH(Ajustes!$E$4:$E$323,$BC$7:$BC$35,0),$C$2:$N$2),1)</f>
        <v>1</v>
      </c>
      <c r="M262" s="113">
        <f>IFERROR(INDEX($BD$7:$BO$35,MATCH(Ajustes!$E$4:$E$323,$BC$7:$BC$35,0),$C$2:$N$2),1)</f>
        <v>1</v>
      </c>
      <c r="N262" s="113">
        <f>IFERROR(INDEX($BD$7:$BO$35,MATCH(Ajustes!$E$4:$E$323,$BC$7:$BC$35,0),$C$2:$N$2),1)</f>
        <v>1</v>
      </c>
      <c r="O262">
        <f>C262*Ajustes!AM262</f>
        <v>102</v>
      </c>
      <c r="P262">
        <f>D262*Ajustes!AN262</f>
        <v>115</v>
      </c>
      <c r="Q262">
        <f>E262*Ajustes!AO262</f>
        <v>113</v>
      </c>
      <c r="R262">
        <f>F262*Ajustes!AP262</f>
        <v>89</v>
      </c>
      <c r="S262">
        <f>G262*Ajustes!AQ262</f>
        <v>66</v>
      </c>
      <c r="T262">
        <f>H262*Ajustes!AR262</f>
        <v>56</v>
      </c>
      <c r="U262">
        <f>I262*Ajustes!AS262</f>
        <v>51</v>
      </c>
      <c r="V262">
        <f>J262*Ajustes!AT262</f>
        <v>47</v>
      </c>
      <c r="W262">
        <f>K262*Ajustes!AU262</f>
        <v>48</v>
      </c>
      <c r="X262">
        <f>L262*Ajustes!AV262</f>
        <v>52</v>
      </c>
      <c r="Y262">
        <f>M262*Ajustes!AW262</f>
        <v>61</v>
      </c>
      <c r="Z262">
        <f>N262*Ajustes!AX262</f>
        <v>80</v>
      </c>
      <c r="AA262">
        <f>IF(Ajustes!$G262&gt;0,INDEX($AA$4:$AL$323,Ajustes!$G262,O$2),0)+IF(Ajustes!$H262&gt;0,INDEX($AA$4:$AL$323,Ajustes!$H262,O$2),0)+IF(Ajustes!$I262&gt;0,INDEX($AA$4:$AL$323,Ajustes!$I262,O$2),0)+IF(Ajustes!$J262&gt;0,INDEX($AA$4:$AL$323,Ajustes!$J262,O$2),0)+IF(Ajustes!$K262&gt;0,INDEX($AA$5:$AL$324,Ajustes!$K262,O$2),0)+IF(Ajustes!$L262&gt;0,INDEX($AA$4:$AL$323,Ajustes!$L262,O$2),0) + O262</f>
        <v>102</v>
      </c>
      <c r="AB262">
        <f>IF(Ajustes!$G262&gt;0,INDEX($AA$4:$AL$323,Ajustes!$G262,P$2),0)+IF(Ajustes!$H262&gt;0,INDEX($AA$4:$AL$323,Ajustes!$H262,P$2),0)+IF(Ajustes!$I262&gt;0,INDEX($AA$4:$AL$323,Ajustes!$I262,P$2),0)+IF(Ajustes!$J262&gt;0,INDEX($AA$4:$AL$323,Ajustes!$J262,P$2),0)+IF(Ajustes!$K262&gt;0,INDEX($AA$5:$AL$324,Ajustes!$K262,P$2),0)+IF(Ajustes!$L262&gt;0,INDEX($AA$4:$AL$323,Ajustes!$L262,P$2),0) + P262</f>
        <v>115</v>
      </c>
      <c r="AC262">
        <f>IF(Ajustes!$G262&gt;0,INDEX($AA$4:$AL$323,Ajustes!$G262,Q$2),0)+IF(Ajustes!$H262&gt;0,INDEX($AA$4:$AL$323,Ajustes!$H262,Q$2),0)+IF(Ajustes!$I262&gt;0,INDEX($AA$4:$AL$323,Ajustes!$I262,Q$2),0)+IF(Ajustes!$J262&gt;0,INDEX($AA$4:$AL$323,Ajustes!$J262,Q$2),0)+IF(Ajustes!$K262&gt;0,INDEX($AA$5:$AL$324,Ajustes!$K262,Q$2),0)+IF(Ajustes!$L262&gt;0,INDEX($AA$4:$AL$323,Ajustes!$L262,Q$2),0) + Q262</f>
        <v>113</v>
      </c>
      <c r="AD262">
        <f>IF(Ajustes!$G262&gt;0,INDEX($AA$4:$AL$323,Ajustes!$G262,R$2),0)+IF(Ajustes!$H262&gt;0,INDEX($AA$4:$AL$323,Ajustes!$H262,R$2),0)+IF(Ajustes!$I262&gt;0,INDEX($AA$4:$AL$323,Ajustes!$I262,R$2),0)+IF(Ajustes!$J262&gt;0,INDEX($AA$4:$AL$323,Ajustes!$J262,R$2),0)+IF(Ajustes!$K262&gt;0,INDEX($AA$5:$AL$324,Ajustes!$K262,R$2),0)+IF(Ajustes!$L262&gt;0,INDEX($AA$4:$AL$323,Ajustes!$L262,R$2),0) + R262</f>
        <v>89</v>
      </c>
      <c r="AE262">
        <f>IF(Ajustes!$G262&gt;0,INDEX($AA$4:$AL$323,Ajustes!$G262,S$2),0)+IF(Ajustes!$H262&gt;0,INDEX($AA$4:$AL$323,Ajustes!$H262,S$2),0)+IF(Ajustes!$I262&gt;0,INDEX($AA$4:$AL$323,Ajustes!$I262,S$2),0)+IF(Ajustes!$J262&gt;0,INDEX($AA$4:$AL$323,Ajustes!$J262,S$2),0)+IF(Ajustes!$K262&gt;0,INDEX($AA$5:$AL$324,Ajustes!$K262,S$2),0)+IF(Ajustes!$L262&gt;0,INDEX($AA$4:$AL$323,Ajustes!$L262,S$2),0) + S262</f>
        <v>66</v>
      </c>
      <c r="AF262">
        <f>IF(Ajustes!$G262&gt;0,INDEX($AA$4:$AL$323,Ajustes!$G262,T$2),0)+IF(Ajustes!$H262&gt;0,INDEX($AA$4:$AL$323,Ajustes!$H262,T$2),0)+IF(Ajustes!$I262&gt;0,INDEX($AA$4:$AL$323,Ajustes!$I262,T$2),0)+IF(Ajustes!$J262&gt;0,INDEX($AA$4:$AL$323,Ajustes!$J262,T$2),0)+IF(Ajustes!$K262&gt;0,INDEX($AA$5:$AL$324,Ajustes!$K262,T$2),0)+IF(Ajustes!$L262&gt;0,INDEX($AA$4:$AL$323,Ajustes!$L262,T$2),0) + T262</f>
        <v>56</v>
      </c>
      <c r="AG262">
        <f>IF(Ajustes!$G262&gt;0,INDEX($AA$4:$AL$323,Ajustes!$G262,U$2),0)+IF(Ajustes!$H262&gt;0,INDEX($AA$4:$AL$323,Ajustes!$H262,U$2),0)+IF(Ajustes!$I262&gt;0,INDEX($AA$4:$AL$323,Ajustes!$I262,U$2),0)+IF(Ajustes!$J262&gt;0,INDEX($AA$4:$AL$323,Ajustes!$J262,U$2),0)+IF(Ajustes!$K262&gt;0,INDEX($AA$5:$AL$324,Ajustes!$K262,U$2),0)+IF(Ajustes!$L262&gt;0,INDEX($AA$4:$AL$323,Ajustes!$L262,U$2),0) + U262</f>
        <v>51</v>
      </c>
      <c r="AH262">
        <f>IF(Ajustes!$G262&gt;0,INDEX($AA$4:$AL$323,Ajustes!$G262,V$2),0)+IF(Ajustes!$H262&gt;0,INDEX($AA$4:$AL$323,Ajustes!$H262,V$2),0)+IF(Ajustes!$I262&gt;0,INDEX($AA$4:$AL$323,Ajustes!$I262,V$2),0)+IF(Ajustes!$J262&gt;0,INDEX($AA$4:$AL$323,Ajustes!$J262,V$2),0)+IF(Ajustes!$K262&gt;0,INDEX($AA$5:$AL$324,Ajustes!$K262,V$2),0)+IF(Ajustes!$L262&gt;0,INDEX($AA$4:$AL$323,Ajustes!$L262,V$2),0) + V262</f>
        <v>47</v>
      </c>
      <c r="AI262">
        <f>IF(Ajustes!$G262&gt;0,INDEX($AA$4:$AL$323,Ajustes!$G262,W$2),0)+IF(Ajustes!$H262&gt;0,INDEX($AA$4:$AL$323,Ajustes!$H262,W$2),0)+IF(Ajustes!$I262&gt;0,INDEX($AA$4:$AL$323,Ajustes!$I262,W$2),0)+IF(Ajustes!$J262&gt;0,INDEX($AA$4:$AL$323,Ajustes!$J262,W$2),0)+IF(Ajustes!$K262&gt;0,INDEX($AA$5:$AL$324,Ajustes!$K262,W$2),0)+IF(Ajustes!$L262&gt;0,INDEX($AA$4:$AL$323,Ajustes!$L262,W$2),0) + W262</f>
        <v>48</v>
      </c>
      <c r="AJ262">
        <f>IF(Ajustes!$G262&gt;0,INDEX($AA$4:$AL$323,Ajustes!$G262,X$2),0)+IF(Ajustes!$H262&gt;0,INDEX($AA$4:$AL$323,Ajustes!$H262,X$2),0)+IF(Ajustes!$I262&gt;0,INDEX($AA$4:$AL$323,Ajustes!$I262,X$2),0)+IF(Ajustes!$J262&gt;0,INDEX($AA$4:$AL$323,Ajustes!$J262,X$2),0)+IF(Ajustes!$K262&gt;0,INDEX($AA$5:$AL$324,Ajustes!$K262,X$2),0)+IF(Ajustes!$L262&gt;0,INDEX($AA$4:$AL$323,Ajustes!$L262,X$2),0) + X262</f>
        <v>52</v>
      </c>
      <c r="AK262">
        <f>IF(Ajustes!$G262&gt;0,INDEX($AA$4:$AL$323,Ajustes!$G262,Y$2),0)+IF(Ajustes!$H262&gt;0,INDEX($AA$4:$AL$323,Ajustes!$H262,Y$2),0)+IF(Ajustes!$I262&gt;0,INDEX($AA$4:$AL$323,Ajustes!$I262,Y$2),0)+IF(Ajustes!$J262&gt;0,INDEX($AA$4:$AL$323,Ajustes!$J262,Y$2),0)+IF(Ajustes!$K262&gt;0,INDEX($AA$5:$AL$324,Ajustes!$K262,Y$2),0)+IF(Ajustes!$L262&gt;0,INDEX($AA$4:$AL$323,Ajustes!$L262,Y$2),0) + Y262</f>
        <v>61</v>
      </c>
      <c r="AL262">
        <f>IF(Ajustes!$G262&gt;0,INDEX($AA$4:$AL$323,Ajustes!$G262,Z$2),0)+IF(Ajustes!$H262&gt;0,INDEX($AA$4:$AL$323,Ajustes!$H262,Z$2),0)+IF(Ajustes!$I262&gt;0,INDEX($AA$4:$AL$323,Ajustes!$I262,Z$2),0)+IF(Ajustes!$J262&gt;0,INDEX($AA$4:$AL$323,Ajustes!$J262,Z$2),0)+IF(Ajustes!$K262&gt;0,INDEX($AA$5:$AL$324,Ajustes!$K262,Z$2),0)+IF(Ajustes!$L262&gt;0,INDEX($AA$4:$AL$323,Ajustes!$L262,Z$2),0) + Z262</f>
        <v>80</v>
      </c>
      <c r="AM262" s="113">
        <f t="shared" si="47"/>
        <v>102</v>
      </c>
      <c r="AN262" s="113">
        <f t="shared" si="47"/>
        <v>115</v>
      </c>
      <c r="AO262" s="113">
        <f t="shared" si="47"/>
        <v>113</v>
      </c>
      <c r="AP262" s="113">
        <f t="shared" si="47"/>
        <v>89</v>
      </c>
      <c r="AQ262" s="113">
        <f t="shared" si="49"/>
        <v>66</v>
      </c>
      <c r="AR262" s="113">
        <f t="shared" si="48"/>
        <v>56</v>
      </c>
      <c r="AS262" s="113">
        <f t="shared" si="48"/>
        <v>51</v>
      </c>
      <c r="AT262" s="113">
        <f t="shared" si="48"/>
        <v>47</v>
      </c>
      <c r="AU262" s="113">
        <f t="shared" si="48"/>
        <v>48</v>
      </c>
      <c r="AV262" s="113">
        <f t="shared" si="51"/>
        <v>52</v>
      </c>
      <c r="AW262" s="113">
        <f t="shared" si="50"/>
        <v>61</v>
      </c>
      <c r="AX262" s="113">
        <f t="shared" si="50"/>
        <v>80</v>
      </c>
    </row>
    <row r="263" spans="1:50" x14ac:dyDescent="0.25">
      <c r="A263" s="113">
        <v>260</v>
      </c>
      <c r="B263" s="209"/>
      <c r="C263">
        <f>IFERROR(INDEX($BD$7:$BO$35,MATCH(Ajustes!$E$4:$E$323,$BC$7:$BC$35,0),$C$2:$N$2),1)</f>
        <v>1</v>
      </c>
      <c r="D263" s="113">
        <f>IFERROR(INDEX($BD$7:$BO$35,MATCH(Ajustes!$E$4:$E$323,$BC$7:$BC$35,0),$C$2:$N$2),1)</f>
        <v>1</v>
      </c>
      <c r="E263" s="113">
        <f>IFERROR(INDEX($BD$7:$BO$35,MATCH(Ajustes!$E$4:$E$323,$BC$7:$BC$35,0),$C$2:$N$2),1)</f>
        <v>1</v>
      </c>
      <c r="F263" s="113">
        <f>IFERROR(INDEX($BD$7:$BO$35,MATCH(Ajustes!$E$4:$E$323,$BC$7:$BC$35,0),$C$2:$N$2),1)</f>
        <v>1</v>
      </c>
      <c r="G263" s="113">
        <f>IFERROR(INDEX($BD$7:$BO$35,MATCH(Ajustes!$E$4:$E$323,$BC$7:$BC$35,0),$C$2:$N$2),1)</f>
        <v>1</v>
      </c>
      <c r="H263" s="113">
        <f>IFERROR(INDEX($BD$7:$BO$35,MATCH(Ajustes!$E$4:$E$323,$BC$7:$BC$35,0),$C$2:$N$2),1)</f>
        <v>1</v>
      </c>
      <c r="I263" s="113">
        <f>IFERROR(INDEX($BD$7:$BO$35,MATCH(Ajustes!$E$4:$E$323,$BC$7:$BC$35,0),$C$2:$N$2),1)</f>
        <v>1</v>
      </c>
      <c r="J263" s="113">
        <f>IFERROR(INDEX($BD$7:$BO$35,MATCH(Ajustes!$E$4:$E$323,$BC$7:$BC$35,0),$C$2:$N$2),1)</f>
        <v>1</v>
      </c>
      <c r="K263" s="113">
        <f>IFERROR(INDEX($BD$7:$BO$35,MATCH(Ajustes!$E$4:$E$323,$BC$7:$BC$35,0),$C$2:$N$2),1)</f>
        <v>1</v>
      </c>
      <c r="L263" s="113">
        <f>IFERROR(INDEX($BD$7:$BO$35,MATCH(Ajustes!$E$4:$E$323,$BC$7:$BC$35,0),$C$2:$N$2),1)</f>
        <v>1</v>
      </c>
      <c r="M263" s="113">
        <f>IFERROR(INDEX($BD$7:$BO$35,MATCH(Ajustes!$E$4:$E$323,$BC$7:$BC$35,0),$C$2:$N$2),1)</f>
        <v>1</v>
      </c>
      <c r="N263" s="113">
        <f>IFERROR(INDEX($BD$7:$BO$35,MATCH(Ajustes!$E$4:$E$323,$BC$7:$BC$35,0),$C$2:$N$2),1)</f>
        <v>1</v>
      </c>
      <c r="O263">
        <f>C263*Ajustes!AM263</f>
        <v>0</v>
      </c>
      <c r="P263">
        <f>D263*Ajustes!AN263</f>
        <v>0</v>
      </c>
      <c r="Q263">
        <f>E263*Ajustes!AO263</f>
        <v>0</v>
      </c>
      <c r="R263">
        <f>F263*Ajustes!AP263</f>
        <v>0</v>
      </c>
      <c r="S263">
        <f>G263*Ajustes!AQ263</f>
        <v>0</v>
      </c>
      <c r="T263">
        <f>H263*Ajustes!AR263</f>
        <v>0</v>
      </c>
      <c r="U263">
        <f>I263*Ajustes!AS263</f>
        <v>0</v>
      </c>
      <c r="V263">
        <f>J263*Ajustes!AT263</f>
        <v>0</v>
      </c>
      <c r="W263">
        <f>K263*Ajustes!AU263</f>
        <v>0</v>
      </c>
      <c r="X263">
        <f>L263*Ajustes!AV263</f>
        <v>0</v>
      </c>
      <c r="Y263">
        <f>M263*Ajustes!AW263</f>
        <v>0</v>
      </c>
      <c r="Z263">
        <f>N263*Ajustes!AX263</f>
        <v>0</v>
      </c>
      <c r="AA263">
        <f>IF(Ajustes!$G263&gt;0,INDEX($AA$4:$AL$323,Ajustes!$G263,O$2),0)+IF(Ajustes!$H263&gt;0,INDEX($AA$4:$AL$323,Ajustes!$H263,O$2),0)+IF(Ajustes!$I263&gt;0,INDEX($AA$4:$AL$323,Ajustes!$I263,O$2),0)+IF(Ajustes!$J263&gt;0,INDEX($AA$4:$AL$323,Ajustes!$J263,O$2),0)+IF(Ajustes!$K263&gt;0,INDEX($AA$5:$AL$324,Ajustes!$K263,O$2),0)+IF(Ajustes!$L263&gt;0,INDEX($AA$4:$AL$323,Ajustes!$L263,O$2),0) + O263</f>
        <v>0</v>
      </c>
      <c r="AB263">
        <f>IF(Ajustes!$G263&gt;0,INDEX($AA$4:$AL$323,Ajustes!$G263,P$2),0)+IF(Ajustes!$H263&gt;0,INDEX($AA$4:$AL$323,Ajustes!$H263,P$2),0)+IF(Ajustes!$I263&gt;0,INDEX($AA$4:$AL$323,Ajustes!$I263,P$2),0)+IF(Ajustes!$J263&gt;0,INDEX($AA$4:$AL$323,Ajustes!$J263,P$2),0)+IF(Ajustes!$K263&gt;0,INDEX($AA$5:$AL$324,Ajustes!$K263,P$2),0)+IF(Ajustes!$L263&gt;0,INDEX($AA$4:$AL$323,Ajustes!$L263,P$2),0) + P263</f>
        <v>0</v>
      </c>
      <c r="AC263">
        <f>IF(Ajustes!$G263&gt;0,INDEX($AA$4:$AL$323,Ajustes!$G263,Q$2),0)+IF(Ajustes!$H263&gt;0,INDEX($AA$4:$AL$323,Ajustes!$H263,Q$2),0)+IF(Ajustes!$I263&gt;0,INDEX($AA$4:$AL$323,Ajustes!$I263,Q$2),0)+IF(Ajustes!$J263&gt;0,INDEX($AA$4:$AL$323,Ajustes!$J263,Q$2),0)+IF(Ajustes!$K263&gt;0,INDEX($AA$5:$AL$324,Ajustes!$K263,Q$2),0)+IF(Ajustes!$L263&gt;0,INDEX($AA$4:$AL$323,Ajustes!$L263,Q$2),0) + Q263</f>
        <v>0</v>
      </c>
      <c r="AD263">
        <f>IF(Ajustes!$G263&gt;0,INDEX($AA$4:$AL$323,Ajustes!$G263,R$2),0)+IF(Ajustes!$H263&gt;0,INDEX($AA$4:$AL$323,Ajustes!$H263,R$2),0)+IF(Ajustes!$I263&gt;0,INDEX($AA$4:$AL$323,Ajustes!$I263,R$2),0)+IF(Ajustes!$J263&gt;0,INDEX($AA$4:$AL$323,Ajustes!$J263,R$2),0)+IF(Ajustes!$K263&gt;0,INDEX($AA$5:$AL$324,Ajustes!$K263,R$2),0)+IF(Ajustes!$L263&gt;0,INDEX($AA$4:$AL$323,Ajustes!$L263,R$2),0) + R263</f>
        <v>0</v>
      </c>
      <c r="AE263">
        <f>IF(Ajustes!$G263&gt;0,INDEX($AA$4:$AL$323,Ajustes!$G263,S$2),0)+IF(Ajustes!$H263&gt;0,INDEX($AA$4:$AL$323,Ajustes!$H263,S$2),0)+IF(Ajustes!$I263&gt;0,INDEX($AA$4:$AL$323,Ajustes!$I263,S$2),0)+IF(Ajustes!$J263&gt;0,INDEX($AA$4:$AL$323,Ajustes!$J263,S$2),0)+IF(Ajustes!$K263&gt;0,INDEX($AA$5:$AL$324,Ajustes!$K263,S$2),0)+IF(Ajustes!$L263&gt;0,INDEX($AA$4:$AL$323,Ajustes!$L263,S$2),0) + S263</f>
        <v>0</v>
      </c>
      <c r="AF263">
        <f>IF(Ajustes!$G263&gt;0,INDEX($AA$4:$AL$323,Ajustes!$G263,T$2),0)+IF(Ajustes!$H263&gt;0,INDEX($AA$4:$AL$323,Ajustes!$H263,T$2),0)+IF(Ajustes!$I263&gt;0,INDEX($AA$4:$AL$323,Ajustes!$I263,T$2),0)+IF(Ajustes!$J263&gt;0,INDEX($AA$4:$AL$323,Ajustes!$J263,T$2),0)+IF(Ajustes!$K263&gt;0,INDEX($AA$5:$AL$324,Ajustes!$K263,T$2),0)+IF(Ajustes!$L263&gt;0,INDEX($AA$4:$AL$323,Ajustes!$L263,T$2),0) + T263</f>
        <v>0</v>
      </c>
      <c r="AG263">
        <f>IF(Ajustes!$G263&gt;0,INDEX($AA$4:$AL$323,Ajustes!$G263,U$2),0)+IF(Ajustes!$H263&gt;0,INDEX($AA$4:$AL$323,Ajustes!$H263,U$2),0)+IF(Ajustes!$I263&gt;0,INDEX($AA$4:$AL$323,Ajustes!$I263,U$2),0)+IF(Ajustes!$J263&gt;0,INDEX($AA$4:$AL$323,Ajustes!$J263,U$2),0)+IF(Ajustes!$K263&gt;0,INDEX($AA$5:$AL$324,Ajustes!$K263,U$2),0)+IF(Ajustes!$L263&gt;0,INDEX($AA$4:$AL$323,Ajustes!$L263,U$2),0) + U263</f>
        <v>0</v>
      </c>
      <c r="AH263">
        <f>IF(Ajustes!$G263&gt;0,INDEX($AA$4:$AL$323,Ajustes!$G263,V$2),0)+IF(Ajustes!$H263&gt;0,INDEX($AA$4:$AL$323,Ajustes!$H263,V$2),0)+IF(Ajustes!$I263&gt;0,INDEX($AA$4:$AL$323,Ajustes!$I263,V$2),0)+IF(Ajustes!$J263&gt;0,INDEX($AA$4:$AL$323,Ajustes!$J263,V$2),0)+IF(Ajustes!$K263&gt;0,INDEX($AA$5:$AL$324,Ajustes!$K263,V$2),0)+IF(Ajustes!$L263&gt;0,INDEX($AA$4:$AL$323,Ajustes!$L263,V$2),0) + V263</f>
        <v>0</v>
      </c>
      <c r="AI263">
        <f>IF(Ajustes!$G263&gt;0,INDEX($AA$4:$AL$323,Ajustes!$G263,W$2),0)+IF(Ajustes!$H263&gt;0,INDEX($AA$4:$AL$323,Ajustes!$H263,W$2),0)+IF(Ajustes!$I263&gt;0,INDEX($AA$4:$AL$323,Ajustes!$I263,W$2),0)+IF(Ajustes!$J263&gt;0,INDEX($AA$4:$AL$323,Ajustes!$J263,W$2),0)+IF(Ajustes!$K263&gt;0,INDEX($AA$5:$AL$324,Ajustes!$K263,W$2),0)+IF(Ajustes!$L263&gt;0,INDEX($AA$4:$AL$323,Ajustes!$L263,W$2),0) + W263</f>
        <v>0</v>
      </c>
      <c r="AJ263">
        <f>IF(Ajustes!$G263&gt;0,INDEX($AA$4:$AL$323,Ajustes!$G263,X$2),0)+IF(Ajustes!$H263&gt;0,INDEX($AA$4:$AL$323,Ajustes!$H263,X$2),0)+IF(Ajustes!$I263&gt;0,INDEX($AA$4:$AL$323,Ajustes!$I263,X$2),0)+IF(Ajustes!$J263&gt;0,INDEX($AA$4:$AL$323,Ajustes!$J263,X$2),0)+IF(Ajustes!$K263&gt;0,INDEX($AA$5:$AL$324,Ajustes!$K263,X$2),0)+IF(Ajustes!$L263&gt;0,INDEX($AA$4:$AL$323,Ajustes!$L263,X$2),0) + X263</f>
        <v>0</v>
      </c>
      <c r="AK263">
        <f>IF(Ajustes!$G263&gt;0,INDEX($AA$4:$AL$323,Ajustes!$G263,Y$2),0)+IF(Ajustes!$H263&gt;0,INDEX($AA$4:$AL$323,Ajustes!$H263,Y$2),0)+IF(Ajustes!$I263&gt;0,INDEX($AA$4:$AL$323,Ajustes!$I263,Y$2),0)+IF(Ajustes!$J263&gt;0,INDEX($AA$4:$AL$323,Ajustes!$J263,Y$2),0)+IF(Ajustes!$K263&gt;0,INDEX($AA$5:$AL$324,Ajustes!$K263,Y$2),0)+IF(Ajustes!$L263&gt;0,INDEX($AA$4:$AL$323,Ajustes!$L263,Y$2),0) + Y263</f>
        <v>0</v>
      </c>
      <c r="AL263">
        <f>IF(Ajustes!$G263&gt;0,INDEX($AA$4:$AL$323,Ajustes!$G263,Z$2),0)+IF(Ajustes!$H263&gt;0,INDEX($AA$4:$AL$323,Ajustes!$H263,Z$2),0)+IF(Ajustes!$I263&gt;0,INDEX($AA$4:$AL$323,Ajustes!$I263,Z$2),0)+IF(Ajustes!$J263&gt;0,INDEX($AA$4:$AL$323,Ajustes!$J263,Z$2),0)+IF(Ajustes!$K263&gt;0,INDEX($AA$5:$AL$324,Ajustes!$K263,Z$2),0)+IF(Ajustes!$L263&gt;0,INDEX($AA$4:$AL$323,Ajustes!$L263,Z$2),0) + Z263</f>
        <v>0</v>
      </c>
      <c r="AM263" s="113">
        <f t="shared" si="47"/>
        <v>0</v>
      </c>
      <c r="AN263" s="113">
        <f t="shared" si="47"/>
        <v>0</v>
      </c>
      <c r="AO263" s="113">
        <f t="shared" si="47"/>
        <v>0</v>
      </c>
      <c r="AP263" s="113">
        <f t="shared" si="47"/>
        <v>0</v>
      </c>
      <c r="AQ263" s="113">
        <f t="shared" si="49"/>
        <v>0</v>
      </c>
      <c r="AR263" s="113">
        <f t="shared" si="48"/>
        <v>0</v>
      </c>
      <c r="AS263" s="113">
        <f t="shared" si="48"/>
        <v>0</v>
      </c>
      <c r="AT263" s="113">
        <f t="shared" si="48"/>
        <v>0</v>
      </c>
      <c r="AU263" s="113">
        <f t="shared" si="48"/>
        <v>0</v>
      </c>
      <c r="AV263" s="113">
        <f t="shared" si="51"/>
        <v>0</v>
      </c>
      <c r="AW263" s="113">
        <f t="shared" si="50"/>
        <v>0</v>
      </c>
      <c r="AX263" s="113">
        <f t="shared" si="50"/>
        <v>0</v>
      </c>
    </row>
    <row r="264" spans="1:50" x14ac:dyDescent="0.25">
      <c r="A264" s="113">
        <v>261</v>
      </c>
      <c r="B264" s="209" t="s">
        <v>654</v>
      </c>
      <c r="C264">
        <f>IFERROR(INDEX($BD$7:$BO$35,MATCH(Ajustes!$E$4:$E$323,$BC$7:$BC$35,0),$C$2:$N$2),1)</f>
        <v>1</v>
      </c>
      <c r="D264" s="113">
        <f>IFERROR(INDEX($BD$7:$BO$35,MATCH(Ajustes!$E$4:$E$323,$BC$7:$BC$35,0),$C$2:$N$2),1)</f>
        <v>1</v>
      </c>
      <c r="E264" s="113">
        <f>IFERROR(INDEX($BD$7:$BO$35,MATCH(Ajustes!$E$4:$E$323,$BC$7:$BC$35,0),$C$2:$N$2),1)</f>
        <v>1</v>
      </c>
      <c r="F264" s="113">
        <f>IFERROR(INDEX($BD$7:$BO$35,MATCH(Ajustes!$E$4:$E$323,$BC$7:$BC$35,0),$C$2:$N$2),1)</f>
        <v>1</v>
      </c>
      <c r="G264" s="113">
        <f>IFERROR(INDEX($BD$7:$BO$35,MATCH(Ajustes!$E$4:$E$323,$BC$7:$BC$35,0),$C$2:$N$2),1)</f>
        <v>1</v>
      </c>
      <c r="H264" s="113">
        <f>IFERROR(INDEX($BD$7:$BO$35,MATCH(Ajustes!$E$4:$E$323,$BC$7:$BC$35,0),$C$2:$N$2),1)</f>
        <v>1</v>
      </c>
      <c r="I264" s="113">
        <f>IFERROR(INDEX($BD$7:$BO$35,MATCH(Ajustes!$E$4:$E$323,$BC$7:$BC$35,0),$C$2:$N$2),1)</f>
        <v>1</v>
      </c>
      <c r="J264" s="113">
        <f>IFERROR(INDEX($BD$7:$BO$35,MATCH(Ajustes!$E$4:$E$323,$BC$7:$BC$35,0),$C$2:$N$2),1)</f>
        <v>1</v>
      </c>
      <c r="K264" s="113">
        <f>IFERROR(INDEX($BD$7:$BO$35,MATCH(Ajustes!$E$4:$E$323,$BC$7:$BC$35,0),$C$2:$N$2),1)</f>
        <v>1</v>
      </c>
      <c r="L264" s="113">
        <f>IFERROR(INDEX($BD$7:$BO$35,MATCH(Ajustes!$E$4:$E$323,$BC$7:$BC$35,0),$C$2:$N$2),1)</f>
        <v>1</v>
      </c>
      <c r="M264" s="113">
        <f>IFERROR(INDEX($BD$7:$BO$35,MATCH(Ajustes!$E$4:$E$323,$BC$7:$BC$35,0),$C$2:$N$2),1)</f>
        <v>1</v>
      </c>
      <c r="N264" s="113">
        <f>IFERROR(INDEX($BD$7:$BO$35,MATCH(Ajustes!$E$4:$E$323,$BC$7:$BC$35,0),$C$2:$N$2),1)</f>
        <v>1</v>
      </c>
      <c r="O264">
        <f>C264*Ajustes!AM264</f>
        <v>21</v>
      </c>
      <c r="P264">
        <f>D264*Ajustes!AN264</f>
        <v>24</v>
      </c>
      <c r="Q264">
        <f>E264*Ajustes!AO264</f>
        <v>24</v>
      </c>
      <c r="R264">
        <f>F264*Ajustes!AP264</f>
        <v>20</v>
      </c>
      <c r="S264">
        <f>G264*Ajustes!AQ264</f>
        <v>14</v>
      </c>
      <c r="T264">
        <f>H264*Ajustes!AR264</f>
        <v>11</v>
      </c>
      <c r="U264">
        <f>I264*Ajustes!AS264</f>
        <v>9</v>
      </c>
      <c r="V264">
        <f>J264*Ajustes!AT264</f>
        <v>8</v>
      </c>
      <c r="W264">
        <f>K264*Ajustes!AU264</f>
        <v>8</v>
      </c>
      <c r="X264">
        <f>L264*Ajustes!AV264</f>
        <v>10</v>
      </c>
      <c r="Y264">
        <f>M264*Ajustes!AW264</f>
        <v>12</v>
      </c>
      <c r="Z264">
        <f>N264*Ajustes!AX264</f>
        <v>16</v>
      </c>
      <c r="AA264">
        <f>IF(Ajustes!$G264&gt;0,INDEX($AA$4:$AL$323,Ajustes!$G264,O$2),0)+IF(Ajustes!$H264&gt;0,INDEX($AA$4:$AL$323,Ajustes!$H264,O$2),0)+IF(Ajustes!$I264&gt;0,INDEX($AA$4:$AL$323,Ajustes!$I264,O$2),0)+IF(Ajustes!$J264&gt;0,INDEX($AA$4:$AL$323,Ajustes!$J264,O$2),0)+IF(Ajustes!$K264&gt;0,INDEX($AA$5:$AL$324,Ajustes!$K264,O$2),0)+IF(Ajustes!$L264&gt;0,INDEX($AA$4:$AL$323,Ajustes!$L264,O$2),0) + O264</f>
        <v>322</v>
      </c>
      <c r="AB264">
        <f>IF(Ajustes!$G264&gt;0,INDEX($AA$4:$AL$323,Ajustes!$G264,P$2),0)+IF(Ajustes!$H264&gt;0,INDEX($AA$4:$AL$323,Ajustes!$H264,P$2),0)+IF(Ajustes!$I264&gt;0,INDEX($AA$4:$AL$323,Ajustes!$I264,P$2),0)+IF(Ajustes!$J264&gt;0,INDEX($AA$4:$AL$323,Ajustes!$J264,P$2),0)+IF(Ajustes!$K264&gt;0,INDEX($AA$5:$AL$324,Ajustes!$K264,P$2),0)+IF(Ajustes!$L264&gt;0,INDEX($AA$4:$AL$323,Ajustes!$L264,P$2),0) + P264</f>
        <v>360</v>
      </c>
      <c r="AC264">
        <f>IF(Ajustes!$G264&gt;0,INDEX($AA$4:$AL$323,Ajustes!$G264,Q$2),0)+IF(Ajustes!$H264&gt;0,INDEX($AA$4:$AL$323,Ajustes!$H264,Q$2),0)+IF(Ajustes!$I264&gt;0,INDEX($AA$4:$AL$323,Ajustes!$I264,Q$2),0)+IF(Ajustes!$J264&gt;0,INDEX($AA$4:$AL$323,Ajustes!$J264,Q$2),0)+IF(Ajustes!$K264&gt;0,INDEX($AA$5:$AL$324,Ajustes!$K264,Q$2),0)+IF(Ajustes!$L264&gt;0,INDEX($AA$4:$AL$323,Ajustes!$L264,Q$2),0) + Q264</f>
        <v>365</v>
      </c>
      <c r="AD264">
        <f>IF(Ajustes!$G264&gt;0,INDEX($AA$4:$AL$323,Ajustes!$G264,R$2),0)+IF(Ajustes!$H264&gt;0,INDEX($AA$4:$AL$323,Ajustes!$H264,R$2),0)+IF(Ajustes!$I264&gt;0,INDEX($AA$4:$AL$323,Ajustes!$I264,R$2),0)+IF(Ajustes!$J264&gt;0,INDEX($AA$4:$AL$323,Ajustes!$J264,R$2),0)+IF(Ajustes!$K264&gt;0,INDEX($AA$5:$AL$324,Ajustes!$K264,R$2),0)+IF(Ajustes!$L264&gt;0,INDEX($AA$4:$AL$323,Ajustes!$L264,R$2),0) + R264</f>
        <v>283</v>
      </c>
      <c r="AE264">
        <f>IF(Ajustes!$G264&gt;0,INDEX($AA$4:$AL$323,Ajustes!$G264,S$2),0)+IF(Ajustes!$H264&gt;0,INDEX($AA$4:$AL$323,Ajustes!$H264,S$2),0)+IF(Ajustes!$I264&gt;0,INDEX($AA$4:$AL$323,Ajustes!$I264,S$2),0)+IF(Ajustes!$J264&gt;0,INDEX($AA$4:$AL$323,Ajustes!$J264,S$2),0)+IF(Ajustes!$K264&gt;0,INDEX($AA$5:$AL$324,Ajustes!$K264,S$2),0)+IF(Ajustes!$L264&gt;0,INDEX($AA$4:$AL$323,Ajustes!$L264,S$2),0) + S264</f>
        <v>198</v>
      </c>
      <c r="AF264">
        <f>IF(Ajustes!$G264&gt;0,INDEX($AA$4:$AL$323,Ajustes!$G264,T$2),0)+IF(Ajustes!$H264&gt;0,INDEX($AA$4:$AL$323,Ajustes!$H264,T$2),0)+IF(Ajustes!$I264&gt;0,INDEX($AA$4:$AL$323,Ajustes!$I264,T$2),0)+IF(Ajustes!$J264&gt;0,INDEX($AA$4:$AL$323,Ajustes!$J264,T$2),0)+IF(Ajustes!$K264&gt;0,INDEX($AA$5:$AL$324,Ajustes!$K264,T$2),0)+IF(Ajustes!$L264&gt;0,INDEX($AA$4:$AL$323,Ajustes!$L264,T$2),0) + T264</f>
        <v>156</v>
      </c>
      <c r="AG264">
        <f>IF(Ajustes!$G264&gt;0,INDEX($AA$4:$AL$323,Ajustes!$G264,U$2),0)+IF(Ajustes!$H264&gt;0,INDEX($AA$4:$AL$323,Ajustes!$H264,U$2),0)+IF(Ajustes!$I264&gt;0,INDEX($AA$4:$AL$323,Ajustes!$I264,U$2),0)+IF(Ajustes!$J264&gt;0,INDEX($AA$4:$AL$323,Ajustes!$J264,U$2),0)+IF(Ajustes!$K264&gt;0,INDEX($AA$5:$AL$324,Ajustes!$K264,U$2),0)+IF(Ajustes!$L264&gt;0,INDEX($AA$4:$AL$323,Ajustes!$L264,U$2),0) + U264</f>
        <v>130</v>
      </c>
      <c r="AH264">
        <f>IF(Ajustes!$G264&gt;0,INDEX($AA$4:$AL$323,Ajustes!$G264,V$2),0)+IF(Ajustes!$H264&gt;0,INDEX($AA$4:$AL$323,Ajustes!$H264,V$2),0)+IF(Ajustes!$I264&gt;0,INDEX($AA$4:$AL$323,Ajustes!$I264,V$2),0)+IF(Ajustes!$J264&gt;0,INDEX($AA$4:$AL$323,Ajustes!$J264,V$2),0)+IF(Ajustes!$K264&gt;0,INDEX($AA$5:$AL$324,Ajustes!$K264,V$2),0)+IF(Ajustes!$L264&gt;0,INDEX($AA$4:$AL$323,Ajustes!$L264,V$2),0) + V264</f>
        <v>113</v>
      </c>
      <c r="AI264">
        <f>IF(Ajustes!$G264&gt;0,INDEX($AA$4:$AL$323,Ajustes!$G264,W$2),0)+IF(Ajustes!$H264&gt;0,INDEX($AA$4:$AL$323,Ajustes!$H264,W$2),0)+IF(Ajustes!$I264&gt;0,INDEX($AA$4:$AL$323,Ajustes!$I264,W$2),0)+IF(Ajustes!$J264&gt;0,INDEX($AA$4:$AL$323,Ajustes!$J264,W$2),0)+IF(Ajustes!$K264&gt;0,INDEX($AA$5:$AL$324,Ajustes!$K264,W$2),0)+IF(Ajustes!$L264&gt;0,INDEX($AA$4:$AL$323,Ajustes!$L264,W$2),0) + W264</f>
        <v>115</v>
      </c>
      <c r="AJ264">
        <f>IF(Ajustes!$G264&gt;0,INDEX($AA$4:$AL$323,Ajustes!$G264,X$2),0)+IF(Ajustes!$H264&gt;0,INDEX($AA$4:$AL$323,Ajustes!$H264,X$2),0)+IF(Ajustes!$I264&gt;0,INDEX($AA$4:$AL$323,Ajustes!$I264,X$2),0)+IF(Ajustes!$J264&gt;0,INDEX($AA$4:$AL$323,Ajustes!$J264,X$2),0)+IF(Ajustes!$K264&gt;0,INDEX($AA$5:$AL$324,Ajustes!$K264,X$2),0)+IF(Ajustes!$L264&gt;0,INDEX($AA$4:$AL$323,Ajustes!$L264,X$2),0) + X264</f>
        <v>143</v>
      </c>
      <c r="AK264">
        <f>IF(Ajustes!$G264&gt;0,INDEX($AA$4:$AL$323,Ajustes!$G264,Y$2),0)+IF(Ajustes!$H264&gt;0,INDEX($AA$4:$AL$323,Ajustes!$H264,Y$2),0)+IF(Ajustes!$I264&gt;0,INDEX($AA$4:$AL$323,Ajustes!$I264,Y$2),0)+IF(Ajustes!$J264&gt;0,INDEX($AA$4:$AL$323,Ajustes!$J264,Y$2),0)+IF(Ajustes!$K264&gt;0,INDEX($AA$5:$AL$324,Ajustes!$K264,Y$2),0)+IF(Ajustes!$L264&gt;0,INDEX($AA$4:$AL$323,Ajustes!$L264,Y$2),0) + Y264</f>
        <v>185</v>
      </c>
      <c r="AL264">
        <f>IF(Ajustes!$G264&gt;0,INDEX($AA$4:$AL$323,Ajustes!$G264,Z$2),0)+IF(Ajustes!$H264&gt;0,INDEX($AA$4:$AL$323,Ajustes!$H264,Z$2),0)+IF(Ajustes!$I264&gt;0,INDEX($AA$4:$AL$323,Ajustes!$I264,Z$2),0)+IF(Ajustes!$J264&gt;0,INDEX($AA$4:$AL$323,Ajustes!$J264,Z$2),0)+IF(Ajustes!$K264&gt;0,INDEX($AA$5:$AL$324,Ajustes!$K264,Z$2),0)+IF(Ajustes!$L264&gt;0,INDEX($AA$4:$AL$323,Ajustes!$L264,Z$2),0) + Z264</f>
        <v>257</v>
      </c>
      <c r="AM264" s="113">
        <f t="shared" ref="AM264:AT295" si="53">AA264</f>
        <v>322</v>
      </c>
      <c r="AN264" s="113">
        <f t="shared" si="53"/>
        <v>360</v>
      </c>
      <c r="AO264" s="113">
        <f t="shared" si="53"/>
        <v>365</v>
      </c>
      <c r="AP264" s="113">
        <f t="shared" si="53"/>
        <v>283</v>
      </c>
      <c r="AQ264" s="113">
        <f t="shared" si="53"/>
        <v>198</v>
      </c>
      <c r="AR264" s="113">
        <f t="shared" si="53"/>
        <v>156</v>
      </c>
      <c r="AS264" s="113">
        <f t="shared" si="53"/>
        <v>130</v>
      </c>
      <c r="AT264" s="113">
        <f t="shared" si="53"/>
        <v>113</v>
      </c>
      <c r="AU264" s="113">
        <f t="shared" ref="AU264:AX295" si="54">AI264</f>
        <v>115</v>
      </c>
      <c r="AV264" s="113">
        <f t="shared" si="51"/>
        <v>143</v>
      </c>
      <c r="AW264" s="113">
        <f t="shared" si="50"/>
        <v>185</v>
      </c>
      <c r="AX264" s="113">
        <f t="shared" si="50"/>
        <v>257</v>
      </c>
    </row>
    <row r="265" spans="1:50" x14ac:dyDescent="0.25">
      <c r="A265" s="113">
        <v>262</v>
      </c>
      <c r="B265" s="209" t="s">
        <v>259</v>
      </c>
      <c r="C265">
        <f>IFERROR(INDEX($BD$7:$BO$35,MATCH(Ajustes!$E$4:$E$323,$BC$7:$BC$35,0),$C$2:$N$2),1)</f>
        <v>1</v>
      </c>
      <c r="D265" s="113">
        <f>IFERROR(INDEX($BD$7:$BO$35,MATCH(Ajustes!$E$4:$E$323,$BC$7:$BC$35,0),$C$2:$N$2),1)</f>
        <v>1</v>
      </c>
      <c r="E265" s="113">
        <f>IFERROR(INDEX($BD$7:$BO$35,MATCH(Ajustes!$E$4:$E$323,$BC$7:$BC$35,0),$C$2:$N$2),1)</f>
        <v>1</v>
      </c>
      <c r="F265" s="113">
        <f>IFERROR(INDEX($BD$7:$BO$35,MATCH(Ajustes!$E$4:$E$323,$BC$7:$BC$35,0),$C$2:$N$2),1)</f>
        <v>1</v>
      </c>
      <c r="G265" s="113">
        <f>IFERROR(INDEX($BD$7:$BO$35,MATCH(Ajustes!$E$4:$E$323,$BC$7:$BC$35,0),$C$2:$N$2),1)</f>
        <v>1</v>
      </c>
      <c r="H265" s="113">
        <f>IFERROR(INDEX($BD$7:$BO$35,MATCH(Ajustes!$E$4:$E$323,$BC$7:$BC$35,0),$C$2:$N$2),1)</f>
        <v>1</v>
      </c>
      <c r="I265" s="113">
        <f>IFERROR(INDEX($BD$7:$BO$35,MATCH(Ajustes!$E$4:$E$323,$BC$7:$BC$35,0),$C$2:$N$2),1)</f>
        <v>1</v>
      </c>
      <c r="J265" s="113">
        <f>IFERROR(INDEX($BD$7:$BO$35,MATCH(Ajustes!$E$4:$E$323,$BC$7:$BC$35,0),$C$2:$N$2),1)</f>
        <v>1</v>
      </c>
      <c r="K265" s="113">
        <f>IFERROR(INDEX($BD$7:$BO$35,MATCH(Ajustes!$E$4:$E$323,$BC$7:$BC$35,0),$C$2:$N$2),1)</f>
        <v>1</v>
      </c>
      <c r="L265" s="113">
        <f>IFERROR(INDEX($BD$7:$BO$35,MATCH(Ajustes!$E$4:$E$323,$BC$7:$BC$35,0),$C$2:$N$2),1)</f>
        <v>1</v>
      </c>
      <c r="M265" s="113">
        <f>IFERROR(INDEX($BD$7:$BO$35,MATCH(Ajustes!$E$4:$E$323,$BC$7:$BC$35,0),$C$2:$N$2),1)</f>
        <v>1</v>
      </c>
      <c r="N265" s="113">
        <f>IFERROR(INDEX($BD$7:$BO$35,MATCH(Ajustes!$E$4:$E$323,$BC$7:$BC$35,0),$C$2:$N$2),1)</f>
        <v>1</v>
      </c>
      <c r="O265">
        <f>C265*Ajustes!AM265</f>
        <v>153</v>
      </c>
      <c r="P265">
        <f>D265*Ajustes!AN265</f>
        <v>117</v>
      </c>
      <c r="Q265">
        <f>E265*Ajustes!AO265</f>
        <v>105</v>
      </c>
      <c r="R265">
        <f>F265*Ajustes!AP265</f>
        <v>76</v>
      </c>
      <c r="S265">
        <f>G265*Ajustes!AQ265</f>
        <v>57</v>
      </c>
      <c r="T265">
        <f>H265*Ajustes!AR265</f>
        <v>49</v>
      </c>
      <c r="U265">
        <f>I265*Ajustes!AS265</f>
        <v>43</v>
      </c>
      <c r="V265">
        <f>J265*Ajustes!AT265</f>
        <v>38</v>
      </c>
      <c r="W265">
        <f>K265*Ajustes!AU265</f>
        <v>38</v>
      </c>
      <c r="X265">
        <f>L265*Ajustes!AV265</f>
        <v>48</v>
      </c>
      <c r="Y265">
        <f>M265*Ajustes!AW265</f>
        <v>79</v>
      </c>
      <c r="Z265">
        <f>N265*Ajustes!AX265</f>
        <v>131</v>
      </c>
      <c r="AA265">
        <f>IF(Ajustes!$G265&gt;0,INDEX($AA$4:$AL$323,Ajustes!$G265,O$2),0)+IF(Ajustes!$H265&gt;0,INDEX($AA$4:$AL$323,Ajustes!$H265,O$2),0)+IF(Ajustes!$I265&gt;0,INDEX($AA$4:$AL$323,Ajustes!$I265,O$2),0)+IF(Ajustes!$J265&gt;0,INDEX($AA$4:$AL$323,Ajustes!$J265,O$2),0)+IF(Ajustes!$K265&gt;0,INDEX($AA$5:$AL$324,Ajustes!$K265,O$2),0)+IF(Ajustes!$L265&gt;0,INDEX($AA$4:$AL$323,Ajustes!$L265,O$2),0) + O265</f>
        <v>153</v>
      </c>
      <c r="AB265">
        <f>IF(Ajustes!$G265&gt;0,INDEX($AA$4:$AL$323,Ajustes!$G265,P$2),0)+IF(Ajustes!$H265&gt;0,INDEX($AA$4:$AL$323,Ajustes!$H265,P$2),0)+IF(Ajustes!$I265&gt;0,INDEX($AA$4:$AL$323,Ajustes!$I265,P$2),0)+IF(Ajustes!$J265&gt;0,INDEX($AA$4:$AL$323,Ajustes!$J265,P$2),0)+IF(Ajustes!$K265&gt;0,INDEX($AA$5:$AL$324,Ajustes!$K265,P$2),0)+IF(Ajustes!$L265&gt;0,INDEX($AA$4:$AL$323,Ajustes!$L265,P$2),0) + P265</f>
        <v>117</v>
      </c>
      <c r="AC265">
        <f>IF(Ajustes!$G265&gt;0,INDEX($AA$4:$AL$323,Ajustes!$G265,Q$2),0)+IF(Ajustes!$H265&gt;0,INDEX($AA$4:$AL$323,Ajustes!$H265,Q$2),0)+IF(Ajustes!$I265&gt;0,INDEX($AA$4:$AL$323,Ajustes!$I265,Q$2),0)+IF(Ajustes!$J265&gt;0,INDEX($AA$4:$AL$323,Ajustes!$J265,Q$2),0)+IF(Ajustes!$K265&gt;0,INDEX($AA$5:$AL$324,Ajustes!$K265,Q$2),0)+IF(Ajustes!$L265&gt;0,INDEX($AA$4:$AL$323,Ajustes!$L265,Q$2),0) + Q265</f>
        <v>105</v>
      </c>
      <c r="AD265">
        <f>IF(Ajustes!$G265&gt;0,INDEX($AA$4:$AL$323,Ajustes!$G265,R$2),0)+IF(Ajustes!$H265&gt;0,INDEX($AA$4:$AL$323,Ajustes!$H265,R$2),0)+IF(Ajustes!$I265&gt;0,INDEX($AA$4:$AL$323,Ajustes!$I265,R$2),0)+IF(Ajustes!$J265&gt;0,INDEX($AA$4:$AL$323,Ajustes!$J265,R$2),0)+IF(Ajustes!$K265&gt;0,INDEX($AA$5:$AL$324,Ajustes!$K265,R$2),0)+IF(Ajustes!$L265&gt;0,INDEX($AA$4:$AL$323,Ajustes!$L265,R$2),0) + R265</f>
        <v>76</v>
      </c>
      <c r="AE265">
        <f>IF(Ajustes!$G265&gt;0,INDEX($AA$4:$AL$323,Ajustes!$G265,S$2),0)+IF(Ajustes!$H265&gt;0,INDEX($AA$4:$AL$323,Ajustes!$H265,S$2),0)+IF(Ajustes!$I265&gt;0,INDEX($AA$4:$AL$323,Ajustes!$I265,S$2),0)+IF(Ajustes!$J265&gt;0,INDEX($AA$4:$AL$323,Ajustes!$J265,S$2),0)+IF(Ajustes!$K265&gt;0,INDEX($AA$5:$AL$324,Ajustes!$K265,S$2),0)+IF(Ajustes!$L265&gt;0,INDEX($AA$4:$AL$323,Ajustes!$L265,S$2),0) + S265</f>
        <v>57</v>
      </c>
      <c r="AF265">
        <f>IF(Ajustes!$G265&gt;0,INDEX($AA$4:$AL$323,Ajustes!$G265,T$2),0)+IF(Ajustes!$H265&gt;0,INDEX($AA$4:$AL$323,Ajustes!$H265,T$2),0)+IF(Ajustes!$I265&gt;0,INDEX($AA$4:$AL$323,Ajustes!$I265,T$2),0)+IF(Ajustes!$J265&gt;0,INDEX($AA$4:$AL$323,Ajustes!$J265,T$2),0)+IF(Ajustes!$K265&gt;0,INDEX($AA$5:$AL$324,Ajustes!$K265,T$2),0)+IF(Ajustes!$L265&gt;0,INDEX($AA$4:$AL$323,Ajustes!$L265,T$2),0) + T265</f>
        <v>49</v>
      </c>
      <c r="AG265">
        <f>IF(Ajustes!$G265&gt;0,INDEX($AA$4:$AL$323,Ajustes!$G265,U$2),0)+IF(Ajustes!$H265&gt;0,INDEX($AA$4:$AL$323,Ajustes!$H265,U$2),0)+IF(Ajustes!$I265&gt;0,INDEX($AA$4:$AL$323,Ajustes!$I265,U$2),0)+IF(Ajustes!$J265&gt;0,INDEX($AA$4:$AL$323,Ajustes!$J265,U$2),0)+IF(Ajustes!$K265&gt;0,INDEX($AA$5:$AL$324,Ajustes!$K265,U$2),0)+IF(Ajustes!$L265&gt;0,INDEX($AA$4:$AL$323,Ajustes!$L265,U$2),0) + U265</f>
        <v>43</v>
      </c>
      <c r="AH265">
        <f>IF(Ajustes!$G265&gt;0,INDEX($AA$4:$AL$323,Ajustes!$G265,V$2),0)+IF(Ajustes!$H265&gt;0,INDEX($AA$4:$AL$323,Ajustes!$H265,V$2),0)+IF(Ajustes!$I265&gt;0,INDEX($AA$4:$AL$323,Ajustes!$I265,V$2),0)+IF(Ajustes!$J265&gt;0,INDEX($AA$4:$AL$323,Ajustes!$J265,V$2),0)+IF(Ajustes!$K265&gt;0,INDEX($AA$5:$AL$324,Ajustes!$K265,V$2),0)+IF(Ajustes!$L265&gt;0,INDEX($AA$4:$AL$323,Ajustes!$L265,V$2),0) + V265</f>
        <v>38</v>
      </c>
      <c r="AI265">
        <f>IF(Ajustes!$G265&gt;0,INDEX($AA$4:$AL$323,Ajustes!$G265,W$2),0)+IF(Ajustes!$H265&gt;0,INDEX($AA$4:$AL$323,Ajustes!$H265,W$2),0)+IF(Ajustes!$I265&gt;0,INDEX($AA$4:$AL$323,Ajustes!$I265,W$2),0)+IF(Ajustes!$J265&gt;0,INDEX($AA$4:$AL$323,Ajustes!$J265,W$2),0)+IF(Ajustes!$K265&gt;0,INDEX($AA$5:$AL$324,Ajustes!$K265,W$2),0)+IF(Ajustes!$L265&gt;0,INDEX($AA$4:$AL$323,Ajustes!$L265,W$2),0) + W265</f>
        <v>38</v>
      </c>
      <c r="AJ265">
        <f>IF(Ajustes!$G265&gt;0,INDEX($AA$4:$AL$323,Ajustes!$G265,X$2),0)+IF(Ajustes!$H265&gt;0,INDEX($AA$4:$AL$323,Ajustes!$H265,X$2),0)+IF(Ajustes!$I265&gt;0,INDEX($AA$4:$AL$323,Ajustes!$I265,X$2),0)+IF(Ajustes!$J265&gt;0,INDEX($AA$4:$AL$323,Ajustes!$J265,X$2),0)+IF(Ajustes!$K265&gt;0,INDEX($AA$5:$AL$324,Ajustes!$K265,X$2),0)+IF(Ajustes!$L265&gt;0,INDEX($AA$4:$AL$323,Ajustes!$L265,X$2),0) + X265</f>
        <v>48</v>
      </c>
      <c r="AK265">
        <f>IF(Ajustes!$G265&gt;0,INDEX($AA$4:$AL$323,Ajustes!$G265,Y$2),0)+IF(Ajustes!$H265&gt;0,INDEX($AA$4:$AL$323,Ajustes!$H265,Y$2),0)+IF(Ajustes!$I265&gt;0,INDEX($AA$4:$AL$323,Ajustes!$I265,Y$2),0)+IF(Ajustes!$J265&gt;0,INDEX($AA$4:$AL$323,Ajustes!$J265,Y$2),0)+IF(Ajustes!$K265&gt;0,INDEX($AA$5:$AL$324,Ajustes!$K265,Y$2),0)+IF(Ajustes!$L265&gt;0,INDEX($AA$4:$AL$323,Ajustes!$L265,Y$2),0) + Y265</f>
        <v>79</v>
      </c>
      <c r="AL265">
        <f>IF(Ajustes!$G265&gt;0,INDEX($AA$4:$AL$323,Ajustes!$G265,Z$2),0)+IF(Ajustes!$H265&gt;0,INDEX($AA$4:$AL$323,Ajustes!$H265,Z$2),0)+IF(Ajustes!$I265&gt;0,INDEX($AA$4:$AL$323,Ajustes!$I265,Z$2),0)+IF(Ajustes!$J265&gt;0,INDEX($AA$4:$AL$323,Ajustes!$J265,Z$2),0)+IF(Ajustes!$K265&gt;0,INDEX($AA$5:$AL$324,Ajustes!$K265,Z$2),0)+IF(Ajustes!$L265&gt;0,INDEX($AA$4:$AL$323,Ajustes!$L265,Z$2),0) + Z265</f>
        <v>131</v>
      </c>
      <c r="AM265" s="113">
        <f t="shared" si="53"/>
        <v>153</v>
      </c>
      <c r="AN265" s="113">
        <f t="shared" si="53"/>
        <v>117</v>
      </c>
      <c r="AO265" s="113">
        <f t="shared" si="53"/>
        <v>105</v>
      </c>
      <c r="AP265" s="113">
        <f t="shared" si="53"/>
        <v>76</v>
      </c>
      <c r="AQ265" s="113">
        <f t="shared" si="53"/>
        <v>57</v>
      </c>
      <c r="AR265" s="113">
        <f t="shared" si="53"/>
        <v>49</v>
      </c>
      <c r="AS265" s="113">
        <f t="shared" si="53"/>
        <v>43</v>
      </c>
      <c r="AT265" s="113">
        <f t="shared" si="53"/>
        <v>38</v>
      </c>
      <c r="AU265" s="113">
        <f t="shared" si="54"/>
        <v>38</v>
      </c>
      <c r="AV265" s="113">
        <f t="shared" si="51"/>
        <v>48</v>
      </c>
      <c r="AW265" s="113">
        <f t="shared" si="50"/>
        <v>79</v>
      </c>
      <c r="AX265" s="113">
        <f t="shared" si="50"/>
        <v>131</v>
      </c>
    </row>
    <row r="266" spans="1:50" x14ac:dyDescent="0.25">
      <c r="A266" s="113">
        <v>263</v>
      </c>
      <c r="B266" s="209" t="s">
        <v>655</v>
      </c>
      <c r="C266">
        <f>IFERROR(INDEX($BD$7:$BO$35,MATCH(Ajustes!$E$4:$E$323,$BC$7:$BC$35,0),$C$2:$N$2),1)</f>
        <v>1</v>
      </c>
      <c r="D266" s="113">
        <f>IFERROR(INDEX($BD$7:$BO$35,MATCH(Ajustes!$E$4:$E$323,$BC$7:$BC$35,0),$C$2:$N$2),1)</f>
        <v>1</v>
      </c>
      <c r="E266" s="113">
        <f>IFERROR(INDEX($BD$7:$BO$35,MATCH(Ajustes!$E$4:$E$323,$BC$7:$BC$35,0),$C$2:$N$2),1)</f>
        <v>1</v>
      </c>
      <c r="F266" s="113">
        <f>IFERROR(INDEX($BD$7:$BO$35,MATCH(Ajustes!$E$4:$E$323,$BC$7:$BC$35,0),$C$2:$N$2),1)</f>
        <v>1</v>
      </c>
      <c r="G266" s="113">
        <f>IFERROR(INDEX($BD$7:$BO$35,MATCH(Ajustes!$E$4:$E$323,$BC$7:$BC$35,0),$C$2:$N$2),1)</f>
        <v>1</v>
      </c>
      <c r="H266" s="113">
        <f>IFERROR(INDEX($BD$7:$BO$35,MATCH(Ajustes!$E$4:$E$323,$BC$7:$BC$35,0),$C$2:$N$2),1)</f>
        <v>1</v>
      </c>
      <c r="I266" s="113">
        <f>IFERROR(INDEX($BD$7:$BO$35,MATCH(Ajustes!$E$4:$E$323,$BC$7:$BC$35,0),$C$2:$N$2),1)</f>
        <v>1</v>
      </c>
      <c r="J266" s="113">
        <f>IFERROR(INDEX($BD$7:$BO$35,MATCH(Ajustes!$E$4:$E$323,$BC$7:$BC$35,0),$C$2:$N$2),1)</f>
        <v>1</v>
      </c>
      <c r="K266" s="113">
        <f>IFERROR(INDEX($BD$7:$BO$35,MATCH(Ajustes!$E$4:$E$323,$BC$7:$BC$35,0),$C$2:$N$2),1)</f>
        <v>1</v>
      </c>
      <c r="L266" s="113">
        <f>IFERROR(INDEX($BD$7:$BO$35,MATCH(Ajustes!$E$4:$E$323,$BC$7:$BC$35,0),$C$2:$N$2),1)</f>
        <v>1</v>
      </c>
      <c r="M266" s="113">
        <f>IFERROR(INDEX($BD$7:$BO$35,MATCH(Ajustes!$E$4:$E$323,$BC$7:$BC$35,0),$C$2:$N$2),1)</f>
        <v>1</v>
      </c>
      <c r="N266" s="113">
        <f>IFERROR(INDEX($BD$7:$BO$35,MATCH(Ajustes!$E$4:$E$323,$BC$7:$BC$35,0),$C$2:$N$2),1)</f>
        <v>1</v>
      </c>
      <c r="O266">
        <f>C266*Ajustes!AM266</f>
        <v>13</v>
      </c>
      <c r="P266">
        <f>D266*Ajustes!AN266</f>
        <v>11</v>
      </c>
      <c r="Q266">
        <f>E266*Ajustes!AO266</f>
        <v>9</v>
      </c>
      <c r="R266">
        <f>F266*Ajustes!AP266</f>
        <v>7</v>
      </c>
      <c r="S266">
        <f>G266*Ajustes!AQ266</f>
        <v>5</v>
      </c>
      <c r="T266">
        <f>H266*Ajustes!AR266</f>
        <v>4</v>
      </c>
      <c r="U266">
        <f>I266*Ajustes!AS266</f>
        <v>3</v>
      </c>
      <c r="V266">
        <f>J266*Ajustes!AT266</f>
        <v>3</v>
      </c>
      <c r="W266">
        <f>K266*Ajustes!AU266</f>
        <v>3</v>
      </c>
      <c r="X266">
        <f>L266*Ajustes!AV266</f>
        <v>4</v>
      </c>
      <c r="Y266">
        <f>M266*Ajustes!AW266</f>
        <v>7</v>
      </c>
      <c r="Z266">
        <f>N266*Ajustes!AX266</f>
        <v>11</v>
      </c>
      <c r="AA266">
        <f>IF(Ajustes!$G266&gt;0,INDEX($AA$4:$AL$323,Ajustes!$G266,O$2),0)+IF(Ajustes!$H266&gt;0,INDEX($AA$4:$AL$323,Ajustes!$H266,O$2),0)+IF(Ajustes!$I266&gt;0,INDEX($AA$4:$AL$323,Ajustes!$I266,O$2),0)+IF(Ajustes!$J266&gt;0,INDEX($AA$4:$AL$323,Ajustes!$J266,O$2),0)+IF(Ajustes!$K266&gt;0,INDEX($AA$5:$AL$324,Ajustes!$K266,O$2),0)+IF(Ajustes!$L266&gt;0,INDEX($AA$4:$AL$323,Ajustes!$L266,O$2),0) + O266</f>
        <v>310</v>
      </c>
      <c r="AB266">
        <f>IF(Ajustes!$G266&gt;0,INDEX($AA$4:$AL$323,Ajustes!$G266,P$2),0)+IF(Ajustes!$H266&gt;0,INDEX($AA$4:$AL$323,Ajustes!$H266,P$2),0)+IF(Ajustes!$I266&gt;0,INDEX($AA$4:$AL$323,Ajustes!$I266,P$2),0)+IF(Ajustes!$J266&gt;0,INDEX($AA$4:$AL$323,Ajustes!$J266,P$2),0)+IF(Ajustes!$K266&gt;0,INDEX($AA$5:$AL$324,Ajustes!$K266,P$2),0)+IF(Ajustes!$L266&gt;0,INDEX($AA$4:$AL$323,Ajustes!$L266,P$2),0) + P266</f>
        <v>251</v>
      </c>
      <c r="AC266">
        <f>IF(Ajustes!$G266&gt;0,INDEX($AA$4:$AL$323,Ajustes!$G266,Q$2),0)+IF(Ajustes!$H266&gt;0,INDEX($AA$4:$AL$323,Ajustes!$H266,Q$2),0)+IF(Ajustes!$I266&gt;0,INDEX($AA$4:$AL$323,Ajustes!$I266,Q$2),0)+IF(Ajustes!$J266&gt;0,INDEX($AA$4:$AL$323,Ajustes!$J266,Q$2),0)+IF(Ajustes!$K266&gt;0,INDEX($AA$5:$AL$324,Ajustes!$K266,Q$2),0)+IF(Ajustes!$L266&gt;0,INDEX($AA$4:$AL$323,Ajustes!$L266,Q$2),0) + Q266</f>
        <v>224</v>
      </c>
      <c r="AD266">
        <f>IF(Ajustes!$G266&gt;0,INDEX($AA$4:$AL$323,Ajustes!$G266,R$2),0)+IF(Ajustes!$H266&gt;0,INDEX($AA$4:$AL$323,Ajustes!$H266,R$2),0)+IF(Ajustes!$I266&gt;0,INDEX($AA$4:$AL$323,Ajustes!$I266,R$2),0)+IF(Ajustes!$J266&gt;0,INDEX($AA$4:$AL$323,Ajustes!$J266,R$2),0)+IF(Ajustes!$K266&gt;0,INDEX($AA$5:$AL$324,Ajustes!$K266,R$2),0)+IF(Ajustes!$L266&gt;0,INDEX($AA$4:$AL$323,Ajustes!$L266,R$2),0) + R266</f>
        <v>170</v>
      </c>
      <c r="AE266">
        <f>IF(Ajustes!$G266&gt;0,INDEX($AA$4:$AL$323,Ajustes!$G266,S$2),0)+IF(Ajustes!$H266&gt;0,INDEX($AA$4:$AL$323,Ajustes!$H266,S$2),0)+IF(Ajustes!$I266&gt;0,INDEX($AA$4:$AL$323,Ajustes!$I266,S$2),0)+IF(Ajustes!$J266&gt;0,INDEX($AA$4:$AL$323,Ajustes!$J266,S$2),0)+IF(Ajustes!$K266&gt;0,INDEX($AA$5:$AL$324,Ajustes!$K266,S$2),0)+IF(Ajustes!$L266&gt;0,INDEX($AA$4:$AL$323,Ajustes!$L266,S$2),0) + S266</f>
        <v>122</v>
      </c>
      <c r="AF266">
        <f>IF(Ajustes!$G266&gt;0,INDEX($AA$4:$AL$323,Ajustes!$G266,T$2),0)+IF(Ajustes!$H266&gt;0,INDEX($AA$4:$AL$323,Ajustes!$H266,T$2),0)+IF(Ajustes!$I266&gt;0,INDEX($AA$4:$AL$323,Ajustes!$I266,T$2),0)+IF(Ajustes!$J266&gt;0,INDEX($AA$4:$AL$323,Ajustes!$J266,T$2),0)+IF(Ajustes!$K266&gt;0,INDEX($AA$5:$AL$324,Ajustes!$K266,T$2),0)+IF(Ajustes!$L266&gt;0,INDEX($AA$4:$AL$323,Ajustes!$L266,T$2),0) + T266</f>
        <v>100</v>
      </c>
      <c r="AG266">
        <f>IF(Ajustes!$G266&gt;0,INDEX($AA$4:$AL$323,Ajustes!$G266,U$2),0)+IF(Ajustes!$H266&gt;0,INDEX($AA$4:$AL$323,Ajustes!$H266,U$2),0)+IF(Ajustes!$I266&gt;0,INDEX($AA$4:$AL$323,Ajustes!$I266,U$2),0)+IF(Ajustes!$J266&gt;0,INDEX($AA$4:$AL$323,Ajustes!$J266,U$2),0)+IF(Ajustes!$K266&gt;0,INDEX($AA$5:$AL$324,Ajustes!$K266,U$2),0)+IF(Ajustes!$L266&gt;0,INDEX($AA$4:$AL$323,Ajustes!$L266,U$2),0) + U266</f>
        <v>85</v>
      </c>
      <c r="AH266">
        <f>IF(Ajustes!$G266&gt;0,INDEX($AA$4:$AL$323,Ajustes!$G266,V$2),0)+IF(Ajustes!$H266&gt;0,INDEX($AA$4:$AL$323,Ajustes!$H266,V$2),0)+IF(Ajustes!$I266&gt;0,INDEX($AA$4:$AL$323,Ajustes!$I266,V$2),0)+IF(Ajustes!$J266&gt;0,INDEX($AA$4:$AL$323,Ajustes!$J266,V$2),0)+IF(Ajustes!$K266&gt;0,INDEX($AA$5:$AL$324,Ajustes!$K266,V$2),0)+IF(Ajustes!$L266&gt;0,INDEX($AA$4:$AL$323,Ajustes!$L266,V$2),0) + V266</f>
        <v>74</v>
      </c>
      <c r="AI266">
        <f>IF(Ajustes!$G266&gt;0,INDEX($AA$4:$AL$323,Ajustes!$G266,W$2),0)+IF(Ajustes!$H266&gt;0,INDEX($AA$4:$AL$323,Ajustes!$H266,W$2),0)+IF(Ajustes!$I266&gt;0,INDEX($AA$4:$AL$323,Ajustes!$I266,W$2),0)+IF(Ajustes!$J266&gt;0,INDEX($AA$4:$AL$323,Ajustes!$J266,W$2),0)+IF(Ajustes!$K266&gt;0,INDEX($AA$5:$AL$324,Ajustes!$K266,W$2),0)+IF(Ajustes!$L266&gt;0,INDEX($AA$4:$AL$323,Ajustes!$L266,W$2),0) + W266</f>
        <v>71</v>
      </c>
      <c r="AJ266">
        <f>IF(Ajustes!$G266&gt;0,INDEX($AA$4:$AL$323,Ajustes!$G266,X$2),0)+IF(Ajustes!$H266&gt;0,INDEX($AA$4:$AL$323,Ajustes!$H266,X$2),0)+IF(Ajustes!$I266&gt;0,INDEX($AA$4:$AL$323,Ajustes!$I266,X$2),0)+IF(Ajustes!$J266&gt;0,INDEX($AA$4:$AL$323,Ajustes!$J266,X$2),0)+IF(Ajustes!$K266&gt;0,INDEX($AA$5:$AL$324,Ajustes!$K266,X$2),0)+IF(Ajustes!$L266&gt;0,INDEX($AA$4:$AL$323,Ajustes!$L266,X$2),0) + X266</f>
        <v>91</v>
      </c>
      <c r="AK266">
        <f>IF(Ajustes!$G266&gt;0,INDEX($AA$4:$AL$323,Ajustes!$G266,Y$2),0)+IF(Ajustes!$H266&gt;0,INDEX($AA$4:$AL$323,Ajustes!$H266,Y$2),0)+IF(Ajustes!$I266&gt;0,INDEX($AA$4:$AL$323,Ajustes!$I266,Y$2),0)+IF(Ajustes!$J266&gt;0,INDEX($AA$4:$AL$323,Ajustes!$J266,Y$2),0)+IF(Ajustes!$K266&gt;0,INDEX($AA$5:$AL$324,Ajustes!$K266,Y$2),0)+IF(Ajustes!$L266&gt;0,INDEX($AA$4:$AL$323,Ajustes!$L266,Y$2),0) + Y266</f>
        <v>169</v>
      </c>
      <c r="AL266">
        <f>IF(Ajustes!$G266&gt;0,INDEX($AA$4:$AL$323,Ajustes!$G266,Z$2),0)+IF(Ajustes!$H266&gt;0,INDEX($AA$4:$AL$323,Ajustes!$H266,Z$2),0)+IF(Ajustes!$I266&gt;0,INDEX($AA$4:$AL$323,Ajustes!$I266,Z$2),0)+IF(Ajustes!$J266&gt;0,INDEX($AA$4:$AL$323,Ajustes!$J266,Z$2),0)+IF(Ajustes!$K266&gt;0,INDEX($AA$5:$AL$324,Ajustes!$K266,Z$2),0)+IF(Ajustes!$L266&gt;0,INDEX($AA$4:$AL$323,Ajustes!$L266,Z$2),0) + Z266</f>
        <v>269</v>
      </c>
      <c r="AM266" s="113">
        <f t="shared" si="53"/>
        <v>310</v>
      </c>
      <c r="AN266" s="113">
        <f t="shared" si="53"/>
        <v>251</v>
      </c>
      <c r="AO266" s="113">
        <f t="shared" si="53"/>
        <v>224</v>
      </c>
      <c r="AP266" s="113">
        <f t="shared" si="53"/>
        <v>170</v>
      </c>
      <c r="AQ266" s="113">
        <f t="shared" si="53"/>
        <v>122</v>
      </c>
      <c r="AR266" s="113">
        <f t="shared" si="53"/>
        <v>100</v>
      </c>
      <c r="AS266" s="113">
        <f t="shared" si="53"/>
        <v>85</v>
      </c>
      <c r="AT266" s="113">
        <f t="shared" si="53"/>
        <v>74</v>
      </c>
      <c r="AU266" s="113">
        <f t="shared" si="54"/>
        <v>71</v>
      </c>
      <c r="AV266" s="113">
        <f t="shared" si="51"/>
        <v>91</v>
      </c>
      <c r="AW266" s="113">
        <f t="shared" si="50"/>
        <v>169</v>
      </c>
      <c r="AX266" s="113">
        <f t="shared" si="50"/>
        <v>269</v>
      </c>
    </row>
    <row r="267" spans="1:50" x14ac:dyDescent="0.25">
      <c r="A267" s="113">
        <v>264</v>
      </c>
      <c r="B267" s="209"/>
      <c r="C267">
        <f>IFERROR(INDEX($BD$7:$BO$35,MATCH(Ajustes!$E$4:$E$323,$BC$7:$BC$35,0),$C$2:$N$2),1)</f>
        <v>1</v>
      </c>
      <c r="D267" s="113">
        <f>IFERROR(INDEX($BD$7:$BO$35,MATCH(Ajustes!$E$4:$E$323,$BC$7:$BC$35,0),$C$2:$N$2),1)</f>
        <v>1</v>
      </c>
      <c r="E267" s="113">
        <f>IFERROR(INDEX($BD$7:$BO$35,MATCH(Ajustes!$E$4:$E$323,$BC$7:$BC$35,0),$C$2:$N$2),1)</f>
        <v>1</v>
      </c>
      <c r="F267" s="113">
        <f>IFERROR(INDEX($BD$7:$BO$35,MATCH(Ajustes!$E$4:$E$323,$BC$7:$BC$35,0),$C$2:$N$2),1)</f>
        <v>1</v>
      </c>
      <c r="G267" s="113">
        <f>IFERROR(INDEX($BD$7:$BO$35,MATCH(Ajustes!$E$4:$E$323,$BC$7:$BC$35,0),$C$2:$N$2),1)</f>
        <v>1</v>
      </c>
      <c r="H267" s="113">
        <f>IFERROR(INDEX($BD$7:$BO$35,MATCH(Ajustes!$E$4:$E$323,$BC$7:$BC$35,0),$C$2:$N$2),1)</f>
        <v>1</v>
      </c>
      <c r="I267" s="113">
        <f>IFERROR(INDEX($BD$7:$BO$35,MATCH(Ajustes!$E$4:$E$323,$BC$7:$BC$35,0),$C$2:$N$2),1)</f>
        <v>1</v>
      </c>
      <c r="J267" s="113">
        <f>IFERROR(INDEX($BD$7:$BO$35,MATCH(Ajustes!$E$4:$E$323,$BC$7:$BC$35,0),$C$2:$N$2),1)</f>
        <v>1</v>
      </c>
      <c r="K267" s="113">
        <f>IFERROR(INDEX($BD$7:$BO$35,MATCH(Ajustes!$E$4:$E$323,$BC$7:$BC$35,0),$C$2:$N$2),1)</f>
        <v>1</v>
      </c>
      <c r="L267" s="113">
        <f>IFERROR(INDEX($BD$7:$BO$35,MATCH(Ajustes!$E$4:$E$323,$BC$7:$BC$35,0),$C$2:$N$2),1)</f>
        <v>1</v>
      </c>
      <c r="M267" s="113">
        <f>IFERROR(INDEX($BD$7:$BO$35,MATCH(Ajustes!$E$4:$E$323,$BC$7:$BC$35,0),$C$2:$N$2),1)</f>
        <v>1</v>
      </c>
      <c r="N267" s="113">
        <f>IFERROR(INDEX($BD$7:$BO$35,MATCH(Ajustes!$E$4:$E$323,$BC$7:$BC$35,0),$C$2:$N$2),1)</f>
        <v>1</v>
      </c>
      <c r="O267">
        <f>C267*Ajustes!AM267</f>
        <v>0</v>
      </c>
      <c r="P267">
        <f>D267*Ajustes!AN267</f>
        <v>0</v>
      </c>
      <c r="Q267">
        <f>E267*Ajustes!AO267</f>
        <v>0</v>
      </c>
      <c r="R267">
        <f>F267*Ajustes!AP267</f>
        <v>0</v>
      </c>
      <c r="S267">
        <f>G267*Ajustes!AQ267</f>
        <v>0</v>
      </c>
      <c r="T267">
        <f>H267*Ajustes!AR267</f>
        <v>0</v>
      </c>
      <c r="U267">
        <f>I267*Ajustes!AS267</f>
        <v>0</v>
      </c>
      <c r="V267">
        <f>J267*Ajustes!AT267</f>
        <v>0</v>
      </c>
      <c r="W267">
        <f>K267*Ajustes!AU267</f>
        <v>0</v>
      </c>
      <c r="X267">
        <f>L267*Ajustes!AV267</f>
        <v>0</v>
      </c>
      <c r="Y267">
        <f>M267*Ajustes!AW267</f>
        <v>0</v>
      </c>
      <c r="Z267">
        <f>N267*Ajustes!AX267</f>
        <v>0</v>
      </c>
      <c r="AA267">
        <f>IF(Ajustes!$G267&gt;0,INDEX($AA$4:$AL$323,Ajustes!$G267,O$2),0)+IF(Ajustes!$H267&gt;0,INDEX($AA$4:$AL$323,Ajustes!$H267,O$2),0)+IF(Ajustes!$I267&gt;0,INDEX($AA$4:$AL$323,Ajustes!$I267,O$2),0)+IF(Ajustes!$J267&gt;0,INDEX($AA$4:$AL$323,Ajustes!$J267,O$2),0)+IF(Ajustes!$K267&gt;0,INDEX($AA$5:$AL$324,Ajustes!$K267,O$2),0)+IF(Ajustes!$L267&gt;0,INDEX($AA$4:$AL$323,Ajustes!$L267,O$2),0) + O267</f>
        <v>0</v>
      </c>
      <c r="AB267">
        <f>IF(Ajustes!$G267&gt;0,INDEX($AA$4:$AL$323,Ajustes!$G267,P$2),0)+IF(Ajustes!$H267&gt;0,INDEX($AA$4:$AL$323,Ajustes!$H267,P$2),0)+IF(Ajustes!$I267&gt;0,INDEX($AA$4:$AL$323,Ajustes!$I267,P$2),0)+IF(Ajustes!$J267&gt;0,INDEX($AA$4:$AL$323,Ajustes!$J267,P$2),0)+IF(Ajustes!$K267&gt;0,INDEX($AA$5:$AL$324,Ajustes!$K267,P$2),0)+IF(Ajustes!$L267&gt;0,INDEX($AA$4:$AL$323,Ajustes!$L267,P$2),0) + P267</f>
        <v>0</v>
      </c>
      <c r="AC267">
        <f>IF(Ajustes!$G267&gt;0,INDEX($AA$4:$AL$323,Ajustes!$G267,Q$2),0)+IF(Ajustes!$H267&gt;0,INDEX($AA$4:$AL$323,Ajustes!$H267,Q$2),0)+IF(Ajustes!$I267&gt;0,INDEX($AA$4:$AL$323,Ajustes!$I267,Q$2),0)+IF(Ajustes!$J267&gt;0,INDEX($AA$4:$AL$323,Ajustes!$J267,Q$2),0)+IF(Ajustes!$K267&gt;0,INDEX($AA$5:$AL$324,Ajustes!$K267,Q$2),0)+IF(Ajustes!$L267&gt;0,INDEX($AA$4:$AL$323,Ajustes!$L267,Q$2),0) + Q267</f>
        <v>0</v>
      </c>
      <c r="AD267">
        <f>IF(Ajustes!$G267&gt;0,INDEX($AA$4:$AL$323,Ajustes!$G267,R$2),0)+IF(Ajustes!$H267&gt;0,INDEX($AA$4:$AL$323,Ajustes!$H267,R$2),0)+IF(Ajustes!$I267&gt;0,INDEX($AA$4:$AL$323,Ajustes!$I267,R$2),0)+IF(Ajustes!$J267&gt;0,INDEX($AA$4:$AL$323,Ajustes!$J267,R$2),0)+IF(Ajustes!$K267&gt;0,INDEX($AA$5:$AL$324,Ajustes!$K267,R$2),0)+IF(Ajustes!$L267&gt;0,INDEX($AA$4:$AL$323,Ajustes!$L267,R$2),0) + R267</f>
        <v>0</v>
      </c>
      <c r="AE267">
        <f>IF(Ajustes!$G267&gt;0,INDEX($AA$4:$AL$323,Ajustes!$G267,S$2),0)+IF(Ajustes!$H267&gt;0,INDEX($AA$4:$AL$323,Ajustes!$H267,S$2),0)+IF(Ajustes!$I267&gt;0,INDEX($AA$4:$AL$323,Ajustes!$I267,S$2),0)+IF(Ajustes!$J267&gt;0,INDEX($AA$4:$AL$323,Ajustes!$J267,S$2),0)+IF(Ajustes!$K267&gt;0,INDEX($AA$5:$AL$324,Ajustes!$K267,S$2),0)+IF(Ajustes!$L267&gt;0,INDEX($AA$4:$AL$323,Ajustes!$L267,S$2),0) + S267</f>
        <v>0</v>
      </c>
      <c r="AF267">
        <f>IF(Ajustes!$G267&gt;0,INDEX($AA$4:$AL$323,Ajustes!$G267,T$2),0)+IF(Ajustes!$H267&gt;0,INDEX($AA$4:$AL$323,Ajustes!$H267,T$2),0)+IF(Ajustes!$I267&gt;0,INDEX($AA$4:$AL$323,Ajustes!$I267,T$2),0)+IF(Ajustes!$J267&gt;0,INDEX($AA$4:$AL$323,Ajustes!$J267,T$2),0)+IF(Ajustes!$K267&gt;0,INDEX($AA$5:$AL$324,Ajustes!$K267,T$2),0)+IF(Ajustes!$L267&gt;0,INDEX($AA$4:$AL$323,Ajustes!$L267,T$2),0) + T267</f>
        <v>0</v>
      </c>
      <c r="AG267">
        <f>IF(Ajustes!$G267&gt;0,INDEX($AA$4:$AL$323,Ajustes!$G267,U$2),0)+IF(Ajustes!$H267&gt;0,INDEX($AA$4:$AL$323,Ajustes!$H267,U$2),0)+IF(Ajustes!$I267&gt;0,INDEX($AA$4:$AL$323,Ajustes!$I267,U$2),0)+IF(Ajustes!$J267&gt;0,INDEX($AA$4:$AL$323,Ajustes!$J267,U$2),0)+IF(Ajustes!$K267&gt;0,INDEX($AA$5:$AL$324,Ajustes!$K267,U$2),0)+IF(Ajustes!$L267&gt;0,INDEX($AA$4:$AL$323,Ajustes!$L267,U$2),0) + U267</f>
        <v>0</v>
      </c>
      <c r="AH267">
        <f>IF(Ajustes!$G267&gt;0,INDEX($AA$4:$AL$323,Ajustes!$G267,V$2),0)+IF(Ajustes!$H267&gt;0,INDEX($AA$4:$AL$323,Ajustes!$H267,V$2),0)+IF(Ajustes!$I267&gt;0,INDEX($AA$4:$AL$323,Ajustes!$I267,V$2),0)+IF(Ajustes!$J267&gt;0,INDEX($AA$4:$AL$323,Ajustes!$J267,V$2),0)+IF(Ajustes!$K267&gt;0,INDEX($AA$5:$AL$324,Ajustes!$K267,V$2),0)+IF(Ajustes!$L267&gt;0,INDEX($AA$4:$AL$323,Ajustes!$L267,V$2),0) + V267</f>
        <v>0</v>
      </c>
      <c r="AI267">
        <f>IF(Ajustes!$G267&gt;0,INDEX($AA$4:$AL$323,Ajustes!$G267,W$2),0)+IF(Ajustes!$H267&gt;0,INDEX($AA$4:$AL$323,Ajustes!$H267,W$2),0)+IF(Ajustes!$I267&gt;0,INDEX($AA$4:$AL$323,Ajustes!$I267,W$2),0)+IF(Ajustes!$J267&gt;0,INDEX($AA$4:$AL$323,Ajustes!$J267,W$2),0)+IF(Ajustes!$K267&gt;0,INDEX($AA$5:$AL$324,Ajustes!$K267,W$2),0)+IF(Ajustes!$L267&gt;0,INDEX($AA$4:$AL$323,Ajustes!$L267,W$2),0) + W267</f>
        <v>0</v>
      </c>
      <c r="AJ267">
        <f>IF(Ajustes!$G267&gt;0,INDEX($AA$4:$AL$323,Ajustes!$G267,X$2),0)+IF(Ajustes!$H267&gt;0,INDEX($AA$4:$AL$323,Ajustes!$H267,X$2),0)+IF(Ajustes!$I267&gt;0,INDEX($AA$4:$AL$323,Ajustes!$I267,X$2),0)+IF(Ajustes!$J267&gt;0,INDEX($AA$4:$AL$323,Ajustes!$J267,X$2),0)+IF(Ajustes!$K267&gt;0,INDEX($AA$5:$AL$324,Ajustes!$K267,X$2),0)+IF(Ajustes!$L267&gt;0,INDEX($AA$4:$AL$323,Ajustes!$L267,X$2),0) + X267</f>
        <v>0</v>
      </c>
      <c r="AK267">
        <f>IF(Ajustes!$G267&gt;0,INDEX($AA$4:$AL$323,Ajustes!$G267,Y$2),0)+IF(Ajustes!$H267&gt;0,INDEX($AA$4:$AL$323,Ajustes!$H267,Y$2),0)+IF(Ajustes!$I267&gt;0,INDEX($AA$4:$AL$323,Ajustes!$I267,Y$2),0)+IF(Ajustes!$J267&gt;0,INDEX($AA$4:$AL$323,Ajustes!$J267,Y$2),0)+IF(Ajustes!$K267&gt;0,INDEX($AA$5:$AL$324,Ajustes!$K267,Y$2),0)+IF(Ajustes!$L267&gt;0,INDEX($AA$4:$AL$323,Ajustes!$L267,Y$2),0) + Y267</f>
        <v>0</v>
      </c>
      <c r="AL267">
        <f>IF(Ajustes!$G267&gt;0,INDEX($AA$4:$AL$323,Ajustes!$G267,Z$2),0)+IF(Ajustes!$H267&gt;0,INDEX($AA$4:$AL$323,Ajustes!$H267,Z$2),0)+IF(Ajustes!$I267&gt;0,INDEX($AA$4:$AL$323,Ajustes!$I267,Z$2),0)+IF(Ajustes!$J267&gt;0,INDEX($AA$4:$AL$323,Ajustes!$J267,Z$2),0)+IF(Ajustes!$K267&gt;0,INDEX($AA$5:$AL$324,Ajustes!$K267,Z$2),0)+IF(Ajustes!$L267&gt;0,INDEX($AA$4:$AL$323,Ajustes!$L267,Z$2),0) + Z267</f>
        <v>0</v>
      </c>
      <c r="AM267" s="113">
        <f t="shared" si="53"/>
        <v>0</v>
      </c>
      <c r="AN267" s="113">
        <f t="shared" si="53"/>
        <v>0</v>
      </c>
      <c r="AO267" s="113">
        <f t="shared" si="53"/>
        <v>0</v>
      </c>
      <c r="AP267" s="113">
        <f t="shared" si="53"/>
        <v>0</v>
      </c>
      <c r="AQ267" s="113">
        <f t="shared" si="53"/>
        <v>0</v>
      </c>
      <c r="AR267" s="113">
        <f t="shared" si="53"/>
        <v>0</v>
      </c>
      <c r="AS267" s="113">
        <f t="shared" si="53"/>
        <v>0</v>
      </c>
      <c r="AT267" s="113">
        <f t="shared" si="53"/>
        <v>0</v>
      </c>
      <c r="AU267" s="113">
        <f t="shared" si="54"/>
        <v>0</v>
      </c>
      <c r="AV267" s="113">
        <f t="shared" si="51"/>
        <v>0</v>
      </c>
      <c r="AW267" s="113">
        <f t="shared" si="50"/>
        <v>0</v>
      </c>
      <c r="AX267" s="113">
        <f t="shared" si="50"/>
        <v>0</v>
      </c>
    </row>
    <row r="268" spans="1:50" x14ac:dyDescent="0.25">
      <c r="A268" s="113">
        <v>265</v>
      </c>
      <c r="B268" s="209" t="s">
        <v>656</v>
      </c>
      <c r="C268">
        <f>IFERROR(INDEX($BD$7:$BO$35,MATCH(Ajustes!$E$4:$E$323,$BC$7:$BC$35,0),$C$2:$N$2),1)</f>
        <v>1</v>
      </c>
      <c r="D268" s="113">
        <f>IFERROR(INDEX($BD$7:$BO$35,MATCH(Ajustes!$E$4:$E$323,$BC$7:$BC$35,0),$C$2:$N$2),1)</f>
        <v>1</v>
      </c>
      <c r="E268" s="113">
        <f>IFERROR(INDEX($BD$7:$BO$35,MATCH(Ajustes!$E$4:$E$323,$BC$7:$BC$35,0),$C$2:$N$2),1)</f>
        <v>1</v>
      </c>
      <c r="F268" s="113">
        <f>IFERROR(INDEX($BD$7:$BO$35,MATCH(Ajustes!$E$4:$E$323,$BC$7:$BC$35,0),$C$2:$N$2),1)</f>
        <v>1</v>
      </c>
      <c r="G268" s="113">
        <f>IFERROR(INDEX($BD$7:$BO$35,MATCH(Ajustes!$E$4:$E$323,$BC$7:$BC$35,0),$C$2:$N$2),1)</f>
        <v>1</v>
      </c>
      <c r="H268" s="113">
        <f>IFERROR(INDEX($BD$7:$BO$35,MATCH(Ajustes!$E$4:$E$323,$BC$7:$BC$35,0),$C$2:$N$2),1)</f>
        <v>1</v>
      </c>
      <c r="I268" s="113">
        <f>IFERROR(INDEX($BD$7:$BO$35,MATCH(Ajustes!$E$4:$E$323,$BC$7:$BC$35,0),$C$2:$N$2),1)</f>
        <v>1</v>
      </c>
      <c r="J268" s="113">
        <f>IFERROR(INDEX($BD$7:$BO$35,MATCH(Ajustes!$E$4:$E$323,$BC$7:$BC$35,0),$C$2:$N$2),1)</f>
        <v>1</v>
      </c>
      <c r="K268" s="113">
        <f>IFERROR(INDEX($BD$7:$BO$35,MATCH(Ajustes!$E$4:$E$323,$BC$7:$BC$35,0),$C$2:$N$2),1)</f>
        <v>1</v>
      </c>
      <c r="L268" s="113">
        <f>IFERROR(INDEX($BD$7:$BO$35,MATCH(Ajustes!$E$4:$E$323,$BC$7:$BC$35,0),$C$2:$N$2),1)</f>
        <v>1</v>
      </c>
      <c r="M268" s="113">
        <f>IFERROR(INDEX($BD$7:$BO$35,MATCH(Ajustes!$E$4:$E$323,$BC$7:$BC$35,0),$C$2:$N$2),1)</f>
        <v>1</v>
      </c>
      <c r="N268" s="113">
        <f>IFERROR(INDEX($BD$7:$BO$35,MATCH(Ajustes!$E$4:$E$323,$BC$7:$BC$35,0),$C$2:$N$2),1)</f>
        <v>1</v>
      </c>
      <c r="O268">
        <f>C268*Ajustes!AM268</f>
        <v>69</v>
      </c>
      <c r="P268">
        <f>D268*Ajustes!AN268</f>
        <v>54</v>
      </c>
      <c r="Q268">
        <f>E268*Ajustes!AO268</f>
        <v>49</v>
      </c>
      <c r="R268">
        <f>F268*Ajustes!AP268</f>
        <v>41</v>
      </c>
      <c r="S268">
        <f>G268*Ajustes!AQ268</f>
        <v>31</v>
      </c>
      <c r="T268">
        <f>H268*Ajustes!AR268</f>
        <v>27</v>
      </c>
      <c r="U268">
        <f>I268*Ajustes!AS268</f>
        <v>25</v>
      </c>
      <c r="V268">
        <f>J268*Ajustes!AT268</f>
        <v>22</v>
      </c>
      <c r="W268">
        <f>K268*Ajustes!AU268</f>
        <v>21</v>
      </c>
      <c r="X268">
        <f>L268*Ajustes!AV268</f>
        <v>25</v>
      </c>
      <c r="Y268">
        <f>M268*Ajustes!AW268</f>
        <v>40</v>
      </c>
      <c r="Z268">
        <f>N268*Ajustes!AX268</f>
        <v>62</v>
      </c>
      <c r="AA268">
        <f>IF(Ajustes!$G268&gt;0,INDEX($AA$4:$AL$323,Ajustes!$G268,O$2),0)+IF(Ajustes!$H268&gt;0,INDEX($AA$4:$AL$323,Ajustes!$H268,O$2),0)+IF(Ajustes!$I268&gt;0,INDEX($AA$4:$AL$323,Ajustes!$I268,O$2),0)+IF(Ajustes!$J268&gt;0,INDEX($AA$4:$AL$323,Ajustes!$J268,O$2),0)+IF(Ajustes!$K268&gt;0,INDEX($AA$5:$AL$324,Ajustes!$K268,O$2),0)+IF(Ajustes!$L268&gt;0,INDEX($AA$4:$AL$323,Ajustes!$L268,O$2),0) + O268</f>
        <v>69</v>
      </c>
      <c r="AB268">
        <f>IF(Ajustes!$G268&gt;0,INDEX($AA$4:$AL$323,Ajustes!$G268,P$2),0)+IF(Ajustes!$H268&gt;0,INDEX($AA$4:$AL$323,Ajustes!$H268,P$2),0)+IF(Ajustes!$I268&gt;0,INDEX($AA$4:$AL$323,Ajustes!$I268,P$2),0)+IF(Ajustes!$J268&gt;0,INDEX($AA$4:$AL$323,Ajustes!$J268,P$2),0)+IF(Ajustes!$K268&gt;0,INDEX($AA$5:$AL$324,Ajustes!$K268,P$2),0)+IF(Ajustes!$L268&gt;0,INDEX($AA$4:$AL$323,Ajustes!$L268,P$2),0) + P268</f>
        <v>54</v>
      </c>
      <c r="AC268">
        <f>IF(Ajustes!$G268&gt;0,INDEX($AA$4:$AL$323,Ajustes!$G268,Q$2),0)+IF(Ajustes!$H268&gt;0,INDEX($AA$4:$AL$323,Ajustes!$H268,Q$2),0)+IF(Ajustes!$I268&gt;0,INDEX($AA$4:$AL$323,Ajustes!$I268,Q$2),0)+IF(Ajustes!$J268&gt;0,INDEX($AA$4:$AL$323,Ajustes!$J268,Q$2),0)+IF(Ajustes!$K268&gt;0,INDEX($AA$5:$AL$324,Ajustes!$K268,Q$2),0)+IF(Ajustes!$L268&gt;0,INDEX($AA$4:$AL$323,Ajustes!$L268,Q$2),0) + Q268</f>
        <v>49</v>
      </c>
      <c r="AD268">
        <f>IF(Ajustes!$G268&gt;0,INDEX($AA$4:$AL$323,Ajustes!$G268,R$2),0)+IF(Ajustes!$H268&gt;0,INDEX($AA$4:$AL$323,Ajustes!$H268,R$2),0)+IF(Ajustes!$I268&gt;0,INDEX($AA$4:$AL$323,Ajustes!$I268,R$2),0)+IF(Ajustes!$J268&gt;0,INDEX($AA$4:$AL$323,Ajustes!$J268,R$2),0)+IF(Ajustes!$K268&gt;0,INDEX($AA$5:$AL$324,Ajustes!$K268,R$2),0)+IF(Ajustes!$L268&gt;0,INDEX($AA$4:$AL$323,Ajustes!$L268,R$2),0) + R268</f>
        <v>41</v>
      </c>
      <c r="AE268">
        <f>IF(Ajustes!$G268&gt;0,INDEX($AA$4:$AL$323,Ajustes!$G268,S$2),0)+IF(Ajustes!$H268&gt;0,INDEX($AA$4:$AL$323,Ajustes!$H268,S$2),0)+IF(Ajustes!$I268&gt;0,INDEX($AA$4:$AL$323,Ajustes!$I268,S$2),0)+IF(Ajustes!$J268&gt;0,INDEX($AA$4:$AL$323,Ajustes!$J268,S$2),0)+IF(Ajustes!$K268&gt;0,INDEX($AA$5:$AL$324,Ajustes!$K268,S$2),0)+IF(Ajustes!$L268&gt;0,INDEX($AA$4:$AL$323,Ajustes!$L268,S$2),0) + S268</f>
        <v>31</v>
      </c>
      <c r="AF268">
        <f>IF(Ajustes!$G268&gt;0,INDEX($AA$4:$AL$323,Ajustes!$G268,T$2),0)+IF(Ajustes!$H268&gt;0,INDEX($AA$4:$AL$323,Ajustes!$H268,T$2),0)+IF(Ajustes!$I268&gt;0,INDEX($AA$4:$AL$323,Ajustes!$I268,T$2),0)+IF(Ajustes!$J268&gt;0,INDEX($AA$4:$AL$323,Ajustes!$J268,T$2),0)+IF(Ajustes!$K268&gt;0,INDEX($AA$5:$AL$324,Ajustes!$K268,T$2),0)+IF(Ajustes!$L268&gt;0,INDEX($AA$4:$AL$323,Ajustes!$L268,T$2),0) + T268</f>
        <v>27</v>
      </c>
      <c r="AG268">
        <f>IF(Ajustes!$G268&gt;0,INDEX($AA$4:$AL$323,Ajustes!$G268,U$2),0)+IF(Ajustes!$H268&gt;0,INDEX($AA$4:$AL$323,Ajustes!$H268,U$2),0)+IF(Ajustes!$I268&gt;0,INDEX($AA$4:$AL$323,Ajustes!$I268,U$2),0)+IF(Ajustes!$J268&gt;0,INDEX($AA$4:$AL$323,Ajustes!$J268,U$2),0)+IF(Ajustes!$K268&gt;0,INDEX($AA$5:$AL$324,Ajustes!$K268,U$2),0)+IF(Ajustes!$L268&gt;0,INDEX($AA$4:$AL$323,Ajustes!$L268,U$2),0) + U268</f>
        <v>25</v>
      </c>
      <c r="AH268">
        <f>IF(Ajustes!$G268&gt;0,INDEX($AA$4:$AL$323,Ajustes!$G268,V$2),0)+IF(Ajustes!$H268&gt;0,INDEX($AA$4:$AL$323,Ajustes!$H268,V$2),0)+IF(Ajustes!$I268&gt;0,INDEX($AA$4:$AL$323,Ajustes!$I268,V$2),0)+IF(Ajustes!$J268&gt;0,INDEX($AA$4:$AL$323,Ajustes!$J268,V$2),0)+IF(Ajustes!$K268&gt;0,INDEX($AA$5:$AL$324,Ajustes!$K268,V$2),0)+IF(Ajustes!$L268&gt;0,INDEX($AA$4:$AL$323,Ajustes!$L268,V$2),0) + V268</f>
        <v>22</v>
      </c>
      <c r="AI268">
        <f>IF(Ajustes!$G268&gt;0,INDEX($AA$4:$AL$323,Ajustes!$G268,W$2),0)+IF(Ajustes!$H268&gt;0,INDEX($AA$4:$AL$323,Ajustes!$H268,W$2),0)+IF(Ajustes!$I268&gt;0,INDEX($AA$4:$AL$323,Ajustes!$I268,W$2),0)+IF(Ajustes!$J268&gt;0,INDEX($AA$4:$AL$323,Ajustes!$J268,W$2),0)+IF(Ajustes!$K268&gt;0,INDEX($AA$5:$AL$324,Ajustes!$K268,W$2),0)+IF(Ajustes!$L268&gt;0,INDEX($AA$4:$AL$323,Ajustes!$L268,W$2),0) + W268</f>
        <v>21</v>
      </c>
      <c r="AJ268">
        <f>IF(Ajustes!$G268&gt;0,INDEX($AA$4:$AL$323,Ajustes!$G268,X$2),0)+IF(Ajustes!$H268&gt;0,INDEX($AA$4:$AL$323,Ajustes!$H268,X$2),0)+IF(Ajustes!$I268&gt;0,INDEX($AA$4:$AL$323,Ajustes!$I268,X$2),0)+IF(Ajustes!$J268&gt;0,INDEX($AA$4:$AL$323,Ajustes!$J268,X$2),0)+IF(Ajustes!$K268&gt;0,INDEX($AA$5:$AL$324,Ajustes!$K268,X$2),0)+IF(Ajustes!$L268&gt;0,INDEX($AA$4:$AL$323,Ajustes!$L268,X$2),0) + X268</f>
        <v>25</v>
      </c>
      <c r="AK268">
        <f>IF(Ajustes!$G268&gt;0,INDEX($AA$4:$AL$323,Ajustes!$G268,Y$2),0)+IF(Ajustes!$H268&gt;0,INDEX($AA$4:$AL$323,Ajustes!$H268,Y$2),0)+IF(Ajustes!$I268&gt;0,INDEX($AA$4:$AL$323,Ajustes!$I268,Y$2),0)+IF(Ajustes!$J268&gt;0,INDEX($AA$4:$AL$323,Ajustes!$J268,Y$2),0)+IF(Ajustes!$K268&gt;0,INDEX($AA$5:$AL$324,Ajustes!$K268,Y$2),0)+IF(Ajustes!$L268&gt;0,INDEX($AA$4:$AL$323,Ajustes!$L268,Y$2),0) + Y268</f>
        <v>40</v>
      </c>
      <c r="AL268">
        <f>IF(Ajustes!$G268&gt;0,INDEX($AA$4:$AL$323,Ajustes!$G268,Z$2),0)+IF(Ajustes!$H268&gt;0,INDEX($AA$4:$AL$323,Ajustes!$H268,Z$2),0)+IF(Ajustes!$I268&gt;0,INDEX($AA$4:$AL$323,Ajustes!$I268,Z$2),0)+IF(Ajustes!$J268&gt;0,INDEX($AA$4:$AL$323,Ajustes!$J268,Z$2),0)+IF(Ajustes!$K268&gt;0,INDEX($AA$5:$AL$324,Ajustes!$K268,Z$2),0)+IF(Ajustes!$L268&gt;0,INDEX($AA$4:$AL$323,Ajustes!$L268,Z$2),0) + Z268</f>
        <v>62</v>
      </c>
      <c r="AM268" s="113">
        <f t="shared" si="53"/>
        <v>69</v>
      </c>
      <c r="AN268" s="113">
        <f t="shared" si="53"/>
        <v>54</v>
      </c>
      <c r="AO268" s="113">
        <f t="shared" si="53"/>
        <v>49</v>
      </c>
      <c r="AP268" s="113">
        <f t="shared" si="53"/>
        <v>41</v>
      </c>
      <c r="AQ268" s="113">
        <f t="shared" si="53"/>
        <v>31</v>
      </c>
      <c r="AR268" s="113">
        <f t="shared" si="53"/>
        <v>27</v>
      </c>
      <c r="AS268" s="113">
        <f t="shared" si="53"/>
        <v>25</v>
      </c>
      <c r="AT268" s="113">
        <f t="shared" si="53"/>
        <v>22</v>
      </c>
      <c r="AU268" s="113">
        <f t="shared" si="54"/>
        <v>21</v>
      </c>
      <c r="AV268" s="113">
        <f t="shared" si="51"/>
        <v>25</v>
      </c>
      <c r="AW268" s="113">
        <f t="shared" si="50"/>
        <v>40</v>
      </c>
      <c r="AX268" s="113">
        <f t="shared" si="50"/>
        <v>62</v>
      </c>
    </row>
    <row r="269" spans="1:50" x14ac:dyDescent="0.25">
      <c r="A269" s="113">
        <v>266</v>
      </c>
      <c r="B269" s="209" t="s">
        <v>573</v>
      </c>
      <c r="C269">
        <f>IFERROR(INDEX($BD$7:$BO$35,MATCH(Ajustes!$E$4:$E$323,$BC$7:$BC$35,0),$C$2:$N$2),1)</f>
        <v>1</v>
      </c>
      <c r="D269" s="113">
        <f>IFERROR(INDEX($BD$7:$BO$35,MATCH(Ajustes!$E$4:$E$323,$BC$7:$BC$35,0),$C$2:$N$2),1)</f>
        <v>1</v>
      </c>
      <c r="E269" s="113">
        <f>IFERROR(INDEX($BD$7:$BO$35,MATCH(Ajustes!$E$4:$E$323,$BC$7:$BC$35,0),$C$2:$N$2),1)</f>
        <v>1</v>
      </c>
      <c r="F269" s="113">
        <f>IFERROR(INDEX($BD$7:$BO$35,MATCH(Ajustes!$E$4:$E$323,$BC$7:$BC$35,0),$C$2:$N$2),1)</f>
        <v>1</v>
      </c>
      <c r="G269" s="113">
        <f>IFERROR(INDEX($BD$7:$BO$35,MATCH(Ajustes!$E$4:$E$323,$BC$7:$BC$35,0),$C$2:$N$2),1)</f>
        <v>1</v>
      </c>
      <c r="H269" s="113">
        <f>IFERROR(INDEX($BD$7:$BO$35,MATCH(Ajustes!$E$4:$E$323,$BC$7:$BC$35,0),$C$2:$N$2),1)</f>
        <v>1</v>
      </c>
      <c r="I269" s="113">
        <f>IFERROR(INDEX($BD$7:$BO$35,MATCH(Ajustes!$E$4:$E$323,$BC$7:$BC$35,0),$C$2:$N$2),1)</f>
        <v>1</v>
      </c>
      <c r="J269" s="113">
        <f>IFERROR(INDEX($BD$7:$BO$35,MATCH(Ajustes!$E$4:$E$323,$BC$7:$BC$35,0),$C$2:$N$2),1)</f>
        <v>1</v>
      </c>
      <c r="K269" s="113">
        <f>IFERROR(INDEX($BD$7:$BO$35,MATCH(Ajustes!$E$4:$E$323,$BC$7:$BC$35,0),$C$2:$N$2),1)</f>
        <v>1</v>
      </c>
      <c r="L269" s="113">
        <f>IFERROR(INDEX($BD$7:$BO$35,MATCH(Ajustes!$E$4:$E$323,$BC$7:$BC$35,0),$C$2:$N$2),1)</f>
        <v>1</v>
      </c>
      <c r="M269" s="113">
        <f>IFERROR(INDEX($BD$7:$BO$35,MATCH(Ajustes!$E$4:$E$323,$BC$7:$BC$35,0),$C$2:$N$2),1)</f>
        <v>1</v>
      </c>
      <c r="N269" s="113">
        <f>IFERROR(INDEX($BD$7:$BO$35,MATCH(Ajustes!$E$4:$E$323,$BC$7:$BC$35,0),$C$2:$N$2),1)</f>
        <v>1</v>
      </c>
      <c r="O269">
        <f>C269*Ajustes!AM269</f>
        <v>1556</v>
      </c>
      <c r="P269">
        <f>D269*Ajustes!AN269</f>
        <v>1948</v>
      </c>
      <c r="Q269">
        <f>E269*Ajustes!AO269</f>
        <v>1782</v>
      </c>
      <c r="R269">
        <f>F269*Ajustes!AP269</f>
        <v>1769</v>
      </c>
      <c r="S269">
        <f>G269*Ajustes!AQ269</f>
        <v>1909</v>
      </c>
      <c r="T269">
        <f>H269*Ajustes!AR269</f>
        <v>1951</v>
      </c>
      <c r="U269">
        <f>I269*Ajustes!AS269</f>
        <v>1711</v>
      </c>
      <c r="V269">
        <f>J269*Ajustes!AT269</f>
        <v>1396</v>
      </c>
      <c r="W269">
        <f>K269*Ajustes!AU269</f>
        <v>1466</v>
      </c>
      <c r="X269">
        <f>L269*Ajustes!AV269</f>
        <v>1947</v>
      </c>
      <c r="Y269">
        <f>M269*Ajustes!AW269</f>
        <v>1717</v>
      </c>
      <c r="Z269">
        <f>N269*Ajustes!AX269</f>
        <v>1589</v>
      </c>
      <c r="AA269">
        <f>IF(Ajustes!$G269&gt;0,INDEX($AA$4:$AL$323,Ajustes!$G269,O$2),0)+IF(Ajustes!$H269&gt;0,INDEX($AA$4:$AL$323,Ajustes!$H269,O$2),0)+IF(Ajustes!$I269&gt;0,INDEX($AA$4:$AL$323,Ajustes!$I269,O$2),0)+IF(Ajustes!$J269&gt;0,INDEX($AA$4:$AL$323,Ajustes!$J269,O$2),0)+IF(Ajustes!$K269&gt;0,INDEX($AA$5:$AL$324,Ajustes!$K269,O$2),0)+IF(Ajustes!$L269&gt;0,INDEX($AA$4:$AL$323,Ajustes!$L269,O$2),0) + O269</f>
        <v>14842</v>
      </c>
      <c r="AB269">
        <f>IF(Ajustes!$G269&gt;0,INDEX($AA$4:$AL$323,Ajustes!$G269,P$2),0)+IF(Ajustes!$H269&gt;0,INDEX($AA$4:$AL$323,Ajustes!$H269,P$2),0)+IF(Ajustes!$I269&gt;0,INDEX($AA$4:$AL$323,Ajustes!$I269,P$2),0)+IF(Ajustes!$J269&gt;0,INDEX($AA$4:$AL$323,Ajustes!$J269,P$2),0)+IF(Ajustes!$K269&gt;0,INDEX($AA$5:$AL$324,Ajustes!$K269,P$2),0)+IF(Ajustes!$L269&gt;0,INDEX($AA$4:$AL$323,Ajustes!$L269,P$2),0) + P269</f>
        <v>16211</v>
      </c>
      <c r="AC269">
        <f>IF(Ajustes!$G269&gt;0,INDEX($AA$4:$AL$323,Ajustes!$G269,Q$2),0)+IF(Ajustes!$H269&gt;0,INDEX($AA$4:$AL$323,Ajustes!$H269,Q$2),0)+IF(Ajustes!$I269&gt;0,INDEX($AA$4:$AL$323,Ajustes!$I269,Q$2),0)+IF(Ajustes!$J269&gt;0,INDEX($AA$4:$AL$323,Ajustes!$J269,Q$2),0)+IF(Ajustes!$K269&gt;0,INDEX($AA$5:$AL$324,Ajustes!$K269,Q$2),0)+IF(Ajustes!$L269&gt;0,INDEX($AA$4:$AL$323,Ajustes!$L269,Q$2),0) + Q269</f>
        <v>15079</v>
      </c>
      <c r="AD269">
        <f>IF(Ajustes!$G269&gt;0,INDEX($AA$4:$AL$323,Ajustes!$G269,R$2),0)+IF(Ajustes!$H269&gt;0,INDEX($AA$4:$AL$323,Ajustes!$H269,R$2),0)+IF(Ajustes!$I269&gt;0,INDEX($AA$4:$AL$323,Ajustes!$I269,R$2),0)+IF(Ajustes!$J269&gt;0,INDEX($AA$4:$AL$323,Ajustes!$J269,R$2),0)+IF(Ajustes!$K269&gt;0,INDEX($AA$5:$AL$324,Ajustes!$K269,R$2),0)+IF(Ajustes!$L269&gt;0,INDEX($AA$4:$AL$323,Ajustes!$L269,R$2),0) + R269</f>
        <v>11975</v>
      </c>
      <c r="AE269">
        <f>IF(Ajustes!$G269&gt;0,INDEX($AA$4:$AL$323,Ajustes!$G269,S$2),0)+IF(Ajustes!$H269&gt;0,INDEX($AA$4:$AL$323,Ajustes!$H269,S$2),0)+IF(Ajustes!$I269&gt;0,INDEX($AA$4:$AL$323,Ajustes!$I269,S$2),0)+IF(Ajustes!$J269&gt;0,INDEX($AA$4:$AL$323,Ajustes!$J269,S$2),0)+IF(Ajustes!$K269&gt;0,INDEX($AA$5:$AL$324,Ajustes!$K269,S$2),0)+IF(Ajustes!$L269&gt;0,INDEX($AA$4:$AL$323,Ajustes!$L269,S$2),0) + S269</f>
        <v>9577</v>
      </c>
      <c r="AF269">
        <f>IF(Ajustes!$G269&gt;0,INDEX($AA$4:$AL$323,Ajustes!$G269,T$2),0)+IF(Ajustes!$H269&gt;0,INDEX($AA$4:$AL$323,Ajustes!$H269,T$2),0)+IF(Ajustes!$I269&gt;0,INDEX($AA$4:$AL$323,Ajustes!$I269,T$2),0)+IF(Ajustes!$J269&gt;0,INDEX($AA$4:$AL$323,Ajustes!$J269,T$2),0)+IF(Ajustes!$K269&gt;0,INDEX($AA$5:$AL$324,Ajustes!$K269,T$2),0)+IF(Ajustes!$L269&gt;0,INDEX($AA$4:$AL$323,Ajustes!$L269,T$2),0) + T269</f>
        <v>8867</v>
      </c>
      <c r="AG269">
        <f>IF(Ajustes!$G269&gt;0,INDEX($AA$4:$AL$323,Ajustes!$G269,U$2),0)+IF(Ajustes!$H269&gt;0,INDEX($AA$4:$AL$323,Ajustes!$H269,U$2),0)+IF(Ajustes!$I269&gt;0,INDEX($AA$4:$AL$323,Ajustes!$I269,U$2),0)+IF(Ajustes!$J269&gt;0,INDEX($AA$4:$AL$323,Ajustes!$J269,U$2),0)+IF(Ajustes!$K269&gt;0,INDEX($AA$5:$AL$324,Ajustes!$K269,U$2),0)+IF(Ajustes!$L269&gt;0,INDEX($AA$4:$AL$323,Ajustes!$L269,U$2),0) + U269</f>
        <v>7506</v>
      </c>
      <c r="AH269">
        <f>IF(Ajustes!$G269&gt;0,INDEX($AA$4:$AL$323,Ajustes!$G269,V$2),0)+IF(Ajustes!$H269&gt;0,INDEX($AA$4:$AL$323,Ajustes!$H269,V$2),0)+IF(Ajustes!$I269&gt;0,INDEX($AA$4:$AL$323,Ajustes!$I269,V$2),0)+IF(Ajustes!$J269&gt;0,INDEX($AA$4:$AL$323,Ajustes!$J269,V$2),0)+IF(Ajustes!$K269&gt;0,INDEX($AA$5:$AL$324,Ajustes!$K269,V$2),0)+IF(Ajustes!$L269&gt;0,INDEX($AA$4:$AL$323,Ajustes!$L269,V$2),0) + V269</f>
        <v>6311</v>
      </c>
      <c r="AI269">
        <f>IF(Ajustes!$G269&gt;0,INDEX($AA$4:$AL$323,Ajustes!$G269,W$2),0)+IF(Ajustes!$H269&gt;0,INDEX($AA$4:$AL$323,Ajustes!$H269,W$2),0)+IF(Ajustes!$I269&gt;0,INDEX($AA$4:$AL$323,Ajustes!$I269,W$2),0)+IF(Ajustes!$J269&gt;0,INDEX($AA$4:$AL$323,Ajustes!$J269,W$2),0)+IF(Ajustes!$K269&gt;0,INDEX($AA$5:$AL$324,Ajustes!$K269,W$2),0)+IF(Ajustes!$L269&gt;0,INDEX($AA$4:$AL$323,Ajustes!$L269,W$2),0) + W269</f>
        <v>6353</v>
      </c>
      <c r="AJ269">
        <f>IF(Ajustes!$G269&gt;0,INDEX($AA$4:$AL$323,Ajustes!$G269,X$2),0)+IF(Ajustes!$H269&gt;0,INDEX($AA$4:$AL$323,Ajustes!$H269,X$2),0)+IF(Ajustes!$I269&gt;0,INDEX($AA$4:$AL$323,Ajustes!$I269,X$2),0)+IF(Ajustes!$J269&gt;0,INDEX($AA$4:$AL$323,Ajustes!$J269,X$2),0)+IF(Ajustes!$K269&gt;0,INDEX($AA$5:$AL$324,Ajustes!$K269,X$2),0)+IF(Ajustes!$L269&gt;0,INDEX($AA$4:$AL$323,Ajustes!$L269,X$2),0) + X269</f>
        <v>7630</v>
      </c>
      <c r="AK269">
        <f>IF(Ajustes!$G269&gt;0,INDEX($AA$4:$AL$323,Ajustes!$G269,Y$2),0)+IF(Ajustes!$H269&gt;0,INDEX($AA$4:$AL$323,Ajustes!$H269,Y$2),0)+IF(Ajustes!$I269&gt;0,INDEX($AA$4:$AL$323,Ajustes!$I269,Y$2),0)+IF(Ajustes!$J269&gt;0,INDEX($AA$4:$AL$323,Ajustes!$J269,Y$2),0)+IF(Ajustes!$K269&gt;0,INDEX($AA$5:$AL$324,Ajustes!$K269,Y$2),0)+IF(Ajustes!$L269&gt;0,INDEX($AA$4:$AL$323,Ajustes!$L269,Y$2),0) + Y269</f>
        <v>8377</v>
      </c>
      <c r="AL269">
        <f>IF(Ajustes!$G269&gt;0,INDEX($AA$4:$AL$323,Ajustes!$G269,Z$2),0)+IF(Ajustes!$H269&gt;0,INDEX($AA$4:$AL$323,Ajustes!$H269,Z$2),0)+IF(Ajustes!$I269&gt;0,INDEX($AA$4:$AL$323,Ajustes!$I269,Z$2),0)+IF(Ajustes!$J269&gt;0,INDEX($AA$4:$AL$323,Ajustes!$J269,Z$2),0)+IF(Ajustes!$K269&gt;0,INDEX($AA$5:$AL$324,Ajustes!$K269,Z$2),0)+IF(Ajustes!$L269&gt;0,INDEX($AA$4:$AL$323,Ajustes!$L269,Z$2),0) + Z269</f>
        <v>11034</v>
      </c>
      <c r="AM269" s="113">
        <f t="shared" si="53"/>
        <v>14842</v>
      </c>
      <c r="AN269" s="113">
        <f t="shared" si="53"/>
        <v>16211</v>
      </c>
      <c r="AO269" s="113">
        <f t="shared" si="53"/>
        <v>15079</v>
      </c>
      <c r="AP269" s="113">
        <f t="shared" si="53"/>
        <v>11975</v>
      </c>
      <c r="AQ269" s="113">
        <f t="shared" si="53"/>
        <v>9577</v>
      </c>
      <c r="AR269" s="113">
        <f t="shared" si="53"/>
        <v>8867</v>
      </c>
      <c r="AS269" s="113">
        <f t="shared" si="53"/>
        <v>7506</v>
      </c>
      <c r="AT269" s="113">
        <f t="shared" si="53"/>
        <v>6311</v>
      </c>
      <c r="AU269" s="113">
        <f t="shared" si="54"/>
        <v>6353</v>
      </c>
      <c r="AV269" s="113">
        <f t="shared" si="51"/>
        <v>7630</v>
      </c>
      <c r="AW269" s="113">
        <f t="shared" si="50"/>
        <v>8377</v>
      </c>
      <c r="AX269" s="113">
        <f t="shared" si="50"/>
        <v>11034</v>
      </c>
    </row>
    <row r="270" spans="1:50" x14ac:dyDescent="0.25">
      <c r="A270" s="113">
        <v>267</v>
      </c>
      <c r="B270" s="209" t="s">
        <v>657</v>
      </c>
      <c r="C270">
        <f>IFERROR(INDEX($BD$7:$BO$35,MATCH(Ajustes!$E$4:$E$323,$BC$7:$BC$35,0),$C$2:$N$2),1)</f>
        <v>1</v>
      </c>
      <c r="D270" s="113">
        <f>IFERROR(INDEX($BD$7:$BO$35,MATCH(Ajustes!$E$4:$E$323,$BC$7:$BC$35,0),$C$2:$N$2),1)</f>
        <v>1</v>
      </c>
      <c r="E270" s="113">
        <f>IFERROR(INDEX($BD$7:$BO$35,MATCH(Ajustes!$E$4:$E$323,$BC$7:$BC$35,0),$C$2:$N$2),1)</f>
        <v>1</v>
      </c>
      <c r="F270" s="113">
        <f>IFERROR(INDEX($BD$7:$BO$35,MATCH(Ajustes!$E$4:$E$323,$BC$7:$BC$35,0),$C$2:$N$2),1)</f>
        <v>1</v>
      </c>
      <c r="G270" s="113">
        <f>IFERROR(INDEX($BD$7:$BO$35,MATCH(Ajustes!$E$4:$E$323,$BC$7:$BC$35,0),$C$2:$N$2),1)</f>
        <v>1</v>
      </c>
      <c r="H270" s="113">
        <f>IFERROR(INDEX($BD$7:$BO$35,MATCH(Ajustes!$E$4:$E$323,$BC$7:$BC$35,0),$C$2:$N$2),1)</f>
        <v>1</v>
      </c>
      <c r="I270" s="113">
        <f>IFERROR(INDEX($BD$7:$BO$35,MATCH(Ajustes!$E$4:$E$323,$BC$7:$BC$35,0),$C$2:$N$2),1)</f>
        <v>1</v>
      </c>
      <c r="J270" s="113">
        <f>IFERROR(INDEX($BD$7:$BO$35,MATCH(Ajustes!$E$4:$E$323,$BC$7:$BC$35,0),$C$2:$N$2),1)</f>
        <v>1</v>
      </c>
      <c r="K270" s="113">
        <f>IFERROR(INDEX($BD$7:$BO$35,MATCH(Ajustes!$E$4:$E$323,$BC$7:$BC$35,0),$C$2:$N$2),1)</f>
        <v>1</v>
      </c>
      <c r="L270" s="113">
        <f>IFERROR(INDEX($BD$7:$BO$35,MATCH(Ajustes!$E$4:$E$323,$BC$7:$BC$35,0),$C$2:$N$2),1)</f>
        <v>1</v>
      </c>
      <c r="M270" s="113">
        <f>IFERROR(INDEX($BD$7:$BO$35,MATCH(Ajustes!$E$4:$E$323,$BC$7:$BC$35,0),$C$2:$N$2),1)</f>
        <v>1</v>
      </c>
      <c r="N270" s="113">
        <f>IFERROR(INDEX($BD$7:$BO$35,MATCH(Ajustes!$E$4:$E$323,$BC$7:$BC$35,0),$C$2:$N$2),1)</f>
        <v>1</v>
      </c>
      <c r="O270">
        <f>C270*Ajustes!AM270</f>
        <v>271</v>
      </c>
      <c r="P270">
        <f>D270*Ajustes!AN270</f>
        <v>230</v>
      </c>
      <c r="Q270">
        <f>E270*Ajustes!AO270</f>
        <v>205</v>
      </c>
      <c r="R270">
        <f>F270*Ajustes!AP270</f>
        <v>159</v>
      </c>
      <c r="S270">
        <f>G270*Ajustes!AQ270</f>
        <v>122</v>
      </c>
      <c r="T270">
        <f>H270*Ajustes!AR270</f>
        <v>107</v>
      </c>
      <c r="U270">
        <f>I270*Ajustes!AS270</f>
        <v>95</v>
      </c>
      <c r="V270">
        <f>J270*Ajustes!AT270</f>
        <v>85</v>
      </c>
      <c r="W270">
        <f>K270*Ajustes!AU270</f>
        <v>85</v>
      </c>
      <c r="X270">
        <f>L270*Ajustes!AV270</f>
        <v>100</v>
      </c>
      <c r="Y270">
        <f>M270*Ajustes!AW270</f>
        <v>146</v>
      </c>
      <c r="Z270">
        <f>N270*Ajustes!AX270</f>
        <v>230</v>
      </c>
      <c r="AA270">
        <f>IF(Ajustes!$G270&gt;0,INDEX($AA$4:$AL$323,Ajustes!$G270,O$2),0)+IF(Ajustes!$H270&gt;0,INDEX($AA$4:$AL$323,Ajustes!$H270,O$2),0)+IF(Ajustes!$I270&gt;0,INDEX($AA$4:$AL$323,Ajustes!$I270,O$2),0)+IF(Ajustes!$J270&gt;0,INDEX($AA$4:$AL$323,Ajustes!$J270,O$2),0)+IF(Ajustes!$K270&gt;0,INDEX($AA$5:$AL$324,Ajustes!$K270,O$2),0)+IF(Ajustes!$L270&gt;0,INDEX($AA$4:$AL$323,Ajustes!$L270,O$2),0) + O270</f>
        <v>271</v>
      </c>
      <c r="AB270">
        <f>IF(Ajustes!$G270&gt;0,INDEX($AA$4:$AL$323,Ajustes!$G270,P$2),0)+IF(Ajustes!$H270&gt;0,INDEX($AA$4:$AL$323,Ajustes!$H270,P$2),0)+IF(Ajustes!$I270&gt;0,INDEX($AA$4:$AL$323,Ajustes!$I270,P$2),0)+IF(Ajustes!$J270&gt;0,INDEX($AA$4:$AL$323,Ajustes!$J270,P$2),0)+IF(Ajustes!$K270&gt;0,INDEX($AA$5:$AL$324,Ajustes!$K270,P$2),0)+IF(Ajustes!$L270&gt;0,INDEX($AA$4:$AL$323,Ajustes!$L270,P$2),0) + P270</f>
        <v>230</v>
      </c>
      <c r="AC270">
        <f>IF(Ajustes!$G270&gt;0,INDEX($AA$4:$AL$323,Ajustes!$G270,Q$2),0)+IF(Ajustes!$H270&gt;0,INDEX($AA$4:$AL$323,Ajustes!$H270,Q$2),0)+IF(Ajustes!$I270&gt;0,INDEX($AA$4:$AL$323,Ajustes!$I270,Q$2),0)+IF(Ajustes!$J270&gt;0,INDEX($AA$4:$AL$323,Ajustes!$J270,Q$2),0)+IF(Ajustes!$K270&gt;0,INDEX($AA$5:$AL$324,Ajustes!$K270,Q$2),0)+IF(Ajustes!$L270&gt;0,INDEX($AA$4:$AL$323,Ajustes!$L270,Q$2),0) + Q270</f>
        <v>205</v>
      </c>
      <c r="AD270">
        <f>IF(Ajustes!$G270&gt;0,INDEX($AA$4:$AL$323,Ajustes!$G270,R$2),0)+IF(Ajustes!$H270&gt;0,INDEX($AA$4:$AL$323,Ajustes!$H270,R$2),0)+IF(Ajustes!$I270&gt;0,INDEX($AA$4:$AL$323,Ajustes!$I270,R$2),0)+IF(Ajustes!$J270&gt;0,INDEX($AA$4:$AL$323,Ajustes!$J270,R$2),0)+IF(Ajustes!$K270&gt;0,INDEX($AA$5:$AL$324,Ajustes!$K270,R$2),0)+IF(Ajustes!$L270&gt;0,INDEX($AA$4:$AL$323,Ajustes!$L270,R$2),0) + R270</f>
        <v>159</v>
      </c>
      <c r="AE270">
        <f>IF(Ajustes!$G270&gt;0,INDEX($AA$4:$AL$323,Ajustes!$G270,S$2),0)+IF(Ajustes!$H270&gt;0,INDEX($AA$4:$AL$323,Ajustes!$H270,S$2),0)+IF(Ajustes!$I270&gt;0,INDEX($AA$4:$AL$323,Ajustes!$I270,S$2),0)+IF(Ajustes!$J270&gt;0,INDEX($AA$4:$AL$323,Ajustes!$J270,S$2),0)+IF(Ajustes!$K270&gt;0,INDEX($AA$5:$AL$324,Ajustes!$K270,S$2),0)+IF(Ajustes!$L270&gt;0,INDEX($AA$4:$AL$323,Ajustes!$L270,S$2),0) + S270</f>
        <v>122</v>
      </c>
      <c r="AF270">
        <f>IF(Ajustes!$G270&gt;0,INDEX($AA$4:$AL$323,Ajustes!$G270,T$2),0)+IF(Ajustes!$H270&gt;0,INDEX($AA$4:$AL$323,Ajustes!$H270,T$2),0)+IF(Ajustes!$I270&gt;0,INDEX($AA$4:$AL$323,Ajustes!$I270,T$2),0)+IF(Ajustes!$J270&gt;0,INDEX($AA$4:$AL$323,Ajustes!$J270,T$2),0)+IF(Ajustes!$K270&gt;0,INDEX($AA$5:$AL$324,Ajustes!$K270,T$2),0)+IF(Ajustes!$L270&gt;0,INDEX($AA$4:$AL$323,Ajustes!$L270,T$2),0) + T270</f>
        <v>107</v>
      </c>
      <c r="AG270">
        <f>IF(Ajustes!$G270&gt;0,INDEX($AA$4:$AL$323,Ajustes!$G270,U$2),0)+IF(Ajustes!$H270&gt;0,INDEX($AA$4:$AL$323,Ajustes!$H270,U$2),0)+IF(Ajustes!$I270&gt;0,INDEX($AA$4:$AL$323,Ajustes!$I270,U$2),0)+IF(Ajustes!$J270&gt;0,INDEX($AA$4:$AL$323,Ajustes!$J270,U$2),0)+IF(Ajustes!$K270&gt;0,INDEX($AA$5:$AL$324,Ajustes!$K270,U$2),0)+IF(Ajustes!$L270&gt;0,INDEX($AA$4:$AL$323,Ajustes!$L270,U$2),0) + U270</f>
        <v>95</v>
      </c>
      <c r="AH270">
        <f>IF(Ajustes!$G270&gt;0,INDEX($AA$4:$AL$323,Ajustes!$G270,V$2),0)+IF(Ajustes!$H270&gt;0,INDEX($AA$4:$AL$323,Ajustes!$H270,V$2),0)+IF(Ajustes!$I270&gt;0,INDEX($AA$4:$AL$323,Ajustes!$I270,V$2),0)+IF(Ajustes!$J270&gt;0,INDEX($AA$4:$AL$323,Ajustes!$J270,V$2),0)+IF(Ajustes!$K270&gt;0,INDEX($AA$5:$AL$324,Ajustes!$K270,V$2),0)+IF(Ajustes!$L270&gt;0,INDEX($AA$4:$AL$323,Ajustes!$L270,V$2),0) + V270</f>
        <v>85</v>
      </c>
      <c r="AI270">
        <f>IF(Ajustes!$G270&gt;0,INDEX($AA$4:$AL$323,Ajustes!$G270,W$2),0)+IF(Ajustes!$H270&gt;0,INDEX($AA$4:$AL$323,Ajustes!$H270,W$2),0)+IF(Ajustes!$I270&gt;0,INDEX($AA$4:$AL$323,Ajustes!$I270,W$2),0)+IF(Ajustes!$J270&gt;0,INDEX($AA$4:$AL$323,Ajustes!$J270,W$2),0)+IF(Ajustes!$K270&gt;0,INDEX($AA$5:$AL$324,Ajustes!$K270,W$2),0)+IF(Ajustes!$L270&gt;0,INDEX($AA$4:$AL$323,Ajustes!$L270,W$2),0) + W270</f>
        <v>85</v>
      </c>
      <c r="AJ270">
        <f>IF(Ajustes!$G270&gt;0,INDEX($AA$4:$AL$323,Ajustes!$G270,X$2),0)+IF(Ajustes!$H270&gt;0,INDEX($AA$4:$AL$323,Ajustes!$H270,X$2),0)+IF(Ajustes!$I270&gt;0,INDEX($AA$4:$AL$323,Ajustes!$I270,X$2),0)+IF(Ajustes!$J270&gt;0,INDEX($AA$4:$AL$323,Ajustes!$J270,X$2),0)+IF(Ajustes!$K270&gt;0,INDEX($AA$5:$AL$324,Ajustes!$K270,X$2),0)+IF(Ajustes!$L270&gt;0,INDEX($AA$4:$AL$323,Ajustes!$L270,X$2),0) + X270</f>
        <v>100</v>
      </c>
      <c r="AK270">
        <f>IF(Ajustes!$G270&gt;0,INDEX($AA$4:$AL$323,Ajustes!$G270,Y$2),0)+IF(Ajustes!$H270&gt;0,INDEX($AA$4:$AL$323,Ajustes!$H270,Y$2),0)+IF(Ajustes!$I270&gt;0,INDEX($AA$4:$AL$323,Ajustes!$I270,Y$2),0)+IF(Ajustes!$J270&gt;0,INDEX($AA$4:$AL$323,Ajustes!$J270,Y$2),0)+IF(Ajustes!$K270&gt;0,INDEX($AA$5:$AL$324,Ajustes!$K270,Y$2),0)+IF(Ajustes!$L270&gt;0,INDEX($AA$4:$AL$323,Ajustes!$L270,Y$2),0) + Y270</f>
        <v>146</v>
      </c>
      <c r="AL270">
        <f>IF(Ajustes!$G270&gt;0,INDEX($AA$4:$AL$323,Ajustes!$G270,Z$2),0)+IF(Ajustes!$H270&gt;0,INDEX($AA$4:$AL$323,Ajustes!$H270,Z$2),0)+IF(Ajustes!$I270&gt;0,INDEX($AA$4:$AL$323,Ajustes!$I270,Z$2),0)+IF(Ajustes!$J270&gt;0,INDEX($AA$4:$AL$323,Ajustes!$J270,Z$2),0)+IF(Ajustes!$K270&gt;0,INDEX($AA$5:$AL$324,Ajustes!$K270,Z$2),0)+IF(Ajustes!$L270&gt;0,INDEX($AA$4:$AL$323,Ajustes!$L270,Z$2),0) + Z270</f>
        <v>230</v>
      </c>
      <c r="AM270" s="113">
        <f t="shared" si="53"/>
        <v>271</v>
      </c>
      <c r="AN270" s="113">
        <f t="shared" si="53"/>
        <v>230</v>
      </c>
      <c r="AO270" s="113">
        <f t="shared" si="53"/>
        <v>205</v>
      </c>
      <c r="AP270" s="113">
        <f t="shared" si="53"/>
        <v>159</v>
      </c>
      <c r="AQ270" s="113">
        <f t="shared" si="53"/>
        <v>122</v>
      </c>
      <c r="AR270" s="113">
        <f t="shared" si="53"/>
        <v>107</v>
      </c>
      <c r="AS270" s="113">
        <f t="shared" si="53"/>
        <v>95</v>
      </c>
      <c r="AT270" s="113">
        <f t="shared" si="53"/>
        <v>85</v>
      </c>
      <c r="AU270" s="113">
        <f t="shared" si="54"/>
        <v>85</v>
      </c>
      <c r="AV270" s="113">
        <f t="shared" si="51"/>
        <v>100</v>
      </c>
      <c r="AW270" s="113">
        <f t="shared" si="50"/>
        <v>146</v>
      </c>
      <c r="AX270" s="113">
        <f t="shared" si="50"/>
        <v>230</v>
      </c>
    </row>
    <row r="271" spans="1:50" x14ac:dyDescent="0.25">
      <c r="A271" s="113">
        <v>268</v>
      </c>
      <c r="B271" s="209"/>
      <c r="C271">
        <f>IFERROR(INDEX($BD$7:$BO$35,MATCH(Ajustes!$E$4:$E$323,$BC$7:$BC$35,0),$C$2:$N$2),1)</f>
        <v>1</v>
      </c>
      <c r="D271" s="113">
        <f>IFERROR(INDEX($BD$7:$BO$35,MATCH(Ajustes!$E$4:$E$323,$BC$7:$BC$35,0),$C$2:$N$2),1)</f>
        <v>1</v>
      </c>
      <c r="E271" s="113">
        <f>IFERROR(INDEX($BD$7:$BO$35,MATCH(Ajustes!$E$4:$E$323,$BC$7:$BC$35,0),$C$2:$N$2),1)</f>
        <v>1</v>
      </c>
      <c r="F271" s="113">
        <f>IFERROR(INDEX($BD$7:$BO$35,MATCH(Ajustes!$E$4:$E$323,$BC$7:$BC$35,0),$C$2:$N$2),1)</f>
        <v>1</v>
      </c>
      <c r="G271" s="113">
        <f>IFERROR(INDEX($BD$7:$BO$35,MATCH(Ajustes!$E$4:$E$323,$BC$7:$BC$35,0),$C$2:$N$2),1)</f>
        <v>1</v>
      </c>
      <c r="H271" s="113">
        <f>IFERROR(INDEX($BD$7:$BO$35,MATCH(Ajustes!$E$4:$E$323,$BC$7:$BC$35,0),$C$2:$N$2),1)</f>
        <v>1</v>
      </c>
      <c r="I271" s="113">
        <f>IFERROR(INDEX($BD$7:$BO$35,MATCH(Ajustes!$E$4:$E$323,$BC$7:$BC$35,0),$C$2:$N$2),1)</f>
        <v>1</v>
      </c>
      <c r="J271" s="113">
        <f>IFERROR(INDEX($BD$7:$BO$35,MATCH(Ajustes!$E$4:$E$323,$BC$7:$BC$35,0),$C$2:$N$2),1)</f>
        <v>1</v>
      </c>
      <c r="K271" s="113">
        <f>IFERROR(INDEX($BD$7:$BO$35,MATCH(Ajustes!$E$4:$E$323,$BC$7:$BC$35,0),$C$2:$N$2),1)</f>
        <v>1</v>
      </c>
      <c r="L271" s="113">
        <f>IFERROR(INDEX($BD$7:$BO$35,MATCH(Ajustes!$E$4:$E$323,$BC$7:$BC$35,0),$C$2:$N$2),1)</f>
        <v>1</v>
      </c>
      <c r="M271" s="113">
        <f>IFERROR(INDEX($BD$7:$BO$35,MATCH(Ajustes!$E$4:$E$323,$BC$7:$BC$35,0),$C$2:$N$2),1)</f>
        <v>1</v>
      </c>
      <c r="N271" s="113">
        <f>IFERROR(INDEX($BD$7:$BO$35,MATCH(Ajustes!$E$4:$E$323,$BC$7:$BC$35,0),$C$2:$N$2),1)</f>
        <v>1</v>
      </c>
      <c r="O271">
        <f>C271*Ajustes!AM271</f>
        <v>0</v>
      </c>
      <c r="P271">
        <f>D271*Ajustes!AN271</f>
        <v>0</v>
      </c>
      <c r="Q271">
        <f>E271*Ajustes!AO271</f>
        <v>0</v>
      </c>
      <c r="R271">
        <f>F271*Ajustes!AP271</f>
        <v>0</v>
      </c>
      <c r="S271">
        <f>G271*Ajustes!AQ271</f>
        <v>0</v>
      </c>
      <c r="T271">
        <f>H271*Ajustes!AR271</f>
        <v>0</v>
      </c>
      <c r="U271">
        <f>I271*Ajustes!AS271</f>
        <v>0</v>
      </c>
      <c r="V271">
        <f>J271*Ajustes!AT271</f>
        <v>0</v>
      </c>
      <c r="W271">
        <f>K271*Ajustes!AU271</f>
        <v>0</v>
      </c>
      <c r="X271">
        <f>L271*Ajustes!AV271</f>
        <v>0</v>
      </c>
      <c r="Y271">
        <f>M271*Ajustes!AW271</f>
        <v>0</v>
      </c>
      <c r="Z271">
        <f>N271*Ajustes!AX271</f>
        <v>0</v>
      </c>
      <c r="AA271">
        <f>IF(Ajustes!$G271&gt;0,INDEX($AA$4:$AL$323,Ajustes!$G271,O$2),0)+IF(Ajustes!$H271&gt;0,INDEX($AA$4:$AL$323,Ajustes!$H271,O$2),0)+IF(Ajustes!$I271&gt;0,INDEX($AA$4:$AL$323,Ajustes!$I271,O$2),0)+IF(Ajustes!$J271&gt;0,INDEX($AA$4:$AL$323,Ajustes!$J271,O$2),0)+IF(Ajustes!$K271&gt;0,INDEX($AA$5:$AL$324,Ajustes!$K271,O$2),0)+IF(Ajustes!$L271&gt;0,INDEX($AA$4:$AL$323,Ajustes!$L271,O$2),0) + O271</f>
        <v>0</v>
      </c>
      <c r="AB271">
        <f>IF(Ajustes!$G271&gt;0,INDEX($AA$4:$AL$323,Ajustes!$G271,P$2),0)+IF(Ajustes!$H271&gt;0,INDEX($AA$4:$AL$323,Ajustes!$H271,P$2),0)+IF(Ajustes!$I271&gt;0,INDEX($AA$4:$AL$323,Ajustes!$I271,P$2),0)+IF(Ajustes!$J271&gt;0,INDEX($AA$4:$AL$323,Ajustes!$J271,P$2),0)+IF(Ajustes!$K271&gt;0,INDEX($AA$5:$AL$324,Ajustes!$K271,P$2),0)+IF(Ajustes!$L271&gt;0,INDEX($AA$4:$AL$323,Ajustes!$L271,P$2),0) + P271</f>
        <v>0</v>
      </c>
      <c r="AC271">
        <f>IF(Ajustes!$G271&gt;0,INDEX($AA$4:$AL$323,Ajustes!$G271,Q$2),0)+IF(Ajustes!$H271&gt;0,INDEX($AA$4:$AL$323,Ajustes!$H271,Q$2),0)+IF(Ajustes!$I271&gt;0,INDEX($AA$4:$AL$323,Ajustes!$I271,Q$2),0)+IF(Ajustes!$J271&gt;0,INDEX($AA$4:$AL$323,Ajustes!$J271,Q$2),0)+IF(Ajustes!$K271&gt;0,INDEX($AA$5:$AL$324,Ajustes!$K271,Q$2),0)+IF(Ajustes!$L271&gt;0,INDEX($AA$4:$AL$323,Ajustes!$L271,Q$2),0) + Q271</f>
        <v>0</v>
      </c>
      <c r="AD271">
        <f>IF(Ajustes!$G271&gt;0,INDEX($AA$4:$AL$323,Ajustes!$G271,R$2),0)+IF(Ajustes!$H271&gt;0,INDEX($AA$4:$AL$323,Ajustes!$H271,R$2),0)+IF(Ajustes!$I271&gt;0,INDEX($AA$4:$AL$323,Ajustes!$I271,R$2),0)+IF(Ajustes!$J271&gt;0,INDEX($AA$4:$AL$323,Ajustes!$J271,R$2),0)+IF(Ajustes!$K271&gt;0,INDEX($AA$5:$AL$324,Ajustes!$K271,R$2),0)+IF(Ajustes!$L271&gt;0,INDEX($AA$4:$AL$323,Ajustes!$L271,R$2),0) + R271</f>
        <v>0</v>
      </c>
      <c r="AE271">
        <f>IF(Ajustes!$G271&gt;0,INDEX($AA$4:$AL$323,Ajustes!$G271,S$2),0)+IF(Ajustes!$H271&gt;0,INDEX($AA$4:$AL$323,Ajustes!$H271,S$2),0)+IF(Ajustes!$I271&gt;0,INDEX($AA$4:$AL$323,Ajustes!$I271,S$2),0)+IF(Ajustes!$J271&gt;0,INDEX($AA$4:$AL$323,Ajustes!$J271,S$2),0)+IF(Ajustes!$K271&gt;0,INDEX($AA$5:$AL$324,Ajustes!$K271,S$2),0)+IF(Ajustes!$L271&gt;0,INDEX($AA$4:$AL$323,Ajustes!$L271,S$2),0) + S271</f>
        <v>0</v>
      </c>
      <c r="AF271">
        <f>IF(Ajustes!$G271&gt;0,INDEX($AA$4:$AL$323,Ajustes!$G271,T$2),0)+IF(Ajustes!$H271&gt;0,INDEX($AA$4:$AL$323,Ajustes!$H271,T$2),0)+IF(Ajustes!$I271&gt;0,INDEX($AA$4:$AL$323,Ajustes!$I271,T$2),0)+IF(Ajustes!$J271&gt;0,INDEX($AA$4:$AL$323,Ajustes!$J271,T$2),0)+IF(Ajustes!$K271&gt;0,INDEX($AA$5:$AL$324,Ajustes!$K271,T$2),0)+IF(Ajustes!$L271&gt;0,INDEX($AA$4:$AL$323,Ajustes!$L271,T$2),0) + T271</f>
        <v>0</v>
      </c>
      <c r="AG271">
        <f>IF(Ajustes!$G271&gt;0,INDEX($AA$4:$AL$323,Ajustes!$G271,U$2),0)+IF(Ajustes!$H271&gt;0,INDEX($AA$4:$AL$323,Ajustes!$H271,U$2),0)+IF(Ajustes!$I271&gt;0,INDEX($AA$4:$AL$323,Ajustes!$I271,U$2),0)+IF(Ajustes!$J271&gt;0,INDEX($AA$4:$AL$323,Ajustes!$J271,U$2),0)+IF(Ajustes!$K271&gt;0,INDEX($AA$5:$AL$324,Ajustes!$K271,U$2),0)+IF(Ajustes!$L271&gt;0,INDEX($AA$4:$AL$323,Ajustes!$L271,U$2),0) + U271</f>
        <v>0</v>
      </c>
      <c r="AH271">
        <f>IF(Ajustes!$G271&gt;0,INDEX($AA$4:$AL$323,Ajustes!$G271,V$2),0)+IF(Ajustes!$H271&gt;0,INDEX($AA$4:$AL$323,Ajustes!$H271,V$2),0)+IF(Ajustes!$I271&gt;0,INDEX($AA$4:$AL$323,Ajustes!$I271,V$2),0)+IF(Ajustes!$J271&gt;0,INDEX($AA$4:$AL$323,Ajustes!$J271,V$2),0)+IF(Ajustes!$K271&gt;0,INDEX($AA$5:$AL$324,Ajustes!$K271,V$2),0)+IF(Ajustes!$L271&gt;0,INDEX($AA$4:$AL$323,Ajustes!$L271,V$2),0) + V271</f>
        <v>0</v>
      </c>
      <c r="AI271">
        <f>IF(Ajustes!$G271&gt;0,INDEX($AA$4:$AL$323,Ajustes!$G271,W$2),0)+IF(Ajustes!$H271&gt;0,INDEX($AA$4:$AL$323,Ajustes!$H271,W$2),0)+IF(Ajustes!$I271&gt;0,INDEX($AA$4:$AL$323,Ajustes!$I271,W$2),0)+IF(Ajustes!$J271&gt;0,INDEX($AA$4:$AL$323,Ajustes!$J271,W$2),0)+IF(Ajustes!$K271&gt;0,INDEX($AA$5:$AL$324,Ajustes!$K271,W$2),0)+IF(Ajustes!$L271&gt;0,INDEX($AA$4:$AL$323,Ajustes!$L271,W$2),0) + W271</f>
        <v>0</v>
      </c>
      <c r="AJ271">
        <f>IF(Ajustes!$G271&gt;0,INDEX($AA$4:$AL$323,Ajustes!$G271,X$2),0)+IF(Ajustes!$H271&gt;0,INDEX($AA$4:$AL$323,Ajustes!$H271,X$2),0)+IF(Ajustes!$I271&gt;0,INDEX($AA$4:$AL$323,Ajustes!$I271,X$2),0)+IF(Ajustes!$J271&gt;0,INDEX($AA$4:$AL$323,Ajustes!$J271,X$2),0)+IF(Ajustes!$K271&gt;0,INDEX($AA$5:$AL$324,Ajustes!$K271,X$2),0)+IF(Ajustes!$L271&gt;0,INDEX($AA$4:$AL$323,Ajustes!$L271,X$2),0) + X271</f>
        <v>0</v>
      </c>
      <c r="AK271">
        <f>IF(Ajustes!$G271&gt;0,INDEX($AA$4:$AL$323,Ajustes!$G271,Y$2),0)+IF(Ajustes!$H271&gt;0,INDEX($AA$4:$AL$323,Ajustes!$H271,Y$2),0)+IF(Ajustes!$I271&gt;0,INDEX($AA$4:$AL$323,Ajustes!$I271,Y$2),0)+IF(Ajustes!$J271&gt;0,INDEX($AA$4:$AL$323,Ajustes!$J271,Y$2),0)+IF(Ajustes!$K271&gt;0,INDEX($AA$5:$AL$324,Ajustes!$K271,Y$2),0)+IF(Ajustes!$L271&gt;0,INDEX($AA$4:$AL$323,Ajustes!$L271,Y$2),0) + Y271</f>
        <v>0</v>
      </c>
      <c r="AL271">
        <f>IF(Ajustes!$G271&gt;0,INDEX($AA$4:$AL$323,Ajustes!$G271,Z$2),0)+IF(Ajustes!$H271&gt;0,INDEX($AA$4:$AL$323,Ajustes!$H271,Z$2),0)+IF(Ajustes!$I271&gt;0,INDEX($AA$4:$AL$323,Ajustes!$I271,Z$2),0)+IF(Ajustes!$J271&gt;0,INDEX($AA$4:$AL$323,Ajustes!$J271,Z$2),0)+IF(Ajustes!$K271&gt;0,INDEX($AA$5:$AL$324,Ajustes!$K271,Z$2),0)+IF(Ajustes!$L271&gt;0,INDEX($AA$4:$AL$323,Ajustes!$L271,Z$2),0) + Z271</f>
        <v>0</v>
      </c>
      <c r="AM271" s="113">
        <f t="shared" si="53"/>
        <v>0</v>
      </c>
      <c r="AN271" s="113">
        <f t="shared" si="53"/>
        <v>0</v>
      </c>
      <c r="AO271" s="113">
        <f t="shared" si="53"/>
        <v>0</v>
      </c>
      <c r="AP271" s="113">
        <f t="shared" si="53"/>
        <v>0</v>
      </c>
      <c r="AQ271" s="113">
        <f t="shared" si="53"/>
        <v>0</v>
      </c>
      <c r="AR271" s="113">
        <f t="shared" si="53"/>
        <v>0</v>
      </c>
      <c r="AS271" s="113">
        <f t="shared" si="53"/>
        <v>0</v>
      </c>
      <c r="AT271" s="113">
        <f t="shared" si="53"/>
        <v>0</v>
      </c>
      <c r="AU271" s="113">
        <f t="shared" si="54"/>
        <v>0</v>
      </c>
      <c r="AV271" s="113">
        <f t="shared" si="51"/>
        <v>0</v>
      </c>
      <c r="AW271" s="113">
        <f t="shared" si="50"/>
        <v>0</v>
      </c>
      <c r="AX271" s="113">
        <f t="shared" si="50"/>
        <v>0</v>
      </c>
    </row>
    <row r="272" spans="1:50" x14ac:dyDescent="0.25">
      <c r="A272" s="113">
        <v>269</v>
      </c>
      <c r="B272" s="209" t="s">
        <v>658</v>
      </c>
      <c r="C272">
        <f>IFERROR(INDEX($BD$7:$BO$35,MATCH(Ajustes!$E$4:$E$323,$BC$7:$BC$35,0),$C$2:$N$2),1)</f>
        <v>1</v>
      </c>
      <c r="D272" s="113">
        <f>IFERROR(INDEX($BD$7:$BO$35,MATCH(Ajustes!$E$4:$E$323,$BC$7:$BC$35,0),$C$2:$N$2),1)</f>
        <v>1</v>
      </c>
      <c r="E272" s="113">
        <f>IFERROR(INDEX($BD$7:$BO$35,MATCH(Ajustes!$E$4:$E$323,$BC$7:$BC$35,0),$C$2:$N$2),1)</f>
        <v>1</v>
      </c>
      <c r="F272" s="113">
        <f>IFERROR(INDEX($BD$7:$BO$35,MATCH(Ajustes!$E$4:$E$323,$BC$7:$BC$35,0),$C$2:$N$2),1)</f>
        <v>1</v>
      </c>
      <c r="G272" s="113">
        <f>IFERROR(INDEX($BD$7:$BO$35,MATCH(Ajustes!$E$4:$E$323,$BC$7:$BC$35,0),$C$2:$N$2),1)</f>
        <v>1</v>
      </c>
      <c r="H272" s="113">
        <f>IFERROR(INDEX($BD$7:$BO$35,MATCH(Ajustes!$E$4:$E$323,$BC$7:$BC$35,0),$C$2:$N$2),1)</f>
        <v>1</v>
      </c>
      <c r="I272" s="113">
        <f>IFERROR(INDEX($BD$7:$BO$35,MATCH(Ajustes!$E$4:$E$323,$BC$7:$BC$35,0),$C$2:$N$2),1)</f>
        <v>1</v>
      </c>
      <c r="J272" s="113">
        <f>IFERROR(INDEX($BD$7:$BO$35,MATCH(Ajustes!$E$4:$E$323,$BC$7:$BC$35,0),$C$2:$N$2),1)</f>
        <v>1</v>
      </c>
      <c r="K272" s="113">
        <f>IFERROR(INDEX($BD$7:$BO$35,MATCH(Ajustes!$E$4:$E$323,$BC$7:$BC$35,0),$C$2:$N$2),1)</f>
        <v>1</v>
      </c>
      <c r="L272" s="113">
        <f>IFERROR(INDEX($BD$7:$BO$35,MATCH(Ajustes!$E$4:$E$323,$BC$7:$BC$35,0),$C$2:$N$2),1)</f>
        <v>1</v>
      </c>
      <c r="M272" s="113">
        <f>IFERROR(INDEX($BD$7:$BO$35,MATCH(Ajustes!$E$4:$E$323,$BC$7:$BC$35,0),$C$2:$N$2),1)</f>
        <v>1</v>
      </c>
      <c r="N272" s="113">
        <f>IFERROR(INDEX($BD$7:$BO$35,MATCH(Ajustes!$E$4:$E$323,$BC$7:$BC$35,0),$C$2:$N$2),1)</f>
        <v>1</v>
      </c>
      <c r="O272">
        <f>C272*Ajustes!AM272</f>
        <v>383</v>
      </c>
      <c r="P272">
        <f>D272*Ajustes!AN272</f>
        <v>584</v>
      </c>
      <c r="Q272">
        <f>E272*Ajustes!AO272</f>
        <v>747</v>
      </c>
      <c r="R272">
        <f>F272*Ajustes!AP272</f>
        <v>1021</v>
      </c>
      <c r="S272">
        <f>G272*Ajustes!AQ272</f>
        <v>1186</v>
      </c>
      <c r="T272">
        <f>H272*Ajustes!AR272</f>
        <v>1053</v>
      </c>
      <c r="U272">
        <f>I272*Ajustes!AS272</f>
        <v>670</v>
      </c>
      <c r="V272">
        <f>J272*Ajustes!AT272</f>
        <v>422</v>
      </c>
      <c r="W272">
        <f>K272*Ajustes!AU272</f>
        <v>315</v>
      </c>
      <c r="X272">
        <f>L272*Ajustes!AV272</f>
        <v>266</v>
      </c>
      <c r="Y272">
        <f>M272*Ajustes!AW272</f>
        <v>263</v>
      </c>
      <c r="Z272">
        <f>N272*Ajustes!AX272</f>
        <v>293</v>
      </c>
      <c r="AA272">
        <f>IF(Ajustes!$G272&gt;0,INDEX($AA$4:$AL$323,Ajustes!$G272,O$2),0)+IF(Ajustes!$H272&gt;0,INDEX($AA$4:$AL$323,Ajustes!$H272,O$2),0)+IF(Ajustes!$I272&gt;0,INDEX($AA$4:$AL$323,Ajustes!$I272,O$2),0)+IF(Ajustes!$J272&gt;0,INDEX($AA$4:$AL$323,Ajustes!$J272,O$2),0)+IF(Ajustes!$K272&gt;0,INDEX($AA$5:$AL$324,Ajustes!$K272,O$2),0)+IF(Ajustes!$L272&gt;0,INDEX($AA$4:$AL$323,Ajustes!$L272,O$2),0) + O272</f>
        <v>383</v>
      </c>
      <c r="AB272">
        <f>IF(Ajustes!$G272&gt;0,INDEX($AA$4:$AL$323,Ajustes!$G272,P$2),0)+IF(Ajustes!$H272&gt;0,INDEX($AA$4:$AL$323,Ajustes!$H272,P$2),0)+IF(Ajustes!$I272&gt;0,INDEX($AA$4:$AL$323,Ajustes!$I272,P$2),0)+IF(Ajustes!$J272&gt;0,INDEX($AA$4:$AL$323,Ajustes!$J272,P$2),0)+IF(Ajustes!$K272&gt;0,INDEX($AA$5:$AL$324,Ajustes!$K272,P$2),0)+IF(Ajustes!$L272&gt;0,INDEX($AA$4:$AL$323,Ajustes!$L272,P$2),0) + P272</f>
        <v>584</v>
      </c>
      <c r="AC272">
        <f>IF(Ajustes!$G272&gt;0,INDEX($AA$4:$AL$323,Ajustes!$G272,Q$2),0)+IF(Ajustes!$H272&gt;0,INDEX($AA$4:$AL$323,Ajustes!$H272,Q$2),0)+IF(Ajustes!$I272&gt;0,INDEX($AA$4:$AL$323,Ajustes!$I272,Q$2),0)+IF(Ajustes!$J272&gt;0,INDEX($AA$4:$AL$323,Ajustes!$J272,Q$2),0)+IF(Ajustes!$K272&gt;0,INDEX($AA$5:$AL$324,Ajustes!$K272,Q$2),0)+IF(Ajustes!$L272&gt;0,INDEX($AA$4:$AL$323,Ajustes!$L272,Q$2),0) + Q272</f>
        <v>747</v>
      </c>
      <c r="AD272">
        <f>IF(Ajustes!$G272&gt;0,INDEX($AA$4:$AL$323,Ajustes!$G272,R$2),0)+IF(Ajustes!$H272&gt;0,INDEX($AA$4:$AL$323,Ajustes!$H272,R$2),0)+IF(Ajustes!$I272&gt;0,INDEX($AA$4:$AL$323,Ajustes!$I272,R$2),0)+IF(Ajustes!$J272&gt;0,INDEX($AA$4:$AL$323,Ajustes!$J272,R$2),0)+IF(Ajustes!$K272&gt;0,INDEX($AA$5:$AL$324,Ajustes!$K272,R$2),0)+IF(Ajustes!$L272&gt;0,INDEX($AA$4:$AL$323,Ajustes!$L272,R$2),0) + R272</f>
        <v>1021</v>
      </c>
      <c r="AE272">
        <f>IF(Ajustes!$G272&gt;0,INDEX($AA$4:$AL$323,Ajustes!$G272,S$2),0)+IF(Ajustes!$H272&gt;0,INDEX($AA$4:$AL$323,Ajustes!$H272,S$2),0)+IF(Ajustes!$I272&gt;0,INDEX($AA$4:$AL$323,Ajustes!$I272,S$2),0)+IF(Ajustes!$J272&gt;0,INDEX($AA$4:$AL$323,Ajustes!$J272,S$2),0)+IF(Ajustes!$K272&gt;0,INDEX($AA$5:$AL$324,Ajustes!$K272,S$2),0)+IF(Ajustes!$L272&gt;0,INDEX($AA$4:$AL$323,Ajustes!$L272,S$2),0) + S272</f>
        <v>1186</v>
      </c>
      <c r="AF272">
        <f>IF(Ajustes!$G272&gt;0,INDEX($AA$4:$AL$323,Ajustes!$G272,T$2),0)+IF(Ajustes!$H272&gt;0,INDEX($AA$4:$AL$323,Ajustes!$H272,T$2),0)+IF(Ajustes!$I272&gt;0,INDEX($AA$4:$AL$323,Ajustes!$I272,T$2),0)+IF(Ajustes!$J272&gt;0,INDEX($AA$4:$AL$323,Ajustes!$J272,T$2),0)+IF(Ajustes!$K272&gt;0,INDEX($AA$5:$AL$324,Ajustes!$K272,T$2),0)+IF(Ajustes!$L272&gt;0,INDEX($AA$4:$AL$323,Ajustes!$L272,T$2),0) + T272</f>
        <v>1053</v>
      </c>
      <c r="AG272">
        <f>IF(Ajustes!$G272&gt;0,INDEX($AA$4:$AL$323,Ajustes!$G272,U$2),0)+IF(Ajustes!$H272&gt;0,INDEX($AA$4:$AL$323,Ajustes!$H272,U$2),0)+IF(Ajustes!$I272&gt;0,INDEX($AA$4:$AL$323,Ajustes!$I272,U$2),0)+IF(Ajustes!$J272&gt;0,INDEX($AA$4:$AL$323,Ajustes!$J272,U$2),0)+IF(Ajustes!$K272&gt;0,INDEX($AA$5:$AL$324,Ajustes!$K272,U$2),0)+IF(Ajustes!$L272&gt;0,INDEX($AA$4:$AL$323,Ajustes!$L272,U$2),0) + U272</f>
        <v>670</v>
      </c>
      <c r="AH272">
        <f>IF(Ajustes!$G272&gt;0,INDEX($AA$4:$AL$323,Ajustes!$G272,V$2),0)+IF(Ajustes!$H272&gt;0,INDEX($AA$4:$AL$323,Ajustes!$H272,V$2),0)+IF(Ajustes!$I272&gt;0,INDEX($AA$4:$AL$323,Ajustes!$I272,V$2),0)+IF(Ajustes!$J272&gt;0,INDEX($AA$4:$AL$323,Ajustes!$J272,V$2),0)+IF(Ajustes!$K272&gt;0,INDEX($AA$5:$AL$324,Ajustes!$K272,V$2),0)+IF(Ajustes!$L272&gt;0,INDEX($AA$4:$AL$323,Ajustes!$L272,V$2),0) + V272</f>
        <v>422</v>
      </c>
      <c r="AI272">
        <f>IF(Ajustes!$G272&gt;0,INDEX($AA$4:$AL$323,Ajustes!$G272,W$2),0)+IF(Ajustes!$H272&gt;0,INDEX($AA$4:$AL$323,Ajustes!$H272,W$2),0)+IF(Ajustes!$I272&gt;0,INDEX($AA$4:$AL$323,Ajustes!$I272,W$2),0)+IF(Ajustes!$J272&gt;0,INDEX($AA$4:$AL$323,Ajustes!$J272,W$2),0)+IF(Ajustes!$K272&gt;0,INDEX($AA$5:$AL$324,Ajustes!$K272,W$2),0)+IF(Ajustes!$L272&gt;0,INDEX($AA$4:$AL$323,Ajustes!$L272,W$2),0) + W272</f>
        <v>315</v>
      </c>
      <c r="AJ272">
        <f>IF(Ajustes!$G272&gt;0,INDEX($AA$4:$AL$323,Ajustes!$G272,X$2),0)+IF(Ajustes!$H272&gt;0,INDEX($AA$4:$AL$323,Ajustes!$H272,X$2),0)+IF(Ajustes!$I272&gt;0,INDEX($AA$4:$AL$323,Ajustes!$I272,X$2),0)+IF(Ajustes!$J272&gt;0,INDEX($AA$4:$AL$323,Ajustes!$J272,X$2),0)+IF(Ajustes!$K272&gt;0,INDEX($AA$5:$AL$324,Ajustes!$K272,X$2),0)+IF(Ajustes!$L272&gt;0,INDEX($AA$4:$AL$323,Ajustes!$L272,X$2),0) + X272</f>
        <v>266</v>
      </c>
      <c r="AK272">
        <f>IF(Ajustes!$G272&gt;0,INDEX($AA$4:$AL$323,Ajustes!$G272,Y$2),0)+IF(Ajustes!$H272&gt;0,INDEX($AA$4:$AL$323,Ajustes!$H272,Y$2),0)+IF(Ajustes!$I272&gt;0,INDEX($AA$4:$AL$323,Ajustes!$I272,Y$2),0)+IF(Ajustes!$J272&gt;0,INDEX($AA$4:$AL$323,Ajustes!$J272,Y$2),0)+IF(Ajustes!$K272&gt;0,INDEX($AA$5:$AL$324,Ajustes!$K272,Y$2),0)+IF(Ajustes!$L272&gt;0,INDEX($AA$4:$AL$323,Ajustes!$L272,Y$2),0) + Y272</f>
        <v>263</v>
      </c>
      <c r="AL272">
        <f>IF(Ajustes!$G272&gt;0,INDEX($AA$4:$AL$323,Ajustes!$G272,Z$2),0)+IF(Ajustes!$H272&gt;0,INDEX($AA$4:$AL$323,Ajustes!$H272,Z$2),0)+IF(Ajustes!$I272&gt;0,INDEX($AA$4:$AL$323,Ajustes!$I272,Z$2),0)+IF(Ajustes!$J272&gt;0,INDEX($AA$4:$AL$323,Ajustes!$J272,Z$2),0)+IF(Ajustes!$K272&gt;0,INDEX($AA$5:$AL$324,Ajustes!$K272,Z$2),0)+IF(Ajustes!$L272&gt;0,INDEX($AA$4:$AL$323,Ajustes!$L272,Z$2),0) + Z272</f>
        <v>293</v>
      </c>
      <c r="AM272" s="113">
        <f t="shared" si="53"/>
        <v>383</v>
      </c>
      <c r="AN272" s="113">
        <f t="shared" si="53"/>
        <v>584</v>
      </c>
      <c r="AO272" s="113">
        <f t="shared" si="53"/>
        <v>747</v>
      </c>
      <c r="AP272" s="113">
        <f t="shared" si="53"/>
        <v>1021</v>
      </c>
      <c r="AQ272" s="113">
        <f t="shared" si="53"/>
        <v>1186</v>
      </c>
      <c r="AR272" s="113">
        <f t="shared" si="53"/>
        <v>1053</v>
      </c>
      <c r="AS272" s="113">
        <f t="shared" si="53"/>
        <v>670</v>
      </c>
      <c r="AT272" s="113">
        <f t="shared" si="53"/>
        <v>422</v>
      </c>
      <c r="AU272" s="113">
        <f t="shared" si="54"/>
        <v>315</v>
      </c>
      <c r="AV272" s="113">
        <f t="shared" si="51"/>
        <v>266</v>
      </c>
      <c r="AW272" s="113">
        <f t="shared" si="50"/>
        <v>263</v>
      </c>
      <c r="AX272" s="113">
        <f t="shared" si="50"/>
        <v>293</v>
      </c>
    </row>
    <row r="273" spans="1:50" x14ac:dyDescent="0.25">
      <c r="A273" s="113">
        <v>270</v>
      </c>
      <c r="B273" s="209" t="s">
        <v>659</v>
      </c>
      <c r="C273">
        <f>IFERROR(INDEX($BD$7:$BO$35,MATCH(Ajustes!$E$4:$E$323,$BC$7:$BC$35,0),$C$2:$N$2),1)</f>
        <v>1</v>
      </c>
      <c r="D273" s="113">
        <f>IFERROR(INDEX($BD$7:$BO$35,MATCH(Ajustes!$E$4:$E$323,$BC$7:$BC$35,0),$C$2:$N$2),1)</f>
        <v>1</v>
      </c>
      <c r="E273" s="113">
        <f>IFERROR(INDEX($BD$7:$BO$35,MATCH(Ajustes!$E$4:$E$323,$BC$7:$BC$35,0),$C$2:$N$2),1)</f>
        <v>1</v>
      </c>
      <c r="F273" s="113">
        <f>IFERROR(INDEX($BD$7:$BO$35,MATCH(Ajustes!$E$4:$E$323,$BC$7:$BC$35,0),$C$2:$N$2),1)</f>
        <v>1</v>
      </c>
      <c r="G273" s="113">
        <f>IFERROR(INDEX($BD$7:$BO$35,MATCH(Ajustes!$E$4:$E$323,$BC$7:$BC$35,0),$C$2:$N$2),1)</f>
        <v>1</v>
      </c>
      <c r="H273" s="113">
        <f>IFERROR(INDEX($BD$7:$BO$35,MATCH(Ajustes!$E$4:$E$323,$BC$7:$BC$35,0),$C$2:$N$2),1)</f>
        <v>1</v>
      </c>
      <c r="I273" s="113">
        <f>IFERROR(INDEX($BD$7:$BO$35,MATCH(Ajustes!$E$4:$E$323,$BC$7:$BC$35,0),$C$2:$N$2),1)</f>
        <v>1</v>
      </c>
      <c r="J273" s="113">
        <f>IFERROR(INDEX($BD$7:$BO$35,MATCH(Ajustes!$E$4:$E$323,$BC$7:$BC$35,0),$C$2:$N$2),1)</f>
        <v>1</v>
      </c>
      <c r="K273" s="113">
        <f>IFERROR(INDEX($BD$7:$BO$35,MATCH(Ajustes!$E$4:$E$323,$BC$7:$BC$35,0),$C$2:$N$2),1)</f>
        <v>1</v>
      </c>
      <c r="L273" s="113">
        <f>IFERROR(INDEX($BD$7:$BO$35,MATCH(Ajustes!$E$4:$E$323,$BC$7:$BC$35,0),$C$2:$N$2),1)</f>
        <v>1</v>
      </c>
      <c r="M273" s="113">
        <f>IFERROR(INDEX($BD$7:$BO$35,MATCH(Ajustes!$E$4:$E$323,$BC$7:$BC$35,0),$C$2:$N$2),1)</f>
        <v>1</v>
      </c>
      <c r="N273" s="113">
        <f>IFERROR(INDEX($BD$7:$BO$35,MATCH(Ajustes!$E$4:$E$323,$BC$7:$BC$35,0),$C$2:$N$2),1)</f>
        <v>1</v>
      </c>
      <c r="O273">
        <f>C273*Ajustes!AM273</f>
        <v>1435</v>
      </c>
      <c r="P273">
        <f>D273*Ajustes!AN273</f>
        <v>1626</v>
      </c>
      <c r="Q273">
        <f>E273*Ajustes!AO273</f>
        <v>1501</v>
      </c>
      <c r="R273">
        <f>F273*Ajustes!AP273</f>
        <v>1062</v>
      </c>
      <c r="S273">
        <f>G273*Ajustes!AQ273</f>
        <v>562</v>
      </c>
      <c r="T273">
        <f>H273*Ajustes!AR273</f>
        <v>390</v>
      </c>
      <c r="U273">
        <f>I273*Ajustes!AS273</f>
        <v>294</v>
      </c>
      <c r="V273">
        <f>J273*Ajustes!AT273</f>
        <v>227</v>
      </c>
      <c r="W273">
        <f>K273*Ajustes!AU273</f>
        <v>216</v>
      </c>
      <c r="X273">
        <f>L273*Ajustes!AV273</f>
        <v>316</v>
      </c>
      <c r="Y273">
        <f>M273*Ajustes!AW273</f>
        <v>570</v>
      </c>
      <c r="Z273">
        <f>N273*Ajustes!AX273</f>
        <v>1064</v>
      </c>
      <c r="AA273">
        <f>IF(Ajustes!$G273&gt;0,INDEX($AA$4:$AL$323,Ajustes!$G273,O$2),0)+IF(Ajustes!$H273&gt;0,INDEX($AA$4:$AL$323,Ajustes!$H273,O$2),0)+IF(Ajustes!$I273&gt;0,INDEX($AA$4:$AL$323,Ajustes!$I273,O$2),0)+IF(Ajustes!$J273&gt;0,INDEX($AA$4:$AL$323,Ajustes!$J273,O$2),0)+IF(Ajustes!$K273&gt;0,INDEX($AA$5:$AL$324,Ajustes!$K273,O$2),0)+IF(Ajustes!$L273&gt;0,INDEX($AA$4:$AL$323,Ajustes!$L273,O$2),0) + O273</f>
        <v>1435</v>
      </c>
      <c r="AB273">
        <f>IF(Ajustes!$G273&gt;0,INDEX($AA$4:$AL$323,Ajustes!$G273,P$2),0)+IF(Ajustes!$H273&gt;0,INDEX($AA$4:$AL$323,Ajustes!$H273,P$2),0)+IF(Ajustes!$I273&gt;0,INDEX($AA$4:$AL$323,Ajustes!$I273,P$2),0)+IF(Ajustes!$J273&gt;0,INDEX($AA$4:$AL$323,Ajustes!$J273,P$2),0)+IF(Ajustes!$K273&gt;0,INDEX($AA$5:$AL$324,Ajustes!$K273,P$2),0)+IF(Ajustes!$L273&gt;0,INDEX($AA$4:$AL$323,Ajustes!$L273,P$2),0) + P273</f>
        <v>1626</v>
      </c>
      <c r="AC273">
        <f>IF(Ajustes!$G273&gt;0,INDEX($AA$4:$AL$323,Ajustes!$G273,Q$2),0)+IF(Ajustes!$H273&gt;0,INDEX($AA$4:$AL$323,Ajustes!$H273,Q$2),0)+IF(Ajustes!$I273&gt;0,INDEX($AA$4:$AL$323,Ajustes!$I273,Q$2),0)+IF(Ajustes!$J273&gt;0,INDEX($AA$4:$AL$323,Ajustes!$J273,Q$2),0)+IF(Ajustes!$K273&gt;0,INDEX($AA$5:$AL$324,Ajustes!$K273,Q$2),0)+IF(Ajustes!$L273&gt;0,INDEX($AA$4:$AL$323,Ajustes!$L273,Q$2),0) + Q273</f>
        <v>1501</v>
      </c>
      <c r="AD273">
        <f>IF(Ajustes!$G273&gt;0,INDEX($AA$4:$AL$323,Ajustes!$G273,R$2),0)+IF(Ajustes!$H273&gt;0,INDEX($AA$4:$AL$323,Ajustes!$H273,R$2),0)+IF(Ajustes!$I273&gt;0,INDEX($AA$4:$AL$323,Ajustes!$I273,R$2),0)+IF(Ajustes!$J273&gt;0,INDEX($AA$4:$AL$323,Ajustes!$J273,R$2),0)+IF(Ajustes!$K273&gt;0,INDEX($AA$5:$AL$324,Ajustes!$K273,R$2),0)+IF(Ajustes!$L273&gt;0,INDEX($AA$4:$AL$323,Ajustes!$L273,R$2),0) + R273</f>
        <v>1062</v>
      </c>
      <c r="AE273">
        <f>IF(Ajustes!$G273&gt;0,INDEX($AA$4:$AL$323,Ajustes!$G273,S$2),0)+IF(Ajustes!$H273&gt;0,INDEX($AA$4:$AL$323,Ajustes!$H273,S$2),0)+IF(Ajustes!$I273&gt;0,INDEX($AA$4:$AL$323,Ajustes!$I273,S$2),0)+IF(Ajustes!$J273&gt;0,INDEX($AA$4:$AL$323,Ajustes!$J273,S$2),0)+IF(Ajustes!$K273&gt;0,INDEX($AA$5:$AL$324,Ajustes!$K273,S$2),0)+IF(Ajustes!$L273&gt;0,INDEX($AA$4:$AL$323,Ajustes!$L273,S$2),0) + S273</f>
        <v>562</v>
      </c>
      <c r="AF273">
        <f>IF(Ajustes!$G273&gt;0,INDEX($AA$4:$AL$323,Ajustes!$G273,T$2),0)+IF(Ajustes!$H273&gt;0,INDEX($AA$4:$AL$323,Ajustes!$H273,T$2),0)+IF(Ajustes!$I273&gt;0,INDEX($AA$4:$AL$323,Ajustes!$I273,T$2),0)+IF(Ajustes!$J273&gt;0,INDEX($AA$4:$AL$323,Ajustes!$J273,T$2),0)+IF(Ajustes!$K273&gt;0,INDEX($AA$5:$AL$324,Ajustes!$K273,T$2),0)+IF(Ajustes!$L273&gt;0,INDEX($AA$4:$AL$323,Ajustes!$L273,T$2),0) + T273</f>
        <v>390</v>
      </c>
      <c r="AG273">
        <f>IF(Ajustes!$G273&gt;0,INDEX($AA$4:$AL$323,Ajustes!$G273,U$2),0)+IF(Ajustes!$H273&gt;0,INDEX($AA$4:$AL$323,Ajustes!$H273,U$2),0)+IF(Ajustes!$I273&gt;0,INDEX($AA$4:$AL$323,Ajustes!$I273,U$2),0)+IF(Ajustes!$J273&gt;0,INDEX($AA$4:$AL$323,Ajustes!$J273,U$2),0)+IF(Ajustes!$K273&gt;0,INDEX($AA$5:$AL$324,Ajustes!$K273,U$2),0)+IF(Ajustes!$L273&gt;0,INDEX($AA$4:$AL$323,Ajustes!$L273,U$2),0) + U273</f>
        <v>294</v>
      </c>
      <c r="AH273">
        <f>IF(Ajustes!$G273&gt;0,INDEX($AA$4:$AL$323,Ajustes!$G273,V$2),0)+IF(Ajustes!$H273&gt;0,INDEX($AA$4:$AL$323,Ajustes!$H273,V$2),0)+IF(Ajustes!$I273&gt;0,INDEX($AA$4:$AL$323,Ajustes!$I273,V$2),0)+IF(Ajustes!$J273&gt;0,INDEX($AA$4:$AL$323,Ajustes!$J273,V$2),0)+IF(Ajustes!$K273&gt;0,INDEX($AA$5:$AL$324,Ajustes!$K273,V$2),0)+IF(Ajustes!$L273&gt;0,INDEX($AA$4:$AL$323,Ajustes!$L273,V$2),0) + V273</f>
        <v>227</v>
      </c>
      <c r="AI273">
        <f>IF(Ajustes!$G273&gt;0,INDEX($AA$4:$AL$323,Ajustes!$G273,W$2),0)+IF(Ajustes!$H273&gt;0,INDEX($AA$4:$AL$323,Ajustes!$H273,W$2),0)+IF(Ajustes!$I273&gt;0,INDEX($AA$4:$AL$323,Ajustes!$I273,W$2),0)+IF(Ajustes!$J273&gt;0,INDEX($AA$4:$AL$323,Ajustes!$J273,W$2),0)+IF(Ajustes!$K273&gt;0,INDEX($AA$5:$AL$324,Ajustes!$K273,W$2),0)+IF(Ajustes!$L273&gt;0,INDEX($AA$4:$AL$323,Ajustes!$L273,W$2),0) + W273</f>
        <v>216</v>
      </c>
      <c r="AJ273">
        <f>IF(Ajustes!$G273&gt;0,INDEX($AA$4:$AL$323,Ajustes!$G273,X$2),0)+IF(Ajustes!$H273&gt;0,INDEX($AA$4:$AL$323,Ajustes!$H273,X$2),0)+IF(Ajustes!$I273&gt;0,INDEX($AA$4:$AL$323,Ajustes!$I273,X$2),0)+IF(Ajustes!$J273&gt;0,INDEX($AA$4:$AL$323,Ajustes!$J273,X$2),0)+IF(Ajustes!$K273&gt;0,INDEX($AA$5:$AL$324,Ajustes!$K273,X$2),0)+IF(Ajustes!$L273&gt;0,INDEX($AA$4:$AL$323,Ajustes!$L273,X$2),0) + X273</f>
        <v>316</v>
      </c>
      <c r="AK273">
        <f>IF(Ajustes!$G273&gt;0,INDEX($AA$4:$AL$323,Ajustes!$G273,Y$2),0)+IF(Ajustes!$H273&gt;0,INDEX($AA$4:$AL$323,Ajustes!$H273,Y$2),0)+IF(Ajustes!$I273&gt;0,INDEX($AA$4:$AL$323,Ajustes!$I273,Y$2),0)+IF(Ajustes!$J273&gt;0,INDEX($AA$4:$AL$323,Ajustes!$J273,Y$2),0)+IF(Ajustes!$K273&gt;0,INDEX($AA$5:$AL$324,Ajustes!$K273,Y$2),0)+IF(Ajustes!$L273&gt;0,INDEX($AA$4:$AL$323,Ajustes!$L273,Y$2),0) + Y273</f>
        <v>570</v>
      </c>
      <c r="AL273">
        <f>IF(Ajustes!$G273&gt;0,INDEX($AA$4:$AL$323,Ajustes!$G273,Z$2),0)+IF(Ajustes!$H273&gt;0,INDEX($AA$4:$AL$323,Ajustes!$H273,Z$2),0)+IF(Ajustes!$I273&gt;0,INDEX($AA$4:$AL$323,Ajustes!$I273,Z$2),0)+IF(Ajustes!$J273&gt;0,INDEX($AA$4:$AL$323,Ajustes!$J273,Z$2),0)+IF(Ajustes!$K273&gt;0,INDEX($AA$5:$AL$324,Ajustes!$K273,Z$2),0)+IF(Ajustes!$L273&gt;0,INDEX($AA$4:$AL$323,Ajustes!$L273,Z$2),0) + Z273</f>
        <v>1064</v>
      </c>
      <c r="AM273" s="113">
        <f t="shared" si="53"/>
        <v>1435</v>
      </c>
      <c r="AN273" s="113">
        <f t="shared" si="53"/>
        <v>1626</v>
      </c>
      <c r="AO273" s="113">
        <f t="shared" si="53"/>
        <v>1501</v>
      </c>
      <c r="AP273" s="113">
        <f t="shared" si="53"/>
        <v>1062</v>
      </c>
      <c r="AQ273" s="113">
        <f t="shared" si="53"/>
        <v>562</v>
      </c>
      <c r="AR273" s="113">
        <f t="shared" si="53"/>
        <v>390</v>
      </c>
      <c r="AS273" s="113">
        <f t="shared" si="53"/>
        <v>294</v>
      </c>
      <c r="AT273" s="113">
        <f t="shared" si="53"/>
        <v>227</v>
      </c>
      <c r="AU273" s="113">
        <f t="shared" si="54"/>
        <v>216</v>
      </c>
      <c r="AV273" s="113">
        <f t="shared" si="51"/>
        <v>316</v>
      </c>
      <c r="AW273" s="113">
        <f t="shared" si="50"/>
        <v>570</v>
      </c>
      <c r="AX273" s="113">
        <f t="shared" si="50"/>
        <v>1064</v>
      </c>
    </row>
    <row r="274" spans="1:50" x14ac:dyDescent="0.25">
      <c r="A274" s="113">
        <v>271</v>
      </c>
      <c r="B274" s="209" t="s">
        <v>222</v>
      </c>
      <c r="C274">
        <f>IFERROR(INDEX($BD$7:$BO$35,MATCH(Ajustes!$E$4:$E$323,$BC$7:$BC$35,0),$C$2:$N$2),1)</f>
        <v>1</v>
      </c>
      <c r="D274" s="113">
        <f>IFERROR(INDEX($BD$7:$BO$35,MATCH(Ajustes!$E$4:$E$323,$BC$7:$BC$35,0),$C$2:$N$2),1)</f>
        <v>1</v>
      </c>
      <c r="E274" s="113">
        <f>IFERROR(INDEX($BD$7:$BO$35,MATCH(Ajustes!$E$4:$E$323,$BC$7:$BC$35,0),$C$2:$N$2),1)</f>
        <v>1</v>
      </c>
      <c r="F274" s="113">
        <f>IFERROR(INDEX($BD$7:$BO$35,MATCH(Ajustes!$E$4:$E$323,$BC$7:$BC$35,0),$C$2:$N$2),1)</f>
        <v>1</v>
      </c>
      <c r="G274" s="113">
        <f>IFERROR(INDEX($BD$7:$BO$35,MATCH(Ajustes!$E$4:$E$323,$BC$7:$BC$35,0),$C$2:$N$2),1)</f>
        <v>1</v>
      </c>
      <c r="H274" s="113">
        <f>IFERROR(INDEX($BD$7:$BO$35,MATCH(Ajustes!$E$4:$E$323,$BC$7:$BC$35,0),$C$2:$N$2),1)</f>
        <v>1</v>
      </c>
      <c r="I274" s="113">
        <f>IFERROR(INDEX($BD$7:$BO$35,MATCH(Ajustes!$E$4:$E$323,$BC$7:$BC$35,0),$C$2:$N$2),1)</f>
        <v>1</v>
      </c>
      <c r="J274" s="113">
        <f>IFERROR(INDEX($BD$7:$BO$35,MATCH(Ajustes!$E$4:$E$323,$BC$7:$BC$35,0),$C$2:$N$2),1)</f>
        <v>1</v>
      </c>
      <c r="K274" s="113">
        <f>IFERROR(INDEX($BD$7:$BO$35,MATCH(Ajustes!$E$4:$E$323,$BC$7:$BC$35,0),$C$2:$N$2),1)</f>
        <v>1</v>
      </c>
      <c r="L274" s="113">
        <f>IFERROR(INDEX($BD$7:$BO$35,MATCH(Ajustes!$E$4:$E$323,$BC$7:$BC$35,0),$C$2:$N$2),1)</f>
        <v>1</v>
      </c>
      <c r="M274" s="113">
        <f>IFERROR(INDEX($BD$7:$BO$35,MATCH(Ajustes!$E$4:$E$323,$BC$7:$BC$35,0),$C$2:$N$2),1)</f>
        <v>1</v>
      </c>
      <c r="N274" s="113">
        <f>IFERROR(INDEX($BD$7:$BO$35,MATCH(Ajustes!$E$4:$E$323,$BC$7:$BC$35,0),$C$2:$N$2),1)</f>
        <v>1</v>
      </c>
      <c r="O274">
        <f>C274*Ajustes!AM274</f>
        <v>2447</v>
      </c>
      <c r="P274">
        <f>D274*Ajustes!AN274</f>
        <v>3174</v>
      </c>
      <c r="Q274">
        <f>E274*Ajustes!AO274</f>
        <v>3657</v>
      </c>
      <c r="R274">
        <f>F274*Ajustes!AP274</f>
        <v>3493</v>
      </c>
      <c r="S274">
        <f>G274*Ajustes!AQ274</f>
        <v>2222</v>
      </c>
      <c r="T274">
        <f>H274*Ajustes!AR274</f>
        <v>1222</v>
      </c>
      <c r="U274">
        <f>I274*Ajustes!AS274</f>
        <v>852</v>
      </c>
      <c r="V274">
        <f>J274*Ajustes!AT274</f>
        <v>658</v>
      </c>
      <c r="W274">
        <f>K274*Ajustes!AU274</f>
        <v>588</v>
      </c>
      <c r="X274">
        <f>L274*Ajustes!AV274</f>
        <v>701</v>
      </c>
      <c r="Y274">
        <f>M274*Ajustes!AW274</f>
        <v>1028</v>
      </c>
      <c r="Z274">
        <f>N274*Ajustes!AX274</f>
        <v>1601</v>
      </c>
      <c r="AA274">
        <f>IF(Ajustes!$G274&gt;0,INDEX($AA$4:$AL$323,Ajustes!$G274,O$2),0)+IF(Ajustes!$H274&gt;0,INDEX($AA$4:$AL$323,Ajustes!$H274,O$2),0)+IF(Ajustes!$I274&gt;0,INDEX($AA$4:$AL$323,Ajustes!$I274,O$2),0)+IF(Ajustes!$J274&gt;0,INDEX($AA$4:$AL$323,Ajustes!$J274,O$2),0)+IF(Ajustes!$K274&gt;0,INDEX($AA$5:$AL$324,Ajustes!$K274,O$2),0)+IF(Ajustes!$L274&gt;0,INDEX($AA$4:$AL$323,Ajustes!$L274,O$2),0) + O274</f>
        <v>6904</v>
      </c>
      <c r="AB274">
        <f>IF(Ajustes!$G274&gt;0,INDEX($AA$4:$AL$323,Ajustes!$G274,P$2),0)+IF(Ajustes!$H274&gt;0,INDEX($AA$4:$AL$323,Ajustes!$H274,P$2),0)+IF(Ajustes!$I274&gt;0,INDEX($AA$4:$AL$323,Ajustes!$I274,P$2),0)+IF(Ajustes!$J274&gt;0,INDEX($AA$4:$AL$323,Ajustes!$J274,P$2),0)+IF(Ajustes!$K274&gt;0,INDEX($AA$5:$AL$324,Ajustes!$K274,P$2),0)+IF(Ajustes!$L274&gt;0,INDEX($AA$4:$AL$323,Ajustes!$L274,P$2),0) + P274</f>
        <v>8298</v>
      </c>
      <c r="AC274">
        <f>IF(Ajustes!$G274&gt;0,INDEX($AA$4:$AL$323,Ajustes!$G274,Q$2),0)+IF(Ajustes!$H274&gt;0,INDEX($AA$4:$AL$323,Ajustes!$H274,Q$2),0)+IF(Ajustes!$I274&gt;0,INDEX($AA$4:$AL$323,Ajustes!$I274,Q$2),0)+IF(Ajustes!$J274&gt;0,INDEX($AA$4:$AL$323,Ajustes!$J274,Q$2),0)+IF(Ajustes!$K274&gt;0,INDEX($AA$5:$AL$324,Ajustes!$K274,Q$2),0)+IF(Ajustes!$L274&gt;0,INDEX($AA$4:$AL$323,Ajustes!$L274,Q$2),0) + Q274</f>
        <v>8801</v>
      </c>
      <c r="AD274">
        <f>IF(Ajustes!$G274&gt;0,INDEX($AA$4:$AL$323,Ajustes!$G274,R$2),0)+IF(Ajustes!$H274&gt;0,INDEX($AA$4:$AL$323,Ajustes!$H274,R$2),0)+IF(Ajustes!$I274&gt;0,INDEX($AA$4:$AL$323,Ajustes!$I274,R$2),0)+IF(Ajustes!$J274&gt;0,INDEX($AA$4:$AL$323,Ajustes!$J274,R$2),0)+IF(Ajustes!$K274&gt;0,INDEX($AA$5:$AL$324,Ajustes!$K274,R$2),0)+IF(Ajustes!$L274&gt;0,INDEX($AA$4:$AL$323,Ajustes!$L274,R$2),0) + R274</f>
        <v>7326</v>
      </c>
      <c r="AE274">
        <f>IF(Ajustes!$G274&gt;0,INDEX($AA$4:$AL$323,Ajustes!$G274,S$2),0)+IF(Ajustes!$H274&gt;0,INDEX($AA$4:$AL$323,Ajustes!$H274,S$2),0)+IF(Ajustes!$I274&gt;0,INDEX($AA$4:$AL$323,Ajustes!$I274,S$2),0)+IF(Ajustes!$J274&gt;0,INDEX($AA$4:$AL$323,Ajustes!$J274,S$2),0)+IF(Ajustes!$K274&gt;0,INDEX($AA$5:$AL$324,Ajustes!$K274,S$2),0)+IF(Ajustes!$L274&gt;0,INDEX($AA$4:$AL$323,Ajustes!$L274,S$2),0) + S274</f>
        <v>4115</v>
      </c>
      <c r="AF274">
        <f>IF(Ajustes!$G274&gt;0,INDEX($AA$4:$AL$323,Ajustes!$G274,T$2),0)+IF(Ajustes!$H274&gt;0,INDEX($AA$4:$AL$323,Ajustes!$H274,T$2),0)+IF(Ajustes!$I274&gt;0,INDEX($AA$4:$AL$323,Ajustes!$I274,T$2),0)+IF(Ajustes!$J274&gt;0,INDEX($AA$4:$AL$323,Ajustes!$J274,T$2),0)+IF(Ajustes!$K274&gt;0,INDEX($AA$5:$AL$324,Ajustes!$K274,T$2),0)+IF(Ajustes!$L274&gt;0,INDEX($AA$4:$AL$323,Ajustes!$L274,T$2),0) + T274</f>
        <v>2349</v>
      </c>
      <c r="AG274">
        <f>IF(Ajustes!$G274&gt;0,INDEX($AA$4:$AL$323,Ajustes!$G274,U$2),0)+IF(Ajustes!$H274&gt;0,INDEX($AA$4:$AL$323,Ajustes!$H274,U$2),0)+IF(Ajustes!$I274&gt;0,INDEX($AA$4:$AL$323,Ajustes!$I274,U$2),0)+IF(Ajustes!$J274&gt;0,INDEX($AA$4:$AL$323,Ajustes!$J274,U$2),0)+IF(Ajustes!$K274&gt;0,INDEX($AA$5:$AL$324,Ajustes!$K274,U$2),0)+IF(Ajustes!$L274&gt;0,INDEX($AA$4:$AL$323,Ajustes!$L274,U$2),0) + U274</f>
        <v>1663</v>
      </c>
      <c r="AH274">
        <f>IF(Ajustes!$G274&gt;0,INDEX($AA$4:$AL$323,Ajustes!$G274,V$2),0)+IF(Ajustes!$H274&gt;0,INDEX($AA$4:$AL$323,Ajustes!$H274,V$2),0)+IF(Ajustes!$I274&gt;0,INDEX($AA$4:$AL$323,Ajustes!$I274,V$2),0)+IF(Ajustes!$J274&gt;0,INDEX($AA$4:$AL$323,Ajustes!$J274,V$2),0)+IF(Ajustes!$K274&gt;0,INDEX($AA$5:$AL$324,Ajustes!$K274,V$2),0)+IF(Ajustes!$L274&gt;0,INDEX($AA$4:$AL$323,Ajustes!$L274,V$2),0) + V274</f>
        <v>1280</v>
      </c>
      <c r="AI274">
        <f>IF(Ajustes!$G274&gt;0,INDEX($AA$4:$AL$323,Ajustes!$G274,W$2),0)+IF(Ajustes!$H274&gt;0,INDEX($AA$4:$AL$323,Ajustes!$H274,W$2),0)+IF(Ajustes!$I274&gt;0,INDEX($AA$4:$AL$323,Ajustes!$I274,W$2),0)+IF(Ajustes!$J274&gt;0,INDEX($AA$4:$AL$323,Ajustes!$J274,W$2),0)+IF(Ajustes!$K274&gt;0,INDEX($AA$5:$AL$324,Ajustes!$K274,W$2),0)+IF(Ajustes!$L274&gt;0,INDEX($AA$4:$AL$323,Ajustes!$L274,W$2),0) + W274</f>
        <v>1155</v>
      </c>
      <c r="AJ274">
        <f>IF(Ajustes!$G274&gt;0,INDEX($AA$4:$AL$323,Ajustes!$G274,X$2),0)+IF(Ajustes!$H274&gt;0,INDEX($AA$4:$AL$323,Ajustes!$H274,X$2),0)+IF(Ajustes!$I274&gt;0,INDEX($AA$4:$AL$323,Ajustes!$I274,X$2),0)+IF(Ajustes!$J274&gt;0,INDEX($AA$4:$AL$323,Ajustes!$J274,X$2),0)+IF(Ajustes!$K274&gt;0,INDEX($AA$5:$AL$324,Ajustes!$K274,X$2),0)+IF(Ajustes!$L274&gt;0,INDEX($AA$4:$AL$323,Ajustes!$L274,X$2),0) + X274</f>
        <v>1495</v>
      </c>
      <c r="AK274">
        <f>IF(Ajustes!$G274&gt;0,INDEX($AA$4:$AL$323,Ajustes!$G274,Y$2),0)+IF(Ajustes!$H274&gt;0,INDEX($AA$4:$AL$323,Ajustes!$H274,Y$2),0)+IF(Ajustes!$I274&gt;0,INDEX($AA$4:$AL$323,Ajustes!$I274,Y$2),0)+IF(Ajustes!$J274&gt;0,INDEX($AA$4:$AL$323,Ajustes!$J274,Y$2),0)+IF(Ajustes!$K274&gt;0,INDEX($AA$5:$AL$324,Ajustes!$K274,Y$2),0)+IF(Ajustes!$L274&gt;0,INDEX($AA$4:$AL$323,Ajustes!$L274,Y$2),0) + Y274</f>
        <v>2601</v>
      </c>
      <c r="AL274">
        <f>IF(Ajustes!$G274&gt;0,INDEX($AA$4:$AL$323,Ajustes!$G274,Z$2),0)+IF(Ajustes!$H274&gt;0,INDEX($AA$4:$AL$323,Ajustes!$H274,Z$2),0)+IF(Ajustes!$I274&gt;0,INDEX($AA$4:$AL$323,Ajustes!$I274,Z$2),0)+IF(Ajustes!$J274&gt;0,INDEX($AA$4:$AL$323,Ajustes!$J274,Z$2),0)+IF(Ajustes!$K274&gt;0,INDEX($AA$5:$AL$324,Ajustes!$K274,Z$2),0)+IF(Ajustes!$L274&gt;0,INDEX($AA$4:$AL$323,Ajustes!$L274,Z$2),0) + Z274</f>
        <v>4780</v>
      </c>
      <c r="AM274" s="113">
        <f t="shared" si="53"/>
        <v>6904</v>
      </c>
      <c r="AN274" s="113">
        <f t="shared" si="53"/>
        <v>8298</v>
      </c>
      <c r="AO274" s="113">
        <f t="shared" si="53"/>
        <v>8801</v>
      </c>
      <c r="AP274" s="113">
        <f t="shared" si="53"/>
        <v>7326</v>
      </c>
      <c r="AQ274" s="113">
        <f t="shared" si="53"/>
        <v>4115</v>
      </c>
      <c r="AR274" s="113">
        <f t="shared" si="53"/>
        <v>2349</v>
      </c>
      <c r="AS274" s="113">
        <f t="shared" si="53"/>
        <v>1663</v>
      </c>
      <c r="AT274" s="113">
        <f t="shared" si="53"/>
        <v>1280</v>
      </c>
      <c r="AU274" s="113">
        <f t="shared" si="54"/>
        <v>1155</v>
      </c>
      <c r="AV274" s="113">
        <f t="shared" si="51"/>
        <v>1495</v>
      </c>
      <c r="AW274" s="113">
        <f t="shared" si="50"/>
        <v>2601</v>
      </c>
      <c r="AX274" s="113">
        <f t="shared" si="50"/>
        <v>4780</v>
      </c>
    </row>
    <row r="275" spans="1:50" x14ac:dyDescent="0.25">
      <c r="A275" s="113">
        <v>272</v>
      </c>
      <c r="B275" s="209"/>
      <c r="C275">
        <f>IFERROR(INDEX($BD$7:$BO$35,MATCH(Ajustes!$E$4:$E$323,$BC$7:$BC$35,0),$C$2:$N$2),1)</f>
        <v>1</v>
      </c>
      <c r="D275" s="113">
        <f>IFERROR(INDEX($BD$7:$BO$35,MATCH(Ajustes!$E$4:$E$323,$BC$7:$BC$35,0),$C$2:$N$2),1)</f>
        <v>1</v>
      </c>
      <c r="E275" s="113">
        <f>IFERROR(INDEX($BD$7:$BO$35,MATCH(Ajustes!$E$4:$E$323,$BC$7:$BC$35,0),$C$2:$N$2),1)</f>
        <v>1</v>
      </c>
      <c r="F275" s="113">
        <f>IFERROR(INDEX($BD$7:$BO$35,MATCH(Ajustes!$E$4:$E$323,$BC$7:$BC$35,0),$C$2:$N$2),1)</f>
        <v>1</v>
      </c>
      <c r="G275" s="113">
        <f>IFERROR(INDEX($BD$7:$BO$35,MATCH(Ajustes!$E$4:$E$323,$BC$7:$BC$35,0),$C$2:$N$2),1)</f>
        <v>1</v>
      </c>
      <c r="H275" s="113">
        <f>IFERROR(INDEX($BD$7:$BO$35,MATCH(Ajustes!$E$4:$E$323,$BC$7:$BC$35,0),$C$2:$N$2),1)</f>
        <v>1</v>
      </c>
      <c r="I275" s="113">
        <f>IFERROR(INDEX($BD$7:$BO$35,MATCH(Ajustes!$E$4:$E$323,$BC$7:$BC$35,0),$C$2:$N$2),1)</f>
        <v>1</v>
      </c>
      <c r="J275" s="113">
        <f>IFERROR(INDEX($BD$7:$BO$35,MATCH(Ajustes!$E$4:$E$323,$BC$7:$BC$35,0),$C$2:$N$2),1)</f>
        <v>1</v>
      </c>
      <c r="K275" s="113">
        <f>IFERROR(INDEX($BD$7:$BO$35,MATCH(Ajustes!$E$4:$E$323,$BC$7:$BC$35,0),$C$2:$N$2),1)</f>
        <v>1</v>
      </c>
      <c r="L275" s="113">
        <f>IFERROR(INDEX($BD$7:$BO$35,MATCH(Ajustes!$E$4:$E$323,$BC$7:$BC$35,0),$C$2:$N$2),1)</f>
        <v>1</v>
      </c>
      <c r="M275" s="113">
        <f>IFERROR(INDEX($BD$7:$BO$35,MATCH(Ajustes!$E$4:$E$323,$BC$7:$BC$35,0),$C$2:$N$2),1)</f>
        <v>1</v>
      </c>
      <c r="N275" s="113">
        <f>IFERROR(INDEX($BD$7:$BO$35,MATCH(Ajustes!$E$4:$E$323,$BC$7:$BC$35,0),$C$2:$N$2),1)</f>
        <v>1</v>
      </c>
      <c r="O275">
        <f>C275*Ajustes!AM275</f>
        <v>0</v>
      </c>
      <c r="P275">
        <f>D275*Ajustes!AN275</f>
        <v>0</v>
      </c>
      <c r="Q275">
        <f>E275*Ajustes!AO275</f>
        <v>0</v>
      </c>
      <c r="R275">
        <f>F275*Ajustes!AP275</f>
        <v>0</v>
      </c>
      <c r="S275">
        <f>G275*Ajustes!AQ275</f>
        <v>0</v>
      </c>
      <c r="T275">
        <f>H275*Ajustes!AR275</f>
        <v>0</v>
      </c>
      <c r="U275">
        <f>I275*Ajustes!AS275</f>
        <v>0</v>
      </c>
      <c r="V275">
        <f>J275*Ajustes!AT275</f>
        <v>0</v>
      </c>
      <c r="W275">
        <f>K275*Ajustes!AU275</f>
        <v>0</v>
      </c>
      <c r="X275">
        <f>L275*Ajustes!AV275</f>
        <v>0</v>
      </c>
      <c r="Y275">
        <f>M275*Ajustes!AW275</f>
        <v>0</v>
      </c>
      <c r="Z275">
        <f>N275*Ajustes!AX275</f>
        <v>0</v>
      </c>
      <c r="AA275">
        <f>IF(Ajustes!$G275&gt;0,INDEX($AA$4:$AL$323,Ajustes!$G275,O$2),0)+IF(Ajustes!$H275&gt;0,INDEX($AA$4:$AL$323,Ajustes!$H275,O$2),0)+IF(Ajustes!$I275&gt;0,INDEX($AA$4:$AL$323,Ajustes!$I275,O$2),0)+IF(Ajustes!$J275&gt;0,INDEX($AA$4:$AL$323,Ajustes!$J275,O$2),0)+IF(Ajustes!$K275&gt;0,INDEX($AA$5:$AL$324,Ajustes!$K275,O$2),0)+IF(Ajustes!$L275&gt;0,INDEX($AA$4:$AL$323,Ajustes!$L275,O$2),0) + O275</f>
        <v>0</v>
      </c>
      <c r="AB275">
        <f>IF(Ajustes!$G275&gt;0,INDEX($AA$4:$AL$323,Ajustes!$G275,P$2),0)+IF(Ajustes!$H275&gt;0,INDEX($AA$4:$AL$323,Ajustes!$H275,P$2),0)+IF(Ajustes!$I275&gt;0,INDEX($AA$4:$AL$323,Ajustes!$I275,P$2),0)+IF(Ajustes!$J275&gt;0,INDEX($AA$4:$AL$323,Ajustes!$J275,P$2),0)+IF(Ajustes!$K275&gt;0,INDEX($AA$5:$AL$324,Ajustes!$K275,P$2),0)+IF(Ajustes!$L275&gt;0,INDEX($AA$4:$AL$323,Ajustes!$L275,P$2),0) + P275</f>
        <v>0</v>
      </c>
      <c r="AC275">
        <f>IF(Ajustes!$G275&gt;0,INDEX($AA$4:$AL$323,Ajustes!$G275,Q$2),0)+IF(Ajustes!$H275&gt;0,INDEX($AA$4:$AL$323,Ajustes!$H275,Q$2),0)+IF(Ajustes!$I275&gt;0,INDEX($AA$4:$AL$323,Ajustes!$I275,Q$2),0)+IF(Ajustes!$J275&gt;0,INDEX($AA$4:$AL$323,Ajustes!$J275,Q$2),0)+IF(Ajustes!$K275&gt;0,INDEX($AA$5:$AL$324,Ajustes!$K275,Q$2),0)+IF(Ajustes!$L275&gt;0,INDEX($AA$4:$AL$323,Ajustes!$L275,Q$2),0) + Q275</f>
        <v>0</v>
      </c>
      <c r="AD275">
        <f>IF(Ajustes!$G275&gt;0,INDEX($AA$4:$AL$323,Ajustes!$G275,R$2),0)+IF(Ajustes!$H275&gt;0,INDEX($AA$4:$AL$323,Ajustes!$H275,R$2),0)+IF(Ajustes!$I275&gt;0,INDEX($AA$4:$AL$323,Ajustes!$I275,R$2),0)+IF(Ajustes!$J275&gt;0,INDEX($AA$4:$AL$323,Ajustes!$J275,R$2),0)+IF(Ajustes!$K275&gt;0,INDEX($AA$5:$AL$324,Ajustes!$K275,R$2),0)+IF(Ajustes!$L275&gt;0,INDEX($AA$4:$AL$323,Ajustes!$L275,R$2),0) + R275</f>
        <v>0</v>
      </c>
      <c r="AE275">
        <f>IF(Ajustes!$G275&gt;0,INDEX($AA$4:$AL$323,Ajustes!$G275,S$2),0)+IF(Ajustes!$H275&gt;0,INDEX($AA$4:$AL$323,Ajustes!$H275,S$2),0)+IF(Ajustes!$I275&gt;0,INDEX($AA$4:$AL$323,Ajustes!$I275,S$2),0)+IF(Ajustes!$J275&gt;0,INDEX($AA$4:$AL$323,Ajustes!$J275,S$2),0)+IF(Ajustes!$K275&gt;0,INDEX($AA$5:$AL$324,Ajustes!$K275,S$2),0)+IF(Ajustes!$L275&gt;0,INDEX($AA$4:$AL$323,Ajustes!$L275,S$2),0) + S275</f>
        <v>0</v>
      </c>
      <c r="AF275">
        <f>IF(Ajustes!$G275&gt;0,INDEX($AA$4:$AL$323,Ajustes!$G275,T$2),0)+IF(Ajustes!$H275&gt;0,INDEX($AA$4:$AL$323,Ajustes!$H275,T$2),0)+IF(Ajustes!$I275&gt;0,INDEX($AA$4:$AL$323,Ajustes!$I275,T$2),0)+IF(Ajustes!$J275&gt;0,INDEX($AA$4:$AL$323,Ajustes!$J275,T$2),0)+IF(Ajustes!$K275&gt;0,INDEX($AA$5:$AL$324,Ajustes!$K275,T$2),0)+IF(Ajustes!$L275&gt;0,INDEX($AA$4:$AL$323,Ajustes!$L275,T$2),0) + T275</f>
        <v>0</v>
      </c>
      <c r="AG275">
        <f>IF(Ajustes!$G275&gt;0,INDEX($AA$4:$AL$323,Ajustes!$G275,U$2),0)+IF(Ajustes!$H275&gt;0,INDEX($AA$4:$AL$323,Ajustes!$H275,U$2),0)+IF(Ajustes!$I275&gt;0,INDEX($AA$4:$AL$323,Ajustes!$I275,U$2),0)+IF(Ajustes!$J275&gt;0,INDEX($AA$4:$AL$323,Ajustes!$J275,U$2),0)+IF(Ajustes!$K275&gt;0,INDEX($AA$5:$AL$324,Ajustes!$K275,U$2),0)+IF(Ajustes!$L275&gt;0,INDEX($AA$4:$AL$323,Ajustes!$L275,U$2),0) + U275</f>
        <v>0</v>
      </c>
      <c r="AH275">
        <f>IF(Ajustes!$G275&gt;0,INDEX($AA$4:$AL$323,Ajustes!$G275,V$2),0)+IF(Ajustes!$H275&gt;0,INDEX($AA$4:$AL$323,Ajustes!$H275,V$2),0)+IF(Ajustes!$I275&gt;0,INDEX($AA$4:$AL$323,Ajustes!$I275,V$2),0)+IF(Ajustes!$J275&gt;0,INDEX($AA$4:$AL$323,Ajustes!$J275,V$2),0)+IF(Ajustes!$K275&gt;0,INDEX($AA$5:$AL$324,Ajustes!$K275,V$2),0)+IF(Ajustes!$L275&gt;0,INDEX($AA$4:$AL$323,Ajustes!$L275,V$2),0) + V275</f>
        <v>0</v>
      </c>
      <c r="AI275">
        <f>IF(Ajustes!$G275&gt;0,INDEX($AA$4:$AL$323,Ajustes!$G275,W$2),0)+IF(Ajustes!$H275&gt;0,INDEX($AA$4:$AL$323,Ajustes!$H275,W$2),0)+IF(Ajustes!$I275&gt;0,INDEX($AA$4:$AL$323,Ajustes!$I275,W$2),0)+IF(Ajustes!$J275&gt;0,INDEX($AA$4:$AL$323,Ajustes!$J275,W$2),0)+IF(Ajustes!$K275&gt;0,INDEX($AA$5:$AL$324,Ajustes!$K275,W$2),0)+IF(Ajustes!$L275&gt;0,INDEX($AA$4:$AL$323,Ajustes!$L275,W$2),0) + W275</f>
        <v>0</v>
      </c>
      <c r="AJ275">
        <f>IF(Ajustes!$G275&gt;0,INDEX($AA$4:$AL$323,Ajustes!$G275,X$2),0)+IF(Ajustes!$H275&gt;0,INDEX($AA$4:$AL$323,Ajustes!$H275,X$2),0)+IF(Ajustes!$I275&gt;0,INDEX($AA$4:$AL$323,Ajustes!$I275,X$2),0)+IF(Ajustes!$J275&gt;0,INDEX($AA$4:$AL$323,Ajustes!$J275,X$2),0)+IF(Ajustes!$K275&gt;0,INDEX($AA$5:$AL$324,Ajustes!$K275,X$2),0)+IF(Ajustes!$L275&gt;0,INDEX($AA$4:$AL$323,Ajustes!$L275,X$2),0) + X275</f>
        <v>0</v>
      </c>
      <c r="AK275">
        <f>IF(Ajustes!$G275&gt;0,INDEX($AA$4:$AL$323,Ajustes!$G275,Y$2),0)+IF(Ajustes!$H275&gt;0,INDEX($AA$4:$AL$323,Ajustes!$H275,Y$2),0)+IF(Ajustes!$I275&gt;0,INDEX($AA$4:$AL$323,Ajustes!$I275,Y$2),0)+IF(Ajustes!$J275&gt;0,INDEX($AA$4:$AL$323,Ajustes!$J275,Y$2),0)+IF(Ajustes!$K275&gt;0,INDEX($AA$5:$AL$324,Ajustes!$K275,Y$2),0)+IF(Ajustes!$L275&gt;0,INDEX($AA$4:$AL$323,Ajustes!$L275,Y$2),0) + Y275</f>
        <v>0</v>
      </c>
      <c r="AL275">
        <f>IF(Ajustes!$G275&gt;0,INDEX($AA$4:$AL$323,Ajustes!$G275,Z$2),0)+IF(Ajustes!$H275&gt;0,INDEX($AA$4:$AL$323,Ajustes!$H275,Z$2),0)+IF(Ajustes!$I275&gt;0,INDEX($AA$4:$AL$323,Ajustes!$I275,Z$2),0)+IF(Ajustes!$J275&gt;0,INDEX($AA$4:$AL$323,Ajustes!$J275,Z$2),0)+IF(Ajustes!$K275&gt;0,INDEX($AA$5:$AL$324,Ajustes!$K275,Z$2),0)+IF(Ajustes!$L275&gt;0,INDEX($AA$4:$AL$323,Ajustes!$L275,Z$2),0) + Z275</f>
        <v>0</v>
      </c>
      <c r="AM275" s="113">
        <f t="shared" si="53"/>
        <v>0</v>
      </c>
      <c r="AN275" s="113">
        <f t="shared" si="53"/>
        <v>0</v>
      </c>
      <c r="AO275" s="113">
        <f t="shared" si="53"/>
        <v>0</v>
      </c>
      <c r="AP275" s="113">
        <f t="shared" si="53"/>
        <v>0</v>
      </c>
      <c r="AQ275" s="113">
        <f t="shared" si="53"/>
        <v>0</v>
      </c>
      <c r="AR275" s="113">
        <f t="shared" si="53"/>
        <v>0</v>
      </c>
      <c r="AS275" s="113">
        <f t="shared" si="53"/>
        <v>0</v>
      </c>
      <c r="AT275" s="113">
        <f t="shared" si="53"/>
        <v>0</v>
      </c>
      <c r="AU275" s="113">
        <f t="shared" si="54"/>
        <v>0</v>
      </c>
      <c r="AV275" s="113">
        <f t="shared" si="51"/>
        <v>0</v>
      </c>
      <c r="AW275" s="113">
        <f t="shared" si="51"/>
        <v>0</v>
      </c>
      <c r="AX275" s="113">
        <f t="shared" si="51"/>
        <v>0</v>
      </c>
    </row>
    <row r="276" spans="1:50" x14ac:dyDescent="0.25">
      <c r="A276" s="113">
        <v>273</v>
      </c>
      <c r="B276" s="209" t="s">
        <v>660</v>
      </c>
      <c r="C276">
        <f>IFERROR(INDEX($BD$7:$BO$35,MATCH(Ajustes!$E$4:$E$323,$BC$7:$BC$35,0),$C$2:$N$2),1)</f>
        <v>1</v>
      </c>
      <c r="D276" s="113">
        <f>IFERROR(INDEX($BD$7:$BO$35,MATCH(Ajustes!$E$4:$E$323,$BC$7:$BC$35,0),$C$2:$N$2),1)</f>
        <v>1</v>
      </c>
      <c r="E276" s="113">
        <f>IFERROR(INDEX($BD$7:$BO$35,MATCH(Ajustes!$E$4:$E$323,$BC$7:$BC$35,0),$C$2:$N$2),1)</f>
        <v>1</v>
      </c>
      <c r="F276" s="113">
        <f>IFERROR(INDEX($BD$7:$BO$35,MATCH(Ajustes!$E$4:$E$323,$BC$7:$BC$35,0),$C$2:$N$2),1)</f>
        <v>1</v>
      </c>
      <c r="G276" s="113">
        <f>IFERROR(INDEX($BD$7:$BO$35,MATCH(Ajustes!$E$4:$E$323,$BC$7:$BC$35,0),$C$2:$N$2),1)</f>
        <v>1</v>
      </c>
      <c r="H276" s="113">
        <f>IFERROR(INDEX($BD$7:$BO$35,MATCH(Ajustes!$E$4:$E$323,$BC$7:$BC$35,0),$C$2:$N$2),1)</f>
        <v>1</v>
      </c>
      <c r="I276" s="113">
        <f>IFERROR(INDEX($BD$7:$BO$35,MATCH(Ajustes!$E$4:$E$323,$BC$7:$BC$35,0),$C$2:$N$2),1)</f>
        <v>1</v>
      </c>
      <c r="J276" s="113">
        <f>IFERROR(INDEX($BD$7:$BO$35,MATCH(Ajustes!$E$4:$E$323,$BC$7:$BC$35,0),$C$2:$N$2),1)</f>
        <v>1</v>
      </c>
      <c r="K276" s="113">
        <f>IFERROR(INDEX($BD$7:$BO$35,MATCH(Ajustes!$E$4:$E$323,$BC$7:$BC$35,0),$C$2:$N$2),1)</f>
        <v>1</v>
      </c>
      <c r="L276" s="113">
        <f>IFERROR(INDEX($BD$7:$BO$35,MATCH(Ajustes!$E$4:$E$323,$BC$7:$BC$35,0),$C$2:$N$2),1)</f>
        <v>1</v>
      </c>
      <c r="M276" s="113">
        <f>IFERROR(INDEX($BD$7:$BO$35,MATCH(Ajustes!$E$4:$E$323,$BC$7:$BC$35,0),$C$2:$N$2),1)</f>
        <v>1</v>
      </c>
      <c r="N276" s="113">
        <f>IFERROR(INDEX($BD$7:$BO$35,MATCH(Ajustes!$E$4:$E$323,$BC$7:$BC$35,0),$C$2:$N$2),1)</f>
        <v>1</v>
      </c>
      <c r="O276">
        <f>C276*Ajustes!AM276</f>
        <v>1332</v>
      </c>
      <c r="P276">
        <f>D276*Ajustes!AN276</f>
        <v>1605</v>
      </c>
      <c r="Q276">
        <f>E276*Ajustes!AO276</f>
        <v>1775</v>
      </c>
      <c r="R276">
        <f>F276*Ajustes!AP276</f>
        <v>1447</v>
      </c>
      <c r="S276">
        <f>G276*Ajustes!AQ276</f>
        <v>704</v>
      </c>
      <c r="T276">
        <f>H276*Ajustes!AR276</f>
        <v>344</v>
      </c>
      <c r="U276">
        <f>I276*Ajustes!AS276</f>
        <v>211</v>
      </c>
      <c r="V276">
        <f>J276*Ajustes!AT276</f>
        <v>140</v>
      </c>
      <c r="W276">
        <f>K276*Ajustes!AU276</f>
        <v>108</v>
      </c>
      <c r="X276">
        <f>L276*Ajustes!AV276</f>
        <v>159</v>
      </c>
      <c r="Y276">
        <f>M276*Ajustes!AW276</f>
        <v>376</v>
      </c>
      <c r="Z276">
        <f>N276*Ajustes!AX276</f>
        <v>847</v>
      </c>
      <c r="AA276">
        <f>IF(Ajustes!$G276&gt;0,INDEX($AA$4:$AL$323,Ajustes!$G276,O$2),0)+IF(Ajustes!$H276&gt;0,INDEX($AA$4:$AL$323,Ajustes!$H276,O$2),0)+IF(Ajustes!$I276&gt;0,INDEX($AA$4:$AL$323,Ajustes!$I276,O$2),0)+IF(Ajustes!$J276&gt;0,INDEX($AA$4:$AL$323,Ajustes!$J276,O$2),0)+IF(Ajustes!$K276&gt;0,INDEX($AA$5:$AL$324,Ajustes!$K276,O$2),0)+IF(Ajustes!$L276&gt;0,INDEX($AA$4:$AL$323,Ajustes!$L276,O$2),0) + O276</f>
        <v>4457</v>
      </c>
      <c r="AB276">
        <f>IF(Ajustes!$G276&gt;0,INDEX($AA$4:$AL$323,Ajustes!$G276,P$2),0)+IF(Ajustes!$H276&gt;0,INDEX($AA$4:$AL$323,Ajustes!$H276,P$2),0)+IF(Ajustes!$I276&gt;0,INDEX($AA$4:$AL$323,Ajustes!$I276,P$2),0)+IF(Ajustes!$J276&gt;0,INDEX($AA$4:$AL$323,Ajustes!$J276,P$2),0)+IF(Ajustes!$K276&gt;0,INDEX($AA$5:$AL$324,Ajustes!$K276,P$2),0)+IF(Ajustes!$L276&gt;0,INDEX($AA$4:$AL$323,Ajustes!$L276,P$2),0) + P276</f>
        <v>5124</v>
      </c>
      <c r="AC276">
        <f>IF(Ajustes!$G276&gt;0,INDEX($AA$4:$AL$323,Ajustes!$G276,Q$2),0)+IF(Ajustes!$H276&gt;0,INDEX($AA$4:$AL$323,Ajustes!$H276,Q$2),0)+IF(Ajustes!$I276&gt;0,INDEX($AA$4:$AL$323,Ajustes!$I276,Q$2),0)+IF(Ajustes!$J276&gt;0,INDEX($AA$4:$AL$323,Ajustes!$J276,Q$2),0)+IF(Ajustes!$K276&gt;0,INDEX($AA$5:$AL$324,Ajustes!$K276,Q$2),0)+IF(Ajustes!$L276&gt;0,INDEX($AA$4:$AL$323,Ajustes!$L276,Q$2),0) + Q276</f>
        <v>5144</v>
      </c>
      <c r="AD276">
        <f>IF(Ajustes!$G276&gt;0,INDEX($AA$4:$AL$323,Ajustes!$G276,R$2),0)+IF(Ajustes!$H276&gt;0,INDEX($AA$4:$AL$323,Ajustes!$H276,R$2),0)+IF(Ajustes!$I276&gt;0,INDEX($AA$4:$AL$323,Ajustes!$I276,R$2),0)+IF(Ajustes!$J276&gt;0,INDEX($AA$4:$AL$323,Ajustes!$J276,R$2),0)+IF(Ajustes!$K276&gt;0,INDEX($AA$5:$AL$324,Ajustes!$K276,R$2),0)+IF(Ajustes!$L276&gt;0,INDEX($AA$4:$AL$323,Ajustes!$L276,R$2),0) + R276</f>
        <v>3833</v>
      </c>
      <c r="AE276">
        <f>IF(Ajustes!$G276&gt;0,INDEX($AA$4:$AL$323,Ajustes!$G276,S$2),0)+IF(Ajustes!$H276&gt;0,INDEX($AA$4:$AL$323,Ajustes!$H276,S$2),0)+IF(Ajustes!$I276&gt;0,INDEX($AA$4:$AL$323,Ajustes!$I276,S$2),0)+IF(Ajustes!$J276&gt;0,INDEX($AA$4:$AL$323,Ajustes!$J276,S$2),0)+IF(Ajustes!$K276&gt;0,INDEX($AA$5:$AL$324,Ajustes!$K276,S$2),0)+IF(Ajustes!$L276&gt;0,INDEX($AA$4:$AL$323,Ajustes!$L276,S$2),0) + S276</f>
        <v>1893</v>
      </c>
      <c r="AF276">
        <f>IF(Ajustes!$G276&gt;0,INDEX($AA$4:$AL$323,Ajustes!$G276,T$2),0)+IF(Ajustes!$H276&gt;0,INDEX($AA$4:$AL$323,Ajustes!$H276,T$2),0)+IF(Ajustes!$I276&gt;0,INDEX($AA$4:$AL$323,Ajustes!$I276,T$2),0)+IF(Ajustes!$J276&gt;0,INDEX($AA$4:$AL$323,Ajustes!$J276,T$2),0)+IF(Ajustes!$K276&gt;0,INDEX($AA$5:$AL$324,Ajustes!$K276,T$2),0)+IF(Ajustes!$L276&gt;0,INDEX($AA$4:$AL$323,Ajustes!$L276,T$2),0) + T276</f>
        <v>1127</v>
      </c>
      <c r="AG276">
        <f>IF(Ajustes!$G276&gt;0,INDEX($AA$4:$AL$323,Ajustes!$G276,U$2),0)+IF(Ajustes!$H276&gt;0,INDEX($AA$4:$AL$323,Ajustes!$H276,U$2),0)+IF(Ajustes!$I276&gt;0,INDEX($AA$4:$AL$323,Ajustes!$I276,U$2),0)+IF(Ajustes!$J276&gt;0,INDEX($AA$4:$AL$323,Ajustes!$J276,U$2),0)+IF(Ajustes!$K276&gt;0,INDEX($AA$5:$AL$324,Ajustes!$K276,U$2),0)+IF(Ajustes!$L276&gt;0,INDEX($AA$4:$AL$323,Ajustes!$L276,U$2),0) + U276</f>
        <v>811</v>
      </c>
      <c r="AH276">
        <f>IF(Ajustes!$G276&gt;0,INDEX($AA$4:$AL$323,Ajustes!$G276,V$2),0)+IF(Ajustes!$H276&gt;0,INDEX($AA$4:$AL$323,Ajustes!$H276,V$2),0)+IF(Ajustes!$I276&gt;0,INDEX($AA$4:$AL$323,Ajustes!$I276,V$2),0)+IF(Ajustes!$J276&gt;0,INDEX($AA$4:$AL$323,Ajustes!$J276,V$2),0)+IF(Ajustes!$K276&gt;0,INDEX($AA$5:$AL$324,Ajustes!$K276,V$2),0)+IF(Ajustes!$L276&gt;0,INDEX($AA$4:$AL$323,Ajustes!$L276,V$2),0) + V276</f>
        <v>622</v>
      </c>
      <c r="AI276">
        <f>IF(Ajustes!$G276&gt;0,INDEX($AA$4:$AL$323,Ajustes!$G276,W$2),0)+IF(Ajustes!$H276&gt;0,INDEX($AA$4:$AL$323,Ajustes!$H276,W$2),0)+IF(Ajustes!$I276&gt;0,INDEX($AA$4:$AL$323,Ajustes!$I276,W$2),0)+IF(Ajustes!$J276&gt;0,INDEX($AA$4:$AL$323,Ajustes!$J276,W$2),0)+IF(Ajustes!$K276&gt;0,INDEX($AA$5:$AL$324,Ajustes!$K276,W$2),0)+IF(Ajustes!$L276&gt;0,INDEX($AA$4:$AL$323,Ajustes!$L276,W$2),0) + W276</f>
        <v>567</v>
      </c>
      <c r="AJ276">
        <f>IF(Ajustes!$G276&gt;0,INDEX($AA$4:$AL$323,Ajustes!$G276,X$2),0)+IF(Ajustes!$H276&gt;0,INDEX($AA$4:$AL$323,Ajustes!$H276,X$2),0)+IF(Ajustes!$I276&gt;0,INDEX($AA$4:$AL$323,Ajustes!$I276,X$2),0)+IF(Ajustes!$J276&gt;0,INDEX($AA$4:$AL$323,Ajustes!$J276,X$2),0)+IF(Ajustes!$K276&gt;0,INDEX($AA$5:$AL$324,Ajustes!$K276,X$2),0)+IF(Ajustes!$L276&gt;0,INDEX($AA$4:$AL$323,Ajustes!$L276,X$2),0) + X276</f>
        <v>794</v>
      </c>
      <c r="AK276">
        <f>IF(Ajustes!$G276&gt;0,INDEX($AA$4:$AL$323,Ajustes!$G276,Y$2),0)+IF(Ajustes!$H276&gt;0,INDEX($AA$4:$AL$323,Ajustes!$H276,Y$2),0)+IF(Ajustes!$I276&gt;0,INDEX($AA$4:$AL$323,Ajustes!$I276,Y$2),0)+IF(Ajustes!$J276&gt;0,INDEX($AA$4:$AL$323,Ajustes!$J276,Y$2),0)+IF(Ajustes!$K276&gt;0,INDEX($AA$5:$AL$324,Ajustes!$K276,Y$2),0)+IF(Ajustes!$L276&gt;0,INDEX($AA$4:$AL$323,Ajustes!$L276,Y$2),0) + Y276</f>
        <v>1573</v>
      </c>
      <c r="AL276">
        <f>IF(Ajustes!$G276&gt;0,INDEX($AA$4:$AL$323,Ajustes!$G276,Z$2),0)+IF(Ajustes!$H276&gt;0,INDEX($AA$4:$AL$323,Ajustes!$H276,Z$2),0)+IF(Ajustes!$I276&gt;0,INDEX($AA$4:$AL$323,Ajustes!$I276,Z$2),0)+IF(Ajustes!$J276&gt;0,INDEX($AA$4:$AL$323,Ajustes!$J276,Z$2),0)+IF(Ajustes!$K276&gt;0,INDEX($AA$5:$AL$324,Ajustes!$K276,Z$2),0)+IF(Ajustes!$L276&gt;0,INDEX($AA$4:$AL$323,Ajustes!$L276,Z$2),0) + Z276</f>
        <v>3179</v>
      </c>
      <c r="AM276" s="113">
        <f t="shared" si="53"/>
        <v>4457</v>
      </c>
      <c r="AN276" s="113">
        <f t="shared" si="53"/>
        <v>5124</v>
      </c>
      <c r="AO276" s="113">
        <f t="shared" si="53"/>
        <v>5144</v>
      </c>
      <c r="AP276" s="113">
        <f t="shared" si="53"/>
        <v>3833</v>
      </c>
      <c r="AQ276" s="113">
        <f t="shared" si="53"/>
        <v>1893</v>
      </c>
      <c r="AR276" s="113">
        <f t="shared" si="53"/>
        <v>1127</v>
      </c>
      <c r="AS276" s="113">
        <f t="shared" si="53"/>
        <v>811</v>
      </c>
      <c r="AT276" s="113">
        <f t="shared" si="53"/>
        <v>622</v>
      </c>
      <c r="AU276" s="113">
        <f t="shared" si="54"/>
        <v>567</v>
      </c>
      <c r="AV276" s="113">
        <f t="shared" si="51"/>
        <v>794</v>
      </c>
      <c r="AW276" s="113">
        <f t="shared" si="51"/>
        <v>1573</v>
      </c>
      <c r="AX276" s="113">
        <f t="shared" si="51"/>
        <v>3179</v>
      </c>
    </row>
    <row r="277" spans="1:50" x14ac:dyDescent="0.25">
      <c r="A277" s="113">
        <v>274</v>
      </c>
      <c r="B277" s="209" t="s">
        <v>661</v>
      </c>
      <c r="C277">
        <f>IFERROR(INDEX($BD$7:$BO$35,MATCH(Ajustes!$E$4:$E$323,$BC$7:$BC$35,0),$C$2:$N$2),1)</f>
        <v>1</v>
      </c>
      <c r="D277" s="113">
        <f>IFERROR(INDEX($BD$7:$BO$35,MATCH(Ajustes!$E$4:$E$323,$BC$7:$BC$35,0),$C$2:$N$2),1)</f>
        <v>1</v>
      </c>
      <c r="E277" s="113">
        <f>IFERROR(INDEX($BD$7:$BO$35,MATCH(Ajustes!$E$4:$E$323,$BC$7:$BC$35,0),$C$2:$N$2),1)</f>
        <v>1</v>
      </c>
      <c r="F277" s="113">
        <f>IFERROR(INDEX($BD$7:$BO$35,MATCH(Ajustes!$E$4:$E$323,$BC$7:$BC$35,0),$C$2:$N$2),1)</f>
        <v>1</v>
      </c>
      <c r="G277" s="113">
        <f>IFERROR(INDEX($BD$7:$BO$35,MATCH(Ajustes!$E$4:$E$323,$BC$7:$BC$35,0),$C$2:$N$2),1)</f>
        <v>1</v>
      </c>
      <c r="H277" s="113">
        <f>IFERROR(INDEX($BD$7:$BO$35,MATCH(Ajustes!$E$4:$E$323,$BC$7:$BC$35,0),$C$2:$N$2),1)</f>
        <v>1</v>
      </c>
      <c r="I277" s="113">
        <f>IFERROR(INDEX($BD$7:$BO$35,MATCH(Ajustes!$E$4:$E$323,$BC$7:$BC$35,0),$C$2:$N$2),1)</f>
        <v>1</v>
      </c>
      <c r="J277" s="113">
        <f>IFERROR(INDEX($BD$7:$BO$35,MATCH(Ajustes!$E$4:$E$323,$BC$7:$BC$35,0),$C$2:$N$2),1)</f>
        <v>1</v>
      </c>
      <c r="K277" s="113">
        <f>IFERROR(INDEX($BD$7:$BO$35,MATCH(Ajustes!$E$4:$E$323,$BC$7:$BC$35,0),$C$2:$N$2),1)</f>
        <v>1</v>
      </c>
      <c r="L277" s="113">
        <f>IFERROR(INDEX($BD$7:$BO$35,MATCH(Ajustes!$E$4:$E$323,$BC$7:$BC$35,0),$C$2:$N$2),1)</f>
        <v>1</v>
      </c>
      <c r="M277" s="113">
        <f>IFERROR(INDEX($BD$7:$BO$35,MATCH(Ajustes!$E$4:$E$323,$BC$7:$BC$35,0),$C$2:$N$2),1)</f>
        <v>1</v>
      </c>
      <c r="N277" s="113">
        <f>IFERROR(INDEX($BD$7:$BO$35,MATCH(Ajustes!$E$4:$E$323,$BC$7:$BC$35,0),$C$2:$N$2),1)</f>
        <v>1</v>
      </c>
      <c r="O277">
        <f>C277*Ajustes!AM277</f>
        <v>7182</v>
      </c>
      <c r="P277">
        <f>D277*Ajustes!AN277</f>
        <v>8754</v>
      </c>
      <c r="Q277">
        <f>E277*Ajustes!AO277</f>
        <v>9319</v>
      </c>
      <c r="R277">
        <f>F277*Ajustes!AP277</f>
        <v>8029</v>
      </c>
      <c r="S277">
        <f>G277*Ajustes!AQ277</f>
        <v>4608</v>
      </c>
      <c r="T277">
        <f>H277*Ajustes!AR277</f>
        <v>2683</v>
      </c>
      <c r="U277">
        <f>I277*Ajustes!AS277</f>
        <v>1928</v>
      </c>
      <c r="V277">
        <f>J277*Ajustes!AT277</f>
        <v>1523</v>
      </c>
      <c r="W277">
        <f>K277*Ajustes!AU277</f>
        <v>1385</v>
      </c>
      <c r="X277">
        <f>L277*Ajustes!AV277</f>
        <v>1705</v>
      </c>
      <c r="Y277">
        <f>M277*Ajustes!AW277</f>
        <v>2772</v>
      </c>
      <c r="Z277">
        <f>N277*Ajustes!AX277</f>
        <v>4877</v>
      </c>
      <c r="AA277">
        <f>IF(Ajustes!$G277&gt;0,INDEX($AA$4:$AL$323,Ajustes!$G277,O$2),0)+IF(Ajustes!$H277&gt;0,INDEX($AA$4:$AL$323,Ajustes!$H277,O$2),0)+IF(Ajustes!$I277&gt;0,INDEX($AA$4:$AL$323,Ajustes!$I277,O$2),0)+IF(Ajustes!$J277&gt;0,INDEX($AA$4:$AL$323,Ajustes!$J277,O$2),0)+IF(Ajustes!$K277&gt;0,INDEX($AA$5:$AL$324,Ajustes!$K277,O$2),0)+IF(Ajustes!$L277&gt;0,INDEX($AA$4:$AL$323,Ajustes!$L277,O$2),0) + O277</f>
        <v>7182</v>
      </c>
      <c r="AB277">
        <f>IF(Ajustes!$G277&gt;0,INDEX($AA$4:$AL$323,Ajustes!$G277,P$2),0)+IF(Ajustes!$H277&gt;0,INDEX($AA$4:$AL$323,Ajustes!$H277,P$2),0)+IF(Ajustes!$I277&gt;0,INDEX($AA$4:$AL$323,Ajustes!$I277,P$2),0)+IF(Ajustes!$J277&gt;0,INDEX($AA$4:$AL$323,Ajustes!$J277,P$2),0)+IF(Ajustes!$K277&gt;0,INDEX($AA$5:$AL$324,Ajustes!$K277,P$2),0)+IF(Ajustes!$L277&gt;0,INDEX($AA$4:$AL$323,Ajustes!$L277,P$2),0) + P277</f>
        <v>8754</v>
      </c>
      <c r="AC277">
        <f>IF(Ajustes!$G277&gt;0,INDEX($AA$4:$AL$323,Ajustes!$G277,Q$2),0)+IF(Ajustes!$H277&gt;0,INDEX($AA$4:$AL$323,Ajustes!$H277,Q$2),0)+IF(Ajustes!$I277&gt;0,INDEX($AA$4:$AL$323,Ajustes!$I277,Q$2),0)+IF(Ajustes!$J277&gt;0,INDEX($AA$4:$AL$323,Ajustes!$J277,Q$2),0)+IF(Ajustes!$K277&gt;0,INDEX($AA$5:$AL$324,Ajustes!$K277,Q$2),0)+IF(Ajustes!$L277&gt;0,INDEX($AA$4:$AL$323,Ajustes!$L277,Q$2),0) + Q277</f>
        <v>9319</v>
      </c>
      <c r="AD277">
        <f>IF(Ajustes!$G277&gt;0,INDEX($AA$4:$AL$323,Ajustes!$G277,R$2),0)+IF(Ajustes!$H277&gt;0,INDEX($AA$4:$AL$323,Ajustes!$H277,R$2),0)+IF(Ajustes!$I277&gt;0,INDEX($AA$4:$AL$323,Ajustes!$I277,R$2),0)+IF(Ajustes!$J277&gt;0,INDEX($AA$4:$AL$323,Ajustes!$J277,R$2),0)+IF(Ajustes!$K277&gt;0,INDEX($AA$5:$AL$324,Ajustes!$K277,R$2),0)+IF(Ajustes!$L277&gt;0,INDEX($AA$4:$AL$323,Ajustes!$L277,R$2),0) + R277</f>
        <v>8029</v>
      </c>
      <c r="AE277">
        <f>IF(Ajustes!$G277&gt;0,INDEX($AA$4:$AL$323,Ajustes!$G277,S$2),0)+IF(Ajustes!$H277&gt;0,INDEX($AA$4:$AL$323,Ajustes!$H277,S$2),0)+IF(Ajustes!$I277&gt;0,INDEX($AA$4:$AL$323,Ajustes!$I277,S$2),0)+IF(Ajustes!$J277&gt;0,INDEX($AA$4:$AL$323,Ajustes!$J277,S$2),0)+IF(Ajustes!$K277&gt;0,INDEX($AA$5:$AL$324,Ajustes!$K277,S$2),0)+IF(Ajustes!$L277&gt;0,INDEX($AA$4:$AL$323,Ajustes!$L277,S$2),0) + S277</f>
        <v>4608</v>
      </c>
      <c r="AF277">
        <f>IF(Ajustes!$G277&gt;0,INDEX($AA$4:$AL$323,Ajustes!$G277,T$2),0)+IF(Ajustes!$H277&gt;0,INDEX($AA$4:$AL$323,Ajustes!$H277,T$2),0)+IF(Ajustes!$I277&gt;0,INDEX($AA$4:$AL$323,Ajustes!$I277,T$2),0)+IF(Ajustes!$J277&gt;0,INDEX($AA$4:$AL$323,Ajustes!$J277,T$2),0)+IF(Ajustes!$K277&gt;0,INDEX($AA$5:$AL$324,Ajustes!$K277,T$2),0)+IF(Ajustes!$L277&gt;0,INDEX($AA$4:$AL$323,Ajustes!$L277,T$2),0) + T277</f>
        <v>2683</v>
      </c>
      <c r="AG277">
        <f>IF(Ajustes!$G277&gt;0,INDEX($AA$4:$AL$323,Ajustes!$G277,U$2),0)+IF(Ajustes!$H277&gt;0,INDEX($AA$4:$AL$323,Ajustes!$H277,U$2),0)+IF(Ajustes!$I277&gt;0,INDEX($AA$4:$AL$323,Ajustes!$I277,U$2),0)+IF(Ajustes!$J277&gt;0,INDEX($AA$4:$AL$323,Ajustes!$J277,U$2),0)+IF(Ajustes!$K277&gt;0,INDEX($AA$5:$AL$324,Ajustes!$K277,U$2),0)+IF(Ajustes!$L277&gt;0,INDEX($AA$4:$AL$323,Ajustes!$L277,U$2),0) + U277</f>
        <v>1928</v>
      </c>
      <c r="AH277">
        <f>IF(Ajustes!$G277&gt;0,INDEX($AA$4:$AL$323,Ajustes!$G277,V$2),0)+IF(Ajustes!$H277&gt;0,INDEX($AA$4:$AL$323,Ajustes!$H277,V$2),0)+IF(Ajustes!$I277&gt;0,INDEX($AA$4:$AL$323,Ajustes!$I277,V$2),0)+IF(Ajustes!$J277&gt;0,INDEX($AA$4:$AL$323,Ajustes!$J277,V$2),0)+IF(Ajustes!$K277&gt;0,INDEX($AA$5:$AL$324,Ajustes!$K277,V$2),0)+IF(Ajustes!$L277&gt;0,INDEX($AA$4:$AL$323,Ajustes!$L277,V$2),0) + V277</f>
        <v>1523</v>
      </c>
      <c r="AI277">
        <f>IF(Ajustes!$G277&gt;0,INDEX($AA$4:$AL$323,Ajustes!$G277,W$2),0)+IF(Ajustes!$H277&gt;0,INDEX($AA$4:$AL$323,Ajustes!$H277,W$2),0)+IF(Ajustes!$I277&gt;0,INDEX($AA$4:$AL$323,Ajustes!$I277,W$2),0)+IF(Ajustes!$J277&gt;0,INDEX($AA$4:$AL$323,Ajustes!$J277,W$2),0)+IF(Ajustes!$K277&gt;0,INDEX($AA$5:$AL$324,Ajustes!$K277,W$2),0)+IF(Ajustes!$L277&gt;0,INDEX($AA$4:$AL$323,Ajustes!$L277,W$2),0) + W277</f>
        <v>1385</v>
      </c>
      <c r="AJ277">
        <f>IF(Ajustes!$G277&gt;0,INDEX($AA$4:$AL$323,Ajustes!$G277,X$2),0)+IF(Ajustes!$H277&gt;0,INDEX($AA$4:$AL$323,Ajustes!$H277,X$2),0)+IF(Ajustes!$I277&gt;0,INDEX($AA$4:$AL$323,Ajustes!$I277,X$2),0)+IF(Ajustes!$J277&gt;0,INDEX($AA$4:$AL$323,Ajustes!$J277,X$2),0)+IF(Ajustes!$K277&gt;0,INDEX($AA$5:$AL$324,Ajustes!$K277,X$2),0)+IF(Ajustes!$L277&gt;0,INDEX($AA$4:$AL$323,Ajustes!$L277,X$2),0) + X277</f>
        <v>1705</v>
      </c>
      <c r="AK277">
        <f>IF(Ajustes!$G277&gt;0,INDEX($AA$4:$AL$323,Ajustes!$G277,Y$2),0)+IF(Ajustes!$H277&gt;0,INDEX($AA$4:$AL$323,Ajustes!$H277,Y$2),0)+IF(Ajustes!$I277&gt;0,INDEX($AA$4:$AL$323,Ajustes!$I277,Y$2),0)+IF(Ajustes!$J277&gt;0,INDEX($AA$4:$AL$323,Ajustes!$J277,Y$2),0)+IF(Ajustes!$K277&gt;0,INDEX($AA$5:$AL$324,Ajustes!$K277,Y$2),0)+IF(Ajustes!$L277&gt;0,INDEX($AA$4:$AL$323,Ajustes!$L277,Y$2),0) + Y277</f>
        <v>2772</v>
      </c>
      <c r="AL277">
        <f>IF(Ajustes!$G277&gt;0,INDEX($AA$4:$AL$323,Ajustes!$G277,Z$2),0)+IF(Ajustes!$H277&gt;0,INDEX($AA$4:$AL$323,Ajustes!$H277,Z$2),0)+IF(Ajustes!$I277&gt;0,INDEX($AA$4:$AL$323,Ajustes!$I277,Z$2),0)+IF(Ajustes!$J277&gt;0,INDEX($AA$4:$AL$323,Ajustes!$J277,Z$2),0)+IF(Ajustes!$K277&gt;0,INDEX($AA$5:$AL$324,Ajustes!$K277,Z$2),0)+IF(Ajustes!$L277&gt;0,INDEX($AA$4:$AL$323,Ajustes!$L277,Z$2),0) + Z277</f>
        <v>4877</v>
      </c>
      <c r="AM277" s="113">
        <f t="shared" si="53"/>
        <v>7182</v>
      </c>
      <c r="AN277" s="113">
        <f t="shared" si="53"/>
        <v>8754</v>
      </c>
      <c r="AO277" s="113">
        <f t="shared" si="53"/>
        <v>9319</v>
      </c>
      <c r="AP277" s="113">
        <f t="shared" si="53"/>
        <v>8029</v>
      </c>
      <c r="AQ277" s="113">
        <f t="shared" si="53"/>
        <v>4608</v>
      </c>
      <c r="AR277" s="113">
        <f t="shared" si="53"/>
        <v>2683</v>
      </c>
      <c r="AS277" s="113">
        <f t="shared" si="53"/>
        <v>1928</v>
      </c>
      <c r="AT277" s="113">
        <f t="shared" si="53"/>
        <v>1523</v>
      </c>
      <c r="AU277" s="113">
        <f t="shared" si="54"/>
        <v>1385</v>
      </c>
      <c r="AV277" s="113">
        <f t="shared" si="51"/>
        <v>1705</v>
      </c>
      <c r="AW277" s="113">
        <f t="shared" si="51"/>
        <v>2772</v>
      </c>
      <c r="AX277" s="113">
        <f t="shared" si="51"/>
        <v>4877</v>
      </c>
    </row>
    <row r="278" spans="1:50" x14ac:dyDescent="0.25">
      <c r="A278" s="113">
        <v>275</v>
      </c>
      <c r="B278" s="209" t="s">
        <v>37</v>
      </c>
      <c r="C278">
        <f>IFERROR(INDEX($BD$7:$BO$35,MATCH(Ajustes!$E$4:$E$323,$BC$7:$BC$35,0),$C$2:$N$2),1)</f>
        <v>1</v>
      </c>
      <c r="D278" s="113">
        <f>IFERROR(INDEX($BD$7:$BO$35,MATCH(Ajustes!$E$4:$E$323,$BC$7:$BC$35,0),$C$2:$N$2),1)</f>
        <v>1</v>
      </c>
      <c r="E278" s="113">
        <f>IFERROR(INDEX($BD$7:$BO$35,MATCH(Ajustes!$E$4:$E$323,$BC$7:$BC$35,0),$C$2:$N$2),1)</f>
        <v>1</v>
      </c>
      <c r="F278" s="113">
        <f>IFERROR(INDEX($BD$7:$BO$35,MATCH(Ajustes!$E$4:$E$323,$BC$7:$BC$35,0),$C$2:$N$2),1)</f>
        <v>1</v>
      </c>
      <c r="G278" s="113">
        <f>IFERROR(INDEX($BD$7:$BO$35,MATCH(Ajustes!$E$4:$E$323,$BC$7:$BC$35,0),$C$2:$N$2),1)</f>
        <v>1</v>
      </c>
      <c r="H278" s="113">
        <f>IFERROR(INDEX($BD$7:$BO$35,MATCH(Ajustes!$E$4:$E$323,$BC$7:$BC$35,0),$C$2:$N$2),1)</f>
        <v>1</v>
      </c>
      <c r="I278" s="113">
        <f>IFERROR(INDEX($BD$7:$BO$35,MATCH(Ajustes!$E$4:$E$323,$BC$7:$BC$35,0),$C$2:$N$2),1)</f>
        <v>1</v>
      </c>
      <c r="J278" s="113">
        <f>IFERROR(INDEX($BD$7:$BO$35,MATCH(Ajustes!$E$4:$E$323,$BC$7:$BC$35,0),$C$2:$N$2),1)</f>
        <v>1</v>
      </c>
      <c r="K278" s="113">
        <f>IFERROR(INDEX($BD$7:$BO$35,MATCH(Ajustes!$E$4:$E$323,$BC$7:$BC$35,0),$C$2:$N$2),1)</f>
        <v>1</v>
      </c>
      <c r="L278" s="113">
        <f>IFERROR(INDEX($BD$7:$BO$35,MATCH(Ajustes!$E$4:$E$323,$BC$7:$BC$35,0),$C$2:$N$2),1)</f>
        <v>1</v>
      </c>
      <c r="M278" s="113">
        <f>IFERROR(INDEX($BD$7:$BO$35,MATCH(Ajustes!$E$4:$E$323,$BC$7:$BC$35,0),$C$2:$N$2),1)</f>
        <v>1</v>
      </c>
      <c r="N278" s="113">
        <f>IFERROR(INDEX($BD$7:$BO$35,MATCH(Ajustes!$E$4:$E$323,$BC$7:$BC$35,0),$C$2:$N$2),1)</f>
        <v>1</v>
      </c>
      <c r="O278">
        <f>C278*Ajustes!AM278</f>
        <v>8251</v>
      </c>
      <c r="P278">
        <f>D278*Ajustes!AN278</f>
        <v>12230</v>
      </c>
      <c r="Q278">
        <f>E278*Ajustes!AO278</f>
        <v>15194</v>
      </c>
      <c r="R278">
        <f>F278*Ajustes!AP278</f>
        <v>16673</v>
      </c>
      <c r="S278">
        <f>G278*Ajustes!AQ278</f>
        <v>11501</v>
      </c>
      <c r="T278">
        <f>H278*Ajustes!AR278</f>
        <v>4972</v>
      </c>
      <c r="U278">
        <f>I278*Ajustes!AS278</f>
        <v>2549</v>
      </c>
      <c r="V278">
        <f>J278*Ajustes!AT278</f>
        <v>1677</v>
      </c>
      <c r="W278">
        <f>K278*Ajustes!AU278</f>
        <v>1178</v>
      </c>
      <c r="X278">
        <f>L278*Ajustes!AV278</f>
        <v>1125</v>
      </c>
      <c r="Y278">
        <f>M278*Ajustes!AW278</f>
        <v>1745</v>
      </c>
      <c r="Z278">
        <f>N278*Ajustes!AX278</f>
        <v>3794</v>
      </c>
      <c r="AA278">
        <f>IF(Ajustes!$G278&gt;0,INDEX($AA$4:$AL$323,Ajustes!$G278,O$2),0)+IF(Ajustes!$H278&gt;0,INDEX($AA$4:$AL$323,Ajustes!$H278,O$2),0)+IF(Ajustes!$I278&gt;0,INDEX($AA$4:$AL$323,Ajustes!$I278,O$2),0)+IF(Ajustes!$J278&gt;0,INDEX($AA$4:$AL$323,Ajustes!$J278,O$2),0)+IF(Ajustes!$K278&gt;0,INDEX($AA$5:$AL$324,Ajustes!$K278,O$2),0)+IF(Ajustes!$L278&gt;0,INDEX($AA$4:$AL$323,Ajustes!$L278,O$2),0) + O278</f>
        <v>15155</v>
      </c>
      <c r="AB278">
        <f>IF(Ajustes!$G278&gt;0,INDEX($AA$4:$AL$323,Ajustes!$G278,P$2),0)+IF(Ajustes!$H278&gt;0,INDEX($AA$4:$AL$323,Ajustes!$H278,P$2),0)+IF(Ajustes!$I278&gt;0,INDEX($AA$4:$AL$323,Ajustes!$I278,P$2),0)+IF(Ajustes!$J278&gt;0,INDEX($AA$4:$AL$323,Ajustes!$J278,P$2),0)+IF(Ajustes!$K278&gt;0,INDEX($AA$5:$AL$324,Ajustes!$K278,P$2),0)+IF(Ajustes!$L278&gt;0,INDEX($AA$4:$AL$323,Ajustes!$L278,P$2),0) + P278</f>
        <v>20528</v>
      </c>
      <c r="AC278">
        <f>IF(Ajustes!$G278&gt;0,INDEX($AA$4:$AL$323,Ajustes!$G278,Q$2),0)+IF(Ajustes!$H278&gt;0,INDEX($AA$4:$AL$323,Ajustes!$H278,Q$2),0)+IF(Ajustes!$I278&gt;0,INDEX($AA$4:$AL$323,Ajustes!$I278,Q$2),0)+IF(Ajustes!$J278&gt;0,INDEX($AA$4:$AL$323,Ajustes!$J278,Q$2),0)+IF(Ajustes!$K278&gt;0,INDEX($AA$5:$AL$324,Ajustes!$K278,Q$2),0)+IF(Ajustes!$L278&gt;0,INDEX($AA$4:$AL$323,Ajustes!$L278,Q$2),0) + Q278</f>
        <v>23995</v>
      </c>
      <c r="AD278">
        <f>IF(Ajustes!$G278&gt;0,INDEX($AA$4:$AL$323,Ajustes!$G278,R$2),0)+IF(Ajustes!$H278&gt;0,INDEX($AA$4:$AL$323,Ajustes!$H278,R$2),0)+IF(Ajustes!$I278&gt;0,INDEX($AA$4:$AL$323,Ajustes!$I278,R$2),0)+IF(Ajustes!$J278&gt;0,INDEX($AA$4:$AL$323,Ajustes!$J278,R$2),0)+IF(Ajustes!$K278&gt;0,INDEX($AA$5:$AL$324,Ajustes!$K278,R$2),0)+IF(Ajustes!$L278&gt;0,INDEX($AA$4:$AL$323,Ajustes!$L278,R$2),0) + R278</f>
        <v>23999</v>
      </c>
      <c r="AE278">
        <f>IF(Ajustes!$G278&gt;0,INDEX($AA$4:$AL$323,Ajustes!$G278,S$2),0)+IF(Ajustes!$H278&gt;0,INDEX($AA$4:$AL$323,Ajustes!$H278,S$2),0)+IF(Ajustes!$I278&gt;0,INDEX($AA$4:$AL$323,Ajustes!$I278,S$2),0)+IF(Ajustes!$J278&gt;0,INDEX($AA$4:$AL$323,Ajustes!$J278,S$2),0)+IF(Ajustes!$K278&gt;0,INDEX($AA$5:$AL$324,Ajustes!$K278,S$2),0)+IF(Ajustes!$L278&gt;0,INDEX($AA$4:$AL$323,Ajustes!$L278,S$2),0) + S278</f>
        <v>15616</v>
      </c>
      <c r="AF278">
        <f>IF(Ajustes!$G278&gt;0,INDEX($AA$4:$AL$323,Ajustes!$G278,T$2),0)+IF(Ajustes!$H278&gt;0,INDEX($AA$4:$AL$323,Ajustes!$H278,T$2),0)+IF(Ajustes!$I278&gt;0,INDEX($AA$4:$AL$323,Ajustes!$I278,T$2),0)+IF(Ajustes!$J278&gt;0,INDEX($AA$4:$AL$323,Ajustes!$J278,T$2),0)+IF(Ajustes!$K278&gt;0,INDEX($AA$5:$AL$324,Ajustes!$K278,T$2),0)+IF(Ajustes!$L278&gt;0,INDEX($AA$4:$AL$323,Ajustes!$L278,T$2),0) + T278</f>
        <v>7321</v>
      </c>
      <c r="AG278">
        <f>IF(Ajustes!$G278&gt;0,INDEX($AA$4:$AL$323,Ajustes!$G278,U$2),0)+IF(Ajustes!$H278&gt;0,INDEX($AA$4:$AL$323,Ajustes!$H278,U$2),0)+IF(Ajustes!$I278&gt;0,INDEX($AA$4:$AL$323,Ajustes!$I278,U$2),0)+IF(Ajustes!$J278&gt;0,INDEX($AA$4:$AL$323,Ajustes!$J278,U$2),0)+IF(Ajustes!$K278&gt;0,INDEX($AA$5:$AL$324,Ajustes!$K278,U$2),0)+IF(Ajustes!$L278&gt;0,INDEX($AA$4:$AL$323,Ajustes!$L278,U$2),0) + U278</f>
        <v>4212</v>
      </c>
      <c r="AH278">
        <f>IF(Ajustes!$G278&gt;0,INDEX($AA$4:$AL$323,Ajustes!$G278,V$2),0)+IF(Ajustes!$H278&gt;0,INDEX($AA$4:$AL$323,Ajustes!$H278,V$2),0)+IF(Ajustes!$I278&gt;0,INDEX($AA$4:$AL$323,Ajustes!$I278,V$2),0)+IF(Ajustes!$J278&gt;0,INDEX($AA$4:$AL$323,Ajustes!$J278,V$2),0)+IF(Ajustes!$K278&gt;0,INDEX($AA$5:$AL$324,Ajustes!$K278,V$2),0)+IF(Ajustes!$L278&gt;0,INDEX($AA$4:$AL$323,Ajustes!$L278,V$2),0) + V278</f>
        <v>2957</v>
      </c>
      <c r="AI278">
        <f>IF(Ajustes!$G278&gt;0,INDEX($AA$4:$AL$323,Ajustes!$G278,W$2),0)+IF(Ajustes!$H278&gt;0,INDEX($AA$4:$AL$323,Ajustes!$H278,W$2),0)+IF(Ajustes!$I278&gt;0,INDEX($AA$4:$AL$323,Ajustes!$I278,W$2),0)+IF(Ajustes!$J278&gt;0,INDEX($AA$4:$AL$323,Ajustes!$J278,W$2),0)+IF(Ajustes!$K278&gt;0,INDEX($AA$5:$AL$324,Ajustes!$K278,W$2),0)+IF(Ajustes!$L278&gt;0,INDEX($AA$4:$AL$323,Ajustes!$L278,W$2),0) + W278</f>
        <v>2333</v>
      </c>
      <c r="AJ278">
        <f>IF(Ajustes!$G278&gt;0,INDEX($AA$4:$AL$323,Ajustes!$G278,X$2),0)+IF(Ajustes!$H278&gt;0,INDEX($AA$4:$AL$323,Ajustes!$H278,X$2),0)+IF(Ajustes!$I278&gt;0,INDEX($AA$4:$AL$323,Ajustes!$I278,X$2),0)+IF(Ajustes!$J278&gt;0,INDEX($AA$4:$AL$323,Ajustes!$J278,X$2),0)+IF(Ajustes!$K278&gt;0,INDEX($AA$5:$AL$324,Ajustes!$K278,X$2),0)+IF(Ajustes!$L278&gt;0,INDEX($AA$4:$AL$323,Ajustes!$L278,X$2),0) + X278</f>
        <v>2620</v>
      </c>
      <c r="AK278">
        <f>IF(Ajustes!$G278&gt;0,INDEX($AA$4:$AL$323,Ajustes!$G278,Y$2),0)+IF(Ajustes!$H278&gt;0,INDEX($AA$4:$AL$323,Ajustes!$H278,Y$2),0)+IF(Ajustes!$I278&gt;0,INDEX($AA$4:$AL$323,Ajustes!$I278,Y$2),0)+IF(Ajustes!$J278&gt;0,INDEX($AA$4:$AL$323,Ajustes!$J278,Y$2),0)+IF(Ajustes!$K278&gt;0,INDEX($AA$5:$AL$324,Ajustes!$K278,Y$2),0)+IF(Ajustes!$L278&gt;0,INDEX($AA$4:$AL$323,Ajustes!$L278,Y$2),0) + Y278</f>
        <v>4346</v>
      </c>
      <c r="AL278">
        <f>IF(Ajustes!$G278&gt;0,INDEX($AA$4:$AL$323,Ajustes!$G278,Z$2),0)+IF(Ajustes!$H278&gt;0,INDEX($AA$4:$AL$323,Ajustes!$H278,Z$2),0)+IF(Ajustes!$I278&gt;0,INDEX($AA$4:$AL$323,Ajustes!$I278,Z$2),0)+IF(Ajustes!$J278&gt;0,INDEX($AA$4:$AL$323,Ajustes!$J278,Z$2),0)+IF(Ajustes!$K278&gt;0,INDEX($AA$5:$AL$324,Ajustes!$K278,Z$2),0)+IF(Ajustes!$L278&gt;0,INDEX($AA$4:$AL$323,Ajustes!$L278,Z$2),0) + Z278</f>
        <v>8574</v>
      </c>
      <c r="AM278" s="113">
        <f t="shared" si="53"/>
        <v>15155</v>
      </c>
      <c r="AN278" s="113">
        <f t="shared" si="53"/>
        <v>20528</v>
      </c>
      <c r="AO278" s="113">
        <f t="shared" si="53"/>
        <v>23995</v>
      </c>
      <c r="AP278" s="113">
        <f t="shared" si="53"/>
        <v>23999</v>
      </c>
      <c r="AQ278" s="113">
        <f t="shared" si="53"/>
        <v>15616</v>
      </c>
      <c r="AR278" s="113">
        <f t="shared" si="53"/>
        <v>7321</v>
      </c>
      <c r="AS278" s="113">
        <f t="shared" si="53"/>
        <v>4212</v>
      </c>
      <c r="AT278" s="113">
        <f t="shared" si="53"/>
        <v>2957</v>
      </c>
      <c r="AU278" s="113">
        <f t="shared" si="54"/>
        <v>2333</v>
      </c>
      <c r="AV278" s="113">
        <f t="shared" si="54"/>
        <v>2620</v>
      </c>
      <c r="AW278" s="113">
        <f t="shared" si="54"/>
        <v>4346</v>
      </c>
      <c r="AX278" s="113">
        <f t="shared" si="54"/>
        <v>8574</v>
      </c>
    </row>
    <row r="279" spans="1:50" x14ac:dyDescent="0.25">
      <c r="A279" s="113">
        <v>276</v>
      </c>
      <c r="B279" s="209" t="s">
        <v>662</v>
      </c>
      <c r="C279">
        <f>IFERROR(INDEX($BD$7:$BO$35,MATCH(Ajustes!$E$4:$E$323,$BC$7:$BC$35,0),$C$2:$N$2),1)</f>
        <v>1</v>
      </c>
      <c r="D279" s="113">
        <f>IFERROR(INDEX($BD$7:$BO$35,MATCH(Ajustes!$E$4:$E$323,$BC$7:$BC$35,0),$C$2:$N$2),1)</f>
        <v>1</v>
      </c>
      <c r="E279" s="113">
        <f>IFERROR(INDEX($BD$7:$BO$35,MATCH(Ajustes!$E$4:$E$323,$BC$7:$BC$35,0),$C$2:$N$2),1)</f>
        <v>1</v>
      </c>
      <c r="F279" s="113">
        <f>IFERROR(INDEX($BD$7:$BO$35,MATCH(Ajustes!$E$4:$E$323,$BC$7:$BC$35,0),$C$2:$N$2),1)</f>
        <v>1</v>
      </c>
      <c r="G279" s="113">
        <f>IFERROR(INDEX($BD$7:$BO$35,MATCH(Ajustes!$E$4:$E$323,$BC$7:$BC$35,0),$C$2:$N$2),1)</f>
        <v>1</v>
      </c>
      <c r="H279" s="113">
        <f>IFERROR(INDEX($BD$7:$BO$35,MATCH(Ajustes!$E$4:$E$323,$BC$7:$BC$35,0),$C$2:$N$2),1)</f>
        <v>1</v>
      </c>
      <c r="I279" s="113">
        <f>IFERROR(INDEX($BD$7:$BO$35,MATCH(Ajustes!$E$4:$E$323,$BC$7:$BC$35,0),$C$2:$N$2),1)</f>
        <v>1</v>
      </c>
      <c r="J279" s="113">
        <f>IFERROR(INDEX($BD$7:$BO$35,MATCH(Ajustes!$E$4:$E$323,$BC$7:$BC$35,0),$C$2:$N$2),1)</f>
        <v>1</v>
      </c>
      <c r="K279" s="113">
        <f>IFERROR(INDEX($BD$7:$BO$35,MATCH(Ajustes!$E$4:$E$323,$BC$7:$BC$35,0),$C$2:$N$2),1)</f>
        <v>1</v>
      </c>
      <c r="L279" s="113">
        <f>IFERROR(INDEX($BD$7:$BO$35,MATCH(Ajustes!$E$4:$E$323,$BC$7:$BC$35,0),$C$2:$N$2),1)</f>
        <v>1</v>
      </c>
      <c r="M279" s="113">
        <f>IFERROR(INDEX($BD$7:$BO$35,MATCH(Ajustes!$E$4:$E$323,$BC$7:$BC$35,0),$C$2:$N$2),1)</f>
        <v>1</v>
      </c>
      <c r="N279" s="113">
        <f>IFERROR(INDEX($BD$7:$BO$35,MATCH(Ajustes!$E$4:$E$323,$BC$7:$BC$35,0),$C$2:$N$2),1)</f>
        <v>1</v>
      </c>
      <c r="O279">
        <f>C279*Ajustes!AM279</f>
        <v>6621</v>
      </c>
      <c r="P279">
        <f>D279*Ajustes!AN279</f>
        <v>10134</v>
      </c>
      <c r="Q279">
        <f>E279*Ajustes!AO279</f>
        <v>12568</v>
      </c>
      <c r="R279">
        <f>F279*Ajustes!AP279</f>
        <v>13240</v>
      </c>
      <c r="S279">
        <f>G279*Ajustes!AQ279</f>
        <v>8842</v>
      </c>
      <c r="T279">
        <f>H279*Ajustes!AR279</f>
        <v>3664</v>
      </c>
      <c r="U279">
        <f>I279*Ajustes!AS279</f>
        <v>1797</v>
      </c>
      <c r="V279">
        <f>J279*Ajustes!AT279</f>
        <v>1112</v>
      </c>
      <c r="W279">
        <f>K279*Ajustes!AU279</f>
        <v>823</v>
      </c>
      <c r="X279">
        <f>L279*Ajustes!AV279</f>
        <v>955</v>
      </c>
      <c r="Y279">
        <f>M279*Ajustes!AW279</f>
        <v>1653</v>
      </c>
      <c r="Z279">
        <f>N279*Ajustes!AX279</f>
        <v>3360</v>
      </c>
      <c r="AA279">
        <f>IF(Ajustes!$G279&gt;0,INDEX($AA$4:$AL$323,Ajustes!$G279,O$2),0)+IF(Ajustes!$H279&gt;0,INDEX($AA$4:$AL$323,Ajustes!$H279,O$2),0)+IF(Ajustes!$I279&gt;0,INDEX($AA$4:$AL$323,Ajustes!$I279,O$2),0)+IF(Ajustes!$J279&gt;0,INDEX($AA$4:$AL$323,Ajustes!$J279,O$2),0)+IF(Ajustes!$K279&gt;0,INDEX($AA$5:$AL$324,Ajustes!$K279,O$2),0)+IF(Ajustes!$L279&gt;0,INDEX($AA$4:$AL$323,Ajustes!$L279,O$2),0) + O279</f>
        <v>6621</v>
      </c>
      <c r="AB279">
        <f>IF(Ajustes!$G279&gt;0,INDEX($AA$4:$AL$323,Ajustes!$G279,P$2),0)+IF(Ajustes!$H279&gt;0,INDEX($AA$4:$AL$323,Ajustes!$H279,P$2),0)+IF(Ajustes!$I279&gt;0,INDEX($AA$4:$AL$323,Ajustes!$I279,P$2),0)+IF(Ajustes!$J279&gt;0,INDEX($AA$4:$AL$323,Ajustes!$J279,P$2),0)+IF(Ajustes!$K279&gt;0,INDEX($AA$5:$AL$324,Ajustes!$K279,P$2),0)+IF(Ajustes!$L279&gt;0,INDEX($AA$4:$AL$323,Ajustes!$L279,P$2),0) + P279</f>
        <v>10134</v>
      </c>
      <c r="AC279">
        <f>IF(Ajustes!$G279&gt;0,INDEX($AA$4:$AL$323,Ajustes!$G279,Q$2),0)+IF(Ajustes!$H279&gt;0,INDEX($AA$4:$AL$323,Ajustes!$H279,Q$2),0)+IF(Ajustes!$I279&gt;0,INDEX($AA$4:$AL$323,Ajustes!$I279,Q$2),0)+IF(Ajustes!$J279&gt;0,INDEX($AA$4:$AL$323,Ajustes!$J279,Q$2),0)+IF(Ajustes!$K279&gt;0,INDEX($AA$5:$AL$324,Ajustes!$K279,Q$2),0)+IF(Ajustes!$L279&gt;0,INDEX($AA$4:$AL$323,Ajustes!$L279,Q$2),0) + Q279</f>
        <v>12568</v>
      </c>
      <c r="AD279">
        <f>IF(Ajustes!$G279&gt;0,INDEX($AA$4:$AL$323,Ajustes!$G279,R$2),0)+IF(Ajustes!$H279&gt;0,INDEX($AA$4:$AL$323,Ajustes!$H279,R$2),0)+IF(Ajustes!$I279&gt;0,INDEX($AA$4:$AL$323,Ajustes!$I279,R$2),0)+IF(Ajustes!$J279&gt;0,INDEX($AA$4:$AL$323,Ajustes!$J279,R$2),0)+IF(Ajustes!$K279&gt;0,INDEX($AA$5:$AL$324,Ajustes!$K279,R$2),0)+IF(Ajustes!$L279&gt;0,INDEX($AA$4:$AL$323,Ajustes!$L279,R$2),0) + R279</f>
        <v>13240</v>
      </c>
      <c r="AE279">
        <f>IF(Ajustes!$G279&gt;0,INDEX($AA$4:$AL$323,Ajustes!$G279,S$2),0)+IF(Ajustes!$H279&gt;0,INDEX($AA$4:$AL$323,Ajustes!$H279,S$2),0)+IF(Ajustes!$I279&gt;0,INDEX($AA$4:$AL$323,Ajustes!$I279,S$2),0)+IF(Ajustes!$J279&gt;0,INDEX($AA$4:$AL$323,Ajustes!$J279,S$2),0)+IF(Ajustes!$K279&gt;0,INDEX($AA$5:$AL$324,Ajustes!$K279,S$2),0)+IF(Ajustes!$L279&gt;0,INDEX($AA$4:$AL$323,Ajustes!$L279,S$2),0) + S279</f>
        <v>8842</v>
      </c>
      <c r="AF279">
        <f>IF(Ajustes!$G279&gt;0,INDEX($AA$4:$AL$323,Ajustes!$G279,T$2),0)+IF(Ajustes!$H279&gt;0,INDEX($AA$4:$AL$323,Ajustes!$H279,T$2),0)+IF(Ajustes!$I279&gt;0,INDEX($AA$4:$AL$323,Ajustes!$I279,T$2),0)+IF(Ajustes!$J279&gt;0,INDEX($AA$4:$AL$323,Ajustes!$J279,T$2),0)+IF(Ajustes!$K279&gt;0,INDEX($AA$5:$AL$324,Ajustes!$K279,T$2),0)+IF(Ajustes!$L279&gt;0,INDEX($AA$4:$AL$323,Ajustes!$L279,T$2),0) + T279</f>
        <v>3664</v>
      </c>
      <c r="AG279">
        <f>IF(Ajustes!$G279&gt;0,INDEX($AA$4:$AL$323,Ajustes!$G279,U$2),0)+IF(Ajustes!$H279&gt;0,INDEX($AA$4:$AL$323,Ajustes!$H279,U$2),0)+IF(Ajustes!$I279&gt;0,INDEX($AA$4:$AL$323,Ajustes!$I279,U$2),0)+IF(Ajustes!$J279&gt;0,INDEX($AA$4:$AL$323,Ajustes!$J279,U$2),0)+IF(Ajustes!$K279&gt;0,INDEX($AA$5:$AL$324,Ajustes!$K279,U$2),0)+IF(Ajustes!$L279&gt;0,INDEX($AA$4:$AL$323,Ajustes!$L279,U$2),0) + U279</f>
        <v>1797</v>
      </c>
      <c r="AH279">
        <f>IF(Ajustes!$G279&gt;0,INDEX($AA$4:$AL$323,Ajustes!$G279,V$2),0)+IF(Ajustes!$H279&gt;0,INDEX($AA$4:$AL$323,Ajustes!$H279,V$2),0)+IF(Ajustes!$I279&gt;0,INDEX($AA$4:$AL$323,Ajustes!$I279,V$2),0)+IF(Ajustes!$J279&gt;0,INDEX($AA$4:$AL$323,Ajustes!$J279,V$2),0)+IF(Ajustes!$K279&gt;0,INDEX($AA$5:$AL$324,Ajustes!$K279,V$2),0)+IF(Ajustes!$L279&gt;0,INDEX($AA$4:$AL$323,Ajustes!$L279,V$2),0) + V279</f>
        <v>1112</v>
      </c>
      <c r="AI279">
        <f>IF(Ajustes!$G279&gt;0,INDEX($AA$4:$AL$323,Ajustes!$G279,W$2),0)+IF(Ajustes!$H279&gt;0,INDEX($AA$4:$AL$323,Ajustes!$H279,W$2),0)+IF(Ajustes!$I279&gt;0,INDEX($AA$4:$AL$323,Ajustes!$I279,W$2),0)+IF(Ajustes!$J279&gt;0,INDEX($AA$4:$AL$323,Ajustes!$J279,W$2),0)+IF(Ajustes!$K279&gt;0,INDEX($AA$5:$AL$324,Ajustes!$K279,W$2),0)+IF(Ajustes!$L279&gt;0,INDEX($AA$4:$AL$323,Ajustes!$L279,W$2),0) + W279</f>
        <v>823</v>
      </c>
      <c r="AJ279">
        <f>IF(Ajustes!$G279&gt;0,INDEX($AA$4:$AL$323,Ajustes!$G279,X$2),0)+IF(Ajustes!$H279&gt;0,INDEX($AA$4:$AL$323,Ajustes!$H279,X$2),0)+IF(Ajustes!$I279&gt;0,INDEX($AA$4:$AL$323,Ajustes!$I279,X$2),0)+IF(Ajustes!$J279&gt;0,INDEX($AA$4:$AL$323,Ajustes!$J279,X$2),0)+IF(Ajustes!$K279&gt;0,INDEX($AA$5:$AL$324,Ajustes!$K279,X$2),0)+IF(Ajustes!$L279&gt;0,INDEX($AA$4:$AL$323,Ajustes!$L279,X$2),0) + X279</f>
        <v>955</v>
      </c>
      <c r="AK279">
        <f>IF(Ajustes!$G279&gt;0,INDEX($AA$4:$AL$323,Ajustes!$G279,Y$2),0)+IF(Ajustes!$H279&gt;0,INDEX($AA$4:$AL$323,Ajustes!$H279,Y$2),0)+IF(Ajustes!$I279&gt;0,INDEX($AA$4:$AL$323,Ajustes!$I279,Y$2),0)+IF(Ajustes!$J279&gt;0,INDEX($AA$4:$AL$323,Ajustes!$J279,Y$2),0)+IF(Ajustes!$K279&gt;0,INDEX($AA$5:$AL$324,Ajustes!$K279,Y$2),0)+IF(Ajustes!$L279&gt;0,INDEX($AA$4:$AL$323,Ajustes!$L279,Y$2),0) + Y279</f>
        <v>1653</v>
      </c>
      <c r="AL279">
        <f>IF(Ajustes!$G279&gt;0,INDEX($AA$4:$AL$323,Ajustes!$G279,Z$2),0)+IF(Ajustes!$H279&gt;0,INDEX($AA$4:$AL$323,Ajustes!$H279,Z$2),0)+IF(Ajustes!$I279&gt;0,INDEX($AA$4:$AL$323,Ajustes!$I279,Z$2),0)+IF(Ajustes!$J279&gt;0,INDEX($AA$4:$AL$323,Ajustes!$J279,Z$2),0)+IF(Ajustes!$K279&gt;0,INDEX($AA$5:$AL$324,Ajustes!$K279,Z$2),0)+IF(Ajustes!$L279&gt;0,INDEX($AA$4:$AL$323,Ajustes!$L279,Z$2),0) + Z279</f>
        <v>3360</v>
      </c>
      <c r="AM279" s="113">
        <f t="shared" si="53"/>
        <v>6621</v>
      </c>
      <c r="AN279" s="113">
        <f t="shared" si="53"/>
        <v>10134</v>
      </c>
      <c r="AO279" s="113">
        <f t="shared" si="53"/>
        <v>12568</v>
      </c>
      <c r="AP279" s="113">
        <f t="shared" si="53"/>
        <v>13240</v>
      </c>
      <c r="AQ279" s="113">
        <f t="shared" si="53"/>
        <v>8842</v>
      </c>
      <c r="AR279" s="113">
        <f t="shared" si="53"/>
        <v>3664</v>
      </c>
      <c r="AS279" s="113">
        <f t="shared" si="53"/>
        <v>1797</v>
      </c>
      <c r="AT279" s="113">
        <f t="shared" si="53"/>
        <v>1112</v>
      </c>
      <c r="AU279" s="113">
        <f t="shared" si="54"/>
        <v>823</v>
      </c>
      <c r="AV279" s="113">
        <f t="shared" si="54"/>
        <v>955</v>
      </c>
      <c r="AW279" s="113">
        <f t="shared" si="54"/>
        <v>1653</v>
      </c>
      <c r="AX279" s="113">
        <f t="shared" si="54"/>
        <v>3360</v>
      </c>
    </row>
    <row r="280" spans="1:50" x14ac:dyDescent="0.25">
      <c r="A280" s="113">
        <v>277</v>
      </c>
      <c r="B280" s="209" t="s">
        <v>224</v>
      </c>
      <c r="C280">
        <f>IFERROR(INDEX($BD$7:$BO$35,MATCH(Ajustes!$E$4:$E$323,$BC$7:$BC$35,0),$C$2:$N$2),1)</f>
        <v>1</v>
      </c>
      <c r="D280" s="113">
        <f>IFERROR(INDEX($BD$7:$BO$35,MATCH(Ajustes!$E$4:$E$323,$BC$7:$BC$35,0),$C$2:$N$2),1)</f>
        <v>1</v>
      </c>
      <c r="E280" s="113">
        <f>IFERROR(INDEX($BD$7:$BO$35,MATCH(Ajustes!$E$4:$E$323,$BC$7:$BC$35,0),$C$2:$N$2),1)</f>
        <v>1</v>
      </c>
      <c r="F280" s="113">
        <f>IFERROR(INDEX($BD$7:$BO$35,MATCH(Ajustes!$E$4:$E$323,$BC$7:$BC$35,0),$C$2:$N$2),1)</f>
        <v>1</v>
      </c>
      <c r="G280" s="113">
        <f>IFERROR(INDEX($BD$7:$BO$35,MATCH(Ajustes!$E$4:$E$323,$BC$7:$BC$35,0),$C$2:$N$2),1)</f>
        <v>1</v>
      </c>
      <c r="H280" s="113">
        <f>IFERROR(INDEX($BD$7:$BO$35,MATCH(Ajustes!$E$4:$E$323,$BC$7:$BC$35,0),$C$2:$N$2),1)</f>
        <v>1</v>
      </c>
      <c r="I280" s="113">
        <f>IFERROR(INDEX($BD$7:$BO$35,MATCH(Ajustes!$E$4:$E$323,$BC$7:$BC$35,0),$C$2:$N$2),1)</f>
        <v>1</v>
      </c>
      <c r="J280" s="113">
        <f>IFERROR(INDEX($BD$7:$BO$35,MATCH(Ajustes!$E$4:$E$323,$BC$7:$BC$35,0),$C$2:$N$2),1)</f>
        <v>1</v>
      </c>
      <c r="K280" s="113">
        <f>IFERROR(INDEX($BD$7:$BO$35,MATCH(Ajustes!$E$4:$E$323,$BC$7:$BC$35,0),$C$2:$N$2),1)</f>
        <v>1</v>
      </c>
      <c r="L280" s="113">
        <f>IFERROR(INDEX($BD$7:$BO$35,MATCH(Ajustes!$E$4:$E$323,$BC$7:$BC$35,0),$C$2:$N$2),1)</f>
        <v>1</v>
      </c>
      <c r="M280" s="113">
        <f>IFERROR(INDEX($BD$7:$BO$35,MATCH(Ajustes!$E$4:$E$323,$BC$7:$BC$35,0),$C$2:$N$2),1)</f>
        <v>1</v>
      </c>
      <c r="N280" s="113">
        <f>IFERROR(INDEX($BD$7:$BO$35,MATCH(Ajustes!$E$4:$E$323,$BC$7:$BC$35,0),$C$2:$N$2),1)</f>
        <v>1</v>
      </c>
      <c r="O280">
        <f>C280*Ajustes!AM280</f>
        <v>143</v>
      </c>
      <c r="P280">
        <f>D280*Ajustes!AN280</f>
        <v>208</v>
      </c>
      <c r="Q280">
        <f>E280*Ajustes!AO280</f>
        <v>320</v>
      </c>
      <c r="R280">
        <f>F280*Ajustes!AP280</f>
        <v>406</v>
      </c>
      <c r="S280">
        <f>G280*Ajustes!AQ280</f>
        <v>389</v>
      </c>
      <c r="T280">
        <f>H280*Ajustes!AR280</f>
        <v>267</v>
      </c>
      <c r="U280">
        <f>I280*Ajustes!AS280</f>
        <v>198</v>
      </c>
      <c r="V280">
        <f>J280*Ajustes!AT280</f>
        <v>149</v>
      </c>
      <c r="W280">
        <f>K280*Ajustes!AU280</f>
        <v>129</v>
      </c>
      <c r="X280">
        <f>L280*Ajustes!AV280</f>
        <v>115</v>
      </c>
      <c r="Y280">
        <f>M280*Ajustes!AW280</f>
        <v>115</v>
      </c>
      <c r="Z280">
        <f>N280*Ajustes!AX280</f>
        <v>119</v>
      </c>
      <c r="AA280">
        <f>IF(Ajustes!$G280&gt;0,INDEX($AA$4:$AL$323,Ajustes!$G280,O$2),0)+IF(Ajustes!$H280&gt;0,INDEX($AA$4:$AL$323,Ajustes!$H280,O$2),0)+IF(Ajustes!$I280&gt;0,INDEX($AA$4:$AL$323,Ajustes!$I280,O$2),0)+IF(Ajustes!$J280&gt;0,INDEX($AA$4:$AL$323,Ajustes!$J280,O$2),0)+IF(Ajustes!$K280&gt;0,INDEX($AA$5:$AL$324,Ajustes!$K280,O$2),0)+IF(Ajustes!$L280&gt;0,INDEX($AA$4:$AL$323,Ajustes!$L280,O$2),0) + O280</f>
        <v>143</v>
      </c>
      <c r="AB280">
        <f>IF(Ajustes!$G280&gt;0,INDEX($AA$4:$AL$323,Ajustes!$G280,P$2),0)+IF(Ajustes!$H280&gt;0,INDEX($AA$4:$AL$323,Ajustes!$H280,P$2),0)+IF(Ajustes!$I280&gt;0,INDEX($AA$4:$AL$323,Ajustes!$I280,P$2),0)+IF(Ajustes!$J280&gt;0,INDEX($AA$4:$AL$323,Ajustes!$J280,P$2),0)+IF(Ajustes!$K280&gt;0,INDEX($AA$5:$AL$324,Ajustes!$K280,P$2),0)+IF(Ajustes!$L280&gt;0,INDEX($AA$4:$AL$323,Ajustes!$L280,P$2),0) + P280</f>
        <v>208</v>
      </c>
      <c r="AC280">
        <f>IF(Ajustes!$G280&gt;0,INDEX($AA$4:$AL$323,Ajustes!$G280,Q$2),0)+IF(Ajustes!$H280&gt;0,INDEX($AA$4:$AL$323,Ajustes!$H280,Q$2),0)+IF(Ajustes!$I280&gt;0,INDEX($AA$4:$AL$323,Ajustes!$I280,Q$2),0)+IF(Ajustes!$J280&gt;0,INDEX($AA$4:$AL$323,Ajustes!$J280,Q$2),0)+IF(Ajustes!$K280&gt;0,INDEX($AA$5:$AL$324,Ajustes!$K280,Q$2),0)+IF(Ajustes!$L280&gt;0,INDEX($AA$4:$AL$323,Ajustes!$L280,Q$2),0) + Q280</f>
        <v>320</v>
      </c>
      <c r="AD280">
        <f>IF(Ajustes!$G280&gt;0,INDEX($AA$4:$AL$323,Ajustes!$G280,R$2),0)+IF(Ajustes!$H280&gt;0,INDEX($AA$4:$AL$323,Ajustes!$H280,R$2),0)+IF(Ajustes!$I280&gt;0,INDEX($AA$4:$AL$323,Ajustes!$I280,R$2),0)+IF(Ajustes!$J280&gt;0,INDEX($AA$4:$AL$323,Ajustes!$J280,R$2),0)+IF(Ajustes!$K280&gt;0,INDEX($AA$5:$AL$324,Ajustes!$K280,R$2),0)+IF(Ajustes!$L280&gt;0,INDEX($AA$4:$AL$323,Ajustes!$L280,R$2),0) + R280</f>
        <v>406</v>
      </c>
      <c r="AE280">
        <f>IF(Ajustes!$G280&gt;0,INDEX($AA$4:$AL$323,Ajustes!$G280,S$2),0)+IF(Ajustes!$H280&gt;0,INDEX($AA$4:$AL$323,Ajustes!$H280,S$2),0)+IF(Ajustes!$I280&gt;0,INDEX($AA$4:$AL$323,Ajustes!$I280,S$2),0)+IF(Ajustes!$J280&gt;0,INDEX($AA$4:$AL$323,Ajustes!$J280,S$2),0)+IF(Ajustes!$K280&gt;0,INDEX($AA$5:$AL$324,Ajustes!$K280,S$2),0)+IF(Ajustes!$L280&gt;0,INDEX($AA$4:$AL$323,Ajustes!$L280,S$2),0) + S280</f>
        <v>389</v>
      </c>
      <c r="AF280">
        <f>IF(Ajustes!$G280&gt;0,INDEX($AA$4:$AL$323,Ajustes!$G280,T$2),0)+IF(Ajustes!$H280&gt;0,INDEX($AA$4:$AL$323,Ajustes!$H280,T$2),0)+IF(Ajustes!$I280&gt;0,INDEX($AA$4:$AL$323,Ajustes!$I280,T$2),0)+IF(Ajustes!$J280&gt;0,INDEX($AA$4:$AL$323,Ajustes!$J280,T$2),0)+IF(Ajustes!$K280&gt;0,INDEX($AA$5:$AL$324,Ajustes!$K280,T$2),0)+IF(Ajustes!$L280&gt;0,INDEX($AA$4:$AL$323,Ajustes!$L280,T$2),0) + T280</f>
        <v>267</v>
      </c>
      <c r="AG280">
        <f>IF(Ajustes!$G280&gt;0,INDEX($AA$4:$AL$323,Ajustes!$G280,U$2),0)+IF(Ajustes!$H280&gt;0,INDEX($AA$4:$AL$323,Ajustes!$H280,U$2),0)+IF(Ajustes!$I280&gt;0,INDEX($AA$4:$AL$323,Ajustes!$I280,U$2),0)+IF(Ajustes!$J280&gt;0,INDEX($AA$4:$AL$323,Ajustes!$J280,U$2),0)+IF(Ajustes!$K280&gt;0,INDEX($AA$5:$AL$324,Ajustes!$K280,U$2),0)+IF(Ajustes!$L280&gt;0,INDEX($AA$4:$AL$323,Ajustes!$L280,U$2),0) + U280</f>
        <v>198</v>
      </c>
      <c r="AH280">
        <f>IF(Ajustes!$G280&gt;0,INDEX($AA$4:$AL$323,Ajustes!$G280,V$2),0)+IF(Ajustes!$H280&gt;0,INDEX($AA$4:$AL$323,Ajustes!$H280,V$2),0)+IF(Ajustes!$I280&gt;0,INDEX($AA$4:$AL$323,Ajustes!$I280,V$2),0)+IF(Ajustes!$J280&gt;0,INDEX($AA$4:$AL$323,Ajustes!$J280,V$2),0)+IF(Ajustes!$K280&gt;0,INDEX($AA$5:$AL$324,Ajustes!$K280,V$2),0)+IF(Ajustes!$L280&gt;0,INDEX($AA$4:$AL$323,Ajustes!$L280,V$2),0) + V280</f>
        <v>149</v>
      </c>
      <c r="AI280">
        <f>IF(Ajustes!$G280&gt;0,INDEX($AA$4:$AL$323,Ajustes!$G280,W$2),0)+IF(Ajustes!$H280&gt;0,INDEX($AA$4:$AL$323,Ajustes!$H280,W$2),0)+IF(Ajustes!$I280&gt;0,INDEX($AA$4:$AL$323,Ajustes!$I280,W$2),0)+IF(Ajustes!$J280&gt;0,INDEX($AA$4:$AL$323,Ajustes!$J280,W$2),0)+IF(Ajustes!$K280&gt;0,INDEX($AA$5:$AL$324,Ajustes!$K280,W$2),0)+IF(Ajustes!$L280&gt;0,INDEX($AA$4:$AL$323,Ajustes!$L280,W$2),0) + W280</f>
        <v>129</v>
      </c>
      <c r="AJ280">
        <f>IF(Ajustes!$G280&gt;0,INDEX($AA$4:$AL$323,Ajustes!$G280,X$2),0)+IF(Ajustes!$H280&gt;0,INDEX($AA$4:$AL$323,Ajustes!$H280,X$2),0)+IF(Ajustes!$I280&gt;0,INDEX($AA$4:$AL$323,Ajustes!$I280,X$2),0)+IF(Ajustes!$J280&gt;0,INDEX($AA$4:$AL$323,Ajustes!$J280,X$2),0)+IF(Ajustes!$K280&gt;0,INDEX($AA$5:$AL$324,Ajustes!$K280,X$2),0)+IF(Ajustes!$L280&gt;0,INDEX($AA$4:$AL$323,Ajustes!$L280,X$2),0) + X280</f>
        <v>115</v>
      </c>
      <c r="AK280">
        <f>IF(Ajustes!$G280&gt;0,INDEX($AA$4:$AL$323,Ajustes!$G280,Y$2),0)+IF(Ajustes!$H280&gt;0,INDEX($AA$4:$AL$323,Ajustes!$H280,Y$2),0)+IF(Ajustes!$I280&gt;0,INDEX($AA$4:$AL$323,Ajustes!$I280,Y$2),0)+IF(Ajustes!$J280&gt;0,INDEX($AA$4:$AL$323,Ajustes!$J280,Y$2),0)+IF(Ajustes!$K280&gt;0,INDEX($AA$5:$AL$324,Ajustes!$K280,Y$2),0)+IF(Ajustes!$L280&gt;0,INDEX($AA$4:$AL$323,Ajustes!$L280,Y$2),0) + Y280</f>
        <v>115</v>
      </c>
      <c r="AL280">
        <f>IF(Ajustes!$G280&gt;0,INDEX($AA$4:$AL$323,Ajustes!$G280,Z$2),0)+IF(Ajustes!$H280&gt;0,INDEX($AA$4:$AL$323,Ajustes!$H280,Z$2),0)+IF(Ajustes!$I280&gt;0,INDEX($AA$4:$AL$323,Ajustes!$I280,Z$2),0)+IF(Ajustes!$J280&gt;0,INDEX($AA$4:$AL$323,Ajustes!$J280,Z$2),0)+IF(Ajustes!$K280&gt;0,INDEX($AA$5:$AL$324,Ajustes!$K280,Z$2),0)+IF(Ajustes!$L280&gt;0,INDEX($AA$4:$AL$323,Ajustes!$L280,Z$2),0) + Z280</f>
        <v>119</v>
      </c>
      <c r="AM280" s="113">
        <f t="shared" si="53"/>
        <v>143</v>
      </c>
      <c r="AN280" s="113">
        <f t="shared" si="53"/>
        <v>208</v>
      </c>
      <c r="AO280" s="113">
        <f t="shared" si="53"/>
        <v>320</v>
      </c>
      <c r="AP280" s="113">
        <f t="shared" si="53"/>
        <v>406</v>
      </c>
      <c r="AQ280" s="113">
        <f t="shared" si="53"/>
        <v>389</v>
      </c>
      <c r="AR280" s="113">
        <f t="shared" si="53"/>
        <v>267</v>
      </c>
      <c r="AS280" s="113">
        <f t="shared" si="53"/>
        <v>198</v>
      </c>
      <c r="AT280" s="113">
        <f t="shared" si="53"/>
        <v>149</v>
      </c>
      <c r="AU280" s="113">
        <f t="shared" si="54"/>
        <v>129</v>
      </c>
      <c r="AV280" s="113">
        <f t="shared" si="54"/>
        <v>115</v>
      </c>
      <c r="AW280" s="113">
        <f t="shared" si="54"/>
        <v>115</v>
      </c>
      <c r="AX280" s="113">
        <f t="shared" si="54"/>
        <v>119</v>
      </c>
    </row>
    <row r="281" spans="1:50" x14ac:dyDescent="0.25">
      <c r="A281" s="113">
        <v>278</v>
      </c>
      <c r="B281" s="209" t="s">
        <v>663</v>
      </c>
      <c r="C281">
        <f>IFERROR(INDEX($BD$7:$BO$35,MATCH(Ajustes!$E$4:$E$323,$BC$7:$BC$35,0),$C$2:$N$2),1)</f>
        <v>1</v>
      </c>
      <c r="D281" s="113">
        <f>IFERROR(INDEX($BD$7:$BO$35,MATCH(Ajustes!$E$4:$E$323,$BC$7:$BC$35,0),$C$2:$N$2),1)</f>
        <v>1</v>
      </c>
      <c r="E281" s="113">
        <f>IFERROR(INDEX($BD$7:$BO$35,MATCH(Ajustes!$E$4:$E$323,$BC$7:$BC$35,0),$C$2:$N$2),1)</f>
        <v>1</v>
      </c>
      <c r="F281" s="113">
        <f>IFERROR(INDEX($BD$7:$BO$35,MATCH(Ajustes!$E$4:$E$323,$BC$7:$BC$35,0),$C$2:$N$2),1)</f>
        <v>1</v>
      </c>
      <c r="G281" s="113">
        <f>IFERROR(INDEX($BD$7:$BO$35,MATCH(Ajustes!$E$4:$E$323,$BC$7:$BC$35,0),$C$2:$N$2),1)</f>
        <v>1</v>
      </c>
      <c r="H281" s="113">
        <f>IFERROR(INDEX($BD$7:$BO$35,MATCH(Ajustes!$E$4:$E$323,$BC$7:$BC$35,0),$C$2:$N$2),1)</f>
        <v>1</v>
      </c>
      <c r="I281" s="113">
        <f>IFERROR(INDEX($BD$7:$BO$35,MATCH(Ajustes!$E$4:$E$323,$BC$7:$BC$35,0),$C$2:$N$2),1)</f>
        <v>1</v>
      </c>
      <c r="J281" s="113">
        <f>IFERROR(INDEX($BD$7:$BO$35,MATCH(Ajustes!$E$4:$E$323,$BC$7:$BC$35,0),$C$2:$N$2),1)</f>
        <v>1</v>
      </c>
      <c r="K281" s="113">
        <f>IFERROR(INDEX($BD$7:$BO$35,MATCH(Ajustes!$E$4:$E$323,$BC$7:$BC$35,0),$C$2:$N$2),1)</f>
        <v>1</v>
      </c>
      <c r="L281" s="113">
        <f>IFERROR(INDEX($BD$7:$BO$35,MATCH(Ajustes!$E$4:$E$323,$BC$7:$BC$35,0),$C$2:$N$2),1)</f>
        <v>1</v>
      </c>
      <c r="M281" s="113">
        <f>IFERROR(INDEX($BD$7:$BO$35,MATCH(Ajustes!$E$4:$E$323,$BC$7:$BC$35,0),$C$2:$N$2),1)</f>
        <v>1</v>
      </c>
      <c r="N281" s="113">
        <f>IFERROR(INDEX($BD$7:$BO$35,MATCH(Ajustes!$E$4:$E$323,$BC$7:$BC$35,0),$C$2:$N$2),1)</f>
        <v>1</v>
      </c>
      <c r="O281">
        <f>C281*Ajustes!AM281</f>
        <v>306</v>
      </c>
      <c r="P281">
        <f>D281*Ajustes!AN281</f>
        <v>345</v>
      </c>
      <c r="Q281">
        <f>E281*Ajustes!AO281</f>
        <v>323</v>
      </c>
      <c r="R281">
        <f>F281*Ajustes!AP281</f>
        <v>216</v>
      </c>
      <c r="S281">
        <f>G281*Ajustes!AQ281</f>
        <v>123</v>
      </c>
      <c r="T281">
        <f>H281*Ajustes!AR281</f>
        <v>92</v>
      </c>
      <c r="U281">
        <f>I281*Ajustes!AS281</f>
        <v>78</v>
      </c>
      <c r="V281">
        <f>J281*Ajustes!AT281</f>
        <v>69</v>
      </c>
      <c r="W281">
        <f>K281*Ajustes!AU281</f>
        <v>70</v>
      </c>
      <c r="X281">
        <f>L281*Ajustes!AV281</f>
        <v>94</v>
      </c>
      <c r="Y281">
        <f>M281*Ajustes!AW281</f>
        <v>130</v>
      </c>
      <c r="Z281">
        <f>N281*Ajustes!AX281</f>
        <v>207</v>
      </c>
      <c r="AA281">
        <f>IF(Ajustes!$G281&gt;0,INDEX($AA$4:$AL$323,Ajustes!$G281,O$2),0)+IF(Ajustes!$H281&gt;0,INDEX($AA$4:$AL$323,Ajustes!$H281,O$2),0)+IF(Ajustes!$I281&gt;0,INDEX($AA$4:$AL$323,Ajustes!$I281,O$2),0)+IF(Ajustes!$J281&gt;0,INDEX($AA$4:$AL$323,Ajustes!$J281,O$2),0)+IF(Ajustes!$K281&gt;0,INDEX($AA$5:$AL$324,Ajustes!$K281,O$2),0)+IF(Ajustes!$L281&gt;0,INDEX($AA$4:$AL$323,Ajustes!$L281,O$2),0) + O281</f>
        <v>306</v>
      </c>
      <c r="AB281">
        <f>IF(Ajustes!$G281&gt;0,INDEX($AA$4:$AL$323,Ajustes!$G281,P$2),0)+IF(Ajustes!$H281&gt;0,INDEX($AA$4:$AL$323,Ajustes!$H281,P$2),0)+IF(Ajustes!$I281&gt;0,INDEX($AA$4:$AL$323,Ajustes!$I281,P$2),0)+IF(Ajustes!$J281&gt;0,INDEX($AA$4:$AL$323,Ajustes!$J281,P$2),0)+IF(Ajustes!$K281&gt;0,INDEX($AA$5:$AL$324,Ajustes!$K281,P$2),0)+IF(Ajustes!$L281&gt;0,INDEX($AA$4:$AL$323,Ajustes!$L281,P$2),0) + P281</f>
        <v>345</v>
      </c>
      <c r="AC281">
        <f>IF(Ajustes!$G281&gt;0,INDEX($AA$4:$AL$323,Ajustes!$G281,Q$2),0)+IF(Ajustes!$H281&gt;0,INDEX($AA$4:$AL$323,Ajustes!$H281,Q$2),0)+IF(Ajustes!$I281&gt;0,INDEX($AA$4:$AL$323,Ajustes!$I281,Q$2),0)+IF(Ajustes!$J281&gt;0,INDEX($AA$4:$AL$323,Ajustes!$J281,Q$2),0)+IF(Ajustes!$K281&gt;0,INDEX($AA$5:$AL$324,Ajustes!$K281,Q$2),0)+IF(Ajustes!$L281&gt;0,INDEX($AA$4:$AL$323,Ajustes!$L281,Q$2),0) + Q281</f>
        <v>323</v>
      </c>
      <c r="AD281">
        <f>IF(Ajustes!$G281&gt;0,INDEX($AA$4:$AL$323,Ajustes!$G281,R$2),0)+IF(Ajustes!$H281&gt;0,INDEX($AA$4:$AL$323,Ajustes!$H281,R$2),0)+IF(Ajustes!$I281&gt;0,INDEX($AA$4:$AL$323,Ajustes!$I281,R$2),0)+IF(Ajustes!$J281&gt;0,INDEX($AA$4:$AL$323,Ajustes!$J281,R$2),0)+IF(Ajustes!$K281&gt;0,INDEX($AA$5:$AL$324,Ajustes!$K281,R$2),0)+IF(Ajustes!$L281&gt;0,INDEX($AA$4:$AL$323,Ajustes!$L281,R$2),0) + R281</f>
        <v>216</v>
      </c>
      <c r="AE281">
        <f>IF(Ajustes!$G281&gt;0,INDEX($AA$4:$AL$323,Ajustes!$G281,S$2),0)+IF(Ajustes!$H281&gt;0,INDEX($AA$4:$AL$323,Ajustes!$H281,S$2),0)+IF(Ajustes!$I281&gt;0,INDEX($AA$4:$AL$323,Ajustes!$I281,S$2),0)+IF(Ajustes!$J281&gt;0,INDEX($AA$4:$AL$323,Ajustes!$J281,S$2),0)+IF(Ajustes!$K281&gt;0,INDEX($AA$5:$AL$324,Ajustes!$K281,S$2),0)+IF(Ajustes!$L281&gt;0,INDEX($AA$4:$AL$323,Ajustes!$L281,S$2),0) + S281</f>
        <v>123</v>
      </c>
      <c r="AF281">
        <f>IF(Ajustes!$G281&gt;0,INDEX($AA$4:$AL$323,Ajustes!$G281,T$2),0)+IF(Ajustes!$H281&gt;0,INDEX($AA$4:$AL$323,Ajustes!$H281,T$2),0)+IF(Ajustes!$I281&gt;0,INDEX($AA$4:$AL$323,Ajustes!$I281,T$2),0)+IF(Ajustes!$J281&gt;0,INDEX($AA$4:$AL$323,Ajustes!$J281,T$2),0)+IF(Ajustes!$K281&gt;0,INDEX($AA$5:$AL$324,Ajustes!$K281,T$2),0)+IF(Ajustes!$L281&gt;0,INDEX($AA$4:$AL$323,Ajustes!$L281,T$2),0) + T281</f>
        <v>92</v>
      </c>
      <c r="AG281">
        <f>IF(Ajustes!$G281&gt;0,INDEX($AA$4:$AL$323,Ajustes!$G281,U$2),0)+IF(Ajustes!$H281&gt;0,INDEX($AA$4:$AL$323,Ajustes!$H281,U$2),0)+IF(Ajustes!$I281&gt;0,INDEX($AA$4:$AL$323,Ajustes!$I281,U$2),0)+IF(Ajustes!$J281&gt;0,INDEX($AA$4:$AL$323,Ajustes!$J281,U$2),0)+IF(Ajustes!$K281&gt;0,INDEX($AA$5:$AL$324,Ajustes!$K281,U$2),0)+IF(Ajustes!$L281&gt;0,INDEX($AA$4:$AL$323,Ajustes!$L281,U$2),0) + U281</f>
        <v>78</v>
      </c>
      <c r="AH281">
        <f>IF(Ajustes!$G281&gt;0,INDEX($AA$4:$AL$323,Ajustes!$G281,V$2),0)+IF(Ajustes!$H281&gt;0,INDEX($AA$4:$AL$323,Ajustes!$H281,V$2),0)+IF(Ajustes!$I281&gt;0,INDEX($AA$4:$AL$323,Ajustes!$I281,V$2),0)+IF(Ajustes!$J281&gt;0,INDEX($AA$4:$AL$323,Ajustes!$J281,V$2),0)+IF(Ajustes!$K281&gt;0,INDEX($AA$5:$AL$324,Ajustes!$K281,V$2),0)+IF(Ajustes!$L281&gt;0,INDEX($AA$4:$AL$323,Ajustes!$L281,V$2),0) + V281</f>
        <v>69</v>
      </c>
      <c r="AI281">
        <f>IF(Ajustes!$G281&gt;0,INDEX($AA$4:$AL$323,Ajustes!$G281,W$2),0)+IF(Ajustes!$H281&gt;0,INDEX($AA$4:$AL$323,Ajustes!$H281,W$2),0)+IF(Ajustes!$I281&gt;0,INDEX($AA$4:$AL$323,Ajustes!$I281,W$2),0)+IF(Ajustes!$J281&gt;0,INDEX($AA$4:$AL$323,Ajustes!$J281,W$2),0)+IF(Ajustes!$K281&gt;0,INDEX($AA$5:$AL$324,Ajustes!$K281,W$2),0)+IF(Ajustes!$L281&gt;0,INDEX($AA$4:$AL$323,Ajustes!$L281,W$2),0) + W281</f>
        <v>70</v>
      </c>
      <c r="AJ281">
        <f>IF(Ajustes!$G281&gt;0,INDEX($AA$4:$AL$323,Ajustes!$G281,X$2),0)+IF(Ajustes!$H281&gt;0,INDEX($AA$4:$AL$323,Ajustes!$H281,X$2),0)+IF(Ajustes!$I281&gt;0,INDEX($AA$4:$AL$323,Ajustes!$I281,X$2),0)+IF(Ajustes!$J281&gt;0,INDEX($AA$4:$AL$323,Ajustes!$J281,X$2),0)+IF(Ajustes!$K281&gt;0,INDEX($AA$5:$AL$324,Ajustes!$K281,X$2),0)+IF(Ajustes!$L281&gt;0,INDEX($AA$4:$AL$323,Ajustes!$L281,X$2),0) + X281</f>
        <v>94</v>
      </c>
      <c r="AK281">
        <f>IF(Ajustes!$G281&gt;0,INDEX($AA$4:$AL$323,Ajustes!$G281,Y$2),0)+IF(Ajustes!$H281&gt;0,INDEX($AA$4:$AL$323,Ajustes!$H281,Y$2),0)+IF(Ajustes!$I281&gt;0,INDEX($AA$4:$AL$323,Ajustes!$I281,Y$2),0)+IF(Ajustes!$J281&gt;0,INDEX($AA$4:$AL$323,Ajustes!$J281,Y$2),0)+IF(Ajustes!$K281&gt;0,INDEX($AA$5:$AL$324,Ajustes!$K281,Y$2),0)+IF(Ajustes!$L281&gt;0,INDEX($AA$4:$AL$323,Ajustes!$L281,Y$2),0) + Y281</f>
        <v>130</v>
      </c>
      <c r="AL281">
        <f>IF(Ajustes!$G281&gt;0,INDEX($AA$4:$AL$323,Ajustes!$G281,Z$2),0)+IF(Ajustes!$H281&gt;0,INDEX($AA$4:$AL$323,Ajustes!$H281,Z$2),0)+IF(Ajustes!$I281&gt;0,INDEX($AA$4:$AL$323,Ajustes!$I281,Z$2),0)+IF(Ajustes!$J281&gt;0,INDEX($AA$4:$AL$323,Ajustes!$J281,Z$2),0)+IF(Ajustes!$K281&gt;0,INDEX($AA$5:$AL$324,Ajustes!$K281,Z$2),0)+IF(Ajustes!$L281&gt;0,INDEX($AA$4:$AL$323,Ajustes!$L281,Z$2),0) + Z281</f>
        <v>207</v>
      </c>
      <c r="AM281" s="113">
        <f t="shared" si="53"/>
        <v>306</v>
      </c>
      <c r="AN281" s="113">
        <f t="shared" si="53"/>
        <v>345</v>
      </c>
      <c r="AO281" s="113">
        <f t="shared" si="53"/>
        <v>323</v>
      </c>
      <c r="AP281" s="113">
        <f t="shared" si="53"/>
        <v>216</v>
      </c>
      <c r="AQ281" s="113">
        <f t="shared" si="53"/>
        <v>123</v>
      </c>
      <c r="AR281" s="113">
        <f t="shared" si="53"/>
        <v>92</v>
      </c>
      <c r="AS281" s="113">
        <f t="shared" si="53"/>
        <v>78</v>
      </c>
      <c r="AT281" s="113">
        <f t="shared" si="53"/>
        <v>69</v>
      </c>
      <c r="AU281" s="113">
        <f t="shared" si="54"/>
        <v>70</v>
      </c>
      <c r="AV281" s="113">
        <f t="shared" si="54"/>
        <v>94</v>
      </c>
      <c r="AW281" s="113">
        <f t="shared" si="54"/>
        <v>130</v>
      </c>
      <c r="AX281" s="113">
        <f t="shared" si="54"/>
        <v>207</v>
      </c>
    </row>
    <row r="282" spans="1:50" x14ac:dyDescent="0.25">
      <c r="A282" s="113">
        <v>279</v>
      </c>
      <c r="B282" s="209" t="s">
        <v>664</v>
      </c>
      <c r="C282">
        <f>IFERROR(INDEX($BD$7:$BO$35,MATCH(Ajustes!$E$4:$E$323,$BC$7:$BC$35,0),$C$2:$N$2),1)</f>
        <v>1</v>
      </c>
      <c r="D282" s="113">
        <f>IFERROR(INDEX($BD$7:$BO$35,MATCH(Ajustes!$E$4:$E$323,$BC$7:$BC$35,0),$C$2:$N$2),1)</f>
        <v>1</v>
      </c>
      <c r="E282" s="113">
        <f>IFERROR(INDEX($BD$7:$BO$35,MATCH(Ajustes!$E$4:$E$323,$BC$7:$BC$35,0),$C$2:$N$2),1)</f>
        <v>1</v>
      </c>
      <c r="F282" s="113">
        <f>IFERROR(INDEX($BD$7:$BO$35,MATCH(Ajustes!$E$4:$E$323,$BC$7:$BC$35,0),$C$2:$N$2),1)</f>
        <v>1</v>
      </c>
      <c r="G282" s="113">
        <f>IFERROR(INDEX($BD$7:$BO$35,MATCH(Ajustes!$E$4:$E$323,$BC$7:$BC$35,0),$C$2:$N$2),1)</f>
        <v>1</v>
      </c>
      <c r="H282" s="113">
        <f>IFERROR(INDEX($BD$7:$BO$35,MATCH(Ajustes!$E$4:$E$323,$BC$7:$BC$35,0),$C$2:$N$2),1)</f>
        <v>1</v>
      </c>
      <c r="I282" s="113">
        <f>IFERROR(INDEX($BD$7:$BO$35,MATCH(Ajustes!$E$4:$E$323,$BC$7:$BC$35,0),$C$2:$N$2),1)</f>
        <v>1</v>
      </c>
      <c r="J282" s="113">
        <f>IFERROR(INDEX($BD$7:$BO$35,MATCH(Ajustes!$E$4:$E$323,$BC$7:$BC$35,0),$C$2:$N$2),1)</f>
        <v>1</v>
      </c>
      <c r="K282" s="113">
        <f>IFERROR(INDEX($BD$7:$BO$35,MATCH(Ajustes!$E$4:$E$323,$BC$7:$BC$35,0),$C$2:$N$2),1)</f>
        <v>1</v>
      </c>
      <c r="L282" s="113">
        <f>IFERROR(INDEX($BD$7:$BO$35,MATCH(Ajustes!$E$4:$E$323,$BC$7:$BC$35,0),$C$2:$N$2),1)</f>
        <v>1</v>
      </c>
      <c r="M282" s="113">
        <f>IFERROR(INDEX($BD$7:$BO$35,MATCH(Ajustes!$E$4:$E$323,$BC$7:$BC$35,0),$C$2:$N$2),1)</f>
        <v>1</v>
      </c>
      <c r="N282" s="113">
        <f>IFERROR(INDEX($BD$7:$BO$35,MATCH(Ajustes!$E$4:$E$323,$BC$7:$BC$35,0),$C$2:$N$2),1)</f>
        <v>1</v>
      </c>
      <c r="O282">
        <f>C282*Ajustes!AM282</f>
        <v>475</v>
      </c>
      <c r="P282">
        <f>D282*Ajustes!AN282</f>
        <v>742</v>
      </c>
      <c r="Q282">
        <f>E282*Ajustes!AO282</f>
        <v>843</v>
      </c>
      <c r="R282">
        <f>F282*Ajustes!AP282</f>
        <v>757</v>
      </c>
      <c r="S282">
        <f>G282*Ajustes!AQ282</f>
        <v>462</v>
      </c>
      <c r="T282">
        <f>H282*Ajustes!AR282</f>
        <v>245</v>
      </c>
      <c r="U282">
        <f>I282*Ajustes!AS282</f>
        <v>145</v>
      </c>
      <c r="V282">
        <f>J282*Ajustes!AT282</f>
        <v>89</v>
      </c>
      <c r="W282">
        <f>K282*Ajustes!AU282</f>
        <v>63</v>
      </c>
      <c r="X282">
        <f>L282*Ajustes!AV282</f>
        <v>60</v>
      </c>
      <c r="Y282">
        <f>M282*Ajustes!AW282</f>
        <v>117</v>
      </c>
      <c r="Z282">
        <f>N282*Ajustes!AX282</f>
        <v>238</v>
      </c>
      <c r="AA282">
        <f>IF(Ajustes!$G282&gt;0,INDEX($AA$4:$AL$323,Ajustes!$G282,O$2),0)+IF(Ajustes!$H282&gt;0,INDEX($AA$4:$AL$323,Ajustes!$H282,O$2),0)+IF(Ajustes!$I282&gt;0,INDEX($AA$4:$AL$323,Ajustes!$I282,O$2),0)+IF(Ajustes!$J282&gt;0,INDEX($AA$4:$AL$323,Ajustes!$J282,O$2),0)+IF(Ajustes!$K282&gt;0,INDEX($AA$5:$AL$324,Ajustes!$K282,O$2),0)+IF(Ajustes!$L282&gt;0,INDEX($AA$4:$AL$323,Ajustes!$L282,O$2),0) + O282</f>
        <v>475</v>
      </c>
      <c r="AB282">
        <f>IF(Ajustes!$G282&gt;0,INDEX($AA$4:$AL$323,Ajustes!$G282,P$2),0)+IF(Ajustes!$H282&gt;0,INDEX($AA$4:$AL$323,Ajustes!$H282,P$2),0)+IF(Ajustes!$I282&gt;0,INDEX($AA$4:$AL$323,Ajustes!$I282,P$2),0)+IF(Ajustes!$J282&gt;0,INDEX($AA$4:$AL$323,Ajustes!$J282,P$2),0)+IF(Ajustes!$K282&gt;0,INDEX($AA$5:$AL$324,Ajustes!$K282,P$2),0)+IF(Ajustes!$L282&gt;0,INDEX($AA$4:$AL$323,Ajustes!$L282,P$2),0) + P282</f>
        <v>742</v>
      </c>
      <c r="AC282">
        <f>IF(Ajustes!$G282&gt;0,INDEX($AA$4:$AL$323,Ajustes!$G282,Q$2),0)+IF(Ajustes!$H282&gt;0,INDEX($AA$4:$AL$323,Ajustes!$H282,Q$2),0)+IF(Ajustes!$I282&gt;0,INDEX($AA$4:$AL$323,Ajustes!$I282,Q$2),0)+IF(Ajustes!$J282&gt;0,INDEX($AA$4:$AL$323,Ajustes!$J282,Q$2),0)+IF(Ajustes!$K282&gt;0,INDEX($AA$5:$AL$324,Ajustes!$K282,Q$2),0)+IF(Ajustes!$L282&gt;0,INDEX($AA$4:$AL$323,Ajustes!$L282,Q$2),0) + Q282</f>
        <v>843</v>
      </c>
      <c r="AD282">
        <f>IF(Ajustes!$G282&gt;0,INDEX($AA$4:$AL$323,Ajustes!$G282,R$2),0)+IF(Ajustes!$H282&gt;0,INDEX($AA$4:$AL$323,Ajustes!$H282,R$2),0)+IF(Ajustes!$I282&gt;0,INDEX($AA$4:$AL$323,Ajustes!$I282,R$2),0)+IF(Ajustes!$J282&gt;0,INDEX($AA$4:$AL$323,Ajustes!$J282,R$2),0)+IF(Ajustes!$K282&gt;0,INDEX($AA$5:$AL$324,Ajustes!$K282,R$2),0)+IF(Ajustes!$L282&gt;0,INDEX($AA$4:$AL$323,Ajustes!$L282,R$2),0) + R282</f>
        <v>757</v>
      </c>
      <c r="AE282">
        <f>IF(Ajustes!$G282&gt;0,INDEX($AA$4:$AL$323,Ajustes!$G282,S$2),0)+IF(Ajustes!$H282&gt;0,INDEX($AA$4:$AL$323,Ajustes!$H282,S$2),0)+IF(Ajustes!$I282&gt;0,INDEX($AA$4:$AL$323,Ajustes!$I282,S$2),0)+IF(Ajustes!$J282&gt;0,INDEX($AA$4:$AL$323,Ajustes!$J282,S$2),0)+IF(Ajustes!$K282&gt;0,INDEX($AA$5:$AL$324,Ajustes!$K282,S$2),0)+IF(Ajustes!$L282&gt;0,INDEX($AA$4:$AL$323,Ajustes!$L282,S$2),0) + S282</f>
        <v>462</v>
      </c>
      <c r="AF282">
        <f>IF(Ajustes!$G282&gt;0,INDEX($AA$4:$AL$323,Ajustes!$G282,T$2),0)+IF(Ajustes!$H282&gt;0,INDEX($AA$4:$AL$323,Ajustes!$H282,T$2),0)+IF(Ajustes!$I282&gt;0,INDEX($AA$4:$AL$323,Ajustes!$I282,T$2),0)+IF(Ajustes!$J282&gt;0,INDEX($AA$4:$AL$323,Ajustes!$J282,T$2),0)+IF(Ajustes!$K282&gt;0,INDEX($AA$5:$AL$324,Ajustes!$K282,T$2),0)+IF(Ajustes!$L282&gt;0,INDEX($AA$4:$AL$323,Ajustes!$L282,T$2),0) + T282</f>
        <v>245</v>
      </c>
      <c r="AG282">
        <f>IF(Ajustes!$G282&gt;0,INDEX($AA$4:$AL$323,Ajustes!$G282,U$2),0)+IF(Ajustes!$H282&gt;0,INDEX($AA$4:$AL$323,Ajustes!$H282,U$2),0)+IF(Ajustes!$I282&gt;0,INDEX($AA$4:$AL$323,Ajustes!$I282,U$2),0)+IF(Ajustes!$J282&gt;0,INDEX($AA$4:$AL$323,Ajustes!$J282,U$2),0)+IF(Ajustes!$K282&gt;0,INDEX($AA$5:$AL$324,Ajustes!$K282,U$2),0)+IF(Ajustes!$L282&gt;0,INDEX($AA$4:$AL$323,Ajustes!$L282,U$2),0) + U282</f>
        <v>145</v>
      </c>
      <c r="AH282">
        <f>IF(Ajustes!$G282&gt;0,INDEX($AA$4:$AL$323,Ajustes!$G282,V$2),0)+IF(Ajustes!$H282&gt;0,INDEX($AA$4:$AL$323,Ajustes!$H282,V$2),0)+IF(Ajustes!$I282&gt;0,INDEX($AA$4:$AL$323,Ajustes!$I282,V$2),0)+IF(Ajustes!$J282&gt;0,INDEX($AA$4:$AL$323,Ajustes!$J282,V$2),0)+IF(Ajustes!$K282&gt;0,INDEX($AA$5:$AL$324,Ajustes!$K282,V$2),0)+IF(Ajustes!$L282&gt;0,INDEX($AA$4:$AL$323,Ajustes!$L282,V$2),0) + V282</f>
        <v>89</v>
      </c>
      <c r="AI282">
        <f>IF(Ajustes!$G282&gt;0,INDEX($AA$4:$AL$323,Ajustes!$G282,W$2),0)+IF(Ajustes!$H282&gt;0,INDEX($AA$4:$AL$323,Ajustes!$H282,W$2),0)+IF(Ajustes!$I282&gt;0,INDEX($AA$4:$AL$323,Ajustes!$I282,W$2),0)+IF(Ajustes!$J282&gt;0,INDEX($AA$4:$AL$323,Ajustes!$J282,W$2),0)+IF(Ajustes!$K282&gt;0,INDEX($AA$5:$AL$324,Ajustes!$K282,W$2),0)+IF(Ajustes!$L282&gt;0,INDEX($AA$4:$AL$323,Ajustes!$L282,W$2),0) + W282</f>
        <v>63</v>
      </c>
      <c r="AJ282">
        <f>IF(Ajustes!$G282&gt;0,INDEX($AA$4:$AL$323,Ajustes!$G282,X$2),0)+IF(Ajustes!$H282&gt;0,INDEX($AA$4:$AL$323,Ajustes!$H282,X$2),0)+IF(Ajustes!$I282&gt;0,INDEX($AA$4:$AL$323,Ajustes!$I282,X$2),0)+IF(Ajustes!$J282&gt;0,INDEX($AA$4:$AL$323,Ajustes!$J282,X$2),0)+IF(Ajustes!$K282&gt;0,INDEX($AA$5:$AL$324,Ajustes!$K282,X$2),0)+IF(Ajustes!$L282&gt;0,INDEX($AA$4:$AL$323,Ajustes!$L282,X$2),0) + X282</f>
        <v>60</v>
      </c>
      <c r="AK282">
        <f>IF(Ajustes!$G282&gt;0,INDEX($AA$4:$AL$323,Ajustes!$G282,Y$2),0)+IF(Ajustes!$H282&gt;0,INDEX($AA$4:$AL$323,Ajustes!$H282,Y$2),0)+IF(Ajustes!$I282&gt;0,INDEX($AA$4:$AL$323,Ajustes!$I282,Y$2),0)+IF(Ajustes!$J282&gt;0,INDEX($AA$4:$AL$323,Ajustes!$J282,Y$2),0)+IF(Ajustes!$K282&gt;0,INDEX($AA$5:$AL$324,Ajustes!$K282,Y$2),0)+IF(Ajustes!$L282&gt;0,INDEX($AA$4:$AL$323,Ajustes!$L282,Y$2),0) + Y282</f>
        <v>117</v>
      </c>
      <c r="AL282">
        <f>IF(Ajustes!$G282&gt;0,INDEX($AA$4:$AL$323,Ajustes!$G282,Z$2),0)+IF(Ajustes!$H282&gt;0,INDEX($AA$4:$AL$323,Ajustes!$H282,Z$2),0)+IF(Ajustes!$I282&gt;0,INDEX($AA$4:$AL$323,Ajustes!$I282,Z$2),0)+IF(Ajustes!$J282&gt;0,INDEX($AA$4:$AL$323,Ajustes!$J282,Z$2),0)+IF(Ajustes!$K282&gt;0,INDEX($AA$5:$AL$324,Ajustes!$K282,Z$2),0)+IF(Ajustes!$L282&gt;0,INDEX($AA$4:$AL$323,Ajustes!$L282,Z$2),0) + Z282</f>
        <v>238</v>
      </c>
      <c r="AM282" s="113">
        <f t="shared" si="53"/>
        <v>475</v>
      </c>
      <c r="AN282" s="113">
        <f t="shared" si="53"/>
        <v>742</v>
      </c>
      <c r="AO282" s="113">
        <f t="shared" si="53"/>
        <v>843</v>
      </c>
      <c r="AP282" s="113">
        <f t="shared" si="53"/>
        <v>757</v>
      </c>
      <c r="AQ282" s="113">
        <f t="shared" si="53"/>
        <v>462</v>
      </c>
      <c r="AR282" s="113">
        <f t="shared" si="53"/>
        <v>245</v>
      </c>
      <c r="AS282" s="113">
        <f t="shared" si="53"/>
        <v>145</v>
      </c>
      <c r="AT282" s="113">
        <f t="shared" si="53"/>
        <v>89</v>
      </c>
      <c r="AU282" s="113">
        <f t="shared" si="54"/>
        <v>63</v>
      </c>
      <c r="AV282" s="113">
        <f t="shared" si="54"/>
        <v>60</v>
      </c>
      <c r="AW282" s="113">
        <f t="shared" si="54"/>
        <v>117</v>
      </c>
      <c r="AX282" s="113">
        <f t="shared" si="54"/>
        <v>238</v>
      </c>
    </row>
    <row r="283" spans="1:50" x14ac:dyDescent="0.25">
      <c r="A283" s="113">
        <v>280</v>
      </c>
      <c r="B283" s="209" t="s">
        <v>665</v>
      </c>
      <c r="C283">
        <f>IFERROR(INDEX($BD$7:$BO$35,MATCH(Ajustes!$E$4:$E$323,$BC$7:$BC$35,0),$C$2:$N$2),1)</f>
        <v>1</v>
      </c>
      <c r="D283" s="113">
        <f>IFERROR(INDEX($BD$7:$BO$35,MATCH(Ajustes!$E$4:$E$323,$BC$7:$BC$35,0),$C$2:$N$2),1)</f>
        <v>1</v>
      </c>
      <c r="E283" s="113">
        <f>IFERROR(INDEX($BD$7:$BO$35,MATCH(Ajustes!$E$4:$E$323,$BC$7:$BC$35,0),$C$2:$N$2),1)</f>
        <v>1</v>
      </c>
      <c r="F283" s="113">
        <f>IFERROR(INDEX($BD$7:$BO$35,MATCH(Ajustes!$E$4:$E$323,$BC$7:$BC$35,0),$C$2:$N$2),1)</f>
        <v>1</v>
      </c>
      <c r="G283" s="113">
        <f>IFERROR(INDEX($BD$7:$BO$35,MATCH(Ajustes!$E$4:$E$323,$BC$7:$BC$35,0),$C$2:$N$2),1)</f>
        <v>1</v>
      </c>
      <c r="H283" s="113">
        <f>IFERROR(INDEX($BD$7:$BO$35,MATCH(Ajustes!$E$4:$E$323,$BC$7:$BC$35,0),$C$2:$N$2),1)</f>
        <v>1</v>
      </c>
      <c r="I283" s="113">
        <f>IFERROR(INDEX($BD$7:$BO$35,MATCH(Ajustes!$E$4:$E$323,$BC$7:$BC$35,0),$C$2:$N$2),1)</f>
        <v>1</v>
      </c>
      <c r="J283" s="113">
        <f>IFERROR(INDEX($BD$7:$BO$35,MATCH(Ajustes!$E$4:$E$323,$BC$7:$BC$35,0),$C$2:$N$2),1)</f>
        <v>1</v>
      </c>
      <c r="K283" s="113">
        <f>IFERROR(INDEX($BD$7:$BO$35,MATCH(Ajustes!$E$4:$E$323,$BC$7:$BC$35,0),$C$2:$N$2),1)</f>
        <v>1</v>
      </c>
      <c r="L283" s="113">
        <f>IFERROR(INDEX($BD$7:$BO$35,MATCH(Ajustes!$E$4:$E$323,$BC$7:$BC$35,0),$C$2:$N$2),1)</f>
        <v>1</v>
      </c>
      <c r="M283" s="113">
        <f>IFERROR(INDEX($BD$7:$BO$35,MATCH(Ajustes!$E$4:$E$323,$BC$7:$BC$35,0),$C$2:$N$2),1)</f>
        <v>1</v>
      </c>
      <c r="N283" s="113">
        <f>IFERROR(INDEX($BD$7:$BO$35,MATCH(Ajustes!$E$4:$E$323,$BC$7:$BC$35,0),$C$2:$N$2),1)</f>
        <v>1</v>
      </c>
      <c r="O283">
        <f>C283*Ajustes!AM283</f>
        <v>529</v>
      </c>
      <c r="P283">
        <f>D283*Ajustes!AN283</f>
        <v>989</v>
      </c>
      <c r="Q283">
        <f>E283*Ajustes!AO283</f>
        <v>1509</v>
      </c>
      <c r="R283">
        <f>F283*Ajustes!AP283</f>
        <v>1867</v>
      </c>
      <c r="S283">
        <f>G283*Ajustes!AQ283</f>
        <v>1996</v>
      </c>
      <c r="T283">
        <f>H283*Ajustes!AR283</f>
        <v>1582</v>
      </c>
      <c r="U283">
        <f>I283*Ajustes!AS283</f>
        <v>1167</v>
      </c>
      <c r="V283">
        <f>J283*Ajustes!AT283</f>
        <v>788</v>
      </c>
      <c r="W283">
        <f>K283*Ajustes!AU283</f>
        <v>456</v>
      </c>
      <c r="X283">
        <f>L283*Ajustes!AV283</f>
        <v>276</v>
      </c>
      <c r="Y283">
        <f>M283*Ajustes!AW283</f>
        <v>198</v>
      </c>
      <c r="Z283">
        <f>N283*Ajustes!AX283</f>
        <v>230</v>
      </c>
      <c r="AA283">
        <f>IF(Ajustes!$G283&gt;0,INDEX($AA$4:$AL$323,Ajustes!$G283,O$2),0)+IF(Ajustes!$H283&gt;0,INDEX($AA$4:$AL$323,Ajustes!$H283,O$2),0)+IF(Ajustes!$I283&gt;0,INDEX($AA$4:$AL$323,Ajustes!$I283,O$2),0)+IF(Ajustes!$J283&gt;0,INDEX($AA$4:$AL$323,Ajustes!$J283,O$2),0)+IF(Ajustes!$K283&gt;0,INDEX($AA$5:$AL$324,Ajustes!$K283,O$2),0)+IF(Ajustes!$L283&gt;0,INDEX($AA$4:$AL$323,Ajustes!$L283,O$2),0) + O283</f>
        <v>529</v>
      </c>
      <c r="AB283">
        <f>IF(Ajustes!$G283&gt;0,INDEX($AA$4:$AL$323,Ajustes!$G283,P$2),0)+IF(Ajustes!$H283&gt;0,INDEX($AA$4:$AL$323,Ajustes!$H283,P$2),0)+IF(Ajustes!$I283&gt;0,INDEX($AA$4:$AL$323,Ajustes!$I283,P$2),0)+IF(Ajustes!$J283&gt;0,INDEX($AA$4:$AL$323,Ajustes!$J283,P$2),0)+IF(Ajustes!$K283&gt;0,INDEX($AA$5:$AL$324,Ajustes!$K283,P$2),0)+IF(Ajustes!$L283&gt;0,INDEX($AA$4:$AL$323,Ajustes!$L283,P$2),0) + P283</f>
        <v>989</v>
      </c>
      <c r="AC283">
        <f>IF(Ajustes!$G283&gt;0,INDEX($AA$4:$AL$323,Ajustes!$G283,Q$2),0)+IF(Ajustes!$H283&gt;0,INDEX($AA$4:$AL$323,Ajustes!$H283,Q$2),0)+IF(Ajustes!$I283&gt;0,INDEX($AA$4:$AL$323,Ajustes!$I283,Q$2),0)+IF(Ajustes!$J283&gt;0,INDEX($AA$4:$AL$323,Ajustes!$J283,Q$2),0)+IF(Ajustes!$K283&gt;0,INDEX($AA$5:$AL$324,Ajustes!$K283,Q$2),0)+IF(Ajustes!$L283&gt;0,INDEX($AA$4:$AL$323,Ajustes!$L283,Q$2),0) + Q283</f>
        <v>1509</v>
      </c>
      <c r="AD283">
        <f>IF(Ajustes!$G283&gt;0,INDEX($AA$4:$AL$323,Ajustes!$G283,R$2),0)+IF(Ajustes!$H283&gt;0,INDEX($AA$4:$AL$323,Ajustes!$H283,R$2),0)+IF(Ajustes!$I283&gt;0,INDEX($AA$4:$AL$323,Ajustes!$I283,R$2),0)+IF(Ajustes!$J283&gt;0,INDEX($AA$4:$AL$323,Ajustes!$J283,R$2),0)+IF(Ajustes!$K283&gt;0,INDEX($AA$5:$AL$324,Ajustes!$K283,R$2),0)+IF(Ajustes!$L283&gt;0,INDEX($AA$4:$AL$323,Ajustes!$L283,R$2),0) + R283</f>
        <v>1867</v>
      </c>
      <c r="AE283">
        <f>IF(Ajustes!$G283&gt;0,INDEX($AA$4:$AL$323,Ajustes!$G283,S$2),0)+IF(Ajustes!$H283&gt;0,INDEX($AA$4:$AL$323,Ajustes!$H283,S$2),0)+IF(Ajustes!$I283&gt;0,INDEX($AA$4:$AL$323,Ajustes!$I283,S$2),0)+IF(Ajustes!$J283&gt;0,INDEX($AA$4:$AL$323,Ajustes!$J283,S$2),0)+IF(Ajustes!$K283&gt;0,INDEX($AA$5:$AL$324,Ajustes!$K283,S$2),0)+IF(Ajustes!$L283&gt;0,INDEX($AA$4:$AL$323,Ajustes!$L283,S$2),0) + S283</f>
        <v>1996</v>
      </c>
      <c r="AF283">
        <f>IF(Ajustes!$G283&gt;0,INDEX($AA$4:$AL$323,Ajustes!$G283,T$2),0)+IF(Ajustes!$H283&gt;0,INDEX($AA$4:$AL$323,Ajustes!$H283,T$2),0)+IF(Ajustes!$I283&gt;0,INDEX($AA$4:$AL$323,Ajustes!$I283,T$2),0)+IF(Ajustes!$J283&gt;0,INDEX($AA$4:$AL$323,Ajustes!$J283,T$2),0)+IF(Ajustes!$K283&gt;0,INDEX($AA$5:$AL$324,Ajustes!$K283,T$2),0)+IF(Ajustes!$L283&gt;0,INDEX($AA$4:$AL$323,Ajustes!$L283,T$2),0) + T283</f>
        <v>1582</v>
      </c>
      <c r="AG283">
        <f>IF(Ajustes!$G283&gt;0,INDEX($AA$4:$AL$323,Ajustes!$G283,U$2),0)+IF(Ajustes!$H283&gt;0,INDEX($AA$4:$AL$323,Ajustes!$H283,U$2),0)+IF(Ajustes!$I283&gt;0,INDEX($AA$4:$AL$323,Ajustes!$I283,U$2),0)+IF(Ajustes!$J283&gt;0,INDEX($AA$4:$AL$323,Ajustes!$J283,U$2),0)+IF(Ajustes!$K283&gt;0,INDEX($AA$5:$AL$324,Ajustes!$K283,U$2),0)+IF(Ajustes!$L283&gt;0,INDEX($AA$4:$AL$323,Ajustes!$L283,U$2),0) + U283</f>
        <v>1167</v>
      </c>
      <c r="AH283">
        <f>IF(Ajustes!$G283&gt;0,INDEX($AA$4:$AL$323,Ajustes!$G283,V$2),0)+IF(Ajustes!$H283&gt;0,INDEX($AA$4:$AL$323,Ajustes!$H283,V$2),0)+IF(Ajustes!$I283&gt;0,INDEX($AA$4:$AL$323,Ajustes!$I283,V$2),0)+IF(Ajustes!$J283&gt;0,INDEX($AA$4:$AL$323,Ajustes!$J283,V$2),0)+IF(Ajustes!$K283&gt;0,INDEX($AA$5:$AL$324,Ajustes!$K283,V$2),0)+IF(Ajustes!$L283&gt;0,INDEX($AA$4:$AL$323,Ajustes!$L283,V$2),0) + V283</f>
        <v>788</v>
      </c>
      <c r="AI283">
        <f>IF(Ajustes!$G283&gt;0,INDEX($AA$4:$AL$323,Ajustes!$G283,W$2),0)+IF(Ajustes!$H283&gt;0,INDEX($AA$4:$AL$323,Ajustes!$H283,W$2),0)+IF(Ajustes!$I283&gt;0,INDEX($AA$4:$AL$323,Ajustes!$I283,W$2),0)+IF(Ajustes!$J283&gt;0,INDEX($AA$4:$AL$323,Ajustes!$J283,W$2),0)+IF(Ajustes!$K283&gt;0,INDEX($AA$5:$AL$324,Ajustes!$K283,W$2),0)+IF(Ajustes!$L283&gt;0,INDEX($AA$4:$AL$323,Ajustes!$L283,W$2),0) + W283</f>
        <v>456</v>
      </c>
      <c r="AJ283">
        <f>IF(Ajustes!$G283&gt;0,INDEX($AA$4:$AL$323,Ajustes!$G283,X$2),0)+IF(Ajustes!$H283&gt;0,INDEX($AA$4:$AL$323,Ajustes!$H283,X$2),0)+IF(Ajustes!$I283&gt;0,INDEX($AA$4:$AL$323,Ajustes!$I283,X$2),0)+IF(Ajustes!$J283&gt;0,INDEX($AA$4:$AL$323,Ajustes!$J283,X$2),0)+IF(Ajustes!$K283&gt;0,INDEX($AA$5:$AL$324,Ajustes!$K283,X$2),0)+IF(Ajustes!$L283&gt;0,INDEX($AA$4:$AL$323,Ajustes!$L283,X$2),0) + X283</f>
        <v>276</v>
      </c>
      <c r="AK283">
        <f>IF(Ajustes!$G283&gt;0,INDEX($AA$4:$AL$323,Ajustes!$G283,Y$2),0)+IF(Ajustes!$H283&gt;0,INDEX($AA$4:$AL$323,Ajustes!$H283,Y$2),0)+IF(Ajustes!$I283&gt;0,INDEX($AA$4:$AL$323,Ajustes!$I283,Y$2),0)+IF(Ajustes!$J283&gt;0,INDEX($AA$4:$AL$323,Ajustes!$J283,Y$2),0)+IF(Ajustes!$K283&gt;0,INDEX($AA$5:$AL$324,Ajustes!$K283,Y$2),0)+IF(Ajustes!$L283&gt;0,INDEX($AA$4:$AL$323,Ajustes!$L283,Y$2),0) + Y283</f>
        <v>198</v>
      </c>
      <c r="AL283">
        <f>IF(Ajustes!$G283&gt;0,INDEX($AA$4:$AL$323,Ajustes!$G283,Z$2),0)+IF(Ajustes!$H283&gt;0,INDEX($AA$4:$AL$323,Ajustes!$H283,Z$2),0)+IF(Ajustes!$I283&gt;0,INDEX($AA$4:$AL$323,Ajustes!$I283,Z$2),0)+IF(Ajustes!$J283&gt;0,INDEX($AA$4:$AL$323,Ajustes!$J283,Z$2),0)+IF(Ajustes!$K283&gt;0,INDEX($AA$5:$AL$324,Ajustes!$K283,Z$2),0)+IF(Ajustes!$L283&gt;0,INDEX($AA$4:$AL$323,Ajustes!$L283,Z$2),0) + Z283</f>
        <v>230</v>
      </c>
      <c r="AM283" s="113">
        <f t="shared" si="53"/>
        <v>529</v>
      </c>
      <c r="AN283" s="113">
        <f t="shared" si="53"/>
        <v>989</v>
      </c>
      <c r="AO283" s="113">
        <f t="shared" si="53"/>
        <v>1509</v>
      </c>
      <c r="AP283" s="113">
        <f t="shared" si="53"/>
        <v>1867</v>
      </c>
      <c r="AQ283" s="113">
        <f t="shared" si="53"/>
        <v>1996</v>
      </c>
      <c r="AR283" s="113">
        <f t="shared" si="53"/>
        <v>1582</v>
      </c>
      <c r="AS283" s="113">
        <f t="shared" si="53"/>
        <v>1167</v>
      </c>
      <c r="AT283" s="113">
        <f t="shared" si="53"/>
        <v>788</v>
      </c>
      <c r="AU283" s="113">
        <f t="shared" si="54"/>
        <v>456</v>
      </c>
      <c r="AV283" s="113">
        <f t="shared" si="54"/>
        <v>276</v>
      </c>
      <c r="AW283" s="113">
        <f t="shared" si="54"/>
        <v>198</v>
      </c>
      <c r="AX283" s="113">
        <f t="shared" si="54"/>
        <v>230</v>
      </c>
    </row>
    <row r="284" spans="1:50" x14ac:dyDescent="0.25">
      <c r="A284" s="113">
        <v>281</v>
      </c>
      <c r="B284" s="209" t="s">
        <v>666</v>
      </c>
      <c r="C284">
        <f>IFERROR(INDEX($BD$7:$BO$35,MATCH(Ajustes!$E$4:$E$323,$BC$7:$BC$35,0),$C$2:$N$2),1)</f>
        <v>1</v>
      </c>
      <c r="D284" s="113">
        <f>IFERROR(INDEX($BD$7:$BO$35,MATCH(Ajustes!$E$4:$E$323,$BC$7:$BC$35,0),$C$2:$N$2),1)</f>
        <v>1</v>
      </c>
      <c r="E284" s="113">
        <f>IFERROR(INDEX($BD$7:$BO$35,MATCH(Ajustes!$E$4:$E$323,$BC$7:$BC$35,0),$C$2:$N$2),1)</f>
        <v>1</v>
      </c>
      <c r="F284" s="113">
        <f>IFERROR(INDEX($BD$7:$BO$35,MATCH(Ajustes!$E$4:$E$323,$BC$7:$BC$35,0),$C$2:$N$2),1)</f>
        <v>1</v>
      </c>
      <c r="G284" s="113">
        <f>IFERROR(INDEX($BD$7:$BO$35,MATCH(Ajustes!$E$4:$E$323,$BC$7:$BC$35,0),$C$2:$N$2),1)</f>
        <v>1</v>
      </c>
      <c r="H284" s="113">
        <f>IFERROR(INDEX($BD$7:$BO$35,MATCH(Ajustes!$E$4:$E$323,$BC$7:$BC$35,0),$C$2:$N$2),1)</f>
        <v>1</v>
      </c>
      <c r="I284" s="113">
        <f>IFERROR(INDEX($BD$7:$BO$35,MATCH(Ajustes!$E$4:$E$323,$BC$7:$BC$35,0),$C$2:$N$2),1)</f>
        <v>1</v>
      </c>
      <c r="J284" s="113">
        <f>IFERROR(INDEX($BD$7:$BO$35,MATCH(Ajustes!$E$4:$E$323,$BC$7:$BC$35,0),$C$2:$N$2),1)</f>
        <v>1</v>
      </c>
      <c r="K284" s="113">
        <f>IFERROR(INDEX($BD$7:$BO$35,MATCH(Ajustes!$E$4:$E$323,$BC$7:$BC$35,0),$C$2:$N$2),1)</f>
        <v>1</v>
      </c>
      <c r="L284" s="113">
        <f>IFERROR(INDEX($BD$7:$BO$35,MATCH(Ajustes!$E$4:$E$323,$BC$7:$BC$35,0),$C$2:$N$2),1)</f>
        <v>1</v>
      </c>
      <c r="M284" s="113">
        <f>IFERROR(INDEX($BD$7:$BO$35,MATCH(Ajustes!$E$4:$E$323,$BC$7:$BC$35,0),$C$2:$N$2),1)</f>
        <v>1</v>
      </c>
      <c r="N284" s="113">
        <f>IFERROR(INDEX($BD$7:$BO$35,MATCH(Ajustes!$E$4:$E$323,$BC$7:$BC$35,0),$C$2:$N$2),1)</f>
        <v>1</v>
      </c>
      <c r="O284">
        <f>C284*Ajustes!AM284</f>
        <v>86</v>
      </c>
      <c r="P284">
        <f>D284*Ajustes!AN284</f>
        <v>91</v>
      </c>
      <c r="Q284">
        <f>E284*Ajustes!AO284</f>
        <v>92</v>
      </c>
      <c r="R284">
        <f>F284*Ajustes!AP284</f>
        <v>85</v>
      </c>
      <c r="S284">
        <f>G284*Ajustes!AQ284</f>
        <v>77</v>
      </c>
      <c r="T284">
        <f>H284*Ajustes!AR284</f>
        <v>71</v>
      </c>
      <c r="U284">
        <f>I284*Ajustes!AS284</f>
        <v>67</v>
      </c>
      <c r="V284">
        <f>J284*Ajustes!AT284</f>
        <v>64</v>
      </c>
      <c r="W284">
        <f>K284*Ajustes!AU284</f>
        <v>63</v>
      </c>
      <c r="X284">
        <f>L284*Ajustes!AV284</f>
        <v>67</v>
      </c>
      <c r="Y284">
        <f>M284*Ajustes!AW284</f>
        <v>72</v>
      </c>
      <c r="Z284">
        <f>N284*Ajustes!AX284</f>
        <v>78</v>
      </c>
      <c r="AA284">
        <f>IF(Ajustes!$G284&gt;0,INDEX($AA$4:$AL$323,Ajustes!$G284,O$2),0)+IF(Ajustes!$H284&gt;0,INDEX($AA$4:$AL$323,Ajustes!$H284,O$2),0)+IF(Ajustes!$I284&gt;0,INDEX($AA$4:$AL$323,Ajustes!$I284,O$2),0)+IF(Ajustes!$J284&gt;0,INDEX($AA$4:$AL$323,Ajustes!$J284,O$2),0)+IF(Ajustes!$K284&gt;0,INDEX($AA$5:$AL$324,Ajustes!$K284,O$2),0)+IF(Ajustes!$L284&gt;0,INDEX($AA$4:$AL$323,Ajustes!$L284,O$2),0) + O284</f>
        <v>86</v>
      </c>
      <c r="AB284">
        <f>IF(Ajustes!$G284&gt;0,INDEX($AA$4:$AL$323,Ajustes!$G284,P$2),0)+IF(Ajustes!$H284&gt;0,INDEX($AA$4:$AL$323,Ajustes!$H284,P$2),0)+IF(Ajustes!$I284&gt;0,INDEX($AA$4:$AL$323,Ajustes!$I284,P$2),0)+IF(Ajustes!$J284&gt;0,INDEX($AA$4:$AL$323,Ajustes!$J284,P$2),0)+IF(Ajustes!$K284&gt;0,INDEX($AA$5:$AL$324,Ajustes!$K284,P$2),0)+IF(Ajustes!$L284&gt;0,INDEX($AA$4:$AL$323,Ajustes!$L284,P$2),0) + P284</f>
        <v>91</v>
      </c>
      <c r="AC284">
        <f>IF(Ajustes!$G284&gt;0,INDEX($AA$4:$AL$323,Ajustes!$G284,Q$2),0)+IF(Ajustes!$H284&gt;0,INDEX($AA$4:$AL$323,Ajustes!$H284,Q$2),0)+IF(Ajustes!$I284&gt;0,INDEX($AA$4:$AL$323,Ajustes!$I284,Q$2),0)+IF(Ajustes!$J284&gt;0,INDEX($AA$4:$AL$323,Ajustes!$J284,Q$2),0)+IF(Ajustes!$K284&gt;0,INDEX($AA$5:$AL$324,Ajustes!$K284,Q$2),0)+IF(Ajustes!$L284&gt;0,INDEX($AA$4:$AL$323,Ajustes!$L284,Q$2),0) + Q284</f>
        <v>92</v>
      </c>
      <c r="AD284">
        <f>IF(Ajustes!$G284&gt;0,INDEX($AA$4:$AL$323,Ajustes!$G284,R$2),0)+IF(Ajustes!$H284&gt;0,INDEX($AA$4:$AL$323,Ajustes!$H284,R$2),0)+IF(Ajustes!$I284&gt;0,INDEX($AA$4:$AL$323,Ajustes!$I284,R$2),0)+IF(Ajustes!$J284&gt;0,INDEX($AA$4:$AL$323,Ajustes!$J284,R$2),0)+IF(Ajustes!$K284&gt;0,INDEX($AA$5:$AL$324,Ajustes!$K284,R$2),0)+IF(Ajustes!$L284&gt;0,INDEX($AA$4:$AL$323,Ajustes!$L284,R$2),0) + R284</f>
        <v>85</v>
      </c>
      <c r="AE284">
        <f>IF(Ajustes!$G284&gt;0,INDEX($AA$4:$AL$323,Ajustes!$G284,S$2),0)+IF(Ajustes!$H284&gt;0,INDEX($AA$4:$AL$323,Ajustes!$H284,S$2),0)+IF(Ajustes!$I284&gt;0,INDEX($AA$4:$AL$323,Ajustes!$I284,S$2),0)+IF(Ajustes!$J284&gt;0,INDEX($AA$4:$AL$323,Ajustes!$J284,S$2),0)+IF(Ajustes!$K284&gt;0,INDEX($AA$5:$AL$324,Ajustes!$K284,S$2),0)+IF(Ajustes!$L284&gt;0,INDEX($AA$4:$AL$323,Ajustes!$L284,S$2),0) + S284</f>
        <v>77</v>
      </c>
      <c r="AF284">
        <f>IF(Ajustes!$G284&gt;0,INDEX($AA$4:$AL$323,Ajustes!$G284,T$2),0)+IF(Ajustes!$H284&gt;0,INDEX($AA$4:$AL$323,Ajustes!$H284,T$2),0)+IF(Ajustes!$I284&gt;0,INDEX($AA$4:$AL$323,Ajustes!$I284,T$2),0)+IF(Ajustes!$J284&gt;0,INDEX($AA$4:$AL$323,Ajustes!$J284,T$2),0)+IF(Ajustes!$K284&gt;0,INDEX($AA$5:$AL$324,Ajustes!$K284,T$2),0)+IF(Ajustes!$L284&gt;0,INDEX($AA$4:$AL$323,Ajustes!$L284,T$2),0) + T284</f>
        <v>71</v>
      </c>
      <c r="AG284">
        <f>IF(Ajustes!$G284&gt;0,INDEX($AA$4:$AL$323,Ajustes!$G284,U$2),0)+IF(Ajustes!$H284&gt;0,INDEX($AA$4:$AL$323,Ajustes!$H284,U$2),0)+IF(Ajustes!$I284&gt;0,INDEX($AA$4:$AL$323,Ajustes!$I284,U$2),0)+IF(Ajustes!$J284&gt;0,INDEX($AA$4:$AL$323,Ajustes!$J284,U$2),0)+IF(Ajustes!$K284&gt;0,INDEX($AA$5:$AL$324,Ajustes!$K284,U$2),0)+IF(Ajustes!$L284&gt;0,INDEX($AA$4:$AL$323,Ajustes!$L284,U$2),0) + U284</f>
        <v>67</v>
      </c>
      <c r="AH284">
        <f>IF(Ajustes!$G284&gt;0,INDEX($AA$4:$AL$323,Ajustes!$G284,V$2),0)+IF(Ajustes!$H284&gt;0,INDEX($AA$4:$AL$323,Ajustes!$H284,V$2),0)+IF(Ajustes!$I284&gt;0,INDEX($AA$4:$AL$323,Ajustes!$I284,V$2),0)+IF(Ajustes!$J284&gt;0,INDEX($AA$4:$AL$323,Ajustes!$J284,V$2),0)+IF(Ajustes!$K284&gt;0,INDEX($AA$5:$AL$324,Ajustes!$K284,V$2),0)+IF(Ajustes!$L284&gt;0,INDEX($AA$4:$AL$323,Ajustes!$L284,V$2),0) + V284</f>
        <v>64</v>
      </c>
      <c r="AI284">
        <f>IF(Ajustes!$G284&gt;0,INDEX($AA$4:$AL$323,Ajustes!$G284,W$2),0)+IF(Ajustes!$H284&gt;0,INDEX($AA$4:$AL$323,Ajustes!$H284,W$2),0)+IF(Ajustes!$I284&gt;0,INDEX($AA$4:$AL$323,Ajustes!$I284,W$2),0)+IF(Ajustes!$J284&gt;0,INDEX($AA$4:$AL$323,Ajustes!$J284,W$2),0)+IF(Ajustes!$K284&gt;0,INDEX($AA$5:$AL$324,Ajustes!$K284,W$2),0)+IF(Ajustes!$L284&gt;0,INDEX($AA$4:$AL$323,Ajustes!$L284,W$2),0) + W284</f>
        <v>63</v>
      </c>
      <c r="AJ284">
        <f>IF(Ajustes!$G284&gt;0,INDEX($AA$4:$AL$323,Ajustes!$G284,X$2),0)+IF(Ajustes!$H284&gt;0,INDEX($AA$4:$AL$323,Ajustes!$H284,X$2),0)+IF(Ajustes!$I284&gt;0,INDEX($AA$4:$AL$323,Ajustes!$I284,X$2),0)+IF(Ajustes!$J284&gt;0,INDEX($AA$4:$AL$323,Ajustes!$J284,X$2),0)+IF(Ajustes!$K284&gt;0,INDEX($AA$5:$AL$324,Ajustes!$K284,X$2),0)+IF(Ajustes!$L284&gt;0,INDEX($AA$4:$AL$323,Ajustes!$L284,X$2),0) + X284</f>
        <v>67</v>
      </c>
      <c r="AK284">
        <f>IF(Ajustes!$G284&gt;0,INDEX($AA$4:$AL$323,Ajustes!$G284,Y$2),0)+IF(Ajustes!$H284&gt;0,INDEX($AA$4:$AL$323,Ajustes!$H284,Y$2),0)+IF(Ajustes!$I284&gt;0,INDEX($AA$4:$AL$323,Ajustes!$I284,Y$2),0)+IF(Ajustes!$J284&gt;0,INDEX($AA$4:$AL$323,Ajustes!$J284,Y$2),0)+IF(Ajustes!$K284&gt;0,INDEX($AA$5:$AL$324,Ajustes!$K284,Y$2),0)+IF(Ajustes!$L284&gt;0,INDEX($AA$4:$AL$323,Ajustes!$L284,Y$2),0) + Y284</f>
        <v>72</v>
      </c>
      <c r="AL284">
        <f>IF(Ajustes!$G284&gt;0,INDEX($AA$4:$AL$323,Ajustes!$G284,Z$2),0)+IF(Ajustes!$H284&gt;0,INDEX($AA$4:$AL$323,Ajustes!$H284,Z$2),0)+IF(Ajustes!$I284&gt;0,INDEX($AA$4:$AL$323,Ajustes!$I284,Z$2),0)+IF(Ajustes!$J284&gt;0,INDEX($AA$4:$AL$323,Ajustes!$J284,Z$2),0)+IF(Ajustes!$K284&gt;0,INDEX($AA$5:$AL$324,Ajustes!$K284,Z$2),0)+IF(Ajustes!$L284&gt;0,INDEX($AA$4:$AL$323,Ajustes!$L284,Z$2),0) + Z284</f>
        <v>78</v>
      </c>
      <c r="AM284" s="113">
        <f t="shared" si="53"/>
        <v>86</v>
      </c>
      <c r="AN284" s="113">
        <f t="shared" si="53"/>
        <v>91</v>
      </c>
      <c r="AO284" s="113">
        <f t="shared" si="53"/>
        <v>92</v>
      </c>
      <c r="AP284" s="113">
        <f t="shared" si="53"/>
        <v>85</v>
      </c>
      <c r="AQ284" s="113">
        <f t="shared" si="53"/>
        <v>77</v>
      </c>
      <c r="AR284" s="113">
        <f t="shared" si="53"/>
        <v>71</v>
      </c>
      <c r="AS284" s="113">
        <f t="shared" si="53"/>
        <v>67</v>
      </c>
      <c r="AT284" s="113">
        <f t="shared" si="53"/>
        <v>64</v>
      </c>
      <c r="AU284" s="113">
        <f t="shared" si="54"/>
        <v>63</v>
      </c>
      <c r="AV284" s="113">
        <f t="shared" si="54"/>
        <v>67</v>
      </c>
      <c r="AW284" s="113">
        <f t="shared" si="54"/>
        <v>72</v>
      </c>
      <c r="AX284" s="113">
        <f t="shared" si="54"/>
        <v>78</v>
      </c>
    </row>
    <row r="285" spans="1:50" x14ac:dyDescent="0.25">
      <c r="A285" s="113">
        <v>282</v>
      </c>
      <c r="B285" s="209" t="s">
        <v>667</v>
      </c>
      <c r="C285">
        <f>IFERROR(INDEX($BD$7:$BO$35,MATCH(Ajustes!$E$4:$E$323,$BC$7:$BC$35,0),$C$2:$N$2),1)</f>
        <v>1</v>
      </c>
      <c r="D285" s="113">
        <f>IFERROR(INDEX($BD$7:$BO$35,MATCH(Ajustes!$E$4:$E$323,$BC$7:$BC$35,0),$C$2:$N$2),1)</f>
        <v>1</v>
      </c>
      <c r="E285" s="113">
        <f>IFERROR(INDEX($BD$7:$BO$35,MATCH(Ajustes!$E$4:$E$323,$BC$7:$BC$35,0),$C$2:$N$2),1)</f>
        <v>1</v>
      </c>
      <c r="F285" s="113">
        <f>IFERROR(INDEX($BD$7:$BO$35,MATCH(Ajustes!$E$4:$E$323,$BC$7:$BC$35,0),$C$2:$N$2),1)</f>
        <v>1</v>
      </c>
      <c r="G285" s="113">
        <f>IFERROR(INDEX($BD$7:$BO$35,MATCH(Ajustes!$E$4:$E$323,$BC$7:$BC$35,0),$C$2:$N$2),1)</f>
        <v>1</v>
      </c>
      <c r="H285" s="113">
        <f>IFERROR(INDEX($BD$7:$BO$35,MATCH(Ajustes!$E$4:$E$323,$BC$7:$BC$35,0),$C$2:$N$2),1)</f>
        <v>1</v>
      </c>
      <c r="I285" s="113">
        <f>IFERROR(INDEX($BD$7:$BO$35,MATCH(Ajustes!$E$4:$E$323,$BC$7:$BC$35,0),$C$2:$N$2),1)</f>
        <v>1</v>
      </c>
      <c r="J285" s="113">
        <f>IFERROR(INDEX($BD$7:$BO$35,MATCH(Ajustes!$E$4:$E$323,$BC$7:$BC$35,0),$C$2:$N$2),1)</f>
        <v>1</v>
      </c>
      <c r="K285" s="113">
        <f>IFERROR(INDEX($BD$7:$BO$35,MATCH(Ajustes!$E$4:$E$323,$BC$7:$BC$35,0),$C$2:$N$2),1)</f>
        <v>1</v>
      </c>
      <c r="L285" s="113">
        <f>IFERROR(INDEX($BD$7:$BO$35,MATCH(Ajustes!$E$4:$E$323,$BC$7:$BC$35,0),$C$2:$N$2),1)</f>
        <v>1</v>
      </c>
      <c r="M285" s="113">
        <f>IFERROR(INDEX($BD$7:$BO$35,MATCH(Ajustes!$E$4:$E$323,$BC$7:$BC$35,0),$C$2:$N$2),1)</f>
        <v>1</v>
      </c>
      <c r="N285" s="113">
        <f>IFERROR(INDEX($BD$7:$BO$35,MATCH(Ajustes!$E$4:$E$323,$BC$7:$BC$35,0),$C$2:$N$2),1)</f>
        <v>1</v>
      </c>
      <c r="O285">
        <f>C285*Ajustes!AM285</f>
        <v>100</v>
      </c>
      <c r="P285">
        <f>D285*Ajustes!AN285</f>
        <v>106</v>
      </c>
      <c r="Q285">
        <f>E285*Ajustes!AO285</f>
        <v>106</v>
      </c>
      <c r="R285">
        <f>F285*Ajustes!AP285</f>
        <v>90</v>
      </c>
      <c r="S285">
        <f>G285*Ajustes!AQ285</f>
        <v>73</v>
      </c>
      <c r="T285">
        <f>H285*Ajustes!AR285</f>
        <v>65</v>
      </c>
      <c r="U285">
        <f>I285*Ajustes!AS285</f>
        <v>60</v>
      </c>
      <c r="V285">
        <f>J285*Ajustes!AT285</f>
        <v>56</v>
      </c>
      <c r="W285">
        <f>K285*Ajustes!AU285</f>
        <v>57</v>
      </c>
      <c r="X285">
        <f>L285*Ajustes!AV285</f>
        <v>62</v>
      </c>
      <c r="Y285">
        <f>M285*Ajustes!AW285</f>
        <v>71</v>
      </c>
      <c r="Z285">
        <f>N285*Ajustes!AX285</f>
        <v>86</v>
      </c>
      <c r="AA285">
        <f>IF(Ajustes!$G285&gt;0,INDEX($AA$4:$AL$323,Ajustes!$G285,O$2),0)+IF(Ajustes!$H285&gt;0,INDEX($AA$4:$AL$323,Ajustes!$H285,O$2),0)+IF(Ajustes!$I285&gt;0,INDEX($AA$4:$AL$323,Ajustes!$I285,O$2),0)+IF(Ajustes!$J285&gt;0,INDEX($AA$4:$AL$323,Ajustes!$J285,O$2),0)+IF(Ajustes!$K285&gt;0,INDEX($AA$5:$AL$324,Ajustes!$K285,O$2),0)+IF(Ajustes!$L285&gt;0,INDEX($AA$4:$AL$323,Ajustes!$L285,O$2),0) + O285</f>
        <v>100</v>
      </c>
      <c r="AB285">
        <f>IF(Ajustes!$G285&gt;0,INDEX($AA$4:$AL$323,Ajustes!$G285,P$2),0)+IF(Ajustes!$H285&gt;0,INDEX($AA$4:$AL$323,Ajustes!$H285,P$2),0)+IF(Ajustes!$I285&gt;0,INDEX($AA$4:$AL$323,Ajustes!$I285,P$2),0)+IF(Ajustes!$J285&gt;0,INDEX($AA$4:$AL$323,Ajustes!$J285,P$2),0)+IF(Ajustes!$K285&gt;0,INDEX($AA$5:$AL$324,Ajustes!$K285,P$2),0)+IF(Ajustes!$L285&gt;0,INDEX($AA$4:$AL$323,Ajustes!$L285,P$2),0) + P285</f>
        <v>106</v>
      </c>
      <c r="AC285">
        <f>IF(Ajustes!$G285&gt;0,INDEX($AA$4:$AL$323,Ajustes!$G285,Q$2),0)+IF(Ajustes!$H285&gt;0,INDEX($AA$4:$AL$323,Ajustes!$H285,Q$2),0)+IF(Ajustes!$I285&gt;0,INDEX($AA$4:$AL$323,Ajustes!$I285,Q$2),0)+IF(Ajustes!$J285&gt;0,INDEX($AA$4:$AL$323,Ajustes!$J285,Q$2),0)+IF(Ajustes!$K285&gt;0,INDEX($AA$5:$AL$324,Ajustes!$K285,Q$2),0)+IF(Ajustes!$L285&gt;0,INDEX($AA$4:$AL$323,Ajustes!$L285,Q$2),0) + Q285</f>
        <v>106</v>
      </c>
      <c r="AD285">
        <f>IF(Ajustes!$G285&gt;0,INDEX($AA$4:$AL$323,Ajustes!$G285,R$2),0)+IF(Ajustes!$H285&gt;0,INDEX($AA$4:$AL$323,Ajustes!$H285,R$2),0)+IF(Ajustes!$I285&gt;0,INDEX($AA$4:$AL$323,Ajustes!$I285,R$2),0)+IF(Ajustes!$J285&gt;0,INDEX($AA$4:$AL$323,Ajustes!$J285,R$2),0)+IF(Ajustes!$K285&gt;0,INDEX($AA$5:$AL$324,Ajustes!$K285,R$2),0)+IF(Ajustes!$L285&gt;0,INDEX($AA$4:$AL$323,Ajustes!$L285,R$2),0) + R285</f>
        <v>90</v>
      </c>
      <c r="AE285">
        <f>IF(Ajustes!$G285&gt;0,INDEX($AA$4:$AL$323,Ajustes!$G285,S$2),0)+IF(Ajustes!$H285&gt;0,INDEX($AA$4:$AL$323,Ajustes!$H285,S$2),0)+IF(Ajustes!$I285&gt;0,INDEX($AA$4:$AL$323,Ajustes!$I285,S$2),0)+IF(Ajustes!$J285&gt;0,INDEX($AA$4:$AL$323,Ajustes!$J285,S$2),0)+IF(Ajustes!$K285&gt;0,INDEX($AA$5:$AL$324,Ajustes!$K285,S$2),0)+IF(Ajustes!$L285&gt;0,INDEX($AA$4:$AL$323,Ajustes!$L285,S$2),0) + S285</f>
        <v>73</v>
      </c>
      <c r="AF285">
        <f>IF(Ajustes!$G285&gt;0,INDEX($AA$4:$AL$323,Ajustes!$G285,T$2),0)+IF(Ajustes!$H285&gt;0,INDEX($AA$4:$AL$323,Ajustes!$H285,T$2),0)+IF(Ajustes!$I285&gt;0,INDEX($AA$4:$AL$323,Ajustes!$I285,T$2),0)+IF(Ajustes!$J285&gt;0,INDEX($AA$4:$AL$323,Ajustes!$J285,T$2),0)+IF(Ajustes!$K285&gt;0,INDEX($AA$5:$AL$324,Ajustes!$K285,T$2),0)+IF(Ajustes!$L285&gt;0,INDEX($AA$4:$AL$323,Ajustes!$L285,T$2),0) + T285</f>
        <v>65</v>
      </c>
      <c r="AG285">
        <f>IF(Ajustes!$G285&gt;0,INDEX($AA$4:$AL$323,Ajustes!$G285,U$2),0)+IF(Ajustes!$H285&gt;0,INDEX($AA$4:$AL$323,Ajustes!$H285,U$2),0)+IF(Ajustes!$I285&gt;0,INDEX($AA$4:$AL$323,Ajustes!$I285,U$2),0)+IF(Ajustes!$J285&gt;0,INDEX($AA$4:$AL$323,Ajustes!$J285,U$2),0)+IF(Ajustes!$K285&gt;0,INDEX($AA$5:$AL$324,Ajustes!$K285,U$2),0)+IF(Ajustes!$L285&gt;0,INDEX($AA$4:$AL$323,Ajustes!$L285,U$2),0) + U285</f>
        <v>60</v>
      </c>
      <c r="AH285">
        <f>IF(Ajustes!$G285&gt;0,INDEX($AA$4:$AL$323,Ajustes!$G285,V$2),0)+IF(Ajustes!$H285&gt;0,INDEX($AA$4:$AL$323,Ajustes!$H285,V$2),0)+IF(Ajustes!$I285&gt;0,INDEX($AA$4:$AL$323,Ajustes!$I285,V$2),0)+IF(Ajustes!$J285&gt;0,INDEX($AA$4:$AL$323,Ajustes!$J285,V$2),0)+IF(Ajustes!$K285&gt;0,INDEX($AA$5:$AL$324,Ajustes!$K285,V$2),0)+IF(Ajustes!$L285&gt;0,INDEX($AA$4:$AL$323,Ajustes!$L285,V$2),0) + V285</f>
        <v>56</v>
      </c>
      <c r="AI285">
        <f>IF(Ajustes!$G285&gt;0,INDEX($AA$4:$AL$323,Ajustes!$G285,W$2),0)+IF(Ajustes!$H285&gt;0,INDEX($AA$4:$AL$323,Ajustes!$H285,W$2),0)+IF(Ajustes!$I285&gt;0,INDEX($AA$4:$AL$323,Ajustes!$I285,W$2),0)+IF(Ajustes!$J285&gt;0,INDEX($AA$4:$AL$323,Ajustes!$J285,W$2),0)+IF(Ajustes!$K285&gt;0,INDEX($AA$5:$AL$324,Ajustes!$K285,W$2),0)+IF(Ajustes!$L285&gt;0,INDEX($AA$4:$AL$323,Ajustes!$L285,W$2),0) + W285</f>
        <v>57</v>
      </c>
      <c r="AJ285">
        <f>IF(Ajustes!$G285&gt;0,INDEX($AA$4:$AL$323,Ajustes!$G285,X$2),0)+IF(Ajustes!$H285&gt;0,INDEX($AA$4:$AL$323,Ajustes!$H285,X$2),0)+IF(Ajustes!$I285&gt;0,INDEX($AA$4:$AL$323,Ajustes!$I285,X$2),0)+IF(Ajustes!$J285&gt;0,INDEX($AA$4:$AL$323,Ajustes!$J285,X$2),0)+IF(Ajustes!$K285&gt;0,INDEX($AA$5:$AL$324,Ajustes!$K285,X$2),0)+IF(Ajustes!$L285&gt;0,INDEX($AA$4:$AL$323,Ajustes!$L285,X$2),0) + X285</f>
        <v>62</v>
      </c>
      <c r="AK285">
        <f>IF(Ajustes!$G285&gt;0,INDEX($AA$4:$AL$323,Ajustes!$G285,Y$2),0)+IF(Ajustes!$H285&gt;0,INDEX($AA$4:$AL$323,Ajustes!$H285,Y$2),0)+IF(Ajustes!$I285&gt;0,INDEX($AA$4:$AL$323,Ajustes!$I285,Y$2),0)+IF(Ajustes!$J285&gt;0,INDEX($AA$4:$AL$323,Ajustes!$J285,Y$2),0)+IF(Ajustes!$K285&gt;0,INDEX($AA$5:$AL$324,Ajustes!$K285,Y$2),0)+IF(Ajustes!$L285&gt;0,INDEX($AA$4:$AL$323,Ajustes!$L285,Y$2),0) + Y285</f>
        <v>71</v>
      </c>
      <c r="AL285">
        <f>IF(Ajustes!$G285&gt;0,INDEX($AA$4:$AL$323,Ajustes!$G285,Z$2),0)+IF(Ajustes!$H285&gt;0,INDEX($AA$4:$AL$323,Ajustes!$H285,Z$2),0)+IF(Ajustes!$I285&gt;0,INDEX($AA$4:$AL$323,Ajustes!$I285,Z$2),0)+IF(Ajustes!$J285&gt;0,INDEX($AA$4:$AL$323,Ajustes!$J285,Z$2),0)+IF(Ajustes!$K285&gt;0,INDEX($AA$5:$AL$324,Ajustes!$K285,Z$2),0)+IF(Ajustes!$L285&gt;0,INDEX($AA$4:$AL$323,Ajustes!$L285,Z$2),0) + Z285</f>
        <v>86</v>
      </c>
      <c r="AM285" s="113">
        <f t="shared" si="53"/>
        <v>100</v>
      </c>
      <c r="AN285" s="113">
        <f t="shared" si="53"/>
        <v>106</v>
      </c>
      <c r="AO285" s="113">
        <f t="shared" si="53"/>
        <v>106</v>
      </c>
      <c r="AP285" s="113">
        <f t="shared" si="53"/>
        <v>90</v>
      </c>
      <c r="AQ285" s="113">
        <f t="shared" si="53"/>
        <v>73</v>
      </c>
      <c r="AR285" s="113">
        <f t="shared" si="53"/>
        <v>65</v>
      </c>
      <c r="AS285" s="113">
        <f t="shared" si="53"/>
        <v>60</v>
      </c>
      <c r="AT285" s="113">
        <f t="shared" si="53"/>
        <v>56</v>
      </c>
      <c r="AU285" s="113">
        <f t="shared" si="54"/>
        <v>57</v>
      </c>
      <c r="AV285" s="113">
        <f t="shared" si="54"/>
        <v>62</v>
      </c>
      <c r="AW285" s="113">
        <f t="shared" si="54"/>
        <v>71</v>
      </c>
      <c r="AX285" s="113">
        <f t="shared" si="54"/>
        <v>86</v>
      </c>
    </row>
    <row r="286" spans="1:50" x14ac:dyDescent="0.25">
      <c r="A286" s="113">
        <v>283</v>
      </c>
      <c r="B286" s="209" t="s">
        <v>263</v>
      </c>
      <c r="C286">
        <f>IFERROR(INDEX($BD$7:$BO$35,MATCH(Ajustes!$E$4:$E$323,$BC$7:$BC$35,0),$C$2:$N$2),1)</f>
        <v>1</v>
      </c>
      <c r="D286" s="113">
        <f>IFERROR(INDEX($BD$7:$BO$35,MATCH(Ajustes!$E$4:$E$323,$BC$7:$BC$35,0),$C$2:$N$2),1)</f>
        <v>1</v>
      </c>
      <c r="E286" s="113">
        <f>IFERROR(INDEX($BD$7:$BO$35,MATCH(Ajustes!$E$4:$E$323,$BC$7:$BC$35,0),$C$2:$N$2),1)</f>
        <v>1</v>
      </c>
      <c r="F286" s="113">
        <f>IFERROR(INDEX($BD$7:$BO$35,MATCH(Ajustes!$E$4:$E$323,$BC$7:$BC$35,0),$C$2:$N$2),1)</f>
        <v>1</v>
      </c>
      <c r="G286" s="113">
        <f>IFERROR(INDEX($BD$7:$BO$35,MATCH(Ajustes!$E$4:$E$323,$BC$7:$BC$35,0),$C$2:$N$2),1)</f>
        <v>1</v>
      </c>
      <c r="H286" s="113">
        <f>IFERROR(INDEX($BD$7:$BO$35,MATCH(Ajustes!$E$4:$E$323,$BC$7:$BC$35,0),$C$2:$N$2),1)</f>
        <v>1</v>
      </c>
      <c r="I286" s="113">
        <f>IFERROR(INDEX($BD$7:$BO$35,MATCH(Ajustes!$E$4:$E$323,$BC$7:$BC$35,0),$C$2:$N$2),1)</f>
        <v>1</v>
      </c>
      <c r="J286" s="113">
        <f>IFERROR(INDEX($BD$7:$BO$35,MATCH(Ajustes!$E$4:$E$323,$BC$7:$BC$35,0),$C$2:$N$2),1)</f>
        <v>1</v>
      </c>
      <c r="K286" s="113">
        <f>IFERROR(INDEX($BD$7:$BO$35,MATCH(Ajustes!$E$4:$E$323,$BC$7:$BC$35,0),$C$2:$N$2),1)</f>
        <v>1</v>
      </c>
      <c r="L286" s="113">
        <f>IFERROR(INDEX($BD$7:$BO$35,MATCH(Ajustes!$E$4:$E$323,$BC$7:$BC$35,0),$C$2:$N$2),1)</f>
        <v>1</v>
      </c>
      <c r="M286" s="113">
        <f>IFERROR(INDEX($BD$7:$BO$35,MATCH(Ajustes!$E$4:$E$323,$BC$7:$BC$35,0),$C$2:$N$2),1)</f>
        <v>1</v>
      </c>
      <c r="N286" s="113">
        <f>IFERROR(INDEX($BD$7:$BO$35,MATCH(Ajustes!$E$4:$E$323,$BC$7:$BC$35,0),$C$2:$N$2),1)</f>
        <v>1</v>
      </c>
      <c r="O286">
        <f>C286*Ajustes!AM286</f>
        <v>176</v>
      </c>
      <c r="P286">
        <f>D286*Ajustes!AN286</f>
        <v>124</v>
      </c>
      <c r="Q286">
        <f>E286*Ajustes!AO286</f>
        <v>122</v>
      </c>
      <c r="R286">
        <f>F286*Ajustes!AP286</f>
        <v>108</v>
      </c>
      <c r="S286">
        <f>G286*Ajustes!AQ286</f>
        <v>74</v>
      </c>
      <c r="T286">
        <f>H286*Ajustes!AR286</f>
        <v>62</v>
      </c>
      <c r="U286">
        <f>I286*Ajustes!AS286</f>
        <v>61</v>
      </c>
      <c r="V286">
        <f>J286*Ajustes!AT286</f>
        <v>51</v>
      </c>
      <c r="W286">
        <f>K286*Ajustes!AU286</f>
        <v>45</v>
      </c>
      <c r="X286">
        <f>L286*Ajustes!AV286</f>
        <v>62</v>
      </c>
      <c r="Y286">
        <f>M286*Ajustes!AW286</f>
        <v>123</v>
      </c>
      <c r="Z286">
        <f>N286*Ajustes!AX286</f>
        <v>185</v>
      </c>
      <c r="AA286">
        <f>IF(Ajustes!$G286&gt;0,INDEX($AA$4:$AL$323,Ajustes!$G286,O$2),0)+IF(Ajustes!$H286&gt;0,INDEX($AA$4:$AL$323,Ajustes!$H286,O$2),0)+IF(Ajustes!$I286&gt;0,INDEX($AA$4:$AL$323,Ajustes!$I286,O$2),0)+IF(Ajustes!$J286&gt;0,INDEX($AA$4:$AL$323,Ajustes!$J286,O$2),0)+IF(Ajustes!$K286&gt;0,INDEX($AA$5:$AL$324,Ajustes!$K286,O$2),0)+IF(Ajustes!$L286&gt;0,INDEX($AA$4:$AL$323,Ajustes!$L286,O$2),0) + O286</f>
        <v>176</v>
      </c>
      <c r="AB286">
        <f>IF(Ajustes!$G286&gt;0,INDEX($AA$4:$AL$323,Ajustes!$G286,P$2),0)+IF(Ajustes!$H286&gt;0,INDEX($AA$4:$AL$323,Ajustes!$H286,P$2),0)+IF(Ajustes!$I286&gt;0,INDEX($AA$4:$AL$323,Ajustes!$I286,P$2),0)+IF(Ajustes!$J286&gt;0,INDEX($AA$4:$AL$323,Ajustes!$J286,P$2),0)+IF(Ajustes!$K286&gt;0,INDEX($AA$5:$AL$324,Ajustes!$K286,P$2),0)+IF(Ajustes!$L286&gt;0,INDEX($AA$4:$AL$323,Ajustes!$L286,P$2),0) + P286</f>
        <v>124</v>
      </c>
      <c r="AC286">
        <f>IF(Ajustes!$G286&gt;0,INDEX($AA$4:$AL$323,Ajustes!$G286,Q$2),0)+IF(Ajustes!$H286&gt;0,INDEX($AA$4:$AL$323,Ajustes!$H286,Q$2),0)+IF(Ajustes!$I286&gt;0,INDEX($AA$4:$AL$323,Ajustes!$I286,Q$2),0)+IF(Ajustes!$J286&gt;0,INDEX($AA$4:$AL$323,Ajustes!$J286,Q$2),0)+IF(Ajustes!$K286&gt;0,INDEX($AA$5:$AL$324,Ajustes!$K286,Q$2),0)+IF(Ajustes!$L286&gt;0,INDEX($AA$4:$AL$323,Ajustes!$L286,Q$2),0) + Q286</f>
        <v>122</v>
      </c>
      <c r="AD286">
        <f>IF(Ajustes!$G286&gt;0,INDEX($AA$4:$AL$323,Ajustes!$G286,R$2),0)+IF(Ajustes!$H286&gt;0,INDEX($AA$4:$AL$323,Ajustes!$H286,R$2),0)+IF(Ajustes!$I286&gt;0,INDEX($AA$4:$AL$323,Ajustes!$I286,R$2),0)+IF(Ajustes!$J286&gt;0,INDEX($AA$4:$AL$323,Ajustes!$J286,R$2),0)+IF(Ajustes!$K286&gt;0,INDEX($AA$5:$AL$324,Ajustes!$K286,R$2),0)+IF(Ajustes!$L286&gt;0,INDEX($AA$4:$AL$323,Ajustes!$L286,R$2),0) + R286</f>
        <v>108</v>
      </c>
      <c r="AE286">
        <f>IF(Ajustes!$G286&gt;0,INDEX($AA$4:$AL$323,Ajustes!$G286,S$2),0)+IF(Ajustes!$H286&gt;0,INDEX($AA$4:$AL$323,Ajustes!$H286,S$2),0)+IF(Ajustes!$I286&gt;0,INDEX($AA$4:$AL$323,Ajustes!$I286,S$2),0)+IF(Ajustes!$J286&gt;0,INDEX($AA$4:$AL$323,Ajustes!$J286,S$2),0)+IF(Ajustes!$K286&gt;0,INDEX($AA$5:$AL$324,Ajustes!$K286,S$2),0)+IF(Ajustes!$L286&gt;0,INDEX($AA$4:$AL$323,Ajustes!$L286,S$2),0) + S286</f>
        <v>74</v>
      </c>
      <c r="AF286">
        <f>IF(Ajustes!$G286&gt;0,INDEX($AA$4:$AL$323,Ajustes!$G286,T$2),0)+IF(Ajustes!$H286&gt;0,INDEX($AA$4:$AL$323,Ajustes!$H286,T$2),0)+IF(Ajustes!$I286&gt;0,INDEX($AA$4:$AL$323,Ajustes!$I286,T$2),0)+IF(Ajustes!$J286&gt;0,INDEX($AA$4:$AL$323,Ajustes!$J286,T$2),0)+IF(Ajustes!$K286&gt;0,INDEX($AA$5:$AL$324,Ajustes!$K286,T$2),0)+IF(Ajustes!$L286&gt;0,INDEX($AA$4:$AL$323,Ajustes!$L286,T$2),0) + T286</f>
        <v>62</v>
      </c>
      <c r="AG286">
        <f>IF(Ajustes!$G286&gt;0,INDEX($AA$4:$AL$323,Ajustes!$G286,U$2),0)+IF(Ajustes!$H286&gt;0,INDEX($AA$4:$AL$323,Ajustes!$H286,U$2),0)+IF(Ajustes!$I286&gt;0,INDEX($AA$4:$AL$323,Ajustes!$I286,U$2),0)+IF(Ajustes!$J286&gt;0,INDEX($AA$4:$AL$323,Ajustes!$J286,U$2),0)+IF(Ajustes!$K286&gt;0,INDEX($AA$5:$AL$324,Ajustes!$K286,U$2),0)+IF(Ajustes!$L286&gt;0,INDEX($AA$4:$AL$323,Ajustes!$L286,U$2),0) + U286</f>
        <v>61</v>
      </c>
      <c r="AH286">
        <f>IF(Ajustes!$G286&gt;0,INDEX($AA$4:$AL$323,Ajustes!$G286,V$2),0)+IF(Ajustes!$H286&gt;0,INDEX($AA$4:$AL$323,Ajustes!$H286,V$2),0)+IF(Ajustes!$I286&gt;0,INDEX($AA$4:$AL$323,Ajustes!$I286,V$2),0)+IF(Ajustes!$J286&gt;0,INDEX($AA$4:$AL$323,Ajustes!$J286,V$2),0)+IF(Ajustes!$K286&gt;0,INDEX($AA$5:$AL$324,Ajustes!$K286,V$2),0)+IF(Ajustes!$L286&gt;0,INDEX($AA$4:$AL$323,Ajustes!$L286,V$2),0) + V286</f>
        <v>51</v>
      </c>
      <c r="AI286">
        <f>IF(Ajustes!$G286&gt;0,INDEX($AA$4:$AL$323,Ajustes!$G286,W$2),0)+IF(Ajustes!$H286&gt;0,INDEX($AA$4:$AL$323,Ajustes!$H286,W$2),0)+IF(Ajustes!$I286&gt;0,INDEX($AA$4:$AL$323,Ajustes!$I286,W$2),0)+IF(Ajustes!$J286&gt;0,INDEX($AA$4:$AL$323,Ajustes!$J286,W$2),0)+IF(Ajustes!$K286&gt;0,INDEX($AA$5:$AL$324,Ajustes!$K286,W$2),0)+IF(Ajustes!$L286&gt;0,INDEX($AA$4:$AL$323,Ajustes!$L286,W$2),0) + W286</f>
        <v>45</v>
      </c>
      <c r="AJ286">
        <f>IF(Ajustes!$G286&gt;0,INDEX($AA$4:$AL$323,Ajustes!$G286,X$2),0)+IF(Ajustes!$H286&gt;0,INDEX($AA$4:$AL$323,Ajustes!$H286,X$2),0)+IF(Ajustes!$I286&gt;0,INDEX($AA$4:$AL$323,Ajustes!$I286,X$2),0)+IF(Ajustes!$J286&gt;0,INDEX($AA$4:$AL$323,Ajustes!$J286,X$2),0)+IF(Ajustes!$K286&gt;0,INDEX($AA$5:$AL$324,Ajustes!$K286,X$2),0)+IF(Ajustes!$L286&gt;0,INDEX($AA$4:$AL$323,Ajustes!$L286,X$2),0) + X286</f>
        <v>62</v>
      </c>
      <c r="AK286">
        <f>IF(Ajustes!$G286&gt;0,INDEX($AA$4:$AL$323,Ajustes!$G286,Y$2),0)+IF(Ajustes!$H286&gt;0,INDEX($AA$4:$AL$323,Ajustes!$H286,Y$2),0)+IF(Ajustes!$I286&gt;0,INDEX($AA$4:$AL$323,Ajustes!$I286,Y$2),0)+IF(Ajustes!$J286&gt;0,INDEX($AA$4:$AL$323,Ajustes!$J286,Y$2),0)+IF(Ajustes!$K286&gt;0,INDEX($AA$5:$AL$324,Ajustes!$K286,Y$2),0)+IF(Ajustes!$L286&gt;0,INDEX($AA$4:$AL$323,Ajustes!$L286,Y$2),0) + Y286</f>
        <v>123</v>
      </c>
      <c r="AL286">
        <f>IF(Ajustes!$G286&gt;0,INDEX($AA$4:$AL$323,Ajustes!$G286,Z$2),0)+IF(Ajustes!$H286&gt;0,INDEX($AA$4:$AL$323,Ajustes!$H286,Z$2),0)+IF(Ajustes!$I286&gt;0,INDEX($AA$4:$AL$323,Ajustes!$I286,Z$2),0)+IF(Ajustes!$J286&gt;0,INDEX($AA$4:$AL$323,Ajustes!$J286,Z$2),0)+IF(Ajustes!$K286&gt;0,INDEX($AA$5:$AL$324,Ajustes!$K286,Z$2),0)+IF(Ajustes!$L286&gt;0,INDEX($AA$4:$AL$323,Ajustes!$L286,Z$2),0) + Z286</f>
        <v>185</v>
      </c>
      <c r="AM286" s="113">
        <f t="shared" si="53"/>
        <v>176</v>
      </c>
      <c r="AN286" s="113">
        <f t="shared" si="53"/>
        <v>124</v>
      </c>
      <c r="AO286" s="113">
        <f t="shared" si="53"/>
        <v>122</v>
      </c>
      <c r="AP286" s="113">
        <f t="shared" si="53"/>
        <v>108</v>
      </c>
      <c r="AQ286" s="113">
        <f t="shared" si="53"/>
        <v>74</v>
      </c>
      <c r="AR286" s="113">
        <f t="shared" si="53"/>
        <v>62</v>
      </c>
      <c r="AS286" s="113">
        <f t="shared" si="53"/>
        <v>61</v>
      </c>
      <c r="AT286" s="113">
        <f t="shared" si="53"/>
        <v>51</v>
      </c>
      <c r="AU286" s="113">
        <f t="shared" si="54"/>
        <v>45</v>
      </c>
      <c r="AV286" s="113">
        <f t="shared" si="54"/>
        <v>62</v>
      </c>
      <c r="AW286" s="113">
        <f t="shared" si="54"/>
        <v>123</v>
      </c>
      <c r="AX286" s="113">
        <f t="shared" si="54"/>
        <v>185</v>
      </c>
    </row>
    <row r="287" spans="1:50" x14ac:dyDescent="0.25">
      <c r="A287" s="113">
        <v>284</v>
      </c>
      <c r="B287" s="209" t="s">
        <v>668</v>
      </c>
      <c r="C287">
        <f>IFERROR(INDEX($BD$7:$BO$35,MATCH(Ajustes!$E$4:$E$323,$BC$7:$BC$35,0),$C$2:$N$2),1)</f>
        <v>1</v>
      </c>
      <c r="D287" s="113">
        <f>IFERROR(INDEX($BD$7:$BO$35,MATCH(Ajustes!$E$4:$E$323,$BC$7:$BC$35,0),$C$2:$N$2),1)</f>
        <v>1</v>
      </c>
      <c r="E287" s="113">
        <f>IFERROR(INDEX($BD$7:$BO$35,MATCH(Ajustes!$E$4:$E$323,$BC$7:$BC$35,0),$C$2:$N$2),1)</f>
        <v>1</v>
      </c>
      <c r="F287" s="113">
        <f>IFERROR(INDEX($BD$7:$BO$35,MATCH(Ajustes!$E$4:$E$323,$BC$7:$BC$35,0),$C$2:$N$2),1)</f>
        <v>1</v>
      </c>
      <c r="G287" s="113">
        <f>IFERROR(INDEX($BD$7:$BO$35,MATCH(Ajustes!$E$4:$E$323,$BC$7:$BC$35,0),$C$2:$N$2),1)</f>
        <v>1</v>
      </c>
      <c r="H287" s="113">
        <f>IFERROR(INDEX($BD$7:$BO$35,MATCH(Ajustes!$E$4:$E$323,$BC$7:$BC$35,0),$C$2:$N$2),1)</f>
        <v>1</v>
      </c>
      <c r="I287" s="113">
        <f>IFERROR(INDEX($BD$7:$BO$35,MATCH(Ajustes!$E$4:$E$323,$BC$7:$BC$35,0),$C$2:$N$2),1)</f>
        <v>1</v>
      </c>
      <c r="J287" s="113">
        <f>IFERROR(INDEX($BD$7:$BO$35,MATCH(Ajustes!$E$4:$E$323,$BC$7:$BC$35,0),$C$2:$N$2),1)</f>
        <v>1</v>
      </c>
      <c r="K287" s="113">
        <f>IFERROR(INDEX($BD$7:$BO$35,MATCH(Ajustes!$E$4:$E$323,$BC$7:$BC$35,0),$C$2:$N$2),1)</f>
        <v>1</v>
      </c>
      <c r="L287" s="113">
        <f>IFERROR(INDEX($BD$7:$BO$35,MATCH(Ajustes!$E$4:$E$323,$BC$7:$BC$35,0),$C$2:$N$2),1)</f>
        <v>1</v>
      </c>
      <c r="M287" s="113">
        <f>IFERROR(INDEX($BD$7:$BO$35,MATCH(Ajustes!$E$4:$E$323,$BC$7:$BC$35,0),$C$2:$N$2),1)</f>
        <v>1</v>
      </c>
      <c r="N287" s="113">
        <f>IFERROR(INDEX($BD$7:$BO$35,MATCH(Ajustes!$E$4:$E$323,$BC$7:$BC$35,0),$C$2:$N$2),1)</f>
        <v>1</v>
      </c>
      <c r="O287">
        <f>C287*Ajustes!AM287</f>
        <v>6</v>
      </c>
      <c r="P287">
        <f>D287*Ajustes!AN287</f>
        <v>6</v>
      </c>
      <c r="Q287">
        <f>E287*Ajustes!AO287</f>
        <v>6</v>
      </c>
      <c r="R287">
        <f>F287*Ajustes!AP287</f>
        <v>5</v>
      </c>
      <c r="S287">
        <f>G287*Ajustes!AQ287</f>
        <v>8</v>
      </c>
      <c r="T287">
        <f>H287*Ajustes!AR287</f>
        <v>10</v>
      </c>
      <c r="U287">
        <f>I287*Ajustes!AS287</f>
        <v>14</v>
      </c>
      <c r="V287">
        <f>J287*Ajustes!AT287</f>
        <v>14</v>
      </c>
      <c r="W287">
        <f>K287*Ajustes!AU287</f>
        <v>16</v>
      </c>
      <c r="X287">
        <f>L287*Ajustes!AV287</f>
        <v>13</v>
      </c>
      <c r="Y287">
        <f>M287*Ajustes!AW287</f>
        <v>8</v>
      </c>
      <c r="Z287">
        <f>N287*Ajustes!AX287</f>
        <v>6</v>
      </c>
      <c r="AA287">
        <f>IF(Ajustes!$G287&gt;0,INDEX($AA$4:$AL$323,Ajustes!$G287,O$2),0)+IF(Ajustes!$H287&gt;0,INDEX($AA$4:$AL$323,Ajustes!$H287,O$2),0)+IF(Ajustes!$I287&gt;0,INDEX($AA$4:$AL$323,Ajustes!$I287,O$2),0)+IF(Ajustes!$J287&gt;0,INDEX($AA$4:$AL$323,Ajustes!$J287,O$2),0)+IF(Ajustes!$K287&gt;0,INDEX($AA$5:$AL$324,Ajustes!$K287,O$2),0)+IF(Ajustes!$L287&gt;0,INDEX($AA$4:$AL$323,Ajustes!$L287,O$2),0) + O287</f>
        <v>166</v>
      </c>
      <c r="AB287">
        <f>IF(Ajustes!$G287&gt;0,INDEX($AA$4:$AL$323,Ajustes!$G287,P$2),0)+IF(Ajustes!$H287&gt;0,INDEX($AA$4:$AL$323,Ajustes!$H287,P$2),0)+IF(Ajustes!$I287&gt;0,INDEX($AA$4:$AL$323,Ajustes!$I287,P$2),0)+IF(Ajustes!$J287&gt;0,INDEX($AA$4:$AL$323,Ajustes!$J287,P$2),0)+IF(Ajustes!$K287&gt;0,INDEX($AA$5:$AL$324,Ajustes!$K287,P$2),0)+IF(Ajustes!$L287&gt;0,INDEX($AA$4:$AL$323,Ajustes!$L287,P$2),0) + P287</f>
        <v>211</v>
      </c>
      <c r="AC287">
        <f>IF(Ajustes!$G287&gt;0,INDEX($AA$4:$AL$323,Ajustes!$G287,Q$2),0)+IF(Ajustes!$H287&gt;0,INDEX($AA$4:$AL$323,Ajustes!$H287,Q$2),0)+IF(Ajustes!$I287&gt;0,INDEX($AA$4:$AL$323,Ajustes!$I287,Q$2),0)+IF(Ajustes!$J287&gt;0,INDEX($AA$4:$AL$323,Ajustes!$J287,Q$2),0)+IF(Ajustes!$K287&gt;0,INDEX($AA$5:$AL$324,Ajustes!$K287,Q$2),0)+IF(Ajustes!$L287&gt;0,INDEX($AA$4:$AL$323,Ajustes!$L287,Q$2),0) + Q287</f>
        <v>161</v>
      </c>
      <c r="AD287">
        <f>IF(Ajustes!$G287&gt;0,INDEX($AA$4:$AL$323,Ajustes!$G287,R$2),0)+IF(Ajustes!$H287&gt;0,INDEX($AA$4:$AL$323,Ajustes!$H287,R$2),0)+IF(Ajustes!$I287&gt;0,INDEX($AA$4:$AL$323,Ajustes!$I287,R$2),0)+IF(Ajustes!$J287&gt;0,INDEX($AA$4:$AL$323,Ajustes!$J287,R$2),0)+IF(Ajustes!$K287&gt;0,INDEX($AA$5:$AL$324,Ajustes!$K287,R$2),0)+IF(Ajustes!$L287&gt;0,INDEX($AA$4:$AL$323,Ajustes!$L287,R$2),0) + R287</f>
        <v>179</v>
      </c>
      <c r="AE287">
        <f>IF(Ajustes!$G287&gt;0,INDEX($AA$4:$AL$323,Ajustes!$G287,S$2),0)+IF(Ajustes!$H287&gt;0,INDEX($AA$4:$AL$323,Ajustes!$H287,S$2),0)+IF(Ajustes!$I287&gt;0,INDEX($AA$4:$AL$323,Ajustes!$I287,S$2),0)+IF(Ajustes!$J287&gt;0,INDEX($AA$4:$AL$323,Ajustes!$J287,S$2),0)+IF(Ajustes!$K287&gt;0,INDEX($AA$5:$AL$324,Ajustes!$K287,S$2),0)+IF(Ajustes!$L287&gt;0,INDEX($AA$4:$AL$323,Ajustes!$L287,S$2),0) + S287</f>
        <v>249</v>
      </c>
      <c r="AF287">
        <f>IF(Ajustes!$G287&gt;0,INDEX($AA$4:$AL$323,Ajustes!$G287,T$2),0)+IF(Ajustes!$H287&gt;0,INDEX($AA$4:$AL$323,Ajustes!$H287,T$2),0)+IF(Ajustes!$I287&gt;0,INDEX($AA$4:$AL$323,Ajustes!$I287,T$2),0)+IF(Ajustes!$J287&gt;0,INDEX($AA$4:$AL$323,Ajustes!$J287,T$2),0)+IF(Ajustes!$K287&gt;0,INDEX($AA$5:$AL$324,Ajustes!$K287,T$2),0)+IF(Ajustes!$L287&gt;0,INDEX($AA$4:$AL$323,Ajustes!$L287,T$2),0) + T287</f>
        <v>324</v>
      </c>
      <c r="AG287">
        <f>IF(Ajustes!$G287&gt;0,INDEX($AA$4:$AL$323,Ajustes!$G287,U$2),0)+IF(Ajustes!$H287&gt;0,INDEX($AA$4:$AL$323,Ajustes!$H287,U$2),0)+IF(Ajustes!$I287&gt;0,INDEX($AA$4:$AL$323,Ajustes!$I287,U$2),0)+IF(Ajustes!$J287&gt;0,INDEX($AA$4:$AL$323,Ajustes!$J287,U$2),0)+IF(Ajustes!$K287&gt;0,INDEX($AA$5:$AL$324,Ajustes!$K287,U$2),0)+IF(Ajustes!$L287&gt;0,INDEX($AA$4:$AL$323,Ajustes!$L287,U$2),0) + U287</f>
        <v>420</v>
      </c>
      <c r="AH287">
        <f>IF(Ajustes!$G287&gt;0,INDEX($AA$4:$AL$323,Ajustes!$G287,V$2),0)+IF(Ajustes!$H287&gt;0,INDEX($AA$4:$AL$323,Ajustes!$H287,V$2),0)+IF(Ajustes!$I287&gt;0,INDEX($AA$4:$AL$323,Ajustes!$I287,V$2),0)+IF(Ajustes!$J287&gt;0,INDEX($AA$4:$AL$323,Ajustes!$J287,V$2),0)+IF(Ajustes!$K287&gt;0,INDEX($AA$5:$AL$324,Ajustes!$K287,V$2),0)+IF(Ajustes!$L287&gt;0,INDEX($AA$4:$AL$323,Ajustes!$L287,V$2),0) + V287</f>
        <v>438</v>
      </c>
      <c r="AI287">
        <f>IF(Ajustes!$G287&gt;0,INDEX($AA$4:$AL$323,Ajustes!$G287,W$2),0)+IF(Ajustes!$H287&gt;0,INDEX($AA$4:$AL$323,Ajustes!$H287,W$2),0)+IF(Ajustes!$I287&gt;0,INDEX($AA$4:$AL$323,Ajustes!$I287,W$2),0)+IF(Ajustes!$J287&gt;0,INDEX($AA$4:$AL$323,Ajustes!$J287,W$2),0)+IF(Ajustes!$K287&gt;0,INDEX($AA$5:$AL$324,Ajustes!$K287,W$2),0)+IF(Ajustes!$L287&gt;0,INDEX($AA$4:$AL$323,Ajustes!$L287,W$2),0) + W287</f>
        <v>487</v>
      </c>
      <c r="AJ287">
        <f>IF(Ajustes!$G287&gt;0,INDEX($AA$4:$AL$323,Ajustes!$G287,X$2),0)+IF(Ajustes!$H287&gt;0,INDEX($AA$4:$AL$323,Ajustes!$H287,X$2),0)+IF(Ajustes!$I287&gt;0,INDEX($AA$4:$AL$323,Ajustes!$I287,X$2),0)+IF(Ajustes!$J287&gt;0,INDEX($AA$4:$AL$323,Ajustes!$J287,X$2),0)+IF(Ajustes!$K287&gt;0,INDEX($AA$5:$AL$324,Ajustes!$K287,X$2),0)+IF(Ajustes!$L287&gt;0,INDEX($AA$4:$AL$323,Ajustes!$L287,X$2),0) + X287</f>
        <v>400</v>
      </c>
      <c r="AK287">
        <f>IF(Ajustes!$G287&gt;0,INDEX($AA$4:$AL$323,Ajustes!$G287,Y$2),0)+IF(Ajustes!$H287&gt;0,INDEX($AA$4:$AL$323,Ajustes!$H287,Y$2),0)+IF(Ajustes!$I287&gt;0,INDEX($AA$4:$AL$323,Ajustes!$I287,Y$2),0)+IF(Ajustes!$J287&gt;0,INDEX($AA$4:$AL$323,Ajustes!$J287,Y$2),0)+IF(Ajustes!$K287&gt;0,INDEX($AA$5:$AL$324,Ajustes!$K287,Y$2),0)+IF(Ajustes!$L287&gt;0,INDEX($AA$4:$AL$323,Ajustes!$L287,Y$2),0) + Y287</f>
        <v>235</v>
      </c>
      <c r="AL287">
        <f>IF(Ajustes!$G287&gt;0,INDEX($AA$4:$AL$323,Ajustes!$G287,Z$2),0)+IF(Ajustes!$H287&gt;0,INDEX($AA$4:$AL$323,Ajustes!$H287,Z$2),0)+IF(Ajustes!$I287&gt;0,INDEX($AA$4:$AL$323,Ajustes!$I287,Z$2),0)+IF(Ajustes!$J287&gt;0,INDEX($AA$4:$AL$323,Ajustes!$J287,Z$2),0)+IF(Ajustes!$K287&gt;0,INDEX($AA$5:$AL$324,Ajustes!$K287,Z$2),0)+IF(Ajustes!$L287&gt;0,INDEX($AA$4:$AL$323,Ajustes!$L287,Z$2),0) + Z287</f>
        <v>187</v>
      </c>
      <c r="AM287" s="113">
        <f t="shared" si="53"/>
        <v>166</v>
      </c>
      <c r="AN287" s="113">
        <f t="shared" si="53"/>
        <v>211</v>
      </c>
      <c r="AO287" s="113">
        <f t="shared" si="53"/>
        <v>161</v>
      </c>
      <c r="AP287" s="113">
        <f t="shared" si="53"/>
        <v>179</v>
      </c>
      <c r="AQ287" s="113">
        <f t="shared" si="53"/>
        <v>249</v>
      </c>
      <c r="AR287" s="113">
        <f t="shared" si="53"/>
        <v>324</v>
      </c>
      <c r="AS287" s="113">
        <f t="shared" si="53"/>
        <v>420</v>
      </c>
      <c r="AT287" s="113">
        <f t="shared" si="53"/>
        <v>438</v>
      </c>
      <c r="AU287" s="113">
        <f t="shared" si="54"/>
        <v>487</v>
      </c>
      <c r="AV287" s="113">
        <f t="shared" si="54"/>
        <v>400</v>
      </c>
      <c r="AW287" s="113">
        <f t="shared" si="54"/>
        <v>235</v>
      </c>
      <c r="AX287" s="113">
        <f t="shared" si="54"/>
        <v>187</v>
      </c>
    </row>
    <row r="288" spans="1:50" x14ac:dyDescent="0.25">
      <c r="A288" s="113">
        <v>285</v>
      </c>
      <c r="B288" s="209" t="s">
        <v>669</v>
      </c>
      <c r="C288">
        <f>IFERROR(INDEX($BD$7:$BO$35,MATCH(Ajustes!$E$4:$E$323,$BC$7:$BC$35,0),$C$2:$N$2),1)</f>
        <v>1</v>
      </c>
      <c r="D288" s="113">
        <f>IFERROR(INDEX($BD$7:$BO$35,MATCH(Ajustes!$E$4:$E$323,$BC$7:$BC$35,0),$C$2:$N$2),1)</f>
        <v>1</v>
      </c>
      <c r="E288" s="113">
        <f>IFERROR(INDEX($BD$7:$BO$35,MATCH(Ajustes!$E$4:$E$323,$BC$7:$BC$35,0),$C$2:$N$2),1)</f>
        <v>1</v>
      </c>
      <c r="F288" s="113">
        <f>IFERROR(INDEX($BD$7:$BO$35,MATCH(Ajustes!$E$4:$E$323,$BC$7:$BC$35,0),$C$2:$N$2),1)</f>
        <v>1</v>
      </c>
      <c r="G288" s="113">
        <f>IFERROR(INDEX($BD$7:$BO$35,MATCH(Ajustes!$E$4:$E$323,$BC$7:$BC$35,0),$C$2:$N$2),1)</f>
        <v>1</v>
      </c>
      <c r="H288" s="113">
        <f>IFERROR(INDEX($BD$7:$BO$35,MATCH(Ajustes!$E$4:$E$323,$BC$7:$BC$35,0),$C$2:$N$2),1)</f>
        <v>1</v>
      </c>
      <c r="I288" s="113">
        <f>IFERROR(INDEX($BD$7:$BO$35,MATCH(Ajustes!$E$4:$E$323,$BC$7:$BC$35,0),$C$2:$N$2),1)</f>
        <v>1</v>
      </c>
      <c r="J288" s="113">
        <f>IFERROR(INDEX($BD$7:$BO$35,MATCH(Ajustes!$E$4:$E$323,$BC$7:$BC$35,0),$C$2:$N$2),1)</f>
        <v>1</v>
      </c>
      <c r="K288" s="113">
        <f>IFERROR(INDEX($BD$7:$BO$35,MATCH(Ajustes!$E$4:$E$323,$BC$7:$BC$35,0),$C$2:$N$2),1)</f>
        <v>1</v>
      </c>
      <c r="L288" s="113">
        <f>IFERROR(INDEX($BD$7:$BO$35,MATCH(Ajustes!$E$4:$E$323,$BC$7:$BC$35,0),$C$2:$N$2),1)</f>
        <v>1</v>
      </c>
      <c r="M288" s="113">
        <f>IFERROR(INDEX($BD$7:$BO$35,MATCH(Ajustes!$E$4:$E$323,$BC$7:$BC$35,0),$C$2:$N$2),1)</f>
        <v>1</v>
      </c>
      <c r="N288" s="113">
        <f>IFERROR(INDEX($BD$7:$BO$35,MATCH(Ajustes!$E$4:$E$323,$BC$7:$BC$35,0),$C$2:$N$2),1)</f>
        <v>1</v>
      </c>
      <c r="O288">
        <f>C288*Ajustes!AM288</f>
        <v>23440</v>
      </c>
      <c r="P288">
        <f>D288*Ajustes!AN288</f>
        <v>30116</v>
      </c>
      <c r="Q288">
        <f>E288*Ajustes!AO288</f>
        <v>34744</v>
      </c>
      <c r="R288">
        <f>F288*Ajustes!AP288</f>
        <v>33756</v>
      </c>
      <c r="S288">
        <f>G288*Ajustes!AQ288</f>
        <v>25919</v>
      </c>
      <c r="T288">
        <f>H288*Ajustes!AR288</f>
        <v>18010</v>
      </c>
      <c r="U288">
        <f>I288*Ajustes!AS288</f>
        <v>11506</v>
      </c>
      <c r="V288">
        <f>J288*Ajustes!AT288</f>
        <v>7086</v>
      </c>
      <c r="W288">
        <f>K288*Ajustes!AU288</f>
        <v>5289</v>
      </c>
      <c r="X288">
        <f>L288*Ajustes!AV288</f>
        <v>6394</v>
      </c>
      <c r="Y288">
        <f>M288*Ajustes!AW288</f>
        <v>10114</v>
      </c>
      <c r="Z288">
        <f>N288*Ajustes!AX288</f>
        <v>16148</v>
      </c>
      <c r="AA288">
        <f>IF(Ajustes!$G288&gt;0,INDEX($AA$4:$AL$323,Ajustes!$G288,O$2),0)+IF(Ajustes!$H288&gt;0,INDEX($AA$4:$AL$323,Ajustes!$H288,O$2),0)+IF(Ajustes!$I288&gt;0,INDEX($AA$4:$AL$323,Ajustes!$I288,O$2),0)+IF(Ajustes!$J288&gt;0,INDEX($AA$4:$AL$323,Ajustes!$J288,O$2),0)+IF(Ajustes!$K288&gt;0,INDEX($AA$5:$AL$324,Ajustes!$K288,O$2),0)+IF(Ajustes!$L288&gt;0,INDEX($AA$4:$AL$323,Ajustes!$L288,O$2),0) + O288</f>
        <v>23475</v>
      </c>
      <c r="AB288">
        <f>IF(Ajustes!$G288&gt;0,INDEX($AA$4:$AL$323,Ajustes!$G288,P$2),0)+IF(Ajustes!$H288&gt;0,INDEX($AA$4:$AL$323,Ajustes!$H288,P$2),0)+IF(Ajustes!$I288&gt;0,INDEX($AA$4:$AL$323,Ajustes!$I288,P$2),0)+IF(Ajustes!$J288&gt;0,INDEX($AA$4:$AL$323,Ajustes!$J288,P$2),0)+IF(Ajustes!$K288&gt;0,INDEX($AA$5:$AL$324,Ajustes!$K288,P$2),0)+IF(Ajustes!$L288&gt;0,INDEX($AA$4:$AL$323,Ajustes!$L288,P$2),0) + P288</f>
        <v>30153</v>
      </c>
      <c r="AC288">
        <f>IF(Ajustes!$G288&gt;0,INDEX($AA$4:$AL$323,Ajustes!$G288,Q$2),0)+IF(Ajustes!$H288&gt;0,INDEX($AA$4:$AL$323,Ajustes!$H288,Q$2),0)+IF(Ajustes!$I288&gt;0,INDEX($AA$4:$AL$323,Ajustes!$I288,Q$2),0)+IF(Ajustes!$J288&gt;0,INDEX($AA$4:$AL$323,Ajustes!$J288,Q$2),0)+IF(Ajustes!$K288&gt;0,INDEX($AA$5:$AL$324,Ajustes!$K288,Q$2),0)+IF(Ajustes!$L288&gt;0,INDEX($AA$4:$AL$323,Ajustes!$L288,Q$2),0) + Q288</f>
        <v>34783</v>
      </c>
      <c r="AD288">
        <f>IF(Ajustes!$G288&gt;0,INDEX($AA$4:$AL$323,Ajustes!$G288,R$2),0)+IF(Ajustes!$H288&gt;0,INDEX($AA$4:$AL$323,Ajustes!$H288,R$2),0)+IF(Ajustes!$I288&gt;0,INDEX($AA$4:$AL$323,Ajustes!$I288,R$2),0)+IF(Ajustes!$J288&gt;0,INDEX($AA$4:$AL$323,Ajustes!$J288,R$2),0)+IF(Ajustes!$K288&gt;0,INDEX($AA$5:$AL$324,Ajustes!$K288,R$2),0)+IF(Ajustes!$L288&gt;0,INDEX($AA$4:$AL$323,Ajustes!$L288,R$2),0) + R288</f>
        <v>33793</v>
      </c>
      <c r="AE288">
        <f>IF(Ajustes!$G288&gt;0,INDEX($AA$4:$AL$323,Ajustes!$G288,S$2),0)+IF(Ajustes!$H288&gt;0,INDEX($AA$4:$AL$323,Ajustes!$H288,S$2),0)+IF(Ajustes!$I288&gt;0,INDEX($AA$4:$AL$323,Ajustes!$I288,S$2),0)+IF(Ajustes!$J288&gt;0,INDEX($AA$4:$AL$323,Ajustes!$J288,S$2),0)+IF(Ajustes!$K288&gt;0,INDEX($AA$5:$AL$324,Ajustes!$K288,S$2),0)+IF(Ajustes!$L288&gt;0,INDEX($AA$4:$AL$323,Ajustes!$L288,S$2),0) + S288</f>
        <v>25953</v>
      </c>
      <c r="AF288">
        <f>IF(Ajustes!$G288&gt;0,INDEX($AA$4:$AL$323,Ajustes!$G288,T$2),0)+IF(Ajustes!$H288&gt;0,INDEX($AA$4:$AL$323,Ajustes!$H288,T$2),0)+IF(Ajustes!$I288&gt;0,INDEX($AA$4:$AL$323,Ajustes!$I288,T$2),0)+IF(Ajustes!$J288&gt;0,INDEX($AA$4:$AL$323,Ajustes!$J288,T$2),0)+IF(Ajustes!$K288&gt;0,INDEX($AA$5:$AL$324,Ajustes!$K288,T$2),0)+IF(Ajustes!$L288&gt;0,INDEX($AA$4:$AL$323,Ajustes!$L288,T$2),0) + T288</f>
        <v>18042</v>
      </c>
      <c r="AG288">
        <f>IF(Ajustes!$G288&gt;0,INDEX($AA$4:$AL$323,Ajustes!$G288,U$2),0)+IF(Ajustes!$H288&gt;0,INDEX($AA$4:$AL$323,Ajustes!$H288,U$2),0)+IF(Ajustes!$I288&gt;0,INDEX($AA$4:$AL$323,Ajustes!$I288,U$2),0)+IF(Ajustes!$J288&gt;0,INDEX($AA$4:$AL$323,Ajustes!$J288,U$2),0)+IF(Ajustes!$K288&gt;0,INDEX($AA$5:$AL$324,Ajustes!$K288,U$2),0)+IF(Ajustes!$L288&gt;0,INDEX($AA$4:$AL$323,Ajustes!$L288,U$2),0) + U288</f>
        <v>11536</v>
      </c>
      <c r="AH288">
        <f>IF(Ajustes!$G288&gt;0,INDEX($AA$4:$AL$323,Ajustes!$G288,V$2),0)+IF(Ajustes!$H288&gt;0,INDEX($AA$4:$AL$323,Ajustes!$H288,V$2),0)+IF(Ajustes!$I288&gt;0,INDEX($AA$4:$AL$323,Ajustes!$I288,V$2),0)+IF(Ajustes!$J288&gt;0,INDEX($AA$4:$AL$323,Ajustes!$J288,V$2),0)+IF(Ajustes!$K288&gt;0,INDEX($AA$5:$AL$324,Ajustes!$K288,V$2),0)+IF(Ajustes!$L288&gt;0,INDEX($AA$4:$AL$323,Ajustes!$L288,V$2),0) + V288</f>
        <v>7115</v>
      </c>
      <c r="AI288">
        <f>IF(Ajustes!$G288&gt;0,INDEX($AA$4:$AL$323,Ajustes!$G288,W$2),0)+IF(Ajustes!$H288&gt;0,INDEX($AA$4:$AL$323,Ajustes!$H288,W$2),0)+IF(Ajustes!$I288&gt;0,INDEX($AA$4:$AL$323,Ajustes!$I288,W$2),0)+IF(Ajustes!$J288&gt;0,INDEX($AA$4:$AL$323,Ajustes!$J288,W$2),0)+IF(Ajustes!$K288&gt;0,INDEX($AA$5:$AL$324,Ajustes!$K288,W$2),0)+IF(Ajustes!$L288&gt;0,INDEX($AA$4:$AL$323,Ajustes!$L288,W$2),0) + W288</f>
        <v>5318</v>
      </c>
      <c r="AJ288">
        <f>IF(Ajustes!$G288&gt;0,INDEX($AA$4:$AL$323,Ajustes!$G288,X$2),0)+IF(Ajustes!$H288&gt;0,INDEX($AA$4:$AL$323,Ajustes!$H288,X$2),0)+IF(Ajustes!$I288&gt;0,INDEX($AA$4:$AL$323,Ajustes!$I288,X$2),0)+IF(Ajustes!$J288&gt;0,INDEX($AA$4:$AL$323,Ajustes!$J288,X$2),0)+IF(Ajustes!$K288&gt;0,INDEX($AA$5:$AL$324,Ajustes!$K288,X$2),0)+IF(Ajustes!$L288&gt;0,INDEX($AA$4:$AL$323,Ajustes!$L288,X$2),0) + X288</f>
        <v>6424</v>
      </c>
      <c r="AK288">
        <f>IF(Ajustes!$G288&gt;0,INDEX($AA$4:$AL$323,Ajustes!$G288,Y$2),0)+IF(Ajustes!$H288&gt;0,INDEX($AA$4:$AL$323,Ajustes!$H288,Y$2),0)+IF(Ajustes!$I288&gt;0,INDEX($AA$4:$AL$323,Ajustes!$I288,Y$2),0)+IF(Ajustes!$J288&gt;0,INDEX($AA$4:$AL$323,Ajustes!$J288,Y$2),0)+IF(Ajustes!$K288&gt;0,INDEX($AA$5:$AL$324,Ajustes!$K288,Y$2),0)+IF(Ajustes!$L288&gt;0,INDEX($AA$4:$AL$323,Ajustes!$L288,Y$2),0) + Y288</f>
        <v>10145</v>
      </c>
      <c r="AL288">
        <f>IF(Ajustes!$G288&gt;0,INDEX($AA$4:$AL$323,Ajustes!$G288,Z$2),0)+IF(Ajustes!$H288&gt;0,INDEX($AA$4:$AL$323,Ajustes!$H288,Z$2),0)+IF(Ajustes!$I288&gt;0,INDEX($AA$4:$AL$323,Ajustes!$I288,Z$2),0)+IF(Ajustes!$J288&gt;0,INDEX($AA$4:$AL$323,Ajustes!$J288,Z$2),0)+IF(Ajustes!$K288&gt;0,INDEX($AA$5:$AL$324,Ajustes!$K288,Z$2),0)+IF(Ajustes!$L288&gt;0,INDEX($AA$4:$AL$323,Ajustes!$L288,Z$2),0) + Z288</f>
        <v>16181</v>
      </c>
      <c r="AM288" s="113">
        <f t="shared" si="53"/>
        <v>23475</v>
      </c>
      <c r="AN288" s="113">
        <f t="shared" si="53"/>
        <v>30153</v>
      </c>
      <c r="AO288" s="113">
        <f t="shared" si="53"/>
        <v>34783</v>
      </c>
      <c r="AP288" s="113">
        <f t="shared" si="53"/>
        <v>33793</v>
      </c>
      <c r="AQ288" s="113">
        <f t="shared" si="53"/>
        <v>25953</v>
      </c>
      <c r="AR288" s="113">
        <f t="shared" si="53"/>
        <v>18042</v>
      </c>
      <c r="AS288" s="113">
        <f t="shared" si="53"/>
        <v>11536</v>
      </c>
      <c r="AT288" s="113">
        <f t="shared" si="53"/>
        <v>7115</v>
      </c>
      <c r="AU288" s="113">
        <f t="shared" si="54"/>
        <v>5318</v>
      </c>
      <c r="AV288" s="113">
        <f t="shared" si="54"/>
        <v>6424</v>
      </c>
      <c r="AW288" s="113">
        <f t="shared" si="54"/>
        <v>10145</v>
      </c>
      <c r="AX288" s="113">
        <f t="shared" si="54"/>
        <v>16181</v>
      </c>
    </row>
    <row r="289" spans="1:50" x14ac:dyDescent="0.25">
      <c r="A289" s="113">
        <v>286</v>
      </c>
      <c r="B289" s="209" t="s">
        <v>237</v>
      </c>
      <c r="C289">
        <f>IFERROR(INDEX($BD$7:$BO$35,MATCH(Ajustes!$E$4:$E$323,$BC$7:$BC$35,0),$C$2:$N$2),1)</f>
        <v>1</v>
      </c>
      <c r="D289" s="113">
        <f>IFERROR(INDEX($BD$7:$BO$35,MATCH(Ajustes!$E$4:$E$323,$BC$7:$BC$35,0),$C$2:$N$2),1)</f>
        <v>1</v>
      </c>
      <c r="E289" s="113">
        <f>IFERROR(INDEX($BD$7:$BO$35,MATCH(Ajustes!$E$4:$E$323,$BC$7:$BC$35,0),$C$2:$N$2),1)</f>
        <v>1</v>
      </c>
      <c r="F289" s="113">
        <f>IFERROR(INDEX($BD$7:$BO$35,MATCH(Ajustes!$E$4:$E$323,$BC$7:$BC$35,0),$C$2:$N$2),1)</f>
        <v>1</v>
      </c>
      <c r="G289" s="113">
        <f>IFERROR(INDEX($BD$7:$BO$35,MATCH(Ajustes!$E$4:$E$323,$BC$7:$BC$35,0),$C$2:$N$2),1)</f>
        <v>1</v>
      </c>
      <c r="H289" s="113">
        <f>IFERROR(INDEX($BD$7:$BO$35,MATCH(Ajustes!$E$4:$E$323,$BC$7:$BC$35,0),$C$2:$N$2),1)</f>
        <v>1</v>
      </c>
      <c r="I289" s="113">
        <f>IFERROR(INDEX($BD$7:$BO$35,MATCH(Ajustes!$E$4:$E$323,$BC$7:$BC$35,0),$C$2:$N$2),1)</f>
        <v>1</v>
      </c>
      <c r="J289" s="113">
        <f>IFERROR(INDEX($BD$7:$BO$35,MATCH(Ajustes!$E$4:$E$323,$BC$7:$BC$35,0),$C$2:$N$2),1)</f>
        <v>1</v>
      </c>
      <c r="K289" s="113">
        <f>IFERROR(INDEX($BD$7:$BO$35,MATCH(Ajustes!$E$4:$E$323,$BC$7:$BC$35,0),$C$2:$N$2),1)</f>
        <v>1</v>
      </c>
      <c r="L289" s="113">
        <f>IFERROR(INDEX($BD$7:$BO$35,MATCH(Ajustes!$E$4:$E$323,$BC$7:$BC$35,0),$C$2:$N$2),1)</f>
        <v>1</v>
      </c>
      <c r="M289" s="113">
        <f>IFERROR(INDEX($BD$7:$BO$35,MATCH(Ajustes!$E$4:$E$323,$BC$7:$BC$35,0),$C$2:$N$2),1)</f>
        <v>1</v>
      </c>
      <c r="N289" s="113">
        <f>IFERROR(INDEX($BD$7:$BO$35,MATCH(Ajustes!$E$4:$E$323,$BC$7:$BC$35,0),$C$2:$N$2),1)</f>
        <v>1</v>
      </c>
      <c r="O289">
        <f>C289*Ajustes!AM289</f>
        <v>56</v>
      </c>
      <c r="P289">
        <f>D289*Ajustes!AN289</f>
        <v>66</v>
      </c>
      <c r="Q289">
        <f>E289*Ajustes!AO289</f>
        <v>56</v>
      </c>
      <c r="R289">
        <f>F289*Ajustes!AP289</f>
        <v>58</v>
      </c>
      <c r="S289">
        <f>G289*Ajustes!AQ289</f>
        <v>82</v>
      </c>
      <c r="T289">
        <f>H289*Ajustes!AR289</f>
        <v>93</v>
      </c>
      <c r="U289">
        <f>I289*Ajustes!AS289</f>
        <v>91</v>
      </c>
      <c r="V289">
        <f>J289*Ajustes!AT289</f>
        <v>88</v>
      </c>
      <c r="W289">
        <f>K289*Ajustes!AU289</f>
        <v>99</v>
      </c>
      <c r="X289">
        <f>L289*Ajustes!AV289</f>
        <v>121</v>
      </c>
      <c r="Y289">
        <f>M289*Ajustes!AW289</f>
        <v>83</v>
      </c>
      <c r="Z289">
        <f>N289*Ajustes!AX289</f>
        <v>62</v>
      </c>
      <c r="AA289">
        <f>IF(Ajustes!$G289&gt;0,INDEX($AA$4:$AL$323,Ajustes!$G289,O$2),0)+IF(Ajustes!$H289&gt;0,INDEX($AA$4:$AL$323,Ajustes!$H289,O$2),0)+IF(Ajustes!$I289&gt;0,INDEX($AA$4:$AL$323,Ajustes!$I289,O$2),0)+IF(Ajustes!$J289&gt;0,INDEX($AA$4:$AL$323,Ajustes!$J289,O$2),0)+IF(Ajustes!$K289&gt;0,INDEX($AA$5:$AL$324,Ajustes!$K289,O$2),0)+IF(Ajustes!$L289&gt;0,INDEX($AA$4:$AL$323,Ajustes!$L289,O$2),0) + O289</f>
        <v>56</v>
      </c>
      <c r="AB289">
        <f>IF(Ajustes!$G289&gt;0,INDEX($AA$4:$AL$323,Ajustes!$G289,P$2),0)+IF(Ajustes!$H289&gt;0,INDEX($AA$4:$AL$323,Ajustes!$H289,P$2),0)+IF(Ajustes!$I289&gt;0,INDEX($AA$4:$AL$323,Ajustes!$I289,P$2),0)+IF(Ajustes!$J289&gt;0,INDEX($AA$4:$AL$323,Ajustes!$J289,P$2),0)+IF(Ajustes!$K289&gt;0,INDEX($AA$5:$AL$324,Ajustes!$K289,P$2),0)+IF(Ajustes!$L289&gt;0,INDEX($AA$4:$AL$323,Ajustes!$L289,P$2),0) + P289</f>
        <v>66</v>
      </c>
      <c r="AC289">
        <f>IF(Ajustes!$G289&gt;0,INDEX($AA$4:$AL$323,Ajustes!$G289,Q$2),0)+IF(Ajustes!$H289&gt;0,INDEX($AA$4:$AL$323,Ajustes!$H289,Q$2),0)+IF(Ajustes!$I289&gt;0,INDEX($AA$4:$AL$323,Ajustes!$I289,Q$2),0)+IF(Ajustes!$J289&gt;0,INDEX($AA$4:$AL$323,Ajustes!$J289,Q$2),0)+IF(Ajustes!$K289&gt;0,INDEX($AA$5:$AL$324,Ajustes!$K289,Q$2),0)+IF(Ajustes!$L289&gt;0,INDEX($AA$4:$AL$323,Ajustes!$L289,Q$2),0) + Q289</f>
        <v>56</v>
      </c>
      <c r="AD289">
        <f>IF(Ajustes!$G289&gt;0,INDEX($AA$4:$AL$323,Ajustes!$G289,R$2),0)+IF(Ajustes!$H289&gt;0,INDEX($AA$4:$AL$323,Ajustes!$H289,R$2),0)+IF(Ajustes!$I289&gt;0,INDEX($AA$4:$AL$323,Ajustes!$I289,R$2),0)+IF(Ajustes!$J289&gt;0,INDEX($AA$4:$AL$323,Ajustes!$J289,R$2),0)+IF(Ajustes!$K289&gt;0,INDEX($AA$5:$AL$324,Ajustes!$K289,R$2),0)+IF(Ajustes!$L289&gt;0,INDEX($AA$4:$AL$323,Ajustes!$L289,R$2),0) + R289</f>
        <v>58</v>
      </c>
      <c r="AE289">
        <f>IF(Ajustes!$G289&gt;0,INDEX($AA$4:$AL$323,Ajustes!$G289,S$2),0)+IF(Ajustes!$H289&gt;0,INDEX($AA$4:$AL$323,Ajustes!$H289,S$2),0)+IF(Ajustes!$I289&gt;0,INDEX($AA$4:$AL$323,Ajustes!$I289,S$2),0)+IF(Ajustes!$J289&gt;0,INDEX($AA$4:$AL$323,Ajustes!$J289,S$2),0)+IF(Ajustes!$K289&gt;0,INDEX($AA$5:$AL$324,Ajustes!$K289,S$2),0)+IF(Ajustes!$L289&gt;0,INDEX($AA$4:$AL$323,Ajustes!$L289,S$2),0) + S289</f>
        <v>82</v>
      </c>
      <c r="AF289">
        <f>IF(Ajustes!$G289&gt;0,INDEX($AA$4:$AL$323,Ajustes!$G289,T$2),0)+IF(Ajustes!$H289&gt;0,INDEX($AA$4:$AL$323,Ajustes!$H289,T$2),0)+IF(Ajustes!$I289&gt;0,INDEX($AA$4:$AL$323,Ajustes!$I289,T$2),0)+IF(Ajustes!$J289&gt;0,INDEX($AA$4:$AL$323,Ajustes!$J289,T$2),0)+IF(Ajustes!$K289&gt;0,INDEX($AA$5:$AL$324,Ajustes!$K289,T$2),0)+IF(Ajustes!$L289&gt;0,INDEX($AA$4:$AL$323,Ajustes!$L289,T$2),0) + T289</f>
        <v>93</v>
      </c>
      <c r="AG289">
        <f>IF(Ajustes!$G289&gt;0,INDEX($AA$4:$AL$323,Ajustes!$G289,U$2),0)+IF(Ajustes!$H289&gt;0,INDEX($AA$4:$AL$323,Ajustes!$H289,U$2),0)+IF(Ajustes!$I289&gt;0,INDEX($AA$4:$AL$323,Ajustes!$I289,U$2),0)+IF(Ajustes!$J289&gt;0,INDEX($AA$4:$AL$323,Ajustes!$J289,U$2),0)+IF(Ajustes!$K289&gt;0,INDEX($AA$5:$AL$324,Ajustes!$K289,U$2),0)+IF(Ajustes!$L289&gt;0,INDEX($AA$4:$AL$323,Ajustes!$L289,U$2),0) + U289</f>
        <v>91</v>
      </c>
      <c r="AH289">
        <f>IF(Ajustes!$G289&gt;0,INDEX($AA$4:$AL$323,Ajustes!$G289,V$2),0)+IF(Ajustes!$H289&gt;0,INDEX($AA$4:$AL$323,Ajustes!$H289,V$2),0)+IF(Ajustes!$I289&gt;0,INDEX($AA$4:$AL$323,Ajustes!$I289,V$2),0)+IF(Ajustes!$J289&gt;0,INDEX($AA$4:$AL$323,Ajustes!$J289,V$2),0)+IF(Ajustes!$K289&gt;0,INDEX($AA$5:$AL$324,Ajustes!$K289,V$2),0)+IF(Ajustes!$L289&gt;0,INDEX($AA$4:$AL$323,Ajustes!$L289,V$2),0) + V289</f>
        <v>88</v>
      </c>
      <c r="AI289">
        <f>IF(Ajustes!$G289&gt;0,INDEX($AA$4:$AL$323,Ajustes!$G289,W$2),0)+IF(Ajustes!$H289&gt;0,INDEX($AA$4:$AL$323,Ajustes!$H289,W$2),0)+IF(Ajustes!$I289&gt;0,INDEX($AA$4:$AL$323,Ajustes!$I289,W$2),0)+IF(Ajustes!$J289&gt;0,INDEX($AA$4:$AL$323,Ajustes!$J289,W$2),0)+IF(Ajustes!$K289&gt;0,INDEX($AA$5:$AL$324,Ajustes!$K289,W$2),0)+IF(Ajustes!$L289&gt;0,INDEX($AA$4:$AL$323,Ajustes!$L289,W$2),0) + W289</f>
        <v>99</v>
      </c>
      <c r="AJ289">
        <f>IF(Ajustes!$G289&gt;0,INDEX($AA$4:$AL$323,Ajustes!$G289,X$2),0)+IF(Ajustes!$H289&gt;0,INDEX($AA$4:$AL$323,Ajustes!$H289,X$2),0)+IF(Ajustes!$I289&gt;0,INDEX($AA$4:$AL$323,Ajustes!$I289,X$2),0)+IF(Ajustes!$J289&gt;0,INDEX($AA$4:$AL$323,Ajustes!$J289,X$2),0)+IF(Ajustes!$K289&gt;0,INDEX($AA$5:$AL$324,Ajustes!$K289,X$2),0)+IF(Ajustes!$L289&gt;0,INDEX($AA$4:$AL$323,Ajustes!$L289,X$2),0) + X289</f>
        <v>121</v>
      </c>
      <c r="AK289">
        <f>IF(Ajustes!$G289&gt;0,INDEX($AA$4:$AL$323,Ajustes!$G289,Y$2),0)+IF(Ajustes!$H289&gt;0,INDEX($AA$4:$AL$323,Ajustes!$H289,Y$2),0)+IF(Ajustes!$I289&gt;0,INDEX($AA$4:$AL$323,Ajustes!$I289,Y$2),0)+IF(Ajustes!$J289&gt;0,INDEX($AA$4:$AL$323,Ajustes!$J289,Y$2),0)+IF(Ajustes!$K289&gt;0,INDEX($AA$5:$AL$324,Ajustes!$K289,Y$2),0)+IF(Ajustes!$L289&gt;0,INDEX($AA$4:$AL$323,Ajustes!$L289,Y$2),0) + Y289</f>
        <v>83</v>
      </c>
      <c r="AL289">
        <f>IF(Ajustes!$G289&gt;0,INDEX($AA$4:$AL$323,Ajustes!$G289,Z$2),0)+IF(Ajustes!$H289&gt;0,INDEX($AA$4:$AL$323,Ajustes!$H289,Z$2),0)+IF(Ajustes!$I289&gt;0,INDEX($AA$4:$AL$323,Ajustes!$I289,Z$2),0)+IF(Ajustes!$J289&gt;0,INDEX($AA$4:$AL$323,Ajustes!$J289,Z$2),0)+IF(Ajustes!$K289&gt;0,INDEX($AA$5:$AL$324,Ajustes!$K289,Z$2),0)+IF(Ajustes!$L289&gt;0,INDEX($AA$4:$AL$323,Ajustes!$L289,Z$2),0) + Z289</f>
        <v>62</v>
      </c>
      <c r="AM289" s="113">
        <f t="shared" si="53"/>
        <v>56</v>
      </c>
      <c r="AN289" s="113">
        <f t="shared" si="53"/>
        <v>66</v>
      </c>
      <c r="AO289" s="113">
        <f t="shared" si="53"/>
        <v>56</v>
      </c>
      <c r="AP289" s="113">
        <f t="shared" si="53"/>
        <v>58</v>
      </c>
      <c r="AQ289" s="113">
        <f t="shared" si="53"/>
        <v>82</v>
      </c>
      <c r="AR289" s="113">
        <f t="shared" si="53"/>
        <v>93</v>
      </c>
      <c r="AS289" s="113">
        <f t="shared" si="53"/>
        <v>91</v>
      </c>
      <c r="AT289" s="113">
        <f t="shared" si="53"/>
        <v>88</v>
      </c>
      <c r="AU289" s="113">
        <f t="shared" si="54"/>
        <v>99</v>
      </c>
      <c r="AV289" s="113">
        <f t="shared" si="54"/>
        <v>121</v>
      </c>
      <c r="AW289" s="113">
        <f t="shared" si="54"/>
        <v>83</v>
      </c>
      <c r="AX289" s="113">
        <f t="shared" si="54"/>
        <v>62</v>
      </c>
    </row>
    <row r="290" spans="1:50" x14ac:dyDescent="0.25">
      <c r="A290" s="113">
        <v>287</v>
      </c>
      <c r="B290" s="209" t="s">
        <v>670</v>
      </c>
      <c r="C290">
        <f>IFERROR(INDEX($BD$7:$BO$35,MATCH(Ajustes!$E$4:$E$323,$BC$7:$BC$35,0),$C$2:$N$2),1)</f>
        <v>1</v>
      </c>
      <c r="D290" s="113">
        <f>IFERROR(INDEX($BD$7:$BO$35,MATCH(Ajustes!$E$4:$E$323,$BC$7:$BC$35,0),$C$2:$N$2),1)</f>
        <v>1</v>
      </c>
      <c r="E290" s="113">
        <f>IFERROR(INDEX($BD$7:$BO$35,MATCH(Ajustes!$E$4:$E$323,$BC$7:$BC$35,0),$C$2:$N$2),1)</f>
        <v>1</v>
      </c>
      <c r="F290" s="113">
        <f>IFERROR(INDEX($BD$7:$BO$35,MATCH(Ajustes!$E$4:$E$323,$BC$7:$BC$35,0),$C$2:$N$2),1)</f>
        <v>1</v>
      </c>
      <c r="G290" s="113">
        <f>IFERROR(INDEX($BD$7:$BO$35,MATCH(Ajustes!$E$4:$E$323,$BC$7:$BC$35,0),$C$2:$N$2),1)</f>
        <v>1</v>
      </c>
      <c r="H290" s="113">
        <f>IFERROR(INDEX($BD$7:$BO$35,MATCH(Ajustes!$E$4:$E$323,$BC$7:$BC$35,0),$C$2:$N$2),1)</f>
        <v>1</v>
      </c>
      <c r="I290" s="113">
        <f>IFERROR(INDEX($BD$7:$BO$35,MATCH(Ajustes!$E$4:$E$323,$BC$7:$BC$35,0),$C$2:$N$2),1)</f>
        <v>1</v>
      </c>
      <c r="J290" s="113">
        <f>IFERROR(INDEX($BD$7:$BO$35,MATCH(Ajustes!$E$4:$E$323,$BC$7:$BC$35,0),$C$2:$N$2),1)</f>
        <v>1</v>
      </c>
      <c r="K290" s="113">
        <f>IFERROR(INDEX($BD$7:$BO$35,MATCH(Ajustes!$E$4:$E$323,$BC$7:$BC$35,0),$C$2:$N$2),1)</f>
        <v>1</v>
      </c>
      <c r="L290" s="113">
        <f>IFERROR(INDEX($BD$7:$BO$35,MATCH(Ajustes!$E$4:$E$323,$BC$7:$BC$35,0),$C$2:$N$2),1)</f>
        <v>1</v>
      </c>
      <c r="M290" s="113">
        <f>IFERROR(INDEX($BD$7:$BO$35,MATCH(Ajustes!$E$4:$E$323,$BC$7:$BC$35,0),$C$2:$N$2),1)</f>
        <v>1</v>
      </c>
      <c r="N290" s="113">
        <f>IFERROR(INDEX($BD$7:$BO$35,MATCH(Ajustes!$E$4:$E$323,$BC$7:$BC$35,0),$C$2:$N$2),1)</f>
        <v>1</v>
      </c>
      <c r="O290">
        <f>C290*Ajustes!AM290</f>
        <v>356</v>
      </c>
      <c r="P290">
        <f>D290*Ajustes!AN290</f>
        <v>451</v>
      </c>
      <c r="Q290">
        <f>E290*Ajustes!AO290</f>
        <v>525</v>
      </c>
      <c r="R290">
        <f>F290*Ajustes!AP290</f>
        <v>516</v>
      </c>
      <c r="S290">
        <f>G290*Ajustes!AQ290</f>
        <v>396</v>
      </c>
      <c r="T290">
        <f>H290*Ajustes!AR290</f>
        <v>276</v>
      </c>
      <c r="U290">
        <f>I290*Ajustes!AS290</f>
        <v>177</v>
      </c>
      <c r="V290">
        <f>J290*Ajustes!AT290</f>
        <v>108</v>
      </c>
      <c r="W290">
        <f>K290*Ajustes!AU290</f>
        <v>82</v>
      </c>
      <c r="X290">
        <f>L290*Ajustes!AV290</f>
        <v>94</v>
      </c>
      <c r="Y290">
        <f>M290*Ajustes!AW290</f>
        <v>153</v>
      </c>
      <c r="Z290">
        <f>N290*Ajustes!AX290</f>
        <v>243</v>
      </c>
      <c r="AA290">
        <f>IF(Ajustes!$G290&gt;0,INDEX($AA$4:$AL$323,Ajustes!$G290,O$2),0)+IF(Ajustes!$H290&gt;0,INDEX($AA$4:$AL$323,Ajustes!$H290,O$2),0)+IF(Ajustes!$I290&gt;0,INDEX($AA$4:$AL$323,Ajustes!$I290,O$2),0)+IF(Ajustes!$J290&gt;0,INDEX($AA$4:$AL$323,Ajustes!$J290,O$2),0)+IF(Ajustes!$K290&gt;0,INDEX($AA$5:$AL$324,Ajustes!$K290,O$2),0)+IF(Ajustes!$L290&gt;0,INDEX($AA$4:$AL$323,Ajustes!$L290,O$2),0) + O290</f>
        <v>23831</v>
      </c>
      <c r="AB290">
        <f>IF(Ajustes!$G290&gt;0,INDEX($AA$4:$AL$323,Ajustes!$G290,P$2),0)+IF(Ajustes!$H290&gt;0,INDEX($AA$4:$AL$323,Ajustes!$H290,P$2),0)+IF(Ajustes!$I290&gt;0,INDEX($AA$4:$AL$323,Ajustes!$I290,P$2),0)+IF(Ajustes!$J290&gt;0,INDEX($AA$4:$AL$323,Ajustes!$J290,P$2),0)+IF(Ajustes!$K290&gt;0,INDEX($AA$5:$AL$324,Ajustes!$K290,P$2),0)+IF(Ajustes!$L290&gt;0,INDEX($AA$4:$AL$323,Ajustes!$L290,P$2),0) + P290</f>
        <v>30604</v>
      </c>
      <c r="AC290">
        <f>IF(Ajustes!$G290&gt;0,INDEX($AA$4:$AL$323,Ajustes!$G290,Q$2),0)+IF(Ajustes!$H290&gt;0,INDEX($AA$4:$AL$323,Ajustes!$H290,Q$2),0)+IF(Ajustes!$I290&gt;0,INDEX($AA$4:$AL$323,Ajustes!$I290,Q$2),0)+IF(Ajustes!$J290&gt;0,INDEX($AA$4:$AL$323,Ajustes!$J290,Q$2),0)+IF(Ajustes!$K290&gt;0,INDEX($AA$5:$AL$324,Ajustes!$K290,Q$2),0)+IF(Ajustes!$L290&gt;0,INDEX($AA$4:$AL$323,Ajustes!$L290,Q$2),0) + Q290</f>
        <v>35308</v>
      </c>
      <c r="AD290">
        <f>IF(Ajustes!$G290&gt;0,INDEX($AA$4:$AL$323,Ajustes!$G290,R$2),0)+IF(Ajustes!$H290&gt;0,INDEX($AA$4:$AL$323,Ajustes!$H290,R$2),0)+IF(Ajustes!$I290&gt;0,INDEX($AA$4:$AL$323,Ajustes!$I290,R$2),0)+IF(Ajustes!$J290&gt;0,INDEX($AA$4:$AL$323,Ajustes!$J290,R$2),0)+IF(Ajustes!$K290&gt;0,INDEX($AA$5:$AL$324,Ajustes!$K290,R$2),0)+IF(Ajustes!$L290&gt;0,INDEX($AA$4:$AL$323,Ajustes!$L290,R$2),0) + R290</f>
        <v>34309</v>
      </c>
      <c r="AE290">
        <f>IF(Ajustes!$G290&gt;0,INDEX($AA$4:$AL$323,Ajustes!$G290,S$2),0)+IF(Ajustes!$H290&gt;0,INDEX($AA$4:$AL$323,Ajustes!$H290,S$2),0)+IF(Ajustes!$I290&gt;0,INDEX($AA$4:$AL$323,Ajustes!$I290,S$2),0)+IF(Ajustes!$J290&gt;0,INDEX($AA$4:$AL$323,Ajustes!$J290,S$2),0)+IF(Ajustes!$K290&gt;0,INDEX($AA$5:$AL$324,Ajustes!$K290,S$2),0)+IF(Ajustes!$L290&gt;0,INDEX($AA$4:$AL$323,Ajustes!$L290,S$2),0) + S290</f>
        <v>26349</v>
      </c>
      <c r="AF290">
        <f>IF(Ajustes!$G290&gt;0,INDEX($AA$4:$AL$323,Ajustes!$G290,T$2),0)+IF(Ajustes!$H290&gt;0,INDEX($AA$4:$AL$323,Ajustes!$H290,T$2),0)+IF(Ajustes!$I290&gt;0,INDEX($AA$4:$AL$323,Ajustes!$I290,T$2),0)+IF(Ajustes!$J290&gt;0,INDEX($AA$4:$AL$323,Ajustes!$J290,T$2),0)+IF(Ajustes!$K290&gt;0,INDEX($AA$5:$AL$324,Ajustes!$K290,T$2),0)+IF(Ajustes!$L290&gt;0,INDEX($AA$4:$AL$323,Ajustes!$L290,T$2),0) + T290</f>
        <v>18318</v>
      </c>
      <c r="AG290">
        <f>IF(Ajustes!$G290&gt;0,INDEX($AA$4:$AL$323,Ajustes!$G290,U$2),0)+IF(Ajustes!$H290&gt;0,INDEX($AA$4:$AL$323,Ajustes!$H290,U$2),0)+IF(Ajustes!$I290&gt;0,INDEX($AA$4:$AL$323,Ajustes!$I290,U$2),0)+IF(Ajustes!$J290&gt;0,INDEX($AA$4:$AL$323,Ajustes!$J290,U$2),0)+IF(Ajustes!$K290&gt;0,INDEX($AA$5:$AL$324,Ajustes!$K290,U$2),0)+IF(Ajustes!$L290&gt;0,INDEX($AA$4:$AL$323,Ajustes!$L290,U$2),0) + U290</f>
        <v>11713</v>
      </c>
      <c r="AH290">
        <f>IF(Ajustes!$G290&gt;0,INDEX($AA$4:$AL$323,Ajustes!$G290,V$2),0)+IF(Ajustes!$H290&gt;0,INDEX($AA$4:$AL$323,Ajustes!$H290,V$2),0)+IF(Ajustes!$I290&gt;0,INDEX($AA$4:$AL$323,Ajustes!$I290,V$2),0)+IF(Ajustes!$J290&gt;0,INDEX($AA$4:$AL$323,Ajustes!$J290,V$2),0)+IF(Ajustes!$K290&gt;0,INDEX($AA$5:$AL$324,Ajustes!$K290,V$2),0)+IF(Ajustes!$L290&gt;0,INDEX($AA$4:$AL$323,Ajustes!$L290,V$2),0) + V290</f>
        <v>7223</v>
      </c>
      <c r="AI290">
        <f>IF(Ajustes!$G290&gt;0,INDEX($AA$4:$AL$323,Ajustes!$G290,W$2),0)+IF(Ajustes!$H290&gt;0,INDEX($AA$4:$AL$323,Ajustes!$H290,W$2),0)+IF(Ajustes!$I290&gt;0,INDEX($AA$4:$AL$323,Ajustes!$I290,W$2),0)+IF(Ajustes!$J290&gt;0,INDEX($AA$4:$AL$323,Ajustes!$J290,W$2),0)+IF(Ajustes!$K290&gt;0,INDEX($AA$5:$AL$324,Ajustes!$K290,W$2),0)+IF(Ajustes!$L290&gt;0,INDEX($AA$4:$AL$323,Ajustes!$L290,W$2),0) + W290</f>
        <v>5400</v>
      </c>
      <c r="AJ290">
        <f>IF(Ajustes!$G290&gt;0,INDEX($AA$4:$AL$323,Ajustes!$G290,X$2),0)+IF(Ajustes!$H290&gt;0,INDEX($AA$4:$AL$323,Ajustes!$H290,X$2),0)+IF(Ajustes!$I290&gt;0,INDEX($AA$4:$AL$323,Ajustes!$I290,X$2),0)+IF(Ajustes!$J290&gt;0,INDEX($AA$4:$AL$323,Ajustes!$J290,X$2),0)+IF(Ajustes!$K290&gt;0,INDEX($AA$5:$AL$324,Ajustes!$K290,X$2),0)+IF(Ajustes!$L290&gt;0,INDEX($AA$4:$AL$323,Ajustes!$L290,X$2),0) + X290</f>
        <v>6518</v>
      </c>
      <c r="AK290">
        <f>IF(Ajustes!$G290&gt;0,INDEX($AA$4:$AL$323,Ajustes!$G290,Y$2),0)+IF(Ajustes!$H290&gt;0,INDEX($AA$4:$AL$323,Ajustes!$H290,Y$2),0)+IF(Ajustes!$I290&gt;0,INDEX($AA$4:$AL$323,Ajustes!$I290,Y$2),0)+IF(Ajustes!$J290&gt;0,INDEX($AA$4:$AL$323,Ajustes!$J290,Y$2),0)+IF(Ajustes!$K290&gt;0,INDEX($AA$5:$AL$324,Ajustes!$K290,Y$2),0)+IF(Ajustes!$L290&gt;0,INDEX($AA$4:$AL$323,Ajustes!$L290,Y$2),0) + Y290</f>
        <v>10298</v>
      </c>
      <c r="AL290">
        <f>IF(Ajustes!$G290&gt;0,INDEX($AA$4:$AL$323,Ajustes!$G290,Z$2),0)+IF(Ajustes!$H290&gt;0,INDEX($AA$4:$AL$323,Ajustes!$H290,Z$2),0)+IF(Ajustes!$I290&gt;0,INDEX($AA$4:$AL$323,Ajustes!$I290,Z$2),0)+IF(Ajustes!$J290&gt;0,INDEX($AA$4:$AL$323,Ajustes!$J290,Z$2),0)+IF(Ajustes!$K290&gt;0,INDEX($AA$5:$AL$324,Ajustes!$K290,Z$2),0)+IF(Ajustes!$L290&gt;0,INDEX($AA$4:$AL$323,Ajustes!$L290,Z$2),0) + Z290</f>
        <v>16424</v>
      </c>
      <c r="AM290" s="113">
        <f t="shared" si="53"/>
        <v>23831</v>
      </c>
      <c r="AN290" s="113">
        <f t="shared" si="53"/>
        <v>30604</v>
      </c>
      <c r="AO290" s="113">
        <f t="shared" si="53"/>
        <v>35308</v>
      </c>
      <c r="AP290" s="113">
        <f t="shared" si="53"/>
        <v>34309</v>
      </c>
      <c r="AQ290" s="113">
        <f t="shared" si="53"/>
        <v>26349</v>
      </c>
      <c r="AR290" s="113">
        <f t="shared" si="53"/>
        <v>18318</v>
      </c>
      <c r="AS290" s="113">
        <f t="shared" si="53"/>
        <v>11713</v>
      </c>
      <c r="AT290" s="113">
        <f t="shared" si="53"/>
        <v>7223</v>
      </c>
      <c r="AU290" s="113">
        <f t="shared" si="54"/>
        <v>5400</v>
      </c>
      <c r="AV290" s="113">
        <f t="shared" si="54"/>
        <v>6518</v>
      </c>
      <c r="AW290" s="113">
        <f t="shared" si="54"/>
        <v>10298</v>
      </c>
      <c r="AX290" s="113">
        <f t="shared" si="54"/>
        <v>16424</v>
      </c>
    </row>
    <row r="291" spans="1:50" x14ac:dyDescent="0.25">
      <c r="A291" s="93">
        <v>288</v>
      </c>
      <c r="B291" s="216" t="s">
        <v>671</v>
      </c>
      <c r="C291">
        <f>IFERROR(INDEX($BD$7:$BO$35,MATCH(Ajustes!$E$4:$E$323,$BC$7:$BC$35,0),$C$2:$N$2),1)</f>
        <v>1</v>
      </c>
      <c r="D291" s="113">
        <f>IFERROR(INDEX($BD$7:$BO$35,MATCH(Ajustes!$E$4:$E$323,$BC$7:$BC$35,0),$C$2:$N$2),1)</f>
        <v>1</v>
      </c>
      <c r="E291" s="113">
        <f>IFERROR(INDEX($BD$7:$BO$35,MATCH(Ajustes!$E$4:$E$323,$BC$7:$BC$35,0),$C$2:$N$2),1)</f>
        <v>1</v>
      </c>
      <c r="F291" s="113">
        <f>IFERROR(INDEX($BD$7:$BO$35,MATCH(Ajustes!$E$4:$E$323,$BC$7:$BC$35,0),$C$2:$N$2),1)</f>
        <v>1</v>
      </c>
      <c r="G291" s="113">
        <f>IFERROR(INDEX($BD$7:$BO$35,MATCH(Ajustes!$E$4:$E$323,$BC$7:$BC$35,0),$C$2:$N$2),1)</f>
        <v>1</v>
      </c>
      <c r="H291" s="113">
        <f>IFERROR(INDEX($BD$7:$BO$35,MATCH(Ajustes!$E$4:$E$323,$BC$7:$BC$35,0),$C$2:$N$2),1)</f>
        <v>1</v>
      </c>
      <c r="I291" s="113">
        <f>IFERROR(INDEX($BD$7:$BO$35,MATCH(Ajustes!$E$4:$E$323,$BC$7:$BC$35,0),$C$2:$N$2),1)</f>
        <v>1</v>
      </c>
      <c r="J291" s="113">
        <f>IFERROR(INDEX($BD$7:$BO$35,MATCH(Ajustes!$E$4:$E$323,$BC$7:$BC$35,0),$C$2:$N$2),1)</f>
        <v>1</v>
      </c>
      <c r="K291" s="113">
        <f>IFERROR(INDEX($BD$7:$BO$35,MATCH(Ajustes!$E$4:$E$323,$BC$7:$BC$35,0),$C$2:$N$2),1)</f>
        <v>1</v>
      </c>
      <c r="L291" s="113">
        <f>IFERROR(INDEX($BD$7:$BO$35,MATCH(Ajustes!$E$4:$E$323,$BC$7:$BC$35,0),$C$2:$N$2),1)</f>
        <v>1</v>
      </c>
      <c r="M291" s="113">
        <f>IFERROR(INDEX($BD$7:$BO$35,MATCH(Ajustes!$E$4:$E$323,$BC$7:$BC$35,0),$C$2:$N$2),1)</f>
        <v>1</v>
      </c>
      <c r="N291" s="113">
        <f>IFERROR(INDEX($BD$7:$BO$35,MATCH(Ajustes!$E$4:$E$323,$BC$7:$BC$35,0),$C$2:$N$2),1)</f>
        <v>1</v>
      </c>
      <c r="O291">
        <f>C291*Ajustes!AM291</f>
        <v>8125</v>
      </c>
      <c r="P291">
        <f>D291*Ajustes!AN291</f>
        <v>13406</v>
      </c>
      <c r="Q291">
        <f>E291*Ajustes!AO291</f>
        <v>18188</v>
      </c>
      <c r="R291">
        <f>F291*Ajustes!AP291</f>
        <v>21466</v>
      </c>
      <c r="S291">
        <f>G291*Ajustes!AQ291</f>
        <v>15553</v>
      </c>
      <c r="T291">
        <f>H291*Ajustes!AR291</f>
        <v>7399</v>
      </c>
      <c r="U291">
        <f>I291*Ajustes!AS291</f>
        <v>2952</v>
      </c>
      <c r="V291">
        <f>J291*Ajustes!AT291</f>
        <v>1594</v>
      </c>
      <c r="W291">
        <f>K291*Ajustes!AU291</f>
        <v>1089</v>
      </c>
      <c r="X291">
        <f>L291*Ajustes!AV291</f>
        <v>1115</v>
      </c>
      <c r="Y291">
        <f>M291*Ajustes!AW291</f>
        <v>1908</v>
      </c>
      <c r="Z291">
        <f>N291*Ajustes!AX291</f>
        <v>3893</v>
      </c>
      <c r="AA291">
        <f>IF(Ajustes!$G291&gt;0,INDEX($AA$4:$AL$323,Ajustes!$G291,O$2),0)+IF(Ajustes!$H291&gt;0,INDEX($AA$4:$AL$323,Ajustes!$H291,O$2),0)+IF(Ajustes!$I291&gt;0,INDEX($AA$4:$AL$323,Ajustes!$I291,O$2),0)+IF(Ajustes!$J291&gt;0,INDEX($AA$4:$AL$323,Ajustes!$J291,O$2),0)+IF(Ajustes!$K291&gt;0,INDEX($AA$5:$AL$324,Ajustes!$K291,O$2),0)+IF(Ajustes!$L291&gt;0,INDEX($AA$4:$AL$323,Ajustes!$L291,O$2),0) + O291</f>
        <v>8125</v>
      </c>
      <c r="AB291">
        <f>IF(Ajustes!$G291&gt;0,INDEX($AA$4:$AL$323,Ajustes!$G291,P$2),0)+IF(Ajustes!$H291&gt;0,INDEX($AA$4:$AL$323,Ajustes!$H291,P$2),0)+IF(Ajustes!$I291&gt;0,INDEX($AA$4:$AL$323,Ajustes!$I291,P$2),0)+IF(Ajustes!$J291&gt;0,INDEX($AA$4:$AL$323,Ajustes!$J291,P$2),0)+IF(Ajustes!$K291&gt;0,INDEX($AA$5:$AL$324,Ajustes!$K291,P$2),0)+IF(Ajustes!$L291&gt;0,INDEX($AA$4:$AL$323,Ajustes!$L291,P$2),0) + P291</f>
        <v>13406</v>
      </c>
      <c r="AC291">
        <f>IF(Ajustes!$G291&gt;0,INDEX($AA$4:$AL$323,Ajustes!$G291,Q$2),0)+IF(Ajustes!$H291&gt;0,INDEX($AA$4:$AL$323,Ajustes!$H291,Q$2),0)+IF(Ajustes!$I291&gt;0,INDEX($AA$4:$AL$323,Ajustes!$I291,Q$2),0)+IF(Ajustes!$J291&gt;0,INDEX($AA$4:$AL$323,Ajustes!$J291,Q$2),0)+IF(Ajustes!$K291&gt;0,INDEX($AA$5:$AL$324,Ajustes!$K291,Q$2),0)+IF(Ajustes!$L291&gt;0,INDEX($AA$4:$AL$323,Ajustes!$L291,Q$2),0) + Q291</f>
        <v>18188</v>
      </c>
      <c r="AD291">
        <f>IF(Ajustes!$G291&gt;0,INDEX($AA$4:$AL$323,Ajustes!$G291,R$2),0)+IF(Ajustes!$H291&gt;0,INDEX($AA$4:$AL$323,Ajustes!$H291,R$2),0)+IF(Ajustes!$I291&gt;0,INDEX($AA$4:$AL$323,Ajustes!$I291,R$2),0)+IF(Ajustes!$J291&gt;0,INDEX($AA$4:$AL$323,Ajustes!$J291,R$2),0)+IF(Ajustes!$K291&gt;0,INDEX($AA$5:$AL$324,Ajustes!$K291,R$2),0)+IF(Ajustes!$L291&gt;0,INDEX($AA$4:$AL$323,Ajustes!$L291,R$2),0) + R291</f>
        <v>21466</v>
      </c>
      <c r="AE291">
        <f>IF(Ajustes!$G291&gt;0,INDEX($AA$4:$AL$323,Ajustes!$G291,S$2),0)+IF(Ajustes!$H291&gt;0,INDEX($AA$4:$AL$323,Ajustes!$H291,S$2),0)+IF(Ajustes!$I291&gt;0,INDEX($AA$4:$AL$323,Ajustes!$I291,S$2),0)+IF(Ajustes!$J291&gt;0,INDEX($AA$4:$AL$323,Ajustes!$J291,S$2),0)+IF(Ajustes!$K291&gt;0,INDEX($AA$5:$AL$324,Ajustes!$K291,S$2),0)+IF(Ajustes!$L291&gt;0,INDEX($AA$4:$AL$323,Ajustes!$L291,S$2),0) + S291</f>
        <v>15553</v>
      </c>
      <c r="AF291">
        <f>IF(Ajustes!$G291&gt;0,INDEX($AA$4:$AL$323,Ajustes!$G291,T$2),0)+IF(Ajustes!$H291&gt;0,INDEX($AA$4:$AL$323,Ajustes!$H291,T$2),0)+IF(Ajustes!$I291&gt;0,INDEX($AA$4:$AL$323,Ajustes!$I291,T$2),0)+IF(Ajustes!$J291&gt;0,INDEX($AA$4:$AL$323,Ajustes!$J291,T$2),0)+IF(Ajustes!$K291&gt;0,INDEX($AA$5:$AL$324,Ajustes!$K291,T$2),0)+IF(Ajustes!$L291&gt;0,INDEX($AA$4:$AL$323,Ajustes!$L291,T$2),0) + T291</f>
        <v>7399</v>
      </c>
      <c r="AG291">
        <f>IF(Ajustes!$G291&gt;0,INDEX($AA$4:$AL$323,Ajustes!$G291,U$2),0)+IF(Ajustes!$H291&gt;0,INDEX($AA$4:$AL$323,Ajustes!$H291,U$2),0)+IF(Ajustes!$I291&gt;0,INDEX($AA$4:$AL$323,Ajustes!$I291,U$2),0)+IF(Ajustes!$J291&gt;0,INDEX($AA$4:$AL$323,Ajustes!$J291,U$2),0)+IF(Ajustes!$K291&gt;0,INDEX($AA$5:$AL$324,Ajustes!$K291,U$2),0)+IF(Ajustes!$L291&gt;0,INDEX($AA$4:$AL$323,Ajustes!$L291,U$2),0) + U291</f>
        <v>2952</v>
      </c>
      <c r="AH291">
        <f>IF(Ajustes!$G291&gt;0,INDEX($AA$4:$AL$323,Ajustes!$G291,V$2),0)+IF(Ajustes!$H291&gt;0,INDEX($AA$4:$AL$323,Ajustes!$H291,V$2),0)+IF(Ajustes!$I291&gt;0,INDEX($AA$4:$AL$323,Ajustes!$I291,V$2),0)+IF(Ajustes!$J291&gt;0,INDEX($AA$4:$AL$323,Ajustes!$J291,V$2),0)+IF(Ajustes!$K291&gt;0,INDEX($AA$5:$AL$324,Ajustes!$K291,V$2),0)+IF(Ajustes!$L291&gt;0,INDEX($AA$4:$AL$323,Ajustes!$L291,V$2),0) + V291</f>
        <v>1594</v>
      </c>
      <c r="AI291">
        <f>IF(Ajustes!$G291&gt;0,INDEX($AA$4:$AL$323,Ajustes!$G291,W$2),0)+IF(Ajustes!$H291&gt;0,INDEX($AA$4:$AL$323,Ajustes!$H291,W$2),0)+IF(Ajustes!$I291&gt;0,INDEX($AA$4:$AL$323,Ajustes!$I291,W$2),0)+IF(Ajustes!$J291&gt;0,INDEX($AA$4:$AL$323,Ajustes!$J291,W$2),0)+IF(Ajustes!$K291&gt;0,INDEX($AA$5:$AL$324,Ajustes!$K291,W$2),0)+IF(Ajustes!$L291&gt;0,INDEX($AA$4:$AL$323,Ajustes!$L291,W$2),0) + W291</f>
        <v>1089</v>
      </c>
      <c r="AJ291">
        <f>IF(Ajustes!$G291&gt;0,INDEX($AA$4:$AL$323,Ajustes!$G291,X$2),0)+IF(Ajustes!$H291&gt;0,INDEX($AA$4:$AL$323,Ajustes!$H291,X$2),0)+IF(Ajustes!$I291&gt;0,INDEX($AA$4:$AL$323,Ajustes!$I291,X$2),0)+IF(Ajustes!$J291&gt;0,INDEX($AA$4:$AL$323,Ajustes!$J291,X$2),0)+IF(Ajustes!$K291&gt;0,INDEX($AA$5:$AL$324,Ajustes!$K291,X$2),0)+IF(Ajustes!$L291&gt;0,INDEX($AA$4:$AL$323,Ajustes!$L291,X$2),0) + X291</f>
        <v>1115</v>
      </c>
      <c r="AK291">
        <f>IF(Ajustes!$G291&gt;0,INDEX($AA$4:$AL$323,Ajustes!$G291,Y$2),0)+IF(Ajustes!$H291&gt;0,INDEX($AA$4:$AL$323,Ajustes!$H291,Y$2),0)+IF(Ajustes!$I291&gt;0,INDEX($AA$4:$AL$323,Ajustes!$I291,Y$2),0)+IF(Ajustes!$J291&gt;0,INDEX($AA$4:$AL$323,Ajustes!$J291,Y$2),0)+IF(Ajustes!$K291&gt;0,INDEX($AA$5:$AL$324,Ajustes!$K291,Y$2),0)+IF(Ajustes!$L291&gt;0,INDEX($AA$4:$AL$323,Ajustes!$L291,Y$2),0) + Y291</f>
        <v>1908</v>
      </c>
      <c r="AL291">
        <f>IF(Ajustes!$G291&gt;0,INDEX($AA$4:$AL$323,Ajustes!$G291,Z$2),0)+IF(Ajustes!$H291&gt;0,INDEX($AA$4:$AL$323,Ajustes!$H291,Z$2),0)+IF(Ajustes!$I291&gt;0,INDEX($AA$4:$AL$323,Ajustes!$I291,Z$2),0)+IF(Ajustes!$J291&gt;0,INDEX($AA$4:$AL$323,Ajustes!$J291,Z$2),0)+IF(Ajustes!$K291&gt;0,INDEX($AA$5:$AL$324,Ajustes!$K291,Z$2),0)+IF(Ajustes!$L291&gt;0,INDEX($AA$4:$AL$323,Ajustes!$L291,Z$2),0) + Z291</f>
        <v>3893</v>
      </c>
      <c r="AM291" s="113">
        <f t="shared" si="53"/>
        <v>8125</v>
      </c>
      <c r="AN291" s="113">
        <f t="shared" si="53"/>
        <v>13406</v>
      </c>
      <c r="AO291" s="113">
        <f t="shared" si="53"/>
        <v>18188</v>
      </c>
      <c r="AP291" s="113">
        <f t="shared" si="53"/>
        <v>21466</v>
      </c>
      <c r="AQ291" s="113">
        <f t="shared" si="53"/>
        <v>15553</v>
      </c>
      <c r="AR291" s="113">
        <f t="shared" si="53"/>
        <v>7399</v>
      </c>
      <c r="AS291" s="113">
        <f t="shared" si="53"/>
        <v>2952</v>
      </c>
      <c r="AT291" s="113">
        <f t="shared" si="53"/>
        <v>1594</v>
      </c>
      <c r="AU291" s="113">
        <f t="shared" si="54"/>
        <v>1089</v>
      </c>
      <c r="AV291" s="113">
        <f t="shared" si="54"/>
        <v>1115</v>
      </c>
      <c r="AW291" s="113">
        <f t="shared" si="54"/>
        <v>1908</v>
      </c>
      <c r="AX291" s="113">
        <f t="shared" si="54"/>
        <v>3893</v>
      </c>
    </row>
    <row r="292" spans="1:50" x14ac:dyDescent="0.25">
      <c r="A292" s="113">
        <v>289</v>
      </c>
      <c r="B292" s="209" t="s">
        <v>672</v>
      </c>
      <c r="C292">
        <f>IFERROR(INDEX($BD$7:$BO$35,MATCH(Ajustes!$E$4:$E$323,$BC$7:$BC$35,0),$C$2:$N$2),1)</f>
        <v>1</v>
      </c>
      <c r="D292" s="113">
        <f>IFERROR(INDEX($BD$7:$BO$35,MATCH(Ajustes!$E$4:$E$323,$BC$7:$BC$35,0),$C$2:$N$2),1)</f>
        <v>1</v>
      </c>
      <c r="E292" s="113">
        <f>IFERROR(INDEX($BD$7:$BO$35,MATCH(Ajustes!$E$4:$E$323,$BC$7:$BC$35,0),$C$2:$N$2),1)</f>
        <v>1</v>
      </c>
      <c r="F292" s="113">
        <f>IFERROR(INDEX($BD$7:$BO$35,MATCH(Ajustes!$E$4:$E$323,$BC$7:$BC$35,0),$C$2:$N$2),1)</f>
        <v>1</v>
      </c>
      <c r="G292" s="113">
        <f>IFERROR(INDEX($BD$7:$BO$35,MATCH(Ajustes!$E$4:$E$323,$BC$7:$BC$35,0),$C$2:$N$2),1)</f>
        <v>1</v>
      </c>
      <c r="H292" s="113">
        <f>IFERROR(INDEX($BD$7:$BO$35,MATCH(Ajustes!$E$4:$E$323,$BC$7:$BC$35,0),$C$2:$N$2),1)</f>
        <v>1</v>
      </c>
      <c r="I292" s="113">
        <f>IFERROR(INDEX($BD$7:$BO$35,MATCH(Ajustes!$E$4:$E$323,$BC$7:$BC$35,0),$C$2:$N$2),1)</f>
        <v>1</v>
      </c>
      <c r="J292" s="113">
        <f>IFERROR(INDEX($BD$7:$BO$35,MATCH(Ajustes!$E$4:$E$323,$BC$7:$BC$35,0),$C$2:$N$2),1)</f>
        <v>1</v>
      </c>
      <c r="K292" s="113">
        <f>IFERROR(INDEX($BD$7:$BO$35,MATCH(Ajustes!$E$4:$E$323,$BC$7:$BC$35,0),$C$2:$N$2),1)</f>
        <v>1</v>
      </c>
      <c r="L292" s="113">
        <f>IFERROR(INDEX($BD$7:$BO$35,MATCH(Ajustes!$E$4:$E$323,$BC$7:$BC$35,0),$C$2:$N$2),1)</f>
        <v>1</v>
      </c>
      <c r="M292" s="113">
        <f>IFERROR(INDEX($BD$7:$BO$35,MATCH(Ajustes!$E$4:$E$323,$BC$7:$BC$35,0),$C$2:$N$2),1)</f>
        <v>1</v>
      </c>
      <c r="N292" s="113">
        <f>IFERROR(INDEX($BD$7:$BO$35,MATCH(Ajustes!$E$4:$E$323,$BC$7:$BC$35,0),$C$2:$N$2),1)</f>
        <v>1</v>
      </c>
      <c r="O292">
        <f>C292*Ajustes!AM292</f>
        <v>65</v>
      </c>
      <c r="P292">
        <f>D292*Ajustes!AN292</f>
        <v>68</v>
      </c>
      <c r="Q292">
        <f>E292*Ajustes!AO292</f>
        <v>69</v>
      </c>
      <c r="R292">
        <f>F292*Ajustes!AP292</f>
        <v>59</v>
      </c>
      <c r="S292">
        <f>G292*Ajustes!AQ292</f>
        <v>49</v>
      </c>
      <c r="T292">
        <f>H292*Ajustes!AR292</f>
        <v>44</v>
      </c>
      <c r="U292">
        <f>I292*Ajustes!AS292</f>
        <v>40</v>
      </c>
      <c r="V292">
        <f>J292*Ajustes!AT292</f>
        <v>38</v>
      </c>
      <c r="W292">
        <f>K292*Ajustes!AU292</f>
        <v>38</v>
      </c>
      <c r="X292">
        <f>L292*Ajustes!AV292</f>
        <v>42</v>
      </c>
      <c r="Y292">
        <f>M292*Ajustes!AW292</f>
        <v>47</v>
      </c>
      <c r="Z292">
        <f>N292*Ajustes!AX292</f>
        <v>56</v>
      </c>
      <c r="AA292">
        <f>IF(Ajustes!$G292&gt;0,INDEX($AA$4:$AL$323,Ajustes!$G292,O$2),0)+IF(Ajustes!$H292&gt;0,INDEX($AA$4:$AL$323,Ajustes!$H292,O$2),0)+IF(Ajustes!$I292&gt;0,INDEX($AA$4:$AL$323,Ajustes!$I292,O$2),0)+IF(Ajustes!$J292&gt;0,INDEX($AA$4:$AL$323,Ajustes!$J292,O$2),0)+IF(Ajustes!$K292&gt;0,INDEX($AA$5:$AL$324,Ajustes!$K292,O$2),0)+IF(Ajustes!$L292&gt;0,INDEX($AA$4:$AL$323,Ajustes!$L292,O$2),0) + O292</f>
        <v>65</v>
      </c>
      <c r="AB292">
        <f>IF(Ajustes!$G292&gt;0,INDEX($AA$4:$AL$323,Ajustes!$G292,P$2),0)+IF(Ajustes!$H292&gt;0,INDEX($AA$4:$AL$323,Ajustes!$H292,P$2),0)+IF(Ajustes!$I292&gt;0,INDEX($AA$4:$AL$323,Ajustes!$I292,P$2),0)+IF(Ajustes!$J292&gt;0,INDEX($AA$4:$AL$323,Ajustes!$J292,P$2),0)+IF(Ajustes!$K292&gt;0,INDEX($AA$5:$AL$324,Ajustes!$K292,P$2),0)+IF(Ajustes!$L292&gt;0,INDEX($AA$4:$AL$323,Ajustes!$L292,P$2),0) + P292</f>
        <v>68</v>
      </c>
      <c r="AC292">
        <f>IF(Ajustes!$G292&gt;0,INDEX($AA$4:$AL$323,Ajustes!$G292,Q$2),0)+IF(Ajustes!$H292&gt;0,INDEX($AA$4:$AL$323,Ajustes!$H292,Q$2),0)+IF(Ajustes!$I292&gt;0,INDEX($AA$4:$AL$323,Ajustes!$I292,Q$2),0)+IF(Ajustes!$J292&gt;0,INDEX($AA$4:$AL$323,Ajustes!$J292,Q$2),0)+IF(Ajustes!$K292&gt;0,INDEX($AA$5:$AL$324,Ajustes!$K292,Q$2),0)+IF(Ajustes!$L292&gt;0,INDEX($AA$4:$AL$323,Ajustes!$L292,Q$2),0) + Q292</f>
        <v>69</v>
      </c>
      <c r="AD292">
        <f>IF(Ajustes!$G292&gt;0,INDEX($AA$4:$AL$323,Ajustes!$G292,R$2),0)+IF(Ajustes!$H292&gt;0,INDEX($AA$4:$AL$323,Ajustes!$H292,R$2),0)+IF(Ajustes!$I292&gt;0,INDEX($AA$4:$AL$323,Ajustes!$I292,R$2),0)+IF(Ajustes!$J292&gt;0,INDEX($AA$4:$AL$323,Ajustes!$J292,R$2),0)+IF(Ajustes!$K292&gt;0,INDEX($AA$5:$AL$324,Ajustes!$K292,R$2),0)+IF(Ajustes!$L292&gt;0,INDEX($AA$4:$AL$323,Ajustes!$L292,R$2),0) + R292</f>
        <v>59</v>
      </c>
      <c r="AE292">
        <f>IF(Ajustes!$G292&gt;0,INDEX($AA$4:$AL$323,Ajustes!$G292,S$2),0)+IF(Ajustes!$H292&gt;0,INDEX($AA$4:$AL$323,Ajustes!$H292,S$2),0)+IF(Ajustes!$I292&gt;0,INDEX($AA$4:$AL$323,Ajustes!$I292,S$2),0)+IF(Ajustes!$J292&gt;0,INDEX($AA$4:$AL$323,Ajustes!$J292,S$2),0)+IF(Ajustes!$K292&gt;0,INDEX($AA$5:$AL$324,Ajustes!$K292,S$2),0)+IF(Ajustes!$L292&gt;0,INDEX($AA$4:$AL$323,Ajustes!$L292,S$2),0) + S292</f>
        <v>49</v>
      </c>
      <c r="AF292">
        <f>IF(Ajustes!$G292&gt;0,INDEX($AA$4:$AL$323,Ajustes!$G292,T$2),0)+IF(Ajustes!$H292&gt;0,INDEX($AA$4:$AL$323,Ajustes!$H292,T$2),0)+IF(Ajustes!$I292&gt;0,INDEX($AA$4:$AL$323,Ajustes!$I292,T$2),0)+IF(Ajustes!$J292&gt;0,INDEX($AA$4:$AL$323,Ajustes!$J292,T$2),0)+IF(Ajustes!$K292&gt;0,INDEX($AA$5:$AL$324,Ajustes!$K292,T$2),0)+IF(Ajustes!$L292&gt;0,INDEX($AA$4:$AL$323,Ajustes!$L292,T$2),0) + T292</f>
        <v>44</v>
      </c>
      <c r="AG292">
        <f>IF(Ajustes!$G292&gt;0,INDEX($AA$4:$AL$323,Ajustes!$G292,U$2),0)+IF(Ajustes!$H292&gt;0,INDEX($AA$4:$AL$323,Ajustes!$H292,U$2),0)+IF(Ajustes!$I292&gt;0,INDEX($AA$4:$AL$323,Ajustes!$I292,U$2),0)+IF(Ajustes!$J292&gt;0,INDEX($AA$4:$AL$323,Ajustes!$J292,U$2),0)+IF(Ajustes!$K292&gt;0,INDEX($AA$5:$AL$324,Ajustes!$K292,U$2),0)+IF(Ajustes!$L292&gt;0,INDEX($AA$4:$AL$323,Ajustes!$L292,U$2),0) + U292</f>
        <v>40</v>
      </c>
      <c r="AH292">
        <f>IF(Ajustes!$G292&gt;0,INDEX($AA$4:$AL$323,Ajustes!$G292,V$2),0)+IF(Ajustes!$H292&gt;0,INDEX($AA$4:$AL$323,Ajustes!$H292,V$2),0)+IF(Ajustes!$I292&gt;0,INDEX($AA$4:$AL$323,Ajustes!$I292,V$2),0)+IF(Ajustes!$J292&gt;0,INDEX($AA$4:$AL$323,Ajustes!$J292,V$2),0)+IF(Ajustes!$K292&gt;0,INDEX($AA$5:$AL$324,Ajustes!$K292,V$2),0)+IF(Ajustes!$L292&gt;0,INDEX($AA$4:$AL$323,Ajustes!$L292,V$2),0) + V292</f>
        <v>38</v>
      </c>
      <c r="AI292">
        <f>IF(Ajustes!$G292&gt;0,INDEX($AA$4:$AL$323,Ajustes!$G292,W$2),0)+IF(Ajustes!$H292&gt;0,INDEX($AA$4:$AL$323,Ajustes!$H292,W$2),0)+IF(Ajustes!$I292&gt;0,INDEX($AA$4:$AL$323,Ajustes!$I292,W$2),0)+IF(Ajustes!$J292&gt;0,INDEX($AA$4:$AL$323,Ajustes!$J292,W$2),0)+IF(Ajustes!$K292&gt;0,INDEX($AA$5:$AL$324,Ajustes!$K292,W$2),0)+IF(Ajustes!$L292&gt;0,INDEX($AA$4:$AL$323,Ajustes!$L292,W$2),0) + W292</f>
        <v>38</v>
      </c>
      <c r="AJ292">
        <f>IF(Ajustes!$G292&gt;0,INDEX($AA$4:$AL$323,Ajustes!$G292,X$2),0)+IF(Ajustes!$H292&gt;0,INDEX($AA$4:$AL$323,Ajustes!$H292,X$2),0)+IF(Ajustes!$I292&gt;0,INDEX($AA$4:$AL$323,Ajustes!$I292,X$2),0)+IF(Ajustes!$J292&gt;0,INDEX($AA$4:$AL$323,Ajustes!$J292,X$2),0)+IF(Ajustes!$K292&gt;0,INDEX($AA$5:$AL$324,Ajustes!$K292,X$2),0)+IF(Ajustes!$L292&gt;0,INDEX($AA$4:$AL$323,Ajustes!$L292,X$2),0) + X292</f>
        <v>42</v>
      </c>
      <c r="AK292">
        <f>IF(Ajustes!$G292&gt;0,INDEX($AA$4:$AL$323,Ajustes!$G292,Y$2),0)+IF(Ajustes!$H292&gt;0,INDEX($AA$4:$AL$323,Ajustes!$H292,Y$2),0)+IF(Ajustes!$I292&gt;0,INDEX($AA$4:$AL$323,Ajustes!$I292,Y$2),0)+IF(Ajustes!$J292&gt;0,INDEX($AA$4:$AL$323,Ajustes!$J292,Y$2),0)+IF(Ajustes!$K292&gt;0,INDEX($AA$5:$AL$324,Ajustes!$K292,Y$2),0)+IF(Ajustes!$L292&gt;0,INDEX($AA$4:$AL$323,Ajustes!$L292,Y$2),0) + Y292</f>
        <v>47</v>
      </c>
      <c r="AL292">
        <f>IF(Ajustes!$G292&gt;0,INDEX($AA$4:$AL$323,Ajustes!$G292,Z$2),0)+IF(Ajustes!$H292&gt;0,INDEX($AA$4:$AL$323,Ajustes!$H292,Z$2),0)+IF(Ajustes!$I292&gt;0,INDEX($AA$4:$AL$323,Ajustes!$I292,Z$2),0)+IF(Ajustes!$J292&gt;0,INDEX($AA$4:$AL$323,Ajustes!$J292,Z$2),0)+IF(Ajustes!$K292&gt;0,INDEX($AA$5:$AL$324,Ajustes!$K292,Z$2),0)+IF(Ajustes!$L292&gt;0,INDEX($AA$4:$AL$323,Ajustes!$L292,Z$2),0) + Z292</f>
        <v>56</v>
      </c>
      <c r="AM292" s="113">
        <f t="shared" si="53"/>
        <v>65</v>
      </c>
      <c r="AN292" s="113">
        <f t="shared" si="53"/>
        <v>68</v>
      </c>
      <c r="AO292" s="113">
        <f t="shared" si="53"/>
        <v>69</v>
      </c>
      <c r="AP292" s="113">
        <f t="shared" si="53"/>
        <v>59</v>
      </c>
      <c r="AQ292" s="113">
        <f t="shared" si="53"/>
        <v>49</v>
      </c>
      <c r="AR292" s="113">
        <f t="shared" si="53"/>
        <v>44</v>
      </c>
      <c r="AS292" s="113">
        <f t="shared" si="53"/>
        <v>40</v>
      </c>
      <c r="AT292" s="113">
        <f t="shared" si="53"/>
        <v>38</v>
      </c>
      <c r="AU292" s="113">
        <f t="shared" si="54"/>
        <v>38</v>
      </c>
      <c r="AV292" s="113">
        <f t="shared" si="54"/>
        <v>42</v>
      </c>
      <c r="AW292" s="113">
        <f t="shared" si="54"/>
        <v>47</v>
      </c>
      <c r="AX292" s="113">
        <f t="shared" si="54"/>
        <v>56</v>
      </c>
    </row>
    <row r="293" spans="1:50" x14ac:dyDescent="0.25">
      <c r="A293" s="113">
        <v>290</v>
      </c>
      <c r="B293" s="209" t="s">
        <v>673</v>
      </c>
      <c r="C293">
        <f>IFERROR(INDEX($BD$7:$BO$35,MATCH(Ajustes!$E$4:$E$323,$BC$7:$BC$35,0),$C$2:$N$2),1)</f>
        <v>1</v>
      </c>
      <c r="D293" s="113">
        <f>IFERROR(INDEX($BD$7:$BO$35,MATCH(Ajustes!$E$4:$E$323,$BC$7:$BC$35,0),$C$2:$N$2),1)</f>
        <v>1</v>
      </c>
      <c r="E293" s="113">
        <f>IFERROR(INDEX($BD$7:$BO$35,MATCH(Ajustes!$E$4:$E$323,$BC$7:$BC$35,0),$C$2:$N$2),1)</f>
        <v>1</v>
      </c>
      <c r="F293" s="113">
        <f>IFERROR(INDEX($BD$7:$BO$35,MATCH(Ajustes!$E$4:$E$323,$BC$7:$BC$35,0),$C$2:$N$2),1)</f>
        <v>1</v>
      </c>
      <c r="G293" s="113">
        <f>IFERROR(INDEX($BD$7:$BO$35,MATCH(Ajustes!$E$4:$E$323,$BC$7:$BC$35,0),$C$2:$N$2),1)</f>
        <v>1</v>
      </c>
      <c r="H293" s="113">
        <f>IFERROR(INDEX($BD$7:$BO$35,MATCH(Ajustes!$E$4:$E$323,$BC$7:$BC$35,0),$C$2:$N$2),1)</f>
        <v>1</v>
      </c>
      <c r="I293" s="113">
        <f>IFERROR(INDEX($BD$7:$BO$35,MATCH(Ajustes!$E$4:$E$323,$BC$7:$BC$35,0),$C$2:$N$2),1)</f>
        <v>1</v>
      </c>
      <c r="J293" s="113">
        <f>IFERROR(INDEX($BD$7:$BO$35,MATCH(Ajustes!$E$4:$E$323,$BC$7:$BC$35,0),$C$2:$N$2),1)</f>
        <v>1</v>
      </c>
      <c r="K293" s="113">
        <f>IFERROR(INDEX($BD$7:$BO$35,MATCH(Ajustes!$E$4:$E$323,$BC$7:$BC$35,0),$C$2:$N$2),1)</f>
        <v>1</v>
      </c>
      <c r="L293" s="113">
        <f>IFERROR(INDEX($BD$7:$BO$35,MATCH(Ajustes!$E$4:$E$323,$BC$7:$BC$35,0),$C$2:$N$2),1)</f>
        <v>1</v>
      </c>
      <c r="M293" s="113">
        <f>IFERROR(INDEX($BD$7:$BO$35,MATCH(Ajustes!$E$4:$E$323,$BC$7:$BC$35,0),$C$2:$N$2),1)</f>
        <v>1</v>
      </c>
      <c r="N293" s="113">
        <f>IFERROR(INDEX($BD$7:$BO$35,MATCH(Ajustes!$E$4:$E$323,$BC$7:$BC$35,0),$C$2:$N$2),1)</f>
        <v>1</v>
      </c>
      <c r="O293">
        <f>C293*Ajustes!AM293</f>
        <v>693</v>
      </c>
      <c r="P293">
        <f>D293*Ajustes!AN293</f>
        <v>1074</v>
      </c>
      <c r="Q293">
        <f>E293*Ajustes!AO293</f>
        <v>1361</v>
      </c>
      <c r="R293">
        <f>F293*Ajustes!AP293</f>
        <v>1810</v>
      </c>
      <c r="S293">
        <f>G293*Ajustes!AQ293</f>
        <v>2113</v>
      </c>
      <c r="T293">
        <f>H293*Ajustes!AR293</f>
        <v>2082</v>
      </c>
      <c r="U293">
        <f>I293*Ajustes!AS293</f>
        <v>1453</v>
      </c>
      <c r="V293">
        <f>J293*Ajustes!AT293</f>
        <v>964</v>
      </c>
      <c r="W293">
        <f>K293*Ajustes!AU293</f>
        <v>599</v>
      </c>
      <c r="X293">
        <f>L293*Ajustes!AV293</f>
        <v>342</v>
      </c>
      <c r="Y293">
        <f>M293*Ajustes!AW293</f>
        <v>250</v>
      </c>
      <c r="Z293">
        <f>N293*Ajustes!AX293</f>
        <v>352</v>
      </c>
      <c r="AA293">
        <f>IF(Ajustes!$G293&gt;0,INDEX($AA$4:$AL$323,Ajustes!$G293,O$2),0)+IF(Ajustes!$H293&gt;0,INDEX($AA$4:$AL$323,Ajustes!$H293,O$2),0)+IF(Ajustes!$I293&gt;0,INDEX($AA$4:$AL$323,Ajustes!$I293,O$2),0)+IF(Ajustes!$J293&gt;0,INDEX($AA$4:$AL$323,Ajustes!$J293,O$2),0)+IF(Ajustes!$K293&gt;0,INDEX($AA$5:$AL$324,Ajustes!$K293,O$2),0)+IF(Ajustes!$L293&gt;0,INDEX($AA$4:$AL$323,Ajustes!$L293,O$2),0) + O293</f>
        <v>693</v>
      </c>
      <c r="AB293">
        <f>IF(Ajustes!$G293&gt;0,INDEX($AA$4:$AL$323,Ajustes!$G293,P$2),0)+IF(Ajustes!$H293&gt;0,INDEX($AA$4:$AL$323,Ajustes!$H293,P$2),0)+IF(Ajustes!$I293&gt;0,INDEX($AA$4:$AL$323,Ajustes!$I293,P$2),0)+IF(Ajustes!$J293&gt;0,INDEX($AA$4:$AL$323,Ajustes!$J293,P$2),0)+IF(Ajustes!$K293&gt;0,INDEX($AA$5:$AL$324,Ajustes!$K293,P$2),0)+IF(Ajustes!$L293&gt;0,INDEX($AA$4:$AL$323,Ajustes!$L293,P$2),0) + P293</f>
        <v>1074</v>
      </c>
      <c r="AC293">
        <f>IF(Ajustes!$G293&gt;0,INDEX($AA$4:$AL$323,Ajustes!$G293,Q$2),0)+IF(Ajustes!$H293&gt;0,INDEX($AA$4:$AL$323,Ajustes!$H293,Q$2),0)+IF(Ajustes!$I293&gt;0,INDEX($AA$4:$AL$323,Ajustes!$I293,Q$2),0)+IF(Ajustes!$J293&gt;0,INDEX($AA$4:$AL$323,Ajustes!$J293,Q$2),0)+IF(Ajustes!$K293&gt;0,INDEX($AA$5:$AL$324,Ajustes!$K293,Q$2),0)+IF(Ajustes!$L293&gt;0,INDEX($AA$4:$AL$323,Ajustes!$L293,Q$2),0) + Q293</f>
        <v>1361</v>
      </c>
      <c r="AD293">
        <f>IF(Ajustes!$G293&gt;0,INDEX($AA$4:$AL$323,Ajustes!$G293,R$2),0)+IF(Ajustes!$H293&gt;0,INDEX($AA$4:$AL$323,Ajustes!$H293,R$2),0)+IF(Ajustes!$I293&gt;0,INDEX($AA$4:$AL$323,Ajustes!$I293,R$2),0)+IF(Ajustes!$J293&gt;0,INDEX($AA$4:$AL$323,Ajustes!$J293,R$2),0)+IF(Ajustes!$K293&gt;0,INDEX($AA$5:$AL$324,Ajustes!$K293,R$2),0)+IF(Ajustes!$L293&gt;0,INDEX($AA$4:$AL$323,Ajustes!$L293,R$2),0) + R293</f>
        <v>1810</v>
      </c>
      <c r="AE293">
        <f>IF(Ajustes!$G293&gt;0,INDEX($AA$4:$AL$323,Ajustes!$G293,S$2),0)+IF(Ajustes!$H293&gt;0,INDEX($AA$4:$AL$323,Ajustes!$H293,S$2),0)+IF(Ajustes!$I293&gt;0,INDEX($AA$4:$AL$323,Ajustes!$I293,S$2),0)+IF(Ajustes!$J293&gt;0,INDEX($AA$4:$AL$323,Ajustes!$J293,S$2),0)+IF(Ajustes!$K293&gt;0,INDEX($AA$5:$AL$324,Ajustes!$K293,S$2),0)+IF(Ajustes!$L293&gt;0,INDEX($AA$4:$AL$323,Ajustes!$L293,S$2),0) + S293</f>
        <v>2113</v>
      </c>
      <c r="AF293">
        <f>IF(Ajustes!$G293&gt;0,INDEX($AA$4:$AL$323,Ajustes!$G293,T$2),0)+IF(Ajustes!$H293&gt;0,INDEX($AA$4:$AL$323,Ajustes!$H293,T$2),0)+IF(Ajustes!$I293&gt;0,INDEX($AA$4:$AL$323,Ajustes!$I293,T$2),0)+IF(Ajustes!$J293&gt;0,INDEX($AA$4:$AL$323,Ajustes!$J293,T$2),0)+IF(Ajustes!$K293&gt;0,INDEX($AA$5:$AL$324,Ajustes!$K293,T$2),0)+IF(Ajustes!$L293&gt;0,INDEX($AA$4:$AL$323,Ajustes!$L293,T$2),0) + T293</f>
        <v>2082</v>
      </c>
      <c r="AG293">
        <f>IF(Ajustes!$G293&gt;0,INDEX($AA$4:$AL$323,Ajustes!$G293,U$2),0)+IF(Ajustes!$H293&gt;0,INDEX($AA$4:$AL$323,Ajustes!$H293,U$2),0)+IF(Ajustes!$I293&gt;0,INDEX($AA$4:$AL$323,Ajustes!$I293,U$2),0)+IF(Ajustes!$J293&gt;0,INDEX($AA$4:$AL$323,Ajustes!$J293,U$2),0)+IF(Ajustes!$K293&gt;0,INDEX($AA$5:$AL$324,Ajustes!$K293,U$2),0)+IF(Ajustes!$L293&gt;0,INDEX($AA$4:$AL$323,Ajustes!$L293,U$2),0) + U293</f>
        <v>1453</v>
      </c>
      <c r="AH293">
        <f>IF(Ajustes!$G293&gt;0,INDEX($AA$4:$AL$323,Ajustes!$G293,V$2),0)+IF(Ajustes!$H293&gt;0,INDEX($AA$4:$AL$323,Ajustes!$H293,V$2),0)+IF(Ajustes!$I293&gt;0,INDEX($AA$4:$AL$323,Ajustes!$I293,V$2),0)+IF(Ajustes!$J293&gt;0,INDEX($AA$4:$AL$323,Ajustes!$J293,V$2),0)+IF(Ajustes!$K293&gt;0,INDEX($AA$5:$AL$324,Ajustes!$K293,V$2),0)+IF(Ajustes!$L293&gt;0,INDEX($AA$4:$AL$323,Ajustes!$L293,V$2),0) + V293</f>
        <v>964</v>
      </c>
      <c r="AI293">
        <f>IF(Ajustes!$G293&gt;0,INDEX($AA$4:$AL$323,Ajustes!$G293,W$2),0)+IF(Ajustes!$H293&gt;0,INDEX($AA$4:$AL$323,Ajustes!$H293,W$2),0)+IF(Ajustes!$I293&gt;0,INDEX($AA$4:$AL$323,Ajustes!$I293,W$2),0)+IF(Ajustes!$J293&gt;0,INDEX($AA$4:$AL$323,Ajustes!$J293,W$2),0)+IF(Ajustes!$K293&gt;0,INDEX($AA$5:$AL$324,Ajustes!$K293,W$2),0)+IF(Ajustes!$L293&gt;0,INDEX($AA$4:$AL$323,Ajustes!$L293,W$2),0) + W293</f>
        <v>599</v>
      </c>
      <c r="AJ293">
        <f>IF(Ajustes!$G293&gt;0,INDEX($AA$4:$AL$323,Ajustes!$G293,X$2),0)+IF(Ajustes!$H293&gt;0,INDEX($AA$4:$AL$323,Ajustes!$H293,X$2),0)+IF(Ajustes!$I293&gt;0,INDEX($AA$4:$AL$323,Ajustes!$I293,X$2),0)+IF(Ajustes!$J293&gt;0,INDEX($AA$4:$AL$323,Ajustes!$J293,X$2),0)+IF(Ajustes!$K293&gt;0,INDEX($AA$5:$AL$324,Ajustes!$K293,X$2),0)+IF(Ajustes!$L293&gt;0,INDEX($AA$4:$AL$323,Ajustes!$L293,X$2),0) + X293</f>
        <v>342</v>
      </c>
      <c r="AK293">
        <f>IF(Ajustes!$G293&gt;0,INDEX($AA$4:$AL$323,Ajustes!$G293,Y$2),0)+IF(Ajustes!$H293&gt;0,INDEX($AA$4:$AL$323,Ajustes!$H293,Y$2),0)+IF(Ajustes!$I293&gt;0,INDEX($AA$4:$AL$323,Ajustes!$I293,Y$2),0)+IF(Ajustes!$J293&gt;0,INDEX($AA$4:$AL$323,Ajustes!$J293,Y$2),0)+IF(Ajustes!$K293&gt;0,INDEX($AA$5:$AL$324,Ajustes!$K293,Y$2),0)+IF(Ajustes!$L293&gt;0,INDEX($AA$4:$AL$323,Ajustes!$L293,Y$2),0) + Y293</f>
        <v>250</v>
      </c>
      <c r="AL293">
        <f>IF(Ajustes!$G293&gt;0,INDEX($AA$4:$AL$323,Ajustes!$G293,Z$2),0)+IF(Ajustes!$H293&gt;0,INDEX($AA$4:$AL$323,Ajustes!$H293,Z$2),0)+IF(Ajustes!$I293&gt;0,INDEX($AA$4:$AL$323,Ajustes!$I293,Z$2),0)+IF(Ajustes!$J293&gt;0,INDEX($AA$4:$AL$323,Ajustes!$J293,Z$2),0)+IF(Ajustes!$K293&gt;0,INDEX($AA$5:$AL$324,Ajustes!$K293,Z$2),0)+IF(Ajustes!$L293&gt;0,INDEX($AA$4:$AL$323,Ajustes!$L293,Z$2),0) + Z293</f>
        <v>352</v>
      </c>
      <c r="AM293" s="113">
        <f t="shared" si="53"/>
        <v>693</v>
      </c>
      <c r="AN293" s="113">
        <f t="shared" si="53"/>
        <v>1074</v>
      </c>
      <c r="AO293" s="113">
        <f t="shared" si="53"/>
        <v>1361</v>
      </c>
      <c r="AP293" s="113">
        <f t="shared" si="53"/>
        <v>1810</v>
      </c>
      <c r="AQ293" s="113">
        <f t="shared" si="53"/>
        <v>2113</v>
      </c>
      <c r="AR293" s="113">
        <f t="shared" si="53"/>
        <v>2082</v>
      </c>
      <c r="AS293" s="113">
        <f t="shared" si="53"/>
        <v>1453</v>
      </c>
      <c r="AT293" s="113">
        <f t="shared" si="53"/>
        <v>964</v>
      </c>
      <c r="AU293" s="113">
        <f t="shared" si="54"/>
        <v>599</v>
      </c>
      <c r="AV293" s="113">
        <f t="shared" si="54"/>
        <v>342</v>
      </c>
      <c r="AW293" s="113">
        <f t="shared" si="54"/>
        <v>250</v>
      </c>
      <c r="AX293" s="113">
        <f t="shared" si="54"/>
        <v>352</v>
      </c>
    </row>
    <row r="294" spans="1:50" x14ac:dyDescent="0.25">
      <c r="A294" s="113">
        <v>291</v>
      </c>
      <c r="B294" s="209" t="s">
        <v>674</v>
      </c>
      <c r="C294">
        <f>IFERROR(INDEX($BD$7:$BO$35,MATCH(Ajustes!$E$4:$E$323,$BC$7:$BC$35,0),$C$2:$N$2),1)</f>
        <v>1</v>
      </c>
      <c r="D294" s="113">
        <f>IFERROR(INDEX($BD$7:$BO$35,MATCH(Ajustes!$E$4:$E$323,$BC$7:$BC$35,0),$C$2:$N$2),1)</f>
        <v>1</v>
      </c>
      <c r="E294" s="113">
        <f>IFERROR(INDEX($BD$7:$BO$35,MATCH(Ajustes!$E$4:$E$323,$BC$7:$BC$35,0),$C$2:$N$2),1)</f>
        <v>1</v>
      </c>
      <c r="F294" s="113">
        <f>IFERROR(INDEX($BD$7:$BO$35,MATCH(Ajustes!$E$4:$E$323,$BC$7:$BC$35,0),$C$2:$N$2),1)</f>
        <v>1</v>
      </c>
      <c r="G294" s="113">
        <f>IFERROR(INDEX($BD$7:$BO$35,MATCH(Ajustes!$E$4:$E$323,$BC$7:$BC$35,0),$C$2:$N$2),1)</f>
        <v>1</v>
      </c>
      <c r="H294" s="113">
        <f>IFERROR(INDEX($BD$7:$BO$35,MATCH(Ajustes!$E$4:$E$323,$BC$7:$BC$35,0),$C$2:$N$2),1)</f>
        <v>1</v>
      </c>
      <c r="I294" s="113">
        <f>IFERROR(INDEX($BD$7:$BO$35,MATCH(Ajustes!$E$4:$E$323,$BC$7:$BC$35,0),$C$2:$N$2),1)</f>
        <v>1</v>
      </c>
      <c r="J294" s="113">
        <f>IFERROR(INDEX($BD$7:$BO$35,MATCH(Ajustes!$E$4:$E$323,$BC$7:$BC$35,0),$C$2:$N$2),1)</f>
        <v>1</v>
      </c>
      <c r="K294" s="113">
        <f>IFERROR(INDEX($BD$7:$BO$35,MATCH(Ajustes!$E$4:$E$323,$BC$7:$BC$35,0),$C$2:$N$2),1)</f>
        <v>1</v>
      </c>
      <c r="L294" s="113">
        <f>IFERROR(INDEX($BD$7:$BO$35,MATCH(Ajustes!$E$4:$E$323,$BC$7:$BC$35,0),$C$2:$N$2),1)</f>
        <v>1</v>
      </c>
      <c r="M294" s="113">
        <f>IFERROR(INDEX($BD$7:$BO$35,MATCH(Ajustes!$E$4:$E$323,$BC$7:$BC$35,0),$C$2:$N$2),1)</f>
        <v>1</v>
      </c>
      <c r="N294" s="113">
        <f>IFERROR(INDEX($BD$7:$BO$35,MATCH(Ajustes!$E$4:$E$323,$BC$7:$BC$35,0),$C$2:$N$2),1)</f>
        <v>1</v>
      </c>
      <c r="O294">
        <f>C294*Ajustes!AM294</f>
        <v>505</v>
      </c>
      <c r="P294">
        <f>D294*Ajustes!AN294</f>
        <v>747</v>
      </c>
      <c r="Q294">
        <f>E294*Ajustes!AO294</f>
        <v>834</v>
      </c>
      <c r="R294">
        <f>F294*Ajustes!AP294</f>
        <v>729</v>
      </c>
      <c r="S294">
        <f>G294*Ajustes!AQ294</f>
        <v>463</v>
      </c>
      <c r="T294">
        <f>H294*Ajustes!AR294</f>
        <v>216</v>
      </c>
      <c r="U294">
        <f>I294*Ajustes!AS294</f>
        <v>99</v>
      </c>
      <c r="V294">
        <f>J294*Ajustes!AT294</f>
        <v>57</v>
      </c>
      <c r="W294">
        <f>K294*Ajustes!AU294</f>
        <v>47</v>
      </c>
      <c r="X294">
        <f>L294*Ajustes!AV294</f>
        <v>54</v>
      </c>
      <c r="Y294">
        <f>M294*Ajustes!AW294</f>
        <v>94</v>
      </c>
      <c r="Z294">
        <f>N294*Ajustes!AX294</f>
        <v>229</v>
      </c>
      <c r="AA294">
        <f>IF(Ajustes!$G294&gt;0,INDEX($AA$4:$AL$323,Ajustes!$G294,O$2),0)+IF(Ajustes!$H294&gt;0,INDEX($AA$4:$AL$323,Ajustes!$H294,O$2),0)+IF(Ajustes!$I294&gt;0,INDEX($AA$4:$AL$323,Ajustes!$I294,O$2),0)+IF(Ajustes!$J294&gt;0,INDEX($AA$4:$AL$323,Ajustes!$J294,O$2),0)+IF(Ajustes!$K294&gt;0,INDEX($AA$5:$AL$324,Ajustes!$K294,O$2),0)+IF(Ajustes!$L294&gt;0,INDEX($AA$4:$AL$323,Ajustes!$L294,O$2),0) + O294</f>
        <v>505</v>
      </c>
      <c r="AB294">
        <f>IF(Ajustes!$G294&gt;0,INDEX($AA$4:$AL$323,Ajustes!$G294,P$2),0)+IF(Ajustes!$H294&gt;0,INDEX($AA$4:$AL$323,Ajustes!$H294,P$2),0)+IF(Ajustes!$I294&gt;0,INDEX($AA$4:$AL$323,Ajustes!$I294,P$2),0)+IF(Ajustes!$J294&gt;0,INDEX($AA$4:$AL$323,Ajustes!$J294,P$2),0)+IF(Ajustes!$K294&gt;0,INDEX($AA$5:$AL$324,Ajustes!$K294,P$2),0)+IF(Ajustes!$L294&gt;0,INDEX($AA$4:$AL$323,Ajustes!$L294,P$2),0) + P294</f>
        <v>747</v>
      </c>
      <c r="AC294">
        <f>IF(Ajustes!$G294&gt;0,INDEX($AA$4:$AL$323,Ajustes!$G294,Q$2),0)+IF(Ajustes!$H294&gt;0,INDEX($AA$4:$AL$323,Ajustes!$H294,Q$2),0)+IF(Ajustes!$I294&gt;0,INDEX($AA$4:$AL$323,Ajustes!$I294,Q$2),0)+IF(Ajustes!$J294&gt;0,INDEX($AA$4:$AL$323,Ajustes!$J294,Q$2),0)+IF(Ajustes!$K294&gt;0,INDEX($AA$5:$AL$324,Ajustes!$K294,Q$2),0)+IF(Ajustes!$L294&gt;0,INDEX($AA$4:$AL$323,Ajustes!$L294,Q$2),0) + Q294</f>
        <v>834</v>
      </c>
      <c r="AD294">
        <f>IF(Ajustes!$G294&gt;0,INDEX($AA$4:$AL$323,Ajustes!$G294,R$2),0)+IF(Ajustes!$H294&gt;0,INDEX($AA$4:$AL$323,Ajustes!$H294,R$2),0)+IF(Ajustes!$I294&gt;0,INDEX($AA$4:$AL$323,Ajustes!$I294,R$2),0)+IF(Ajustes!$J294&gt;0,INDEX($AA$4:$AL$323,Ajustes!$J294,R$2),0)+IF(Ajustes!$K294&gt;0,INDEX($AA$5:$AL$324,Ajustes!$K294,R$2),0)+IF(Ajustes!$L294&gt;0,INDEX($AA$4:$AL$323,Ajustes!$L294,R$2),0) + R294</f>
        <v>729</v>
      </c>
      <c r="AE294">
        <f>IF(Ajustes!$G294&gt;0,INDEX($AA$4:$AL$323,Ajustes!$G294,S$2),0)+IF(Ajustes!$H294&gt;0,INDEX($AA$4:$AL$323,Ajustes!$H294,S$2),0)+IF(Ajustes!$I294&gt;0,INDEX($AA$4:$AL$323,Ajustes!$I294,S$2),0)+IF(Ajustes!$J294&gt;0,INDEX($AA$4:$AL$323,Ajustes!$J294,S$2),0)+IF(Ajustes!$K294&gt;0,INDEX($AA$5:$AL$324,Ajustes!$K294,S$2),0)+IF(Ajustes!$L294&gt;0,INDEX($AA$4:$AL$323,Ajustes!$L294,S$2),0) + S294</f>
        <v>463</v>
      </c>
      <c r="AF294">
        <f>IF(Ajustes!$G294&gt;0,INDEX($AA$4:$AL$323,Ajustes!$G294,T$2),0)+IF(Ajustes!$H294&gt;0,INDEX($AA$4:$AL$323,Ajustes!$H294,T$2),0)+IF(Ajustes!$I294&gt;0,INDEX($AA$4:$AL$323,Ajustes!$I294,T$2),0)+IF(Ajustes!$J294&gt;0,INDEX($AA$4:$AL$323,Ajustes!$J294,T$2),0)+IF(Ajustes!$K294&gt;0,INDEX($AA$5:$AL$324,Ajustes!$K294,T$2),0)+IF(Ajustes!$L294&gt;0,INDEX($AA$4:$AL$323,Ajustes!$L294,T$2),0) + T294</f>
        <v>216</v>
      </c>
      <c r="AG294">
        <f>IF(Ajustes!$G294&gt;0,INDEX($AA$4:$AL$323,Ajustes!$G294,U$2),0)+IF(Ajustes!$H294&gt;0,INDEX($AA$4:$AL$323,Ajustes!$H294,U$2),0)+IF(Ajustes!$I294&gt;0,INDEX($AA$4:$AL$323,Ajustes!$I294,U$2),0)+IF(Ajustes!$J294&gt;0,INDEX($AA$4:$AL$323,Ajustes!$J294,U$2),0)+IF(Ajustes!$K294&gt;0,INDEX($AA$5:$AL$324,Ajustes!$K294,U$2),0)+IF(Ajustes!$L294&gt;0,INDEX($AA$4:$AL$323,Ajustes!$L294,U$2),0) + U294</f>
        <v>99</v>
      </c>
      <c r="AH294">
        <f>IF(Ajustes!$G294&gt;0,INDEX($AA$4:$AL$323,Ajustes!$G294,V$2),0)+IF(Ajustes!$H294&gt;0,INDEX($AA$4:$AL$323,Ajustes!$H294,V$2),0)+IF(Ajustes!$I294&gt;0,INDEX($AA$4:$AL$323,Ajustes!$I294,V$2),0)+IF(Ajustes!$J294&gt;0,INDEX($AA$4:$AL$323,Ajustes!$J294,V$2),0)+IF(Ajustes!$K294&gt;0,INDEX($AA$5:$AL$324,Ajustes!$K294,V$2),0)+IF(Ajustes!$L294&gt;0,INDEX($AA$4:$AL$323,Ajustes!$L294,V$2),0) + V294</f>
        <v>57</v>
      </c>
      <c r="AI294">
        <f>IF(Ajustes!$G294&gt;0,INDEX($AA$4:$AL$323,Ajustes!$G294,W$2),0)+IF(Ajustes!$H294&gt;0,INDEX($AA$4:$AL$323,Ajustes!$H294,W$2),0)+IF(Ajustes!$I294&gt;0,INDEX($AA$4:$AL$323,Ajustes!$I294,W$2),0)+IF(Ajustes!$J294&gt;0,INDEX($AA$4:$AL$323,Ajustes!$J294,W$2),0)+IF(Ajustes!$K294&gt;0,INDEX($AA$5:$AL$324,Ajustes!$K294,W$2),0)+IF(Ajustes!$L294&gt;0,INDEX($AA$4:$AL$323,Ajustes!$L294,W$2),0) + W294</f>
        <v>47</v>
      </c>
      <c r="AJ294">
        <f>IF(Ajustes!$G294&gt;0,INDEX($AA$4:$AL$323,Ajustes!$G294,X$2),0)+IF(Ajustes!$H294&gt;0,INDEX($AA$4:$AL$323,Ajustes!$H294,X$2),0)+IF(Ajustes!$I294&gt;0,INDEX($AA$4:$AL$323,Ajustes!$I294,X$2),0)+IF(Ajustes!$J294&gt;0,INDEX($AA$4:$AL$323,Ajustes!$J294,X$2),0)+IF(Ajustes!$K294&gt;0,INDEX($AA$5:$AL$324,Ajustes!$K294,X$2),0)+IF(Ajustes!$L294&gt;0,INDEX($AA$4:$AL$323,Ajustes!$L294,X$2),0) + X294</f>
        <v>54</v>
      </c>
      <c r="AK294">
        <f>IF(Ajustes!$G294&gt;0,INDEX($AA$4:$AL$323,Ajustes!$G294,Y$2),0)+IF(Ajustes!$H294&gt;0,INDEX($AA$4:$AL$323,Ajustes!$H294,Y$2),0)+IF(Ajustes!$I294&gt;0,INDEX($AA$4:$AL$323,Ajustes!$I294,Y$2),0)+IF(Ajustes!$J294&gt;0,INDEX($AA$4:$AL$323,Ajustes!$J294,Y$2),0)+IF(Ajustes!$K294&gt;0,INDEX($AA$5:$AL$324,Ajustes!$K294,Y$2),0)+IF(Ajustes!$L294&gt;0,INDEX($AA$4:$AL$323,Ajustes!$L294,Y$2),0) + Y294</f>
        <v>94</v>
      </c>
      <c r="AL294">
        <f>IF(Ajustes!$G294&gt;0,INDEX($AA$4:$AL$323,Ajustes!$G294,Z$2),0)+IF(Ajustes!$H294&gt;0,INDEX($AA$4:$AL$323,Ajustes!$H294,Z$2),0)+IF(Ajustes!$I294&gt;0,INDEX($AA$4:$AL$323,Ajustes!$I294,Z$2),0)+IF(Ajustes!$J294&gt;0,INDEX($AA$4:$AL$323,Ajustes!$J294,Z$2),0)+IF(Ajustes!$K294&gt;0,INDEX($AA$5:$AL$324,Ajustes!$K294,Z$2),0)+IF(Ajustes!$L294&gt;0,INDEX($AA$4:$AL$323,Ajustes!$L294,Z$2),0) + Z294</f>
        <v>229</v>
      </c>
      <c r="AM294" s="113">
        <f t="shared" si="53"/>
        <v>505</v>
      </c>
      <c r="AN294" s="113">
        <f t="shared" si="53"/>
        <v>747</v>
      </c>
      <c r="AO294" s="113">
        <f t="shared" si="53"/>
        <v>834</v>
      </c>
      <c r="AP294" s="113">
        <f t="shared" si="53"/>
        <v>729</v>
      </c>
      <c r="AQ294" s="113">
        <f t="shared" si="53"/>
        <v>463</v>
      </c>
      <c r="AR294" s="113">
        <f t="shared" si="53"/>
        <v>216</v>
      </c>
      <c r="AS294" s="113">
        <f t="shared" si="53"/>
        <v>99</v>
      </c>
      <c r="AT294" s="113">
        <f t="shared" si="53"/>
        <v>57</v>
      </c>
      <c r="AU294" s="113">
        <f t="shared" si="54"/>
        <v>47</v>
      </c>
      <c r="AV294" s="113">
        <f t="shared" si="54"/>
        <v>54</v>
      </c>
      <c r="AW294" s="113">
        <f t="shared" si="54"/>
        <v>94</v>
      </c>
      <c r="AX294" s="113">
        <f t="shared" si="54"/>
        <v>229</v>
      </c>
    </row>
    <row r="295" spans="1:50" x14ac:dyDescent="0.25">
      <c r="A295" s="93">
        <v>292</v>
      </c>
      <c r="B295" s="216" t="s">
        <v>675</v>
      </c>
      <c r="C295">
        <f>IFERROR(INDEX($BD$7:$BO$35,MATCH(Ajustes!$E$4:$E$323,$BC$7:$BC$35,0),$C$2:$N$2),1)</f>
        <v>1</v>
      </c>
      <c r="D295" s="113">
        <f>IFERROR(INDEX($BD$7:$BO$35,MATCH(Ajustes!$E$4:$E$323,$BC$7:$BC$35,0),$C$2:$N$2),1)</f>
        <v>1</v>
      </c>
      <c r="E295" s="113">
        <f>IFERROR(INDEX($BD$7:$BO$35,MATCH(Ajustes!$E$4:$E$323,$BC$7:$BC$35,0),$C$2:$N$2),1)</f>
        <v>1</v>
      </c>
      <c r="F295" s="113">
        <f>IFERROR(INDEX($BD$7:$BO$35,MATCH(Ajustes!$E$4:$E$323,$BC$7:$BC$35,0),$C$2:$N$2),1)</f>
        <v>1</v>
      </c>
      <c r="G295" s="113">
        <f>IFERROR(INDEX($BD$7:$BO$35,MATCH(Ajustes!$E$4:$E$323,$BC$7:$BC$35,0),$C$2:$N$2),1)</f>
        <v>1</v>
      </c>
      <c r="H295" s="113">
        <f>IFERROR(INDEX($BD$7:$BO$35,MATCH(Ajustes!$E$4:$E$323,$BC$7:$BC$35,0),$C$2:$N$2),1)</f>
        <v>1</v>
      </c>
      <c r="I295" s="113">
        <f>IFERROR(INDEX($BD$7:$BO$35,MATCH(Ajustes!$E$4:$E$323,$BC$7:$BC$35,0),$C$2:$N$2),1)</f>
        <v>1</v>
      </c>
      <c r="J295" s="113">
        <f>IFERROR(INDEX($BD$7:$BO$35,MATCH(Ajustes!$E$4:$E$323,$BC$7:$BC$35,0),$C$2:$N$2),1)</f>
        <v>1</v>
      </c>
      <c r="K295" s="113">
        <f>IFERROR(INDEX($BD$7:$BO$35,MATCH(Ajustes!$E$4:$E$323,$BC$7:$BC$35,0),$C$2:$N$2),1)</f>
        <v>1</v>
      </c>
      <c r="L295" s="113">
        <f>IFERROR(INDEX($BD$7:$BO$35,MATCH(Ajustes!$E$4:$E$323,$BC$7:$BC$35,0),$C$2:$N$2),1)</f>
        <v>1</v>
      </c>
      <c r="M295" s="113">
        <f>IFERROR(INDEX($BD$7:$BO$35,MATCH(Ajustes!$E$4:$E$323,$BC$7:$BC$35,0),$C$2:$N$2),1)</f>
        <v>1</v>
      </c>
      <c r="N295" s="113">
        <f>IFERROR(INDEX($BD$7:$BO$35,MATCH(Ajustes!$E$4:$E$323,$BC$7:$BC$35,0),$C$2:$N$2),1)</f>
        <v>1</v>
      </c>
      <c r="O295">
        <f>C295*Ajustes!AM295</f>
        <v>-1100</v>
      </c>
      <c r="P295">
        <f>D295*Ajustes!AN295</f>
        <v>-1600</v>
      </c>
      <c r="Q295">
        <f>E295*Ajustes!AO295</f>
        <v>-3259</v>
      </c>
      <c r="R295">
        <f>F295*Ajustes!AP295</f>
        <v>-6024</v>
      </c>
      <c r="S295">
        <f>G295*Ajustes!AQ295</f>
        <v>-2913</v>
      </c>
      <c r="T295">
        <f>H295*Ajustes!AR295</f>
        <v>-1605</v>
      </c>
      <c r="U295">
        <f>I295*Ajustes!AS295</f>
        <v>-1102</v>
      </c>
      <c r="V295">
        <f>J295*Ajustes!AT295</f>
        <v>-900</v>
      </c>
      <c r="W295">
        <f>K295*Ajustes!AU295</f>
        <v>-743</v>
      </c>
      <c r="X295">
        <f>L295*Ajustes!AV295</f>
        <v>-687</v>
      </c>
      <c r="Y295">
        <f>M295*Ajustes!AW295</f>
        <v>-797</v>
      </c>
      <c r="Z295">
        <f>N295*Ajustes!AX295</f>
        <v>-900</v>
      </c>
      <c r="AA295">
        <f>IF(Ajustes!$G295&gt;0,INDEX($AA$4:$AL$323,Ajustes!$G295,O$2),0)+IF(Ajustes!$H295&gt;0,INDEX($AA$4:$AL$323,Ajustes!$H295,O$2),0)+IF(Ajustes!$I295&gt;0,INDEX($AA$4:$AL$323,Ajustes!$I295,O$2),0)+IF(Ajustes!$J295&gt;0,INDEX($AA$4:$AL$323,Ajustes!$J295,O$2),0)+IF(Ajustes!$K295&gt;0,INDEX($AA$5:$AL$324,Ajustes!$K295,O$2),0)+IF(Ajustes!$L295&gt;0,INDEX($AA$4:$AL$323,Ajustes!$L295,O$2),0) + O295</f>
        <v>7025</v>
      </c>
      <c r="AB295">
        <f>IF(Ajustes!$G295&gt;0,INDEX($AA$4:$AL$323,Ajustes!$G295,P$2),0)+IF(Ajustes!$H295&gt;0,INDEX($AA$4:$AL$323,Ajustes!$H295,P$2),0)+IF(Ajustes!$I295&gt;0,INDEX($AA$4:$AL$323,Ajustes!$I295,P$2),0)+IF(Ajustes!$J295&gt;0,INDEX($AA$4:$AL$323,Ajustes!$J295,P$2),0)+IF(Ajustes!$K295&gt;0,INDEX($AA$5:$AL$324,Ajustes!$K295,P$2),0)+IF(Ajustes!$L295&gt;0,INDEX($AA$4:$AL$323,Ajustes!$L295,P$2),0) + P295</f>
        <v>11806</v>
      </c>
      <c r="AC295">
        <f>IF(Ajustes!$G295&gt;0,INDEX($AA$4:$AL$323,Ajustes!$G295,Q$2),0)+IF(Ajustes!$H295&gt;0,INDEX($AA$4:$AL$323,Ajustes!$H295,Q$2),0)+IF(Ajustes!$I295&gt;0,INDEX($AA$4:$AL$323,Ajustes!$I295,Q$2),0)+IF(Ajustes!$J295&gt;0,INDEX($AA$4:$AL$323,Ajustes!$J295,Q$2),0)+IF(Ajustes!$K295&gt;0,INDEX($AA$5:$AL$324,Ajustes!$K295,Q$2),0)+IF(Ajustes!$L295&gt;0,INDEX($AA$4:$AL$323,Ajustes!$L295,Q$2),0) + Q295</f>
        <v>14929</v>
      </c>
      <c r="AD295">
        <f>IF(Ajustes!$G295&gt;0,INDEX($AA$4:$AL$323,Ajustes!$G295,R$2),0)+IF(Ajustes!$H295&gt;0,INDEX($AA$4:$AL$323,Ajustes!$H295,R$2),0)+IF(Ajustes!$I295&gt;0,INDEX($AA$4:$AL$323,Ajustes!$I295,R$2),0)+IF(Ajustes!$J295&gt;0,INDEX($AA$4:$AL$323,Ajustes!$J295,R$2),0)+IF(Ajustes!$K295&gt;0,INDEX($AA$5:$AL$324,Ajustes!$K295,R$2),0)+IF(Ajustes!$L295&gt;0,INDEX($AA$4:$AL$323,Ajustes!$L295,R$2),0) + R295</f>
        <v>15442</v>
      </c>
      <c r="AE295">
        <f>IF(Ajustes!$G295&gt;0,INDEX($AA$4:$AL$323,Ajustes!$G295,S$2),0)+IF(Ajustes!$H295&gt;0,INDEX($AA$4:$AL$323,Ajustes!$H295,S$2),0)+IF(Ajustes!$I295&gt;0,INDEX($AA$4:$AL$323,Ajustes!$I295,S$2),0)+IF(Ajustes!$J295&gt;0,INDEX($AA$4:$AL$323,Ajustes!$J295,S$2),0)+IF(Ajustes!$K295&gt;0,INDEX($AA$5:$AL$324,Ajustes!$K295,S$2),0)+IF(Ajustes!$L295&gt;0,INDEX($AA$4:$AL$323,Ajustes!$L295,S$2),0) + S295</f>
        <v>12640</v>
      </c>
      <c r="AF295">
        <f>IF(Ajustes!$G295&gt;0,INDEX($AA$4:$AL$323,Ajustes!$G295,T$2),0)+IF(Ajustes!$H295&gt;0,INDEX($AA$4:$AL$323,Ajustes!$H295,T$2),0)+IF(Ajustes!$I295&gt;0,INDEX($AA$4:$AL$323,Ajustes!$I295,T$2),0)+IF(Ajustes!$J295&gt;0,INDEX($AA$4:$AL$323,Ajustes!$J295,T$2),0)+IF(Ajustes!$K295&gt;0,INDEX($AA$5:$AL$324,Ajustes!$K295,T$2),0)+IF(Ajustes!$L295&gt;0,INDEX($AA$4:$AL$323,Ajustes!$L295,T$2),0) + T295</f>
        <v>5794</v>
      </c>
      <c r="AG295">
        <f>IF(Ajustes!$G295&gt;0,INDEX($AA$4:$AL$323,Ajustes!$G295,U$2),0)+IF(Ajustes!$H295&gt;0,INDEX($AA$4:$AL$323,Ajustes!$H295,U$2),0)+IF(Ajustes!$I295&gt;0,INDEX($AA$4:$AL$323,Ajustes!$I295,U$2),0)+IF(Ajustes!$J295&gt;0,INDEX($AA$4:$AL$323,Ajustes!$J295,U$2),0)+IF(Ajustes!$K295&gt;0,INDEX($AA$5:$AL$324,Ajustes!$K295,U$2),0)+IF(Ajustes!$L295&gt;0,INDEX($AA$4:$AL$323,Ajustes!$L295,U$2),0) + U295</f>
        <v>1850</v>
      </c>
      <c r="AH295">
        <f>IF(Ajustes!$G295&gt;0,INDEX($AA$4:$AL$323,Ajustes!$G295,V$2),0)+IF(Ajustes!$H295&gt;0,INDEX($AA$4:$AL$323,Ajustes!$H295,V$2),0)+IF(Ajustes!$I295&gt;0,INDEX($AA$4:$AL$323,Ajustes!$I295,V$2),0)+IF(Ajustes!$J295&gt;0,INDEX($AA$4:$AL$323,Ajustes!$J295,V$2),0)+IF(Ajustes!$K295&gt;0,INDEX($AA$5:$AL$324,Ajustes!$K295,V$2),0)+IF(Ajustes!$L295&gt;0,INDEX($AA$4:$AL$323,Ajustes!$L295,V$2),0) + V295</f>
        <v>694</v>
      </c>
      <c r="AI295">
        <f>IF(Ajustes!$G295&gt;0,INDEX($AA$4:$AL$323,Ajustes!$G295,W$2),0)+IF(Ajustes!$H295&gt;0,INDEX($AA$4:$AL$323,Ajustes!$H295,W$2),0)+IF(Ajustes!$I295&gt;0,INDEX($AA$4:$AL$323,Ajustes!$I295,W$2),0)+IF(Ajustes!$J295&gt;0,INDEX($AA$4:$AL$323,Ajustes!$J295,W$2),0)+IF(Ajustes!$K295&gt;0,INDEX($AA$5:$AL$324,Ajustes!$K295,W$2),0)+IF(Ajustes!$L295&gt;0,INDEX($AA$4:$AL$323,Ajustes!$L295,W$2),0) + W295</f>
        <v>346</v>
      </c>
      <c r="AJ295">
        <f>IF(Ajustes!$G295&gt;0,INDEX($AA$4:$AL$323,Ajustes!$G295,X$2),0)+IF(Ajustes!$H295&gt;0,INDEX($AA$4:$AL$323,Ajustes!$H295,X$2),0)+IF(Ajustes!$I295&gt;0,INDEX($AA$4:$AL$323,Ajustes!$I295,X$2),0)+IF(Ajustes!$J295&gt;0,INDEX($AA$4:$AL$323,Ajustes!$J295,X$2),0)+IF(Ajustes!$K295&gt;0,INDEX($AA$5:$AL$324,Ajustes!$K295,X$2),0)+IF(Ajustes!$L295&gt;0,INDEX($AA$4:$AL$323,Ajustes!$L295,X$2),0) + X295</f>
        <v>428</v>
      </c>
      <c r="AK295">
        <f>IF(Ajustes!$G295&gt;0,INDEX($AA$4:$AL$323,Ajustes!$G295,Y$2),0)+IF(Ajustes!$H295&gt;0,INDEX($AA$4:$AL$323,Ajustes!$H295,Y$2),0)+IF(Ajustes!$I295&gt;0,INDEX($AA$4:$AL$323,Ajustes!$I295,Y$2),0)+IF(Ajustes!$J295&gt;0,INDEX($AA$4:$AL$323,Ajustes!$J295,Y$2),0)+IF(Ajustes!$K295&gt;0,INDEX($AA$5:$AL$324,Ajustes!$K295,Y$2),0)+IF(Ajustes!$L295&gt;0,INDEX($AA$4:$AL$323,Ajustes!$L295,Y$2),0) + Y295</f>
        <v>1111</v>
      </c>
      <c r="AL295">
        <f>IF(Ajustes!$G295&gt;0,INDEX($AA$4:$AL$323,Ajustes!$G295,Z$2),0)+IF(Ajustes!$H295&gt;0,INDEX($AA$4:$AL$323,Ajustes!$H295,Z$2),0)+IF(Ajustes!$I295&gt;0,INDEX($AA$4:$AL$323,Ajustes!$I295,Z$2),0)+IF(Ajustes!$J295&gt;0,INDEX($AA$4:$AL$323,Ajustes!$J295,Z$2),0)+IF(Ajustes!$K295&gt;0,INDEX($AA$5:$AL$324,Ajustes!$K295,Z$2),0)+IF(Ajustes!$L295&gt;0,INDEX($AA$4:$AL$323,Ajustes!$L295,Z$2),0) + Z295</f>
        <v>2993</v>
      </c>
      <c r="AM295" s="113">
        <f t="shared" si="53"/>
        <v>7025</v>
      </c>
      <c r="AN295" s="113">
        <f t="shared" si="53"/>
        <v>11806</v>
      </c>
      <c r="AO295" s="113">
        <f t="shared" si="53"/>
        <v>14929</v>
      </c>
      <c r="AP295" s="113">
        <f t="shared" si="53"/>
        <v>15442</v>
      </c>
      <c r="AQ295" s="113">
        <f t="shared" si="53"/>
        <v>12640</v>
      </c>
      <c r="AR295" s="113">
        <f t="shared" si="53"/>
        <v>5794</v>
      </c>
      <c r="AS295" s="113">
        <f t="shared" si="53"/>
        <v>1850</v>
      </c>
      <c r="AT295" s="113">
        <f t="shared" ref="AT295" si="55">AH295</f>
        <v>694</v>
      </c>
      <c r="AU295" s="113">
        <f t="shared" si="54"/>
        <v>346</v>
      </c>
      <c r="AV295" s="113">
        <f t="shared" si="54"/>
        <v>428</v>
      </c>
      <c r="AW295" s="113">
        <f t="shared" si="54"/>
        <v>1111</v>
      </c>
      <c r="AX295" s="113">
        <f t="shared" si="54"/>
        <v>2993</v>
      </c>
    </row>
    <row r="296" spans="1:50" x14ac:dyDescent="0.25">
      <c r="A296" s="93">
        <v>293</v>
      </c>
      <c r="B296" s="216" t="s">
        <v>676</v>
      </c>
      <c r="C296">
        <f>IFERROR(INDEX($BD$7:$BO$35,MATCH(Ajustes!$E$4:$E$323,$BC$7:$BC$35,0),$C$2:$N$2),1)</f>
        <v>1</v>
      </c>
      <c r="D296" s="113">
        <f>IFERROR(INDEX($BD$7:$BO$35,MATCH(Ajustes!$E$4:$E$323,$BC$7:$BC$35,0),$C$2:$N$2),1)</f>
        <v>1</v>
      </c>
      <c r="E296" s="113">
        <f>IFERROR(INDEX($BD$7:$BO$35,MATCH(Ajustes!$E$4:$E$323,$BC$7:$BC$35,0),$C$2:$N$2),1)</f>
        <v>1</v>
      </c>
      <c r="F296" s="113">
        <f>IFERROR(INDEX($BD$7:$BO$35,MATCH(Ajustes!$E$4:$E$323,$BC$7:$BC$35,0),$C$2:$N$2),1)</f>
        <v>1</v>
      </c>
      <c r="G296" s="113">
        <f>IFERROR(INDEX($BD$7:$BO$35,MATCH(Ajustes!$E$4:$E$323,$BC$7:$BC$35,0),$C$2:$N$2),1)</f>
        <v>1</v>
      </c>
      <c r="H296" s="113">
        <f>IFERROR(INDEX($BD$7:$BO$35,MATCH(Ajustes!$E$4:$E$323,$BC$7:$BC$35,0),$C$2:$N$2),1)</f>
        <v>1</v>
      </c>
      <c r="I296" s="113">
        <f>IFERROR(INDEX($BD$7:$BO$35,MATCH(Ajustes!$E$4:$E$323,$BC$7:$BC$35,0),$C$2:$N$2),1)</f>
        <v>1</v>
      </c>
      <c r="J296" s="113">
        <f>IFERROR(INDEX($BD$7:$BO$35,MATCH(Ajustes!$E$4:$E$323,$BC$7:$BC$35,0),$C$2:$N$2),1)</f>
        <v>1</v>
      </c>
      <c r="K296" s="113">
        <f>IFERROR(INDEX($BD$7:$BO$35,MATCH(Ajustes!$E$4:$E$323,$BC$7:$BC$35,0),$C$2:$N$2),1)</f>
        <v>1</v>
      </c>
      <c r="L296" s="113">
        <f>IFERROR(INDEX($BD$7:$BO$35,MATCH(Ajustes!$E$4:$E$323,$BC$7:$BC$35,0),$C$2:$N$2),1)</f>
        <v>1</v>
      </c>
      <c r="M296" s="113">
        <f>IFERROR(INDEX($BD$7:$BO$35,MATCH(Ajustes!$E$4:$E$323,$BC$7:$BC$35,0),$C$2:$N$2),1)</f>
        <v>1</v>
      </c>
      <c r="N296" s="113">
        <f>IFERROR(INDEX($BD$7:$BO$35,MATCH(Ajustes!$E$4:$E$323,$BC$7:$BC$35,0),$C$2:$N$2),1)</f>
        <v>1</v>
      </c>
      <c r="O296">
        <f>C296*Ajustes!AM296</f>
        <v>1669</v>
      </c>
      <c r="P296">
        <f>D296*Ajustes!AN296</f>
        <v>2538</v>
      </c>
      <c r="Q296">
        <f>E296*Ajustes!AO296</f>
        <v>4532</v>
      </c>
      <c r="R296">
        <f>F296*Ajustes!AP296</f>
        <v>7527</v>
      </c>
      <c r="S296">
        <f>G296*Ajustes!AQ296</f>
        <v>4002</v>
      </c>
      <c r="T296">
        <f>H296*Ajustes!AR296</f>
        <v>2123</v>
      </c>
      <c r="U296">
        <f>I296*Ajustes!AS296</f>
        <v>1308</v>
      </c>
      <c r="V296">
        <f>J296*Ajustes!AT296</f>
        <v>1012</v>
      </c>
      <c r="W296">
        <f>K296*Ajustes!AU296</f>
        <v>820</v>
      </c>
      <c r="X296">
        <f>L296*Ajustes!AV296</f>
        <v>765</v>
      </c>
      <c r="Y296">
        <f>M296*Ajustes!AW296</f>
        <v>931</v>
      </c>
      <c r="Z296">
        <f>N296*Ajustes!AX296</f>
        <v>1173</v>
      </c>
      <c r="AA296">
        <f>IF(Ajustes!$G296&gt;0,INDEX($AA$4:$AL$323,Ajustes!$G296,O$2),0)+IF(Ajustes!$H296&gt;0,INDEX($AA$4:$AL$323,Ajustes!$H296,O$2),0)+IF(Ajustes!$I296&gt;0,INDEX($AA$4:$AL$323,Ajustes!$I296,O$2),0)+IF(Ajustes!$J296&gt;0,INDEX($AA$4:$AL$323,Ajustes!$J296,O$2),0)+IF(Ajustes!$K296&gt;0,INDEX($AA$5:$AL$324,Ajustes!$K296,O$2),0)+IF(Ajustes!$L296&gt;0,INDEX($AA$4:$AL$323,Ajustes!$L296,O$2),0) + O296</f>
        <v>1669</v>
      </c>
      <c r="AB296">
        <f>IF(Ajustes!$G296&gt;0,INDEX($AA$4:$AL$323,Ajustes!$G296,P$2),0)+IF(Ajustes!$H296&gt;0,INDEX($AA$4:$AL$323,Ajustes!$H296,P$2),0)+IF(Ajustes!$I296&gt;0,INDEX($AA$4:$AL$323,Ajustes!$I296,P$2),0)+IF(Ajustes!$J296&gt;0,INDEX($AA$4:$AL$323,Ajustes!$J296,P$2),0)+IF(Ajustes!$K296&gt;0,INDEX($AA$5:$AL$324,Ajustes!$K296,P$2),0)+IF(Ajustes!$L296&gt;0,INDEX($AA$4:$AL$323,Ajustes!$L296,P$2),0) + P296</f>
        <v>2538</v>
      </c>
      <c r="AC296">
        <f>IF(Ajustes!$G296&gt;0,INDEX($AA$4:$AL$323,Ajustes!$G296,Q$2),0)+IF(Ajustes!$H296&gt;0,INDEX($AA$4:$AL$323,Ajustes!$H296,Q$2),0)+IF(Ajustes!$I296&gt;0,INDEX($AA$4:$AL$323,Ajustes!$I296,Q$2),0)+IF(Ajustes!$J296&gt;0,INDEX($AA$4:$AL$323,Ajustes!$J296,Q$2),0)+IF(Ajustes!$K296&gt;0,INDEX($AA$5:$AL$324,Ajustes!$K296,Q$2),0)+IF(Ajustes!$L296&gt;0,INDEX($AA$4:$AL$323,Ajustes!$L296,Q$2),0) + Q296</f>
        <v>4532</v>
      </c>
      <c r="AD296">
        <f>IF(Ajustes!$G296&gt;0,INDEX($AA$4:$AL$323,Ajustes!$G296,R$2),0)+IF(Ajustes!$H296&gt;0,INDEX($AA$4:$AL$323,Ajustes!$H296,R$2),0)+IF(Ajustes!$I296&gt;0,INDEX($AA$4:$AL$323,Ajustes!$I296,R$2),0)+IF(Ajustes!$J296&gt;0,INDEX($AA$4:$AL$323,Ajustes!$J296,R$2),0)+IF(Ajustes!$K296&gt;0,INDEX($AA$5:$AL$324,Ajustes!$K296,R$2),0)+IF(Ajustes!$L296&gt;0,INDEX($AA$4:$AL$323,Ajustes!$L296,R$2),0) + R296</f>
        <v>7527</v>
      </c>
      <c r="AE296">
        <f>IF(Ajustes!$G296&gt;0,INDEX($AA$4:$AL$323,Ajustes!$G296,S$2),0)+IF(Ajustes!$H296&gt;0,INDEX($AA$4:$AL$323,Ajustes!$H296,S$2),0)+IF(Ajustes!$I296&gt;0,INDEX($AA$4:$AL$323,Ajustes!$I296,S$2),0)+IF(Ajustes!$J296&gt;0,INDEX($AA$4:$AL$323,Ajustes!$J296,S$2),0)+IF(Ajustes!$K296&gt;0,INDEX($AA$5:$AL$324,Ajustes!$K296,S$2),0)+IF(Ajustes!$L296&gt;0,INDEX($AA$4:$AL$323,Ajustes!$L296,S$2),0) + S296</f>
        <v>4002</v>
      </c>
      <c r="AF296">
        <f>IF(Ajustes!$G296&gt;0,INDEX($AA$4:$AL$323,Ajustes!$G296,T$2),0)+IF(Ajustes!$H296&gt;0,INDEX($AA$4:$AL$323,Ajustes!$H296,T$2),0)+IF(Ajustes!$I296&gt;0,INDEX($AA$4:$AL$323,Ajustes!$I296,T$2),0)+IF(Ajustes!$J296&gt;0,INDEX($AA$4:$AL$323,Ajustes!$J296,T$2),0)+IF(Ajustes!$K296&gt;0,INDEX($AA$5:$AL$324,Ajustes!$K296,T$2),0)+IF(Ajustes!$L296&gt;0,INDEX($AA$4:$AL$323,Ajustes!$L296,T$2),0) + T296</f>
        <v>2123</v>
      </c>
      <c r="AG296">
        <f>IF(Ajustes!$G296&gt;0,INDEX($AA$4:$AL$323,Ajustes!$G296,U$2),0)+IF(Ajustes!$H296&gt;0,INDEX($AA$4:$AL$323,Ajustes!$H296,U$2),0)+IF(Ajustes!$I296&gt;0,INDEX($AA$4:$AL$323,Ajustes!$I296,U$2),0)+IF(Ajustes!$J296&gt;0,INDEX($AA$4:$AL$323,Ajustes!$J296,U$2),0)+IF(Ajustes!$K296&gt;0,INDEX($AA$5:$AL$324,Ajustes!$K296,U$2),0)+IF(Ajustes!$L296&gt;0,INDEX($AA$4:$AL$323,Ajustes!$L296,U$2),0) + U296</f>
        <v>1308</v>
      </c>
      <c r="AH296">
        <f>IF(Ajustes!$G296&gt;0,INDEX($AA$4:$AL$323,Ajustes!$G296,V$2),0)+IF(Ajustes!$H296&gt;0,INDEX($AA$4:$AL$323,Ajustes!$H296,V$2),0)+IF(Ajustes!$I296&gt;0,INDEX($AA$4:$AL$323,Ajustes!$I296,V$2),0)+IF(Ajustes!$J296&gt;0,INDEX($AA$4:$AL$323,Ajustes!$J296,V$2),0)+IF(Ajustes!$K296&gt;0,INDEX($AA$5:$AL$324,Ajustes!$K296,V$2),0)+IF(Ajustes!$L296&gt;0,INDEX($AA$4:$AL$323,Ajustes!$L296,V$2),0) + V296</f>
        <v>1012</v>
      </c>
      <c r="AI296">
        <f>IF(Ajustes!$G296&gt;0,INDEX($AA$4:$AL$323,Ajustes!$G296,W$2),0)+IF(Ajustes!$H296&gt;0,INDEX($AA$4:$AL$323,Ajustes!$H296,W$2),0)+IF(Ajustes!$I296&gt;0,INDEX($AA$4:$AL$323,Ajustes!$I296,W$2),0)+IF(Ajustes!$J296&gt;0,INDEX($AA$4:$AL$323,Ajustes!$J296,W$2),0)+IF(Ajustes!$K296&gt;0,INDEX($AA$5:$AL$324,Ajustes!$K296,W$2),0)+IF(Ajustes!$L296&gt;0,INDEX($AA$4:$AL$323,Ajustes!$L296,W$2),0) + W296</f>
        <v>820</v>
      </c>
      <c r="AJ296">
        <f>IF(Ajustes!$G296&gt;0,INDEX($AA$4:$AL$323,Ajustes!$G296,X$2),0)+IF(Ajustes!$H296&gt;0,INDEX($AA$4:$AL$323,Ajustes!$H296,X$2),0)+IF(Ajustes!$I296&gt;0,INDEX($AA$4:$AL$323,Ajustes!$I296,X$2),0)+IF(Ajustes!$J296&gt;0,INDEX($AA$4:$AL$323,Ajustes!$J296,X$2),0)+IF(Ajustes!$K296&gt;0,INDEX($AA$5:$AL$324,Ajustes!$K296,X$2),0)+IF(Ajustes!$L296&gt;0,INDEX($AA$4:$AL$323,Ajustes!$L296,X$2),0) + X296</f>
        <v>765</v>
      </c>
      <c r="AK296">
        <f>IF(Ajustes!$G296&gt;0,INDEX($AA$4:$AL$323,Ajustes!$G296,Y$2),0)+IF(Ajustes!$H296&gt;0,INDEX($AA$4:$AL$323,Ajustes!$H296,Y$2),0)+IF(Ajustes!$I296&gt;0,INDEX($AA$4:$AL$323,Ajustes!$I296,Y$2),0)+IF(Ajustes!$J296&gt;0,INDEX($AA$4:$AL$323,Ajustes!$J296,Y$2),0)+IF(Ajustes!$K296&gt;0,INDEX($AA$5:$AL$324,Ajustes!$K296,Y$2),0)+IF(Ajustes!$L296&gt;0,INDEX($AA$4:$AL$323,Ajustes!$L296,Y$2),0) + Y296</f>
        <v>931</v>
      </c>
      <c r="AL296">
        <f>IF(Ajustes!$G296&gt;0,INDEX($AA$4:$AL$323,Ajustes!$G296,Z$2),0)+IF(Ajustes!$H296&gt;0,INDEX($AA$4:$AL$323,Ajustes!$H296,Z$2),0)+IF(Ajustes!$I296&gt;0,INDEX($AA$4:$AL$323,Ajustes!$I296,Z$2),0)+IF(Ajustes!$J296&gt;0,INDEX($AA$4:$AL$323,Ajustes!$J296,Z$2),0)+IF(Ajustes!$K296&gt;0,INDEX($AA$5:$AL$324,Ajustes!$K296,Z$2),0)+IF(Ajustes!$L296&gt;0,INDEX($AA$4:$AL$323,Ajustes!$L296,Z$2),0) + Z296</f>
        <v>1173</v>
      </c>
      <c r="AM296" s="219">
        <f t="shared" ref="AM296:AX296" si="56">1.07*AM291-AM295</f>
        <v>1668.75</v>
      </c>
      <c r="AN296" s="219">
        <f t="shared" si="56"/>
        <v>2538.42</v>
      </c>
      <c r="AO296" s="219">
        <f t="shared" si="56"/>
        <v>4532.16</v>
      </c>
      <c r="AP296" s="219">
        <f t="shared" si="56"/>
        <v>7526.6200000000026</v>
      </c>
      <c r="AQ296" s="219">
        <f t="shared" si="56"/>
        <v>4001.7100000000028</v>
      </c>
      <c r="AR296" s="219">
        <f t="shared" si="56"/>
        <v>2122.9300000000003</v>
      </c>
      <c r="AS296" s="219">
        <f t="shared" si="56"/>
        <v>1308.6400000000003</v>
      </c>
      <c r="AT296" s="219">
        <f t="shared" si="56"/>
        <v>1011.5800000000002</v>
      </c>
      <c r="AU296" s="219">
        <f t="shared" si="56"/>
        <v>819.23</v>
      </c>
      <c r="AV296" s="219">
        <f t="shared" si="56"/>
        <v>765.05000000000018</v>
      </c>
      <c r="AW296" s="219">
        <f t="shared" si="56"/>
        <v>930.56000000000017</v>
      </c>
      <c r="AX296" s="219">
        <f t="shared" si="56"/>
        <v>1172.5100000000002</v>
      </c>
    </row>
    <row r="297" spans="1:50" x14ac:dyDescent="0.25">
      <c r="A297" s="113">
        <v>294</v>
      </c>
      <c r="B297" s="209" t="s">
        <v>677</v>
      </c>
      <c r="C297">
        <f>IFERROR(INDEX($BD$7:$BO$35,MATCH(Ajustes!$E$4:$E$323,$BC$7:$BC$35,0),$C$2:$N$2),1)</f>
        <v>1</v>
      </c>
      <c r="D297" s="113">
        <f>IFERROR(INDEX($BD$7:$BO$35,MATCH(Ajustes!$E$4:$E$323,$BC$7:$BC$35,0),$C$2:$N$2),1)</f>
        <v>1</v>
      </c>
      <c r="E297" s="113">
        <f>IFERROR(INDEX($BD$7:$BO$35,MATCH(Ajustes!$E$4:$E$323,$BC$7:$BC$35,0),$C$2:$N$2),1)</f>
        <v>1</v>
      </c>
      <c r="F297" s="113">
        <f>IFERROR(INDEX($BD$7:$BO$35,MATCH(Ajustes!$E$4:$E$323,$BC$7:$BC$35,0),$C$2:$N$2),1)</f>
        <v>1</v>
      </c>
      <c r="G297" s="113">
        <f>IFERROR(INDEX($BD$7:$BO$35,MATCH(Ajustes!$E$4:$E$323,$BC$7:$BC$35,0),$C$2:$N$2),1)</f>
        <v>1</v>
      </c>
      <c r="H297" s="113">
        <f>IFERROR(INDEX($BD$7:$BO$35,MATCH(Ajustes!$E$4:$E$323,$BC$7:$BC$35,0),$C$2:$N$2),1)</f>
        <v>1</v>
      </c>
      <c r="I297" s="113">
        <f>IFERROR(INDEX($BD$7:$BO$35,MATCH(Ajustes!$E$4:$E$323,$BC$7:$BC$35,0),$C$2:$N$2),1)</f>
        <v>1</v>
      </c>
      <c r="J297" s="113">
        <f>IFERROR(INDEX($BD$7:$BO$35,MATCH(Ajustes!$E$4:$E$323,$BC$7:$BC$35,0),$C$2:$N$2),1)</f>
        <v>1</v>
      </c>
      <c r="K297" s="113">
        <f>IFERROR(INDEX($BD$7:$BO$35,MATCH(Ajustes!$E$4:$E$323,$BC$7:$BC$35,0),$C$2:$N$2),1)</f>
        <v>1</v>
      </c>
      <c r="L297" s="113">
        <f>IFERROR(INDEX($BD$7:$BO$35,MATCH(Ajustes!$E$4:$E$323,$BC$7:$BC$35,0),$C$2:$N$2),1)</f>
        <v>1</v>
      </c>
      <c r="M297" s="113">
        <f>IFERROR(INDEX($BD$7:$BO$35,MATCH(Ajustes!$E$4:$E$323,$BC$7:$BC$35,0),$C$2:$N$2),1)</f>
        <v>1</v>
      </c>
      <c r="N297" s="113">
        <f>IFERROR(INDEX($BD$7:$BO$35,MATCH(Ajustes!$E$4:$E$323,$BC$7:$BC$35,0),$C$2:$N$2),1)</f>
        <v>1</v>
      </c>
      <c r="O297">
        <f>C297*Ajustes!AM297</f>
        <v>243</v>
      </c>
      <c r="P297">
        <f>D297*Ajustes!AN297</f>
        <v>263</v>
      </c>
      <c r="Q297">
        <f>E297*Ajustes!AO297</f>
        <v>264</v>
      </c>
      <c r="R297">
        <f>F297*Ajustes!AP297</f>
        <v>212</v>
      </c>
      <c r="S297">
        <f>G297*Ajustes!AQ297</f>
        <v>165</v>
      </c>
      <c r="T297">
        <f>H297*Ajustes!AR297</f>
        <v>144</v>
      </c>
      <c r="U297">
        <f>I297*Ajustes!AS297</f>
        <v>128</v>
      </c>
      <c r="V297">
        <f>J297*Ajustes!AT297</f>
        <v>119</v>
      </c>
      <c r="W297">
        <f>K297*Ajustes!AU297</f>
        <v>122</v>
      </c>
      <c r="X297">
        <f>L297*Ajustes!AV297</f>
        <v>140</v>
      </c>
      <c r="Y297">
        <f>M297*Ajustes!AW297</f>
        <v>165</v>
      </c>
      <c r="Z297">
        <f>N297*Ajustes!AX297</f>
        <v>206</v>
      </c>
      <c r="AA297">
        <f>IF(Ajustes!$G297&gt;0,INDEX($AA$4:$AL$323,Ajustes!$G297,O$2),0)+IF(Ajustes!$H297&gt;0,INDEX($AA$4:$AL$323,Ajustes!$H297,O$2),0)+IF(Ajustes!$I297&gt;0,INDEX($AA$4:$AL$323,Ajustes!$I297,O$2),0)+IF(Ajustes!$J297&gt;0,INDEX($AA$4:$AL$323,Ajustes!$J297,O$2),0)+IF(Ajustes!$K297&gt;0,INDEX($AA$5:$AL$324,Ajustes!$K297,O$2),0)+IF(Ajustes!$L297&gt;0,INDEX($AA$4:$AL$323,Ajustes!$L297,O$2),0) + O297</f>
        <v>243</v>
      </c>
      <c r="AB297">
        <f>IF(Ajustes!$G297&gt;0,INDEX($AA$4:$AL$323,Ajustes!$G297,P$2),0)+IF(Ajustes!$H297&gt;0,INDEX($AA$4:$AL$323,Ajustes!$H297,P$2),0)+IF(Ajustes!$I297&gt;0,INDEX($AA$4:$AL$323,Ajustes!$I297,P$2),0)+IF(Ajustes!$J297&gt;0,INDEX($AA$4:$AL$323,Ajustes!$J297,P$2),0)+IF(Ajustes!$K297&gt;0,INDEX($AA$5:$AL$324,Ajustes!$K297,P$2),0)+IF(Ajustes!$L297&gt;0,INDEX($AA$4:$AL$323,Ajustes!$L297,P$2),0) + P297</f>
        <v>263</v>
      </c>
      <c r="AC297">
        <f>IF(Ajustes!$G297&gt;0,INDEX($AA$4:$AL$323,Ajustes!$G297,Q$2),0)+IF(Ajustes!$H297&gt;0,INDEX($AA$4:$AL$323,Ajustes!$H297,Q$2),0)+IF(Ajustes!$I297&gt;0,INDEX($AA$4:$AL$323,Ajustes!$I297,Q$2),0)+IF(Ajustes!$J297&gt;0,INDEX($AA$4:$AL$323,Ajustes!$J297,Q$2),0)+IF(Ajustes!$K297&gt;0,INDEX($AA$5:$AL$324,Ajustes!$K297,Q$2),0)+IF(Ajustes!$L297&gt;0,INDEX($AA$4:$AL$323,Ajustes!$L297,Q$2),0) + Q297</f>
        <v>264</v>
      </c>
      <c r="AD297">
        <f>IF(Ajustes!$G297&gt;0,INDEX($AA$4:$AL$323,Ajustes!$G297,R$2),0)+IF(Ajustes!$H297&gt;0,INDEX($AA$4:$AL$323,Ajustes!$H297,R$2),0)+IF(Ajustes!$I297&gt;0,INDEX($AA$4:$AL$323,Ajustes!$I297,R$2),0)+IF(Ajustes!$J297&gt;0,INDEX($AA$4:$AL$323,Ajustes!$J297,R$2),0)+IF(Ajustes!$K297&gt;0,INDEX($AA$5:$AL$324,Ajustes!$K297,R$2),0)+IF(Ajustes!$L297&gt;0,INDEX($AA$4:$AL$323,Ajustes!$L297,R$2),0) + R297</f>
        <v>212</v>
      </c>
      <c r="AE297">
        <f>IF(Ajustes!$G297&gt;0,INDEX($AA$4:$AL$323,Ajustes!$G297,S$2),0)+IF(Ajustes!$H297&gt;0,INDEX($AA$4:$AL$323,Ajustes!$H297,S$2),0)+IF(Ajustes!$I297&gt;0,INDEX($AA$4:$AL$323,Ajustes!$I297,S$2),0)+IF(Ajustes!$J297&gt;0,INDEX($AA$4:$AL$323,Ajustes!$J297,S$2),0)+IF(Ajustes!$K297&gt;0,INDEX($AA$5:$AL$324,Ajustes!$K297,S$2),0)+IF(Ajustes!$L297&gt;0,INDEX($AA$4:$AL$323,Ajustes!$L297,S$2),0) + S297</f>
        <v>165</v>
      </c>
      <c r="AF297">
        <f>IF(Ajustes!$G297&gt;0,INDEX($AA$4:$AL$323,Ajustes!$G297,T$2),0)+IF(Ajustes!$H297&gt;0,INDEX($AA$4:$AL$323,Ajustes!$H297,T$2),0)+IF(Ajustes!$I297&gt;0,INDEX($AA$4:$AL$323,Ajustes!$I297,T$2),0)+IF(Ajustes!$J297&gt;0,INDEX($AA$4:$AL$323,Ajustes!$J297,T$2),0)+IF(Ajustes!$K297&gt;0,INDEX($AA$5:$AL$324,Ajustes!$K297,T$2),0)+IF(Ajustes!$L297&gt;0,INDEX($AA$4:$AL$323,Ajustes!$L297,T$2),0) + T297</f>
        <v>144</v>
      </c>
      <c r="AG297">
        <f>IF(Ajustes!$G297&gt;0,INDEX($AA$4:$AL$323,Ajustes!$G297,U$2),0)+IF(Ajustes!$H297&gt;0,INDEX($AA$4:$AL$323,Ajustes!$H297,U$2),0)+IF(Ajustes!$I297&gt;0,INDEX($AA$4:$AL$323,Ajustes!$I297,U$2),0)+IF(Ajustes!$J297&gt;0,INDEX($AA$4:$AL$323,Ajustes!$J297,U$2),0)+IF(Ajustes!$K297&gt;0,INDEX($AA$5:$AL$324,Ajustes!$K297,U$2),0)+IF(Ajustes!$L297&gt;0,INDEX($AA$4:$AL$323,Ajustes!$L297,U$2),0) + U297</f>
        <v>128</v>
      </c>
      <c r="AH297">
        <f>IF(Ajustes!$G297&gt;0,INDEX($AA$4:$AL$323,Ajustes!$G297,V$2),0)+IF(Ajustes!$H297&gt;0,INDEX($AA$4:$AL$323,Ajustes!$H297,V$2),0)+IF(Ajustes!$I297&gt;0,INDEX($AA$4:$AL$323,Ajustes!$I297,V$2),0)+IF(Ajustes!$J297&gt;0,INDEX($AA$4:$AL$323,Ajustes!$J297,V$2),0)+IF(Ajustes!$K297&gt;0,INDEX($AA$5:$AL$324,Ajustes!$K297,V$2),0)+IF(Ajustes!$L297&gt;0,INDEX($AA$4:$AL$323,Ajustes!$L297,V$2),0) + V297</f>
        <v>119</v>
      </c>
      <c r="AI297">
        <f>IF(Ajustes!$G297&gt;0,INDEX($AA$4:$AL$323,Ajustes!$G297,W$2),0)+IF(Ajustes!$H297&gt;0,INDEX($AA$4:$AL$323,Ajustes!$H297,W$2),0)+IF(Ajustes!$I297&gt;0,INDEX($AA$4:$AL$323,Ajustes!$I297,W$2),0)+IF(Ajustes!$J297&gt;0,INDEX($AA$4:$AL$323,Ajustes!$J297,W$2),0)+IF(Ajustes!$K297&gt;0,INDEX($AA$5:$AL$324,Ajustes!$K297,W$2),0)+IF(Ajustes!$L297&gt;0,INDEX($AA$4:$AL$323,Ajustes!$L297,W$2),0) + W297</f>
        <v>122</v>
      </c>
      <c r="AJ297">
        <f>IF(Ajustes!$G297&gt;0,INDEX($AA$4:$AL$323,Ajustes!$G297,X$2),0)+IF(Ajustes!$H297&gt;0,INDEX($AA$4:$AL$323,Ajustes!$H297,X$2),0)+IF(Ajustes!$I297&gt;0,INDEX($AA$4:$AL$323,Ajustes!$I297,X$2),0)+IF(Ajustes!$J297&gt;0,INDEX($AA$4:$AL$323,Ajustes!$J297,X$2),0)+IF(Ajustes!$K297&gt;0,INDEX($AA$5:$AL$324,Ajustes!$K297,X$2),0)+IF(Ajustes!$L297&gt;0,INDEX($AA$4:$AL$323,Ajustes!$L297,X$2),0) + X297</f>
        <v>140</v>
      </c>
      <c r="AK297">
        <f>IF(Ajustes!$G297&gt;0,INDEX($AA$4:$AL$323,Ajustes!$G297,Y$2),0)+IF(Ajustes!$H297&gt;0,INDEX($AA$4:$AL$323,Ajustes!$H297,Y$2),0)+IF(Ajustes!$I297&gt;0,INDEX($AA$4:$AL$323,Ajustes!$I297,Y$2),0)+IF(Ajustes!$J297&gt;0,INDEX($AA$4:$AL$323,Ajustes!$J297,Y$2),0)+IF(Ajustes!$K297&gt;0,INDEX($AA$5:$AL$324,Ajustes!$K297,Y$2),0)+IF(Ajustes!$L297&gt;0,INDEX($AA$4:$AL$323,Ajustes!$L297,Y$2),0) + Y297</f>
        <v>165</v>
      </c>
      <c r="AL297">
        <f>IF(Ajustes!$G297&gt;0,INDEX($AA$4:$AL$323,Ajustes!$G297,Z$2),0)+IF(Ajustes!$H297&gt;0,INDEX($AA$4:$AL$323,Ajustes!$H297,Z$2),0)+IF(Ajustes!$I297&gt;0,INDEX($AA$4:$AL$323,Ajustes!$I297,Z$2),0)+IF(Ajustes!$J297&gt;0,INDEX($AA$4:$AL$323,Ajustes!$J297,Z$2),0)+IF(Ajustes!$K297&gt;0,INDEX($AA$5:$AL$324,Ajustes!$K297,Z$2),0)+IF(Ajustes!$L297&gt;0,INDEX($AA$4:$AL$323,Ajustes!$L297,Z$2),0) + Z297</f>
        <v>206</v>
      </c>
      <c r="AM297" s="113">
        <f t="shared" ref="AM297:AX300" si="57">AA297</f>
        <v>243</v>
      </c>
      <c r="AN297" s="113">
        <f t="shared" si="57"/>
        <v>263</v>
      </c>
      <c r="AO297" s="113">
        <f t="shared" si="57"/>
        <v>264</v>
      </c>
      <c r="AP297" s="113">
        <f t="shared" si="57"/>
        <v>212</v>
      </c>
      <c r="AQ297" s="113">
        <f t="shared" si="57"/>
        <v>165</v>
      </c>
      <c r="AR297" s="113">
        <f t="shared" si="57"/>
        <v>144</v>
      </c>
      <c r="AS297" s="113">
        <f t="shared" si="57"/>
        <v>128</v>
      </c>
      <c r="AT297" s="113">
        <f t="shared" si="57"/>
        <v>119</v>
      </c>
      <c r="AU297" s="113">
        <f t="shared" si="57"/>
        <v>122</v>
      </c>
      <c r="AV297" s="113">
        <f t="shared" si="57"/>
        <v>140</v>
      </c>
      <c r="AW297" s="113">
        <f t="shared" si="57"/>
        <v>165</v>
      </c>
      <c r="AX297" s="113">
        <f t="shared" si="57"/>
        <v>206</v>
      </c>
    </row>
    <row r="298" spans="1:50" x14ac:dyDescent="0.25">
      <c r="A298" s="113">
        <v>295</v>
      </c>
      <c r="B298" s="209" t="s">
        <v>678</v>
      </c>
      <c r="C298">
        <f>IFERROR(INDEX($BD$7:$BO$35,MATCH(Ajustes!$E$4:$E$323,$BC$7:$BC$35,0),$C$2:$N$2),1)</f>
        <v>1</v>
      </c>
      <c r="D298" s="113">
        <f>IFERROR(INDEX($BD$7:$BO$35,MATCH(Ajustes!$E$4:$E$323,$BC$7:$BC$35,0),$C$2:$N$2),1)</f>
        <v>1</v>
      </c>
      <c r="E298" s="113">
        <f>IFERROR(INDEX($BD$7:$BO$35,MATCH(Ajustes!$E$4:$E$323,$BC$7:$BC$35,0),$C$2:$N$2),1)</f>
        <v>1</v>
      </c>
      <c r="F298" s="113">
        <f>IFERROR(INDEX($BD$7:$BO$35,MATCH(Ajustes!$E$4:$E$323,$BC$7:$BC$35,0),$C$2:$N$2),1)</f>
        <v>1</v>
      </c>
      <c r="G298" s="113">
        <f>IFERROR(INDEX($BD$7:$BO$35,MATCH(Ajustes!$E$4:$E$323,$BC$7:$BC$35,0),$C$2:$N$2),1)</f>
        <v>1</v>
      </c>
      <c r="H298" s="113">
        <f>IFERROR(INDEX($BD$7:$BO$35,MATCH(Ajustes!$E$4:$E$323,$BC$7:$BC$35,0),$C$2:$N$2),1)</f>
        <v>1</v>
      </c>
      <c r="I298" s="113">
        <f>IFERROR(INDEX($BD$7:$BO$35,MATCH(Ajustes!$E$4:$E$323,$BC$7:$BC$35,0),$C$2:$N$2),1)</f>
        <v>1</v>
      </c>
      <c r="J298" s="113">
        <f>IFERROR(INDEX($BD$7:$BO$35,MATCH(Ajustes!$E$4:$E$323,$BC$7:$BC$35,0),$C$2:$N$2),1)</f>
        <v>1</v>
      </c>
      <c r="K298" s="113">
        <f>IFERROR(INDEX($BD$7:$BO$35,MATCH(Ajustes!$E$4:$E$323,$BC$7:$BC$35,0),$C$2:$N$2),1)</f>
        <v>1</v>
      </c>
      <c r="L298" s="113">
        <f>IFERROR(INDEX($BD$7:$BO$35,MATCH(Ajustes!$E$4:$E$323,$BC$7:$BC$35,0),$C$2:$N$2),1)</f>
        <v>1</v>
      </c>
      <c r="M298" s="113">
        <f>IFERROR(INDEX($BD$7:$BO$35,MATCH(Ajustes!$E$4:$E$323,$BC$7:$BC$35,0),$C$2:$N$2),1)</f>
        <v>1</v>
      </c>
      <c r="N298" s="113">
        <f>IFERROR(INDEX($BD$7:$BO$35,MATCH(Ajustes!$E$4:$E$323,$BC$7:$BC$35,0),$C$2:$N$2),1)</f>
        <v>1</v>
      </c>
      <c r="O298">
        <f>C298*Ajustes!AM298</f>
        <v>98</v>
      </c>
      <c r="P298">
        <f>D298*Ajustes!AN298</f>
        <v>102</v>
      </c>
      <c r="Q298">
        <f>E298*Ajustes!AO298</f>
        <v>110</v>
      </c>
      <c r="R298">
        <f>F298*Ajustes!AP298</f>
        <v>96</v>
      </c>
      <c r="S298">
        <f>G298*Ajustes!AQ298</f>
        <v>84</v>
      </c>
      <c r="T298">
        <f>H298*Ajustes!AR298</f>
        <v>79</v>
      </c>
      <c r="U298">
        <f>I298*Ajustes!AS298</f>
        <v>76</v>
      </c>
      <c r="V298">
        <f>J298*Ajustes!AT298</f>
        <v>72</v>
      </c>
      <c r="W298">
        <f>K298*Ajustes!AU298</f>
        <v>71</v>
      </c>
      <c r="X298">
        <f>L298*Ajustes!AV298</f>
        <v>75</v>
      </c>
      <c r="Y298">
        <f>M298*Ajustes!AW298</f>
        <v>79</v>
      </c>
      <c r="Z298">
        <f>N298*Ajustes!AX298</f>
        <v>88</v>
      </c>
      <c r="AA298">
        <f>IF(Ajustes!$G298&gt;0,INDEX($AA$4:$AL$323,Ajustes!$G298,O$2),0)+IF(Ajustes!$H298&gt;0,INDEX($AA$4:$AL$323,Ajustes!$H298,O$2),0)+IF(Ajustes!$I298&gt;0,INDEX($AA$4:$AL$323,Ajustes!$I298,O$2),0)+IF(Ajustes!$J298&gt;0,INDEX($AA$4:$AL$323,Ajustes!$J298,O$2),0)+IF(Ajustes!$K298&gt;0,INDEX($AA$5:$AL$324,Ajustes!$K298,O$2),0)+IF(Ajustes!$L298&gt;0,INDEX($AA$4:$AL$323,Ajustes!$L298,O$2),0) + O298</f>
        <v>98</v>
      </c>
      <c r="AB298">
        <f>IF(Ajustes!$G298&gt;0,INDEX($AA$4:$AL$323,Ajustes!$G298,P$2),0)+IF(Ajustes!$H298&gt;0,INDEX($AA$4:$AL$323,Ajustes!$H298,P$2),0)+IF(Ajustes!$I298&gt;0,INDEX($AA$4:$AL$323,Ajustes!$I298,P$2),0)+IF(Ajustes!$J298&gt;0,INDEX($AA$4:$AL$323,Ajustes!$J298,P$2),0)+IF(Ajustes!$K298&gt;0,INDEX($AA$5:$AL$324,Ajustes!$K298,P$2),0)+IF(Ajustes!$L298&gt;0,INDEX($AA$4:$AL$323,Ajustes!$L298,P$2),0) + P298</f>
        <v>102</v>
      </c>
      <c r="AC298">
        <f>IF(Ajustes!$G298&gt;0,INDEX($AA$4:$AL$323,Ajustes!$G298,Q$2),0)+IF(Ajustes!$H298&gt;0,INDEX($AA$4:$AL$323,Ajustes!$H298,Q$2),0)+IF(Ajustes!$I298&gt;0,INDEX($AA$4:$AL$323,Ajustes!$I298,Q$2),0)+IF(Ajustes!$J298&gt;0,INDEX($AA$4:$AL$323,Ajustes!$J298,Q$2),0)+IF(Ajustes!$K298&gt;0,INDEX($AA$5:$AL$324,Ajustes!$K298,Q$2),0)+IF(Ajustes!$L298&gt;0,INDEX($AA$4:$AL$323,Ajustes!$L298,Q$2),0) + Q298</f>
        <v>110</v>
      </c>
      <c r="AD298">
        <f>IF(Ajustes!$G298&gt;0,INDEX($AA$4:$AL$323,Ajustes!$G298,R$2),0)+IF(Ajustes!$H298&gt;0,INDEX($AA$4:$AL$323,Ajustes!$H298,R$2),0)+IF(Ajustes!$I298&gt;0,INDEX($AA$4:$AL$323,Ajustes!$I298,R$2),0)+IF(Ajustes!$J298&gt;0,INDEX($AA$4:$AL$323,Ajustes!$J298,R$2),0)+IF(Ajustes!$K298&gt;0,INDEX($AA$5:$AL$324,Ajustes!$K298,R$2),0)+IF(Ajustes!$L298&gt;0,INDEX($AA$4:$AL$323,Ajustes!$L298,R$2),0) + R298</f>
        <v>96</v>
      </c>
      <c r="AE298">
        <f>IF(Ajustes!$G298&gt;0,INDEX($AA$4:$AL$323,Ajustes!$G298,S$2),0)+IF(Ajustes!$H298&gt;0,INDEX($AA$4:$AL$323,Ajustes!$H298,S$2),0)+IF(Ajustes!$I298&gt;0,INDEX($AA$4:$AL$323,Ajustes!$I298,S$2),0)+IF(Ajustes!$J298&gt;0,INDEX($AA$4:$AL$323,Ajustes!$J298,S$2),0)+IF(Ajustes!$K298&gt;0,INDEX($AA$5:$AL$324,Ajustes!$K298,S$2),0)+IF(Ajustes!$L298&gt;0,INDEX($AA$4:$AL$323,Ajustes!$L298,S$2),0) + S298</f>
        <v>84</v>
      </c>
      <c r="AF298">
        <f>IF(Ajustes!$G298&gt;0,INDEX($AA$4:$AL$323,Ajustes!$G298,T$2),0)+IF(Ajustes!$H298&gt;0,INDEX($AA$4:$AL$323,Ajustes!$H298,T$2),0)+IF(Ajustes!$I298&gt;0,INDEX($AA$4:$AL$323,Ajustes!$I298,T$2),0)+IF(Ajustes!$J298&gt;0,INDEX($AA$4:$AL$323,Ajustes!$J298,T$2),0)+IF(Ajustes!$K298&gt;0,INDEX($AA$5:$AL$324,Ajustes!$K298,T$2),0)+IF(Ajustes!$L298&gt;0,INDEX($AA$4:$AL$323,Ajustes!$L298,T$2),0) + T298</f>
        <v>79</v>
      </c>
      <c r="AG298">
        <f>IF(Ajustes!$G298&gt;0,INDEX($AA$4:$AL$323,Ajustes!$G298,U$2),0)+IF(Ajustes!$H298&gt;0,INDEX($AA$4:$AL$323,Ajustes!$H298,U$2),0)+IF(Ajustes!$I298&gt;0,INDEX($AA$4:$AL$323,Ajustes!$I298,U$2),0)+IF(Ajustes!$J298&gt;0,INDEX($AA$4:$AL$323,Ajustes!$J298,U$2),0)+IF(Ajustes!$K298&gt;0,INDEX($AA$5:$AL$324,Ajustes!$K298,U$2),0)+IF(Ajustes!$L298&gt;0,INDEX($AA$4:$AL$323,Ajustes!$L298,U$2),0) + U298</f>
        <v>76</v>
      </c>
      <c r="AH298">
        <f>IF(Ajustes!$G298&gt;0,INDEX($AA$4:$AL$323,Ajustes!$G298,V$2),0)+IF(Ajustes!$H298&gt;0,INDEX($AA$4:$AL$323,Ajustes!$H298,V$2),0)+IF(Ajustes!$I298&gt;0,INDEX($AA$4:$AL$323,Ajustes!$I298,V$2),0)+IF(Ajustes!$J298&gt;0,INDEX($AA$4:$AL$323,Ajustes!$J298,V$2),0)+IF(Ajustes!$K298&gt;0,INDEX($AA$5:$AL$324,Ajustes!$K298,V$2),0)+IF(Ajustes!$L298&gt;0,INDEX($AA$4:$AL$323,Ajustes!$L298,V$2),0) + V298</f>
        <v>72</v>
      </c>
      <c r="AI298">
        <f>IF(Ajustes!$G298&gt;0,INDEX($AA$4:$AL$323,Ajustes!$G298,W$2),0)+IF(Ajustes!$H298&gt;0,INDEX($AA$4:$AL$323,Ajustes!$H298,W$2),0)+IF(Ajustes!$I298&gt;0,INDEX($AA$4:$AL$323,Ajustes!$I298,W$2),0)+IF(Ajustes!$J298&gt;0,INDEX($AA$4:$AL$323,Ajustes!$J298,W$2),0)+IF(Ajustes!$K298&gt;0,INDEX($AA$5:$AL$324,Ajustes!$K298,W$2),0)+IF(Ajustes!$L298&gt;0,INDEX($AA$4:$AL$323,Ajustes!$L298,W$2),0) + W298</f>
        <v>71</v>
      </c>
      <c r="AJ298">
        <f>IF(Ajustes!$G298&gt;0,INDEX($AA$4:$AL$323,Ajustes!$G298,X$2),0)+IF(Ajustes!$H298&gt;0,INDEX($AA$4:$AL$323,Ajustes!$H298,X$2),0)+IF(Ajustes!$I298&gt;0,INDEX($AA$4:$AL$323,Ajustes!$I298,X$2),0)+IF(Ajustes!$J298&gt;0,INDEX($AA$4:$AL$323,Ajustes!$J298,X$2),0)+IF(Ajustes!$K298&gt;0,INDEX($AA$5:$AL$324,Ajustes!$K298,X$2),0)+IF(Ajustes!$L298&gt;0,INDEX($AA$4:$AL$323,Ajustes!$L298,X$2),0) + X298</f>
        <v>75</v>
      </c>
      <c r="AK298">
        <f>IF(Ajustes!$G298&gt;0,INDEX($AA$4:$AL$323,Ajustes!$G298,Y$2),0)+IF(Ajustes!$H298&gt;0,INDEX($AA$4:$AL$323,Ajustes!$H298,Y$2),0)+IF(Ajustes!$I298&gt;0,INDEX($AA$4:$AL$323,Ajustes!$I298,Y$2),0)+IF(Ajustes!$J298&gt;0,INDEX($AA$4:$AL$323,Ajustes!$J298,Y$2),0)+IF(Ajustes!$K298&gt;0,INDEX($AA$5:$AL$324,Ajustes!$K298,Y$2),0)+IF(Ajustes!$L298&gt;0,INDEX($AA$4:$AL$323,Ajustes!$L298,Y$2),0) + Y298</f>
        <v>79</v>
      </c>
      <c r="AL298">
        <f>IF(Ajustes!$G298&gt;0,INDEX($AA$4:$AL$323,Ajustes!$G298,Z$2),0)+IF(Ajustes!$H298&gt;0,INDEX($AA$4:$AL$323,Ajustes!$H298,Z$2),0)+IF(Ajustes!$I298&gt;0,INDEX($AA$4:$AL$323,Ajustes!$I298,Z$2),0)+IF(Ajustes!$J298&gt;0,INDEX($AA$4:$AL$323,Ajustes!$J298,Z$2),0)+IF(Ajustes!$K298&gt;0,INDEX($AA$5:$AL$324,Ajustes!$K298,Z$2),0)+IF(Ajustes!$L298&gt;0,INDEX($AA$4:$AL$323,Ajustes!$L298,Z$2),0) + Z298</f>
        <v>88</v>
      </c>
      <c r="AM298" s="113">
        <f t="shared" si="57"/>
        <v>98</v>
      </c>
      <c r="AN298" s="113">
        <f t="shared" si="57"/>
        <v>102</v>
      </c>
      <c r="AO298" s="113">
        <f t="shared" si="57"/>
        <v>110</v>
      </c>
      <c r="AP298" s="113">
        <f t="shared" si="57"/>
        <v>96</v>
      </c>
      <c r="AQ298" s="113">
        <f t="shared" si="57"/>
        <v>84</v>
      </c>
      <c r="AR298" s="113">
        <f t="shared" si="57"/>
        <v>79</v>
      </c>
      <c r="AS298" s="113">
        <f t="shared" si="57"/>
        <v>76</v>
      </c>
      <c r="AT298" s="113">
        <f t="shared" si="57"/>
        <v>72</v>
      </c>
      <c r="AU298" s="113">
        <f t="shared" si="57"/>
        <v>71</v>
      </c>
      <c r="AV298" s="113">
        <f t="shared" si="57"/>
        <v>75</v>
      </c>
      <c r="AW298" s="113">
        <f t="shared" si="57"/>
        <v>79</v>
      </c>
      <c r="AX298" s="113">
        <f t="shared" si="57"/>
        <v>88</v>
      </c>
    </row>
    <row r="299" spans="1:50" x14ac:dyDescent="0.25">
      <c r="A299" s="113">
        <v>296</v>
      </c>
      <c r="B299" s="209" t="s">
        <v>679</v>
      </c>
      <c r="C299">
        <f>IFERROR(INDEX($BD$7:$BO$35,MATCH(Ajustes!$E$4:$E$323,$BC$7:$BC$35,0),$C$2:$N$2),1)</f>
        <v>1</v>
      </c>
      <c r="D299" s="113">
        <f>IFERROR(INDEX($BD$7:$BO$35,MATCH(Ajustes!$E$4:$E$323,$BC$7:$BC$35,0),$C$2:$N$2),1)</f>
        <v>1</v>
      </c>
      <c r="E299" s="113">
        <f>IFERROR(INDEX($BD$7:$BO$35,MATCH(Ajustes!$E$4:$E$323,$BC$7:$BC$35,0),$C$2:$N$2),1)</f>
        <v>1</v>
      </c>
      <c r="F299" s="113">
        <f>IFERROR(INDEX($BD$7:$BO$35,MATCH(Ajustes!$E$4:$E$323,$BC$7:$BC$35,0),$C$2:$N$2),1)</f>
        <v>1</v>
      </c>
      <c r="G299" s="113">
        <f>IFERROR(INDEX($BD$7:$BO$35,MATCH(Ajustes!$E$4:$E$323,$BC$7:$BC$35,0),$C$2:$N$2),1)</f>
        <v>1</v>
      </c>
      <c r="H299" s="113">
        <f>IFERROR(INDEX($BD$7:$BO$35,MATCH(Ajustes!$E$4:$E$323,$BC$7:$BC$35,0),$C$2:$N$2),1)</f>
        <v>1</v>
      </c>
      <c r="I299" s="113">
        <f>IFERROR(INDEX($BD$7:$BO$35,MATCH(Ajustes!$E$4:$E$323,$BC$7:$BC$35,0),$C$2:$N$2),1)</f>
        <v>1</v>
      </c>
      <c r="J299" s="113">
        <f>IFERROR(INDEX($BD$7:$BO$35,MATCH(Ajustes!$E$4:$E$323,$BC$7:$BC$35,0),$C$2:$N$2),1)</f>
        <v>1</v>
      </c>
      <c r="K299" s="113">
        <f>IFERROR(INDEX($BD$7:$BO$35,MATCH(Ajustes!$E$4:$E$323,$BC$7:$BC$35,0),$C$2:$N$2),1)</f>
        <v>1</v>
      </c>
      <c r="L299" s="113">
        <f>IFERROR(INDEX($BD$7:$BO$35,MATCH(Ajustes!$E$4:$E$323,$BC$7:$BC$35,0),$C$2:$N$2),1)</f>
        <v>1</v>
      </c>
      <c r="M299" s="113">
        <f>IFERROR(INDEX($BD$7:$BO$35,MATCH(Ajustes!$E$4:$E$323,$BC$7:$BC$35,0),$C$2:$N$2),1)</f>
        <v>1</v>
      </c>
      <c r="N299" s="113">
        <f>IFERROR(INDEX($BD$7:$BO$35,MATCH(Ajustes!$E$4:$E$323,$BC$7:$BC$35,0),$C$2:$N$2),1)</f>
        <v>1</v>
      </c>
      <c r="O299">
        <f>C299*Ajustes!AM299</f>
        <v>35</v>
      </c>
      <c r="P299">
        <f>D299*Ajustes!AN299</f>
        <v>37</v>
      </c>
      <c r="Q299">
        <f>E299*Ajustes!AO299</f>
        <v>39</v>
      </c>
      <c r="R299">
        <f>F299*Ajustes!AP299</f>
        <v>37</v>
      </c>
      <c r="S299">
        <f>G299*Ajustes!AQ299</f>
        <v>34</v>
      </c>
      <c r="T299">
        <f>H299*Ajustes!AR299</f>
        <v>32</v>
      </c>
      <c r="U299">
        <f>I299*Ajustes!AS299</f>
        <v>30</v>
      </c>
      <c r="V299">
        <f>J299*Ajustes!AT299</f>
        <v>29</v>
      </c>
      <c r="W299">
        <f>K299*Ajustes!AU299</f>
        <v>29</v>
      </c>
      <c r="X299">
        <f>L299*Ajustes!AV299</f>
        <v>30</v>
      </c>
      <c r="Y299">
        <f>M299*Ajustes!AW299</f>
        <v>31</v>
      </c>
      <c r="Z299">
        <f>N299*Ajustes!AX299</f>
        <v>33</v>
      </c>
      <c r="AA299">
        <f>IF(Ajustes!$G299&gt;0,INDEX($AA$4:$AL$323,Ajustes!$G299,O$2),0)+IF(Ajustes!$H299&gt;0,INDEX($AA$4:$AL$323,Ajustes!$H299,O$2),0)+IF(Ajustes!$I299&gt;0,INDEX($AA$4:$AL$323,Ajustes!$I299,O$2),0)+IF(Ajustes!$J299&gt;0,INDEX($AA$4:$AL$323,Ajustes!$J299,O$2),0)+IF(Ajustes!$K299&gt;0,INDEX($AA$5:$AL$324,Ajustes!$K299,O$2),0)+IF(Ajustes!$L299&gt;0,INDEX($AA$4:$AL$323,Ajustes!$L299,O$2),0) + O299</f>
        <v>35</v>
      </c>
      <c r="AB299">
        <f>IF(Ajustes!$G299&gt;0,INDEX($AA$4:$AL$323,Ajustes!$G299,P$2),0)+IF(Ajustes!$H299&gt;0,INDEX($AA$4:$AL$323,Ajustes!$H299,P$2),0)+IF(Ajustes!$I299&gt;0,INDEX($AA$4:$AL$323,Ajustes!$I299,P$2),0)+IF(Ajustes!$J299&gt;0,INDEX($AA$4:$AL$323,Ajustes!$J299,P$2),0)+IF(Ajustes!$K299&gt;0,INDEX($AA$5:$AL$324,Ajustes!$K299,P$2),0)+IF(Ajustes!$L299&gt;0,INDEX($AA$4:$AL$323,Ajustes!$L299,P$2),0) + P299</f>
        <v>37</v>
      </c>
      <c r="AC299">
        <f>IF(Ajustes!$G299&gt;0,INDEX($AA$4:$AL$323,Ajustes!$G299,Q$2),0)+IF(Ajustes!$H299&gt;0,INDEX($AA$4:$AL$323,Ajustes!$H299,Q$2),0)+IF(Ajustes!$I299&gt;0,INDEX($AA$4:$AL$323,Ajustes!$I299,Q$2),0)+IF(Ajustes!$J299&gt;0,INDEX($AA$4:$AL$323,Ajustes!$J299,Q$2),0)+IF(Ajustes!$K299&gt;0,INDEX($AA$5:$AL$324,Ajustes!$K299,Q$2),0)+IF(Ajustes!$L299&gt;0,INDEX($AA$4:$AL$323,Ajustes!$L299,Q$2),0) + Q299</f>
        <v>39</v>
      </c>
      <c r="AD299">
        <f>IF(Ajustes!$G299&gt;0,INDEX($AA$4:$AL$323,Ajustes!$G299,R$2),0)+IF(Ajustes!$H299&gt;0,INDEX($AA$4:$AL$323,Ajustes!$H299,R$2),0)+IF(Ajustes!$I299&gt;0,INDEX($AA$4:$AL$323,Ajustes!$I299,R$2),0)+IF(Ajustes!$J299&gt;0,INDEX($AA$4:$AL$323,Ajustes!$J299,R$2),0)+IF(Ajustes!$K299&gt;0,INDEX($AA$5:$AL$324,Ajustes!$K299,R$2),0)+IF(Ajustes!$L299&gt;0,INDEX($AA$4:$AL$323,Ajustes!$L299,R$2),0) + R299</f>
        <v>37</v>
      </c>
      <c r="AE299">
        <f>IF(Ajustes!$G299&gt;0,INDEX($AA$4:$AL$323,Ajustes!$G299,S$2),0)+IF(Ajustes!$H299&gt;0,INDEX($AA$4:$AL$323,Ajustes!$H299,S$2),0)+IF(Ajustes!$I299&gt;0,INDEX($AA$4:$AL$323,Ajustes!$I299,S$2),0)+IF(Ajustes!$J299&gt;0,INDEX($AA$4:$AL$323,Ajustes!$J299,S$2),0)+IF(Ajustes!$K299&gt;0,INDEX($AA$5:$AL$324,Ajustes!$K299,S$2),0)+IF(Ajustes!$L299&gt;0,INDEX($AA$4:$AL$323,Ajustes!$L299,S$2),0) + S299</f>
        <v>34</v>
      </c>
      <c r="AF299">
        <f>IF(Ajustes!$G299&gt;0,INDEX($AA$4:$AL$323,Ajustes!$G299,T$2),0)+IF(Ajustes!$H299&gt;0,INDEX($AA$4:$AL$323,Ajustes!$H299,T$2),0)+IF(Ajustes!$I299&gt;0,INDEX($AA$4:$AL$323,Ajustes!$I299,T$2),0)+IF(Ajustes!$J299&gt;0,INDEX($AA$4:$AL$323,Ajustes!$J299,T$2),0)+IF(Ajustes!$K299&gt;0,INDEX($AA$5:$AL$324,Ajustes!$K299,T$2),0)+IF(Ajustes!$L299&gt;0,INDEX($AA$4:$AL$323,Ajustes!$L299,T$2),0) + T299</f>
        <v>32</v>
      </c>
      <c r="AG299">
        <f>IF(Ajustes!$G299&gt;0,INDEX($AA$4:$AL$323,Ajustes!$G299,U$2),0)+IF(Ajustes!$H299&gt;0,INDEX($AA$4:$AL$323,Ajustes!$H299,U$2),0)+IF(Ajustes!$I299&gt;0,INDEX($AA$4:$AL$323,Ajustes!$I299,U$2),0)+IF(Ajustes!$J299&gt;0,INDEX($AA$4:$AL$323,Ajustes!$J299,U$2),0)+IF(Ajustes!$K299&gt;0,INDEX($AA$5:$AL$324,Ajustes!$K299,U$2),0)+IF(Ajustes!$L299&gt;0,INDEX($AA$4:$AL$323,Ajustes!$L299,U$2),0) + U299</f>
        <v>30</v>
      </c>
      <c r="AH299">
        <f>IF(Ajustes!$G299&gt;0,INDEX($AA$4:$AL$323,Ajustes!$G299,V$2),0)+IF(Ajustes!$H299&gt;0,INDEX($AA$4:$AL$323,Ajustes!$H299,V$2),0)+IF(Ajustes!$I299&gt;0,INDEX($AA$4:$AL$323,Ajustes!$I299,V$2),0)+IF(Ajustes!$J299&gt;0,INDEX($AA$4:$AL$323,Ajustes!$J299,V$2),0)+IF(Ajustes!$K299&gt;0,INDEX($AA$5:$AL$324,Ajustes!$K299,V$2),0)+IF(Ajustes!$L299&gt;0,INDEX($AA$4:$AL$323,Ajustes!$L299,V$2),0) + V299</f>
        <v>29</v>
      </c>
      <c r="AI299">
        <f>IF(Ajustes!$G299&gt;0,INDEX($AA$4:$AL$323,Ajustes!$G299,W$2),0)+IF(Ajustes!$H299&gt;0,INDEX($AA$4:$AL$323,Ajustes!$H299,W$2),0)+IF(Ajustes!$I299&gt;0,INDEX($AA$4:$AL$323,Ajustes!$I299,W$2),0)+IF(Ajustes!$J299&gt;0,INDEX($AA$4:$AL$323,Ajustes!$J299,W$2),0)+IF(Ajustes!$K299&gt;0,INDEX($AA$5:$AL$324,Ajustes!$K299,W$2),0)+IF(Ajustes!$L299&gt;0,INDEX($AA$4:$AL$323,Ajustes!$L299,W$2),0) + W299</f>
        <v>29</v>
      </c>
      <c r="AJ299">
        <f>IF(Ajustes!$G299&gt;0,INDEX($AA$4:$AL$323,Ajustes!$G299,X$2),0)+IF(Ajustes!$H299&gt;0,INDEX($AA$4:$AL$323,Ajustes!$H299,X$2),0)+IF(Ajustes!$I299&gt;0,INDEX($AA$4:$AL$323,Ajustes!$I299,X$2),0)+IF(Ajustes!$J299&gt;0,INDEX($AA$4:$AL$323,Ajustes!$J299,X$2),0)+IF(Ajustes!$K299&gt;0,INDEX($AA$5:$AL$324,Ajustes!$K299,X$2),0)+IF(Ajustes!$L299&gt;0,INDEX($AA$4:$AL$323,Ajustes!$L299,X$2),0) + X299</f>
        <v>30</v>
      </c>
      <c r="AK299">
        <f>IF(Ajustes!$G299&gt;0,INDEX($AA$4:$AL$323,Ajustes!$G299,Y$2),0)+IF(Ajustes!$H299&gt;0,INDEX($AA$4:$AL$323,Ajustes!$H299,Y$2),0)+IF(Ajustes!$I299&gt;0,INDEX($AA$4:$AL$323,Ajustes!$I299,Y$2),0)+IF(Ajustes!$J299&gt;0,INDEX($AA$4:$AL$323,Ajustes!$J299,Y$2),0)+IF(Ajustes!$K299&gt;0,INDEX($AA$5:$AL$324,Ajustes!$K299,Y$2),0)+IF(Ajustes!$L299&gt;0,INDEX($AA$4:$AL$323,Ajustes!$L299,Y$2),0) + Y299</f>
        <v>31</v>
      </c>
      <c r="AL299">
        <f>IF(Ajustes!$G299&gt;0,INDEX($AA$4:$AL$323,Ajustes!$G299,Z$2),0)+IF(Ajustes!$H299&gt;0,INDEX($AA$4:$AL$323,Ajustes!$H299,Z$2),0)+IF(Ajustes!$I299&gt;0,INDEX($AA$4:$AL$323,Ajustes!$I299,Z$2),0)+IF(Ajustes!$J299&gt;0,INDEX($AA$4:$AL$323,Ajustes!$J299,Z$2),0)+IF(Ajustes!$K299&gt;0,INDEX($AA$5:$AL$324,Ajustes!$K299,Z$2),0)+IF(Ajustes!$L299&gt;0,INDEX($AA$4:$AL$323,Ajustes!$L299,Z$2),0) + Z299</f>
        <v>33</v>
      </c>
      <c r="AM299" s="113">
        <f t="shared" si="57"/>
        <v>35</v>
      </c>
      <c r="AN299" s="113">
        <f t="shared" si="57"/>
        <v>37</v>
      </c>
      <c r="AO299" s="113">
        <f t="shared" si="57"/>
        <v>39</v>
      </c>
      <c r="AP299" s="113">
        <f t="shared" si="57"/>
        <v>37</v>
      </c>
      <c r="AQ299" s="113">
        <f t="shared" si="57"/>
        <v>34</v>
      </c>
      <c r="AR299" s="113">
        <f t="shared" si="57"/>
        <v>32</v>
      </c>
      <c r="AS299" s="113">
        <f t="shared" si="57"/>
        <v>30</v>
      </c>
      <c r="AT299" s="113">
        <f t="shared" si="57"/>
        <v>29</v>
      </c>
      <c r="AU299" s="113">
        <f t="shared" si="57"/>
        <v>29</v>
      </c>
      <c r="AV299" s="113">
        <f t="shared" si="57"/>
        <v>30</v>
      </c>
      <c r="AW299" s="113">
        <f t="shared" si="57"/>
        <v>31</v>
      </c>
      <c r="AX299" s="113">
        <f t="shared" si="57"/>
        <v>33</v>
      </c>
    </row>
    <row r="300" spans="1:50" x14ac:dyDescent="0.25">
      <c r="A300" s="113">
        <v>297</v>
      </c>
      <c r="B300" s="209" t="s">
        <v>680</v>
      </c>
      <c r="C300">
        <f>IFERROR(INDEX($BD$7:$BO$35,MATCH(Ajustes!$E$4:$E$323,$BC$7:$BC$35,0),$C$2:$N$2),1)</f>
        <v>1</v>
      </c>
      <c r="D300" s="113">
        <f>IFERROR(INDEX($BD$7:$BO$35,MATCH(Ajustes!$E$4:$E$323,$BC$7:$BC$35,0),$C$2:$N$2),1)</f>
        <v>1</v>
      </c>
      <c r="E300" s="113">
        <f>IFERROR(INDEX($BD$7:$BO$35,MATCH(Ajustes!$E$4:$E$323,$BC$7:$BC$35,0),$C$2:$N$2),1)</f>
        <v>1</v>
      </c>
      <c r="F300" s="113">
        <f>IFERROR(INDEX($BD$7:$BO$35,MATCH(Ajustes!$E$4:$E$323,$BC$7:$BC$35,0),$C$2:$N$2),1)</f>
        <v>1</v>
      </c>
      <c r="G300" s="113">
        <f>IFERROR(INDEX($BD$7:$BO$35,MATCH(Ajustes!$E$4:$E$323,$BC$7:$BC$35,0),$C$2:$N$2),1)</f>
        <v>1</v>
      </c>
      <c r="H300" s="113">
        <f>IFERROR(INDEX($BD$7:$BO$35,MATCH(Ajustes!$E$4:$E$323,$BC$7:$BC$35,0),$C$2:$N$2),1)</f>
        <v>1</v>
      </c>
      <c r="I300" s="113">
        <f>IFERROR(INDEX($BD$7:$BO$35,MATCH(Ajustes!$E$4:$E$323,$BC$7:$BC$35,0),$C$2:$N$2),1)</f>
        <v>1</v>
      </c>
      <c r="J300" s="113">
        <f>IFERROR(INDEX($BD$7:$BO$35,MATCH(Ajustes!$E$4:$E$323,$BC$7:$BC$35,0),$C$2:$N$2),1)</f>
        <v>1</v>
      </c>
      <c r="K300" s="113">
        <f>IFERROR(INDEX($BD$7:$BO$35,MATCH(Ajustes!$E$4:$E$323,$BC$7:$BC$35,0),$C$2:$N$2),1)</f>
        <v>1</v>
      </c>
      <c r="L300" s="113">
        <f>IFERROR(INDEX($BD$7:$BO$35,MATCH(Ajustes!$E$4:$E$323,$BC$7:$BC$35,0),$C$2:$N$2),1)</f>
        <v>1</v>
      </c>
      <c r="M300" s="113">
        <f>IFERROR(INDEX($BD$7:$BO$35,MATCH(Ajustes!$E$4:$E$323,$BC$7:$BC$35,0),$C$2:$N$2),1)</f>
        <v>1</v>
      </c>
      <c r="N300" s="113">
        <f>IFERROR(INDEX($BD$7:$BO$35,MATCH(Ajustes!$E$4:$E$323,$BC$7:$BC$35,0),$C$2:$N$2),1)</f>
        <v>1</v>
      </c>
      <c r="O300">
        <f>C300*Ajustes!AM300</f>
        <v>5</v>
      </c>
      <c r="P300">
        <f>D300*Ajustes!AN300</f>
        <v>9</v>
      </c>
      <c r="Q300">
        <f>E300*Ajustes!AO300</f>
        <v>13</v>
      </c>
      <c r="R300">
        <f>F300*Ajustes!AP300</f>
        <v>17</v>
      </c>
      <c r="S300">
        <f>G300*Ajustes!AQ300</f>
        <v>18</v>
      </c>
      <c r="T300">
        <f>H300*Ajustes!AR300</f>
        <v>14</v>
      </c>
      <c r="U300">
        <f>I300*Ajustes!AS300</f>
        <v>11</v>
      </c>
      <c r="V300">
        <f>J300*Ajustes!AT300</f>
        <v>7</v>
      </c>
      <c r="W300">
        <f>K300*Ajustes!AU300</f>
        <v>4</v>
      </c>
      <c r="X300">
        <f>L300*Ajustes!AV300</f>
        <v>3</v>
      </c>
      <c r="Y300">
        <f>M300*Ajustes!AW300</f>
        <v>2</v>
      </c>
      <c r="Z300">
        <f>N300*Ajustes!AX300</f>
        <v>2</v>
      </c>
      <c r="AA300">
        <f>IF(Ajustes!$G300&gt;0,INDEX($AA$4:$AL$323,Ajustes!$G300,O$2),0)+IF(Ajustes!$H300&gt;0,INDEX($AA$4:$AL$323,Ajustes!$H300,O$2),0)+IF(Ajustes!$I300&gt;0,INDEX($AA$4:$AL$323,Ajustes!$I300,O$2),0)+IF(Ajustes!$J300&gt;0,INDEX($AA$4:$AL$323,Ajustes!$J300,O$2),0)+IF(Ajustes!$K300&gt;0,INDEX($AA$5:$AL$324,Ajustes!$K300,O$2),0)+IF(Ajustes!$L300&gt;0,INDEX($AA$4:$AL$323,Ajustes!$L300,O$2),0) + O300</f>
        <v>534</v>
      </c>
      <c r="AB300">
        <f>IF(Ajustes!$G300&gt;0,INDEX($AA$4:$AL$323,Ajustes!$G300,P$2),0)+IF(Ajustes!$H300&gt;0,INDEX($AA$4:$AL$323,Ajustes!$H300,P$2),0)+IF(Ajustes!$I300&gt;0,INDEX($AA$4:$AL$323,Ajustes!$I300,P$2),0)+IF(Ajustes!$J300&gt;0,INDEX($AA$4:$AL$323,Ajustes!$J300,P$2),0)+IF(Ajustes!$K300&gt;0,INDEX($AA$5:$AL$324,Ajustes!$K300,P$2),0)+IF(Ajustes!$L300&gt;0,INDEX($AA$4:$AL$323,Ajustes!$L300,P$2),0) + P300</f>
        <v>998</v>
      </c>
      <c r="AC300">
        <f>IF(Ajustes!$G300&gt;0,INDEX($AA$4:$AL$323,Ajustes!$G300,Q$2),0)+IF(Ajustes!$H300&gt;0,INDEX($AA$4:$AL$323,Ajustes!$H300,Q$2),0)+IF(Ajustes!$I300&gt;0,INDEX($AA$4:$AL$323,Ajustes!$I300,Q$2),0)+IF(Ajustes!$J300&gt;0,INDEX($AA$4:$AL$323,Ajustes!$J300,Q$2),0)+IF(Ajustes!$K300&gt;0,INDEX($AA$5:$AL$324,Ajustes!$K300,Q$2),0)+IF(Ajustes!$L300&gt;0,INDEX($AA$4:$AL$323,Ajustes!$L300,Q$2),0) + Q300</f>
        <v>1522</v>
      </c>
      <c r="AD300">
        <f>IF(Ajustes!$G300&gt;0,INDEX($AA$4:$AL$323,Ajustes!$G300,R$2),0)+IF(Ajustes!$H300&gt;0,INDEX($AA$4:$AL$323,Ajustes!$H300,R$2),0)+IF(Ajustes!$I300&gt;0,INDEX($AA$4:$AL$323,Ajustes!$I300,R$2),0)+IF(Ajustes!$J300&gt;0,INDEX($AA$4:$AL$323,Ajustes!$J300,R$2),0)+IF(Ajustes!$K300&gt;0,INDEX($AA$5:$AL$324,Ajustes!$K300,R$2),0)+IF(Ajustes!$L300&gt;0,INDEX($AA$4:$AL$323,Ajustes!$L300,R$2),0) + R300</f>
        <v>1884</v>
      </c>
      <c r="AE300">
        <f>IF(Ajustes!$G300&gt;0,INDEX($AA$4:$AL$323,Ajustes!$G300,S$2),0)+IF(Ajustes!$H300&gt;0,INDEX($AA$4:$AL$323,Ajustes!$H300,S$2),0)+IF(Ajustes!$I300&gt;0,INDEX($AA$4:$AL$323,Ajustes!$I300,S$2),0)+IF(Ajustes!$J300&gt;0,INDEX($AA$4:$AL$323,Ajustes!$J300,S$2),0)+IF(Ajustes!$K300&gt;0,INDEX($AA$5:$AL$324,Ajustes!$K300,S$2),0)+IF(Ajustes!$L300&gt;0,INDEX($AA$4:$AL$323,Ajustes!$L300,S$2),0) + S300</f>
        <v>2014</v>
      </c>
      <c r="AF300">
        <f>IF(Ajustes!$G300&gt;0,INDEX($AA$4:$AL$323,Ajustes!$G300,T$2),0)+IF(Ajustes!$H300&gt;0,INDEX($AA$4:$AL$323,Ajustes!$H300,T$2),0)+IF(Ajustes!$I300&gt;0,INDEX($AA$4:$AL$323,Ajustes!$I300,T$2),0)+IF(Ajustes!$J300&gt;0,INDEX($AA$4:$AL$323,Ajustes!$J300,T$2),0)+IF(Ajustes!$K300&gt;0,INDEX($AA$5:$AL$324,Ajustes!$K300,T$2),0)+IF(Ajustes!$L300&gt;0,INDEX($AA$4:$AL$323,Ajustes!$L300,T$2),0) + T300</f>
        <v>1596</v>
      </c>
      <c r="AG300">
        <f>IF(Ajustes!$G300&gt;0,INDEX($AA$4:$AL$323,Ajustes!$G300,U$2),0)+IF(Ajustes!$H300&gt;0,INDEX($AA$4:$AL$323,Ajustes!$H300,U$2),0)+IF(Ajustes!$I300&gt;0,INDEX($AA$4:$AL$323,Ajustes!$I300,U$2),0)+IF(Ajustes!$J300&gt;0,INDEX($AA$4:$AL$323,Ajustes!$J300,U$2),0)+IF(Ajustes!$K300&gt;0,INDEX($AA$5:$AL$324,Ajustes!$K300,U$2),0)+IF(Ajustes!$L300&gt;0,INDEX($AA$4:$AL$323,Ajustes!$L300,U$2),0) + U300</f>
        <v>1178</v>
      </c>
      <c r="AH300">
        <f>IF(Ajustes!$G300&gt;0,INDEX($AA$4:$AL$323,Ajustes!$G300,V$2),0)+IF(Ajustes!$H300&gt;0,INDEX($AA$4:$AL$323,Ajustes!$H300,V$2),0)+IF(Ajustes!$I300&gt;0,INDEX($AA$4:$AL$323,Ajustes!$I300,V$2),0)+IF(Ajustes!$J300&gt;0,INDEX($AA$4:$AL$323,Ajustes!$J300,V$2),0)+IF(Ajustes!$K300&gt;0,INDEX($AA$5:$AL$324,Ajustes!$K300,V$2),0)+IF(Ajustes!$L300&gt;0,INDEX($AA$4:$AL$323,Ajustes!$L300,V$2),0) + V300</f>
        <v>795</v>
      </c>
      <c r="AI300">
        <f>IF(Ajustes!$G300&gt;0,INDEX($AA$4:$AL$323,Ajustes!$G300,W$2),0)+IF(Ajustes!$H300&gt;0,INDEX($AA$4:$AL$323,Ajustes!$H300,W$2),0)+IF(Ajustes!$I300&gt;0,INDEX($AA$4:$AL$323,Ajustes!$I300,W$2),0)+IF(Ajustes!$J300&gt;0,INDEX($AA$4:$AL$323,Ajustes!$J300,W$2),0)+IF(Ajustes!$K300&gt;0,INDEX($AA$5:$AL$324,Ajustes!$K300,W$2),0)+IF(Ajustes!$L300&gt;0,INDEX($AA$4:$AL$323,Ajustes!$L300,W$2),0) + W300</f>
        <v>460</v>
      </c>
      <c r="AJ300">
        <f>IF(Ajustes!$G300&gt;0,INDEX($AA$4:$AL$323,Ajustes!$G300,X$2),0)+IF(Ajustes!$H300&gt;0,INDEX($AA$4:$AL$323,Ajustes!$H300,X$2),0)+IF(Ajustes!$I300&gt;0,INDEX($AA$4:$AL$323,Ajustes!$I300,X$2),0)+IF(Ajustes!$J300&gt;0,INDEX($AA$4:$AL$323,Ajustes!$J300,X$2),0)+IF(Ajustes!$K300&gt;0,INDEX($AA$5:$AL$324,Ajustes!$K300,X$2),0)+IF(Ajustes!$L300&gt;0,INDEX($AA$4:$AL$323,Ajustes!$L300,X$2),0) + X300</f>
        <v>279</v>
      </c>
      <c r="AK300">
        <f>IF(Ajustes!$G300&gt;0,INDEX($AA$4:$AL$323,Ajustes!$G300,Y$2),0)+IF(Ajustes!$H300&gt;0,INDEX($AA$4:$AL$323,Ajustes!$H300,Y$2),0)+IF(Ajustes!$I300&gt;0,INDEX($AA$4:$AL$323,Ajustes!$I300,Y$2),0)+IF(Ajustes!$J300&gt;0,INDEX($AA$4:$AL$323,Ajustes!$J300,Y$2),0)+IF(Ajustes!$K300&gt;0,INDEX($AA$5:$AL$324,Ajustes!$K300,Y$2),0)+IF(Ajustes!$L300&gt;0,INDEX($AA$4:$AL$323,Ajustes!$L300,Y$2),0) + Y300</f>
        <v>200</v>
      </c>
      <c r="AL300">
        <f>IF(Ajustes!$G300&gt;0,INDEX($AA$4:$AL$323,Ajustes!$G300,Z$2),0)+IF(Ajustes!$H300&gt;0,INDEX($AA$4:$AL$323,Ajustes!$H300,Z$2),0)+IF(Ajustes!$I300&gt;0,INDEX($AA$4:$AL$323,Ajustes!$I300,Z$2),0)+IF(Ajustes!$J300&gt;0,INDEX($AA$4:$AL$323,Ajustes!$J300,Z$2),0)+IF(Ajustes!$K300&gt;0,INDEX($AA$5:$AL$324,Ajustes!$K300,Z$2),0)+IF(Ajustes!$L300&gt;0,INDEX($AA$4:$AL$323,Ajustes!$L300,Z$2),0) + Z300</f>
        <v>232</v>
      </c>
      <c r="AM300" s="113">
        <f t="shared" si="57"/>
        <v>534</v>
      </c>
      <c r="AN300" s="113">
        <f t="shared" si="57"/>
        <v>998</v>
      </c>
      <c r="AO300" s="113">
        <f t="shared" si="57"/>
        <v>1522</v>
      </c>
      <c r="AP300" s="113">
        <f t="shared" si="57"/>
        <v>1884</v>
      </c>
      <c r="AQ300" s="113">
        <f t="shared" si="57"/>
        <v>2014</v>
      </c>
      <c r="AR300" s="113">
        <f t="shared" si="57"/>
        <v>1596</v>
      </c>
      <c r="AS300" s="113">
        <f t="shared" si="57"/>
        <v>1178</v>
      </c>
      <c r="AT300" s="113">
        <f t="shared" si="57"/>
        <v>795</v>
      </c>
      <c r="AU300" s="113">
        <f t="shared" si="57"/>
        <v>460</v>
      </c>
      <c r="AV300" s="113">
        <f t="shared" si="57"/>
        <v>279</v>
      </c>
      <c r="AW300" s="113">
        <f t="shared" si="57"/>
        <v>200</v>
      </c>
      <c r="AX300" s="113">
        <f t="shared" si="57"/>
        <v>232</v>
      </c>
    </row>
    <row r="301" spans="1:50" x14ac:dyDescent="0.25">
      <c r="A301" s="113">
        <v>298</v>
      </c>
      <c r="B301" s="209" t="s">
        <v>262</v>
      </c>
      <c r="C301">
        <f>IFERROR(INDEX($BD$7:$BO$35,MATCH(Ajustes!$E$4:$E$323,$BC$7:$BC$35,0),$C$2:$N$2),1)</f>
        <v>1</v>
      </c>
      <c r="D301" s="113">
        <f>IFERROR(INDEX($BD$7:$BO$35,MATCH(Ajustes!$E$4:$E$323,$BC$7:$BC$35,0),$C$2:$N$2),1)</f>
        <v>1</v>
      </c>
      <c r="E301" s="113">
        <f>IFERROR(INDEX($BD$7:$BO$35,MATCH(Ajustes!$E$4:$E$323,$BC$7:$BC$35,0),$C$2:$N$2),1)</f>
        <v>1</v>
      </c>
      <c r="F301" s="113">
        <f>IFERROR(INDEX($BD$7:$BO$35,MATCH(Ajustes!$E$4:$E$323,$BC$7:$BC$35,0),$C$2:$N$2),1)</f>
        <v>1</v>
      </c>
      <c r="G301" s="113">
        <f>IFERROR(INDEX($BD$7:$BO$35,MATCH(Ajustes!$E$4:$E$323,$BC$7:$BC$35,0),$C$2:$N$2),1)</f>
        <v>1</v>
      </c>
      <c r="H301" s="113">
        <f>IFERROR(INDEX($BD$7:$BO$35,MATCH(Ajustes!$E$4:$E$323,$BC$7:$BC$35,0),$C$2:$N$2),1)</f>
        <v>1</v>
      </c>
      <c r="I301" s="113">
        <f>IFERROR(INDEX($BD$7:$BO$35,MATCH(Ajustes!$E$4:$E$323,$BC$7:$BC$35,0),$C$2:$N$2),1)</f>
        <v>1</v>
      </c>
      <c r="J301" s="113">
        <f>IFERROR(INDEX($BD$7:$BO$35,MATCH(Ajustes!$E$4:$E$323,$BC$7:$BC$35,0),$C$2:$N$2),1)</f>
        <v>1</v>
      </c>
      <c r="K301" s="113">
        <f>IFERROR(INDEX($BD$7:$BO$35,MATCH(Ajustes!$E$4:$E$323,$BC$7:$BC$35,0),$C$2:$N$2),1)</f>
        <v>1</v>
      </c>
      <c r="L301" s="113">
        <f>IFERROR(INDEX($BD$7:$BO$35,MATCH(Ajustes!$E$4:$E$323,$BC$7:$BC$35,0),$C$2:$N$2),1)</f>
        <v>1</v>
      </c>
      <c r="M301" s="113">
        <f>IFERROR(INDEX($BD$7:$BO$35,MATCH(Ajustes!$E$4:$E$323,$BC$7:$BC$35,0),$C$2:$N$2),1)</f>
        <v>1</v>
      </c>
      <c r="N301" s="113">
        <f>IFERROR(INDEX($BD$7:$BO$35,MATCH(Ajustes!$E$4:$E$323,$BC$7:$BC$35,0),$C$2:$N$2),1)</f>
        <v>1</v>
      </c>
      <c r="O301">
        <f>C301*Ajustes!AM301</f>
        <v>159</v>
      </c>
      <c r="P301">
        <f>D301*Ajustes!AN301</f>
        <v>158</v>
      </c>
      <c r="Q301">
        <f>E301*Ajustes!AO301</f>
        <v>159</v>
      </c>
      <c r="R301">
        <f>F301*Ajustes!AP301</f>
        <v>156</v>
      </c>
      <c r="S301">
        <f>G301*Ajustes!AQ301</f>
        <v>140</v>
      </c>
      <c r="T301">
        <f>H301*Ajustes!AR301</f>
        <v>121</v>
      </c>
      <c r="U301">
        <f>I301*Ajustes!AS301</f>
        <v>106</v>
      </c>
      <c r="V301">
        <f>J301*Ajustes!AT301</f>
        <v>93</v>
      </c>
      <c r="W301">
        <f>K301*Ajustes!AU301</f>
        <v>93</v>
      </c>
      <c r="X301">
        <f>L301*Ajustes!AV301</f>
        <v>111</v>
      </c>
      <c r="Y301">
        <f>M301*Ajustes!AW301</f>
        <v>135</v>
      </c>
      <c r="Z301">
        <f>N301*Ajustes!AX301</f>
        <v>155</v>
      </c>
      <c r="AA301">
        <f>IF(Ajustes!$G301&gt;0,INDEX($AA$4:$AL$323,Ajustes!$G301,O$2),0)+IF(Ajustes!$H301&gt;0,INDEX($AA$4:$AL$323,Ajustes!$H301,O$2),0)+IF(Ajustes!$I301&gt;0,INDEX($AA$4:$AL$323,Ajustes!$I301,O$2),0)+IF(Ajustes!$J301&gt;0,INDEX($AA$4:$AL$323,Ajustes!$J301,O$2),0)+IF(Ajustes!$K301&gt;0,INDEX($AA$5:$AL$324,Ajustes!$K301,O$2),0)+IF(Ajustes!$L301&gt;0,INDEX($AA$4:$AL$323,Ajustes!$L301,O$2),0) + O301</f>
        <v>159</v>
      </c>
      <c r="AB301">
        <f>IF(Ajustes!$G301&gt;0,INDEX($AA$4:$AL$323,Ajustes!$G301,P$2),0)+IF(Ajustes!$H301&gt;0,INDEX($AA$4:$AL$323,Ajustes!$H301,P$2),0)+IF(Ajustes!$I301&gt;0,INDEX($AA$4:$AL$323,Ajustes!$I301,P$2),0)+IF(Ajustes!$J301&gt;0,INDEX($AA$4:$AL$323,Ajustes!$J301,P$2),0)+IF(Ajustes!$K301&gt;0,INDEX($AA$5:$AL$324,Ajustes!$K301,P$2),0)+IF(Ajustes!$L301&gt;0,INDEX($AA$4:$AL$323,Ajustes!$L301,P$2),0) + P301</f>
        <v>158</v>
      </c>
      <c r="AC301">
        <f>IF(Ajustes!$G301&gt;0,INDEX($AA$4:$AL$323,Ajustes!$G301,Q$2),0)+IF(Ajustes!$H301&gt;0,INDEX($AA$4:$AL$323,Ajustes!$H301,Q$2),0)+IF(Ajustes!$I301&gt;0,INDEX($AA$4:$AL$323,Ajustes!$I301,Q$2),0)+IF(Ajustes!$J301&gt;0,INDEX($AA$4:$AL$323,Ajustes!$J301,Q$2),0)+IF(Ajustes!$K301&gt;0,INDEX($AA$5:$AL$324,Ajustes!$K301,Q$2),0)+IF(Ajustes!$L301&gt;0,INDEX($AA$4:$AL$323,Ajustes!$L301,Q$2),0) + Q301</f>
        <v>159</v>
      </c>
      <c r="AD301">
        <f>IF(Ajustes!$G301&gt;0,INDEX($AA$4:$AL$323,Ajustes!$G301,R$2),0)+IF(Ajustes!$H301&gt;0,INDEX($AA$4:$AL$323,Ajustes!$H301,R$2),0)+IF(Ajustes!$I301&gt;0,INDEX($AA$4:$AL$323,Ajustes!$I301,R$2),0)+IF(Ajustes!$J301&gt;0,INDEX($AA$4:$AL$323,Ajustes!$J301,R$2),0)+IF(Ajustes!$K301&gt;0,INDEX($AA$5:$AL$324,Ajustes!$K301,R$2),0)+IF(Ajustes!$L301&gt;0,INDEX($AA$4:$AL$323,Ajustes!$L301,R$2),0) + R301</f>
        <v>156</v>
      </c>
      <c r="AE301">
        <f>IF(Ajustes!$G301&gt;0,INDEX($AA$4:$AL$323,Ajustes!$G301,S$2),0)+IF(Ajustes!$H301&gt;0,INDEX($AA$4:$AL$323,Ajustes!$H301,S$2),0)+IF(Ajustes!$I301&gt;0,INDEX($AA$4:$AL$323,Ajustes!$I301,S$2),0)+IF(Ajustes!$J301&gt;0,INDEX($AA$4:$AL$323,Ajustes!$J301,S$2),0)+IF(Ajustes!$K301&gt;0,INDEX($AA$5:$AL$324,Ajustes!$K301,S$2),0)+IF(Ajustes!$L301&gt;0,INDEX($AA$4:$AL$323,Ajustes!$L301,S$2),0) + S301</f>
        <v>140</v>
      </c>
      <c r="AF301">
        <f>IF(Ajustes!$G301&gt;0,INDEX($AA$4:$AL$323,Ajustes!$G301,T$2),0)+IF(Ajustes!$H301&gt;0,INDEX($AA$4:$AL$323,Ajustes!$H301,T$2),0)+IF(Ajustes!$I301&gt;0,INDEX($AA$4:$AL$323,Ajustes!$I301,T$2),0)+IF(Ajustes!$J301&gt;0,INDEX($AA$4:$AL$323,Ajustes!$J301,T$2),0)+IF(Ajustes!$K301&gt;0,INDEX($AA$5:$AL$324,Ajustes!$K301,T$2),0)+IF(Ajustes!$L301&gt;0,INDEX($AA$4:$AL$323,Ajustes!$L301,T$2),0) + T301</f>
        <v>121</v>
      </c>
      <c r="AG301">
        <f>IF(Ajustes!$G301&gt;0,INDEX($AA$4:$AL$323,Ajustes!$G301,U$2),0)+IF(Ajustes!$H301&gt;0,INDEX($AA$4:$AL$323,Ajustes!$H301,U$2),0)+IF(Ajustes!$I301&gt;0,INDEX($AA$4:$AL$323,Ajustes!$I301,U$2),0)+IF(Ajustes!$J301&gt;0,INDEX($AA$4:$AL$323,Ajustes!$J301,U$2),0)+IF(Ajustes!$K301&gt;0,INDEX($AA$5:$AL$324,Ajustes!$K301,U$2),0)+IF(Ajustes!$L301&gt;0,INDEX($AA$4:$AL$323,Ajustes!$L301,U$2),0) + U301</f>
        <v>106</v>
      </c>
      <c r="AH301">
        <f>IF(Ajustes!$G301&gt;0,INDEX($AA$4:$AL$323,Ajustes!$G301,V$2),0)+IF(Ajustes!$H301&gt;0,INDEX($AA$4:$AL$323,Ajustes!$H301,V$2),0)+IF(Ajustes!$I301&gt;0,INDEX($AA$4:$AL$323,Ajustes!$I301,V$2),0)+IF(Ajustes!$J301&gt;0,INDEX($AA$4:$AL$323,Ajustes!$J301,V$2),0)+IF(Ajustes!$K301&gt;0,INDEX($AA$5:$AL$324,Ajustes!$K301,V$2),0)+IF(Ajustes!$L301&gt;0,INDEX($AA$4:$AL$323,Ajustes!$L301,V$2),0) + V301</f>
        <v>93</v>
      </c>
      <c r="AI301">
        <f>IF(Ajustes!$G301&gt;0,INDEX($AA$4:$AL$323,Ajustes!$G301,W$2),0)+IF(Ajustes!$H301&gt;0,INDEX($AA$4:$AL$323,Ajustes!$H301,W$2),0)+IF(Ajustes!$I301&gt;0,INDEX($AA$4:$AL$323,Ajustes!$I301,W$2),0)+IF(Ajustes!$J301&gt;0,INDEX($AA$4:$AL$323,Ajustes!$J301,W$2),0)+IF(Ajustes!$K301&gt;0,INDEX($AA$5:$AL$324,Ajustes!$K301,W$2),0)+IF(Ajustes!$L301&gt;0,INDEX($AA$4:$AL$323,Ajustes!$L301,W$2),0) + W301</f>
        <v>93</v>
      </c>
      <c r="AJ301">
        <f>IF(Ajustes!$G301&gt;0,INDEX($AA$4:$AL$323,Ajustes!$G301,X$2),0)+IF(Ajustes!$H301&gt;0,INDEX($AA$4:$AL$323,Ajustes!$H301,X$2),0)+IF(Ajustes!$I301&gt;0,INDEX($AA$4:$AL$323,Ajustes!$I301,X$2),0)+IF(Ajustes!$J301&gt;0,INDEX($AA$4:$AL$323,Ajustes!$J301,X$2),0)+IF(Ajustes!$K301&gt;0,INDEX($AA$5:$AL$324,Ajustes!$K301,X$2),0)+IF(Ajustes!$L301&gt;0,INDEX($AA$4:$AL$323,Ajustes!$L301,X$2),0) + X301</f>
        <v>111</v>
      </c>
      <c r="AK301">
        <f>IF(Ajustes!$G301&gt;0,INDEX($AA$4:$AL$323,Ajustes!$G301,Y$2),0)+IF(Ajustes!$H301&gt;0,INDEX($AA$4:$AL$323,Ajustes!$H301,Y$2),0)+IF(Ajustes!$I301&gt;0,INDEX($AA$4:$AL$323,Ajustes!$I301,Y$2),0)+IF(Ajustes!$J301&gt;0,INDEX($AA$4:$AL$323,Ajustes!$J301,Y$2),0)+IF(Ajustes!$K301&gt;0,INDEX($AA$5:$AL$324,Ajustes!$K301,Y$2),0)+IF(Ajustes!$L301&gt;0,INDEX($AA$4:$AL$323,Ajustes!$L301,Y$2),0) + Y301</f>
        <v>135</v>
      </c>
      <c r="AL301">
        <f>IF(Ajustes!$G301&gt;0,INDEX($AA$4:$AL$323,Ajustes!$G301,Z$2),0)+IF(Ajustes!$H301&gt;0,INDEX($AA$4:$AL$323,Ajustes!$H301,Z$2),0)+IF(Ajustes!$I301&gt;0,INDEX($AA$4:$AL$323,Ajustes!$I301,Z$2),0)+IF(Ajustes!$J301&gt;0,INDEX($AA$4:$AL$323,Ajustes!$J301,Z$2),0)+IF(Ajustes!$K301&gt;0,INDEX($AA$5:$AL$324,Ajustes!$K301,Z$2),0)+IF(Ajustes!$L301&gt;0,INDEX($AA$4:$AL$323,Ajustes!$L301,Z$2),0) + Z301</f>
        <v>155</v>
      </c>
      <c r="AM301" s="219">
        <f t="shared" ref="AM301:AX301" si="58">IF(AM128&gt;250,160,IF(AM128&gt;=209,AM128-90,IF(AM128&gt;=190,119,AM128*119/190)))</f>
        <v>160</v>
      </c>
      <c r="AN301" s="219">
        <f t="shared" si="58"/>
        <v>160</v>
      </c>
      <c r="AO301" s="219">
        <f t="shared" si="58"/>
        <v>160</v>
      </c>
      <c r="AP301" s="219">
        <f t="shared" si="58"/>
        <v>160</v>
      </c>
      <c r="AQ301" s="219">
        <f t="shared" si="58"/>
        <v>155</v>
      </c>
      <c r="AR301" s="219">
        <f t="shared" si="58"/>
        <v>120</v>
      </c>
      <c r="AS301" s="219">
        <f t="shared" si="58"/>
        <v>110.23157894736842</v>
      </c>
      <c r="AT301" s="219">
        <f t="shared" si="58"/>
        <v>93.94736842105263</v>
      </c>
      <c r="AU301" s="219">
        <f t="shared" si="58"/>
        <v>97.078947368421055</v>
      </c>
      <c r="AV301" s="219">
        <f t="shared" si="58"/>
        <v>116.49473684210527</v>
      </c>
      <c r="AW301" s="219">
        <f t="shared" si="58"/>
        <v>151</v>
      </c>
      <c r="AX301" s="219">
        <f t="shared" si="58"/>
        <v>160</v>
      </c>
    </row>
    <row r="302" spans="1:50" x14ac:dyDescent="0.25">
      <c r="A302" s="113">
        <v>299</v>
      </c>
      <c r="B302" s="209" t="s">
        <v>605</v>
      </c>
      <c r="C302">
        <f>IFERROR(INDEX($BD$7:$BO$35,MATCH(Ajustes!$E$4:$E$323,$BC$7:$BC$35,0),$C$2:$N$2),1)</f>
        <v>1</v>
      </c>
      <c r="D302" s="113">
        <f>IFERROR(INDEX($BD$7:$BO$35,MATCH(Ajustes!$E$4:$E$323,$BC$7:$BC$35,0),$C$2:$N$2),1)</f>
        <v>1</v>
      </c>
      <c r="E302" s="113">
        <f>IFERROR(INDEX($BD$7:$BO$35,MATCH(Ajustes!$E$4:$E$323,$BC$7:$BC$35,0),$C$2:$N$2),1)</f>
        <v>1</v>
      </c>
      <c r="F302" s="113">
        <f>IFERROR(INDEX($BD$7:$BO$35,MATCH(Ajustes!$E$4:$E$323,$BC$7:$BC$35,0),$C$2:$N$2),1)</f>
        <v>1</v>
      </c>
      <c r="G302" s="113">
        <f>IFERROR(INDEX($BD$7:$BO$35,MATCH(Ajustes!$E$4:$E$323,$BC$7:$BC$35,0),$C$2:$N$2),1)</f>
        <v>1</v>
      </c>
      <c r="H302" s="113">
        <f>IFERROR(INDEX($BD$7:$BO$35,MATCH(Ajustes!$E$4:$E$323,$BC$7:$BC$35,0),$C$2:$N$2),1)</f>
        <v>1</v>
      </c>
      <c r="I302" s="113">
        <f>IFERROR(INDEX($BD$7:$BO$35,MATCH(Ajustes!$E$4:$E$323,$BC$7:$BC$35,0),$C$2:$N$2),1)</f>
        <v>1</v>
      </c>
      <c r="J302" s="113">
        <f>IFERROR(INDEX($BD$7:$BO$35,MATCH(Ajustes!$E$4:$E$323,$BC$7:$BC$35,0),$C$2:$N$2),1)</f>
        <v>1</v>
      </c>
      <c r="K302" s="113">
        <f>IFERROR(INDEX($BD$7:$BO$35,MATCH(Ajustes!$E$4:$E$323,$BC$7:$BC$35,0),$C$2:$N$2),1)</f>
        <v>1</v>
      </c>
      <c r="L302" s="113">
        <f>IFERROR(INDEX($BD$7:$BO$35,MATCH(Ajustes!$E$4:$E$323,$BC$7:$BC$35,0),$C$2:$N$2),1)</f>
        <v>1</v>
      </c>
      <c r="M302" s="113">
        <f>IFERROR(INDEX($BD$7:$BO$35,MATCH(Ajustes!$E$4:$E$323,$BC$7:$BC$35,0),$C$2:$N$2),1)</f>
        <v>1</v>
      </c>
      <c r="N302" s="113">
        <f>IFERROR(INDEX($BD$7:$BO$35,MATCH(Ajustes!$E$4:$E$323,$BC$7:$BC$35,0),$C$2:$N$2),1)</f>
        <v>1</v>
      </c>
      <c r="O302">
        <f>C302*Ajustes!AM302</f>
        <v>889</v>
      </c>
      <c r="P302">
        <f>D302*Ajustes!AN302</f>
        <v>892</v>
      </c>
      <c r="Q302">
        <f>E302*Ajustes!AO302</f>
        <v>822</v>
      </c>
      <c r="R302">
        <f>F302*Ajustes!AP302</f>
        <v>551</v>
      </c>
      <c r="S302">
        <f>G302*Ajustes!AQ302</f>
        <v>362</v>
      </c>
      <c r="T302">
        <f>H302*Ajustes!AR302</f>
        <v>301</v>
      </c>
      <c r="U302">
        <f>I302*Ajustes!AS302</f>
        <v>250</v>
      </c>
      <c r="V302">
        <f>J302*Ajustes!AT302</f>
        <v>212</v>
      </c>
      <c r="W302">
        <f>K302*Ajustes!AU302</f>
        <v>217</v>
      </c>
      <c r="X302">
        <f>L302*Ajustes!AV302</f>
        <v>259</v>
      </c>
      <c r="Y302">
        <f>M302*Ajustes!AW302</f>
        <v>367</v>
      </c>
      <c r="Z302">
        <f>N302*Ajustes!AX302</f>
        <v>602</v>
      </c>
      <c r="AA302">
        <f>IF(Ajustes!$G302&gt;0,INDEX($AA$4:$AL$323,Ajustes!$G302,O$2),0)+IF(Ajustes!$H302&gt;0,INDEX($AA$4:$AL$323,Ajustes!$H302,O$2),0)+IF(Ajustes!$I302&gt;0,INDEX($AA$4:$AL$323,Ajustes!$I302,O$2),0)+IF(Ajustes!$J302&gt;0,INDEX($AA$4:$AL$323,Ajustes!$J302,O$2),0)+IF(Ajustes!$K302&gt;0,INDEX($AA$5:$AL$324,Ajustes!$K302,O$2),0)+IF(Ajustes!$L302&gt;0,INDEX($AA$4:$AL$323,Ajustes!$L302,O$2),0) + O302</f>
        <v>889</v>
      </c>
      <c r="AB302">
        <f>IF(Ajustes!$G302&gt;0,INDEX($AA$4:$AL$323,Ajustes!$G302,P$2),0)+IF(Ajustes!$H302&gt;0,INDEX($AA$4:$AL$323,Ajustes!$H302,P$2),0)+IF(Ajustes!$I302&gt;0,INDEX($AA$4:$AL$323,Ajustes!$I302,P$2),0)+IF(Ajustes!$J302&gt;0,INDEX($AA$4:$AL$323,Ajustes!$J302,P$2),0)+IF(Ajustes!$K302&gt;0,INDEX($AA$5:$AL$324,Ajustes!$K302,P$2),0)+IF(Ajustes!$L302&gt;0,INDEX($AA$4:$AL$323,Ajustes!$L302,P$2),0) + P302</f>
        <v>892</v>
      </c>
      <c r="AC302">
        <f>IF(Ajustes!$G302&gt;0,INDEX($AA$4:$AL$323,Ajustes!$G302,Q$2),0)+IF(Ajustes!$H302&gt;0,INDEX($AA$4:$AL$323,Ajustes!$H302,Q$2),0)+IF(Ajustes!$I302&gt;0,INDEX($AA$4:$AL$323,Ajustes!$I302,Q$2),0)+IF(Ajustes!$J302&gt;0,INDEX($AA$4:$AL$323,Ajustes!$J302,Q$2),0)+IF(Ajustes!$K302&gt;0,INDEX($AA$5:$AL$324,Ajustes!$K302,Q$2),0)+IF(Ajustes!$L302&gt;0,INDEX($AA$4:$AL$323,Ajustes!$L302,Q$2),0) + Q302</f>
        <v>822</v>
      </c>
      <c r="AD302">
        <f>IF(Ajustes!$G302&gt;0,INDEX($AA$4:$AL$323,Ajustes!$G302,R$2),0)+IF(Ajustes!$H302&gt;0,INDEX($AA$4:$AL$323,Ajustes!$H302,R$2),0)+IF(Ajustes!$I302&gt;0,INDEX($AA$4:$AL$323,Ajustes!$I302,R$2),0)+IF(Ajustes!$J302&gt;0,INDEX($AA$4:$AL$323,Ajustes!$J302,R$2),0)+IF(Ajustes!$K302&gt;0,INDEX($AA$5:$AL$324,Ajustes!$K302,R$2),0)+IF(Ajustes!$L302&gt;0,INDEX($AA$4:$AL$323,Ajustes!$L302,R$2),0) + R302</f>
        <v>551</v>
      </c>
      <c r="AE302">
        <f>IF(Ajustes!$G302&gt;0,INDEX($AA$4:$AL$323,Ajustes!$G302,S$2),0)+IF(Ajustes!$H302&gt;0,INDEX($AA$4:$AL$323,Ajustes!$H302,S$2),0)+IF(Ajustes!$I302&gt;0,INDEX($AA$4:$AL$323,Ajustes!$I302,S$2),0)+IF(Ajustes!$J302&gt;0,INDEX($AA$4:$AL$323,Ajustes!$J302,S$2),0)+IF(Ajustes!$K302&gt;0,INDEX($AA$5:$AL$324,Ajustes!$K302,S$2),0)+IF(Ajustes!$L302&gt;0,INDEX($AA$4:$AL$323,Ajustes!$L302,S$2),0) + S302</f>
        <v>362</v>
      </c>
      <c r="AF302">
        <f>IF(Ajustes!$G302&gt;0,INDEX($AA$4:$AL$323,Ajustes!$G302,T$2),0)+IF(Ajustes!$H302&gt;0,INDEX($AA$4:$AL$323,Ajustes!$H302,T$2),0)+IF(Ajustes!$I302&gt;0,INDEX($AA$4:$AL$323,Ajustes!$I302,T$2),0)+IF(Ajustes!$J302&gt;0,INDEX($AA$4:$AL$323,Ajustes!$J302,T$2),0)+IF(Ajustes!$K302&gt;0,INDEX($AA$5:$AL$324,Ajustes!$K302,T$2),0)+IF(Ajustes!$L302&gt;0,INDEX($AA$4:$AL$323,Ajustes!$L302,T$2),0) + T302</f>
        <v>301</v>
      </c>
      <c r="AG302">
        <f>IF(Ajustes!$G302&gt;0,INDEX($AA$4:$AL$323,Ajustes!$G302,U$2),0)+IF(Ajustes!$H302&gt;0,INDEX($AA$4:$AL$323,Ajustes!$H302,U$2),0)+IF(Ajustes!$I302&gt;0,INDEX($AA$4:$AL$323,Ajustes!$I302,U$2),0)+IF(Ajustes!$J302&gt;0,INDEX($AA$4:$AL$323,Ajustes!$J302,U$2),0)+IF(Ajustes!$K302&gt;0,INDEX($AA$5:$AL$324,Ajustes!$K302,U$2),0)+IF(Ajustes!$L302&gt;0,INDEX($AA$4:$AL$323,Ajustes!$L302,U$2),0) + U302</f>
        <v>250</v>
      </c>
      <c r="AH302">
        <f>IF(Ajustes!$G302&gt;0,INDEX($AA$4:$AL$323,Ajustes!$G302,V$2),0)+IF(Ajustes!$H302&gt;0,INDEX($AA$4:$AL$323,Ajustes!$H302,V$2),0)+IF(Ajustes!$I302&gt;0,INDEX($AA$4:$AL$323,Ajustes!$I302,V$2),0)+IF(Ajustes!$J302&gt;0,INDEX($AA$4:$AL$323,Ajustes!$J302,V$2),0)+IF(Ajustes!$K302&gt;0,INDEX($AA$5:$AL$324,Ajustes!$K302,V$2),0)+IF(Ajustes!$L302&gt;0,INDEX($AA$4:$AL$323,Ajustes!$L302,V$2),0) + V302</f>
        <v>212</v>
      </c>
      <c r="AI302">
        <f>IF(Ajustes!$G302&gt;0,INDEX($AA$4:$AL$323,Ajustes!$G302,W$2),0)+IF(Ajustes!$H302&gt;0,INDEX($AA$4:$AL$323,Ajustes!$H302,W$2),0)+IF(Ajustes!$I302&gt;0,INDEX($AA$4:$AL$323,Ajustes!$I302,W$2),0)+IF(Ajustes!$J302&gt;0,INDEX($AA$4:$AL$323,Ajustes!$J302,W$2),0)+IF(Ajustes!$K302&gt;0,INDEX($AA$5:$AL$324,Ajustes!$K302,W$2),0)+IF(Ajustes!$L302&gt;0,INDEX($AA$4:$AL$323,Ajustes!$L302,W$2),0) + W302</f>
        <v>217</v>
      </c>
      <c r="AJ302">
        <f>IF(Ajustes!$G302&gt;0,INDEX($AA$4:$AL$323,Ajustes!$G302,X$2),0)+IF(Ajustes!$H302&gt;0,INDEX($AA$4:$AL$323,Ajustes!$H302,X$2),0)+IF(Ajustes!$I302&gt;0,INDEX($AA$4:$AL$323,Ajustes!$I302,X$2),0)+IF(Ajustes!$J302&gt;0,INDEX($AA$4:$AL$323,Ajustes!$J302,X$2),0)+IF(Ajustes!$K302&gt;0,INDEX($AA$5:$AL$324,Ajustes!$K302,X$2),0)+IF(Ajustes!$L302&gt;0,INDEX($AA$4:$AL$323,Ajustes!$L302,X$2),0) + X302</f>
        <v>259</v>
      </c>
      <c r="AK302">
        <f>IF(Ajustes!$G302&gt;0,INDEX($AA$4:$AL$323,Ajustes!$G302,Y$2),0)+IF(Ajustes!$H302&gt;0,INDEX($AA$4:$AL$323,Ajustes!$H302,Y$2),0)+IF(Ajustes!$I302&gt;0,INDEX($AA$4:$AL$323,Ajustes!$I302,Y$2),0)+IF(Ajustes!$J302&gt;0,INDEX($AA$4:$AL$323,Ajustes!$J302,Y$2),0)+IF(Ajustes!$K302&gt;0,INDEX($AA$5:$AL$324,Ajustes!$K302,Y$2),0)+IF(Ajustes!$L302&gt;0,INDEX($AA$4:$AL$323,Ajustes!$L302,Y$2),0) + Y302</f>
        <v>367</v>
      </c>
      <c r="AL302">
        <f>IF(Ajustes!$G302&gt;0,INDEX($AA$4:$AL$323,Ajustes!$G302,Z$2),0)+IF(Ajustes!$H302&gt;0,INDEX($AA$4:$AL$323,Ajustes!$H302,Z$2),0)+IF(Ajustes!$I302&gt;0,INDEX($AA$4:$AL$323,Ajustes!$I302,Z$2),0)+IF(Ajustes!$J302&gt;0,INDEX($AA$4:$AL$323,Ajustes!$J302,Z$2),0)+IF(Ajustes!$K302&gt;0,INDEX($AA$5:$AL$324,Ajustes!$K302,Z$2),0)+IF(Ajustes!$L302&gt;0,INDEX($AA$4:$AL$323,Ajustes!$L302,Z$2),0) + Z302</f>
        <v>602</v>
      </c>
      <c r="AM302" s="219">
        <f t="shared" ref="AM302:AX302" si="59">AM133-AM301-AM206+AM307</f>
        <v>884</v>
      </c>
      <c r="AN302" s="219">
        <f t="shared" si="59"/>
        <v>886</v>
      </c>
      <c r="AO302" s="219">
        <f t="shared" si="59"/>
        <v>819</v>
      </c>
      <c r="AP302" s="219">
        <f t="shared" si="59"/>
        <v>547</v>
      </c>
      <c r="AQ302" s="219">
        <f t="shared" si="59"/>
        <v>346</v>
      </c>
      <c r="AR302" s="219">
        <f t="shared" si="59"/>
        <v>303</v>
      </c>
      <c r="AS302" s="219">
        <f t="shared" si="59"/>
        <v>245.7684210526316</v>
      </c>
      <c r="AT302" s="219">
        <f t="shared" si="59"/>
        <v>211.05263157894737</v>
      </c>
      <c r="AU302" s="219">
        <f t="shared" si="59"/>
        <v>212.92105263157896</v>
      </c>
      <c r="AV302" s="219">
        <f t="shared" si="59"/>
        <v>252.50526315789472</v>
      </c>
      <c r="AW302" s="219">
        <f t="shared" si="59"/>
        <v>351</v>
      </c>
      <c r="AX302" s="219">
        <f t="shared" si="59"/>
        <v>596</v>
      </c>
    </row>
    <row r="303" spans="1:50" x14ac:dyDescent="0.25">
      <c r="A303" s="113">
        <v>300</v>
      </c>
      <c r="B303" s="209" t="s">
        <v>681</v>
      </c>
      <c r="C303">
        <f>IFERROR(INDEX($BD$7:$BO$35,MATCH(Ajustes!$E$4:$E$323,$BC$7:$BC$35,0),$C$2:$N$2),1)</f>
        <v>1</v>
      </c>
      <c r="D303" s="113">
        <f>IFERROR(INDEX($BD$7:$BO$35,MATCH(Ajustes!$E$4:$E$323,$BC$7:$BC$35,0),$C$2:$N$2),1)</f>
        <v>1</v>
      </c>
      <c r="E303" s="113">
        <f>IFERROR(INDEX($BD$7:$BO$35,MATCH(Ajustes!$E$4:$E$323,$BC$7:$BC$35,0),$C$2:$N$2),1)</f>
        <v>1</v>
      </c>
      <c r="F303" s="113">
        <f>IFERROR(INDEX($BD$7:$BO$35,MATCH(Ajustes!$E$4:$E$323,$BC$7:$BC$35,0),$C$2:$N$2),1)</f>
        <v>1</v>
      </c>
      <c r="G303" s="113">
        <f>IFERROR(INDEX($BD$7:$BO$35,MATCH(Ajustes!$E$4:$E$323,$BC$7:$BC$35,0),$C$2:$N$2),1)</f>
        <v>1</v>
      </c>
      <c r="H303" s="113">
        <f>IFERROR(INDEX($BD$7:$BO$35,MATCH(Ajustes!$E$4:$E$323,$BC$7:$BC$35,0),$C$2:$N$2),1)</f>
        <v>1</v>
      </c>
      <c r="I303" s="113">
        <f>IFERROR(INDEX($BD$7:$BO$35,MATCH(Ajustes!$E$4:$E$323,$BC$7:$BC$35,0),$C$2:$N$2),1)</f>
        <v>1</v>
      </c>
      <c r="J303" s="113">
        <f>IFERROR(INDEX($BD$7:$BO$35,MATCH(Ajustes!$E$4:$E$323,$BC$7:$BC$35,0),$C$2:$N$2),1)</f>
        <v>1</v>
      </c>
      <c r="K303" s="113">
        <f>IFERROR(INDEX($BD$7:$BO$35,MATCH(Ajustes!$E$4:$E$323,$BC$7:$BC$35,0),$C$2:$N$2),1)</f>
        <v>1</v>
      </c>
      <c r="L303" s="113">
        <f>IFERROR(INDEX($BD$7:$BO$35,MATCH(Ajustes!$E$4:$E$323,$BC$7:$BC$35,0),$C$2:$N$2),1)</f>
        <v>1</v>
      </c>
      <c r="M303" s="113">
        <f>IFERROR(INDEX($BD$7:$BO$35,MATCH(Ajustes!$E$4:$E$323,$BC$7:$BC$35,0),$C$2:$N$2),1)</f>
        <v>1</v>
      </c>
      <c r="N303" s="113">
        <f>IFERROR(INDEX($BD$7:$BO$35,MATCH(Ajustes!$E$4:$E$323,$BC$7:$BC$35,0),$C$2:$N$2),1)</f>
        <v>1</v>
      </c>
      <c r="O303">
        <f>C303*Ajustes!AM303</f>
        <v>0</v>
      </c>
      <c r="P303">
        <f>D303*Ajustes!AN303</f>
        <v>0</v>
      </c>
      <c r="Q303">
        <f>E303*Ajustes!AO303</f>
        <v>0</v>
      </c>
      <c r="R303">
        <f>F303*Ajustes!AP303</f>
        <v>0</v>
      </c>
      <c r="S303">
        <f>G303*Ajustes!AQ303</f>
        <v>0</v>
      </c>
      <c r="T303">
        <f>H303*Ajustes!AR303</f>
        <v>0</v>
      </c>
      <c r="U303">
        <f>I303*Ajustes!AS303</f>
        <v>0</v>
      </c>
      <c r="V303">
        <f>J303*Ajustes!AT303</f>
        <v>0</v>
      </c>
      <c r="W303">
        <f>K303*Ajustes!AU303</f>
        <v>0</v>
      </c>
      <c r="X303">
        <f>L303*Ajustes!AV303</f>
        <v>0</v>
      </c>
      <c r="Y303">
        <f>M303*Ajustes!AW303</f>
        <v>0</v>
      </c>
      <c r="Z303">
        <f>N303*Ajustes!AX303</f>
        <v>0</v>
      </c>
      <c r="AA303">
        <f>IF(Ajustes!$G303&gt;0,INDEX($AA$4:$AL$323,Ajustes!$G303,O$2),0)+IF(Ajustes!$H303&gt;0,INDEX($AA$4:$AL$323,Ajustes!$H303,O$2),0)+IF(Ajustes!$I303&gt;0,INDEX($AA$4:$AL$323,Ajustes!$I303,O$2),0)+IF(Ajustes!$J303&gt;0,INDEX($AA$4:$AL$323,Ajustes!$J303,O$2),0)+IF(Ajustes!$K303&gt;0,INDEX($AA$5:$AL$324,Ajustes!$K303,O$2),0)+IF(Ajustes!$L303&gt;0,INDEX($AA$4:$AL$323,Ajustes!$L303,O$2),0) + O303</f>
        <v>0</v>
      </c>
      <c r="AB303">
        <f>IF(Ajustes!$G303&gt;0,INDEX($AA$4:$AL$323,Ajustes!$G303,P$2),0)+IF(Ajustes!$H303&gt;0,INDEX($AA$4:$AL$323,Ajustes!$H303,P$2),0)+IF(Ajustes!$I303&gt;0,INDEX($AA$4:$AL$323,Ajustes!$I303,P$2),0)+IF(Ajustes!$J303&gt;0,INDEX($AA$4:$AL$323,Ajustes!$J303,P$2),0)+IF(Ajustes!$K303&gt;0,INDEX($AA$5:$AL$324,Ajustes!$K303,P$2),0)+IF(Ajustes!$L303&gt;0,INDEX($AA$4:$AL$323,Ajustes!$L303,P$2),0) + P303</f>
        <v>0</v>
      </c>
      <c r="AC303">
        <f>IF(Ajustes!$G303&gt;0,INDEX($AA$4:$AL$323,Ajustes!$G303,Q$2),0)+IF(Ajustes!$H303&gt;0,INDEX($AA$4:$AL$323,Ajustes!$H303,Q$2),0)+IF(Ajustes!$I303&gt;0,INDEX($AA$4:$AL$323,Ajustes!$I303,Q$2),0)+IF(Ajustes!$J303&gt;0,INDEX($AA$4:$AL$323,Ajustes!$J303,Q$2),0)+IF(Ajustes!$K303&gt;0,INDEX($AA$5:$AL$324,Ajustes!$K303,Q$2),0)+IF(Ajustes!$L303&gt;0,INDEX($AA$4:$AL$323,Ajustes!$L303,Q$2),0) + Q303</f>
        <v>0</v>
      </c>
      <c r="AD303">
        <f>IF(Ajustes!$G303&gt;0,INDEX($AA$4:$AL$323,Ajustes!$G303,R$2),0)+IF(Ajustes!$H303&gt;0,INDEX($AA$4:$AL$323,Ajustes!$H303,R$2),0)+IF(Ajustes!$I303&gt;0,INDEX($AA$4:$AL$323,Ajustes!$I303,R$2),0)+IF(Ajustes!$J303&gt;0,INDEX($AA$4:$AL$323,Ajustes!$J303,R$2),0)+IF(Ajustes!$K303&gt;0,INDEX($AA$5:$AL$324,Ajustes!$K303,R$2),0)+IF(Ajustes!$L303&gt;0,INDEX($AA$4:$AL$323,Ajustes!$L303,R$2),0) + R303</f>
        <v>0</v>
      </c>
      <c r="AE303">
        <f>IF(Ajustes!$G303&gt;0,INDEX($AA$4:$AL$323,Ajustes!$G303,S$2),0)+IF(Ajustes!$H303&gt;0,INDEX($AA$4:$AL$323,Ajustes!$H303,S$2),0)+IF(Ajustes!$I303&gt;0,INDEX($AA$4:$AL$323,Ajustes!$I303,S$2),0)+IF(Ajustes!$J303&gt;0,INDEX($AA$4:$AL$323,Ajustes!$J303,S$2),0)+IF(Ajustes!$K303&gt;0,INDEX($AA$5:$AL$324,Ajustes!$K303,S$2),0)+IF(Ajustes!$L303&gt;0,INDEX($AA$4:$AL$323,Ajustes!$L303,S$2),0) + S303</f>
        <v>0</v>
      </c>
      <c r="AF303">
        <f>IF(Ajustes!$G303&gt;0,INDEX($AA$4:$AL$323,Ajustes!$G303,T$2),0)+IF(Ajustes!$H303&gt;0,INDEX($AA$4:$AL$323,Ajustes!$H303,T$2),0)+IF(Ajustes!$I303&gt;0,INDEX($AA$4:$AL$323,Ajustes!$I303,T$2),0)+IF(Ajustes!$J303&gt;0,INDEX($AA$4:$AL$323,Ajustes!$J303,T$2),0)+IF(Ajustes!$K303&gt;0,INDEX($AA$5:$AL$324,Ajustes!$K303,T$2),0)+IF(Ajustes!$L303&gt;0,INDEX($AA$4:$AL$323,Ajustes!$L303,T$2),0) + T303</f>
        <v>0</v>
      </c>
      <c r="AG303">
        <f>IF(Ajustes!$G303&gt;0,INDEX($AA$4:$AL$323,Ajustes!$G303,U$2),0)+IF(Ajustes!$H303&gt;0,INDEX($AA$4:$AL$323,Ajustes!$H303,U$2),0)+IF(Ajustes!$I303&gt;0,INDEX($AA$4:$AL$323,Ajustes!$I303,U$2),0)+IF(Ajustes!$J303&gt;0,INDEX($AA$4:$AL$323,Ajustes!$J303,U$2),0)+IF(Ajustes!$K303&gt;0,INDEX($AA$5:$AL$324,Ajustes!$K303,U$2),0)+IF(Ajustes!$L303&gt;0,INDEX($AA$4:$AL$323,Ajustes!$L303,U$2),0) + U303</f>
        <v>0</v>
      </c>
      <c r="AH303">
        <f>IF(Ajustes!$G303&gt;0,INDEX($AA$4:$AL$323,Ajustes!$G303,V$2),0)+IF(Ajustes!$H303&gt;0,INDEX($AA$4:$AL$323,Ajustes!$H303,V$2),0)+IF(Ajustes!$I303&gt;0,INDEX($AA$4:$AL$323,Ajustes!$I303,V$2),0)+IF(Ajustes!$J303&gt;0,INDEX($AA$4:$AL$323,Ajustes!$J303,V$2),0)+IF(Ajustes!$K303&gt;0,INDEX($AA$5:$AL$324,Ajustes!$K303,V$2),0)+IF(Ajustes!$L303&gt;0,INDEX($AA$4:$AL$323,Ajustes!$L303,V$2),0) + V303</f>
        <v>0</v>
      </c>
      <c r="AI303">
        <f>IF(Ajustes!$G303&gt;0,INDEX($AA$4:$AL$323,Ajustes!$G303,W$2),0)+IF(Ajustes!$H303&gt;0,INDEX($AA$4:$AL$323,Ajustes!$H303,W$2),0)+IF(Ajustes!$I303&gt;0,INDEX($AA$4:$AL$323,Ajustes!$I303,W$2),0)+IF(Ajustes!$J303&gt;0,INDEX($AA$4:$AL$323,Ajustes!$J303,W$2),0)+IF(Ajustes!$K303&gt;0,INDEX($AA$5:$AL$324,Ajustes!$K303,W$2),0)+IF(Ajustes!$L303&gt;0,INDEX($AA$4:$AL$323,Ajustes!$L303,W$2),0) + W303</f>
        <v>0</v>
      </c>
      <c r="AJ303">
        <f>IF(Ajustes!$G303&gt;0,INDEX($AA$4:$AL$323,Ajustes!$G303,X$2),0)+IF(Ajustes!$H303&gt;0,INDEX($AA$4:$AL$323,Ajustes!$H303,X$2),0)+IF(Ajustes!$I303&gt;0,INDEX($AA$4:$AL$323,Ajustes!$I303,X$2),0)+IF(Ajustes!$J303&gt;0,INDEX($AA$4:$AL$323,Ajustes!$J303,X$2),0)+IF(Ajustes!$K303&gt;0,INDEX($AA$5:$AL$324,Ajustes!$K303,X$2),0)+IF(Ajustes!$L303&gt;0,INDEX($AA$4:$AL$323,Ajustes!$L303,X$2),0) + X303</f>
        <v>0</v>
      </c>
      <c r="AK303">
        <f>IF(Ajustes!$G303&gt;0,INDEX($AA$4:$AL$323,Ajustes!$G303,Y$2),0)+IF(Ajustes!$H303&gt;0,INDEX($AA$4:$AL$323,Ajustes!$H303,Y$2),0)+IF(Ajustes!$I303&gt;0,INDEX($AA$4:$AL$323,Ajustes!$I303,Y$2),0)+IF(Ajustes!$J303&gt;0,INDEX($AA$4:$AL$323,Ajustes!$J303,Y$2),0)+IF(Ajustes!$K303&gt;0,INDEX($AA$5:$AL$324,Ajustes!$K303,Y$2),0)+IF(Ajustes!$L303&gt;0,INDEX($AA$4:$AL$323,Ajustes!$L303,Y$2),0) + Y303</f>
        <v>0</v>
      </c>
      <c r="AL303">
        <f>IF(Ajustes!$G303&gt;0,INDEX($AA$4:$AL$323,Ajustes!$G303,Z$2),0)+IF(Ajustes!$H303&gt;0,INDEX($AA$4:$AL$323,Ajustes!$H303,Z$2),0)+IF(Ajustes!$I303&gt;0,INDEX($AA$4:$AL$323,Ajustes!$I303,Z$2),0)+IF(Ajustes!$J303&gt;0,INDEX($AA$4:$AL$323,Ajustes!$J303,Z$2),0)+IF(Ajustes!$K303&gt;0,INDEX($AA$5:$AL$324,Ajustes!$K303,Z$2),0)+IF(Ajustes!$L303&gt;0,INDEX($AA$4:$AL$323,Ajustes!$L303,Z$2),0) + Z303</f>
        <v>0</v>
      </c>
      <c r="AM303" s="219">
        <f>0</f>
        <v>0</v>
      </c>
      <c r="AN303" s="219">
        <f>0</f>
        <v>0</v>
      </c>
      <c r="AO303" s="219">
        <f>0</f>
        <v>0</v>
      </c>
      <c r="AP303" s="219">
        <f>0</f>
        <v>0</v>
      </c>
      <c r="AQ303" s="219">
        <f>0</f>
        <v>0</v>
      </c>
      <c r="AR303" s="219">
        <f>0</f>
        <v>0</v>
      </c>
      <c r="AS303" s="219">
        <f>0</f>
        <v>0</v>
      </c>
      <c r="AT303" s="219">
        <f>0</f>
        <v>0</v>
      </c>
      <c r="AU303" s="219">
        <f>0</f>
        <v>0</v>
      </c>
      <c r="AV303" s="219">
        <f>0</f>
        <v>0</v>
      </c>
      <c r="AW303" s="219">
        <f>0</f>
        <v>0</v>
      </c>
      <c r="AX303" s="219">
        <f>0</f>
        <v>0</v>
      </c>
    </row>
    <row r="304" spans="1:50" x14ac:dyDescent="0.25">
      <c r="A304" s="113">
        <v>301</v>
      </c>
      <c r="B304" s="209" t="s">
        <v>682</v>
      </c>
      <c r="C304">
        <f>IFERROR(INDEX($BD$7:$BO$35,MATCH(Ajustes!$E$4:$E$323,$BC$7:$BC$35,0),$C$2:$N$2),1)</f>
        <v>1</v>
      </c>
      <c r="D304" s="113">
        <f>IFERROR(INDEX($BD$7:$BO$35,MATCH(Ajustes!$E$4:$E$323,$BC$7:$BC$35,0),$C$2:$N$2),1)</f>
        <v>1</v>
      </c>
      <c r="E304" s="113">
        <f>IFERROR(INDEX($BD$7:$BO$35,MATCH(Ajustes!$E$4:$E$323,$BC$7:$BC$35,0),$C$2:$N$2),1)</f>
        <v>1</v>
      </c>
      <c r="F304" s="113">
        <f>IFERROR(INDEX($BD$7:$BO$35,MATCH(Ajustes!$E$4:$E$323,$BC$7:$BC$35,0),$C$2:$N$2),1)</f>
        <v>1</v>
      </c>
      <c r="G304" s="113">
        <f>IFERROR(INDEX($BD$7:$BO$35,MATCH(Ajustes!$E$4:$E$323,$BC$7:$BC$35,0),$C$2:$N$2),1)</f>
        <v>1</v>
      </c>
      <c r="H304" s="113">
        <f>IFERROR(INDEX($BD$7:$BO$35,MATCH(Ajustes!$E$4:$E$323,$BC$7:$BC$35,0),$C$2:$N$2),1)</f>
        <v>1</v>
      </c>
      <c r="I304" s="113">
        <f>IFERROR(INDEX($BD$7:$BO$35,MATCH(Ajustes!$E$4:$E$323,$BC$7:$BC$35,0),$C$2:$N$2),1)</f>
        <v>1</v>
      </c>
      <c r="J304" s="113">
        <f>IFERROR(INDEX($BD$7:$BO$35,MATCH(Ajustes!$E$4:$E$323,$BC$7:$BC$35,0),$C$2:$N$2),1)</f>
        <v>1</v>
      </c>
      <c r="K304" s="113">
        <f>IFERROR(INDEX($BD$7:$BO$35,MATCH(Ajustes!$E$4:$E$323,$BC$7:$BC$35,0),$C$2:$N$2),1)</f>
        <v>1</v>
      </c>
      <c r="L304" s="113">
        <f>IFERROR(INDEX($BD$7:$BO$35,MATCH(Ajustes!$E$4:$E$323,$BC$7:$BC$35,0),$C$2:$N$2),1)</f>
        <v>1</v>
      </c>
      <c r="M304" s="113">
        <f>IFERROR(INDEX($BD$7:$BO$35,MATCH(Ajustes!$E$4:$E$323,$BC$7:$BC$35,0),$C$2:$N$2),1)</f>
        <v>1</v>
      </c>
      <c r="N304" s="113">
        <f>IFERROR(INDEX($BD$7:$BO$35,MATCH(Ajustes!$E$4:$E$323,$BC$7:$BC$35,0),$C$2:$N$2),1)</f>
        <v>1</v>
      </c>
      <c r="O304">
        <f>C304*Ajustes!AM304</f>
        <v>4</v>
      </c>
      <c r="P304">
        <f>D304*Ajustes!AN304</f>
        <v>4</v>
      </c>
      <c r="Q304">
        <f>E304*Ajustes!AO304</f>
        <v>4</v>
      </c>
      <c r="R304">
        <f>F304*Ajustes!AP304</f>
        <v>1</v>
      </c>
      <c r="S304">
        <f>G304*Ajustes!AQ304</f>
        <v>1</v>
      </c>
      <c r="T304">
        <f>H304*Ajustes!AR304</f>
        <v>0</v>
      </c>
      <c r="U304">
        <f>I304*Ajustes!AS304</f>
        <v>1</v>
      </c>
      <c r="V304">
        <f>J304*Ajustes!AT304</f>
        <v>1</v>
      </c>
      <c r="W304">
        <f>K304*Ajustes!AU304</f>
        <v>2</v>
      </c>
      <c r="X304">
        <f>L304*Ajustes!AV304</f>
        <v>3</v>
      </c>
      <c r="Y304">
        <f>M304*Ajustes!AW304</f>
        <v>3</v>
      </c>
      <c r="Z304">
        <f>N304*Ajustes!AX304</f>
        <v>3</v>
      </c>
      <c r="AA304">
        <f>IF(Ajustes!$G304&gt;0,INDEX($AA$4:$AL$323,Ajustes!$G304,O$2),0)+IF(Ajustes!$H304&gt;0,INDEX($AA$4:$AL$323,Ajustes!$H304,O$2),0)+IF(Ajustes!$I304&gt;0,INDEX($AA$4:$AL$323,Ajustes!$I304,O$2),0)+IF(Ajustes!$J304&gt;0,INDEX($AA$4:$AL$323,Ajustes!$J304,O$2),0)+IF(Ajustes!$K304&gt;0,INDEX($AA$5:$AL$324,Ajustes!$K304,O$2),0)+IF(Ajustes!$L304&gt;0,INDEX($AA$4:$AL$323,Ajustes!$L304,O$2),0) + O304</f>
        <v>30</v>
      </c>
      <c r="AB304">
        <f>IF(Ajustes!$G304&gt;0,INDEX($AA$4:$AL$323,Ajustes!$G304,P$2),0)+IF(Ajustes!$H304&gt;0,INDEX($AA$4:$AL$323,Ajustes!$H304,P$2),0)+IF(Ajustes!$I304&gt;0,INDEX($AA$4:$AL$323,Ajustes!$I304,P$2),0)+IF(Ajustes!$J304&gt;0,INDEX($AA$4:$AL$323,Ajustes!$J304,P$2),0)+IF(Ajustes!$K304&gt;0,INDEX($AA$5:$AL$324,Ajustes!$K304,P$2),0)+IF(Ajustes!$L304&gt;0,INDEX($AA$4:$AL$323,Ajustes!$L304,P$2),0) + P304</f>
        <v>30</v>
      </c>
      <c r="AC304">
        <f>IF(Ajustes!$G304&gt;0,INDEX($AA$4:$AL$323,Ajustes!$G304,Q$2),0)+IF(Ajustes!$H304&gt;0,INDEX($AA$4:$AL$323,Ajustes!$H304,Q$2),0)+IF(Ajustes!$I304&gt;0,INDEX($AA$4:$AL$323,Ajustes!$I304,Q$2),0)+IF(Ajustes!$J304&gt;0,INDEX($AA$4:$AL$323,Ajustes!$J304,Q$2),0)+IF(Ajustes!$K304&gt;0,INDEX($AA$5:$AL$324,Ajustes!$K304,Q$2),0)+IF(Ajustes!$L304&gt;0,INDEX($AA$4:$AL$323,Ajustes!$L304,Q$2),0) + Q304</f>
        <v>27</v>
      </c>
      <c r="AD304">
        <f>IF(Ajustes!$G304&gt;0,INDEX($AA$4:$AL$323,Ajustes!$G304,R$2),0)+IF(Ajustes!$H304&gt;0,INDEX($AA$4:$AL$323,Ajustes!$H304,R$2),0)+IF(Ajustes!$I304&gt;0,INDEX($AA$4:$AL$323,Ajustes!$I304,R$2),0)+IF(Ajustes!$J304&gt;0,INDEX($AA$4:$AL$323,Ajustes!$J304,R$2),0)+IF(Ajustes!$K304&gt;0,INDEX($AA$5:$AL$324,Ajustes!$K304,R$2),0)+IF(Ajustes!$L304&gt;0,INDEX($AA$4:$AL$323,Ajustes!$L304,R$2),0) + R304</f>
        <v>18</v>
      </c>
      <c r="AE304">
        <f>IF(Ajustes!$G304&gt;0,INDEX($AA$4:$AL$323,Ajustes!$G304,S$2),0)+IF(Ajustes!$H304&gt;0,INDEX($AA$4:$AL$323,Ajustes!$H304,S$2),0)+IF(Ajustes!$I304&gt;0,INDEX($AA$4:$AL$323,Ajustes!$I304,S$2),0)+IF(Ajustes!$J304&gt;0,INDEX($AA$4:$AL$323,Ajustes!$J304,S$2),0)+IF(Ajustes!$K304&gt;0,INDEX($AA$5:$AL$324,Ajustes!$K304,S$2),0)+IF(Ajustes!$L304&gt;0,INDEX($AA$4:$AL$323,Ajustes!$L304,S$2),0) + S304</f>
        <v>13</v>
      </c>
      <c r="AF304">
        <f>IF(Ajustes!$G304&gt;0,INDEX($AA$4:$AL$323,Ajustes!$G304,T$2),0)+IF(Ajustes!$H304&gt;0,INDEX($AA$4:$AL$323,Ajustes!$H304,T$2),0)+IF(Ajustes!$I304&gt;0,INDEX($AA$4:$AL$323,Ajustes!$I304,T$2),0)+IF(Ajustes!$J304&gt;0,INDEX($AA$4:$AL$323,Ajustes!$J304,T$2),0)+IF(Ajustes!$K304&gt;0,INDEX($AA$5:$AL$324,Ajustes!$K304,T$2),0)+IF(Ajustes!$L304&gt;0,INDEX($AA$4:$AL$323,Ajustes!$L304,T$2),0) + T304</f>
        <v>11</v>
      </c>
      <c r="AG304">
        <f>IF(Ajustes!$G304&gt;0,INDEX($AA$4:$AL$323,Ajustes!$G304,U$2),0)+IF(Ajustes!$H304&gt;0,INDEX($AA$4:$AL$323,Ajustes!$H304,U$2),0)+IF(Ajustes!$I304&gt;0,INDEX($AA$4:$AL$323,Ajustes!$I304,U$2),0)+IF(Ajustes!$J304&gt;0,INDEX($AA$4:$AL$323,Ajustes!$J304,U$2),0)+IF(Ajustes!$K304&gt;0,INDEX($AA$5:$AL$324,Ajustes!$K304,U$2),0)+IF(Ajustes!$L304&gt;0,INDEX($AA$4:$AL$323,Ajustes!$L304,U$2),0) + U304</f>
        <v>10</v>
      </c>
      <c r="AH304">
        <f>IF(Ajustes!$G304&gt;0,INDEX($AA$4:$AL$323,Ajustes!$G304,V$2),0)+IF(Ajustes!$H304&gt;0,INDEX($AA$4:$AL$323,Ajustes!$H304,V$2),0)+IF(Ajustes!$I304&gt;0,INDEX($AA$4:$AL$323,Ajustes!$I304,V$2),0)+IF(Ajustes!$J304&gt;0,INDEX($AA$4:$AL$323,Ajustes!$J304,V$2),0)+IF(Ajustes!$K304&gt;0,INDEX($AA$5:$AL$324,Ajustes!$K304,V$2),0)+IF(Ajustes!$L304&gt;0,INDEX($AA$4:$AL$323,Ajustes!$L304,V$2),0) + V304</f>
        <v>9</v>
      </c>
      <c r="AI304">
        <f>IF(Ajustes!$G304&gt;0,INDEX($AA$4:$AL$323,Ajustes!$G304,W$2),0)+IF(Ajustes!$H304&gt;0,INDEX($AA$4:$AL$323,Ajustes!$H304,W$2),0)+IF(Ajustes!$I304&gt;0,INDEX($AA$4:$AL$323,Ajustes!$I304,W$2),0)+IF(Ajustes!$J304&gt;0,INDEX($AA$4:$AL$323,Ajustes!$J304,W$2),0)+IF(Ajustes!$K304&gt;0,INDEX($AA$5:$AL$324,Ajustes!$K304,W$2),0)+IF(Ajustes!$L304&gt;0,INDEX($AA$4:$AL$323,Ajustes!$L304,W$2),0) + W304</f>
        <v>14</v>
      </c>
      <c r="AJ304">
        <f>IF(Ajustes!$G304&gt;0,INDEX($AA$4:$AL$323,Ajustes!$G304,X$2),0)+IF(Ajustes!$H304&gt;0,INDEX($AA$4:$AL$323,Ajustes!$H304,X$2),0)+IF(Ajustes!$I304&gt;0,INDEX($AA$4:$AL$323,Ajustes!$I304,X$2),0)+IF(Ajustes!$J304&gt;0,INDEX($AA$4:$AL$323,Ajustes!$J304,X$2),0)+IF(Ajustes!$K304&gt;0,INDEX($AA$5:$AL$324,Ajustes!$K304,X$2),0)+IF(Ajustes!$L304&gt;0,INDEX($AA$4:$AL$323,Ajustes!$L304,X$2),0) + X304</f>
        <v>18</v>
      </c>
      <c r="AK304">
        <f>IF(Ajustes!$G304&gt;0,INDEX($AA$4:$AL$323,Ajustes!$G304,Y$2),0)+IF(Ajustes!$H304&gt;0,INDEX($AA$4:$AL$323,Ajustes!$H304,Y$2),0)+IF(Ajustes!$I304&gt;0,INDEX($AA$4:$AL$323,Ajustes!$I304,Y$2),0)+IF(Ajustes!$J304&gt;0,INDEX($AA$4:$AL$323,Ajustes!$J304,Y$2),0)+IF(Ajustes!$K304&gt;0,INDEX($AA$5:$AL$324,Ajustes!$K304,Y$2),0)+IF(Ajustes!$L304&gt;0,INDEX($AA$4:$AL$323,Ajustes!$L304,Y$2),0) + Y304</f>
        <v>18</v>
      </c>
      <c r="AL304">
        <f>IF(Ajustes!$G304&gt;0,INDEX($AA$4:$AL$323,Ajustes!$G304,Z$2),0)+IF(Ajustes!$H304&gt;0,INDEX($AA$4:$AL$323,Ajustes!$H304,Z$2),0)+IF(Ajustes!$I304&gt;0,INDEX($AA$4:$AL$323,Ajustes!$I304,Z$2),0)+IF(Ajustes!$J304&gt;0,INDEX($AA$4:$AL$323,Ajustes!$J304,Z$2),0)+IF(Ajustes!$K304&gt;0,INDEX($AA$5:$AL$324,Ajustes!$K304,Z$2),0)+IF(Ajustes!$L304&gt;0,INDEX($AA$4:$AL$323,Ajustes!$L304,Z$2),0) + Z304</f>
        <v>24</v>
      </c>
      <c r="AM304" s="113">
        <f t="shared" ref="AM304:AX305" si="60">AA304</f>
        <v>30</v>
      </c>
      <c r="AN304" s="113">
        <f t="shared" si="60"/>
        <v>30</v>
      </c>
      <c r="AO304" s="113">
        <f t="shared" si="60"/>
        <v>27</v>
      </c>
      <c r="AP304" s="113">
        <f t="shared" si="60"/>
        <v>18</v>
      </c>
      <c r="AQ304" s="113">
        <f t="shared" si="60"/>
        <v>13</v>
      </c>
      <c r="AR304" s="113">
        <f t="shared" si="60"/>
        <v>11</v>
      </c>
      <c r="AS304" s="113">
        <f t="shared" si="60"/>
        <v>10</v>
      </c>
      <c r="AT304" s="113">
        <f t="shared" si="60"/>
        <v>9</v>
      </c>
      <c r="AU304" s="113">
        <f t="shared" si="60"/>
        <v>14</v>
      </c>
      <c r="AV304" s="113">
        <f t="shared" si="60"/>
        <v>18</v>
      </c>
      <c r="AW304" s="113">
        <f t="shared" si="60"/>
        <v>18</v>
      </c>
      <c r="AX304" s="113">
        <f t="shared" si="60"/>
        <v>24</v>
      </c>
    </row>
    <row r="305" spans="1:50" x14ac:dyDescent="0.25">
      <c r="A305" s="113">
        <v>302</v>
      </c>
      <c r="B305" s="209" t="s">
        <v>683</v>
      </c>
      <c r="C305">
        <f>IFERROR(INDEX($BD$7:$BO$35,MATCH(Ajustes!$E$4:$E$323,$BC$7:$BC$35,0),$C$2:$N$2),1)</f>
        <v>1</v>
      </c>
      <c r="D305" s="113">
        <f>IFERROR(INDEX($BD$7:$BO$35,MATCH(Ajustes!$E$4:$E$323,$BC$7:$BC$35,0),$C$2:$N$2),1)</f>
        <v>1</v>
      </c>
      <c r="E305" s="113">
        <f>IFERROR(INDEX($BD$7:$BO$35,MATCH(Ajustes!$E$4:$E$323,$BC$7:$BC$35,0),$C$2:$N$2),1)</f>
        <v>1</v>
      </c>
      <c r="F305" s="113">
        <f>IFERROR(INDEX($BD$7:$BO$35,MATCH(Ajustes!$E$4:$E$323,$BC$7:$BC$35,0),$C$2:$N$2),1)</f>
        <v>1</v>
      </c>
      <c r="G305" s="113">
        <f>IFERROR(INDEX($BD$7:$BO$35,MATCH(Ajustes!$E$4:$E$323,$BC$7:$BC$35,0),$C$2:$N$2),1)</f>
        <v>1</v>
      </c>
      <c r="H305" s="113">
        <f>IFERROR(INDEX($BD$7:$BO$35,MATCH(Ajustes!$E$4:$E$323,$BC$7:$BC$35,0),$C$2:$N$2),1)</f>
        <v>1</v>
      </c>
      <c r="I305" s="113">
        <f>IFERROR(INDEX($BD$7:$BO$35,MATCH(Ajustes!$E$4:$E$323,$BC$7:$BC$35,0),$C$2:$N$2),1)</f>
        <v>1</v>
      </c>
      <c r="J305" s="113">
        <f>IFERROR(INDEX($BD$7:$BO$35,MATCH(Ajustes!$E$4:$E$323,$BC$7:$BC$35,0),$C$2:$N$2),1)</f>
        <v>1</v>
      </c>
      <c r="K305" s="113">
        <f>IFERROR(INDEX($BD$7:$BO$35,MATCH(Ajustes!$E$4:$E$323,$BC$7:$BC$35,0),$C$2:$N$2),1)</f>
        <v>1</v>
      </c>
      <c r="L305" s="113">
        <f>IFERROR(INDEX($BD$7:$BO$35,MATCH(Ajustes!$E$4:$E$323,$BC$7:$BC$35,0),$C$2:$N$2),1)</f>
        <v>1</v>
      </c>
      <c r="M305" s="113">
        <f>IFERROR(INDEX($BD$7:$BO$35,MATCH(Ajustes!$E$4:$E$323,$BC$7:$BC$35,0),$C$2:$N$2),1)</f>
        <v>1</v>
      </c>
      <c r="N305" s="113">
        <f>IFERROR(INDEX($BD$7:$BO$35,MATCH(Ajustes!$E$4:$E$323,$BC$7:$BC$35,0),$C$2:$N$2),1)</f>
        <v>1</v>
      </c>
      <c r="O305">
        <f>C305*Ajustes!AM305</f>
        <v>-6893</v>
      </c>
      <c r="P305">
        <f>D305*Ajustes!AN305</f>
        <v>-10765</v>
      </c>
      <c r="Q305">
        <f>E305*Ajustes!AO305</f>
        <v>-11960</v>
      </c>
      <c r="R305">
        <f>F305*Ajustes!AP305</f>
        <v>-11427</v>
      </c>
      <c r="S305">
        <f>G305*Ajustes!AQ305</f>
        <v>-10747</v>
      </c>
      <c r="T305">
        <f>H305*Ajustes!AR305</f>
        <v>-5794</v>
      </c>
      <c r="U305">
        <f>I305*Ajustes!AS305</f>
        <v>-1851</v>
      </c>
      <c r="V305">
        <f>J305*Ajustes!AT305</f>
        <v>-694</v>
      </c>
      <c r="W305">
        <f>K305*Ajustes!AU305</f>
        <v>-346</v>
      </c>
      <c r="X305">
        <f>L305*Ajustes!AV305</f>
        <v>-428</v>
      </c>
      <c r="Y305">
        <f>M305*Ajustes!AW305</f>
        <v>-1111</v>
      </c>
      <c r="Z305">
        <f>N305*Ajustes!AX305</f>
        <v>-2993</v>
      </c>
      <c r="AA305">
        <f>IF(Ajustes!$G305&gt;0,INDEX($AA$4:$AL$323,Ajustes!$G305,O$2),0)+IF(Ajustes!$H305&gt;0,INDEX($AA$4:$AL$323,Ajustes!$H305,O$2),0)+IF(Ajustes!$I305&gt;0,INDEX($AA$4:$AL$323,Ajustes!$I305,O$2),0)+IF(Ajustes!$J305&gt;0,INDEX($AA$4:$AL$323,Ajustes!$J305,O$2),0)+IF(Ajustes!$K305&gt;0,INDEX($AA$5:$AL$324,Ajustes!$K305,O$2),0)+IF(Ajustes!$L305&gt;0,INDEX($AA$4:$AL$323,Ajustes!$L305,O$2),0) + O305</f>
        <v>1232</v>
      </c>
      <c r="AB305">
        <f>IF(Ajustes!$G305&gt;0,INDEX($AA$4:$AL$323,Ajustes!$G305,P$2),0)+IF(Ajustes!$H305&gt;0,INDEX($AA$4:$AL$323,Ajustes!$H305,P$2),0)+IF(Ajustes!$I305&gt;0,INDEX($AA$4:$AL$323,Ajustes!$I305,P$2),0)+IF(Ajustes!$J305&gt;0,INDEX($AA$4:$AL$323,Ajustes!$J305,P$2),0)+IF(Ajustes!$K305&gt;0,INDEX($AA$5:$AL$324,Ajustes!$K305,P$2),0)+IF(Ajustes!$L305&gt;0,INDEX($AA$4:$AL$323,Ajustes!$L305,P$2),0) + P305</f>
        <v>2641</v>
      </c>
      <c r="AC305">
        <f>IF(Ajustes!$G305&gt;0,INDEX($AA$4:$AL$323,Ajustes!$G305,Q$2),0)+IF(Ajustes!$H305&gt;0,INDEX($AA$4:$AL$323,Ajustes!$H305,Q$2),0)+IF(Ajustes!$I305&gt;0,INDEX($AA$4:$AL$323,Ajustes!$I305,Q$2),0)+IF(Ajustes!$J305&gt;0,INDEX($AA$4:$AL$323,Ajustes!$J305,Q$2),0)+IF(Ajustes!$K305&gt;0,INDEX($AA$5:$AL$324,Ajustes!$K305,Q$2),0)+IF(Ajustes!$L305&gt;0,INDEX($AA$4:$AL$323,Ajustes!$L305,Q$2),0) + Q305</f>
        <v>6228</v>
      </c>
      <c r="AD305">
        <f>IF(Ajustes!$G305&gt;0,INDEX($AA$4:$AL$323,Ajustes!$G305,R$2),0)+IF(Ajustes!$H305&gt;0,INDEX($AA$4:$AL$323,Ajustes!$H305,R$2),0)+IF(Ajustes!$I305&gt;0,INDEX($AA$4:$AL$323,Ajustes!$I305,R$2),0)+IF(Ajustes!$J305&gt;0,INDEX($AA$4:$AL$323,Ajustes!$J305,R$2),0)+IF(Ajustes!$K305&gt;0,INDEX($AA$5:$AL$324,Ajustes!$K305,R$2),0)+IF(Ajustes!$L305&gt;0,INDEX($AA$4:$AL$323,Ajustes!$L305,R$2),0) + R305</f>
        <v>10039</v>
      </c>
      <c r="AE305">
        <f>IF(Ajustes!$G305&gt;0,INDEX($AA$4:$AL$323,Ajustes!$G305,S$2),0)+IF(Ajustes!$H305&gt;0,INDEX($AA$4:$AL$323,Ajustes!$H305,S$2),0)+IF(Ajustes!$I305&gt;0,INDEX($AA$4:$AL$323,Ajustes!$I305,S$2),0)+IF(Ajustes!$J305&gt;0,INDEX($AA$4:$AL$323,Ajustes!$J305,S$2),0)+IF(Ajustes!$K305&gt;0,INDEX($AA$5:$AL$324,Ajustes!$K305,S$2),0)+IF(Ajustes!$L305&gt;0,INDEX($AA$4:$AL$323,Ajustes!$L305,S$2),0) + S305</f>
        <v>4806</v>
      </c>
      <c r="AF305">
        <f>IF(Ajustes!$G305&gt;0,INDEX($AA$4:$AL$323,Ajustes!$G305,T$2),0)+IF(Ajustes!$H305&gt;0,INDEX($AA$4:$AL$323,Ajustes!$H305,T$2),0)+IF(Ajustes!$I305&gt;0,INDEX($AA$4:$AL$323,Ajustes!$I305,T$2),0)+IF(Ajustes!$J305&gt;0,INDEX($AA$4:$AL$323,Ajustes!$J305,T$2),0)+IF(Ajustes!$K305&gt;0,INDEX($AA$5:$AL$324,Ajustes!$K305,T$2),0)+IF(Ajustes!$L305&gt;0,INDEX($AA$4:$AL$323,Ajustes!$L305,T$2),0) + T305</f>
        <v>1605</v>
      </c>
      <c r="AG305">
        <f>IF(Ajustes!$G305&gt;0,INDEX($AA$4:$AL$323,Ajustes!$G305,U$2),0)+IF(Ajustes!$H305&gt;0,INDEX($AA$4:$AL$323,Ajustes!$H305,U$2),0)+IF(Ajustes!$I305&gt;0,INDEX($AA$4:$AL$323,Ajustes!$I305,U$2),0)+IF(Ajustes!$J305&gt;0,INDEX($AA$4:$AL$323,Ajustes!$J305,U$2),0)+IF(Ajustes!$K305&gt;0,INDEX($AA$5:$AL$324,Ajustes!$K305,U$2),0)+IF(Ajustes!$L305&gt;0,INDEX($AA$4:$AL$323,Ajustes!$L305,U$2),0) + U305</f>
        <v>1101</v>
      </c>
      <c r="AH305">
        <f>IF(Ajustes!$G305&gt;0,INDEX($AA$4:$AL$323,Ajustes!$G305,V$2),0)+IF(Ajustes!$H305&gt;0,INDEX($AA$4:$AL$323,Ajustes!$H305,V$2),0)+IF(Ajustes!$I305&gt;0,INDEX($AA$4:$AL$323,Ajustes!$I305,V$2),0)+IF(Ajustes!$J305&gt;0,INDEX($AA$4:$AL$323,Ajustes!$J305,V$2),0)+IF(Ajustes!$K305&gt;0,INDEX($AA$5:$AL$324,Ajustes!$K305,V$2),0)+IF(Ajustes!$L305&gt;0,INDEX($AA$4:$AL$323,Ajustes!$L305,V$2),0) + V305</f>
        <v>900</v>
      </c>
      <c r="AI305">
        <f>IF(Ajustes!$G305&gt;0,INDEX($AA$4:$AL$323,Ajustes!$G305,W$2),0)+IF(Ajustes!$H305&gt;0,INDEX($AA$4:$AL$323,Ajustes!$H305,W$2),0)+IF(Ajustes!$I305&gt;0,INDEX($AA$4:$AL$323,Ajustes!$I305,W$2),0)+IF(Ajustes!$J305&gt;0,INDEX($AA$4:$AL$323,Ajustes!$J305,W$2),0)+IF(Ajustes!$K305&gt;0,INDEX($AA$5:$AL$324,Ajustes!$K305,W$2),0)+IF(Ajustes!$L305&gt;0,INDEX($AA$4:$AL$323,Ajustes!$L305,W$2),0) + W305</f>
        <v>743</v>
      </c>
      <c r="AJ305">
        <f>IF(Ajustes!$G305&gt;0,INDEX($AA$4:$AL$323,Ajustes!$G305,X$2),0)+IF(Ajustes!$H305&gt;0,INDEX($AA$4:$AL$323,Ajustes!$H305,X$2),0)+IF(Ajustes!$I305&gt;0,INDEX($AA$4:$AL$323,Ajustes!$I305,X$2),0)+IF(Ajustes!$J305&gt;0,INDEX($AA$4:$AL$323,Ajustes!$J305,X$2),0)+IF(Ajustes!$K305&gt;0,INDEX($AA$5:$AL$324,Ajustes!$K305,X$2),0)+IF(Ajustes!$L305&gt;0,INDEX($AA$4:$AL$323,Ajustes!$L305,X$2),0) + X305</f>
        <v>687</v>
      </c>
      <c r="AK305">
        <f>IF(Ajustes!$G305&gt;0,INDEX($AA$4:$AL$323,Ajustes!$G305,Y$2),0)+IF(Ajustes!$H305&gt;0,INDEX($AA$4:$AL$323,Ajustes!$H305,Y$2),0)+IF(Ajustes!$I305&gt;0,INDEX($AA$4:$AL$323,Ajustes!$I305,Y$2),0)+IF(Ajustes!$J305&gt;0,INDEX($AA$4:$AL$323,Ajustes!$J305,Y$2),0)+IF(Ajustes!$K305&gt;0,INDEX($AA$5:$AL$324,Ajustes!$K305,Y$2),0)+IF(Ajustes!$L305&gt;0,INDEX($AA$4:$AL$323,Ajustes!$L305,Y$2),0) + Y305</f>
        <v>797</v>
      </c>
      <c r="AL305">
        <f>IF(Ajustes!$G305&gt;0,INDEX($AA$4:$AL$323,Ajustes!$G305,Z$2),0)+IF(Ajustes!$H305&gt;0,INDEX($AA$4:$AL$323,Ajustes!$H305,Z$2),0)+IF(Ajustes!$I305&gt;0,INDEX($AA$4:$AL$323,Ajustes!$I305,Z$2),0)+IF(Ajustes!$J305&gt;0,INDEX($AA$4:$AL$323,Ajustes!$J305,Z$2),0)+IF(Ajustes!$K305&gt;0,INDEX($AA$5:$AL$324,Ajustes!$K305,Z$2),0)+IF(Ajustes!$L305&gt;0,INDEX($AA$4:$AL$323,Ajustes!$L305,Z$2),0) + Z305</f>
        <v>900</v>
      </c>
      <c r="AM305" s="113">
        <f t="shared" si="60"/>
        <v>1232</v>
      </c>
      <c r="AN305" s="113">
        <f t="shared" si="60"/>
        <v>2641</v>
      </c>
      <c r="AO305" s="113">
        <f t="shared" si="60"/>
        <v>6228</v>
      </c>
      <c r="AP305" s="113">
        <f t="shared" si="60"/>
        <v>10039</v>
      </c>
      <c r="AQ305" s="113">
        <f t="shared" si="60"/>
        <v>4806</v>
      </c>
      <c r="AR305" s="113">
        <f t="shared" si="60"/>
        <v>1605</v>
      </c>
      <c r="AS305" s="113">
        <f t="shared" si="60"/>
        <v>1101</v>
      </c>
      <c r="AT305" s="113">
        <f t="shared" si="60"/>
        <v>900</v>
      </c>
      <c r="AU305" s="113">
        <f t="shared" si="60"/>
        <v>743</v>
      </c>
      <c r="AV305" s="113">
        <f t="shared" si="60"/>
        <v>687</v>
      </c>
      <c r="AW305" s="113">
        <f t="shared" si="60"/>
        <v>797</v>
      </c>
      <c r="AX305" s="113">
        <f t="shared" si="60"/>
        <v>900</v>
      </c>
    </row>
    <row r="306" spans="1:50" x14ac:dyDescent="0.25">
      <c r="A306" s="113">
        <v>303</v>
      </c>
      <c r="B306" s="209" t="s">
        <v>684</v>
      </c>
      <c r="C306">
        <f>IFERROR(INDEX($BD$7:$BO$35,MATCH(Ajustes!$E$4:$E$323,$BC$7:$BC$35,0),$C$2:$N$2),1)</f>
        <v>1</v>
      </c>
      <c r="D306" s="113">
        <f>IFERROR(INDEX($BD$7:$BO$35,MATCH(Ajustes!$E$4:$E$323,$BC$7:$BC$35,0),$C$2:$N$2),1)</f>
        <v>1</v>
      </c>
      <c r="E306" s="113">
        <f>IFERROR(INDEX($BD$7:$BO$35,MATCH(Ajustes!$E$4:$E$323,$BC$7:$BC$35,0),$C$2:$N$2),1)</f>
        <v>1</v>
      </c>
      <c r="F306" s="113">
        <f>IFERROR(INDEX($BD$7:$BO$35,MATCH(Ajustes!$E$4:$E$323,$BC$7:$BC$35,0),$C$2:$N$2),1)</f>
        <v>1</v>
      </c>
      <c r="G306" s="113">
        <f>IFERROR(INDEX($BD$7:$BO$35,MATCH(Ajustes!$E$4:$E$323,$BC$7:$BC$35,0),$C$2:$N$2),1)</f>
        <v>1</v>
      </c>
      <c r="H306" s="113">
        <f>IFERROR(INDEX($BD$7:$BO$35,MATCH(Ajustes!$E$4:$E$323,$BC$7:$BC$35,0),$C$2:$N$2),1)</f>
        <v>1</v>
      </c>
      <c r="I306" s="113">
        <f>IFERROR(INDEX($BD$7:$BO$35,MATCH(Ajustes!$E$4:$E$323,$BC$7:$BC$35,0),$C$2:$N$2),1)</f>
        <v>1</v>
      </c>
      <c r="J306" s="113">
        <f>IFERROR(INDEX($BD$7:$BO$35,MATCH(Ajustes!$E$4:$E$323,$BC$7:$BC$35,0),$C$2:$N$2),1)</f>
        <v>1</v>
      </c>
      <c r="K306" s="113">
        <f>IFERROR(INDEX($BD$7:$BO$35,MATCH(Ajustes!$E$4:$E$323,$BC$7:$BC$35,0),$C$2:$N$2),1)</f>
        <v>1</v>
      </c>
      <c r="L306" s="113">
        <f>IFERROR(INDEX($BD$7:$BO$35,MATCH(Ajustes!$E$4:$E$323,$BC$7:$BC$35,0),$C$2:$N$2),1)</f>
        <v>1</v>
      </c>
      <c r="M306" s="113">
        <f>IFERROR(INDEX($BD$7:$BO$35,MATCH(Ajustes!$E$4:$E$323,$BC$7:$BC$35,0),$C$2:$N$2),1)</f>
        <v>1</v>
      </c>
      <c r="N306" s="113">
        <f>IFERROR(INDEX($BD$7:$BO$35,MATCH(Ajustes!$E$4:$E$323,$BC$7:$BC$35,0),$C$2:$N$2),1)</f>
        <v>1</v>
      </c>
      <c r="O306">
        <f>C306*Ajustes!AM306</f>
        <v>46</v>
      </c>
      <c r="P306">
        <f>D306*Ajustes!AN306</f>
        <v>46</v>
      </c>
      <c r="Q306">
        <f>E306*Ajustes!AO306</f>
        <v>46</v>
      </c>
      <c r="R306">
        <f>F306*Ajustes!AP306</f>
        <v>41</v>
      </c>
      <c r="S306">
        <f>G306*Ajustes!AQ306</f>
        <v>28</v>
      </c>
      <c r="T306">
        <f>H306*Ajustes!AR306</f>
        <v>18</v>
      </c>
      <c r="U306">
        <f>I306*Ajustes!AS306</f>
        <v>12</v>
      </c>
      <c r="V306">
        <f>J306*Ajustes!AT306</f>
        <v>9</v>
      </c>
      <c r="W306">
        <f>K306*Ajustes!AU306</f>
        <v>10</v>
      </c>
      <c r="X306">
        <f>L306*Ajustes!AV306</f>
        <v>15</v>
      </c>
      <c r="Y306">
        <f>M306*Ajustes!AW306</f>
        <v>26</v>
      </c>
      <c r="Z306">
        <f>N306*Ajustes!AX306</f>
        <v>41</v>
      </c>
      <c r="AA306">
        <f>IF(Ajustes!$G306&gt;0,INDEX($AA$4:$AL$323,Ajustes!$G306,O$2),0)+IF(Ajustes!$H306&gt;0,INDEX($AA$4:$AL$323,Ajustes!$H306,O$2),0)+IF(Ajustes!$I306&gt;0,INDEX($AA$4:$AL$323,Ajustes!$I306,O$2),0)+IF(Ajustes!$J306&gt;0,INDEX($AA$4:$AL$323,Ajustes!$J306,O$2),0)+IF(Ajustes!$K306&gt;0,INDEX($AA$5:$AL$324,Ajustes!$K306,O$2),0)+IF(Ajustes!$L306&gt;0,INDEX($AA$4:$AL$323,Ajustes!$L306,O$2),0) + O306</f>
        <v>46</v>
      </c>
      <c r="AB306">
        <f>IF(Ajustes!$G306&gt;0,INDEX($AA$4:$AL$323,Ajustes!$G306,P$2),0)+IF(Ajustes!$H306&gt;0,INDEX($AA$4:$AL$323,Ajustes!$H306,P$2),0)+IF(Ajustes!$I306&gt;0,INDEX($AA$4:$AL$323,Ajustes!$I306,P$2),0)+IF(Ajustes!$J306&gt;0,INDEX($AA$4:$AL$323,Ajustes!$J306,P$2),0)+IF(Ajustes!$K306&gt;0,INDEX($AA$5:$AL$324,Ajustes!$K306,P$2),0)+IF(Ajustes!$L306&gt;0,INDEX($AA$4:$AL$323,Ajustes!$L306,P$2),0) + P306</f>
        <v>46</v>
      </c>
      <c r="AC306">
        <f>IF(Ajustes!$G306&gt;0,INDEX($AA$4:$AL$323,Ajustes!$G306,Q$2),0)+IF(Ajustes!$H306&gt;0,INDEX($AA$4:$AL$323,Ajustes!$H306,Q$2),0)+IF(Ajustes!$I306&gt;0,INDEX($AA$4:$AL$323,Ajustes!$I306,Q$2),0)+IF(Ajustes!$J306&gt;0,INDEX($AA$4:$AL$323,Ajustes!$J306,Q$2),0)+IF(Ajustes!$K306&gt;0,INDEX($AA$5:$AL$324,Ajustes!$K306,Q$2),0)+IF(Ajustes!$L306&gt;0,INDEX($AA$4:$AL$323,Ajustes!$L306,Q$2),0) + Q306</f>
        <v>46</v>
      </c>
      <c r="AD306">
        <f>IF(Ajustes!$G306&gt;0,INDEX($AA$4:$AL$323,Ajustes!$G306,R$2),0)+IF(Ajustes!$H306&gt;0,INDEX($AA$4:$AL$323,Ajustes!$H306,R$2),0)+IF(Ajustes!$I306&gt;0,INDEX($AA$4:$AL$323,Ajustes!$I306,R$2),0)+IF(Ajustes!$J306&gt;0,INDEX($AA$4:$AL$323,Ajustes!$J306,R$2),0)+IF(Ajustes!$K306&gt;0,INDEX($AA$5:$AL$324,Ajustes!$K306,R$2),0)+IF(Ajustes!$L306&gt;0,INDEX($AA$4:$AL$323,Ajustes!$L306,R$2),0) + R306</f>
        <v>41</v>
      </c>
      <c r="AE306">
        <f>IF(Ajustes!$G306&gt;0,INDEX($AA$4:$AL$323,Ajustes!$G306,S$2),0)+IF(Ajustes!$H306&gt;0,INDEX($AA$4:$AL$323,Ajustes!$H306,S$2),0)+IF(Ajustes!$I306&gt;0,INDEX($AA$4:$AL$323,Ajustes!$I306,S$2),0)+IF(Ajustes!$J306&gt;0,INDEX($AA$4:$AL$323,Ajustes!$J306,S$2),0)+IF(Ajustes!$K306&gt;0,INDEX($AA$5:$AL$324,Ajustes!$K306,S$2),0)+IF(Ajustes!$L306&gt;0,INDEX($AA$4:$AL$323,Ajustes!$L306,S$2),0) + S306</f>
        <v>28</v>
      </c>
      <c r="AF306">
        <f>IF(Ajustes!$G306&gt;0,INDEX($AA$4:$AL$323,Ajustes!$G306,T$2),0)+IF(Ajustes!$H306&gt;0,INDEX($AA$4:$AL$323,Ajustes!$H306,T$2),0)+IF(Ajustes!$I306&gt;0,INDEX($AA$4:$AL$323,Ajustes!$I306,T$2),0)+IF(Ajustes!$J306&gt;0,INDEX($AA$4:$AL$323,Ajustes!$J306,T$2),0)+IF(Ajustes!$K306&gt;0,INDEX($AA$5:$AL$324,Ajustes!$K306,T$2),0)+IF(Ajustes!$L306&gt;0,INDEX($AA$4:$AL$323,Ajustes!$L306,T$2),0) + T306</f>
        <v>18</v>
      </c>
      <c r="AG306">
        <f>IF(Ajustes!$G306&gt;0,INDEX($AA$4:$AL$323,Ajustes!$G306,U$2),0)+IF(Ajustes!$H306&gt;0,INDEX($AA$4:$AL$323,Ajustes!$H306,U$2),0)+IF(Ajustes!$I306&gt;0,INDEX($AA$4:$AL$323,Ajustes!$I306,U$2),0)+IF(Ajustes!$J306&gt;0,INDEX($AA$4:$AL$323,Ajustes!$J306,U$2),0)+IF(Ajustes!$K306&gt;0,INDEX($AA$5:$AL$324,Ajustes!$K306,U$2),0)+IF(Ajustes!$L306&gt;0,INDEX($AA$4:$AL$323,Ajustes!$L306,U$2),0) + U306</f>
        <v>12</v>
      </c>
      <c r="AH306">
        <f>IF(Ajustes!$G306&gt;0,INDEX($AA$4:$AL$323,Ajustes!$G306,V$2),0)+IF(Ajustes!$H306&gt;0,INDEX($AA$4:$AL$323,Ajustes!$H306,V$2),0)+IF(Ajustes!$I306&gt;0,INDEX($AA$4:$AL$323,Ajustes!$I306,V$2),0)+IF(Ajustes!$J306&gt;0,INDEX($AA$4:$AL$323,Ajustes!$J306,V$2),0)+IF(Ajustes!$K306&gt;0,INDEX($AA$5:$AL$324,Ajustes!$K306,V$2),0)+IF(Ajustes!$L306&gt;0,INDEX($AA$4:$AL$323,Ajustes!$L306,V$2),0) + V306</f>
        <v>9</v>
      </c>
      <c r="AI306">
        <f>IF(Ajustes!$G306&gt;0,INDEX($AA$4:$AL$323,Ajustes!$G306,W$2),0)+IF(Ajustes!$H306&gt;0,INDEX($AA$4:$AL$323,Ajustes!$H306,W$2),0)+IF(Ajustes!$I306&gt;0,INDEX($AA$4:$AL$323,Ajustes!$I306,W$2),0)+IF(Ajustes!$J306&gt;0,INDEX($AA$4:$AL$323,Ajustes!$J306,W$2),0)+IF(Ajustes!$K306&gt;0,INDEX($AA$5:$AL$324,Ajustes!$K306,W$2),0)+IF(Ajustes!$L306&gt;0,INDEX($AA$4:$AL$323,Ajustes!$L306,W$2),0) + W306</f>
        <v>10</v>
      </c>
      <c r="AJ306">
        <f>IF(Ajustes!$G306&gt;0,INDEX($AA$4:$AL$323,Ajustes!$G306,X$2),0)+IF(Ajustes!$H306&gt;0,INDEX($AA$4:$AL$323,Ajustes!$H306,X$2),0)+IF(Ajustes!$I306&gt;0,INDEX($AA$4:$AL$323,Ajustes!$I306,X$2),0)+IF(Ajustes!$J306&gt;0,INDEX($AA$4:$AL$323,Ajustes!$J306,X$2),0)+IF(Ajustes!$K306&gt;0,INDEX($AA$5:$AL$324,Ajustes!$K306,X$2),0)+IF(Ajustes!$L306&gt;0,INDEX($AA$4:$AL$323,Ajustes!$L306,X$2),0) + X306</f>
        <v>15</v>
      </c>
      <c r="AK306">
        <f>IF(Ajustes!$G306&gt;0,INDEX($AA$4:$AL$323,Ajustes!$G306,Y$2),0)+IF(Ajustes!$H306&gt;0,INDEX($AA$4:$AL$323,Ajustes!$H306,Y$2),0)+IF(Ajustes!$I306&gt;0,INDEX($AA$4:$AL$323,Ajustes!$I306,Y$2),0)+IF(Ajustes!$J306&gt;0,INDEX($AA$4:$AL$323,Ajustes!$J306,Y$2),0)+IF(Ajustes!$K306&gt;0,INDEX($AA$5:$AL$324,Ajustes!$K306,Y$2),0)+IF(Ajustes!$L306&gt;0,INDEX($AA$4:$AL$323,Ajustes!$L306,Y$2),0) + Y306</f>
        <v>26</v>
      </c>
      <c r="AL306">
        <f>IF(Ajustes!$G306&gt;0,INDEX($AA$4:$AL$323,Ajustes!$G306,Z$2),0)+IF(Ajustes!$H306&gt;0,INDEX($AA$4:$AL$323,Ajustes!$H306,Z$2),0)+IF(Ajustes!$I306&gt;0,INDEX($AA$4:$AL$323,Ajustes!$I306,Z$2),0)+IF(Ajustes!$J306&gt;0,INDEX($AA$4:$AL$323,Ajustes!$J306,Z$2),0)+IF(Ajustes!$K306&gt;0,INDEX($AA$5:$AL$324,Ajustes!$K306,Z$2),0)+IF(Ajustes!$L306&gt;0,INDEX($AA$4:$AL$323,Ajustes!$L306,Z$2),0) + Z306</f>
        <v>41</v>
      </c>
      <c r="AM306" s="219">
        <f t="shared" ref="AM306:AX306" si="61">AM135+MIN(AM319-AM134,51)</f>
        <v>68</v>
      </c>
      <c r="AN306" s="219">
        <f t="shared" si="61"/>
        <v>67</v>
      </c>
      <c r="AO306" s="219">
        <f t="shared" si="61"/>
        <v>64</v>
      </c>
      <c r="AP306" s="219">
        <f t="shared" si="61"/>
        <v>53</v>
      </c>
      <c r="AQ306" s="219">
        <f t="shared" si="61"/>
        <v>37</v>
      </c>
      <c r="AR306" s="219">
        <f t="shared" si="61"/>
        <v>12</v>
      </c>
      <c r="AS306" s="219">
        <f t="shared" si="61"/>
        <v>10</v>
      </c>
      <c r="AT306" s="219">
        <f t="shared" si="61"/>
        <v>8</v>
      </c>
      <c r="AU306" s="219">
        <f t="shared" si="61"/>
        <v>10</v>
      </c>
      <c r="AV306" s="219">
        <f t="shared" si="61"/>
        <v>11</v>
      </c>
      <c r="AW306" s="219">
        <f t="shared" si="61"/>
        <v>32</v>
      </c>
      <c r="AX306" s="219">
        <f t="shared" si="61"/>
        <v>55</v>
      </c>
    </row>
    <row r="307" spans="1:50" x14ac:dyDescent="0.25">
      <c r="A307" s="113">
        <v>304</v>
      </c>
      <c r="B307" s="209" t="s">
        <v>632</v>
      </c>
      <c r="C307">
        <f>IFERROR(INDEX($BD$7:$BO$35,MATCH(Ajustes!$E$4:$E$323,$BC$7:$BC$35,0),$C$2:$N$2),1)</f>
        <v>1</v>
      </c>
      <c r="D307" s="113">
        <f>IFERROR(INDEX($BD$7:$BO$35,MATCH(Ajustes!$E$4:$E$323,$BC$7:$BC$35,0),$C$2:$N$2),1)</f>
        <v>1</v>
      </c>
      <c r="E307" s="113">
        <f>IFERROR(INDEX($BD$7:$BO$35,MATCH(Ajustes!$E$4:$E$323,$BC$7:$BC$35,0),$C$2:$N$2),1)</f>
        <v>1</v>
      </c>
      <c r="F307" s="113">
        <f>IFERROR(INDEX($BD$7:$BO$35,MATCH(Ajustes!$E$4:$E$323,$BC$7:$BC$35,0),$C$2:$N$2),1)</f>
        <v>1</v>
      </c>
      <c r="G307" s="113">
        <f>IFERROR(INDEX($BD$7:$BO$35,MATCH(Ajustes!$E$4:$E$323,$BC$7:$BC$35,0),$C$2:$N$2),1)</f>
        <v>1</v>
      </c>
      <c r="H307" s="113">
        <f>IFERROR(INDEX($BD$7:$BO$35,MATCH(Ajustes!$E$4:$E$323,$BC$7:$BC$35,0),$C$2:$N$2),1)</f>
        <v>1</v>
      </c>
      <c r="I307" s="113">
        <f>IFERROR(INDEX($BD$7:$BO$35,MATCH(Ajustes!$E$4:$E$323,$BC$7:$BC$35,0),$C$2:$N$2),1)</f>
        <v>1</v>
      </c>
      <c r="J307" s="113">
        <f>IFERROR(INDEX($BD$7:$BO$35,MATCH(Ajustes!$E$4:$E$323,$BC$7:$BC$35,0),$C$2:$N$2),1)</f>
        <v>1</v>
      </c>
      <c r="K307" s="113">
        <f>IFERROR(INDEX($BD$7:$BO$35,MATCH(Ajustes!$E$4:$E$323,$BC$7:$BC$35,0),$C$2:$N$2),1)</f>
        <v>1</v>
      </c>
      <c r="L307" s="113">
        <f>IFERROR(INDEX($BD$7:$BO$35,MATCH(Ajustes!$E$4:$E$323,$BC$7:$BC$35,0),$C$2:$N$2),1)</f>
        <v>1</v>
      </c>
      <c r="M307" s="113">
        <f>IFERROR(INDEX($BD$7:$BO$35,MATCH(Ajustes!$E$4:$E$323,$BC$7:$BC$35,0),$C$2:$N$2),1)</f>
        <v>1</v>
      </c>
      <c r="N307" s="113">
        <f>IFERROR(INDEX($BD$7:$BO$35,MATCH(Ajustes!$E$4:$E$323,$BC$7:$BC$35,0),$C$2:$N$2),1)</f>
        <v>1</v>
      </c>
      <c r="O307">
        <f>C307*Ajustes!AM307</f>
        <v>3</v>
      </c>
      <c r="P307">
        <f>D307*Ajustes!AN307</f>
        <v>4</v>
      </c>
      <c r="Q307">
        <f>E307*Ajustes!AO307</f>
        <v>2</v>
      </c>
      <c r="R307">
        <f>F307*Ajustes!AP307</f>
        <v>0</v>
      </c>
      <c r="S307">
        <f>G307*Ajustes!AQ307</f>
        <v>0</v>
      </c>
      <c r="T307">
        <f>H307*Ajustes!AR307</f>
        <v>0</v>
      </c>
      <c r="U307">
        <f>I307*Ajustes!AS307</f>
        <v>0</v>
      </c>
      <c r="V307">
        <f>J307*Ajustes!AT307</f>
        <v>0</v>
      </c>
      <c r="W307">
        <f>K307*Ajustes!AU307</f>
        <v>0</v>
      </c>
      <c r="X307">
        <f>L307*Ajustes!AV307</f>
        <v>0</v>
      </c>
      <c r="Y307">
        <f>M307*Ajustes!AW307</f>
        <v>0</v>
      </c>
      <c r="Z307">
        <f>N307*Ajustes!AX307</f>
        <v>1</v>
      </c>
      <c r="AA307">
        <f>IF(Ajustes!$G307&gt;0,INDEX($AA$4:$AL$323,Ajustes!$G307,O$2),0)+IF(Ajustes!$H307&gt;0,INDEX($AA$4:$AL$323,Ajustes!$H307,O$2),0)+IF(Ajustes!$I307&gt;0,INDEX($AA$4:$AL$323,Ajustes!$I307,O$2),0)+IF(Ajustes!$J307&gt;0,INDEX($AA$4:$AL$323,Ajustes!$J307,O$2),0)+IF(Ajustes!$K307&gt;0,INDEX($AA$5:$AL$324,Ajustes!$K307,O$2),0)+IF(Ajustes!$L307&gt;0,INDEX($AA$4:$AL$323,Ajustes!$L307,O$2),0) + O307</f>
        <v>3</v>
      </c>
      <c r="AB307">
        <f>IF(Ajustes!$G307&gt;0,INDEX($AA$4:$AL$323,Ajustes!$G307,P$2),0)+IF(Ajustes!$H307&gt;0,INDEX($AA$4:$AL$323,Ajustes!$H307,P$2),0)+IF(Ajustes!$I307&gt;0,INDEX($AA$4:$AL$323,Ajustes!$I307,P$2),0)+IF(Ajustes!$J307&gt;0,INDEX($AA$4:$AL$323,Ajustes!$J307,P$2),0)+IF(Ajustes!$K307&gt;0,INDEX($AA$5:$AL$324,Ajustes!$K307,P$2),0)+IF(Ajustes!$L307&gt;0,INDEX($AA$4:$AL$323,Ajustes!$L307,P$2),0) + P307</f>
        <v>4</v>
      </c>
      <c r="AC307">
        <f>IF(Ajustes!$G307&gt;0,INDEX($AA$4:$AL$323,Ajustes!$G307,Q$2),0)+IF(Ajustes!$H307&gt;0,INDEX($AA$4:$AL$323,Ajustes!$H307,Q$2),0)+IF(Ajustes!$I307&gt;0,INDEX($AA$4:$AL$323,Ajustes!$I307,Q$2),0)+IF(Ajustes!$J307&gt;0,INDEX($AA$4:$AL$323,Ajustes!$J307,Q$2),0)+IF(Ajustes!$K307&gt;0,INDEX($AA$5:$AL$324,Ajustes!$K307,Q$2),0)+IF(Ajustes!$L307&gt;0,INDEX($AA$4:$AL$323,Ajustes!$L307,Q$2),0) + Q307</f>
        <v>2</v>
      </c>
      <c r="AD307">
        <f>IF(Ajustes!$G307&gt;0,INDEX($AA$4:$AL$323,Ajustes!$G307,R$2),0)+IF(Ajustes!$H307&gt;0,INDEX($AA$4:$AL$323,Ajustes!$H307,R$2),0)+IF(Ajustes!$I307&gt;0,INDEX($AA$4:$AL$323,Ajustes!$I307,R$2),0)+IF(Ajustes!$J307&gt;0,INDEX($AA$4:$AL$323,Ajustes!$J307,R$2),0)+IF(Ajustes!$K307&gt;0,INDEX($AA$5:$AL$324,Ajustes!$K307,R$2),0)+IF(Ajustes!$L307&gt;0,INDEX($AA$4:$AL$323,Ajustes!$L307,R$2),0) + R307</f>
        <v>0</v>
      </c>
      <c r="AE307">
        <f>IF(Ajustes!$G307&gt;0,INDEX($AA$4:$AL$323,Ajustes!$G307,S$2),0)+IF(Ajustes!$H307&gt;0,INDEX($AA$4:$AL$323,Ajustes!$H307,S$2),0)+IF(Ajustes!$I307&gt;0,INDEX($AA$4:$AL$323,Ajustes!$I307,S$2),0)+IF(Ajustes!$J307&gt;0,INDEX($AA$4:$AL$323,Ajustes!$J307,S$2),0)+IF(Ajustes!$K307&gt;0,INDEX($AA$5:$AL$324,Ajustes!$K307,S$2),0)+IF(Ajustes!$L307&gt;0,INDEX($AA$4:$AL$323,Ajustes!$L307,S$2),0) + S307</f>
        <v>0</v>
      </c>
      <c r="AF307">
        <f>IF(Ajustes!$G307&gt;0,INDEX($AA$4:$AL$323,Ajustes!$G307,T$2),0)+IF(Ajustes!$H307&gt;0,INDEX($AA$4:$AL$323,Ajustes!$H307,T$2),0)+IF(Ajustes!$I307&gt;0,INDEX($AA$4:$AL$323,Ajustes!$I307,T$2),0)+IF(Ajustes!$J307&gt;0,INDEX($AA$4:$AL$323,Ajustes!$J307,T$2),0)+IF(Ajustes!$K307&gt;0,INDEX($AA$5:$AL$324,Ajustes!$K307,T$2),0)+IF(Ajustes!$L307&gt;0,INDEX($AA$4:$AL$323,Ajustes!$L307,T$2),0) + T307</f>
        <v>0</v>
      </c>
      <c r="AG307">
        <f>IF(Ajustes!$G307&gt;0,INDEX($AA$4:$AL$323,Ajustes!$G307,U$2),0)+IF(Ajustes!$H307&gt;0,INDEX($AA$4:$AL$323,Ajustes!$H307,U$2),0)+IF(Ajustes!$I307&gt;0,INDEX($AA$4:$AL$323,Ajustes!$I307,U$2),0)+IF(Ajustes!$J307&gt;0,INDEX($AA$4:$AL$323,Ajustes!$J307,U$2),0)+IF(Ajustes!$K307&gt;0,INDEX($AA$5:$AL$324,Ajustes!$K307,U$2),0)+IF(Ajustes!$L307&gt;0,INDEX($AA$4:$AL$323,Ajustes!$L307,U$2),0) + U307</f>
        <v>0</v>
      </c>
      <c r="AH307">
        <f>IF(Ajustes!$G307&gt;0,INDEX($AA$4:$AL$323,Ajustes!$G307,V$2),0)+IF(Ajustes!$H307&gt;0,INDEX($AA$4:$AL$323,Ajustes!$H307,V$2),0)+IF(Ajustes!$I307&gt;0,INDEX($AA$4:$AL$323,Ajustes!$I307,V$2),0)+IF(Ajustes!$J307&gt;0,INDEX($AA$4:$AL$323,Ajustes!$J307,V$2),0)+IF(Ajustes!$K307&gt;0,INDEX($AA$5:$AL$324,Ajustes!$K307,V$2),0)+IF(Ajustes!$L307&gt;0,INDEX($AA$4:$AL$323,Ajustes!$L307,V$2),0) + V307</f>
        <v>0</v>
      </c>
      <c r="AI307">
        <f>IF(Ajustes!$G307&gt;0,INDEX($AA$4:$AL$323,Ajustes!$G307,W$2),0)+IF(Ajustes!$H307&gt;0,INDEX($AA$4:$AL$323,Ajustes!$H307,W$2),0)+IF(Ajustes!$I307&gt;0,INDEX($AA$4:$AL$323,Ajustes!$I307,W$2),0)+IF(Ajustes!$J307&gt;0,INDEX($AA$4:$AL$323,Ajustes!$J307,W$2),0)+IF(Ajustes!$K307&gt;0,INDEX($AA$5:$AL$324,Ajustes!$K307,W$2),0)+IF(Ajustes!$L307&gt;0,INDEX($AA$4:$AL$323,Ajustes!$L307,W$2),0) + W307</f>
        <v>0</v>
      </c>
      <c r="AJ307">
        <f>IF(Ajustes!$G307&gt;0,INDEX($AA$4:$AL$323,Ajustes!$G307,X$2),0)+IF(Ajustes!$H307&gt;0,INDEX($AA$4:$AL$323,Ajustes!$H307,X$2),0)+IF(Ajustes!$I307&gt;0,INDEX($AA$4:$AL$323,Ajustes!$I307,X$2),0)+IF(Ajustes!$J307&gt;0,INDEX($AA$4:$AL$323,Ajustes!$J307,X$2),0)+IF(Ajustes!$K307&gt;0,INDEX($AA$5:$AL$324,Ajustes!$K307,X$2),0)+IF(Ajustes!$L307&gt;0,INDEX($AA$4:$AL$323,Ajustes!$L307,X$2),0) + X307</f>
        <v>0</v>
      </c>
      <c r="AK307">
        <f>IF(Ajustes!$G307&gt;0,INDEX($AA$4:$AL$323,Ajustes!$G307,Y$2),0)+IF(Ajustes!$H307&gt;0,INDEX($AA$4:$AL$323,Ajustes!$H307,Y$2),0)+IF(Ajustes!$I307&gt;0,INDEX($AA$4:$AL$323,Ajustes!$I307,Y$2),0)+IF(Ajustes!$J307&gt;0,INDEX($AA$4:$AL$323,Ajustes!$J307,Y$2),0)+IF(Ajustes!$K307&gt;0,INDEX($AA$5:$AL$324,Ajustes!$K307,Y$2),0)+IF(Ajustes!$L307&gt;0,INDEX($AA$4:$AL$323,Ajustes!$L307,Y$2),0) + Y307</f>
        <v>0</v>
      </c>
      <c r="AL307">
        <f>IF(Ajustes!$G307&gt;0,INDEX($AA$4:$AL$323,Ajustes!$G307,Z$2),0)+IF(Ajustes!$H307&gt;0,INDEX($AA$4:$AL$323,Ajustes!$H307,Z$2),0)+IF(Ajustes!$I307&gt;0,INDEX($AA$4:$AL$323,Ajustes!$I307,Z$2),0)+IF(Ajustes!$J307&gt;0,INDEX($AA$4:$AL$323,Ajustes!$J307,Z$2),0)+IF(Ajustes!$K307&gt;0,INDEX($AA$5:$AL$324,Ajustes!$K307,Z$2),0)+IF(Ajustes!$L307&gt;0,INDEX($AA$4:$AL$323,Ajustes!$L307,Z$2),0) + Z307</f>
        <v>1</v>
      </c>
      <c r="AM307" s="219">
        <f t="shared" ref="AM307:AX307" si="62">AM318-AM319</f>
        <v>0</v>
      </c>
      <c r="AN307" s="219">
        <f t="shared" si="62"/>
        <v>0</v>
      </c>
      <c r="AO307" s="219">
        <f t="shared" si="62"/>
        <v>0</v>
      </c>
      <c r="AP307" s="219">
        <f t="shared" si="62"/>
        <v>0</v>
      </c>
      <c r="AQ307" s="219">
        <f t="shared" si="62"/>
        <v>0</v>
      </c>
      <c r="AR307" s="219">
        <f t="shared" si="62"/>
        <v>0</v>
      </c>
      <c r="AS307" s="219">
        <f t="shared" si="62"/>
        <v>0</v>
      </c>
      <c r="AT307" s="219">
        <f t="shared" si="62"/>
        <v>0</v>
      </c>
      <c r="AU307" s="219">
        <f t="shared" si="62"/>
        <v>0</v>
      </c>
      <c r="AV307" s="219">
        <f t="shared" si="62"/>
        <v>0</v>
      </c>
      <c r="AW307" s="219">
        <f t="shared" si="62"/>
        <v>0</v>
      </c>
      <c r="AX307" s="219">
        <f t="shared" si="62"/>
        <v>0</v>
      </c>
    </row>
    <row r="308" spans="1:50" x14ac:dyDescent="0.25">
      <c r="A308" s="113">
        <v>305</v>
      </c>
      <c r="B308" s="209"/>
      <c r="C308">
        <f>IFERROR(INDEX($BD$7:$BO$35,MATCH(Ajustes!$E$4:$E$323,$BC$7:$BC$35,0),$C$2:$N$2),1)</f>
        <v>1</v>
      </c>
      <c r="D308" s="113">
        <f>IFERROR(INDEX($BD$7:$BO$35,MATCH(Ajustes!$E$4:$E$323,$BC$7:$BC$35,0),$C$2:$N$2),1)</f>
        <v>1</v>
      </c>
      <c r="E308" s="113">
        <f>IFERROR(INDEX($BD$7:$BO$35,MATCH(Ajustes!$E$4:$E$323,$BC$7:$BC$35,0),$C$2:$N$2),1)</f>
        <v>1</v>
      </c>
      <c r="F308" s="113">
        <f>IFERROR(INDEX($BD$7:$BO$35,MATCH(Ajustes!$E$4:$E$323,$BC$7:$BC$35,0),$C$2:$N$2),1)</f>
        <v>1</v>
      </c>
      <c r="G308" s="113">
        <f>IFERROR(INDEX($BD$7:$BO$35,MATCH(Ajustes!$E$4:$E$323,$BC$7:$BC$35,0),$C$2:$N$2),1)</f>
        <v>1</v>
      </c>
      <c r="H308" s="113">
        <f>IFERROR(INDEX($BD$7:$BO$35,MATCH(Ajustes!$E$4:$E$323,$BC$7:$BC$35,0),$C$2:$N$2),1)</f>
        <v>1</v>
      </c>
      <c r="I308" s="113">
        <f>IFERROR(INDEX($BD$7:$BO$35,MATCH(Ajustes!$E$4:$E$323,$BC$7:$BC$35,0),$C$2:$N$2),1)</f>
        <v>1</v>
      </c>
      <c r="J308" s="113">
        <f>IFERROR(INDEX($BD$7:$BO$35,MATCH(Ajustes!$E$4:$E$323,$BC$7:$BC$35,0),$C$2:$N$2),1)</f>
        <v>1</v>
      </c>
      <c r="K308" s="113">
        <f>IFERROR(INDEX($BD$7:$BO$35,MATCH(Ajustes!$E$4:$E$323,$BC$7:$BC$35,0),$C$2:$N$2),1)</f>
        <v>1</v>
      </c>
      <c r="L308" s="113">
        <f>IFERROR(INDEX($BD$7:$BO$35,MATCH(Ajustes!$E$4:$E$323,$BC$7:$BC$35,0),$C$2:$N$2),1)</f>
        <v>1</v>
      </c>
      <c r="M308" s="113">
        <f>IFERROR(INDEX($BD$7:$BO$35,MATCH(Ajustes!$E$4:$E$323,$BC$7:$BC$35,0),$C$2:$N$2),1)</f>
        <v>1</v>
      </c>
      <c r="N308" s="113">
        <f>IFERROR(INDEX($BD$7:$BO$35,MATCH(Ajustes!$E$4:$E$323,$BC$7:$BC$35,0),$C$2:$N$2),1)</f>
        <v>1</v>
      </c>
      <c r="O308">
        <f>C308*Ajustes!AM308</f>
        <v>0</v>
      </c>
      <c r="P308">
        <f>D308*Ajustes!AN308</f>
        <v>0</v>
      </c>
      <c r="Q308">
        <f>E308*Ajustes!AO308</f>
        <v>0</v>
      </c>
      <c r="R308">
        <f>F308*Ajustes!AP308</f>
        <v>0</v>
      </c>
      <c r="S308">
        <f>G308*Ajustes!AQ308</f>
        <v>0</v>
      </c>
      <c r="T308">
        <f>H308*Ajustes!AR308</f>
        <v>0</v>
      </c>
      <c r="U308">
        <f>I308*Ajustes!AS308</f>
        <v>0</v>
      </c>
      <c r="V308">
        <f>J308*Ajustes!AT308</f>
        <v>0</v>
      </c>
      <c r="W308">
        <f>K308*Ajustes!AU308</f>
        <v>0</v>
      </c>
      <c r="X308">
        <f>L308*Ajustes!AV308</f>
        <v>0</v>
      </c>
      <c r="Y308">
        <f>M308*Ajustes!AW308</f>
        <v>0</v>
      </c>
      <c r="Z308">
        <f>N308*Ajustes!AX308</f>
        <v>0</v>
      </c>
      <c r="AA308">
        <f>IF(Ajustes!$G308&gt;0,INDEX($AA$4:$AL$323,Ajustes!$G308,O$2),0)+IF(Ajustes!$H308&gt;0,INDEX($AA$4:$AL$323,Ajustes!$H308,O$2),0)+IF(Ajustes!$I308&gt;0,INDEX($AA$4:$AL$323,Ajustes!$I308,O$2),0)+IF(Ajustes!$J308&gt;0,INDEX($AA$4:$AL$323,Ajustes!$J308,O$2),0)+IF(Ajustes!$K308&gt;0,INDEX($AA$5:$AL$324,Ajustes!$K308,O$2),0)+IF(Ajustes!$L308&gt;0,INDEX($AA$4:$AL$323,Ajustes!$L308,O$2),0) + O308</f>
        <v>0</v>
      </c>
      <c r="AB308">
        <f>IF(Ajustes!$G308&gt;0,INDEX($AA$4:$AL$323,Ajustes!$G308,P$2),0)+IF(Ajustes!$H308&gt;0,INDEX($AA$4:$AL$323,Ajustes!$H308,P$2),0)+IF(Ajustes!$I308&gt;0,INDEX($AA$4:$AL$323,Ajustes!$I308,P$2),0)+IF(Ajustes!$J308&gt;0,INDEX($AA$4:$AL$323,Ajustes!$J308,P$2),0)+IF(Ajustes!$K308&gt;0,INDEX($AA$5:$AL$324,Ajustes!$K308,P$2),0)+IF(Ajustes!$L308&gt;0,INDEX($AA$4:$AL$323,Ajustes!$L308,P$2),0) + P308</f>
        <v>0</v>
      </c>
      <c r="AC308">
        <f>IF(Ajustes!$G308&gt;0,INDEX($AA$4:$AL$323,Ajustes!$G308,Q$2),0)+IF(Ajustes!$H308&gt;0,INDEX($AA$4:$AL$323,Ajustes!$H308,Q$2),0)+IF(Ajustes!$I308&gt;0,INDEX($AA$4:$AL$323,Ajustes!$I308,Q$2),0)+IF(Ajustes!$J308&gt;0,INDEX($AA$4:$AL$323,Ajustes!$J308,Q$2),0)+IF(Ajustes!$K308&gt;0,INDEX($AA$5:$AL$324,Ajustes!$K308,Q$2),0)+IF(Ajustes!$L308&gt;0,INDEX($AA$4:$AL$323,Ajustes!$L308,Q$2),0) + Q308</f>
        <v>0</v>
      </c>
      <c r="AD308">
        <f>IF(Ajustes!$G308&gt;0,INDEX($AA$4:$AL$323,Ajustes!$G308,R$2),0)+IF(Ajustes!$H308&gt;0,INDEX($AA$4:$AL$323,Ajustes!$H308,R$2),0)+IF(Ajustes!$I308&gt;0,INDEX($AA$4:$AL$323,Ajustes!$I308,R$2),0)+IF(Ajustes!$J308&gt;0,INDEX($AA$4:$AL$323,Ajustes!$J308,R$2),0)+IF(Ajustes!$K308&gt;0,INDEX($AA$5:$AL$324,Ajustes!$K308,R$2),0)+IF(Ajustes!$L308&gt;0,INDEX($AA$4:$AL$323,Ajustes!$L308,R$2),0) + R308</f>
        <v>0</v>
      </c>
      <c r="AE308">
        <f>IF(Ajustes!$G308&gt;0,INDEX($AA$4:$AL$323,Ajustes!$G308,S$2),0)+IF(Ajustes!$H308&gt;0,INDEX($AA$4:$AL$323,Ajustes!$H308,S$2),0)+IF(Ajustes!$I308&gt;0,INDEX($AA$4:$AL$323,Ajustes!$I308,S$2),0)+IF(Ajustes!$J308&gt;0,INDEX($AA$4:$AL$323,Ajustes!$J308,S$2),0)+IF(Ajustes!$K308&gt;0,INDEX($AA$5:$AL$324,Ajustes!$K308,S$2),0)+IF(Ajustes!$L308&gt;0,INDEX($AA$4:$AL$323,Ajustes!$L308,S$2),0) + S308</f>
        <v>0</v>
      </c>
      <c r="AF308">
        <f>IF(Ajustes!$G308&gt;0,INDEX($AA$4:$AL$323,Ajustes!$G308,T$2),0)+IF(Ajustes!$H308&gt;0,INDEX($AA$4:$AL$323,Ajustes!$H308,T$2),0)+IF(Ajustes!$I308&gt;0,INDEX($AA$4:$AL$323,Ajustes!$I308,T$2),0)+IF(Ajustes!$J308&gt;0,INDEX($AA$4:$AL$323,Ajustes!$J308,T$2),0)+IF(Ajustes!$K308&gt;0,INDEX($AA$5:$AL$324,Ajustes!$K308,T$2),0)+IF(Ajustes!$L308&gt;0,INDEX($AA$4:$AL$323,Ajustes!$L308,T$2),0) + T308</f>
        <v>0</v>
      </c>
      <c r="AG308">
        <f>IF(Ajustes!$G308&gt;0,INDEX($AA$4:$AL$323,Ajustes!$G308,U$2),0)+IF(Ajustes!$H308&gt;0,INDEX($AA$4:$AL$323,Ajustes!$H308,U$2),0)+IF(Ajustes!$I308&gt;0,INDEX($AA$4:$AL$323,Ajustes!$I308,U$2),0)+IF(Ajustes!$J308&gt;0,INDEX($AA$4:$AL$323,Ajustes!$J308,U$2),0)+IF(Ajustes!$K308&gt;0,INDEX($AA$5:$AL$324,Ajustes!$K308,U$2),0)+IF(Ajustes!$L308&gt;0,INDEX($AA$4:$AL$323,Ajustes!$L308,U$2),0) + U308</f>
        <v>0</v>
      </c>
      <c r="AH308">
        <f>IF(Ajustes!$G308&gt;0,INDEX($AA$4:$AL$323,Ajustes!$G308,V$2),0)+IF(Ajustes!$H308&gt;0,INDEX($AA$4:$AL$323,Ajustes!$H308,V$2),0)+IF(Ajustes!$I308&gt;0,INDEX($AA$4:$AL$323,Ajustes!$I308,V$2),0)+IF(Ajustes!$J308&gt;0,INDEX($AA$4:$AL$323,Ajustes!$J308,V$2),0)+IF(Ajustes!$K308&gt;0,INDEX($AA$5:$AL$324,Ajustes!$K308,V$2),0)+IF(Ajustes!$L308&gt;0,INDEX($AA$4:$AL$323,Ajustes!$L308,V$2),0) + V308</f>
        <v>0</v>
      </c>
      <c r="AI308">
        <f>IF(Ajustes!$G308&gt;0,INDEX($AA$4:$AL$323,Ajustes!$G308,W$2),0)+IF(Ajustes!$H308&gt;0,INDEX($AA$4:$AL$323,Ajustes!$H308,W$2),0)+IF(Ajustes!$I308&gt;0,INDEX($AA$4:$AL$323,Ajustes!$I308,W$2),0)+IF(Ajustes!$J308&gt;0,INDEX($AA$4:$AL$323,Ajustes!$J308,W$2),0)+IF(Ajustes!$K308&gt;0,INDEX($AA$5:$AL$324,Ajustes!$K308,W$2),0)+IF(Ajustes!$L308&gt;0,INDEX($AA$4:$AL$323,Ajustes!$L308,W$2),0) + W308</f>
        <v>0</v>
      </c>
      <c r="AJ308">
        <f>IF(Ajustes!$G308&gt;0,INDEX($AA$4:$AL$323,Ajustes!$G308,X$2),0)+IF(Ajustes!$H308&gt;0,INDEX($AA$4:$AL$323,Ajustes!$H308,X$2),0)+IF(Ajustes!$I308&gt;0,INDEX($AA$4:$AL$323,Ajustes!$I308,X$2),0)+IF(Ajustes!$J308&gt;0,INDEX($AA$4:$AL$323,Ajustes!$J308,X$2),0)+IF(Ajustes!$K308&gt;0,INDEX($AA$5:$AL$324,Ajustes!$K308,X$2),0)+IF(Ajustes!$L308&gt;0,INDEX($AA$4:$AL$323,Ajustes!$L308,X$2),0) + X308</f>
        <v>0</v>
      </c>
      <c r="AK308">
        <f>IF(Ajustes!$G308&gt;0,INDEX($AA$4:$AL$323,Ajustes!$G308,Y$2),0)+IF(Ajustes!$H308&gt;0,INDEX($AA$4:$AL$323,Ajustes!$H308,Y$2),0)+IF(Ajustes!$I308&gt;0,INDEX($AA$4:$AL$323,Ajustes!$I308,Y$2),0)+IF(Ajustes!$J308&gt;0,INDEX($AA$4:$AL$323,Ajustes!$J308,Y$2),0)+IF(Ajustes!$K308&gt;0,INDEX($AA$5:$AL$324,Ajustes!$K308,Y$2),0)+IF(Ajustes!$L308&gt;0,INDEX($AA$4:$AL$323,Ajustes!$L308,Y$2),0) + Y308</f>
        <v>0</v>
      </c>
      <c r="AL308">
        <f>IF(Ajustes!$G308&gt;0,INDEX($AA$4:$AL$323,Ajustes!$G308,Z$2),0)+IF(Ajustes!$H308&gt;0,INDEX($AA$4:$AL$323,Ajustes!$H308,Z$2),0)+IF(Ajustes!$I308&gt;0,INDEX($AA$4:$AL$323,Ajustes!$I308,Z$2),0)+IF(Ajustes!$J308&gt;0,INDEX($AA$4:$AL$323,Ajustes!$J308,Z$2),0)+IF(Ajustes!$K308&gt;0,INDEX($AA$5:$AL$324,Ajustes!$K308,Z$2),0)+IF(Ajustes!$L308&gt;0,INDEX($AA$4:$AL$323,Ajustes!$L308,Z$2),0) + Z308</f>
        <v>0</v>
      </c>
      <c r="AM308" s="113">
        <f t="shared" ref="AM308:AX308" si="63">AA308</f>
        <v>0</v>
      </c>
      <c r="AN308" s="113">
        <f t="shared" si="63"/>
        <v>0</v>
      </c>
      <c r="AO308" s="113">
        <f t="shared" si="63"/>
        <v>0</v>
      </c>
      <c r="AP308" s="113">
        <f t="shared" si="63"/>
        <v>0</v>
      </c>
      <c r="AQ308" s="113">
        <f t="shared" si="63"/>
        <v>0</v>
      </c>
      <c r="AR308" s="113">
        <f t="shared" si="63"/>
        <v>0</v>
      </c>
      <c r="AS308" s="113">
        <f t="shared" si="63"/>
        <v>0</v>
      </c>
      <c r="AT308" s="113">
        <f t="shared" si="63"/>
        <v>0</v>
      </c>
      <c r="AU308" s="113">
        <f t="shared" si="63"/>
        <v>0</v>
      </c>
      <c r="AV308" s="113">
        <f t="shared" si="63"/>
        <v>0</v>
      </c>
      <c r="AW308" s="113">
        <f t="shared" si="63"/>
        <v>0</v>
      </c>
      <c r="AX308" s="113">
        <f t="shared" si="63"/>
        <v>0</v>
      </c>
    </row>
    <row r="309" spans="1:50" x14ac:dyDescent="0.25">
      <c r="A309" s="113">
        <v>306</v>
      </c>
      <c r="B309" s="209" t="s">
        <v>270</v>
      </c>
      <c r="C309">
        <f>IFERROR(INDEX($BD$7:$BO$35,MATCH(Ajustes!$E$4:$E$323,$BC$7:$BC$35,0),$C$2:$N$2),1)</f>
        <v>1</v>
      </c>
      <c r="D309" s="113">
        <f>IFERROR(INDEX($BD$7:$BO$35,MATCH(Ajustes!$E$4:$E$323,$BC$7:$BC$35,0),$C$2:$N$2),1)</f>
        <v>1</v>
      </c>
      <c r="E309" s="113">
        <f>IFERROR(INDEX($BD$7:$BO$35,MATCH(Ajustes!$E$4:$E$323,$BC$7:$BC$35,0),$C$2:$N$2),1)</f>
        <v>1</v>
      </c>
      <c r="F309" s="113">
        <f>IFERROR(INDEX($BD$7:$BO$35,MATCH(Ajustes!$E$4:$E$323,$BC$7:$BC$35,0),$C$2:$N$2),1)</f>
        <v>1</v>
      </c>
      <c r="G309" s="113">
        <f>IFERROR(INDEX($BD$7:$BO$35,MATCH(Ajustes!$E$4:$E$323,$BC$7:$BC$35,0),$C$2:$N$2),1)</f>
        <v>1</v>
      </c>
      <c r="H309" s="113">
        <f>IFERROR(INDEX($BD$7:$BO$35,MATCH(Ajustes!$E$4:$E$323,$BC$7:$BC$35,0),$C$2:$N$2),1)</f>
        <v>1</v>
      </c>
      <c r="I309" s="113">
        <f>IFERROR(INDEX($BD$7:$BO$35,MATCH(Ajustes!$E$4:$E$323,$BC$7:$BC$35,0),$C$2:$N$2),1)</f>
        <v>1</v>
      </c>
      <c r="J309" s="113">
        <f>IFERROR(INDEX($BD$7:$BO$35,MATCH(Ajustes!$E$4:$E$323,$BC$7:$BC$35,0),$C$2:$N$2),1)</f>
        <v>1</v>
      </c>
      <c r="K309" s="113">
        <f>IFERROR(INDEX($BD$7:$BO$35,MATCH(Ajustes!$E$4:$E$323,$BC$7:$BC$35,0),$C$2:$N$2),1)</f>
        <v>1</v>
      </c>
      <c r="L309" s="113">
        <f>IFERROR(INDEX($BD$7:$BO$35,MATCH(Ajustes!$E$4:$E$323,$BC$7:$BC$35,0),$C$2:$N$2),1)</f>
        <v>1</v>
      </c>
      <c r="M309" s="113">
        <f>IFERROR(INDEX($BD$7:$BO$35,MATCH(Ajustes!$E$4:$E$323,$BC$7:$BC$35,0),$C$2:$N$2),1)</f>
        <v>1</v>
      </c>
      <c r="N309" s="113">
        <f>IFERROR(INDEX($BD$7:$BO$35,MATCH(Ajustes!$E$4:$E$323,$BC$7:$BC$35,0),$C$2:$N$2),1)</f>
        <v>1</v>
      </c>
      <c r="O309">
        <f>C309*Ajustes!AM309</f>
        <v>190</v>
      </c>
      <c r="P309">
        <f>D309*Ajustes!AN309</f>
        <v>189</v>
      </c>
      <c r="Q309">
        <f>E309*Ajustes!AO309</f>
        <v>190</v>
      </c>
      <c r="R309">
        <f>F309*Ajustes!AP309</f>
        <v>184</v>
      </c>
      <c r="S309">
        <f>G309*Ajustes!AQ309</f>
        <v>163</v>
      </c>
      <c r="T309">
        <f>H309*Ajustes!AR309</f>
        <v>140</v>
      </c>
      <c r="U309">
        <f>I309*Ajustes!AS309</f>
        <v>122</v>
      </c>
      <c r="V309">
        <f>J309*Ajustes!AT309</f>
        <v>106</v>
      </c>
      <c r="W309">
        <f>K309*Ajustes!AU309</f>
        <v>107</v>
      </c>
      <c r="X309">
        <f>L309*Ajustes!AV309</f>
        <v>127</v>
      </c>
      <c r="Y309">
        <f>M309*Ajustes!AW309</f>
        <v>157</v>
      </c>
      <c r="Z309">
        <f>N309*Ajustes!AX309</f>
        <v>183</v>
      </c>
      <c r="AA309">
        <f>IF(Ajustes!$G309&gt;0,INDEX($AA$4:$AL$323,Ajustes!$G309,O$2),0)+IF(Ajustes!$H309&gt;0,INDEX($AA$4:$AL$323,Ajustes!$H309,O$2),0)+IF(Ajustes!$I309&gt;0,INDEX($AA$4:$AL$323,Ajustes!$I309,O$2),0)+IF(Ajustes!$J309&gt;0,INDEX($AA$4:$AL$323,Ajustes!$J309,O$2),0)+IF(Ajustes!$K309&gt;0,INDEX($AA$5:$AL$324,Ajustes!$K309,O$2),0)+IF(Ajustes!$L309&gt;0,INDEX($AA$4:$AL$323,Ajustes!$L309,O$2),0) + O309</f>
        <v>190</v>
      </c>
      <c r="AB309">
        <f>IF(Ajustes!$G309&gt;0,INDEX($AA$4:$AL$323,Ajustes!$G309,P$2),0)+IF(Ajustes!$H309&gt;0,INDEX($AA$4:$AL$323,Ajustes!$H309,P$2),0)+IF(Ajustes!$I309&gt;0,INDEX($AA$4:$AL$323,Ajustes!$I309,P$2),0)+IF(Ajustes!$J309&gt;0,INDEX($AA$4:$AL$323,Ajustes!$J309,P$2),0)+IF(Ajustes!$K309&gt;0,INDEX($AA$5:$AL$324,Ajustes!$K309,P$2),0)+IF(Ajustes!$L309&gt;0,INDEX($AA$4:$AL$323,Ajustes!$L309,P$2),0) + P309</f>
        <v>189</v>
      </c>
      <c r="AC309">
        <f>IF(Ajustes!$G309&gt;0,INDEX($AA$4:$AL$323,Ajustes!$G309,Q$2),0)+IF(Ajustes!$H309&gt;0,INDEX($AA$4:$AL$323,Ajustes!$H309,Q$2),0)+IF(Ajustes!$I309&gt;0,INDEX($AA$4:$AL$323,Ajustes!$I309,Q$2),0)+IF(Ajustes!$J309&gt;0,INDEX($AA$4:$AL$323,Ajustes!$J309,Q$2),0)+IF(Ajustes!$K309&gt;0,INDEX($AA$5:$AL$324,Ajustes!$K309,Q$2),0)+IF(Ajustes!$L309&gt;0,INDEX($AA$4:$AL$323,Ajustes!$L309,Q$2),0) + Q309</f>
        <v>190</v>
      </c>
      <c r="AD309">
        <f>IF(Ajustes!$G309&gt;0,INDEX($AA$4:$AL$323,Ajustes!$G309,R$2),0)+IF(Ajustes!$H309&gt;0,INDEX($AA$4:$AL$323,Ajustes!$H309,R$2),0)+IF(Ajustes!$I309&gt;0,INDEX($AA$4:$AL$323,Ajustes!$I309,R$2),0)+IF(Ajustes!$J309&gt;0,INDEX($AA$4:$AL$323,Ajustes!$J309,R$2),0)+IF(Ajustes!$K309&gt;0,INDEX($AA$5:$AL$324,Ajustes!$K309,R$2),0)+IF(Ajustes!$L309&gt;0,INDEX($AA$4:$AL$323,Ajustes!$L309,R$2),0) + R309</f>
        <v>184</v>
      </c>
      <c r="AE309">
        <f>IF(Ajustes!$G309&gt;0,INDEX($AA$4:$AL$323,Ajustes!$G309,S$2),0)+IF(Ajustes!$H309&gt;0,INDEX($AA$4:$AL$323,Ajustes!$H309,S$2),0)+IF(Ajustes!$I309&gt;0,INDEX($AA$4:$AL$323,Ajustes!$I309,S$2),0)+IF(Ajustes!$J309&gt;0,INDEX($AA$4:$AL$323,Ajustes!$J309,S$2),0)+IF(Ajustes!$K309&gt;0,INDEX($AA$5:$AL$324,Ajustes!$K309,S$2),0)+IF(Ajustes!$L309&gt;0,INDEX($AA$4:$AL$323,Ajustes!$L309,S$2),0) + S309</f>
        <v>163</v>
      </c>
      <c r="AF309">
        <f>IF(Ajustes!$G309&gt;0,INDEX($AA$4:$AL$323,Ajustes!$G309,T$2),0)+IF(Ajustes!$H309&gt;0,INDEX($AA$4:$AL$323,Ajustes!$H309,T$2),0)+IF(Ajustes!$I309&gt;0,INDEX($AA$4:$AL$323,Ajustes!$I309,T$2),0)+IF(Ajustes!$J309&gt;0,INDEX($AA$4:$AL$323,Ajustes!$J309,T$2),0)+IF(Ajustes!$K309&gt;0,INDEX($AA$5:$AL$324,Ajustes!$K309,T$2),0)+IF(Ajustes!$L309&gt;0,INDEX($AA$4:$AL$323,Ajustes!$L309,T$2),0) + T309</f>
        <v>140</v>
      </c>
      <c r="AG309">
        <f>IF(Ajustes!$G309&gt;0,INDEX($AA$4:$AL$323,Ajustes!$G309,U$2),0)+IF(Ajustes!$H309&gt;0,INDEX($AA$4:$AL$323,Ajustes!$H309,U$2),0)+IF(Ajustes!$I309&gt;0,INDEX($AA$4:$AL$323,Ajustes!$I309,U$2),0)+IF(Ajustes!$J309&gt;0,INDEX($AA$4:$AL$323,Ajustes!$J309,U$2),0)+IF(Ajustes!$K309&gt;0,INDEX($AA$5:$AL$324,Ajustes!$K309,U$2),0)+IF(Ajustes!$L309&gt;0,INDEX($AA$4:$AL$323,Ajustes!$L309,U$2),0) + U309</f>
        <v>122</v>
      </c>
      <c r="AH309">
        <f>IF(Ajustes!$G309&gt;0,INDEX($AA$4:$AL$323,Ajustes!$G309,V$2),0)+IF(Ajustes!$H309&gt;0,INDEX($AA$4:$AL$323,Ajustes!$H309,V$2),0)+IF(Ajustes!$I309&gt;0,INDEX($AA$4:$AL$323,Ajustes!$I309,V$2),0)+IF(Ajustes!$J309&gt;0,INDEX($AA$4:$AL$323,Ajustes!$J309,V$2),0)+IF(Ajustes!$K309&gt;0,INDEX($AA$5:$AL$324,Ajustes!$K309,V$2),0)+IF(Ajustes!$L309&gt;0,INDEX($AA$4:$AL$323,Ajustes!$L309,V$2),0) + V309</f>
        <v>106</v>
      </c>
      <c r="AI309">
        <f>IF(Ajustes!$G309&gt;0,INDEX($AA$4:$AL$323,Ajustes!$G309,W$2),0)+IF(Ajustes!$H309&gt;0,INDEX($AA$4:$AL$323,Ajustes!$H309,W$2),0)+IF(Ajustes!$I309&gt;0,INDEX($AA$4:$AL$323,Ajustes!$I309,W$2),0)+IF(Ajustes!$J309&gt;0,INDEX($AA$4:$AL$323,Ajustes!$J309,W$2),0)+IF(Ajustes!$K309&gt;0,INDEX($AA$5:$AL$324,Ajustes!$K309,W$2),0)+IF(Ajustes!$L309&gt;0,INDEX($AA$4:$AL$323,Ajustes!$L309,W$2),0) + W309</f>
        <v>107</v>
      </c>
      <c r="AJ309">
        <f>IF(Ajustes!$G309&gt;0,INDEX($AA$4:$AL$323,Ajustes!$G309,X$2),0)+IF(Ajustes!$H309&gt;0,INDEX($AA$4:$AL$323,Ajustes!$H309,X$2),0)+IF(Ajustes!$I309&gt;0,INDEX($AA$4:$AL$323,Ajustes!$I309,X$2),0)+IF(Ajustes!$J309&gt;0,INDEX($AA$4:$AL$323,Ajustes!$J309,X$2),0)+IF(Ajustes!$K309&gt;0,INDEX($AA$5:$AL$324,Ajustes!$K309,X$2),0)+IF(Ajustes!$L309&gt;0,INDEX($AA$4:$AL$323,Ajustes!$L309,X$2),0) + X309</f>
        <v>127</v>
      </c>
      <c r="AK309">
        <f>IF(Ajustes!$G309&gt;0,INDEX($AA$4:$AL$323,Ajustes!$G309,Y$2),0)+IF(Ajustes!$H309&gt;0,INDEX($AA$4:$AL$323,Ajustes!$H309,Y$2),0)+IF(Ajustes!$I309&gt;0,INDEX($AA$4:$AL$323,Ajustes!$I309,Y$2),0)+IF(Ajustes!$J309&gt;0,INDEX($AA$4:$AL$323,Ajustes!$J309,Y$2),0)+IF(Ajustes!$K309&gt;0,INDEX($AA$5:$AL$324,Ajustes!$K309,Y$2),0)+IF(Ajustes!$L309&gt;0,INDEX($AA$4:$AL$323,Ajustes!$L309,Y$2),0) + Y309</f>
        <v>157</v>
      </c>
      <c r="AL309">
        <f>IF(Ajustes!$G309&gt;0,INDEX($AA$4:$AL$323,Ajustes!$G309,Z$2),0)+IF(Ajustes!$H309&gt;0,INDEX($AA$4:$AL$323,Ajustes!$H309,Z$2),0)+IF(Ajustes!$I309&gt;0,INDEX($AA$4:$AL$323,Ajustes!$I309,Z$2),0)+IF(Ajustes!$J309&gt;0,INDEX($AA$4:$AL$323,Ajustes!$J309,Z$2),0)+IF(Ajustes!$K309&gt;0,INDEX($AA$5:$AL$324,Ajustes!$K309,Z$2),0)+IF(Ajustes!$L309&gt;0,INDEX($AA$4:$AL$323,Ajustes!$L309,Z$2),0) + Z309</f>
        <v>183</v>
      </c>
      <c r="AM309" s="219">
        <f t="shared" ref="AM309:AX309" si="64">AM306+AM134</f>
        <v>212</v>
      </c>
      <c r="AN309" s="219">
        <f t="shared" si="64"/>
        <v>211</v>
      </c>
      <c r="AO309" s="219">
        <f t="shared" si="64"/>
        <v>208</v>
      </c>
      <c r="AP309" s="219">
        <f t="shared" si="64"/>
        <v>197</v>
      </c>
      <c r="AQ309" s="219">
        <f t="shared" si="64"/>
        <v>181</v>
      </c>
      <c r="AR309" s="219">
        <f t="shared" si="64"/>
        <v>138</v>
      </c>
      <c r="AS309" s="219">
        <f t="shared" si="64"/>
        <v>126.23157894736842</v>
      </c>
      <c r="AT309" s="219">
        <f t="shared" si="64"/>
        <v>106.94736842105263</v>
      </c>
      <c r="AU309" s="219">
        <f t="shared" si="64"/>
        <v>111.07894736842105</v>
      </c>
      <c r="AV309" s="219">
        <f t="shared" si="64"/>
        <v>133.49473684210528</v>
      </c>
      <c r="AW309" s="219">
        <f t="shared" si="64"/>
        <v>176</v>
      </c>
      <c r="AX309" s="219">
        <f t="shared" si="64"/>
        <v>199</v>
      </c>
    </row>
    <row r="310" spans="1:50" x14ac:dyDescent="0.25">
      <c r="A310" s="113">
        <v>307</v>
      </c>
      <c r="B310" s="209"/>
      <c r="C310">
        <f>IFERROR(INDEX($BD$7:$BO$35,MATCH(Ajustes!$E$4:$E$323,$BC$7:$BC$35,0),$C$2:$N$2),1)</f>
        <v>1</v>
      </c>
      <c r="D310" s="113">
        <f>IFERROR(INDEX($BD$7:$BO$35,MATCH(Ajustes!$E$4:$E$323,$BC$7:$BC$35,0),$C$2:$N$2),1)</f>
        <v>1</v>
      </c>
      <c r="E310" s="113">
        <f>IFERROR(INDEX($BD$7:$BO$35,MATCH(Ajustes!$E$4:$E$323,$BC$7:$BC$35,0),$C$2:$N$2),1)</f>
        <v>1</v>
      </c>
      <c r="F310" s="113">
        <f>IFERROR(INDEX($BD$7:$BO$35,MATCH(Ajustes!$E$4:$E$323,$BC$7:$BC$35,0),$C$2:$N$2),1)</f>
        <v>1</v>
      </c>
      <c r="G310" s="113">
        <f>IFERROR(INDEX($BD$7:$BO$35,MATCH(Ajustes!$E$4:$E$323,$BC$7:$BC$35,0),$C$2:$N$2),1)</f>
        <v>1</v>
      </c>
      <c r="H310" s="113">
        <f>IFERROR(INDEX($BD$7:$BO$35,MATCH(Ajustes!$E$4:$E$323,$BC$7:$BC$35,0),$C$2:$N$2),1)</f>
        <v>1</v>
      </c>
      <c r="I310" s="113">
        <f>IFERROR(INDEX($BD$7:$BO$35,MATCH(Ajustes!$E$4:$E$323,$BC$7:$BC$35,0),$C$2:$N$2),1)</f>
        <v>1</v>
      </c>
      <c r="J310" s="113">
        <f>IFERROR(INDEX($BD$7:$BO$35,MATCH(Ajustes!$E$4:$E$323,$BC$7:$BC$35,0),$C$2:$N$2),1)</f>
        <v>1</v>
      </c>
      <c r="K310" s="113">
        <f>IFERROR(INDEX($BD$7:$BO$35,MATCH(Ajustes!$E$4:$E$323,$BC$7:$BC$35,0),$C$2:$N$2),1)</f>
        <v>1</v>
      </c>
      <c r="L310" s="113">
        <f>IFERROR(INDEX($BD$7:$BO$35,MATCH(Ajustes!$E$4:$E$323,$BC$7:$BC$35,0),$C$2:$N$2),1)</f>
        <v>1</v>
      </c>
      <c r="M310" s="113">
        <f>IFERROR(INDEX($BD$7:$BO$35,MATCH(Ajustes!$E$4:$E$323,$BC$7:$BC$35,0),$C$2:$N$2),1)</f>
        <v>1</v>
      </c>
      <c r="N310" s="113">
        <f>IFERROR(INDEX($BD$7:$BO$35,MATCH(Ajustes!$E$4:$E$323,$BC$7:$BC$35,0),$C$2:$N$2),1)</f>
        <v>1</v>
      </c>
      <c r="O310">
        <f>C310*Ajustes!AM310</f>
        <v>0</v>
      </c>
      <c r="P310">
        <f>D310*Ajustes!AN310</f>
        <v>0</v>
      </c>
      <c r="Q310">
        <f>E310*Ajustes!AO310</f>
        <v>0</v>
      </c>
      <c r="R310">
        <f>F310*Ajustes!AP310</f>
        <v>0</v>
      </c>
      <c r="S310">
        <f>G310*Ajustes!AQ310</f>
        <v>0</v>
      </c>
      <c r="T310">
        <f>H310*Ajustes!AR310</f>
        <v>0</v>
      </c>
      <c r="U310">
        <f>I310*Ajustes!AS310</f>
        <v>0</v>
      </c>
      <c r="V310">
        <f>J310*Ajustes!AT310</f>
        <v>0</v>
      </c>
      <c r="W310">
        <f>K310*Ajustes!AU310</f>
        <v>0</v>
      </c>
      <c r="X310">
        <f>L310*Ajustes!AV310</f>
        <v>0</v>
      </c>
      <c r="Y310">
        <f>M310*Ajustes!AW310</f>
        <v>0</v>
      </c>
      <c r="Z310">
        <f>N310*Ajustes!AX310</f>
        <v>0</v>
      </c>
      <c r="AA310">
        <f>IF(Ajustes!$G310&gt;0,INDEX($AA$4:$AL$323,Ajustes!$G310,O$2),0)+IF(Ajustes!$H310&gt;0,INDEX($AA$4:$AL$323,Ajustes!$H310,O$2),0)+IF(Ajustes!$I310&gt;0,INDEX($AA$4:$AL$323,Ajustes!$I310,O$2),0)+IF(Ajustes!$J310&gt;0,INDEX($AA$4:$AL$323,Ajustes!$J310,O$2),0)+IF(Ajustes!$K310&gt;0,INDEX($AA$5:$AL$324,Ajustes!$K310,O$2),0)+IF(Ajustes!$L310&gt;0,INDEX($AA$4:$AL$323,Ajustes!$L310,O$2),0) + O310</f>
        <v>0</v>
      </c>
      <c r="AB310">
        <f>IF(Ajustes!$G310&gt;0,INDEX($AA$4:$AL$323,Ajustes!$G310,P$2),0)+IF(Ajustes!$H310&gt;0,INDEX($AA$4:$AL$323,Ajustes!$H310,P$2),0)+IF(Ajustes!$I310&gt;0,INDEX($AA$4:$AL$323,Ajustes!$I310,P$2),0)+IF(Ajustes!$J310&gt;0,INDEX($AA$4:$AL$323,Ajustes!$J310,P$2),0)+IF(Ajustes!$K310&gt;0,INDEX($AA$5:$AL$324,Ajustes!$K310,P$2),0)+IF(Ajustes!$L310&gt;0,INDEX($AA$4:$AL$323,Ajustes!$L310,P$2),0) + P310</f>
        <v>0</v>
      </c>
      <c r="AC310">
        <f>IF(Ajustes!$G310&gt;0,INDEX($AA$4:$AL$323,Ajustes!$G310,Q$2),0)+IF(Ajustes!$H310&gt;0,INDEX($AA$4:$AL$323,Ajustes!$H310,Q$2),0)+IF(Ajustes!$I310&gt;0,INDEX($AA$4:$AL$323,Ajustes!$I310,Q$2),0)+IF(Ajustes!$J310&gt;0,INDEX($AA$4:$AL$323,Ajustes!$J310,Q$2),0)+IF(Ajustes!$K310&gt;0,INDEX($AA$5:$AL$324,Ajustes!$K310,Q$2),0)+IF(Ajustes!$L310&gt;0,INDEX($AA$4:$AL$323,Ajustes!$L310,Q$2),0) + Q310</f>
        <v>0</v>
      </c>
      <c r="AD310">
        <f>IF(Ajustes!$G310&gt;0,INDEX($AA$4:$AL$323,Ajustes!$G310,R$2),0)+IF(Ajustes!$H310&gt;0,INDEX($AA$4:$AL$323,Ajustes!$H310,R$2),0)+IF(Ajustes!$I310&gt;0,INDEX($AA$4:$AL$323,Ajustes!$I310,R$2),0)+IF(Ajustes!$J310&gt;0,INDEX($AA$4:$AL$323,Ajustes!$J310,R$2),0)+IF(Ajustes!$K310&gt;0,INDEX($AA$5:$AL$324,Ajustes!$K310,R$2),0)+IF(Ajustes!$L310&gt;0,INDEX($AA$4:$AL$323,Ajustes!$L310,R$2),0) + R310</f>
        <v>0</v>
      </c>
      <c r="AE310">
        <f>IF(Ajustes!$G310&gt;0,INDEX($AA$4:$AL$323,Ajustes!$G310,S$2),0)+IF(Ajustes!$H310&gt;0,INDEX($AA$4:$AL$323,Ajustes!$H310,S$2),0)+IF(Ajustes!$I310&gt;0,INDEX($AA$4:$AL$323,Ajustes!$I310,S$2),0)+IF(Ajustes!$J310&gt;0,INDEX($AA$4:$AL$323,Ajustes!$J310,S$2),0)+IF(Ajustes!$K310&gt;0,INDEX($AA$5:$AL$324,Ajustes!$K310,S$2),0)+IF(Ajustes!$L310&gt;0,INDEX($AA$4:$AL$323,Ajustes!$L310,S$2),0) + S310</f>
        <v>0</v>
      </c>
      <c r="AF310">
        <f>IF(Ajustes!$G310&gt;0,INDEX($AA$4:$AL$323,Ajustes!$G310,T$2),0)+IF(Ajustes!$H310&gt;0,INDEX($AA$4:$AL$323,Ajustes!$H310,T$2),0)+IF(Ajustes!$I310&gt;0,INDEX($AA$4:$AL$323,Ajustes!$I310,T$2),0)+IF(Ajustes!$J310&gt;0,INDEX($AA$4:$AL$323,Ajustes!$J310,T$2),0)+IF(Ajustes!$K310&gt;0,INDEX($AA$5:$AL$324,Ajustes!$K310,T$2),0)+IF(Ajustes!$L310&gt;0,INDEX($AA$4:$AL$323,Ajustes!$L310,T$2),0) + T310</f>
        <v>0</v>
      </c>
      <c r="AG310">
        <f>IF(Ajustes!$G310&gt;0,INDEX($AA$4:$AL$323,Ajustes!$G310,U$2),0)+IF(Ajustes!$H310&gt;0,INDEX($AA$4:$AL$323,Ajustes!$H310,U$2),0)+IF(Ajustes!$I310&gt;0,INDEX($AA$4:$AL$323,Ajustes!$I310,U$2),0)+IF(Ajustes!$J310&gt;0,INDEX($AA$4:$AL$323,Ajustes!$J310,U$2),0)+IF(Ajustes!$K310&gt;0,INDEX($AA$5:$AL$324,Ajustes!$K310,U$2),0)+IF(Ajustes!$L310&gt;0,INDEX($AA$4:$AL$323,Ajustes!$L310,U$2),0) + U310</f>
        <v>0</v>
      </c>
      <c r="AH310">
        <f>IF(Ajustes!$G310&gt;0,INDEX($AA$4:$AL$323,Ajustes!$G310,V$2),0)+IF(Ajustes!$H310&gt;0,INDEX($AA$4:$AL$323,Ajustes!$H310,V$2),0)+IF(Ajustes!$I310&gt;0,INDEX($AA$4:$AL$323,Ajustes!$I310,V$2),0)+IF(Ajustes!$J310&gt;0,INDEX($AA$4:$AL$323,Ajustes!$J310,V$2),0)+IF(Ajustes!$K310&gt;0,INDEX($AA$5:$AL$324,Ajustes!$K310,V$2),0)+IF(Ajustes!$L310&gt;0,INDEX($AA$4:$AL$323,Ajustes!$L310,V$2),0) + V310</f>
        <v>0</v>
      </c>
      <c r="AI310">
        <f>IF(Ajustes!$G310&gt;0,INDEX($AA$4:$AL$323,Ajustes!$G310,W$2),0)+IF(Ajustes!$H310&gt;0,INDEX($AA$4:$AL$323,Ajustes!$H310,W$2),0)+IF(Ajustes!$I310&gt;0,INDEX($AA$4:$AL$323,Ajustes!$I310,W$2),0)+IF(Ajustes!$J310&gt;0,INDEX($AA$4:$AL$323,Ajustes!$J310,W$2),0)+IF(Ajustes!$K310&gt;0,INDEX($AA$5:$AL$324,Ajustes!$K310,W$2),0)+IF(Ajustes!$L310&gt;0,INDEX($AA$4:$AL$323,Ajustes!$L310,W$2),0) + W310</f>
        <v>0</v>
      </c>
      <c r="AJ310">
        <f>IF(Ajustes!$G310&gt;0,INDEX($AA$4:$AL$323,Ajustes!$G310,X$2),0)+IF(Ajustes!$H310&gt;0,INDEX($AA$4:$AL$323,Ajustes!$H310,X$2),0)+IF(Ajustes!$I310&gt;0,INDEX($AA$4:$AL$323,Ajustes!$I310,X$2),0)+IF(Ajustes!$J310&gt;0,INDEX($AA$4:$AL$323,Ajustes!$J310,X$2),0)+IF(Ajustes!$K310&gt;0,INDEX($AA$5:$AL$324,Ajustes!$K310,X$2),0)+IF(Ajustes!$L310&gt;0,INDEX($AA$4:$AL$323,Ajustes!$L310,X$2),0) + X310</f>
        <v>0</v>
      </c>
      <c r="AK310">
        <f>IF(Ajustes!$G310&gt;0,INDEX($AA$4:$AL$323,Ajustes!$G310,Y$2),0)+IF(Ajustes!$H310&gt;0,INDEX($AA$4:$AL$323,Ajustes!$H310,Y$2),0)+IF(Ajustes!$I310&gt;0,INDEX($AA$4:$AL$323,Ajustes!$I310,Y$2),0)+IF(Ajustes!$J310&gt;0,INDEX($AA$4:$AL$323,Ajustes!$J310,Y$2),0)+IF(Ajustes!$K310&gt;0,INDEX($AA$5:$AL$324,Ajustes!$K310,Y$2),0)+IF(Ajustes!$L310&gt;0,INDEX($AA$4:$AL$323,Ajustes!$L310,Y$2),0) + Y310</f>
        <v>0</v>
      </c>
      <c r="AL310">
        <f>IF(Ajustes!$G310&gt;0,INDEX($AA$4:$AL$323,Ajustes!$G310,Z$2),0)+IF(Ajustes!$H310&gt;0,INDEX($AA$4:$AL$323,Ajustes!$H310,Z$2),0)+IF(Ajustes!$I310&gt;0,INDEX($AA$4:$AL$323,Ajustes!$I310,Z$2),0)+IF(Ajustes!$J310&gt;0,INDEX($AA$4:$AL$323,Ajustes!$J310,Z$2),0)+IF(Ajustes!$K310&gt;0,INDEX($AA$5:$AL$324,Ajustes!$K310,Z$2),0)+IF(Ajustes!$L310&gt;0,INDEX($AA$4:$AL$323,Ajustes!$L310,Z$2),0) + Z310</f>
        <v>0</v>
      </c>
      <c r="AM310" s="113">
        <f t="shared" ref="AM310:AX316" si="65">AA310</f>
        <v>0</v>
      </c>
      <c r="AN310" s="113">
        <f t="shared" si="65"/>
        <v>0</v>
      </c>
      <c r="AO310" s="113">
        <f t="shared" si="65"/>
        <v>0</v>
      </c>
      <c r="AP310" s="113">
        <f t="shared" si="65"/>
        <v>0</v>
      </c>
      <c r="AQ310" s="113">
        <f t="shared" si="65"/>
        <v>0</v>
      </c>
      <c r="AR310" s="113">
        <f t="shared" si="65"/>
        <v>0</v>
      </c>
      <c r="AS310" s="113">
        <f t="shared" si="65"/>
        <v>0</v>
      </c>
      <c r="AT310" s="113">
        <f t="shared" si="65"/>
        <v>0</v>
      </c>
      <c r="AU310" s="113">
        <f t="shared" si="65"/>
        <v>0</v>
      </c>
      <c r="AV310" s="113">
        <f t="shared" si="65"/>
        <v>0</v>
      </c>
      <c r="AW310" s="113">
        <f t="shared" si="65"/>
        <v>0</v>
      </c>
      <c r="AX310" s="113">
        <f t="shared" si="65"/>
        <v>0</v>
      </c>
    </row>
    <row r="311" spans="1:50" x14ac:dyDescent="0.25">
      <c r="A311" s="113">
        <v>308</v>
      </c>
      <c r="B311" s="209"/>
      <c r="C311">
        <f>IFERROR(INDEX($BD$7:$BO$35,MATCH(Ajustes!$E$4:$E$323,$BC$7:$BC$35,0),$C$2:$N$2),1)</f>
        <v>1</v>
      </c>
      <c r="D311" s="113">
        <f>IFERROR(INDEX($BD$7:$BO$35,MATCH(Ajustes!$E$4:$E$323,$BC$7:$BC$35,0),$C$2:$N$2),1)</f>
        <v>1</v>
      </c>
      <c r="E311" s="113">
        <f>IFERROR(INDEX($BD$7:$BO$35,MATCH(Ajustes!$E$4:$E$323,$BC$7:$BC$35,0),$C$2:$N$2),1)</f>
        <v>1</v>
      </c>
      <c r="F311" s="113">
        <f>IFERROR(INDEX($BD$7:$BO$35,MATCH(Ajustes!$E$4:$E$323,$BC$7:$BC$35,0),$C$2:$N$2),1)</f>
        <v>1</v>
      </c>
      <c r="G311" s="113">
        <f>IFERROR(INDEX($BD$7:$BO$35,MATCH(Ajustes!$E$4:$E$323,$BC$7:$BC$35,0),$C$2:$N$2),1)</f>
        <v>1</v>
      </c>
      <c r="H311" s="113">
        <f>IFERROR(INDEX($BD$7:$BO$35,MATCH(Ajustes!$E$4:$E$323,$BC$7:$BC$35,0),$C$2:$N$2),1)</f>
        <v>1</v>
      </c>
      <c r="I311" s="113">
        <f>IFERROR(INDEX($BD$7:$BO$35,MATCH(Ajustes!$E$4:$E$323,$BC$7:$BC$35,0),$C$2:$N$2),1)</f>
        <v>1</v>
      </c>
      <c r="J311" s="113">
        <f>IFERROR(INDEX($BD$7:$BO$35,MATCH(Ajustes!$E$4:$E$323,$BC$7:$BC$35,0),$C$2:$N$2),1)</f>
        <v>1</v>
      </c>
      <c r="K311" s="113">
        <f>IFERROR(INDEX($BD$7:$BO$35,MATCH(Ajustes!$E$4:$E$323,$BC$7:$BC$35,0),$C$2:$N$2),1)</f>
        <v>1</v>
      </c>
      <c r="L311" s="113">
        <f>IFERROR(INDEX($BD$7:$BO$35,MATCH(Ajustes!$E$4:$E$323,$BC$7:$BC$35,0),$C$2:$N$2),1)</f>
        <v>1</v>
      </c>
      <c r="M311" s="113">
        <f>IFERROR(INDEX($BD$7:$BO$35,MATCH(Ajustes!$E$4:$E$323,$BC$7:$BC$35,0),$C$2:$N$2),1)</f>
        <v>1</v>
      </c>
      <c r="N311" s="113">
        <f>IFERROR(INDEX($BD$7:$BO$35,MATCH(Ajustes!$E$4:$E$323,$BC$7:$BC$35,0),$C$2:$N$2),1)</f>
        <v>1</v>
      </c>
      <c r="O311">
        <f>C311*Ajustes!AM311</f>
        <v>0</v>
      </c>
      <c r="P311">
        <f>D311*Ajustes!AN311</f>
        <v>0</v>
      </c>
      <c r="Q311">
        <f>E311*Ajustes!AO311</f>
        <v>0</v>
      </c>
      <c r="R311">
        <f>F311*Ajustes!AP311</f>
        <v>0</v>
      </c>
      <c r="S311">
        <f>G311*Ajustes!AQ311</f>
        <v>0</v>
      </c>
      <c r="T311">
        <f>H311*Ajustes!AR311</f>
        <v>0</v>
      </c>
      <c r="U311">
        <f>I311*Ajustes!AS311</f>
        <v>0</v>
      </c>
      <c r="V311">
        <f>J311*Ajustes!AT311</f>
        <v>0</v>
      </c>
      <c r="W311">
        <f>K311*Ajustes!AU311</f>
        <v>0</v>
      </c>
      <c r="X311">
        <f>L311*Ajustes!AV311</f>
        <v>0</v>
      </c>
      <c r="Y311">
        <f>M311*Ajustes!AW311</f>
        <v>0</v>
      </c>
      <c r="Z311">
        <f>N311*Ajustes!AX311</f>
        <v>0</v>
      </c>
      <c r="AA311">
        <f>IF(Ajustes!$G311&gt;0,INDEX($AA$4:$AL$323,Ajustes!$G311,O$2),0)+IF(Ajustes!$H311&gt;0,INDEX($AA$4:$AL$323,Ajustes!$H311,O$2),0)+IF(Ajustes!$I311&gt;0,INDEX($AA$4:$AL$323,Ajustes!$I311,O$2),0)+IF(Ajustes!$J311&gt;0,INDEX($AA$4:$AL$323,Ajustes!$J311,O$2),0)+IF(Ajustes!$K311&gt;0,INDEX($AA$5:$AL$324,Ajustes!$K311,O$2),0)+IF(Ajustes!$L311&gt;0,INDEX($AA$4:$AL$323,Ajustes!$L311,O$2),0) + O311</f>
        <v>0</v>
      </c>
      <c r="AB311">
        <f>IF(Ajustes!$G311&gt;0,INDEX($AA$4:$AL$323,Ajustes!$G311,P$2),0)+IF(Ajustes!$H311&gt;0,INDEX($AA$4:$AL$323,Ajustes!$H311,P$2),0)+IF(Ajustes!$I311&gt;0,INDEX($AA$4:$AL$323,Ajustes!$I311,P$2),0)+IF(Ajustes!$J311&gt;0,INDEX($AA$4:$AL$323,Ajustes!$J311,P$2),0)+IF(Ajustes!$K311&gt;0,INDEX($AA$5:$AL$324,Ajustes!$K311,P$2),0)+IF(Ajustes!$L311&gt;0,INDEX($AA$4:$AL$323,Ajustes!$L311,P$2),0) + P311</f>
        <v>0</v>
      </c>
      <c r="AC311">
        <f>IF(Ajustes!$G311&gt;0,INDEX($AA$4:$AL$323,Ajustes!$G311,Q$2),0)+IF(Ajustes!$H311&gt;0,INDEX($AA$4:$AL$323,Ajustes!$H311,Q$2),0)+IF(Ajustes!$I311&gt;0,INDEX($AA$4:$AL$323,Ajustes!$I311,Q$2),0)+IF(Ajustes!$J311&gt;0,INDEX($AA$4:$AL$323,Ajustes!$J311,Q$2),0)+IF(Ajustes!$K311&gt;0,INDEX($AA$5:$AL$324,Ajustes!$K311,Q$2),0)+IF(Ajustes!$L311&gt;0,INDEX($AA$4:$AL$323,Ajustes!$L311,Q$2),0) + Q311</f>
        <v>0</v>
      </c>
      <c r="AD311">
        <f>IF(Ajustes!$G311&gt;0,INDEX($AA$4:$AL$323,Ajustes!$G311,R$2),0)+IF(Ajustes!$H311&gt;0,INDEX($AA$4:$AL$323,Ajustes!$H311,R$2),0)+IF(Ajustes!$I311&gt;0,INDEX($AA$4:$AL$323,Ajustes!$I311,R$2),0)+IF(Ajustes!$J311&gt;0,INDEX($AA$4:$AL$323,Ajustes!$J311,R$2),0)+IF(Ajustes!$K311&gt;0,INDEX($AA$5:$AL$324,Ajustes!$K311,R$2),0)+IF(Ajustes!$L311&gt;0,INDEX($AA$4:$AL$323,Ajustes!$L311,R$2),0) + R311</f>
        <v>0</v>
      </c>
      <c r="AE311">
        <f>IF(Ajustes!$G311&gt;0,INDEX($AA$4:$AL$323,Ajustes!$G311,S$2),0)+IF(Ajustes!$H311&gt;0,INDEX($AA$4:$AL$323,Ajustes!$H311,S$2),0)+IF(Ajustes!$I311&gt;0,INDEX($AA$4:$AL$323,Ajustes!$I311,S$2),0)+IF(Ajustes!$J311&gt;0,INDEX($AA$4:$AL$323,Ajustes!$J311,S$2),0)+IF(Ajustes!$K311&gt;0,INDEX($AA$5:$AL$324,Ajustes!$K311,S$2),0)+IF(Ajustes!$L311&gt;0,INDEX($AA$4:$AL$323,Ajustes!$L311,S$2),0) + S311</f>
        <v>0</v>
      </c>
      <c r="AF311">
        <f>IF(Ajustes!$G311&gt;0,INDEX($AA$4:$AL$323,Ajustes!$G311,T$2),0)+IF(Ajustes!$H311&gt;0,INDEX($AA$4:$AL$323,Ajustes!$H311,T$2),0)+IF(Ajustes!$I311&gt;0,INDEX($AA$4:$AL$323,Ajustes!$I311,T$2),0)+IF(Ajustes!$J311&gt;0,INDEX($AA$4:$AL$323,Ajustes!$J311,T$2),0)+IF(Ajustes!$K311&gt;0,INDEX($AA$5:$AL$324,Ajustes!$K311,T$2),0)+IF(Ajustes!$L311&gt;0,INDEX($AA$4:$AL$323,Ajustes!$L311,T$2),0) + T311</f>
        <v>0</v>
      </c>
      <c r="AG311">
        <f>IF(Ajustes!$G311&gt;0,INDEX($AA$4:$AL$323,Ajustes!$G311,U$2),0)+IF(Ajustes!$H311&gt;0,INDEX($AA$4:$AL$323,Ajustes!$H311,U$2),0)+IF(Ajustes!$I311&gt;0,INDEX($AA$4:$AL$323,Ajustes!$I311,U$2),0)+IF(Ajustes!$J311&gt;0,INDEX($AA$4:$AL$323,Ajustes!$J311,U$2),0)+IF(Ajustes!$K311&gt;0,INDEX($AA$5:$AL$324,Ajustes!$K311,U$2),0)+IF(Ajustes!$L311&gt;0,INDEX($AA$4:$AL$323,Ajustes!$L311,U$2),0) + U311</f>
        <v>0</v>
      </c>
      <c r="AH311">
        <f>IF(Ajustes!$G311&gt;0,INDEX($AA$4:$AL$323,Ajustes!$G311,V$2),0)+IF(Ajustes!$H311&gt;0,INDEX($AA$4:$AL$323,Ajustes!$H311,V$2),0)+IF(Ajustes!$I311&gt;0,INDEX($AA$4:$AL$323,Ajustes!$I311,V$2),0)+IF(Ajustes!$J311&gt;0,INDEX($AA$4:$AL$323,Ajustes!$J311,V$2),0)+IF(Ajustes!$K311&gt;0,INDEX($AA$5:$AL$324,Ajustes!$K311,V$2),0)+IF(Ajustes!$L311&gt;0,INDEX($AA$4:$AL$323,Ajustes!$L311,V$2),0) + V311</f>
        <v>0</v>
      </c>
      <c r="AI311">
        <f>IF(Ajustes!$G311&gt;0,INDEX($AA$4:$AL$323,Ajustes!$G311,W$2),0)+IF(Ajustes!$H311&gt;0,INDEX($AA$4:$AL$323,Ajustes!$H311,W$2),0)+IF(Ajustes!$I311&gt;0,INDEX($AA$4:$AL$323,Ajustes!$I311,W$2),0)+IF(Ajustes!$J311&gt;0,INDEX($AA$4:$AL$323,Ajustes!$J311,W$2),0)+IF(Ajustes!$K311&gt;0,INDEX($AA$5:$AL$324,Ajustes!$K311,W$2),0)+IF(Ajustes!$L311&gt;0,INDEX($AA$4:$AL$323,Ajustes!$L311,W$2),0) + W311</f>
        <v>0</v>
      </c>
      <c r="AJ311">
        <f>IF(Ajustes!$G311&gt;0,INDEX($AA$4:$AL$323,Ajustes!$G311,X$2),0)+IF(Ajustes!$H311&gt;0,INDEX($AA$4:$AL$323,Ajustes!$H311,X$2),0)+IF(Ajustes!$I311&gt;0,INDEX($AA$4:$AL$323,Ajustes!$I311,X$2),0)+IF(Ajustes!$J311&gt;0,INDEX($AA$4:$AL$323,Ajustes!$J311,X$2),0)+IF(Ajustes!$K311&gt;0,INDEX($AA$5:$AL$324,Ajustes!$K311,X$2),0)+IF(Ajustes!$L311&gt;0,INDEX($AA$4:$AL$323,Ajustes!$L311,X$2),0) + X311</f>
        <v>0</v>
      </c>
      <c r="AK311">
        <f>IF(Ajustes!$G311&gt;0,INDEX($AA$4:$AL$323,Ajustes!$G311,Y$2),0)+IF(Ajustes!$H311&gt;0,INDEX($AA$4:$AL$323,Ajustes!$H311,Y$2),0)+IF(Ajustes!$I311&gt;0,INDEX($AA$4:$AL$323,Ajustes!$I311,Y$2),0)+IF(Ajustes!$J311&gt;0,INDEX($AA$4:$AL$323,Ajustes!$J311,Y$2),0)+IF(Ajustes!$K311&gt;0,INDEX($AA$5:$AL$324,Ajustes!$K311,Y$2),0)+IF(Ajustes!$L311&gt;0,INDEX($AA$4:$AL$323,Ajustes!$L311,Y$2),0) + Y311</f>
        <v>0</v>
      </c>
      <c r="AL311">
        <f>IF(Ajustes!$G311&gt;0,INDEX($AA$4:$AL$323,Ajustes!$G311,Z$2),0)+IF(Ajustes!$H311&gt;0,INDEX($AA$4:$AL$323,Ajustes!$H311,Z$2),0)+IF(Ajustes!$I311&gt;0,INDEX($AA$4:$AL$323,Ajustes!$I311,Z$2),0)+IF(Ajustes!$J311&gt;0,INDEX($AA$4:$AL$323,Ajustes!$J311,Z$2),0)+IF(Ajustes!$K311&gt;0,INDEX($AA$5:$AL$324,Ajustes!$K311,Z$2),0)+IF(Ajustes!$L311&gt;0,INDEX($AA$4:$AL$323,Ajustes!$L311,Z$2),0) + Z311</f>
        <v>0</v>
      </c>
      <c r="AM311" s="113">
        <f t="shared" si="65"/>
        <v>0</v>
      </c>
      <c r="AN311" s="113">
        <f t="shared" si="65"/>
        <v>0</v>
      </c>
      <c r="AO311" s="113">
        <f t="shared" si="65"/>
        <v>0</v>
      </c>
      <c r="AP311" s="113">
        <f t="shared" si="65"/>
        <v>0</v>
      </c>
      <c r="AQ311" s="113">
        <f t="shared" si="65"/>
        <v>0</v>
      </c>
      <c r="AR311" s="113">
        <f t="shared" si="65"/>
        <v>0</v>
      </c>
      <c r="AS311" s="113">
        <f t="shared" si="65"/>
        <v>0</v>
      </c>
      <c r="AT311" s="113">
        <f t="shared" si="65"/>
        <v>0</v>
      </c>
      <c r="AU311" s="113">
        <f t="shared" si="65"/>
        <v>0</v>
      </c>
      <c r="AV311" s="113">
        <f t="shared" si="65"/>
        <v>0</v>
      </c>
      <c r="AW311" s="113">
        <f t="shared" si="65"/>
        <v>0</v>
      </c>
      <c r="AX311" s="113">
        <f t="shared" si="65"/>
        <v>0</v>
      </c>
    </row>
    <row r="312" spans="1:50" x14ac:dyDescent="0.25">
      <c r="A312" s="113">
        <v>309</v>
      </c>
      <c r="B312" s="209"/>
      <c r="C312">
        <f>IFERROR(INDEX($BD$7:$BO$35,MATCH(Ajustes!$E$4:$E$323,$BC$7:$BC$35,0),$C$2:$N$2),1)</f>
        <v>1</v>
      </c>
      <c r="D312" s="113">
        <f>IFERROR(INDEX($BD$7:$BO$35,MATCH(Ajustes!$E$4:$E$323,$BC$7:$BC$35,0),$C$2:$N$2),1)</f>
        <v>1</v>
      </c>
      <c r="E312" s="113">
        <f>IFERROR(INDEX($BD$7:$BO$35,MATCH(Ajustes!$E$4:$E$323,$BC$7:$BC$35,0),$C$2:$N$2),1)</f>
        <v>1</v>
      </c>
      <c r="F312" s="113">
        <f>IFERROR(INDEX($BD$7:$BO$35,MATCH(Ajustes!$E$4:$E$323,$BC$7:$BC$35,0),$C$2:$N$2),1)</f>
        <v>1</v>
      </c>
      <c r="G312" s="113">
        <f>IFERROR(INDEX($BD$7:$BO$35,MATCH(Ajustes!$E$4:$E$323,$BC$7:$BC$35,0),$C$2:$N$2),1)</f>
        <v>1</v>
      </c>
      <c r="H312" s="113">
        <f>IFERROR(INDEX($BD$7:$BO$35,MATCH(Ajustes!$E$4:$E$323,$BC$7:$BC$35,0),$C$2:$N$2),1)</f>
        <v>1</v>
      </c>
      <c r="I312" s="113">
        <f>IFERROR(INDEX($BD$7:$BO$35,MATCH(Ajustes!$E$4:$E$323,$BC$7:$BC$35,0),$C$2:$N$2),1)</f>
        <v>1</v>
      </c>
      <c r="J312" s="113">
        <f>IFERROR(INDEX($BD$7:$BO$35,MATCH(Ajustes!$E$4:$E$323,$BC$7:$BC$35,0),$C$2:$N$2),1)</f>
        <v>1</v>
      </c>
      <c r="K312" s="113">
        <f>IFERROR(INDEX($BD$7:$BO$35,MATCH(Ajustes!$E$4:$E$323,$BC$7:$BC$35,0),$C$2:$N$2),1)</f>
        <v>1</v>
      </c>
      <c r="L312" s="113">
        <f>IFERROR(INDEX($BD$7:$BO$35,MATCH(Ajustes!$E$4:$E$323,$BC$7:$BC$35,0),$C$2:$N$2),1)</f>
        <v>1</v>
      </c>
      <c r="M312" s="113">
        <f>IFERROR(INDEX($BD$7:$BO$35,MATCH(Ajustes!$E$4:$E$323,$BC$7:$BC$35,0),$C$2:$N$2),1)</f>
        <v>1</v>
      </c>
      <c r="N312" s="113">
        <f>IFERROR(INDEX($BD$7:$BO$35,MATCH(Ajustes!$E$4:$E$323,$BC$7:$BC$35,0),$C$2:$N$2),1)</f>
        <v>1</v>
      </c>
      <c r="O312">
        <f>C312*Ajustes!AM312</f>
        <v>0</v>
      </c>
      <c r="P312">
        <f>D312*Ajustes!AN312</f>
        <v>0</v>
      </c>
      <c r="Q312">
        <f>E312*Ajustes!AO312</f>
        <v>0</v>
      </c>
      <c r="R312">
        <f>F312*Ajustes!AP312</f>
        <v>0</v>
      </c>
      <c r="S312">
        <f>G312*Ajustes!AQ312</f>
        <v>0</v>
      </c>
      <c r="T312">
        <f>H312*Ajustes!AR312</f>
        <v>0</v>
      </c>
      <c r="U312">
        <f>I312*Ajustes!AS312</f>
        <v>0</v>
      </c>
      <c r="V312">
        <f>J312*Ajustes!AT312</f>
        <v>0</v>
      </c>
      <c r="W312">
        <f>K312*Ajustes!AU312</f>
        <v>0</v>
      </c>
      <c r="X312">
        <f>L312*Ajustes!AV312</f>
        <v>0</v>
      </c>
      <c r="Y312">
        <f>M312*Ajustes!AW312</f>
        <v>0</v>
      </c>
      <c r="Z312">
        <f>N312*Ajustes!AX312</f>
        <v>0</v>
      </c>
      <c r="AA312">
        <f>IF(Ajustes!$G312&gt;0,INDEX($AA$4:$AL$323,Ajustes!$G312,O$2),0)+IF(Ajustes!$H312&gt;0,INDEX($AA$4:$AL$323,Ajustes!$H312,O$2),0)+IF(Ajustes!$I312&gt;0,INDEX($AA$4:$AL$323,Ajustes!$I312,O$2),0)+IF(Ajustes!$J312&gt;0,INDEX($AA$4:$AL$323,Ajustes!$J312,O$2),0)+IF(Ajustes!$K312&gt;0,INDEX($AA$5:$AL$324,Ajustes!$K312,O$2),0)+IF(Ajustes!$L312&gt;0,INDEX($AA$4:$AL$323,Ajustes!$L312,O$2),0) + O312</f>
        <v>0</v>
      </c>
      <c r="AB312">
        <f>IF(Ajustes!$G312&gt;0,INDEX($AA$4:$AL$323,Ajustes!$G312,P$2),0)+IF(Ajustes!$H312&gt;0,INDEX($AA$4:$AL$323,Ajustes!$H312,P$2),0)+IF(Ajustes!$I312&gt;0,INDEX($AA$4:$AL$323,Ajustes!$I312,P$2),0)+IF(Ajustes!$J312&gt;0,INDEX($AA$4:$AL$323,Ajustes!$J312,P$2),0)+IF(Ajustes!$K312&gt;0,INDEX($AA$5:$AL$324,Ajustes!$K312,P$2),0)+IF(Ajustes!$L312&gt;0,INDEX($AA$4:$AL$323,Ajustes!$L312,P$2),0) + P312</f>
        <v>0</v>
      </c>
      <c r="AC312">
        <f>IF(Ajustes!$G312&gt;0,INDEX($AA$4:$AL$323,Ajustes!$G312,Q$2),0)+IF(Ajustes!$H312&gt;0,INDEX($AA$4:$AL$323,Ajustes!$H312,Q$2),0)+IF(Ajustes!$I312&gt;0,INDEX($AA$4:$AL$323,Ajustes!$I312,Q$2),0)+IF(Ajustes!$J312&gt;0,INDEX($AA$4:$AL$323,Ajustes!$J312,Q$2),0)+IF(Ajustes!$K312&gt;0,INDEX($AA$5:$AL$324,Ajustes!$K312,Q$2),0)+IF(Ajustes!$L312&gt;0,INDEX($AA$4:$AL$323,Ajustes!$L312,Q$2),0) + Q312</f>
        <v>0</v>
      </c>
      <c r="AD312">
        <f>IF(Ajustes!$G312&gt;0,INDEX($AA$4:$AL$323,Ajustes!$G312,R$2),0)+IF(Ajustes!$H312&gt;0,INDEX($AA$4:$AL$323,Ajustes!$H312,R$2),0)+IF(Ajustes!$I312&gt;0,INDEX($AA$4:$AL$323,Ajustes!$I312,R$2),0)+IF(Ajustes!$J312&gt;0,INDEX($AA$4:$AL$323,Ajustes!$J312,R$2),0)+IF(Ajustes!$K312&gt;0,INDEX($AA$5:$AL$324,Ajustes!$K312,R$2),0)+IF(Ajustes!$L312&gt;0,INDEX($AA$4:$AL$323,Ajustes!$L312,R$2),0) + R312</f>
        <v>0</v>
      </c>
      <c r="AE312">
        <f>IF(Ajustes!$G312&gt;0,INDEX($AA$4:$AL$323,Ajustes!$G312,S$2),0)+IF(Ajustes!$H312&gt;0,INDEX($AA$4:$AL$323,Ajustes!$H312,S$2),0)+IF(Ajustes!$I312&gt;0,INDEX($AA$4:$AL$323,Ajustes!$I312,S$2),0)+IF(Ajustes!$J312&gt;0,INDEX($AA$4:$AL$323,Ajustes!$J312,S$2),0)+IF(Ajustes!$K312&gt;0,INDEX($AA$5:$AL$324,Ajustes!$K312,S$2),0)+IF(Ajustes!$L312&gt;0,INDEX($AA$4:$AL$323,Ajustes!$L312,S$2),0) + S312</f>
        <v>0</v>
      </c>
      <c r="AF312">
        <f>IF(Ajustes!$G312&gt;0,INDEX($AA$4:$AL$323,Ajustes!$G312,T$2),0)+IF(Ajustes!$H312&gt;0,INDEX($AA$4:$AL$323,Ajustes!$H312,T$2),0)+IF(Ajustes!$I312&gt;0,INDEX($AA$4:$AL$323,Ajustes!$I312,T$2),0)+IF(Ajustes!$J312&gt;0,INDEX($AA$4:$AL$323,Ajustes!$J312,T$2),0)+IF(Ajustes!$K312&gt;0,INDEX($AA$5:$AL$324,Ajustes!$K312,T$2),0)+IF(Ajustes!$L312&gt;0,INDEX($AA$4:$AL$323,Ajustes!$L312,T$2),0) + T312</f>
        <v>0</v>
      </c>
      <c r="AG312">
        <f>IF(Ajustes!$G312&gt;0,INDEX($AA$4:$AL$323,Ajustes!$G312,U$2),0)+IF(Ajustes!$H312&gt;0,INDEX($AA$4:$AL$323,Ajustes!$H312,U$2),0)+IF(Ajustes!$I312&gt;0,INDEX($AA$4:$AL$323,Ajustes!$I312,U$2),0)+IF(Ajustes!$J312&gt;0,INDEX($AA$4:$AL$323,Ajustes!$J312,U$2),0)+IF(Ajustes!$K312&gt;0,INDEX($AA$5:$AL$324,Ajustes!$K312,U$2),0)+IF(Ajustes!$L312&gt;0,INDEX($AA$4:$AL$323,Ajustes!$L312,U$2),0) + U312</f>
        <v>0</v>
      </c>
      <c r="AH312">
        <f>IF(Ajustes!$G312&gt;0,INDEX($AA$4:$AL$323,Ajustes!$G312,V$2),0)+IF(Ajustes!$H312&gt;0,INDEX($AA$4:$AL$323,Ajustes!$H312,V$2),0)+IF(Ajustes!$I312&gt;0,INDEX($AA$4:$AL$323,Ajustes!$I312,V$2),0)+IF(Ajustes!$J312&gt;0,INDEX($AA$4:$AL$323,Ajustes!$J312,V$2),0)+IF(Ajustes!$K312&gt;0,INDEX($AA$5:$AL$324,Ajustes!$K312,V$2),0)+IF(Ajustes!$L312&gt;0,INDEX($AA$4:$AL$323,Ajustes!$L312,V$2),0) + V312</f>
        <v>0</v>
      </c>
      <c r="AI312">
        <f>IF(Ajustes!$G312&gt;0,INDEX($AA$4:$AL$323,Ajustes!$G312,W$2),0)+IF(Ajustes!$H312&gt;0,INDEX($AA$4:$AL$323,Ajustes!$H312,W$2),0)+IF(Ajustes!$I312&gt;0,INDEX($AA$4:$AL$323,Ajustes!$I312,W$2),0)+IF(Ajustes!$J312&gt;0,INDEX($AA$4:$AL$323,Ajustes!$J312,W$2),0)+IF(Ajustes!$K312&gt;0,INDEX($AA$5:$AL$324,Ajustes!$K312,W$2),0)+IF(Ajustes!$L312&gt;0,INDEX($AA$4:$AL$323,Ajustes!$L312,W$2),0) + W312</f>
        <v>0</v>
      </c>
      <c r="AJ312">
        <f>IF(Ajustes!$G312&gt;0,INDEX($AA$4:$AL$323,Ajustes!$G312,X$2),0)+IF(Ajustes!$H312&gt;0,INDEX($AA$4:$AL$323,Ajustes!$H312,X$2),0)+IF(Ajustes!$I312&gt;0,INDEX($AA$4:$AL$323,Ajustes!$I312,X$2),0)+IF(Ajustes!$J312&gt;0,INDEX($AA$4:$AL$323,Ajustes!$J312,X$2),0)+IF(Ajustes!$K312&gt;0,INDEX($AA$5:$AL$324,Ajustes!$K312,X$2),0)+IF(Ajustes!$L312&gt;0,INDEX($AA$4:$AL$323,Ajustes!$L312,X$2),0) + X312</f>
        <v>0</v>
      </c>
      <c r="AK312">
        <f>IF(Ajustes!$G312&gt;0,INDEX($AA$4:$AL$323,Ajustes!$G312,Y$2),0)+IF(Ajustes!$H312&gt;0,INDEX($AA$4:$AL$323,Ajustes!$H312,Y$2),0)+IF(Ajustes!$I312&gt;0,INDEX($AA$4:$AL$323,Ajustes!$I312,Y$2),0)+IF(Ajustes!$J312&gt;0,INDEX($AA$4:$AL$323,Ajustes!$J312,Y$2),0)+IF(Ajustes!$K312&gt;0,INDEX($AA$5:$AL$324,Ajustes!$K312,Y$2),0)+IF(Ajustes!$L312&gt;0,INDEX($AA$4:$AL$323,Ajustes!$L312,Y$2),0) + Y312</f>
        <v>0</v>
      </c>
      <c r="AL312">
        <f>IF(Ajustes!$G312&gt;0,INDEX($AA$4:$AL$323,Ajustes!$G312,Z$2),0)+IF(Ajustes!$H312&gt;0,INDEX($AA$4:$AL$323,Ajustes!$H312,Z$2),0)+IF(Ajustes!$I312&gt;0,INDEX($AA$4:$AL$323,Ajustes!$I312,Z$2),0)+IF(Ajustes!$J312&gt;0,INDEX($AA$4:$AL$323,Ajustes!$J312,Z$2),0)+IF(Ajustes!$K312&gt;0,INDEX($AA$5:$AL$324,Ajustes!$K312,Z$2),0)+IF(Ajustes!$L312&gt;0,INDEX($AA$4:$AL$323,Ajustes!$L312,Z$2),0) + Z312</f>
        <v>0</v>
      </c>
      <c r="AM312" s="113">
        <f t="shared" si="65"/>
        <v>0</v>
      </c>
      <c r="AN312" s="113">
        <f t="shared" si="65"/>
        <v>0</v>
      </c>
      <c r="AO312" s="113">
        <f t="shared" si="65"/>
        <v>0</v>
      </c>
      <c r="AP312" s="113">
        <f t="shared" si="65"/>
        <v>0</v>
      </c>
      <c r="AQ312" s="113">
        <f t="shared" si="65"/>
        <v>0</v>
      </c>
      <c r="AR312" s="113">
        <f t="shared" si="65"/>
        <v>0</v>
      </c>
      <c r="AS312" s="113">
        <f t="shared" si="65"/>
        <v>0</v>
      </c>
      <c r="AT312" s="113">
        <f t="shared" si="65"/>
        <v>0</v>
      </c>
      <c r="AU312" s="113">
        <f t="shared" si="65"/>
        <v>0</v>
      </c>
      <c r="AV312" s="113">
        <f t="shared" si="65"/>
        <v>0</v>
      </c>
      <c r="AW312" s="113">
        <f t="shared" si="65"/>
        <v>0</v>
      </c>
      <c r="AX312" s="113">
        <f t="shared" si="65"/>
        <v>0</v>
      </c>
    </row>
    <row r="313" spans="1:50" x14ac:dyDescent="0.25">
      <c r="A313" s="113">
        <v>310</v>
      </c>
      <c r="B313" s="209"/>
      <c r="C313">
        <f>IFERROR(INDEX($BD$7:$BO$35,MATCH(Ajustes!$E$4:$E$323,$BC$7:$BC$35,0),$C$2:$N$2),1)</f>
        <v>1</v>
      </c>
      <c r="D313" s="113">
        <f>IFERROR(INDEX($BD$7:$BO$35,MATCH(Ajustes!$E$4:$E$323,$BC$7:$BC$35,0),$C$2:$N$2),1)</f>
        <v>1</v>
      </c>
      <c r="E313" s="113">
        <f>IFERROR(INDEX($BD$7:$BO$35,MATCH(Ajustes!$E$4:$E$323,$BC$7:$BC$35,0),$C$2:$N$2),1)</f>
        <v>1</v>
      </c>
      <c r="F313" s="113">
        <f>IFERROR(INDEX($BD$7:$BO$35,MATCH(Ajustes!$E$4:$E$323,$BC$7:$BC$35,0),$C$2:$N$2),1)</f>
        <v>1</v>
      </c>
      <c r="G313" s="113">
        <f>IFERROR(INDEX($BD$7:$BO$35,MATCH(Ajustes!$E$4:$E$323,$BC$7:$BC$35,0),$C$2:$N$2),1)</f>
        <v>1</v>
      </c>
      <c r="H313" s="113">
        <f>IFERROR(INDEX($BD$7:$BO$35,MATCH(Ajustes!$E$4:$E$323,$BC$7:$BC$35,0),$C$2:$N$2),1)</f>
        <v>1</v>
      </c>
      <c r="I313" s="113">
        <f>IFERROR(INDEX($BD$7:$BO$35,MATCH(Ajustes!$E$4:$E$323,$BC$7:$BC$35,0),$C$2:$N$2),1)</f>
        <v>1</v>
      </c>
      <c r="J313" s="113">
        <f>IFERROR(INDEX($BD$7:$BO$35,MATCH(Ajustes!$E$4:$E$323,$BC$7:$BC$35,0),$C$2:$N$2),1)</f>
        <v>1</v>
      </c>
      <c r="K313" s="113">
        <f>IFERROR(INDEX($BD$7:$BO$35,MATCH(Ajustes!$E$4:$E$323,$BC$7:$BC$35,0),$C$2:$N$2),1)</f>
        <v>1</v>
      </c>
      <c r="L313" s="113">
        <f>IFERROR(INDEX($BD$7:$BO$35,MATCH(Ajustes!$E$4:$E$323,$BC$7:$BC$35,0),$C$2:$N$2),1)</f>
        <v>1</v>
      </c>
      <c r="M313" s="113">
        <f>IFERROR(INDEX($BD$7:$BO$35,MATCH(Ajustes!$E$4:$E$323,$BC$7:$BC$35,0),$C$2:$N$2),1)</f>
        <v>1</v>
      </c>
      <c r="N313" s="113">
        <f>IFERROR(INDEX($BD$7:$BO$35,MATCH(Ajustes!$E$4:$E$323,$BC$7:$BC$35,0),$C$2:$N$2),1)</f>
        <v>1</v>
      </c>
      <c r="O313">
        <f>C313*Ajustes!AM313</f>
        <v>0</v>
      </c>
      <c r="P313">
        <f>D313*Ajustes!AN313</f>
        <v>0</v>
      </c>
      <c r="Q313">
        <f>E313*Ajustes!AO313</f>
        <v>0</v>
      </c>
      <c r="R313">
        <f>F313*Ajustes!AP313</f>
        <v>0</v>
      </c>
      <c r="S313">
        <f>G313*Ajustes!AQ313</f>
        <v>0</v>
      </c>
      <c r="T313">
        <f>H313*Ajustes!AR313</f>
        <v>0</v>
      </c>
      <c r="U313">
        <f>I313*Ajustes!AS313</f>
        <v>0</v>
      </c>
      <c r="V313">
        <f>J313*Ajustes!AT313</f>
        <v>0</v>
      </c>
      <c r="W313">
        <f>K313*Ajustes!AU313</f>
        <v>0</v>
      </c>
      <c r="X313">
        <f>L313*Ajustes!AV313</f>
        <v>0</v>
      </c>
      <c r="Y313">
        <f>M313*Ajustes!AW313</f>
        <v>0</v>
      </c>
      <c r="Z313">
        <f>N313*Ajustes!AX313</f>
        <v>0</v>
      </c>
      <c r="AA313">
        <f>IF(Ajustes!$G313&gt;0,INDEX($AA$4:$AL$323,Ajustes!$G313,O$2),0)+IF(Ajustes!$H313&gt;0,INDEX($AA$4:$AL$323,Ajustes!$H313,O$2),0)+IF(Ajustes!$I313&gt;0,INDEX($AA$4:$AL$323,Ajustes!$I313,O$2),0)+IF(Ajustes!$J313&gt;0,INDEX($AA$4:$AL$323,Ajustes!$J313,O$2),0)+IF(Ajustes!$K313&gt;0,INDEX($AA$5:$AL$324,Ajustes!$K313,O$2),0)+IF(Ajustes!$L313&gt;0,INDEX($AA$4:$AL$323,Ajustes!$L313,O$2),0) + O313</f>
        <v>0</v>
      </c>
      <c r="AB313">
        <f>IF(Ajustes!$G313&gt;0,INDEX($AA$4:$AL$323,Ajustes!$G313,P$2),0)+IF(Ajustes!$H313&gt;0,INDEX($AA$4:$AL$323,Ajustes!$H313,P$2),0)+IF(Ajustes!$I313&gt;0,INDEX($AA$4:$AL$323,Ajustes!$I313,P$2),0)+IF(Ajustes!$J313&gt;0,INDEX($AA$4:$AL$323,Ajustes!$J313,P$2),0)+IF(Ajustes!$K313&gt;0,INDEX($AA$5:$AL$324,Ajustes!$K313,P$2),0)+IF(Ajustes!$L313&gt;0,INDEX($AA$4:$AL$323,Ajustes!$L313,P$2),0) + P313</f>
        <v>0</v>
      </c>
      <c r="AC313">
        <f>IF(Ajustes!$G313&gt;0,INDEX($AA$4:$AL$323,Ajustes!$G313,Q$2),0)+IF(Ajustes!$H313&gt;0,INDEX($AA$4:$AL$323,Ajustes!$H313,Q$2),0)+IF(Ajustes!$I313&gt;0,INDEX($AA$4:$AL$323,Ajustes!$I313,Q$2),0)+IF(Ajustes!$J313&gt;0,INDEX($AA$4:$AL$323,Ajustes!$J313,Q$2),0)+IF(Ajustes!$K313&gt;0,INDEX($AA$5:$AL$324,Ajustes!$K313,Q$2),0)+IF(Ajustes!$L313&gt;0,INDEX($AA$4:$AL$323,Ajustes!$L313,Q$2),0) + Q313</f>
        <v>0</v>
      </c>
      <c r="AD313">
        <f>IF(Ajustes!$G313&gt;0,INDEX($AA$4:$AL$323,Ajustes!$G313,R$2),0)+IF(Ajustes!$H313&gt;0,INDEX($AA$4:$AL$323,Ajustes!$H313,R$2),0)+IF(Ajustes!$I313&gt;0,INDEX($AA$4:$AL$323,Ajustes!$I313,R$2),0)+IF(Ajustes!$J313&gt;0,INDEX($AA$4:$AL$323,Ajustes!$J313,R$2),0)+IF(Ajustes!$K313&gt;0,INDEX($AA$5:$AL$324,Ajustes!$K313,R$2),0)+IF(Ajustes!$L313&gt;0,INDEX($AA$4:$AL$323,Ajustes!$L313,R$2),0) + R313</f>
        <v>0</v>
      </c>
      <c r="AE313">
        <f>IF(Ajustes!$G313&gt;0,INDEX($AA$4:$AL$323,Ajustes!$G313,S$2),0)+IF(Ajustes!$H313&gt;0,INDEX($AA$4:$AL$323,Ajustes!$H313,S$2),0)+IF(Ajustes!$I313&gt;0,INDEX($AA$4:$AL$323,Ajustes!$I313,S$2),0)+IF(Ajustes!$J313&gt;0,INDEX($AA$4:$AL$323,Ajustes!$J313,S$2),0)+IF(Ajustes!$K313&gt;0,INDEX($AA$5:$AL$324,Ajustes!$K313,S$2),0)+IF(Ajustes!$L313&gt;0,INDEX($AA$4:$AL$323,Ajustes!$L313,S$2),0) + S313</f>
        <v>0</v>
      </c>
      <c r="AF313">
        <f>IF(Ajustes!$G313&gt;0,INDEX($AA$4:$AL$323,Ajustes!$G313,T$2),0)+IF(Ajustes!$H313&gt;0,INDEX($AA$4:$AL$323,Ajustes!$H313,T$2),0)+IF(Ajustes!$I313&gt;0,INDEX($AA$4:$AL$323,Ajustes!$I313,T$2),0)+IF(Ajustes!$J313&gt;0,INDEX($AA$4:$AL$323,Ajustes!$J313,T$2),0)+IF(Ajustes!$K313&gt;0,INDEX($AA$5:$AL$324,Ajustes!$K313,T$2),0)+IF(Ajustes!$L313&gt;0,INDEX($AA$4:$AL$323,Ajustes!$L313,T$2),0) + T313</f>
        <v>0</v>
      </c>
      <c r="AG313">
        <f>IF(Ajustes!$G313&gt;0,INDEX($AA$4:$AL$323,Ajustes!$G313,U$2),0)+IF(Ajustes!$H313&gt;0,INDEX($AA$4:$AL$323,Ajustes!$H313,U$2),0)+IF(Ajustes!$I313&gt;0,INDEX($AA$4:$AL$323,Ajustes!$I313,U$2),0)+IF(Ajustes!$J313&gt;0,INDEX($AA$4:$AL$323,Ajustes!$J313,U$2),0)+IF(Ajustes!$K313&gt;0,INDEX($AA$5:$AL$324,Ajustes!$K313,U$2),0)+IF(Ajustes!$L313&gt;0,INDEX($AA$4:$AL$323,Ajustes!$L313,U$2),0) + U313</f>
        <v>0</v>
      </c>
      <c r="AH313">
        <f>IF(Ajustes!$G313&gt;0,INDEX($AA$4:$AL$323,Ajustes!$G313,V$2),0)+IF(Ajustes!$H313&gt;0,INDEX($AA$4:$AL$323,Ajustes!$H313,V$2),0)+IF(Ajustes!$I313&gt;0,INDEX($AA$4:$AL$323,Ajustes!$I313,V$2),0)+IF(Ajustes!$J313&gt;0,INDEX($AA$4:$AL$323,Ajustes!$J313,V$2),0)+IF(Ajustes!$K313&gt;0,INDEX($AA$5:$AL$324,Ajustes!$K313,V$2),0)+IF(Ajustes!$L313&gt;0,INDEX($AA$4:$AL$323,Ajustes!$L313,V$2),0) + V313</f>
        <v>0</v>
      </c>
      <c r="AI313">
        <f>IF(Ajustes!$G313&gt;0,INDEX($AA$4:$AL$323,Ajustes!$G313,W$2),0)+IF(Ajustes!$H313&gt;0,INDEX($AA$4:$AL$323,Ajustes!$H313,W$2),0)+IF(Ajustes!$I313&gt;0,INDEX($AA$4:$AL$323,Ajustes!$I313,W$2),0)+IF(Ajustes!$J313&gt;0,INDEX($AA$4:$AL$323,Ajustes!$J313,W$2),0)+IF(Ajustes!$K313&gt;0,INDEX($AA$5:$AL$324,Ajustes!$K313,W$2),0)+IF(Ajustes!$L313&gt;0,INDEX($AA$4:$AL$323,Ajustes!$L313,W$2),0) + W313</f>
        <v>0</v>
      </c>
      <c r="AJ313">
        <f>IF(Ajustes!$G313&gt;0,INDEX($AA$4:$AL$323,Ajustes!$G313,X$2),0)+IF(Ajustes!$H313&gt;0,INDEX($AA$4:$AL$323,Ajustes!$H313,X$2),0)+IF(Ajustes!$I313&gt;0,INDEX($AA$4:$AL$323,Ajustes!$I313,X$2),0)+IF(Ajustes!$J313&gt;0,INDEX($AA$4:$AL$323,Ajustes!$J313,X$2),0)+IF(Ajustes!$K313&gt;0,INDEX($AA$5:$AL$324,Ajustes!$K313,X$2),0)+IF(Ajustes!$L313&gt;0,INDEX($AA$4:$AL$323,Ajustes!$L313,X$2),0) + X313</f>
        <v>0</v>
      </c>
      <c r="AK313">
        <f>IF(Ajustes!$G313&gt;0,INDEX($AA$4:$AL$323,Ajustes!$G313,Y$2),0)+IF(Ajustes!$H313&gt;0,INDEX($AA$4:$AL$323,Ajustes!$H313,Y$2),0)+IF(Ajustes!$I313&gt;0,INDEX($AA$4:$AL$323,Ajustes!$I313,Y$2),0)+IF(Ajustes!$J313&gt;0,INDEX($AA$4:$AL$323,Ajustes!$J313,Y$2),0)+IF(Ajustes!$K313&gt;0,INDEX($AA$5:$AL$324,Ajustes!$K313,Y$2),0)+IF(Ajustes!$L313&gt;0,INDEX($AA$4:$AL$323,Ajustes!$L313,Y$2),0) + Y313</f>
        <v>0</v>
      </c>
      <c r="AL313">
        <f>IF(Ajustes!$G313&gt;0,INDEX($AA$4:$AL$323,Ajustes!$G313,Z$2),0)+IF(Ajustes!$H313&gt;0,INDEX($AA$4:$AL$323,Ajustes!$H313,Z$2),0)+IF(Ajustes!$I313&gt;0,INDEX($AA$4:$AL$323,Ajustes!$I313,Z$2),0)+IF(Ajustes!$J313&gt;0,INDEX($AA$4:$AL$323,Ajustes!$J313,Z$2),0)+IF(Ajustes!$K313&gt;0,INDEX($AA$5:$AL$324,Ajustes!$K313,Z$2),0)+IF(Ajustes!$L313&gt;0,INDEX($AA$4:$AL$323,Ajustes!$L313,Z$2),0) + Z313</f>
        <v>0</v>
      </c>
      <c r="AM313" s="113">
        <f t="shared" si="65"/>
        <v>0</v>
      </c>
      <c r="AN313" s="113">
        <f t="shared" si="65"/>
        <v>0</v>
      </c>
      <c r="AO313" s="113">
        <f t="shared" si="65"/>
        <v>0</v>
      </c>
      <c r="AP313" s="113">
        <f t="shared" si="65"/>
        <v>0</v>
      </c>
      <c r="AQ313" s="113">
        <f t="shared" si="65"/>
        <v>0</v>
      </c>
      <c r="AR313" s="113">
        <f t="shared" si="65"/>
        <v>0</v>
      </c>
      <c r="AS313" s="113">
        <f t="shared" si="65"/>
        <v>0</v>
      </c>
      <c r="AT313" s="113">
        <f t="shared" si="65"/>
        <v>0</v>
      </c>
      <c r="AU313" s="113">
        <f t="shared" si="65"/>
        <v>0</v>
      </c>
      <c r="AV313" s="113">
        <f t="shared" si="65"/>
        <v>0</v>
      </c>
      <c r="AW313" s="113">
        <f t="shared" si="65"/>
        <v>0</v>
      </c>
      <c r="AX313" s="113">
        <f t="shared" si="65"/>
        <v>0</v>
      </c>
    </row>
    <row r="314" spans="1:50" x14ac:dyDescent="0.25">
      <c r="A314" s="113">
        <v>311</v>
      </c>
      <c r="B314" s="209"/>
      <c r="C314">
        <f>IFERROR(INDEX($BD$7:$BO$35,MATCH(Ajustes!$E$4:$E$323,$BC$7:$BC$35,0),$C$2:$N$2),1)</f>
        <v>1</v>
      </c>
      <c r="D314" s="113">
        <f>IFERROR(INDEX($BD$7:$BO$35,MATCH(Ajustes!$E$4:$E$323,$BC$7:$BC$35,0),$C$2:$N$2),1)</f>
        <v>1</v>
      </c>
      <c r="E314" s="113">
        <f>IFERROR(INDEX($BD$7:$BO$35,MATCH(Ajustes!$E$4:$E$323,$BC$7:$BC$35,0),$C$2:$N$2),1)</f>
        <v>1</v>
      </c>
      <c r="F314" s="113">
        <f>IFERROR(INDEX($BD$7:$BO$35,MATCH(Ajustes!$E$4:$E$323,$BC$7:$BC$35,0),$C$2:$N$2),1)</f>
        <v>1</v>
      </c>
      <c r="G314" s="113">
        <f>IFERROR(INDEX($BD$7:$BO$35,MATCH(Ajustes!$E$4:$E$323,$BC$7:$BC$35,0),$C$2:$N$2),1)</f>
        <v>1</v>
      </c>
      <c r="H314" s="113">
        <f>IFERROR(INDEX($BD$7:$BO$35,MATCH(Ajustes!$E$4:$E$323,$BC$7:$BC$35,0),$C$2:$N$2),1)</f>
        <v>1</v>
      </c>
      <c r="I314" s="113">
        <f>IFERROR(INDEX($BD$7:$BO$35,MATCH(Ajustes!$E$4:$E$323,$BC$7:$BC$35,0),$C$2:$N$2),1)</f>
        <v>1</v>
      </c>
      <c r="J314" s="113">
        <f>IFERROR(INDEX($BD$7:$BO$35,MATCH(Ajustes!$E$4:$E$323,$BC$7:$BC$35,0),$C$2:$N$2),1)</f>
        <v>1</v>
      </c>
      <c r="K314" s="113">
        <f>IFERROR(INDEX($BD$7:$BO$35,MATCH(Ajustes!$E$4:$E$323,$BC$7:$BC$35,0),$C$2:$N$2),1)</f>
        <v>1</v>
      </c>
      <c r="L314" s="113">
        <f>IFERROR(INDEX($BD$7:$BO$35,MATCH(Ajustes!$E$4:$E$323,$BC$7:$BC$35,0),$C$2:$N$2),1)</f>
        <v>1</v>
      </c>
      <c r="M314" s="113">
        <f>IFERROR(INDEX($BD$7:$BO$35,MATCH(Ajustes!$E$4:$E$323,$BC$7:$BC$35,0),$C$2:$N$2),1)</f>
        <v>1</v>
      </c>
      <c r="N314" s="113">
        <f>IFERROR(INDEX($BD$7:$BO$35,MATCH(Ajustes!$E$4:$E$323,$BC$7:$BC$35,0),$C$2:$N$2),1)</f>
        <v>1</v>
      </c>
      <c r="O314">
        <f>C314*Ajustes!AM314</f>
        <v>0</v>
      </c>
      <c r="P314">
        <f>D314*Ajustes!AN314</f>
        <v>0</v>
      </c>
      <c r="Q314">
        <f>E314*Ajustes!AO314</f>
        <v>0</v>
      </c>
      <c r="R314">
        <f>F314*Ajustes!AP314</f>
        <v>0</v>
      </c>
      <c r="S314">
        <f>G314*Ajustes!AQ314</f>
        <v>0</v>
      </c>
      <c r="T314">
        <f>H314*Ajustes!AR314</f>
        <v>0</v>
      </c>
      <c r="U314">
        <f>I314*Ajustes!AS314</f>
        <v>0</v>
      </c>
      <c r="V314">
        <f>J314*Ajustes!AT314</f>
        <v>0</v>
      </c>
      <c r="W314">
        <f>K314*Ajustes!AU314</f>
        <v>0</v>
      </c>
      <c r="X314">
        <f>L314*Ajustes!AV314</f>
        <v>0</v>
      </c>
      <c r="Y314">
        <f>M314*Ajustes!AW314</f>
        <v>0</v>
      </c>
      <c r="Z314">
        <f>N314*Ajustes!AX314</f>
        <v>0</v>
      </c>
      <c r="AA314">
        <f>IF(Ajustes!$G314&gt;0,INDEX($AA$4:$AL$323,Ajustes!$G314,O$2),0)+IF(Ajustes!$H314&gt;0,INDEX($AA$4:$AL$323,Ajustes!$H314,O$2),0)+IF(Ajustes!$I314&gt;0,INDEX($AA$4:$AL$323,Ajustes!$I314,O$2),0)+IF(Ajustes!$J314&gt;0,INDEX($AA$4:$AL$323,Ajustes!$J314,O$2),0)+IF(Ajustes!$K314&gt;0,INDEX($AA$5:$AL$324,Ajustes!$K314,O$2),0)+IF(Ajustes!$L314&gt;0,INDEX($AA$4:$AL$323,Ajustes!$L314,O$2),0) + O314</f>
        <v>0</v>
      </c>
      <c r="AB314">
        <f>IF(Ajustes!$G314&gt;0,INDEX($AA$4:$AL$323,Ajustes!$G314,P$2),0)+IF(Ajustes!$H314&gt;0,INDEX($AA$4:$AL$323,Ajustes!$H314,P$2),0)+IF(Ajustes!$I314&gt;0,INDEX($AA$4:$AL$323,Ajustes!$I314,P$2),0)+IF(Ajustes!$J314&gt;0,INDEX($AA$4:$AL$323,Ajustes!$J314,P$2),0)+IF(Ajustes!$K314&gt;0,INDEX($AA$5:$AL$324,Ajustes!$K314,P$2),0)+IF(Ajustes!$L314&gt;0,INDEX($AA$4:$AL$323,Ajustes!$L314,P$2),0) + P314</f>
        <v>0</v>
      </c>
      <c r="AC314">
        <f>IF(Ajustes!$G314&gt;0,INDEX($AA$4:$AL$323,Ajustes!$G314,Q$2),0)+IF(Ajustes!$H314&gt;0,INDEX($AA$4:$AL$323,Ajustes!$H314,Q$2),0)+IF(Ajustes!$I314&gt;0,INDEX($AA$4:$AL$323,Ajustes!$I314,Q$2),0)+IF(Ajustes!$J314&gt;0,INDEX($AA$4:$AL$323,Ajustes!$J314,Q$2),0)+IF(Ajustes!$K314&gt;0,INDEX($AA$5:$AL$324,Ajustes!$K314,Q$2),0)+IF(Ajustes!$L314&gt;0,INDEX($AA$4:$AL$323,Ajustes!$L314,Q$2),0) + Q314</f>
        <v>0</v>
      </c>
      <c r="AD314">
        <f>IF(Ajustes!$G314&gt;0,INDEX($AA$4:$AL$323,Ajustes!$G314,R$2),0)+IF(Ajustes!$H314&gt;0,INDEX($AA$4:$AL$323,Ajustes!$H314,R$2),0)+IF(Ajustes!$I314&gt;0,INDEX($AA$4:$AL$323,Ajustes!$I314,R$2),0)+IF(Ajustes!$J314&gt;0,INDEX($AA$4:$AL$323,Ajustes!$J314,R$2),0)+IF(Ajustes!$K314&gt;0,INDEX($AA$5:$AL$324,Ajustes!$K314,R$2),0)+IF(Ajustes!$L314&gt;0,INDEX($AA$4:$AL$323,Ajustes!$L314,R$2),0) + R314</f>
        <v>0</v>
      </c>
      <c r="AE314">
        <f>IF(Ajustes!$G314&gt;0,INDEX($AA$4:$AL$323,Ajustes!$G314,S$2),0)+IF(Ajustes!$H314&gt;0,INDEX($AA$4:$AL$323,Ajustes!$H314,S$2),0)+IF(Ajustes!$I314&gt;0,INDEX($AA$4:$AL$323,Ajustes!$I314,S$2),0)+IF(Ajustes!$J314&gt;0,INDEX($AA$4:$AL$323,Ajustes!$J314,S$2),0)+IF(Ajustes!$K314&gt;0,INDEX($AA$5:$AL$324,Ajustes!$K314,S$2),0)+IF(Ajustes!$L314&gt;0,INDEX($AA$4:$AL$323,Ajustes!$L314,S$2),0) + S314</f>
        <v>0</v>
      </c>
      <c r="AF314">
        <f>IF(Ajustes!$G314&gt;0,INDEX($AA$4:$AL$323,Ajustes!$G314,T$2),0)+IF(Ajustes!$H314&gt;0,INDEX($AA$4:$AL$323,Ajustes!$H314,T$2),0)+IF(Ajustes!$I314&gt;0,INDEX($AA$4:$AL$323,Ajustes!$I314,T$2),0)+IF(Ajustes!$J314&gt;0,INDEX($AA$4:$AL$323,Ajustes!$J314,T$2),0)+IF(Ajustes!$K314&gt;0,INDEX($AA$5:$AL$324,Ajustes!$K314,T$2),0)+IF(Ajustes!$L314&gt;0,INDEX($AA$4:$AL$323,Ajustes!$L314,T$2),0) + T314</f>
        <v>0</v>
      </c>
      <c r="AG314">
        <f>IF(Ajustes!$G314&gt;0,INDEX($AA$4:$AL$323,Ajustes!$G314,U$2),0)+IF(Ajustes!$H314&gt;0,INDEX($AA$4:$AL$323,Ajustes!$H314,U$2),0)+IF(Ajustes!$I314&gt;0,INDEX($AA$4:$AL$323,Ajustes!$I314,U$2),0)+IF(Ajustes!$J314&gt;0,INDEX($AA$4:$AL$323,Ajustes!$J314,U$2),0)+IF(Ajustes!$K314&gt;0,INDEX($AA$5:$AL$324,Ajustes!$K314,U$2),0)+IF(Ajustes!$L314&gt;0,INDEX($AA$4:$AL$323,Ajustes!$L314,U$2),0) + U314</f>
        <v>0</v>
      </c>
      <c r="AH314">
        <f>IF(Ajustes!$G314&gt;0,INDEX($AA$4:$AL$323,Ajustes!$G314,V$2),0)+IF(Ajustes!$H314&gt;0,INDEX($AA$4:$AL$323,Ajustes!$H314,V$2),0)+IF(Ajustes!$I314&gt;0,INDEX($AA$4:$AL$323,Ajustes!$I314,V$2),0)+IF(Ajustes!$J314&gt;0,INDEX($AA$4:$AL$323,Ajustes!$J314,V$2),0)+IF(Ajustes!$K314&gt;0,INDEX($AA$5:$AL$324,Ajustes!$K314,V$2),0)+IF(Ajustes!$L314&gt;0,INDEX($AA$4:$AL$323,Ajustes!$L314,V$2),0) + V314</f>
        <v>0</v>
      </c>
      <c r="AI314">
        <f>IF(Ajustes!$G314&gt;0,INDEX($AA$4:$AL$323,Ajustes!$G314,W$2),0)+IF(Ajustes!$H314&gt;0,INDEX($AA$4:$AL$323,Ajustes!$H314,W$2),0)+IF(Ajustes!$I314&gt;0,INDEX($AA$4:$AL$323,Ajustes!$I314,W$2),0)+IF(Ajustes!$J314&gt;0,INDEX($AA$4:$AL$323,Ajustes!$J314,W$2),0)+IF(Ajustes!$K314&gt;0,INDEX($AA$5:$AL$324,Ajustes!$K314,W$2),0)+IF(Ajustes!$L314&gt;0,INDEX($AA$4:$AL$323,Ajustes!$L314,W$2),0) + W314</f>
        <v>0</v>
      </c>
      <c r="AJ314">
        <f>IF(Ajustes!$G314&gt;0,INDEX($AA$4:$AL$323,Ajustes!$G314,X$2),0)+IF(Ajustes!$H314&gt;0,INDEX($AA$4:$AL$323,Ajustes!$H314,X$2),0)+IF(Ajustes!$I314&gt;0,INDEX($AA$4:$AL$323,Ajustes!$I314,X$2),0)+IF(Ajustes!$J314&gt;0,INDEX($AA$4:$AL$323,Ajustes!$J314,X$2),0)+IF(Ajustes!$K314&gt;0,INDEX($AA$5:$AL$324,Ajustes!$K314,X$2),0)+IF(Ajustes!$L314&gt;0,INDEX($AA$4:$AL$323,Ajustes!$L314,X$2),0) + X314</f>
        <v>0</v>
      </c>
      <c r="AK314">
        <f>IF(Ajustes!$G314&gt;0,INDEX($AA$4:$AL$323,Ajustes!$G314,Y$2),0)+IF(Ajustes!$H314&gt;0,INDEX($AA$4:$AL$323,Ajustes!$H314,Y$2),0)+IF(Ajustes!$I314&gt;0,INDEX($AA$4:$AL$323,Ajustes!$I314,Y$2),0)+IF(Ajustes!$J314&gt;0,INDEX($AA$4:$AL$323,Ajustes!$J314,Y$2),0)+IF(Ajustes!$K314&gt;0,INDEX($AA$5:$AL$324,Ajustes!$K314,Y$2),0)+IF(Ajustes!$L314&gt;0,INDEX($AA$4:$AL$323,Ajustes!$L314,Y$2),0) + Y314</f>
        <v>0</v>
      </c>
      <c r="AL314">
        <f>IF(Ajustes!$G314&gt;0,INDEX($AA$4:$AL$323,Ajustes!$G314,Z$2),0)+IF(Ajustes!$H314&gt;0,INDEX($AA$4:$AL$323,Ajustes!$H314,Z$2),0)+IF(Ajustes!$I314&gt;0,INDEX($AA$4:$AL$323,Ajustes!$I314,Z$2),0)+IF(Ajustes!$J314&gt;0,INDEX($AA$4:$AL$323,Ajustes!$J314,Z$2),0)+IF(Ajustes!$K314&gt;0,INDEX($AA$5:$AL$324,Ajustes!$K314,Z$2),0)+IF(Ajustes!$L314&gt;0,INDEX($AA$4:$AL$323,Ajustes!$L314,Z$2),0) + Z314</f>
        <v>0</v>
      </c>
      <c r="AM314" s="113">
        <f t="shared" si="65"/>
        <v>0</v>
      </c>
      <c r="AN314" s="113">
        <f t="shared" si="65"/>
        <v>0</v>
      </c>
      <c r="AO314" s="113">
        <f t="shared" si="65"/>
        <v>0</v>
      </c>
      <c r="AP314" s="113">
        <f t="shared" si="65"/>
        <v>0</v>
      </c>
      <c r="AQ314" s="113">
        <f t="shared" si="65"/>
        <v>0</v>
      </c>
      <c r="AR314" s="113">
        <f t="shared" si="65"/>
        <v>0</v>
      </c>
      <c r="AS314" s="113">
        <f t="shared" si="65"/>
        <v>0</v>
      </c>
      <c r="AT314" s="113">
        <f t="shared" si="65"/>
        <v>0</v>
      </c>
      <c r="AU314" s="113">
        <f t="shared" si="65"/>
        <v>0</v>
      </c>
      <c r="AV314" s="113">
        <f t="shared" si="65"/>
        <v>0</v>
      </c>
      <c r="AW314" s="113">
        <f t="shared" si="65"/>
        <v>0</v>
      </c>
      <c r="AX314" s="113">
        <f t="shared" si="65"/>
        <v>0</v>
      </c>
    </row>
    <row r="315" spans="1:50" x14ac:dyDescent="0.25">
      <c r="A315" s="113">
        <v>312</v>
      </c>
      <c r="B315" s="209"/>
      <c r="C315">
        <f>IFERROR(INDEX($BD$7:$BO$35,MATCH(Ajustes!$E$4:$E$323,$BC$7:$BC$35,0),$C$2:$N$2),1)</f>
        <v>1</v>
      </c>
      <c r="D315" s="113">
        <f>IFERROR(INDEX($BD$7:$BO$35,MATCH(Ajustes!$E$4:$E$323,$BC$7:$BC$35,0),$C$2:$N$2),1)</f>
        <v>1</v>
      </c>
      <c r="E315" s="113">
        <f>IFERROR(INDEX($BD$7:$BO$35,MATCH(Ajustes!$E$4:$E$323,$BC$7:$BC$35,0),$C$2:$N$2),1)</f>
        <v>1</v>
      </c>
      <c r="F315" s="113">
        <f>IFERROR(INDEX($BD$7:$BO$35,MATCH(Ajustes!$E$4:$E$323,$BC$7:$BC$35,0),$C$2:$N$2),1)</f>
        <v>1</v>
      </c>
      <c r="G315" s="113">
        <f>IFERROR(INDEX($BD$7:$BO$35,MATCH(Ajustes!$E$4:$E$323,$BC$7:$BC$35,0),$C$2:$N$2),1)</f>
        <v>1</v>
      </c>
      <c r="H315" s="113">
        <f>IFERROR(INDEX($BD$7:$BO$35,MATCH(Ajustes!$E$4:$E$323,$BC$7:$BC$35,0),$C$2:$N$2),1)</f>
        <v>1</v>
      </c>
      <c r="I315" s="113">
        <f>IFERROR(INDEX($BD$7:$BO$35,MATCH(Ajustes!$E$4:$E$323,$BC$7:$BC$35,0),$C$2:$N$2),1)</f>
        <v>1</v>
      </c>
      <c r="J315" s="113">
        <f>IFERROR(INDEX($BD$7:$BO$35,MATCH(Ajustes!$E$4:$E$323,$BC$7:$BC$35,0),$C$2:$N$2),1)</f>
        <v>1</v>
      </c>
      <c r="K315" s="113">
        <f>IFERROR(INDEX($BD$7:$BO$35,MATCH(Ajustes!$E$4:$E$323,$BC$7:$BC$35,0),$C$2:$N$2),1)</f>
        <v>1</v>
      </c>
      <c r="L315" s="113">
        <f>IFERROR(INDEX($BD$7:$BO$35,MATCH(Ajustes!$E$4:$E$323,$BC$7:$BC$35,0),$C$2:$N$2),1)</f>
        <v>1</v>
      </c>
      <c r="M315" s="113">
        <f>IFERROR(INDEX($BD$7:$BO$35,MATCH(Ajustes!$E$4:$E$323,$BC$7:$BC$35,0),$C$2:$N$2),1)</f>
        <v>1</v>
      </c>
      <c r="N315" s="113">
        <f>IFERROR(INDEX($BD$7:$BO$35,MATCH(Ajustes!$E$4:$E$323,$BC$7:$BC$35,0),$C$2:$N$2),1)</f>
        <v>1</v>
      </c>
      <c r="O315">
        <f>C315*Ajustes!AM315</f>
        <v>0</v>
      </c>
      <c r="P315">
        <f>D315*Ajustes!AN315</f>
        <v>0</v>
      </c>
      <c r="Q315">
        <f>E315*Ajustes!AO315</f>
        <v>0</v>
      </c>
      <c r="R315">
        <f>F315*Ajustes!AP315</f>
        <v>0</v>
      </c>
      <c r="S315">
        <f>G315*Ajustes!AQ315</f>
        <v>0</v>
      </c>
      <c r="T315">
        <f>H315*Ajustes!AR315</f>
        <v>0</v>
      </c>
      <c r="U315">
        <f>I315*Ajustes!AS315</f>
        <v>0</v>
      </c>
      <c r="V315">
        <f>J315*Ajustes!AT315</f>
        <v>0</v>
      </c>
      <c r="W315">
        <f>K315*Ajustes!AU315</f>
        <v>0</v>
      </c>
      <c r="X315">
        <f>L315*Ajustes!AV315</f>
        <v>0</v>
      </c>
      <c r="Y315">
        <f>M315*Ajustes!AW315</f>
        <v>0</v>
      </c>
      <c r="Z315">
        <f>N315*Ajustes!AX315</f>
        <v>0</v>
      </c>
      <c r="AA315">
        <f>IF(Ajustes!$G315&gt;0,INDEX($AA$4:$AL$323,Ajustes!$G315,O$2),0)+IF(Ajustes!$H315&gt;0,INDEX($AA$4:$AL$323,Ajustes!$H315,O$2),0)+IF(Ajustes!$I315&gt;0,INDEX($AA$4:$AL$323,Ajustes!$I315,O$2),0)+IF(Ajustes!$J315&gt;0,INDEX($AA$4:$AL$323,Ajustes!$J315,O$2),0)+IF(Ajustes!$K315&gt;0,INDEX($AA$5:$AL$324,Ajustes!$K315,O$2),0)+IF(Ajustes!$L315&gt;0,INDEX($AA$4:$AL$323,Ajustes!$L315,O$2),0) + O315</f>
        <v>0</v>
      </c>
      <c r="AB315">
        <f>IF(Ajustes!$G315&gt;0,INDEX($AA$4:$AL$323,Ajustes!$G315,P$2),0)+IF(Ajustes!$H315&gt;0,INDEX($AA$4:$AL$323,Ajustes!$H315,P$2),0)+IF(Ajustes!$I315&gt;0,INDEX($AA$4:$AL$323,Ajustes!$I315,P$2),0)+IF(Ajustes!$J315&gt;0,INDEX($AA$4:$AL$323,Ajustes!$J315,P$2),0)+IF(Ajustes!$K315&gt;0,INDEX($AA$5:$AL$324,Ajustes!$K315,P$2),0)+IF(Ajustes!$L315&gt;0,INDEX($AA$4:$AL$323,Ajustes!$L315,P$2),0) + P315</f>
        <v>0</v>
      </c>
      <c r="AC315">
        <f>IF(Ajustes!$G315&gt;0,INDEX($AA$4:$AL$323,Ajustes!$G315,Q$2),0)+IF(Ajustes!$H315&gt;0,INDEX($AA$4:$AL$323,Ajustes!$H315,Q$2),0)+IF(Ajustes!$I315&gt;0,INDEX($AA$4:$AL$323,Ajustes!$I315,Q$2),0)+IF(Ajustes!$J315&gt;0,INDEX($AA$4:$AL$323,Ajustes!$J315,Q$2),0)+IF(Ajustes!$K315&gt;0,INDEX($AA$5:$AL$324,Ajustes!$K315,Q$2),0)+IF(Ajustes!$L315&gt;0,INDEX($AA$4:$AL$323,Ajustes!$L315,Q$2),0) + Q315</f>
        <v>0</v>
      </c>
      <c r="AD315">
        <f>IF(Ajustes!$G315&gt;0,INDEX($AA$4:$AL$323,Ajustes!$G315,R$2),0)+IF(Ajustes!$H315&gt;0,INDEX($AA$4:$AL$323,Ajustes!$H315,R$2),0)+IF(Ajustes!$I315&gt;0,INDEX($AA$4:$AL$323,Ajustes!$I315,R$2),0)+IF(Ajustes!$J315&gt;0,INDEX($AA$4:$AL$323,Ajustes!$J315,R$2),0)+IF(Ajustes!$K315&gt;0,INDEX($AA$5:$AL$324,Ajustes!$K315,R$2),0)+IF(Ajustes!$L315&gt;0,INDEX($AA$4:$AL$323,Ajustes!$L315,R$2),0) + R315</f>
        <v>0</v>
      </c>
      <c r="AE315">
        <f>IF(Ajustes!$G315&gt;0,INDEX($AA$4:$AL$323,Ajustes!$G315,S$2),0)+IF(Ajustes!$H315&gt;0,INDEX($AA$4:$AL$323,Ajustes!$H315,S$2),0)+IF(Ajustes!$I315&gt;0,INDEX($AA$4:$AL$323,Ajustes!$I315,S$2),0)+IF(Ajustes!$J315&gt;0,INDEX($AA$4:$AL$323,Ajustes!$J315,S$2),0)+IF(Ajustes!$K315&gt;0,INDEX($AA$5:$AL$324,Ajustes!$K315,S$2),0)+IF(Ajustes!$L315&gt;0,INDEX($AA$4:$AL$323,Ajustes!$L315,S$2),0) + S315</f>
        <v>0</v>
      </c>
      <c r="AF315">
        <f>IF(Ajustes!$G315&gt;0,INDEX($AA$4:$AL$323,Ajustes!$G315,T$2),0)+IF(Ajustes!$H315&gt;0,INDEX($AA$4:$AL$323,Ajustes!$H315,T$2),0)+IF(Ajustes!$I315&gt;0,INDEX($AA$4:$AL$323,Ajustes!$I315,T$2),0)+IF(Ajustes!$J315&gt;0,INDEX($AA$4:$AL$323,Ajustes!$J315,T$2),0)+IF(Ajustes!$K315&gt;0,INDEX($AA$5:$AL$324,Ajustes!$K315,T$2),0)+IF(Ajustes!$L315&gt;0,INDEX($AA$4:$AL$323,Ajustes!$L315,T$2),0) + T315</f>
        <v>0</v>
      </c>
      <c r="AG315">
        <f>IF(Ajustes!$G315&gt;0,INDEX($AA$4:$AL$323,Ajustes!$G315,U$2),0)+IF(Ajustes!$H315&gt;0,INDEX($AA$4:$AL$323,Ajustes!$H315,U$2),0)+IF(Ajustes!$I315&gt;0,INDEX($AA$4:$AL$323,Ajustes!$I315,U$2),0)+IF(Ajustes!$J315&gt;0,INDEX($AA$4:$AL$323,Ajustes!$J315,U$2),0)+IF(Ajustes!$K315&gt;0,INDEX($AA$5:$AL$324,Ajustes!$K315,U$2),0)+IF(Ajustes!$L315&gt;0,INDEX($AA$4:$AL$323,Ajustes!$L315,U$2),0) + U315</f>
        <v>0</v>
      </c>
      <c r="AH315">
        <f>IF(Ajustes!$G315&gt;0,INDEX($AA$4:$AL$323,Ajustes!$G315,V$2),0)+IF(Ajustes!$H315&gt;0,INDEX($AA$4:$AL$323,Ajustes!$H315,V$2),0)+IF(Ajustes!$I315&gt;0,INDEX($AA$4:$AL$323,Ajustes!$I315,V$2),0)+IF(Ajustes!$J315&gt;0,INDEX($AA$4:$AL$323,Ajustes!$J315,V$2),0)+IF(Ajustes!$K315&gt;0,INDEX($AA$5:$AL$324,Ajustes!$K315,V$2),0)+IF(Ajustes!$L315&gt;0,INDEX($AA$4:$AL$323,Ajustes!$L315,V$2),0) + V315</f>
        <v>0</v>
      </c>
      <c r="AI315">
        <f>IF(Ajustes!$G315&gt;0,INDEX($AA$4:$AL$323,Ajustes!$G315,W$2),0)+IF(Ajustes!$H315&gt;0,INDEX($AA$4:$AL$323,Ajustes!$H315,W$2),0)+IF(Ajustes!$I315&gt;0,INDEX($AA$4:$AL$323,Ajustes!$I315,W$2),0)+IF(Ajustes!$J315&gt;0,INDEX($AA$4:$AL$323,Ajustes!$J315,W$2),0)+IF(Ajustes!$K315&gt;0,INDEX($AA$5:$AL$324,Ajustes!$K315,W$2),0)+IF(Ajustes!$L315&gt;0,INDEX($AA$4:$AL$323,Ajustes!$L315,W$2),0) + W315</f>
        <v>0</v>
      </c>
      <c r="AJ315">
        <f>IF(Ajustes!$G315&gt;0,INDEX($AA$4:$AL$323,Ajustes!$G315,X$2),0)+IF(Ajustes!$H315&gt;0,INDEX($AA$4:$AL$323,Ajustes!$H315,X$2),0)+IF(Ajustes!$I315&gt;0,INDEX($AA$4:$AL$323,Ajustes!$I315,X$2),0)+IF(Ajustes!$J315&gt;0,INDEX($AA$4:$AL$323,Ajustes!$J315,X$2),0)+IF(Ajustes!$K315&gt;0,INDEX($AA$5:$AL$324,Ajustes!$K315,X$2),0)+IF(Ajustes!$L315&gt;0,INDEX($AA$4:$AL$323,Ajustes!$L315,X$2),0) + X315</f>
        <v>0</v>
      </c>
      <c r="AK315">
        <f>IF(Ajustes!$G315&gt;0,INDEX($AA$4:$AL$323,Ajustes!$G315,Y$2),0)+IF(Ajustes!$H315&gt;0,INDEX($AA$4:$AL$323,Ajustes!$H315,Y$2),0)+IF(Ajustes!$I315&gt;0,INDEX($AA$4:$AL$323,Ajustes!$I315,Y$2),0)+IF(Ajustes!$J315&gt;0,INDEX($AA$4:$AL$323,Ajustes!$J315,Y$2),0)+IF(Ajustes!$K315&gt;0,INDEX($AA$5:$AL$324,Ajustes!$K315,Y$2),0)+IF(Ajustes!$L315&gt;0,INDEX($AA$4:$AL$323,Ajustes!$L315,Y$2),0) + Y315</f>
        <v>0</v>
      </c>
      <c r="AL315">
        <f>IF(Ajustes!$G315&gt;0,INDEX($AA$4:$AL$323,Ajustes!$G315,Z$2),0)+IF(Ajustes!$H315&gt;0,INDEX($AA$4:$AL$323,Ajustes!$H315,Z$2),0)+IF(Ajustes!$I315&gt;0,INDEX($AA$4:$AL$323,Ajustes!$I315,Z$2),0)+IF(Ajustes!$J315&gt;0,INDEX($AA$4:$AL$323,Ajustes!$J315,Z$2),0)+IF(Ajustes!$K315&gt;0,INDEX($AA$5:$AL$324,Ajustes!$K315,Z$2),0)+IF(Ajustes!$L315&gt;0,INDEX($AA$4:$AL$323,Ajustes!$L315,Z$2),0) + Z315</f>
        <v>0</v>
      </c>
      <c r="AM315" s="113">
        <f t="shared" si="65"/>
        <v>0</v>
      </c>
      <c r="AN315" s="113">
        <f t="shared" si="65"/>
        <v>0</v>
      </c>
      <c r="AO315" s="113">
        <f t="shared" si="65"/>
        <v>0</v>
      </c>
      <c r="AP315" s="113">
        <f t="shared" si="65"/>
        <v>0</v>
      </c>
      <c r="AQ315" s="113">
        <f t="shared" si="65"/>
        <v>0</v>
      </c>
      <c r="AR315" s="113">
        <f t="shared" si="65"/>
        <v>0</v>
      </c>
      <c r="AS315" s="113">
        <f t="shared" si="65"/>
        <v>0</v>
      </c>
      <c r="AT315" s="113">
        <f t="shared" si="65"/>
        <v>0</v>
      </c>
      <c r="AU315" s="113">
        <f t="shared" si="65"/>
        <v>0</v>
      </c>
      <c r="AV315" s="113">
        <f t="shared" si="65"/>
        <v>0</v>
      </c>
      <c r="AW315" s="113">
        <f t="shared" si="65"/>
        <v>0</v>
      </c>
      <c r="AX315" s="113">
        <f t="shared" si="65"/>
        <v>0</v>
      </c>
    </row>
    <row r="316" spans="1:50" x14ac:dyDescent="0.25">
      <c r="A316" s="113">
        <v>313</v>
      </c>
      <c r="B316" s="209" t="s">
        <v>685</v>
      </c>
      <c r="C316">
        <f>IFERROR(INDEX($BD$7:$BO$35,MATCH(Ajustes!$E$4:$E$323,$BC$7:$BC$35,0),$C$2:$N$2),1)</f>
        <v>1</v>
      </c>
      <c r="D316" s="113">
        <f>IFERROR(INDEX($BD$7:$BO$35,MATCH(Ajustes!$E$4:$E$323,$BC$7:$BC$35,0),$C$2:$N$2),1)</f>
        <v>1</v>
      </c>
      <c r="E316" s="113">
        <f>IFERROR(INDEX($BD$7:$BO$35,MATCH(Ajustes!$E$4:$E$323,$BC$7:$BC$35,0),$C$2:$N$2),1)</f>
        <v>1</v>
      </c>
      <c r="F316" s="113">
        <f>IFERROR(INDEX($BD$7:$BO$35,MATCH(Ajustes!$E$4:$E$323,$BC$7:$BC$35,0),$C$2:$N$2),1)</f>
        <v>1</v>
      </c>
      <c r="G316" s="113">
        <f>IFERROR(INDEX($BD$7:$BO$35,MATCH(Ajustes!$E$4:$E$323,$BC$7:$BC$35,0),$C$2:$N$2),1)</f>
        <v>1</v>
      </c>
      <c r="H316" s="113">
        <f>IFERROR(INDEX($BD$7:$BO$35,MATCH(Ajustes!$E$4:$E$323,$BC$7:$BC$35,0),$C$2:$N$2),1)</f>
        <v>1</v>
      </c>
      <c r="I316" s="113">
        <f>IFERROR(INDEX($BD$7:$BO$35,MATCH(Ajustes!$E$4:$E$323,$BC$7:$BC$35,0),$C$2:$N$2),1)</f>
        <v>1</v>
      </c>
      <c r="J316" s="113">
        <f>IFERROR(INDEX($BD$7:$BO$35,MATCH(Ajustes!$E$4:$E$323,$BC$7:$BC$35,0),$C$2:$N$2),1)</f>
        <v>1</v>
      </c>
      <c r="K316" s="113">
        <f>IFERROR(INDEX($BD$7:$BO$35,MATCH(Ajustes!$E$4:$E$323,$BC$7:$BC$35,0),$C$2:$N$2),1)</f>
        <v>1</v>
      </c>
      <c r="L316" s="113">
        <f>IFERROR(INDEX($BD$7:$BO$35,MATCH(Ajustes!$E$4:$E$323,$BC$7:$BC$35,0),$C$2:$N$2),1)</f>
        <v>1</v>
      </c>
      <c r="M316" s="113">
        <f>IFERROR(INDEX($BD$7:$BO$35,MATCH(Ajustes!$E$4:$E$323,$BC$7:$BC$35,0),$C$2:$N$2),1)</f>
        <v>1</v>
      </c>
      <c r="N316" s="113">
        <f>IFERROR(INDEX($BD$7:$BO$35,MATCH(Ajustes!$E$4:$E$323,$BC$7:$BC$35,0),$C$2:$N$2),1)</f>
        <v>1</v>
      </c>
      <c r="O316">
        <f>C316*Ajustes!AM316</f>
        <v>140</v>
      </c>
      <c r="P316">
        <f>D316*Ajustes!AN316</f>
        <v>178</v>
      </c>
      <c r="Q316">
        <f>E316*Ajustes!AO316</f>
        <v>184</v>
      </c>
      <c r="R316">
        <f>F316*Ajustes!AP316</f>
        <v>111</v>
      </c>
      <c r="S316">
        <f>G316*Ajustes!AQ316</f>
        <v>48</v>
      </c>
      <c r="T316">
        <f>H316*Ajustes!AR316</f>
        <v>27</v>
      </c>
      <c r="U316">
        <f>I316*Ajustes!AS316</f>
        <v>17</v>
      </c>
      <c r="V316">
        <f>J316*Ajustes!AT316</f>
        <v>15</v>
      </c>
      <c r="W316">
        <f>K316*Ajustes!AU316</f>
        <v>17</v>
      </c>
      <c r="X316">
        <f>L316*Ajustes!AV316</f>
        <v>26</v>
      </c>
      <c r="Y316">
        <f>M316*Ajustes!AW316</f>
        <v>41</v>
      </c>
      <c r="Z316">
        <f>N316*Ajustes!AX316</f>
        <v>89</v>
      </c>
      <c r="AA316">
        <f>IF(Ajustes!$G316&gt;0,INDEX($AA$4:$AL$323,Ajustes!$G316,O$2),0)+IF(Ajustes!$H316&gt;0,INDEX($AA$4:$AL$323,Ajustes!$H316,O$2),0)+IF(Ajustes!$I316&gt;0,INDEX($AA$4:$AL$323,Ajustes!$I316,O$2),0)+IF(Ajustes!$J316&gt;0,INDEX($AA$4:$AL$323,Ajustes!$J316,O$2),0)+IF(Ajustes!$K316&gt;0,INDEX($AA$5:$AL$324,Ajustes!$K316,O$2),0)+IF(Ajustes!$L316&gt;0,INDEX($AA$4:$AL$323,Ajustes!$L316,O$2),0) + O316</f>
        <v>320</v>
      </c>
      <c r="AB316">
        <f>IF(Ajustes!$G316&gt;0,INDEX($AA$4:$AL$323,Ajustes!$G316,P$2),0)+IF(Ajustes!$H316&gt;0,INDEX($AA$4:$AL$323,Ajustes!$H316,P$2),0)+IF(Ajustes!$I316&gt;0,INDEX($AA$4:$AL$323,Ajustes!$I316,P$2),0)+IF(Ajustes!$J316&gt;0,INDEX($AA$4:$AL$323,Ajustes!$J316,P$2),0)+IF(Ajustes!$K316&gt;0,INDEX($AA$5:$AL$324,Ajustes!$K316,P$2),0)+IF(Ajustes!$L316&gt;0,INDEX($AA$4:$AL$323,Ajustes!$L316,P$2),0) + P316</f>
        <v>358</v>
      </c>
      <c r="AC316">
        <f>IF(Ajustes!$G316&gt;0,INDEX($AA$4:$AL$323,Ajustes!$G316,Q$2),0)+IF(Ajustes!$H316&gt;0,INDEX($AA$4:$AL$323,Ajustes!$H316,Q$2),0)+IF(Ajustes!$I316&gt;0,INDEX($AA$4:$AL$323,Ajustes!$I316,Q$2),0)+IF(Ajustes!$J316&gt;0,INDEX($AA$4:$AL$323,Ajustes!$J316,Q$2),0)+IF(Ajustes!$K316&gt;0,INDEX($AA$5:$AL$324,Ajustes!$K316,Q$2),0)+IF(Ajustes!$L316&gt;0,INDEX($AA$4:$AL$323,Ajustes!$L316,Q$2),0) + Q316</f>
        <v>362</v>
      </c>
      <c r="AD316">
        <f>IF(Ajustes!$G316&gt;0,INDEX($AA$4:$AL$323,Ajustes!$G316,R$2),0)+IF(Ajustes!$H316&gt;0,INDEX($AA$4:$AL$323,Ajustes!$H316,R$2),0)+IF(Ajustes!$I316&gt;0,INDEX($AA$4:$AL$323,Ajustes!$I316,R$2),0)+IF(Ajustes!$J316&gt;0,INDEX($AA$4:$AL$323,Ajustes!$J316,R$2),0)+IF(Ajustes!$K316&gt;0,INDEX($AA$5:$AL$324,Ajustes!$K316,R$2),0)+IF(Ajustes!$L316&gt;0,INDEX($AA$4:$AL$323,Ajustes!$L316,R$2),0) + R316</f>
        <v>280</v>
      </c>
      <c r="AE316">
        <f>IF(Ajustes!$G316&gt;0,INDEX($AA$4:$AL$323,Ajustes!$G316,S$2),0)+IF(Ajustes!$H316&gt;0,INDEX($AA$4:$AL$323,Ajustes!$H316,S$2),0)+IF(Ajustes!$I316&gt;0,INDEX($AA$4:$AL$323,Ajustes!$I316,S$2),0)+IF(Ajustes!$J316&gt;0,INDEX($AA$4:$AL$323,Ajustes!$J316,S$2),0)+IF(Ajustes!$K316&gt;0,INDEX($AA$5:$AL$324,Ajustes!$K316,S$2),0)+IF(Ajustes!$L316&gt;0,INDEX($AA$4:$AL$323,Ajustes!$L316,S$2),0) + S316</f>
        <v>196</v>
      </c>
      <c r="AF316">
        <f>IF(Ajustes!$G316&gt;0,INDEX($AA$4:$AL$323,Ajustes!$G316,T$2),0)+IF(Ajustes!$H316&gt;0,INDEX($AA$4:$AL$323,Ajustes!$H316,T$2),0)+IF(Ajustes!$I316&gt;0,INDEX($AA$4:$AL$323,Ajustes!$I316,T$2),0)+IF(Ajustes!$J316&gt;0,INDEX($AA$4:$AL$323,Ajustes!$J316,T$2),0)+IF(Ajustes!$K316&gt;0,INDEX($AA$5:$AL$324,Ajustes!$K316,T$2),0)+IF(Ajustes!$L316&gt;0,INDEX($AA$4:$AL$323,Ajustes!$L316,T$2),0) + T316</f>
        <v>154</v>
      </c>
      <c r="AG316">
        <f>IF(Ajustes!$G316&gt;0,INDEX($AA$4:$AL$323,Ajustes!$G316,U$2),0)+IF(Ajustes!$H316&gt;0,INDEX($AA$4:$AL$323,Ajustes!$H316,U$2),0)+IF(Ajustes!$I316&gt;0,INDEX($AA$4:$AL$323,Ajustes!$I316,U$2),0)+IF(Ajustes!$J316&gt;0,INDEX($AA$4:$AL$323,Ajustes!$J316,U$2),0)+IF(Ajustes!$K316&gt;0,INDEX($AA$5:$AL$324,Ajustes!$K316,U$2),0)+IF(Ajustes!$L316&gt;0,INDEX($AA$4:$AL$323,Ajustes!$L316,U$2),0) + U316</f>
        <v>129</v>
      </c>
      <c r="AH316">
        <f>IF(Ajustes!$G316&gt;0,INDEX($AA$4:$AL$323,Ajustes!$G316,V$2),0)+IF(Ajustes!$H316&gt;0,INDEX($AA$4:$AL$323,Ajustes!$H316,V$2),0)+IF(Ajustes!$I316&gt;0,INDEX($AA$4:$AL$323,Ajustes!$I316,V$2),0)+IF(Ajustes!$J316&gt;0,INDEX($AA$4:$AL$323,Ajustes!$J316,V$2),0)+IF(Ajustes!$K316&gt;0,INDEX($AA$5:$AL$324,Ajustes!$K316,V$2),0)+IF(Ajustes!$L316&gt;0,INDEX($AA$4:$AL$323,Ajustes!$L316,V$2),0) + V316</f>
        <v>112</v>
      </c>
      <c r="AI316">
        <f>IF(Ajustes!$G316&gt;0,INDEX($AA$4:$AL$323,Ajustes!$G316,W$2),0)+IF(Ajustes!$H316&gt;0,INDEX($AA$4:$AL$323,Ajustes!$H316,W$2),0)+IF(Ajustes!$I316&gt;0,INDEX($AA$4:$AL$323,Ajustes!$I316,W$2),0)+IF(Ajustes!$J316&gt;0,INDEX($AA$4:$AL$323,Ajustes!$J316,W$2),0)+IF(Ajustes!$K316&gt;0,INDEX($AA$5:$AL$324,Ajustes!$K316,W$2),0)+IF(Ajustes!$L316&gt;0,INDEX($AA$4:$AL$323,Ajustes!$L316,W$2),0) + W316</f>
        <v>115</v>
      </c>
      <c r="AJ316">
        <f>IF(Ajustes!$G316&gt;0,INDEX($AA$4:$AL$323,Ajustes!$G316,X$2),0)+IF(Ajustes!$H316&gt;0,INDEX($AA$4:$AL$323,Ajustes!$H316,X$2),0)+IF(Ajustes!$I316&gt;0,INDEX($AA$4:$AL$323,Ajustes!$I316,X$2),0)+IF(Ajustes!$J316&gt;0,INDEX($AA$4:$AL$323,Ajustes!$J316,X$2),0)+IF(Ajustes!$K316&gt;0,INDEX($AA$5:$AL$324,Ajustes!$K316,X$2),0)+IF(Ajustes!$L316&gt;0,INDEX($AA$4:$AL$323,Ajustes!$L316,X$2),0) + X316</f>
        <v>142</v>
      </c>
      <c r="AK316">
        <f>IF(Ajustes!$G316&gt;0,INDEX($AA$4:$AL$323,Ajustes!$G316,Y$2),0)+IF(Ajustes!$H316&gt;0,INDEX($AA$4:$AL$323,Ajustes!$H316,Y$2),0)+IF(Ajustes!$I316&gt;0,INDEX($AA$4:$AL$323,Ajustes!$I316,Y$2),0)+IF(Ajustes!$J316&gt;0,INDEX($AA$4:$AL$323,Ajustes!$J316,Y$2),0)+IF(Ajustes!$K316&gt;0,INDEX($AA$5:$AL$324,Ajustes!$K316,Y$2),0)+IF(Ajustes!$L316&gt;0,INDEX($AA$4:$AL$323,Ajustes!$L316,Y$2),0) + Y316</f>
        <v>184</v>
      </c>
      <c r="AL316">
        <f>IF(Ajustes!$G316&gt;0,INDEX($AA$4:$AL$323,Ajustes!$G316,Z$2),0)+IF(Ajustes!$H316&gt;0,INDEX($AA$4:$AL$323,Ajustes!$H316,Z$2),0)+IF(Ajustes!$I316&gt;0,INDEX($AA$4:$AL$323,Ajustes!$I316,Z$2),0)+IF(Ajustes!$J316&gt;0,INDEX($AA$4:$AL$323,Ajustes!$J316,Z$2),0)+IF(Ajustes!$K316&gt;0,INDEX($AA$5:$AL$324,Ajustes!$K316,Z$2),0)+IF(Ajustes!$L316&gt;0,INDEX($AA$4:$AL$323,Ajustes!$L316,Z$2),0) + Z316</f>
        <v>258</v>
      </c>
      <c r="AM316" s="113">
        <f t="shared" si="65"/>
        <v>320</v>
      </c>
      <c r="AN316" s="113">
        <f t="shared" si="65"/>
        <v>358</v>
      </c>
      <c r="AO316" s="113">
        <f t="shared" si="65"/>
        <v>362</v>
      </c>
      <c r="AP316" s="113">
        <f t="shared" si="65"/>
        <v>280</v>
      </c>
      <c r="AQ316" s="113">
        <f t="shared" si="65"/>
        <v>196</v>
      </c>
      <c r="AR316" s="113">
        <f t="shared" si="65"/>
        <v>154</v>
      </c>
      <c r="AS316" s="113">
        <f t="shared" si="65"/>
        <v>129</v>
      </c>
      <c r="AT316" s="113">
        <f t="shared" si="65"/>
        <v>112</v>
      </c>
      <c r="AU316" s="113">
        <f t="shared" si="65"/>
        <v>115</v>
      </c>
      <c r="AV316" s="113">
        <f t="shared" si="65"/>
        <v>142</v>
      </c>
      <c r="AW316" s="113">
        <f t="shared" si="65"/>
        <v>184</v>
      </c>
      <c r="AX316" s="113">
        <f t="shared" si="65"/>
        <v>258</v>
      </c>
    </row>
    <row r="317" spans="1:50" x14ac:dyDescent="0.25">
      <c r="A317" s="113">
        <v>314</v>
      </c>
      <c r="B317" s="209" t="s">
        <v>630</v>
      </c>
      <c r="C317">
        <f>IFERROR(INDEX($BD$7:$BO$35,MATCH(Ajustes!$E$4:$E$323,$BC$7:$BC$35,0),$C$2:$N$2),1)</f>
        <v>1</v>
      </c>
      <c r="D317" s="113">
        <f>IFERROR(INDEX($BD$7:$BO$35,MATCH(Ajustes!$E$4:$E$323,$BC$7:$BC$35,0),$C$2:$N$2),1)</f>
        <v>1</v>
      </c>
      <c r="E317" s="113">
        <f>IFERROR(INDEX($BD$7:$BO$35,MATCH(Ajustes!$E$4:$E$323,$BC$7:$BC$35,0),$C$2:$N$2),1)</f>
        <v>1</v>
      </c>
      <c r="F317" s="113">
        <f>IFERROR(INDEX($BD$7:$BO$35,MATCH(Ajustes!$E$4:$E$323,$BC$7:$BC$35,0),$C$2:$N$2),1)</f>
        <v>1</v>
      </c>
      <c r="G317" s="113">
        <f>IFERROR(INDEX($BD$7:$BO$35,MATCH(Ajustes!$E$4:$E$323,$BC$7:$BC$35,0),$C$2:$N$2),1)</f>
        <v>1</v>
      </c>
      <c r="H317" s="113">
        <f>IFERROR(INDEX($BD$7:$BO$35,MATCH(Ajustes!$E$4:$E$323,$BC$7:$BC$35,0),$C$2:$N$2),1)</f>
        <v>1</v>
      </c>
      <c r="I317" s="113">
        <f>IFERROR(INDEX($BD$7:$BO$35,MATCH(Ajustes!$E$4:$E$323,$BC$7:$BC$35,0),$C$2:$N$2),1)</f>
        <v>1</v>
      </c>
      <c r="J317" s="113">
        <f>IFERROR(INDEX($BD$7:$BO$35,MATCH(Ajustes!$E$4:$E$323,$BC$7:$BC$35,0),$C$2:$N$2),1)</f>
        <v>1</v>
      </c>
      <c r="K317" s="113">
        <f>IFERROR(INDEX($BD$7:$BO$35,MATCH(Ajustes!$E$4:$E$323,$BC$7:$BC$35,0),$C$2:$N$2),1)</f>
        <v>1</v>
      </c>
      <c r="L317" s="113">
        <f>IFERROR(INDEX($BD$7:$BO$35,MATCH(Ajustes!$E$4:$E$323,$BC$7:$BC$35,0),$C$2:$N$2),1)</f>
        <v>1</v>
      </c>
      <c r="M317" s="113">
        <f>IFERROR(INDEX($BD$7:$BO$35,MATCH(Ajustes!$E$4:$E$323,$BC$7:$BC$35,0),$C$2:$N$2),1)</f>
        <v>1</v>
      </c>
      <c r="N317" s="113">
        <f>IFERROR(INDEX($BD$7:$BO$35,MATCH(Ajustes!$E$4:$E$323,$BC$7:$BC$35,0),$C$2:$N$2),1)</f>
        <v>1</v>
      </c>
      <c r="O317">
        <f>C317*Ajustes!AM317</f>
        <v>942</v>
      </c>
      <c r="P317">
        <f>D317*Ajustes!AN317</f>
        <v>948</v>
      </c>
      <c r="Q317">
        <f>E317*Ajustes!AO317</f>
        <v>877</v>
      </c>
      <c r="R317">
        <f>F317*Ajustes!AP317</f>
        <v>594</v>
      </c>
      <c r="S317">
        <f>G317*Ajustes!AQ317</f>
        <v>390</v>
      </c>
      <c r="T317">
        <f>H317*Ajustes!AR317</f>
        <v>325</v>
      </c>
      <c r="U317">
        <f>I317*Ajustes!AS317</f>
        <v>270</v>
      </c>
      <c r="V317">
        <f>J317*Ajustes!AT317</f>
        <v>229</v>
      </c>
      <c r="W317">
        <f>K317*Ajustes!AU317</f>
        <v>233</v>
      </c>
      <c r="X317">
        <f>L317*Ajustes!AV317</f>
        <v>277</v>
      </c>
      <c r="Y317">
        <f>M317*Ajustes!AW317</f>
        <v>391</v>
      </c>
      <c r="Z317">
        <f>N317*Ajustes!AX317</f>
        <v>637</v>
      </c>
      <c r="AA317">
        <f>IF(Ajustes!$G317&gt;0,INDEX($AA$4:$AL$323,Ajustes!$G317,O$2),0)+IF(Ajustes!$H317&gt;0,INDEX($AA$4:$AL$323,Ajustes!$H317,O$2),0)+IF(Ajustes!$I317&gt;0,INDEX($AA$4:$AL$323,Ajustes!$I317,O$2),0)+IF(Ajustes!$J317&gt;0,INDEX($AA$4:$AL$323,Ajustes!$J317,O$2),0)+IF(Ajustes!$K317&gt;0,INDEX($AA$5:$AL$324,Ajustes!$K317,O$2),0)+IF(Ajustes!$L317&gt;0,INDEX($AA$4:$AL$323,Ajustes!$L317,O$2),0) + O317</f>
        <v>942</v>
      </c>
      <c r="AB317">
        <f>IF(Ajustes!$G317&gt;0,INDEX($AA$4:$AL$323,Ajustes!$G317,P$2),0)+IF(Ajustes!$H317&gt;0,INDEX($AA$4:$AL$323,Ajustes!$H317,P$2),0)+IF(Ajustes!$I317&gt;0,INDEX($AA$4:$AL$323,Ajustes!$I317,P$2),0)+IF(Ajustes!$J317&gt;0,INDEX($AA$4:$AL$323,Ajustes!$J317,P$2),0)+IF(Ajustes!$K317&gt;0,INDEX($AA$5:$AL$324,Ajustes!$K317,P$2),0)+IF(Ajustes!$L317&gt;0,INDEX($AA$4:$AL$323,Ajustes!$L317,P$2),0) + P317</f>
        <v>948</v>
      </c>
      <c r="AC317">
        <f>IF(Ajustes!$G317&gt;0,INDEX($AA$4:$AL$323,Ajustes!$G317,Q$2),0)+IF(Ajustes!$H317&gt;0,INDEX($AA$4:$AL$323,Ajustes!$H317,Q$2),0)+IF(Ajustes!$I317&gt;0,INDEX($AA$4:$AL$323,Ajustes!$I317,Q$2),0)+IF(Ajustes!$J317&gt;0,INDEX($AA$4:$AL$323,Ajustes!$J317,Q$2),0)+IF(Ajustes!$K317&gt;0,INDEX($AA$5:$AL$324,Ajustes!$K317,Q$2),0)+IF(Ajustes!$L317&gt;0,INDEX($AA$4:$AL$323,Ajustes!$L317,Q$2),0) + Q317</f>
        <v>877</v>
      </c>
      <c r="AD317">
        <f>IF(Ajustes!$G317&gt;0,INDEX($AA$4:$AL$323,Ajustes!$G317,R$2),0)+IF(Ajustes!$H317&gt;0,INDEX($AA$4:$AL$323,Ajustes!$H317,R$2),0)+IF(Ajustes!$I317&gt;0,INDEX($AA$4:$AL$323,Ajustes!$I317,R$2),0)+IF(Ajustes!$J317&gt;0,INDEX($AA$4:$AL$323,Ajustes!$J317,R$2),0)+IF(Ajustes!$K317&gt;0,INDEX($AA$5:$AL$324,Ajustes!$K317,R$2),0)+IF(Ajustes!$L317&gt;0,INDEX($AA$4:$AL$323,Ajustes!$L317,R$2),0) + R317</f>
        <v>594</v>
      </c>
      <c r="AE317">
        <f>IF(Ajustes!$G317&gt;0,INDEX($AA$4:$AL$323,Ajustes!$G317,S$2),0)+IF(Ajustes!$H317&gt;0,INDEX($AA$4:$AL$323,Ajustes!$H317,S$2),0)+IF(Ajustes!$I317&gt;0,INDEX($AA$4:$AL$323,Ajustes!$I317,S$2),0)+IF(Ajustes!$J317&gt;0,INDEX($AA$4:$AL$323,Ajustes!$J317,S$2),0)+IF(Ajustes!$K317&gt;0,INDEX($AA$5:$AL$324,Ajustes!$K317,S$2),0)+IF(Ajustes!$L317&gt;0,INDEX($AA$4:$AL$323,Ajustes!$L317,S$2),0) + S317</f>
        <v>390</v>
      </c>
      <c r="AF317">
        <f>IF(Ajustes!$G317&gt;0,INDEX($AA$4:$AL$323,Ajustes!$G317,T$2),0)+IF(Ajustes!$H317&gt;0,INDEX($AA$4:$AL$323,Ajustes!$H317,T$2),0)+IF(Ajustes!$I317&gt;0,INDEX($AA$4:$AL$323,Ajustes!$I317,T$2),0)+IF(Ajustes!$J317&gt;0,INDEX($AA$4:$AL$323,Ajustes!$J317,T$2),0)+IF(Ajustes!$K317&gt;0,INDEX($AA$5:$AL$324,Ajustes!$K317,T$2),0)+IF(Ajustes!$L317&gt;0,INDEX($AA$4:$AL$323,Ajustes!$L317,T$2),0) + T317</f>
        <v>325</v>
      </c>
      <c r="AG317">
        <f>IF(Ajustes!$G317&gt;0,INDEX($AA$4:$AL$323,Ajustes!$G317,U$2),0)+IF(Ajustes!$H317&gt;0,INDEX($AA$4:$AL$323,Ajustes!$H317,U$2),0)+IF(Ajustes!$I317&gt;0,INDEX($AA$4:$AL$323,Ajustes!$I317,U$2),0)+IF(Ajustes!$J317&gt;0,INDEX($AA$4:$AL$323,Ajustes!$J317,U$2),0)+IF(Ajustes!$K317&gt;0,INDEX($AA$5:$AL$324,Ajustes!$K317,U$2),0)+IF(Ajustes!$L317&gt;0,INDEX($AA$4:$AL$323,Ajustes!$L317,U$2),0) + U317</f>
        <v>270</v>
      </c>
      <c r="AH317">
        <f>IF(Ajustes!$G317&gt;0,INDEX($AA$4:$AL$323,Ajustes!$G317,V$2),0)+IF(Ajustes!$H317&gt;0,INDEX($AA$4:$AL$323,Ajustes!$H317,V$2),0)+IF(Ajustes!$I317&gt;0,INDEX($AA$4:$AL$323,Ajustes!$I317,V$2),0)+IF(Ajustes!$J317&gt;0,INDEX($AA$4:$AL$323,Ajustes!$J317,V$2),0)+IF(Ajustes!$K317&gt;0,INDEX($AA$5:$AL$324,Ajustes!$K317,V$2),0)+IF(Ajustes!$L317&gt;0,INDEX($AA$4:$AL$323,Ajustes!$L317,V$2),0) + V317</f>
        <v>229</v>
      </c>
      <c r="AI317">
        <f>IF(Ajustes!$G317&gt;0,INDEX($AA$4:$AL$323,Ajustes!$G317,W$2),0)+IF(Ajustes!$H317&gt;0,INDEX($AA$4:$AL$323,Ajustes!$H317,W$2),0)+IF(Ajustes!$I317&gt;0,INDEX($AA$4:$AL$323,Ajustes!$I317,W$2),0)+IF(Ajustes!$J317&gt;0,INDEX($AA$4:$AL$323,Ajustes!$J317,W$2),0)+IF(Ajustes!$K317&gt;0,INDEX($AA$5:$AL$324,Ajustes!$K317,W$2),0)+IF(Ajustes!$L317&gt;0,INDEX($AA$4:$AL$323,Ajustes!$L317,W$2),0) + W317</f>
        <v>233</v>
      </c>
      <c r="AJ317">
        <f>IF(Ajustes!$G317&gt;0,INDEX($AA$4:$AL$323,Ajustes!$G317,X$2),0)+IF(Ajustes!$H317&gt;0,INDEX($AA$4:$AL$323,Ajustes!$H317,X$2),0)+IF(Ajustes!$I317&gt;0,INDEX($AA$4:$AL$323,Ajustes!$I317,X$2),0)+IF(Ajustes!$J317&gt;0,INDEX($AA$4:$AL$323,Ajustes!$J317,X$2),0)+IF(Ajustes!$K317&gt;0,INDEX($AA$5:$AL$324,Ajustes!$K317,X$2),0)+IF(Ajustes!$L317&gt;0,INDEX($AA$4:$AL$323,Ajustes!$L317,X$2),0) + X317</f>
        <v>277</v>
      </c>
      <c r="AK317">
        <f>IF(Ajustes!$G317&gt;0,INDEX($AA$4:$AL$323,Ajustes!$G317,Y$2),0)+IF(Ajustes!$H317&gt;0,INDEX($AA$4:$AL$323,Ajustes!$H317,Y$2),0)+IF(Ajustes!$I317&gt;0,INDEX($AA$4:$AL$323,Ajustes!$I317,Y$2),0)+IF(Ajustes!$J317&gt;0,INDEX($AA$4:$AL$323,Ajustes!$J317,Y$2),0)+IF(Ajustes!$K317&gt;0,INDEX($AA$5:$AL$324,Ajustes!$K317,Y$2),0)+IF(Ajustes!$L317&gt;0,INDEX($AA$4:$AL$323,Ajustes!$L317,Y$2),0) + Y317</f>
        <v>391</v>
      </c>
      <c r="AL317">
        <f>IF(Ajustes!$G317&gt;0,INDEX($AA$4:$AL$323,Ajustes!$G317,Z$2),0)+IF(Ajustes!$H317&gt;0,INDEX($AA$4:$AL$323,Ajustes!$H317,Z$2),0)+IF(Ajustes!$I317&gt;0,INDEX($AA$4:$AL$323,Ajustes!$I317,Z$2),0)+IF(Ajustes!$J317&gt;0,INDEX($AA$4:$AL$323,Ajustes!$J317,Z$2),0)+IF(Ajustes!$K317&gt;0,INDEX($AA$5:$AL$324,Ajustes!$K317,Z$2),0)+IF(Ajustes!$L317&gt;0,INDEX($AA$4:$AL$323,Ajustes!$L317,Z$2),0) + Z317</f>
        <v>637</v>
      </c>
      <c r="AM317" s="219">
        <f t="shared" ref="AM317:AX317" si="66">AM202-AM301-AM206+AM307</f>
        <v>937</v>
      </c>
      <c r="AN317" s="219">
        <f t="shared" si="66"/>
        <v>941</v>
      </c>
      <c r="AO317" s="219">
        <f t="shared" si="66"/>
        <v>874</v>
      </c>
      <c r="AP317" s="219">
        <f t="shared" si="66"/>
        <v>590</v>
      </c>
      <c r="AQ317" s="219">
        <f t="shared" si="66"/>
        <v>375</v>
      </c>
      <c r="AR317" s="219">
        <f t="shared" si="66"/>
        <v>326</v>
      </c>
      <c r="AS317" s="219">
        <f t="shared" si="66"/>
        <v>265.7684210526316</v>
      </c>
      <c r="AT317" s="219">
        <f t="shared" si="66"/>
        <v>227.05263157894737</v>
      </c>
      <c r="AU317" s="219">
        <f t="shared" si="66"/>
        <v>229.92105263157896</v>
      </c>
      <c r="AV317" s="219">
        <f t="shared" si="66"/>
        <v>271.50526315789472</v>
      </c>
      <c r="AW317" s="219">
        <f t="shared" si="66"/>
        <v>375</v>
      </c>
      <c r="AX317" s="219">
        <f t="shared" si="66"/>
        <v>631</v>
      </c>
    </row>
    <row r="318" spans="1:50" x14ac:dyDescent="0.25">
      <c r="A318" s="113">
        <v>315</v>
      </c>
      <c r="B318" s="209" t="s">
        <v>632</v>
      </c>
      <c r="C318">
        <f>IFERROR(INDEX($BD$7:$BO$35,MATCH(Ajustes!$E$4:$E$323,$BC$7:$BC$35,0),$C$2:$N$2),1)</f>
        <v>1</v>
      </c>
      <c r="D318" s="113">
        <f>IFERROR(INDEX($BD$7:$BO$35,MATCH(Ajustes!$E$4:$E$323,$BC$7:$BC$35,0),$C$2:$N$2),1)</f>
        <v>1</v>
      </c>
      <c r="E318" s="113">
        <f>IFERROR(INDEX($BD$7:$BO$35,MATCH(Ajustes!$E$4:$E$323,$BC$7:$BC$35,0),$C$2:$N$2),1)</f>
        <v>1</v>
      </c>
      <c r="F318" s="113">
        <f>IFERROR(INDEX($BD$7:$BO$35,MATCH(Ajustes!$E$4:$E$323,$BC$7:$BC$35,0),$C$2:$N$2),1)</f>
        <v>1</v>
      </c>
      <c r="G318" s="113">
        <f>IFERROR(INDEX($BD$7:$BO$35,MATCH(Ajustes!$E$4:$E$323,$BC$7:$BC$35,0),$C$2:$N$2),1)</f>
        <v>1</v>
      </c>
      <c r="H318" s="113">
        <f>IFERROR(INDEX($BD$7:$BO$35,MATCH(Ajustes!$E$4:$E$323,$BC$7:$BC$35,0),$C$2:$N$2),1)</f>
        <v>1</v>
      </c>
      <c r="I318" s="113">
        <f>IFERROR(INDEX($BD$7:$BO$35,MATCH(Ajustes!$E$4:$E$323,$BC$7:$BC$35,0),$C$2:$N$2),1)</f>
        <v>1</v>
      </c>
      <c r="J318" s="113">
        <f>IFERROR(INDEX($BD$7:$BO$35,MATCH(Ajustes!$E$4:$E$323,$BC$7:$BC$35,0),$C$2:$N$2),1)</f>
        <v>1</v>
      </c>
      <c r="K318" s="113">
        <f>IFERROR(INDEX($BD$7:$BO$35,MATCH(Ajustes!$E$4:$E$323,$BC$7:$BC$35,0),$C$2:$N$2),1)</f>
        <v>1</v>
      </c>
      <c r="L318" s="113">
        <f>IFERROR(INDEX($BD$7:$BO$35,MATCH(Ajustes!$E$4:$E$323,$BC$7:$BC$35,0),$C$2:$N$2),1)</f>
        <v>1</v>
      </c>
      <c r="M318" s="113">
        <f>IFERROR(INDEX($BD$7:$BO$35,MATCH(Ajustes!$E$4:$E$323,$BC$7:$BC$35,0),$C$2:$N$2),1)</f>
        <v>1</v>
      </c>
      <c r="N318" s="113">
        <f>IFERROR(INDEX($BD$7:$BO$35,MATCH(Ajustes!$E$4:$E$323,$BC$7:$BC$35,0),$C$2:$N$2),1)</f>
        <v>1</v>
      </c>
      <c r="O318">
        <f>C318*Ajustes!AM318</f>
        <v>180</v>
      </c>
      <c r="P318">
        <f>D318*Ajustes!AN318</f>
        <v>180</v>
      </c>
      <c r="Q318">
        <f>E318*Ajustes!AO318</f>
        <v>178</v>
      </c>
      <c r="R318">
        <f>F318*Ajustes!AP318</f>
        <v>169</v>
      </c>
      <c r="S318">
        <f>G318*Ajustes!AQ318</f>
        <v>148</v>
      </c>
      <c r="T318">
        <f>H318*Ajustes!AR318</f>
        <v>127</v>
      </c>
      <c r="U318">
        <f>I318*Ajustes!AS318</f>
        <v>112</v>
      </c>
      <c r="V318">
        <f>J318*Ajustes!AT318</f>
        <v>97</v>
      </c>
      <c r="W318">
        <f>K318*Ajustes!AU318</f>
        <v>98</v>
      </c>
      <c r="X318">
        <f>L318*Ajustes!AV318</f>
        <v>116</v>
      </c>
      <c r="Y318">
        <f>M318*Ajustes!AW318</f>
        <v>143</v>
      </c>
      <c r="Z318">
        <f>N318*Ajustes!AX318</f>
        <v>169</v>
      </c>
      <c r="AA318">
        <f>IF(Ajustes!$G318&gt;0,INDEX($AA$4:$AL$323,Ajustes!$G318,O$2),0)+IF(Ajustes!$H318&gt;0,INDEX($AA$4:$AL$323,Ajustes!$H318,O$2),0)+IF(Ajustes!$I318&gt;0,INDEX($AA$4:$AL$323,Ajustes!$I318,O$2),0)+IF(Ajustes!$J318&gt;0,INDEX($AA$4:$AL$323,Ajustes!$J318,O$2),0)+IF(Ajustes!$K318&gt;0,INDEX($AA$5:$AL$324,Ajustes!$K318,O$2),0)+IF(Ajustes!$L318&gt;0,INDEX($AA$4:$AL$323,Ajustes!$L318,O$2),0) + O318</f>
        <v>180</v>
      </c>
      <c r="AB318">
        <f>IF(Ajustes!$G318&gt;0,INDEX($AA$4:$AL$323,Ajustes!$G318,P$2),0)+IF(Ajustes!$H318&gt;0,INDEX($AA$4:$AL$323,Ajustes!$H318,P$2),0)+IF(Ajustes!$I318&gt;0,INDEX($AA$4:$AL$323,Ajustes!$I318,P$2),0)+IF(Ajustes!$J318&gt;0,INDEX($AA$4:$AL$323,Ajustes!$J318,P$2),0)+IF(Ajustes!$K318&gt;0,INDEX($AA$5:$AL$324,Ajustes!$K318,P$2),0)+IF(Ajustes!$L318&gt;0,INDEX($AA$4:$AL$323,Ajustes!$L318,P$2),0) + P318</f>
        <v>180</v>
      </c>
      <c r="AC318">
        <f>IF(Ajustes!$G318&gt;0,INDEX($AA$4:$AL$323,Ajustes!$G318,Q$2),0)+IF(Ajustes!$H318&gt;0,INDEX($AA$4:$AL$323,Ajustes!$H318,Q$2),0)+IF(Ajustes!$I318&gt;0,INDEX($AA$4:$AL$323,Ajustes!$I318,Q$2),0)+IF(Ajustes!$J318&gt;0,INDEX($AA$4:$AL$323,Ajustes!$J318,Q$2),0)+IF(Ajustes!$K318&gt;0,INDEX($AA$5:$AL$324,Ajustes!$K318,Q$2),0)+IF(Ajustes!$L318&gt;0,INDEX($AA$4:$AL$323,Ajustes!$L318,Q$2),0) + Q318</f>
        <v>178</v>
      </c>
      <c r="AD318">
        <f>IF(Ajustes!$G318&gt;0,INDEX($AA$4:$AL$323,Ajustes!$G318,R$2),0)+IF(Ajustes!$H318&gt;0,INDEX($AA$4:$AL$323,Ajustes!$H318,R$2),0)+IF(Ajustes!$I318&gt;0,INDEX($AA$4:$AL$323,Ajustes!$I318,R$2),0)+IF(Ajustes!$J318&gt;0,INDEX($AA$4:$AL$323,Ajustes!$J318,R$2),0)+IF(Ajustes!$K318&gt;0,INDEX($AA$5:$AL$324,Ajustes!$K318,R$2),0)+IF(Ajustes!$L318&gt;0,INDEX($AA$4:$AL$323,Ajustes!$L318,R$2),0) + R318</f>
        <v>169</v>
      </c>
      <c r="AE318">
        <f>IF(Ajustes!$G318&gt;0,INDEX($AA$4:$AL$323,Ajustes!$G318,S$2),0)+IF(Ajustes!$H318&gt;0,INDEX($AA$4:$AL$323,Ajustes!$H318,S$2),0)+IF(Ajustes!$I318&gt;0,INDEX($AA$4:$AL$323,Ajustes!$I318,S$2),0)+IF(Ajustes!$J318&gt;0,INDEX($AA$4:$AL$323,Ajustes!$J318,S$2),0)+IF(Ajustes!$K318&gt;0,INDEX($AA$5:$AL$324,Ajustes!$K318,S$2),0)+IF(Ajustes!$L318&gt;0,INDEX($AA$4:$AL$323,Ajustes!$L318,S$2),0) + S318</f>
        <v>148</v>
      </c>
      <c r="AF318">
        <f>IF(Ajustes!$G318&gt;0,INDEX($AA$4:$AL$323,Ajustes!$G318,T$2),0)+IF(Ajustes!$H318&gt;0,INDEX($AA$4:$AL$323,Ajustes!$H318,T$2),0)+IF(Ajustes!$I318&gt;0,INDEX($AA$4:$AL$323,Ajustes!$I318,T$2),0)+IF(Ajustes!$J318&gt;0,INDEX($AA$4:$AL$323,Ajustes!$J318,T$2),0)+IF(Ajustes!$K318&gt;0,INDEX($AA$5:$AL$324,Ajustes!$K318,T$2),0)+IF(Ajustes!$L318&gt;0,INDEX($AA$4:$AL$323,Ajustes!$L318,T$2),0) + T318</f>
        <v>127</v>
      </c>
      <c r="AG318">
        <f>IF(Ajustes!$G318&gt;0,INDEX($AA$4:$AL$323,Ajustes!$G318,U$2),0)+IF(Ajustes!$H318&gt;0,INDEX($AA$4:$AL$323,Ajustes!$H318,U$2),0)+IF(Ajustes!$I318&gt;0,INDEX($AA$4:$AL$323,Ajustes!$I318,U$2),0)+IF(Ajustes!$J318&gt;0,INDEX($AA$4:$AL$323,Ajustes!$J318,U$2),0)+IF(Ajustes!$K318&gt;0,INDEX($AA$5:$AL$324,Ajustes!$K318,U$2),0)+IF(Ajustes!$L318&gt;0,INDEX($AA$4:$AL$323,Ajustes!$L318,U$2),0) + U318</f>
        <v>112</v>
      </c>
      <c r="AH318">
        <f>IF(Ajustes!$G318&gt;0,INDEX($AA$4:$AL$323,Ajustes!$G318,V$2),0)+IF(Ajustes!$H318&gt;0,INDEX($AA$4:$AL$323,Ajustes!$H318,V$2),0)+IF(Ajustes!$I318&gt;0,INDEX($AA$4:$AL$323,Ajustes!$I318,V$2),0)+IF(Ajustes!$J318&gt;0,INDEX($AA$4:$AL$323,Ajustes!$J318,V$2),0)+IF(Ajustes!$K318&gt;0,INDEX($AA$5:$AL$324,Ajustes!$K318,V$2),0)+IF(Ajustes!$L318&gt;0,INDEX($AA$4:$AL$323,Ajustes!$L318,V$2),0) + V318</f>
        <v>97</v>
      </c>
      <c r="AI318">
        <f>IF(Ajustes!$G318&gt;0,INDEX($AA$4:$AL$323,Ajustes!$G318,W$2),0)+IF(Ajustes!$H318&gt;0,INDEX($AA$4:$AL$323,Ajustes!$H318,W$2),0)+IF(Ajustes!$I318&gt;0,INDEX($AA$4:$AL$323,Ajustes!$I318,W$2),0)+IF(Ajustes!$J318&gt;0,INDEX($AA$4:$AL$323,Ajustes!$J318,W$2),0)+IF(Ajustes!$K318&gt;0,INDEX($AA$5:$AL$324,Ajustes!$K318,W$2),0)+IF(Ajustes!$L318&gt;0,INDEX($AA$4:$AL$323,Ajustes!$L318,W$2),0) + W318</f>
        <v>98</v>
      </c>
      <c r="AJ318">
        <f>IF(Ajustes!$G318&gt;0,INDEX($AA$4:$AL$323,Ajustes!$G318,X$2),0)+IF(Ajustes!$H318&gt;0,INDEX($AA$4:$AL$323,Ajustes!$H318,X$2),0)+IF(Ajustes!$I318&gt;0,INDEX($AA$4:$AL$323,Ajustes!$I318,X$2),0)+IF(Ajustes!$J318&gt;0,INDEX($AA$4:$AL$323,Ajustes!$J318,X$2),0)+IF(Ajustes!$K318&gt;0,INDEX($AA$5:$AL$324,Ajustes!$K318,X$2),0)+IF(Ajustes!$L318&gt;0,INDEX($AA$4:$AL$323,Ajustes!$L318,X$2),0) + X318</f>
        <v>116</v>
      </c>
      <c r="AK318">
        <f>IF(Ajustes!$G318&gt;0,INDEX($AA$4:$AL$323,Ajustes!$G318,Y$2),0)+IF(Ajustes!$H318&gt;0,INDEX($AA$4:$AL$323,Ajustes!$H318,Y$2),0)+IF(Ajustes!$I318&gt;0,INDEX($AA$4:$AL$323,Ajustes!$I318,Y$2),0)+IF(Ajustes!$J318&gt;0,INDEX($AA$4:$AL$323,Ajustes!$J318,Y$2),0)+IF(Ajustes!$K318&gt;0,INDEX($AA$5:$AL$324,Ajustes!$K318,Y$2),0)+IF(Ajustes!$L318&gt;0,INDEX($AA$4:$AL$323,Ajustes!$L318,Y$2),0) + Y318</f>
        <v>143</v>
      </c>
      <c r="AL318">
        <f>IF(Ajustes!$G318&gt;0,INDEX($AA$4:$AL$323,Ajustes!$G318,Z$2),0)+IF(Ajustes!$H318&gt;0,INDEX($AA$4:$AL$323,Ajustes!$H318,Z$2),0)+IF(Ajustes!$I318&gt;0,INDEX($AA$4:$AL$323,Ajustes!$I318,Z$2),0)+IF(Ajustes!$J318&gt;0,INDEX($AA$4:$AL$323,Ajustes!$J318,Z$2),0)+IF(Ajustes!$K318&gt;0,INDEX($AA$5:$AL$324,Ajustes!$K318,Z$2),0)+IF(Ajustes!$L318&gt;0,INDEX($AA$4:$AL$323,Ajustes!$L318,Z$2),0) + Z318</f>
        <v>169</v>
      </c>
      <c r="AM318" s="219">
        <f t="shared" ref="AM318:AX318" si="67">AM206-AM204+AM320+AM301</f>
        <v>177</v>
      </c>
      <c r="AN318" s="219">
        <f t="shared" si="67"/>
        <v>177</v>
      </c>
      <c r="AO318" s="219">
        <f t="shared" si="67"/>
        <v>176</v>
      </c>
      <c r="AP318" s="219">
        <f t="shared" si="67"/>
        <v>172</v>
      </c>
      <c r="AQ318" s="219">
        <f t="shared" si="67"/>
        <v>164</v>
      </c>
      <c r="AR318" s="219">
        <f t="shared" si="67"/>
        <v>126</v>
      </c>
      <c r="AS318" s="219">
        <f t="shared" si="67"/>
        <v>116.23157894736842</v>
      </c>
      <c r="AT318" s="219">
        <f t="shared" si="67"/>
        <v>98.94736842105263</v>
      </c>
      <c r="AU318" s="219">
        <f t="shared" si="67"/>
        <v>101.07894736842105</v>
      </c>
      <c r="AV318" s="219">
        <f t="shared" si="67"/>
        <v>122.49473684210527</v>
      </c>
      <c r="AW318" s="219">
        <f t="shared" si="67"/>
        <v>159</v>
      </c>
      <c r="AX318" s="219">
        <f t="shared" si="67"/>
        <v>173</v>
      </c>
    </row>
    <row r="319" spans="1:50" x14ac:dyDescent="0.25">
      <c r="A319" s="113">
        <v>316</v>
      </c>
      <c r="B319" s="209" t="s">
        <v>686</v>
      </c>
      <c r="C319">
        <f>IFERROR(INDEX($BD$7:$BO$35,MATCH(Ajustes!$E$4:$E$323,$BC$7:$BC$35,0),$C$2:$N$2),1)</f>
        <v>1</v>
      </c>
      <c r="D319" s="113">
        <f>IFERROR(INDEX($BD$7:$BO$35,MATCH(Ajustes!$E$4:$E$323,$BC$7:$BC$35,0),$C$2:$N$2),1)</f>
        <v>1</v>
      </c>
      <c r="E319" s="113">
        <f>IFERROR(INDEX($BD$7:$BO$35,MATCH(Ajustes!$E$4:$E$323,$BC$7:$BC$35,0),$C$2:$N$2),1)</f>
        <v>1</v>
      </c>
      <c r="F319" s="113">
        <f>IFERROR(INDEX($BD$7:$BO$35,MATCH(Ajustes!$E$4:$E$323,$BC$7:$BC$35,0),$C$2:$N$2),1)</f>
        <v>1</v>
      </c>
      <c r="G319" s="113">
        <f>IFERROR(INDEX($BD$7:$BO$35,MATCH(Ajustes!$E$4:$E$323,$BC$7:$BC$35,0),$C$2:$N$2),1)</f>
        <v>1</v>
      </c>
      <c r="H319" s="113">
        <f>IFERROR(INDEX($BD$7:$BO$35,MATCH(Ajustes!$E$4:$E$323,$BC$7:$BC$35,0),$C$2:$N$2),1)</f>
        <v>1</v>
      </c>
      <c r="I319" s="113">
        <f>IFERROR(INDEX($BD$7:$BO$35,MATCH(Ajustes!$E$4:$E$323,$BC$7:$BC$35,0),$C$2:$N$2),1)</f>
        <v>1</v>
      </c>
      <c r="J319" s="113">
        <f>IFERROR(INDEX($BD$7:$BO$35,MATCH(Ajustes!$E$4:$E$323,$BC$7:$BC$35,0),$C$2:$N$2),1)</f>
        <v>1</v>
      </c>
      <c r="K319" s="113">
        <f>IFERROR(INDEX($BD$7:$BO$35,MATCH(Ajustes!$E$4:$E$323,$BC$7:$BC$35,0),$C$2:$N$2),1)</f>
        <v>1</v>
      </c>
      <c r="L319" s="113">
        <f>IFERROR(INDEX($BD$7:$BO$35,MATCH(Ajustes!$E$4:$E$323,$BC$7:$BC$35,0),$C$2:$N$2),1)</f>
        <v>1</v>
      </c>
      <c r="M319" s="113">
        <f>IFERROR(INDEX($BD$7:$BO$35,MATCH(Ajustes!$E$4:$E$323,$BC$7:$BC$35,0),$C$2:$N$2),1)</f>
        <v>1</v>
      </c>
      <c r="N319" s="113">
        <f>IFERROR(INDEX($BD$7:$BO$35,MATCH(Ajustes!$E$4:$E$323,$BC$7:$BC$35,0),$C$2:$N$2),1)</f>
        <v>1</v>
      </c>
      <c r="O319">
        <f>C319*Ajustes!AM319</f>
        <v>176</v>
      </c>
      <c r="P319">
        <f>D319*Ajustes!AN319</f>
        <v>176</v>
      </c>
      <c r="Q319">
        <f>E319*Ajustes!AO319</f>
        <v>176</v>
      </c>
      <c r="R319">
        <f>F319*Ajustes!AP319</f>
        <v>169</v>
      </c>
      <c r="S319">
        <f>G319*Ajustes!AQ319</f>
        <v>148</v>
      </c>
      <c r="T319">
        <f>H319*Ajustes!AR319</f>
        <v>127</v>
      </c>
      <c r="U319">
        <f>I319*Ajustes!AS319</f>
        <v>112</v>
      </c>
      <c r="V319">
        <f>J319*Ajustes!AT319</f>
        <v>97</v>
      </c>
      <c r="W319">
        <f>K319*Ajustes!AU319</f>
        <v>98</v>
      </c>
      <c r="X319">
        <f>L319*Ajustes!AV319</f>
        <v>116</v>
      </c>
      <c r="Y319">
        <f>M319*Ajustes!AW319</f>
        <v>143</v>
      </c>
      <c r="Z319">
        <f>N319*Ajustes!AX319</f>
        <v>168</v>
      </c>
      <c r="AA319">
        <f>IF(Ajustes!$G319&gt;0,INDEX($AA$4:$AL$323,Ajustes!$G319,O$2),0)+IF(Ajustes!$H319&gt;0,INDEX($AA$4:$AL$323,Ajustes!$H319,O$2),0)+IF(Ajustes!$I319&gt;0,INDEX($AA$4:$AL$323,Ajustes!$I319,O$2),0)+IF(Ajustes!$J319&gt;0,INDEX($AA$4:$AL$323,Ajustes!$J319,O$2),0)+IF(Ajustes!$K319&gt;0,INDEX($AA$5:$AL$324,Ajustes!$K319,O$2),0)+IF(Ajustes!$L319&gt;0,INDEX($AA$4:$AL$323,Ajustes!$L319,O$2),0) + O319</f>
        <v>176</v>
      </c>
      <c r="AB319">
        <f>IF(Ajustes!$G319&gt;0,INDEX($AA$4:$AL$323,Ajustes!$G319,P$2),0)+IF(Ajustes!$H319&gt;0,INDEX($AA$4:$AL$323,Ajustes!$H319,P$2),0)+IF(Ajustes!$I319&gt;0,INDEX($AA$4:$AL$323,Ajustes!$I319,P$2),0)+IF(Ajustes!$J319&gt;0,INDEX($AA$4:$AL$323,Ajustes!$J319,P$2),0)+IF(Ajustes!$K319&gt;0,INDEX($AA$5:$AL$324,Ajustes!$K319,P$2),0)+IF(Ajustes!$L319&gt;0,INDEX($AA$4:$AL$323,Ajustes!$L319,P$2),0) + P319</f>
        <v>176</v>
      </c>
      <c r="AC319">
        <f>IF(Ajustes!$G319&gt;0,INDEX($AA$4:$AL$323,Ajustes!$G319,Q$2),0)+IF(Ajustes!$H319&gt;0,INDEX($AA$4:$AL$323,Ajustes!$H319,Q$2),0)+IF(Ajustes!$I319&gt;0,INDEX($AA$4:$AL$323,Ajustes!$I319,Q$2),0)+IF(Ajustes!$J319&gt;0,INDEX($AA$4:$AL$323,Ajustes!$J319,Q$2),0)+IF(Ajustes!$K319&gt;0,INDEX($AA$5:$AL$324,Ajustes!$K319,Q$2),0)+IF(Ajustes!$L319&gt;0,INDEX($AA$4:$AL$323,Ajustes!$L319,Q$2),0) + Q319</f>
        <v>176</v>
      </c>
      <c r="AD319">
        <f>IF(Ajustes!$G319&gt;0,INDEX($AA$4:$AL$323,Ajustes!$G319,R$2),0)+IF(Ajustes!$H319&gt;0,INDEX($AA$4:$AL$323,Ajustes!$H319,R$2),0)+IF(Ajustes!$I319&gt;0,INDEX($AA$4:$AL$323,Ajustes!$I319,R$2),0)+IF(Ajustes!$J319&gt;0,INDEX($AA$4:$AL$323,Ajustes!$J319,R$2),0)+IF(Ajustes!$K319&gt;0,INDEX($AA$5:$AL$324,Ajustes!$K319,R$2),0)+IF(Ajustes!$L319&gt;0,INDEX($AA$4:$AL$323,Ajustes!$L319,R$2),0) + R319</f>
        <v>169</v>
      </c>
      <c r="AE319">
        <f>IF(Ajustes!$G319&gt;0,INDEX($AA$4:$AL$323,Ajustes!$G319,S$2),0)+IF(Ajustes!$H319&gt;0,INDEX($AA$4:$AL$323,Ajustes!$H319,S$2),0)+IF(Ajustes!$I319&gt;0,INDEX($AA$4:$AL$323,Ajustes!$I319,S$2),0)+IF(Ajustes!$J319&gt;0,INDEX($AA$4:$AL$323,Ajustes!$J319,S$2),0)+IF(Ajustes!$K319&gt;0,INDEX($AA$5:$AL$324,Ajustes!$K319,S$2),0)+IF(Ajustes!$L319&gt;0,INDEX($AA$4:$AL$323,Ajustes!$L319,S$2),0) + S319</f>
        <v>148</v>
      </c>
      <c r="AF319">
        <f>IF(Ajustes!$G319&gt;0,INDEX($AA$4:$AL$323,Ajustes!$G319,T$2),0)+IF(Ajustes!$H319&gt;0,INDEX($AA$4:$AL$323,Ajustes!$H319,T$2),0)+IF(Ajustes!$I319&gt;0,INDEX($AA$4:$AL$323,Ajustes!$I319,T$2),0)+IF(Ajustes!$J319&gt;0,INDEX($AA$4:$AL$323,Ajustes!$J319,T$2),0)+IF(Ajustes!$K319&gt;0,INDEX($AA$5:$AL$324,Ajustes!$K319,T$2),0)+IF(Ajustes!$L319&gt;0,INDEX($AA$4:$AL$323,Ajustes!$L319,T$2),0) + T319</f>
        <v>127</v>
      </c>
      <c r="AG319">
        <f>IF(Ajustes!$G319&gt;0,INDEX($AA$4:$AL$323,Ajustes!$G319,U$2),0)+IF(Ajustes!$H319&gt;0,INDEX($AA$4:$AL$323,Ajustes!$H319,U$2),0)+IF(Ajustes!$I319&gt;0,INDEX($AA$4:$AL$323,Ajustes!$I319,U$2),0)+IF(Ajustes!$J319&gt;0,INDEX($AA$4:$AL$323,Ajustes!$J319,U$2),0)+IF(Ajustes!$K319&gt;0,INDEX($AA$5:$AL$324,Ajustes!$K319,U$2),0)+IF(Ajustes!$L319&gt;0,INDEX($AA$4:$AL$323,Ajustes!$L319,U$2),0) + U319</f>
        <v>112</v>
      </c>
      <c r="AH319">
        <f>IF(Ajustes!$G319&gt;0,INDEX($AA$4:$AL$323,Ajustes!$G319,V$2),0)+IF(Ajustes!$H319&gt;0,INDEX($AA$4:$AL$323,Ajustes!$H319,V$2),0)+IF(Ajustes!$I319&gt;0,INDEX($AA$4:$AL$323,Ajustes!$I319,V$2),0)+IF(Ajustes!$J319&gt;0,INDEX($AA$4:$AL$323,Ajustes!$J319,V$2),0)+IF(Ajustes!$K319&gt;0,INDEX($AA$5:$AL$324,Ajustes!$K319,V$2),0)+IF(Ajustes!$L319&gt;0,INDEX($AA$4:$AL$323,Ajustes!$L319,V$2),0) + V319</f>
        <v>97</v>
      </c>
      <c r="AI319">
        <f>IF(Ajustes!$G319&gt;0,INDEX($AA$4:$AL$323,Ajustes!$G319,W$2),0)+IF(Ajustes!$H319&gt;0,INDEX($AA$4:$AL$323,Ajustes!$H319,W$2),0)+IF(Ajustes!$I319&gt;0,INDEX($AA$4:$AL$323,Ajustes!$I319,W$2),0)+IF(Ajustes!$J319&gt;0,INDEX($AA$4:$AL$323,Ajustes!$J319,W$2),0)+IF(Ajustes!$K319&gt;0,INDEX($AA$5:$AL$324,Ajustes!$K319,W$2),0)+IF(Ajustes!$L319&gt;0,INDEX($AA$4:$AL$323,Ajustes!$L319,W$2),0) + W319</f>
        <v>98</v>
      </c>
      <c r="AJ319">
        <f>IF(Ajustes!$G319&gt;0,INDEX($AA$4:$AL$323,Ajustes!$G319,X$2),0)+IF(Ajustes!$H319&gt;0,INDEX($AA$4:$AL$323,Ajustes!$H319,X$2),0)+IF(Ajustes!$I319&gt;0,INDEX($AA$4:$AL$323,Ajustes!$I319,X$2),0)+IF(Ajustes!$J319&gt;0,INDEX($AA$4:$AL$323,Ajustes!$J319,X$2),0)+IF(Ajustes!$K319&gt;0,INDEX($AA$5:$AL$324,Ajustes!$K319,X$2),0)+IF(Ajustes!$L319&gt;0,INDEX($AA$4:$AL$323,Ajustes!$L319,X$2),0) + X319</f>
        <v>116</v>
      </c>
      <c r="AK319">
        <f>IF(Ajustes!$G319&gt;0,INDEX($AA$4:$AL$323,Ajustes!$G319,Y$2),0)+IF(Ajustes!$H319&gt;0,INDEX($AA$4:$AL$323,Ajustes!$H319,Y$2),0)+IF(Ajustes!$I319&gt;0,INDEX($AA$4:$AL$323,Ajustes!$I319,Y$2),0)+IF(Ajustes!$J319&gt;0,INDEX($AA$4:$AL$323,Ajustes!$J319,Y$2),0)+IF(Ajustes!$K319&gt;0,INDEX($AA$5:$AL$324,Ajustes!$K319,Y$2),0)+IF(Ajustes!$L319&gt;0,INDEX($AA$4:$AL$323,Ajustes!$L319,Y$2),0) + Y319</f>
        <v>143</v>
      </c>
      <c r="AL319">
        <f>IF(Ajustes!$G319&gt;0,INDEX($AA$4:$AL$323,Ajustes!$G319,Z$2),0)+IF(Ajustes!$H319&gt;0,INDEX($AA$4:$AL$323,Ajustes!$H319,Z$2),0)+IF(Ajustes!$I319&gt;0,INDEX($AA$4:$AL$323,Ajustes!$I319,Z$2),0)+IF(Ajustes!$J319&gt;0,INDEX($AA$4:$AL$323,Ajustes!$J319,Z$2),0)+IF(Ajustes!$K319&gt;0,INDEX($AA$5:$AL$324,Ajustes!$K319,Z$2),0)+IF(Ajustes!$L319&gt;0,INDEX($AA$4:$AL$323,Ajustes!$L319,Z$2),0) + Z319</f>
        <v>168</v>
      </c>
      <c r="AM319" s="219">
        <f t="shared" ref="AM319:AX319" si="68">MIN(AM318,190)</f>
        <v>177</v>
      </c>
      <c r="AN319" s="219">
        <f t="shared" si="68"/>
        <v>177</v>
      </c>
      <c r="AO319" s="219">
        <f t="shared" si="68"/>
        <v>176</v>
      </c>
      <c r="AP319" s="219">
        <f t="shared" si="68"/>
        <v>172</v>
      </c>
      <c r="AQ319" s="219">
        <f t="shared" si="68"/>
        <v>164</v>
      </c>
      <c r="AR319" s="219">
        <f t="shared" si="68"/>
        <v>126</v>
      </c>
      <c r="AS319" s="219">
        <f t="shared" si="68"/>
        <v>116.23157894736842</v>
      </c>
      <c r="AT319" s="219">
        <f t="shared" si="68"/>
        <v>98.94736842105263</v>
      </c>
      <c r="AU319" s="219">
        <f t="shared" si="68"/>
        <v>101.07894736842105</v>
      </c>
      <c r="AV319" s="219">
        <f t="shared" si="68"/>
        <v>122.49473684210527</v>
      </c>
      <c r="AW319" s="219">
        <f t="shared" si="68"/>
        <v>159</v>
      </c>
      <c r="AX319" s="219">
        <f t="shared" si="68"/>
        <v>173</v>
      </c>
    </row>
    <row r="320" spans="1:50" x14ac:dyDescent="0.25">
      <c r="A320" s="113">
        <v>317</v>
      </c>
      <c r="B320" s="209" t="s">
        <v>631</v>
      </c>
      <c r="C320">
        <f>IFERROR(INDEX($BD$7:$BO$35,MATCH(Ajustes!$E$4:$E$323,$BC$7:$BC$35,0),$C$2:$N$2),1)</f>
        <v>1</v>
      </c>
      <c r="D320" s="113">
        <f>IFERROR(INDEX($BD$7:$BO$35,MATCH(Ajustes!$E$4:$E$323,$BC$7:$BC$35,0),$C$2:$N$2),1)</f>
        <v>1</v>
      </c>
      <c r="E320" s="113">
        <f>IFERROR(INDEX($BD$7:$BO$35,MATCH(Ajustes!$E$4:$E$323,$BC$7:$BC$35,0),$C$2:$N$2),1)</f>
        <v>1</v>
      </c>
      <c r="F320" s="113">
        <f>IFERROR(INDEX($BD$7:$BO$35,MATCH(Ajustes!$E$4:$E$323,$BC$7:$BC$35,0),$C$2:$N$2),1)</f>
        <v>1</v>
      </c>
      <c r="G320" s="113">
        <f>IFERROR(INDEX($BD$7:$BO$35,MATCH(Ajustes!$E$4:$E$323,$BC$7:$BC$35,0),$C$2:$N$2),1)</f>
        <v>1</v>
      </c>
      <c r="H320" s="113">
        <f>IFERROR(INDEX($BD$7:$BO$35,MATCH(Ajustes!$E$4:$E$323,$BC$7:$BC$35,0),$C$2:$N$2),1)</f>
        <v>1</v>
      </c>
      <c r="I320" s="113">
        <f>IFERROR(INDEX($BD$7:$BO$35,MATCH(Ajustes!$E$4:$E$323,$BC$7:$BC$35,0),$C$2:$N$2),1)</f>
        <v>1</v>
      </c>
      <c r="J320" s="113">
        <f>IFERROR(INDEX($BD$7:$BO$35,MATCH(Ajustes!$E$4:$E$323,$BC$7:$BC$35,0),$C$2:$N$2),1)</f>
        <v>1</v>
      </c>
      <c r="K320" s="113">
        <f>IFERROR(INDEX($BD$7:$BO$35,MATCH(Ajustes!$E$4:$E$323,$BC$7:$BC$35,0),$C$2:$N$2),1)</f>
        <v>1</v>
      </c>
      <c r="L320" s="113">
        <f>IFERROR(INDEX($BD$7:$BO$35,MATCH(Ajustes!$E$4:$E$323,$BC$7:$BC$35,0),$C$2:$N$2),1)</f>
        <v>1</v>
      </c>
      <c r="M320" s="113">
        <f>IFERROR(INDEX($BD$7:$BO$35,MATCH(Ajustes!$E$4:$E$323,$BC$7:$BC$35,0),$C$2:$N$2),1)</f>
        <v>1</v>
      </c>
      <c r="N320" s="113">
        <f>IFERROR(INDEX($BD$7:$BO$35,MATCH(Ajustes!$E$4:$E$323,$BC$7:$BC$35,0),$C$2:$N$2),1)</f>
        <v>1</v>
      </c>
      <c r="O320">
        <f>C320*Ajustes!AM320</f>
        <v>4</v>
      </c>
      <c r="P320">
        <f>D320*Ajustes!AN320</f>
        <v>5</v>
      </c>
      <c r="Q320">
        <f>E320*Ajustes!AO320</f>
        <v>3</v>
      </c>
      <c r="R320">
        <f>F320*Ajustes!AP320</f>
        <v>1</v>
      </c>
      <c r="S320">
        <f>G320*Ajustes!AQ320</f>
        <v>0</v>
      </c>
      <c r="T320">
        <f>H320*Ajustes!AR320</f>
        <v>0</v>
      </c>
      <c r="U320">
        <f>I320*Ajustes!AS320</f>
        <v>0</v>
      </c>
      <c r="V320">
        <f>J320*Ajustes!AT320</f>
        <v>0</v>
      </c>
      <c r="W320">
        <f>K320*Ajustes!AU320</f>
        <v>0</v>
      </c>
      <c r="X320">
        <f>L320*Ajustes!AV320</f>
        <v>0</v>
      </c>
      <c r="Y320">
        <f>M320*Ajustes!AW320</f>
        <v>0</v>
      </c>
      <c r="Z320">
        <f>N320*Ajustes!AX320</f>
        <v>1</v>
      </c>
      <c r="AA320">
        <f>IF(Ajustes!$G320&gt;0,INDEX($AA$4:$AL$323,Ajustes!$G320,O$2),0)+IF(Ajustes!$H320&gt;0,INDEX($AA$4:$AL$323,Ajustes!$H320,O$2),0)+IF(Ajustes!$I320&gt;0,INDEX($AA$4:$AL$323,Ajustes!$I320,O$2),0)+IF(Ajustes!$J320&gt;0,INDEX($AA$4:$AL$323,Ajustes!$J320,O$2),0)+IF(Ajustes!$K320&gt;0,INDEX($AA$5:$AL$324,Ajustes!$K320,O$2),0)+IF(Ajustes!$L320&gt;0,INDEX($AA$4:$AL$323,Ajustes!$L320,O$2),0) + O320</f>
        <v>4</v>
      </c>
      <c r="AB320">
        <f>IF(Ajustes!$G320&gt;0,INDEX($AA$4:$AL$323,Ajustes!$G320,P$2),0)+IF(Ajustes!$H320&gt;0,INDEX($AA$4:$AL$323,Ajustes!$H320,P$2),0)+IF(Ajustes!$I320&gt;0,INDEX($AA$4:$AL$323,Ajustes!$I320,P$2),0)+IF(Ajustes!$J320&gt;0,INDEX($AA$4:$AL$323,Ajustes!$J320,P$2),0)+IF(Ajustes!$K320&gt;0,INDEX($AA$5:$AL$324,Ajustes!$K320,P$2),0)+IF(Ajustes!$L320&gt;0,INDEX($AA$4:$AL$323,Ajustes!$L320,P$2),0) + P320</f>
        <v>5</v>
      </c>
      <c r="AC320">
        <f>IF(Ajustes!$G320&gt;0,INDEX($AA$4:$AL$323,Ajustes!$G320,Q$2),0)+IF(Ajustes!$H320&gt;0,INDEX($AA$4:$AL$323,Ajustes!$H320,Q$2),0)+IF(Ajustes!$I320&gt;0,INDEX($AA$4:$AL$323,Ajustes!$I320,Q$2),0)+IF(Ajustes!$J320&gt;0,INDEX($AA$4:$AL$323,Ajustes!$J320,Q$2),0)+IF(Ajustes!$K320&gt;0,INDEX($AA$5:$AL$324,Ajustes!$K320,Q$2),0)+IF(Ajustes!$L320&gt;0,INDEX($AA$4:$AL$323,Ajustes!$L320,Q$2),0) + Q320</f>
        <v>3</v>
      </c>
      <c r="AD320">
        <f>IF(Ajustes!$G320&gt;0,INDEX($AA$4:$AL$323,Ajustes!$G320,R$2),0)+IF(Ajustes!$H320&gt;0,INDEX($AA$4:$AL$323,Ajustes!$H320,R$2),0)+IF(Ajustes!$I320&gt;0,INDEX($AA$4:$AL$323,Ajustes!$I320,R$2),0)+IF(Ajustes!$J320&gt;0,INDEX($AA$4:$AL$323,Ajustes!$J320,R$2),0)+IF(Ajustes!$K320&gt;0,INDEX($AA$5:$AL$324,Ajustes!$K320,R$2),0)+IF(Ajustes!$L320&gt;0,INDEX($AA$4:$AL$323,Ajustes!$L320,R$2),0) + R320</f>
        <v>1</v>
      </c>
      <c r="AE320">
        <f>IF(Ajustes!$G320&gt;0,INDEX($AA$4:$AL$323,Ajustes!$G320,S$2),0)+IF(Ajustes!$H320&gt;0,INDEX($AA$4:$AL$323,Ajustes!$H320,S$2),0)+IF(Ajustes!$I320&gt;0,INDEX($AA$4:$AL$323,Ajustes!$I320,S$2),0)+IF(Ajustes!$J320&gt;0,INDEX($AA$4:$AL$323,Ajustes!$J320,S$2),0)+IF(Ajustes!$K320&gt;0,INDEX($AA$5:$AL$324,Ajustes!$K320,S$2),0)+IF(Ajustes!$L320&gt;0,INDEX($AA$4:$AL$323,Ajustes!$L320,S$2),0) + S320</f>
        <v>0</v>
      </c>
      <c r="AF320">
        <f>IF(Ajustes!$G320&gt;0,INDEX($AA$4:$AL$323,Ajustes!$G320,T$2),0)+IF(Ajustes!$H320&gt;0,INDEX($AA$4:$AL$323,Ajustes!$H320,T$2),0)+IF(Ajustes!$I320&gt;0,INDEX($AA$4:$AL$323,Ajustes!$I320,T$2),0)+IF(Ajustes!$J320&gt;0,INDEX($AA$4:$AL$323,Ajustes!$J320,T$2),0)+IF(Ajustes!$K320&gt;0,INDEX($AA$5:$AL$324,Ajustes!$K320,T$2),0)+IF(Ajustes!$L320&gt;0,INDEX($AA$4:$AL$323,Ajustes!$L320,T$2),0) + T320</f>
        <v>0</v>
      </c>
      <c r="AG320">
        <f>IF(Ajustes!$G320&gt;0,INDEX($AA$4:$AL$323,Ajustes!$G320,U$2),0)+IF(Ajustes!$H320&gt;0,INDEX($AA$4:$AL$323,Ajustes!$H320,U$2),0)+IF(Ajustes!$I320&gt;0,INDEX($AA$4:$AL$323,Ajustes!$I320,U$2),0)+IF(Ajustes!$J320&gt;0,INDEX($AA$4:$AL$323,Ajustes!$J320,U$2),0)+IF(Ajustes!$K320&gt;0,INDEX($AA$5:$AL$324,Ajustes!$K320,U$2),0)+IF(Ajustes!$L320&gt;0,INDEX($AA$4:$AL$323,Ajustes!$L320,U$2),0) + U320</f>
        <v>0</v>
      </c>
      <c r="AH320">
        <f>IF(Ajustes!$G320&gt;0,INDEX($AA$4:$AL$323,Ajustes!$G320,V$2),0)+IF(Ajustes!$H320&gt;0,INDEX($AA$4:$AL$323,Ajustes!$H320,V$2),0)+IF(Ajustes!$I320&gt;0,INDEX($AA$4:$AL$323,Ajustes!$I320,V$2),0)+IF(Ajustes!$J320&gt;0,INDEX($AA$4:$AL$323,Ajustes!$J320,V$2),0)+IF(Ajustes!$K320&gt;0,INDEX($AA$5:$AL$324,Ajustes!$K320,V$2),0)+IF(Ajustes!$L320&gt;0,INDEX($AA$4:$AL$323,Ajustes!$L320,V$2),0) + V320</f>
        <v>0</v>
      </c>
      <c r="AI320">
        <f>IF(Ajustes!$G320&gt;0,INDEX($AA$4:$AL$323,Ajustes!$G320,W$2),0)+IF(Ajustes!$H320&gt;0,INDEX($AA$4:$AL$323,Ajustes!$H320,W$2),0)+IF(Ajustes!$I320&gt;0,INDEX($AA$4:$AL$323,Ajustes!$I320,W$2),0)+IF(Ajustes!$J320&gt;0,INDEX($AA$4:$AL$323,Ajustes!$J320,W$2),0)+IF(Ajustes!$K320&gt;0,INDEX($AA$5:$AL$324,Ajustes!$K320,W$2),0)+IF(Ajustes!$L320&gt;0,INDEX($AA$4:$AL$323,Ajustes!$L320,W$2),0) + W320</f>
        <v>0</v>
      </c>
      <c r="AJ320">
        <f>IF(Ajustes!$G320&gt;0,INDEX($AA$4:$AL$323,Ajustes!$G320,X$2),0)+IF(Ajustes!$H320&gt;0,INDEX($AA$4:$AL$323,Ajustes!$H320,X$2),0)+IF(Ajustes!$I320&gt;0,INDEX($AA$4:$AL$323,Ajustes!$I320,X$2),0)+IF(Ajustes!$J320&gt;0,INDEX($AA$4:$AL$323,Ajustes!$J320,X$2),0)+IF(Ajustes!$K320&gt;0,INDEX($AA$5:$AL$324,Ajustes!$K320,X$2),0)+IF(Ajustes!$L320&gt;0,INDEX($AA$4:$AL$323,Ajustes!$L320,X$2),0) + X320</f>
        <v>0</v>
      </c>
      <c r="AK320">
        <f>IF(Ajustes!$G320&gt;0,INDEX($AA$4:$AL$323,Ajustes!$G320,Y$2),0)+IF(Ajustes!$H320&gt;0,INDEX($AA$4:$AL$323,Ajustes!$H320,Y$2),0)+IF(Ajustes!$I320&gt;0,INDEX($AA$4:$AL$323,Ajustes!$I320,Y$2),0)+IF(Ajustes!$J320&gt;0,INDEX($AA$4:$AL$323,Ajustes!$J320,Y$2),0)+IF(Ajustes!$K320&gt;0,INDEX($AA$5:$AL$324,Ajustes!$K320,Y$2),0)+IF(Ajustes!$L320&gt;0,INDEX($AA$4:$AL$323,Ajustes!$L320,Y$2),0) + Y320</f>
        <v>0</v>
      </c>
      <c r="AL320">
        <f>IF(Ajustes!$G320&gt;0,INDEX($AA$4:$AL$323,Ajustes!$G320,Z$2),0)+IF(Ajustes!$H320&gt;0,INDEX($AA$4:$AL$323,Ajustes!$H320,Z$2),0)+IF(Ajustes!$I320&gt;0,INDEX($AA$4:$AL$323,Ajustes!$I320,Z$2),0)+IF(Ajustes!$J320&gt;0,INDEX($AA$4:$AL$323,Ajustes!$J320,Z$2),0)+IF(Ajustes!$K320&gt;0,INDEX($AA$5:$AL$324,Ajustes!$K320,Z$2),0)+IF(Ajustes!$L320&gt;0,INDEX($AA$4:$AL$323,Ajustes!$L320,Z$2),0) + Z320</f>
        <v>1</v>
      </c>
      <c r="AM320" s="219">
        <f t="shared" ref="AM320:AX320" si="69">MAX(0,AM204-25)</f>
        <v>0</v>
      </c>
      <c r="AN320" s="219">
        <f t="shared" si="69"/>
        <v>0</v>
      </c>
      <c r="AO320" s="219">
        <f t="shared" si="69"/>
        <v>0</v>
      </c>
      <c r="AP320" s="219">
        <f t="shared" si="69"/>
        <v>0</v>
      </c>
      <c r="AQ320" s="219">
        <f t="shared" si="69"/>
        <v>0</v>
      </c>
      <c r="AR320" s="219">
        <f t="shared" si="69"/>
        <v>0</v>
      </c>
      <c r="AS320" s="219">
        <f t="shared" si="69"/>
        <v>0</v>
      </c>
      <c r="AT320" s="219">
        <f t="shared" si="69"/>
        <v>0</v>
      </c>
      <c r="AU320" s="219">
        <f t="shared" si="69"/>
        <v>0</v>
      </c>
      <c r="AV320" s="219">
        <f t="shared" si="69"/>
        <v>0</v>
      </c>
      <c r="AW320" s="219">
        <f t="shared" si="69"/>
        <v>0</v>
      </c>
      <c r="AX320" s="219">
        <f t="shared" si="69"/>
        <v>0</v>
      </c>
    </row>
    <row r="321" spans="1:50" x14ac:dyDescent="0.25">
      <c r="A321" s="113">
        <v>318</v>
      </c>
      <c r="B321" s="209" t="s">
        <v>596</v>
      </c>
      <c r="C321">
        <f>IFERROR(INDEX($BD$7:$BO$35,MATCH(Ajustes!$E$4:$E$323,$BC$7:$BC$35,0),$C$2:$N$2),1)</f>
        <v>1</v>
      </c>
      <c r="D321" s="113">
        <f>IFERROR(INDEX($BD$7:$BO$35,MATCH(Ajustes!$E$4:$E$323,$BC$7:$BC$35,0),$C$2:$N$2),1)</f>
        <v>1</v>
      </c>
      <c r="E321" s="113">
        <f>IFERROR(INDEX($BD$7:$BO$35,MATCH(Ajustes!$E$4:$E$323,$BC$7:$BC$35,0),$C$2:$N$2),1)</f>
        <v>1</v>
      </c>
      <c r="F321" s="113">
        <f>IFERROR(INDEX($BD$7:$BO$35,MATCH(Ajustes!$E$4:$E$323,$BC$7:$BC$35,0),$C$2:$N$2),1)</f>
        <v>1</v>
      </c>
      <c r="G321" s="113">
        <f>IFERROR(INDEX($BD$7:$BO$35,MATCH(Ajustes!$E$4:$E$323,$BC$7:$BC$35,0),$C$2:$N$2),1)</f>
        <v>1</v>
      </c>
      <c r="H321" s="113">
        <f>IFERROR(INDEX($BD$7:$BO$35,MATCH(Ajustes!$E$4:$E$323,$BC$7:$BC$35,0),$C$2:$N$2),1)</f>
        <v>1</v>
      </c>
      <c r="I321" s="113">
        <f>IFERROR(INDEX($BD$7:$BO$35,MATCH(Ajustes!$E$4:$E$323,$BC$7:$BC$35,0),$C$2:$N$2),1)</f>
        <v>1</v>
      </c>
      <c r="J321" s="113">
        <f>IFERROR(INDEX($BD$7:$BO$35,MATCH(Ajustes!$E$4:$E$323,$BC$7:$BC$35,0),$C$2:$N$2),1)</f>
        <v>1</v>
      </c>
      <c r="K321" s="113">
        <f>IFERROR(INDEX($BD$7:$BO$35,MATCH(Ajustes!$E$4:$E$323,$BC$7:$BC$35,0),$C$2:$N$2),1)</f>
        <v>1</v>
      </c>
      <c r="L321" s="113">
        <f>IFERROR(INDEX($BD$7:$BO$35,MATCH(Ajustes!$E$4:$E$323,$BC$7:$BC$35,0),$C$2:$N$2),1)</f>
        <v>1</v>
      </c>
      <c r="M321" s="113">
        <f>IFERROR(INDEX($BD$7:$BO$35,MATCH(Ajustes!$E$4:$E$323,$BC$7:$BC$35,0),$C$2:$N$2),1)</f>
        <v>1</v>
      </c>
      <c r="N321" s="113">
        <f>IFERROR(INDEX($BD$7:$BO$35,MATCH(Ajustes!$E$4:$E$323,$BC$7:$BC$35,0),$C$2:$N$2),1)</f>
        <v>1</v>
      </c>
      <c r="O321">
        <f>C321*Ajustes!AM321</f>
        <v>64</v>
      </c>
      <c r="P321">
        <f>D321*Ajustes!AN321</f>
        <v>66</v>
      </c>
      <c r="Q321">
        <f>E321*Ajustes!AO321</f>
        <v>58</v>
      </c>
      <c r="R321">
        <f>F321*Ajustes!AP321</f>
        <v>41</v>
      </c>
      <c r="S321">
        <f>G321*Ajustes!AQ321</f>
        <v>31</v>
      </c>
      <c r="T321">
        <f>H321*Ajustes!AR321</f>
        <v>29</v>
      </c>
      <c r="U321">
        <f>I321*Ajustes!AS321</f>
        <v>24</v>
      </c>
      <c r="V321">
        <f>J321*Ajustes!AT321</f>
        <v>21</v>
      </c>
      <c r="W321">
        <f>K321*Ajustes!AU321</f>
        <v>29</v>
      </c>
      <c r="X321">
        <f>L321*Ajustes!AV321</f>
        <v>36</v>
      </c>
      <c r="Y321">
        <f>M321*Ajustes!AW321</f>
        <v>37</v>
      </c>
      <c r="Z321">
        <f>N321*Ajustes!AX321</f>
        <v>49</v>
      </c>
      <c r="AA321">
        <f>IF(Ajustes!$G321&gt;0,INDEX($AA$4:$AL$323,Ajustes!$G321,O$2),0)+IF(Ajustes!$H321&gt;0,INDEX($AA$4:$AL$323,Ajustes!$H321,O$2),0)+IF(Ajustes!$I321&gt;0,INDEX($AA$4:$AL$323,Ajustes!$I321,O$2),0)+IF(Ajustes!$J321&gt;0,INDEX($AA$4:$AL$323,Ajustes!$J321,O$2),0)+IF(Ajustes!$K321&gt;0,INDEX($AA$5:$AL$324,Ajustes!$K321,O$2),0)+IF(Ajustes!$L321&gt;0,INDEX($AA$4:$AL$323,Ajustes!$L321,O$2),0) + O321</f>
        <v>64</v>
      </c>
      <c r="AB321">
        <f>IF(Ajustes!$G321&gt;0,INDEX($AA$4:$AL$323,Ajustes!$G321,P$2),0)+IF(Ajustes!$H321&gt;0,INDEX($AA$4:$AL$323,Ajustes!$H321,P$2),0)+IF(Ajustes!$I321&gt;0,INDEX($AA$4:$AL$323,Ajustes!$I321,P$2),0)+IF(Ajustes!$J321&gt;0,INDEX($AA$4:$AL$323,Ajustes!$J321,P$2),0)+IF(Ajustes!$K321&gt;0,INDEX($AA$5:$AL$324,Ajustes!$K321,P$2),0)+IF(Ajustes!$L321&gt;0,INDEX($AA$4:$AL$323,Ajustes!$L321,P$2),0) + P321</f>
        <v>66</v>
      </c>
      <c r="AC321">
        <f>IF(Ajustes!$G321&gt;0,INDEX($AA$4:$AL$323,Ajustes!$G321,Q$2),0)+IF(Ajustes!$H321&gt;0,INDEX($AA$4:$AL$323,Ajustes!$H321,Q$2),0)+IF(Ajustes!$I321&gt;0,INDEX($AA$4:$AL$323,Ajustes!$I321,Q$2),0)+IF(Ajustes!$J321&gt;0,INDEX($AA$4:$AL$323,Ajustes!$J321,Q$2),0)+IF(Ajustes!$K321&gt;0,INDEX($AA$5:$AL$324,Ajustes!$K321,Q$2),0)+IF(Ajustes!$L321&gt;0,INDEX($AA$4:$AL$323,Ajustes!$L321,Q$2),0) + Q321</f>
        <v>58</v>
      </c>
      <c r="AD321">
        <f>IF(Ajustes!$G321&gt;0,INDEX($AA$4:$AL$323,Ajustes!$G321,R$2),0)+IF(Ajustes!$H321&gt;0,INDEX($AA$4:$AL$323,Ajustes!$H321,R$2),0)+IF(Ajustes!$I321&gt;0,INDEX($AA$4:$AL$323,Ajustes!$I321,R$2),0)+IF(Ajustes!$J321&gt;0,INDEX($AA$4:$AL$323,Ajustes!$J321,R$2),0)+IF(Ajustes!$K321&gt;0,INDEX($AA$5:$AL$324,Ajustes!$K321,R$2),0)+IF(Ajustes!$L321&gt;0,INDEX($AA$4:$AL$323,Ajustes!$L321,R$2),0) + R321</f>
        <v>41</v>
      </c>
      <c r="AE321">
        <f>IF(Ajustes!$G321&gt;0,INDEX($AA$4:$AL$323,Ajustes!$G321,S$2),0)+IF(Ajustes!$H321&gt;0,INDEX($AA$4:$AL$323,Ajustes!$H321,S$2),0)+IF(Ajustes!$I321&gt;0,INDEX($AA$4:$AL$323,Ajustes!$I321,S$2),0)+IF(Ajustes!$J321&gt;0,INDEX($AA$4:$AL$323,Ajustes!$J321,S$2),0)+IF(Ajustes!$K321&gt;0,INDEX($AA$5:$AL$324,Ajustes!$K321,S$2),0)+IF(Ajustes!$L321&gt;0,INDEX($AA$4:$AL$323,Ajustes!$L321,S$2),0) + S321</f>
        <v>31</v>
      </c>
      <c r="AF321">
        <f>IF(Ajustes!$G321&gt;0,INDEX($AA$4:$AL$323,Ajustes!$G321,T$2),0)+IF(Ajustes!$H321&gt;0,INDEX($AA$4:$AL$323,Ajustes!$H321,T$2),0)+IF(Ajustes!$I321&gt;0,INDEX($AA$4:$AL$323,Ajustes!$I321,T$2),0)+IF(Ajustes!$J321&gt;0,INDEX($AA$4:$AL$323,Ajustes!$J321,T$2),0)+IF(Ajustes!$K321&gt;0,INDEX($AA$5:$AL$324,Ajustes!$K321,T$2),0)+IF(Ajustes!$L321&gt;0,INDEX($AA$4:$AL$323,Ajustes!$L321,T$2),0) + T321</f>
        <v>29</v>
      </c>
      <c r="AG321">
        <f>IF(Ajustes!$G321&gt;0,INDEX($AA$4:$AL$323,Ajustes!$G321,U$2),0)+IF(Ajustes!$H321&gt;0,INDEX($AA$4:$AL$323,Ajustes!$H321,U$2),0)+IF(Ajustes!$I321&gt;0,INDEX($AA$4:$AL$323,Ajustes!$I321,U$2),0)+IF(Ajustes!$J321&gt;0,INDEX($AA$4:$AL$323,Ajustes!$J321,U$2),0)+IF(Ajustes!$K321&gt;0,INDEX($AA$5:$AL$324,Ajustes!$K321,U$2),0)+IF(Ajustes!$L321&gt;0,INDEX($AA$4:$AL$323,Ajustes!$L321,U$2),0) + U321</f>
        <v>24</v>
      </c>
      <c r="AH321">
        <f>IF(Ajustes!$G321&gt;0,INDEX($AA$4:$AL$323,Ajustes!$G321,V$2),0)+IF(Ajustes!$H321&gt;0,INDEX($AA$4:$AL$323,Ajustes!$H321,V$2),0)+IF(Ajustes!$I321&gt;0,INDEX($AA$4:$AL$323,Ajustes!$I321,V$2),0)+IF(Ajustes!$J321&gt;0,INDEX($AA$4:$AL$323,Ajustes!$J321,V$2),0)+IF(Ajustes!$K321&gt;0,INDEX($AA$5:$AL$324,Ajustes!$K321,V$2),0)+IF(Ajustes!$L321&gt;0,INDEX($AA$4:$AL$323,Ajustes!$L321,V$2),0) + V321</f>
        <v>21</v>
      </c>
      <c r="AI321">
        <f>IF(Ajustes!$G321&gt;0,INDEX($AA$4:$AL$323,Ajustes!$G321,W$2),0)+IF(Ajustes!$H321&gt;0,INDEX($AA$4:$AL$323,Ajustes!$H321,W$2),0)+IF(Ajustes!$I321&gt;0,INDEX($AA$4:$AL$323,Ajustes!$I321,W$2),0)+IF(Ajustes!$J321&gt;0,INDEX($AA$4:$AL$323,Ajustes!$J321,W$2),0)+IF(Ajustes!$K321&gt;0,INDEX($AA$5:$AL$324,Ajustes!$K321,W$2),0)+IF(Ajustes!$L321&gt;0,INDEX($AA$4:$AL$323,Ajustes!$L321,W$2),0) + W321</f>
        <v>29</v>
      </c>
      <c r="AJ321">
        <f>IF(Ajustes!$G321&gt;0,INDEX($AA$4:$AL$323,Ajustes!$G321,X$2),0)+IF(Ajustes!$H321&gt;0,INDEX($AA$4:$AL$323,Ajustes!$H321,X$2),0)+IF(Ajustes!$I321&gt;0,INDEX($AA$4:$AL$323,Ajustes!$I321,X$2),0)+IF(Ajustes!$J321&gt;0,INDEX($AA$4:$AL$323,Ajustes!$J321,X$2),0)+IF(Ajustes!$K321&gt;0,INDEX($AA$5:$AL$324,Ajustes!$K321,X$2),0)+IF(Ajustes!$L321&gt;0,INDEX($AA$4:$AL$323,Ajustes!$L321,X$2),0) + X321</f>
        <v>36</v>
      </c>
      <c r="AK321">
        <f>IF(Ajustes!$G321&gt;0,INDEX($AA$4:$AL$323,Ajustes!$G321,Y$2),0)+IF(Ajustes!$H321&gt;0,INDEX($AA$4:$AL$323,Ajustes!$H321,Y$2),0)+IF(Ajustes!$I321&gt;0,INDEX($AA$4:$AL$323,Ajustes!$I321,Y$2),0)+IF(Ajustes!$J321&gt;0,INDEX($AA$4:$AL$323,Ajustes!$J321,Y$2),0)+IF(Ajustes!$K321&gt;0,INDEX($AA$5:$AL$324,Ajustes!$K321,Y$2),0)+IF(Ajustes!$L321&gt;0,INDEX($AA$4:$AL$323,Ajustes!$L321,Y$2),0) + Y321</f>
        <v>37</v>
      </c>
      <c r="AL321">
        <f>IF(Ajustes!$G321&gt;0,INDEX($AA$4:$AL$323,Ajustes!$G321,Z$2),0)+IF(Ajustes!$H321&gt;0,INDEX($AA$4:$AL$323,Ajustes!$H321,Z$2),0)+IF(Ajustes!$I321&gt;0,INDEX($AA$4:$AL$323,Ajustes!$I321,Z$2),0)+IF(Ajustes!$J321&gt;0,INDEX($AA$4:$AL$323,Ajustes!$J321,Z$2),0)+IF(Ajustes!$K321&gt;0,INDEX($AA$5:$AL$324,Ajustes!$K321,Z$2),0)+IF(Ajustes!$L321&gt;0,INDEX($AA$4:$AL$323,Ajustes!$L321,Z$2),0) + Z321</f>
        <v>49</v>
      </c>
      <c r="AM321" s="219">
        <f t="shared" ref="AM321:AX321" si="70">AM119+AM120+AM121+0.1*(AM164-AM120-AM121)</f>
        <v>65.2</v>
      </c>
      <c r="AN321" s="219">
        <f t="shared" si="70"/>
        <v>66.900000000000006</v>
      </c>
      <c r="AO321" s="219">
        <f t="shared" si="70"/>
        <v>59</v>
      </c>
      <c r="AP321" s="219">
        <f t="shared" si="70"/>
        <v>41.8</v>
      </c>
      <c r="AQ321" s="219">
        <f t="shared" si="70"/>
        <v>31.1</v>
      </c>
      <c r="AR321" s="219">
        <f t="shared" si="70"/>
        <v>29.6</v>
      </c>
      <c r="AS321" s="219">
        <f t="shared" si="70"/>
        <v>23.8</v>
      </c>
      <c r="AT321" s="219">
        <f t="shared" si="70"/>
        <v>21</v>
      </c>
      <c r="AU321" s="219">
        <f t="shared" si="70"/>
        <v>28.9</v>
      </c>
      <c r="AV321" s="219">
        <f t="shared" si="70"/>
        <v>36.5</v>
      </c>
      <c r="AW321" s="219">
        <f t="shared" si="70"/>
        <v>37.200000000000003</v>
      </c>
      <c r="AX321" s="219">
        <f t="shared" si="70"/>
        <v>49.5</v>
      </c>
    </row>
    <row r="322" spans="1:50" x14ac:dyDescent="0.25">
      <c r="A322" s="113">
        <v>319</v>
      </c>
      <c r="B322" s="209" t="s">
        <v>597</v>
      </c>
      <c r="C322">
        <f>IFERROR(INDEX($BD$7:$BO$35,MATCH(Ajustes!$E$4:$E$323,$BC$7:$BC$35,0),$C$2:$N$2),1)</f>
        <v>1</v>
      </c>
      <c r="D322" s="113">
        <f>IFERROR(INDEX($BD$7:$BO$35,MATCH(Ajustes!$E$4:$E$323,$BC$7:$BC$35,0),$C$2:$N$2),1)</f>
        <v>1</v>
      </c>
      <c r="E322" s="113">
        <f>IFERROR(INDEX($BD$7:$BO$35,MATCH(Ajustes!$E$4:$E$323,$BC$7:$BC$35,0),$C$2:$N$2),1)</f>
        <v>1</v>
      </c>
      <c r="F322" s="113">
        <f>IFERROR(INDEX($BD$7:$BO$35,MATCH(Ajustes!$E$4:$E$323,$BC$7:$BC$35,0),$C$2:$N$2),1)</f>
        <v>1</v>
      </c>
      <c r="G322" s="113">
        <f>IFERROR(INDEX($BD$7:$BO$35,MATCH(Ajustes!$E$4:$E$323,$BC$7:$BC$35,0),$C$2:$N$2),1)</f>
        <v>1</v>
      </c>
      <c r="H322" s="113">
        <f>IFERROR(INDEX($BD$7:$BO$35,MATCH(Ajustes!$E$4:$E$323,$BC$7:$BC$35,0),$C$2:$N$2),1)</f>
        <v>1</v>
      </c>
      <c r="I322" s="113">
        <f>IFERROR(INDEX($BD$7:$BO$35,MATCH(Ajustes!$E$4:$E$323,$BC$7:$BC$35,0),$C$2:$N$2),1)</f>
        <v>1</v>
      </c>
      <c r="J322" s="113">
        <f>IFERROR(INDEX($BD$7:$BO$35,MATCH(Ajustes!$E$4:$E$323,$BC$7:$BC$35,0),$C$2:$N$2),1)</f>
        <v>1</v>
      </c>
      <c r="K322" s="113">
        <f>IFERROR(INDEX($BD$7:$BO$35,MATCH(Ajustes!$E$4:$E$323,$BC$7:$BC$35,0),$C$2:$N$2),1)</f>
        <v>1</v>
      </c>
      <c r="L322" s="113">
        <f>IFERROR(INDEX($BD$7:$BO$35,MATCH(Ajustes!$E$4:$E$323,$BC$7:$BC$35,0),$C$2:$N$2),1)</f>
        <v>1</v>
      </c>
      <c r="M322" s="113">
        <f>IFERROR(INDEX($BD$7:$BO$35,MATCH(Ajustes!$E$4:$E$323,$BC$7:$BC$35,0),$C$2:$N$2),1)</f>
        <v>1</v>
      </c>
      <c r="N322" s="113">
        <f>IFERROR(INDEX($BD$7:$BO$35,MATCH(Ajustes!$E$4:$E$323,$BC$7:$BC$35,0),$C$2:$N$2),1)</f>
        <v>1</v>
      </c>
      <c r="O322">
        <f>C322*Ajustes!AM322</f>
        <v>58</v>
      </c>
      <c r="P322">
        <f>D322*Ajustes!AN322</f>
        <v>60</v>
      </c>
      <c r="Q322">
        <f>E322*Ajustes!AO322</f>
        <v>53</v>
      </c>
      <c r="R322">
        <f>F322*Ajustes!AP322</f>
        <v>37</v>
      </c>
      <c r="S322">
        <f>G322*Ajustes!AQ322</f>
        <v>29</v>
      </c>
      <c r="T322">
        <f>H322*Ajustes!AR322</f>
        <v>26</v>
      </c>
      <c r="U322">
        <f>I322*Ajustes!AS322</f>
        <v>22</v>
      </c>
      <c r="V322">
        <f>J322*Ajustes!AT322</f>
        <v>20</v>
      </c>
      <c r="W322">
        <f>K322*Ajustes!AU322</f>
        <v>26</v>
      </c>
      <c r="X322">
        <f>L322*Ajustes!AV322</f>
        <v>33</v>
      </c>
      <c r="Y322">
        <f>M322*Ajustes!AW322</f>
        <v>34</v>
      </c>
      <c r="Z322">
        <f>N322*Ajustes!AX322</f>
        <v>45</v>
      </c>
      <c r="AA322">
        <f>IF(Ajustes!$G322&gt;0,INDEX($AA$4:$AL$323,Ajustes!$G322,O$2),0)+IF(Ajustes!$H322&gt;0,INDEX($AA$4:$AL$323,Ajustes!$H322,O$2),0)+IF(Ajustes!$I322&gt;0,INDEX($AA$4:$AL$323,Ajustes!$I322,O$2),0)+IF(Ajustes!$J322&gt;0,INDEX($AA$4:$AL$323,Ajustes!$J322,O$2),0)+IF(Ajustes!$K322&gt;0,INDEX($AA$5:$AL$324,Ajustes!$K322,O$2),0)+IF(Ajustes!$L322&gt;0,INDEX($AA$4:$AL$323,Ajustes!$L322,O$2),0) + O322</f>
        <v>58</v>
      </c>
      <c r="AB322">
        <f>IF(Ajustes!$G322&gt;0,INDEX($AA$4:$AL$323,Ajustes!$G322,P$2),0)+IF(Ajustes!$H322&gt;0,INDEX($AA$4:$AL$323,Ajustes!$H322,P$2),0)+IF(Ajustes!$I322&gt;0,INDEX($AA$4:$AL$323,Ajustes!$I322,P$2),0)+IF(Ajustes!$J322&gt;0,INDEX($AA$4:$AL$323,Ajustes!$J322,P$2),0)+IF(Ajustes!$K322&gt;0,INDEX($AA$5:$AL$324,Ajustes!$K322,P$2),0)+IF(Ajustes!$L322&gt;0,INDEX($AA$4:$AL$323,Ajustes!$L322,P$2),0) + P322</f>
        <v>60</v>
      </c>
      <c r="AC322">
        <f>IF(Ajustes!$G322&gt;0,INDEX($AA$4:$AL$323,Ajustes!$G322,Q$2),0)+IF(Ajustes!$H322&gt;0,INDEX($AA$4:$AL$323,Ajustes!$H322,Q$2),0)+IF(Ajustes!$I322&gt;0,INDEX($AA$4:$AL$323,Ajustes!$I322,Q$2),0)+IF(Ajustes!$J322&gt;0,INDEX($AA$4:$AL$323,Ajustes!$J322,Q$2),0)+IF(Ajustes!$K322&gt;0,INDEX($AA$5:$AL$324,Ajustes!$K322,Q$2),0)+IF(Ajustes!$L322&gt;0,INDEX($AA$4:$AL$323,Ajustes!$L322,Q$2),0) + Q322</f>
        <v>53</v>
      </c>
      <c r="AD322">
        <f>IF(Ajustes!$G322&gt;0,INDEX($AA$4:$AL$323,Ajustes!$G322,R$2),0)+IF(Ajustes!$H322&gt;0,INDEX($AA$4:$AL$323,Ajustes!$H322,R$2),0)+IF(Ajustes!$I322&gt;0,INDEX($AA$4:$AL$323,Ajustes!$I322,R$2),0)+IF(Ajustes!$J322&gt;0,INDEX($AA$4:$AL$323,Ajustes!$J322,R$2),0)+IF(Ajustes!$K322&gt;0,INDEX($AA$5:$AL$324,Ajustes!$K322,R$2),0)+IF(Ajustes!$L322&gt;0,INDEX($AA$4:$AL$323,Ajustes!$L322,R$2),0) + R322</f>
        <v>37</v>
      </c>
      <c r="AE322">
        <f>IF(Ajustes!$G322&gt;0,INDEX($AA$4:$AL$323,Ajustes!$G322,S$2),0)+IF(Ajustes!$H322&gt;0,INDEX($AA$4:$AL$323,Ajustes!$H322,S$2),0)+IF(Ajustes!$I322&gt;0,INDEX($AA$4:$AL$323,Ajustes!$I322,S$2),0)+IF(Ajustes!$J322&gt;0,INDEX($AA$4:$AL$323,Ajustes!$J322,S$2),0)+IF(Ajustes!$K322&gt;0,INDEX($AA$5:$AL$324,Ajustes!$K322,S$2),0)+IF(Ajustes!$L322&gt;0,INDEX($AA$4:$AL$323,Ajustes!$L322,S$2),0) + S322</f>
        <v>29</v>
      </c>
      <c r="AF322">
        <f>IF(Ajustes!$G322&gt;0,INDEX($AA$4:$AL$323,Ajustes!$G322,T$2),0)+IF(Ajustes!$H322&gt;0,INDEX($AA$4:$AL$323,Ajustes!$H322,T$2),0)+IF(Ajustes!$I322&gt;0,INDEX($AA$4:$AL$323,Ajustes!$I322,T$2),0)+IF(Ajustes!$J322&gt;0,INDEX($AA$4:$AL$323,Ajustes!$J322,T$2),0)+IF(Ajustes!$K322&gt;0,INDEX($AA$5:$AL$324,Ajustes!$K322,T$2),0)+IF(Ajustes!$L322&gt;0,INDEX($AA$4:$AL$323,Ajustes!$L322,T$2),0) + T322</f>
        <v>26</v>
      </c>
      <c r="AG322">
        <f>IF(Ajustes!$G322&gt;0,INDEX($AA$4:$AL$323,Ajustes!$G322,U$2),0)+IF(Ajustes!$H322&gt;0,INDEX($AA$4:$AL$323,Ajustes!$H322,U$2),0)+IF(Ajustes!$I322&gt;0,INDEX($AA$4:$AL$323,Ajustes!$I322,U$2),0)+IF(Ajustes!$J322&gt;0,INDEX($AA$4:$AL$323,Ajustes!$J322,U$2),0)+IF(Ajustes!$K322&gt;0,INDEX($AA$5:$AL$324,Ajustes!$K322,U$2),0)+IF(Ajustes!$L322&gt;0,INDEX($AA$4:$AL$323,Ajustes!$L322,U$2),0) + U322</f>
        <v>22</v>
      </c>
      <c r="AH322">
        <f>IF(Ajustes!$G322&gt;0,INDEX($AA$4:$AL$323,Ajustes!$G322,V$2),0)+IF(Ajustes!$H322&gt;0,INDEX($AA$4:$AL$323,Ajustes!$H322,V$2),0)+IF(Ajustes!$I322&gt;0,INDEX($AA$4:$AL$323,Ajustes!$I322,V$2),0)+IF(Ajustes!$J322&gt;0,INDEX($AA$4:$AL$323,Ajustes!$J322,V$2),0)+IF(Ajustes!$K322&gt;0,INDEX($AA$5:$AL$324,Ajustes!$K322,V$2),0)+IF(Ajustes!$L322&gt;0,INDEX($AA$4:$AL$323,Ajustes!$L322,V$2),0) + V322</f>
        <v>20</v>
      </c>
      <c r="AI322">
        <f>IF(Ajustes!$G322&gt;0,INDEX($AA$4:$AL$323,Ajustes!$G322,W$2),0)+IF(Ajustes!$H322&gt;0,INDEX($AA$4:$AL$323,Ajustes!$H322,W$2),0)+IF(Ajustes!$I322&gt;0,INDEX($AA$4:$AL$323,Ajustes!$I322,W$2),0)+IF(Ajustes!$J322&gt;0,INDEX($AA$4:$AL$323,Ajustes!$J322,W$2),0)+IF(Ajustes!$K322&gt;0,INDEX($AA$5:$AL$324,Ajustes!$K322,W$2),0)+IF(Ajustes!$L322&gt;0,INDEX($AA$4:$AL$323,Ajustes!$L322,W$2),0) + W322</f>
        <v>26</v>
      </c>
      <c r="AJ322">
        <f>IF(Ajustes!$G322&gt;0,INDEX($AA$4:$AL$323,Ajustes!$G322,X$2),0)+IF(Ajustes!$H322&gt;0,INDEX($AA$4:$AL$323,Ajustes!$H322,X$2),0)+IF(Ajustes!$I322&gt;0,INDEX($AA$4:$AL$323,Ajustes!$I322,X$2),0)+IF(Ajustes!$J322&gt;0,INDEX($AA$4:$AL$323,Ajustes!$J322,X$2),0)+IF(Ajustes!$K322&gt;0,INDEX($AA$5:$AL$324,Ajustes!$K322,X$2),0)+IF(Ajustes!$L322&gt;0,INDEX($AA$4:$AL$323,Ajustes!$L322,X$2),0) + X322</f>
        <v>33</v>
      </c>
      <c r="AK322">
        <f>IF(Ajustes!$G322&gt;0,INDEX($AA$4:$AL$323,Ajustes!$G322,Y$2),0)+IF(Ajustes!$H322&gt;0,INDEX($AA$4:$AL$323,Ajustes!$H322,Y$2),0)+IF(Ajustes!$I322&gt;0,INDEX($AA$4:$AL$323,Ajustes!$I322,Y$2),0)+IF(Ajustes!$J322&gt;0,INDEX($AA$4:$AL$323,Ajustes!$J322,Y$2),0)+IF(Ajustes!$K322&gt;0,INDEX($AA$5:$AL$324,Ajustes!$K322,Y$2),0)+IF(Ajustes!$L322&gt;0,INDEX($AA$4:$AL$323,Ajustes!$L322,Y$2),0) + Y322</f>
        <v>34</v>
      </c>
      <c r="AL322">
        <f>IF(Ajustes!$G322&gt;0,INDEX($AA$4:$AL$323,Ajustes!$G322,Z$2),0)+IF(Ajustes!$H322&gt;0,INDEX($AA$4:$AL$323,Ajustes!$H322,Z$2),0)+IF(Ajustes!$I322&gt;0,INDEX($AA$4:$AL$323,Ajustes!$I322,Z$2),0)+IF(Ajustes!$J322&gt;0,INDEX($AA$4:$AL$323,Ajustes!$J322,Z$2),0)+IF(Ajustes!$K322&gt;0,INDEX($AA$5:$AL$324,Ajustes!$K322,Z$2),0)+IF(Ajustes!$L322&gt;0,INDEX($AA$4:$AL$323,Ajustes!$L322,Z$2),0) + Z322</f>
        <v>45</v>
      </c>
      <c r="AM322" s="219">
        <f t="shared" ref="AM322:AX322" si="71">AM120+AM121+0.1*(AM164-AM120-AM121)</f>
        <v>58.2</v>
      </c>
      <c r="AN322" s="219">
        <f t="shared" si="71"/>
        <v>59.9</v>
      </c>
      <c r="AO322" s="219">
        <f t="shared" si="71"/>
        <v>53</v>
      </c>
      <c r="AP322" s="219">
        <f t="shared" si="71"/>
        <v>37.799999999999997</v>
      </c>
      <c r="AQ322" s="219">
        <f t="shared" si="71"/>
        <v>28.1</v>
      </c>
      <c r="AR322" s="219">
        <f t="shared" si="71"/>
        <v>26.6</v>
      </c>
      <c r="AS322" s="219">
        <f t="shared" si="71"/>
        <v>21.8</v>
      </c>
      <c r="AT322" s="219">
        <f t="shared" si="71"/>
        <v>19</v>
      </c>
      <c r="AU322" s="219">
        <f t="shared" si="71"/>
        <v>25.9</v>
      </c>
      <c r="AV322" s="219">
        <f t="shared" si="71"/>
        <v>32.5</v>
      </c>
      <c r="AW322" s="219">
        <f t="shared" si="71"/>
        <v>33.200000000000003</v>
      </c>
      <c r="AX322" s="219">
        <f t="shared" si="71"/>
        <v>44.5</v>
      </c>
    </row>
    <row r="323" spans="1:50" x14ac:dyDescent="0.25">
      <c r="A323" s="113">
        <v>320</v>
      </c>
      <c r="B323" s="209" t="s">
        <v>598</v>
      </c>
      <c r="C323">
        <f>IFERROR(INDEX($BD$7:$BO$35,MATCH(Ajustes!$E$4:$E$323,$BC$7:$BC$35,0),$C$2:$N$2),1)</f>
        <v>1</v>
      </c>
      <c r="D323" s="113">
        <f>IFERROR(INDEX($BD$7:$BO$35,MATCH(Ajustes!$E$4:$E$323,$BC$7:$BC$35,0),$C$2:$N$2),1)</f>
        <v>1</v>
      </c>
      <c r="E323" s="113">
        <f>IFERROR(INDEX($BD$7:$BO$35,MATCH(Ajustes!$E$4:$E$323,$BC$7:$BC$35,0),$C$2:$N$2),1)</f>
        <v>1</v>
      </c>
      <c r="F323" s="113">
        <f>IFERROR(INDEX($BD$7:$BO$35,MATCH(Ajustes!$E$4:$E$323,$BC$7:$BC$35,0),$C$2:$N$2),1)</f>
        <v>1</v>
      </c>
      <c r="G323" s="113">
        <f>IFERROR(INDEX($BD$7:$BO$35,MATCH(Ajustes!$E$4:$E$323,$BC$7:$BC$35,0),$C$2:$N$2),1)</f>
        <v>1</v>
      </c>
      <c r="H323" s="113">
        <f>IFERROR(INDEX($BD$7:$BO$35,MATCH(Ajustes!$E$4:$E$323,$BC$7:$BC$35,0),$C$2:$N$2),1)</f>
        <v>1</v>
      </c>
      <c r="I323" s="113">
        <f>IFERROR(INDEX($BD$7:$BO$35,MATCH(Ajustes!$E$4:$E$323,$BC$7:$BC$35,0),$C$2:$N$2),1)</f>
        <v>1</v>
      </c>
      <c r="J323" s="113">
        <f>IFERROR(INDEX($BD$7:$BO$35,MATCH(Ajustes!$E$4:$E$323,$BC$7:$BC$35,0),$C$2:$N$2),1)</f>
        <v>1</v>
      </c>
      <c r="K323" s="113">
        <f>IFERROR(INDEX($BD$7:$BO$35,MATCH(Ajustes!$E$4:$E$323,$BC$7:$BC$35,0),$C$2:$N$2),1)</f>
        <v>1</v>
      </c>
      <c r="L323" s="113">
        <f>IFERROR(INDEX($BD$7:$BO$35,MATCH(Ajustes!$E$4:$E$323,$BC$7:$BC$35,0),$C$2:$N$2),1)</f>
        <v>1</v>
      </c>
      <c r="M323" s="113">
        <f>IFERROR(INDEX($BD$7:$BO$35,MATCH(Ajustes!$E$4:$E$323,$BC$7:$BC$35,0),$C$2:$N$2),1)</f>
        <v>1</v>
      </c>
      <c r="N323" s="113">
        <f>IFERROR(INDEX($BD$7:$BO$35,MATCH(Ajustes!$E$4:$E$323,$BC$7:$BC$35,0),$C$2:$N$2),1)</f>
        <v>1</v>
      </c>
      <c r="O323">
        <f>C323*Ajustes!AM323</f>
        <v>-1</v>
      </c>
      <c r="P323">
        <f>D323*Ajustes!AN323</f>
        <v>0</v>
      </c>
      <c r="Q323">
        <f>E323*Ajustes!AO323</f>
        <v>-1</v>
      </c>
      <c r="R323">
        <f>F323*Ajustes!AP323</f>
        <v>-1</v>
      </c>
      <c r="S323">
        <f>G323*Ajustes!AQ323</f>
        <v>-2</v>
      </c>
      <c r="T323">
        <f>H323*Ajustes!AR323</f>
        <v>-2</v>
      </c>
      <c r="U323">
        <f>I323*Ajustes!AS323</f>
        <v>-1</v>
      </c>
      <c r="V323">
        <f>J323*Ajustes!AT323</f>
        <v>-1</v>
      </c>
      <c r="W323">
        <f>K323*Ajustes!AU323</f>
        <v>-1</v>
      </c>
      <c r="X323">
        <f>L323*Ajustes!AV323</f>
        <v>0</v>
      </c>
      <c r="Y323">
        <f>M323*Ajustes!AW323</f>
        <v>-1</v>
      </c>
      <c r="Z323">
        <f>N323*Ajustes!AX323</f>
        <v>-1</v>
      </c>
      <c r="AA323">
        <f>IF(Ajustes!$G323&gt;0,INDEX($AA$4:$AL$323,Ajustes!$G323,O$2),0)+IF(Ajustes!$H323&gt;0,INDEX($AA$4:$AL$323,Ajustes!$H323,O$2),0)+IF(Ajustes!$I323&gt;0,INDEX($AA$4:$AL$323,Ajustes!$I323,O$2),0)+IF(Ajustes!$J323&gt;0,INDEX($AA$4:$AL$323,Ajustes!$J323,O$2),0)+IF(Ajustes!$K323&gt;0,INDEX($AA$5:$AL$324,Ajustes!$K323,O$2),0)+IF(Ajustes!$L323&gt;0,INDEX($AA$4:$AL$323,Ajustes!$L323,O$2),0) + O323</f>
        <v>31</v>
      </c>
      <c r="AB323">
        <f>IF(Ajustes!$G323&gt;0,INDEX($AA$4:$AL$323,Ajustes!$G323,P$2),0)+IF(Ajustes!$H323&gt;0,INDEX($AA$4:$AL$323,Ajustes!$H323,P$2),0)+IF(Ajustes!$I323&gt;0,INDEX($AA$4:$AL$323,Ajustes!$I323,P$2),0)+IF(Ajustes!$J323&gt;0,INDEX($AA$4:$AL$323,Ajustes!$J323,P$2),0)+IF(Ajustes!$K323&gt;0,INDEX($AA$5:$AL$324,Ajustes!$K323,P$2),0)+IF(Ajustes!$L323&gt;0,INDEX($AA$4:$AL$323,Ajustes!$L323,P$2),0) + P323</f>
        <v>31</v>
      </c>
      <c r="AC323">
        <f>IF(Ajustes!$G323&gt;0,INDEX($AA$4:$AL$323,Ajustes!$G323,Q$2),0)+IF(Ajustes!$H323&gt;0,INDEX($AA$4:$AL$323,Ajustes!$H323,Q$2),0)+IF(Ajustes!$I323&gt;0,INDEX($AA$4:$AL$323,Ajustes!$I323,Q$2),0)+IF(Ajustes!$J323&gt;0,INDEX($AA$4:$AL$323,Ajustes!$J323,Q$2),0)+IF(Ajustes!$K323&gt;0,INDEX($AA$5:$AL$324,Ajustes!$K323,Q$2),0)+IF(Ajustes!$L323&gt;0,INDEX($AA$4:$AL$323,Ajustes!$L323,Q$2),0) + Q323</f>
        <v>27</v>
      </c>
      <c r="AD323">
        <f>IF(Ajustes!$G323&gt;0,INDEX($AA$4:$AL$323,Ajustes!$G323,R$2),0)+IF(Ajustes!$H323&gt;0,INDEX($AA$4:$AL$323,Ajustes!$H323,R$2),0)+IF(Ajustes!$I323&gt;0,INDEX($AA$4:$AL$323,Ajustes!$I323,R$2),0)+IF(Ajustes!$J323&gt;0,INDEX($AA$4:$AL$323,Ajustes!$J323,R$2),0)+IF(Ajustes!$K323&gt;0,INDEX($AA$5:$AL$324,Ajustes!$K323,R$2),0)+IF(Ajustes!$L323&gt;0,INDEX($AA$4:$AL$323,Ajustes!$L323,R$2),0) + R323</f>
        <v>19</v>
      </c>
      <c r="AE323">
        <f>IF(Ajustes!$G323&gt;0,INDEX($AA$4:$AL$323,Ajustes!$G323,S$2),0)+IF(Ajustes!$H323&gt;0,INDEX($AA$4:$AL$323,Ajustes!$H323,S$2),0)+IF(Ajustes!$I323&gt;0,INDEX($AA$4:$AL$323,Ajustes!$I323,S$2),0)+IF(Ajustes!$J323&gt;0,INDEX($AA$4:$AL$323,Ajustes!$J323,S$2),0)+IF(Ajustes!$K323&gt;0,INDEX($AA$5:$AL$324,Ajustes!$K323,S$2),0)+IF(Ajustes!$L323&gt;0,INDEX($AA$4:$AL$323,Ajustes!$L323,S$2),0) + S323</f>
        <v>13</v>
      </c>
      <c r="AF323">
        <f>IF(Ajustes!$G323&gt;0,INDEX($AA$4:$AL$323,Ajustes!$G323,T$2),0)+IF(Ajustes!$H323&gt;0,INDEX($AA$4:$AL$323,Ajustes!$H323,T$2),0)+IF(Ajustes!$I323&gt;0,INDEX($AA$4:$AL$323,Ajustes!$I323,T$2),0)+IF(Ajustes!$J323&gt;0,INDEX($AA$4:$AL$323,Ajustes!$J323,T$2),0)+IF(Ajustes!$K323&gt;0,INDEX($AA$5:$AL$324,Ajustes!$K323,T$2),0)+IF(Ajustes!$L323&gt;0,INDEX($AA$4:$AL$323,Ajustes!$L323,T$2),0) + T323</f>
        <v>11</v>
      </c>
      <c r="AG323">
        <f>IF(Ajustes!$G323&gt;0,INDEX($AA$4:$AL$323,Ajustes!$G323,U$2),0)+IF(Ajustes!$H323&gt;0,INDEX($AA$4:$AL$323,Ajustes!$H323,U$2),0)+IF(Ajustes!$I323&gt;0,INDEX($AA$4:$AL$323,Ajustes!$I323,U$2),0)+IF(Ajustes!$J323&gt;0,INDEX($AA$4:$AL$323,Ajustes!$J323,U$2),0)+IF(Ajustes!$K323&gt;0,INDEX($AA$5:$AL$324,Ajustes!$K323,U$2),0)+IF(Ajustes!$L323&gt;0,INDEX($AA$4:$AL$323,Ajustes!$L323,U$2),0) + U323</f>
        <v>10</v>
      </c>
      <c r="AH323">
        <f>IF(Ajustes!$G323&gt;0,INDEX($AA$4:$AL$323,Ajustes!$G323,V$2),0)+IF(Ajustes!$H323&gt;0,INDEX($AA$4:$AL$323,Ajustes!$H323,V$2),0)+IF(Ajustes!$I323&gt;0,INDEX($AA$4:$AL$323,Ajustes!$I323,V$2),0)+IF(Ajustes!$J323&gt;0,INDEX($AA$4:$AL$323,Ajustes!$J323,V$2),0)+IF(Ajustes!$K323&gt;0,INDEX($AA$5:$AL$324,Ajustes!$K323,V$2),0)+IF(Ajustes!$L323&gt;0,INDEX($AA$4:$AL$323,Ajustes!$L323,V$2),0) + V323</f>
        <v>9</v>
      </c>
      <c r="AI323">
        <f>IF(Ajustes!$G323&gt;0,INDEX($AA$4:$AL$323,Ajustes!$G323,W$2),0)+IF(Ajustes!$H323&gt;0,INDEX($AA$4:$AL$323,Ajustes!$H323,W$2),0)+IF(Ajustes!$I323&gt;0,INDEX($AA$4:$AL$323,Ajustes!$I323,W$2),0)+IF(Ajustes!$J323&gt;0,INDEX($AA$4:$AL$323,Ajustes!$J323,W$2),0)+IF(Ajustes!$K323&gt;0,INDEX($AA$5:$AL$324,Ajustes!$K323,W$2),0)+IF(Ajustes!$L323&gt;0,INDEX($AA$4:$AL$323,Ajustes!$L323,W$2),0) + W323</f>
        <v>14</v>
      </c>
      <c r="AJ323">
        <f>IF(Ajustes!$G323&gt;0,INDEX($AA$4:$AL$323,Ajustes!$G323,X$2),0)+IF(Ajustes!$H323&gt;0,INDEX($AA$4:$AL$323,Ajustes!$H323,X$2),0)+IF(Ajustes!$I323&gt;0,INDEX($AA$4:$AL$323,Ajustes!$I323,X$2),0)+IF(Ajustes!$J323&gt;0,INDEX($AA$4:$AL$323,Ajustes!$J323,X$2),0)+IF(Ajustes!$K323&gt;0,INDEX($AA$5:$AL$324,Ajustes!$K323,X$2),0)+IF(Ajustes!$L323&gt;0,INDEX($AA$4:$AL$323,Ajustes!$L323,X$2),0) + X323</f>
        <v>19</v>
      </c>
      <c r="AK323">
        <f>IF(Ajustes!$G323&gt;0,INDEX($AA$4:$AL$323,Ajustes!$G323,Y$2),0)+IF(Ajustes!$H323&gt;0,INDEX($AA$4:$AL$323,Ajustes!$H323,Y$2),0)+IF(Ajustes!$I323&gt;0,INDEX($AA$4:$AL$323,Ajustes!$I323,Y$2),0)+IF(Ajustes!$J323&gt;0,INDEX($AA$4:$AL$323,Ajustes!$J323,Y$2),0)+IF(Ajustes!$K323&gt;0,INDEX($AA$5:$AL$324,Ajustes!$K323,Y$2),0)+IF(Ajustes!$L323&gt;0,INDEX($AA$4:$AL$323,Ajustes!$L323,Y$2),0) + Y323</f>
        <v>18</v>
      </c>
      <c r="AL323">
        <f>IF(Ajustes!$G323&gt;0,INDEX($AA$4:$AL$323,Ajustes!$G323,Z$2),0)+IF(Ajustes!$H323&gt;0,INDEX($AA$4:$AL$323,Ajustes!$H323,Z$2),0)+IF(Ajustes!$I323&gt;0,INDEX($AA$4:$AL$323,Ajustes!$I323,Z$2),0)+IF(Ajustes!$J323&gt;0,INDEX($AA$4:$AL$323,Ajustes!$J323,Z$2),0)+IF(Ajustes!$K323&gt;0,INDEX($AA$5:$AL$324,Ajustes!$K323,Z$2),0)+IF(Ajustes!$L323&gt;0,INDEX($AA$4:$AL$323,Ajustes!$L323,Z$2),0) + Z323</f>
        <v>24</v>
      </c>
      <c r="AM323" s="219">
        <f t="shared" ref="AM323:AX323" si="72">AM122</f>
        <v>33</v>
      </c>
      <c r="AN323" s="219">
        <f t="shared" si="72"/>
        <v>33</v>
      </c>
      <c r="AO323" s="219">
        <f t="shared" si="72"/>
        <v>29</v>
      </c>
      <c r="AP323" s="219">
        <f t="shared" si="72"/>
        <v>21</v>
      </c>
      <c r="AQ323" s="219">
        <f t="shared" si="72"/>
        <v>15</v>
      </c>
      <c r="AR323" s="219">
        <f t="shared" si="72"/>
        <v>14</v>
      </c>
      <c r="AS323" s="219">
        <f t="shared" si="72"/>
        <v>11</v>
      </c>
      <c r="AT323" s="219">
        <f t="shared" si="72"/>
        <v>10</v>
      </c>
      <c r="AU323" s="219">
        <f t="shared" si="72"/>
        <v>15</v>
      </c>
      <c r="AV323" s="219">
        <f t="shared" si="72"/>
        <v>19</v>
      </c>
      <c r="AW323" s="219">
        <f t="shared" si="72"/>
        <v>19</v>
      </c>
      <c r="AX323" s="219">
        <f t="shared" si="72"/>
        <v>26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M396"/>
  <sheetViews>
    <sheetView workbookViewId="0"/>
  </sheetViews>
  <sheetFormatPr defaultRowHeight="15" x14ac:dyDescent="0.25"/>
  <cols>
    <col min="3" max="9" width="10.7109375" bestFit="1" customWidth="1"/>
  </cols>
  <sheetData>
    <row r="1" spans="1:13" x14ac:dyDescent="0.25">
      <c r="A1" t="s">
        <v>699</v>
      </c>
      <c r="B1">
        <v>8</v>
      </c>
      <c r="C1" s="301">
        <f ca="1">YEAR(TODAY())</f>
        <v>2015</v>
      </c>
      <c r="E1" s="300">
        <f ca="1">DATE(C1,B1,1)</f>
        <v>42217</v>
      </c>
    </row>
    <row r="3" spans="1:13" x14ac:dyDescent="0.25">
      <c r="D3" s="300">
        <f ca="1">E1-(WEEKDAY(E1,16)-1)</f>
        <v>42217</v>
      </c>
      <c r="E3" s="300">
        <f ca="1">D4+1</f>
        <v>42224</v>
      </c>
      <c r="F3" s="300">
        <f ca="1">E4+1</f>
        <v>42231</v>
      </c>
      <c r="G3" s="300">
        <f ca="1">F4+1</f>
        <v>42238</v>
      </c>
      <c r="H3" s="300">
        <f ca="1">G4+1</f>
        <v>42245</v>
      </c>
      <c r="I3" s="300">
        <f ca="1">H4+1</f>
        <v>42252</v>
      </c>
    </row>
    <row r="4" spans="1:13" x14ac:dyDescent="0.25">
      <c r="D4" s="300">
        <f t="shared" ref="D4:I4" ca="1" si="0">D3+6</f>
        <v>42223</v>
      </c>
      <c r="E4" s="300">
        <f t="shared" ca="1" si="0"/>
        <v>42230</v>
      </c>
      <c r="F4" s="300">
        <f t="shared" ca="1" si="0"/>
        <v>42237</v>
      </c>
      <c r="G4" s="300">
        <f t="shared" ca="1" si="0"/>
        <v>42244</v>
      </c>
      <c r="H4" s="300">
        <f t="shared" ca="1" si="0"/>
        <v>42251</v>
      </c>
      <c r="I4" s="300">
        <f t="shared" ca="1" si="0"/>
        <v>42258</v>
      </c>
    </row>
    <row r="5" spans="1:13" x14ac:dyDescent="0.25">
      <c r="C5" t="s">
        <v>700</v>
      </c>
      <c r="D5" s="113">
        <f t="shared" ref="D5:I5" ca="1" si="1">IF(MONTH(D4)=MONTH($E$1),MIN(7,DAY(D4)),MAX(7-DAY(D4),0))</f>
        <v>7</v>
      </c>
      <c r="E5" s="113">
        <f t="shared" ca="1" si="1"/>
        <v>7</v>
      </c>
      <c r="F5" s="113">
        <f t="shared" ca="1" si="1"/>
        <v>7</v>
      </c>
      <c r="G5" s="113">
        <f t="shared" ca="1" si="1"/>
        <v>7</v>
      </c>
      <c r="H5" s="113">
        <f t="shared" ca="1" si="1"/>
        <v>3</v>
      </c>
      <c r="I5" s="113">
        <f t="shared" ca="1" si="1"/>
        <v>0</v>
      </c>
      <c r="K5">
        <f ca="1">SUM(D5:I5)</f>
        <v>31</v>
      </c>
    </row>
    <row r="6" spans="1:13" x14ac:dyDescent="0.25">
      <c r="L6" t="s">
        <v>38</v>
      </c>
      <c r="M6" t="s">
        <v>701</v>
      </c>
    </row>
    <row r="7" spans="1:13" x14ac:dyDescent="0.25">
      <c r="B7">
        <v>1</v>
      </c>
      <c r="C7">
        <v>1</v>
      </c>
      <c r="D7">
        <v>25</v>
      </c>
      <c r="E7">
        <v>23</v>
      </c>
      <c r="F7">
        <v>22</v>
      </c>
      <c r="G7">
        <v>22</v>
      </c>
      <c r="H7">
        <v>28</v>
      </c>
      <c r="I7">
        <v>28</v>
      </c>
      <c r="L7">
        <f>C7</f>
        <v>1</v>
      </c>
      <c r="M7">
        <f ca="1">ROUND(SUMPRODUCT(D7:I7,$D$5:$I$5)/SUM($D$5:$I$5),0)</f>
        <v>23</v>
      </c>
    </row>
    <row r="8" spans="1:13" x14ac:dyDescent="0.25">
      <c r="B8">
        <v>2</v>
      </c>
      <c r="C8">
        <v>2</v>
      </c>
      <c r="D8">
        <v>25</v>
      </c>
      <c r="E8">
        <v>23</v>
      </c>
      <c r="F8">
        <v>22</v>
      </c>
      <c r="G8">
        <v>22</v>
      </c>
      <c r="H8">
        <v>28</v>
      </c>
      <c r="I8">
        <v>28</v>
      </c>
      <c r="L8" s="113">
        <f t="shared" ref="L8:L11" si="2">C8</f>
        <v>2</v>
      </c>
      <c r="M8" s="113">
        <f t="shared" ref="M8:M71" ca="1" si="3">ROUND(SUMPRODUCT(D8:I8,$D$5:$I$5)/SUM($D$5:$I$5),0)</f>
        <v>23</v>
      </c>
    </row>
    <row r="9" spans="1:13" x14ac:dyDescent="0.25">
      <c r="B9">
        <v>3</v>
      </c>
      <c r="C9">
        <v>6</v>
      </c>
      <c r="D9">
        <v>211</v>
      </c>
      <c r="E9">
        <v>181</v>
      </c>
      <c r="F9">
        <v>168</v>
      </c>
      <c r="G9">
        <v>163</v>
      </c>
      <c r="H9">
        <v>186</v>
      </c>
      <c r="I9">
        <v>192</v>
      </c>
      <c r="L9" s="113">
        <f t="shared" si="2"/>
        <v>6</v>
      </c>
      <c r="M9" s="113">
        <f t="shared" ca="1" si="3"/>
        <v>181</v>
      </c>
    </row>
    <row r="10" spans="1:13" x14ac:dyDescent="0.25">
      <c r="B10">
        <v>4</v>
      </c>
      <c r="C10">
        <v>7</v>
      </c>
      <c r="D10">
        <v>233</v>
      </c>
      <c r="E10">
        <v>196</v>
      </c>
      <c r="F10">
        <v>181</v>
      </c>
      <c r="G10">
        <v>173</v>
      </c>
      <c r="H10">
        <v>220</v>
      </c>
      <c r="I10">
        <v>226</v>
      </c>
      <c r="L10" s="113">
        <f t="shared" si="2"/>
        <v>7</v>
      </c>
      <c r="M10" s="113">
        <f t="shared" ca="1" si="3"/>
        <v>198</v>
      </c>
    </row>
    <row r="11" spans="1:13" x14ac:dyDescent="0.25">
      <c r="B11">
        <v>5</v>
      </c>
      <c r="C11">
        <v>8</v>
      </c>
      <c r="D11">
        <v>239</v>
      </c>
      <c r="E11">
        <v>200</v>
      </c>
      <c r="F11">
        <v>184</v>
      </c>
      <c r="G11">
        <v>175</v>
      </c>
      <c r="H11">
        <v>227</v>
      </c>
      <c r="I11">
        <v>234</v>
      </c>
      <c r="L11" s="113">
        <f t="shared" si="2"/>
        <v>8</v>
      </c>
      <c r="M11" s="113">
        <f t="shared" ca="1" si="3"/>
        <v>202</v>
      </c>
    </row>
    <row r="12" spans="1:13" x14ac:dyDescent="0.25">
      <c r="B12">
        <v>6</v>
      </c>
      <c r="C12">
        <v>9</v>
      </c>
      <c r="D12">
        <v>242</v>
      </c>
      <c r="E12">
        <v>202</v>
      </c>
      <c r="F12">
        <v>185</v>
      </c>
      <c r="G12">
        <v>176</v>
      </c>
      <c r="H12">
        <v>230</v>
      </c>
      <c r="I12">
        <v>237</v>
      </c>
      <c r="L12" s="113">
        <f t="shared" ref="L12:L75" si="4">C12</f>
        <v>9</v>
      </c>
      <c r="M12" s="113">
        <f t="shared" ca="1" si="3"/>
        <v>204</v>
      </c>
    </row>
    <row r="13" spans="1:13" x14ac:dyDescent="0.25">
      <c r="B13">
        <v>7</v>
      </c>
      <c r="C13">
        <v>10</v>
      </c>
      <c r="D13">
        <v>249</v>
      </c>
      <c r="E13">
        <v>207</v>
      </c>
      <c r="F13">
        <v>189</v>
      </c>
      <c r="G13">
        <v>179</v>
      </c>
      <c r="H13">
        <v>239</v>
      </c>
      <c r="I13">
        <v>246</v>
      </c>
      <c r="L13" s="113">
        <f t="shared" si="4"/>
        <v>10</v>
      </c>
      <c r="M13" s="113">
        <f t="shared" ca="1" si="3"/>
        <v>209</v>
      </c>
    </row>
    <row r="14" spans="1:13" x14ac:dyDescent="0.25">
      <c r="B14">
        <v>8</v>
      </c>
      <c r="C14">
        <v>11</v>
      </c>
      <c r="D14">
        <v>262</v>
      </c>
      <c r="E14">
        <v>217</v>
      </c>
      <c r="F14">
        <v>197</v>
      </c>
      <c r="G14">
        <v>185</v>
      </c>
      <c r="H14">
        <v>258</v>
      </c>
      <c r="I14">
        <v>265</v>
      </c>
      <c r="L14" s="113">
        <f t="shared" si="4"/>
        <v>11</v>
      </c>
      <c r="M14" s="113">
        <f t="shared" ca="1" si="3"/>
        <v>219</v>
      </c>
    </row>
    <row r="15" spans="1:13" x14ac:dyDescent="0.25">
      <c r="B15">
        <v>9</v>
      </c>
      <c r="C15">
        <v>12</v>
      </c>
      <c r="D15">
        <v>308</v>
      </c>
      <c r="E15">
        <v>257</v>
      </c>
      <c r="F15">
        <v>234</v>
      </c>
      <c r="G15">
        <v>218</v>
      </c>
      <c r="H15">
        <v>297</v>
      </c>
      <c r="I15">
        <v>305</v>
      </c>
      <c r="L15" s="113">
        <f t="shared" si="4"/>
        <v>12</v>
      </c>
      <c r="M15" s="113">
        <f t="shared" ca="1" si="3"/>
        <v>258</v>
      </c>
    </row>
    <row r="16" spans="1:13" x14ac:dyDescent="0.25">
      <c r="B16">
        <v>10</v>
      </c>
      <c r="C16">
        <v>14</v>
      </c>
      <c r="D16">
        <v>15</v>
      </c>
      <c r="E16">
        <v>14</v>
      </c>
      <c r="F16">
        <v>12</v>
      </c>
      <c r="G16">
        <v>12</v>
      </c>
      <c r="H16">
        <v>13</v>
      </c>
      <c r="I16">
        <v>14</v>
      </c>
      <c r="L16" s="113">
        <f t="shared" si="4"/>
        <v>14</v>
      </c>
      <c r="M16" s="113">
        <f t="shared" ca="1" si="3"/>
        <v>13</v>
      </c>
    </row>
    <row r="17" spans="2:13" x14ac:dyDescent="0.25">
      <c r="B17">
        <v>11</v>
      </c>
      <c r="C17">
        <v>15</v>
      </c>
      <c r="D17">
        <v>24</v>
      </c>
      <c r="E17">
        <v>23</v>
      </c>
      <c r="F17">
        <v>20</v>
      </c>
      <c r="G17">
        <v>20</v>
      </c>
      <c r="H17">
        <v>22</v>
      </c>
      <c r="I17">
        <v>24</v>
      </c>
      <c r="L17" s="113">
        <f t="shared" si="4"/>
        <v>15</v>
      </c>
      <c r="M17" s="113">
        <f t="shared" ca="1" si="3"/>
        <v>22</v>
      </c>
    </row>
    <row r="18" spans="2:13" x14ac:dyDescent="0.25">
      <c r="B18">
        <v>12</v>
      </c>
      <c r="C18">
        <v>16</v>
      </c>
      <c r="D18">
        <v>25</v>
      </c>
      <c r="E18">
        <v>23</v>
      </c>
      <c r="F18">
        <v>21</v>
      </c>
      <c r="G18">
        <v>20</v>
      </c>
      <c r="H18">
        <v>22</v>
      </c>
      <c r="I18">
        <v>25</v>
      </c>
      <c r="L18" s="113">
        <f t="shared" si="4"/>
        <v>16</v>
      </c>
      <c r="M18" s="113">
        <f t="shared" ca="1" si="3"/>
        <v>22</v>
      </c>
    </row>
    <row r="19" spans="2:13" x14ac:dyDescent="0.25">
      <c r="B19">
        <v>13</v>
      </c>
      <c r="C19">
        <v>17</v>
      </c>
      <c r="D19">
        <v>529</v>
      </c>
      <c r="E19">
        <v>449</v>
      </c>
      <c r="F19">
        <v>417</v>
      </c>
      <c r="G19">
        <v>393</v>
      </c>
      <c r="H19">
        <v>416</v>
      </c>
      <c r="I19">
        <v>442</v>
      </c>
      <c r="L19" s="113">
        <f t="shared" si="4"/>
        <v>17</v>
      </c>
      <c r="M19" s="113">
        <f t="shared" ca="1" si="3"/>
        <v>444</v>
      </c>
    </row>
    <row r="20" spans="2:13" x14ac:dyDescent="0.25">
      <c r="B20">
        <v>14</v>
      </c>
      <c r="C20">
        <v>18</v>
      </c>
      <c r="D20">
        <v>644</v>
      </c>
      <c r="E20">
        <v>554</v>
      </c>
      <c r="F20">
        <v>513</v>
      </c>
      <c r="G20">
        <v>482</v>
      </c>
      <c r="H20">
        <v>492</v>
      </c>
      <c r="I20">
        <v>519</v>
      </c>
      <c r="L20" s="113">
        <f t="shared" si="4"/>
        <v>18</v>
      </c>
      <c r="M20" s="113">
        <f t="shared" ca="1" si="3"/>
        <v>543</v>
      </c>
    </row>
    <row r="21" spans="2:13" x14ac:dyDescent="0.25">
      <c r="B21">
        <v>15</v>
      </c>
      <c r="C21">
        <v>22</v>
      </c>
      <c r="D21">
        <v>35</v>
      </c>
      <c r="E21">
        <v>29</v>
      </c>
      <c r="F21">
        <v>27</v>
      </c>
      <c r="G21">
        <v>30</v>
      </c>
      <c r="H21">
        <v>29</v>
      </c>
      <c r="I21">
        <v>30</v>
      </c>
      <c r="L21" s="113">
        <f t="shared" si="4"/>
        <v>22</v>
      </c>
      <c r="M21" s="113">
        <f t="shared" ca="1" si="3"/>
        <v>30</v>
      </c>
    </row>
    <row r="22" spans="2:13" x14ac:dyDescent="0.25">
      <c r="B22">
        <v>16</v>
      </c>
      <c r="C22">
        <v>23</v>
      </c>
      <c r="D22">
        <v>54</v>
      </c>
      <c r="E22">
        <v>51</v>
      </c>
      <c r="F22">
        <v>44</v>
      </c>
      <c r="G22">
        <v>42</v>
      </c>
      <c r="H22">
        <v>41</v>
      </c>
      <c r="I22">
        <v>42</v>
      </c>
      <c r="L22" s="113">
        <f t="shared" si="4"/>
        <v>23</v>
      </c>
      <c r="M22" s="113">
        <f t="shared" ca="1" si="3"/>
        <v>47</v>
      </c>
    </row>
    <row r="23" spans="2:13" x14ac:dyDescent="0.25">
      <c r="B23">
        <v>17</v>
      </c>
      <c r="C23">
        <v>24</v>
      </c>
      <c r="D23">
        <v>157</v>
      </c>
      <c r="E23">
        <v>140</v>
      </c>
      <c r="F23">
        <v>131</v>
      </c>
      <c r="G23">
        <v>126</v>
      </c>
      <c r="H23">
        <v>127</v>
      </c>
      <c r="I23">
        <v>131</v>
      </c>
      <c r="L23" s="113">
        <f t="shared" si="4"/>
        <v>24</v>
      </c>
      <c r="M23" s="113">
        <f t="shared" ca="1" si="3"/>
        <v>137</v>
      </c>
    </row>
    <row r="24" spans="2:13" x14ac:dyDescent="0.25">
      <c r="B24">
        <v>18</v>
      </c>
      <c r="C24">
        <v>25</v>
      </c>
      <c r="D24">
        <v>103</v>
      </c>
      <c r="E24">
        <v>98</v>
      </c>
      <c r="F24">
        <v>92</v>
      </c>
      <c r="G24">
        <v>88</v>
      </c>
      <c r="H24">
        <v>87</v>
      </c>
      <c r="I24">
        <v>86</v>
      </c>
      <c r="L24" s="113">
        <f t="shared" si="4"/>
        <v>25</v>
      </c>
      <c r="M24" s="113">
        <f t="shared" ca="1" si="3"/>
        <v>94</v>
      </c>
    </row>
    <row r="25" spans="2:13" x14ac:dyDescent="0.25">
      <c r="B25">
        <v>19</v>
      </c>
      <c r="C25">
        <v>28</v>
      </c>
      <c r="D25">
        <v>111</v>
      </c>
      <c r="E25">
        <v>105</v>
      </c>
      <c r="F25">
        <v>98</v>
      </c>
      <c r="G25">
        <v>92</v>
      </c>
      <c r="H25">
        <v>98</v>
      </c>
      <c r="I25">
        <v>98</v>
      </c>
      <c r="L25" s="113">
        <f t="shared" si="4"/>
        <v>28</v>
      </c>
      <c r="M25" s="113">
        <f t="shared" ca="1" si="3"/>
        <v>101</v>
      </c>
    </row>
    <row r="26" spans="2:13" x14ac:dyDescent="0.25">
      <c r="B26">
        <v>20</v>
      </c>
      <c r="C26">
        <v>31</v>
      </c>
      <c r="D26">
        <v>531</v>
      </c>
      <c r="E26">
        <v>487</v>
      </c>
      <c r="F26">
        <v>447</v>
      </c>
      <c r="G26">
        <v>415</v>
      </c>
      <c r="H26">
        <v>434</v>
      </c>
      <c r="I26">
        <v>450</v>
      </c>
      <c r="L26" s="113">
        <f t="shared" si="4"/>
        <v>31</v>
      </c>
      <c r="M26" s="113">
        <f t="shared" ca="1" si="3"/>
        <v>467</v>
      </c>
    </row>
    <row r="27" spans="2:13" x14ac:dyDescent="0.25">
      <c r="B27">
        <v>21</v>
      </c>
      <c r="C27">
        <v>32</v>
      </c>
      <c r="D27">
        <v>574</v>
      </c>
      <c r="E27">
        <v>527</v>
      </c>
      <c r="F27">
        <v>485</v>
      </c>
      <c r="G27">
        <v>454</v>
      </c>
      <c r="H27">
        <v>458</v>
      </c>
      <c r="I27">
        <v>475</v>
      </c>
      <c r="L27" s="113">
        <f t="shared" si="4"/>
        <v>32</v>
      </c>
      <c r="M27" s="113">
        <f t="shared" ca="1" si="3"/>
        <v>505</v>
      </c>
    </row>
    <row r="28" spans="2:13" x14ac:dyDescent="0.25">
      <c r="B28">
        <v>22</v>
      </c>
      <c r="C28">
        <v>33</v>
      </c>
      <c r="D28">
        <v>975</v>
      </c>
      <c r="E28">
        <v>896</v>
      </c>
      <c r="F28">
        <v>837</v>
      </c>
      <c r="G28">
        <v>831</v>
      </c>
      <c r="H28">
        <v>837</v>
      </c>
      <c r="I28">
        <v>846</v>
      </c>
      <c r="L28" s="113">
        <f t="shared" si="4"/>
        <v>33</v>
      </c>
      <c r="M28" s="113">
        <f t="shared" ca="1" si="3"/>
        <v>880</v>
      </c>
    </row>
    <row r="29" spans="2:13" x14ac:dyDescent="0.25">
      <c r="B29">
        <v>23</v>
      </c>
      <c r="C29">
        <v>34</v>
      </c>
      <c r="D29">
        <v>2109</v>
      </c>
      <c r="E29">
        <v>1902</v>
      </c>
      <c r="F29">
        <v>1783</v>
      </c>
      <c r="G29">
        <v>1758</v>
      </c>
      <c r="H29">
        <v>1754</v>
      </c>
      <c r="I29">
        <v>1728</v>
      </c>
      <c r="L29" s="113">
        <f t="shared" si="4"/>
        <v>34</v>
      </c>
      <c r="M29" s="113">
        <f t="shared" ca="1" si="3"/>
        <v>1875</v>
      </c>
    </row>
    <row r="30" spans="2:13" x14ac:dyDescent="0.25">
      <c r="B30">
        <v>24</v>
      </c>
      <c r="C30">
        <v>47</v>
      </c>
      <c r="D30">
        <v>132</v>
      </c>
      <c r="E30">
        <v>113</v>
      </c>
      <c r="F30">
        <v>101</v>
      </c>
      <c r="G30">
        <v>100</v>
      </c>
      <c r="H30">
        <v>109</v>
      </c>
      <c r="I30">
        <v>110</v>
      </c>
      <c r="L30" s="113">
        <f t="shared" si="4"/>
        <v>47</v>
      </c>
      <c r="M30" s="113">
        <f t="shared" ca="1" si="3"/>
        <v>111</v>
      </c>
    </row>
    <row r="31" spans="2:13" x14ac:dyDescent="0.25">
      <c r="B31">
        <v>25</v>
      </c>
      <c r="C31">
        <v>48</v>
      </c>
      <c r="D31">
        <v>136</v>
      </c>
      <c r="E31">
        <v>117</v>
      </c>
      <c r="F31">
        <v>104</v>
      </c>
      <c r="G31">
        <v>103</v>
      </c>
      <c r="H31">
        <v>111</v>
      </c>
      <c r="I31">
        <v>113</v>
      </c>
      <c r="L31" s="113">
        <f t="shared" si="4"/>
        <v>48</v>
      </c>
      <c r="M31" s="113">
        <f t="shared" ca="1" si="3"/>
        <v>115</v>
      </c>
    </row>
    <row r="32" spans="2:13" x14ac:dyDescent="0.25">
      <c r="B32">
        <v>26</v>
      </c>
      <c r="C32">
        <v>49</v>
      </c>
      <c r="D32">
        <v>223</v>
      </c>
      <c r="E32">
        <v>189</v>
      </c>
      <c r="F32">
        <v>169</v>
      </c>
      <c r="G32">
        <v>169</v>
      </c>
      <c r="H32">
        <v>167</v>
      </c>
      <c r="I32">
        <v>169</v>
      </c>
      <c r="L32" s="113">
        <f t="shared" si="4"/>
        <v>49</v>
      </c>
      <c r="M32" s="113">
        <f t="shared" ca="1" si="3"/>
        <v>186</v>
      </c>
    </row>
    <row r="33" spans="2:13" x14ac:dyDescent="0.25">
      <c r="B33">
        <v>27</v>
      </c>
      <c r="C33">
        <v>50</v>
      </c>
      <c r="D33">
        <v>304</v>
      </c>
      <c r="E33">
        <v>263</v>
      </c>
      <c r="F33">
        <v>237</v>
      </c>
      <c r="G33">
        <v>236</v>
      </c>
      <c r="H33">
        <v>231</v>
      </c>
      <c r="I33">
        <v>234</v>
      </c>
      <c r="L33" s="113">
        <f t="shared" si="4"/>
        <v>50</v>
      </c>
      <c r="M33" s="113">
        <f t="shared" ca="1" si="3"/>
        <v>257</v>
      </c>
    </row>
    <row r="34" spans="2:13" x14ac:dyDescent="0.25">
      <c r="B34">
        <v>28</v>
      </c>
      <c r="C34">
        <v>51</v>
      </c>
      <c r="D34">
        <v>311</v>
      </c>
      <c r="E34">
        <v>269</v>
      </c>
      <c r="F34">
        <v>242</v>
      </c>
      <c r="G34">
        <v>241</v>
      </c>
      <c r="H34">
        <v>236</v>
      </c>
      <c r="I34">
        <v>238</v>
      </c>
      <c r="L34" s="113">
        <f t="shared" si="4"/>
        <v>51</v>
      </c>
      <c r="M34" s="113">
        <f t="shared" ca="1" si="3"/>
        <v>263</v>
      </c>
    </row>
    <row r="35" spans="2:13" x14ac:dyDescent="0.25">
      <c r="B35">
        <v>29</v>
      </c>
      <c r="C35">
        <v>52</v>
      </c>
      <c r="D35">
        <v>326</v>
      </c>
      <c r="E35">
        <v>282</v>
      </c>
      <c r="F35">
        <v>253</v>
      </c>
      <c r="G35">
        <v>252</v>
      </c>
      <c r="H35">
        <v>245</v>
      </c>
      <c r="I35">
        <v>248</v>
      </c>
      <c r="L35" s="113">
        <f t="shared" si="4"/>
        <v>52</v>
      </c>
      <c r="M35" s="113">
        <f t="shared" ca="1" si="3"/>
        <v>275</v>
      </c>
    </row>
    <row r="36" spans="2:13" x14ac:dyDescent="0.25">
      <c r="B36">
        <v>30</v>
      </c>
      <c r="C36">
        <v>57</v>
      </c>
      <c r="D36">
        <v>651</v>
      </c>
      <c r="E36">
        <v>376</v>
      </c>
      <c r="F36">
        <v>247</v>
      </c>
      <c r="G36">
        <v>201</v>
      </c>
      <c r="H36">
        <v>191</v>
      </c>
      <c r="I36">
        <v>225</v>
      </c>
      <c r="L36" s="113">
        <f t="shared" si="4"/>
        <v>57</v>
      </c>
      <c r="M36" s="113">
        <f t="shared" ca="1" si="3"/>
        <v>352</v>
      </c>
    </row>
    <row r="37" spans="2:13" x14ac:dyDescent="0.25">
      <c r="B37">
        <v>31</v>
      </c>
      <c r="C37">
        <v>61</v>
      </c>
      <c r="D37">
        <v>1359</v>
      </c>
      <c r="E37">
        <v>973</v>
      </c>
      <c r="F37">
        <v>768</v>
      </c>
      <c r="G37">
        <v>721</v>
      </c>
      <c r="H37">
        <v>779</v>
      </c>
      <c r="I37">
        <v>775</v>
      </c>
      <c r="L37" s="113">
        <f t="shared" si="4"/>
        <v>61</v>
      </c>
      <c r="M37" s="113">
        <f t="shared" ca="1" si="3"/>
        <v>938</v>
      </c>
    </row>
    <row r="38" spans="2:13" x14ac:dyDescent="0.25">
      <c r="B38">
        <v>32</v>
      </c>
      <c r="C38">
        <v>62</v>
      </c>
      <c r="D38">
        <v>1422</v>
      </c>
      <c r="E38">
        <v>1016</v>
      </c>
      <c r="F38">
        <v>797</v>
      </c>
      <c r="G38">
        <v>746</v>
      </c>
      <c r="H38">
        <v>822</v>
      </c>
      <c r="I38">
        <v>818</v>
      </c>
      <c r="L38" s="113">
        <f t="shared" si="4"/>
        <v>62</v>
      </c>
      <c r="M38" s="113">
        <f t="shared" ca="1" si="3"/>
        <v>978</v>
      </c>
    </row>
    <row r="39" spans="2:13" x14ac:dyDescent="0.25">
      <c r="B39">
        <v>33</v>
      </c>
      <c r="C39">
        <v>63</v>
      </c>
      <c r="D39">
        <v>1610</v>
      </c>
      <c r="E39">
        <v>1163</v>
      </c>
      <c r="F39">
        <v>918</v>
      </c>
      <c r="G39">
        <v>860</v>
      </c>
      <c r="H39">
        <v>930</v>
      </c>
      <c r="I39">
        <v>909</v>
      </c>
      <c r="L39" s="113">
        <f t="shared" si="4"/>
        <v>63</v>
      </c>
      <c r="M39" s="113">
        <f t="shared" ca="1" si="3"/>
        <v>1118</v>
      </c>
    </row>
    <row r="40" spans="2:13" x14ac:dyDescent="0.25">
      <c r="B40">
        <v>34</v>
      </c>
      <c r="C40">
        <v>71</v>
      </c>
      <c r="D40">
        <v>136</v>
      </c>
      <c r="E40">
        <v>96</v>
      </c>
      <c r="F40">
        <v>73</v>
      </c>
      <c r="G40">
        <v>82</v>
      </c>
      <c r="H40">
        <v>91</v>
      </c>
      <c r="I40">
        <v>100</v>
      </c>
      <c r="L40" s="113">
        <f t="shared" si="4"/>
        <v>71</v>
      </c>
      <c r="M40" s="113">
        <f t="shared" ca="1" si="3"/>
        <v>96</v>
      </c>
    </row>
    <row r="41" spans="2:13" x14ac:dyDescent="0.25">
      <c r="B41">
        <v>35</v>
      </c>
      <c r="C41">
        <v>72</v>
      </c>
      <c r="D41">
        <v>142</v>
      </c>
      <c r="E41">
        <v>100</v>
      </c>
      <c r="F41">
        <v>77</v>
      </c>
      <c r="G41">
        <v>86</v>
      </c>
      <c r="H41">
        <v>96</v>
      </c>
      <c r="I41">
        <v>104</v>
      </c>
      <c r="L41" s="113">
        <f t="shared" si="4"/>
        <v>72</v>
      </c>
      <c r="M41" s="113">
        <f t="shared" ca="1" si="3"/>
        <v>101</v>
      </c>
    </row>
    <row r="42" spans="2:13" x14ac:dyDescent="0.25">
      <c r="B42">
        <v>36</v>
      </c>
      <c r="C42">
        <v>73</v>
      </c>
      <c r="D42">
        <v>165</v>
      </c>
      <c r="E42">
        <v>115</v>
      </c>
      <c r="F42">
        <v>91</v>
      </c>
      <c r="G42">
        <v>98</v>
      </c>
      <c r="H42">
        <v>110</v>
      </c>
      <c r="I42">
        <v>112</v>
      </c>
      <c r="L42" s="113">
        <f t="shared" si="4"/>
        <v>73</v>
      </c>
      <c r="M42" s="113">
        <f t="shared" ca="1" si="3"/>
        <v>117</v>
      </c>
    </row>
    <row r="43" spans="2:13" x14ac:dyDescent="0.25">
      <c r="B43">
        <v>37</v>
      </c>
      <c r="C43">
        <v>74</v>
      </c>
      <c r="D43">
        <v>1176</v>
      </c>
      <c r="E43">
        <v>488</v>
      </c>
      <c r="F43">
        <v>352</v>
      </c>
      <c r="G43">
        <v>422</v>
      </c>
      <c r="H43">
        <v>463</v>
      </c>
      <c r="I43">
        <v>544</v>
      </c>
      <c r="L43" s="113">
        <f t="shared" si="4"/>
        <v>74</v>
      </c>
      <c r="M43" s="113">
        <f t="shared" ca="1" si="3"/>
        <v>595</v>
      </c>
    </row>
    <row r="44" spans="2:13" x14ac:dyDescent="0.25">
      <c r="B44">
        <v>38</v>
      </c>
      <c r="C44">
        <v>76</v>
      </c>
      <c r="D44">
        <v>1358</v>
      </c>
      <c r="E44">
        <v>593</v>
      </c>
      <c r="F44">
        <v>435</v>
      </c>
      <c r="G44">
        <v>528</v>
      </c>
      <c r="H44">
        <v>534</v>
      </c>
      <c r="I44">
        <v>627</v>
      </c>
      <c r="L44" s="113">
        <f t="shared" si="4"/>
        <v>76</v>
      </c>
      <c r="M44" s="113">
        <f t="shared" ca="1" si="3"/>
        <v>710</v>
      </c>
    </row>
    <row r="45" spans="2:13" x14ac:dyDescent="0.25">
      <c r="B45">
        <v>39</v>
      </c>
      <c r="C45">
        <v>77</v>
      </c>
      <c r="D45">
        <v>1757</v>
      </c>
      <c r="E45">
        <v>864</v>
      </c>
      <c r="F45">
        <v>610</v>
      </c>
      <c r="G45">
        <v>709</v>
      </c>
      <c r="H45">
        <v>762</v>
      </c>
      <c r="I45">
        <v>974</v>
      </c>
      <c r="L45" s="113">
        <f t="shared" si="4"/>
        <v>77</v>
      </c>
      <c r="M45" s="113">
        <f t="shared" ca="1" si="3"/>
        <v>963</v>
      </c>
    </row>
    <row r="46" spans="2:13" x14ac:dyDescent="0.25">
      <c r="B46">
        <v>40</v>
      </c>
      <c r="C46">
        <v>78</v>
      </c>
      <c r="D46">
        <v>1887</v>
      </c>
      <c r="E46">
        <v>949</v>
      </c>
      <c r="F46">
        <v>648</v>
      </c>
      <c r="G46">
        <v>740</v>
      </c>
      <c r="H46">
        <v>792</v>
      </c>
      <c r="I46">
        <v>1013</v>
      </c>
      <c r="L46" s="113">
        <f t="shared" si="4"/>
        <v>78</v>
      </c>
      <c r="M46" s="113">
        <f t="shared" ca="1" si="3"/>
        <v>1030</v>
      </c>
    </row>
    <row r="47" spans="2:13" x14ac:dyDescent="0.25">
      <c r="B47">
        <v>41</v>
      </c>
      <c r="C47">
        <v>89</v>
      </c>
      <c r="D47">
        <v>504</v>
      </c>
      <c r="E47">
        <v>196</v>
      </c>
      <c r="F47">
        <v>141</v>
      </c>
      <c r="G47">
        <v>216</v>
      </c>
      <c r="H47">
        <v>269</v>
      </c>
      <c r="I47">
        <v>235</v>
      </c>
      <c r="L47" s="113">
        <f t="shared" si="4"/>
        <v>89</v>
      </c>
      <c r="M47" s="113">
        <f t="shared" ca="1" si="3"/>
        <v>265</v>
      </c>
    </row>
    <row r="48" spans="2:13" x14ac:dyDescent="0.25">
      <c r="B48">
        <v>42</v>
      </c>
      <c r="C48">
        <v>92</v>
      </c>
      <c r="D48">
        <v>1190</v>
      </c>
      <c r="E48">
        <v>695</v>
      </c>
      <c r="F48">
        <v>487</v>
      </c>
      <c r="G48">
        <v>654</v>
      </c>
      <c r="H48">
        <v>860</v>
      </c>
      <c r="I48">
        <v>1073</v>
      </c>
      <c r="L48" s="113">
        <f t="shared" si="4"/>
        <v>92</v>
      </c>
      <c r="M48" s="113">
        <f t="shared" ca="1" si="3"/>
        <v>767</v>
      </c>
    </row>
    <row r="49" spans="2:13" x14ac:dyDescent="0.25">
      <c r="B49">
        <v>43</v>
      </c>
      <c r="C49">
        <v>93</v>
      </c>
      <c r="D49">
        <v>77</v>
      </c>
      <c r="E49">
        <v>48</v>
      </c>
      <c r="F49">
        <v>32</v>
      </c>
      <c r="G49">
        <v>46</v>
      </c>
      <c r="H49">
        <v>43</v>
      </c>
      <c r="I49">
        <v>47</v>
      </c>
      <c r="L49" s="113">
        <f t="shared" si="4"/>
        <v>93</v>
      </c>
      <c r="M49" s="113">
        <f t="shared" ca="1" si="3"/>
        <v>50</v>
      </c>
    </row>
    <row r="50" spans="2:13" x14ac:dyDescent="0.25">
      <c r="B50">
        <v>44</v>
      </c>
      <c r="C50">
        <v>94</v>
      </c>
      <c r="D50">
        <v>1578</v>
      </c>
      <c r="E50">
        <v>951</v>
      </c>
      <c r="F50">
        <v>690</v>
      </c>
      <c r="G50">
        <v>814</v>
      </c>
      <c r="H50">
        <v>1017</v>
      </c>
      <c r="I50">
        <v>1280</v>
      </c>
      <c r="L50" s="113">
        <f t="shared" si="4"/>
        <v>94</v>
      </c>
      <c r="M50" s="113">
        <f t="shared" ca="1" si="3"/>
        <v>1009</v>
      </c>
    </row>
    <row r="51" spans="2:13" x14ac:dyDescent="0.25">
      <c r="B51">
        <v>45</v>
      </c>
      <c r="C51">
        <v>97</v>
      </c>
      <c r="D51">
        <v>222</v>
      </c>
      <c r="E51">
        <v>141</v>
      </c>
      <c r="F51">
        <v>101</v>
      </c>
      <c r="G51">
        <v>173</v>
      </c>
      <c r="H51">
        <v>233</v>
      </c>
      <c r="I51">
        <v>254</v>
      </c>
      <c r="L51" s="113">
        <f t="shared" si="4"/>
        <v>97</v>
      </c>
      <c r="M51" s="113">
        <f t="shared" ca="1" si="3"/>
        <v>166</v>
      </c>
    </row>
    <row r="52" spans="2:13" x14ac:dyDescent="0.25">
      <c r="B52">
        <v>46</v>
      </c>
      <c r="C52">
        <v>98</v>
      </c>
      <c r="D52">
        <v>119</v>
      </c>
      <c r="E52">
        <v>79</v>
      </c>
      <c r="F52">
        <v>52</v>
      </c>
      <c r="G52">
        <v>88</v>
      </c>
      <c r="H52">
        <v>121</v>
      </c>
      <c r="I52">
        <v>132</v>
      </c>
      <c r="L52" s="113">
        <f t="shared" si="4"/>
        <v>98</v>
      </c>
      <c r="M52" s="113">
        <f t="shared" ca="1" si="3"/>
        <v>88</v>
      </c>
    </row>
    <row r="53" spans="2:13" x14ac:dyDescent="0.25">
      <c r="B53">
        <v>47</v>
      </c>
      <c r="C53">
        <v>99</v>
      </c>
      <c r="D53">
        <v>59</v>
      </c>
      <c r="E53">
        <v>58</v>
      </c>
      <c r="F53">
        <v>55</v>
      </c>
      <c r="G53">
        <v>55</v>
      </c>
      <c r="H53">
        <v>55</v>
      </c>
      <c r="I53">
        <v>55</v>
      </c>
      <c r="L53" s="113">
        <f t="shared" si="4"/>
        <v>99</v>
      </c>
      <c r="M53" s="113">
        <f t="shared" ca="1" si="3"/>
        <v>57</v>
      </c>
    </row>
    <row r="54" spans="2:13" x14ac:dyDescent="0.25">
      <c r="B54">
        <v>48</v>
      </c>
      <c r="C54">
        <v>101</v>
      </c>
      <c r="D54">
        <v>94</v>
      </c>
      <c r="E54">
        <v>63</v>
      </c>
      <c r="F54">
        <v>52</v>
      </c>
      <c r="G54">
        <v>75</v>
      </c>
      <c r="H54">
        <v>99</v>
      </c>
      <c r="I54">
        <v>109</v>
      </c>
      <c r="L54" s="113">
        <f t="shared" si="4"/>
        <v>101</v>
      </c>
      <c r="M54" s="113">
        <f t="shared" ca="1" si="3"/>
        <v>74</v>
      </c>
    </row>
    <row r="55" spans="2:13" x14ac:dyDescent="0.25">
      <c r="B55">
        <v>49</v>
      </c>
      <c r="C55">
        <v>102</v>
      </c>
      <c r="D55">
        <v>344</v>
      </c>
      <c r="E55">
        <v>273</v>
      </c>
      <c r="F55">
        <v>237</v>
      </c>
      <c r="G55">
        <v>268</v>
      </c>
      <c r="H55">
        <v>249</v>
      </c>
      <c r="I55">
        <v>247</v>
      </c>
      <c r="L55" s="113">
        <f t="shared" si="4"/>
        <v>102</v>
      </c>
      <c r="M55" s="113">
        <f t="shared" ca="1" si="3"/>
        <v>277</v>
      </c>
    </row>
    <row r="56" spans="2:13" x14ac:dyDescent="0.25">
      <c r="B56">
        <v>50</v>
      </c>
      <c r="C56">
        <v>103</v>
      </c>
      <c r="D56">
        <v>360</v>
      </c>
      <c r="E56">
        <v>287</v>
      </c>
      <c r="F56">
        <v>246</v>
      </c>
      <c r="G56">
        <v>278</v>
      </c>
      <c r="H56">
        <v>258</v>
      </c>
      <c r="I56">
        <v>256</v>
      </c>
      <c r="L56" s="113">
        <f t="shared" si="4"/>
        <v>103</v>
      </c>
      <c r="M56" s="113">
        <f t="shared" ca="1" si="3"/>
        <v>289</v>
      </c>
    </row>
    <row r="57" spans="2:13" x14ac:dyDescent="0.25">
      <c r="B57">
        <v>51</v>
      </c>
      <c r="C57">
        <v>104</v>
      </c>
      <c r="D57">
        <v>25</v>
      </c>
      <c r="E57">
        <v>23</v>
      </c>
      <c r="F57">
        <v>18</v>
      </c>
      <c r="G57">
        <v>19</v>
      </c>
      <c r="H57">
        <v>20</v>
      </c>
      <c r="I57">
        <v>24</v>
      </c>
      <c r="L57" s="113">
        <f t="shared" si="4"/>
        <v>104</v>
      </c>
      <c r="M57" s="113">
        <f t="shared" ca="1" si="3"/>
        <v>21</v>
      </c>
    </row>
    <row r="58" spans="2:13" x14ac:dyDescent="0.25">
      <c r="B58">
        <v>52</v>
      </c>
      <c r="C58">
        <v>109</v>
      </c>
      <c r="D58">
        <v>10</v>
      </c>
      <c r="E58">
        <v>9</v>
      </c>
      <c r="F58">
        <v>7</v>
      </c>
      <c r="G58">
        <v>8</v>
      </c>
      <c r="H58">
        <v>10</v>
      </c>
      <c r="I58">
        <v>12</v>
      </c>
      <c r="L58" s="113">
        <f t="shared" si="4"/>
        <v>109</v>
      </c>
      <c r="M58" s="113">
        <f t="shared" ca="1" si="3"/>
        <v>9</v>
      </c>
    </row>
    <row r="59" spans="2:13" x14ac:dyDescent="0.25">
      <c r="B59">
        <v>53</v>
      </c>
      <c r="C59">
        <v>110</v>
      </c>
      <c r="D59">
        <v>41</v>
      </c>
      <c r="E59">
        <v>27</v>
      </c>
      <c r="F59">
        <v>28</v>
      </c>
      <c r="G59">
        <v>38</v>
      </c>
      <c r="H59">
        <v>36</v>
      </c>
      <c r="I59">
        <v>35</v>
      </c>
      <c r="L59" s="113">
        <f t="shared" si="4"/>
        <v>110</v>
      </c>
      <c r="M59" s="113">
        <f t="shared" ca="1" si="3"/>
        <v>34</v>
      </c>
    </row>
    <row r="60" spans="2:13" x14ac:dyDescent="0.25">
      <c r="B60">
        <v>54</v>
      </c>
      <c r="C60">
        <v>111</v>
      </c>
      <c r="D60">
        <v>351</v>
      </c>
      <c r="E60">
        <v>262</v>
      </c>
      <c r="F60">
        <v>230</v>
      </c>
      <c r="G60">
        <v>264</v>
      </c>
      <c r="H60">
        <v>263</v>
      </c>
      <c r="I60">
        <v>254</v>
      </c>
      <c r="L60" s="113">
        <f t="shared" si="4"/>
        <v>111</v>
      </c>
      <c r="M60" s="113">
        <f t="shared" ca="1" si="3"/>
        <v>275</v>
      </c>
    </row>
    <row r="61" spans="2:13" x14ac:dyDescent="0.25">
      <c r="B61">
        <v>55</v>
      </c>
      <c r="C61">
        <v>112</v>
      </c>
      <c r="D61">
        <v>353</v>
      </c>
      <c r="E61">
        <v>264</v>
      </c>
      <c r="F61">
        <v>231</v>
      </c>
      <c r="G61">
        <v>265</v>
      </c>
      <c r="H61">
        <v>265</v>
      </c>
      <c r="I61">
        <v>256</v>
      </c>
      <c r="L61" s="113">
        <f t="shared" si="4"/>
        <v>112</v>
      </c>
      <c r="M61" s="113">
        <f t="shared" ca="1" si="3"/>
        <v>277</v>
      </c>
    </row>
    <row r="62" spans="2:13" x14ac:dyDescent="0.25">
      <c r="B62">
        <v>56</v>
      </c>
      <c r="C62">
        <v>113</v>
      </c>
      <c r="D62">
        <v>411</v>
      </c>
      <c r="E62">
        <v>310</v>
      </c>
      <c r="F62">
        <v>281</v>
      </c>
      <c r="G62">
        <v>336</v>
      </c>
      <c r="H62">
        <v>336</v>
      </c>
      <c r="I62">
        <v>325</v>
      </c>
      <c r="L62" s="113">
        <f t="shared" si="4"/>
        <v>113</v>
      </c>
      <c r="M62" s="113">
        <f t="shared" ca="1" si="3"/>
        <v>335</v>
      </c>
    </row>
    <row r="63" spans="2:13" x14ac:dyDescent="0.25">
      <c r="B63">
        <v>57</v>
      </c>
      <c r="C63">
        <v>114</v>
      </c>
      <c r="D63">
        <v>473</v>
      </c>
      <c r="E63">
        <v>358</v>
      </c>
      <c r="F63">
        <v>336</v>
      </c>
      <c r="G63">
        <v>411</v>
      </c>
      <c r="H63">
        <v>411</v>
      </c>
      <c r="I63">
        <v>398</v>
      </c>
      <c r="L63" s="113">
        <f t="shared" si="4"/>
        <v>114</v>
      </c>
      <c r="M63" s="113">
        <f t="shared" ca="1" si="3"/>
        <v>396</v>
      </c>
    </row>
    <row r="64" spans="2:13" x14ac:dyDescent="0.25">
      <c r="B64">
        <v>58</v>
      </c>
      <c r="C64">
        <v>115</v>
      </c>
      <c r="D64">
        <v>11</v>
      </c>
      <c r="E64">
        <v>10</v>
      </c>
      <c r="F64">
        <v>14</v>
      </c>
      <c r="G64">
        <v>15</v>
      </c>
      <c r="H64">
        <v>14</v>
      </c>
      <c r="I64">
        <v>16</v>
      </c>
      <c r="L64" s="113">
        <f t="shared" si="4"/>
        <v>115</v>
      </c>
      <c r="M64" s="113">
        <f t="shared" ca="1" si="3"/>
        <v>13</v>
      </c>
    </row>
    <row r="65" spans="2:13" x14ac:dyDescent="0.25">
      <c r="B65">
        <v>59</v>
      </c>
      <c r="C65">
        <v>116</v>
      </c>
      <c r="D65">
        <v>2</v>
      </c>
      <c r="E65">
        <v>2</v>
      </c>
      <c r="F65">
        <v>2</v>
      </c>
      <c r="G65">
        <v>2</v>
      </c>
      <c r="H65">
        <v>2</v>
      </c>
      <c r="I65">
        <v>2</v>
      </c>
      <c r="L65" s="113">
        <f t="shared" si="4"/>
        <v>116</v>
      </c>
      <c r="M65" s="113">
        <f t="shared" ca="1" si="3"/>
        <v>2</v>
      </c>
    </row>
    <row r="66" spans="2:13" x14ac:dyDescent="0.25">
      <c r="B66">
        <v>60</v>
      </c>
      <c r="C66">
        <v>117</v>
      </c>
      <c r="D66">
        <v>15</v>
      </c>
      <c r="E66">
        <v>14</v>
      </c>
      <c r="F66">
        <v>11</v>
      </c>
      <c r="G66">
        <v>11</v>
      </c>
      <c r="H66">
        <v>10</v>
      </c>
      <c r="I66">
        <v>12</v>
      </c>
      <c r="L66" s="113">
        <f t="shared" si="4"/>
        <v>117</v>
      </c>
      <c r="M66" s="113">
        <f t="shared" ca="1" si="3"/>
        <v>12</v>
      </c>
    </row>
    <row r="67" spans="2:13" x14ac:dyDescent="0.25">
      <c r="B67">
        <v>61</v>
      </c>
      <c r="C67">
        <v>118</v>
      </c>
      <c r="D67">
        <v>10</v>
      </c>
      <c r="E67">
        <v>9</v>
      </c>
      <c r="F67">
        <v>7</v>
      </c>
      <c r="G67">
        <v>8</v>
      </c>
      <c r="H67">
        <v>10</v>
      </c>
      <c r="I67">
        <v>12</v>
      </c>
      <c r="L67" s="113">
        <f t="shared" si="4"/>
        <v>118</v>
      </c>
      <c r="M67" s="113">
        <f t="shared" ca="1" si="3"/>
        <v>9</v>
      </c>
    </row>
    <row r="68" spans="2:13" x14ac:dyDescent="0.25">
      <c r="B68">
        <v>62</v>
      </c>
      <c r="C68">
        <v>119</v>
      </c>
      <c r="D68">
        <v>12</v>
      </c>
      <c r="E68">
        <v>11</v>
      </c>
      <c r="F68">
        <v>9</v>
      </c>
      <c r="G68">
        <v>10</v>
      </c>
      <c r="H68">
        <v>12</v>
      </c>
      <c r="I68">
        <v>14</v>
      </c>
      <c r="L68" s="113">
        <f t="shared" si="4"/>
        <v>119</v>
      </c>
      <c r="M68" s="113">
        <f t="shared" ca="1" si="3"/>
        <v>11</v>
      </c>
    </row>
    <row r="69" spans="2:13" x14ac:dyDescent="0.25">
      <c r="B69">
        <v>63</v>
      </c>
      <c r="C69">
        <v>120</v>
      </c>
      <c r="D69">
        <v>8</v>
      </c>
      <c r="E69">
        <v>7</v>
      </c>
      <c r="F69">
        <v>6</v>
      </c>
      <c r="G69">
        <v>6</v>
      </c>
      <c r="H69">
        <v>9</v>
      </c>
      <c r="I69">
        <v>8</v>
      </c>
      <c r="L69" s="113">
        <f t="shared" si="4"/>
        <v>120</v>
      </c>
      <c r="M69" s="113">
        <f t="shared" ca="1" si="3"/>
        <v>7</v>
      </c>
    </row>
    <row r="70" spans="2:13" x14ac:dyDescent="0.25">
      <c r="B70">
        <v>64</v>
      </c>
      <c r="C70">
        <v>121</v>
      </c>
      <c r="D70">
        <v>21</v>
      </c>
      <c r="E70">
        <v>20</v>
      </c>
      <c r="F70">
        <v>18</v>
      </c>
      <c r="G70">
        <v>13</v>
      </c>
      <c r="H70">
        <v>27</v>
      </c>
      <c r="I70">
        <v>25</v>
      </c>
      <c r="L70" s="113">
        <f t="shared" si="4"/>
        <v>121</v>
      </c>
      <c r="M70" s="113">
        <f t="shared" ca="1" si="3"/>
        <v>19</v>
      </c>
    </row>
    <row r="71" spans="2:13" x14ac:dyDescent="0.25">
      <c r="B71">
        <v>65</v>
      </c>
      <c r="C71">
        <v>122</v>
      </c>
      <c r="D71">
        <v>23</v>
      </c>
      <c r="E71">
        <v>22</v>
      </c>
      <c r="F71">
        <v>21</v>
      </c>
      <c r="G71">
        <v>16</v>
      </c>
      <c r="H71">
        <v>32</v>
      </c>
      <c r="I71">
        <v>30</v>
      </c>
      <c r="L71" s="113">
        <f t="shared" si="4"/>
        <v>122</v>
      </c>
      <c r="M71" s="113">
        <f t="shared" ca="1" si="3"/>
        <v>22</v>
      </c>
    </row>
    <row r="72" spans="2:13" x14ac:dyDescent="0.25">
      <c r="B72">
        <v>66</v>
      </c>
      <c r="C72">
        <v>123</v>
      </c>
      <c r="D72">
        <v>64</v>
      </c>
      <c r="E72">
        <v>49</v>
      </c>
      <c r="F72">
        <v>44</v>
      </c>
      <c r="G72">
        <v>49</v>
      </c>
      <c r="H72">
        <v>54</v>
      </c>
      <c r="I72">
        <v>61</v>
      </c>
      <c r="L72" s="113">
        <f t="shared" si="4"/>
        <v>123</v>
      </c>
      <c r="M72" s="113">
        <f t="shared" ref="M72:M135" ca="1" si="5">ROUND(SUMPRODUCT(D72:I72,$D$5:$I$5)/SUM($D$5:$I$5),0)</f>
        <v>52</v>
      </c>
    </row>
    <row r="73" spans="2:13" x14ac:dyDescent="0.25">
      <c r="B73">
        <v>67</v>
      </c>
      <c r="C73">
        <v>125</v>
      </c>
      <c r="D73">
        <v>77</v>
      </c>
      <c r="E73">
        <v>59</v>
      </c>
      <c r="F73">
        <v>60</v>
      </c>
      <c r="G73">
        <v>66</v>
      </c>
      <c r="H73">
        <v>71</v>
      </c>
      <c r="I73">
        <v>79</v>
      </c>
      <c r="L73" s="113">
        <f t="shared" si="4"/>
        <v>125</v>
      </c>
      <c r="M73" s="113">
        <f t="shared" ca="1" si="5"/>
        <v>66</v>
      </c>
    </row>
    <row r="74" spans="2:13" x14ac:dyDescent="0.25">
      <c r="B74">
        <v>68</v>
      </c>
      <c r="C74">
        <v>129</v>
      </c>
      <c r="D74">
        <v>155</v>
      </c>
      <c r="E74">
        <v>117</v>
      </c>
      <c r="F74">
        <v>120</v>
      </c>
      <c r="G74">
        <v>125</v>
      </c>
      <c r="H74">
        <v>156</v>
      </c>
      <c r="I74">
        <v>149</v>
      </c>
      <c r="L74" s="113">
        <f t="shared" si="4"/>
        <v>129</v>
      </c>
      <c r="M74" s="113">
        <f t="shared" ca="1" si="5"/>
        <v>132</v>
      </c>
    </row>
    <row r="75" spans="2:13" x14ac:dyDescent="0.25">
      <c r="B75">
        <v>69</v>
      </c>
      <c r="C75">
        <v>130</v>
      </c>
      <c r="D75">
        <v>173</v>
      </c>
      <c r="E75">
        <v>133</v>
      </c>
      <c r="F75">
        <v>132</v>
      </c>
      <c r="G75">
        <v>126</v>
      </c>
      <c r="H75">
        <v>158</v>
      </c>
      <c r="I75">
        <v>151</v>
      </c>
      <c r="L75" s="113">
        <f t="shared" si="4"/>
        <v>130</v>
      </c>
      <c r="M75" s="113">
        <f t="shared" ca="1" si="5"/>
        <v>143</v>
      </c>
    </row>
    <row r="76" spans="2:13" x14ac:dyDescent="0.25">
      <c r="B76">
        <v>70</v>
      </c>
      <c r="C76">
        <v>134</v>
      </c>
      <c r="D76">
        <v>32</v>
      </c>
      <c r="E76">
        <v>29</v>
      </c>
      <c r="F76">
        <v>29</v>
      </c>
      <c r="G76">
        <v>30</v>
      </c>
      <c r="H76">
        <v>30</v>
      </c>
      <c r="I76">
        <v>31</v>
      </c>
      <c r="L76" s="113">
        <f t="shared" ref="L76:L139" si="6">C76</f>
        <v>134</v>
      </c>
      <c r="M76" s="113">
        <f t="shared" ca="1" si="5"/>
        <v>30</v>
      </c>
    </row>
    <row r="77" spans="2:13" x14ac:dyDescent="0.25">
      <c r="B77">
        <v>71</v>
      </c>
      <c r="C77">
        <v>141</v>
      </c>
      <c r="D77">
        <v>116</v>
      </c>
      <c r="E77">
        <v>108</v>
      </c>
      <c r="F77">
        <v>119</v>
      </c>
      <c r="G77">
        <v>160</v>
      </c>
      <c r="H77">
        <v>157</v>
      </c>
      <c r="I77">
        <v>154</v>
      </c>
      <c r="L77" s="113">
        <f t="shared" si="6"/>
        <v>141</v>
      </c>
      <c r="M77" s="113">
        <f t="shared" ca="1" si="5"/>
        <v>129</v>
      </c>
    </row>
    <row r="78" spans="2:13" x14ac:dyDescent="0.25">
      <c r="B78">
        <v>72</v>
      </c>
      <c r="C78">
        <v>144</v>
      </c>
      <c r="D78">
        <v>181</v>
      </c>
      <c r="E78">
        <v>169</v>
      </c>
      <c r="F78">
        <v>163</v>
      </c>
      <c r="G78">
        <v>162</v>
      </c>
      <c r="H78">
        <v>158</v>
      </c>
      <c r="I78">
        <v>155</v>
      </c>
      <c r="L78" s="113">
        <f t="shared" si="6"/>
        <v>144</v>
      </c>
      <c r="M78" s="113">
        <f t="shared" ca="1" si="5"/>
        <v>168</v>
      </c>
    </row>
    <row r="79" spans="2:13" x14ac:dyDescent="0.25">
      <c r="B79">
        <v>73</v>
      </c>
      <c r="C79">
        <v>145</v>
      </c>
      <c r="D79">
        <v>51</v>
      </c>
      <c r="E79">
        <v>51</v>
      </c>
      <c r="F79">
        <v>42</v>
      </c>
      <c r="G79">
        <v>44</v>
      </c>
      <c r="H79">
        <v>41</v>
      </c>
      <c r="I79">
        <v>45</v>
      </c>
      <c r="L79" s="113">
        <f t="shared" si="6"/>
        <v>145</v>
      </c>
      <c r="M79" s="113">
        <f t="shared" ca="1" si="5"/>
        <v>46</v>
      </c>
    </row>
    <row r="80" spans="2:13" x14ac:dyDescent="0.25">
      <c r="B80">
        <v>74</v>
      </c>
      <c r="C80">
        <v>148</v>
      </c>
      <c r="D80">
        <v>160</v>
      </c>
      <c r="E80">
        <v>149</v>
      </c>
      <c r="F80">
        <v>145</v>
      </c>
      <c r="G80">
        <v>161</v>
      </c>
      <c r="H80">
        <v>157</v>
      </c>
      <c r="I80">
        <v>155</v>
      </c>
      <c r="L80" s="113">
        <f t="shared" si="6"/>
        <v>148</v>
      </c>
      <c r="M80" s="113">
        <f t="shared" ca="1" si="5"/>
        <v>154</v>
      </c>
    </row>
    <row r="81" spans="2:13" x14ac:dyDescent="0.25">
      <c r="B81">
        <v>75</v>
      </c>
      <c r="C81">
        <v>149</v>
      </c>
      <c r="D81">
        <v>38</v>
      </c>
      <c r="E81">
        <v>35</v>
      </c>
      <c r="F81">
        <v>33</v>
      </c>
      <c r="G81">
        <v>34</v>
      </c>
      <c r="H81">
        <v>33</v>
      </c>
      <c r="I81">
        <v>34</v>
      </c>
      <c r="L81" s="113">
        <f t="shared" si="6"/>
        <v>149</v>
      </c>
      <c r="M81" s="113">
        <f t="shared" ca="1" si="5"/>
        <v>35</v>
      </c>
    </row>
    <row r="82" spans="2:13" x14ac:dyDescent="0.25">
      <c r="B82">
        <v>76</v>
      </c>
      <c r="C82">
        <v>155</v>
      </c>
      <c r="D82">
        <v>18</v>
      </c>
      <c r="E82">
        <v>16</v>
      </c>
      <c r="F82">
        <v>15</v>
      </c>
      <c r="G82">
        <v>18</v>
      </c>
      <c r="H82">
        <v>17</v>
      </c>
      <c r="I82">
        <v>17</v>
      </c>
      <c r="L82" s="113">
        <f t="shared" si="6"/>
        <v>155</v>
      </c>
      <c r="M82" s="113">
        <f t="shared" ca="1" si="5"/>
        <v>17</v>
      </c>
    </row>
    <row r="83" spans="2:13" x14ac:dyDescent="0.25">
      <c r="B83">
        <v>77</v>
      </c>
      <c r="C83">
        <v>156</v>
      </c>
      <c r="D83">
        <v>107</v>
      </c>
      <c r="E83">
        <v>90</v>
      </c>
      <c r="F83">
        <v>84</v>
      </c>
      <c r="G83">
        <v>96</v>
      </c>
      <c r="H83">
        <v>110</v>
      </c>
      <c r="I83">
        <v>111</v>
      </c>
      <c r="L83" s="113">
        <f t="shared" si="6"/>
        <v>156</v>
      </c>
      <c r="M83" s="113">
        <f t="shared" ca="1" si="5"/>
        <v>96</v>
      </c>
    </row>
    <row r="84" spans="2:13" x14ac:dyDescent="0.25">
      <c r="B84">
        <v>78</v>
      </c>
      <c r="C84">
        <v>158</v>
      </c>
      <c r="D84">
        <v>25</v>
      </c>
      <c r="E84">
        <v>21</v>
      </c>
      <c r="F84">
        <v>20</v>
      </c>
      <c r="G84">
        <v>21</v>
      </c>
      <c r="H84">
        <v>20</v>
      </c>
      <c r="I84">
        <v>19</v>
      </c>
      <c r="L84" s="113">
        <f t="shared" si="6"/>
        <v>158</v>
      </c>
      <c r="M84" s="113">
        <f t="shared" ca="1" si="5"/>
        <v>22</v>
      </c>
    </row>
    <row r="85" spans="2:13" x14ac:dyDescent="0.25">
      <c r="B85">
        <v>79</v>
      </c>
      <c r="C85">
        <v>160</v>
      </c>
      <c r="D85">
        <v>4</v>
      </c>
      <c r="E85">
        <v>4</v>
      </c>
      <c r="F85">
        <v>4</v>
      </c>
      <c r="G85">
        <v>4</v>
      </c>
      <c r="H85">
        <v>5</v>
      </c>
      <c r="I85">
        <v>5</v>
      </c>
      <c r="L85" s="113">
        <f t="shared" si="6"/>
        <v>160</v>
      </c>
      <c r="M85" s="113">
        <f t="shared" ca="1" si="5"/>
        <v>4</v>
      </c>
    </row>
    <row r="86" spans="2:13" x14ac:dyDescent="0.25">
      <c r="B86">
        <v>80</v>
      </c>
      <c r="C86">
        <v>161</v>
      </c>
      <c r="D86">
        <v>32</v>
      </c>
      <c r="E86">
        <v>28</v>
      </c>
      <c r="F86">
        <v>26</v>
      </c>
      <c r="G86">
        <v>37</v>
      </c>
      <c r="H86">
        <v>39</v>
      </c>
      <c r="I86">
        <v>38</v>
      </c>
      <c r="L86" s="113">
        <f t="shared" si="6"/>
        <v>161</v>
      </c>
      <c r="M86" s="113">
        <f t="shared" ca="1" si="5"/>
        <v>32</v>
      </c>
    </row>
    <row r="87" spans="2:13" x14ac:dyDescent="0.25">
      <c r="B87">
        <v>81</v>
      </c>
      <c r="C87">
        <v>168</v>
      </c>
      <c r="D87">
        <v>446</v>
      </c>
      <c r="E87">
        <v>432</v>
      </c>
      <c r="F87">
        <v>423</v>
      </c>
      <c r="G87">
        <v>424</v>
      </c>
      <c r="H87">
        <v>484</v>
      </c>
      <c r="I87">
        <v>495</v>
      </c>
      <c r="L87" s="113">
        <f t="shared" si="6"/>
        <v>168</v>
      </c>
      <c r="M87" s="113">
        <f t="shared" ca="1" si="5"/>
        <v>436</v>
      </c>
    </row>
    <row r="88" spans="2:13" x14ac:dyDescent="0.25">
      <c r="B88">
        <v>82</v>
      </c>
      <c r="C88">
        <v>169</v>
      </c>
      <c r="D88">
        <v>594</v>
      </c>
      <c r="E88">
        <v>567</v>
      </c>
      <c r="F88">
        <v>540</v>
      </c>
      <c r="G88">
        <v>529</v>
      </c>
      <c r="H88">
        <v>599</v>
      </c>
      <c r="I88">
        <v>612</v>
      </c>
      <c r="L88" s="113">
        <f t="shared" si="6"/>
        <v>169</v>
      </c>
      <c r="M88" s="113">
        <f t="shared" ca="1" si="5"/>
        <v>562</v>
      </c>
    </row>
    <row r="89" spans="2:13" x14ac:dyDescent="0.25">
      <c r="B89">
        <v>83</v>
      </c>
      <c r="C89">
        <v>171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L89" s="113">
        <f t="shared" si="6"/>
        <v>171</v>
      </c>
      <c r="M89" s="113">
        <f t="shared" ca="1" si="5"/>
        <v>0</v>
      </c>
    </row>
    <row r="90" spans="2:13" x14ac:dyDescent="0.25">
      <c r="B90">
        <v>84</v>
      </c>
      <c r="C90">
        <v>172</v>
      </c>
      <c r="D90">
        <v>604</v>
      </c>
      <c r="E90">
        <v>572</v>
      </c>
      <c r="F90">
        <v>550</v>
      </c>
      <c r="G90">
        <v>529</v>
      </c>
      <c r="H90">
        <v>599</v>
      </c>
      <c r="I90">
        <v>612</v>
      </c>
      <c r="L90" s="113">
        <f t="shared" si="6"/>
        <v>172</v>
      </c>
      <c r="M90" s="113">
        <f t="shared" ca="1" si="5"/>
        <v>567</v>
      </c>
    </row>
    <row r="91" spans="2:13" x14ac:dyDescent="0.25">
      <c r="B91">
        <v>85</v>
      </c>
      <c r="C91">
        <v>173</v>
      </c>
      <c r="D91">
        <v>604</v>
      </c>
      <c r="E91">
        <v>572</v>
      </c>
      <c r="F91">
        <v>550</v>
      </c>
      <c r="G91">
        <v>529</v>
      </c>
      <c r="H91">
        <v>599</v>
      </c>
      <c r="I91">
        <v>612</v>
      </c>
      <c r="L91" s="113">
        <f t="shared" si="6"/>
        <v>173</v>
      </c>
      <c r="M91" s="113">
        <f t="shared" ca="1" si="5"/>
        <v>567</v>
      </c>
    </row>
    <row r="92" spans="2:13" x14ac:dyDescent="0.25">
      <c r="B92">
        <v>86</v>
      </c>
      <c r="C92">
        <v>175</v>
      </c>
      <c r="D92">
        <v>604</v>
      </c>
      <c r="E92">
        <v>572</v>
      </c>
      <c r="F92">
        <v>550</v>
      </c>
      <c r="G92">
        <v>529</v>
      </c>
      <c r="H92">
        <v>599</v>
      </c>
      <c r="I92">
        <v>612</v>
      </c>
      <c r="L92" s="113">
        <f t="shared" si="6"/>
        <v>175</v>
      </c>
      <c r="M92" s="113">
        <f t="shared" ca="1" si="5"/>
        <v>567</v>
      </c>
    </row>
    <row r="93" spans="2:13" x14ac:dyDescent="0.25">
      <c r="B93">
        <v>87</v>
      </c>
      <c r="C93">
        <v>176</v>
      </c>
      <c r="D93">
        <v>604</v>
      </c>
      <c r="E93">
        <v>572</v>
      </c>
      <c r="F93">
        <v>550</v>
      </c>
      <c r="G93">
        <v>529</v>
      </c>
      <c r="H93">
        <v>599</v>
      </c>
      <c r="I93">
        <v>612</v>
      </c>
      <c r="L93" s="113">
        <f t="shared" si="6"/>
        <v>176</v>
      </c>
      <c r="M93" s="113">
        <f t="shared" ca="1" si="5"/>
        <v>567</v>
      </c>
    </row>
    <row r="94" spans="2:13" x14ac:dyDescent="0.25">
      <c r="B94">
        <v>88</v>
      </c>
      <c r="C94">
        <v>178</v>
      </c>
      <c r="D94">
        <v>609</v>
      </c>
      <c r="E94">
        <v>576</v>
      </c>
      <c r="F94">
        <v>554</v>
      </c>
      <c r="G94">
        <v>529</v>
      </c>
      <c r="H94">
        <v>599</v>
      </c>
      <c r="I94">
        <v>612</v>
      </c>
      <c r="L94" s="113">
        <f t="shared" si="6"/>
        <v>178</v>
      </c>
      <c r="M94" s="113">
        <f t="shared" ca="1" si="5"/>
        <v>570</v>
      </c>
    </row>
    <row r="95" spans="2:13" x14ac:dyDescent="0.25">
      <c r="B95">
        <v>89</v>
      </c>
      <c r="C95">
        <v>183</v>
      </c>
      <c r="D95">
        <v>18</v>
      </c>
      <c r="E95">
        <v>16</v>
      </c>
      <c r="F95">
        <v>18</v>
      </c>
      <c r="G95">
        <v>26</v>
      </c>
      <c r="H95">
        <v>28</v>
      </c>
      <c r="I95">
        <v>28</v>
      </c>
      <c r="L95" s="113">
        <f t="shared" si="6"/>
        <v>183</v>
      </c>
      <c r="M95" s="113">
        <f t="shared" ca="1" si="5"/>
        <v>20</v>
      </c>
    </row>
    <row r="96" spans="2:13" x14ac:dyDescent="0.25">
      <c r="B96">
        <v>90</v>
      </c>
      <c r="C96">
        <v>188</v>
      </c>
      <c r="D96">
        <v>30</v>
      </c>
      <c r="E96">
        <v>32</v>
      </c>
      <c r="F96">
        <v>47</v>
      </c>
      <c r="G96">
        <v>47</v>
      </c>
      <c r="H96">
        <v>45</v>
      </c>
      <c r="I96">
        <v>41</v>
      </c>
      <c r="L96" s="113">
        <f t="shared" si="6"/>
        <v>188</v>
      </c>
      <c r="M96" s="113">
        <f t="shared" ca="1" si="5"/>
        <v>40</v>
      </c>
    </row>
    <row r="97" spans="2:13" x14ac:dyDescent="0.25">
      <c r="B97">
        <v>91</v>
      </c>
      <c r="C97">
        <v>190</v>
      </c>
      <c r="D97">
        <v>208</v>
      </c>
      <c r="E97">
        <v>199</v>
      </c>
      <c r="F97">
        <v>216</v>
      </c>
      <c r="G97">
        <v>212</v>
      </c>
      <c r="H97">
        <v>210</v>
      </c>
      <c r="I97">
        <v>205</v>
      </c>
      <c r="L97" s="113">
        <f t="shared" si="6"/>
        <v>190</v>
      </c>
      <c r="M97" s="113">
        <f t="shared" ca="1" si="5"/>
        <v>209</v>
      </c>
    </row>
    <row r="98" spans="2:13" x14ac:dyDescent="0.25">
      <c r="B98">
        <v>92</v>
      </c>
      <c r="C98">
        <v>191</v>
      </c>
      <c r="D98">
        <v>179</v>
      </c>
      <c r="E98">
        <v>186</v>
      </c>
      <c r="F98">
        <v>143</v>
      </c>
      <c r="G98">
        <v>134</v>
      </c>
      <c r="H98">
        <v>144</v>
      </c>
      <c r="I98">
        <v>100</v>
      </c>
      <c r="L98" s="113">
        <f t="shared" si="6"/>
        <v>191</v>
      </c>
      <c r="M98" s="113">
        <f t="shared" ca="1" si="5"/>
        <v>159</v>
      </c>
    </row>
    <row r="99" spans="2:13" x14ac:dyDescent="0.25">
      <c r="B99">
        <v>93</v>
      </c>
      <c r="C99">
        <v>196</v>
      </c>
      <c r="D99">
        <v>8</v>
      </c>
      <c r="E99">
        <v>8</v>
      </c>
      <c r="F99">
        <v>7</v>
      </c>
      <c r="G99">
        <v>6</v>
      </c>
      <c r="H99">
        <v>7</v>
      </c>
      <c r="I99">
        <v>6</v>
      </c>
      <c r="L99" s="113">
        <f t="shared" si="6"/>
        <v>196</v>
      </c>
      <c r="M99" s="113">
        <f t="shared" ca="1" si="5"/>
        <v>7</v>
      </c>
    </row>
    <row r="100" spans="2:13" x14ac:dyDescent="0.25">
      <c r="B100">
        <v>94</v>
      </c>
      <c r="C100">
        <v>197</v>
      </c>
      <c r="D100">
        <v>9</v>
      </c>
      <c r="E100">
        <v>9</v>
      </c>
      <c r="F100">
        <v>9</v>
      </c>
      <c r="G100">
        <v>9</v>
      </c>
      <c r="H100">
        <v>10</v>
      </c>
      <c r="I100">
        <v>10</v>
      </c>
      <c r="L100" s="113">
        <f t="shared" si="6"/>
        <v>197</v>
      </c>
      <c r="M100" s="113">
        <f t="shared" ca="1" si="5"/>
        <v>9</v>
      </c>
    </row>
    <row r="101" spans="2:13" x14ac:dyDescent="0.25">
      <c r="B101">
        <v>95</v>
      </c>
      <c r="C101">
        <v>198</v>
      </c>
      <c r="D101">
        <v>19</v>
      </c>
      <c r="E101">
        <v>18</v>
      </c>
      <c r="F101">
        <v>20</v>
      </c>
      <c r="G101">
        <v>25</v>
      </c>
      <c r="H101">
        <v>23</v>
      </c>
      <c r="I101">
        <v>24</v>
      </c>
      <c r="L101" s="113">
        <f t="shared" si="6"/>
        <v>198</v>
      </c>
      <c r="M101" s="113">
        <f t="shared" ca="1" si="5"/>
        <v>21</v>
      </c>
    </row>
    <row r="102" spans="2:13" x14ac:dyDescent="0.25">
      <c r="B102">
        <v>96</v>
      </c>
      <c r="C102">
        <v>201</v>
      </c>
      <c r="D102">
        <v>3</v>
      </c>
      <c r="E102">
        <v>2</v>
      </c>
      <c r="F102">
        <v>3</v>
      </c>
      <c r="G102">
        <v>3</v>
      </c>
      <c r="H102">
        <v>4</v>
      </c>
      <c r="I102">
        <v>3</v>
      </c>
      <c r="L102" s="113">
        <f t="shared" si="6"/>
        <v>201</v>
      </c>
      <c r="M102" s="113">
        <f t="shared" ca="1" si="5"/>
        <v>3</v>
      </c>
    </row>
    <row r="103" spans="2:13" x14ac:dyDescent="0.25">
      <c r="B103">
        <v>97</v>
      </c>
      <c r="C103">
        <v>202</v>
      </c>
      <c r="D103">
        <v>1</v>
      </c>
      <c r="E103">
        <v>1</v>
      </c>
      <c r="F103">
        <v>1</v>
      </c>
      <c r="G103">
        <v>1</v>
      </c>
      <c r="H103">
        <v>2</v>
      </c>
      <c r="I103">
        <v>1</v>
      </c>
      <c r="L103" s="113">
        <f t="shared" si="6"/>
        <v>202</v>
      </c>
      <c r="M103" s="113">
        <f t="shared" ca="1" si="5"/>
        <v>1</v>
      </c>
    </row>
    <row r="104" spans="2:13" x14ac:dyDescent="0.25">
      <c r="B104">
        <v>98</v>
      </c>
      <c r="C104">
        <v>203</v>
      </c>
      <c r="D104">
        <v>5</v>
      </c>
      <c r="E104">
        <v>4</v>
      </c>
      <c r="F104">
        <v>5</v>
      </c>
      <c r="G104">
        <v>5</v>
      </c>
      <c r="H104">
        <v>6</v>
      </c>
      <c r="I104">
        <v>5</v>
      </c>
      <c r="L104" s="113">
        <f t="shared" si="6"/>
        <v>203</v>
      </c>
      <c r="M104" s="113">
        <f t="shared" ca="1" si="5"/>
        <v>5</v>
      </c>
    </row>
    <row r="105" spans="2:13" x14ac:dyDescent="0.25">
      <c r="B105">
        <v>99</v>
      </c>
      <c r="C105">
        <v>205</v>
      </c>
      <c r="D105">
        <v>42</v>
      </c>
      <c r="E105">
        <v>39</v>
      </c>
      <c r="F105">
        <v>34</v>
      </c>
      <c r="G105">
        <v>33</v>
      </c>
      <c r="H105">
        <v>33</v>
      </c>
      <c r="I105">
        <v>34</v>
      </c>
      <c r="L105" s="113">
        <f t="shared" si="6"/>
        <v>205</v>
      </c>
      <c r="M105" s="113">
        <f t="shared" ca="1" si="5"/>
        <v>37</v>
      </c>
    </row>
    <row r="106" spans="2:13" x14ac:dyDescent="0.25">
      <c r="B106">
        <v>100</v>
      </c>
      <c r="C106">
        <v>206</v>
      </c>
      <c r="D106">
        <v>108</v>
      </c>
      <c r="E106">
        <v>102</v>
      </c>
      <c r="F106">
        <v>96</v>
      </c>
      <c r="G106">
        <v>91</v>
      </c>
      <c r="H106">
        <v>90</v>
      </c>
      <c r="I106">
        <v>90</v>
      </c>
      <c r="L106" s="113">
        <f t="shared" si="6"/>
        <v>206</v>
      </c>
      <c r="M106" s="113">
        <f t="shared" ca="1" si="5"/>
        <v>98</v>
      </c>
    </row>
    <row r="107" spans="2:13" x14ac:dyDescent="0.25">
      <c r="B107">
        <v>101</v>
      </c>
      <c r="C107">
        <v>207</v>
      </c>
      <c r="D107">
        <v>109</v>
      </c>
      <c r="E107">
        <v>103</v>
      </c>
      <c r="F107">
        <v>96</v>
      </c>
      <c r="G107">
        <v>91</v>
      </c>
      <c r="H107">
        <v>93</v>
      </c>
      <c r="I107">
        <v>92</v>
      </c>
      <c r="L107" s="113">
        <f t="shared" si="6"/>
        <v>207</v>
      </c>
      <c r="M107" s="113">
        <f t="shared" ca="1" si="5"/>
        <v>99</v>
      </c>
    </row>
    <row r="108" spans="2:13" x14ac:dyDescent="0.25">
      <c r="B108">
        <v>102</v>
      </c>
      <c r="C108">
        <v>209</v>
      </c>
      <c r="D108">
        <v>160</v>
      </c>
      <c r="E108">
        <v>149</v>
      </c>
      <c r="F108">
        <v>132</v>
      </c>
      <c r="G108">
        <v>119</v>
      </c>
      <c r="H108">
        <v>120</v>
      </c>
      <c r="I108">
        <v>123</v>
      </c>
      <c r="L108" s="113">
        <f t="shared" si="6"/>
        <v>209</v>
      </c>
      <c r="M108" s="113">
        <f t="shared" ca="1" si="5"/>
        <v>138</v>
      </c>
    </row>
    <row r="109" spans="2:13" x14ac:dyDescent="0.25">
      <c r="B109">
        <v>103</v>
      </c>
      <c r="C109">
        <v>211</v>
      </c>
      <c r="D109">
        <v>68</v>
      </c>
      <c r="E109">
        <v>62</v>
      </c>
      <c r="F109">
        <v>58</v>
      </c>
      <c r="G109">
        <v>57</v>
      </c>
      <c r="H109">
        <v>61</v>
      </c>
      <c r="I109">
        <v>57</v>
      </c>
      <c r="L109" s="113">
        <f t="shared" si="6"/>
        <v>211</v>
      </c>
      <c r="M109" s="113">
        <f t="shared" ca="1" si="5"/>
        <v>61</v>
      </c>
    </row>
    <row r="110" spans="2:13" x14ac:dyDescent="0.25">
      <c r="B110">
        <v>104</v>
      </c>
      <c r="C110">
        <v>215</v>
      </c>
      <c r="D110">
        <v>200</v>
      </c>
      <c r="E110">
        <v>132</v>
      </c>
      <c r="F110">
        <v>105</v>
      </c>
      <c r="G110">
        <v>145</v>
      </c>
      <c r="H110">
        <v>224</v>
      </c>
      <c r="I110">
        <v>307</v>
      </c>
      <c r="L110" s="113">
        <f t="shared" si="6"/>
        <v>215</v>
      </c>
      <c r="M110" s="113">
        <f t="shared" ca="1" si="5"/>
        <v>153</v>
      </c>
    </row>
    <row r="111" spans="2:13" x14ac:dyDescent="0.25">
      <c r="B111">
        <v>105</v>
      </c>
      <c r="C111">
        <v>216</v>
      </c>
      <c r="D111">
        <v>538</v>
      </c>
      <c r="E111">
        <v>272</v>
      </c>
      <c r="F111">
        <v>189</v>
      </c>
      <c r="G111">
        <v>241</v>
      </c>
      <c r="H111">
        <v>298</v>
      </c>
      <c r="I111">
        <v>262</v>
      </c>
      <c r="L111" s="113">
        <f t="shared" si="6"/>
        <v>216</v>
      </c>
      <c r="M111" s="113">
        <f t="shared" ca="1" si="5"/>
        <v>309</v>
      </c>
    </row>
    <row r="112" spans="2:13" x14ac:dyDescent="0.25">
      <c r="B112">
        <v>106</v>
      </c>
      <c r="C112">
        <v>217</v>
      </c>
      <c r="D112">
        <v>962</v>
      </c>
      <c r="E112">
        <v>572</v>
      </c>
      <c r="F112">
        <v>409</v>
      </c>
      <c r="G112">
        <v>470</v>
      </c>
      <c r="H112">
        <v>617</v>
      </c>
      <c r="I112">
        <v>764</v>
      </c>
      <c r="L112" s="113">
        <f t="shared" si="6"/>
        <v>217</v>
      </c>
      <c r="M112" s="113">
        <f t="shared" ca="1" si="5"/>
        <v>605</v>
      </c>
    </row>
    <row r="113" spans="2:13" x14ac:dyDescent="0.25">
      <c r="B113">
        <v>107</v>
      </c>
      <c r="C113">
        <v>220</v>
      </c>
      <c r="D113">
        <v>133</v>
      </c>
      <c r="E113">
        <v>83</v>
      </c>
      <c r="F113">
        <v>58</v>
      </c>
      <c r="G113">
        <v>81</v>
      </c>
      <c r="H113">
        <v>75</v>
      </c>
      <c r="I113">
        <v>81</v>
      </c>
      <c r="L113" s="113">
        <f t="shared" si="6"/>
        <v>220</v>
      </c>
      <c r="M113" s="113">
        <f t="shared" ca="1" si="5"/>
        <v>87</v>
      </c>
    </row>
    <row r="114" spans="2:13" x14ac:dyDescent="0.25">
      <c r="B114">
        <v>108</v>
      </c>
      <c r="C114">
        <v>222</v>
      </c>
      <c r="D114">
        <v>2359</v>
      </c>
      <c r="E114">
        <v>1285</v>
      </c>
      <c r="F114">
        <v>850</v>
      </c>
      <c r="G114">
        <v>961</v>
      </c>
      <c r="H114">
        <v>1020</v>
      </c>
      <c r="I114">
        <v>1293</v>
      </c>
      <c r="L114" s="113">
        <f t="shared" si="6"/>
        <v>222</v>
      </c>
      <c r="M114" s="113">
        <f t="shared" ca="1" si="5"/>
        <v>1330</v>
      </c>
    </row>
    <row r="115" spans="2:13" x14ac:dyDescent="0.25">
      <c r="B115">
        <v>109</v>
      </c>
      <c r="C115">
        <v>229</v>
      </c>
      <c r="D115">
        <v>852</v>
      </c>
      <c r="E115">
        <v>784</v>
      </c>
      <c r="F115">
        <v>701</v>
      </c>
      <c r="G115">
        <v>677</v>
      </c>
      <c r="H115">
        <v>672</v>
      </c>
      <c r="I115">
        <v>670</v>
      </c>
      <c r="L115" s="113">
        <f t="shared" si="6"/>
        <v>229</v>
      </c>
      <c r="M115" s="113">
        <f t="shared" ca="1" si="5"/>
        <v>746</v>
      </c>
    </row>
    <row r="116" spans="2:13" x14ac:dyDescent="0.25">
      <c r="B116">
        <v>110</v>
      </c>
      <c r="C116">
        <v>237</v>
      </c>
      <c r="D116">
        <v>169</v>
      </c>
      <c r="E116">
        <v>139</v>
      </c>
      <c r="F116">
        <v>106</v>
      </c>
      <c r="G116">
        <v>116</v>
      </c>
      <c r="H116">
        <v>116</v>
      </c>
      <c r="I116">
        <v>112</v>
      </c>
      <c r="L116" s="113">
        <f t="shared" si="6"/>
        <v>237</v>
      </c>
      <c r="M116" s="113">
        <f t="shared" ca="1" si="5"/>
        <v>131</v>
      </c>
    </row>
    <row r="117" spans="2:13" x14ac:dyDescent="0.25">
      <c r="B117">
        <v>111</v>
      </c>
      <c r="C117">
        <v>238</v>
      </c>
      <c r="D117">
        <v>204</v>
      </c>
      <c r="E117">
        <v>174</v>
      </c>
      <c r="F117">
        <v>137</v>
      </c>
      <c r="G117">
        <v>137</v>
      </c>
      <c r="H117">
        <v>135</v>
      </c>
      <c r="I117">
        <v>130</v>
      </c>
      <c r="L117" s="113">
        <f t="shared" si="6"/>
        <v>238</v>
      </c>
      <c r="M117" s="113">
        <f t="shared" ca="1" si="5"/>
        <v>160</v>
      </c>
    </row>
    <row r="118" spans="2:13" x14ac:dyDescent="0.25">
      <c r="B118">
        <v>112</v>
      </c>
      <c r="C118">
        <v>239</v>
      </c>
      <c r="D118">
        <v>271</v>
      </c>
      <c r="E118">
        <v>239</v>
      </c>
      <c r="F118">
        <v>195</v>
      </c>
      <c r="G118">
        <v>183</v>
      </c>
      <c r="H118">
        <v>179</v>
      </c>
      <c r="I118">
        <v>174</v>
      </c>
      <c r="L118" s="113">
        <f t="shared" si="6"/>
        <v>239</v>
      </c>
      <c r="M118" s="113">
        <f t="shared" ca="1" si="5"/>
        <v>218</v>
      </c>
    </row>
    <row r="119" spans="2:13" x14ac:dyDescent="0.25">
      <c r="B119">
        <v>113</v>
      </c>
      <c r="C119">
        <v>240</v>
      </c>
      <c r="D119">
        <v>334</v>
      </c>
      <c r="E119">
        <v>291</v>
      </c>
      <c r="F119">
        <v>250</v>
      </c>
      <c r="G119">
        <v>256</v>
      </c>
      <c r="H119">
        <v>274</v>
      </c>
      <c r="I119">
        <v>291</v>
      </c>
      <c r="L119" s="113">
        <f t="shared" si="6"/>
        <v>240</v>
      </c>
      <c r="M119" s="113">
        <f t="shared" ca="1" si="5"/>
        <v>282</v>
      </c>
    </row>
    <row r="120" spans="2:13" x14ac:dyDescent="0.25">
      <c r="B120">
        <v>114</v>
      </c>
      <c r="C120">
        <v>241</v>
      </c>
      <c r="D120">
        <v>123</v>
      </c>
      <c r="E120">
        <v>115</v>
      </c>
      <c r="F120">
        <v>113</v>
      </c>
      <c r="G120">
        <v>110</v>
      </c>
      <c r="H120">
        <v>112</v>
      </c>
      <c r="I120">
        <v>113</v>
      </c>
      <c r="L120" s="113">
        <f t="shared" si="6"/>
        <v>241</v>
      </c>
      <c r="M120" s="113">
        <f t="shared" ca="1" si="5"/>
        <v>115</v>
      </c>
    </row>
    <row r="121" spans="2:13" x14ac:dyDescent="0.25">
      <c r="B121">
        <v>115</v>
      </c>
      <c r="C121">
        <v>242</v>
      </c>
      <c r="D121">
        <v>361</v>
      </c>
      <c r="E121">
        <v>313</v>
      </c>
      <c r="F121">
        <v>267</v>
      </c>
      <c r="G121">
        <v>271</v>
      </c>
      <c r="H121">
        <v>292</v>
      </c>
      <c r="I121">
        <v>309</v>
      </c>
      <c r="L121" s="113">
        <f t="shared" si="6"/>
        <v>242</v>
      </c>
      <c r="M121" s="113">
        <f t="shared" ca="1" si="5"/>
        <v>302</v>
      </c>
    </row>
    <row r="122" spans="2:13" x14ac:dyDescent="0.25">
      <c r="B122">
        <v>116</v>
      </c>
      <c r="C122">
        <v>243</v>
      </c>
      <c r="D122">
        <v>404</v>
      </c>
      <c r="E122">
        <v>335</v>
      </c>
      <c r="F122">
        <v>285</v>
      </c>
      <c r="G122">
        <v>280</v>
      </c>
      <c r="H122">
        <v>323</v>
      </c>
      <c r="I122">
        <v>340</v>
      </c>
      <c r="L122" s="113">
        <f t="shared" si="6"/>
        <v>243</v>
      </c>
      <c r="M122" s="113">
        <f t="shared" ca="1" si="5"/>
        <v>326</v>
      </c>
    </row>
    <row r="123" spans="2:13" x14ac:dyDescent="0.25">
      <c r="B123">
        <v>117</v>
      </c>
      <c r="C123">
        <v>244</v>
      </c>
      <c r="D123">
        <v>2513</v>
      </c>
      <c r="E123">
        <v>2237</v>
      </c>
      <c r="F123">
        <v>2068</v>
      </c>
      <c r="G123">
        <v>2038</v>
      </c>
      <c r="H123">
        <v>2077</v>
      </c>
      <c r="I123">
        <v>2068</v>
      </c>
      <c r="L123" s="113">
        <f t="shared" si="6"/>
        <v>244</v>
      </c>
      <c r="M123" s="113">
        <f t="shared" ca="1" si="5"/>
        <v>2201</v>
      </c>
    </row>
    <row r="124" spans="2:13" x14ac:dyDescent="0.25">
      <c r="B124">
        <v>118</v>
      </c>
      <c r="C124">
        <v>245</v>
      </c>
      <c r="D124">
        <v>2891</v>
      </c>
      <c r="E124">
        <v>2597</v>
      </c>
      <c r="F124">
        <v>2424</v>
      </c>
      <c r="G124">
        <v>2393</v>
      </c>
      <c r="H124">
        <v>2422</v>
      </c>
      <c r="I124">
        <v>2383</v>
      </c>
      <c r="L124" s="113">
        <f t="shared" si="6"/>
        <v>245</v>
      </c>
      <c r="M124" s="113">
        <f t="shared" ca="1" si="5"/>
        <v>2561</v>
      </c>
    </row>
    <row r="125" spans="2:13" x14ac:dyDescent="0.25">
      <c r="B125">
        <v>119</v>
      </c>
      <c r="C125">
        <v>246</v>
      </c>
      <c r="D125">
        <v>3724</v>
      </c>
      <c r="E125">
        <v>3361</v>
      </c>
      <c r="F125">
        <v>3123</v>
      </c>
      <c r="G125">
        <v>3084</v>
      </c>
      <c r="H125">
        <v>3056</v>
      </c>
      <c r="I125">
        <v>3062</v>
      </c>
      <c r="L125" s="113">
        <f t="shared" si="6"/>
        <v>246</v>
      </c>
      <c r="M125" s="113">
        <f t="shared" ca="1" si="5"/>
        <v>3297</v>
      </c>
    </row>
    <row r="126" spans="2:13" x14ac:dyDescent="0.25">
      <c r="B126">
        <v>120</v>
      </c>
      <c r="C126">
        <v>247</v>
      </c>
      <c r="D126">
        <v>98</v>
      </c>
      <c r="E126">
        <v>96</v>
      </c>
      <c r="F126">
        <v>92</v>
      </c>
      <c r="G126">
        <v>88</v>
      </c>
      <c r="H126">
        <v>88</v>
      </c>
      <c r="I126">
        <v>88</v>
      </c>
      <c r="L126" s="113">
        <f t="shared" si="6"/>
        <v>247</v>
      </c>
      <c r="M126" s="113">
        <f t="shared" ca="1" si="5"/>
        <v>93</v>
      </c>
    </row>
    <row r="127" spans="2:13" x14ac:dyDescent="0.25">
      <c r="B127">
        <v>121</v>
      </c>
      <c r="C127">
        <v>248</v>
      </c>
      <c r="D127">
        <v>103</v>
      </c>
      <c r="E127">
        <v>100</v>
      </c>
      <c r="F127">
        <v>96</v>
      </c>
      <c r="G127">
        <v>92</v>
      </c>
      <c r="H127">
        <v>92</v>
      </c>
      <c r="I127">
        <v>91</v>
      </c>
      <c r="L127" s="113">
        <f t="shared" si="6"/>
        <v>248</v>
      </c>
      <c r="M127" s="113">
        <f t="shared" ca="1" si="5"/>
        <v>97</v>
      </c>
    </row>
    <row r="128" spans="2:13" x14ac:dyDescent="0.25">
      <c r="B128">
        <v>122</v>
      </c>
      <c r="C128">
        <v>249</v>
      </c>
      <c r="D128">
        <v>227</v>
      </c>
      <c r="E128">
        <v>193</v>
      </c>
      <c r="F128">
        <v>172</v>
      </c>
      <c r="G128">
        <v>172</v>
      </c>
      <c r="H128">
        <v>169</v>
      </c>
      <c r="I128">
        <v>172</v>
      </c>
      <c r="L128" s="113">
        <f t="shared" si="6"/>
        <v>249</v>
      </c>
      <c r="M128" s="113">
        <f t="shared" ca="1" si="5"/>
        <v>189</v>
      </c>
    </row>
    <row r="129" spans="2:13" x14ac:dyDescent="0.25">
      <c r="B129">
        <v>123</v>
      </c>
      <c r="C129">
        <v>251</v>
      </c>
      <c r="D129">
        <v>57</v>
      </c>
      <c r="E129">
        <v>48</v>
      </c>
      <c r="F129">
        <v>44</v>
      </c>
      <c r="G129">
        <v>42</v>
      </c>
      <c r="H129">
        <v>46</v>
      </c>
      <c r="I129">
        <v>47</v>
      </c>
      <c r="L129" s="113">
        <f t="shared" si="6"/>
        <v>251</v>
      </c>
      <c r="M129" s="113">
        <f t="shared" ca="1" si="5"/>
        <v>48</v>
      </c>
    </row>
    <row r="130" spans="2:13" x14ac:dyDescent="0.25">
      <c r="B130">
        <v>124</v>
      </c>
      <c r="C130">
        <v>252</v>
      </c>
      <c r="D130">
        <v>53</v>
      </c>
      <c r="E130">
        <v>52</v>
      </c>
      <c r="F130">
        <v>51</v>
      </c>
      <c r="G130">
        <v>51</v>
      </c>
      <c r="H130">
        <v>51</v>
      </c>
      <c r="I130">
        <v>51</v>
      </c>
      <c r="L130" s="113">
        <f t="shared" si="6"/>
        <v>252</v>
      </c>
      <c r="M130" s="113">
        <f t="shared" ca="1" si="5"/>
        <v>52</v>
      </c>
    </row>
    <row r="131" spans="2:13" x14ac:dyDescent="0.25">
      <c r="B131">
        <v>125</v>
      </c>
      <c r="C131">
        <v>253</v>
      </c>
      <c r="D131">
        <v>196</v>
      </c>
      <c r="E131">
        <v>199</v>
      </c>
      <c r="F131">
        <v>157</v>
      </c>
      <c r="G131">
        <v>150</v>
      </c>
      <c r="H131">
        <v>164</v>
      </c>
      <c r="I131">
        <v>119</v>
      </c>
      <c r="L131" s="113">
        <f t="shared" si="6"/>
        <v>253</v>
      </c>
      <c r="M131" s="113">
        <f t="shared" ca="1" si="5"/>
        <v>174</v>
      </c>
    </row>
    <row r="132" spans="2:13" x14ac:dyDescent="0.25">
      <c r="B132">
        <v>126</v>
      </c>
      <c r="C132">
        <v>254</v>
      </c>
      <c r="D132">
        <v>51</v>
      </c>
      <c r="E132">
        <v>41</v>
      </c>
      <c r="F132">
        <v>39</v>
      </c>
      <c r="G132">
        <v>48</v>
      </c>
      <c r="H132">
        <v>37</v>
      </c>
      <c r="I132">
        <v>32</v>
      </c>
      <c r="L132" s="113">
        <f t="shared" si="6"/>
        <v>254</v>
      </c>
      <c r="M132" s="113">
        <f t="shared" ca="1" si="5"/>
        <v>44</v>
      </c>
    </row>
    <row r="133" spans="2:13" x14ac:dyDescent="0.25">
      <c r="B133">
        <v>127</v>
      </c>
      <c r="C133">
        <v>255</v>
      </c>
      <c r="D133">
        <v>7</v>
      </c>
      <c r="E133">
        <v>7</v>
      </c>
      <c r="F133">
        <v>9</v>
      </c>
      <c r="G133">
        <v>8</v>
      </c>
      <c r="H133">
        <v>9</v>
      </c>
      <c r="I133">
        <v>8</v>
      </c>
      <c r="L133" s="113">
        <f t="shared" si="6"/>
        <v>255</v>
      </c>
      <c r="M133" s="113">
        <f t="shared" ca="1" si="5"/>
        <v>8</v>
      </c>
    </row>
    <row r="134" spans="2:13" x14ac:dyDescent="0.25">
      <c r="B134">
        <v>128</v>
      </c>
      <c r="C134">
        <v>257</v>
      </c>
      <c r="D134">
        <v>302</v>
      </c>
      <c r="E134">
        <v>295</v>
      </c>
      <c r="F134">
        <v>247</v>
      </c>
      <c r="G134">
        <v>233</v>
      </c>
      <c r="H134">
        <v>235</v>
      </c>
      <c r="I134">
        <v>239</v>
      </c>
      <c r="L134" s="113">
        <f t="shared" si="6"/>
        <v>257</v>
      </c>
      <c r="M134" s="113">
        <f t="shared" ca="1" si="5"/>
        <v>266</v>
      </c>
    </row>
    <row r="135" spans="2:13" x14ac:dyDescent="0.25">
      <c r="B135">
        <v>129</v>
      </c>
      <c r="C135">
        <v>259</v>
      </c>
      <c r="D135">
        <v>53</v>
      </c>
      <c r="E135">
        <v>52</v>
      </c>
      <c r="F135">
        <v>51</v>
      </c>
      <c r="G135">
        <v>51</v>
      </c>
      <c r="H135">
        <v>51</v>
      </c>
      <c r="I135">
        <v>51</v>
      </c>
      <c r="L135" s="113">
        <f t="shared" si="6"/>
        <v>259</v>
      </c>
      <c r="M135" s="113">
        <f t="shared" ca="1" si="5"/>
        <v>52</v>
      </c>
    </row>
    <row r="136" spans="2:13" x14ac:dyDescent="0.25">
      <c r="B136">
        <v>130</v>
      </c>
      <c r="C136">
        <v>261</v>
      </c>
      <c r="D136">
        <v>112</v>
      </c>
      <c r="E136">
        <v>107</v>
      </c>
      <c r="F136">
        <v>104</v>
      </c>
      <c r="G136">
        <v>99</v>
      </c>
      <c r="H136">
        <v>99</v>
      </c>
      <c r="I136">
        <v>98</v>
      </c>
      <c r="L136" s="113">
        <f t="shared" si="6"/>
        <v>261</v>
      </c>
      <c r="M136" s="113">
        <f t="shared" ref="M136:M199" ca="1" si="7">ROUND(SUMPRODUCT(D136:I136,$D$5:$I$5)/SUM($D$5:$I$5),0)</f>
        <v>105</v>
      </c>
    </row>
    <row r="137" spans="2:13" x14ac:dyDescent="0.25">
      <c r="B137">
        <v>131</v>
      </c>
      <c r="C137">
        <v>262</v>
      </c>
      <c r="D137">
        <v>16</v>
      </c>
      <c r="E137">
        <v>15</v>
      </c>
      <c r="F137">
        <v>17</v>
      </c>
      <c r="G137">
        <v>24</v>
      </c>
      <c r="H137">
        <v>26</v>
      </c>
      <c r="I137">
        <v>26</v>
      </c>
      <c r="L137" s="113">
        <f t="shared" si="6"/>
        <v>262</v>
      </c>
      <c r="M137" s="113">
        <f t="shared" ca="1" si="7"/>
        <v>19</v>
      </c>
    </row>
    <row r="138" spans="2:13" x14ac:dyDescent="0.25">
      <c r="B138">
        <v>132</v>
      </c>
      <c r="C138">
        <v>263</v>
      </c>
      <c r="D138">
        <v>33</v>
      </c>
      <c r="E138">
        <v>30</v>
      </c>
      <c r="F138">
        <v>30</v>
      </c>
      <c r="G138">
        <v>31</v>
      </c>
      <c r="H138">
        <v>32</v>
      </c>
      <c r="I138">
        <v>32</v>
      </c>
      <c r="L138" s="113">
        <f t="shared" si="6"/>
        <v>263</v>
      </c>
      <c r="M138" s="113">
        <f t="shared" ca="1" si="7"/>
        <v>31</v>
      </c>
    </row>
    <row r="139" spans="2:13" x14ac:dyDescent="0.25">
      <c r="B139">
        <v>133</v>
      </c>
      <c r="C139">
        <v>266</v>
      </c>
      <c r="D139">
        <v>9763</v>
      </c>
      <c r="E139">
        <v>8028</v>
      </c>
      <c r="F139">
        <v>6965</v>
      </c>
      <c r="G139">
        <v>6316</v>
      </c>
      <c r="H139">
        <v>6288</v>
      </c>
      <c r="I139">
        <v>6761</v>
      </c>
      <c r="L139" s="113">
        <f t="shared" si="6"/>
        <v>266</v>
      </c>
      <c r="M139" s="113">
        <f t="shared" ca="1" si="7"/>
        <v>7625</v>
      </c>
    </row>
    <row r="140" spans="2:13" x14ac:dyDescent="0.25">
      <c r="B140">
        <v>134</v>
      </c>
      <c r="C140">
        <v>269</v>
      </c>
      <c r="D140">
        <v>398</v>
      </c>
      <c r="E140">
        <v>643</v>
      </c>
      <c r="F140">
        <v>231</v>
      </c>
      <c r="G140">
        <v>171</v>
      </c>
      <c r="H140">
        <v>216</v>
      </c>
      <c r="I140">
        <v>306</v>
      </c>
      <c r="L140" s="113">
        <f t="shared" ref="L140:L203" si="8">C140</f>
        <v>269</v>
      </c>
      <c r="M140" s="113">
        <f t="shared" ca="1" si="7"/>
        <v>347</v>
      </c>
    </row>
    <row r="141" spans="2:13" x14ac:dyDescent="0.25">
      <c r="B141">
        <v>135</v>
      </c>
      <c r="C141">
        <v>270</v>
      </c>
      <c r="D141">
        <v>164</v>
      </c>
      <c r="E141">
        <v>172</v>
      </c>
      <c r="F141">
        <v>130</v>
      </c>
      <c r="G141">
        <v>117</v>
      </c>
      <c r="H141">
        <v>126</v>
      </c>
      <c r="I141">
        <v>87</v>
      </c>
      <c r="L141" s="113">
        <f t="shared" si="8"/>
        <v>270</v>
      </c>
      <c r="M141" s="113">
        <f t="shared" ca="1" si="7"/>
        <v>144</v>
      </c>
    </row>
    <row r="142" spans="2:13" x14ac:dyDescent="0.25">
      <c r="B142">
        <v>136</v>
      </c>
      <c r="C142">
        <v>271</v>
      </c>
      <c r="D142">
        <v>1061</v>
      </c>
      <c r="E142">
        <v>931</v>
      </c>
      <c r="F142">
        <v>922</v>
      </c>
      <c r="G142">
        <v>877</v>
      </c>
      <c r="H142">
        <v>849</v>
      </c>
      <c r="I142">
        <v>828</v>
      </c>
      <c r="L142" s="113">
        <f t="shared" si="8"/>
        <v>271</v>
      </c>
      <c r="M142" s="113">
        <f t="shared" ca="1" si="7"/>
        <v>938</v>
      </c>
    </row>
    <row r="143" spans="2:13" x14ac:dyDescent="0.25">
      <c r="B143">
        <v>137</v>
      </c>
      <c r="C143">
        <v>273</v>
      </c>
      <c r="D143">
        <v>449</v>
      </c>
      <c r="E143">
        <v>387</v>
      </c>
      <c r="F143">
        <v>358</v>
      </c>
      <c r="G143">
        <v>322</v>
      </c>
      <c r="H143">
        <v>327</v>
      </c>
      <c r="I143">
        <v>331</v>
      </c>
      <c r="L143" s="113">
        <f t="shared" si="8"/>
        <v>273</v>
      </c>
      <c r="M143" s="113">
        <f t="shared" ca="1" si="7"/>
        <v>374</v>
      </c>
    </row>
    <row r="144" spans="2:13" x14ac:dyDescent="0.25">
      <c r="B144">
        <v>138</v>
      </c>
      <c r="C144">
        <v>275</v>
      </c>
      <c r="D144">
        <v>2612</v>
      </c>
      <c r="E144">
        <v>2366</v>
      </c>
      <c r="F144">
        <v>1900</v>
      </c>
      <c r="G144">
        <v>1895</v>
      </c>
      <c r="H144">
        <v>1694</v>
      </c>
      <c r="I144">
        <v>1716</v>
      </c>
      <c r="L144" s="113">
        <f t="shared" si="8"/>
        <v>275</v>
      </c>
      <c r="M144" s="113">
        <f t="shared" ca="1" si="7"/>
        <v>2145</v>
      </c>
    </row>
    <row r="145" spans="2:13" x14ac:dyDescent="0.25">
      <c r="B145">
        <v>139</v>
      </c>
      <c r="C145">
        <v>277</v>
      </c>
      <c r="D145">
        <v>118</v>
      </c>
      <c r="E145">
        <v>120</v>
      </c>
      <c r="F145">
        <v>111</v>
      </c>
      <c r="G145">
        <v>104</v>
      </c>
      <c r="H145">
        <v>104</v>
      </c>
      <c r="I145">
        <v>101</v>
      </c>
      <c r="L145" s="113">
        <f t="shared" si="8"/>
        <v>277</v>
      </c>
      <c r="M145" s="113">
        <f t="shared" ca="1" si="7"/>
        <v>112</v>
      </c>
    </row>
    <row r="146" spans="2:13" x14ac:dyDescent="0.25">
      <c r="B146">
        <v>140</v>
      </c>
      <c r="C146">
        <v>278</v>
      </c>
      <c r="D146">
        <v>61</v>
      </c>
      <c r="E146">
        <v>61</v>
      </c>
      <c r="F146">
        <v>54</v>
      </c>
      <c r="G146">
        <v>54</v>
      </c>
      <c r="H146">
        <v>50</v>
      </c>
      <c r="I146">
        <v>61</v>
      </c>
      <c r="L146" s="113">
        <f t="shared" si="8"/>
        <v>278</v>
      </c>
      <c r="M146" s="113">
        <f t="shared" ca="1" si="7"/>
        <v>57</v>
      </c>
    </row>
    <row r="147" spans="2:13" x14ac:dyDescent="0.25">
      <c r="B147">
        <v>141</v>
      </c>
      <c r="C147">
        <v>279</v>
      </c>
      <c r="D147">
        <v>82</v>
      </c>
      <c r="E147">
        <v>72</v>
      </c>
      <c r="F147">
        <v>56</v>
      </c>
      <c r="G147">
        <v>53</v>
      </c>
      <c r="H147">
        <v>51</v>
      </c>
      <c r="I147">
        <v>46</v>
      </c>
      <c r="L147" s="113">
        <f t="shared" si="8"/>
        <v>279</v>
      </c>
      <c r="M147" s="113">
        <f t="shared" ca="1" si="7"/>
        <v>64</v>
      </c>
    </row>
    <row r="148" spans="2:13" x14ac:dyDescent="0.25">
      <c r="B148">
        <v>142</v>
      </c>
      <c r="C148">
        <v>280</v>
      </c>
      <c r="D148">
        <v>862</v>
      </c>
      <c r="E148">
        <v>691</v>
      </c>
      <c r="F148">
        <v>599</v>
      </c>
      <c r="G148">
        <v>535</v>
      </c>
      <c r="H148">
        <v>504</v>
      </c>
      <c r="I148">
        <v>416</v>
      </c>
      <c r="L148" s="113">
        <f t="shared" si="8"/>
        <v>280</v>
      </c>
      <c r="M148" s="113">
        <f t="shared" ca="1" si="7"/>
        <v>656</v>
      </c>
    </row>
    <row r="149" spans="2:13" x14ac:dyDescent="0.25">
      <c r="B149">
        <v>143</v>
      </c>
      <c r="C149">
        <v>281</v>
      </c>
      <c r="D149">
        <v>70</v>
      </c>
      <c r="E149">
        <v>69</v>
      </c>
      <c r="F149">
        <v>69</v>
      </c>
      <c r="G149">
        <v>69</v>
      </c>
      <c r="H149">
        <v>69</v>
      </c>
      <c r="I149">
        <v>69</v>
      </c>
      <c r="L149" s="113">
        <f t="shared" si="8"/>
        <v>281</v>
      </c>
      <c r="M149" s="113">
        <f t="shared" ca="1" si="7"/>
        <v>69</v>
      </c>
    </row>
    <row r="150" spans="2:13" x14ac:dyDescent="0.25">
      <c r="B150">
        <v>144</v>
      </c>
      <c r="C150">
        <v>283</v>
      </c>
      <c r="D150">
        <v>22</v>
      </c>
      <c r="E150">
        <v>20</v>
      </c>
      <c r="F150">
        <v>22</v>
      </c>
      <c r="G150">
        <v>28</v>
      </c>
      <c r="H150">
        <v>22</v>
      </c>
      <c r="I150">
        <v>22</v>
      </c>
      <c r="L150" s="113">
        <f t="shared" si="8"/>
        <v>283</v>
      </c>
      <c r="M150" s="113">
        <f t="shared" ca="1" si="7"/>
        <v>23</v>
      </c>
    </row>
    <row r="151" spans="2:13" x14ac:dyDescent="0.25">
      <c r="B151">
        <v>145</v>
      </c>
      <c r="C151">
        <v>284</v>
      </c>
      <c r="D151">
        <v>238</v>
      </c>
      <c r="E151">
        <v>152</v>
      </c>
      <c r="F151">
        <v>106</v>
      </c>
      <c r="G151">
        <v>179</v>
      </c>
      <c r="H151">
        <v>240</v>
      </c>
      <c r="I151">
        <v>262</v>
      </c>
      <c r="L151" s="113">
        <f t="shared" si="8"/>
        <v>284</v>
      </c>
      <c r="M151" s="113">
        <f t="shared" ca="1" si="7"/>
        <v>176</v>
      </c>
    </row>
    <row r="152" spans="2:13" x14ac:dyDescent="0.25">
      <c r="B152">
        <v>146</v>
      </c>
      <c r="C152">
        <v>285</v>
      </c>
      <c r="D152">
        <v>14063</v>
      </c>
      <c r="E152">
        <v>12565</v>
      </c>
      <c r="F152">
        <v>12811</v>
      </c>
      <c r="G152">
        <v>14937</v>
      </c>
      <c r="H152">
        <v>10797</v>
      </c>
      <c r="I152">
        <v>10232</v>
      </c>
      <c r="L152" s="113">
        <f t="shared" si="8"/>
        <v>285</v>
      </c>
      <c r="M152" s="113">
        <f t="shared" ca="1" si="7"/>
        <v>13323</v>
      </c>
    </row>
    <row r="153" spans="2:13" x14ac:dyDescent="0.25">
      <c r="B153">
        <v>147</v>
      </c>
      <c r="C153">
        <v>286</v>
      </c>
      <c r="D153">
        <v>110</v>
      </c>
      <c r="E153">
        <v>61</v>
      </c>
      <c r="F153">
        <v>46</v>
      </c>
      <c r="G153">
        <v>55</v>
      </c>
      <c r="H153">
        <v>58</v>
      </c>
      <c r="I153">
        <v>59</v>
      </c>
      <c r="L153" s="113">
        <f t="shared" si="8"/>
        <v>286</v>
      </c>
      <c r="M153" s="113">
        <f t="shared" ca="1" si="7"/>
        <v>67</v>
      </c>
    </row>
    <row r="154" spans="2:13" x14ac:dyDescent="0.25">
      <c r="B154">
        <v>148</v>
      </c>
      <c r="C154">
        <v>287</v>
      </c>
      <c r="D154">
        <v>14632</v>
      </c>
      <c r="E154">
        <v>12448</v>
      </c>
      <c r="F154">
        <v>13437</v>
      </c>
      <c r="G154">
        <v>15164</v>
      </c>
      <c r="H154">
        <v>10962</v>
      </c>
      <c r="I154">
        <v>10388</v>
      </c>
      <c r="L154" s="113">
        <f t="shared" si="8"/>
        <v>287</v>
      </c>
      <c r="M154" s="113">
        <f t="shared" ca="1" si="7"/>
        <v>13634</v>
      </c>
    </row>
    <row r="155" spans="2:13" x14ac:dyDescent="0.25">
      <c r="B155">
        <v>149</v>
      </c>
      <c r="C155">
        <v>290</v>
      </c>
      <c r="D155">
        <v>1020</v>
      </c>
      <c r="E155">
        <v>817</v>
      </c>
      <c r="F155">
        <v>675</v>
      </c>
      <c r="G155">
        <v>670</v>
      </c>
      <c r="H155">
        <v>606</v>
      </c>
      <c r="I155">
        <v>501</v>
      </c>
      <c r="L155" s="113">
        <f t="shared" si="8"/>
        <v>290</v>
      </c>
      <c r="M155" s="113">
        <f t="shared" ca="1" si="7"/>
        <v>777</v>
      </c>
    </row>
    <row r="156" spans="2:13" x14ac:dyDescent="0.25">
      <c r="B156">
        <v>150</v>
      </c>
      <c r="C156">
        <v>291</v>
      </c>
      <c r="D156">
        <v>81</v>
      </c>
      <c r="E156">
        <v>67</v>
      </c>
      <c r="F156">
        <v>59</v>
      </c>
      <c r="G156">
        <v>55</v>
      </c>
      <c r="H156">
        <v>52</v>
      </c>
      <c r="I156">
        <v>50</v>
      </c>
      <c r="L156" s="113">
        <f t="shared" si="8"/>
        <v>291</v>
      </c>
      <c r="M156" s="113">
        <f t="shared" ca="1" si="7"/>
        <v>64</v>
      </c>
    </row>
    <row r="157" spans="2:13" x14ac:dyDescent="0.25">
      <c r="B157">
        <v>151</v>
      </c>
      <c r="C157">
        <v>294</v>
      </c>
      <c r="D157">
        <v>111</v>
      </c>
      <c r="E157">
        <v>105</v>
      </c>
      <c r="F157">
        <v>104</v>
      </c>
      <c r="G157">
        <v>101</v>
      </c>
      <c r="H157">
        <v>103</v>
      </c>
      <c r="I157">
        <v>104</v>
      </c>
      <c r="L157" s="113">
        <f t="shared" si="8"/>
        <v>294</v>
      </c>
      <c r="M157" s="113">
        <f t="shared" ca="1" si="7"/>
        <v>105</v>
      </c>
    </row>
    <row r="158" spans="2:13" x14ac:dyDescent="0.25">
      <c r="B158">
        <v>152</v>
      </c>
      <c r="C158">
        <v>295</v>
      </c>
      <c r="D158">
        <v>69</v>
      </c>
      <c r="E158">
        <v>66</v>
      </c>
      <c r="F158">
        <v>65</v>
      </c>
      <c r="G158">
        <v>65</v>
      </c>
      <c r="H158">
        <v>65</v>
      </c>
      <c r="I158">
        <v>67</v>
      </c>
      <c r="L158" s="113">
        <f t="shared" si="8"/>
        <v>295</v>
      </c>
      <c r="M158" s="113">
        <f t="shared" ca="1" si="7"/>
        <v>66</v>
      </c>
    </row>
    <row r="159" spans="2:13" x14ac:dyDescent="0.25">
      <c r="B159">
        <v>153</v>
      </c>
      <c r="C159">
        <v>296</v>
      </c>
      <c r="D159">
        <v>32</v>
      </c>
      <c r="E159">
        <v>31</v>
      </c>
      <c r="F159">
        <v>31</v>
      </c>
      <c r="G159">
        <v>31</v>
      </c>
      <c r="H159">
        <v>30</v>
      </c>
      <c r="I159">
        <v>32</v>
      </c>
      <c r="L159" s="113">
        <f t="shared" si="8"/>
        <v>296</v>
      </c>
      <c r="M159" s="113">
        <f t="shared" ca="1" si="7"/>
        <v>31</v>
      </c>
    </row>
    <row r="160" spans="2:13" x14ac:dyDescent="0.25">
      <c r="B160">
        <v>154</v>
      </c>
      <c r="C160">
        <v>297</v>
      </c>
      <c r="D160">
        <v>870</v>
      </c>
      <c r="E160">
        <v>698</v>
      </c>
      <c r="F160">
        <v>604</v>
      </c>
      <c r="G160">
        <v>540</v>
      </c>
      <c r="H160">
        <v>508</v>
      </c>
      <c r="I160">
        <v>419</v>
      </c>
      <c r="L160" s="113">
        <f t="shared" si="8"/>
        <v>297</v>
      </c>
      <c r="M160" s="113">
        <f t="shared" ca="1" si="7"/>
        <v>662</v>
      </c>
    </row>
    <row r="161" spans="2:13" x14ac:dyDescent="0.25">
      <c r="B161">
        <v>155</v>
      </c>
      <c r="C161">
        <v>301</v>
      </c>
      <c r="D161">
        <v>10</v>
      </c>
      <c r="E161">
        <v>9</v>
      </c>
      <c r="F161">
        <v>7</v>
      </c>
      <c r="G161">
        <v>8</v>
      </c>
      <c r="H161">
        <v>10</v>
      </c>
      <c r="I161">
        <v>12</v>
      </c>
      <c r="L161" s="113">
        <f t="shared" si="8"/>
        <v>301</v>
      </c>
      <c r="M161" s="113">
        <f t="shared" ca="1" si="7"/>
        <v>9</v>
      </c>
    </row>
    <row r="162" spans="2:13" x14ac:dyDescent="0.25">
      <c r="B162">
        <v>156</v>
      </c>
      <c r="C162">
        <v>320</v>
      </c>
      <c r="D162">
        <v>12</v>
      </c>
      <c r="E162">
        <v>11</v>
      </c>
      <c r="F162">
        <v>9</v>
      </c>
      <c r="G162">
        <v>10</v>
      </c>
      <c r="H162">
        <v>12</v>
      </c>
      <c r="I162">
        <v>14</v>
      </c>
      <c r="L162" s="113">
        <f t="shared" si="8"/>
        <v>320</v>
      </c>
      <c r="M162" s="113">
        <f t="shared" ca="1" si="7"/>
        <v>11</v>
      </c>
    </row>
    <row r="163" spans="2:13" x14ac:dyDescent="0.25">
      <c r="L163" s="113">
        <f t="shared" si="8"/>
        <v>0</v>
      </c>
      <c r="M163" s="113">
        <f t="shared" ca="1" si="7"/>
        <v>0</v>
      </c>
    </row>
    <row r="164" spans="2:13" x14ac:dyDescent="0.25">
      <c r="L164" s="113">
        <f t="shared" si="8"/>
        <v>0</v>
      </c>
      <c r="M164" s="113">
        <f t="shared" ca="1" si="7"/>
        <v>0</v>
      </c>
    </row>
    <row r="165" spans="2:13" x14ac:dyDescent="0.25">
      <c r="L165" s="113">
        <f t="shared" si="8"/>
        <v>0</v>
      </c>
      <c r="M165" s="113">
        <f t="shared" ca="1" si="7"/>
        <v>0</v>
      </c>
    </row>
    <row r="166" spans="2:13" x14ac:dyDescent="0.25">
      <c r="L166" s="113">
        <f t="shared" si="8"/>
        <v>0</v>
      </c>
      <c r="M166" s="113">
        <f t="shared" ca="1" si="7"/>
        <v>0</v>
      </c>
    </row>
    <row r="167" spans="2:13" x14ac:dyDescent="0.25">
      <c r="L167" s="113">
        <f t="shared" si="8"/>
        <v>0</v>
      </c>
      <c r="M167" s="113">
        <f t="shared" ca="1" si="7"/>
        <v>0</v>
      </c>
    </row>
    <row r="168" spans="2:13" x14ac:dyDescent="0.25">
      <c r="L168" s="113">
        <f t="shared" si="8"/>
        <v>0</v>
      </c>
      <c r="M168" s="113">
        <f t="shared" ca="1" si="7"/>
        <v>0</v>
      </c>
    </row>
    <row r="169" spans="2:13" x14ac:dyDescent="0.25">
      <c r="L169" s="113">
        <f t="shared" si="8"/>
        <v>0</v>
      </c>
      <c r="M169" s="113">
        <f t="shared" ca="1" si="7"/>
        <v>0</v>
      </c>
    </row>
    <row r="170" spans="2:13" x14ac:dyDescent="0.25">
      <c r="L170" s="113">
        <f t="shared" si="8"/>
        <v>0</v>
      </c>
      <c r="M170" s="113">
        <f t="shared" ca="1" si="7"/>
        <v>0</v>
      </c>
    </row>
    <row r="171" spans="2:13" x14ac:dyDescent="0.25">
      <c r="L171" s="113">
        <f t="shared" si="8"/>
        <v>0</v>
      </c>
      <c r="M171" s="113">
        <f t="shared" ca="1" si="7"/>
        <v>0</v>
      </c>
    </row>
    <row r="172" spans="2:13" x14ac:dyDescent="0.25">
      <c r="L172" s="113">
        <f t="shared" si="8"/>
        <v>0</v>
      </c>
      <c r="M172" s="113">
        <f t="shared" ca="1" si="7"/>
        <v>0</v>
      </c>
    </row>
    <row r="173" spans="2:13" x14ac:dyDescent="0.25">
      <c r="L173" s="113">
        <f t="shared" si="8"/>
        <v>0</v>
      </c>
      <c r="M173" s="113">
        <f t="shared" ca="1" si="7"/>
        <v>0</v>
      </c>
    </row>
    <row r="174" spans="2:13" x14ac:dyDescent="0.25">
      <c r="L174" s="113">
        <f t="shared" si="8"/>
        <v>0</v>
      </c>
      <c r="M174" s="113">
        <f t="shared" ca="1" si="7"/>
        <v>0</v>
      </c>
    </row>
    <row r="175" spans="2:13" x14ac:dyDescent="0.25">
      <c r="L175" s="113">
        <f t="shared" si="8"/>
        <v>0</v>
      </c>
      <c r="M175" s="113">
        <f t="shared" ca="1" si="7"/>
        <v>0</v>
      </c>
    </row>
    <row r="176" spans="2:13" x14ac:dyDescent="0.25">
      <c r="L176" s="113">
        <f t="shared" si="8"/>
        <v>0</v>
      </c>
      <c r="M176" s="113">
        <f t="shared" ca="1" si="7"/>
        <v>0</v>
      </c>
    </row>
    <row r="177" spans="12:13" x14ac:dyDescent="0.25">
      <c r="L177" s="113">
        <f t="shared" si="8"/>
        <v>0</v>
      </c>
      <c r="M177" s="113">
        <f t="shared" ca="1" si="7"/>
        <v>0</v>
      </c>
    </row>
    <row r="178" spans="12:13" x14ac:dyDescent="0.25">
      <c r="L178" s="113">
        <f t="shared" si="8"/>
        <v>0</v>
      </c>
      <c r="M178" s="113">
        <f t="shared" ca="1" si="7"/>
        <v>0</v>
      </c>
    </row>
    <row r="179" spans="12:13" x14ac:dyDescent="0.25">
      <c r="L179" s="113">
        <f t="shared" si="8"/>
        <v>0</v>
      </c>
      <c r="M179" s="113">
        <f t="shared" ca="1" si="7"/>
        <v>0</v>
      </c>
    </row>
    <row r="180" spans="12:13" x14ac:dyDescent="0.25">
      <c r="L180" s="113">
        <f t="shared" si="8"/>
        <v>0</v>
      </c>
      <c r="M180" s="113">
        <f t="shared" ca="1" si="7"/>
        <v>0</v>
      </c>
    </row>
    <row r="181" spans="12:13" x14ac:dyDescent="0.25">
      <c r="L181" s="113">
        <f t="shared" si="8"/>
        <v>0</v>
      </c>
      <c r="M181" s="113">
        <f t="shared" ca="1" si="7"/>
        <v>0</v>
      </c>
    </row>
    <row r="182" spans="12:13" x14ac:dyDescent="0.25">
      <c r="L182" s="113">
        <f t="shared" si="8"/>
        <v>0</v>
      </c>
      <c r="M182" s="113">
        <f t="shared" ca="1" si="7"/>
        <v>0</v>
      </c>
    </row>
    <row r="183" spans="12:13" x14ac:dyDescent="0.25">
      <c r="L183" s="113">
        <f t="shared" si="8"/>
        <v>0</v>
      </c>
      <c r="M183" s="113">
        <f t="shared" ca="1" si="7"/>
        <v>0</v>
      </c>
    </row>
    <row r="184" spans="12:13" x14ac:dyDescent="0.25">
      <c r="L184" s="113">
        <f t="shared" si="8"/>
        <v>0</v>
      </c>
      <c r="M184" s="113">
        <f t="shared" ca="1" si="7"/>
        <v>0</v>
      </c>
    </row>
    <row r="185" spans="12:13" x14ac:dyDescent="0.25">
      <c r="L185" s="113">
        <f t="shared" si="8"/>
        <v>0</v>
      </c>
      <c r="M185" s="113">
        <f t="shared" ca="1" si="7"/>
        <v>0</v>
      </c>
    </row>
    <row r="186" spans="12:13" x14ac:dyDescent="0.25">
      <c r="L186" s="113">
        <f t="shared" si="8"/>
        <v>0</v>
      </c>
      <c r="M186" s="113">
        <f t="shared" ca="1" si="7"/>
        <v>0</v>
      </c>
    </row>
    <row r="187" spans="12:13" x14ac:dyDescent="0.25">
      <c r="L187" s="113">
        <f t="shared" si="8"/>
        <v>0</v>
      </c>
      <c r="M187" s="113">
        <f t="shared" ca="1" si="7"/>
        <v>0</v>
      </c>
    </row>
    <row r="188" spans="12:13" x14ac:dyDescent="0.25">
      <c r="L188" s="113">
        <f t="shared" si="8"/>
        <v>0</v>
      </c>
      <c r="M188" s="113">
        <f t="shared" ca="1" si="7"/>
        <v>0</v>
      </c>
    </row>
    <row r="189" spans="12:13" x14ac:dyDescent="0.25">
      <c r="L189" s="113">
        <f t="shared" si="8"/>
        <v>0</v>
      </c>
      <c r="M189" s="113">
        <f t="shared" ca="1" si="7"/>
        <v>0</v>
      </c>
    </row>
    <row r="190" spans="12:13" x14ac:dyDescent="0.25">
      <c r="L190" s="113">
        <f t="shared" si="8"/>
        <v>0</v>
      </c>
      <c r="M190" s="113">
        <f t="shared" ca="1" si="7"/>
        <v>0</v>
      </c>
    </row>
    <row r="191" spans="12:13" x14ac:dyDescent="0.25">
      <c r="L191" s="113">
        <f t="shared" si="8"/>
        <v>0</v>
      </c>
      <c r="M191" s="113">
        <f t="shared" ca="1" si="7"/>
        <v>0</v>
      </c>
    </row>
    <row r="192" spans="12:13" x14ac:dyDescent="0.25">
      <c r="L192" s="113">
        <f t="shared" si="8"/>
        <v>0</v>
      </c>
      <c r="M192" s="113">
        <f t="shared" ca="1" si="7"/>
        <v>0</v>
      </c>
    </row>
    <row r="193" spans="12:13" x14ac:dyDescent="0.25">
      <c r="L193" s="113">
        <f t="shared" si="8"/>
        <v>0</v>
      </c>
      <c r="M193" s="113">
        <f t="shared" ca="1" si="7"/>
        <v>0</v>
      </c>
    </row>
    <row r="194" spans="12:13" x14ac:dyDescent="0.25">
      <c r="L194" s="113">
        <f t="shared" si="8"/>
        <v>0</v>
      </c>
      <c r="M194" s="113">
        <f t="shared" ca="1" si="7"/>
        <v>0</v>
      </c>
    </row>
    <row r="195" spans="12:13" x14ac:dyDescent="0.25">
      <c r="L195" s="113">
        <f t="shared" si="8"/>
        <v>0</v>
      </c>
      <c r="M195" s="113">
        <f t="shared" ca="1" si="7"/>
        <v>0</v>
      </c>
    </row>
    <row r="196" spans="12:13" x14ac:dyDescent="0.25">
      <c r="L196" s="113">
        <f t="shared" si="8"/>
        <v>0</v>
      </c>
      <c r="M196" s="113">
        <f t="shared" ca="1" si="7"/>
        <v>0</v>
      </c>
    </row>
    <row r="197" spans="12:13" x14ac:dyDescent="0.25">
      <c r="L197" s="113">
        <f t="shared" si="8"/>
        <v>0</v>
      </c>
      <c r="M197" s="113">
        <f t="shared" ca="1" si="7"/>
        <v>0</v>
      </c>
    </row>
    <row r="198" spans="12:13" x14ac:dyDescent="0.25">
      <c r="L198" s="113">
        <f t="shared" si="8"/>
        <v>0</v>
      </c>
      <c r="M198" s="113">
        <f t="shared" ca="1" si="7"/>
        <v>0</v>
      </c>
    </row>
    <row r="199" spans="12:13" x14ac:dyDescent="0.25">
      <c r="L199" s="113">
        <f t="shared" si="8"/>
        <v>0</v>
      </c>
      <c r="M199" s="113">
        <f t="shared" ca="1" si="7"/>
        <v>0</v>
      </c>
    </row>
    <row r="200" spans="12:13" x14ac:dyDescent="0.25">
      <c r="L200" s="113">
        <f t="shared" si="8"/>
        <v>0</v>
      </c>
      <c r="M200" s="113">
        <f t="shared" ref="M200:M263" ca="1" si="9">ROUND(SUMPRODUCT(D200:I200,$D$5:$I$5)/SUM($D$5:$I$5),0)</f>
        <v>0</v>
      </c>
    </row>
    <row r="201" spans="12:13" x14ac:dyDescent="0.25">
      <c r="L201" s="113">
        <f t="shared" si="8"/>
        <v>0</v>
      </c>
      <c r="M201" s="113">
        <f t="shared" ca="1" si="9"/>
        <v>0</v>
      </c>
    </row>
    <row r="202" spans="12:13" x14ac:dyDescent="0.25">
      <c r="L202" s="113">
        <f t="shared" si="8"/>
        <v>0</v>
      </c>
      <c r="M202" s="113">
        <f t="shared" ca="1" si="9"/>
        <v>0</v>
      </c>
    </row>
    <row r="203" spans="12:13" x14ac:dyDescent="0.25">
      <c r="L203" s="113">
        <f t="shared" si="8"/>
        <v>0</v>
      </c>
      <c r="M203" s="113">
        <f t="shared" ca="1" si="9"/>
        <v>0</v>
      </c>
    </row>
    <row r="204" spans="12:13" x14ac:dyDescent="0.25">
      <c r="L204" s="113">
        <f t="shared" ref="L204:L267" si="10">C204</f>
        <v>0</v>
      </c>
      <c r="M204" s="113">
        <f t="shared" ca="1" si="9"/>
        <v>0</v>
      </c>
    </row>
    <row r="205" spans="12:13" x14ac:dyDescent="0.25">
      <c r="L205" s="113">
        <f t="shared" si="10"/>
        <v>0</v>
      </c>
      <c r="M205" s="113">
        <f t="shared" ca="1" si="9"/>
        <v>0</v>
      </c>
    </row>
    <row r="206" spans="12:13" x14ac:dyDescent="0.25">
      <c r="L206" s="113">
        <f t="shared" si="10"/>
        <v>0</v>
      </c>
      <c r="M206" s="113">
        <f t="shared" ca="1" si="9"/>
        <v>0</v>
      </c>
    </row>
    <row r="207" spans="12:13" x14ac:dyDescent="0.25">
      <c r="L207" s="113">
        <f t="shared" si="10"/>
        <v>0</v>
      </c>
      <c r="M207" s="113">
        <f t="shared" ca="1" si="9"/>
        <v>0</v>
      </c>
    </row>
    <row r="208" spans="12:13" x14ac:dyDescent="0.25">
      <c r="L208" s="113">
        <f t="shared" si="10"/>
        <v>0</v>
      </c>
      <c r="M208" s="113">
        <f t="shared" ca="1" si="9"/>
        <v>0</v>
      </c>
    </row>
    <row r="209" spans="12:13" x14ac:dyDescent="0.25">
      <c r="L209" s="113">
        <f t="shared" si="10"/>
        <v>0</v>
      </c>
      <c r="M209" s="113">
        <f t="shared" ca="1" si="9"/>
        <v>0</v>
      </c>
    </row>
    <row r="210" spans="12:13" x14ac:dyDescent="0.25">
      <c r="L210" s="113">
        <f t="shared" si="10"/>
        <v>0</v>
      </c>
      <c r="M210" s="113">
        <f t="shared" ca="1" si="9"/>
        <v>0</v>
      </c>
    </row>
    <row r="211" spans="12:13" x14ac:dyDescent="0.25">
      <c r="L211" s="113">
        <f t="shared" si="10"/>
        <v>0</v>
      </c>
      <c r="M211" s="113">
        <f t="shared" ca="1" si="9"/>
        <v>0</v>
      </c>
    </row>
    <row r="212" spans="12:13" x14ac:dyDescent="0.25">
      <c r="L212" s="113">
        <f t="shared" si="10"/>
        <v>0</v>
      </c>
      <c r="M212" s="113">
        <f t="shared" ca="1" si="9"/>
        <v>0</v>
      </c>
    </row>
    <row r="213" spans="12:13" x14ac:dyDescent="0.25">
      <c r="L213" s="113">
        <f t="shared" si="10"/>
        <v>0</v>
      </c>
      <c r="M213" s="113">
        <f t="shared" ca="1" si="9"/>
        <v>0</v>
      </c>
    </row>
    <row r="214" spans="12:13" x14ac:dyDescent="0.25">
      <c r="L214" s="113">
        <f t="shared" si="10"/>
        <v>0</v>
      </c>
      <c r="M214" s="113">
        <f t="shared" ca="1" si="9"/>
        <v>0</v>
      </c>
    </row>
    <row r="215" spans="12:13" x14ac:dyDescent="0.25">
      <c r="L215" s="113">
        <f t="shared" si="10"/>
        <v>0</v>
      </c>
      <c r="M215" s="113">
        <f t="shared" ca="1" si="9"/>
        <v>0</v>
      </c>
    </row>
    <row r="216" spans="12:13" x14ac:dyDescent="0.25">
      <c r="L216" s="113">
        <f t="shared" si="10"/>
        <v>0</v>
      </c>
      <c r="M216" s="113">
        <f t="shared" ca="1" si="9"/>
        <v>0</v>
      </c>
    </row>
    <row r="217" spans="12:13" x14ac:dyDescent="0.25">
      <c r="L217" s="113">
        <f t="shared" si="10"/>
        <v>0</v>
      </c>
      <c r="M217" s="113">
        <f t="shared" ca="1" si="9"/>
        <v>0</v>
      </c>
    </row>
    <row r="218" spans="12:13" x14ac:dyDescent="0.25">
      <c r="L218" s="113">
        <f t="shared" si="10"/>
        <v>0</v>
      </c>
      <c r="M218" s="113">
        <f t="shared" ca="1" si="9"/>
        <v>0</v>
      </c>
    </row>
    <row r="219" spans="12:13" x14ac:dyDescent="0.25">
      <c r="L219" s="113">
        <f t="shared" si="10"/>
        <v>0</v>
      </c>
      <c r="M219" s="113">
        <f t="shared" ca="1" si="9"/>
        <v>0</v>
      </c>
    </row>
    <row r="220" spans="12:13" x14ac:dyDescent="0.25">
      <c r="L220" s="113">
        <f t="shared" si="10"/>
        <v>0</v>
      </c>
      <c r="M220" s="113">
        <f t="shared" ca="1" si="9"/>
        <v>0</v>
      </c>
    </row>
    <row r="221" spans="12:13" x14ac:dyDescent="0.25">
      <c r="L221" s="113">
        <f t="shared" si="10"/>
        <v>0</v>
      </c>
      <c r="M221" s="113">
        <f t="shared" ca="1" si="9"/>
        <v>0</v>
      </c>
    </row>
    <row r="222" spans="12:13" x14ac:dyDescent="0.25">
      <c r="L222" s="113">
        <f t="shared" si="10"/>
        <v>0</v>
      </c>
      <c r="M222" s="113">
        <f t="shared" ca="1" si="9"/>
        <v>0</v>
      </c>
    </row>
    <row r="223" spans="12:13" x14ac:dyDescent="0.25">
      <c r="L223" s="113">
        <f t="shared" si="10"/>
        <v>0</v>
      </c>
      <c r="M223" s="113">
        <f t="shared" ca="1" si="9"/>
        <v>0</v>
      </c>
    </row>
    <row r="224" spans="12:13" x14ac:dyDescent="0.25">
      <c r="L224" s="113">
        <f t="shared" si="10"/>
        <v>0</v>
      </c>
      <c r="M224" s="113">
        <f t="shared" ca="1" si="9"/>
        <v>0</v>
      </c>
    </row>
    <row r="225" spans="12:13" x14ac:dyDescent="0.25">
      <c r="L225" s="113">
        <f t="shared" si="10"/>
        <v>0</v>
      </c>
      <c r="M225" s="113">
        <f t="shared" ca="1" si="9"/>
        <v>0</v>
      </c>
    </row>
    <row r="226" spans="12:13" x14ac:dyDescent="0.25">
      <c r="L226" s="113">
        <f t="shared" si="10"/>
        <v>0</v>
      </c>
      <c r="M226" s="113">
        <f t="shared" ca="1" si="9"/>
        <v>0</v>
      </c>
    </row>
    <row r="227" spans="12:13" x14ac:dyDescent="0.25">
      <c r="L227" s="113">
        <f t="shared" si="10"/>
        <v>0</v>
      </c>
      <c r="M227" s="113">
        <f t="shared" ca="1" si="9"/>
        <v>0</v>
      </c>
    </row>
    <row r="228" spans="12:13" x14ac:dyDescent="0.25">
      <c r="L228" s="113">
        <f t="shared" si="10"/>
        <v>0</v>
      </c>
      <c r="M228" s="113">
        <f t="shared" ca="1" si="9"/>
        <v>0</v>
      </c>
    </row>
    <row r="229" spans="12:13" x14ac:dyDescent="0.25">
      <c r="L229" s="113">
        <f t="shared" si="10"/>
        <v>0</v>
      </c>
      <c r="M229" s="113">
        <f t="shared" ca="1" si="9"/>
        <v>0</v>
      </c>
    </row>
    <row r="230" spans="12:13" x14ac:dyDescent="0.25">
      <c r="L230" s="113">
        <f t="shared" si="10"/>
        <v>0</v>
      </c>
      <c r="M230" s="113">
        <f t="shared" ca="1" si="9"/>
        <v>0</v>
      </c>
    </row>
    <row r="231" spans="12:13" x14ac:dyDescent="0.25">
      <c r="L231" s="113">
        <f t="shared" si="10"/>
        <v>0</v>
      </c>
      <c r="M231" s="113">
        <f t="shared" ca="1" si="9"/>
        <v>0</v>
      </c>
    </row>
    <row r="232" spans="12:13" x14ac:dyDescent="0.25">
      <c r="L232" s="113">
        <f t="shared" si="10"/>
        <v>0</v>
      </c>
      <c r="M232" s="113">
        <f t="shared" ca="1" si="9"/>
        <v>0</v>
      </c>
    </row>
    <row r="233" spans="12:13" x14ac:dyDescent="0.25">
      <c r="L233" s="113">
        <f t="shared" si="10"/>
        <v>0</v>
      </c>
      <c r="M233" s="113">
        <f t="shared" ca="1" si="9"/>
        <v>0</v>
      </c>
    </row>
    <row r="234" spans="12:13" x14ac:dyDescent="0.25">
      <c r="L234" s="113">
        <f t="shared" si="10"/>
        <v>0</v>
      </c>
      <c r="M234" s="113">
        <f t="shared" ca="1" si="9"/>
        <v>0</v>
      </c>
    </row>
    <row r="235" spans="12:13" x14ac:dyDescent="0.25">
      <c r="L235" s="113">
        <f t="shared" si="10"/>
        <v>0</v>
      </c>
      <c r="M235" s="113">
        <f t="shared" ca="1" si="9"/>
        <v>0</v>
      </c>
    </row>
    <row r="236" spans="12:13" x14ac:dyDescent="0.25">
      <c r="L236" s="113">
        <f t="shared" si="10"/>
        <v>0</v>
      </c>
      <c r="M236" s="113">
        <f t="shared" ca="1" si="9"/>
        <v>0</v>
      </c>
    </row>
    <row r="237" spans="12:13" x14ac:dyDescent="0.25">
      <c r="L237" s="113">
        <f t="shared" si="10"/>
        <v>0</v>
      </c>
      <c r="M237" s="113">
        <f t="shared" ca="1" si="9"/>
        <v>0</v>
      </c>
    </row>
    <row r="238" spans="12:13" x14ac:dyDescent="0.25">
      <c r="L238" s="113">
        <f t="shared" si="10"/>
        <v>0</v>
      </c>
      <c r="M238" s="113">
        <f t="shared" ca="1" si="9"/>
        <v>0</v>
      </c>
    </row>
    <row r="239" spans="12:13" x14ac:dyDescent="0.25">
      <c r="L239" s="113">
        <f t="shared" si="10"/>
        <v>0</v>
      </c>
      <c r="M239" s="113">
        <f t="shared" ca="1" si="9"/>
        <v>0</v>
      </c>
    </row>
    <row r="240" spans="12:13" x14ac:dyDescent="0.25">
      <c r="L240" s="113">
        <f t="shared" si="10"/>
        <v>0</v>
      </c>
      <c r="M240" s="113">
        <f t="shared" ca="1" si="9"/>
        <v>0</v>
      </c>
    </row>
    <row r="241" spans="12:13" x14ac:dyDescent="0.25">
      <c r="L241" s="113">
        <f t="shared" si="10"/>
        <v>0</v>
      </c>
      <c r="M241" s="113">
        <f t="shared" ca="1" si="9"/>
        <v>0</v>
      </c>
    </row>
    <row r="242" spans="12:13" x14ac:dyDescent="0.25">
      <c r="L242" s="113">
        <f t="shared" si="10"/>
        <v>0</v>
      </c>
      <c r="M242" s="113">
        <f t="shared" ca="1" si="9"/>
        <v>0</v>
      </c>
    </row>
    <row r="243" spans="12:13" x14ac:dyDescent="0.25">
      <c r="L243" s="113">
        <f t="shared" si="10"/>
        <v>0</v>
      </c>
      <c r="M243" s="113">
        <f t="shared" ca="1" si="9"/>
        <v>0</v>
      </c>
    </row>
    <row r="244" spans="12:13" x14ac:dyDescent="0.25">
      <c r="L244" s="113">
        <f t="shared" si="10"/>
        <v>0</v>
      </c>
      <c r="M244" s="113">
        <f t="shared" ca="1" si="9"/>
        <v>0</v>
      </c>
    </row>
    <row r="245" spans="12:13" x14ac:dyDescent="0.25">
      <c r="L245" s="113">
        <f t="shared" si="10"/>
        <v>0</v>
      </c>
      <c r="M245" s="113">
        <f t="shared" ca="1" si="9"/>
        <v>0</v>
      </c>
    </row>
    <row r="246" spans="12:13" x14ac:dyDescent="0.25">
      <c r="L246" s="113">
        <f t="shared" si="10"/>
        <v>0</v>
      </c>
      <c r="M246" s="113">
        <f t="shared" ca="1" si="9"/>
        <v>0</v>
      </c>
    </row>
    <row r="247" spans="12:13" x14ac:dyDescent="0.25">
      <c r="L247" s="113">
        <f t="shared" si="10"/>
        <v>0</v>
      </c>
      <c r="M247" s="113">
        <f t="shared" ca="1" si="9"/>
        <v>0</v>
      </c>
    </row>
    <row r="248" spans="12:13" x14ac:dyDescent="0.25">
      <c r="L248" s="113">
        <f t="shared" si="10"/>
        <v>0</v>
      </c>
      <c r="M248" s="113">
        <f t="shared" ca="1" si="9"/>
        <v>0</v>
      </c>
    </row>
    <row r="249" spans="12:13" x14ac:dyDescent="0.25">
      <c r="L249" s="113">
        <f t="shared" si="10"/>
        <v>0</v>
      </c>
      <c r="M249" s="113">
        <f t="shared" ca="1" si="9"/>
        <v>0</v>
      </c>
    </row>
    <row r="250" spans="12:13" x14ac:dyDescent="0.25">
      <c r="L250" s="113">
        <f t="shared" si="10"/>
        <v>0</v>
      </c>
      <c r="M250" s="113">
        <f t="shared" ca="1" si="9"/>
        <v>0</v>
      </c>
    </row>
    <row r="251" spans="12:13" x14ac:dyDescent="0.25">
      <c r="L251" s="113">
        <f t="shared" si="10"/>
        <v>0</v>
      </c>
      <c r="M251" s="113">
        <f t="shared" ca="1" si="9"/>
        <v>0</v>
      </c>
    </row>
    <row r="252" spans="12:13" x14ac:dyDescent="0.25">
      <c r="L252" s="113">
        <f t="shared" si="10"/>
        <v>0</v>
      </c>
      <c r="M252" s="113">
        <f t="shared" ca="1" si="9"/>
        <v>0</v>
      </c>
    </row>
    <row r="253" spans="12:13" x14ac:dyDescent="0.25">
      <c r="L253" s="113">
        <f t="shared" si="10"/>
        <v>0</v>
      </c>
      <c r="M253" s="113">
        <f t="shared" ca="1" si="9"/>
        <v>0</v>
      </c>
    </row>
    <row r="254" spans="12:13" x14ac:dyDescent="0.25">
      <c r="L254" s="113">
        <f t="shared" si="10"/>
        <v>0</v>
      </c>
      <c r="M254" s="113">
        <f t="shared" ca="1" si="9"/>
        <v>0</v>
      </c>
    </row>
    <row r="255" spans="12:13" x14ac:dyDescent="0.25">
      <c r="L255" s="113">
        <f t="shared" si="10"/>
        <v>0</v>
      </c>
      <c r="M255" s="113">
        <f t="shared" ca="1" si="9"/>
        <v>0</v>
      </c>
    </row>
    <row r="256" spans="12:13" x14ac:dyDescent="0.25">
      <c r="L256" s="113">
        <f t="shared" si="10"/>
        <v>0</v>
      </c>
      <c r="M256" s="113">
        <f t="shared" ca="1" si="9"/>
        <v>0</v>
      </c>
    </row>
    <row r="257" spans="12:13" x14ac:dyDescent="0.25">
      <c r="L257" s="113">
        <f t="shared" si="10"/>
        <v>0</v>
      </c>
      <c r="M257" s="113">
        <f t="shared" ca="1" si="9"/>
        <v>0</v>
      </c>
    </row>
    <row r="258" spans="12:13" x14ac:dyDescent="0.25">
      <c r="L258" s="113">
        <f t="shared" si="10"/>
        <v>0</v>
      </c>
      <c r="M258" s="113">
        <f t="shared" ca="1" si="9"/>
        <v>0</v>
      </c>
    </row>
    <row r="259" spans="12:13" x14ac:dyDescent="0.25">
      <c r="L259" s="113">
        <f t="shared" si="10"/>
        <v>0</v>
      </c>
      <c r="M259" s="113">
        <f t="shared" ca="1" si="9"/>
        <v>0</v>
      </c>
    </row>
    <row r="260" spans="12:13" x14ac:dyDescent="0.25">
      <c r="L260" s="113">
        <f t="shared" si="10"/>
        <v>0</v>
      </c>
      <c r="M260" s="113">
        <f t="shared" ca="1" si="9"/>
        <v>0</v>
      </c>
    </row>
    <row r="261" spans="12:13" x14ac:dyDescent="0.25">
      <c r="L261" s="113">
        <f t="shared" si="10"/>
        <v>0</v>
      </c>
      <c r="M261" s="113">
        <f t="shared" ca="1" si="9"/>
        <v>0</v>
      </c>
    </row>
    <row r="262" spans="12:13" x14ac:dyDescent="0.25">
      <c r="L262" s="113">
        <f t="shared" si="10"/>
        <v>0</v>
      </c>
      <c r="M262" s="113">
        <f t="shared" ca="1" si="9"/>
        <v>0</v>
      </c>
    </row>
    <row r="263" spans="12:13" x14ac:dyDescent="0.25">
      <c r="L263" s="113">
        <f t="shared" si="10"/>
        <v>0</v>
      </c>
      <c r="M263" s="113">
        <f t="shared" ca="1" si="9"/>
        <v>0</v>
      </c>
    </row>
    <row r="264" spans="12:13" x14ac:dyDescent="0.25">
      <c r="L264" s="113">
        <f t="shared" si="10"/>
        <v>0</v>
      </c>
      <c r="M264" s="113">
        <f t="shared" ref="M264:M326" ca="1" si="11">ROUND(SUMPRODUCT(D264:I264,$D$5:$I$5)/SUM($D$5:$I$5),0)</f>
        <v>0</v>
      </c>
    </row>
    <row r="265" spans="12:13" x14ac:dyDescent="0.25">
      <c r="L265" s="113">
        <f t="shared" si="10"/>
        <v>0</v>
      </c>
      <c r="M265" s="113">
        <f t="shared" ca="1" si="11"/>
        <v>0</v>
      </c>
    </row>
    <row r="266" spans="12:13" x14ac:dyDescent="0.25">
      <c r="L266" s="113">
        <f t="shared" si="10"/>
        <v>0</v>
      </c>
      <c r="M266" s="113">
        <f t="shared" ca="1" si="11"/>
        <v>0</v>
      </c>
    </row>
    <row r="267" spans="12:13" x14ac:dyDescent="0.25">
      <c r="L267" s="113">
        <f t="shared" si="10"/>
        <v>0</v>
      </c>
      <c r="M267" s="113">
        <f t="shared" ca="1" si="11"/>
        <v>0</v>
      </c>
    </row>
    <row r="268" spans="12:13" x14ac:dyDescent="0.25">
      <c r="L268" s="113">
        <f t="shared" ref="L268:L326" si="12">C268</f>
        <v>0</v>
      </c>
      <c r="M268" s="113">
        <f t="shared" ca="1" si="11"/>
        <v>0</v>
      </c>
    </row>
    <row r="269" spans="12:13" x14ac:dyDescent="0.25">
      <c r="L269" s="113">
        <f t="shared" si="12"/>
        <v>0</v>
      </c>
      <c r="M269" s="113">
        <f t="shared" ca="1" si="11"/>
        <v>0</v>
      </c>
    </row>
    <row r="270" spans="12:13" x14ac:dyDescent="0.25">
      <c r="L270" s="113">
        <f t="shared" si="12"/>
        <v>0</v>
      </c>
      <c r="M270" s="113">
        <f t="shared" ca="1" si="11"/>
        <v>0</v>
      </c>
    </row>
    <row r="271" spans="12:13" x14ac:dyDescent="0.25">
      <c r="L271" s="113">
        <f t="shared" si="12"/>
        <v>0</v>
      </c>
      <c r="M271" s="113">
        <f t="shared" ca="1" si="11"/>
        <v>0</v>
      </c>
    </row>
    <row r="272" spans="12:13" x14ac:dyDescent="0.25">
      <c r="L272" s="113">
        <f t="shared" si="12"/>
        <v>0</v>
      </c>
      <c r="M272" s="113">
        <f t="shared" ca="1" si="11"/>
        <v>0</v>
      </c>
    </row>
    <row r="273" spans="12:13" x14ac:dyDescent="0.25">
      <c r="L273" s="113">
        <f t="shared" si="12"/>
        <v>0</v>
      </c>
      <c r="M273" s="113">
        <f t="shared" ca="1" si="11"/>
        <v>0</v>
      </c>
    </row>
    <row r="274" spans="12:13" x14ac:dyDescent="0.25">
      <c r="L274" s="113">
        <f t="shared" si="12"/>
        <v>0</v>
      </c>
      <c r="M274" s="113">
        <f t="shared" ca="1" si="11"/>
        <v>0</v>
      </c>
    </row>
    <row r="275" spans="12:13" x14ac:dyDescent="0.25">
      <c r="L275" s="113">
        <f t="shared" si="12"/>
        <v>0</v>
      </c>
      <c r="M275" s="113">
        <f t="shared" ca="1" si="11"/>
        <v>0</v>
      </c>
    </row>
    <row r="276" spans="12:13" x14ac:dyDescent="0.25">
      <c r="L276" s="113">
        <f t="shared" si="12"/>
        <v>0</v>
      </c>
      <c r="M276" s="113">
        <f t="shared" ca="1" si="11"/>
        <v>0</v>
      </c>
    </row>
    <row r="277" spans="12:13" x14ac:dyDescent="0.25">
      <c r="L277" s="113">
        <f t="shared" si="12"/>
        <v>0</v>
      </c>
      <c r="M277" s="113">
        <f t="shared" ca="1" si="11"/>
        <v>0</v>
      </c>
    </row>
    <row r="278" spans="12:13" x14ac:dyDescent="0.25">
      <c r="L278" s="113">
        <f t="shared" si="12"/>
        <v>0</v>
      </c>
      <c r="M278" s="113">
        <f t="shared" ca="1" si="11"/>
        <v>0</v>
      </c>
    </row>
    <row r="279" spans="12:13" x14ac:dyDescent="0.25">
      <c r="L279" s="113">
        <f t="shared" si="12"/>
        <v>0</v>
      </c>
      <c r="M279" s="113">
        <f t="shared" ca="1" si="11"/>
        <v>0</v>
      </c>
    </row>
    <row r="280" spans="12:13" x14ac:dyDescent="0.25">
      <c r="L280" s="113">
        <f t="shared" si="12"/>
        <v>0</v>
      </c>
      <c r="M280" s="113">
        <f t="shared" ca="1" si="11"/>
        <v>0</v>
      </c>
    </row>
    <row r="281" spans="12:13" x14ac:dyDescent="0.25">
      <c r="L281" s="113">
        <f t="shared" si="12"/>
        <v>0</v>
      </c>
      <c r="M281" s="113">
        <f t="shared" ca="1" si="11"/>
        <v>0</v>
      </c>
    </row>
    <row r="282" spans="12:13" x14ac:dyDescent="0.25">
      <c r="L282" s="113">
        <f t="shared" si="12"/>
        <v>0</v>
      </c>
      <c r="M282" s="113">
        <f t="shared" ca="1" si="11"/>
        <v>0</v>
      </c>
    </row>
    <row r="283" spans="12:13" x14ac:dyDescent="0.25">
      <c r="L283" s="113">
        <f t="shared" si="12"/>
        <v>0</v>
      </c>
      <c r="M283" s="113">
        <f t="shared" ca="1" si="11"/>
        <v>0</v>
      </c>
    </row>
    <row r="284" spans="12:13" x14ac:dyDescent="0.25">
      <c r="L284" s="113">
        <f t="shared" si="12"/>
        <v>0</v>
      </c>
      <c r="M284" s="113">
        <f t="shared" ca="1" si="11"/>
        <v>0</v>
      </c>
    </row>
    <row r="285" spans="12:13" x14ac:dyDescent="0.25">
      <c r="L285" s="113">
        <f t="shared" si="12"/>
        <v>0</v>
      </c>
      <c r="M285" s="113">
        <f t="shared" ca="1" si="11"/>
        <v>0</v>
      </c>
    </row>
    <row r="286" spans="12:13" x14ac:dyDescent="0.25">
      <c r="L286" s="113">
        <f t="shared" si="12"/>
        <v>0</v>
      </c>
      <c r="M286" s="113">
        <f t="shared" ca="1" si="11"/>
        <v>0</v>
      </c>
    </row>
    <row r="287" spans="12:13" x14ac:dyDescent="0.25">
      <c r="L287" s="113">
        <f t="shared" si="12"/>
        <v>0</v>
      </c>
      <c r="M287" s="113">
        <f t="shared" ca="1" si="11"/>
        <v>0</v>
      </c>
    </row>
    <row r="288" spans="12:13" x14ac:dyDescent="0.25">
      <c r="L288" s="113">
        <f t="shared" si="12"/>
        <v>0</v>
      </c>
      <c r="M288" s="113">
        <f t="shared" ca="1" si="11"/>
        <v>0</v>
      </c>
    </row>
    <row r="289" spans="12:13" x14ac:dyDescent="0.25">
      <c r="L289" s="113">
        <f t="shared" si="12"/>
        <v>0</v>
      </c>
      <c r="M289" s="113">
        <f t="shared" ca="1" si="11"/>
        <v>0</v>
      </c>
    </row>
    <row r="290" spans="12:13" x14ac:dyDescent="0.25">
      <c r="L290" s="113">
        <f t="shared" si="12"/>
        <v>0</v>
      </c>
      <c r="M290" s="113">
        <f t="shared" ca="1" si="11"/>
        <v>0</v>
      </c>
    </row>
    <row r="291" spans="12:13" x14ac:dyDescent="0.25">
      <c r="L291" s="113">
        <f t="shared" si="12"/>
        <v>0</v>
      </c>
      <c r="M291" s="113">
        <f t="shared" ca="1" si="11"/>
        <v>0</v>
      </c>
    </row>
    <row r="292" spans="12:13" x14ac:dyDescent="0.25">
      <c r="L292" s="113">
        <f t="shared" si="12"/>
        <v>0</v>
      </c>
      <c r="M292" s="113">
        <f t="shared" ca="1" si="11"/>
        <v>0</v>
      </c>
    </row>
    <row r="293" spans="12:13" x14ac:dyDescent="0.25">
      <c r="L293" s="113">
        <f t="shared" si="12"/>
        <v>0</v>
      </c>
      <c r="M293" s="113">
        <f t="shared" ca="1" si="11"/>
        <v>0</v>
      </c>
    </row>
    <row r="294" spans="12:13" x14ac:dyDescent="0.25">
      <c r="L294" s="113">
        <f t="shared" si="12"/>
        <v>0</v>
      </c>
      <c r="M294" s="113">
        <f t="shared" ca="1" si="11"/>
        <v>0</v>
      </c>
    </row>
    <row r="295" spans="12:13" x14ac:dyDescent="0.25">
      <c r="L295" s="113">
        <f t="shared" si="12"/>
        <v>0</v>
      </c>
      <c r="M295" s="113">
        <f t="shared" ca="1" si="11"/>
        <v>0</v>
      </c>
    </row>
    <row r="296" spans="12:13" x14ac:dyDescent="0.25">
      <c r="L296" s="113">
        <f t="shared" si="12"/>
        <v>0</v>
      </c>
      <c r="M296" s="113">
        <f t="shared" ca="1" si="11"/>
        <v>0</v>
      </c>
    </row>
    <row r="297" spans="12:13" x14ac:dyDescent="0.25">
      <c r="L297" s="113">
        <f t="shared" si="12"/>
        <v>0</v>
      </c>
      <c r="M297" s="113">
        <f t="shared" ca="1" si="11"/>
        <v>0</v>
      </c>
    </row>
    <row r="298" spans="12:13" x14ac:dyDescent="0.25">
      <c r="L298" s="113">
        <f t="shared" si="12"/>
        <v>0</v>
      </c>
      <c r="M298" s="113">
        <f t="shared" ca="1" si="11"/>
        <v>0</v>
      </c>
    </row>
    <row r="299" spans="12:13" x14ac:dyDescent="0.25">
      <c r="L299" s="113">
        <f t="shared" si="12"/>
        <v>0</v>
      </c>
      <c r="M299" s="113">
        <f t="shared" ca="1" si="11"/>
        <v>0</v>
      </c>
    </row>
    <row r="300" spans="12:13" x14ac:dyDescent="0.25">
      <c r="L300" s="113">
        <f t="shared" si="12"/>
        <v>0</v>
      </c>
      <c r="M300" s="113">
        <f t="shared" ca="1" si="11"/>
        <v>0</v>
      </c>
    </row>
    <row r="301" spans="12:13" x14ac:dyDescent="0.25">
      <c r="L301" s="113">
        <f t="shared" si="12"/>
        <v>0</v>
      </c>
      <c r="M301" s="113">
        <f t="shared" ca="1" si="11"/>
        <v>0</v>
      </c>
    </row>
    <row r="302" spans="12:13" x14ac:dyDescent="0.25">
      <c r="L302" s="113">
        <f t="shared" si="12"/>
        <v>0</v>
      </c>
      <c r="M302" s="113">
        <f t="shared" ca="1" si="11"/>
        <v>0</v>
      </c>
    </row>
    <row r="303" spans="12:13" x14ac:dyDescent="0.25">
      <c r="L303" s="113">
        <f t="shared" si="12"/>
        <v>0</v>
      </c>
      <c r="M303" s="113">
        <f t="shared" ca="1" si="11"/>
        <v>0</v>
      </c>
    </row>
    <row r="304" spans="12:13" x14ac:dyDescent="0.25">
      <c r="L304" s="113">
        <f t="shared" si="12"/>
        <v>0</v>
      </c>
      <c r="M304" s="113">
        <f t="shared" ca="1" si="11"/>
        <v>0</v>
      </c>
    </row>
    <row r="305" spans="12:13" x14ac:dyDescent="0.25">
      <c r="L305" s="113">
        <f t="shared" si="12"/>
        <v>0</v>
      </c>
      <c r="M305" s="113">
        <f t="shared" ca="1" si="11"/>
        <v>0</v>
      </c>
    </row>
    <row r="306" spans="12:13" x14ac:dyDescent="0.25">
      <c r="L306" s="113">
        <f t="shared" si="12"/>
        <v>0</v>
      </c>
      <c r="M306" s="113">
        <f t="shared" ca="1" si="11"/>
        <v>0</v>
      </c>
    </row>
    <row r="307" spans="12:13" x14ac:dyDescent="0.25">
      <c r="L307" s="113">
        <f t="shared" si="12"/>
        <v>0</v>
      </c>
      <c r="M307" s="113">
        <f t="shared" ca="1" si="11"/>
        <v>0</v>
      </c>
    </row>
    <row r="308" spans="12:13" x14ac:dyDescent="0.25">
      <c r="L308" s="113">
        <f t="shared" si="12"/>
        <v>0</v>
      </c>
      <c r="M308" s="113">
        <f t="shared" ca="1" si="11"/>
        <v>0</v>
      </c>
    </row>
    <row r="309" spans="12:13" x14ac:dyDescent="0.25">
      <c r="L309" s="113">
        <f t="shared" si="12"/>
        <v>0</v>
      </c>
      <c r="M309" s="113">
        <f t="shared" ca="1" si="11"/>
        <v>0</v>
      </c>
    </row>
    <row r="310" spans="12:13" x14ac:dyDescent="0.25">
      <c r="L310" s="113">
        <f t="shared" si="12"/>
        <v>0</v>
      </c>
      <c r="M310" s="113">
        <f t="shared" ca="1" si="11"/>
        <v>0</v>
      </c>
    </row>
    <row r="311" spans="12:13" x14ac:dyDescent="0.25">
      <c r="L311" s="113">
        <f t="shared" si="12"/>
        <v>0</v>
      </c>
      <c r="M311" s="113">
        <f t="shared" ca="1" si="11"/>
        <v>0</v>
      </c>
    </row>
    <row r="312" spans="12:13" x14ac:dyDescent="0.25">
      <c r="L312" s="113">
        <f t="shared" si="12"/>
        <v>0</v>
      </c>
      <c r="M312" s="113">
        <f t="shared" ca="1" si="11"/>
        <v>0</v>
      </c>
    </row>
    <row r="313" spans="12:13" x14ac:dyDescent="0.25">
      <c r="L313" s="113">
        <f t="shared" si="12"/>
        <v>0</v>
      </c>
      <c r="M313" s="113">
        <f t="shared" ca="1" si="11"/>
        <v>0</v>
      </c>
    </row>
    <row r="314" spans="12:13" x14ac:dyDescent="0.25">
      <c r="L314" s="113">
        <f t="shared" si="12"/>
        <v>0</v>
      </c>
      <c r="M314" s="113">
        <f t="shared" ca="1" si="11"/>
        <v>0</v>
      </c>
    </row>
    <row r="315" spans="12:13" x14ac:dyDescent="0.25">
      <c r="L315" s="113">
        <f t="shared" si="12"/>
        <v>0</v>
      </c>
      <c r="M315" s="113">
        <f t="shared" ca="1" si="11"/>
        <v>0</v>
      </c>
    </row>
    <row r="316" spans="12:13" x14ac:dyDescent="0.25">
      <c r="L316" s="113">
        <f t="shared" si="12"/>
        <v>0</v>
      </c>
      <c r="M316" s="113">
        <f t="shared" ca="1" si="11"/>
        <v>0</v>
      </c>
    </row>
    <row r="317" spans="12:13" x14ac:dyDescent="0.25">
      <c r="L317" s="113">
        <f t="shared" si="12"/>
        <v>0</v>
      </c>
      <c r="M317" s="113">
        <f t="shared" ca="1" si="11"/>
        <v>0</v>
      </c>
    </row>
    <row r="318" spans="12:13" x14ac:dyDescent="0.25">
      <c r="L318" s="113">
        <f t="shared" si="12"/>
        <v>0</v>
      </c>
      <c r="M318" s="113">
        <f t="shared" ca="1" si="11"/>
        <v>0</v>
      </c>
    </row>
    <row r="319" spans="12:13" x14ac:dyDescent="0.25">
      <c r="L319" s="113">
        <f t="shared" si="12"/>
        <v>0</v>
      </c>
      <c r="M319" s="113">
        <f t="shared" ca="1" si="11"/>
        <v>0</v>
      </c>
    </row>
    <row r="320" spans="12:13" x14ac:dyDescent="0.25">
      <c r="L320" s="113">
        <f t="shared" si="12"/>
        <v>0</v>
      </c>
      <c r="M320" s="113">
        <f t="shared" ca="1" si="11"/>
        <v>0</v>
      </c>
    </row>
    <row r="321" spans="12:13" x14ac:dyDescent="0.25">
      <c r="L321" s="113">
        <f t="shared" si="12"/>
        <v>0</v>
      </c>
      <c r="M321" s="113">
        <f t="shared" ca="1" si="11"/>
        <v>0</v>
      </c>
    </row>
    <row r="322" spans="12:13" x14ac:dyDescent="0.25">
      <c r="L322" s="113">
        <f t="shared" si="12"/>
        <v>0</v>
      </c>
      <c r="M322" s="113">
        <f t="shared" ca="1" si="11"/>
        <v>0</v>
      </c>
    </row>
    <row r="323" spans="12:13" x14ac:dyDescent="0.25">
      <c r="L323" s="113">
        <f t="shared" si="12"/>
        <v>0</v>
      </c>
      <c r="M323" s="113">
        <f t="shared" ca="1" si="11"/>
        <v>0</v>
      </c>
    </row>
    <row r="324" spans="12:13" x14ac:dyDescent="0.25">
      <c r="L324" s="113">
        <f t="shared" si="12"/>
        <v>0</v>
      </c>
      <c r="M324" s="113">
        <f t="shared" ca="1" si="11"/>
        <v>0</v>
      </c>
    </row>
    <row r="325" spans="12:13" x14ac:dyDescent="0.25">
      <c r="L325" s="113">
        <f t="shared" si="12"/>
        <v>0</v>
      </c>
      <c r="M325" s="113">
        <f t="shared" ca="1" si="11"/>
        <v>0</v>
      </c>
    </row>
    <row r="326" spans="12:13" x14ac:dyDescent="0.25">
      <c r="L326" s="113">
        <f t="shared" si="12"/>
        <v>0</v>
      </c>
      <c r="M326" s="113">
        <f t="shared" ca="1" si="11"/>
        <v>0</v>
      </c>
    </row>
    <row r="327" spans="12:13" x14ac:dyDescent="0.25">
      <c r="L327" s="113"/>
      <c r="M327" s="113"/>
    </row>
    <row r="328" spans="12:13" x14ac:dyDescent="0.25">
      <c r="L328" s="113"/>
      <c r="M328" s="113"/>
    </row>
    <row r="329" spans="12:13" x14ac:dyDescent="0.25">
      <c r="L329" s="113"/>
      <c r="M329" s="113"/>
    </row>
    <row r="330" spans="12:13" x14ac:dyDescent="0.25">
      <c r="L330" s="113"/>
      <c r="M330" s="113"/>
    </row>
    <row r="331" spans="12:13" x14ac:dyDescent="0.25">
      <c r="L331" s="113"/>
      <c r="M331" s="113"/>
    </row>
    <row r="332" spans="12:13" x14ac:dyDescent="0.25">
      <c r="L332" s="113"/>
      <c r="M332" s="113"/>
    </row>
    <row r="333" spans="12:13" x14ac:dyDescent="0.25">
      <c r="L333" s="113"/>
      <c r="M333" s="113"/>
    </row>
    <row r="334" spans="12:13" x14ac:dyDescent="0.25">
      <c r="L334" s="113"/>
      <c r="M334" s="113"/>
    </row>
    <row r="335" spans="12:13" x14ac:dyDescent="0.25">
      <c r="L335" s="113"/>
      <c r="M335" s="113"/>
    </row>
    <row r="336" spans="12:13" x14ac:dyDescent="0.25">
      <c r="L336" s="113"/>
      <c r="M336" s="113"/>
    </row>
    <row r="337" spans="12:13" x14ac:dyDescent="0.25">
      <c r="L337" s="113"/>
      <c r="M337" s="113"/>
    </row>
    <row r="338" spans="12:13" x14ac:dyDescent="0.25">
      <c r="L338" s="113"/>
      <c r="M338" s="113"/>
    </row>
    <row r="339" spans="12:13" x14ac:dyDescent="0.25">
      <c r="L339" s="113"/>
      <c r="M339" s="113"/>
    </row>
    <row r="340" spans="12:13" x14ac:dyDescent="0.25">
      <c r="L340" s="113"/>
      <c r="M340" s="113"/>
    </row>
    <row r="341" spans="12:13" x14ac:dyDescent="0.25">
      <c r="L341" s="113"/>
      <c r="M341" s="113"/>
    </row>
    <row r="342" spans="12:13" x14ac:dyDescent="0.25">
      <c r="L342" s="113"/>
      <c r="M342" s="113"/>
    </row>
    <row r="343" spans="12:13" x14ac:dyDescent="0.25">
      <c r="L343" s="113"/>
      <c r="M343" s="113"/>
    </row>
    <row r="344" spans="12:13" x14ac:dyDescent="0.25">
      <c r="L344" s="113"/>
      <c r="M344" s="113"/>
    </row>
    <row r="345" spans="12:13" x14ac:dyDescent="0.25">
      <c r="L345" s="113"/>
      <c r="M345" s="113"/>
    </row>
    <row r="346" spans="12:13" x14ac:dyDescent="0.25">
      <c r="L346" s="113"/>
      <c r="M346" s="113"/>
    </row>
    <row r="347" spans="12:13" x14ac:dyDescent="0.25">
      <c r="L347" s="113"/>
      <c r="M347" s="113"/>
    </row>
    <row r="348" spans="12:13" x14ac:dyDescent="0.25">
      <c r="L348" s="113"/>
      <c r="M348" s="113"/>
    </row>
    <row r="349" spans="12:13" x14ac:dyDescent="0.25">
      <c r="L349" s="113"/>
      <c r="M349" s="113"/>
    </row>
    <row r="350" spans="12:13" x14ac:dyDescent="0.25">
      <c r="L350" s="113"/>
      <c r="M350" s="113"/>
    </row>
    <row r="351" spans="12:13" x14ac:dyDescent="0.25">
      <c r="L351" s="113"/>
      <c r="M351" s="113"/>
    </row>
    <row r="352" spans="12:13" x14ac:dyDescent="0.25">
      <c r="L352" s="113"/>
      <c r="M352" s="113"/>
    </row>
    <row r="353" spans="12:13" x14ac:dyDescent="0.25">
      <c r="L353" s="113"/>
      <c r="M353" s="113"/>
    </row>
    <row r="354" spans="12:13" x14ac:dyDescent="0.25">
      <c r="L354" s="113"/>
      <c r="M354" s="113"/>
    </row>
    <row r="355" spans="12:13" x14ac:dyDescent="0.25">
      <c r="L355" s="113"/>
      <c r="M355" s="113"/>
    </row>
    <row r="356" spans="12:13" x14ac:dyDescent="0.25">
      <c r="L356" s="113"/>
      <c r="M356" s="113"/>
    </row>
    <row r="357" spans="12:13" x14ac:dyDescent="0.25">
      <c r="L357" s="113"/>
      <c r="M357" s="113"/>
    </row>
    <row r="358" spans="12:13" x14ac:dyDescent="0.25">
      <c r="L358" s="113"/>
      <c r="M358" s="113"/>
    </row>
    <row r="359" spans="12:13" x14ac:dyDescent="0.25">
      <c r="L359" s="113"/>
      <c r="M359" s="113"/>
    </row>
    <row r="360" spans="12:13" x14ac:dyDescent="0.25">
      <c r="L360" s="113"/>
      <c r="M360" s="113"/>
    </row>
    <row r="361" spans="12:13" x14ac:dyDescent="0.25">
      <c r="L361" s="113"/>
      <c r="M361" s="113"/>
    </row>
    <row r="362" spans="12:13" x14ac:dyDescent="0.25">
      <c r="L362" s="113"/>
      <c r="M362" s="113"/>
    </row>
    <row r="363" spans="12:13" x14ac:dyDescent="0.25">
      <c r="L363" s="113"/>
      <c r="M363" s="113"/>
    </row>
    <row r="364" spans="12:13" x14ac:dyDescent="0.25">
      <c r="L364" s="113"/>
      <c r="M364" s="113"/>
    </row>
    <row r="365" spans="12:13" x14ac:dyDescent="0.25">
      <c r="L365" s="113"/>
      <c r="M365" s="113"/>
    </row>
    <row r="366" spans="12:13" x14ac:dyDescent="0.25">
      <c r="L366" s="113"/>
      <c r="M366" s="113"/>
    </row>
    <row r="367" spans="12:13" x14ac:dyDescent="0.25">
      <c r="L367" s="113"/>
      <c r="M367" s="113"/>
    </row>
    <row r="368" spans="12:13" x14ac:dyDescent="0.25">
      <c r="L368" s="113"/>
      <c r="M368" s="113"/>
    </row>
    <row r="369" spans="12:13" x14ac:dyDescent="0.25">
      <c r="L369" s="113"/>
      <c r="M369" s="113"/>
    </row>
    <row r="370" spans="12:13" x14ac:dyDescent="0.25">
      <c r="L370" s="113"/>
      <c r="M370" s="113"/>
    </row>
    <row r="371" spans="12:13" x14ac:dyDescent="0.25">
      <c r="L371" s="113"/>
      <c r="M371" s="113"/>
    </row>
    <row r="372" spans="12:13" x14ac:dyDescent="0.25">
      <c r="L372" s="113"/>
      <c r="M372" s="113"/>
    </row>
    <row r="373" spans="12:13" x14ac:dyDescent="0.25">
      <c r="L373" s="113"/>
      <c r="M373" s="113"/>
    </row>
    <row r="374" spans="12:13" x14ac:dyDescent="0.25">
      <c r="L374" s="113"/>
      <c r="M374" s="113"/>
    </row>
    <row r="375" spans="12:13" x14ac:dyDescent="0.25">
      <c r="L375" s="113"/>
      <c r="M375" s="113"/>
    </row>
    <row r="376" spans="12:13" x14ac:dyDescent="0.25">
      <c r="L376" s="113"/>
      <c r="M376" s="113"/>
    </row>
    <row r="377" spans="12:13" x14ac:dyDescent="0.25">
      <c r="L377" s="113"/>
      <c r="M377" s="113"/>
    </row>
    <row r="378" spans="12:13" x14ac:dyDescent="0.25">
      <c r="L378" s="113"/>
      <c r="M378" s="113"/>
    </row>
    <row r="379" spans="12:13" x14ac:dyDescent="0.25">
      <c r="L379" s="113"/>
      <c r="M379" s="113"/>
    </row>
    <row r="380" spans="12:13" x14ac:dyDescent="0.25">
      <c r="L380" s="113"/>
      <c r="M380" s="113"/>
    </row>
    <row r="381" spans="12:13" x14ac:dyDescent="0.25">
      <c r="L381" s="113"/>
      <c r="M381" s="113"/>
    </row>
    <row r="382" spans="12:13" x14ac:dyDescent="0.25">
      <c r="L382" s="113"/>
      <c r="M382" s="113"/>
    </row>
    <row r="383" spans="12:13" x14ac:dyDescent="0.25">
      <c r="L383" s="113"/>
      <c r="M383" s="113"/>
    </row>
    <row r="384" spans="12:13" x14ac:dyDescent="0.25">
      <c r="L384" s="113"/>
      <c r="M384" s="113"/>
    </row>
    <row r="385" spans="12:13" x14ac:dyDescent="0.25">
      <c r="L385" s="113"/>
      <c r="M385" s="113"/>
    </row>
    <row r="386" spans="12:13" x14ac:dyDescent="0.25">
      <c r="L386" s="113"/>
      <c r="M386" s="113"/>
    </row>
    <row r="387" spans="12:13" x14ac:dyDescent="0.25">
      <c r="L387" s="113"/>
      <c r="M387" s="113"/>
    </row>
    <row r="388" spans="12:13" x14ac:dyDescent="0.25">
      <c r="L388" s="113"/>
      <c r="M388" s="113"/>
    </row>
    <row r="389" spans="12:13" x14ac:dyDescent="0.25">
      <c r="L389" s="113"/>
      <c r="M389" s="113"/>
    </row>
    <row r="390" spans="12:13" x14ac:dyDescent="0.25">
      <c r="L390" s="113"/>
      <c r="M390" s="113"/>
    </row>
    <row r="391" spans="12:13" x14ac:dyDescent="0.25">
      <c r="L391" s="113"/>
      <c r="M391" s="113"/>
    </row>
    <row r="392" spans="12:13" x14ac:dyDescent="0.25">
      <c r="L392" s="113"/>
      <c r="M392" s="113"/>
    </row>
    <row r="393" spans="12:13" x14ac:dyDescent="0.25">
      <c r="L393" s="113"/>
      <c r="M393" s="113"/>
    </row>
    <row r="394" spans="12:13" x14ac:dyDescent="0.25">
      <c r="L394" s="113"/>
      <c r="M394" s="113"/>
    </row>
    <row r="395" spans="12:13" x14ac:dyDescent="0.25">
      <c r="L395" s="113"/>
      <c r="M395" s="113"/>
    </row>
    <row r="396" spans="12:13" x14ac:dyDescent="0.25">
      <c r="L396" s="113"/>
      <c r="M396" s="113"/>
    </row>
  </sheetData>
  <pageMargins left="0.511811024" right="0.511811024" top="0.78740157499999996" bottom="0.78740157499999996" header="0.31496062000000002" footer="0.31496062000000002"/>
  <ignoredErrors>
    <ignoredError sqref="M7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Resumo</vt:lpstr>
      <vt:lpstr>Entrada</vt:lpstr>
      <vt:lpstr>Cen1</vt:lpstr>
      <vt:lpstr>Referencia</vt:lpstr>
      <vt:lpstr>MemEntrada</vt:lpstr>
      <vt:lpstr>MemCen1</vt:lpstr>
      <vt:lpstr>MemMlt</vt:lpstr>
      <vt:lpstr>Usinas</vt:lpstr>
      <vt:lpstr>Postos</vt:lpstr>
      <vt:lpstr>Bacias</vt:lpstr>
      <vt:lpstr>Ajustes</vt:lpstr>
      <vt:lpstr>AjustesCen1</vt:lpstr>
      <vt:lpstr>Prevs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Canducci</dc:creator>
  <cp:lastModifiedBy>Douglas Canducci</cp:lastModifiedBy>
  <dcterms:created xsi:type="dcterms:W3CDTF">2014-10-30T17:06:01Z</dcterms:created>
  <dcterms:modified xsi:type="dcterms:W3CDTF">2015-09-11T15:29:19Z</dcterms:modified>
</cp:coreProperties>
</file>